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ashboard" sheetId="1" state="visible" r:id="rId1"/>
    <sheet name="Scenarios" sheetId="2" state="visible" r:id="rId2"/>
    <sheet name="Annual" sheetId="3" state="visible" r:id="rId3"/>
    <sheet name="Proforma" sheetId="4" state="visible" r:id="rId4"/>
    <sheet name="Inputs" sheetId="5" state="visible" r:id="rId5"/>
    <sheet name="UnitMatrix" sheetId="6" state="visible" r:id="rId6"/>
    <sheet name="Budget" sheetId="7" state="visible" r:id="rId7"/>
    <sheet name="Timeline" sheetId="8" state="visible" r:id="rId8"/>
    <sheet name="DevSpend" sheetId="9" state="visible" r:id="rId9"/>
    <sheet name="ConLoan" sheetId="10" state="visible" r:id="rId10"/>
    <sheet name="LeaseUp" sheetId="11" state="visible" r:id="rId11"/>
    <sheet name="Operating" sheetId="12" state="visible" r:id="rId12"/>
    <sheet name="PermLoan" sheetId="13" state="visible" r:id="rId13"/>
    <sheet name="Disposition" sheetId="14" state="visible" r:id="rId14"/>
    <sheet name="CashFlow" sheetId="15" state="visible" r:id="rId15"/>
    <sheet name="Returns" sheetId="16" state="visible" r:id="rId16"/>
    <sheet name="Diagnostics" sheetId="17" state="visible" r:id="rId17"/>
  </sheets>
  <definedNames>
    <definedName name="ActivePayoff">Disposition!$C$18</definedName>
    <definedName name="AssessedValueStab">Operating!$C$56</definedName>
    <definedName name="AssetMgmtFeePct">Inputs!$C$117</definedName>
    <definedName name="AvgUnitSF">UnitMatrix!$C$19</definedName>
    <definedName name="BadDebtPct">Inputs!$C$96</definedName>
    <definedName name="BaseLowRentMo">UnitMatrix!$C$21</definedName>
    <definedName name="BaseMarketRentMo">UnitMatrix!$C$20</definedName>
    <definedName name="BasisPerUnitCur">Returns!$C$29</definedName>
    <definedName name="BasisPerUnitExit">Returns!$C$30</definedName>
    <definedName name="BlendedExitCap">Disposition!$C$9</definedName>
    <definedName name="BrokerCost">Disposition!$C$14</definedName>
    <definedName name="BrokerCostPct">Inputs!$C$91</definedName>
    <definedName name="BudgetHard">Budget!$J$36</definedName>
    <definedName name="BudgetLand">Budget!$J$34</definedName>
    <definedName name="BudgetSoft">Budget!$J$35</definedName>
    <definedName name="BudgetTDCref">Budget!$J$39</definedName>
    <definedName name="BuildableSF">UnitMatrix!$C$18</definedName>
    <definedName name="CapAdjAging">Inputs!$C$19</definedName>
    <definedName name="CapAdjLocation">Inputs!$C$17</definedName>
    <definedName name="CapAdjSize">Inputs!$C$18</definedName>
    <definedName name="CapReservePerUnit">Inputs!$C$115</definedName>
    <definedName name="Chk_ConBalEnd">ConLoan!$C$47</definedName>
    <definedName name="Chk_CostCurve">DevSpend!$D$42</definedName>
    <definedName name="Chk_DebtDraws">ConLoan!$C$44</definedName>
    <definedName name="Chk_DevFeeCurve">DevSpend!$D$43</definedName>
    <definedName name="Chk_EquityDraws">ConLoan!$C$45</definedName>
    <definedName name="Chk_IntReserve">ConLoan!$C$48</definedName>
    <definedName name="Chk_LeaseUpReached">LeaseUp!$C$13</definedName>
    <definedName name="Chk_LoanRetired">Disposition!$C$24</definedName>
    <definedName name="Chk_Reassess">Disposition!$C$25</definedName>
    <definedName name="Chk_RefiBalance">PermLoan!$C$33</definedName>
    <definedName name="Chk_TaxMethod">Operating!$C$59</definedName>
    <definedName name="Chk_UnitsDelivered">LeaseUp!$C$14</definedName>
    <definedName name="Chk_Uses">ConLoan!$C$46</definedName>
    <definedName name="City">Inputs!$C$7</definedName>
    <definedName name="ConcessionsPct">Inputs!$C$97</definedName>
    <definedName name="ConCostBasis">ConLoan!$C$4</definedName>
    <definedName name="ConCostCommit">ConLoan!$C$8</definedName>
    <definedName name="ConCostExInt">ConLoan!$C$11</definedName>
    <definedName name="ConDSCRtest">ConLoan!$C$17</definedName>
    <definedName name="ConDYtest">ConLoan!$C$16</definedName>
    <definedName name="ConLoanTermMonths">Inputs!$C$62</definedName>
    <definedName name="ConLoanTotal">ConLoan!$C$37</definedName>
    <definedName name="ConMaturity">Timeline!$C$18</definedName>
    <definedName name="ConMinDebtYield">Inputs!$C$67</definedName>
    <definedName name="ConMinDSCR">Inputs!$C$68</definedName>
    <definedName name="ConOtherCosts">Inputs!$C$66</definedName>
    <definedName name="ConPayoffBal">ConLoan!$C$38</definedName>
    <definedName name="ConPayoffMonth">Timeline!$C$25</definedName>
    <definedName name="ConPoints">ConLoan!$C$9</definedName>
    <definedName name="ConPointsPct">Inputs!$C$65</definedName>
    <definedName name="ConRate">Inputs!$C$63</definedName>
    <definedName name="ConRealizedLTC">ConLoan!$C$18</definedName>
    <definedName name="ConStart">Timeline!$C$17</definedName>
    <definedName name="ConTaxTotal">DevSpend!$D$39</definedName>
    <definedName name="DebtShare">ConLoan!$C$12</definedName>
    <definedName name="DebtYieldStab">Returns!$C$25</definedName>
    <definedName name="DeliverStart">Timeline!$C$19</definedName>
    <definedName name="DevFee">Budget!$J$38</definedName>
    <definedName name="DevFeePctDirect">Inputs!$C$85</definedName>
    <definedName name="DevFeeThirdPartySplit">Inputs!$C$86</definedName>
    <definedName name="DevSpreadBps">Returns!$C$22</definedName>
    <definedName name="DevSpreadPct">Returns!$C$21</definedName>
    <definedName name="DirectCosts">Budget!$J$37</definedName>
    <definedName name="DispoEffTaxRate">Operating!$C$55</definedName>
    <definedName name="DispoMonth">Timeline!$C$21</definedName>
    <definedName name="DispoTaxRatePct">Inputs!$C$53</definedName>
    <definedName name="EfficiencyRatio">Inputs!$C$43</definedName>
    <definedName name="EffTaxRateOnValue">Operating!$C$54</definedName>
    <definedName name="EntryCapRate">Inputs!$C$16</definedName>
    <definedName name="EquityBudget">ConLoan!$C$13</definedName>
    <definedName name="EquityTotal">ConLoan!$C$40</definedName>
    <definedName name="ExistingStructureCost">Inputs!$C$44</definedName>
    <definedName name="ExitCapResidential">Inputs!$C$20</definedName>
    <definedName name="ExitCapRetail">Inputs!$C$21</definedName>
    <definedName name="ExitValue">Disposition!$C$10</definedName>
    <definedName name="ExpAdminPerUnit">Inputs!$C$112</definedName>
    <definedName name="ExpAdvertisingPerUnit">Inputs!$C$113</definedName>
    <definedName name="ExpContractPerUnit">Inputs!$C$111</definedName>
    <definedName name="ExpInsurancePerUnit">Inputs!$C$106</definedName>
    <definedName name="ExpPayrollPerUnit">Inputs!$C$108</definedName>
    <definedName name="ExpRMPerUnit">Inputs!$C$109</definedName>
    <definedName name="ExpTurnoverPerUnit">Inputs!$C$110</definedName>
    <definedName name="ExpUtilitiesPerUnit">Inputs!$C$107</definedName>
    <definedName name="FARRatio">Inputs!$C$42</definedName>
    <definedName name="FwdEGI">Disposition!$C$6</definedName>
    <definedName name="FwdNOIafter">Disposition!$C$5</definedName>
    <definedName name="FwdNOIbt">Disposition!$C$4</definedName>
    <definedName name="FwdRetail">Disposition!$C$7</definedName>
    <definedName name="GrossAcres">Inputs!$C$40</definedName>
    <definedName name="GrossSale">Disposition!$C$13</definedName>
    <definedName name="GrowthExpense">Inputs!$C$24</definedName>
    <definedName name="GrowthLowIncRent">Inputs!$C$23</definedName>
    <definedName name="GrowthOther">Inputs!$C$27</definedName>
    <definedName name="GrowthRent">Inputs!$C$22</definedName>
    <definedName name="GrowthStartDate">Inputs!$C$28</definedName>
    <definedName name="GrowthStartMonth">Timeline!$C$22</definedName>
    <definedName name="GrowthTax">Inputs!$C$26</definedName>
    <definedName name="GrowthUtility">Inputs!$C$25</definedName>
    <definedName name="HoldPeriodMonths">Inputs!$C$15</definedName>
    <definedName name="InceptionDate">Inputs!$C$12</definedName>
    <definedName name="InterestReserveAccrued">ConLoan!$C$35</definedName>
    <definedName name="InterestReserveFunded">ConLoan!$C$36</definedName>
    <definedName name="InvestmentType">Inputs!$C$5</definedName>
    <definedName name="LandCost">Inputs!$C$39</definedName>
    <definedName name="LeaseUpElevationPct">Inputs!$C$35</definedName>
    <definedName name="LeaseUpRampPct">Inputs!$C$34</definedName>
    <definedName name="LenderReqReserveOverride">Inputs!$C$69</definedName>
    <definedName name="LevDistros">CashFlow!$C$11</definedName>
    <definedName name="LevEquityIn">CashFlow!$C$10</definedName>
    <definedName name="LevIRR">Returns!$C$4</definedName>
    <definedName name="LevIRRgross">Returns!$C$14</definedName>
    <definedName name="LevMOIC">Returns!$C$6</definedName>
    <definedName name="LevMOICgross">Returns!$C$16</definedName>
    <definedName name="LevNetProfit">CashFlow!$C$12</definedName>
    <definedName name="Location">Inputs!$C$11</definedName>
    <definedName name="LossToLeasePct">Inputs!$C$98</definedName>
    <definedName name="LowUnits">UnitMatrix!$C$16</definedName>
    <definedName name="LTC_Realized">ConLoan!$C$41</definedName>
    <definedName name="Market">Inputs!$C$9</definedName>
    <definedName name="MarketUnits">UnitMatrix!$C$15</definedName>
    <definedName name="MaxByDebtYield">ConLoan!$C$6</definedName>
    <definedName name="MaxByDSCR">ConLoan!$C$7</definedName>
    <definedName name="MaxByLTC">ConLoan!$C$5</definedName>
    <definedName name="MaxDSCRperm">PermLoan!$C$9</definedName>
    <definedName name="MaxDYperm">PermLoan!$C$8</definedName>
    <definedName name="MaxLTVperm">PermLoan!$C$7</definedName>
    <definedName name="MgmtFeePct">Inputs!$C$114</definedName>
    <definedName name="MilestoneEnd">Timeline!$E$4:$E$14</definedName>
    <definedName name="MilestoneNames">Timeline!$B$4:$B$14</definedName>
    <definedName name="MilestoneStart">Timeline!$C$4:$C$14</definedName>
    <definedName name="ModelUnits">Inputs!$C$99</definedName>
    <definedName name="MortConst">PermLoan!$C$6</definedName>
    <definedName name="MS_1st_Unit_Delivery_End">Timeline!$E$10</definedName>
    <definedName name="MS_1st_Unit_Delivery_Start">Timeline!$C$10</definedName>
    <definedName name="MS_Construction_End">Timeline!$E$9</definedName>
    <definedName name="MS_Construction_Start">Timeline!$C$9</definedName>
    <definedName name="MS_Disposition_End">Timeline!$E$14</definedName>
    <definedName name="MS_Disposition_Start">Timeline!$C$14</definedName>
    <definedName name="MS_Due_Diligence_End">Timeline!$E$5</definedName>
    <definedName name="MS_Due_Diligence_Start">Timeline!$C$5</definedName>
    <definedName name="MS_Entitlement_End">Timeline!$E$6</definedName>
    <definedName name="MS_Entitlement_Start">Timeline!$C$6</definedName>
    <definedName name="MS_Initial_Closing_End">Timeline!$E$8</definedName>
    <definedName name="MS_Initial_Closing_Start">Timeline!$C$8</definedName>
    <definedName name="MS_Lease_Up_End">Timeline!$E$11</definedName>
    <definedName name="MS_Lease_Up_Start">Timeline!$C$11</definedName>
    <definedName name="MS_Open_Escrow_End">Timeline!$E$4</definedName>
    <definedName name="MS_Open_Escrow_Start">Timeline!$C$4</definedName>
    <definedName name="MS_Pre_Construction_End">Timeline!$E$7</definedName>
    <definedName name="MS_Pre_Construction_Start">Timeline!$C$7</definedName>
    <definedName name="MS_Recapitalization_Refinance_End">Timeline!$E$13</definedName>
    <definedName name="MS_Recapitalization_Refinance_Start">Timeline!$C$13</definedName>
    <definedName name="MS_Stabilization_End">Timeline!$E$12</definedName>
    <definedName name="MS_Stabilization_Start">Timeline!$C$12</definedName>
    <definedName name="NetAcres">Inputs!$C$41</definedName>
    <definedName name="NetSale">Disposition!$C$19</definedName>
    <definedName name="NetSaleUnlev">Disposition!$C$20</definedName>
    <definedName name="NRSF">UnitMatrix!$C$17</definedName>
    <definedName name="OpReserve">Operating!$C$51</definedName>
    <definedName name="OpReserveCoverage">Inputs!$C$58</definedName>
    <definedName name="OpReserveMinMonths">Inputs!$C$59</definedName>
    <definedName name="OtherIncPerUnitMo">Inputs!$C$103</definedName>
    <definedName name="ParkingPerUnitMo">Inputs!$C$100</definedName>
    <definedName name="PeakShort">Operating!$C$50</definedName>
    <definedName name="PermAmortMonths">Inputs!$C$76</definedName>
    <definedName name="PermDSCRtest">PermLoan!$C$20</definedName>
    <definedName name="PermDYtest">PermLoan!$C$19</definedName>
    <definedName name="PermIOMonths">Inputs!$C$75</definedName>
    <definedName name="PermLoan">PermLoan!$C$12</definedName>
    <definedName name="PermLTVtest">PermLoan!$C$18</definedName>
    <definedName name="PermMaxLTV">Inputs!$C$72</definedName>
    <definedName name="PermMinDebtYield">Inputs!$C$79</definedName>
    <definedName name="PermMinDSCR">Inputs!$C$80</definedName>
    <definedName name="PermNeedNCO">PermLoan!$C$11</definedName>
    <definedName name="PermPayoffBal">PermLoan!$C$32</definedName>
    <definedName name="PermPmt">PermLoan!$C$15</definedName>
    <definedName name="PermPoints">PermLoan!$C$13</definedName>
    <definedName name="PermPointsPct">Inputs!$C$78</definedName>
    <definedName name="PermRate">Inputs!$C$73</definedName>
    <definedName name="PermSized">PermLoan!$C$10</definedName>
    <definedName name="PermTermMonths">Inputs!$C$74</definedName>
    <definedName name="ProductType">Inputs!$C$10</definedName>
    <definedName name="PropertyName">Inputs!$C$6</definedName>
    <definedName name="RecourseFee">ConLoan!$C$10</definedName>
    <definedName name="RecourseFeePct">Inputs!$C$88</definedName>
    <definedName name="RefiCashOut">PermLoan!$C$14</definedName>
    <definedName name="RefiFlag">Timeline!$C$23</definedName>
    <definedName name="RefiMonth">Timeline!$C$24</definedName>
    <definedName name="RefiMonthOverride">Inputs!$C$82</definedName>
    <definedName name="RetailIncomeMo">Inputs!$C$101</definedName>
    <definedName name="RetailRentMo">UnitMatrix!$C$27</definedName>
    <definedName name="RetailShare">Disposition!$C$8</definedName>
    <definedName name="ROCcurrent">Returns!$C$23</definedName>
    <definedName name="ROCstab">Returns!$C$24</definedName>
    <definedName name="SalesTaxAmt">Disposition!$C$15</definedName>
    <definedName name="SalesTaxPct">Inputs!$C$92</definedName>
    <definedName name="SponsorDispoFee">Disposition!$C$16</definedName>
    <definedName name="SponsorDispoFeePct">Inputs!$C$87</definedName>
    <definedName name="StabilizedOccupancy">Inputs!$C$36</definedName>
    <definedName name="StabLeasedTarget">LeaseUp!$C$3</definedName>
    <definedName name="StabMonth">Timeline!$C$20</definedName>
    <definedName name="StabNOI">Operating!$C$48</definedName>
    <definedName name="StabNOIbt">Operating!$C$47</definedName>
    <definedName name="StabNOIrefi">PermLoan!$C$4</definedName>
    <definedName name="StabTaxAnnual">Operating!$C$58</definedName>
    <definedName name="State">Inputs!$C$8</definedName>
    <definedName name="StaticExitValue">Returns!$C$36</definedName>
    <definedName name="StaticFwdNOI">Returns!$C$35</definedName>
    <definedName name="StaticFwdNOIbt">Returns!$C$34</definedName>
    <definedName name="StaticNetSaleUnlev">Returns!$C$37</definedName>
    <definedName name="StaticUnlevIRR">Returns!$C$41</definedName>
    <definedName name="StaticUnlevMOIC">Returns!$C$42</definedName>
    <definedName name="SumNOI">Operating!$C$64</definedName>
    <definedName name="SumOpCFpre">Operating!$C$62</definedName>
    <definedName name="SumUnlevOps">Operating!$C$63</definedName>
    <definedName name="TargetLTC">Inputs!$C$57</definedName>
    <definedName name="TaxAssessmentPct">Inputs!$C$48</definedName>
    <definedName name="TaxLevyPct">Inputs!$C$47</definedName>
    <definedName name="TaxPrepPerUnit">Inputs!$C$116</definedName>
    <definedName name="TaxProration">Disposition!$C$17</definedName>
    <definedName name="TaxProrationMonths">Inputs!$C$93</definedName>
    <definedName name="TaxValueAdjFactor">Inputs!$C$49</definedName>
    <definedName name="TaxYear1">Operating!$C$57</definedName>
    <definedName name="TaxYear1Override">Inputs!$C$51</definedName>
    <definedName name="TDC_Total">ConLoan!$C$39</definedName>
    <definedName name="TDCout">Returns!$C$26</definedName>
    <definedName name="TDCperSF">Returns!$C$28</definedName>
    <definedName name="TDCperUnit">Returns!$C$27</definedName>
    <definedName name="TotalUnits">UnitMatrix!$C$14</definedName>
    <definedName name="UnitsDeliveredPerMo">Inputs!$C$32</definedName>
    <definedName name="UnitsLeasedPerMo">Inputs!$C$33</definedName>
    <definedName name="UnlevDistros">CashFlow!$C$14</definedName>
    <definedName name="UnlevInvested">CashFlow!$C$13</definedName>
    <definedName name="UnlevIRR">Returns!$C$5</definedName>
    <definedName name="UnlevIRRgross">Returns!$C$15</definedName>
    <definedName name="UnlevMOIC">Returns!$C$7</definedName>
    <definedName name="UnlevMOICgross">Returns!$C$17</definedName>
    <definedName name="UnlevNetProfit">CashFlow!$C$15</definedName>
    <definedName name="UtilReimbPerUnitMo">Inputs!$C$102</definedName>
    <definedName name="ValueAtRefi">PermLoan!$C$5</definedName>
    <definedName name="Year1NOI">Operating!$C$49</definedName>
    <definedName name="YieldOnCost">Returns!$C$20</definedName>
    <definedName name="StabNOI_Untrended">'Proforma'!$G$35</definedName>
    <definedName name="StabNOIbt_Untrended">'Proforma'!$G$43</definedName>
    <definedName name="DeliveryLagMonths">'Inputs'!$C$120</definedName>
    <definedName name="Dur_OpenEscrow">'Inputs'!$C$121</definedName>
    <definedName name="Dur_DueDiligence">'Inputs'!$C$122</definedName>
    <definedName name="Dur_Entitlement">'Inputs'!$C$123</definedName>
    <definedName name="Dur_PreConstruction">'Inputs'!$C$124</definedName>
    <definedName name="Dur_InitialClosing">'Inputs'!$C$125</definedName>
    <definedName name="Dur_Construction">'Inputs'!$C$126</definedName>
    <definedName name="Dur_FirstUnitDelivery">'Inputs'!$C$127</definedName>
    <definedName name="Dur_Stabilization">'Inputs'!$C$128</definedName>
    <definedName name="Dur_Recap">'Inputs'!$C$129</definedName>
    <definedName name="Dur_Disposition">'Inputs'!$C$130</definedName>
    <definedName name="StaticTaxYear1">'Operating'!$C$77</definedName>
    <definedName name="TaxOpStartMonth">'Timeline'!$C$45</definedName>
    <definedName name="ErrorsFound">'Diagnostics'!$C$38</definedName>
    <definedName name="WarningsFound">'Diagnostics'!$C$39</definedName>
    <definedName name="LeaseUpIncomeOffset">'Inputs'!$F$31</definedName>
    <definedName name="TaxMethodValue">'Inputs'!$F$50</definedName>
    <definedName name="ReassessOnSale">'Inputs'!$F$52</definedName>
    <definedName name="FundingOrderPari">'Inputs'!$F$56</definedName>
    <definedName name="ConActual360">'Inputs'!$F$64</definedName>
    <definedName name="PermActual360">'Inputs'!$F$77</definedName>
    <definedName name="NoCashOut">'Inputs'!$F$81</definedName>
    <definedName name="TaxCapitalizeLeaseUp">'Inputs'!$F$135</definedName>
    <definedName name="InputSanityWarnings">'Inputs'!$E$142</definedName>
    <definedName name="SanityFlags">'Inputs'!$C$148</definedName>
    <definedName name="ConBinding">'ConLoan'!$C$21</definedName>
    <definedName name="PermBinding">'PermLoan'!$C$21</definedName>
    <definedName name="ScenarioSelect">'Scenarios'!$C$3</definedName>
    <definedName name="ScenarioNum">'Scenarios'!$C$4</definedName>
    <definedName name="SU_Check">'Annual'!$C$19</definedName>
    <definedName name="AnnualNOICheck">'Annual'!$C$36</definedName>
    <definedName name="_xlnm.Print_Titles" localSheetId="0">'Dashboard'!$1:$2</definedName>
    <definedName name="_xlnm.Print_Area" localSheetId="0">'Dashboard'!$B$1:$F$29</definedName>
    <definedName name="_xlnm.Print_Titles" localSheetId="1">'Scenarios'!$1:$1</definedName>
    <definedName name="_xlnm.Print_Area" localSheetId="1">'Scenarios'!$B$1:$F$16</definedName>
    <definedName name="_xlnm.Print_Titles" localSheetId="2">'Annual'!$1:$2</definedName>
    <definedName name="_xlnm.Print_Area" localSheetId="2">'Annual'!$B$1:$AG$40</definedName>
    <definedName name="_xlnm.Print_Titles" localSheetId="3">'Proforma'!$1:$2</definedName>
    <definedName name="_xlnm.Print_Area" localSheetId="3">'Proforma'!$B$1:$H$48</definedName>
    <definedName name="_xlnm.Print_Titles" localSheetId="16">'Diagnostics'!$1:$3</definedName>
    <definedName name="_xlnm.Print_Area" localSheetId="16">'Diagnostics'!$B$1:$G$42</definedName>
  </definedNames>
  <calcPr calcId="191029" fullCalcOnLoad="1" iterate="1"/>
</workbook>
</file>

<file path=xl/styles.xml><?xml version="1.0" encoding="utf-8"?>
<styleSheet xmlns="http://schemas.openxmlformats.org/spreadsheetml/2006/main">
  <numFmts count="18">
    <numFmt numFmtId="164" formatCode="#,##0&quot; mo&quot;"/>
    <numFmt numFmtId="165" formatCode="0.0%"/>
    <numFmt numFmtId="166" formatCode="\$#,##0;\(\$#,##0\)"/>
    <numFmt numFmtId="167" formatCode="0.00&quot;x&quot;"/>
    <numFmt numFmtId="168" formatCode="#,##0;\(#,##0\)"/>
    <numFmt numFmtId="169" formatCode="\$#,##0.00;\(\$#,##0.00\)"/>
    <numFmt numFmtId="170" formatCode="0.0000%"/>
    <numFmt numFmtId="171" formatCode="0.000%"/>
    <numFmt numFmtId="172" formatCode="#,##0&quot; bps&quot;"/>
    <numFmt numFmtId="173" formatCode="mmm\-yyyy"/>
    <numFmt numFmtId="174" formatCode="&quot;$&quot;#,##0"/>
    <numFmt numFmtId="175" formatCode="&quot;$&quot;#,##0.00"/>
    <numFmt numFmtId="176" formatCode="mmm-yyyy"/>
    <numFmt numFmtId="177" formatCode="$#,##0.00;($#,##0.00)"/>
    <numFmt numFmtId="178" formatCode="#,##0;(#,##0)"/>
    <numFmt numFmtId="179" formatCode="$#,##0"/>
    <numFmt numFmtId="180" formatCode="#,##0.0"/>
    <numFmt numFmtId="181" formatCode="$#,##0;($#,##0);&quot;–&quot;"/>
  </numFmts>
  <fonts count="23">
    <font>
      <name val="Calibri"/>
      <family val="2"/>
      <color theme="1"/>
      <sz val="11"/>
      <scheme val="minor"/>
    </font>
    <font>
      <name val="Calibri"/>
      <family val="2"/>
      <b val="1"/>
      <color rgb="FF1F3864"/>
      <sz val="16"/>
    </font>
    <font>
      <name val="Calibri"/>
      <family val="2"/>
      <i val="1"/>
      <color rgb="FF000000"/>
      <sz val="10"/>
    </font>
    <font>
      <name val="Calibri"/>
      <family val="2"/>
      <b val="1"/>
      <color rgb="FFFFFFFF"/>
      <sz val="11"/>
    </font>
    <font>
      <name val="Calibri"/>
      <family val="2"/>
      <color rgb="FF000000"/>
      <sz val="10"/>
    </font>
    <font>
      <name val="Calibri"/>
      <family val="2"/>
      <color rgb="FF0000CC"/>
      <sz val="10"/>
    </font>
    <font>
      <name val="Calibri"/>
      <family val="2"/>
      <b val="1"/>
      <color rgb="FF1F3864"/>
      <sz val="10"/>
    </font>
    <font>
      <name val="Calibri"/>
      <family val="2"/>
      <b val="1"/>
      <color rgb="FF000000"/>
      <sz val="10"/>
    </font>
    <font>
      <name val="Calibri"/>
      <family val="2"/>
      <color rgb="FF006100"/>
      <sz val="10"/>
    </font>
    <font>
      <name val="Calibri"/>
      <family val="2"/>
      <b val="1"/>
      <color rgb="FF006100"/>
      <sz val="10"/>
    </font>
    <font>
      <name val="Calibri"/>
      <family val="2"/>
      <sz val="10"/>
    </font>
    <font>
      <name val="Calibri"/>
      <family val="2"/>
      <color theme="1"/>
      <sz val="10"/>
      <scheme val="minor"/>
    </font>
    <font>
      <name val="Calibri"/>
      <color rgb="FF000000"/>
      <sz val="10"/>
    </font>
    <font>
      <name val="Calibri"/>
      <b val="1"/>
      <color rgb="FF1F3864"/>
      <sz val="16"/>
    </font>
    <font>
      <name val="Calibri"/>
      <i val="1"/>
      <color rgb="FF595959"/>
      <sz val="10"/>
    </font>
    <font>
      <name val="Calibri"/>
      <b val="1"/>
      <color rgb="FFFFFFFF"/>
      <sz val="11"/>
    </font>
    <font>
      <name val="Calibri"/>
      <color rgb="FF006100"/>
      <sz val="10"/>
    </font>
    <font>
      <name val="Calibri"/>
      <b val="1"/>
      <color rgb="FFFFFFFF"/>
      <sz val="9"/>
    </font>
    <font>
      <name val="Calibri"/>
      <b val="1"/>
      <color rgb="FF000000"/>
      <sz val="10"/>
    </font>
    <font>
      <name val="Calibri"/>
      <color rgb="FF0000CC"/>
      <sz val="10"/>
    </font>
    <font>
      <name val="Calibri"/>
      <color rgb="FF006100"/>
      <sz val="9"/>
    </font>
    <font>
      <name val="Calibri"/>
      <i val="1"/>
      <color rgb="FF595959"/>
      <sz val="9"/>
    </font>
    <font>
      <name val="Calibri"/>
      <b val="1"/>
      <color rgb="FF9C6500"/>
      <sz val="10"/>
    </font>
  </fonts>
  <fills count="1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DF3D0"/>
      </patternFill>
    </fill>
    <fill>
      <patternFill patternType="solid">
        <fgColor rgb="FFD6DCE4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2E5496"/>
      </patternFill>
    </fill>
    <fill>
      <patternFill patternType="solid">
        <fgColor rgb="FFF2F2F2"/>
      </patternFill>
    </fill>
    <fill>
      <patternFill patternType="solid">
        <fgColor rgb="FFF7F7F7"/>
      </patternFill>
    </fill>
  </fills>
  <borders count="1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top style="thin">
        <color rgb="FF808080"/>
      </top>
    </border>
    <border/>
  </borders>
  <cellStyleXfs count="1">
    <xf numFmtId="0" fontId="0" fillId="0" borderId="0"/>
  </cellStyleXfs>
  <cellXfs count="37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49" fontId="5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0" fillId="4" borderId="0" pivotButton="0" quotePrefix="0" xfId="0"/>
    <xf numFmtId="3" fontId="8" fillId="0" borderId="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right" vertical="center"/>
    </xf>
    <xf numFmtId="169" fontId="5" fillId="3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0" fontId="6" fillId="0" borderId="0" pivotButton="0" quotePrefix="0" xfId="0"/>
    <xf numFmtId="164" fontId="4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17" fontId="2" fillId="0" borderId="0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71" fontId="8" fillId="0" borderId="0" applyAlignment="1" pivotButton="0" quotePrefix="0" xfId="0">
      <alignment horizontal="right" vertical="center"/>
    </xf>
    <xf numFmtId="49" fontId="8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0" fontId="0" fillId="2" borderId="3" pivotButton="0" quotePrefix="0" xfId="0"/>
    <xf numFmtId="0" fontId="4" fillId="0" borderId="4" applyAlignment="1" pivotButton="0" quotePrefix="0" xfId="0">
      <alignment horizontal="left" vertical="center"/>
    </xf>
    <xf numFmtId="3" fontId="8" fillId="0" borderId="5" applyAlignment="1" pivotButton="0" quotePrefix="0" xfId="0">
      <alignment horizontal="right" vertical="center"/>
    </xf>
    <xf numFmtId="164" fontId="8" fillId="0" borderId="5" applyAlignment="1" pivotButton="0" quotePrefix="0" xfId="0">
      <alignment horizontal="right" vertical="center"/>
    </xf>
    <xf numFmtId="49" fontId="8" fillId="0" borderId="5" applyAlignment="1" pivotButton="0" quotePrefix="0" xfId="0">
      <alignment horizontal="right" vertical="center"/>
    </xf>
    <xf numFmtId="0" fontId="4" fillId="0" borderId="6" applyAlignment="1" pivotButton="0" quotePrefix="0" xfId="0">
      <alignment horizontal="left" vertical="center"/>
    </xf>
    <xf numFmtId="164" fontId="8" fillId="0" borderId="7" applyAlignment="1" pivotButton="0" quotePrefix="0" xfId="0">
      <alignment horizontal="right" vertical="center"/>
    </xf>
    <xf numFmtId="10" fontId="9" fillId="0" borderId="5" applyAlignment="1" pivotButton="0" quotePrefix="0" xfId="0">
      <alignment horizontal="right" vertical="center"/>
    </xf>
    <xf numFmtId="167" fontId="9" fillId="0" borderId="5" applyAlignment="1" pivotButton="0" quotePrefix="0" xfId="0">
      <alignment horizontal="right" vertical="center"/>
    </xf>
    <xf numFmtId="167" fontId="9" fillId="0" borderId="7" applyAlignment="1" pivotButton="0" quotePrefix="0" xfId="0">
      <alignment horizontal="right" vertical="center"/>
    </xf>
    <xf numFmtId="10" fontId="8" fillId="0" borderId="5" applyAlignment="1" pivotButton="0" quotePrefix="0" xfId="0">
      <alignment horizontal="right" vertical="center"/>
    </xf>
    <xf numFmtId="172" fontId="8" fillId="0" borderId="5" applyAlignment="1" pivotButton="0" quotePrefix="0" xfId="0">
      <alignment horizontal="right" vertical="center"/>
    </xf>
    <xf numFmtId="168" fontId="8" fillId="0" borderId="5" applyAlignment="1" pivotButton="0" quotePrefix="0" xfId="0">
      <alignment horizontal="right" vertical="center"/>
    </xf>
    <xf numFmtId="166" fontId="8" fillId="0" borderId="5" applyAlignment="1" pivotButton="0" quotePrefix="0" xfId="0">
      <alignment horizontal="right" vertical="center"/>
    </xf>
    <xf numFmtId="166" fontId="8" fillId="0" borderId="7" applyAlignment="1" pivotButton="0" quotePrefix="0" xfId="0">
      <alignment horizontal="right" vertical="center"/>
    </xf>
    <xf numFmtId="0" fontId="7" fillId="0" borderId="4" applyAlignment="1" pivotButton="0" quotePrefix="0" xfId="0">
      <alignment horizontal="left" vertical="center"/>
    </xf>
    <xf numFmtId="168" fontId="9" fillId="5" borderId="5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  <xf numFmtId="168" fontId="8" fillId="0" borderId="7" applyAlignment="1" pivotButton="0" quotePrefix="0" xfId="0">
      <alignment horizontal="right" vertical="center"/>
    </xf>
    <xf numFmtId="167" fontId="8" fillId="0" borderId="5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0" fontId="7" fillId="0" borderId="6" applyAlignment="1" pivotButton="0" quotePrefix="0" xfId="0">
      <alignment horizontal="left" vertical="center"/>
    </xf>
    <xf numFmtId="49" fontId="9" fillId="6" borderId="7" applyAlignment="1" pivotButton="0" quotePrefix="0" xfId="0">
      <alignment horizontal="right" vertical="center"/>
    </xf>
    <xf numFmtId="10" fontId="10" fillId="0" borderId="1" applyAlignment="1" pivotButton="0" quotePrefix="0" xfId="0">
      <alignment horizontal="right" vertical="center"/>
    </xf>
    <xf numFmtId="0" fontId="0" fillId="2" borderId="8" pivotButton="0" quotePrefix="0" xfId="0"/>
    <xf numFmtId="0" fontId="2" fillId="0" borderId="5" applyAlignment="1" pivotButton="0" quotePrefix="0" xfId="0">
      <alignment horizontal="left" vertical="center"/>
    </xf>
    <xf numFmtId="173" fontId="5" fillId="3" borderId="9" applyAlignment="1" pivotButton="0" quotePrefix="0" xfId="0">
      <alignment horizontal="right" vertical="center"/>
    </xf>
    <xf numFmtId="0" fontId="2" fillId="0" borderId="7" applyAlignment="1" pivotButton="0" quotePrefix="0" xfId="0">
      <alignment horizontal="left" vertical="center"/>
    </xf>
    <xf numFmtId="0" fontId="0" fillId="0" borderId="3" pivotButton="0" quotePrefix="0" xfId="0"/>
    <xf numFmtId="165" fontId="5" fillId="3" borderId="9" applyAlignment="1" pivotButton="0" quotePrefix="0" xfId="0">
      <alignment horizontal="right" vertical="center"/>
    </xf>
    <xf numFmtId="0" fontId="0" fillId="0" borderId="7" pivotButton="0" quotePrefix="0" xfId="0"/>
    <xf numFmtId="166" fontId="5" fillId="3" borderId="9" applyAlignment="1" pivotButton="0" quotePrefix="0" xfId="0">
      <alignment horizontal="right" vertical="center"/>
    </xf>
    <xf numFmtId="10" fontId="5" fillId="3" borderId="9" applyAlignment="1" pivotButton="0" quotePrefix="0" xfId="0">
      <alignment horizontal="right" vertical="center"/>
    </xf>
    <xf numFmtId="3" fontId="5" fillId="3" borderId="9" applyAlignment="1" pivotButton="0" quotePrefix="0" xfId="0">
      <alignment horizontal="right" vertical="center"/>
    </xf>
    <xf numFmtId="164" fontId="5" fillId="3" borderId="9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0" fillId="4" borderId="8" pivotButton="0" quotePrefix="0" xfId="0"/>
    <xf numFmtId="0" fontId="6" fillId="0" borderId="4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0" fontId="6" fillId="0" borderId="5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8" fontId="4" fillId="0" borderId="5" applyAlignment="1" pivotButton="0" quotePrefix="0" xfId="0">
      <alignment horizontal="right" vertical="center"/>
    </xf>
    <xf numFmtId="168" fontId="8" fillId="0" borderId="10" applyAlignment="1" pivotButton="0" quotePrefix="0" xfId="0">
      <alignment horizontal="right" vertical="center"/>
    </xf>
    <xf numFmtId="0" fontId="0" fillId="0" borderId="10" pivotButton="0" quotePrefix="0" xfId="0"/>
    <xf numFmtId="0" fontId="0" fillId="4" borderId="3" pivotButton="0" quotePrefix="0" xfId="0"/>
    <xf numFmtId="0" fontId="6" fillId="4" borderId="8" applyAlignment="1" pivotButton="0" quotePrefix="0" xfId="0">
      <alignment horizontal="left" vertical="center"/>
    </xf>
    <xf numFmtId="0" fontId="6" fillId="4" borderId="8" applyAlignment="1" pivotButton="0" quotePrefix="0" xfId="0">
      <alignment horizontal="right" vertical="center"/>
    </xf>
    <xf numFmtId="0" fontId="6" fillId="4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5" fontId="4" fillId="0" borderId="5" applyAlignment="1" pivotButton="0" quotePrefix="0" xfId="0">
      <alignment horizontal="right" vertical="center"/>
    </xf>
    <xf numFmtId="3" fontId="7" fillId="5" borderId="1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69" fontId="4" fillId="0" borderId="5" applyAlignment="1" pivotButton="0" quotePrefix="0" xfId="0">
      <alignment horizontal="right" vertical="center"/>
    </xf>
    <xf numFmtId="0" fontId="4" fillId="0" borderId="10" applyAlignment="1" pivotButton="0" quotePrefix="0" xfId="0">
      <alignment horizontal="left" vertical="center"/>
    </xf>
    <xf numFmtId="49" fontId="5" fillId="3" borderId="9" applyAlignment="1" pivotButton="0" quotePrefix="0" xfId="0">
      <alignment horizontal="left" vertical="center"/>
    </xf>
    <xf numFmtId="168" fontId="5" fillId="3" borderId="9" applyAlignment="1" pivotButton="0" quotePrefix="0" xfId="0">
      <alignment horizontal="right" vertical="center"/>
    </xf>
    <xf numFmtId="168" fontId="4" fillId="0" borderId="10" applyAlignment="1" pivotButton="0" quotePrefix="0" xfId="0">
      <alignment horizontal="right" vertical="center"/>
    </xf>
    <xf numFmtId="169" fontId="4" fillId="0" borderId="7" applyAlignment="1" pivotButton="0" quotePrefix="0" xfId="0">
      <alignment horizontal="right" vertical="center"/>
    </xf>
    <xf numFmtId="0" fontId="0" fillId="0" borderId="0" pivotButton="0" quotePrefix="0" xfId="0"/>
    <xf numFmtId="174" fontId="4" fillId="0" borderId="0" applyAlignment="1" pivotButton="0" quotePrefix="0" xfId="0">
      <alignment horizontal="right" vertical="center"/>
    </xf>
    <xf numFmtId="174" fontId="4" fillId="0" borderId="10" applyAlignment="1" pivotButton="0" quotePrefix="0" xfId="0">
      <alignment horizontal="right" vertical="center"/>
    </xf>
    <xf numFmtId="0" fontId="0" fillId="4" borderId="0" pivotButton="0" quotePrefix="0" xfId="0"/>
    <xf numFmtId="174" fontId="9" fillId="0" borderId="0" applyAlignment="1" pivotButton="0" quotePrefix="0" xfId="0">
      <alignment horizontal="right" vertical="center"/>
    </xf>
    <xf numFmtId="37" fontId="7" fillId="5" borderId="10" applyAlignment="1" pivotButton="0" quotePrefix="0" xfId="0">
      <alignment horizontal="right" vertical="center"/>
    </xf>
    <xf numFmtId="175" fontId="7" fillId="5" borderId="10" applyAlignment="1" pivotButton="0" quotePrefix="0" xfId="0">
      <alignment horizontal="right" vertical="center"/>
    </xf>
    <xf numFmtId="174" fontId="7" fillId="5" borderId="10" applyAlignment="1" pivotButton="0" quotePrefix="0" xfId="0">
      <alignment horizontal="right" vertical="center"/>
    </xf>
    <xf numFmtId="165" fontId="11" fillId="0" borderId="7" pivotButton="0" quotePrefix="0" xfId="0"/>
    <xf numFmtId="0" fontId="0" fillId="0" borderId="8" pivotButton="0" quotePrefix="0" xfId="0"/>
    <xf numFmtId="0" fontId="0" fillId="0" borderId="8" pivotButton="0" quotePrefix="0" xfId="0"/>
    <xf numFmtId="174" fontId="9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74" fontId="9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0" fontId="6" fillId="0" borderId="2" pivotButton="0" quotePrefix="0" xfId="0"/>
    <xf numFmtId="0" fontId="6" fillId="0" borderId="8" applyAlignment="1" pivotButton="0" quotePrefix="0" xfId="0">
      <alignment horizontal="right" vertical="center"/>
    </xf>
    <xf numFmtId="164" fontId="4" fillId="0" borderId="5" applyAlignment="1" pivotButton="0" quotePrefix="0" xfId="0">
      <alignment horizontal="right" vertical="center"/>
    </xf>
    <xf numFmtId="164" fontId="8" fillId="0" borderId="10" applyAlignment="1" pivotButton="0" quotePrefix="0" xfId="0">
      <alignment horizontal="right" vertical="center"/>
    </xf>
    <xf numFmtId="164" fontId="10" fillId="0" borderId="9" applyAlignment="1" pivotButton="0" quotePrefix="0" xfId="0">
      <alignment horizontal="right" vertical="center"/>
    </xf>
    <xf numFmtId="164" fontId="4" fillId="0" borderId="7" applyAlignment="1" pivotButton="0" quotePrefix="0" xfId="0">
      <alignment horizontal="right" vertical="center"/>
    </xf>
    <xf numFmtId="0" fontId="6" fillId="4" borderId="8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/>
    </xf>
    <xf numFmtId="164" fontId="9" fillId="0" borderId="5" applyAlignment="1" pivotButton="0" quotePrefix="0" xfId="0">
      <alignment horizontal="right" vertical="center"/>
    </xf>
    <xf numFmtId="164" fontId="9" fillId="0" borderId="7" applyAlignment="1" pivotButton="0" quotePrefix="0" xfId="0">
      <alignment horizontal="right" vertical="center"/>
    </xf>
    <xf numFmtId="0" fontId="6" fillId="0" borderId="4" pivotButton="0" quotePrefix="0" xfId="0"/>
    <xf numFmtId="0" fontId="2" fillId="0" borderId="4" pivotButton="0" quotePrefix="0" xfId="0"/>
    <xf numFmtId="3" fontId="7" fillId="0" borderId="5" applyAlignment="1" pivotButton="0" quotePrefix="0" xfId="0">
      <alignment horizontal="right" vertical="center"/>
    </xf>
    <xf numFmtId="3" fontId="7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3" applyAlignment="1" pivotButton="0" quotePrefix="0" xfId="0">
      <alignment horizontal="right" vertical="center"/>
    </xf>
    <xf numFmtId="17" fontId="2" fillId="0" borderId="0" applyAlignment="1" pivotButton="0" quotePrefix="0" xfId="0">
      <alignment horizontal="right" vertical="center"/>
    </xf>
    <xf numFmtId="17" fontId="2" fillId="0" borderId="5" applyAlignment="1" pivotButton="0" quotePrefix="0" xfId="0">
      <alignment horizontal="right" vertical="center"/>
    </xf>
    <xf numFmtId="174" fontId="7" fillId="5" borderId="0" applyAlignment="1" pivotButton="0" quotePrefix="0" xfId="0">
      <alignment horizontal="right" vertical="center"/>
    </xf>
    <xf numFmtId="174" fontId="4" fillId="0" borderId="5" applyAlignment="1" pivotButton="0" quotePrefix="0" xfId="0">
      <alignment horizontal="right" vertical="center"/>
    </xf>
    <xf numFmtId="174" fontId="0" fillId="0" borderId="0" pivotButton="0" quotePrefix="0" xfId="0"/>
    <xf numFmtId="174" fontId="0" fillId="0" borderId="5" pivotButton="0" quotePrefix="0" xfId="0"/>
    <xf numFmtId="174" fontId="7" fillId="0" borderId="0" applyAlignment="1" pivotButton="0" quotePrefix="0" xfId="0">
      <alignment horizontal="right" vertical="center"/>
    </xf>
    <xf numFmtId="174" fontId="7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68" fontId="7" fillId="0" borderId="5" applyAlignment="1" pivotButton="0" quotePrefix="0" xfId="0">
      <alignment horizontal="right" vertical="center"/>
    </xf>
    <xf numFmtId="168" fontId="4" fillId="0" borderId="7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horizontal="right" vertical="center"/>
    </xf>
    <xf numFmtId="168" fontId="9" fillId="0" borderId="10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49" fontId="4" fillId="0" borderId="10" applyAlignment="1" pivotButton="0" quotePrefix="0" xfId="0">
      <alignment horizontal="right" vertical="center"/>
    </xf>
    <xf numFmtId="168" fontId="7" fillId="5" borderId="5" applyAlignment="1" pivotButton="0" quotePrefix="0" xfId="0">
      <alignment horizontal="right" vertical="center"/>
    </xf>
    <xf numFmtId="170" fontId="7" fillId="0" borderId="5" applyAlignment="1" pivotButton="0" quotePrefix="0" xfId="0">
      <alignment horizontal="right" vertical="center"/>
    </xf>
    <xf numFmtId="168" fontId="7" fillId="0" borderId="7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10" fontId="9" fillId="5" borderId="10" applyAlignment="1" pivotButton="0" quotePrefix="0" xfId="0">
      <alignment horizontal="right" vertical="center"/>
    </xf>
    <xf numFmtId="165" fontId="7" fillId="0" borderId="7" applyAlignment="1" pivotButton="0" quotePrefix="0" xfId="0">
      <alignment horizontal="right" vertical="center"/>
    </xf>
    <xf numFmtId="3" fontId="4" fillId="0" borderId="10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3" fillId="2" borderId="4" applyAlignment="1" pivotButton="0" quotePrefix="0" xfId="0">
      <alignment horizontal="left" vertical="center"/>
    </xf>
    <xf numFmtId="0" fontId="0" fillId="2" borderId="0" pivotButton="0" quotePrefix="0" xfId="0"/>
    <xf numFmtId="4" fontId="7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4" fontId="4" fillId="0" borderId="5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168" fontId="7" fillId="0" borderId="0" applyAlignment="1" pivotButton="0" quotePrefix="0" xfId="0">
      <alignment horizontal="right" vertical="center"/>
    </xf>
    <xf numFmtId="168" fontId="7" fillId="5" borderId="10" applyAlignment="1" pivotButton="0" quotePrefix="0" xfId="0">
      <alignment horizontal="right" vertical="center"/>
    </xf>
    <xf numFmtId="167" fontId="4" fillId="0" borderId="10" applyAlignment="1" pivotButton="0" quotePrefix="0" xfId="0">
      <alignment horizontal="right" vertical="center"/>
    </xf>
    <xf numFmtId="168" fontId="9" fillId="5" borderId="10" applyAlignment="1" pivotButton="0" quotePrefix="0" xfId="0">
      <alignment horizontal="right" vertical="center"/>
    </xf>
    <xf numFmtId="168" fontId="7" fillId="0" borderId="1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67" fontId="9" fillId="0" borderId="10" applyAlignment="1" pivotButton="0" quotePrefix="0" xfId="0">
      <alignment horizontal="right" vertical="center"/>
    </xf>
    <xf numFmtId="0" fontId="6" fillId="4" borderId="4" applyAlignment="1" pivotButton="0" quotePrefix="0" xfId="0">
      <alignment horizontal="left" vertical="center"/>
    </xf>
    <xf numFmtId="0" fontId="0" fillId="4" borderId="5" pivotButton="0" quotePrefix="0" xfId="0"/>
    <xf numFmtId="172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9" fillId="0" borderId="10" applyAlignment="1" pivotButton="0" quotePrefix="0" xfId="0">
      <alignment horizontal="right" vertical="center"/>
    </xf>
    <xf numFmtId="49" fontId="4" fillId="0" borderId="5" applyAlignment="1" pivotButton="0" quotePrefix="0" xfId="0">
      <alignment horizontal="center" vertical="center"/>
    </xf>
    <xf numFmtId="49" fontId="4" fillId="0" borderId="7" applyAlignment="1" pivotButton="0" quotePrefix="0" xfId="0">
      <alignment horizontal="center" vertical="center"/>
    </xf>
    <xf numFmtId="3" fontId="7" fillId="0" borderId="0" applyAlignment="1" pivotButton="0" quotePrefix="0" xfId="0">
      <alignment horizontal="right" vertical="center"/>
    </xf>
    <xf numFmtId="49" fontId="7" fillId="0" borderId="10" applyAlignment="1" pivotButton="0" quotePrefix="0" xfId="0">
      <alignment horizontal="right" vertical="center"/>
    </xf>
    <xf numFmtId="164" fontId="8" fillId="0" borderId="5" applyAlignment="1" pivotButton="0" quotePrefix="0" xfId="0">
      <alignment horizontal="right" vertical="center"/>
    </xf>
    <xf numFmtId="167" fontId="9" fillId="0" borderId="5" applyAlignment="1" pivotButton="0" quotePrefix="0" xfId="0">
      <alignment horizontal="right" vertical="center"/>
    </xf>
    <xf numFmtId="164" fontId="8" fillId="0" borderId="7" applyAlignment="1" pivotButton="0" quotePrefix="0" xfId="0">
      <alignment horizontal="right" vertical="center"/>
    </xf>
    <xf numFmtId="167" fontId="9" fillId="0" borderId="7" applyAlignment="1" pivotButton="0" quotePrefix="0" xfId="0">
      <alignment horizontal="right" vertical="center"/>
    </xf>
    <xf numFmtId="168" fontId="8" fillId="0" borderId="5" applyAlignment="1" pivotButton="0" quotePrefix="0" xfId="0">
      <alignment horizontal="right" vertical="center"/>
    </xf>
    <xf numFmtId="172" fontId="8" fillId="0" borderId="5" applyAlignment="1" pivotButton="0" quotePrefix="0" xfId="0">
      <alignment horizontal="right" vertical="center"/>
    </xf>
    <xf numFmtId="166" fontId="8" fillId="0" borderId="5" applyAlignment="1" pivotButton="0" quotePrefix="0" xfId="0">
      <alignment horizontal="right" vertical="center"/>
    </xf>
    <xf numFmtId="168" fontId="9" fillId="5" borderId="5" applyAlignment="1" pivotButton="0" quotePrefix="0" xfId="0">
      <alignment horizontal="right" vertical="center"/>
    </xf>
    <xf numFmtId="166" fontId="8" fillId="0" borderId="7" applyAlignment="1" pivotButton="0" quotePrefix="0" xfId="0">
      <alignment horizontal="right" vertical="center"/>
    </xf>
    <xf numFmtId="168" fontId="8" fillId="0" borderId="7" applyAlignment="1" pivotButton="0" quotePrefix="0" xfId="0">
      <alignment horizontal="right" vertical="center"/>
    </xf>
    <xf numFmtId="167" fontId="8" fillId="0" borderId="5" applyAlignment="1" pivotButton="0" quotePrefix="0" xfId="0">
      <alignment horizontal="right" vertical="center"/>
    </xf>
    <xf numFmtId="0" fontId="13" fillId="0" borderId="0" pivotButton="0" quotePrefix="0" xfId="0"/>
    <xf numFmtId="0" fontId="14" fillId="0" borderId="0" pivotButton="0" quotePrefix="0" xfId="0"/>
    <xf numFmtId="0" fontId="15" fillId="2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3" fontId="16" fillId="0" borderId="0" applyAlignment="1" pivotButton="0" quotePrefix="0" xfId="0">
      <alignment horizontal="right"/>
    </xf>
    <xf numFmtId="49" fontId="16" fillId="0" borderId="0" applyAlignment="1" pivotButton="0" quotePrefix="0" xfId="0">
      <alignment horizontal="right"/>
    </xf>
    <xf numFmtId="10" fontId="16" fillId="0" borderId="0" applyAlignment="1" pivotButton="0" quotePrefix="0" xfId="0">
      <alignment horizontal="right"/>
    </xf>
    <xf numFmtId="176" fontId="16" fillId="0" borderId="0" applyAlignment="1" pivotButton="0" quotePrefix="0" xfId="0">
      <alignment horizontal="right"/>
    </xf>
    <xf numFmtId="0" fontId="17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right"/>
    </xf>
    <xf numFmtId="177" fontId="12" fillId="0" borderId="0" applyAlignment="1" pivotButton="0" quotePrefix="0" xfId="0">
      <alignment horizontal="right"/>
    </xf>
    <xf numFmtId="178" fontId="12" fillId="0" borderId="0" applyAlignment="1" pivotButton="0" quotePrefix="0" xfId="0">
      <alignment horizontal="right"/>
    </xf>
    <xf numFmtId="179" fontId="16" fillId="0" borderId="0" applyAlignment="1" pivotButton="0" quotePrefix="0" xfId="0">
      <alignment horizontal="right"/>
    </xf>
    <xf numFmtId="0" fontId="18" fillId="5" borderId="11" applyAlignment="1" pivotButton="0" quotePrefix="0" xfId="0">
      <alignment horizontal="left"/>
    </xf>
    <xf numFmtId="0" fontId="0" fillId="5" borderId="11" pivotButton="0" quotePrefix="0" xfId="0"/>
    <xf numFmtId="177" fontId="18" fillId="5" borderId="11" applyAlignment="1" pivotButton="0" quotePrefix="0" xfId="0">
      <alignment horizontal="right"/>
    </xf>
    <xf numFmtId="178" fontId="18" fillId="5" borderId="11" applyAlignment="1" pivotButton="0" quotePrefix="0" xfId="0">
      <alignment horizontal="right"/>
    </xf>
    <xf numFmtId="0" fontId="18" fillId="9" borderId="11" applyAlignment="1" pivotButton="0" quotePrefix="0" xfId="0">
      <alignment horizontal="left"/>
    </xf>
    <xf numFmtId="0" fontId="18" fillId="9" borderId="11" pivotButton="0" quotePrefix="0" xfId="0"/>
    <xf numFmtId="177" fontId="18" fillId="9" borderId="11" applyAlignment="1" pivotButton="0" quotePrefix="0" xfId="0">
      <alignment horizontal="right"/>
    </xf>
    <xf numFmtId="178" fontId="18" fillId="9" borderId="11" applyAlignment="1" pivotButton="0" quotePrefix="0" xfId="0">
      <alignment horizontal="right"/>
    </xf>
    <xf numFmtId="0" fontId="18" fillId="0" borderId="0" applyAlignment="1" pivotButton="0" quotePrefix="0" xfId="0">
      <alignment horizontal="center"/>
    </xf>
    <xf numFmtId="173" fontId="5" fillId="3" borderId="9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5" fontId="5" fillId="3" borderId="9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166" fontId="5" fillId="3" borderId="9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164" fontId="5" fillId="3" borderId="9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5" fontId="4" fillId="0" borderId="5" applyAlignment="1" pivotButton="0" quotePrefix="0" xfId="0">
      <alignment horizontal="right" vertical="center"/>
    </xf>
    <xf numFmtId="174" fontId="7" fillId="5" borderId="10" applyAlignment="1" pivotButton="0" quotePrefix="0" xfId="0">
      <alignment horizontal="right" vertical="center"/>
    </xf>
    <xf numFmtId="175" fontId="7" fillId="5" borderId="10" applyAlignment="1" pivotButton="0" quotePrefix="0" xfId="0">
      <alignment horizontal="right" vertical="center"/>
    </xf>
    <xf numFmtId="165" fontId="11" fillId="0" borderId="7" pivotButton="0" quotePrefix="0" xfId="0"/>
    <xf numFmtId="169" fontId="5" fillId="3" borderId="1" applyAlignment="1" pivotButton="0" quotePrefix="0" xfId="0">
      <alignment horizontal="right" vertical="center"/>
    </xf>
    <xf numFmtId="168" fontId="4" fillId="0" borderId="5" applyAlignment="1" pivotButton="0" quotePrefix="0" xfId="0">
      <alignment horizontal="right" vertical="center"/>
    </xf>
    <xf numFmtId="168" fontId="8" fillId="0" borderId="1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74" fontId="4" fillId="0" borderId="0" applyAlignment="1" pivotButton="0" quotePrefix="0" xfId="0">
      <alignment horizontal="right" vertical="center"/>
    </xf>
    <xf numFmtId="169" fontId="4" fillId="0" borderId="5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168" fontId="5" fillId="3" borderId="9" applyAlignment="1" pivotButton="0" quotePrefix="0" xfId="0">
      <alignment horizontal="right" vertical="center"/>
    </xf>
    <xf numFmtId="174" fontId="4" fillId="0" borderId="10" applyAlignment="1" pivotButton="0" quotePrefix="0" xfId="0">
      <alignment horizontal="right" vertical="center"/>
    </xf>
    <xf numFmtId="169" fontId="4" fillId="0" borderId="7" applyAlignment="1" pivotButton="0" quotePrefix="0" xfId="0">
      <alignment horizontal="right" vertical="center"/>
    </xf>
    <xf numFmtId="174" fontId="9" fillId="0" borderId="0" applyAlignment="1" pivotButton="0" quotePrefix="0" xfId="0">
      <alignment horizontal="right" vertical="center"/>
    </xf>
    <xf numFmtId="174" fontId="9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74" fontId="9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164" fontId="4" fillId="0" borderId="5" applyAlignment="1" pivotButton="0" quotePrefix="0" xfId="0">
      <alignment horizontal="right" vertical="center"/>
    </xf>
    <xf numFmtId="3" fontId="12" fillId="7" borderId="1" applyAlignment="1" pivotButton="0" quotePrefix="0" xfId="0">
      <alignment horizontal="right" vertical="center"/>
    </xf>
    <xf numFmtId="164" fontId="8" fillId="0" borderId="10" applyAlignment="1" pivotButton="0" quotePrefix="0" xfId="0">
      <alignment horizontal="right" vertical="center"/>
    </xf>
    <xf numFmtId="164" fontId="10" fillId="0" borderId="9" applyAlignment="1" pivotButton="0" quotePrefix="0" xfId="0">
      <alignment horizontal="right" vertical="center"/>
    </xf>
    <xf numFmtId="164" fontId="4" fillId="0" borderId="7" applyAlignment="1" pivotButton="0" quotePrefix="0" xfId="0">
      <alignment horizontal="right" vertical="center"/>
    </xf>
    <xf numFmtId="164" fontId="9" fillId="0" borderId="5" applyAlignment="1" pivotButton="0" quotePrefix="0" xfId="0">
      <alignment horizontal="right" vertical="center"/>
    </xf>
    <xf numFmtId="164" fontId="9" fillId="0" borderId="7" applyAlignment="1" pivotButton="0" quotePrefix="0" xfId="0">
      <alignment horizontal="right" vertical="center"/>
    </xf>
    <xf numFmtId="174" fontId="7" fillId="5" borderId="0" applyAlignment="1" pivotButton="0" quotePrefix="0" xfId="0">
      <alignment horizontal="right" vertical="center"/>
    </xf>
    <xf numFmtId="174" fontId="4" fillId="0" borderId="5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174" fontId="0" fillId="0" borderId="0" pivotButton="0" quotePrefix="0" xfId="0"/>
    <xf numFmtId="174" fontId="0" fillId="0" borderId="5" pivotButton="0" quotePrefix="0" xfId="0"/>
    <xf numFmtId="174" fontId="7" fillId="0" borderId="0" applyAlignment="1" pivotButton="0" quotePrefix="0" xfId="0">
      <alignment horizontal="right" vertical="center"/>
    </xf>
    <xf numFmtId="174" fontId="7" fillId="0" borderId="5" applyAlignment="1" pivotButton="0" quotePrefix="0" xfId="0">
      <alignment horizontal="right" vertical="center"/>
    </xf>
    <xf numFmtId="168" fontId="7" fillId="0" borderId="5" applyAlignment="1" pivotButton="0" quotePrefix="0" xfId="0">
      <alignment horizontal="right" vertical="center"/>
    </xf>
    <xf numFmtId="168" fontId="4" fillId="0" borderId="7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68" fontId="9" fillId="0" borderId="1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7" fillId="5" borderId="5" applyAlignment="1" pivotButton="0" quotePrefix="0" xfId="0">
      <alignment horizontal="right" vertical="center"/>
    </xf>
    <xf numFmtId="170" fontId="7" fillId="0" borderId="5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68" fontId="7" fillId="0" borderId="7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168" fontId="4" fillId="0" borderId="10" applyAlignment="1" pivotButton="0" quotePrefix="0" xfId="0">
      <alignment horizontal="right" vertical="center"/>
    </xf>
    <xf numFmtId="165" fontId="7" fillId="0" borderId="7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168" fontId="7" fillId="0" borderId="0" applyAlignment="1" pivotButton="0" quotePrefix="0" xfId="0">
      <alignment horizontal="right" vertical="center"/>
    </xf>
    <xf numFmtId="168" fontId="7" fillId="5" borderId="10" applyAlignment="1" pivotButton="0" quotePrefix="0" xfId="0">
      <alignment horizontal="right" vertical="center"/>
    </xf>
    <xf numFmtId="171" fontId="8" fillId="0" borderId="0" applyAlignment="1" pivotButton="0" quotePrefix="0" xfId="0">
      <alignment horizontal="right" vertical="center"/>
    </xf>
    <xf numFmtId="167" fontId="4" fillId="0" borderId="10" applyAlignment="1" pivotButton="0" quotePrefix="0" xfId="0">
      <alignment horizontal="right" vertical="center"/>
    </xf>
    <xf numFmtId="168" fontId="9" fillId="5" borderId="10" applyAlignment="1" pivotButton="0" quotePrefix="0" xfId="0">
      <alignment horizontal="right" vertical="center"/>
    </xf>
    <xf numFmtId="168" fontId="7" fillId="0" borderId="1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67" fontId="9" fillId="0" borderId="10" applyAlignment="1" pivotButton="0" quotePrefix="0" xfId="0">
      <alignment horizontal="right" vertical="center"/>
    </xf>
    <xf numFmtId="172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9" fillId="0" borderId="10" applyAlignment="1" pivotButton="0" quotePrefix="0" xfId="0">
      <alignment horizontal="right" vertical="center"/>
    </xf>
    <xf numFmtId="171" fontId="16" fillId="0" borderId="0" applyAlignment="1" pivotButton="0" quotePrefix="0" xfId="0">
      <alignment horizontal="right"/>
    </xf>
    <xf numFmtId="177" fontId="12" fillId="0" borderId="0" applyAlignment="1" pivotButton="0" quotePrefix="0" xfId="0">
      <alignment horizontal="right"/>
    </xf>
    <xf numFmtId="178" fontId="12" fillId="0" borderId="0" applyAlignment="1" pivotButton="0" quotePrefix="0" xfId="0">
      <alignment horizontal="right"/>
    </xf>
    <xf numFmtId="178" fontId="12" fillId="10" borderId="0" applyAlignment="1" pivotButton="0" quotePrefix="0" xfId="0">
      <alignment horizontal="right"/>
    </xf>
    <xf numFmtId="177" fontId="18" fillId="5" borderId="11" applyAlignment="1" pivotButton="0" quotePrefix="0" xfId="0">
      <alignment horizontal="right"/>
    </xf>
    <xf numFmtId="178" fontId="18" fillId="5" borderId="11" applyAlignment="1" pivotButton="0" quotePrefix="0" xfId="0">
      <alignment horizontal="right"/>
    </xf>
    <xf numFmtId="177" fontId="18" fillId="9" borderId="11" applyAlignment="1" pivotButton="0" quotePrefix="0" xfId="0">
      <alignment horizontal="right"/>
    </xf>
    <xf numFmtId="178" fontId="18" fillId="9" borderId="11" applyAlignment="1" pivotButton="0" quotePrefix="0" xfId="0">
      <alignment horizontal="right"/>
    </xf>
    <xf numFmtId="171" fontId="12" fillId="0" borderId="0" applyAlignment="1" pivotButton="0" quotePrefix="0" xfId="0">
      <alignment horizontal="right"/>
    </xf>
    <xf numFmtId="3" fontId="19" fillId="3" borderId="1" applyAlignment="1" pivotButton="0" quotePrefix="0" xfId="0">
      <alignment horizontal="right" vertical="center"/>
    </xf>
    <xf numFmtId="3" fontId="19" fillId="3" borderId="0" applyAlignment="1" pivotButton="0" quotePrefix="0" xfId="0">
      <alignment horizontal="right"/>
    </xf>
    <xf numFmtId="0" fontId="14" fillId="0" borderId="0" applyAlignment="1" pivotButton="0" quotePrefix="0" xfId="0">
      <alignment horizontal="left"/>
    </xf>
    <xf numFmtId="180" fontId="16" fillId="0" borderId="0" applyAlignment="1" pivotButton="0" quotePrefix="0" xfId="0">
      <alignment horizontal="right"/>
    </xf>
    <xf numFmtId="164" fontId="12" fillId="0" borderId="1" applyAlignment="1" pivotButton="0" quotePrefix="0" xfId="0">
      <alignment horizontal="right" vertical="center"/>
    </xf>
    <xf numFmtId="164" fontId="12" fillId="3" borderId="1" applyAlignment="1" pivotButton="0" quotePrefix="0" xfId="0">
      <alignment horizontal="right" vertical="center"/>
    </xf>
    <xf numFmtId="164" fontId="12" fillId="0" borderId="9" applyAlignment="1" pivotButton="0" quotePrefix="0" xfId="0">
      <alignment horizontal="right" vertical="center"/>
    </xf>
    <xf numFmtId="3" fontId="12" fillId="0" borderId="0" applyAlignment="1" pivotButton="0" quotePrefix="0" xfId="0">
      <alignment horizontal="right"/>
    </xf>
    <xf numFmtId="0" fontId="15" fillId="2" borderId="2" applyAlignment="1" pivotButton="0" quotePrefix="0" xfId="0">
      <alignment horizontal="left"/>
    </xf>
    <xf numFmtId="0" fontId="12" fillId="0" borderId="4" applyAlignment="1" pivotButton="0" quotePrefix="0" xfId="0">
      <alignment horizontal="left"/>
    </xf>
    <xf numFmtId="172" fontId="12" fillId="0" borderId="0" applyAlignment="1" pivotButton="0" quotePrefix="0" xfId="0">
      <alignment horizontal="right"/>
    </xf>
    <xf numFmtId="0" fontId="18" fillId="0" borderId="5" applyAlignment="1" pivotButton="0" quotePrefix="0" xfId="0">
      <alignment horizontal="center"/>
    </xf>
    <xf numFmtId="0" fontId="12" fillId="0" borderId="6" applyAlignment="1" pivotButton="0" quotePrefix="0" xfId="0">
      <alignment horizontal="left"/>
    </xf>
    <xf numFmtId="3" fontId="12" fillId="0" borderId="10" applyAlignment="1" pivotButton="0" quotePrefix="0" xfId="0">
      <alignment horizontal="right"/>
    </xf>
    <xf numFmtId="0" fontId="18" fillId="0" borderId="7" applyAlignment="1" pivotButton="0" quotePrefix="0" xfId="0">
      <alignment horizontal="center"/>
    </xf>
    <xf numFmtId="179" fontId="12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left"/>
    </xf>
    <xf numFmtId="3" fontId="18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right"/>
    </xf>
    <xf numFmtId="0" fontId="21" fillId="0" borderId="5" applyAlignment="1" pivotButton="0" quotePrefix="0" xfId="0">
      <alignment horizontal="left"/>
    </xf>
    <xf numFmtId="3" fontId="19" fillId="3" borderId="1" applyAlignment="1" pivotButton="0" quotePrefix="0" xfId="0">
      <alignment horizontal="left"/>
    </xf>
    <xf numFmtId="3" fontId="20" fillId="0" borderId="0" applyAlignment="1" pivotButton="0" quotePrefix="0" xfId="0">
      <alignment horizontal="center"/>
    </xf>
    <xf numFmtId="0" fontId="21" fillId="0" borderId="7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3" fontId="19" fillId="3" borderId="0" applyAlignment="1" pivotButton="0" quotePrefix="0" xfId="0">
      <alignment horizontal="left"/>
    </xf>
    <xf numFmtId="0" fontId="15" fillId="2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center"/>
    </xf>
    <xf numFmtId="165" fontId="16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left"/>
    </xf>
    <xf numFmtId="0" fontId="19" fillId="3" borderId="0" applyAlignment="1" pivotButton="0" quotePrefix="0" xfId="0">
      <alignment horizontal="center"/>
    </xf>
    <xf numFmtId="3" fontId="16" fillId="0" borderId="0" applyAlignment="1" pivotButton="0" quotePrefix="0" xfId="0">
      <alignment horizontal="center"/>
    </xf>
    <xf numFmtId="0" fontId="17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center"/>
    </xf>
    <xf numFmtId="10" fontId="19" fillId="3" borderId="0" applyAlignment="1" pivotButton="0" quotePrefix="0" xfId="0">
      <alignment horizontal="center"/>
    </xf>
    <xf numFmtId="10" fontId="16" fillId="0" borderId="0" applyAlignment="1" pivotButton="0" quotePrefix="0" xfId="0">
      <alignment horizontal="center"/>
    </xf>
    <xf numFmtId="165" fontId="19" fillId="3" borderId="0" applyAlignment="1" pivotButton="0" quotePrefix="0" xfId="0">
      <alignment horizontal="center"/>
    </xf>
    <xf numFmtId="165" fontId="16" fillId="0" borderId="0" applyAlignment="1" pivotButton="0" quotePrefix="0" xfId="0">
      <alignment horizontal="center"/>
    </xf>
    <xf numFmtId="3" fontId="19" fillId="3" borderId="0" applyAlignment="1" pivotButton="0" quotePrefix="0" xfId="0">
      <alignment horizontal="center"/>
    </xf>
    <xf numFmtId="0" fontId="21" fillId="0" borderId="0" pivotButton="0" quotePrefix="0" xfId="0"/>
    <xf numFmtId="0" fontId="15" fillId="2" borderId="0" applyAlignment="1" pivotButton="0" quotePrefix="0" xfId="0">
      <alignment horizontal="left"/>
    </xf>
    <xf numFmtId="0" fontId="18" fillId="0" borderId="0" applyAlignment="1" pivotButton="0" quotePrefix="0" xfId="0">
      <alignment horizontal="left"/>
    </xf>
    <xf numFmtId="181" fontId="12" fillId="0" borderId="0" applyAlignment="1" pivotButton="0" quotePrefix="0" xfId="0">
      <alignment horizontal="right"/>
    </xf>
    <xf numFmtId="0" fontId="18" fillId="0" borderId="11" applyAlignment="1" pivotButton="0" quotePrefix="0" xfId="0">
      <alignment horizontal="left"/>
    </xf>
    <xf numFmtId="181" fontId="18" fillId="0" borderId="11" applyAlignment="1" pivotButton="0" quotePrefix="0" xfId="0">
      <alignment horizontal="right"/>
    </xf>
    <xf numFmtId="3" fontId="17" fillId="8" borderId="0" applyAlignment="1" pivotButton="0" quotePrefix="0" xfId="0">
      <alignment horizontal="right"/>
    </xf>
    <xf numFmtId="165" fontId="12" fillId="0" borderId="0" applyAlignment="1" pivotButton="0" quotePrefix="0" xfId="0">
      <alignment horizontal="right"/>
    </xf>
    <xf numFmtId="181" fontId="18" fillId="0" borderId="0" applyAlignment="1" pivotButton="0" quotePrefix="0" xfId="0">
      <alignment horizontal="right"/>
    </xf>
    <xf numFmtId="10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/>
    </xf>
    <xf numFmtId="165" fontId="16" fillId="0" borderId="9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/>
    </xf>
    <xf numFmtId="0" fontId="0" fillId="0" borderId="12" pivotButton="0" quotePrefix="0" xfId="0"/>
    <xf numFmtId="0" fontId="13" fillId="0" borderId="12" pivotButton="0" quotePrefix="0" xfId="0"/>
    <xf numFmtId="49" fontId="21" fillId="0" borderId="12" applyAlignment="1" pivotButton="0" quotePrefix="0" xfId="0">
      <alignment horizontal="left" vertical="center"/>
    </xf>
    <xf numFmtId="0" fontId="15" fillId="0" borderId="12" applyAlignment="1" pivotButton="0" quotePrefix="0" xfId="0">
      <alignment horizontal="left"/>
    </xf>
    <xf numFmtId="0" fontId="3" fillId="0" borderId="12" applyAlignment="1" pivotButton="0" quotePrefix="0" xfId="0">
      <alignment horizontal="left" vertical="center"/>
    </xf>
    <xf numFmtId="0" fontId="15" fillId="0" borderId="12" applyAlignment="1" pivotButton="0" quotePrefix="0" xfId="0">
      <alignment horizontal="right"/>
    </xf>
    <xf numFmtId="0" fontId="4" fillId="0" borderId="12" applyAlignment="1" pivotButton="0" quotePrefix="0" xfId="0">
      <alignment horizontal="left" vertical="center"/>
    </xf>
    <xf numFmtId="3" fontId="8" fillId="0" borderId="12" applyAlignment="1" pivotButton="0" quotePrefix="0" xfId="0">
      <alignment horizontal="right" vertical="center"/>
    </xf>
    <xf numFmtId="10" fontId="9" fillId="0" borderId="12" applyAlignment="1" pivotButton="0" quotePrefix="0" xfId="0">
      <alignment horizontal="right" vertical="center"/>
    </xf>
    <xf numFmtId="0" fontId="15" fillId="2" borderId="12" applyAlignment="1" pivotButton="0" quotePrefix="0" xfId="0">
      <alignment horizontal="left"/>
    </xf>
    <xf numFmtId="3" fontId="8" fillId="2" borderId="12" applyAlignment="1" pivotButton="0" quotePrefix="0" xfId="0">
      <alignment horizontal="right" vertical="center"/>
    </xf>
    <xf numFmtId="10" fontId="9" fillId="2" borderId="12" applyAlignment="1" pivotButton="0" quotePrefix="0" xfId="0">
      <alignment horizontal="right" vertical="center"/>
    </xf>
    <xf numFmtId="0" fontId="12" fillId="0" borderId="12" applyAlignment="1" pivotButton="0" quotePrefix="0" xfId="0">
      <alignment horizontal="left"/>
    </xf>
    <xf numFmtId="10" fontId="16" fillId="0" borderId="12" applyAlignment="1" pivotButton="0" quotePrefix="0" xfId="0">
      <alignment horizontal="right"/>
    </xf>
    <xf numFmtId="181" fontId="16" fillId="0" borderId="12" applyAlignment="1" pivotButton="0" quotePrefix="0" xfId="0">
      <alignment horizontal="right"/>
    </xf>
    <xf numFmtId="0" fontId="18" fillId="0" borderId="12" applyAlignment="1" pivotButton="0" quotePrefix="0" xfId="0">
      <alignment horizontal="left"/>
    </xf>
    <xf numFmtId="172" fontId="18" fillId="0" borderId="12" applyAlignment="1" pivotButton="0" quotePrefix="0" xfId="0">
      <alignment horizontal="right"/>
    </xf>
    <xf numFmtId="0" fontId="0" fillId="2" borderId="12" pivotButton="0" quotePrefix="0" xfId="0"/>
    <xf numFmtId="10" fontId="8" fillId="0" borderId="12" applyAlignment="1" pivotButton="0" quotePrefix="0" xfId="0">
      <alignment horizontal="right" vertical="center"/>
    </xf>
    <xf numFmtId="181" fontId="18" fillId="0" borderId="12" applyAlignment="1" pivotButton="0" quotePrefix="0" xfId="0">
      <alignment horizontal="right"/>
    </xf>
    <xf numFmtId="10" fontId="8" fillId="2" borderId="12" applyAlignment="1" pivotButton="0" quotePrefix="0" xfId="0">
      <alignment horizontal="right" vertical="center"/>
    </xf>
    <xf numFmtId="10" fontId="18" fillId="0" borderId="12" applyAlignment="1" pivotButton="0" quotePrefix="0" xfId="0">
      <alignment horizontal="right"/>
    </xf>
    <xf numFmtId="168" fontId="8" fillId="0" borderId="12" applyAlignment="1" pivotButton="0" quotePrefix="0" xfId="0">
      <alignment horizontal="right" vertical="center"/>
    </xf>
    <xf numFmtId="168" fontId="8" fillId="2" borderId="12" applyAlignment="1" pivotButton="0" quotePrefix="0" xfId="0">
      <alignment horizontal="right" vertical="center"/>
    </xf>
    <xf numFmtId="167" fontId="16" fillId="0" borderId="12" applyAlignment="1" pivotButton="0" quotePrefix="0" xfId="0">
      <alignment horizontal="right"/>
    </xf>
    <xf numFmtId="49" fontId="18" fillId="0" borderId="12" applyAlignment="1" pivotButton="0" quotePrefix="0" xfId="0">
      <alignment horizontal="right"/>
    </xf>
    <xf numFmtId="49" fontId="16" fillId="0" borderId="12" applyAlignment="1" pivotButton="0" quotePrefix="0" xfId="0">
      <alignment horizontal="right"/>
    </xf>
    <xf numFmtId="167" fontId="8" fillId="0" borderId="12" applyAlignment="1" pivotButton="0" quotePrefix="0" xfId="0">
      <alignment horizontal="right" vertical="center"/>
    </xf>
    <xf numFmtId="0" fontId="7" fillId="0" borderId="12" applyAlignment="1" pivotButton="0" quotePrefix="0" xfId="0">
      <alignment horizontal="left" vertical="center"/>
    </xf>
    <xf numFmtId="3" fontId="9" fillId="0" borderId="12" applyAlignment="1" pivotButton="0" quotePrefix="0" xfId="0">
      <alignment horizontal="right" vertical="center"/>
    </xf>
    <xf numFmtId="49" fontId="9" fillId="0" borderId="12" applyAlignment="1" pivotButton="0" quotePrefix="0" xfId="0">
      <alignment horizontal="right" vertical="center"/>
    </xf>
  </cellXfs>
  <cellStyles count="1">
    <cellStyle name="Normal" xfId="0" builtinId="0"/>
  </cellStyles>
  <dxfs count="9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b val="1"/>
        <color rgb="FF9C6500"/>
      </font>
      <fill>
        <patternFill patternType="solid">
          <fgColor rgb="FFFFF2CC"/>
        </patternFill>
      </fill>
    </dxf>
    <dxf>
      <fill>
        <patternFill patternType="solid">
          <fgColor rgb="FF375623"/>
        </patternFill>
      </fill>
    </dxf>
    <dxf>
      <fill>
        <patternFill patternType="solid">
          <fgColor rgb="FFC00000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006100"/>
      </font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F36"/>
  <sheetViews>
    <sheetView showGridLines="0" tabSelected="1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3" customWidth="1" style="97" min="1" max="1"/>
    <col width="30" customWidth="1" style="97" min="2" max="2"/>
    <col width="16" customWidth="1" style="97" min="3" max="3"/>
    <col width="3" customWidth="1" style="97" min="4" max="4"/>
    <col width="30" customWidth="1" style="97" min="5" max="5"/>
    <col width="16" customWidth="1" style="97" min="6" max="6"/>
    <col width="3" customWidth="1" style="97" min="7" max="7"/>
  </cols>
  <sheetData>
    <row r="1" ht="21" customHeight="1" s="97">
      <c r="A1" s="339" t="n"/>
      <c r="B1" s="340">
        <f>"Multifamily Development Model  —  "&amp;PropertyName</f>
        <v/>
      </c>
      <c r="C1" s="339" t="n"/>
      <c r="D1" s="339" t="n"/>
      <c r="E1" s="339" t="n"/>
      <c r="F1" s="339" t="n"/>
    </row>
    <row r="2">
      <c r="A2" s="339" t="n"/>
      <c r="B2" s="341">
        <f>City&amp;", "&amp;State&amp;"   •   "&amp;TotalUnits&amp;" units   •   "&amp;TEXT(NRSF,"#,##0")&amp;" NRSF   •   Scenario: "&amp;ScenarioSelect</f>
        <v/>
      </c>
      <c r="C2" s="339" t="n"/>
      <c r="D2" s="339" t="n"/>
      <c r="E2" s="339" t="n"/>
      <c r="F2" s="339" t="n"/>
    </row>
    <row r="3">
      <c r="A3" s="339" t="n"/>
      <c r="B3" s="339" t="n"/>
      <c r="C3" s="339" t="n"/>
      <c r="D3" s="339" t="n"/>
      <c r="E3" s="339" t="n"/>
      <c r="F3" s="339" t="n"/>
    </row>
    <row r="4">
      <c r="A4" s="339" t="n"/>
      <c r="B4" s="342">
        <f>IF(ErrorsFound=0,"✔  ALL CHECKS PASS — model is clean","⚠  "&amp;ErrorsFound&amp;"  ERROR(S) FOUND — REVIEW DIAGNOSTICS")</f>
        <v/>
      </c>
      <c r="C4" s="339" t="n"/>
      <c r="D4" s="339" t="n"/>
      <c r="E4" s="343" t="n"/>
      <c r="F4" s="344">
        <f>"Warnings: "&amp;WarningsFound</f>
        <v/>
      </c>
    </row>
    <row r="5">
      <c r="A5" s="339" t="n"/>
      <c r="B5" s="345" t="n"/>
      <c r="C5" s="346" t="n"/>
      <c r="D5" s="339" t="n"/>
      <c r="E5" s="345" t="n"/>
      <c r="F5" s="347" t="n"/>
    </row>
    <row r="6">
      <c r="A6" s="339" t="n"/>
      <c r="B6" s="348" t="inlineStr">
        <is>
          <t>Development Return (untrended)</t>
        </is>
      </c>
      <c r="C6" s="349" t="n"/>
      <c r="D6" s="339" t="n"/>
      <c r="E6" s="348" t="inlineStr">
        <is>
          <t>Cost &amp; Basis</t>
        </is>
      </c>
      <c r="F6" s="350" t="n"/>
    </row>
    <row r="7">
      <c r="A7" s="339" t="n"/>
      <c r="B7" s="351" t="inlineStr">
        <is>
          <t>Yield on Cost (untrended)</t>
        </is>
      </c>
      <c r="C7" s="352">
        <f>YieldOnCost</f>
        <v/>
      </c>
      <c r="D7" s="339" t="n"/>
      <c r="E7" s="351" t="inlineStr">
        <is>
          <t>Total Development Cost</t>
        </is>
      </c>
      <c r="F7" s="353">
        <f>TDC_Total</f>
        <v/>
      </c>
    </row>
    <row r="8">
      <c r="A8" s="339" t="n"/>
      <c r="B8" s="351" t="inlineStr">
        <is>
          <t>Exit Cap Rate</t>
        </is>
      </c>
      <c r="C8" s="352">
        <f>ExitCapResidential</f>
        <v/>
      </c>
      <c r="D8" s="339" t="n"/>
      <c r="E8" s="351" t="inlineStr">
        <is>
          <t>TDC / Unit</t>
        </is>
      </c>
      <c r="F8" s="353">
        <f>TDCperUnit</f>
        <v/>
      </c>
    </row>
    <row r="9">
      <c r="A9" s="339" t="n"/>
      <c r="B9" s="354" t="inlineStr">
        <is>
          <t>Development Spread</t>
        </is>
      </c>
      <c r="C9" s="355">
        <f>DevSpreadBps</f>
        <v/>
      </c>
      <c r="D9" s="339" t="n"/>
      <c r="E9" s="351" t="inlineStr">
        <is>
          <t>TDC / NRSF</t>
        </is>
      </c>
      <c r="F9" s="353">
        <f>TDCperSF</f>
        <v/>
      </c>
    </row>
    <row r="10">
      <c r="A10" s="339" t="n"/>
      <c r="B10" s="351" t="inlineStr">
        <is>
          <t>Return on Cost (stabilized)</t>
        </is>
      </c>
      <c r="C10" s="352">
        <f>ROCstab</f>
        <v/>
      </c>
      <c r="D10" s="339" t="n"/>
      <c r="E10" s="351" t="inlineStr">
        <is>
          <t>Exit Value</t>
        </is>
      </c>
      <c r="F10" s="353">
        <f>ExitValue</f>
        <v/>
      </c>
    </row>
    <row r="11">
      <c r="A11" s="339" t="n"/>
      <c r="B11" s="351" t="inlineStr">
        <is>
          <t>Debt Yield (stab, active loan)</t>
        </is>
      </c>
      <c r="C11" s="352">
        <f>DebtYieldStab</f>
        <v/>
      </c>
      <c r="D11" s="339" t="n"/>
      <c r="E11" s="351" t="inlineStr">
        <is>
          <t>Exit Basis / Unit</t>
        </is>
      </c>
      <c r="F11" s="353">
        <f>BasisPerUnitExit</f>
        <v/>
      </c>
    </row>
    <row r="12">
      <c r="A12" s="339" t="n"/>
      <c r="B12" s="339" t="n"/>
      <c r="C12" s="339" t="n"/>
      <c r="D12" s="339" t="n"/>
      <c r="E12" s="339" t="n"/>
      <c r="F12" s="339" t="n"/>
    </row>
    <row r="13">
      <c r="A13" s="339" t="n"/>
      <c r="B13" s="348" t="inlineStr">
        <is>
          <t>Trended Performance (with growth)</t>
        </is>
      </c>
      <c r="C13" s="356" t="n"/>
      <c r="D13" s="339" t="n"/>
      <c r="E13" s="348" t="inlineStr">
        <is>
          <t>Sources &amp; Uses</t>
        </is>
      </c>
      <c r="F13" s="356" t="n"/>
    </row>
    <row r="14">
      <c r="A14" s="339" t="n"/>
      <c r="B14" s="351" t="inlineStr">
        <is>
          <t>Stabilized NOI (trended)</t>
        </is>
      </c>
      <c r="C14" s="353">
        <f>StabNOI</f>
        <v/>
      </c>
      <c r="D14" s="339" t="n"/>
      <c r="E14" s="351" t="inlineStr">
        <is>
          <t>Construction Loan</t>
        </is>
      </c>
      <c r="F14" s="353">
        <f>ConLoanTotal</f>
        <v/>
      </c>
    </row>
    <row r="15">
      <c r="A15" s="339" t="n"/>
      <c r="B15" s="351" t="inlineStr">
        <is>
          <t>Year-1 NOI (trended)</t>
        </is>
      </c>
      <c r="C15" s="353">
        <f>Year1NOI</f>
        <v/>
      </c>
      <c r="D15" s="339" t="n"/>
      <c r="E15" s="351" t="inlineStr">
        <is>
          <t>Equity</t>
        </is>
      </c>
      <c r="F15" s="353">
        <f>EquityTotal</f>
        <v/>
      </c>
    </row>
    <row r="16">
      <c r="A16" s="339" t="n"/>
      <c r="B16" s="345" t="n"/>
      <c r="C16" s="357" t="n"/>
      <c r="D16" s="339" t="n"/>
      <c r="E16" s="354" t="inlineStr">
        <is>
          <t>Total Sources</t>
        </is>
      </c>
      <c r="F16" s="358">
        <f>ConLoanTotal+EquityTotal</f>
        <v/>
      </c>
    </row>
    <row r="17">
      <c r="A17" s="339" t="n"/>
      <c r="B17" s="348" t="inlineStr">
        <is>
          <t>Returns</t>
        </is>
      </c>
      <c r="C17" s="359" t="n"/>
      <c r="D17" s="339" t="n"/>
      <c r="E17" s="354" t="inlineStr">
        <is>
          <t>Total Uses (TDC)</t>
        </is>
      </c>
      <c r="F17" s="358">
        <f>TDC_Total</f>
        <v/>
      </c>
    </row>
    <row r="18">
      <c r="A18" s="339" t="n"/>
      <c r="B18" s="354" t="inlineStr">
        <is>
          <t>Levered IRR (net)</t>
        </is>
      </c>
      <c r="C18" s="360">
        <f>LevIRR</f>
        <v/>
      </c>
      <c r="D18" s="339" t="n"/>
      <c r="E18" s="351" t="inlineStr">
        <is>
          <t>Sources − Uses (check)</t>
        </is>
      </c>
      <c r="F18" s="353">
        <f>ConLoanTotal+EquityTotal-TDC_Total</f>
        <v/>
      </c>
    </row>
    <row r="19">
      <c r="A19" s="339" t="n"/>
      <c r="B19" s="351" t="inlineStr">
        <is>
          <t>Levered IRR (gross)</t>
        </is>
      </c>
      <c r="C19" s="352">
        <f>LevIRRgross</f>
        <v/>
      </c>
      <c r="D19" s="339" t="n"/>
      <c r="E19" s="345" t="n"/>
      <c r="F19" s="361" t="n"/>
    </row>
    <row r="20">
      <c r="A20" s="339" t="n"/>
      <c r="B20" s="351" t="inlineStr">
        <is>
          <t>Unlevered IRR (net)</t>
        </is>
      </c>
      <c r="C20" s="352">
        <f>UnlevIRR</f>
        <v/>
      </c>
      <c r="D20" s="339" t="n"/>
      <c r="E20" s="348" t="inlineStr">
        <is>
          <t>Loan Sizing (binding constraint)</t>
        </is>
      </c>
      <c r="F20" s="362" t="n"/>
    </row>
    <row r="21">
      <c r="A21" s="339" t="n"/>
      <c r="B21" s="351" t="inlineStr">
        <is>
          <t>Levered MOIC (net)</t>
        </is>
      </c>
      <c r="C21" s="363">
        <f>LevMOIC</f>
        <v/>
      </c>
      <c r="D21" s="339" t="n"/>
      <c r="E21" s="354" t="inlineStr">
        <is>
          <t>Refi or Sell</t>
        </is>
      </c>
      <c r="F21" s="364">
        <f>IF(RefiFlag=1,"Refinance then hold","Sell during construction")</f>
        <v/>
      </c>
    </row>
    <row r="22">
      <c r="A22" s="339" t="n"/>
      <c r="B22" s="351" t="inlineStr">
        <is>
          <t>Unlevered MOIC (net)</t>
        </is>
      </c>
      <c r="C22" s="363">
        <f>UnlevMOIC</f>
        <v/>
      </c>
      <c r="D22" s="339" t="n"/>
      <c r="E22" s="351" t="inlineStr">
        <is>
          <t>Construction Loan — binding</t>
        </is>
      </c>
      <c r="F22" s="365">
        <f>ConBinding</f>
        <v/>
      </c>
    </row>
    <row r="23">
      <c r="A23" s="339" t="n"/>
      <c r="B23" s="351" t="inlineStr">
        <is>
          <t>Static Unlevered IRR (no-growth)</t>
        </is>
      </c>
      <c r="C23" s="352">
        <f>StaticUnlevIRR</f>
        <v/>
      </c>
      <c r="D23" s="339" t="n"/>
      <c r="E23" s="351" t="inlineStr">
        <is>
          <t>Con Debt Yield / DSCR</t>
        </is>
      </c>
      <c r="F23" s="365">
        <f>ConDYtest&amp;" / "&amp;ConDSCRtest</f>
        <v/>
      </c>
    </row>
    <row r="24">
      <c r="A24" s="339" t="n"/>
      <c r="B24" s="339" t="n"/>
      <c r="C24" s="339" t="n"/>
      <c r="D24" s="339" t="n"/>
      <c r="E24" s="351" t="inlineStr">
        <is>
          <t>Permanent Loan — binding</t>
        </is>
      </c>
      <c r="F24" s="365">
        <f>PermBinding</f>
        <v/>
      </c>
    </row>
    <row r="25">
      <c r="A25" s="339" t="n"/>
      <c r="B25" s="348" t="inlineStr">
        <is>
          <t>Timeline (months)</t>
        </is>
      </c>
      <c r="C25" s="356" t="n"/>
      <c r="D25" s="339" t="n"/>
      <c r="E25" s="351" t="inlineStr">
        <is>
          <t>Perm LTV / DSCR</t>
        </is>
      </c>
      <c r="F25" s="365">
        <f>PermLTVtest&amp;" / "&amp;PermDSCRtest</f>
        <v/>
      </c>
    </row>
    <row r="26">
      <c r="A26" s="339" t="n"/>
      <c r="B26" s="351" t="inlineStr">
        <is>
          <t>Construction Start → Maturity</t>
        </is>
      </c>
      <c r="C26" s="365">
        <f>ConStart&amp;"  →  "&amp;ConMaturity</f>
        <v/>
      </c>
      <c r="D26" s="339" t="n"/>
      <c r="E26" s="345" t="n"/>
      <c r="F26" s="361" t="n"/>
    </row>
    <row r="27">
      <c r="A27" s="339" t="n"/>
      <c r="B27" s="351" t="inlineStr">
        <is>
          <t>1st Delivery → Stabilization</t>
        </is>
      </c>
      <c r="C27" s="365">
        <f>DeliverStart&amp;"  →  "&amp;StabMonth</f>
        <v/>
      </c>
      <c r="D27" s="339" t="n"/>
      <c r="E27" s="348" t="inlineStr">
        <is>
          <t>Validation</t>
        </is>
      </c>
      <c r="F27" s="356" t="n"/>
    </row>
    <row r="28">
      <c r="A28" s="339" t="n"/>
      <c r="B28" s="351" t="inlineStr">
        <is>
          <t>Refi / Disposition</t>
        </is>
      </c>
      <c r="C28" s="365">
        <f>IF(RefiFlag=1,RefiMonth,0)&amp;"  /  "&amp;DispoMonth</f>
        <v/>
      </c>
      <c r="D28" s="339" t="n"/>
      <c r="E28" s="351" t="inlineStr">
        <is>
          <t>Errors / Warnings / Sanity flags</t>
        </is>
      </c>
      <c r="F28" s="365">
        <f>ErrorsFound&amp;" / "&amp;WarningsFound&amp;" / "&amp;SanityFlags</f>
        <v/>
      </c>
    </row>
    <row r="29">
      <c r="A29" s="339" t="n"/>
      <c r="B29" s="345" t="n"/>
      <c r="C29" s="366" t="n"/>
      <c r="D29" s="339" t="n"/>
      <c r="E29" s="339" t="n"/>
      <c r="F29" s="339" t="n"/>
    </row>
    <row r="30">
      <c r="A30" s="339" t="n"/>
      <c r="B30" s="345" t="n"/>
      <c r="C30" s="361" t="n"/>
      <c r="D30" s="339" t="n"/>
      <c r="E30" s="339" t="n"/>
      <c r="F30" s="339" t="n"/>
    </row>
    <row r="31">
      <c r="A31" s="339" t="n"/>
      <c r="B31" s="345" t="n"/>
      <c r="C31" s="357" t="n"/>
      <c r="D31" s="339" t="n"/>
      <c r="E31" s="339" t="n"/>
      <c r="F31" s="339" t="n"/>
    </row>
    <row r="32">
      <c r="A32" s="339" t="n"/>
      <c r="B32" s="345" t="n"/>
      <c r="C32" s="366" t="n"/>
      <c r="D32" s="339" t="n"/>
      <c r="E32" s="339" t="n"/>
      <c r="F32" s="339" t="n"/>
    </row>
    <row r="33">
      <c r="A33" s="339" t="n"/>
      <c r="B33" s="345" t="n"/>
      <c r="C33" s="361" t="n"/>
      <c r="D33" s="339" t="n"/>
      <c r="E33" s="339" t="n"/>
      <c r="F33" s="339" t="n"/>
    </row>
    <row r="34">
      <c r="A34" s="339" t="n"/>
      <c r="B34" s="339" t="n"/>
      <c r="C34" s="339" t="n"/>
      <c r="D34" s="339" t="n"/>
      <c r="E34" s="343" t="n"/>
      <c r="F34" s="339" t="n"/>
    </row>
    <row r="35">
      <c r="A35" s="339" t="n"/>
      <c r="B35" s="339" t="n"/>
      <c r="C35" s="339" t="n"/>
      <c r="D35" s="339" t="n"/>
      <c r="E35" s="367" t="n"/>
      <c r="F35" s="368" t="n"/>
    </row>
    <row r="36">
      <c r="A36" s="339" t="n"/>
      <c r="B36" s="339" t="n"/>
      <c r="C36" s="339" t="n"/>
      <c r="D36" s="339" t="n"/>
      <c r="E36" s="367" t="n"/>
      <c r="F36" s="369" t="n"/>
    </row>
  </sheetData>
  <conditionalFormatting sqref="B4">
    <cfRule type="expression" priority="1" dxfId="3">
      <formula>ErrorsFound=0</formula>
    </cfRule>
    <cfRule type="expression" priority="2" dxfId="4">
      <formula>ErrorsFound&gt;0</formula>
    </cfRule>
  </conditionalFormatting>
  <conditionalFormatting sqref="C4">
    <cfRule type="expression" priority="3" dxfId="3">
      <formula>ErrorsFound=0</formula>
    </cfRule>
    <cfRule type="expression" priority="4" dxfId="4">
      <formula>ErrorsFound&gt;0</formula>
    </cfRule>
  </conditionalFormatting>
  <conditionalFormatting sqref="D4">
    <cfRule type="expression" priority="5" dxfId="3">
      <formula>ErrorsFound=0</formula>
    </cfRule>
    <cfRule type="expression" priority="6" dxfId="4">
      <formula>ErrorsFound&gt;0</formula>
    </cfRule>
  </conditionalFormatting>
  <conditionalFormatting sqref="E4">
    <cfRule type="expression" priority="7" dxfId="3">
      <formula>ErrorsFound=0</formula>
    </cfRule>
    <cfRule type="expression" priority="8" dxfId="4">
      <formula>ErrorsFound&gt;0</formula>
    </cfRule>
  </conditionalFormatting>
  <conditionalFormatting sqref="F4">
    <cfRule type="expression" priority="9" dxfId="3">
      <formula>ErrorsFound=0</formula>
    </cfRule>
    <cfRule type="expression" priority="10" dxfId="4">
      <formula>ErrorsFound&gt;0</formula>
    </cfRule>
  </conditionalFormatting>
  <conditionalFormatting sqref="C9">
    <cfRule type="cellIs" priority="11" operator="lessThan" dxfId="5">
      <formula>0</formula>
    </cfRule>
    <cfRule type="cellIs" priority="12" operator="greaterThanOrEqual" dxfId="6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B1:F14"/>
  <sheetViews>
    <sheetView showGridLines="0" workbookViewId="0">
      <selection activeCell="A1" sqref="A1"/>
    </sheetView>
  </sheetViews>
  <sheetFormatPr baseColWidth="8" defaultRowHeight="15"/>
  <cols>
    <col width="3.7" customWidth="1" style="97" min="1" max="1"/>
    <col width="30" customWidth="1" style="97" min="2" max="2"/>
    <col width="14" customWidth="1" style="97" min="3" max="3"/>
    <col width="14" customWidth="1" style="97" min="4" max="4"/>
    <col width="14" customWidth="1" style="97" min="5" max="5"/>
    <col width="14" customWidth="1" style="97" min="6" max="6"/>
  </cols>
  <sheetData>
    <row r="1">
      <c r="B1" s="187" t="inlineStr">
        <is>
          <t>Scenario Switcher</t>
        </is>
      </c>
    </row>
    <row r="3">
      <c r="B3" s="316" t="inlineStr">
        <is>
          <t>Active Scenario</t>
        </is>
      </c>
      <c r="C3" s="317" t="inlineStr">
        <is>
          <t>Base</t>
        </is>
      </c>
    </row>
    <row r="4">
      <c r="B4" s="316" t="inlineStr">
        <is>
          <t>Scenario Number</t>
        </is>
      </c>
      <c r="C4" s="318">
        <f>IF(C3="Base",1,IF(C3="Upside",2,3))</f>
        <v/>
      </c>
    </row>
    <row r="6">
      <c r="B6" s="319" t="inlineStr">
        <is>
          <t>Driver</t>
        </is>
      </c>
      <c r="C6" s="320" t="inlineStr">
        <is>
          <t>Base</t>
        </is>
      </c>
      <c r="D6" s="320" t="inlineStr">
        <is>
          <t>Upside</t>
        </is>
      </c>
      <c r="E6" s="320" t="inlineStr">
        <is>
          <t>Downside</t>
        </is>
      </c>
      <c r="F6" s="320" t="inlineStr">
        <is>
          <t>Active</t>
        </is>
      </c>
    </row>
    <row r="7">
      <c r="B7" s="316" t="inlineStr">
        <is>
          <t>Growth Rent</t>
        </is>
      </c>
      <c r="C7" s="321" t="n">
        <v>0.03</v>
      </c>
      <c r="D7" s="321" t="n">
        <v>0.04</v>
      </c>
      <c r="E7" s="321" t="n">
        <v>0.015</v>
      </c>
      <c r="F7" s="322">
        <f>INDEX(C7:E7,ScenarioNum)</f>
        <v/>
      </c>
    </row>
    <row r="8">
      <c r="B8" s="316" t="inlineStr">
        <is>
          <t>Growth Expense</t>
        </is>
      </c>
      <c r="C8" s="321" t="n">
        <v>0.03</v>
      </c>
      <c r="D8" s="321" t="n">
        <v>0.025</v>
      </c>
      <c r="E8" s="321" t="n">
        <v>0.04</v>
      </c>
      <c r="F8" s="322">
        <f>INDEX(C8:E8,ScenarioNum)</f>
        <v/>
      </c>
    </row>
    <row r="9">
      <c r="B9" s="316" t="inlineStr">
        <is>
          <t>Entry Cap Rate</t>
        </is>
      </c>
      <c r="C9" s="321" t="n">
        <v>0.0525</v>
      </c>
      <c r="D9" s="321" t="n">
        <v>0.05</v>
      </c>
      <c r="E9" s="321" t="n">
        <v>0.0575</v>
      </c>
      <c r="F9" s="322">
        <f>INDEX(C9:E9,ScenarioNum)</f>
        <v/>
      </c>
    </row>
    <row r="10">
      <c r="B10" s="316" t="inlineStr">
        <is>
          <t>Exit Cap Retail</t>
        </is>
      </c>
      <c r="C10" s="321" t="n">
        <v>0.065</v>
      </c>
      <c r="D10" s="321" t="n">
        <v>0.0625</v>
      </c>
      <c r="E10" s="321" t="n">
        <v>0.07000000000000001</v>
      </c>
      <c r="F10" s="322">
        <f>INDEX(C10:E10,ScenarioNum)</f>
        <v/>
      </c>
    </row>
    <row r="11">
      <c r="B11" s="316" t="inlineStr">
        <is>
          <t>Stabilized Occupancy</t>
        </is>
      </c>
      <c r="C11" s="323" t="n">
        <v>0.9399999999999999</v>
      </c>
      <c r="D11" s="323" t="n">
        <v>0.95</v>
      </c>
      <c r="E11" s="323" t="n">
        <v>0.9</v>
      </c>
      <c r="F11" s="324">
        <f>INDEX(C11:E11,ScenarioNum)</f>
        <v/>
      </c>
    </row>
    <row r="12">
      <c r="B12" s="316" t="inlineStr">
        <is>
          <t>Units Leased Per Mo</t>
        </is>
      </c>
      <c r="C12" s="325" t="n">
        <v>18</v>
      </c>
      <c r="D12" s="325" t="n">
        <v>22</v>
      </c>
      <c r="E12" s="325" t="n">
        <v>12</v>
      </c>
      <c r="F12" s="318">
        <f>INDEX(C12:E12,ScenarioNum)</f>
        <v/>
      </c>
    </row>
    <row r="13">
      <c r="B13" s="316" t="inlineStr">
        <is>
          <t>Con Rate</t>
        </is>
      </c>
      <c r="C13" s="321" t="n">
        <v>0.057</v>
      </c>
      <c r="D13" s="321" t="n">
        <v>0.052</v>
      </c>
      <c r="E13" s="321" t="n">
        <v>0.065</v>
      </c>
      <c r="F13" s="322">
        <f>INDEX(C13:E13,ScenarioNum)</f>
        <v/>
      </c>
    </row>
    <row r="14">
      <c r="B14" s="316" t="inlineStr">
        <is>
          <t>Perm Rate</t>
        </is>
      </c>
      <c r="C14" s="321" t="n">
        <v>0.0625</v>
      </c>
      <c r="D14" s="321" t="n">
        <v>0.0575</v>
      </c>
      <c r="E14" s="321" t="n">
        <v>0.07000000000000001</v>
      </c>
      <c r="F14" s="322">
        <f>INDEX(C14:E14,ScenarioNum)</f>
        <v/>
      </c>
    </row>
  </sheetData>
  <dataValidations count="1">
    <dataValidation sqref="C3" showDropDown="0" showInputMessage="0" showErrorMessage="1" allowBlank="0" promptTitle="Scenario" prompt="Base / Upside / Downside drives all key assumptions" type="list">
      <formula1>"Base,Upside,Downside"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B1:AG36"/>
  <sheetViews>
    <sheetView showGridLines="0" workbookViewId="0">
      <pane xSplit="2" ySplit="22" topLeftCell="C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.7" customWidth="1" style="97" min="1" max="1"/>
    <col width="34" customWidth="1" style="97" min="2" max="2"/>
    <col width="12" customWidth="1" style="97" min="3" max="3"/>
    <col width="12" customWidth="1" style="97" min="4" max="4"/>
    <col width="12" customWidth="1" style="97" min="5" max="5"/>
    <col width="12" customWidth="1" style="97" min="6" max="6"/>
    <col width="12" customWidth="1" style="97" min="7" max="7"/>
    <col width="12" customWidth="1" style="97" min="8" max="8"/>
    <col width="12" customWidth="1" style="97" min="9" max="9"/>
    <col width="12" customWidth="1" style="97" min="10" max="10"/>
    <col width="12" customWidth="1" style="97" min="11" max="11"/>
    <col width="12" customWidth="1" style="97" min="12" max="12"/>
    <col width="12" customWidth="1" style="97" min="13" max="13"/>
    <col width="12" customWidth="1" style="97" min="14" max="14"/>
    <col width="12" customWidth="1" style="97" min="15" max="15"/>
    <col width="12" customWidth="1" style="97" min="16" max="16"/>
    <col width="12" customWidth="1" style="97" min="17" max="17"/>
    <col width="12" customWidth="1" style="97" min="18" max="18"/>
    <col width="12" customWidth="1" style="97" min="19" max="19"/>
    <col width="12" customWidth="1" style="97" min="20" max="20"/>
    <col width="12" customWidth="1" style="97" min="21" max="21"/>
    <col width="12" customWidth="1" style="97" min="22" max="22"/>
    <col width="12" customWidth="1" style="97" min="23" max="23"/>
    <col width="12" customWidth="1" style="97" min="24" max="24"/>
    <col width="12" customWidth="1" style="97" min="25" max="25"/>
    <col width="12" customWidth="1" style="97" min="26" max="26"/>
    <col width="12" customWidth="1" style="97" min="27" max="27"/>
    <col width="12" customWidth="1" style="97" min="28" max="28"/>
    <col width="12" customWidth="1" style="97" min="29" max="29"/>
    <col width="12" customWidth="1" style="97" min="30" max="30"/>
    <col width="12" customWidth="1" style="97" min="31" max="31"/>
    <col width="12" customWidth="1" style="97" min="32" max="32"/>
    <col width="12" customWidth="1" style="97" min="33" max="33"/>
  </cols>
  <sheetData>
    <row r="1">
      <c r="B1" s="187" t="inlineStr">
        <is>
          <t>Annual Summary</t>
        </is>
      </c>
    </row>
    <row r="2">
      <c r="B2" s="326">
        <f>"Scenario: "&amp;ScenarioSelect&amp;"   •   Hold: "&amp;HoldPeriodMonths&amp;" months"</f>
        <v/>
      </c>
    </row>
    <row r="4">
      <c r="B4" s="327" t="inlineStr">
        <is>
          <t>Sources &amp; Uses</t>
        </is>
      </c>
      <c r="C4" s="155" t="n"/>
      <c r="D4" s="155" t="n"/>
    </row>
    <row r="5">
      <c r="B5" s="328" t="inlineStr">
        <is>
          <t>Uses</t>
        </is>
      </c>
    </row>
    <row r="6">
      <c r="B6" s="316" t="inlineStr">
        <is>
          <t xml:space="preserve">  Land</t>
        </is>
      </c>
      <c r="C6" s="329">
        <f>BudgetLand</f>
        <v/>
      </c>
    </row>
    <row r="7">
      <c r="B7" s="316" t="inlineStr">
        <is>
          <t xml:space="preserve">  Hard Costs</t>
        </is>
      </c>
      <c r="C7" s="329">
        <f>BudgetHard</f>
        <v/>
      </c>
    </row>
    <row r="8">
      <c r="B8" s="316" t="inlineStr">
        <is>
          <t xml:space="preserve">  Soft Costs</t>
        </is>
      </c>
      <c r="C8" s="329">
        <f>BudgetSoft</f>
        <v/>
      </c>
    </row>
    <row r="9">
      <c r="B9" s="316" t="inlineStr">
        <is>
          <t xml:space="preserve">  Development Fee</t>
        </is>
      </c>
      <c r="C9" s="329">
        <f>DevFee</f>
        <v/>
      </c>
    </row>
    <row r="10">
      <c r="B10" s="316" t="inlineStr">
        <is>
          <t xml:space="preserve">  Loan Costs (points, recourse, other)</t>
        </is>
      </c>
      <c r="C10" s="329">
        <f>ConPoints+RecourseFee+ConOtherCosts</f>
        <v/>
      </c>
    </row>
    <row r="11">
      <c r="B11" s="316" t="inlineStr">
        <is>
          <t xml:space="preserve">  Interest Reserve</t>
        </is>
      </c>
      <c r="C11" s="329">
        <f>InterestReserveFunded</f>
        <v/>
      </c>
    </row>
    <row r="12">
      <c r="B12" s="316" t="inlineStr">
        <is>
          <t xml:space="preserve">  Operating Reserve</t>
        </is>
      </c>
      <c r="C12" s="329">
        <f>OpReserve</f>
        <v/>
      </c>
    </row>
    <row r="13">
      <c r="B13" s="330" t="inlineStr">
        <is>
          <t xml:space="preserve">  Total Uses (TDC)</t>
        </is>
      </c>
      <c r="C13" s="331">
        <f>TDC_Total</f>
        <v/>
      </c>
    </row>
    <row r="14">
      <c r="B14" s="328" t="inlineStr">
        <is>
          <t>Sources</t>
        </is>
      </c>
    </row>
    <row r="15">
      <c r="B15" s="316" t="inlineStr">
        <is>
          <t xml:space="preserve">  Construction Loan</t>
        </is>
      </c>
      <c r="C15" s="329">
        <f>ConLoanTotal</f>
        <v/>
      </c>
    </row>
    <row r="16">
      <c r="B16" s="316" t="inlineStr">
        <is>
          <t xml:space="preserve">  Equity</t>
        </is>
      </c>
      <c r="C16" s="329">
        <f>EquityTotal</f>
        <v/>
      </c>
    </row>
    <row r="17">
      <c r="B17" s="316" t="inlineStr">
        <is>
          <t xml:space="preserve">  Refi Cash-Out (memo)</t>
        </is>
      </c>
      <c r="C17" s="329">
        <f>RefiCashOut</f>
        <v/>
      </c>
    </row>
    <row r="18">
      <c r="B18" s="330" t="inlineStr">
        <is>
          <t xml:space="preserve">  Total Sources</t>
        </is>
      </c>
      <c r="C18" s="331">
        <f>ConLoanTotal+EquityTotal</f>
        <v/>
      </c>
    </row>
    <row r="19">
      <c r="B19" s="330" t="inlineStr">
        <is>
          <t xml:space="preserve">  Sources − Uses (check = 0)</t>
        </is>
      </c>
      <c r="C19" s="331">
        <f>ConLoanTotal+EquityTotal-TDC_Total</f>
        <v/>
      </c>
    </row>
    <row r="21">
      <c r="B21" s="327" t="inlineStr">
        <is>
          <t>Annual Cash Flow (Year 1 … 31)</t>
        </is>
      </c>
    </row>
    <row r="22">
      <c r="B22" s="319" t="inlineStr">
        <is>
          <t>Year →</t>
        </is>
      </c>
      <c r="C22" s="332" t="n">
        <v>1</v>
      </c>
      <c r="D22" s="332" t="n">
        <v>2</v>
      </c>
      <c r="E22" s="332" t="n">
        <v>3</v>
      </c>
      <c r="F22" s="332" t="n">
        <v>4</v>
      </c>
      <c r="G22" s="332" t="n">
        <v>5</v>
      </c>
      <c r="H22" s="332" t="n">
        <v>6</v>
      </c>
      <c r="I22" s="332" t="n">
        <v>7</v>
      </c>
      <c r="J22" s="332" t="n">
        <v>8</v>
      </c>
      <c r="K22" s="332" t="n">
        <v>9</v>
      </c>
      <c r="L22" s="332" t="n">
        <v>10</v>
      </c>
      <c r="M22" s="332" t="n">
        <v>11</v>
      </c>
      <c r="N22" s="332" t="n">
        <v>12</v>
      </c>
      <c r="O22" s="332" t="n">
        <v>13</v>
      </c>
      <c r="P22" s="332" t="n">
        <v>14</v>
      </c>
      <c r="Q22" s="332" t="n">
        <v>15</v>
      </c>
      <c r="R22" s="332" t="n">
        <v>16</v>
      </c>
      <c r="S22" s="332" t="n">
        <v>17</v>
      </c>
      <c r="T22" s="332" t="n">
        <v>18</v>
      </c>
      <c r="U22" s="332" t="n">
        <v>19</v>
      </c>
      <c r="V22" s="332" t="n">
        <v>20</v>
      </c>
      <c r="W22" s="332" t="n">
        <v>21</v>
      </c>
      <c r="X22" s="332" t="n">
        <v>22</v>
      </c>
      <c r="Y22" s="332" t="n">
        <v>23</v>
      </c>
      <c r="Z22" s="332" t="n">
        <v>24</v>
      </c>
      <c r="AA22" s="332" t="n">
        <v>25</v>
      </c>
      <c r="AB22" s="332" t="n">
        <v>26</v>
      </c>
      <c r="AC22" s="332" t="n">
        <v>27</v>
      </c>
      <c r="AD22" s="332" t="n">
        <v>28</v>
      </c>
      <c r="AE22" s="332" t="n">
        <v>29</v>
      </c>
      <c r="AF22" s="332" t="n">
        <v>30</v>
      </c>
      <c r="AG22" s="332" t="n">
        <v>31</v>
      </c>
    </row>
    <row r="23">
      <c r="B23" s="316" t="inlineStr">
        <is>
          <t>Development Spend</t>
        </is>
      </c>
      <c r="C23" s="329">
        <f>SUM(INDEX(DevSpend!$E$34:$NL$34,((C$22-1)*12+1)):INDEX(DevSpend!$E$34:$NL$34,((C$22-1)*12+1)+11))</f>
        <v/>
      </c>
      <c r="D23" s="329">
        <f>SUM(INDEX(DevSpend!$E$34:$NL$34,((D$22-1)*12+1)):INDEX(DevSpend!$E$34:$NL$34,((D$22-1)*12+1)+11))</f>
        <v/>
      </c>
      <c r="E23" s="329">
        <f>SUM(INDEX(DevSpend!$E$34:$NL$34,((E$22-1)*12+1)):INDEX(DevSpend!$E$34:$NL$34,((E$22-1)*12+1)+11))</f>
        <v/>
      </c>
      <c r="F23" s="329">
        <f>SUM(INDEX(DevSpend!$E$34:$NL$34,((F$22-1)*12+1)):INDEX(DevSpend!$E$34:$NL$34,((F$22-1)*12+1)+11))</f>
        <v/>
      </c>
      <c r="G23" s="329">
        <f>SUM(INDEX(DevSpend!$E$34:$NL$34,((G$22-1)*12+1)):INDEX(DevSpend!$E$34:$NL$34,((G$22-1)*12+1)+11))</f>
        <v/>
      </c>
      <c r="H23" s="329">
        <f>SUM(INDEX(DevSpend!$E$34:$NL$34,((H$22-1)*12+1)):INDEX(DevSpend!$E$34:$NL$34,((H$22-1)*12+1)+11))</f>
        <v/>
      </c>
      <c r="I23" s="329">
        <f>SUM(INDEX(DevSpend!$E$34:$NL$34,((I$22-1)*12+1)):INDEX(DevSpend!$E$34:$NL$34,((I$22-1)*12+1)+11))</f>
        <v/>
      </c>
      <c r="J23" s="329">
        <f>SUM(INDEX(DevSpend!$E$34:$NL$34,((J$22-1)*12+1)):INDEX(DevSpend!$E$34:$NL$34,((J$22-1)*12+1)+11))</f>
        <v/>
      </c>
      <c r="K23" s="329">
        <f>SUM(INDEX(DevSpend!$E$34:$NL$34,((K$22-1)*12+1)):INDEX(DevSpend!$E$34:$NL$34,((K$22-1)*12+1)+11))</f>
        <v/>
      </c>
      <c r="L23" s="329">
        <f>SUM(INDEX(DevSpend!$E$34:$NL$34,((L$22-1)*12+1)):INDEX(DevSpend!$E$34:$NL$34,((L$22-1)*12+1)+11))</f>
        <v/>
      </c>
      <c r="M23" s="329">
        <f>SUM(INDEX(DevSpend!$E$34:$NL$34,((M$22-1)*12+1)):INDEX(DevSpend!$E$34:$NL$34,((M$22-1)*12+1)+11))</f>
        <v/>
      </c>
      <c r="N23" s="329">
        <f>SUM(INDEX(DevSpend!$E$34:$NL$34,((N$22-1)*12+1)):INDEX(DevSpend!$E$34:$NL$34,((N$22-1)*12+1)+11))</f>
        <v/>
      </c>
      <c r="O23" s="329">
        <f>SUM(INDEX(DevSpend!$E$34:$NL$34,((O$22-1)*12+1)):INDEX(DevSpend!$E$34:$NL$34,((O$22-1)*12+1)+11))</f>
        <v/>
      </c>
      <c r="P23" s="329">
        <f>SUM(INDEX(DevSpend!$E$34:$NL$34,((P$22-1)*12+1)):INDEX(DevSpend!$E$34:$NL$34,((P$22-1)*12+1)+11))</f>
        <v/>
      </c>
      <c r="Q23" s="329">
        <f>SUM(INDEX(DevSpend!$E$34:$NL$34,((Q$22-1)*12+1)):INDEX(DevSpend!$E$34:$NL$34,((Q$22-1)*12+1)+11))</f>
        <v/>
      </c>
      <c r="R23" s="329">
        <f>SUM(INDEX(DevSpend!$E$34:$NL$34,((R$22-1)*12+1)):INDEX(DevSpend!$E$34:$NL$34,((R$22-1)*12+1)+11))</f>
        <v/>
      </c>
      <c r="S23" s="329">
        <f>SUM(INDEX(DevSpend!$E$34:$NL$34,((S$22-1)*12+1)):INDEX(DevSpend!$E$34:$NL$34,((S$22-1)*12+1)+11))</f>
        <v/>
      </c>
      <c r="T23" s="329">
        <f>SUM(INDEX(DevSpend!$E$34:$NL$34,((T$22-1)*12+1)):INDEX(DevSpend!$E$34:$NL$34,((T$22-1)*12+1)+11))</f>
        <v/>
      </c>
      <c r="U23" s="329">
        <f>SUM(INDEX(DevSpend!$E$34:$NL$34,((U$22-1)*12+1)):INDEX(DevSpend!$E$34:$NL$34,((U$22-1)*12+1)+11))</f>
        <v/>
      </c>
      <c r="V23" s="329">
        <f>SUM(INDEX(DevSpend!$E$34:$NL$34,((V$22-1)*12+1)):INDEX(DevSpend!$E$34:$NL$34,((V$22-1)*12+1)+11))</f>
        <v/>
      </c>
      <c r="W23" s="329">
        <f>SUM(INDEX(DevSpend!$E$34:$NL$34,((W$22-1)*12+1)):INDEX(DevSpend!$E$34:$NL$34,((W$22-1)*12+1)+11))</f>
        <v/>
      </c>
      <c r="X23" s="329">
        <f>SUM(INDEX(DevSpend!$E$34:$NL$34,((X$22-1)*12+1)):INDEX(DevSpend!$E$34:$NL$34,((X$22-1)*12+1)+11))</f>
        <v/>
      </c>
      <c r="Y23" s="329">
        <f>SUM(INDEX(DevSpend!$E$34:$NL$34,((Y$22-1)*12+1)):INDEX(DevSpend!$E$34:$NL$34,((Y$22-1)*12+1)+11))</f>
        <v/>
      </c>
      <c r="Z23" s="329">
        <f>SUM(INDEX(DevSpend!$E$34:$NL$34,((Z$22-1)*12+1)):INDEX(DevSpend!$E$34:$NL$34,((Z$22-1)*12+1)+11))</f>
        <v/>
      </c>
      <c r="AA23" s="329">
        <f>SUM(INDEX(DevSpend!$E$34:$NL$34,((AA$22-1)*12+1)):INDEX(DevSpend!$E$34:$NL$34,((AA$22-1)*12+1)+11))</f>
        <v/>
      </c>
      <c r="AB23" s="329">
        <f>SUM(INDEX(DevSpend!$E$34:$NL$34,((AB$22-1)*12+1)):INDEX(DevSpend!$E$34:$NL$34,((AB$22-1)*12+1)+11))</f>
        <v/>
      </c>
      <c r="AC23" s="329">
        <f>SUM(INDEX(DevSpend!$E$34:$NL$34,((AC$22-1)*12+1)):INDEX(DevSpend!$E$34:$NL$34,((AC$22-1)*12+1)+11))</f>
        <v/>
      </c>
      <c r="AD23" s="329">
        <f>SUM(INDEX(DevSpend!$E$34:$NL$34,((AD$22-1)*12+1)):INDEX(DevSpend!$E$34:$NL$34,((AD$22-1)*12+1)+11))</f>
        <v/>
      </c>
      <c r="AE23" s="329">
        <f>SUM(INDEX(DevSpend!$E$34:$NL$34,((AE$22-1)*12+1)):INDEX(DevSpend!$E$34:$NL$34,((AE$22-1)*12+1)+11))</f>
        <v/>
      </c>
      <c r="AF23" s="329">
        <f>SUM(INDEX(DevSpend!$E$34:$NL$34,((AF$22-1)*12+1)):INDEX(DevSpend!$E$34:$NL$34,((AF$22-1)*12+1)+11))</f>
        <v/>
      </c>
      <c r="AG23" s="329">
        <f>SUM(INDEX(DevSpend!$E$34:$NL$34,((AG$22-1)*12+1)):INDEX(DevSpend!$E$34:$NL$34,((AG$22-1)*12+1)+11))</f>
        <v/>
      </c>
    </row>
    <row r="24">
      <c r="B24" s="316" t="inlineStr">
        <is>
          <t>Construction Debt Draw</t>
        </is>
      </c>
      <c r="C24" s="329">
        <f>SUM(INDEX(ConLoan!$E$29:$NL$29,((C$22-1)*12+1)):INDEX(ConLoan!$E$29:$NL$29,((C$22-1)*12+1)+11))</f>
        <v/>
      </c>
      <c r="D24" s="329">
        <f>SUM(INDEX(ConLoan!$E$29:$NL$29,((D$22-1)*12+1)):INDEX(ConLoan!$E$29:$NL$29,((D$22-1)*12+1)+11))</f>
        <v/>
      </c>
      <c r="E24" s="329">
        <f>SUM(INDEX(ConLoan!$E$29:$NL$29,((E$22-1)*12+1)):INDEX(ConLoan!$E$29:$NL$29,((E$22-1)*12+1)+11))</f>
        <v/>
      </c>
      <c r="F24" s="329">
        <f>SUM(INDEX(ConLoan!$E$29:$NL$29,((F$22-1)*12+1)):INDEX(ConLoan!$E$29:$NL$29,((F$22-1)*12+1)+11))</f>
        <v/>
      </c>
      <c r="G24" s="329">
        <f>SUM(INDEX(ConLoan!$E$29:$NL$29,((G$22-1)*12+1)):INDEX(ConLoan!$E$29:$NL$29,((G$22-1)*12+1)+11))</f>
        <v/>
      </c>
      <c r="H24" s="329">
        <f>SUM(INDEX(ConLoan!$E$29:$NL$29,((H$22-1)*12+1)):INDEX(ConLoan!$E$29:$NL$29,((H$22-1)*12+1)+11))</f>
        <v/>
      </c>
      <c r="I24" s="329">
        <f>SUM(INDEX(ConLoan!$E$29:$NL$29,((I$22-1)*12+1)):INDEX(ConLoan!$E$29:$NL$29,((I$22-1)*12+1)+11))</f>
        <v/>
      </c>
      <c r="J24" s="329">
        <f>SUM(INDEX(ConLoan!$E$29:$NL$29,((J$22-1)*12+1)):INDEX(ConLoan!$E$29:$NL$29,((J$22-1)*12+1)+11))</f>
        <v/>
      </c>
      <c r="K24" s="329">
        <f>SUM(INDEX(ConLoan!$E$29:$NL$29,((K$22-1)*12+1)):INDEX(ConLoan!$E$29:$NL$29,((K$22-1)*12+1)+11))</f>
        <v/>
      </c>
      <c r="L24" s="329">
        <f>SUM(INDEX(ConLoan!$E$29:$NL$29,((L$22-1)*12+1)):INDEX(ConLoan!$E$29:$NL$29,((L$22-1)*12+1)+11))</f>
        <v/>
      </c>
      <c r="M24" s="329">
        <f>SUM(INDEX(ConLoan!$E$29:$NL$29,((M$22-1)*12+1)):INDEX(ConLoan!$E$29:$NL$29,((M$22-1)*12+1)+11))</f>
        <v/>
      </c>
      <c r="N24" s="329">
        <f>SUM(INDEX(ConLoan!$E$29:$NL$29,((N$22-1)*12+1)):INDEX(ConLoan!$E$29:$NL$29,((N$22-1)*12+1)+11))</f>
        <v/>
      </c>
      <c r="O24" s="329">
        <f>SUM(INDEX(ConLoan!$E$29:$NL$29,((O$22-1)*12+1)):INDEX(ConLoan!$E$29:$NL$29,((O$22-1)*12+1)+11))</f>
        <v/>
      </c>
      <c r="P24" s="329">
        <f>SUM(INDEX(ConLoan!$E$29:$NL$29,((P$22-1)*12+1)):INDEX(ConLoan!$E$29:$NL$29,((P$22-1)*12+1)+11))</f>
        <v/>
      </c>
      <c r="Q24" s="329">
        <f>SUM(INDEX(ConLoan!$E$29:$NL$29,((Q$22-1)*12+1)):INDEX(ConLoan!$E$29:$NL$29,((Q$22-1)*12+1)+11))</f>
        <v/>
      </c>
      <c r="R24" s="329">
        <f>SUM(INDEX(ConLoan!$E$29:$NL$29,((R$22-1)*12+1)):INDEX(ConLoan!$E$29:$NL$29,((R$22-1)*12+1)+11))</f>
        <v/>
      </c>
      <c r="S24" s="329">
        <f>SUM(INDEX(ConLoan!$E$29:$NL$29,((S$22-1)*12+1)):INDEX(ConLoan!$E$29:$NL$29,((S$22-1)*12+1)+11))</f>
        <v/>
      </c>
      <c r="T24" s="329">
        <f>SUM(INDEX(ConLoan!$E$29:$NL$29,((T$22-1)*12+1)):INDEX(ConLoan!$E$29:$NL$29,((T$22-1)*12+1)+11))</f>
        <v/>
      </c>
      <c r="U24" s="329">
        <f>SUM(INDEX(ConLoan!$E$29:$NL$29,((U$22-1)*12+1)):INDEX(ConLoan!$E$29:$NL$29,((U$22-1)*12+1)+11))</f>
        <v/>
      </c>
      <c r="V24" s="329">
        <f>SUM(INDEX(ConLoan!$E$29:$NL$29,((V$22-1)*12+1)):INDEX(ConLoan!$E$29:$NL$29,((V$22-1)*12+1)+11))</f>
        <v/>
      </c>
      <c r="W24" s="329">
        <f>SUM(INDEX(ConLoan!$E$29:$NL$29,((W$22-1)*12+1)):INDEX(ConLoan!$E$29:$NL$29,((W$22-1)*12+1)+11))</f>
        <v/>
      </c>
      <c r="X24" s="329">
        <f>SUM(INDEX(ConLoan!$E$29:$NL$29,((X$22-1)*12+1)):INDEX(ConLoan!$E$29:$NL$29,((X$22-1)*12+1)+11))</f>
        <v/>
      </c>
      <c r="Y24" s="329">
        <f>SUM(INDEX(ConLoan!$E$29:$NL$29,((Y$22-1)*12+1)):INDEX(ConLoan!$E$29:$NL$29,((Y$22-1)*12+1)+11))</f>
        <v/>
      </c>
      <c r="Z24" s="329">
        <f>SUM(INDEX(ConLoan!$E$29:$NL$29,((Z$22-1)*12+1)):INDEX(ConLoan!$E$29:$NL$29,((Z$22-1)*12+1)+11))</f>
        <v/>
      </c>
      <c r="AA24" s="329">
        <f>SUM(INDEX(ConLoan!$E$29:$NL$29,((AA$22-1)*12+1)):INDEX(ConLoan!$E$29:$NL$29,((AA$22-1)*12+1)+11))</f>
        <v/>
      </c>
      <c r="AB24" s="329">
        <f>SUM(INDEX(ConLoan!$E$29:$NL$29,((AB$22-1)*12+1)):INDEX(ConLoan!$E$29:$NL$29,((AB$22-1)*12+1)+11))</f>
        <v/>
      </c>
      <c r="AC24" s="329">
        <f>SUM(INDEX(ConLoan!$E$29:$NL$29,((AC$22-1)*12+1)):INDEX(ConLoan!$E$29:$NL$29,((AC$22-1)*12+1)+11))</f>
        <v/>
      </c>
      <c r="AD24" s="329">
        <f>SUM(INDEX(ConLoan!$E$29:$NL$29,((AD$22-1)*12+1)):INDEX(ConLoan!$E$29:$NL$29,((AD$22-1)*12+1)+11))</f>
        <v/>
      </c>
      <c r="AE24" s="329">
        <f>SUM(INDEX(ConLoan!$E$29:$NL$29,((AE$22-1)*12+1)):INDEX(ConLoan!$E$29:$NL$29,((AE$22-1)*12+1)+11))</f>
        <v/>
      </c>
      <c r="AF24" s="329">
        <f>SUM(INDEX(ConLoan!$E$29:$NL$29,((AF$22-1)*12+1)):INDEX(ConLoan!$E$29:$NL$29,((AF$22-1)*12+1)+11))</f>
        <v/>
      </c>
      <c r="AG24" s="329">
        <f>SUM(INDEX(ConLoan!$E$29:$NL$29,((AG$22-1)*12+1)):INDEX(ConLoan!$E$29:$NL$29,((AG$22-1)*12+1)+11))</f>
        <v/>
      </c>
    </row>
    <row r="25">
      <c r="B25" s="316" t="inlineStr">
        <is>
          <t>Equity Draw</t>
        </is>
      </c>
      <c r="C25" s="329">
        <f>SUM(INDEX(ConLoan!$E$27:$NL$27,((C$22-1)*12+1)):INDEX(ConLoan!$E$27:$NL$27,((C$22-1)*12+1)+11))</f>
        <v/>
      </c>
      <c r="D25" s="329">
        <f>SUM(INDEX(ConLoan!$E$27:$NL$27,((D$22-1)*12+1)):INDEX(ConLoan!$E$27:$NL$27,((D$22-1)*12+1)+11))</f>
        <v/>
      </c>
      <c r="E25" s="329">
        <f>SUM(INDEX(ConLoan!$E$27:$NL$27,((E$22-1)*12+1)):INDEX(ConLoan!$E$27:$NL$27,((E$22-1)*12+1)+11))</f>
        <v/>
      </c>
      <c r="F25" s="329">
        <f>SUM(INDEX(ConLoan!$E$27:$NL$27,((F$22-1)*12+1)):INDEX(ConLoan!$E$27:$NL$27,((F$22-1)*12+1)+11))</f>
        <v/>
      </c>
      <c r="G25" s="329">
        <f>SUM(INDEX(ConLoan!$E$27:$NL$27,((G$22-1)*12+1)):INDEX(ConLoan!$E$27:$NL$27,((G$22-1)*12+1)+11))</f>
        <v/>
      </c>
      <c r="H25" s="329">
        <f>SUM(INDEX(ConLoan!$E$27:$NL$27,((H$22-1)*12+1)):INDEX(ConLoan!$E$27:$NL$27,((H$22-1)*12+1)+11))</f>
        <v/>
      </c>
      <c r="I25" s="329">
        <f>SUM(INDEX(ConLoan!$E$27:$NL$27,((I$22-1)*12+1)):INDEX(ConLoan!$E$27:$NL$27,((I$22-1)*12+1)+11))</f>
        <v/>
      </c>
      <c r="J25" s="329">
        <f>SUM(INDEX(ConLoan!$E$27:$NL$27,((J$22-1)*12+1)):INDEX(ConLoan!$E$27:$NL$27,((J$22-1)*12+1)+11))</f>
        <v/>
      </c>
      <c r="K25" s="329">
        <f>SUM(INDEX(ConLoan!$E$27:$NL$27,((K$22-1)*12+1)):INDEX(ConLoan!$E$27:$NL$27,((K$22-1)*12+1)+11))</f>
        <v/>
      </c>
      <c r="L25" s="329">
        <f>SUM(INDEX(ConLoan!$E$27:$NL$27,((L$22-1)*12+1)):INDEX(ConLoan!$E$27:$NL$27,((L$22-1)*12+1)+11))</f>
        <v/>
      </c>
      <c r="M25" s="329">
        <f>SUM(INDEX(ConLoan!$E$27:$NL$27,((M$22-1)*12+1)):INDEX(ConLoan!$E$27:$NL$27,((M$22-1)*12+1)+11))</f>
        <v/>
      </c>
      <c r="N25" s="329">
        <f>SUM(INDEX(ConLoan!$E$27:$NL$27,((N$22-1)*12+1)):INDEX(ConLoan!$E$27:$NL$27,((N$22-1)*12+1)+11))</f>
        <v/>
      </c>
      <c r="O25" s="329">
        <f>SUM(INDEX(ConLoan!$E$27:$NL$27,((O$22-1)*12+1)):INDEX(ConLoan!$E$27:$NL$27,((O$22-1)*12+1)+11))</f>
        <v/>
      </c>
      <c r="P25" s="329">
        <f>SUM(INDEX(ConLoan!$E$27:$NL$27,((P$22-1)*12+1)):INDEX(ConLoan!$E$27:$NL$27,((P$22-1)*12+1)+11))</f>
        <v/>
      </c>
      <c r="Q25" s="329">
        <f>SUM(INDEX(ConLoan!$E$27:$NL$27,((Q$22-1)*12+1)):INDEX(ConLoan!$E$27:$NL$27,((Q$22-1)*12+1)+11))</f>
        <v/>
      </c>
      <c r="R25" s="329">
        <f>SUM(INDEX(ConLoan!$E$27:$NL$27,((R$22-1)*12+1)):INDEX(ConLoan!$E$27:$NL$27,((R$22-1)*12+1)+11))</f>
        <v/>
      </c>
      <c r="S25" s="329">
        <f>SUM(INDEX(ConLoan!$E$27:$NL$27,((S$22-1)*12+1)):INDEX(ConLoan!$E$27:$NL$27,((S$22-1)*12+1)+11))</f>
        <v/>
      </c>
      <c r="T25" s="329">
        <f>SUM(INDEX(ConLoan!$E$27:$NL$27,((T$22-1)*12+1)):INDEX(ConLoan!$E$27:$NL$27,((T$22-1)*12+1)+11))</f>
        <v/>
      </c>
      <c r="U25" s="329">
        <f>SUM(INDEX(ConLoan!$E$27:$NL$27,((U$22-1)*12+1)):INDEX(ConLoan!$E$27:$NL$27,((U$22-1)*12+1)+11))</f>
        <v/>
      </c>
      <c r="V25" s="329">
        <f>SUM(INDEX(ConLoan!$E$27:$NL$27,((V$22-1)*12+1)):INDEX(ConLoan!$E$27:$NL$27,((V$22-1)*12+1)+11))</f>
        <v/>
      </c>
      <c r="W25" s="329">
        <f>SUM(INDEX(ConLoan!$E$27:$NL$27,((W$22-1)*12+1)):INDEX(ConLoan!$E$27:$NL$27,((W$22-1)*12+1)+11))</f>
        <v/>
      </c>
      <c r="X25" s="329">
        <f>SUM(INDEX(ConLoan!$E$27:$NL$27,((X$22-1)*12+1)):INDEX(ConLoan!$E$27:$NL$27,((X$22-1)*12+1)+11))</f>
        <v/>
      </c>
      <c r="Y25" s="329">
        <f>SUM(INDEX(ConLoan!$E$27:$NL$27,((Y$22-1)*12+1)):INDEX(ConLoan!$E$27:$NL$27,((Y$22-1)*12+1)+11))</f>
        <v/>
      </c>
      <c r="Z25" s="329">
        <f>SUM(INDEX(ConLoan!$E$27:$NL$27,((Z$22-1)*12+1)):INDEX(ConLoan!$E$27:$NL$27,((Z$22-1)*12+1)+11))</f>
        <v/>
      </c>
      <c r="AA25" s="329">
        <f>SUM(INDEX(ConLoan!$E$27:$NL$27,((AA$22-1)*12+1)):INDEX(ConLoan!$E$27:$NL$27,((AA$22-1)*12+1)+11))</f>
        <v/>
      </c>
      <c r="AB25" s="329">
        <f>SUM(INDEX(ConLoan!$E$27:$NL$27,((AB$22-1)*12+1)):INDEX(ConLoan!$E$27:$NL$27,((AB$22-1)*12+1)+11))</f>
        <v/>
      </c>
      <c r="AC25" s="329">
        <f>SUM(INDEX(ConLoan!$E$27:$NL$27,((AC$22-1)*12+1)):INDEX(ConLoan!$E$27:$NL$27,((AC$22-1)*12+1)+11))</f>
        <v/>
      </c>
      <c r="AD25" s="329">
        <f>SUM(INDEX(ConLoan!$E$27:$NL$27,((AD$22-1)*12+1)):INDEX(ConLoan!$E$27:$NL$27,((AD$22-1)*12+1)+11))</f>
        <v/>
      </c>
      <c r="AE25" s="329">
        <f>SUM(INDEX(ConLoan!$E$27:$NL$27,((AE$22-1)*12+1)):INDEX(ConLoan!$E$27:$NL$27,((AE$22-1)*12+1)+11))</f>
        <v/>
      </c>
      <c r="AF25" s="329">
        <f>SUM(INDEX(ConLoan!$E$27:$NL$27,((AF$22-1)*12+1)):INDEX(ConLoan!$E$27:$NL$27,((AF$22-1)*12+1)+11))</f>
        <v/>
      </c>
      <c r="AG25" s="329">
        <f>SUM(INDEX(ConLoan!$E$27:$NL$27,((AG$22-1)*12+1)):INDEX(ConLoan!$E$27:$NL$27,((AG$22-1)*12+1)+11))</f>
        <v/>
      </c>
    </row>
    <row r="26">
      <c r="B26" s="316" t="inlineStr">
        <is>
          <t>Effective Gross Income</t>
        </is>
      </c>
      <c r="C26" s="329">
        <f>SUM(INDEX(Operating!$E$23:$NL$23,((C$22-1)*12+1)):INDEX(Operating!$E$23:$NL$23,((C$22-1)*12+1)+11))</f>
        <v/>
      </c>
      <c r="D26" s="329">
        <f>SUM(INDEX(Operating!$E$23:$NL$23,((D$22-1)*12+1)):INDEX(Operating!$E$23:$NL$23,((D$22-1)*12+1)+11))</f>
        <v/>
      </c>
      <c r="E26" s="329">
        <f>SUM(INDEX(Operating!$E$23:$NL$23,((E$22-1)*12+1)):INDEX(Operating!$E$23:$NL$23,((E$22-1)*12+1)+11))</f>
        <v/>
      </c>
      <c r="F26" s="329">
        <f>SUM(INDEX(Operating!$E$23:$NL$23,((F$22-1)*12+1)):INDEX(Operating!$E$23:$NL$23,((F$22-1)*12+1)+11))</f>
        <v/>
      </c>
      <c r="G26" s="329">
        <f>SUM(INDEX(Operating!$E$23:$NL$23,((G$22-1)*12+1)):INDEX(Operating!$E$23:$NL$23,((G$22-1)*12+1)+11))</f>
        <v/>
      </c>
      <c r="H26" s="329">
        <f>SUM(INDEX(Operating!$E$23:$NL$23,((H$22-1)*12+1)):INDEX(Operating!$E$23:$NL$23,((H$22-1)*12+1)+11))</f>
        <v/>
      </c>
      <c r="I26" s="329">
        <f>SUM(INDEX(Operating!$E$23:$NL$23,((I$22-1)*12+1)):INDEX(Operating!$E$23:$NL$23,((I$22-1)*12+1)+11))</f>
        <v/>
      </c>
      <c r="J26" s="329">
        <f>SUM(INDEX(Operating!$E$23:$NL$23,((J$22-1)*12+1)):INDEX(Operating!$E$23:$NL$23,((J$22-1)*12+1)+11))</f>
        <v/>
      </c>
      <c r="K26" s="329">
        <f>SUM(INDEX(Operating!$E$23:$NL$23,((K$22-1)*12+1)):INDEX(Operating!$E$23:$NL$23,((K$22-1)*12+1)+11))</f>
        <v/>
      </c>
      <c r="L26" s="329">
        <f>SUM(INDEX(Operating!$E$23:$NL$23,((L$22-1)*12+1)):INDEX(Operating!$E$23:$NL$23,((L$22-1)*12+1)+11))</f>
        <v/>
      </c>
      <c r="M26" s="329">
        <f>SUM(INDEX(Operating!$E$23:$NL$23,((M$22-1)*12+1)):INDEX(Operating!$E$23:$NL$23,((M$22-1)*12+1)+11))</f>
        <v/>
      </c>
      <c r="N26" s="329">
        <f>SUM(INDEX(Operating!$E$23:$NL$23,((N$22-1)*12+1)):INDEX(Operating!$E$23:$NL$23,((N$22-1)*12+1)+11))</f>
        <v/>
      </c>
      <c r="O26" s="329">
        <f>SUM(INDEX(Operating!$E$23:$NL$23,((O$22-1)*12+1)):INDEX(Operating!$E$23:$NL$23,((O$22-1)*12+1)+11))</f>
        <v/>
      </c>
      <c r="P26" s="329">
        <f>SUM(INDEX(Operating!$E$23:$NL$23,((P$22-1)*12+1)):INDEX(Operating!$E$23:$NL$23,((P$22-1)*12+1)+11))</f>
        <v/>
      </c>
      <c r="Q26" s="329">
        <f>SUM(INDEX(Operating!$E$23:$NL$23,((Q$22-1)*12+1)):INDEX(Operating!$E$23:$NL$23,((Q$22-1)*12+1)+11))</f>
        <v/>
      </c>
      <c r="R26" s="329">
        <f>SUM(INDEX(Operating!$E$23:$NL$23,((R$22-1)*12+1)):INDEX(Operating!$E$23:$NL$23,((R$22-1)*12+1)+11))</f>
        <v/>
      </c>
      <c r="S26" s="329">
        <f>SUM(INDEX(Operating!$E$23:$NL$23,((S$22-1)*12+1)):INDEX(Operating!$E$23:$NL$23,((S$22-1)*12+1)+11))</f>
        <v/>
      </c>
      <c r="T26" s="329">
        <f>SUM(INDEX(Operating!$E$23:$NL$23,((T$22-1)*12+1)):INDEX(Operating!$E$23:$NL$23,((T$22-1)*12+1)+11))</f>
        <v/>
      </c>
      <c r="U26" s="329">
        <f>SUM(INDEX(Operating!$E$23:$NL$23,((U$22-1)*12+1)):INDEX(Operating!$E$23:$NL$23,((U$22-1)*12+1)+11))</f>
        <v/>
      </c>
      <c r="V26" s="329">
        <f>SUM(INDEX(Operating!$E$23:$NL$23,((V$22-1)*12+1)):INDEX(Operating!$E$23:$NL$23,((V$22-1)*12+1)+11))</f>
        <v/>
      </c>
      <c r="W26" s="329">
        <f>SUM(INDEX(Operating!$E$23:$NL$23,((W$22-1)*12+1)):INDEX(Operating!$E$23:$NL$23,((W$22-1)*12+1)+11))</f>
        <v/>
      </c>
      <c r="X26" s="329">
        <f>SUM(INDEX(Operating!$E$23:$NL$23,((X$22-1)*12+1)):INDEX(Operating!$E$23:$NL$23,((X$22-1)*12+1)+11))</f>
        <v/>
      </c>
      <c r="Y26" s="329">
        <f>SUM(INDEX(Operating!$E$23:$NL$23,((Y$22-1)*12+1)):INDEX(Operating!$E$23:$NL$23,((Y$22-1)*12+1)+11))</f>
        <v/>
      </c>
      <c r="Z26" s="329">
        <f>SUM(INDEX(Operating!$E$23:$NL$23,((Z$22-1)*12+1)):INDEX(Operating!$E$23:$NL$23,((Z$22-1)*12+1)+11))</f>
        <v/>
      </c>
      <c r="AA26" s="329">
        <f>SUM(INDEX(Operating!$E$23:$NL$23,((AA$22-1)*12+1)):INDEX(Operating!$E$23:$NL$23,((AA$22-1)*12+1)+11))</f>
        <v/>
      </c>
      <c r="AB26" s="329">
        <f>SUM(INDEX(Operating!$E$23:$NL$23,((AB$22-1)*12+1)):INDEX(Operating!$E$23:$NL$23,((AB$22-1)*12+1)+11))</f>
        <v/>
      </c>
      <c r="AC26" s="329">
        <f>SUM(INDEX(Operating!$E$23:$NL$23,((AC$22-1)*12+1)):INDEX(Operating!$E$23:$NL$23,((AC$22-1)*12+1)+11))</f>
        <v/>
      </c>
      <c r="AD26" s="329">
        <f>SUM(INDEX(Operating!$E$23:$NL$23,((AD$22-1)*12+1)):INDEX(Operating!$E$23:$NL$23,((AD$22-1)*12+1)+11))</f>
        <v/>
      </c>
      <c r="AE26" s="329">
        <f>SUM(INDEX(Operating!$E$23:$NL$23,((AE$22-1)*12+1)):INDEX(Operating!$E$23:$NL$23,((AE$22-1)*12+1)+11))</f>
        <v/>
      </c>
      <c r="AF26" s="329">
        <f>SUM(INDEX(Operating!$E$23:$NL$23,((AF$22-1)*12+1)):INDEX(Operating!$E$23:$NL$23,((AF$22-1)*12+1)+11))</f>
        <v/>
      </c>
      <c r="AG26" s="329">
        <f>SUM(INDEX(Operating!$E$23:$NL$23,((AG$22-1)*12+1)):INDEX(Operating!$E$23:$NL$23,((AG$22-1)*12+1)+11))</f>
        <v/>
      </c>
    </row>
    <row r="27">
      <c r="B27" s="316" t="inlineStr">
        <is>
          <t>Net Operating Income</t>
        </is>
      </c>
      <c r="C27" s="329">
        <f>SUM(INDEX(Operating!$E$38:$NL$38,((C$22-1)*12+1)):INDEX(Operating!$E$38:$NL$38,((C$22-1)*12+1)+11))</f>
        <v/>
      </c>
      <c r="D27" s="329">
        <f>SUM(INDEX(Operating!$E$38:$NL$38,((D$22-1)*12+1)):INDEX(Operating!$E$38:$NL$38,((D$22-1)*12+1)+11))</f>
        <v/>
      </c>
      <c r="E27" s="329">
        <f>SUM(INDEX(Operating!$E$38:$NL$38,((E$22-1)*12+1)):INDEX(Operating!$E$38:$NL$38,((E$22-1)*12+1)+11))</f>
        <v/>
      </c>
      <c r="F27" s="329">
        <f>SUM(INDEX(Operating!$E$38:$NL$38,((F$22-1)*12+1)):INDEX(Operating!$E$38:$NL$38,((F$22-1)*12+1)+11))</f>
        <v/>
      </c>
      <c r="G27" s="329">
        <f>SUM(INDEX(Operating!$E$38:$NL$38,((G$22-1)*12+1)):INDEX(Operating!$E$38:$NL$38,((G$22-1)*12+1)+11))</f>
        <v/>
      </c>
      <c r="H27" s="329">
        <f>SUM(INDEX(Operating!$E$38:$NL$38,((H$22-1)*12+1)):INDEX(Operating!$E$38:$NL$38,((H$22-1)*12+1)+11))</f>
        <v/>
      </c>
      <c r="I27" s="329">
        <f>SUM(INDEX(Operating!$E$38:$NL$38,((I$22-1)*12+1)):INDEX(Operating!$E$38:$NL$38,((I$22-1)*12+1)+11))</f>
        <v/>
      </c>
      <c r="J27" s="329">
        <f>SUM(INDEX(Operating!$E$38:$NL$38,((J$22-1)*12+1)):INDEX(Operating!$E$38:$NL$38,((J$22-1)*12+1)+11))</f>
        <v/>
      </c>
      <c r="K27" s="329">
        <f>SUM(INDEX(Operating!$E$38:$NL$38,((K$22-1)*12+1)):INDEX(Operating!$E$38:$NL$38,((K$22-1)*12+1)+11))</f>
        <v/>
      </c>
      <c r="L27" s="329">
        <f>SUM(INDEX(Operating!$E$38:$NL$38,((L$22-1)*12+1)):INDEX(Operating!$E$38:$NL$38,((L$22-1)*12+1)+11))</f>
        <v/>
      </c>
      <c r="M27" s="329">
        <f>SUM(INDEX(Operating!$E$38:$NL$38,((M$22-1)*12+1)):INDEX(Operating!$E$38:$NL$38,((M$22-1)*12+1)+11))</f>
        <v/>
      </c>
      <c r="N27" s="329">
        <f>SUM(INDEX(Operating!$E$38:$NL$38,((N$22-1)*12+1)):INDEX(Operating!$E$38:$NL$38,((N$22-1)*12+1)+11))</f>
        <v/>
      </c>
      <c r="O27" s="329">
        <f>SUM(INDEX(Operating!$E$38:$NL$38,((O$22-1)*12+1)):INDEX(Operating!$E$38:$NL$38,((O$22-1)*12+1)+11))</f>
        <v/>
      </c>
      <c r="P27" s="329">
        <f>SUM(INDEX(Operating!$E$38:$NL$38,((P$22-1)*12+1)):INDEX(Operating!$E$38:$NL$38,((P$22-1)*12+1)+11))</f>
        <v/>
      </c>
      <c r="Q27" s="329">
        <f>SUM(INDEX(Operating!$E$38:$NL$38,((Q$22-1)*12+1)):INDEX(Operating!$E$38:$NL$38,((Q$22-1)*12+1)+11))</f>
        <v/>
      </c>
      <c r="R27" s="329">
        <f>SUM(INDEX(Operating!$E$38:$NL$38,((R$22-1)*12+1)):INDEX(Operating!$E$38:$NL$38,((R$22-1)*12+1)+11))</f>
        <v/>
      </c>
      <c r="S27" s="329">
        <f>SUM(INDEX(Operating!$E$38:$NL$38,((S$22-1)*12+1)):INDEX(Operating!$E$38:$NL$38,((S$22-1)*12+1)+11))</f>
        <v/>
      </c>
      <c r="T27" s="329">
        <f>SUM(INDEX(Operating!$E$38:$NL$38,((T$22-1)*12+1)):INDEX(Operating!$E$38:$NL$38,((T$22-1)*12+1)+11))</f>
        <v/>
      </c>
      <c r="U27" s="329">
        <f>SUM(INDEX(Operating!$E$38:$NL$38,((U$22-1)*12+1)):INDEX(Operating!$E$38:$NL$38,((U$22-1)*12+1)+11))</f>
        <v/>
      </c>
      <c r="V27" s="329">
        <f>SUM(INDEX(Operating!$E$38:$NL$38,((V$22-1)*12+1)):INDEX(Operating!$E$38:$NL$38,((V$22-1)*12+1)+11))</f>
        <v/>
      </c>
      <c r="W27" s="329">
        <f>SUM(INDEX(Operating!$E$38:$NL$38,((W$22-1)*12+1)):INDEX(Operating!$E$38:$NL$38,((W$22-1)*12+1)+11))</f>
        <v/>
      </c>
      <c r="X27" s="329">
        <f>SUM(INDEX(Operating!$E$38:$NL$38,((X$22-1)*12+1)):INDEX(Operating!$E$38:$NL$38,((X$22-1)*12+1)+11))</f>
        <v/>
      </c>
      <c r="Y27" s="329">
        <f>SUM(INDEX(Operating!$E$38:$NL$38,((Y$22-1)*12+1)):INDEX(Operating!$E$38:$NL$38,((Y$22-1)*12+1)+11))</f>
        <v/>
      </c>
      <c r="Z27" s="329">
        <f>SUM(INDEX(Operating!$E$38:$NL$38,((Z$22-1)*12+1)):INDEX(Operating!$E$38:$NL$38,((Z$22-1)*12+1)+11))</f>
        <v/>
      </c>
      <c r="AA27" s="329">
        <f>SUM(INDEX(Operating!$E$38:$NL$38,((AA$22-1)*12+1)):INDEX(Operating!$E$38:$NL$38,((AA$22-1)*12+1)+11))</f>
        <v/>
      </c>
      <c r="AB27" s="329">
        <f>SUM(INDEX(Operating!$E$38:$NL$38,((AB$22-1)*12+1)):INDEX(Operating!$E$38:$NL$38,((AB$22-1)*12+1)+11))</f>
        <v/>
      </c>
      <c r="AC27" s="329">
        <f>SUM(INDEX(Operating!$E$38:$NL$38,((AC$22-1)*12+1)):INDEX(Operating!$E$38:$NL$38,((AC$22-1)*12+1)+11))</f>
        <v/>
      </c>
      <c r="AD27" s="329">
        <f>SUM(INDEX(Operating!$E$38:$NL$38,((AD$22-1)*12+1)):INDEX(Operating!$E$38:$NL$38,((AD$22-1)*12+1)+11))</f>
        <v/>
      </c>
      <c r="AE27" s="329">
        <f>SUM(INDEX(Operating!$E$38:$NL$38,((AE$22-1)*12+1)):INDEX(Operating!$E$38:$NL$38,((AE$22-1)*12+1)+11))</f>
        <v/>
      </c>
      <c r="AF27" s="329">
        <f>SUM(INDEX(Operating!$E$38:$NL$38,((AF$22-1)*12+1)):INDEX(Operating!$E$38:$NL$38,((AF$22-1)*12+1)+11))</f>
        <v/>
      </c>
      <c r="AG27" s="329">
        <f>SUM(INDEX(Operating!$E$38:$NL$38,((AG$22-1)*12+1)):INDEX(Operating!$E$38:$NL$38,((AG$22-1)*12+1)+11))</f>
        <v/>
      </c>
    </row>
    <row r="28">
      <c r="B28" s="316" t="inlineStr">
        <is>
          <t>Construction Interest (capitalized)</t>
        </is>
      </c>
      <c r="C28" s="329">
        <f>SUM(INDEX(ConLoan!$E$31:$NL$31,((C$22-1)*12+1)):INDEX(ConLoan!$E$31:$NL$31,((C$22-1)*12+1)+11))</f>
        <v/>
      </c>
      <c r="D28" s="329">
        <f>SUM(INDEX(ConLoan!$E$31:$NL$31,((D$22-1)*12+1)):INDEX(ConLoan!$E$31:$NL$31,((D$22-1)*12+1)+11))</f>
        <v/>
      </c>
      <c r="E28" s="329">
        <f>SUM(INDEX(ConLoan!$E$31:$NL$31,((E$22-1)*12+1)):INDEX(ConLoan!$E$31:$NL$31,((E$22-1)*12+1)+11))</f>
        <v/>
      </c>
      <c r="F28" s="329">
        <f>SUM(INDEX(ConLoan!$E$31:$NL$31,((F$22-1)*12+1)):INDEX(ConLoan!$E$31:$NL$31,((F$22-1)*12+1)+11))</f>
        <v/>
      </c>
      <c r="G28" s="329">
        <f>SUM(INDEX(ConLoan!$E$31:$NL$31,((G$22-1)*12+1)):INDEX(ConLoan!$E$31:$NL$31,((G$22-1)*12+1)+11))</f>
        <v/>
      </c>
      <c r="H28" s="329">
        <f>SUM(INDEX(ConLoan!$E$31:$NL$31,((H$22-1)*12+1)):INDEX(ConLoan!$E$31:$NL$31,((H$22-1)*12+1)+11))</f>
        <v/>
      </c>
      <c r="I28" s="329">
        <f>SUM(INDEX(ConLoan!$E$31:$NL$31,((I$22-1)*12+1)):INDEX(ConLoan!$E$31:$NL$31,((I$22-1)*12+1)+11))</f>
        <v/>
      </c>
      <c r="J28" s="329">
        <f>SUM(INDEX(ConLoan!$E$31:$NL$31,((J$22-1)*12+1)):INDEX(ConLoan!$E$31:$NL$31,((J$22-1)*12+1)+11))</f>
        <v/>
      </c>
      <c r="K28" s="329">
        <f>SUM(INDEX(ConLoan!$E$31:$NL$31,((K$22-1)*12+1)):INDEX(ConLoan!$E$31:$NL$31,((K$22-1)*12+1)+11))</f>
        <v/>
      </c>
      <c r="L28" s="329">
        <f>SUM(INDEX(ConLoan!$E$31:$NL$31,((L$22-1)*12+1)):INDEX(ConLoan!$E$31:$NL$31,((L$22-1)*12+1)+11))</f>
        <v/>
      </c>
      <c r="M28" s="329">
        <f>SUM(INDEX(ConLoan!$E$31:$NL$31,((M$22-1)*12+1)):INDEX(ConLoan!$E$31:$NL$31,((M$22-1)*12+1)+11))</f>
        <v/>
      </c>
      <c r="N28" s="329">
        <f>SUM(INDEX(ConLoan!$E$31:$NL$31,((N$22-1)*12+1)):INDEX(ConLoan!$E$31:$NL$31,((N$22-1)*12+1)+11))</f>
        <v/>
      </c>
      <c r="O28" s="329">
        <f>SUM(INDEX(ConLoan!$E$31:$NL$31,((O$22-1)*12+1)):INDEX(ConLoan!$E$31:$NL$31,((O$22-1)*12+1)+11))</f>
        <v/>
      </c>
      <c r="P28" s="329">
        <f>SUM(INDEX(ConLoan!$E$31:$NL$31,((P$22-1)*12+1)):INDEX(ConLoan!$E$31:$NL$31,((P$22-1)*12+1)+11))</f>
        <v/>
      </c>
      <c r="Q28" s="329">
        <f>SUM(INDEX(ConLoan!$E$31:$NL$31,((Q$22-1)*12+1)):INDEX(ConLoan!$E$31:$NL$31,((Q$22-1)*12+1)+11))</f>
        <v/>
      </c>
      <c r="R28" s="329">
        <f>SUM(INDEX(ConLoan!$E$31:$NL$31,((R$22-1)*12+1)):INDEX(ConLoan!$E$31:$NL$31,((R$22-1)*12+1)+11))</f>
        <v/>
      </c>
      <c r="S28" s="329">
        <f>SUM(INDEX(ConLoan!$E$31:$NL$31,((S$22-1)*12+1)):INDEX(ConLoan!$E$31:$NL$31,((S$22-1)*12+1)+11))</f>
        <v/>
      </c>
      <c r="T28" s="329">
        <f>SUM(INDEX(ConLoan!$E$31:$NL$31,((T$22-1)*12+1)):INDEX(ConLoan!$E$31:$NL$31,((T$22-1)*12+1)+11))</f>
        <v/>
      </c>
      <c r="U28" s="329">
        <f>SUM(INDEX(ConLoan!$E$31:$NL$31,((U$22-1)*12+1)):INDEX(ConLoan!$E$31:$NL$31,((U$22-1)*12+1)+11))</f>
        <v/>
      </c>
      <c r="V28" s="329">
        <f>SUM(INDEX(ConLoan!$E$31:$NL$31,((V$22-1)*12+1)):INDEX(ConLoan!$E$31:$NL$31,((V$22-1)*12+1)+11))</f>
        <v/>
      </c>
      <c r="W28" s="329">
        <f>SUM(INDEX(ConLoan!$E$31:$NL$31,((W$22-1)*12+1)):INDEX(ConLoan!$E$31:$NL$31,((W$22-1)*12+1)+11))</f>
        <v/>
      </c>
      <c r="X28" s="329">
        <f>SUM(INDEX(ConLoan!$E$31:$NL$31,((X$22-1)*12+1)):INDEX(ConLoan!$E$31:$NL$31,((X$22-1)*12+1)+11))</f>
        <v/>
      </c>
      <c r="Y28" s="329">
        <f>SUM(INDEX(ConLoan!$E$31:$NL$31,((Y$22-1)*12+1)):INDEX(ConLoan!$E$31:$NL$31,((Y$22-1)*12+1)+11))</f>
        <v/>
      </c>
      <c r="Z28" s="329">
        <f>SUM(INDEX(ConLoan!$E$31:$NL$31,((Z$22-1)*12+1)):INDEX(ConLoan!$E$31:$NL$31,((Z$22-1)*12+1)+11))</f>
        <v/>
      </c>
      <c r="AA28" s="329">
        <f>SUM(INDEX(ConLoan!$E$31:$NL$31,((AA$22-1)*12+1)):INDEX(ConLoan!$E$31:$NL$31,((AA$22-1)*12+1)+11))</f>
        <v/>
      </c>
      <c r="AB28" s="329">
        <f>SUM(INDEX(ConLoan!$E$31:$NL$31,((AB$22-1)*12+1)):INDEX(ConLoan!$E$31:$NL$31,((AB$22-1)*12+1)+11))</f>
        <v/>
      </c>
      <c r="AC28" s="329">
        <f>SUM(INDEX(ConLoan!$E$31:$NL$31,((AC$22-1)*12+1)):INDEX(ConLoan!$E$31:$NL$31,((AC$22-1)*12+1)+11))</f>
        <v/>
      </c>
      <c r="AD28" s="329">
        <f>SUM(INDEX(ConLoan!$E$31:$NL$31,((AD$22-1)*12+1)):INDEX(ConLoan!$E$31:$NL$31,((AD$22-1)*12+1)+11))</f>
        <v/>
      </c>
      <c r="AE28" s="329">
        <f>SUM(INDEX(ConLoan!$E$31:$NL$31,((AE$22-1)*12+1)):INDEX(ConLoan!$E$31:$NL$31,((AE$22-1)*12+1)+11))</f>
        <v/>
      </c>
      <c r="AF28" s="329">
        <f>SUM(INDEX(ConLoan!$E$31:$NL$31,((AF$22-1)*12+1)):INDEX(ConLoan!$E$31:$NL$31,((AF$22-1)*12+1)+11))</f>
        <v/>
      </c>
      <c r="AG28" s="329">
        <f>SUM(INDEX(ConLoan!$E$31:$NL$31,((AG$22-1)*12+1)):INDEX(ConLoan!$E$31:$NL$31,((AG$22-1)*12+1)+11))</f>
        <v/>
      </c>
    </row>
    <row r="29">
      <c r="B29" s="316" t="inlineStr">
        <is>
          <t>Permanent Debt Service</t>
        </is>
      </c>
      <c r="C29" s="329">
        <f>SUM(INDEX(PermLoan!$E$29:$NL$29,((C$22-1)*12+1)):INDEX(PermLoan!$E$29:$NL$29,((C$22-1)*12+1)+11))</f>
        <v/>
      </c>
      <c r="D29" s="329">
        <f>SUM(INDEX(PermLoan!$E$29:$NL$29,((D$22-1)*12+1)):INDEX(PermLoan!$E$29:$NL$29,((D$22-1)*12+1)+11))</f>
        <v/>
      </c>
      <c r="E29" s="329">
        <f>SUM(INDEX(PermLoan!$E$29:$NL$29,((E$22-1)*12+1)):INDEX(PermLoan!$E$29:$NL$29,((E$22-1)*12+1)+11))</f>
        <v/>
      </c>
      <c r="F29" s="329">
        <f>SUM(INDEX(PermLoan!$E$29:$NL$29,((F$22-1)*12+1)):INDEX(PermLoan!$E$29:$NL$29,((F$22-1)*12+1)+11))</f>
        <v/>
      </c>
      <c r="G29" s="329">
        <f>SUM(INDEX(PermLoan!$E$29:$NL$29,((G$22-1)*12+1)):INDEX(PermLoan!$E$29:$NL$29,((G$22-1)*12+1)+11))</f>
        <v/>
      </c>
      <c r="H29" s="329">
        <f>SUM(INDEX(PermLoan!$E$29:$NL$29,((H$22-1)*12+1)):INDEX(PermLoan!$E$29:$NL$29,((H$22-1)*12+1)+11))</f>
        <v/>
      </c>
      <c r="I29" s="329">
        <f>SUM(INDEX(PermLoan!$E$29:$NL$29,((I$22-1)*12+1)):INDEX(PermLoan!$E$29:$NL$29,((I$22-1)*12+1)+11))</f>
        <v/>
      </c>
      <c r="J29" s="329">
        <f>SUM(INDEX(PermLoan!$E$29:$NL$29,((J$22-1)*12+1)):INDEX(PermLoan!$E$29:$NL$29,((J$22-1)*12+1)+11))</f>
        <v/>
      </c>
      <c r="K29" s="329">
        <f>SUM(INDEX(PermLoan!$E$29:$NL$29,((K$22-1)*12+1)):INDEX(PermLoan!$E$29:$NL$29,((K$22-1)*12+1)+11))</f>
        <v/>
      </c>
      <c r="L29" s="329">
        <f>SUM(INDEX(PermLoan!$E$29:$NL$29,((L$22-1)*12+1)):INDEX(PermLoan!$E$29:$NL$29,((L$22-1)*12+1)+11))</f>
        <v/>
      </c>
      <c r="M29" s="329">
        <f>SUM(INDEX(PermLoan!$E$29:$NL$29,((M$22-1)*12+1)):INDEX(PermLoan!$E$29:$NL$29,((M$22-1)*12+1)+11))</f>
        <v/>
      </c>
      <c r="N29" s="329">
        <f>SUM(INDEX(PermLoan!$E$29:$NL$29,((N$22-1)*12+1)):INDEX(PermLoan!$E$29:$NL$29,((N$22-1)*12+1)+11))</f>
        <v/>
      </c>
      <c r="O29" s="329">
        <f>SUM(INDEX(PermLoan!$E$29:$NL$29,((O$22-1)*12+1)):INDEX(PermLoan!$E$29:$NL$29,((O$22-1)*12+1)+11))</f>
        <v/>
      </c>
      <c r="P29" s="329">
        <f>SUM(INDEX(PermLoan!$E$29:$NL$29,((P$22-1)*12+1)):INDEX(PermLoan!$E$29:$NL$29,((P$22-1)*12+1)+11))</f>
        <v/>
      </c>
      <c r="Q29" s="329">
        <f>SUM(INDEX(PermLoan!$E$29:$NL$29,((Q$22-1)*12+1)):INDEX(PermLoan!$E$29:$NL$29,((Q$22-1)*12+1)+11))</f>
        <v/>
      </c>
      <c r="R29" s="329">
        <f>SUM(INDEX(PermLoan!$E$29:$NL$29,((R$22-1)*12+1)):INDEX(PermLoan!$E$29:$NL$29,((R$22-1)*12+1)+11))</f>
        <v/>
      </c>
      <c r="S29" s="329">
        <f>SUM(INDEX(PermLoan!$E$29:$NL$29,((S$22-1)*12+1)):INDEX(PermLoan!$E$29:$NL$29,((S$22-1)*12+1)+11))</f>
        <v/>
      </c>
      <c r="T29" s="329">
        <f>SUM(INDEX(PermLoan!$E$29:$NL$29,((T$22-1)*12+1)):INDEX(PermLoan!$E$29:$NL$29,((T$22-1)*12+1)+11))</f>
        <v/>
      </c>
      <c r="U29" s="329">
        <f>SUM(INDEX(PermLoan!$E$29:$NL$29,((U$22-1)*12+1)):INDEX(PermLoan!$E$29:$NL$29,((U$22-1)*12+1)+11))</f>
        <v/>
      </c>
      <c r="V29" s="329">
        <f>SUM(INDEX(PermLoan!$E$29:$NL$29,((V$22-1)*12+1)):INDEX(PermLoan!$E$29:$NL$29,((V$22-1)*12+1)+11))</f>
        <v/>
      </c>
      <c r="W29" s="329">
        <f>SUM(INDEX(PermLoan!$E$29:$NL$29,((W$22-1)*12+1)):INDEX(PermLoan!$E$29:$NL$29,((W$22-1)*12+1)+11))</f>
        <v/>
      </c>
      <c r="X29" s="329">
        <f>SUM(INDEX(PermLoan!$E$29:$NL$29,((X$22-1)*12+1)):INDEX(PermLoan!$E$29:$NL$29,((X$22-1)*12+1)+11))</f>
        <v/>
      </c>
      <c r="Y29" s="329">
        <f>SUM(INDEX(PermLoan!$E$29:$NL$29,((Y$22-1)*12+1)):INDEX(PermLoan!$E$29:$NL$29,((Y$22-1)*12+1)+11))</f>
        <v/>
      </c>
      <c r="Z29" s="329">
        <f>SUM(INDEX(PermLoan!$E$29:$NL$29,((Z$22-1)*12+1)):INDEX(PermLoan!$E$29:$NL$29,((Z$22-1)*12+1)+11))</f>
        <v/>
      </c>
      <c r="AA29" s="329">
        <f>SUM(INDEX(PermLoan!$E$29:$NL$29,((AA$22-1)*12+1)):INDEX(PermLoan!$E$29:$NL$29,((AA$22-1)*12+1)+11))</f>
        <v/>
      </c>
      <c r="AB29" s="329">
        <f>SUM(INDEX(PermLoan!$E$29:$NL$29,((AB$22-1)*12+1)):INDEX(PermLoan!$E$29:$NL$29,((AB$22-1)*12+1)+11))</f>
        <v/>
      </c>
      <c r="AC29" s="329">
        <f>SUM(INDEX(PermLoan!$E$29:$NL$29,((AC$22-1)*12+1)):INDEX(PermLoan!$E$29:$NL$29,((AC$22-1)*12+1)+11))</f>
        <v/>
      </c>
      <c r="AD29" s="329">
        <f>SUM(INDEX(PermLoan!$E$29:$NL$29,((AD$22-1)*12+1)):INDEX(PermLoan!$E$29:$NL$29,((AD$22-1)*12+1)+11))</f>
        <v/>
      </c>
      <c r="AE29" s="329">
        <f>SUM(INDEX(PermLoan!$E$29:$NL$29,((AE$22-1)*12+1)):INDEX(PermLoan!$E$29:$NL$29,((AE$22-1)*12+1)+11))</f>
        <v/>
      </c>
      <c r="AF29" s="329">
        <f>SUM(INDEX(PermLoan!$E$29:$NL$29,((AF$22-1)*12+1)):INDEX(PermLoan!$E$29:$NL$29,((AF$22-1)*12+1)+11))</f>
        <v/>
      </c>
      <c r="AG29" s="329">
        <f>SUM(INDEX(PermLoan!$E$29:$NL$29,((AG$22-1)*12+1)):INDEX(PermLoan!$E$29:$NL$29,((AG$22-1)*12+1)+11))</f>
        <v/>
      </c>
    </row>
    <row r="30">
      <c r="B30" s="316" t="inlineStr">
        <is>
          <t>Unlevered Cash Flow</t>
        </is>
      </c>
      <c r="C30" s="329">
        <f>SUM(INDEX(CashFlow!$E$7:$NL$7,((C$22-1)*12+1)):INDEX(CashFlow!$E$7:$NL$7,((C$22-1)*12+1)+11))</f>
        <v/>
      </c>
      <c r="D30" s="329">
        <f>SUM(INDEX(CashFlow!$E$7:$NL$7,((D$22-1)*12+1)):INDEX(CashFlow!$E$7:$NL$7,((D$22-1)*12+1)+11))</f>
        <v/>
      </c>
      <c r="E30" s="329">
        <f>SUM(INDEX(CashFlow!$E$7:$NL$7,((E$22-1)*12+1)):INDEX(CashFlow!$E$7:$NL$7,((E$22-1)*12+1)+11))</f>
        <v/>
      </c>
      <c r="F30" s="329">
        <f>SUM(INDEX(CashFlow!$E$7:$NL$7,((F$22-1)*12+1)):INDEX(CashFlow!$E$7:$NL$7,((F$22-1)*12+1)+11))</f>
        <v/>
      </c>
      <c r="G30" s="329">
        <f>SUM(INDEX(CashFlow!$E$7:$NL$7,((G$22-1)*12+1)):INDEX(CashFlow!$E$7:$NL$7,((G$22-1)*12+1)+11))</f>
        <v/>
      </c>
      <c r="H30" s="329">
        <f>SUM(INDEX(CashFlow!$E$7:$NL$7,((H$22-1)*12+1)):INDEX(CashFlow!$E$7:$NL$7,((H$22-1)*12+1)+11))</f>
        <v/>
      </c>
      <c r="I30" s="329">
        <f>SUM(INDEX(CashFlow!$E$7:$NL$7,((I$22-1)*12+1)):INDEX(CashFlow!$E$7:$NL$7,((I$22-1)*12+1)+11))</f>
        <v/>
      </c>
      <c r="J30" s="329">
        <f>SUM(INDEX(CashFlow!$E$7:$NL$7,((J$22-1)*12+1)):INDEX(CashFlow!$E$7:$NL$7,((J$22-1)*12+1)+11))</f>
        <v/>
      </c>
      <c r="K30" s="329">
        <f>SUM(INDEX(CashFlow!$E$7:$NL$7,((K$22-1)*12+1)):INDEX(CashFlow!$E$7:$NL$7,((K$22-1)*12+1)+11))</f>
        <v/>
      </c>
      <c r="L30" s="329">
        <f>SUM(INDEX(CashFlow!$E$7:$NL$7,((L$22-1)*12+1)):INDEX(CashFlow!$E$7:$NL$7,((L$22-1)*12+1)+11))</f>
        <v/>
      </c>
      <c r="M30" s="329">
        <f>SUM(INDEX(CashFlow!$E$7:$NL$7,((M$22-1)*12+1)):INDEX(CashFlow!$E$7:$NL$7,((M$22-1)*12+1)+11))</f>
        <v/>
      </c>
      <c r="N30" s="329">
        <f>SUM(INDEX(CashFlow!$E$7:$NL$7,((N$22-1)*12+1)):INDEX(CashFlow!$E$7:$NL$7,((N$22-1)*12+1)+11))</f>
        <v/>
      </c>
      <c r="O30" s="329">
        <f>SUM(INDEX(CashFlow!$E$7:$NL$7,((O$22-1)*12+1)):INDEX(CashFlow!$E$7:$NL$7,((O$22-1)*12+1)+11))</f>
        <v/>
      </c>
      <c r="P30" s="329">
        <f>SUM(INDEX(CashFlow!$E$7:$NL$7,((P$22-1)*12+1)):INDEX(CashFlow!$E$7:$NL$7,((P$22-1)*12+1)+11))</f>
        <v/>
      </c>
      <c r="Q30" s="329">
        <f>SUM(INDEX(CashFlow!$E$7:$NL$7,((Q$22-1)*12+1)):INDEX(CashFlow!$E$7:$NL$7,((Q$22-1)*12+1)+11))</f>
        <v/>
      </c>
      <c r="R30" s="329">
        <f>SUM(INDEX(CashFlow!$E$7:$NL$7,((R$22-1)*12+1)):INDEX(CashFlow!$E$7:$NL$7,((R$22-1)*12+1)+11))</f>
        <v/>
      </c>
      <c r="S30" s="329">
        <f>SUM(INDEX(CashFlow!$E$7:$NL$7,((S$22-1)*12+1)):INDEX(CashFlow!$E$7:$NL$7,((S$22-1)*12+1)+11))</f>
        <v/>
      </c>
      <c r="T30" s="329">
        <f>SUM(INDEX(CashFlow!$E$7:$NL$7,((T$22-1)*12+1)):INDEX(CashFlow!$E$7:$NL$7,((T$22-1)*12+1)+11))</f>
        <v/>
      </c>
      <c r="U30" s="329">
        <f>SUM(INDEX(CashFlow!$E$7:$NL$7,((U$22-1)*12+1)):INDEX(CashFlow!$E$7:$NL$7,((U$22-1)*12+1)+11))</f>
        <v/>
      </c>
      <c r="V30" s="329">
        <f>SUM(INDEX(CashFlow!$E$7:$NL$7,((V$22-1)*12+1)):INDEX(CashFlow!$E$7:$NL$7,((V$22-1)*12+1)+11))</f>
        <v/>
      </c>
      <c r="W30" s="329">
        <f>SUM(INDEX(CashFlow!$E$7:$NL$7,((W$22-1)*12+1)):INDEX(CashFlow!$E$7:$NL$7,((W$22-1)*12+1)+11))</f>
        <v/>
      </c>
      <c r="X30" s="329">
        <f>SUM(INDEX(CashFlow!$E$7:$NL$7,((X$22-1)*12+1)):INDEX(CashFlow!$E$7:$NL$7,((X$22-1)*12+1)+11))</f>
        <v/>
      </c>
      <c r="Y30" s="329">
        <f>SUM(INDEX(CashFlow!$E$7:$NL$7,((Y$22-1)*12+1)):INDEX(CashFlow!$E$7:$NL$7,((Y$22-1)*12+1)+11))</f>
        <v/>
      </c>
      <c r="Z30" s="329">
        <f>SUM(INDEX(CashFlow!$E$7:$NL$7,((Z$22-1)*12+1)):INDEX(CashFlow!$E$7:$NL$7,((Z$22-1)*12+1)+11))</f>
        <v/>
      </c>
      <c r="AA30" s="329">
        <f>SUM(INDEX(CashFlow!$E$7:$NL$7,((AA$22-1)*12+1)):INDEX(CashFlow!$E$7:$NL$7,((AA$22-1)*12+1)+11))</f>
        <v/>
      </c>
      <c r="AB30" s="329">
        <f>SUM(INDEX(CashFlow!$E$7:$NL$7,((AB$22-1)*12+1)):INDEX(CashFlow!$E$7:$NL$7,((AB$22-1)*12+1)+11))</f>
        <v/>
      </c>
      <c r="AC30" s="329">
        <f>SUM(INDEX(CashFlow!$E$7:$NL$7,((AC$22-1)*12+1)):INDEX(CashFlow!$E$7:$NL$7,((AC$22-1)*12+1)+11))</f>
        <v/>
      </c>
      <c r="AD30" s="329">
        <f>SUM(INDEX(CashFlow!$E$7:$NL$7,((AD$22-1)*12+1)):INDEX(CashFlow!$E$7:$NL$7,((AD$22-1)*12+1)+11))</f>
        <v/>
      </c>
      <c r="AE30" s="329">
        <f>SUM(INDEX(CashFlow!$E$7:$NL$7,((AE$22-1)*12+1)):INDEX(CashFlow!$E$7:$NL$7,((AE$22-1)*12+1)+11))</f>
        <v/>
      </c>
      <c r="AF30" s="329">
        <f>SUM(INDEX(CashFlow!$E$7:$NL$7,((AF$22-1)*12+1)):INDEX(CashFlow!$E$7:$NL$7,((AF$22-1)*12+1)+11))</f>
        <v/>
      </c>
      <c r="AG30" s="329">
        <f>SUM(INDEX(CashFlow!$E$7:$NL$7,((AG$22-1)*12+1)):INDEX(CashFlow!$E$7:$NL$7,((AG$22-1)*12+1)+11))</f>
        <v/>
      </c>
    </row>
    <row r="31">
      <c r="B31" s="316" t="inlineStr">
        <is>
          <t>Levered Cash Flow</t>
        </is>
      </c>
      <c r="C31" s="329">
        <f>SUM(INDEX(CashFlow!$E$6:$NL$6,((C$22-1)*12+1)):INDEX(CashFlow!$E$6:$NL$6,((C$22-1)*12+1)+11))</f>
        <v/>
      </c>
      <c r="D31" s="329">
        <f>SUM(INDEX(CashFlow!$E$6:$NL$6,((D$22-1)*12+1)):INDEX(CashFlow!$E$6:$NL$6,((D$22-1)*12+1)+11))</f>
        <v/>
      </c>
      <c r="E31" s="329">
        <f>SUM(INDEX(CashFlow!$E$6:$NL$6,((E$22-1)*12+1)):INDEX(CashFlow!$E$6:$NL$6,((E$22-1)*12+1)+11))</f>
        <v/>
      </c>
      <c r="F31" s="329">
        <f>SUM(INDEX(CashFlow!$E$6:$NL$6,((F$22-1)*12+1)):INDEX(CashFlow!$E$6:$NL$6,((F$22-1)*12+1)+11))</f>
        <v/>
      </c>
      <c r="G31" s="329">
        <f>SUM(INDEX(CashFlow!$E$6:$NL$6,((G$22-1)*12+1)):INDEX(CashFlow!$E$6:$NL$6,((G$22-1)*12+1)+11))</f>
        <v/>
      </c>
      <c r="H31" s="329">
        <f>SUM(INDEX(CashFlow!$E$6:$NL$6,((H$22-1)*12+1)):INDEX(CashFlow!$E$6:$NL$6,((H$22-1)*12+1)+11))</f>
        <v/>
      </c>
      <c r="I31" s="329">
        <f>SUM(INDEX(CashFlow!$E$6:$NL$6,((I$22-1)*12+1)):INDEX(CashFlow!$E$6:$NL$6,((I$22-1)*12+1)+11))</f>
        <v/>
      </c>
      <c r="J31" s="329">
        <f>SUM(INDEX(CashFlow!$E$6:$NL$6,((J$22-1)*12+1)):INDEX(CashFlow!$E$6:$NL$6,((J$22-1)*12+1)+11))</f>
        <v/>
      </c>
      <c r="K31" s="329">
        <f>SUM(INDEX(CashFlow!$E$6:$NL$6,((K$22-1)*12+1)):INDEX(CashFlow!$E$6:$NL$6,((K$22-1)*12+1)+11))</f>
        <v/>
      </c>
      <c r="L31" s="329">
        <f>SUM(INDEX(CashFlow!$E$6:$NL$6,((L$22-1)*12+1)):INDEX(CashFlow!$E$6:$NL$6,((L$22-1)*12+1)+11))</f>
        <v/>
      </c>
      <c r="M31" s="329">
        <f>SUM(INDEX(CashFlow!$E$6:$NL$6,((M$22-1)*12+1)):INDEX(CashFlow!$E$6:$NL$6,((M$22-1)*12+1)+11))</f>
        <v/>
      </c>
      <c r="N31" s="329">
        <f>SUM(INDEX(CashFlow!$E$6:$NL$6,((N$22-1)*12+1)):INDEX(CashFlow!$E$6:$NL$6,((N$22-1)*12+1)+11))</f>
        <v/>
      </c>
      <c r="O31" s="329">
        <f>SUM(INDEX(CashFlow!$E$6:$NL$6,((O$22-1)*12+1)):INDEX(CashFlow!$E$6:$NL$6,((O$22-1)*12+1)+11))</f>
        <v/>
      </c>
      <c r="P31" s="329">
        <f>SUM(INDEX(CashFlow!$E$6:$NL$6,((P$22-1)*12+1)):INDEX(CashFlow!$E$6:$NL$6,((P$22-1)*12+1)+11))</f>
        <v/>
      </c>
      <c r="Q31" s="329">
        <f>SUM(INDEX(CashFlow!$E$6:$NL$6,((Q$22-1)*12+1)):INDEX(CashFlow!$E$6:$NL$6,((Q$22-1)*12+1)+11))</f>
        <v/>
      </c>
      <c r="R31" s="329">
        <f>SUM(INDEX(CashFlow!$E$6:$NL$6,((R$22-1)*12+1)):INDEX(CashFlow!$E$6:$NL$6,((R$22-1)*12+1)+11))</f>
        <v/>
      </c>
      <c r="S31" s="329">
        <f>SUM(INDEX(CashFlow!$E$6:$NL$6,((S$22-1)*12+1)):INDEX(CashFlow!$E$6:$NL$6,((S$22-1)*12+1)+11))</f>
        <v/>
      </c>
      <c r="T31" s="329">
        <f>SUM(INDEX(CashFlow!$E$6:$NL$6,((T$22-1)*12+1)):INDEX(CashFlow!$E$6:$NL$6,((T$22-1)*12+1)+11))</f>
        <v/>
      </c>
      <c r="U31" s="329">
        <f>SUM(INDEX(CashFlow!$E$6:$NL$6,((U$22-1)*12+1)):INDEX(CashFlow!$E$6:$NL$6,((U$22-1)*12+1)+11))</f>
        <v/>
      </c>
      <c r="V31" s="329">
        <f>SUM(INDEX(CashFlow!$E$6:$NL$6,((V$22-1)*12+1)):INDEX(CashFlow!$E$6:$NL$6,((V$22-1)*12+1)+11))</f>
        <v/>
      </c>
      <c r="W31" s="329">
        <f>SUM(INDEX(CashFlow!$E$6:$NL$6,((W$22-1)*12+1)):INDEX(CashFlow!$E$6:$NL$6,((W$22-1)*12+1)+11))</f>
        <v/>
      </c>
      <c r="X31" s="329">
        <f>SUM(INDEX(CashFlow!$E$6:$NL$6,((X$22-1)*12+1)):INDEX(CashFlow!$E$6:$NL$6,((X$22-1)*12+1)+11))</f>
        <v/>
      </c>
      <c r="Y31" s="329">
        <f>SUM(INDEX(CashFlow!$E$6:$NL$6,((Y$22-1)*12+1)):INDEX(CashFlow!$E$6:$NL$6,((Y$22-1)*12+1)+11))</f>
        <v/>
      </c>
      <c r="Z31" s="329">
        <f>SUM(INDEX(CashFlow!$E$6:$NL$6,((Z$22-1)*12+1)):INDEX(CashFlow!$E$6:$NL$6,((Z$22-1)*12+1)+11))</f>
        <v/>
      </c>
      <c r="AA31" s="329">
        <f>SUM(INDEX(CashFlow!$E$6:$NL$6,((AA$22-1)*12+1)):INDEX(CashFlow!$E$6:$NL$6,((AA$22-1)*12+1)+11))</f>
        <v/>
      </c>
      <c r="AB31" s="329">
        <f>SUM(INDEX(CashFlow!$E$6:$NL$6,((AB$22-1)*12+1)):INDEX(CashFlow!$E$6:$NL$6,((AB$22-1)*12+1)+11))</f>
        <v/>
      </c>
      <c r="AC31" s="329">
        <f>SUM(INDEX(CashFlow!$E$6:$NL$6,((AC$22-1)*12+1)):INDEX(CashFlow!$E$6:$NL$6,((AC$22-1)*12+1)+11))</f>
        <v/>
      </c>
      <c r="AD31" s="329">
        <f>SUM(INDEX(CashFlow!$E$6:$NL$6,((AD$22-1)*12+1)):INDEX(CashFlow!$E$6:$NL$6,((AD$22-1)*12+1)+11))</f>
        <v/>
      </c>
      <c r="AE31" s="329">
        <f>SUM(INDEX(CashFlow!$E$6:$NL$6,((AE$22-1)*12+1)):INDEX(CashFlow!$E$6:$NL$6,((AE$22-1)*12+1)+11))</f>
        <v/>
      </c>
      <c r="AF31" s="329">
        <f>SUM(INDEX(CashFlow!$E$6:$NL$6,((AF$22-1)*12+1)):INDEX(CashFlow!$E$6:$NL$6,((AF$22-1)*12+1)+11))</f>
        <v/>
      </c>
      <c r="AG31" s="329">
        <f>SUM(INDEX(CashFlow!$E$6:$NL$6,((AG$22-1)*12+1)):INDEX(CashFlow!$E$6:$NL$6,((AG$22-1)*12+1)+11))</f>
        <v/>
      </c>
    </row>
    <row r="32">
      <c r="B32" s="316" t="inlineStr">
        <is>
          <t>Construction Loan Balance (EOY)</t>
        </is>
      </c>
      <c r="C32" s="329">
        <f>INDEX(ConLoan!$E$32:$NL$32,((C$22-1)*12+1)+11)</f>
        <v/>
      </c>
      <c r="D32" s="329">
        <f>INDEX(ConLoan!$E$32:$NL$32,((D$22-1)*12+1)+11)</f>
        <v/>
      </c>
      <c r="E32" s="329">
        <f>INDEX(ConLoan!$E$32:$NL$32,((E$22-1)*12+1)+11)</f>
        <v/>
      </c>
      <c r="F32" s="329">
        <f>INDEX(ConLoan!$E$32:$NL$32,((F$22-1)*12+1)+11)</f>
        <v/>
      </c>
      <c r="G32" s="329">
        <f>INDEX(ConLoan!$E$32:$NL$32,((G$22-1)*12+1)+11)</f>
        <v/>
      </c>
      <c r="H32" s="329">
        <f>INDEX(ConLoan!$E$32:$NL$32,((H$22-1)*12+1)+11)</f>
        <v/>
      </c>
      <c r="I32" s="329">
        <f>INDEX(ConLoan!$E$32:$NL$32,((I$22-1)*12+1)+11)</f>
        <v/>
      </c>
      <c r="J32" s="329">
        <f>INDEX(ConLoan!$E$32:$NL$32,((J$22-1)*12+1)+11)</f>
        <v/>
      </c>
      <c r="K32" s="329">
        <f>INDEX(ConLoan!$E$32:$NL$32,((K$22-1)*12+1)+11)</f>
        <v/>
      </c>
      <c r="L32" s="329">
        <f>INDEX(ConLoan!$E$32:$NL$32,((L$22-1)*12+1)+11)</f>
        <v/>
      </c>
      <c r="M32" s="329">
        <f>INDEX(ConLoan!$E$32:$NL$32,((M$22-1)*12+1)+11)</f>
        <v/>
      </c>
      <c r="N32" s="329">
        <f>INDEX(ConLoan!$E$32:$NL$32,((N$22-1)*12+1)+11)</f>
        <v/>
      </c>
      <c r="O32" s="329">
        <f>INDEX(ConLoan!$E$32:$NL$32,((O$22-1)*12+1)+11)</f>
        <v/>
      </c>
      <c r="P32" s="329">
        <f>INDEX(ConLoan!$E$32:$NL$32,((P$22-1)*12+1)+11)</f>
        <v/>
      </c>
      <c r="Q32" s="329">
        <f>INDEX(ConLoan!$E$32:$NL$32,((Q$22-1)*12+1)+11)</f>
        <v/>
      </c>
      <c r="R32" s="329">
        <f>INDEX(ConLoan!$E$32:$NL$32,((R$22-1)*12+1)+11)</f>
        <v/>
      </c>
      <c r="S32" s="329">
        <f>INDEX(ConLoan!$E$32:$NL$32,((S$22-1)*12+1)+11)</f>
        <v/>
      </c>
      <c r="T32" s="329">
        <f>INDEX(ConLoan!$E$32:$NL$32,((T$22-1)*12+1)+11)</f>
        <v/>
      </c>
      <c r="U32" s="329">
        <f>INDEX(ConLoan!$E$32:$NL$32,((U$22-1)*12+1)+11)</f>
        <v/>
      </c>
      <c r="V32" s="329">
        <f>INDEX(ConLoan!$E$32:$NL$32,((V$22-1)*12+1)+11)</f>
        <v/>
      </c>
      <c r="W32" s="329">
        <f>INDEX(ConLoan!$E$32:$NL$32,((W$22-1)*12+1)+11)</f>
        <v/>
      </c>
      <c r="X32" s="329">
        <f>INDEX(ConLoan!$E$32:$NL$32,((X$22-1)*12+1)+11)</f>
        <v/>
      </c>
      <c r="Y32" s="329">
        <f>INDEX(ConLoan!$E$32:$NL$32,((Y$22-1)*12+1)+11)</f>
        <v/>
      </c>
      <c r="Z32" s="329">
        <f>INDEX(ConLoan!$E$32:$NL$32,((Z$22-1)*12+1)+11)</f>
        <v/>
      </c>
      <c r="AA32" s="329">
        <f>INDEX(ConLoan!$E$32:$NL$32,((AA$22-1)*12+1)+11)</f>
        <v/>
      </c>
      <c r="AB32" s="329">
        <f>INDEX(ConLoan!$E$32:$NL$32,((AB$22-1)*12+1)+11)</f>
        <v/>
      </c>
      <c r="AC32" s="329">
        <f>INDEX(ConLoan!$E$32:$NL$32,((AC$22-1)*12+1)+11)</f>
        <v/>
      </c>
      <c r="AD32" s="329">
        <f>INDEX(ConLoan!$E$32:$NL$32,((AD$22-1)*12+1)+11)</f>
        <v/>
      </c>
      <c r="AE32" s="329">
        <f>INDEX(ConLoan!$E$32:$NL$32,((AE$22-1)*12+1)+11)</f>
        <v/>
      </c>
      <c r="AF32" s="329">
        <f>INDEX(ConLoan!$E$32:$NL$32,((AF$22-1)*12+1)+11)</f>
        <v/>
      </c>
      <c r="AG32" s="329">
        <f>INDEX(ConLoan!$E$32:$NL$32,((AG$22-1)*12+1)+11)</f>
        <v/>
      </c>
    </row>
    <row r="33">
      <c r="B33" s="316" t="inlineStr">
        <is>
          <t>Permanent Loan Balance (EOY)</t>
        </is>
      </c>
      <c r="C33" s="329">
        <f>INDEX(PermLoan!$E$30:$NL$30,((C$22-1)*12+1)+11)</f>
        <v/>
      </c>
      <c r="D33" s="329">
        <f>INDEX(PermLoan!$E$30:$NL$30,((D$22-1)*12+1)+11)</f>
        <v/>
      </c>
      <c r="E33" s="329">
        <f>INDEX(PermLoan!$E$30:$NL$30,((E$22-1)*12+1)+11)</f>
        <v/>
      </c>
      <c r="F33" s="329">
        <f>INDEX(PermLoan!$E$30:$NL$30,((F$22-1)*12+1)+11)</f>
        <v/>
      </c>
      <c r="G33" s="329">
        <f>INDEX(PermLoan!$E$30:$NL$30,((G$22-1)*12+1)+11)</f>
        <v/>
      </c>
      <c r="H33" s="329">
        <f>INDEX(PermLoan!$E$30:$NL$30,((H$22-1)*12+1)+11)</f>
        <v/>
      </c>
      <c r="I33" s="329">
        <f>INDEX(PermLoan!$E$30:$NL$30,((I$22-1)*12+1)+11)</f>
        <v/>
      </c>
      <c r="J33" s="329">
        <f>INDEX(PermLoan!$E$30:$NL$30,((J$22-1)*12+1)+11)</f>
        <v/>
      </c>
      <c r="K33" s="329">
        <f>INDEX(PermLoan!$E$30:$NL$30,((K$22-1)*12+1)+11)</f>
        <v/>
      </c>
      <c r="L33" s="329">
        <f>INDEX(PermLoan!$E$30:$NL$30,((L$22-1)*12+1)+11)</f>
        <v/>
      </c>
      <c r="M33" s="329">
        <f>INDEX(PermLoan!$E$30:$NL$30,((M$22-1)*12+1)+11)</f>
        <v/>
      </c>
      <c r="N33" s="329">
        <f>INDEX(PermLoan!$E$30:$NL$30,((N$22-1)*12+1)+11)</f>
        <v/>
      </c>
      <c r="O33" s="329">
        <f>INDEX(PermLoan!$E$30:$NL$30,((O$22-1)*12+1)+11)</f>
        <v/>
      </c>
      <c r="P33" s="329">
        <f>INDEX(PermLoan!$E$30:$NL$30,((P$22-1)*12+1)+11)</f>
        <v/>
      </c>
      <c r="Q33" s="329">
        <f>INDEX(PermLoan!$E$30:$NL$30,((Q$22-1)*12+1)+11)</f>
        <v/>
      </c>
      <c r="R33" s="329">
        <f>INDEX(PermLoan!$E$30:$NL$30,((R$22-1)*12+1)+11)</f>
        <v/>
      </c>
      <c r="S33" s="329">
        <f>INDEX(PermLoan!$E$30:$NL$30,((S$22-1)*12+1)+11)</f>
        <v/>
      </c>
      <c r="T33" s="329">
        <f>INDEX(PermLoan!$E$30:$NL$30,((T$22-1)*12+1)+11)</f>
        <v/>
      </c>
      <c r="U33" s="329">
        <f>INDEX(PermLoan!$E$30:$NL$30,((U$22-1)*12+1)+11)</f>
        <v/>
      </c>
      <c r="V33" s="329">
        <f>INDEX(PermLoan!$E$30:$NL$30,((V$22-1)*12+1)+11)</f>
        <v/>
      </c>
      <c r="W33" s="329">
        <f>INDEX(PermLoan!$E$30:$NL$30,((W$22-1)*12+1)+11)</f>
        <v/>
      </c>
      <c r="X33" s="329">
        <f>INDEX(PermLoan!$E$30:$NL$30,((X$22-1)*12+1)+11)</f>
        <v/>
      </c>
      <c r="Y33" s="329">
        <f>INDEX(PermLoan!$E$30:$NL$30,((Y$22-1)*12+1)+11)</f>
        <v/>
      </c>
      <c r="Z33" s="329">
        <f>INDEX(PermLoan!$E$30:$NL$30,((Z$22-1)*12+1)+11)</f>
        <v/>
      </c>
      <c r="AA33" s="329">
        <f>INDEX(PermLoan!$E$30:$NL$30,((AA$22-1)*12+1)+11)</f>
        <v/>
      </c>
      <c r="AB33" s="329">
        <f>INDEX(PermLoan!$E$30:$NL$30,((AB$22-1)*12+1)+11)</f>
        <v/>
      </c>
      <c r="AC33" s="329">
        <f>INDEX(PermLoan!$E$30:$NL$30,((AC$22-1)*12+1)+11)</f>
        <v/>
      </c>
      <c r="AD33" s="329">
        <f>INDEX(PermLoan!$E$30:$NL$30,((AD$22-1)*12+1)+11)</f>
        <v/>
      </c>
      <c r="AE33" s="329">
        <f>INDEX(PermLoan!$E$30:$NL$30,((AE$22-1)*12+1)+11)</f>
        <v/>
      </c>
      <c r="AF33" s="329">
        <f>INDEX(PermLoan!$E$30:$NL$30,((AF$22-1)*12+1)+11)</f>
        <v/>
      </c>
      <c r="AG33" s="329">
        <f>INDEX(PermLoan!$E$30:$NL$30,((AG$22-1)*12+1)+11)</f>
        <v/>
      </c>
    </row>
    <row r="34">
      <c r="B34" s="316" t="inlineStr">
        <is>
          <t>Physical Occupancy (EOY)</t>
        </is>
      </c>
      <c r="C34" s="333">
        <f>INDEX(LeaseUp!$E$10:$NL$10,((C$22-1)*12+1)+11)</f>
        <v/>
      </c>
      <c r="D34" s="333">
        <f>INDEX(LeaseUp!$E$10:$NL$10,((D$22-1)*12+1)+11)</f>
        <v/>
      </c>
      <c r="E34" s="333">
        <f>INDEX(LeaseUp!$E$10:$NL$10,((E$22-1)*12+1)+11)</f>
        <v/>
      </c>
      <c r="F34" s="333">
        <f>INDEX(LeaseUp!$E$10:$NL$10,((F$22-1)*12+1)+11)</f>
        <v/>
      </c>
      <c r="G34" s="333">
        <f>INDEX(LeaseUp!$E$10:$NL$10,((G$22-1)*12+1)+11)</f>
        <v/>
      </c>
      <c r="H34" s="333">
        <f>INDEX(LeaseUp!$E$10:$NL$10,((H$22-1)*12+1)+11)</f>
        <v/>
      </c>
      <c r="I34" s="333">
        <f>INDEX(LeaseUp!$E$10:$NL$10,((I$22-1)*12+1)+11)</f>
        <v/>
      </c>
      <c r="J34" s="333">
        <f>INDEX(LeaseUp!$E$10:$NL$10,((J$22-1)*12+1)+11)</f>
        <v/>
      </c>
      <c r="K34" s="333">
        <f>INDEX(LeaseUp!$E$10:$NL$10,((K$22-1)*12+1)+11)</f>
        <v/>
      </c>
      <c r="L34" s="333">
        <f>INDEX(LeaseUp!$E$10:$NL$10,((L$22-1)*12+1)+11)</f>
        <v/>
      </c>
      <c r="M34" s="333">
        <f>INDEX(LeaseUp!$E$10:$NL$10,((M$22-1)*12+1)+11)</f>
        <v/>
      </c>
      <c r="N34" s="333">
        <f>INDEX(LeaseUp!$E$10:$NL$10,((N$22-1)*12+1)+11)</f>
        <v/>
      </c>
      <c r="O34" s="333">
        <f>INDEX(LeaseUp!$E$10:$NL$10,((O$22-1)*12+1)+11)</f>
        <v/>
      </c>
      <c r="P34" s="333">
        <f>INDEX(LeaseUp!$E$10:$NL$10,((P$22-1)*12+1)+11)</f>
        <v/>
      </c>
      <c r="Q34" s="333">
        <f>INDEX(LeaseUp!$E$10:$NL$10,((Q$22-1)*12+1)+11)</f>
        <v/>
      </c>
      <c r="R34" s="333">
        <f>INDEX(LeaseUp!$E$10:$NL$10,((R$22-1)*12+1)+11)</f>
        <v/>
      </c>
      <c r="S34" s="333">
        <f>INDEX(LeaseUp!$E$10:$NL$10,((S$22-1)*12+1)+11)</f>
        <v/>
      </c>
      <c r="T34" s="333">
        <f>INDEX(LeaseUp!$E$10:$NL$10,((T$22-1)*12+1)+11)</f>
        <v/>
      </c>
      <c r="U34" s="333">
        <f>INDEX(LeaseUp!$E$10:$NL$10,((U$22-1)*12+1)+11)</f>
        <v/>
      </c>
      <c r="V34" s="333">
        <f>INDEX(LeaseUp!$E$10:$NL$10,((V$22-1)*12+1)+11)</f>
        <v/>
      </c>
      <c r="W34" s="333">
        <f>INDEX(LeaseUp!$E$10:$NL$10,((W$22-1)*12+1)+11)</f>
        <v/>
      </c>
      <c r="X34" s="333">
        <f>INDEX(LeaseUp!$E$10:$NL$10,((X$22-1)*12+1)+11)</f>
        <v/>
      </c>
      <c r="Y34" s="333">
        <f>INDEX(LeaseUp!$E$10:$NL$10,((Y$22-1)*12+1)+11)</f>
        <v/>
      </c>
      <c r="Z34" s="333">
        <f>INDEX(LeaseUp!$E$10:$NL$10,((Z$22-1)*12+1)+11)</f>
        <v/>
      </c>
      <c r="AA34" s="333">
        <f>INDEX(LeaseUp!$E$10:$NL$10,((AA$22-1)*12+1)+11)</f>
        <v/>
      </c>
      <c r="AB34" s="333">
        <f>INDEX(LeaseUp!$E$10:$NL$10,((AB$22-1)*12+1)+11)</f>
        <v/>
      </c>
      <c r="AC34" s="333">
        <f>INDEX(LeaseUp!$E$10:$NL$10,((AC$22-1)*12+1)+11)</f>
        <v/>
      </c>
      <c r="AD34" s="333">
        <f>INDEX(LeaseUp!$E$10:$NL$10,((AD$22-1)*12+1)+11)</f>
        <v/>
      </c>
      <c r="AE34" s="333">
        <f>INDEX(LeaseUp!$E$10:$NL$10,((AE$22-1)*12+1)+11)</f>
        <v/>
      </c>
      <c r="AF34" s="333">
        <f>INDEX(LeaseUp!$E$10:$NL$10,((AF$22-1)*12+1)+11)</f>
        <v/>
      </c>
      <c r="AG34" s="333">
        <f>INDEX(LeaseUp!$E$10:$NL$10,((AG$22-1)*12+1)+11)</f>
        <v/>
      </c>
    </row>
    <row r="36">
      <c r="B36" s="328" t="inlineStr">
        <is>
          <t>Check: ΣAnnual NOI − monthly total</t>
        </is>
      </c>
      <c r="C36" s="334">
        <f>SUM(C27:AG27)-Operating!$D$38</f>
        <v/>
      </c>
    </row>
  </sheetData>
  <conditionalFormatting sqref="C5:C4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B1:H47"/>
  <sheetViews>
    <sheetView showGridLines="0"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.7" customWidth="1" style="97" min="1" max="1"/>
    <col width="32" customWidth="1" style="97" min="2" max="2"/>
    <col width="14" customWidth="1" style="97" min="3" max="3"/>
    <col width="11" customWidth="1" style="97" min="4" max="4"/>
    <col width="12" customWidth="1" style="97" min="5" max="5"/>
    <col width="13" customWidth="1" style="97" min="6" max="6"/>
    <col width="14" customWidth="1" style="97" min="7" max="7"/>
    <col width="15" customWidth="1" style="97" min="8" max="8"/>
  </cols>
  <sheetData>
    <row r="1">
      <c r="B1" s="187" t="inlineStr">
        <is>
          <t>Stabilized Operating Proforma — Untrended</t>
        </is>
      </c>
    </row>
    <row r="2">
      <c r="B2" s="188">
        <f>""&amp;PropertyName&amp;"  •  "&amp;City&amp;", "&amp;State&amp;"  •  point-in-time at stabilized occupancy (no growth trending)"</f>
        <v/>
      </c>
    </row>
    <row r="4">
      <c r="B4" s="327" t="inlineStr">
        <is>
          <t>Basis</t>
        </is>
      </c>
      <c r="C4" s="155" t="n"/>
      <c r="D4" s="155" t="n"/>
      <c r="E4" s="155" t="n"/>
      <c r="F4" s="155" t="n"/>
      <c r="G4" s="155" t="n"/>
      <c r="H4" s="155" t="n"/>
    </row>
    <row r="5">
      <c r="B5" s="316" t="inlineStr">
        <is>
          <t>Total Units</t>
        </is>
      </c>
      <c r="C5" s="191">
        <f>TotalUnits</f>
        <v/>
      </c>
      <c r="E5" s="316" t="inlineStr">
        <is>
          <t>Occupied Units (stab)</t>
        </is>
      </c>
      <c r="F5" s="191">
        <f>StabLeasedTarget</f>
        <v/>
      </c>
    </row>
    <row r="6">
      <c r="B6" s="316" t="inlineStr">
        <is>
          <t>Net Rentable SF</t>
        </is>
      </c>
      <c r="C6" s="191">
        <f>NRSF</f>
        <v/>
      </c>
      <c r="E6" s="316" t="inlineStr">
        <is>
          <t>Stabilized Occupancy</t>
        </is>
      </c>
      <c r="F6" s="193">
        <f>StabilizedOccupancy</f>
        <v/>
      </c>
    </row>
    <row r="7">
      <c r="B7" s="316" t="inlineStr">
        <is>
          <t>Avg Unit SF</t>
        </is>
      </c>
      <c r="C7" s="191">
        <f>AvgUnitSF</f>
        <v/>
      </c>
      <c r="E7" s="316" t="inlineStr">
        <is>
          <t>Effective Tax Rate on Value</t>
        </is>
      </c>
      <c r="F7" s="278">
        <f>EffTaxRateOnValue</f>
        <v/>
      </c>
    </row>
    <row r="10">
      <c r="B10" s="319" t="inlineStr">
        <is>
          <t>Untrended Stabilized Proforma</t>
        </is>
      </c>
      <c r="C10" s="196" t="inlineStr">
        <is>
          <t>% of / amt</t>
        </is>
      </c>
      <c r="D10" s="196" t="inlineStr">
        <is>
          <t>$ / SF /mo</t>
        </is>
      </c>
      <c r="E10" s="196" t="inlineStr">
        <is>
          <t>$ / Unit /mo</t>
        </is>
      </c>
      <c r="F10" s="196" t="inlineStr">
        <is>
          <t>$ / Month</t>
        </is>
      </c>
      <c r="G10" s="196" t="inlineStr">
        <is>
          <t>$ / Year</t>
        </is>
      </c>
      <c r="H10" s="196" t="inlineStr">
        <is>
          <t>Trended $/yr (ref)</t>
        </is>
      </c>
    </row>
    <row r="11">
      <c r="B11" s="327" t="inlineStr">
        <is>
          <t>Revenue</t>
        </is>
      </c>
      <c r="C11" s="155" t="n"/>
      <c r="D11" s="155" t="n"/>
      <c r="E11" s="155" t="n"/>
      <c r="F11" s="155" t="n"/>
      <c r="G11" s="155" t="n"/>
      <c r="H11" s="155" t="n"/>
    </row>
    <row r="12">
      <c r="B12" s="316" t="inlineStr">
        <is>
          <t>Gross Potential Rent</t>
        </is>
      </c>
      <c r="C12" s="199">
        <f>(BaseMarketRentMo+BaseLowRentMo)/TotalUnits</f>
        <v/>
      </c>
      <c r="D12" s="279">
        <f>IF(NRSF=0,0,G12/12/NRSF)</f>
        <v/>
      </c>
      <c r="E12" s="280">
        <f>IF(TotalUnits=0,0,G12/12/TotalUnits)</f>
        <v/>
      </c>
      <c r="F12" s="280">
        <f>G12/12</f>
        <v/>
      </c>
      <c r="G12" s="280">
        <f>(BaseMarketRentMo+BaseLowRentMo)*12</f>
        <v/>
      </c>
      <c r="H12" s="281">
        <f>SUM(INDEX(Operating!$E$14:$NL$14,StabMonth):INDEX(Operating!$E$14:$NL$14,StabMonth+11))</f>
        <v/>
      </c>
    </row>
    <row r="13">
      <c r="B13" s="316" t="inlineStr">
        <is>
          <t>Vacancy Loss</t>
        </is>
      </c>
      <c r="C13" s="193">
        <f>-(1-StabilizedOccupancy)</f>
        <v/>
      </c>
      <c r="D13" s="279">
        <f>IF(NRSF=0,0,G13/12/NRSF)</f>
        <v/>
      </c>
      <c r="E13" s="280">
        <f>IF(TotalUnits=0,0,G13/12/TotalUnits)</f>
        <v/>
      </c>
      <c r="F13" s="280">
        <f>G13/12</f>
        <v/>
      </c>
      <c r="G13" s="280">
        <f>-G12*(1-StabilizedOccupancy)</f>
        <v/>
      </c>
      <c r="H13" s="281">
        <f>SUM(INDEX(Operating!$E$15:$NL$15,StabMonth):INDEX(Operating!$E$15:$NL$15,StabMonth+11))</f>
        <v/>
      </c>
    </row>
    <row r="14">
      <c r="B14" s="316" t="inlineStr">
        <is>
          <t>Gain / (Loss) to Lease</t>
        </is>
      </c>
      <c r="C14" s="193">
        <f>LossToLeasePct</f>
        <v/>
      </c>
      <c r="D14" s="279">
        <f>IF(NRSF=0,0,G14/12/NRSF)</f>
        <v/>
      </c>
      <c r="E14" s="280">
        <f>IF(TotalUnits=0,0,G14/12/TotalUnits)</f>
        <v/>
      </c>
      <c r="F14" s="280">
        <f>G14/12</f>
        <v/>
      </c>
      <c r="G14" s="280">
        <f>-G12*LossToLeasePct</f>
        <v/>
      </c>
      <c r="H14" s="281">
        <f>SUM(INDEX(Operating!$E$16:$NL$16,StabMonth):INDEX(Operating!$E$16:$NL$16,StabMonth+11))</f>
        <v/>
      </c>
    </row>
    <row r="15">
      <c r="B15" s="316" t="inlineStr">
        <is>
          <t>Bad Debt</t>
        </is>
      </c>
      <c r="C15" s="193">
        <f>BadDebtPct</f>
        <v/>
      </c>
      <c r="D15" s="279">
        <f>IF(NRSF=0,0,G15/12/NRSF)</f>
        <v/>
      </c>
      <c r="E15" s="280">
        <f>IF(TotalUnits=0,0,G15/12/TotalUnits)</f>
        <v/>
      </c>
      <c r="F15" s="280">
        <f>G15/12</f>
        <v/>
      </c>
      <c r="G15" s="280">
        <f>-G12*BadDebtPct</f>
        <v/>
      </c>
      <c r="H15" s="281">
        <f>SUM(INDEX(Operating!$E$17:$NL$17,StabMonth):INDEX(Operating!$E$17:$NL$17,StabMonth+11))</f>
        <v/>
      </c>
    </row>
    <row r="16">
      <c r="B16" s="316" t="inlineStr">
        <is>
          <t>Concessions</t>
        </is>
      </c>
      <c r="C16" s="193">
        <f>ConcessionsPct</f>
        <v/>
      </c>
      <c r="D16" s="279">
        <f>IF(NRSF=0,0,G16/12/NRSF)</f>
        <v/>
      </c>
      <c r="E16" s="280">
        <f>IF(TotalUnits=0,0,G16/12/TotalUnits)</f>
        <v/>
      </c>
      <c r="F16" s="280">
        <f>G16/12</f>
        <v/>
      </c>
      <c r="G16" s="280">
        <f>-G12*ConcessionsPct</f>
        <v/>
      </c>
      <c r="H16" s="281">
        <f>SUM(INDEX(Operating!$E$18:$NL$18,StabMonth):INDEX(Operating!$E$18:$NL$18,StabMonth+11))</f>
        <v/>
      </c>
    </row>
    <row r="17">
      <c r="B17" s="316" t="inlineStr">
        <is>
          <t>Model / Down Units</t>
        </is>
      </c>
      <c r="C17" s="191">
        <f>ModelUnits</f>
        <v/>
      </c>
      <c r="D17" s="279">
        <f>IF(NRSF=0,0,G17/12/NRSF)</f>
        <v/>
      </c>
      <c r="E17" s="280">
        <f>IF(TotalUnits=0,0,G17/12/TotalUnits)</f>
        <v/>
      </c>
      <c r="F17" s="280">
        <f>G17/12</f>
        <v/>
      </c>
      <c r="G17" s="280">
        <f>-G12*ModelUnits/TotalUnits</f>
        <v/>
      </c>
    </row>
    <row r="18">
      <c r="B18" s="316" t="inlineStr">
        <is>
          <t>Parking &amp; Storage</t>
        </is>
      </c>
      <c r="C18" s="199">
        <f>ParkingPerUnitMo</f>
        <v/>
      </c>
      <c r="D18" s="279">
        <f>IF(NRSF=0,0,G18/12/NRSF)</f>
        <v/>
      </c>
      <c r="E18" s="280">
        <f>IF(TotalUnits=0,0,G18/12/TotalUnits)</f>
        <v/>
      </c>
      <c r="F18" s="280">
        <f>G18/12</f>
        <v/>
      </c>
      <c r="G18" s="280">
        <f>ParkingPerUnitMo*StabLeasedTarget*12</f>
        <v/>
      </c>
      <c r="H18" s="281">
        <f>SUM(INDEX(Operating!$E$19:$NL$19,StabMonth):INDEX(Operating!$E$19:$NL$19,StabMonth+11))</f>
        <v/>
      </c>
    </row>
    <row r="19">
      <c r="B19" s="316" t="inlineStr">
        <is>
          <t>Utility Reimbursement</t>
        </is>
      </c>
      <c r="C19" s="199">
        <f>UtilReimbPerUnitMo</f>
        <v/>
      </c>
      <c r="D19" s="279">
        <f>IF(NRSF=0,0,G19/12/NRSF)</f>
        <v/>
      </c>
      <c r="E19" s="280">
        <f>IF(TotalUnits=0,0,G19/12/TotalUnits)</f>
        <v/>
      </c>
      <c r="F19" s="280">
        <f>G19/12</f>
        <v/>
      </c>
      <c r="G19" s="280">
        <f>UtilReimbPerUnitMo*StabLeasedTarget*12</f>
        <v/>
      </c>
      <c r="H19" s="281">
        <f>SUM(INDEX(Operating!$E$20:$NL$20,StabMonth):INDEX(Operating!$E$20:$NL$20,StabMonth+11))</f>
        <v/>
      </c>
    </row>
    <row r="20">
      <c r="B20" s="316" t="inlineStr">
        <is>
          <t>Other Income</t>
        </is>
      </c>
      <c r="C20" s="199">
        <f>OtherIncPerUnitMo</f>
        <v/>
      </c>
      <c r="D20" s="279">
        <f>IF(NRSF=0,0,G20/12/NRSF)</f>
        <v/>
      </c>
      <c r="E20" s="280">
        <f>IF(TotalUnits=0,0,G20/12/TotalUnits)</f>
        <v/>
      </c>
      <c r="F20" s="280">
        <f>G20/12</f>
        <v/>
      </c>
      <c r="G20" s="280">
        <f>OtherIncPerUnitMo*StabLeasedTarget*12</f>
        <v/>
      </c>
      <c r="H20" s="281">
        <f>SUM(INDEX(Operating!$E$21:$NL$21,StabMonth):INDEX(Operating!$E$21:$NL$21,StabMonth+11))</f>
        <v/>
      </c>
    </row>
    <row r="21">
      <c r="B21" s="316" t="inlineStr">
        <is>
          <t>Retail Income</t>
        </is>
      </c>
      <c r="C21" s="199">
        <f>RetailRentMo</f>
        <v/>
      </c>
      <c r="D21" s="279">
        <f>IF(NRSF=0,0,G21/12/NRSF)</f>
        <v/>
      </c>
      <c r="E21" s="280">
        <f>IF(TotalUnits=0,0,G21/12/TotalUnits)</f>
        <v/>
      </c>
      <c r="F21" s="280">
        <f>G21/12</f>
        <v/>
      </c>
      <c r="G21" s="280">
        <f>RetailRentMo*StabilizedOccupancy*12</f>
        <v/>
      </c>
      <c r="H21" s="281">
        <f>SUM(INDEX(Operating!$E$22:$NL$22,StabMonth):INDEX(Operating!$E$22:$NL$22,StabMonth+11))</f>
        <v/>
      </c>
    </row>
    <row r="22">
      <c r="B22" s="200" t="inlineStr">
        <is>
          <t>Effective Gross Income</t>
        </is>
      </c>
      <c r="C22" s="201" t="n"/>
      <c r="D22" s="282">
        <f>IF(NRSF=0,0,G22/12/NRSF)</f>
        <v/>
      </c>
      <c r="E22" s="283">
        <f>IF(TotalUnits=0,0,G22/12/TotalUnits)</f>
        <v/>
      </c>
      <c r="F22" s="283">
        <f>G22/12</f>
        <v/>
      </c>
      <c r="G22" s="283">
        <f>SUM(G12:G21)</f>
        <v/>
      </c>
      <c r="H22" s="281">
        <f>SUM(INDEX(Operating!$E$23:$NL$23,StabMonth):INDEX(Operating!$E$23:$NL$23,StabMonth+11))</f>
        <v/>
      </c>
    </row>
    <row r="23">
      <c r="B23" s="327" t="inlineStr">
        <is>
          <t>Operating Expenses</t>
        </is>
      </c>
      <c r="C23" s="155" t="n"/>
      <c r="D23" s="155" t="n"/>
      <c r="E23" s="155" t="n"/>
      <c r="F23" s="155" t="n"/>
      <c r="G23" s="155" t="n"/>
      <c r="H23" s="155" t="n"/>
    </row>
    <row r="24">
      <c r="B24" s="316" t="inlineStr">
        <is>
          <t>Insurance</t>
        </is>
      </c>
      <c r="C24" s="199">
        <f>ExpInsurancePerUnit</f>
        <v/>
      </c>
      <c r="D24" s="279">
        <f>IF(NRSF=0,0,G24/12/NRSF)</f>
        <v/>
      </c>
      <c r="E24" s="280">
        <f>IF(TotalUnits=0,0,G24/12/TotalUnits)</f>
        <v/>
      </c>
      <c r="F24" s="280">
        <f>G24/12</f>
        <v/>
      </c>
      <c r="G24" s="280">
        <f>ExpInsurancePerUnit*TotalUnits</f>
        <v/>
      </c>
      <c r="H24" s="281">
        <f>SUM(INDEX(Operating!$E$25:$NL$25,StabMonth):INDEX(Operating!$E$25:$NL$25,StabMonth+11))</f>
        <v/>
      </c>
    </row>
    <row r="25">
      <c r="B25" s="316" t="inlineStr">
        <is>
          <t>Utilities</t>
        </is>
      </c>
      <c r="C25" s="199">
        <f>ExpUtilitiesPerUnit</f>
        <v/>
      </c>
      <c r="D25" s="279">
        <f>IF(NRSF=0,0,G25/12/NRSF)</f>
        <v/>
      </c>
      <c r="E25" s="280">
        <f>IF(TotalUnits=0,0,G25/12/TotalUnits)</f>
        <v/>
      </c>
      <c r="F25" s="280">
        <f>G25/12</f>
        <v/>
      </c>
      <c r="G25" s="280">
        <f>ExpUtilitiesPerUnit*TotalUnits</f>
        <v/>
      </c>
      <c r="H25" s="281">
        <f>SUM(INDEX(Operating!$E$27:$NL$27,StabMonth):INDEX(Operating!$E$27:$NL$27,StabMonth+11))</f>
        <v/>
      </c>
    </row>
    <row r="26">
      <c r="B26" s="316" t="inlineStr">
        <is>
          <t>Payroll</t>
        </is>
      </c>
      <c r="C26" s="199">
        <f>ExpPayrollPerUnit</f>
        <v/>
      </c>
      <c r="D26" s="279">
        <f>IF(NRSF=0,0,G26/12/NRSF)</f>
        <v/>
      </c>
      <c r="E26" s="280">
        <f>IF(TotalUnits=0,0,G26/12/TotalUnits)</f>
        <v/>
      </c>
      <c r="F26" s="280">
        <f>G26/12</f>
        <v/>
      </c>
      <c r="G26" s="280">
        <f>ExpPayrollPerUnit*TotalUnits</f>
        <v/>
      </c>
      <c r="H26" s="281">
        <f>SUM(INDEX(Operating!$E$31:$NL$31,StabMonth):INDEX(Operating!$E$31:$NL$31,StabMonth+11))</f>
        <v/>
      </c>
    </row>
    <row r="27">
      <c r="B27" s="316" t="inlineStr">
        <is>
          <t>Management Fee</t>
        </is>
      </c>
      <c r="C27" s="193">
        <f>MgmtFeePct</f>
        <v/>
      </c>
      <c r="D27" s="279">
        <f>IF(NRSF=0,0,G27/12/NRSF)</f>
        <v/>
      </c>
      <c r="E27" s="280">
        <f>IF(TotalUnits=0,0,G27/12/TotalUnits)</f>
        <v/>
      </c>
      <c r="F27" s="280">
        <f>G27/12</f>
        <v/>
      </c>
      <c r="G27" s="280">
        <f>MgmtFeePct*G22</f>
        <v/>
      </c>
      <c r="H27" s="281">
        <f>SUM(INDEX(Operating!$E$33:$NL$33,StabMonth):INDEX(Operating!$E$33:$NL$33,StabMonth+11))</f>
        <v/>
      </c>
    </row>
    <row r="28">
      <c r="B28" s="316" t="inlineStr">
        <is>
          <t>Repairs &amp; Maintenance</t>
        </is>
      </c>
      <c r="C28" s="199">
        <f>ExpRMPerUnit</f>
        <v/>
      </c>
      <c r="D28" s="279">
        <f>IF(NRSF=0,0,G28/12/NRSF)</f>
        <v/>
      </c>
      <c r="E28" s="280">
        <f>IF(TotalUnits=0,0,G28/12/TotalUnits)</f>
        <v/>
      </c>
      <c r="F28" s="280">
        <f>G28/12</f>
        <v/>
      </c>
      <c r="G28" s="280">
        <f>ExpRMPerUnit*TotalUnits</f>
        <v/>
      </c>
      <c r="H28" s="281">
        <f>SUM(INDEX(Operating!$E$28:$NL$28,StabMonth):INDEX(Operating!$E$28:$NL$28,StabMonth+11))</f>
        <v/>
      </c>
    </row>
    <row r="29">
      <c r="B29" s="316" t="inlineStr">
        <is>
          <t>Turnover</t>
        </is>
      </c>
      <c r="C29" s="199">
        <f>ExpTurnoverPerUnit</f>
        <v/>
      </c>
      <c r="D29" s="279">
        <f>IF(NRSF=0,0,G29/12/NRSF)</f>
        <v/>
      </c>
      <c r="E29" s="280">
        <f>IF(TotalUnits=0,0,G29/12/TotalUnits)</f>
        <v/>
      </c>
      <c r="F29" s="280">
        <f>G29/12</f>
        <v/>
      </c>
      <c r="G29" s="280">
        <f>ExpTurnoverPerUnit*TotalUnits</f>
        <v/>
      </c>
      <c r="H29" s="281">
        <f>SUM(INDEX(Operating!$E$29:$NL$29,StabMonth):INDEX(Operating!$E$29:$NL$29,StabMonth+11))</f>
        <v/>
      </c>
    </row>
    <row r="30">
      <c r="B30" s="316" t="inlineStr">
        <is>
          <t>Contract Services</t>
        </is>
      </c>
      <c r="C30" s="199">
        <f>ExpContractPerUnit</f>
        <v/>
      </c>
      <c r="D30" s="279">
        <f>IF(NRSF=0,0,G30/12/NRSF)</f>
        <v/>
      </c>
      <c r="E30" s="280">
        <f>IF(TotalUnits=0,0,G30/12/TotalUnits)</f>
        <v/>
      </c>
      <c r="F30" s="280">
        <f>G30/12</f>
        <v/>
      </c>
      <c r="G30" s="280">
        <f>ExpContractPerUnit*TotalUnits</f>
        <v/>
      </c>
      <c r="H30" s="281">
        <f>SUM(INDEX(Operating!$E$30:$NL$30,StabMonth):INDEX(Operating!$E$30:$NL$30,StabMonth+11))</f>
        <v/>
      </c>
    </row>
    <row r="31">
      <c r="B31" s="316" t="inlineStr">
        <is>
          <t>Admin &amp; Legal</t>
        </is>
      </c>
      <c r="C31" s="199">
        <f>ExpAdminPerUnit</f>
        <v/>
      </c>
      <c r="D31" s="279">
        <f>IF(NRSF=0,0,G31/12/NRSF)</f>
        <v/>
      </c>
      <c r="E31" s="280">
        <f>IF(TotalUnits=0,0,G31/12/TotalUnits)</f>
        <v/>
      </c>
      <c r="F31" s="280">
        <f>G31/12</f>
        <v/>
      </c>
      <c r="G31" s="280">
        <f>ExpAdminPerUnit*TotalUnits</f>
        <v/>
      </c>
      <c r="H31" s="281">
        <f>SUM(INDEX(Operating!$E$26:$NL$26,StabMonth):INDEX(Operating!$E$26:$NL$26,StabMonth+11))</f>
        <v/>
      </c>
    </row>
    <row r="32">
      <c r="B32" s="316" t="inlineStr">
        <is>
          <t>Advertising</t>
        </is>
      </c>
      <c r="C32" s="199">
        <f>ExpAdvertisingPerUnit</f>
        <v/>
      </c>
      <c r="D32" s="279">
        <f>IF(NRSF=0,0,G32/12/NRSF)</f>
        <v/>
      </c>
      <c r="E32" s="280">
        <f>IF(TotalUnits=0,0,G32/12/TotalUnits)</f>
        <v/>
      </c>
      <c r="F32" s="280">
        <f>G32/12</f>
        <v/>
      </c>
      <c r="G32" s="280">
        <f>ExpAdvertisingPerUnit*TotalUnits</f>
        <v/>
      </c>
      <c r="H32" s="281">
        <f>SUM(INDEX(Operating!$E$32:$NL$32,StabMonth):INDEX(Operating!$E$32:$NL$32,StabMonth+11))</f>
        <v/>
      </c>
    </row>
    <row r="33">
      <c r="B33" s="316" t="inlineStr">
        <is>
          <t>Property Taxes</t>
        </is>
      </c>
      <c r="C33" s="278">
        <f>EffTaxRateOnValue</f>
        <v/>
      </c>
      <c r="D33" s="279">
        <f>IF(NRSF=0,0,G33/12/NRSF)</f>
        <v/>
      </c>
      <c r="E33" s="280">
        <f>IF(TotalUnits=0,0,G33/12/TotalUnits)</f>
        <v/>
      </c>
      <c r="F33" s="280">
        <f>G33/12</f>
        <v/>
      </c>
      <c r="G33" s="280">
        <f>IF(TaxYear1Override&gt;0,TaxYear1Override,(G22-SUM(G24:G32))/(EntryCapRate+EffTaxRateOnValue)*EffTaxRateOnValue)</f>
        <v/>
      </c>
      <c r="H33" s="281">
        <f>SUM(INDEX(Operating!$E$36:$NL$36,StabMonth):INDEX(Operating!$E$36:$NL$36,StabMonth+11))</f>
        <v/>
      </c>
    </row>
    <row r="34">
      <c r="B34" s="200" t="inlineStr">
        <is>
          <t>Total Operating Expenses</t>
        </is>
      </c>
      <c r="C34" s="201" t="n"/>
      <c r="D34" s="282">
        <f>IF(NRSF=0,0,G34/12/NRSF)</f>
        <v/>
      </c>
      <c r="E34" s="283">
        <f>IF(TotalUnits=0,0,G34/12/TotalUnits)</f>
        <v/>
      </c>
      <c r="F34" s="283">
        <f>G34/12</f>
        <v/>
      </c>
      <c r="G34" s="283">
        <f>SUM(G24:G33)</f>
        <v/>
      </c>
      <c r="H34" s="281">
        <f>SUM(INDEX(Operating!$E$37:$NL$37,StabMonth):INDEX(Operating!$E$37:$NL$37,StabMonth+11))</f>
        <v/>
      </c>
    </row>
    <row r="35">
      <c r="B35" s="204" t="inlineStr">
        <is>
          <t>Net Operating Income</t>
        </is>
      </c>
      <c r="C35" s="205" t="n"/>
      <c r="D35" s="284">
        <f>IF(NRSF=0,0,G35/12/NRSF)</f>
        <v/>
      </c>
      <c r="E35" s="285">
        <f>IF(TotalUnits=0,0,G35/12/TotalUnits)</f>
        <v/>
      </c>
      <c r="F35" s="285">
        <f>G35/12</f>
        <v/>
      </c>
      <c r="G35" s="285">
        <f>G22-G34</f>
        <v/>
      </c>
      <c r="H35" s="281">
        <f>SUM(INDEX(Operating!$E$38:$NL$38,StabMonth):INDEX(Operating!$E$38:$NL$38,StabMonth+11))</f>
        <v/>
      </c>
    </row>
    <row r="36">
      <c r="B36" s="327" t="inlineStr">
        <is>
          <t>Below-the-Line Expenses</t>
        </is>
      </c>
      <c r="C36" s="155" t="n"/>
      <c r="D36" s="155" t="n"/>
      <c r="E36" s="155" t="n"/>
      <c r="F36" s="155" t="n"/>
      <c r="G36" s="155" t="n"/>
      <c r="H36" s="155" t="n"/>
    </row>
    <row r="37">
      <c r="B37" s="316" t="inlineStr">
        <is>
          <t>Capital Reserves</t>
        </is>
      </c>
      <c r="C37" s="199">
        <f>CapReservePerUnit</f>
        <v/>
      </c>
      <c r="D37" s="279">
        <f>IF(NRSF=0,0,G37/12/NRSF)</f>
        <v/>
      </c>
      <c r="E37" s="280">
        <f>IF(TotalUnits=0,0,G37/12/TotalUnits)</f>
        <v/>
      </c>
      <c r="F37" s="280">
        <f>G37/12</f>
        <v/>
      </c>
      <c r="G37" s="280">
        <f>CapReservePerUnit*TotalUnits</f>
        <v/>
      </c>
    </row>
    <row r="38">
      <c r="B38" s="316" t="inlineStr">
        <is>
          <t>Tax Prep &amp; Appraisal</t>
        </is>
      </c>
      <c r="C38" s="199">
        <f>TaxPrepPerUnit</f>
        <v/>
      </c>
      <c r="D38" s="279">
        <f>IF(NRSF=0,0,G38/12/NRSF)</f>
        <v/>
      </c>
      <c r="E38" s="280">
        <f>IF(TotalUnits=0,0,G38/12/TotalUnits)</f>
        <v/>
      </c>
      <c r="F38" s="280">
        <f>G38/12</f>
        <v/>
      </c>
      <c r="G38" s="280">
        <f>TaxPrepPerUnit*TotalUnits</f>
        <v/>
      </c>
    </row>
    <row r="39">
      <c r="B39" s="316" t="inlineStr">
        <is>
          <t>Asset Management Fees</t>
        </is>
      </c>
      <c r="C39" s="193">
        <f>AssetMgmtFeePct</f>
        <v/>
      </c>
      <c r="D39" s="279">
        <f>IF(NRSF=0,0,G39/12/NRSF)</f>
        <v/>
      </c>
      <c r="E39" s="280">
        <f>IF(TotalUnits=0,0,G39/12/TotalUnits)</f>
        <v/>
      </c>
      <c r="F39" s="280">
        <f>G39/12</f>
        <v/>
      </c>
      <c r="G39" s="280">
        <f>AssetMgmtFeePct*G22</f>
        <v/>
      </c>
    </row>
    <row r="40">
      <c r="B40" s="200" t="inlineStr">
        <is>
          <t>Total Below-the-Line</t>
        </is>
      </c>
      <c r="C40" s="201" t="n"/>
      <c r="D40" s="282">
        <f>IF(NRSF=0,0,G40/12/NRSF)</f>
        <v/>
      </c>
      <c r="E40" s="283">
        <f>IF(TotalUnits=0,0,G40/12/TotalUnits)</f>
        <v/>
      </c>
      <c r="F40" s="283">
        <f>G40/12</f>
        <v/>
      </c>
      <c r="G40" s="283">
        <f>SUM(G37:G39)</f>
        <v/>
      </c>
    </row>
    <row r="41">
      <c r="B41" s="200" t="inlineStr">
        <is>
          <t>Proforma Operating Cash Flow</t>
        </is>
      </c>
      <c r="C41" s="201" t="n"/>
      <c r="D41" s="282">
        <f>IF(NRSF=0,0,G41/12/NRSF)</f>
        <v/>
      </c>
      <c r="E41" s="283">
        <f>IF(TotalUnits=0,0,G41/12/TotalUnits)</f>
        <v/>
      </c>
      <c r="F41" s="283">
        <f>G41/12</f>
        <v/>
      </c>
      <c r="G41" s="283">
        <f>G35-G40</f>
        <v/>
      </c>
      <c r="H41" s="281">
        <f>SUM(INDEX(Operating!$E$42:$NL$42,StabMonth):INDEX(Operating!$E$42:$NL$42,StabMonth+11))</f>
        <v/>
      </c>
    </row>
    <row r="43">
      <c r="B43" s="316" t="inlineStr">
        <is>
          <t>Untrended Stabilized NOI before Property Tax</t>
        </is>
      </c>
      <c r="G43" s="280">
        <f>G22-SUM(G24:G32)</f>
        <v/>
      </c>
    </row>
    <row r="45">
      <c r="B45" s="327" t="inlineStr">
        <is>
          <t>Reconciliation</t>
        </is>
      </c>
      <c r="C45" s="155" t="n"/>
      <c r="D45" s="155" t="n"/>
      <c r="E45" s="155" t="n"/>
      <c r="F45" s="155" t="n"/>
      <c r="G45" s="155" t="n"/>
      <c r="H45" s="155" t="n"/>
    </row>
    <row r="46">
      <c r="B46" s="316" t="inlineStr">
        <is>
          <t>Untrended NOI ≤ Trended NOI (growth ≥ 0)</t>
        </is>
      </c>
      <c r="C46" s="280">
        <f>StabNOI_Untrended-StabNOI</f>
        <v/>
      </c>
      <c r="D46" s="208">
        <f>IF(OR(GrowthRent&lt;0,GrowthExpense&lt;0),"n/a",IF(StabNOI_Untrended&lt;=StabNOI+1,"PASS","FAIL"))</f>
        <v/>
      </c>
    </row>
    <row r="47">
      <c r="B47" s="316" t="inlineStr">
        <is>
          <t>Untrended YOC (StabNOI_Untrended / TDC)</t>
        </is>
      </c>
      <c r="C47" s="286">
        <f>IF(TDC_Total=0,0,StabNOI_Untrended/TDC_Total)</f>
        <v/>
      </c>
      <c r="D47" s="208">
        <f>IF(YieldOnCost-ExitCapResidential&lt;0,"SPREAD&lt;0","OK")</f>
        <v/>
      </c>
    </row>
  </sheetData>
  <conditionalFormatting sqref="D40:D5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B1:F148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3.7109375" customWidth="1" style="97" min="1" max="1"/>
    <col width="34" customWidth="1" style="97" min="2" max="2"/>
    <col width="20.42578125" bestFit="1" customWidth="1" style="97" min="3" max="3"/>
    <col width="30" bestFit="1" customWidth="1" style="97" min="4" max="4"/>
    <col width="22" customWidth="1" style="97" min="5" max="5"/>
    <col width="10" customWidth="1" style="97" min="6" max="6"/>
  </cols>
  <sheetData>
    <row r="1" ht="21" customHeight="1" s="97">
      <c r="B1" s="1" t="inlineStr">
        <is>
          <t>Multifamily Development Model — Inputs</t>
        </is>
      </c>
    </row>
    <row r="2">
      <c r="B2" s="2" t="inlineStr">
        <is>
          <t>Blue = hard-keyed input.  Every value below is a workbook named range.</t>
        </is>
      </c>
    </row>
    <row r="4">
      <c r="B4" s="34" t="inlineStr">
        <is>
          <t>Property Details</t>
        </is>
      </c>
      <c r="C4" s="60" t="n"/>
      <c r="D4" s="35" t="n"/>
    </row>
    <row r="5">
      <c r="B5" s="36" t="inlineStr">
        <is>
          <t>Investment Type</t>
        </is>
      </c>
      <c r="C5" s="6" t="inlineStr">
        <is>
          <t>Ground-Up Development</t>
        </is>
      </c>
      <c r="D5" s="61" t="inlineStr">
        <is>
          <t>Investment type</t>
        </is>
      </c>
    </row>
    <row r="6">
      <c r="B6" s="36" t="inlineStr">
        <is>
          <t>Property Name</t>
        </is>
      </c>
      <c r="C6" s="6" t="inlineStr">
        <is>
          <t>The Verde</t>
        </is>
      </c>
      <c r="D6" s="61" t="inlineStr">
        <is>
          <t>Deal name</t>
        </is>
      </c>
    </row>
    <row r="7">
      <c r="B7" s="36" t="inlineStr">
        <is>
          <t>City</t>
        </is>
      </c>
      <c r="C7" s="6" t="inlineStr">
        <is>
          <t>Cottonwood</t>
        </is>
      </c>
      <c r="D7" s="53" t="n"/>
    </row>
    <row r="8">
      <c r="B8" s="36" t="inlineStr">
        <is>
          <t>State</t>
        </is>
      </c>
      <c r="C8" s="6" t="inlineStr">
        <is>
          <t>AZ</t>
        </is>
      </c>
      <c r="D8" s="53" t="n"/>
    </row>
    <row r="9">
      <c r="B9" s="36" t="inlineStr">
        <is>
          <t>Market</t>
        </is>
      </c>
      <c r="C9" s="6" t="inlineStr">
        <is>
          <t>Verde Valley</t>
        </is>
      </c>
      <c r="D9" s="61" t="inlineStr">
        <is>
          <t>MSA</t>
        </is>
      </c>
    </row>
    <row r="10">
      <c r="B10" s="36" t="inlineStr">
        <is>
          <t>Product Type</t>
        </is>
      </c>
      <c r="C10" s="6" t="inlineStr">
        <is>
          <t>Garden</t>
        </is>
      </c>
      <c r="D10" s="53" t="n"/>
    </row>
    <row r="11">
      <c r="B11" s="36" t="inlineStr">
        <is>
          <t>Location</t>
        </is>
      </c>
      <c r="C11" s="6" t="inlineStr">
        <is>
          <t>Suburban</t>
        </is>
      </c>
      <c r="D11" s="53" t="n"/>
    </row>
    <row r="12">
      <c r="B12" s="40" t="inlineStr">
        <is>
          <t>Open Escrow Date</t>
        </is>
      </c>
      <c r="C12" s="209" t="n">
        <v>46210</v>
      </c>
      <c r="D12" s="63" t="inlineStr">
        <is>
          <t>Model period 1 = this month</t>
        </is>
      </c>
    </row>
    <row r="14">
      <c r="B14" s="34" t="inlineStr">
        <is>
          <t>Investment Details</t>
        </is>
      </c>
      <c r="C14" s="60" t="n"/>
      <c r="D14" s="35" t="n"/>
    </row>
    <row r="15">
      <c r="B15" s="36" t="inlineStr">
        <is>
          <t>Hold Period Months</t>
        </is>
      </c>
      <c r="C15" s="210" t="n">
        <v>120</v>
      </c>
      <c r="D15" s="306" t="inlineStr">
        <is>
          <t>months, 1 to 360 · Disposition month (1-360 toggle)</t>
        </is>
      </c>
    </row>
    <row r="16">
      <c r="B16" s="36" t="inlineStr">
        <is>
          <t>Entry Cap Rate</t>
        </is>
      </c>
      <c r="C16" s="335">
        <f>Scenarios!$F$9</f>
        <v/>
      </c>
      <c r="D16" s="306" t="inlineStr">
        <is>
          <t>rate %, 0% to 25% · Market / entry cap rate</t>
        </is>
      </c>
    </row>
    <row r="17">
      <c r="B17" s="36" t="inlineStr">
        <is>
          <t>Cap Adj Location</t>
        </is>
      </c>
      <c r="C17" s="8" t="n">
        <v>0</v>
      </c>
      <c r="D17" s="306" t="inlineStr">
        <is>
          <t>± rate, -5% to 5% · Location adjustment (+/-)</t>
        </is>
      </c>
    </row>
    <row r="18">
      <c r="B18" s="36" t="inlineStr">
        <is>
          <t>Cap Adj Size</t>
        </is>
      </c>
      <c r="C18" s="8" t="n">
        <v>0</v>
      </c>
      <c r="D18" s="306" t="inlineStr">
        <is>
          <t>± rate, -5% to 5% · Size adjustment (+/-)</t>
        </is>
      </c>
    </row>
    <row r="19">
      <c r="B19" s="36" t="inlineStr">
        <is>
          <t>Cap Adj Aging</t>
        </is>
      </c>
      <c r="C19" s="8" t="n">
        <v>0</v>
      </c>
      <c r="D19" s="306" t="inlineStr">
        <is>
          <t>± rate, -5% to 5% · Aging adjustment (+/-)</t>
        </is>
      </c>
    </row>
    <row r="20">
      <c r="B20" s="36" t="inlineStr">
        <is>
          <t>Exit Cap Residential</t>
        </is>
      </c>
      <c r="C20" s="59">
        <f>EntryCapRate+CapAdjLocation+CapAdjSize+CapAdjAging</f>
        <v/>
      </c>
      <c r="D20" s="61" t="inlineStr">
        <is>
          <t>Exit cap - residential</t>
        </is>
      </c>
    </row>
    <row r="21">
      <c r="B21" s="36" t="inlineStr">
        <is>
          <t>Exit Cap Retail</t>
        </is>
      </c>
      <c r="C21" s="335">
        <f>Scenarios!$F$10</f>
        <v/>
      </c>
      <c r="D21" s="306" t="inlineStr">
        <is>
          <t>rate %, 0% to 25% · Exit cap - retail</t>
        </is>
      </c>
    </row>
    <row r="22">
      <c r="B22" s="36" t="inlineStr">
        <is>
          <t>Growth Rent</t>
        </is>
      </c>
      <c r="C22" s="335">
        <f>Scenarios!$F$7</f>
        <v/>
      </c>
      <c r="D22" s="306" t="inlineStr">
        <is>
          <t>annual %, -10% to 20% · Annual market-rent growth</t>
        </is>
      </c>
    </row>
    <row r="23">
      <c r="B23" s="36" t="inlineStr">
        <is>
          <t>Growth Low Inc Rent</t>
        </is>
      </c>
      <c r="C23" s="8" t="n">
        <v>0.03</v>
      </c>
      <c r="D23" s="306" t="inlineStr">
        <is>
          <t>annual %, -10% to 20% · Annual low-income-rent growth</t>
        </is>
      </c>
    </row>
    <row r="24">
      <c r="B24" s="36" t="inlineStr">
        <is>
          <t>Growth Expense</t>
        </is>
      </c>
      <c r="C24" s="335">
        <f>Scenarios!$F$8</f>
        <v/>
      </c>
      <c r="D24" s="306" t="inlineStr">
        <is>
          <t>annual %, -10% to 20% · Annual expense growth</t>
        </is>
      </c>
    </row>
    <row r="25">
      <c r="B25" s="36" t="inlineStr">
        <is>
          <t>Growth Utility</t>
        </is>
      </c>
      <c r="C25" s="8" t="n">
        <v>0.03</v>
      </c>
      <c r="D25" s="306" t="inlineStr">
        <is>
          <t>annual %, -10% to 20% · Annual utility growth</t>
        </is>
      </c>
    </row>
    <row r="26">
      <c r="B26" s="36" t="inlineStr">
        <is>
          <t>Growth Tax</t>
        </is>
      </c>
      <c r="C26" s="8" t="n">
        <v>0.03</v>
      </c>
      <c r="D26" s="306" t="inlineStr">
        <is>
          <t>annual %, -10% to 20% · Annual tax growth</t>
        </is>
      </c>
    </row>
    <row r="27">
      <c r="B27" s="36" t="inlineStr">
        <is>
          <t>Growth Other</t>
        </is>
      </c>
      <c r="C27" s="8" t="n">
        <v>0.03</v>
      </c>
      <c r="D27" s="306" t="inlineStr">
        <is>
          <t>annual %, -10% to 20% · Annual other-income growth</t>
        </is>
      </c>
    </row>
    <row r="28">
      <c r="B28" s="40" t="inlineStr">
        <is>
          <t>Growth Start Date</t>
        </is>
      </c>
      <c r="C28" s="209">
        <f>EOMONTH(InceptionDate,1)</f>
        <v/>
      </c>
      <c r="D28" s="63" t="inlineStr">
        <is>
          <t>Date all growth trending begins (override)</t>
        </is>
      </c>
    </row>
    <row r="30">
      <c r="B30" s="34" t="inlineStr">
        <is>
          <t>Unit Delivery &amp; Lease-Up</t>
        </is>
      </c>
      <c r="C30" s="60" t="n"/>
      <c r="D30" s="35" t="n"/>
    </row>
    <row r="31">
      <c r="B31" s="36" t="inlineStr">
        <is>
          <t>Lease Up Income Offset</t>
        </is>
      </c>
      <c r="C31" s="307" t="inlineStr">
        <is>
          <t>Offset vs equity</t>
        </is>
      </c>
      <c r="D31" s="61" t="inlineStr">
        <is>
          <t>1=offset lease-up income vs equity, 0=no</t>
        </is>
      </c>
      <c r="F31" s="308">
        <f>IF(C31="Offset vs equity",1,0)</f>
        <v/>
      </c>
    </row>
    <row r="32">
      <c r="B32" s="36" t="inlineStr">
        <is>
          <t>Units Delivered Per Mo</t>
        </is>
      </c>
      <c r="C32" s="9" t="n">
        <v>24</v>
      </c>
      <c r="D32" s="306" t="inlineStr">
        <is>
          <t>units/mo, 1 to 1,000 · Units delivered per month</t>
        </is>
      </c>
    </row>
    <row r="33">
      <c r="B33" s="36" t="inlineStr">
        <is>
          <t>Units Leased Per Mo</t>
        </is>
      </c>
      <c r="C33" s="336">
        <f>Scenarios!$F$12</f>
        <v/>
      </c>
      <c r="D33" s="306" t="inlineStr">
        <is>
          <t>units/mo, 1 to 1,000 · Units absorbed (leased) per month</t>
        </is>
      </c>
    </row>
    <row r="34">
      <c r="B34" s="36" t="inlineStr">
        <is>
          <t>Lease Up Ramp Pct</t>
        </is>
      </c>
      <c r="C34" s="211" t="n">
        <v>0.6</v>
      </c>
      <c r="D34" s="306" t="inlineStr">
        <is>
          <t>% of stab, 0% to 100% · Variable-opex ramp: % of stabilized during lease-up</t>
        </is>
      </c>
    </row>
    <row r="35">
      <c r="B35" s="36" t="inlineStr">
        <is>
          <t>Lease Up Elevation Pct</t>
        </is>
      </c>
      <c r="C35" s="211" t="n">
        <v>0.25</v>
      </c>
      <c r="D35" s="306" t="inlineStr">
        <is>
          <t>uplift %, 0% to 100% · Elevated-opex uplift over stabilized during lease-up</t>
        </is>
      </c>
    </row>
    <row r="36">
      <c r="B36" s="40" t="inlineStr">
        <is>
          <t>Stabilized Occupancy</t>
        </is>
      </c>
      <c r="C36" s="337">
        <f>Scenarios!$F$11</f>
        <v/>
      </c>
      <c r="D36" s="309" t="inlineStr">
        <is>
          <t>occupancy %, 50% to 100% · Physical occupancy at stabilization</t>
        </is>
      </c>
    </row>
    <row r="38">
      <c r="B38" s="34" t="inlineStr">
        <is>
          <t>Site Details</t>
        </is>
      </c>
      <c r="C38" s="60" t="n"/>
      <c r="D38" s="35" t="n"/>
    </row>
    <row r="39">
      <c r="B39" s="36" t="inlineStr">
        <is>
          <t>Land Cost</t>
        </is>
      </c>
      <c r="C39" s="213" t="n">
        <v>567000</v>
      </c>
      <c r="D39" s="306" t="inlineStr">
        <is>
          <t>$, $0+ · Total land cost</t>
        </is>
      </c>
    </row>
    <row r="40">
      <c r="B40" s="36" t="inlineStr">
        <is>
          <t>Gross Acres</t>
        </is>
      </c>
      <c r="C40" s="12" t="n">
        <v>3.65</v>
      </c>
      <c r="D40" s="306" t="inlineStr">
        <is>
          <t>acres, 0 to 10,000 · Gross site acres</t>
        </is>
      </c>
    </row>
    <row r="41">
      <c r="B41" s="36" t="inlineStr">
        <is>
          <t>Net Acres</t>
        </is>
      </c>
      <c r="C41" s="12">
        <f>+GrossAcres</f>
        <v/>
      </c>
      <c r="D41" s="61" t="inlineStr">
        <is>
          <t>Net developable acres</t>
        </is>
      </c>
    </row>
    <row r="42">
      <c r="B42" s="36" t="inlineStr">
        <is>
          <t>FARRatio</t>
        </is>
      </c>
      <c r="C42" s="12" t="n">
        <v>1.75</v>
      </c>
      <c r="D42" s="306" t="inlineStr">
        <is>
          <t>ratio, 0 to 20 · Floor-area ratio</t>
        </is>
      </c>
    </row>
    <row r="43">
      <c r="B43" s="36" t="inlineStr">
        <is>
          <t>Efficiency Ratio</t>
        </is>
      </c>
      <c r="C43" s="211" t="n">
        <v>0.85</v>
      </c>
      <c r="D43" s="306" t="inlineStr">
        <is>
          <t>NRSF/gross %, 50% to 100% · Net rentable / gross buildable</t>
        </is>
      </c>
    </row>
    <row r="44">
      <c r="B44" s="40" t="inlineStr">
        <is>
          <t>Existing Structure Cost</t>
        </is>
      </c>
      <c r="C44" s="214" t="n">
        <v>0</v>
      </c>
      <c r="D44" s="309" t="inlineStr">
        <is>
          <t>$, $0+ · Demo / existing structure</t>
        </is>
      </c>
    </row>
    <row r="46">
      <c r="B46" s="34" t="inlineStr">
        <is>
          <t>Property Taxes</t>
        </is>
      </c>
      <c r="C46" s="60" t="n"/>
      <c r="D46" s="35" t="n"/>
    </row>
    <row r="47">
      <c r="B47" s="36" t="inlineStr">
        <is>
          <t>Tax Levy Pct</t>
        </is>
      </c>
      <c r="C47" s="8" t="n">
        <v>0.0185</v>
      </c>
      <c r="D47" s="306" t="inlineStr">
        <is>
          <t>rate %, 0% to 25% · Levy / mill rate (% of assessed)</t>
        </is>
      </c>
    </row>
    <row r="48">
      <c r="B48" s="36" t="inlineStr">
        <is>
          <t>Tax Assessment Pct</t>
        </is>
      </c>
      <c r="C48" s="211" t="n">
        <v>0.1</v>
      </c>
      <c r="D48" s="306" t="inlineStr">
        <is>
          <t>assessment %, 0% to 100% · Assessment ratio (% of value)</t>
        </is>
      </c>
    </row>
    <row r="49">
      <c r="B49" s="36" t="inlineStr">
        <is>
          <t>Tax Value Adj Factor</t>
        </is>
      </c>
      <c r="C49" s="12" t="n">
        <v>0.5</v>
      </c>
      <c r="D49" s="306" t="inlineStr">
        <is>
          <t>factor, 0% to 100% · Value-adjustment / abatement factor (1.0 = full unabated tax)</t>
        </is>
      </c>
    </row>
    <row r="50">
      <c r="B50" s="36" t="inlineStr">
        <is>
          <t>Tax Method Value</t>
        </is>
      </c>
      <c r="C50" s="307" t="inlineStr">
        <is>
          <t>Value Approach</t>
        </is>
      </c>
      <c r="D50" s="61" t="inlineStr">
        <is>
          <t>Post-stab method: 1=value approach, 0=income approach</t>
        </is>
      </c>
      <c r="F50" s="308">
        <f>IF(C50="Value Approach",1,0)</f>
        <v/>
      </c>
    </row>
    <row r="51">
      <c r="B51" s="36" t="inlineStr">
        <is>
          <t>Tax Year1 Override</t>
        </is>
      </c>
      <c r="C51" s="213" t="n">
        <v>0</v>
      </c>
      <c r="D51" s="306" t="inlineStr">
        <is>
          <t>$ (0=auto), $0+ · Year-1 stabilized tax: 0=dynamic (stab value x rate), &gt;0=manual</t>
        </is>
      </c>
    </row>
    <row r="52">
      <c r="B52" s="36" t="inlineStr">
        <is>
          <t>Reassess On Sale</t>
        </is>
      </c>
      <c r="C52" s="307" t="inlineStr">
        <is>
          <t>No — in-place taxes</t>
        </is>
      </c>
      <c r="D52" s="61" t="inlineStr">
        <is>
          <t>1=reassess buyer taxes on sale value, 0=in-place</t>
        </is>
      </c>
      <c r="F52" s="308">
        <f>IF(C52="Yes — reassess at sale",1,0)</f>
        <v/>
      </c>
    </row>
    <row r="53">
      <c r="B53" s="40" t="inlineStr">
        <is>
          <t>Dispo Tax Rate Pct</t>
        </is>
      </c>
      <c r="C53" s="68" t="n">
        <v>0</v>
      </c>
      <c r="D53" s="309" t="inlineStr">
        <is>
          <t>rate % (0=auto), 0% to 25% · Buyer tax rate at sale: 0=use operating effective rate (consistent)</t>
        </is>
      </c>
    </row>
    <row r="55">
      <c r="B55" s="34" t="inlineStr">
        <is>
          <t>Capitalization &amp; Funding</t>
        </is>
      </c>
      <c r="C55" s="60" t="n"/>
      <c r="D55" s="35" t="n"/>
    </row>
    <row r="56">
      <c r="B56" s="36" t="inlineStr">
        <is>
          <t>Funding Order Pari</t>
        </is>
      </c>
      <c r="C56" s="307" t="inlineStr">
        <is>
          <t>Equity First</t>
        </is>
      </c>
      <c r="D56" s="61" t="inlineStr">
        <is>
          <t>1=pari-passu, 0=equity-first</t>
        </is>
      </c>
      <c r="F56" s="308">
        <f>IF(C56="Pari-Passu",1,0)</f>
        <v/>
      </c>
    </row>
    <row r="57">
      <c r="B57" s="36" t="inlineStr">
        <is>
          <t>Target LTC</t>
        </is>
      </c>
      <c r="C57" s="8" t="n">
        <v>0.65</v>
      </c>
      <c r="D57" s="306" t="inlineStr">
        <is>
          <t>LTC %, 0% to 90% · Target construction loan-to-cost</t>
        </is>
      </c>
    </row>
    <row r="58">
      <c r="B58" s="36" t="inlineStr">
        <is>
          <t>Op Reserve Coverage</t>
        </is>
      </c>
      <c r="C58" s="215" t="n">
        <v>1.1</v>
      </c>
      <c r="D58" s="306" t="inlineStr">
        <is>
          <t>x multiple, 1.00x to 3.00x · Operating reserve coverage multiple on peak shortfall</t>
        </is>
      </c>
    </row>
    <row r="59">
      <c r="B59" s="40" t="inlineStr">
        <is>
          <t>Op Reserve Min Months</t>
        </is>
      </c>
      <c r="C59" s="69" t="n">
        <v>3</v>
      </c>
      <c r="D59" s="309" t="inlineStr">
        <is>
          <t>months, 0 to 24 · Minimum months of stabilized opex floor for reserve</t>
        </is>
      </c>
    </row>
    <row r="61">
      <c r="B61" s="34" t="inlineStr">
        <is>
          <t>Construction Loan</t>
        </is>
      </c>
      <c r="C61" s="60" t="n"/>
      <c r="D61" s="35" t="n"/>
    </row>
    <row r="62">
      <c r="B62" s="36" t="inlineStr">
        <is>
          <t>Con Loan Term Months</t>
        </is>
      </c>
      <c r="C62" s="287" t="n">
        <v>36</v>
      </c>
      <c r="D62" s="306" t="inlineStr">
        <is>
          <t>months, 12 to 60 · Construction loan term</t>
        </is>
      </c>
    </row>
    <row r="63">
      <c r="B63" s="36" t="inlineStr">
        <is>
          <t>Con Rate</t>
        </is>
      </c>
      <c r="C63" s="335">
        <f>Scenarios!$F$13</f>
        <v/>
      </c>
      <c r="D63" s="306" t="inlineStr">
        <is>
          <t>rate %, 0% to 25% · Construction interest rate (annual)</t>
        </is>
      </c>
    </row>
    <row r="64">
      <c r="B64" s="36" t="inlineStr">
        <is>
          <t>Con Actual360</t>
        </is>
      </c>
      <c r="C64" s="307" t="inlineStr">
        <is>
          <t>Actual/360</t>
        </is>
      </c>
      <c r="D64" s="61" t="inlineStr">
        <is>
          <t>1=Actual/360, 0=30/360</t>
        </is>
      </c>
      <c r="F64" s="308">
        <f>IF(C64="Actual/360",1,0)</f>
        <v/>
      </c>
    </row>
    <row r="65">
      <c r="B65" s="36" t="inlineStr">
        <is>
          <t>Con Points Pct</t>
        </is>
      </c>
      <c r="C65" s="8" t="n">
        <v>0.01</v>
      </c>
      <c r="D65" s="306" t="inlineStr">
        <is>
          <t>points %, 0% to 10% · Origination points</t>
        </is>
      </c>
    </row>
    <row r="66">
      <c r="B66" s="36" t="inlineStr">
        <is>
          <t>Con Other Costs</t>
        </is>
      </c>
      <c r="C66" s="213" t="n">
        <v>250000</v>
      </c>
      <c r="D66" s="306" t="inlineStr">
        <is>
          <t>$, $0+ · Other construction loan costs</t>
        </is>
      </c>
    </row>
    <row r="67">
      <c r="B67" s="36" t="inlineStr">
        <is>
          <t>Con Min Debt Yield</t>
        </is>
      </c>
      <c r="C67" s="8" t="n">
        <v>0.07000000000000001</v>
      </c>
      <c r="D67" s="306" t="inlineStr">
        <is>
          <t>rate %, 0% to 25% · Min stabilized debt yield (sizing)</t>
        </is>
      </c>
    </row>
    <row r="68">
      <c r="B68" s="36" t="inlineStr">
        <is>
          <t>Con Min DSCR</t>
        </is>
      </c>
      <c r="C68" s="215" t="n">
        <v>1.15</v>
      </c>
      <c r="D68" s="306" t="inlineStr">
        <is>
          <t>x, 1.00x to 2.00x · Min DSCR at target (sizing)</t>
        </is>
      </c>
    </row>
    <row r="69">
      <c r="B69" s="40" t="inlineStr">
        <is>
          <t>Lender Req Reserve Override</t>
        </is>
      </c>
      <c r="C69" s="214" t="n">
        <v>0</v>
      </c>
      <c r="D69" s="309" t="inlineStr">
        <is>
          <t>$ (0=auto), $0+ · If &gt;0, overrides computed interest reserve</t>
        </is>
      </c>
    </row>
    <row r="71">
      <c r="B71" s="34" t="inlineStr">
        <is>
          <t>Permanent Loan (Refinance)</t>
        </is>
      </c>
      <c r="C71" s="60" t="n"/>
      <c r="D71" s="35" t="n"/>
    </row>
    <row r="72">
      <c r="B72" s="36" t="inlineStr">
        <is>
          <t>Perm Max LTV</t>
        </is>
      </c>
      <c r="C72" s="8" t="n">
        <v>0.65</v>
      </c>
      <c r="D72" s="306" t="inlineStr">
        <is>
          <t>LTV %, 0% to 90% · Max permanent loan-to-value</t>
        </is>
      </c>
    </row>
    <row r="73">
      <c r="B73" s="36" t="inlineStr">
        <is>
          <t>Perm Rate</t>
        </is>
      </c>
      <c r="C73" s="335">
        <f>Scenarios!$F$14</f>
        <v/>
      </c>
      <c r="D73" s="306" t="inlineStr">
        <is>
          <t>rate %, 0% to 25% · Permanent interest rate (annual)</t>
        </is>
      </c>
    </row>
    <row r="74">
      <c r="B74" s="36" t="inlineStr">
        <is>
          <t>Perm Term Months</t>
        </is>
      </c>
      <c r="C74" s="210" t="n">
        <v>360</v>
      </c>
      <c r="D74" s="306" t="inlineStr">
        <is>
          <t>months, 60 to 480 · Permanent loan term</t>
        </is>
      </c>
    </row>
    <row r="75">
      <c r="B75" s="36" t="inlineStr">
        <is>
          <t>Perm IOMonths</t>
        </is>
      </c>
      <c r="C75" s="210" t="n">
        <v>24</v>
      </c>
      <c r="D75" s="306" t="inlineStr">
        <is>
          <t>months, 0 to 120 · Permanent interest-only period</t>
        </is>
      </c>
    </row>
    <row r="76">
      <c r="B76" s="36" t="inlineStr">
        <is>
          <t>Perm Amort Months</t>
        </is>
      </c>
      <c r="C76" s="210" t="n">
        <v>360</v>
      </c>
      <c r="D76" s="306" t="inlineStr">
        <is>
          <t>months, 60 to 480 · Permanent amortization period</t>
        </is>
      </c>
    </row>
    <row r="77">
      <c r="B77" s="36" t="inlineStr">
        <is>
          <t>Perm Actual360</t>
        </is>
      </c>
      <c r="C77" s="307" t="inlineStr">
        <is>
          <t>30/360</t>
        </is>
      </c>
      <c r="D77" s="61" t="inlineStr">
        <is>
          <t>1=Actual/360, 0=30/360</t>
        </is>
      </c>
      <c r="F77" s="308">
        <f>IF(C77="Actual/360",1,0)</f>
        <v/>
      </c>
    </row>
    <row r="78">
      <c r="B78" s="36" t="inlineStr">
        <is>
          <t>Perm Points Pct</t>
        </is>
      </c>
      <c r="C78" s="8" t="n">
        <v>0.0075</v>
      </c>
      <c r="D78" s="306" t="inlineStr">
        <is>
          <t>points %, 0% to 10% · Permanent loan points</t>
        </is>
      </c>
    </row>
    <row r="79">
      <c r="B79" s="36" t="inlineStr">
        <is>
          <t>Perm Min Debt Yield</t>
        </is>
      </c>
      <c r="C79" s="8" t="n">
        <v>0.08</v>
      </c>
      <c r="D79" s="306" t="inlineStr">
        <is>
          <t>rate %, 0% to 25% · Min debt yield at refi (sizing)</t>
        </is>
      </c>
    </row>
    <row r="80">
      <c r="B80" s="36" t="inlineStr">
        <is>
          <t>Perm Min DSCR</t>
        </is>
      </c>
      <c r="C80" s="215" t="n">
        <v>1.15</v>
      </c>
      <c r="D80" s="306" t="inlineStr">
        <is>
          <t>x, 1.00x to 2.00x · Min DSCR at refi (sizing)</t>
        </is>
      </c>
    </row>
    <row r="81">
      <c r="B81" s="36" t="inlineStr">
        <is>
          <t>No Cash Out</t>
        </is>
      </c>
      <c r="C81" s="307" t="inlineStr">
        <is>
          <t>Cash-Out Permitted</t>
        </is>
      </c>
      <c r="D81" s="61" t="inlineStr">
        <is>
          <t>1=size perm so net cash at refi = 0</t>
        </is>
      </c>
      <c r="F81" s="308">
        <f>IF(C81="No Cash-Out (solve LTV to zero)",1,0)</f>
        <v/>
      </c>
    </row>
    <row r="82">
      <c r="B82" s="40" t="inlineStr">
        <is>
          <t>Refi Month Override</t>
        </is>
      </c>
      <c r="C82" s="69" t="n">
        <v>0</v>
      </c>
      <c r="D82" s="309" t="inlineStr">
        <is>
          <t>month (0=auto), 0 to 360 · If &gt;0, override refi month (else = con maturity)</t>
        </is>
      </c>
    </row>
    <row r="84">
      <c r="B84" s="34" t="inlineStr">
        <is>
          <t>Sponsor Fees</t>
        </is>
      </c>
      <c r="C84" s="60" t="n"/>
      <c r="D84" s="35" t="n"/>
    </row>
    <row r="85">
      <c r="B85" s="36" t="inlineStr">
        <is>
          <t>Dev Fee Pct Direct</t>
        </is>
      </c>
      <c r="C85" s="8" t="n">
        <v>0</v>
      </c>
      <c r="D85" s="306" t="inlineStr">
        <is>
          <t>% of direct, 0% to 10% · Development fee % of direct costs</t>
        </is>
      </c>
    </row>
    <row r="86">
      <c r="B86" s="36" t="inlineStr">
        <is>
          <t>Dev Fee Third Party Split</t>
        </is>
      </c>
      <c r="C86" s="8" t="n">
        <v>0</v>
      </c>
      <c r="D86" s="306" t="inlineStr">
        <is>
          <t>split %, 0% to 100% · Portion of dev fee paid to 3rd party</t>
        </is>
      </c>
    </row>
    <row r="87">
      <c r="B87" s="36" t="inlineStr">
        <is>
          <t>Sponsor Dispo Fee Pct</t>
        </is>
      </c>
      <c r="C87" s="8" t="n">
        <v>0</v>
      </c>
      <c r="D87" s="306" t="inlineStr">
        <is>
          <t>% of sale, 0% to 10% · Sponsor disposition fee % of sale</t>
        </is>
      </c>
    </row>
    <row r="88">
      <c r="B88" s="40" t="inlineStr">
        <is>
          <t>Recourse Fee Pct</t>
        </is>
      </c>
      <c r="C88" s="68" t="n">
        <v>0</v>
      </c>
      <c r="D88" s="309" t="inlineStr">
        <is>
          <t>% of loan, 0% to 10% · Loan recourse / indemnity fee % of loan</t>
        </is>
      </c>
    </row>
    <row r="90">
      <c r="B90" s="34" t="inlineStr">
        <is>
          <t>Disposition &amp; Sale</t>
        </is>
      </c>
      <c r="C90" s="60" t="n"/>
      <c r="D90" s="35" t="n"/>
    </row>
    <row r="91">
      <c r="B91" s="36" t="inlineStr">
        <is>
          <t>Broker Cost Pct</t>
        </is>
      </c>
      <c r="C91" s="8" t="n">
        <v>0.01</v>
      </c>
      <c r="D91" s="306" t="inlineStr">
        <is>
          <t>% of sale, 0% to 10% · Broker / sale cost % of gross sale</t>
        </is>
      </c>
    </row>
    <row r="92">
      <c r="B92" s="36" t="inlineStr">
        <is>
          <t>Sales Tax Pct</t>
        </is>
      </c>
      <c r="C92" s="8" t="n">
        <v>0</v>
      </c>
      <c r="D92" s="306" t="inlineStr">
        <is>
          <t>% of sale, 0% to 10% · Transfer / sales tax % of gross sale</t>
        </is>
      </c>
    </row>
    <row r="93">
      <c r="B93" s="40" t="inlineStr">
        <is>
          <t>Tax Proration Months</t>
        </is>
      </c>
      <c r="C93" s="216" t="n">
        <v>2</v>
      </c>
      <c r="D93" s="309" t="inlineStr">
        <is>
          <t>months, 0 to 12 · Property-tax proration at sale (months)</t>
        </is>
      </c>
    </row>
    <row r="95">
      <c r="B95" s="34" t="inlineStr">
        <is>
          <t>Stabilized Revenue (other income)</t>
        </is>
      </c>
      <c r="C95" s="60" t="n"/>
      <c r="D95" s="35" t="n"/>
    </row>
    <row r="96">
      <c r="B96" s="36" t="inlineStr">
        <is>
          <t>Bad Debt Pct</t>
        </is>
      </c>
      <c r="C96" s="8" t="n">
        <v>0.005</v>
      </c>
      <c r="D96" s="306" t="inlineStr">
        <is>
          <t>% of GPR, 0% to 10% · Bad debt % of GPR</t>
        </is>
      </c>
    </row>
    <row r="97">
      <c r="B97" s="36" t="inlineStr">
        <is>
          <t>Concessions Pct</t>
        </is>
      </c>
      <c r="C97" s="8" t="n">
        <v>0</v>
      </c>
      <c r="D97" s="306" t="inlineStr">
        <is>
          <t>% of GPR, 0% to 10% · Concessions % of GPR</t>
        </is>
      </c>
    </row>
    <row r="98">
      <c r="B98" s="36" t="inlineStr">
        <is>
          <t>Loss To Lease Pct</t>
        </is>
      </c>
      <c r="C98" s="8" t="n">
        <v>0</v>
      </c>
      <c r="D98" s="306" t="inlineStr">
        <is>
          <t>% of GPR, 0% to 10% · Gain/loss-to-lease % of GPR</t>
        </is>
      </c>
    </row>
    <row r="99">
      <c r="B99" s="36" t="inlineStr">
        <is>
          <t>Model Units</t>
        </is>
      </c>
      <c r="C99" s="9" t="n">
        <v>1</v>
      </c>
      <c r="D99" s="306" t="inlineStr">
        <is>
          <t>units, 0 to 1,000 · Down / model units (non-revenue)</t>
        </is>
      </c>
    </row>
    <row r="100">
      <c r="B100" s="36" t="inlineStr">
        <is>
          <t>Parking Per Unit Mo</t>
        </is>
      </c>
      <c r="C100" s="213" t="n">
        <v>50</v>
      </c>
      <c r="D100" s="306" t="inlineStr">
        <is>
          <t>$/unit/mo, $0+ · Parking &amp; storage income $/unit/mo</t>
        </is>
      </c>
    </row>
    <row r="101">
      <c r="B101" s="36" t="inlineStr">
        <is>
          <t>Retail Income Mo</t>
        </is>
      </c>
      <c r="C101" s="213" t="n">
        <v>0</v>
      </c>
      <c r="D101" s="306" t="inlineStr">
        <is>
          <t>$/mo, $0+ · Retail income $/mo (stabilized)</t>
        </is>
      </c>
    </row>
    <row r="102">
      <c r="B102" s="36" t="inlineStr">
        <is>
          <t>Util Reimb Per Unit Mo</t>
        </is>
      </c>
      <c r="C102" s="213" t="n">
        <v>50</v>
      </c>
      <c r="D102" s="306" t="inlineStr">
        <is>
          <t>$/unit/mo, $0+ · Utility reimbursement $/unit/mo</t>
        </is>
      </c>
    </row>
    <row r="103">
      <c r="B103" s="40" t="inlineStr">
        <is>
          <t>Other Inc Per Unit Mo</t>
        </is>
      </c>
      <c r="C103" s="214" t="n">
        <v>50</v>
      </c>
      <c r="D103" s="309" t="inlineStr">
        <is>
          <t>$/unit/mo, $0+ · Other income $/unit/mo</t>
        </is>
      </c>
    </row>
    <row r="105">
      <c r="B105" s="34" t="inlineStr">
        <is>
          <t>Stabilized Operating Expenses (annual)</t>
        </is>
      </c>
      <c r="C105" s="60" t="n"/>
      <c r="D105" s="35" t="n"/>
    </row>
    <row r="106">
      <c r="B106" s="36" t="inlineStr">
        <is>
          <t>Exp Insurance Per Unit</t>
        </is>
      </c>
      <c r="C106" s="213" t="n">
        <v>500</v>
      </c>
      <c r="D106" s="306" t="inlineStr">
        <is>
          <t>$/unit/yr, $0+ · Insurance $/unit/yr</t>
        </is>
      </c>
    </row>
    <row r="107">
      <c r="B107" s="36" t="inlineStr">
        <is>
          <t>Exp Utilities Per Unit</t>
        </is>
      </c>
      <c r="C107" s="213" t="n">
        <v>1000</v>
      </c>
      <c r="D107" s="306" t="inlineStr">
        <is>
          <t>$/unit/yr, $0+ · Utilities $/unit/yr (variable)</t>
        </is>
      </c>
    </row>
    <row r="108">
      <c r="B108" s="36" t="inlineStr">
        <is>
          <t>Exp Payroll Per Unit</t>
        </is>
      </c>
      <c r="C108" s="213" t="n">
        <v>1544</v>
      </c>
      <c r="D108" s="306" t="inlineStr">
        <is>
          <t>$/unit/yr, $0+ · Payroll $/unit/yr (elevated in lease-up)</t>
        </is>
      </c>
    </row>
    <row r="109">
      <c r="B109" s="36" t="inlineStr">
        <is>
          <t>Exp RMPer Unit</t>
        </is>
      </c>
      <c r="C109" s="213" t="n">
        <v>365</v>
      </c>
      <c r="D109" s="306" t="inlineStr">
        <is>
          <t>$/unit/yr, $0+ · Repairs &amp; maintenance $/unit/yr (variable)</t>
        </is>
      </c>
    </row>
    <row r="110">
      <c r="B110" s="36" t="inlineStr">
        <is>
          <t>Exp Turnover Per Unit</t>
        </is>
      </c>
      <c r="C110" s="213" t="n">
        <v>335</v>
      </c>
      <c r="D110" s="306" t="inlineStr">
        <is>
          <t>$/unit/yr, $0+ · Turnover $/unit/yr (variable)</t>
        </is>
      </c>
    </row>
    <row r="111">
      <c r="B111" s="36" t="inlineStr">
        <is>
          <t>Exp Contract Per Unit</t>
        </is>
      </c>
      <c r="C111" s="213">
        <f>441+408</f>
        <v/>
      </c>
      <c r="D111" s="306" t="inlineStr">
        <is>
          <t>$/unit/yr, $0+ · Contract services $/unit/yr (variable)</t>
        </is>
      </c>
    </row>
    <row r="112">
      <c r="B112" s="36" t="inlineStr">
        <is>
          <t>Exp Admin Per Unit</t>
        </is>
      </c>
      <c r="C112" s="213" t="n">
        <v>478</v>
      </c>
      <c r="D112" s="306" t="inlineStr">
        <is>
          <t>$/unit/yr, $0+ · Admin &amp; legal $/unit/yr</t>
        </is>
      </c>
    </row>
    <row r="113">
      <c r="B113" s="36" t="inlineStr">
        <is>
          <t>Exp Advertising Per Unit</t>
        </is>
      </c>
      <c r="C113" s="213" t="n">
        <v>200</v>
      </c>
      <c r="D113" s="306" t="inlineStr">
        <is>
          <t>$/unit/yr, $0+ · Advertising $/unit/yr (elevated in lease-up)</t>
        </is>
      </c>
    </row>
    <row r="114">
      <c r="B114" s="36" t="inlineStr">
        <is>
          <t>Mgmt Fee Pct</t>
        </is>
      </c>
      <c r="C114" s="8" t="n">
        <v>0.034</v>
      </c>
      <c r="D114" s="306" t="inlineStr">
        <is>
          <t>% of EGI, 0% to 10% · Management fee % of EGI</t>
        </is>
      </c>
    </row>
    <row r="115">
      <c r="B115" s="36" t="inlineStr">
        <is>
          <t>Cap Reserve Per Unit</t>
        </is>
      </c>
      <c r="C115" s="213" t="n">
        <v>300</v>
      </c>
      <c r="D115" s="306" t="inlineStr">
        <is>
          <t>$/unit/yr, $0+ · Capital reserves $/unit/yr (below NOI)</t>
        </is>
      </c>
    </row>
    <row r="116">
      <c r="B116" s="36" t="inlineStr">
        <is>
          <t>Tax Prep Per Unit</t>
        </is>
      </c>
      <c r="C116" s="213" t="n">
        <v>0</v>
      </c>
      <c r="D116" s="306" t="inlineStr">
        <is>
          <t>$/unit/yr, $0+ · Tax prep $/unit/yr (below NOI)</t>
        </is>
      </c>
    </row>
    <row r="117">
      <c r="B117" s="40" t="inlineStr">
        <is>
          <t>Asset Mgmt Fee Pct</t>
        </is>
      </c>
      <c r="C117" s="68" t="n">
        <v>0.01</v>
      </c>
      <c r="D117" s="309" t="inlineStr">
        <is>
          <t>% of EGI, 0% to 10% · Asset mgmt fee % of EGI (below NOI)</t>
        </is>
      </c>
    </row>
    <row r="119">
      <c r="B119" s="327" t="inlineStr">
        <is>
          <t>Timing Milestone Durations (months)</t>
        </is>
      </c>
    </row>
    <row r="120">
      <c r="B120" s="316" t="inlineStr">
        <is>
          <t>DeliveryLagMonths</t>
        </is>
      </c>
      <c r="C120" s="288" t="n">
        <v>13</v>
      </c>
      <c r="D120" s="310" t="inlineStr">
        <is>
          <t>months, 1 to 120 · Months from construction start to 1st unit delivery</t>
        </is>
      </c>
    </row>
    <row r="121">
      <c r="B121" s="316" t="inlineStr">
        <is>
          <t>Dur_OpenEscrow</t>
        </is>
      </c>
      <c r="C121" s="288" t="n">
        <v>1</v>
      </c>
      <c r="D121" s="310" t="inlineStr">
        <is>
          <t>months, 1 to 120 · Open Escrow duration</t>
        </is>
      </c>
    </row>
    <row r="122">
      <c r="B122" s="316" t="inlineStr">
        <is>
          <t>Dur_DueDiligence</t>
        </is>
      </c>
      <c r="C122" s="288" t="n">
        <v>4</v>
      </c>
      <c r="D122" s="310" t="inlineStr">
        <is>
          <t>months, 1 to 120 · Due Diligence duration</t>
        </is>
      </c>
    </row>
    <row r="123">
      <c r="B123" s="316" t="inlineStr">
        <is>
          <t>Dur_Entitlement</t>
        </is>
      </c>
      <c r="C123" s="288" t="n">
        <v>5</v>
      </c>
      <c r="D123" s="310" t="inlineStr">
        <is>
          <t>months, 1 to 120 · Entitlement duration</t>
        </is>
      </c>
    </row>
    <row r="124">
      <c r="B124" s="316" t="inlineStr">
        <is>
          <t>Dur_PreConstruction</t>
        </is>
      </c>
      <c r="C124" s="288" t="n">
        <v>3</v>
      </c>
      <c r="D124" s="310" t="inlineStr">
        <is>
          <t>months, 1 to 120 · Pre-Construction duration</t>
        </is>
      </c>
    </row>
    <row r="125">
      <c r="B125" s="316" t="inlineStr">
        <is>
          <t>Dur_InitialClosing</t>
        </is>
      </c>
      <c r="C125" s="288" t="n">
        <v>1</v>
      </c>
      <c r="D125" s="310" t="inlineStr">
        <is>
          <t>months, 1 to 120 · Initial Closing duration</t>
        </is>
      </c>
    </row>
    <row r="126">
      <c r="B126" s="316" t="inlineStr">
        <is>
          <t>Dur_Construction</t>
        </is>
      </c>
      <c r="C126" s="288" t="n">
        <v>22</v>
      </c>
      <c r="D126" s="310" t="inlineStr">
        <is>
          <t>months, 1 to 120 · Construction duration</t>
        </is>
      </c>
    </row>
    <row r="127">
      <c r="B127" s="316" t="inlineStr">
        <is>
          <t>Dur_FirstUnitDelivery</t>
        </is>
      </c>
      <c r="C127" s="288" t="n">
        <v>1</v>
      </c>
      <c r="D127" s="310" t="inlineStr">
        <is>
          <t>months, 1 to 120 · 1st Unit Delivery duration</t>
        </is>
      </c>
    </row>
    <row r="128">
      <c r="B128" s="316" t="inlineStr">
        <is>
          <t>Dur_Stabilization</t>
        </is>
      </c>
      <c r="C128" s="288" t="n">
        <v>1</v>
      </c>
      <c r="D128" s="310" t="inlineStr">
        <is>
          <t>months, 1 to 120 · Stabilization duration</t>
        </is>
      </c>
    </row>
    <row r="129">
      <c r="B129" s="316" t="inlineStr">
        <is>
          <t>Dur_Recap</t>
        </is>
      </c>
      <c r="C129" s="288" t="n">
        <v>1</v>
      </c>
      <c r="D129" s="310" t="inlineStr">
        <is>
          <t>months, 1 to 120 · Recapitalization / Refinance duration</t>
        </is>
      </c>
    </row>
    <row r="130">
      <c r="B130" s="316" t="inlineStr">
        <is>
          <t>Dur_Disposition</t>
        </is>
      </c>
      <c r="C130" s="288" t="n">
        <v>1</v>
      </c>
      <c r="D130" s="310" t="inlineStr">
        <is>
          <t>months, 1 to 120 · Disposition duration</t>
        </is>
      </c>
    </row>
    <row r="132">
      <c r="B132" s="327" t="inlineStr">
        <is>
          <t>Property Tax — Derived (sanity check)</t>
        </is>
      </c>
    </row>
    <row r="133">
      <c r="B133" s="316" t="inlineStr">
        <is>
          <t>Effective Tax Rate on Value</t>
        </is>
      </c>
      <c r="C133" s="278">
        <f>TaxLevyPct*TaxAssessmentPct*TaxValueAdjFactor</f>
        <v/>
      </c>
      <c r="D133" s="289" t="inlineStr">
        <is>
          <t>Levy × assessment ratio × value-adj factor (no double count)</t>
        </is>
      </c>
    </row>
    <row r="134">
      <c r="B134" s="316" t="inlineStr">
        <is>
          <t>Stabilized Tax per Unit / Yr</t>
        </is>
      </c>
      <c r="C134" s="199">
        <f>IF(TotalUnits=0,0,StabTaxAnnual/TotalUnits)</f>
        <v/>
      </c>
      <c r="D134" s="289" t="inlineStr">
        <is>
          <t>Sanity-check band ≈ $800–$3,500 for many US multifamily markets</t>
        </is>
      </c>
    </row>
    <row r="135">
      <c r="B135" s="316" t="inlineStr">
        <is>
          <t>Capitalize Lease-Up Tax</t>
        </is>
      </c>
      <c r="C135" s="311" t="inlineStr">
        <is>
          <t>Capitalize in budget</t>
        </is>
      </c>
      <c r="D135" s="289" t="inlineStr">
        <is>
          <t>1=capitalize pre-stab tax in budget (default); 0=accrue as operating from delivery</t>
        </is>
      </c>
      <c r="F135" s="308">
        <f>IF(C135="Capitalize in budget",1,0)</f>
        <v/>
      </c>
    </row>
    <row r="137">
      <c r="B137" s="327" t="inlineStr">
        <is>
          <t>Site Density (derived)</t>
        </is>
      </c>
    </row>
    <row r="138">
      <c r="B138" s="316" t="inlineStr">
        <is>
          <t>Density (units / net acre)</t>
        </is>
      </c>
      <c r="C138" s="290">
        <f>IF(NetAcres=0,0,TotalUnits/NetAcres)</f>
        <v/>
      </c>
    </row>
    <row r="139">
      <c r="B139" s="316" t="inlineStr">
        <is>
          <t>Max Buildable SF by FAR</t>
        </is>
      </c>
      <c r="C139" s="191">
        <f>FARRatio*NetAcres*43560</f>
        <v/>
      </c>
      <c r="D139" s="289" t="inlineStr">
        <is>
          <t>FAR × net acres × 43,560 sf/acre</t>
        </is>
      </c>
    </row>
    <row r="141">
      <c r="B141" s="327" t="inlineStr">
        <is>
          <t>Input Sanity (soft warnings — review, not errors)</t>
        </is>
      </c>
      <c r="C141" s="155" t="n"/>
      <c r="D141" s="155" t="n"/>
      <c r="E141" s="155" t="n"/>
      <c r="F141" s="155" t="n"/>
    </row>
    <row r="142">
      <c r="B142" s="316" t="inlineStr">
        <is>
          <t>Construction term ≤ 48 months</t>
        </is>
      </c>
      <c r="C142" s="191">
        <f>ConLoanTermMonths</f>
        <v/>
      </c>
      <c r="E142" s="314">
        <f>IF(ConLoanTermMonths&lt;=48,"OK","CHECK")</f>
        <v/>
      </c>
    </row>
    <row r="143">
      <c r="B143" s="316" t="inlineStr">
        <is>
          <t>Stabilized tax / unit in $500–$4,000</t>
        </is>
      </c>
      <c r="C143" s="199">
        <f>IF(TotalUnits=0,0,StabTaxAnnual/TotalUnits)</f>
        <v/>
      </c>
      <c r="E143" s="314">
        <f>IF(AND(StabTaxAnnual/TotalUnits&gt;=500,StabTaxAnnual/TotalUnits&lt;=4000),"OK","CHECK")</f>
        <v/>
      </c>
    </row>
    <row r="144">
      <c r="B144" s="316" t="inlineStr">
        <is>
          <t>Absorption pace ≤ delivery pace</t>
        </is>
      </c>
      <c r="C144" s="191">
        <f>UnitsLeasedPerMo</f>
        <v/>
      </c>
      <c r="E144" s="314">
        <f>IF(UnitsLeasedPerMo&lt;=UnitsDeliveredPerMo,"OK","CHECK")</f>
        <v/>
      </c>
    </row>
    <row r="145">
      <c r="B145" s="316" t="inlineStr">
        <is>
          <t>Untrended YOC ≥ exit cap (positive spread)</t>
        </is>
      </c>
      <c r="C145" s="193">
        <f>YieldOnCost-ExitCapResidential</f>
        <v/>
      </c>
      <c r="E145" s="314">
        <f>IF(YieldOnCost&gt;=ExitCapResidential,"OK","CHECK")</f>
        <v/>
      </c>
    </row>
    <row r="146">
      <c r="B146" s="316" t="inlineStr">
        <is>
          <t>Stabilized occupancy 85%–98%</t>
        </is>
      </c>
      <c r="C146" s="315">
        <f>StabilizedOccupancy</f>
        <v/>
      </c>
      <c r="E146" s="314">
        <f>IF(AND(StabilizedOccupancy&gt;=0.85,StabilizedOccupancy&lt;=0.98),"OK","CHECK")</f>
        <v/>
      </c>
    </row>
    <row r="147">
      <c r="B147" s="316" t="inlineStr">
        <is>
          <t>Rent growth ≤ 5%</t>
        </is>
      </c>
      <c r="C147" s="193">
        <f>GrowthRent</f>
        <v/>
      </c>
      <c r="E147" s="314">
        <f>IF(GrowthRent&lt;=0.05,"OK","CHECK")</f>
        <v/>
      </c>
    </row>
    <row r="148">
      <c r="B148" s="316" t="inlineStr">
        <is>
          <t>Sanity checks flagged</t>
        </is>
      </c>
      <c r="C148" s="191">
        <f>COUNTIF(E142:E147,"CHECK")</f>
        <v/>
      </c>
    </row>
  </sheetData>
  <conditionalFormatting sqref="E142:E147">
    <cfRule type="cellIs" priority="1" operator="equal" dxfId="2">
      <formula>"CHECK"</formula>
    </cfRule>
  </conditionalFormatting>
  <conditionalFormatting sqref="E140:E150">
    <cfRule type="cellIs" priority="2" operator="equal" dxfId="7">
      <formula>"PASS"</formula>
    </cfRule>
    <cfRule type="cellIs" priority="3" operator="equal" dxfId="7">
      <formula>"OK"</formula>
    </cfRule>
    <cfRule type="cellIs" priority="4" operator="equal" dxfId="5">
      <formula>"FAIL"</formula>
    </cfRule>
    <cfRule type="cellIs" priority="5" operator="equal" dxfId="8">
      <formula>"WARN"</formula>
    </cfRule>
    <cfRule type="cellIs" priority="6" operator="equal" dxfId="8">
      <formula>"CHECK"</formula>
    </cfRule>
  </conditionalFormatting>
  <dataValidations count="97">
    <dataValidation sqref="C62" showDropDown="0" showInputMessage="0" showErrorMessage="1" allowBlank="0" errorTitle="Construction term out of range" error="Construction-loan term is typically 12-60 months. Values above 60 keep the loan interest-only for the full hold and suppress the refinance. Enter 12-60." promptTitle="Construction Loan Term (months)" prompt="Realistic range 12-60. Drives construction maturity and the refi-or-sell switch." type="whole" operator="between">
      <formula1>12</formula1>
      <formula2>60</formula2>
    </dataValidation>
    <dataValidation sqref="C31" showDropDown="0" showInputMessage="0" showErrorMessage="1" allowBlank="0" errorTitle="Pick from the list" error="Choose &quot;Offset vs equity&quot; or &quot;Do not offset&quot;." promptTitle="Toggle" prompt="Offset vs equity = 1 · Do not offset = 0" type="list">
      <formula1>"Offset vs equity,Do not offset"</formula1>
    </dataValidation>
    <dataValidation sqref="C50" showDropDown="0" showInputMessage="0" showErrorMessage="1" allowBlank="0" errorTitle="Pick from the list" error="Choose &quot;Value Approach&quot; or &quot;Income Approach&quot;." promptTitle="Toggle" prompt="Value Approach = 1 · Income Approach = 0" type="list">
      <formula1>"Value Approach,Income Approach"</formula1>
    </dataValidation>
    <dataValidation sqref="C52" showDropDown="0" showInputMessage="0" showErrorMessage="1" allowBlank="0" errorTitle="Pick from the list" error="Choose &quot;Yes — reassess at sale&quot; or &quot;No — in-place taxes&quot;." promptTitle="Toggle" prompt="Yes — reassess at sale = 1 · No — in-place taxes = 0" type="list">
      <formula1>"Yes — reassess at sale,No — in-place taxes"</formula1>
    </dataValidation>
    <dataValidation sqref="C56" showDropDown="0" showInputMessage="0" showErrorMessage="1" allowBlank="0" errorTitle="Pick from the list" error="Choose &quot;Pari-Passu&quot; or &quot;Equity First&quot;." promptTitle="Toggle" prompt="Pari-Passu = 1 · Equity First = 0" type="list">
      <formula1>"Pari-Passu,Equity First"</formula1>
    </dataValidation>
    <dataValidation sqref="C64" showDropDown="0" showInputMessage="0" showErrorMessage="1" allowBlank="0" errorTitle="Pick from the list" error="Choose &quot;Actual/360&quot; or &quot;30/360&quot;." promptTitle="Toggle" prompt="Actual/360 = 1 · 30/360 = 0" type="list">
      <formula1>"Actual/360,30/360"</formula1>
    </dataValidation>
    <dataValidation sqref="C77" showDropDown="0" showInputMessage="0" showErrorMessage="1" allowBlank="0" errorTitle="Pick from the list" error="Choose &quot;Actual/360&quot; or &quot;30/360&quot;." promptTitle="Toggle" prompt="Actual/360 = 1 · 30/360 = 0" type="list">
      <formula1>"Actual/360,30/360"</formula1>
    </dataValidation>
    <dataValidation sqref="C81" showDropDown="0" showInputMessage="0" showErrorMessage="1" allowBlank="0" errorTitle="Pick from the list" error="Choose &quot;No Cash-Out (solve LTV to zero)&quot; or &quot;Cash-Out Permitted&quot;." promptTitle="Toggle" prompt="No Cash-Out (solve LTV to zero) = 1 · Cash-Out Permitted = 0" type="list">
      <formula1>"No Cash-Out (solve LTV to zero),Cash-Out Permitted"</formula1>
    </dataValidation>
    <dataValidation sqref="C135" showDropDown="0" showInputMessage="0" showErrorMessage="1" allowBlank="0" errorTitle="Pick from the list" error="Choose &quot;Capitalize in budget&quot; or &quot;Expense from delivery&quot;." promptTitle="Toggle" prompt="Capitalize in budget = 1 · Expense from delivery = 0" type="list">
      <formula1>"Capitalize in budget,Expense from delivery"</formula1>
    </dataValidation>
    <dataValidation sqref="C8" showDropDown="0" showInputMessage="0" showErrorMessage="0" allowBlank="1" promptTitle="State" prompt="Pick from list or type your own" type="list">
      <formula1>"AZ,TX,CA,CO,NV,UT,NM,WA,OR,ID,FL,GA,NC,TN"</formula1>
    </dataValidation>
    <dataValidation sqref="C10" showDropDown="0" showInputMessage="0" showErrorMessage="0" allowBlank="1" promptTitle="ProductType" prompt="Pick from list or type your own" type="list">
      <formula1>"Garden,Mid-Rise,High-Rise,Wrap,Podium,Townhome"</formula1>
    </dataValidation>
    <dataValidation sqref="C11" showDropDown="0" showInputMessage="0" showErrorMessage="0" allowBlank="1" promptTitle="Location" prompt="Pick from list or type your own" type="list">
      <formula1>"Urban,Suburban,Suburban Infill,Rural"</formula1>
    </dataValidation>
    <dataValidation sqref="C5" showDropDown="0" showInputMessage="0" showErrorMessage="0" allowBlank="1" promptTitle="InvestmentType" prompt="Pick from list or type your own" type="list">
      <formula1>"Ground-Up Development,Value-Add,Core,Core-Plus"</formula1>
    </dataValidation>
    <dataValidation sqref="C15" showDropDown="0" showInputMessage="1" showErrorMessage="1" allowBlank="0" errorTitle="Out of range" error="Hold Period Months: enter months in 1 to 360." promptTitle="Hold Period Months" prompt="Unit: months.  Expected: 1 to 360." type="whole" operator="between">
      <formula1>1</formula1>
      <formula2>360</formula2>
    </dataValidation>
    <dataValidation sqref="C16" showDropDown="0" showInputMessage="1" showErrorMessage="1" allowBlank="0" errorTitle="Out of range" error="Entry Cap Rate: enter rate % in 0% to 25%." promptTitle="Entry Cap Rate" prompt="Unit: rate %.  Expected: 0% to 25%." type="decimal" operator="between">
      <formula1>0</formula1>
      <formula2>0.25</formula2>
    </dataValidation>
    <dataValidation sqref="C17" showDropDown="0" showInputMessage="1" showErrorMessage="1" allowBlank="0" errorTitle="Out of range" error="Cap Adj Location: enter ± rate in -5% to 5%." promptTitle="Cap Adj Location" prompt="Unit: ± rate.  Expected: -5% to 5%." type="decimal" operator="between">
      <formula1>-0.05</formula1>
      <formula2>0.05</formula2>
    </dataValidation>
    <dataValidation sqref="C18" showDropDown="0" showInputMessage="1" showErrorMessage="1" allowBlank="0" errorTitle="Out of range" error="Cap Adj Size: enter ± rate in -5% to 5%." promptTitle="Cap Adj Size" prompt="Unit: ± rate.  Expected: -5% to 5%." type="decimal" operator="between">
      <formula1>-0.05</formula1>
      <formula2>0.05</formula2>
    </dataValidation>
    <dataValidation sqref="C19" showDropDown="0" showInputMessage="1" showErrorMessage="1" allowBlank="0" errorTitle="Out of range" error="Cap Adj Aging: enter ± rate in -5% to 5%." promptTitle="Cap Adj Aging" prompt="Unit: ± rate.  Expected: -5% to 5%." type="decimal" operator="between">
      <formula1>-0.05</formula1>
      <formula2>0.05</formula2>
    </dataValidation>
    <dataValidation sqref="C21" showDropDown="0" showInputMessage="1" showErrorMessage="1" allowBlank="0" errorTitle="Out of range" error="Exit Cap Retail: enter rate % in 0% to 25%." promptTitle="Exit Cap Retail" prompt="Unit: rate %.  Expected: 0% to 25%." type="decimal" operator="between">
      <formula1>0</formula1>
      <formula2>0.25</formula2>
    </dataValidation>
    <dataValidation sqref="C22" showDropDown="0" showInputMessage="1" showErrorMessage="1" allowBlank="0" errorTitle="Out of range" error="Growth Rent: enter annual % in -10% to 20%." promptTitle="Growth Rent" prompt="Unit: annual %.  Expected: -10% to 20%." type="decimal" operator="between">
      <formula1>-0.1</formula1>
      <formula2>0.2</formula2>
    </dataValidation>
    <dataValidation sqref="C23" showDropDown="0" showInputMessage="1" showErrorMessage="1" allowBlank="0" errorTitle="Out of range" error="Growth Low Inc Rent: enter annual % in -10% to 20%." promptTitle="Growth Low Inc Rent" prompt="Unit: annual %.  Expected: -10% to 20%." type="decimal" operator="between">
      <formula1>-0.1</formula1>
      <formula2>0.2</formula2>
    </dataValidation>
    <dataValidation sqref="C24" showDropDown="0" showInputMessage="1" showErrorMessage="1" allowBlank="0" errorTitle="Out of range" error="Growth Expense: enter annual % in -10% to 20%." promptTitle="Growth Expense" prompt="Unit: annual %.  Expected: -10% to 20%." type="decimal" operator="between">
      <formula1>-0.1</formula1>
      <formula2>0.2</formula2>
    </dataValidation>
    <dataValidation sqref="C25" showDropDown="0" showInputMessage="1" showErrorMessage="1" allowBlank="0" errorTitle="Out of range" error="Growth Utility: enter annual % in -10% to 20%." promptTitle="Growth Utility" prompt="Unit: annual %.  Expected: -10% to 20%." type="decimal" operator="between">
      <formula1>-0.1</formula1>
      <formula2>0.2</formula2>
    </dataValidation>
    <dataValidation sqref="C26" showDropDown="0" showInputMessage="1" showErrorMessage="1" allowBlank="0" errorTitle="Out of range" error="Growth Tax: enter annual % in -10% to 20%." promptTitle="Growth Tax" prompt="Unit: annual %.  Expected: -10% to 20%." type="decimal" operator="between">
      <formula1>-0.1</formula1>
      <formula2>0.2</formula2>
    </dataValidation>
    <dataValidation sqref="C27" showDropDown="0" showInputMessage="1" showErrorMessage="1" allowBlank="0" errorTitle="Out of range" error="Growth Other: enter annual % in -10% to 20%." promptTitle="Growth Other" prompt="Unit: annual %.  Expected: -10% to 20%." type="decimal" operator="between">
      <formula1>-0.1</formula1>
      <formula2>0.2</formula2>
    </dataValidation>
    <dataValidation sqref="C32" showDropDown="0" showInputMessage="1" showErrorMessage="1" allowBlank="0" errorTitle="Out of range" error="Units Delivered Per Mo: enter units/mo in 1 to 1,000." promptTitle="Units Delivered Per Mo" prompt="Unit: units/mo.  Expected: 1 to 1,000." type="whole" operator="between">
      <formula1>1</formula1>
      <formula2>1000</formula2>
    </dataValidation>
    <dataValidation sqref="C33" showDropDown="0" showInputMessage="1" showErrorMessage="1" allowBlank="0" errorTitle="Out of range" error="Units Leased Per Mo: enter units/mo in 1 to 1,000." promptTitle="Units Leased Per Mo" prompt="Unit: units/mo.  Expected: 1 to 1,000." type="whole" operator="between">
      <formula1>1</formula1>
      <formula2>1000</formula2>
    </dataValidation>
    <dataValidation sqref="C34" showDropDown="0" showInputMessage="1" showErrorMessage="1" allowBlank="0" errorTitle="Out of range" error="Lease Up Ramp Pct: enter % of stab in 0% to 100%." promptTitle="Lease Up Ramp Pct" prompt="Unit: % of stab.  Expected: 0% to 100%." type="decimal" operator="between">
      <formula1>0</formula1>
      <formula2>1</formula2>
    </dataValidation>
    <dataValidation sqref="C35" showDropDown="0" showInputMessage="1" showErrorMessage="1" allowBlank="0" errorTitle="Out of range" error="Lease Up Elevation Pct: enter uplift % in 0% to 100%." promptTitle="Lease Up Elevation Pct" prompt="Unit: uplift %.  Expected: 0% to 100%." type="decimal" operator="between">
      <formula1>0</formula1>
      <formula2>1</formula2>
    </dataValidation>
    <dataValidation sqref="C36" showDropDown="0" showInputMessage="1" showErrorMessage="1" allowBlank="0" errorTitle="Out of range" error="Stabilized Occupancy: enter occupancy % in 50% to 100%." promptTitle="Stabilized Occupancy" prompt="Unit: occupancy %.  Expected: 50% to 100%." type="decimal" operator="between">
      <formula1>0.5</formula1>
      <formula2>1.0</formula2>
    </dataValidation>
    <dataValidation sqref="C39" showDropDown="0" showInputMessage="1" showErrorMessage="1" allowBlank="0" errorTitle="Out of range" error="Land Cost: enter $ in $0+." promptTitle="Land Cost" prompt="Unit: $.  Expected: $0+." type="decimal" operator="between">
      <formula1>0</formula1>
      <formula2>1000000000000.0</formula2>
    </dataValidation>
    <dataValidation sqref="C40" showDropDown="0" showInputMessage="1" showErrorMessage="1" allowBlank="0" errorTitle="Out of range" error="Gross Acres: enter acres in 0 to 10,000." promptTitle="Gross Acres" prompt="Unit: acres.  Expected: 0 to 10,000." type="decimal" operator="between">
      <formula1>0</formula1>
      <formula2>10000</formula2>
    </dataValidation>
    <dataValidation sqref="C42" showDropDown="0" showInputMessage="1" showErrorMessage="1" allowBlank="0" errorTitle="Out of range" error="FARRatio: enter ratio in 0 to 20." promptTitle="FARRatio" prompt="Unit: ratio.  Expected: 0 to 20." type="decimal" operator="between">
      <formula1>0</formula1>
      <formula2>20</formula2>
    </dataValidation>
    <dataValidation sqref="C43" showDropDown="0" showInputMessage="1" showErrorMessage="1" allowBlank="0" errorTitle="Out of range" error="Efficiency Ratio: enter NRSF/gross % in 50% to 100%." promptTitle="Efficiency Ratio" prompt="Unit: NRSF/gross %.  Expected: 50% to 100%." type="decimal" operator="between">
      <formula1>0.5</formula1>
      <formula2>1.0</formula2>
    </dataValidation>
    <dataValidation sqref="C44" showDropDown="0" showInputMessage="1" showErrorMessage="1" allowBlank="0" errorTitle="Out of range" error="Existing Structure Cost: enter $ in $0+." promptTitle="Existing Structure Cost" prompt="Unit: $.  Expected: $0+." type="decimal" operator="between">
      <formula1>0</formula1>
      <formula2>1000000000000.0</formula2>
    </dataValidation>
    <dataValidation sqref="C47" showDropDown="0" showInputMessage="1" showErrorMessage="1" allowBlank="0" errorTitle="Out of range" error="Tax Levy Pct: enter rate % in 0% to 25%." promptTitle="Tax Levy Pct" prompt="Unit: rate %.  Expected: 0% to 25%." type="decimal" operator="between">
      <formula1>0</formula1>
      <formula2>0.25</formula2>
    </dataValidation>
    <dataValidation sqref="C48" showDropDown="0" showInputMessage="1" showErrorMessage="1" allowBlank="0" errorTitle="Out of range" error="Tax Assessment Pct: enter assessment % in 0% to 100%." promptTitle="Tax Assessment Pct" prompt="Unit: assessment %.  Expected: 0% to 100%." type="decimal" operator="between">
      <formula1>0</formula1>
      <formula2>1</formula2>
    </dataValidation>
    <dataValidation sqref="C49" showDropDown="0" showInputMessage="1" showErrorMessage="1" allowBlank="0" errorTitle="Out of range" error="Tax Value Adj Factor: enter factor in 0% to 100%." promptTitle="Tax Value Adj Factor" prompt="Unit: factor.  Expected: 0% to 100%." type="decimal" operator="between">
      <formula1>0</formula1>
      <formula2>1</formula2>
    </dataValidation>
    <dataValidation sqref="C51" showDropDown="0" showInputMessage="1" showErrorMessage="1" allowBlank="0" errorTitle="Out of range" error="Tax Year1 Override: enter $ (0=auto) in $0+." promptTitle="Tax Year1 Override" prompt="Unit: $ (0=auto).  Expected: $0+." type="decimal" operator="between">
      <formula1>0</formula1>
      <formula2>1000000000.0</formula2>
    </dataValidation>
    <dataValidation sqref="C53" showDropDown="0" showInputMessage="1" showErrorMessage="1" allowBlank="0" errorTitle="Out of range" error="Dispo Tax Rate Pct: enter rate % (0=auto) in 0% to 25%." promptTitle="Dispo Tax Rate Pct" prompt="Unit: rate % (0=auto).  Expected: 0% to 25%." type="decimal" operator="between">
      <formula1>0</formula1>
      <formula2>0.25</formula2>
    </dataValidation>
    <dataValidation sqref="C57" showDropDown="0" showInputMessage="1" showErrorMessage="1" allowBlank="0" errorTitle="Out of range" error="Target LTC: enter LTC % in 0% to 90%." promptTitle="Target LTC" prompt="Unit: LTC %.  Expected: 0% to 90%." type="decimal" operator="between">
      <formula1>0</formula1>
      <formula2>0.9</formula2>
    </dataValidation>
    <dataValidation sqref="C58" showDropDown="0" showInputMessage="1" showErrorMessage="1" allowBlank="0" errorTitle="Out of range" error="Op Reserve Coverage: enter x multiple in 1.00x to 3.00x." promptTitle="Op Reserve Coverage" prompt="Unit: x multiple.  Expected: 1.00x to 3.00x." type="decimal" operator="between">
      <formula1>1.0</formula1>
      <formula2>3.0</formula2>
    </dataValidation>
    <dataValidation sqref="C59" showDropDown="0" showInputMessage="1" showErrorMessage="1" allowBlank="0" errorTitle="Out of range" error="Op Reserve Min Months: enter months in 0 to 24." promptTitle="Op Reserve Min Months" prompt="Unit: months.  Expected: 0 to 24." type="whole" operator="between">
      <formula1>0</formula1>
      <formula2>24</formula2>
    </dataValidation>
    <dataValidation sqref="C62" showDropDown="0" showInputMessage="1" showErrorMessage="1" allowBlank="0" errorTitle="Out of range" error="Con Loan Term Months: enter months in 12 to 60." promptTitle="Con Loan Term Months" prompt="Unit: months.  Expected: 12 to 60." type="whole" operator="between">
      <formula1>12</formula1>
      <formula2>60</formula2>
    </dataValidation>
    <dataValidation sqref="C63" showDropDown="0" showInputMessage="1" showErrorMessage="1" allowBlank="0" errorTitle="Out of range" error="Con Rate: enter rate % in 0% to 25%." promptTitle="Con Rate" prompt="Unit: rate %.  Expected: 0% to 25%." type="decimal" operator="between">
      <formula1>0</formula1>
      <formula2>0.25</formula2>
    </dataValidation>
    <dataValidation sqref="C65" showDropDown="0" showInputMessage="1" showErrorMessage="1" allowBlank="0" errorTitle="Out of range" error="Con Points Pct: enter points % in 0% to 10%." promptTitle="Con Points Pct" prompt="Unit: points %.  Expected: 0% to 10%." type="decimal" operator="between">
      <formula1>0</formula1>
      <formula2>0.1</formula2>
    </dataValidation>
    <dataValidation sqref="C66" showDropDown="0" showInputMessage="1" showErrorMessage="1" allowBlank="0" errorTitle="Out of range" error="Con Other Costs: enter $ in $0+." promptTitle="Con Other Costs" prompt="Unit: $.  Expected: $0+." type="decimal" operator="between">
      <formula1>0</formula1>
      <formula2>1000000000.0</formula2>
    </dataValidation>
    <dataValidation sqref="C67" showDropDown="0" showInputMessage="1" showErrorMessage="1" allowBlank="0" errorTitle="Out of range" error="Con Min Debt Yield: enter rate % in 0% to 25%." promptTitle="Con Min Debt Yield" prompt="Unit: rate %.  Expected: 0% to 25%." type="decimal" operator="between">
      <formula1>0</formula1>
      <formula2>0.25</formula2>
    </dataValidation>
    <dataValidation sqref="C68" showDropDown="0" showInputMessage="1" showErrorMessage="1" allowBlank="0" errorTitle="Out of range" error="Con Min DSCR: enter x in 1.00x to 2.00x." promptTitle="Con Min DSCR" prompt="Unit: x.  Expected: 1.00x to 2.00x." type="decimal" operator="between">
      <formula1>1.0</formula1>
      <formula2>2.0</formula2>
    </dataValidation>
    <dataValidation sqref="C69" showDropDown="0" showInputMessage="1" showErrorMessage="1" allowBlank="0" errorTitle="Out of range" error="Lender Req Reserve Override: enter $ (0=auto) in $0+." promptTitle="Lender Req Reserve Override" prompt="Unit: $ (0=auto).  Expected: $0+." type="decimal" operator="between">
      <formula1>0</formula1>
      <formula2>1000000000.0</formula2>
    </dataValidation>
    <dataValidation sqref="C72" showDropDown="0" showInputMessage="1" showErrorMessage="1" allowBlank="0" errorTitle="Out of range" error="Perm Max LTV: enter LTV % in 0% to 90%." promptTitle="Perm Max LTV" prompt="Unit: LTV %.  Expected: 0% to 90%." type="decimal" operator="between">
      <formula1>0</formula1>
      <formula2>0.9</formula2>
    </dataValidation>
    <dataValidation sqref="C73" showDropDown="0" showInputMessage="1" showErrorMessage="1" allowBlank="0" errorTitle="Out of range" error="Perm Rate: enter rate % in 0% to 25%." promptTitle="Perm Rate" prompt="Unit: rate %.  Expected: 0% to 25%." type="decimal" operator="between">
      <formula1>0</formula1>
      <formula2>0.25</formula2>
    </dataValidation>
    <dataValidation sqref="C74" showDropDown="0" showInputMessage="1" showErrorMessage="1" allowBlank="0" errorTitle="Out of range" error="Perm Term Months: enter months in 60 to 480." promptTitle="Perm Term Months" prompt="Unit: months.  Expected: 60 to 480." type="whole" operator="between">
      <formula1>60</formula1>
      <formula2>480</formula2>
    </dataValidation>
    <dataValidation sqref="C75" showDropDown="0" showInputMessage="1" showErrorMessage="1" allowBlank="0" errorTitle="Out of range" error="Perm IOMonths: enter months in 0 to 120." promptTitle="Perm IOMonths" prompt="Unit: months.  Expected: 0 to 120." type="whole" operator="between">
      <formula1>0</formula1>
      <formula2>120</formula2>
    </dataValidation>
    <dataValidation sqref="C76" showDropDown="0" showInputMessage="1" showErrorMessage="1" allowBlank="0" errorTitle="Out of range" error="Perm Amort Months: enter months in 60 to 480." promptTitle="Perm Amort Months" prompt="Unit: months.  Expected: 60 to 480." type="whole" operator="between">
      <formula1>60</formula1>
      <formula2>480</formula2>
    </dataValidation>
    <dataValidation sqref="C78" showDropDown="0" showInputMessage="1" showErrorMessage="1" allowBlank="0" errorTitle="Out of range" error="Perm Points Pct: enter points % in 0% to 10%." promptTitle="Perm Points Pct" prompt="Unit: points %.  Expected: 0% to 10%." type="decimal" operator="between">
      <formula1>0</formula1>
      <formula2>0.1</formula2>
    </dataValidation>
    <dataValidation sqref="C79" showDropDown="0" showInputMessage="1" showErrorMessage="1" allowBlank="0" errorTitle="Out of range" error="Perm Min Debt Yield: enter rate % in 0% to 25%." promptTitle="Perm Min Debt Yield" prompt="Unit: rate %.  Expected: 0% to 25%." type="decimal" operator="between">
      <formula1>0</formula1>
      <formula2>0.25</formula2>
    </dataValidation>
    <dataValidation sqref="C80" showDropDown="0" showInputMessage="1" showErrorMessage="1" allowBlank="0" errorTitle="Out of range" error="Perm Min DSCR: enter x in 1.00x to 2.00x." promptTitle="Perm Min DSCR" prompt="Unit: x.  Expected: 1.00x to 2.00x." type="decimal" operator="between">
      <formula1>1.0</formula1>
      <formula2>2.0</formula2>
    </dataValidation>
    <dataValidation sqref="C82" showDropDown="0" showInputMessage="1" showErrorMessage="1" allowBlank="0" errorTitle="Out of range" error="Refi Month Override: enter month (0=auto) in 0 to 360." promptTitle="Refi Month Override" prompt="Unit: month (0=auto).  Expected: 0 to 360." type="whole" operator="between">
      <formula1>0</formula1>
      <formula2>360</formula2>
    </dataValidation>
    <dataValidation sqref="C85" showDropDown="0" showInputMessage="1" showErrorMessage="1" allowBlank="0" errorTitle="Out of range" error="Dev Fee Pct Direct: enter % of direct in 0% to 10%." promptTitle="Dev Fee Pct Direct" prompt="Unit: % of direct.  Expected: 0% to 10%." type="decimal" operator="between">
      <formula1>0</formula1>
      <formula2>0.1</formula2>
    </dataValidation>
    <dataValidation sqref="C86" showDropDown="0" showInputMessage="1" showErrorMessage="1" allowBlank="0" errorTitle="Out of range" error="Dev Fee Third Party Split: enter split % in 0% to 100%." promptTitle="Dev Fee Third Party Split" prompt="Unit: split %.  Expected: 0% to 100%." type="decimal" operator="between">
      <formula1>0</formula1>
      <formula2>1</formula2>
    </dataValidation>
    <dataValidation sqref="C87" showDropDown="0" showInputMessage="1" showErrorMessage="1" allowBlank="0" errorTitle="Out of range" error="Sponsor Dispo Fee Pct: enter % of sale in 0% to 10%." promptTitle="Sponsor Dispo Fee Pct" prompt="Unit: % of sale.  Expected: 0% to 10%." type="decimal" operator="between">
      <formula1>0</formula1>
      <formula2>0.1</formula2>
    </dataValidation>
    <dataValidation sqref="C88" showDropDown="0" showInputMessage="1" showErrorMessage="1" allowBlank="0" errorTitle="Out of range" error="Recourse Fee Pct: enter % of loan in 0% to 10%." promptTitle="Recourse Fee Pct" prompt="Unit: % of loan.  Expected: 0% to 10%." type="decimal" operator="between">
      <formula1>0</formula1>
      <formula2>0.1</formula2>
    </dataValidation>
    <dataValidation sqref="C91" showDropDown="0" showInputMessage="1" showErrorMessage="1" allowBlank="0" errorTitle="Out of range" error="Broker Cost Pct: enter % of sale in 0% to 10%." promptTitle="Broker Cost Pct" prompt="Unit: % of sale.  Expected: 0% to 10%." type="decimal" operator="between">
      <formula1>0</formula1>
      <formula2>0.1</formula2>
    </dataValidation>
    <dataValidation sqref="C92" showDropDown="0" showInputMessage="1" showErrorMessage="1" allowBlank="0" errorTitle="Out of range" error="Sales Tax Pct: enter % of sale in 0% to 10%." promptTitle="Sales Tax Pct" prompt="Unit: % of sale.  Expected: 0% to 10%." type="decimal" operator="between">
      <formula1>0</formula1>
      <formula2>0.1</formula2>
    </dataValidation>
    <dataValidation sqref="C93" showDropDown="0" showInputMessage="1" showErrorMessage="1" allowBlank="0" errorTitle="Out of range" error="Tax Proration Months: enter months in 0 to 12." promptTitle="Tax Proration Months" prompt="Unit: months.  Expected: 0 to 12." type="whole" operator="between">
      <formula1>0</formula1>
      <formula2>12</formula2>
    </dataValidation>
    <dataValidation sqref="C96" showDropDown="0" showInputMessage="1" showErrorMessage="1" allowBlank="0" errorTitle="Out of range" error="Bad Debt Pct: enter % of GPR in 0% to 10%." promptTitle="Bad Debt Pct" prompt="Unit: % of GPR.  Expected: 0% to 10%." type="decimal" operator="between">
      <formula1>0</formula1>
      <formula2>0.1</formula2>
    </dataValidation>
    <dataValidation sqref="C97" showDropDown="0" showInputMessage="1" showErrorMessage="1" allowBlank="0" errorTitle="Out of range" error="Concessions Pct: enter % of GPR in 0% to 10%." promptTitle="Concessions Pct" prompt="Unit: % of GPR.  Expected: 0% to 10%." type="decimal" operator="between">
      <formula1>0</formula1>
      <formula2>0.1</formula2>
    </dataValidation>
    <dataValidation sqref="C98" showDropDown="0" showInputMessage="1" showErrorMessage="1" allowBlank="0" errorTitle="Out of range" error="Loss To Lease Pct: enter % of GPR in 0% to 10%." promptTitle="Loss To Lease Pct" prompt="Unit: % of GPR.  Expected: 0% to 10%." type="decimal" operator="between">
      <formula1>0</formula1>
      <formula2>0.1</formula2>
    </dataValidation>
    <dataValidation sqref="C99" showDropDown="0" showInputMessage="1" showErrorMessage="1" allowBlank="0" errorTitle="Out of range" error="Model Units: enter units in 0 to 1,000." promptTitle="Model Units" prompt="Unit: units.  Expected: 0 to 1,000." type="whole" operator="between">
      <formula1>0</formula1>
      <formula2>1000</formula2>
    </dataValidation>
    <dataValidation sqref="C100" showDropDown="0" showInputMessage="1" showErrorMessage="1" allowBlank="0" errorTitle="Out of range" error="Parking Per Unit Mo: enter $/unit/mo in $0+." promptTitle="Parking Per Unit Mo" prompt="Unit: $/unit/mo.  Expected: $0+." type="decimal" operator="between">
      <formula1>0</formula1>
      <formula2>100000</formula2>
    </dataValidation>
    <dataValidation sqref="C101" showDropDown="0" showInputMessage="1" showErrorMessage="1" allowBlank="0" errorTitle="Out of range" error="Retail Income Mo: enter $/mo in $0+." promptTitle="Retail Income Mo" prompt="Unit: $/mo.  Expected: $0+." type="decimal" operator="between">
      <formula1>0</formula1>
      <formula2>10000000.0</formula2>
    </dataValidation>
    <dataValidation sqref="C102" showDropDown="0" showInputMessage="1" showErrorMessage="1" allowBlank="0" errorTitle="Out of range" error="Util Reimb Per Unit Mo: enter $/unit/mo in $0+." promptTitle="Util Reimb Per Unit Mo" prompt="Unit: $/unit/mo.  Expected: $0+." type="decimal" operator="between">
      <formula1>0</formula1>
      <formula2>100000</formula2>
    </dataValidation>
    <dataValidation sqref="C103" showDropDown="0" showInputMessage="1" showErrorMessage="1" allowBlank="0" errorTitle="Out of range" error="Other Inc Per Unit Mo: enter $/unit/mo in $0+." promptTitle="Other Inc Per Unit Mo" prompt="Unit: $/unit/mo.  Expected: $0+." type="decimal" operator="between">
      <formula1>0</formula1>
      <formula2>100000</formula2>
    </dataValidation>
    <dataValidation sqref="C106" showDropDown="0" showInputMessage="1" showErrorMessage="1" allowBlank="0" errorTitle="Out of range" error="Exp Insurance Per Unit: enter $/unit/yr in $0+." promptTitle="Exp Insurance Per Unit" prompt="Unit: $/unit/yr.  Expected: $0+." type="decimal" operator="between">
      <formula1>0</formula1>
      <formula2>100000</formula2>
    </dataValidation>
    <dataValidation sqref="C107" showDropDown="0" showInputMessage="1" showErrorMessage="1" allowBlank="0" errorTitle="Out of range" error="Exp Utilities Per Unit: enter $/unit/yr in $0+." promptTitle="Exp Utilities Per Unit" prompt="Unit: $/unit/yr.  Expected: $0+." type="decimal" operator="between">
      <formula1>0</formula1>
      <formula2>100000</formula2>
    </dataValidation>
    <dataValidation sqref="C108" showDropDown="0" showInputMessage="1" showErrorMessage="1" allowBlank="0" errorTitle="Out of range" error="Exp Payroll Per Unit: enter $/unit/yr in $0+." promptTitle="Exp Payroll Per Unit" prompt="Unit: $/unit/yr.  Expected: $0+." type="decimal" operator="between">
      <formula1>0</formula1>
      <formula2>100000</formula2>
    </dataValidation>
    <dataValidation sqref="C109" showDropDown="0" showInputMessage="1" showErrorMessage="1" allowBlank="0" errorTitle="Out of range" error="Exp RMPer Unit: enter $/unit/yr in $0+." promptTitle="Exp RMPer Unit" prompt="Unit: $/unit/yr.  Expected: $0+." type="decimal" operator="between">
      <formula1>0</formula1>
      <formula2>100000</formula2>
    </dataValidation>
    <dataValidation sqref="C110" showDropDown="0" showInputMessage="1" showErrorMessage="1" allowBlank="0" errorTitle="Out of range" error="Exp Turnover Per Unit: enter $/unit/yr in $0+." promptTitle="Exp Turnover Per Unit" prompt="Unit: $/unit/yr.  Expected: $0+." type="decimal" operator="between">
      <formula1>0</formula1>
      <formula2>100000</formula2>
    </dataValidation>
    <dataValidation sqref="C111" showDropDown="0" showInputMessage="1" showErrorMessage="1" allowBlank="0" errorTitle="Out of range" error="Exp Contract Per Unit: enter $/unit/yr in $0+." promptTitle="Exp Contract Per Unit" prompt="Unit: $/unit/yr.  Expected: $0+." type="decimal" operator="between">
      <formula1>0</formula1>
      <formula2>100000</formula2>
    </dataValidation>
    <dataValidation sqref="C112" showDropDown="0" showInputMessage="1" showErrorMessage="1" allowBlank="0" errorTitle="Out of range" error="Exp Admin Per Unit: enter $/unit/yr in $0+." promptTitle="Exp Admin Per Unit" prompt="Unit: $/unit/yr.  Expected: $0+." type="decimal" operator="between">
      <formula1>0</formula1>
      <formula2>100000</formula2>
    </dataValidation>
    <dataValidation sqref="C113" showDropDown="0" showInputMessage="1" showErrorMessage="1" allowBlank="0" errorTitle="Out of range" error="Exp Advertising Per Unit: enter $/unit/yr in $0+." promptTitle="Exp Advertising Per Unit" prompt="Unit: $/unit/yr.  Expected: $0+." type="decimal" operator="between">
      <formula1>0</formula1>
      <formula2>100000</formula2>
    </dataValidation>
    <dataValidation sqref="C114" showDropDown="0" showInputMessage="1" showErrorMessage="1" allowBlank="0" errorTitle="Out of range" error="Mgmt Fee Pct: enter % of EGI in 0% to 10%." promptTitle="Mgmt Fee Pct" prompt="Unit: % of EGI.  Expected: 0% to 10%." type="decimal" operator="between">
      <formula1>0</formula1>
      <formula2>0.1</formula2>
    </dataValidation>
    <dataValidation sqref="C115" showDropDown="0" showInputMessage="1" showErrorMessage="1" allowBlank="0" errorTitle="Out of range" error="Cap Reserve Per Unit: enter $/unit/yr in $0+." promptTitle="Cap Reserve Per Unit" prompt="Unit: $/unit/yr.  Expected: $0+." type="decimal" operator="between">
      <formula1>0</formula1>
      <formula2>100000</formula2>
    </dataValidation>
    <dataValidation sqref="C116" showDropDown="0" showInputMessage="1" showErrorMessage="1" allowBlank="0" errorTitle="Out of range" error="Tax Prep Per Unit: enter $/unit/yr in $0+." promptTitle="Tax Prep Per Unit" prompt="Unit: $/unit/yr.  Expected: $0+." type="decimal" operator="between">
      <formula1>0</formula1>
      <formula2>100000</formula2>
    </dataValidation>
    <dataValidation sqref="C117" showDropDown="0" showInputMessage="1" showErrorMessage="1" allowBlank="0" errorTitle="Out of range" error="Asset Mgmt Fee Pct: enter % of EGI in 0% to 10%." promptTitle="Asset Mgmt Fee Pct" prompt="Unit: % of EGI.  Expected: 0% to 10%." type="decimal" operator="between">
      <formula1>0</formula1>
      <formula2>0.1</formula2>
    </dataValidation>
    <dataValidation sqref="C120" showDropDown="0" showInputMessage="1" showErrorMessage="1" allowBlank="0" errorTitle="Out of range" error="DeliveryLagMonths: enter months in 1 to 120." promptTitle="DeliveryLagMonths" prompt="Unit: months.  Expected: 1 to 120." type="whole" operator="between">
      <formula1>1</formula1>
      <formula2>120</formula2>
    </dataValidation>
    <dataValidation sqref="C121" showDropDown="0" showInputMessage="1" showErrorMessage="1" allowBlank="0" errorTitle="Out of range" error="Dur_OpenEscrow: enter months in 1 to 120." promptTitle="Dur_OpenEscrow" prompt="Unit: months.  Expected: 1 to 120." type="whole" operator="between">
      <formula1>1</formula1>
      <formula2>120</formula2>
    </dataValidation>
    <dataValidation sqref="C122" showDropDown="0" showInputMessage="1" showErrorMessage="1" allowBlank="0" errorTitle="Out of range" error="Dur_DueDiligence: enter months in 1 to 120." promptTitle="Dur_DueDiligence" prompt="Unit: months.  Expected: 1 to 120." type="whole" operator="between">
      <formula1>1</formula1>
      <formula2>120</formula2>
    </dataValidation>
    <dataValidation sqref="C123" showDropDown="0" showInputMessage="1" showErrorMessage="1" allowBlank="0" errorTitle="Out of range" error="Dur_Entitlement: enter months in 1 to 120." promptTitle="Dur_Entitlement" prompt="Unit: months.  Expected: 1 to 120." type="whole" operator="between">
      <formula1>1</formula1>
      <formula2>120</formula2>
    </dataValidation>
    <dataValidation sqref="C124" showDropDown="0" showInputMessage="1" showErrorMessage="1" allowBlank="0" errorTitle="Out of range" error="Dur_PreConstruction: enter months in 1 to 120." promptTitle="Dur_PreConstruction" prompt="Unit: months.  Expected: 1 to 120." type="whole" operator="between">
      <formula1>1</formula1>
      <formula2>120</formula2>
    </dataValidation>
    <dataValidation sqref="C125" showDropDown="0" showInputMessage="1" showErrorMessage="1" allowBlank="0" errorTitle="Out of range" error="Dur_InitialClosing: enter months in 1 to 120." promptTitle="Dur_InitialClosing" prompt="Unit: months.  Expected: 1 to 120." type="whole" operator="between">
      <formula1>1</formula1>
      <formula2>120</formula2>
    </dataValidation>
    <dataValidation sqref="C126" showDropDown="0" showInputMessage="1" showErrorMessage="1" allowBlank="0" errorTitle="Out of range" error="Dur_Construction: enter months in 1 to 120." promptTitle="Dur_Construction" prompt="Unit: months.  Expected: 1 to 120." type="whole" operator="between">
      <formula1>1</formula1>
      <formula2>120</formula2>
    </dataValidation>
    <dataValidation sqref="C127" showDropDown="0" showInputMessage="1" showErrorMessage="1" allowBlank="0" errorTitle="Out of range" error="Dur_FirstUnitDelivery: enter months in 1 to 120." promptTitle="Dur_FirstUnitDelivery" prompt="Unit: months.  Expected: 1 to 120." type="whole" operator="between">
      <formula1>1</formula1>
      <formula2>120</formula2>
    </dataValidation>
    <dataValidation sqref="C128" showDropDown="0" showInputMessage="1" showErrorMessage="1" allowBlank="0" errorTitle="Out of range" error="Dur_Stabilization: enter months in 1 to 120." promptTitle="Dur_Stabilization" prompt="Unit: months.  Expected: 1 to 120." type="whole" operator="between">
      <formula1>1</formula1>
      <formula2>120</formula2>
    </dataValidation>
    <dataValidation sqref="C129" showDropDown="0" showInputMessage="1" showErrorMessage="1" allowBlank="0" errorTitle="Out of range" error="Dur_Recap: enter months in 1 to 120." promptTitle="Dur_Recap" prompt="Unit: months.  Expected: 1 to 120." type="whole" operator="between">
      <formula1>1</formula1>
      <formula2>120</formula2>
    </dataValidation>
    <dataValidation sqref="C130" showDropDown="0" showInputMessage="1" showErrorMessage="1" allowBlank="0" errorTitle="Out of range" error="Dur_Disposition: enter months in 1 to 120." promptTitle="Dur_Disposition" prompt="Unit: months.  Expected: 1 to 120." type="whole" operator="between">
      <formula1>1</formula1>
      <formula2>120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5496"/>
    <outlinePr summaryBelow="1" summaryRight="1"/>
    <pageSetUpPr/>
  </sheetPr>
  <dimension ref="B1:K27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3.7109375" customWidth="1" style="97" min="1" max="1"/>
    <col width="22.7109375" bestFit="1" customWidth="1" style="97" min="2" max="2"/>
    <col width="12" customWidth="1" style="97" min="3" max="3"/>
    <col width="10" customWidth="1" style="97" min="4" max="5"/>
    <col width="12" customWidth="1" style="97" min="6" max="7"/>
    <col width="14" customWidth="1" style="97" min="8" max="9"/>
    <col width="10" customWidth="1" style="97" min="10" max="11"/>
  </cols>
  <sheetData>
    <row r="1" ht="21" customHeight="1" s="97">
      <c r="B1" s="1" t="inlineStr">
        <is>
          <t>Unit Matrix — Residential &amp; Retail</t>
        </is>
      </c>
    </row>
    <row r="3">
      <c r="B3" s="71" t="inlineStr">
        <is>
          <t>Plan</t>
        </is>
      </c>
      <c r="C3" s="81" t="inlineStr">
        <is>
          <t>Class</t>
        </is>
      </c>
      <c r="D3" s="82" t="inlineStr">
        <is>
          <t>Units</t>
        </is>
      </c>
      <c r="E3" s="82" t="inlineStr">
        <is>
          <t>Avg SF</t>
        </is>
      </c>
      <c r="F3" s="82" t="inlineStr">
        <is>
          <t>Total SF</t>
        </is>
      </c>
      <c r="G3" s="82" t="inlineStr">
        <is>
          <t>Market Rent</t>
        </is>
      </c>
      <c r="H3" s="82" t="inlineStr">
        <is>
          <t>Net Eff. Rent</t>
        </is>
      </c>
      <c r="I3" s="82" t="inlineStr">
        <is>
          <t>Annual Rent</t>
        </is>
      </c>
      <c r="J3" s="82" t="inlineStr">
        <is>
          <t>Rent / SF</t>
        </is>
      </c>
      <c r="K3" s="83" t="inlineStr">
        <is>
          <t>% of Total</t>
        </is>
      </c>
    </row>
    <row r="4">
      <c r="B4" s="36" t="inlineStr">
        <is>
          <t>Studio</t>
        </is>
      </c>
      <c r="C4" s="84" t="inlineStr">
        <is>
          <t>Market</t>
        </is>
      </c>
      <c r="D4" s="9" t="n">
        <v>30</v>
      </c>
      <c r="E4" s="9" t="n">
        <v>750</v>
      </c>
      <c r="F4" s="85">
        <f>D4*E4</f>
        <v/>
      </c>
      <c r="G4" s="213" t="n">
        <v>1625</v>
      </c>
      <c r="H4" s="217">
        <f>+G4</f>
        <v/>
      </c>
      <c r="I4" s="218">
        <f>D4*G4*12</f>
        <v/>
      </c>
      <c r="J4" s="219">
        <f>IF(E4=0,0,G4/E4)</f>
        <v/>
      </c>
      <c r="K4" s="220">
        <f>IF(TotalUnits=0,0,D4/TotalUnits)</f>
        <v/>
      </c>
    </row>
    <row r="5">
      <c r="B5" s="36" t="inlineStr">
        <is>
          <t>1BR-A</t>
        </is>
      </c>
      <c r="C5" s="84" t="inlineStr">
        <is>
          <t>Market</t>
        </is>
      </c>
      <c r="D5" s="9" t="n">
        <v>38</v>
      </c>
      <c r="E5" s="9" t="n">
        <v>1025</v>
      </c>
      <c r="F5" s="85">
        <f>D5*E5</f>
        <v/>
      </c>
      <c r="G5" s="213" t="n">
        <v>1850</v>
      </c>
      <c r="H5" s="217">
        <f>+G5</f>
        <v/>
      </c>
      <c r="I5" s="218">
        <f>D5*G5*12</f>
        <v/>
      </c>
      <c r="J5" s="219">
        <f>IF(E5=0,0,G5/E5)</f>
        <v/>
      </c>
      <c r="K5" s="220">
        <f>IF(TotalUnits=0,0,D5/TotalUnits)</f>
        <v/>
      </c>
    </row>
    <row r="6">
      <c r="B6" s="36" t="inlineStr">
        <is>
          <t>1BR-B</t>
        </is>
      </c>
      <c r="C6" s="84" t="inlineStr">
        <is>
          <t>Market</t>
        </is>
      </c>
      <c r="D6" s="9" t="n">
        <v>0</v>
      </c>
      <c r="E6" s="9" t="n">
        <v>0</v>
      </c>
      <c r="F6" s="85">
        <f>D6*E6</f>
        <v/>
      </c>
      <c r="G6" s="213" t="n">
        <v>0</v>
      </c>
      <c r="H6" s="217">
        <f>+G6</f>
        <v/>
      </c>
      <c r="I6" s="218">
        <f>D6*G6*12</f>
        <v/>
      </c>
      <c r="J6" s="219">
        <f>IF(E6=0,0,G6/E6)</f>
        <v/>
      </c>
      <c r="K6" s="220">
        <f>IF(TotalUnits=0,0,D6/TotalUnits)</f>
        <v/>
      </c>
    </row>
    <row r="7">
      <c r="B7" s="36" t="inlineStr">
        <is>
          <t>2BR-A</t>
        </is>
      </c>
      <c r="C7" s="84" t="inlineStr">
        <is>
          <t>Market</t>
        </is>
      </c>
      <c r="D7" s="9" t="n">
        <v>0</v>
      </c>
      <c r="E7" s="9" t="n">
        <v>0</v>
      </c>
      <c r="F7" s="85">
        <f>D7*E7</f>
        <v/>
      </c>
      <c r="G7" s="213" t="n">
        <v>0</v>
      </c>
      <c r="H7" s="217">
        <f>+G7</f>
        <v/>
      </c>
      <c r="I7" s="218">
        <f>D7*G7*12</f>
        <v/>
      </c>
      <c r="J7" s="219">
        <f>IF(E7=0,0,G7/E7)</f>
        <v/>
      </c>
      <c r="K7" s="220">
        <f>IF(TotalUnits=0,0,D7/TotalUnits)</f>
        <v/>
      </c>
    </row>
    <row r="8">
      <c r="B8" s="36" t="inlineStr">
        <is>
          <t>2BR-B</t>
        </is>
      </c>
      <c r="C8" s="84" t="inlineStr">
        <is>
          <t>Market</t>
        </is>
      </c>
      <c r="D8" s="9" t="n">
        <v>0</v>
      </c>
      <c r="E8" s="9" t="n">
        <v>0</v>
      </c>
      <c r="F8" s="85">
        <f>D8*E8</f>
        <v/>
      </c>
      <c r="G8" s="213" t="n">
        <v>0</v>
      </c>
      <c r="H8" s="217">
        <f>+G8</f>
        <v/>
      </c>
      <c r="I8" s="218">
        <f>D8*G8*12</f>
        <v/>
      </c>
      <c r="J8" s="219">
        <f>IF(E8=0,0,G8/E8)</f>
        <v/>
      </c>
      <c r="K8" s="220">
        <f>IF(TotalUnits=0,0,D8/TotalUnits)</f>
        <v/>
      </c>
    </row>
    <row r="9">
      <c r="B9" s="36" t="inlineStr">
        <is>
          <t>1BR-LI</t>
        </is>
      </c>
      <c r="C9" s="84" t="inlineStr">
        <is>
          <t>Low</t>
        </is>
      </c>
      <c r="D9" s="9" t="n">
        <v>0</v>
      </c>
      <c r="E9" s="9" t="n">
        <v>0</v>
      </c>
      <c r="F9" s="85">
        <f>D9*E9</f>
        <v/>
      </c>
      <c r="G9" s="213" t="n">
        <v>0</v>
      </c>
      <c r="H9" s="217">
        <f>+G9</f>
        <v/>
      </c>
      <c r="I9" s="218">
        <f>D9*G9*12</f>
        <v/>
      </c>
      <c r="J9" s="219">
        <f>IF(E9=0,0,G9/E9)</f>
        <v/>
      </c>
      <c r="K9" s="220">
        <f>IF(TotalUnits=0,0,D9/TotalUnits)</f>
        <v/>
      </c>
    </row>
    <row r="10">
      <c r="B10" s="36" t="inlineStr">
        <is>
          <t>2BR-LI</t>
        </is>
      </c>
      <c r="C10" s="84" t="inlineStr">
        <is>
          <t>Low</t>
        </is>
      </c>
      <c r="D10" s="9" t="n">
        <v>0</v>
      </c>
      <c r="E10" s="9" t="n">
        <v>0</v>
      </c>
      <c r="F10" s="85">
        <f>D10*E10</f>
        <v/>
      </c>
      <c r="G10" s="213" t="n">
        <v>0</v>
      </c>
      <c r="H10" s="217">
        <f>+G10</f>
        <v/>
      </c>
      <c r="I10" s="218">
        <f>D10*G10*12</f>
        <v/>
      </c>
      <c r="J10" s="219">
        <f>IF(E10=0,0,G10/E10)</f>
        <v/>
      </c>
      <c r="K10" s="220">
        <f>IF(TotalUnits=0,0,D10/TotalUnits)</f>
        <v/>
      </c>
    </row>
    <row r="11">
      <c r="B11" s="57" t="inlineStr">
        <is>
          <t>Total / Weighted</t>
        </is>
      </c>
      <c r="C11" s="79" t="n"/>
      <c r="D11" s="88">
        <f>SUM(D4:D10)</f>
        <v/>
      </c>
      <c r="E11" s="102">
        <f>SUMPRODUCT(E4:E10,$D$4:$D$10)/$D$11</f>
        <v/>
      </c>
      <c r="F11" s="88">
        <f>SUM(F4:F10)</f>
        <v/>
      </c>
      <c r="G11" s="221">
        <f>SUMPRODUCT(G4:G10,$D$4:$D$10)/$D$11</f>
        <v/>
      </c>
      <c r="H11" s="221">
        <f>SUMPRODUCT(H4:H10,$D$4:$D$10)/$D$11</f>
        <v/>
      </c>
      <c r="I11" s="88">
        <f>SUM(I4:I10)</f>
        <v/>
      </c>
      <c r="J11" s="222">
        <f>SUMPRODUCT(J4:J10,$D$4:$D$10)/$D$11</f>
        <v/>
      </c>
      <c r="K11" s="223">
        <f>SUM(K4:K10)</f>
        <v/>
      </c>
    </row>
    <row r="13">
      <c r="B13" s="71" t="inlineStr">
        <is>
          <t>Derived Unit Metrics</t>
        </is>
      </c>
      <c r="C13" s="80" t="n"/>
    </row>
    <row r="14">
      <c r="B14" s="36" t="inlineStr">
        <is>
          <t>Total Units</t>
        </is>
      </c>
      <c r="C14" s="37">
        <f>SUM(D4:D10)</f>
        <v/>
      </c>
    </row>
    <row r="15">
      <c r="B15" s="36" t="inlineStr">
        <is>
          <t>Market-Rate Units</t>
        </is>
      </c>
      <c r="C15" s="37">
        <f>SUMIF(C4:C10,"Market",D4:D10)</f>
        <v/>
      </c>
    </row>
    <row r="16">
      <c r="B16" s="36" t="inlineStr">
        <is>
          <t>Low-Income Units</t>
        </is>
      </c>
      <c r="C16" s="37">
        <f>SUMIF(C4:C10,"Low",D4:D10)</f>
        <v/>
      </c>
    </row>
    <row r="17">
      <c r="B17" s="36" t="inlineStr">
        <is>
          <t>Net Rentable SF (NRSF)</t>
        </is>
      </c>
      <c r="C17" s="37">
        <f>SUM(F4:F10)</f>
        <v/>
      </c>
    </row>
    <row r="18">
      <c r="B18" s="36" t="inlineStr">
        <is>
          <t>Buildable SF</t>
        </is>
      </c>
      <c r="C18" s="37">
        <f>NRSF/EfficiencyRatio</f>
        <v/>
      </c>
    </row>
    <row r="19">
      <c r="B19" s="36" t="inlineStr">
        <is>
          <t>Avg Unit SF</t>
        </is>
      </c>
      <c r="C19" s="37">
        <f>IF(TotalUnits=0,0,NRSF/TotalUnits)</f>
        <v/>
      </c>
    </row>
    <row r="20">
      <c r="B20" s="36" t="inlineStr">
        <is>
          <t>Base Market Rent / mo</t>
        </is>
      </c>
      <c r="C20" s="180">
        <f>SUMPRODUCT((C4:C10="Market")*D4:D10*G4:G10)</f>
        <v/>
      </c>
    </row>
    <row r="21">
      <c r="B21" s="40" t="inlineStr">
        <is>
          <t>Base Low-Income Rent / mo</t>
        </is>
      </c>
      <c r="C21" s="185">
        <f>SUMPRODUCT((C4:C10="Low")*D4:D10*G4:G10)</f>
        <v/>
      </c>
    </row>
    <row r="23">
      <c r="B23" s="71" t="inlineStr">
        <is>
          <t>Retail Matrix</t>
        </is>
      </c>
      <c r="C23" s="72" t="n"/>
      <c r="D23" s="72" t="n"/>
      <c r="E23" s="72" t="n"/>
      <c r="F23" s="80" t="n"/>
    </row>
    <row r="24">
      <c r="B24" s="73" t="inlineStr">
        <is>
          <t>Suite</t>
        </is>
      </c>
      <c r="C24" s="74" t="inlineStr">
        <is>
          <t>SF</t>
        </is>
      </c>
      <c r="D24" s="74" t="inlineStr">
        <is>
          <t>Rent / SF / yr</t>
        </is>
      </c>
      <c r="E24" s="74" t="inlineStr">
        <is>
          <t>Annual Rent</t>
        </is>
      </c>
      <c r="F24" s="75" t="inlineStr">
        <is>
          <t>Monthly Rent</t>
        </is>
      </c>
    </row>
    <row r="25">
      <c r="B25" s="36" t="inlineStr">
        <is>
          <t>Retail-1</t>
        </is>
      </c>
      <c r="C25" s="9" t="n">
        <v>0</v>
      </c>
      <c r="D25" s="224" t="n">
        <v>0</v>
      </c>
      <c r="E25" s="218">
        <f>C25*D25</f>
        <v/>
      </c>
      <c r="F25" s="225">
        <f>C25*D25/12</f>
        <v/>
      </c>
    </row>
    <row r="26">
      <c r="B26" s="36" t="inlineStr">
        <is>
          <t>Retail-2</t>
        </is>
      </c>
      <c r="C26" s="9" t="n">
        <v>0</v>
      </c>
      <c r="D26" s="224" t="n">
        <v>0</v>
      </c>
      <c r="E26" s="218">
        <f>C26*D26</f>
        <v/>
      </c>
      <c r="F26" s="225">
        <f>C26*D26/12</f>
        <v/>
      </c>
    </row>
    <row r="27">
      <c r="B27" s="40" t="inlineStr">
        <is>
          <t>Retail Rent / mo</t>
        </is>
      </c>
      <c r="C27" s="226">
        <f>SUM(F25:F26)</f>
        <v/>
      </c>
      <c r="D27" s="79" t="n"/>
      <c r="E27" s="79" t="n"/>
      <c r="F27" s="6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5496"/>
    <outlinePr summaryBelow="1" summaryRight="1"/>
    <pageSetUpPr/>
  </sheetPr>
  <dimension ref="B1:L39"/>
  <sheetViews>
    <sheetView showGridLines="0" workbookViewId="0">
      <pane ySplit="4" topLeftCell="A5" activePane="bottomLeft" state="frozen"/>
      <selection pane="bottomLeft" activeCell="A5" sqref="A5"/>
    </sheetView>
  </sheetViews>
  <sheetFormatPr baseColWidth="8" defaultRowHeight="15"/>
  <cols>
    <col width="3.7109375" customWidth="1" style="97" min="1" max="1"/>
    <col width="30" customWidth="1" style="97" min="2" max="2"/>
    <col width="8" customWidth="1" style="97" min="3" max="5"/>
    <col width="14" customWidth="1" style="97" min="6" max="6"/>
    <col width="20" customWidth="1" style="97" min="7" max="7"/>
    <col width="16" customWidth="1" style="97" min="8" max="8"/>
    <col width="10" customWidth="1" style="97" min="9" max="9"/>
    <col width="16" customWidth="1" style="97" min="10" max="10"/>
    <col width="12" customWidth="1" style="97" min="11" max="11"/>
    <col width="10" customWidth="1" style="97" min="12" max="12"/>
  </cols>
  <sheetData>
    <row r="1" ht="21" customHeight="1" s="97">
      <c r="B1" s="1" t="inlineStr">
        <is>
          <t>Development Budget &amp; Cost Assumptions</t>
        </is>
      </c>
    </row>
    <row r="2">
      <c r="B2" s="2" t="inlineStr">
        <is>
          <t>Basis: abs=$  unit=$/unit  sf=$/NRSF.  Modeled Total drives the cost-curve engine.</t>
        </is>
      </c>
    </row>
    <row r="4">
      <c r="B4" s="71" t="inlineStr">
        <is>
          <t>Line Item</t>
        </is>
      </c>
      <c r="C4" s="81" t="inlineStr">
        <is>
          <t>Group</t>
        </is>
      </c>
      <c r="D4" s="81" t="inlineStr">
        <is>
          <t>Type</t>
        </is>
      </c>
      <c r="E4" s="81" t="inlineStr">
        <is>
          <t>Basis</t>
        </is>
      </c>
      <c r="F4" s="82" t="inlineStr">
        <is>
          <t>Amount</t>
        </is>
      </c>
      <c r="G4" s="82" t="inlineStr">
        <is>
          <t>Phase</t>
        </is>
      </c>
      <c r="H4" s="82" t="inlineStr">
        <is>
          <t>Cost Curve</t>
        </is>
      </c>
      <c r="I4" s="82" t="inlineStr">
        <is>
          <t>Modifier</t>
        </is>
      </c>
      <c r="J4" s="82" t="inlineStr">
        <is>
          <t>Modeled Total</t>
        </is>
      </c>
      <c r="K4" s="82" t="inlineStr">
        <is>
          <t>Per Unit</t>
        </is>
      </c>
      <c r="L4" s="83" t="inlineStr">
        <is>
          <t>Per SF</t>
        </is>
      </c>
    </row>
    <row r="5">
      <c r="B5" s="36" t="inlineStr">
        <is>
          <t>Land Acquisition</t>
        </is>
      </c>
      <c r="C5" s="84" t="inlineStr">
        <is>
          <t>Land</t>
        </is>
      </c>
      <c r="D5" s="84" t="inlineStr">
        <is>
          <t>Land</t>
        </is>
      </c>
      <c r="E5" s="6" t="inlineStr">
        <is>
          <t>abs</t>
        </is>
      </c>
      <c r="F5" s="227">
        <f>LandCost</f>
        <v/>
      </c>
      <c r="G5" s="6" t="inlineStr">
        <is>
          <t>Initial Closing</t>
        </is>
      </c>
      <c r="H5" s="6" t="inlineStr">
        <is>
          <t>Single_Point</t>
        </is>
      </c>
      <c r="I5" s="9" t="n">
        <v>0</v>
      </c>
      <c r="J5" s="228">
        <f>IF(E5="abs",F5,IF(E5="unit",F5*TotalUnits,IF(E5="sf",F5*NRSF,F5)))</f>
        <v/>
      </c>
      <c r="K5" s="228">
        <f>IF(TotalUnits=0,0,J5/TotalUnits)</f>
        <v/>
      </c>
      <c r="L5" s="229">
        <f>IF(NRSF=0,0,J5/NRSF)</f>
        <v/>
      </c>
    </row>
    <row r="6">
      <c r="B6" s="36" t="inlineStr">
        <is>
          <t>Existing Structure/Demo</t>
        </is>
      </c>
      <c r="C6" s="84" t="inlineStr">
        <is>
          <t>Land</t>
        </is>
      </c>
      <c r="D6" s="84" t="inlineStr">
        <is>
          <t>Land</t>
        </is>
      </c>
      <c r="E6" s="6" t="inlineStr">
        <is>
          <t>abs</t>
        </is>
      </c>
      <c r="F6" s="227">
        <f>ExistingStructureCost</f>
        <v/>
      </c>
      <c r="G6" s="6" t="inlineStr">
        <is>
          <t>Pre-Construction</t>
        </is>
      </c>
      <c r="H6" s="6" t="inlineStr">
        <is>
          <t>Straight_Line</t>
        </is>
      </c>
      <c r="I6" s="9" t="n">
        <v>0</v>
      </c>
      <c r="J6" s="228">
        <f>IF(E6="abs",F6,IF(E6="unit",F6*TotalUnits,IF(E6="sf",F6*NRSF,F6)))</f>
        <v/>
      </c>
      <c r="K6" s="228">
        <f>IF(TotalUnits=0,0,J6/TotalUnits)</f>
        <v/>
      </c>
      <c r="L6" s="229">
        <f>IF(NRSF=0,0,J6/NRSF)</f>
        <v/>
      </c>
    </row>
    <row r="7">
      <c r="B7" s="36" t="inlineStr">
        <is>
          <t>Due Diligence</t>
        </is>
      </c>
      <c r="C7" s="84" t="inlineStr">
        <is>
          <t>Soft</t>
        </is>
      </c>
      <c r="D7" s="84" t="inlineStr">
        <is>
          <t>Soft</t>
        </is>
      </c>
      <c r="E7" s="6" t="inlineStr">
        <is>
          <t>abs</t>
        </is>
      </c>
      <c r="F7" s="230" t="n">
        <v>60000</v>
      </c>
      <c r="G7" s="6" t="inlineStr">
        <is>
          <t>Due Diligence</t>
        </is>
      </c>
      <c r="H7" s="6" t="inlineStr">
        <is>
          <t>Straight_Line</t>
        </is>
      </c>
      <c r="I7" s="9" t="n">
        <v>0</v>
      </c>
      <c r="J7" s="228">
        <f>IF(E7="abs",F7,IF(E7="unit",F7*TotalUnits,IF(E7="sf",F7*NRSF,F7)))</f>
        <v/>
      </c>
      <c r="K7" s="228">
        <f>IF(TotalUnits=0,0,J7/TotalUnits)</f>
        <v/>
      </c>
      <c r="L7" s="229">
        <f>IF(NRSF=0,0,J7/NRSF)</f>
        <v/>
      </c>
    </row>
    <row r="8">
      <c r="B8" s="36" t="inlineStr">
        <is>
          <t>Entitlements</t>
        </is>
      </c>
      <c r="C8" s="84" t="inlineStr">
        <is>
          <t>Soft</t>
        </is>
      </c>
      <c r="D8" s="84" t="inlineStr">
        <is>
          <t>Soft</t>
        </is>
      </c>
      <c r="E8" s="6" t="inlineStr">
        <is>
          <t>abs</t>
        </is>
      </c>
      <c r="F8" s="230" t="n">
        <v>460000</v>
      </c>
      <c r="G8" s="6" t="inlineStr">
        <is>
          <t>Entitlement</t>
        </is>
      </c>
      <c r="H8" s="6" t="inlineStr">
        <is>
          <t>Straight_Line</t>
        </is>
      </c>
      <c r="I8" s="9" t="n">
        <v>0</v>
      </c>
      <c r="J8" s="228">
        <f>IF(E8="abs",F8,IF(E8="unit",F8*TotalUnits,IF(E8="sf",F8*NRSF,F8)))</f>
        <v/>
      </c>
      <c r="K8" s="228">
        <f>IF(TotalUnits=0,0,J8/TotalUnits)</f>
        <v/>
      </c>
      <c r="L8" s="229">
        <f>IF(NRSF=0,0,J8/NRSF)</f>
        <v/>
      </c>
    </row>
    <row r="9">
      <c r="B9" s="36" t="inlineStr">
        <is>
          <t>Architecture &amp; Eng.</t>
        </is>
      </c>
      <c r="C9" s="84" t="inlineStr">
        <is>
          <t>Soft</t>
        </is>
      </c>
      <c r="D9" s="84" t="inlineStr">
        <is>
          <t>Soft</t>
        </is>
      </c>
      <c r="E9" s="6" t="inlineStr">
        <is>
          <t>sf</t>
        </is>
      </c>
      <c r="F9" s="12" t="n">
        <v>0</v>
      </c>
      <c r="G9" s="6" t="inlineStr">
        <is>
          <t>Pre-Construction</t>
        </is>
      </c>
      <c r="H9" s="6" t="inlineStr">
        <is>
          <t>Straight_Line</t>
        </is>
      </c>
      <c r="I9" s="9" t="n">
        <v>0</v>
      </c>
      <c r="J9" s="228">
        <f>IF(E9="abs",F9,IF(E9="unit",F9*TotalUnits,IF(E9="sf",F9*NRSF,F9)))</f>
        <v/>
      </c>
      <c r="K9" s="228">
        <f>IF(TotalUnits=0,0,J9/TotalUnits)</f>
        <v/>
      </c>
      <c r="L9" s="229">
        <f>IF(NRSF=0,0,J9/NRSF)</f>
        <v/>
      </c>
    </row>
    <row r="10">
      <c r="B10" s="36" t="inlineStr">
        <is>
          <t>Consultants</t>
        </is>
      </c>
      <c r="C10" s="84" t="inlineStr">
        <is>
          <t>Soft</t>
        </is>
      </c>
      <c r="D10" s="84" t="inlineStr">
        <is>
          <t>Soft</t>
        </is>
      </c>
      <c r="E10" s="6" t="inlineStr">
        <is>
          <t>abs</t>
        </is>
      </c>
      <c r="F10" s="230" t="n">
        <v>168000</v>
      </c>
      <c r="G10" s="6" t="inlineStr">
        <is>
          <t>Entitlement</t>
        </is>
      </c>
      <c r="H10" s="6" t="inlineStr">
        <is>
          <t>Straight_Line</t>
        </is>
      </c>
      <c r="I10" s="9" t="n">
        <v>0</v>
      </c>
      <c r="J10" s="228">
        <f>IF(E10="abs",F10,IF(E10="unit",F10*TotalUnits,IF(E10="sf",F10*NRSF,F10)))</f>
        <v/>
      </c>
      <c r="K10" s="228">
        <f>IF(TotalUnits=0,0,J10/TotalUnits)</f>
        <v/>
      </c>
      <c r="L10" s="229">
        <f>IF(NRSF=0,0,J10/NRSF)</f>
        <v/>
      </c>
    </row>
    <row r="11">
      <c r="B11" s="36" t="inlineStr">
        <is>
          <t>Legal &amp; Org.</t>
        </is>
      </c>
      <c r="C11" s="84" t="inlineStr">
        <is>
          <t>Soft</t>
        </is>
      </c>
      <c r="D11" s="84" t="inlineStr">
        <is>
          <t>Soft</t>
        </is>
      </c>
      <c r="E11" s="6" t="inlineStr">
        <is>
          <t>abs</t>
        </is>
      </c>
      <c r="F11" s="230" t="n">
        <v>0</v>
      </c>
      <c r="G11" s="6" t="inlineStr">
        <is>
          <t>Due Diligence</t>
        </is>
      </c>
      <c r="H11" s="6" t="inlineStr">
        <is>
          <t>Straight_Line</t>
        </is>
      </c>
      <c r="I11" s="9" t="n">
        <v>0</v>
      </c>
      <c r="J11" s="228">
        <f>IF(E11="abs",F11,IF(E11="unit",F11*TotalUnits,IF(E11="sf",F11*NRSF,F11)))</f>
        <v/>
      </c>
      <c r="K11" s="228">
        <f>IF(TotalUnits=0,0,J11/TotalUnits)</f>
        <v/>
      </c>
      <c r="L11" s="229">
        <f>IF(NRSF=0,0,J11/NRSF)</f>
        <v/>
      </c>
    </row>
    <row r="12">
      <c r="B12" s="36" t="inlineStr">
        <is>
          <t>Marketing &amp; Lease-Up</t>
        </is>
      </c>
      <c r="C12" s="84" t="inlineStr">
        <is>
          <t>Soft</t>
        </is>
      </c>
      <c r="D12" s="84" t="inlineStr">
        <is>
          <t>Soft</t>
        </is>
      </c>
      <c r="E12" s="6" t="inlineStr">
        <is>
          <t>unit</t>
        </is>
      </c>
      <c r="F12" s="12" t="n">
        <v>0</v>
      </c>
      <c r="G12" s="6" t="inlineStr">
        <is>
          <t>Lease-Up</t>
        </is>
      </c>
      <c r="H12" s="6" t="inlineStr">
        <is>
          <t>Straight_Line</t>
        </is>
      </c>
      <c r="I12" s="9" t="n">
        <v>0</v>
      </c>
      <c r="J12" s="228">
        <f>IF(E12="abs",F12,IF(E12="unit",F12*TotalUnits,IF(E12="sf",F12*NRSF,F12)))</f>
        <v/>
      </c>
      <c r="K12" s="228">
        <f>IF(TotalUnits=0,0,J12/TotalUnits)</f>
        <v/>
      </c>
      <c r="L12" s="229">
        <f>IF(NRSF=0,0,J12/NRSF)</f>
        <v/>
      </c>
    </row>
    <row r="13">
      <c r="B13" s="36" t="inlineStr">
        <is>
          <t>Insurance (Dev)</t>
        </is>
      </c>
      <c r="C13" s="84" t="inlineStr">
        <is>
          <t>Soft</t>
        </is>
      </c>
      <c r="D13" s="84" t="inlineStr">
        <is>
          <t>Soft</t>
        </is>
      </c>
      <c r="E13" s="6" t="inlineStr">
        <is>
          <t>abs</t>
        </is>
      </c>
      <c r="F13" s="230" t="n">
        <v>0</v>
      </c>
      <c r="G13" s="6" t="inlineStr">
        <is>
          <t>Construction</t>
        </is>
      </c>
      <c r="H13" s="6" t="inlineStr">
        <is>
          <t>Straight_Line</t>
        </is>
      </c>
      <c r="I13" s="9" t="n">
        <v>0</v>
      </c>
      <c r="J13" s="228">
        <f>IF(E13="abs",F13,IF(E13="unit",F13*TotalUnits,IF(E13="sf",F13*NRSF,F13)))</f>
        <v/>
      </c>
      <c r="K13" s="228">
        <f>IF(TotalUnits=0,0,J13/TotalUnits)</f>
        <v/>
      </c>
      <c r="L13" s="229">
        <f>IF(NRSF=0,0,J13/NRSF)</f>
        <v/>
      </c>
    </row>
    <row r="14">
      <c r="B14" s="36" t="inlineStr">
        <is>
          <t>GC Contract (Hard)</t>
        </is>
      </c>
      <c r="C14" s="84" t="inlineStr">
        <is>
          <t>Hard</t>
        </is>
      </c>
      <c r="D14" s="84" t="inlineStr">
        <is>
          <t>Hard</t>
        </is>
      </c>
      <c r="E14" s="6" t="inlineStr">
        <is>
          <t>unit</t>
        </is>
      </c>
      <c r="F14" s="12" t="n">
        <v>206624</v>
      </c>
      <c r="G14" s="6" t="inlineStr">
        <is>
          <t>Construction</t>
        </is>
      </c>
      <c r="H14" s="6" t="inlineStr">
        <is>
          <t>Bell_Curve</t>
        </is>
      </c>
      <c r="I14" s="9" t="n">
        <v>0</v>
      </c>
      <c r="J14" s="228">
        <f>IF(E14="abs",F14,IF(E14="unit",F14*TotalUnits,IF(E14="sf",F14*NRSF,F14)))</f>
        <v/>
      </c>
      <c r="K14" s="228">
        <f>IF(TotalUnits=0,0,J14/TotalUnits)</f>
        <v/>
      </c>
      <c r="L14" s="229">
        <f>IF(NRSF=0,0,J14/NRSF)</f>
        <v/>
      </c>
    </row>
    <row r="15">
      <c r="B15" s="36" t="inlineStr">
        <is>
          <t>Off-Site Improvements</t>
        </is>
      </c>
      <c r="C15" s="84" t="inlineStr">
        <is>
          <t>Hard</t>
        </is>
      </c>
      <c r="D15" s="84" t="inlineStr">
        <is>
          <t>Hard</t>
        </is>
      </c>
      <c r="E15" s="6" t="inlineStr">
        <is>
          <t>abs</t>
        </is>
      </c>
      <c r="F15" s="230" t="n">
        <v>0</v>
      </c>
      <c r="G15" s="6" t="inlineStr">
        <is>
          <t>Construction</t>
        </is>
      </c>
      <c r="H15" s="6" t="inlineStr">
        <is>
          <t>Straight_Line</t>
        </is>
      </c>
      <c r="I15" s="9" t="n">
        <v>0</v>
      </c>
      <c r="J15" s="228">
        <f>IF(E15="abs",F15,IF(E15="unit",F15*TotalUnits,IF(E15="sf",F15*NRSF,F15)))</f>
        <v/>
      </c>
      <c r="K15" s="228">
        <f>IF(TotalUnits=0,0,J15/TotalUnits)</f>
        <v/>
      </c>
      <c r="L15" s="229">
        <f>IF(NRSF=0,0,J15/NRSF)</f>
        <v/>
      </c>
    </row>
    <row r="16">
      <c r="B16" s="36" t="inlineStr">
        <is>
          <t>Utilities &amp; Hookups</t>
        </is>
      </c>
      <c r="C16" s="84" t="inlineStr">
        <is>
          <t>Hard</t>
        </is>
      </c>
      <c r="D16" s="84" t="inlineStr">
        <is>
          <t>Hard</t>
        </is>
      </c>
      <c r="E16" s="6" t="inlineStr">
        <is>
          <t>abs</t>
        </is>
      </c>
      <c r="F16" s="230" t="n">
        <v>0</v>
      </c>
      <c r="G16" s="6" t="inlineStr">
        <is>
          <t>Construction</t>
        </is>
      </c>
      <c r="H16" s="6" t="inlineStr">
        <is>
          <t>Straight_Line</t>
        </is>
      </c>
      <c r="I16" s="9" t="n">
        <v>0</v>
      </c>
      <c r="J16" s="228">
        <f>IF(E16="abs",F16,IF(E16="unit",F16*TotalUnits,IF(E16="sf",F16*NRSF,F16)))</f>
        <v/>
      </c>
      <c r="K16" s="228">
        <f>IF(TotalUnits=0,0,J16/TotalUnits)</f>
        <v/>
      </c>
      <c r="L16" s="229">
        <f>IF(NRSF=0,0,J16/NRSF)</f>
        <v/>
      </c>
    </row>
    <row r="17">
      <c r="B17" s="36" t="inlineStr">
        <is>
          <t>Builder's Risk</t>
        </is>
      </c>
      <c r="C17" s="84" t="inlineStr">
        <is>
          <t>Hard</t>
        </is>
      </c>
      <c r="D17" s="84" t="inlineStr">
        <is>
          <t>Hard</t>
        </is>
      </c>
      <c r="E17" s="6" t="inlineStr">
        <is>
          <t>abs</t>
        </is>
      </c>
      <c r="F17" s="230" t="n">
        <v>0</v>
      </c>
      <c r="G17" s="6" t="inlineStr">
        <is>
          <t>Construction</t>
        </is>
      </c>
      <c r="H17" s="6" t="inlineStr">
        <is>
          <t>Straight_Line</t>
        </is>
      </c>
      <c r="I17" s="9" t="n">
        <v>0</v>
      </c>
      <c r="J17" s="228">
        <f>IF(E17="abs",F17,IF(E17="unit",F17*TotalUnits,IF(E17="sf",F17*NRSF,F17)))</f>
        <v/>
      </c>
      <c r="K17" s="228">
        <f>IF(TotalUnits=0,0,J17/TotalUnits)</f>
        <v/>
      </c>
      <c r="L17" s="229">
        <f>IF(NRSF=0,0,J17/NRSF)</f>
        <v/>
      </c>
    </row>
    <row r="18">
      <c r="B18" s="36" t="inlineStr">
        <is>
          <t>Hard Cost Contingency</t>
        </is>
      </c>
      <c r="C18" s="84" t="inlineStr">
        <is>
          <t>Hard</t>
        </is>
      </c>
      <c r="D18" s="84" t="inlineStr">
        <is>
          <t>Hard</t>
        </is>
      </c>
      <c r="E18" s="6" t="inlineStr">
        <is>
          <t>sf</t>
        </is>
      </c>
      <c r="F18" s="12" t="n">
        <v>0</v>
      </c>
      <c r="G18" s="6" t="inlineStr">
        <is>
          <t>Construction</t>
        </is>
      </c>
      <c r="H18" s="6" t="inlineStr">
        <is>
          <t>Bell_Curve</t>
        </is>
      </c>
      <c r="I18" s="9" t="n">
        <v>0</v>
      </c>
      <c r="J18" s="228">
        <f>IF(E18="abs",F18,IF(E18="unit",F18*TotalUnits,IF(E18="sf",F18*NRSF,F18)))</f>
        <v/>
      </c>
      <c r="K18" s="228">
        <f>IF(TotalUnits=0,0,J18/TotalUnits)</f>
        <v/>
      </c>
      <c r="L18" s="229">
        <f>IF(NRSF=0,0,J18/NRSF)</f>
        <v/>
      </c>
    </row>
    <row r="19">
      <c r="B19" s="36" t="inlineStr">
        <is>
          <t>GC Fee</t>
        </is>
      </c>
      <c r="C19" s="84" t="inlineStr">
        <is>
          <t>Hard</t>
        </is>
      </c>
      <c r="D19" s="84" t="inlineStr">
        <is>
          <t>Hard</t>
        </is>
      </c>
      <c r="E19" s="6" t="inlineStr">
        <is>
          <t>sf</t>
        </is>
      </c>
      <c r="F19" s="12" t="n">
        <v>0</v>
      </c>
      <c r="G19" s="6" t="inlineStr">
        <is>
          <t>Construction</t>
        </is>
      </c>
      <c r="H19" s="6" t="inlineStr">
        <is>
          <t>Bell_Curve</t>
        </is>
      </c>
      <c r="I19" s="9" t="n">
        <v>0</v>
      </c>
      <c r="J19" s="228">
        <f>IF(E19="abs",F19,IF(E19="unit",F19*TotalUnits,IF(E19="sf",F19*NRSF,F19)))</f>
        <v/>
      </c>
      <c r="K19" s="228">
        <f>IF(TotalUnits=0,0,J19/TotalUnits)</f>
        <v/>
      </c>
      <c r="L19" s="229">
        <f>IF(NRSF=0,0,J19/NRSF)</f>
        <v/>
      </c>
    </row>
    <row r="20">
      <c r="B20" s="36" t="inlineStr">
        <is>
          <t>Other Soft Cost 1 - FF&amp;E</t>
        </is>
      </c>
      <c r="C20" s="84" t="inlineStr">
        <is>
          <t>Soft</t>
        </is>
      </c>
      <c r="D20" s="84" t="inlineStr">
        <is>
          <t>Soft</t>
        </is>
      </c>
      <c r="E20" s="6" t="inlineStr">
        <is>
          <t>unit</t>
        </is>
      </c>
      <c r="F20" s="12" t="n">
        <v>0</v>
      </c>
      <c r="G20" s="6" t="inlineStr">
        <is>
          <t>Pre-Construction</t>
        </is>
      </c>
      <c r="H20" s="6" t="inlineStr">
        <is>
          <t>Straight_Line</t>
        </is>
      </c>
      <c r="I20" s="9" t="n">
        <v>0</v>
      </c>
      <c r="J20" s="228">
        <f>IF(E20="abs",F20,IF(E20="unit",F20*TotalUnits,IF(E20="sf",F20*NRSF,F20)))</f>
        <v/>
      </c>
      <c r="K20" s="228">
        <f>IF(TotalUnits=0,0,J20/TotalUnits)</f>
        <v/>
      </c>
      <c r="L20" s="229">
        <f>IF(NRSF=0,0,J20/NRSF)</f>
        <v/>
      </c>
    </row>
    <row r="21">
      <c r="B21" s="36" t="inlineStr">
        <is>
          <t>Other Soft Cost 2 - Permits</t>
        </is>
      </c>
      <c r="C21" s="84" t="inlineStr">
        <is>
          <t>Soft</t>
        </is>
      </c>
      <c r="D21" s="84" t="inlineStr">
        <is>
          <t>Soft</t>
        </is>
      </c>
      <c r="E21" s="6" t="inlineStr">
        <is>
          <t>abs</t>
        </is>
      </c>
      <c r="F21" s="230" t="n">
        <v>0</v>
      </c>
      <c r="G21" s="6" t="inlineStr">
        <is>
          <t>Entitlement</t>
        </is>
      </c>
      <c r="H21" s="6" t="inlineStr">
        <is>
          <t>Straight_Line</t>
        </is>
      </c>
      <c r="I21" s="9" t="n">
        <v>0</v>
      </c>
      <c r="J21" s="228">
        <f>IF(E21="abs",F21,IF(E21="unit",F21*TotalUnits,IF(E21="sf",F21*NRSF,F21)))</f>
        <v/>
      </c>
      <c r="K21" s="228">
        <f>IF(TotalUnits=0,0,J21/TotalUnits)</f>
        <v/>
      </c>
      <c r="L21" s="229">
        <f>IF(NRSF=0,0,J21/NRSF)</f>
        <v/>
      </c>
    </row>
    <row r="22">
      <c r="B22" s="36" t="inlineStr">
        <is>
          <t>Other Soft Cost 3 - Testing</t>
        </is>
      </c>
      <c r="C22" s="84" t="inlineStr">
        <is>
          <t>Soft</t>
        </is>
      </c>
      <c r="D22" s="84" t="inlineStr">
        <is>
          <t>Soft</t>
        </is>
      </c>
      <c r="E22" s="6" t="inlineStr">
        <is>
          <t>abs</t>
        </is>
      </c>
      <c r="F22" s="230" t="n">
        <v>0</v>
      </c>
      <c r="G22" s="6" t="inlineStr">
        <is>
          <t>Construction</t>
        </is>
      </c>
      <c r="H22" s="6" t="inlineStr">
        <is>
          <t>Straight_Line</t>
        </is>
      </c>
      <c r="I22" s="9" t="n">
        <v>0</v>
      </c>
      <c r="J22" s="228">
        <f>IF(E22="abs",F22,IF(E22="unit",F22*TotalUnits,IF(E22="sf",F22*NRSF,F22)))</f>
        <v/>
      </c>
      <c r="K22" s="228">
        <f>IF(TotalUnits=0,0,J22/TotalUnits)</f>
        <v/>
      </c>
      <c r="L22" s="229">
        <f>IF(NRSF=0,0,J22/NRSF)</f>
        <v/>
      </c>
    </row>
    <row r="23">
      <c r="B23" s="36" t="inlineStr">
        <is>
          <t>Other Soft Cost 4</t>
        </is>
      </c>
      <c r="C23" s="84" t="inlineStr">
        <is>
          <t>Soft</t>
        </is>
      </c>
      <c r="D23" s="84" t="inlineStr">
        <is>
          <t>Soft</t>
        </is>
      </c>
      <c r="E23" s="6" t="inlineStr">
        <is>
          <t>abs</t>
        </is>
      </c>
      <c r="F23" s="230" t="n">
        <v>0</v>
      </c>
      <c r="G23" s="6" t="inlineStr">
        <is>
          <t>Construction</t>
        </is>
      </c>
      <c r="H23" s="6" t="inlineStr">
        <is>
          <t>Straight_Line</t>
        </is>
      </c>
      <c r="I23" s="9" t="n">
        <v>0</v>
      </c>
      <c r="J23" s="228">
        <f>IF(E23="abs",F23,IF(E23="unit",F23*TotalUnits,IF(E23="sf",F23*NRSF,F23)))</f>
        <v/>
      </c>
      <c r="K23" s="228">
        <f>IF(TotalUnits=0,0,J23/TotalUnits)</f>
        <v/>
      </c>
      <c r="L23" s="229">
        <f>IF(NRSF=0,0,J23/NRSF)</f>
        <v/>
      </c>
    </row>
    <row r="24">
      <c r="B24" s="36" t="inlineStr">
        <is>
          <t>Other Soft Cost 5</t>
        </is>
      </c>
      <c r="C24" s="84" t="inlineStr">
        <is>
          <t>Soft</t>
        </is>
      </c>
      <c r="D24" s="84" t="inlineStr">
        <is>
          <t>Soft</t>
        </is>
      </c>
      <c r="E24" s="6" t="inlineStr">
        <is>
          <t>abs</t>
        </is>
      </c>
      <c r="F24" s="230" t="n">
        <v>0</v>
      </c>
      <c r="G24" s="6" t="inlineStr">
        <is>
          <t>Construction</t>
        </is>
      </c>
      <c r="H24" s="6" t="inlineStr">
        <is>
          <t>Straight_Line</t>
        </is>
      </c>
      <c r="I24" s="9" t="n">
        <v>0</v>
      </c>
      <c r="J24" s="228">
        <f>IF(E24="abs",F24,IF(E24="unit",F24*TotalUnits,IF(E24="sf",F24*NRSF,F24)))</f>
        <v/>
      </c>
      <c r="K24" s="228">
        <f>IF(TotalUnits=0,0,J24/TotalUnits)</f>
        <v/>
      </c>
      <c r="L24" s="229">
        <f>IF(NRSF=0,0,J24/NRSF)</f>
        <v/>
      </c>
    </row>
    <row r="25">
      <c r="B25" s="36" t="inlineStr">
        <is>
          <t>Other Soft Cost 6</t>
        </is>
      </c>
      <c r="C25" s="84" t="inlineStr">
        <is>
          <t>Soft</t>
        </is>
      </c>
      <c r="D25" s="84" t="inlineStr">
        <is>
          <t>Soft</t>
        </is>
      </c>
      <c r="E25" s="6" t="inlineStr">
        <is>
          <t>abs</t>
        </is>
      </c>
      <c r="F25" s="230" t="n">
        <v>0</v>
      </c>
      <c r="G25" s="6" t="inlineStr">
        <is>
          <t>Construction</t>
        </is>
      </c>
      <c r="H25" s="6" t="inlineStr">
        <is>
          <t>Straight_Line</t>
        </is>
      </c>
      <c r="I25" s="9" t="n">
        <v>0</v>
      </c>
      <c r="J25" s="228">
        <f>IF(E25="abs",F25,IF(E25="unit",F25*TotalUnits,IF(E25="sf",F25*NRSF,F25)))</f>
        <v/>
      </c>
      <c r="K25" s="228">
        <f>IF(TotalUnits=0,0,J25/TotalUnits)</f>
        <v/>
      </c>
      <c r="L25" s="229">
        <f>IF(NRSF=0,0,J25/NRSF)</f>
        <v/>
      </c>
    </row>
    <row r="26">
      <c r="B26" s="36" t="inlineStr">
        <is>
          <t>Other Hard Cost 1 - Landscape</t>
        </is>
      </c>
      <c r="C26" s="84" t="inlineStr">
        <is>
          <t>Hard</t>
        </is>
      </c>
      <c r="D26" s="84" t="inlineStr">
        <is>
          <t>Hard</t>
        </is>
      </c>
      <c r="E26" s="6" t="inlineStr">
        <is>
          <t>abs</t>
        </is>
      </c>
      <c r="F26" s="230" t="n">
        <v>0</v>
      </c>
      <c r="G26" s="6" t="inlineStr">
        <is>
          <t>Construction</t>
        </is>
      </c>
      <c r="H26" s="6" t="inlineStr">
        <is>
          <t>Bell_Curve</t>
        </is>
      </c>
      <c r="I26" s="9" t="n">
        <v>0</v>
      </c>
      <c r="J26" s="228">
        <f>IF(E26="abs",F26,IF(E26="unit",F26*TotalUnits,IF(E26="sf",F26*NRSF,F26)))</f>
        <v/>
      </c>
      <c r="K26" s="228">
        <f>IF(TotalUnits=0,0,J26/TotalUnits)</f>
        <v/>
      </c>
      <c r="L26" s="229">
        <f>IF(NRSF=0,0,J26/NRSF)</f>
        <v/>
      </c>
    </row>
    <row r="27">
      <c r="B27" s="36" t="inlineStr">
        <is>
          <t>Other Hard Cost 2 - Amenity</t>
        </is>
      </c>
      <c r="C27" s="84" t="inlineStr">
        <is>
          <t>Hard</t>
        </is>
      </c>
      <c r="D27" s="84" t="inlineStr">
        <is>
          <t>Hard</t>
        </is>
      </c>
      <c r="E27" s="6" t="inlineStr">
        <is>
          <t>abs</t>
        </is>
      </c>
      <c r="F27" s="230" t="n">
        <v>0</v>
      </c>
      <c r="G27" s="6" t="inlineStr">
        <is>
          <t>Construction</t>
        </is>
      </c>
      <c r="H27" s="6" t="inlineStr">
        <is>
          <t>Bell_Curve</t>
        </is>
      </c>
      <c r="I27" s="9" t="n">
        <v>0</v>
      </c>
      <c r="J27" s="228">
        <f>IF(E27="abs",F27,IF(E27="unit",F27*TotalUnits,IF(E27="sf",F27*NRSF,F27)))</f>
        <v/>
      </c>
      <c r="K27" s="228">
        <f>IF(TotalUnits=0,0,J27/TotalUnits)</f>
        <v/>
      </c>
      <c r="L27" s="229">
        <f>IF(NRSF=0,0,J27/NRSF)</f>
        <v/>
      </c>
    </row>
    <row r="28">
      <c r="B28" s="36" t="inlineStr">
        <is>
          <t>Other Hard Cost 3 - Signage</t>
        </is>
      </c>
      <c r="C28" s="84" t="inlineStr">
        <is>
          <t>Hard</t>
        </is>
      </c>
      <c r="D28" s="84" t="inlineStr">
        <is>
          <t>Hard</t>
        </is>
      </c>
      <c r="E28" s="6" t="inlineStr">
        <is>
          <t>abs</t>
        </is>
      </c>
      <c r="F28" s="230" t="n">
        <v>0</v>
      </c>
      <c r="G28" s="6" t="inlineStr">
        <is>
          <t>Construction</t>
        </is>
      </c>
      <c r="H28" s="6" t="inlineStr">
        <is>
          <t>Straight_Line</t>
        </is>
      </c>
      <c r="I28" s="9" t="n">
        <v>0</v>
      </c>
      <c r="J28" s="228">
        <f>IF(E28="abs",F28,IF(E28="unit",F28*TotalUnits,IF(E28="sf",F28*NRSF,F28)))</f>
        <v/>
      </c>
      <c r="K28" s="228">
        <f>IF(TotalUnits=0,0,J28/TotalUnits)</f>
        <v/>
      </c>
      <c r="L28" s="229">
        <f>IF(NRSF=0,0,J28/NRSF)</f>
        <v/>
      </c>
    </row>
    <row r="29">
      <c r="B29" s="36" t="inlineStr">
        <is>
          <t>Other Hard Cost 4</t>
        </is>
      </c>
      <c r="C29" s="84" t="inlineStr">
        <is>
          <t>Hard</t>
        </is>
      </c>
      <c r="D29" s="84" t="inlineStr">
        <is>
          <t>Hard</t>
        </is>
      </c>
      <c r="E29" s="6" t="inlineStr">
        <is>
          <t>abs</t>
        </is>
      </c>
      <c r="F29" s="230" t="n">
        <v>0</v>
      </c>
      <c r="G29" s="6" t="inlineStr">
        <is>
          <t>Construction</t>
        </is>
      </c>
      <c r="H29" s="6" t="inlineStr">
        <is>
          <t>Bell_Curve</t>
        </is>
      </c>
      <c r="I29" s="9" t="n">
        <v>0</v>
      </c>
      <c r="J29" s="228">
        <f>IF(E29="abs",F29,IF(E29="unit",F29*TotalUnits,IF(E29="sf",F29*NRSF,F29)))</f>
        <v/>
      </c>
      <c r="K29" s="228">
        <f>IF(TotalUnits=0,0,J29/TotalUnits)</f>
        <v/>
      </c>
      <c r="L29" s="229">
        <f>IF(NRSF=0,0,J29/NRSF)</f>
        <v/>
      </c>
    </row>
    <row r="30">
      <c r="B30" s="36" t="inlineStr">
        <is>
          <t>Other Hard Cost 5</t>
        </is>
      </c>
      <c r="C30" s="84" t="inlineStr">
        <is>
          <t>Hard</t>
        </is>
      </c>
      <c r="D30" s="84" t="inlineStr">
        <is>
          <t>Hard</t>
        </is>
      </c>
      <c r="E30" s="6" t="inlineStr">
        <is>
          <t>abs</t>
        </is>
      </c>
      <c r="F30" s="230" t="n">
        <v>0</v>
      </c>
      <c r="G30" s="6" t="inlineStr">
        <is>
          <t>Construction</t>
        </is>
      </c>
      <c r="H30" s="6" t="inlineStr">
        <is>
          <t>Bell_Curve</t>
        </is>
      </c>
      <c r="I30" s="9" t="n">
        <v>0</v>
      </c>
      <c r="J30" s="228">
        <f>IF(E30="abs",F30,IF(E30="unit",F30*TotalUnits,IF(E30="sf",F30*NRSF,F30)))</f>
        <v/>
      </c>
      <c r="K30" s="228">
        <f>IF(TotalUnits=0,0,J30/TotalUnits)</f>
        <v/>
      </c>
      <c r="L30" s="229">
        <f>IF(NRSF=0,0,J30/NRSF)</f>
        <v/>
      </c>
    </row>
    <row r="31">
      <c r="B31" s="40" t="inlineStr">
        <is>
          <t>Other Hard Cost 6</t>
        </is>
      </c>
      <c r="C31" s="92" t="inlineStr">
        <is>
          <t>Hard</t>
        </is>
      </c>
      <c r="D31" s="92" t="inlineStr">
        <is>
          <t>Hard</t>
        </is>
      </c>
      <c r="E31" s="93" t="inlineStr">
        <is>
          <t>abs</t>
        </is>
      </c>
      <c r="F31" s="231" t="n">
        <v>0</v>
      </c>
      <c r="G31" s="93" t="inlineStr">
        <is>
          <t>Construction</t>
        </is>
      </c>
      <c r="H31" s="93" t="inlineStr">
        <is>
          <t>Bell_Curve</t>
        </is>
      </c>
      <c r="I31" s="69" t="n">
        <v>0</v>
      </c>
      <c r="J31" s="232">
        <f>IF(E31="abs",F31,IF(E31="unit",F31*TotalUnits,IF(E31="sf",F31*NRSF,F31)))</f>
        <v/>
      </c>
      <c r="K31" s="232">
        <f>IF(TotalUnits=0,0,J31/TotalUnits)</f>
        <v/>
      </c>
      <c r="L31" s="233">
        <f>IF(NRSF=0,0,J31/NRSF)</f>
        <v/>
      </c>
    </row>
    <row r="33">
      <c r="B33" s="71" t="inlineStr">
        <is>
          <t>Budget Summary</t>
        </is>
      </c>
      <c r="C33" s="72" t="n"/>
      <c r="D33" s="72" t="n"/>
      <c r="E33" s="72" t="n"/>
      <c r="F33" s="72" t="n"/>
      <c r="G33" s="72" t="n"/>
      <c r="H33" s="72" t="n"/>
      <c r="I33" s="72" t="n"/>
      <c r="J33" s="107" t="n"/>
      <c r="K33" s="107" t="n"/>
      <c r="L33" s="64" t="n"/>
    </row>
    <row r="34">
      <c r="B34" s="50" t="inlineStr">
        <is>
          <t>Land</t>
        </is>
      </c>
      <c r="J34" s="234">
        <f>SUMIF($C$5:$C$31,"Land",J5:J31)</f>
        <v/>
      </c>
      <c r="K34" s="234">
        <f>+BudgetLand/UnitMatrix!$D$11</f>
        <v/>
      </c>
      <c r="L34" s="235">
        <f>+K34/UnitMatrix!$E$11</f>
        <v/>
      </c>
    </row>
    <row r="35">
      <c r="B35" s="50" t="inlineStr">
        <is>
          <t>Soft Costs</t>
        </is>
      </c>
      <c r="J35" s="234">
        <f>SUMIF($C$5:$C$31,"Soft",J5:J31)</f>
        <v/>
      </c>
      <c r="K35" s="234">
        <f>BudgetSoft/UnitMatrix!$D$11</f>
        <v/>
      </c>
      <c r="L35" s="235">
        <f>+K35/UnitMatrix!$E$11</f>
        <v/>
      </c>
    </row>
    <row r="36">
      <c r="B36" s="50" t="inlineStr">
        <is>
          <t>Hard Costs</t>
        </is>
      </c>
      <c r="J36" s="234">
        <f>SUMIF($C$5:$C$31,"Hard",J5:J31)</f>
        <v/>
      </c>
      <c r="K36" s="234">
        <f>BudgetHard/UnitMatrix!$D$11</f>
        <v/>
      </c>
      <c r="L36" s="235">
        <f>+K36/UnitMatrix!$E$11</f>
        <v/>
      </c>
    </row>
    <row r="37">
      <c r="B37" s="50" t="inlineStr">
        <is>
          <t>Direct Costs (subtotal)</t>
        </is>
      </c>
      <c r="J37" s="234">
        <f>SUM(J5:J31)</f>
        <v/>
      </c>
      <c r="K37" s="234">
        <f>DirectCosts/UnitMatrix!$D$11</f>
        <v/>
      </c>
      <c r="L37" s="235">
        <f>+K37/UnitMatrix!$E$11</f>
        <v/>
      </c>
    </row>
    <row r="38">
      <c r="B38" s="50" t="inlineStr">
        <is>
          <t>Sponsor Development Fee</t>
        </is>
      </c>
      <c r="J38" s="234">
        <f>DevFeePctDirect*DirectCosts</f>
        <v/>
      </c>
      <c r="K38" s="234">
        <f>DevFee/UnitMatrix!$D$11</f>
        <v/>
      </c>
      <c r="L38" s="235">
        <f>+K38/UnitMatrix!$E$11</f>
        <v/>
      </c>
    </row>
    <row r="39">
      <c r="B39" s="57" t="inlineStr">
        <is>
          <t>Total Development Cost (per Diagnostics)</t>
        </is>
      </c>
      <c r="C39" s="79" t="n"/>
      <c r="D39" s="79" t="n"/>
      <c r="E39" s="79" t="n"/>
      <c r="F39" s="79" t="n"/>
      <c r="G39" s="79" t="n"/>
      <c r="H39" s="79" t="n"/>
      <c r="I39" s="79" t="n"/>
      <c r="J39" s="236">
        <f>TDC_Total</f>
        <v/>
      </c>
      <c r="K39" s="236">
        <f>BudgetTDCref/UnitMatrix!$D$11</f>
        <v/>
      </c>
      <c r="L39" s="237">
        <f>+K39/UnitMatrix!$E$11</f>
        <v/>
      </c>
    </row>
  </sheetData>
  <dataValidations count="3">
    <dataValidation sqref="E5:E31" showDropDown="0" showInputMessage="1" showErrorMessage="1" allowBlank="1" type="list">
      <formula1>"abs, sf, unit"</formula1>
    </dataValidation>
    <dataValidation sqref="H5:H31" showDropDown="0" showInputMessage="1" showErrorMessage="1" allowBlank="1" type="list">
      <formula1>"Single_Point, Straight_Line, Bell_Curve"</formula1>
    </dataValidation>
    <dataValidation sqref="G5:G31" showDropDown="0" showInputMessage="1" showErrorMessage="1" allowBlank="1" type="list">
      <formula1>"Initial Closing, Pre-Construction, Due Diligence, Entitlement, Lease-up, Construction"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B1:NL45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0" customWidth="1" style="97" min="2" max="2"/>
    <col width="12" customWidth="1" style="97" min="3" max="5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Timeline Engine — Milestones &amp; Monthly Period Grid</t>
        </is>
      </c>
    </row>
    <row r="3">
      <c r="B3" s="71" t="inlineStr">
        <is>
          <t>Milestone</t>
        </is>
      </c>
      <c r="C3" s="118" t="inlineStr">
        <is>
          <t>Start (mo)</t>
        </is>
      </c>
      <c r="D3" s="118" t="inlineStr">
        <is>
          <t>Duration (mo)</t>
        </is>
      </c>
      <c r="E3" s="119" t="inlineStr">
        <is>
          <t>End (mo)</t>
        </is>
      </c>
    </row>
    <row r="4">
      <c r="B4" s="36" t="inlineStr">
        <is>
          <t>Open Escrow</t>
        </is>
      </c>
      <c r="C4" s="238" t="n">
        <v>1</v>
      </c>
      <c r="D4" s="291">
        <f>Dur_OpenEscrow</f>
        <v/>
      </c>
      <c r="E4" s="239">
        <f>SUM(C4:D4)-1</f>
        <v/>
      </c>
    </row>
    <row r="5">
      <c r="B5" s="36" t="inlineStr">
        <is>
          <t>Due Diligence</t>
        </is>
      </c>
      <c r="C5" s="238">
        <f>+MS_Open_Escrow_Start</f>
        <v/>
      </c>
      <c r="D5" s="292">
        <f>Dur_DueDiligence</f>
        <v/>
      </c>
      <c r="E5" s="239">
        <f>SUM(C5:D5)-1</f>
        <v/>
      </c>
    </row>
    <row r="6">
      <c r="B6" s="36" t="inlineStr">
        <is>
          <t>Entitlement</t>
        </is>
      </c>
      <c r="C6" s="238">
        <f>+MS_Due_Diligence_End</f>
        <v/>
      </c>
      <c r="D6" s="292">
        <f>Dur_Entitlement</f>
        <v/>
      </c>
      <c r="E6" s="239">
        <f>SUM(C6:D6)-1</f>
        <v/>
      </c>
    </row>
    <row r="7">
      <c r="B7" s="36" t="inlineStr">
        <is>
          <t>Pre-Construction</t>
        </is>
      </c>
      <c r="C7" s="238">
        <f>+MS_Entitlement_End</f>
        <v/>
      </c>
      <c r="D7" s="292">
        <f>Dur_PreConstruction</f>
        <v/>
      </c>
      <c r="E7" s="239">
        <f>SUM(C7:D7)-1</f>
        <v/>
      </c>
    </row>
    <row r="8">
      <c r="B8" s="36" t="inlineStr">
        <is>
          <t>Initial Closing</t>
        </is>
      </c>
      <c r="C8" s="238">
        <f>+MS_Entitlement_End</f>
        <v/>
      </c>
      <c r="D8" s="291">
        <f>Dur_InitialClosing</f>
        <v/>
      </c>
      <c r="E8" s="239">
        <f>SUM(C8:D8)-1</f>
        <v/>
      </c>
    </row>
    <row r="9">
      <c r="B9" s="36" t="inlineStr">
        <is>
          <t>Construction</t>
        </is>
      </c>
      <c r="C9" s="238">
        <f>+MS_Pre_Construction_End</f>
        <v/>
      </c>
      <c r="D9" s="292">
        <f>Dur_Construction</f>
        <v/>
      </c>
      <c r="E9" s="239">
        <f>SUM(C9:D9)-1</f>
        <v/>
      </c>
    </row>
    <row r="10">
      <c r="B10" s="36" t="inlineStr">
        <is>
          <t>1st Unit Delivery</t>
        </is>
      </c>
      <c r="C10" s="292">
        <f>+MS_Construction_Start+DeliveryLagMonths</f>
        <v/>
      </c>
      <c r="D10" s="291">
        <f>Dur_FirstUnitDelivery</f>
        <v/>
      </c>
      <c r="E10" s="239">
        <f>SUM(C10:D10)-1</f>
        <v/>
      </c>
    </row>
    <row r="11">
      <c r="B11" s="36" t="inlineStr">
        <is>
          <t>Lease-Up</t>
        </is>
      </c>
      <c r="C11" s="238">
        <f>+MS_1st_Unit_Delivery_Start</f>
        <v/>
      </c>
      <c r="D11" s="240">
        <f>MAX(CEILING(StabLeasedTarget/UnitsLeasedPerMo,1),CEILING(StabLeasedTarget/UnitsDeliveredPerMo,1))</f>
        <v/>
      </c>
      <c r="E11" s="239">
        <f>SUM(C11:D11)-1</f>
        <v/>
      </c>
    </row>
    <row r="12">
      <c r="B12" s="36" t="inlineStr">
        <is>
          <t>Stabilization</t>
        </is>
      </c>
      <c r="C12" s="238">
        <f>+MS_Lease_Up_End</f>
        <v/>
      </c>
      <c r="D12" s="291">
        <f>Dur_Stabilization</f>
        <v/>
      </c>
      <c r="E12" s="239">
        <f>SUM(C12:D12)-1</f>
        <v/>
      </c>
    </row>
    <row r="13">
      <c r="B13" s="36" t="inlineStr">
        <is>
          <t>Recapitalization/Refinance</t>
        </is>
      </c>
      <c r="C13" s="210">
        <f>+MS_Stabilization_End</f>
        <v/>
      </c>
      <c r="D13" s="291">
        <f>Dur_Recap</f>
        <v/>
      </c>
      <c r="E13" s="239">
        <f>SUM(C13:D13)-1</f>
        <v/>
      </c>
    </row>
    <row r="14">
      <c r="B14" s="40" t="inlineStr">
        <is>
          <t>Disposition</t>
        </is>
      </c>
      <c r="C14" s="241">
        <f>HoldPeriodMonths</f>
        <v/>
      </c>
      <c r="D14" s="293">
        <f>Dur_Disposition</f>
        <v/>
      </c>
      <c r="E14" s="243">
        <f>SUM(C14:D14)-1</f>
        <v/>
      </c>
    </row>
    <row r="16">
      <c r="B16" s="71" t="inlineStr">
        <is>
          <t>Key Timing (derived)</t>
        </is>
      </c>
      <c r="C16" s="80" t="n"/>
    </row>
    <row r="17">
      <c r="B17" s="36" t="inlineStr">
        <is>
          <t>Construction Start</t>
        </is>
      </c>
      <c r="C17" s="244">
        <f>MS_Construction_Start</f>
        <v/>
      </c>
    </row>
    <row r="18">
      <c r="B18" s="36" t="inlineStr">
        <is>
          <t>Construction Maturity</t>
        </is>
      </c>
      <c r="C18" s="244">
        <f>ConStart+ConLoanTermMonths-1</f>
        <v/>
      </c>
    </row>
    <row r="19">
      <c r="B19" s="36" t="inlineStr">
        <is>
          <t>1st Unit Delivery</t>
        </is>
      </c>
      <c r="C19" s="244">
        <f>MS_1st_Unit_Delivery_Start</f>
        <v/>
      </c>
    </row>
    <row r="20">
      <c r="B20" s="36" t="inlineStr">
        <is>
          <t>Stabilization Month</t>
        </is>
      </c>
      <c r="C20" s="244">
        <f>MS_Stabilization_Start</f>
        <v/>
      </c>
    </row>
    <row r="21">
      <c r="B21" s="36" t="inlineStr">
        <is>
          <t>Disposition Month</t>
        </is>
      </c>
      <c r="C21" s="244">
        <f>HoldPeriodMonths</f>
        <v/>
      </c>
    </row>
    <row r="22">
      <c r="B22" s="36" t="inlineStr">
        <is>
          <t>Growth Start Month</t>
        </is>
      </c>
      <c r="C22" s="244">
        <f>(YEAR(GrowthStartDate)-YEAR(InceptionDate))*12+MONTH(GrowthStartDate)-MONTH(InceptionDate)+1</f>
        <v/>
      </c>
    </row>
    <row r="23">
      <c r="B23" s="36" t="inlineStr">
        <is>
          <t>Refi Flag (1=refi,0=sell)</t>
        </is>
      </c>
      <c r="C23" s="56">
        <f>IF(DispoMonth&gt;ConMaturity,1,0)</f>
        <v/>
      </c>
    </row>
    <row r="24">
      <c r="B24" s="36" t="inlineStr">
        <is>
          <t>Refi Month</t>
        </is>
      </c>
      <c r="C24" s="244">
        <f>IF(RefiFlag=1,MIN(ConMaturity,IF(RefiMonthOverride&gt;0,RefiMonthOverride,ConMaturity)),0)</f>
        <v/>
      </c>
    </row>
    <row r="25">
      <c r="B25" s="40" t="inlineStr">
        <is>
          <t>Con Payoff Month</t>
        </is>
      </c>
      <c r="C25" s="245">
        <f>IF(RefiFlag=1,RefiMonth,DispoMonth)</f>
        <v/>
      </c>
    </row>
    <row r="27">
      <c r="B27" s="34" t="inlineStr">
        <is>
          <t>Monthly Period Grid</t>
        </is>
      </c>
      <c r="C27" s="60" t="n"/>
      <c r="D27" s="35" t="n"/>
    </row>
    <row r="28">
      <c r="B28" s="122" t="inlineStr">
        <is>
          <t>Period →</t>
        </is>
      </c>
      <c r="D28" s="75" t="inlineStr">
        <is>
          <t>Total</t>
        </is>
      </c>
      <c r="E28" s="27" t="n">
        <v>1</v>
      </c>
      <c r="F28" s="27" t="n">
        <v>2</v>
      </c>
      <c r="G28" s="27" t="n">
        <v>3</v>
      </c>
      <c r="H28" s="27" t="n">
        <v>4</v>
      </c>
      <c r="I28" s="27" t="n">
        <v>5</v>
      </c>
      <c r="J28" s="27" t="n">
        <v>6</v>
      </c>
      <c r="K28" s="27" t="n">
        <v>7</v>
      </c>
      <c r="L28" s="27" t="n">
        <v>8</v>
      </c>
      <c r="M28" s="27" t="n">
        <v>9</v>
      </c>
      <c r="N28" s="27" t="n">
        <v>10</v>
      </c>
      <c r="O28" s="27" t="n">
        <v>11</v>
      </c>
      <c r="P28" s="27" t="n">
        <v>12</v>
      </c>
      <c r="Q28" s="27" t="n">
        <v>13</v>
      </c>
      <c r="R28" s="27" t="n">
        <v>14</v>
      </c>
      <c r="S28" s="27" t="n">
        <v>15</v>
      </c>
      <c r="T28" s="27" t="n">
        <v>16</v>
      </c>
      <c r="U28" s="27" t="n">
        <v>17</v>
      </c>
      <c r="V28" s="27" t="n">
        <v>18</v>
      </c>
      <c r="W28" s="27" t="n">
        <v>19</v>
      </c>
      <c r="X28" s="27" t="n">
        <v>20</v>
      </c>
      <c r="Y28" s="27" t="n">
        <v>21</v>
      </c>
      <c r="Z28" s="27" t="n">
        <v>22</v>
      </c>
      <c r="AA28" s="27" t="n">
        <v>23</v>
      </c>
      <c r="AB28" s="27" t="n">
        <v>24</v>
      </c>
      <c r="AC28" s="27" t="n">
        <v>25</v>
      </c>
      <c r="AD28" s="27" t="n">
        <v>26</v>
      </c>
      <c r="AE28" s="27" t="n">
        <v>27</v>
      </c>
      <c r="AF28" s="27" t="n">
        <v>28</v>
      </c>
      <c r="AG28" s="27" t="n">
        <v>29</v>
      </c>
      <c r="AH28" s="27" t="n">
        <v>30</v>
      </c>
      <c r="AI28" s="27" t="n">
        <v>31</v>
      </c>
      <c r="AJ28" s="27" t="n">
        <v>32</v>
      </c>
      <c r="AK28" s="27" t="n">
        <v>33</v>
      </c>
      <c r="AL28" s="27" t="n">
        <v>34</v>
      </c>
      <c r="AM28" s="27" t="n">
        <v>35</v>
      </c>
      <c r="AN28" s="27" t="n">
        <v>36</v>
      </c>
      <c r="AO28" s="27" t="n">
        <v>37</v>
      </c>
      <c r="AP28" s="27" t="n">
        <v>38</v>
      </c>
      <c r="AQ28" s="27" t="n">
        <v>39</v>
      </c>
      <c r="AR28" s="27" t="n">
        <v>40</v>
      </c>
      <c r="AS28" s="27" t="n">
        <v>41</v>
      </c>
      <c r="AT28" s="27" t="n">
        <v>42</v>
      </c>
      <c r="AU28" s="27" t="n">
        <v>43</v>
      </c>
      <c r="AV28" s="27" t="n">
        <v>44</v>
      </c>
      <c r="AW28" s="27" t="n">
        <v>45</v>
      </c>
      <c r="AX28" s="27" t="n">
        <v>46</v>
      </c>
      <c r="AY28" s="27" t="n">
        <v>47</v>
      </c>
      <c r="AZ28" s="27" t="n">
        <v>48</v>
      </c>
      <c r="BA28" s="27" t="n">
        <v>49</v>
      </c>
      <c r="BB28" s="27" t="n">
        <v>50</v>
      </c>
      <c r="BC28" s="27" t="n">
        <v>51</v>
      </c>
      <c r="BD28" s="27" t="n">
        <v>52</v>
      </c>
      <c r="BE28" s="27" t="n">
        <v>53</v>
      </c>
      <c r="BF28" s="27" t="n">
        <v>54</v>
      </c>
      <c r="BG28" s="27" t="n">
        <v>55</v>
      </c>
      <c r="BH28" s="27" t="n">
        <v>56</v>
      </c>
      <c r="BI28" s="27" t="n">
        <v>57</v>
      </c>
      <c r="BJ28" s="27" t="n">
        <v>58</v>
      </c>
      <c r="BK28" s="27" t="n">
        <v>59</v>
      </c>
      <c r="BL28" s="27" t="n">
        <v>60</v>
      </c>
      <c r="BM28" s="27" t="n">
        <v>61</v>
      </c>
      <c r="BN28" s="27" t="n">
        <v>62</v>
      </c>
      <c r="BO28" s="27" t="n">
        <v>63</v>
      </c>
      <c r="BP28" s="27" t="n">
        <v>64</v>
      </c>
      <c r="BQ28" s="27" t="n">
        <v>65</v>
      </c>
      <c r="BR28" s="27" t="n">
        <v>66</v>
      </c>
      <c r="BS28" s="27" t="n">
        <v>67</v>
      </c>
      <c r="BT28" s="27" t="n">
        <v>68</v>
      </c>
      <c r="BU28" s="27" t="n">
        <v>69</v>
      </c>
      <c r="BV28" s="27" t="n">
        <v>70</v>
      </c>
      <c r="BW28" s="27" t="n">
        <v>71</v>
      </c>
      <c r="BX28" s="27" t="n">
        <v>72</v>
      </c>
      <c r="BY28" s="27" t="n">
        <v>73</v>
      </c>
      <c r="BZ28" s="27" t="n">
        <v>74</v>
      </c>
      <c r="CA28" s="27" t="n">
        <v>75</v>
      </c>
      <c r="CB28" s="27" t="n">
        <v>76</v>
      </c>
      <c r="CC28" s="27" t="n">
        <v>77</v>
      </c>
      <c r="CD28" s="27" t="n">
        <v>78</v>
      </c>
      <c r="CE28" s="27" t="n">
        <v>79</v>
      </c>
      <c r="CF28" s="27" t="n">
        <v>80</v>
      </c>
      <c r="CG28" s="27" t="n">
        <v>81</v>
      </c>
      <c r="CH28" s="27" t="n">
        <v>82</v>
      </c>
      <c r="CI28" s="27" t="n">
        <v>83</v>
      </c>
      <c r="CJ28" s="27" t="n">
        <v>84</v>
      </c>
      <c r="CK28" s="27" t="n">
        <v>85</v>
      </c>
      <c r="CL28" s="27" t="n">
        <v>86</v>
      </c>
      <c r="CM28" s="27" t="n">
        <v>87</v>
      </c>
      <c r="CN28" s="27" t="n">
        <v>88</v>
      </c>
      <c r="CO28" s="27" t="n">
        <v>89</v>
      </c>
      <c r="CP28" s="27" t="n">
        <v>90</v>
      </c>
      <c r="CQ28" s="27" t="n">
        <v>91</v>
      </c>
      <c r="CR28" s="27" t="n">
        <v>92</v>
      </c>
      <c r="CS28" s="27" t="n">
        <v>93</v>
      </c>
      <c r="CT28" s="27" t="n">
        <v>94</v>
      </c>
      <c r="CU28" s="27" t="n">
        <v>95</v>
      </c>
      <c r="CV28" s="27" t="n">
        <v>96</v>
      </c>
      <c r="CW28" s="27" t="n">
        <v>97</v>
      </c>
      <c r="CX28" s="27" t="n">
        <v>98</v>
      </c>
      <c r="CY28" s="27" t="n">
        <v>99</v>
      </c>
      <c r="CZ28" s="27" t="n">
        <v>100</v>
      </c>
      <c r="DA28" s="27" t="n">
        <v>101</v>
      </c>
      <c r="DB28" s="27" t="n">
        <v>102</v>
      </c>
      <c r="DC28" s="27" t="n">
        <v>103</v>
      </c>
      <c r="DD28" s="27" t="n">
        <v>104</v>
      </c>
      <c r="DE28" s="27" t="n">
        <v>105</v>
      </c>
      <c r="DF28" s="27" t="n">
        <v>106</v>
      </c>
      <c r="DG28" s="27" t="n">
        <v>107</v>
      </c>
      <c r="DH28" s="27" t="n">
        <v>108</v>
      </c>
      <c r="DI28" s="27" t="n">
        <v>109</v>
      </c>
      <c r="DJ28" s="27" t="n">
        <v>110</v>
      </c>
      <c r="DK28" s="27" t="n">
        <v>111</v>
      </c>
      <c r="DL28" s="27" t="n">
        <v>112</v>
      </c>
      <c r="DM28" s="27" t="n">
        <v>113</v>
      </c>
      <c r="DN28" s="27" t="n">
        <v>114</v>
      </c>
      <c r="DO28" s="27" t="n">
        <v>115</v>
      </c>
      <c r="DP28" s="27" t="n">
        <v>116</v>
      </c>
      <c r="DQ28" s="27" t="n">
        <v>117</v>
      </c>
      <c r="DR28" s="27" t="n">
        <v>118</v>
      </c>
      <c r="DS28" s="27" t="n">
        <v>119</v>
      </c>
      <c r="DT28" s="27" t="n">
        <v>120</v>
      </c>
      <c r="DU28" s="27" t="n">
        <v>121</v>
      </c>
      <c r="DV28" s="27" t="n">
        <v>122</v>
      </c>
      <c r="DW28" s="27" t="n">
        <v>123</v>
      </c>
      <c r="DX28" s="27" t="n">
        <v>124</v>
      </c>
      <c r="DY28" s="27" t="n">
        <v>125</v>
      </c>
      <c r="DZ28" s="27" t="n">
        <v>126</v>
      </c>
      <c r="EA28" s="27" t="n">
        <v>127</v>
      </c>
      <c r="EB28" s="27" t="n">
        <v>128</v>
      </c>
      <c r="EC28" s="27" t="n">
        <v>129</v>
      </c>
      <c r="ED28" s="27" t="n">
        <v>130</v>
      </c>
      <c r="EE28" s="27" t="n">
        <v>131</v>
      </c>
      <c r="EF28" s="27" t="n">
        <v>132</v>
      </c>
      <c r="EG28" s="27" t="n">
        <v>133</v>
      </c>
      <c r="EH28" s="27" t="n">
        <v>134</v>
      </c>
      <c r="EI28" s="27" t="n">
        <v>135</v>
      </c>
      <c r="EJ28" s="27" t="n">
        <v>136</v>
      </c>
      <c r="EK28" s="27" t="n">
        <v>137</v>
      </c>
      <c r="EL28" s="27" t="n">
        <v>138</v>
      </c>
      <c r="EM28" s="27" t="n">
        <v>139</v>
      </c>
      <c r="EN28" s="27" t="n">
        <v>140</v>
      </c>
      <c r="EO28" s="27" t="n">
        <v>141</v>
      </c>
      <c r="EP28" s="27" t="n">
        <v>142</v>
      </c>
      <c r="EQ28" s="27" t="n">
        <v>143</v>
      </c>
      <c r="ER28" s="27" t="n">
        <v>144</v>
      </c>
      <c r="ES28" s="27" t="n">
        <v>145</v>
      </c>
      <c r="ET28" s="27" t="n">
        <v>146</v>
      </c>
      <c r="EU28" s="27" t="n">
        <v>147</v>
      </c>
      <c r="EV28" s="27" t="n">
        <v>148</v>
      </c>
      <c r="EW28" s="27" t="n">
        <v>149</v>
      </c>
      <c r="EX28" s="27" t="n">
        <v>150</v>
      </c>
      <c r="EY28" s="27" t="n">
        <v>151</v>
      </c>
      <c r="EZ28" s="27" t="n">
        <v>152</v>
      </c>
      <c r="FA28" s="27" t="n">
        <v>153</v>
      </c>
      <c r="FB28" s="27" t="n">
        <v>154</v>
      </c>
      <c r="FC28" s="27" t="n">
        <v>155</v>
      </c>
      <c r="FD28" s="27" t="n">
        <v>156</v>
      </c>
      <c r="FE28" s="27" t="n">
        <v>157</v>
      </c>
      <c r="FF28" s="27" t="n">
        <v>158</v>
      </c>
      <c r="FG28" s="27" t="n">
        <v>159</v>
      </c>
      <c r="FH28" s="27" t="n">
        <v>160</v>
      </c>
      <c r="FI28" s="27" t="n">
        <v>161</v>
      </c>
      <c r="FJ28" s="27" t="n">
        <v>162</v>
      </c>
      <c r="FK28" s="27" t="n">
        <v>163</v>
      </c>
      <c r="FL28" s="27" t="n">
        <v>164</v>
      </c>
      <c r="FM28" s="27" t="n">
        <v>165</v>
      </c>
      <c r="FN28" s="27" t="n">
        <v>166</v>
      </c>
      <c r="FO28" s="27" t="n">
        <v>167</v>
      </c>
      <c r="FP28" s="27" t="n">
        <v>168</v>
      </c>
      <c r="FQ28" s="27" t="n">
        <v>169</v>
      </c>
      <c r="FR28" s="27" t="n">
        <v>170</v>
      </c>
      <c r="FS28" s="27" t="n">
        <v>171</v>
      </c>
      <c r="FT28" s="27" t="n">
        <v>172</v>
      </c>
      <c r="FU28" s="27" t="n">
        <v>173</v>
      </c>
      <c r="FV28" s="27" t="n">
        <v>174</v>
      </c>
      <c r="FW28" s="27" t="n">
        <v>175</v>
      </c>
      <c r="FX28" s="27" t="n">
        <v>176</v>
      </c>
      <c r="FY28" s="27" t="n">
        <v>177</v>
      </c>
      <c r="FZ28" s="27" t="n">
        <v>178</v>
      </c>
      <c r="GA28" s="27" t="n">
        <v>179</v>
      </c>
      <c r="GB28" s="27" t="n">
        <v>180</v>
      </c>
      <c r="GC28" s="27" t="n">
        <v>181</v>
      </c>
      <c r="GD28" s="27" t="n">
        <v>182</v>
      </c>
      <c r="GE28" s="27" t="n">
        <v>183</v>
      </c>
      <c r="GF28" s="27" t="n">
        <v>184</v>
      </c>
      <c r="GG28" s="27" t="n">
        <v>185</v>
      </c>
      <c r="GH28" s="27" t="n">
        <v>186</v>
      </c>
      <c r="GI28" s="27" t="n">
        <v>187</v>
      </c>
      <c r="GJ28" s="27" t="n">
        <v>188</v>
      </c>
      <c r="GK28" s="27" t="n">
        <v>189</v>
      </c>
      <c r="GL28" s="27" t="n">
        <v>190</v>
      </c>
      <c r="GM28" s="27" t="n">
        <v>191</v>
      </c>
      <c r="GN28" s="27" t="n">
        <v>192</v>
      </c>
      <c r="GO28" s="27" t="n">
        <v>193</v>
      </c>
      <c r="GP28" s="27" t="n">
        <v>194</v>
      </c>
      <c r="GQ28" s="27" t="n">
        <v>195</v>
      </c>
      <c r="GR28" s="27" t="n">
        <v>196</v>
      </c>
      <c r="GS28" s="27" t="n">
        <v>197</v>
      </c>
      <c r="GT28" s="27" t="n">
        <v>198</v>
      </c>
      <c r="GU28" s="27" t="n">
        <v>199</v>
      </c>
      <c r="GV28" s="27" t="n">
        <v>200</v>
      </c>
      <c r="GW28" s="27" t="n">
        <v>201</v>
      </c>
      <c r="GX28" s="27" t="n">
        <v>202</v>
      </c>
      <c r="GY28" s="27" t="n">
        <v>203</v>
      </c>
      <c r="GZ28" s="27" t="n">
        <v>204</v>
      </c>
      <c r="HA28" s="27" t="n">
        <v>205</v>
      </c>
      <c r="HB28" s="27" t="n">
        <v>206</v>
      </c>
      <c r="HC28" s="27" t="n">
        <v>207</v>
      </c>
      <c r="HD28" s="27" t="n">
        <v>208</v>
      </c>
      <c r="HE28" s="27" t="n">
        <v>209</v>
      </c>
      <c r="HF28" s="27" t="n">
        <v>210</v>
      </c>
      <c r="HG28" s="27" t="n">
        <v>211</v>
      </c>
      <c r="HH28" s="27" t="n">
        <v>212</v>
      </c>
      <c r="HI28" s="27" t="n">
        <v>213</v>
      </c>
      <c r="HJ28" s="27" t="n">
        <v>214</v>
      </c>
      <c r="HK28" s="27" t="n">
        <v>215</v>
      </c>
      <c r="HL28" s="27" t="n">
        <v>216</v>
      </c>
      <c r="HM28" s="27" t="n">
        <v>217</v>
      </c>
      <c r="HN28" s="27" t="n">
        <v>218</v>
      </c>
      <c r="HO28" s="27" t="n">
        <v>219</v>
      </c>
      <c r="HP28" s="27" t="n">
        <v>220</v>
      </c>
      <c r="HQ28" s="27" t="n">
        <v>221</v>
      </c>
      <c r="HR28" s="27" t="n">
        <v>222</v>
      </c>
      <c r="HS28" s="27" t="n">
        <v>223</v>
      </c>
      <c r="HT28" s="27" t="n">
        <v>224</v>
      </c>
      <c r="HU28" s="27" t="n">
        <v>225</v>
      </c>
      <c r="HV28" s="27" t="n">
        <v>226</v>
      </c>
      <c r="HW28" s="27" t="n">
        <v>227</v>
      </c>
      <c r="HX28" s="27" t="n">
        <v>228</v>
      </c>
      <c r="HY28" s="27" t="n">
        <v>229</v>
      </c>
      <c r="HZ28" s="27" t="n">
        <v>230</v>
      </c>
      <c r="IA28" s="27" t="n">
        <v>231</v>
      </c>
      <c r="IB28" s="27" t="n">
        <v>232</v>
      </c>
      <c r="IC28" s="27" t="n">
        <v>233</v>
      </c>
      <c r="ID28" s="27" t="n">
        <v>234</v>
      </c>
      <c r="IE28" s="27" t="n">
        <v>235</v>
      </c>
      <c r="IF28" s="27" t="n">
        <v>236</v>
      </c>
      <c r="IG28" s="27" t="n">
        <v>237</v>
      </c>
      <c r="IH28" s="27" t="n">
        <v>238</v>
      </c>
      <c r="II28" s="27" t="n">
        <v>239</v>
      </c>
      <c r="IJ28" s="27" t="n">
        <v>240</v>
      </c>
      <c r="IK28" s="27" t="n">
        <v>241</v>
      </c>
      <c r="IL28" s="27" t="n">
        <v>242</v>
      </c>
      <c r="IM28" s="27" t="n">
        <v>243</v>
      </c>
      <c r="IN28" s="27" t="n">
        <v>244</v>
      </c>
      <c r="IO28" s="27" t="n">
        <v>245</v>
      </c>
      <c r="IP28" s="27" t="n">
        <v>246</v>
      </c>
      <c r="IQ28" s="27" t="n">
        <v>247</v>
      </c>
      <c r="IR28" s="27" t="n">
        <v>248</v>
      </c>
      <c r="IS28" s="27" t="n">
        <v>249</v>
      </c>
      <c r="IT28" s="27" t="n">
        <v>250</v>
      </c>
      <c r="IU28" s="27" t="n">
        <v>251</v>
      </c>
      <c r="IV28" s="27" t="n">
        <v>252</v>
      </c>
      <c r="IW28" s="27" t="n">
        <v>253</v>
      </c>
      <c r="IX28" s="27" t="n">
        <v>254</v>
      </c>
      <c r="IY28" s="27" t="n">
        <v>255</v>
      </c>
      <c r="IZ28" s="27" t="n">
        <v>256</v>
      </c>
      <c r="JA28" s="27" t="n">
        <v>257</v>
      </c>
      <c r="JB28" s="27" t="n">
        <v>258</v>
      </c>
      <c r="JC28" s="27" t="n">
        <v>259</v>
      </c>
      <c r="JD28" s="27" t="n">
        <v>260</v>
      </c>
      <c r="JE28" s="27" t="n">
        <v>261</v>
      </c>
      <c r="JF28" s="27" t="n">
        <v>262</v>
      </c>
      <c r="JG28" s="27" t="n">
        <v>263</v>
      </c>
      <c r="JH28" s="27" t="n">
        <v>264</v>
      </c>
      <c r="JI28" s="27" t="n">
        <v>265</v>
      </c>
      <c r="JJ28" s="27" t="n">
        <v>266</v>
      </c>
      <c r="JK28" s="27" t="n">
        <v>267</v>
      </c>
      <c r="JL28" s="27" t="n">
        <v>268</v>
      </c>
      <c r="JM28" s="27" t="n">
        <v>269</v>
      </c>
      <c r="JN28" s="27" t="n">
        <v>270</v>
      </c>
      <c r="JO28" s="27" t="n">
        <v>271</v>
      </c>
      <c r="JP28" s="27" t="n">
        <v>272</v>
      </c>
      <c r="JQ28" s="27" t="n">
        <v>273</v>
      </c>
      <c r="JR28" s="27" t="n">
        <v>274</v>
      </c>
      <c r="JS28" s="27" t="n">
        <v>275</v>
      </c>
      <c r="JT28" s="27" t="n">
        <v>276</v>
      </c>
      <c r="JU28" s="27" t="n">
        <v>277</v>
      </c>
      <c r="JV28" s="27" t="n">
        <v>278</v>
      </c>
      <c r="JW28" s="27" t="n">
        <v>279</v>
      </c>
      <c r="JX28" s="27" t="n">
        <v>280</v>
      </c>
      <c r="JY28" s="27" t="n">
        <v>281</v>
      </c>
      <c r="JZ28" s="27" t="n">
        <v>282</v>
      </c>
      <c r="KA28" s="27" t="n">
        <v>283</v>
      </c>
      <c r="KB28" s="27" t="n">
        <v>284</v>
      </c>
      <c r="KC28" s="27" t="n">
        <v>285</v>
      </c>
      <c r="KD28" s="27" t="n">
        <v>286</v>
      </c>
      <c r="KE28" s="27" t="n">
        <v>287</v>
      </c>
      <c r="KF28" s="27" t="n">
        <v>288</v>
      </c>
      <c r="KG28" s="27" t="n">
        <v>289</v>
      </c>
      <c r="KH28" s="27" t="n">
        <v>290</v>
      </c>
      <c r="KI28" s="27" t="n">
        <v>291</v>
      </c>
      <c r="KJ28" s="27" t="n">
        <v>292</v>
      </c>
      <c r="KK28" s="27" t="n">
        <v>293</v>
      </c>
      <c r="KL28" s="27" t="n">
        <v>294</v>
      </c>
      <c r="KM28" s="27" t="n">
        <v>295</v>
      </c>
      <c r="KN28" s="27" t="n">
        <v>296</v>
      </c>
      <c r="KO28" s="27" t="n">
        <v>297</v>
      </c>
      <c r="KP28" s="27" t="n">
        <v>298</v>
      </c>
      <c r="KQ28" s="27" t="n">
        <v>299</v>
      </c>
      <c r="KR28" s="27" t="n">
        <v>300</v>
      </c>
      <c r="KS28" s="27" t="n">
        <v>301</v>
      </c>
      <c r="KT28" s="27" t="n">
        <v>302</v>
      </c>
      <c r="KU28" s="27" t="n">
        <v>303</v>
      </c>
      <c r="KV28" s="27" t="n">
        <v>304</v>
      </c>
      <c r="KW28" s="27" t="n">
        <v>305</v>
      </c>
      <c r="KX28" s="27" t="n">
        <v>306</v>
      </c>
      <c r="KY28" s="27" t="n">
        <v>307</v>
      </c>
      <c r="KZ28" s="27" t="n">
        <v>308</v>
      </c>
      <c r="LA28" s="27" t="n">
        <v>309</v>
      </c>
      <c r="LB28" s="27" t="n">
        <v>310</v>
      </c>
      <c r="LC28" s="27" t="n">
        <v>311</v>
      </c>
      <c r="LD28" s="27" t="n">
        <v>312</v>
      </c>
      <c r="LE28" s="27" t="n">
        <v>313</v>
      </c>
      <c r="LF28" s="27" t="n">
        <v>314</v>
      </c>
      <c r="LG28" s="27" t="n">
        <v>315</v>
      </c>
      <c r="LH28" s="27" t="n">
        <v>316</v>
      </c>
      <c r="LI28" s="27" t="n">
        <v>317</v>
      </c>
      <c r="LJ28" s="27" t="n">
        <v>318</v>
      </c>
      <c r="LK28" s="27" t="n">
        <v>319</v>
      </c>
      <c r="LL28" s="27" t="n">
        <v>320</v>
      </c>
      <c r="LM28" s="27" t="n">
        <v>321</v>
      </c>
      <c r="LN28" s="27" t="n">
        <v>322</v>
      </c>
      <c r="LO28" s="27" t="n">
        <v>323</v>
      </c>
      <c r="LP28" s="27" t="n">
        <v>324</v>
      </c>
      <c r="LQ28" s="27" t="n">
        <v>325</v>
      </c>
      <c r="LR28" s="27" t="n">
        <v>326</v>
      </c>
      <c r="LS28" s="27" t="n">
        <v>327</v>
      </c>
      <c r="LT28" s="27" t="n">
        <v>328</v>
      </c>
      <c r="LU28" s="27" t="n">
        <v>329</v>
      </c>
      <c r="LV28" s="27" t="n">
        <v>330</v>
      </c>
      <c r="LW28" s="27" t="n">
        <v>331</v>
      </c>
      <c r="LX28" s="27" t="n">
        <v>332</v>
      </c>
      <c r="LY28" s="27" t="n">
        <v>333</v>
      </c>
      <c r="LZ28" s="27" t="n">
        <v>334</v>
      </c>
      <c r="MA28" s="27" t="n">
        <v>335</v>
      </c>
      <c r="MB28" s="27" t="n">
        <v>336</v>
      </c>
      <c r="MC28" s="27" t="n">
        <v>337</v>
      </c>
      <c r="MD28" s="27" t="n">
        <v>338</v>
      </c>
      <c r="ME28" s="27" t="n">
        <v>339</v>
      </c>
      <c r="MF28" s="27" t="n">
        <v>340</v>
      </c>
      <c r="MG28" s="27" t="n">
        <v>341</v>
      </c>
      <c r="MH28" s="27" t="n">
        <v>342</v>
      </c>
      <c r="MI28" s="27" t="n">
        <v>343</v>
      </c>
      <c r="MJ28" s="27" t="n">
        <v>344</v>
      </c>
      <c r="MK28" s="27" t="n">
        <v>345</v>
      </c>
      <c r="ML28" s="27" t="n">
        <v>346</v>
      </c>
      <c r="MM28" s="27" t="n">
        <v>347</v>
      </c>
      <c r="MN28" s="27" t="n">
        <v>348</v>
      </c>
      <c r="MO28" s="27" t="n">
        <v>349</v>
      </c>
      <c r="MP28" s="27" t="n">
        <v>350</v>
      </c>
      <c r="MQ28" s="27" t="n">
        <v>351</v>
      </c>
      <c r="MR28" s="27" t="n">
        <v>352</v>
      </c>
      <c r="MS28" s="27" t="n">
        <v>353</v>
      </c>
      <c r="MT28" s="27" t="n">
        <v>354</v>
      </c>
      <c r="MU28" s="27" t="n">
        <v>355</v>
      </c>
      <c r="MV28" s="27" t="n">
        <v>356</v>
      </c>
      <c r="MW28" s="27" t="n">
        <v>357</v>
      </c>
      <c r="MX28" s="27" t="n">
        <v>358</v>
      </c>
      <c r="MY28" s="27" t="n">
        <v>359</v>
      </c>
      <c r="MZ28" s="27" t="n">
        <v>360</v>
      </c>
      <c r="NA28" s="27" t="n">
        <v>361</v>
      </c>
      <c r="NB28" s="27" t="n">
        <v>362</v>
      </c>
      <c r="NC28" s="27" t="n">
        <v>363</v>
      </c>
      <c r="ND28" s="27" t="n">
        <v>364</v>
      </c>
      <c r="NE28" s="27" t="n">
        <v>365</v>
      </c>
      <c r="NF28" s="27" t="n">
        <v>366</v>
      </c>
      <c r="NG28" s="27" t="n">
        <v>367</v>
      </c>
      <c r="NH28" s="27" t="n">
        <v>368</v>
      </c>
      <c r="NI28" s="27" t="n">
        <v>369</v>
      </c>
      <c r="NJ28" s="27" t="n">
        <v>370</v>
      </c>
      <c r="NK28" s="27" t="n">
        <v>371</v>
      </c>
      <c r="NL28" s="27" t="n">
        <v>372</v>
      </c>
    </row>
    <row r="29">
      <c r="B29" s="123" t="inlineStr">
        <is>
          <t>Month Start</t>
        </is>
      </c>
      <c r="D29" s="53" t="n"/>
      <c r="E29" s="128">
        <f>EDATE(InceptionDate,0)</f>
        <v/>
      </c>
      <c r="F29" s="128">
        <f>EDATE(InceptionDate,1)</f>
        <v/>
      </c>
      <c r="G29" s="128">
        <f>EDATE(InceptionDate,2)</f>
        <v/>
      </c>
      <c r="H29" s="128">
        <f>EDATE(InceptionDate,3)</f>
        <v/>
      </c>
      <c r="I29" s="128">
        <f>EDATE(InceptionDate,4)</f>
        <v/>
      </c>
      <c r="J29" s="128">
        <f>EDATE(InceptionDate,5)</f>
        <v/>
      </c>
      <c r="K29" s="128">
        <f>EDATE(InceptionDate,6)</f>
        <v/>
      </c>
      <c r="L29" s="128">
        <f>EDATE(InceptionDate,7)</f>
        <v/>
      </c>
      <c r="M29" s="128">
        <f>EDATE(InceptionDate,8)</f>
        <v/>
      </c>
      <c r="N29" s="128">
        <f>EDATE(InceptionDate,9)</f>
        <v/>
      </c>
      <c r="O29" s="128">
        <f>EDATE(InceptionDate,10)</f>
        <v/>
      </c>
      <c r="P29" s="128">
        <f>EDATE(InceptionDate,11)</f>
        <v/>
      </c>
      <c r="Q29" s="128">
        <f>EDATE(InceptionDate,12)</f>
        <v/>
      </c>
      <c r="R29" s="128">
        <f>EDATE(InceptionDate,13)</f>
        <v/>
      </c>
      <c r="S29" s="128">
        <f>EDATE(InceptionDate,14)</f>
        <v/>
      </c>
      <c r="T29" s="128">
        <f>EDATE(InceptionDate,15)</f>
        <v/>
      </c>
      <c r="U29" s="128">
        <f>EDATE(InceptionDate,16)</f>
        <v/>
      </c>
      <c r="V29" s="128">
        <f>EDATE(InceptionDate,17)</f>
        <v/>
      </c>
      <c r="W29" s="128">
        <f>EDATE(InceptionDate,18)</f>
        <v/>
      </c>
      <c r="X29" s="128">
        <f>EDATE(InceptionDate,19)</f>
        <v/>
      </c>
      <c r="Y29" s="128">
        <f>EDATE(InceptionDate,20)</f>
        <v/>
      </c>
      <c r="Z29" s="128">
        <f>EDATE(InceptionDate,21)</f>
        <v/>
      </c>
      <c r="AA29" s="128">
        <f>EDATE(InceptionDate,22)</f>
        <v/>
      </c>
      <c r="AB29" s="128">
        <f>EDATE(InceptionDate,23)</f>
        <v/>
      </c>
      <c r="AC29" s="128">
        <f>EDATE(InceptionDate,24)</f>
        <v/>
      </c>
      <c r="AD29" s="128">
        <f>EDATE(InceptionDate,25)</f>
        <v/>
      </c>
      <c r="AE29" s="128">
        <f>EDATE(InceptionDate,26)</f>
        <v/>
      </c>
      <c r="AF29" s="128">
        <f>EDATE(InceptionDate,27)</f>
        <v/>
      </c>
      <c r="AG29" s="128">
        <f>EDATE(InceptionDate,28)</f>
        <v/>
      </c>
      <c r="AH29" s="128">
        <f>EDATE(InceptionDate,29)</f>
        <v/>
      </c>
      <c r="AI29" s="128">
        <f>EDATE(InceptionDate,30)</f>
        <v/>
      </c>
      <c r="AJ29" s="128">
        <f>EDATE(InceptionDate,31)</f>
        <v/>
      </c>
      <c r="AK29" s="128">
        <f>EDATE(InceptionDate,32)</f>
        <v/>
      </c>
      <c r="AL29" s="128">
        <f>EDATE(InceptionDate,33)</f>
        <v/>
      </c>
      <c r="AM29" s="128">
        <f>EDATE(InceptionDate,34)</f>
        <v/>
      </c>
      <c r="AN29" s="128">
        <f>EDATE(InceptionDate,35)</f>
        <v/>
      </c>
      <c r="AO29" s="128">
        <f>EDATE(InceptionDate,36)</f>
        <v/>
      </c>
      <c r="AP29" s="128">
        <f>EDATE(InceptionDate,37)</f>
        <v/>
      </c>
      <c r="AQ29" s="128">
        <f>EDATE(InceptionDate,38)</f>
        <v/>
      </c>
      <c r="AR29" s="128">
        <f>EDATE(InceptionDate,39)</f>
        <v/>
      </c>
      <c r="AS29" s="128">
        <f>EDATE(InceptionDate,40)</f>
        <v/>
      </c>
      <c r="AT29" s="128">
        <f>EDATE(InceptionDate,41)</f>
        <v/>
      </c>
      <c r="AU29" s="128">
        <f>EDATE(InceptionDate,42)</f>
        <v/>
      </c>
      <c r="AV29" s="128">
        <f>EDATE(InceptionDate,43)</f>
        <v/>
      </c>
      <c r="AW29" s="128">
        <f>EDATE(InceptionDate,44)</f>
        <v/>
      </c>
      <c r="AX29" s="128">
        <f>EDATE(InceptionDate,45)</f>
        <v/>
      </c>
      <c r="AY29" s="128">
        <f>EDATE(InceptionDate,46)</f>
        <v/>
      </c>
      <c r="AZ29" s="128">
        <f>EDATE(InceptionDate,47)</f>
        <v/>
      </c>
      <c r="BA29" s="128">
        <f>EDATE(InceptionDate,48)</f>
        <v/>
      </c>
      <c r="BB29" s="128">
        <f>EDATE(InceptionDate,49)</f>
        <v/>
      </c>
      <c r="BC29" s="128">
        <f>EDATE(InceptionDate,50)</f>
        <v/>
      </c>
      <c r="BD29" s="128">
        <f>EDATE(InceptionDate,51)</f>
        <v/>
      </c>
      <c r="BE29" s="128">
        <f>EDATE(InceptionDate,52)</f>
        <v/>
      </c>
      <c r="BF29" s="128">
        <f>EDATE(InceptionDate,53)</f>
        <v/>
      </c>
      <c r="BG29" s="128">
        <f>EDATE(InceptionDate,54)</f>
        <v/>
      </c>
      <c r="BH29" s="128">
        <f>EDATE(InceptionDate,55)</f>
        <v/>
      </c>
      <c r="BI29" s="128">
        <f>EDATE(InceptionDate,56)</f>
        <v/>
      </c>
      <c r="BJ29" s="128">
        <f>EDATE(InceptionDate,57)</f>
        <v/>
      </c>
      <c r="BK29" s="128">
        <f>EDATE(InceptionDate,58)</f>
        <v/>
      </c>
      <c r="BL29" s="128">
        <f>EDATE(InceptionDate,59)</f>
        <v/>
      </c>
      <c r="BM29" s="128">
        <f>EDATE(InceptionDate,60)</f>
        <v/>
      </c>
      <c r="BN29" s="128">
        <f>EDATE(InceptionDate,61)</f>
        <v/>
      </c>
      <c r="BO29" s="128">
        <f>EDATE(InceptionDate,62)</f>
        <v/>
      </c>
      <c r="BP29" s="128">
        <f>EDATE(InceptionDate,63)</f>
        <v/>
      </c>
      <c r="BQ29" s="128">
        <f>EDATE(InceptionDate,64)</f>
        <v/>
      </c>
      <c r="BR29" s="128">
        <f>EDATE(InceptionDate,65)</f>
        <v/>
      </c>
      <c r="BS29" s="128">
        <f>EDATE(InceptionDate,66)</f>
        <v/>
      </c>
      <c r="BT29" s="128">
        <f>EDATE(InceptionDate,67)</f>
        <v/>
      </c>
      <c r="BU29" s="128">
        <f>EDATE(InceptionDate,68)</f>
        <v/>
      </c>
      <c r="BV29" s="128">
        <f>EDATE(InceptionDate,69)</f>
        <v/>
      </c>
      <c r="BW29" s="128">
        <f>EDATE(InceptionDate,70)</f>
        <v/>
      </c>
      <c r="BX29" s="128">
        <f>EDATE(InceptionDate,71)</f>
        <v/>
      </c>
      <c r="BY29" s="128">
        <f>EDATE(InceptionDate,72)</f>
        <v/>
      </c>
      <c r="BZ29" s="128">
        <f>EDATE(InceptionDate,73)</f>
        <v/>
      </c>
      <c r="CA29" s="128">
        <f>EDATE(InceptionDate,74)</f>
        <v/>
      </c>
      <c r="CB29" s="128">
        <f>EDATE(InceptionDate,75)</f>
        <v/>
      </c>
      <c r="CC29" s="128">
        <f>EDATE(InceptionDate,76)</f>
        <v/>
      </c>
      <c r="CD29" s="128">
        <f>EDATE(InceptionDate,77)</f>
        <v/>
      </c>
      <c r="CE29" s="128">
        <f>EDATE(InceptionDate,78)</f>
        <v/>
      </c>
      <c r="CF29" s="128">
        <f>EDATE(InceptionDate,79)</f>
        <v/>
      </c>
      <c r="CG29" s="128">
        <f>EDATE(InceptionDate,80)</f>
        <v/>
      </c>
      <c r="CH29" s="128">
        <f>EDATE(InceptionDate,81)</f>
        <v/>
      </c>
      <c r="CI29" s="128">
        <f>EDATE(InceptionDate,82)</f>
        <v/>
      </c>
      <c r="CJ29" s="128">
        <f>EDATE(InceptionDate,83)</f>
        <v/>
      </c>
      <c r="CK29" s="128">
        <f>EDATE(InceptionDate,84)</f>
        <v/>
      </c>
      <c r="CL29" s="128">
        <f>EDATE(InceptionDate,85)</f>
        <v/>
      </c>
      <c r="CM29" s="128">
        <f>EDATE(InceptionDate,86)</f>
        <v/>
      </c>
      <c r="CN29" s="128">
        <f>EDATE(InceptionDate,87)</f>
        <v/>
      </c>
      <c r="CO29" s="128">
        <f>EDATE(InceptionDate,88)</f>
        <v/>
      </c>
      <c r="CP29" s="128">
        <f>EDATE(InceptionDate,89)</f>
        <v/>
      </c>
      <c r="CQ29" s="128">
        <f>EDATE(InceptionDate,90)</f>
        <v/>
      </c>
      <c r="CR29" s="128">
        <f>EDATE(InceptionDate,91)</f>
        <v/>
      </c>
      <c r="CS29" s="128">
        <f>EDATE(InceptionDate,92)</f>
        <v/>
      </c>
      <c r="CT29" s="128">
        <f>EDATE(InceptionDate,93)</f>
        <v/>
      </c>
      <c r="CU29" s="128">
        <f>EDATE(InceptionDate,94)</f>
        <v/>
      </c>
      <c r="CV29" s="128">
        <f>EDATE(InceptionDate,95)</f>
        <v/>
      </c>
      <c r="CW29" s="128">
        <f>EDATE(InceptionDate,96)</f>
        <v/>
      </c>
      <c r="CX29" s="128">
        <f>EDATE(InceptionDate,97)</f>
        <v/>
      </c>
      <c r="CY29" s="128">
        <f>EDATE(InceptionDate,98)</f>
        <v/>
      </c>
      <c r="CZ29" s="128">
        <f>EDATE(InceptionDate,99)</f>
        <v/>
      </c>
      <c r="DA29" s="128">
        <f>EDATE(InceptionDate,100)</f>
        <v/>
      </c>
      <c r="DB29" s="128">
        <f>EDATE(InceptionDate,101)</f>
        <v/>
      </c>
      <c r="DC29" s="128">
        <f>EDATE(InceptionDate,102)</f>
        <v/>
      </c>
      <c r="DD29" s="128">
        <f>EDATE(InceptionDate,103)</f>
        <v/>
      </c>
      <c r="DE29" s="128">
        <f>EDATE(InceptionDate,104)</f>
        <v/>
      </c>
      <c r="DF29" s="128">
        <f>EDATE(InceptionDate,105)</f>
        <v/>
      </c>
      <c r="DG29" s="128">
        <f>EDATE(InceptionDate,106)</f>
        <v/>
      </c>
      <c r="DH29" s="128">
        <f>EDATE(InceptionDate,107)</f>
        <v/>
      </c>
      <c r="DI29" s="128">
        <f>EDATE(InceptionDate,108)</f>
        <v/>
      </c>
      <c r="DJ29" s="128">
        <f>EDATE(InceptionDate,109)</f>
        <v/>
      </c>
      <c r="DK29" s="128">
        <f>EDATE(InceptionDate,110)</f>
        <v/>
      </c>
      <c r="DL29" s="128">
        <f>EDATE(InceptionDate,111)</f>
        <v/>
      </c>
      <c r="DM29" s="128">
        <f>EDATE(InceptionDate,112)</f>
        <v/>
      </c>
      <c r="DN29" s="128">
        <f>EDATE(InceptionDate,113)</f>
        <v/>
      </c>
      <c r="DO29" s="128">
        <f>EDATE(InceptionDate,114)</f>
        <v/>
      </c>
      <c r="DP29" s="128">
        <f>EDATE(InceptionDate,115)</f>
        <v/>
      </c>
      <c r="DQ29" s="128">
        <f>EDATE(InceptionDate,116)</f>
        <v/>
      </c>
      <c r="DR29" s="128">
        <f>EDATE(InceptionDate,117)</f>
        <v/>
      </c>
      <c r="DS29" s="128">
        <f>EDATE(InceptionDate,118)</f>
        <v/>
      </c>
      <c r="DT29" s="128">
        <f>EDATE(InceptionDate,119)</f>
        <v/>
      </c>
      <c r="DU29" s="128">
        <f>EDATE(InceptionDate,120)</f>
        <v/>
      </c>
      <c r="DV29" s="128">
        <f>EDATE(InceptionDate,121)</f>
        <v/>
      </c>
      <c r="DW29" s="128">
        <f>EDATE(InceptionDate,122)</f>
        <v/>
      </c>
      <c r="DX29" s="128">
        <f>EDATE(InceptionDate,123)</f>
        <v/>
      </c>
      <c r="DY29" s="128">
        <f>EDATE(InceptionDate,124)</f>
        <v/>
      </c>
      <c r="DZ29" s="128">
        <f>EDATE(InceptionDate,125)</f>
        <v/>
      </c>
      <c r="EA29" s="128">
        <f>EDATE(InceptionDate,126)</f>
        <v/>
      </c>
      <c r="EB29" s="128">
        <f>EDATE(InceptionDate,127)</f>
        <v/>
      </c>
      <c r="EC29" s="128">
        <f>EDATE(InceptionDate,128)</f>
        <v/>
      </c>
      <c r="ED29" s="128">
        <f>EDATE(InceptionDate,129)</f>
        <v/>
      </c>
      <c r="EE29" s="128">
        <f>EDATE(InceptionDate,130)</f>
        <v/>
      </c>
      <c r="EF29" s="128">
        <f>EDATE(InceptionDate,131)</f>
        <v/>
      </c>
      <c r="EG29" s="128">
        <f>EDATE(InceptionDate,132)</f>
        <v/>
      </c>
      <c r="EH29" s="128">
        <f>EDATE(InceptionDate,133)</f>
        <v/>
      </c>
      <c r="EI29" s="128">
        <f>EDATE(InceptionDate,134)</f>
        <v/>
      </c>
      <c r="EJ29" s="128">
        <f>EDATE(InceptionDate,135)</f>
        <v/>
      </c>
      <c r="EK29" s="128">
        <f>EDATE(InceptionDate,136)</f>
        <v/>
      </c>
      <c r="EL29" s="128">
        <f>EDATE(InceptionDate,137)</f>
        <v/>
      </c>
      <c r="EM29" s="128">
        <f>EDATE(InceptionDate,138)</f>
        <v/>
      </c>
      <c r="EN29" s="128">
        <f>EDATE(InceptionDate,139)</f>
        <v/>
      </c>
      <c r="EO29" s="128">
        <f>EDATE(InceptionDate,140)</f>
        <v/>
      </c>
      <c r="EP29" s="128">
        <f>EDATE(InceptionDate,141)</f>
        <v/>
      </c>
      <c r="EQ29" s="128">
        <f>EDATE(InceptionDate,142)</f>
        <v/>
      </c>
      <c r="ER29" s="128">
        <f>EDATE(InceptionDate,143)</f>
        <v/>
      </c>
      <c r="ES29" s="128">
        <f>EDATE(InceptionDate,144)</f>
        <v/>
      </c>
      <c r="ET29" s="128">
        <f>EDATE(InceptionDate,145)</f>
        <v/>
      </c>
      <c r="EU29" s="128">
        <f>EDATE(InceptionDate,146)</f>
        <v/>
      </c>
      <c r="EV29" s="128">
        <f>EDATE(InceptionDate,147)</f>
        <v/>
      </c>
      <c r="EW29" s="128">
        <f>EDATE(InceptionDate,148)</f>
        <v/>
      </c>
      <c r="EX29" s="128">
        <f>EDATE(InceptionDate,149)</f>
        <v/>
      </c>
      <c r="EY29" s="128">
        <f>EDATE(InceptionDate,150)</f>
        <v/>
      </c>
      <c r="EZ29" s="128">
        <f>EDATE(InceptionDate,151)</f>
        <v/>
      </c>
      <c r="FA29" s="128">
        <f>EDATE(InceptionDate,152)</f>
        <v/>
      </c>
      <c r="FB29" s="128">
        <f>EDATE(InceptionDate,153)</f>
        <v/>
      </c>
      <c r="FC29" s="128">
        <f>EDATE(InceptionDate,154)</f>
        <v/>
      </c>
      <c r="FD29" s="128">
        <f>EDATE(InceptionDate,155)</f>
        <v/>
      </c>
      <c r="FE29" s="128">
        <f>EDATE(InceptionDate,156)</f>
        <v/>
      </c>
      <c r="FF29" s="128">
        <f>EDATE(InceptionDate,157)</f>
        <v/>
      </c>
      <c r="FG29" s="128">
        <f>EDATE(InceptionDate,158)</f>
        <v/>
      </c>
      <c r="FH29" s="128">
        <f>EDATE(InceptionDate,159)</f>
        <v/>
      </c>
      <c r="FI29" s="128">
        <f>EDATE(InceptionDate,160)</f>
        <v/>
      </c>
      <c r="FJ29" s="128">
        <f>EDATE(InceptionDate,161)</f>
        <v/>
      </c>
      <c r="FK29" s="128">
        <f>EDATE(InceptionDate,162)</f>
        <v/>
      </c>
      <c r="FL29" s="128">
        <f>EDATE(InceptionDate,163)</f>
        <v/>
      </c>
      <c r="FM29" s="128">
        <f>EDATE(InceptionDate,164)</f>
        <v/>
      </c>
      <c r="FN29" s="128">
        <f>EDATE(InceptionDate,165)</f>
        <v/>
      </c>
      <c r="FO29" s="128">
        <f>EDATE(InceptionDate,166)</f>
        <v/>
      </c>
      <c r="FP29" s="128">
        <f>EDATE(InceptionDate,167)</f>
        <v/>
      </c>
      <c r="FQ29" s="128">
        <f>EDATE(InceptionDate,168)</f>
        <v/>
      </c>
      <c r="FR29" s="128">
        <f>EDATE(InceptionDate,169)</f>
        <v/>
      </c>
      <c r="FS29" s="128">
        <f>EDATE(InceptionDate,170)</f>
        <v/>
      </c>
      <c r="FT29" s="128">
        <f>EDATE(InceptionDate,171)</f>
        <v/>
      </c>
      <c r="FU29" s="128">
        <f>EDATE(InceptionDate,172)</f>
        <v/>
      </c>
      <c r="FV29" s="128">
        <f>EDATE(InceptionDate,173)</f>
        <v/>
      </c>
      <c r="FW29" s="128">
        <f>EDATE(InceptionDate,174)</f>
        <v/>
      </c>
      <c r="FX29" s="128">
        <f>EDATE(InceptionDate,175)</f>
        <v/>
      </c>
      <c r="FY29" s="128">
        <f>EDATE(InceptionDate,176)</f>
        <v/>
      </c>
      <c r="FZ29" s="128">
        <f>EDATE(InceptionDate,177)</f>
        <v/>
      </c>
      <c r="GA29" s="128">
        <f>EDATE(InceptionDate,178)</f>
        <v/>
      </c>
      <c r="GB29" s="128">
        <f>EDATE(InceptionDate,179)</f>
        <v/>
      </c>
      <c r="GC29" s="128">
        <f>EDATE(InceptionDate,180)</f>
        <v/>
      </c>
      <c r="GD29" s="128">
        <f>EDATE(InceptionDate,181)</f>
        <v/>
      </c>
      <c r="GE29" s="128">
        <f>EDATE(InceptionDate,182)</f>
        <v/>
      </c>
      <c r="GF29" s="128">
        <f>EDATE(InceptionDate,183)</f>
        <v/>
      </c>
      <c r="GG29" s="128">
        <f>EDATE(InceptionDate,184)</f>
        <v/>
      </c>
      <c r="GH29" s="128">
        <f>EDATE(InceptionDate,185)</f>
        <v/>
      </c>
      <c r="GI29" s="128">
        <f>EDATE(InceptionDate,186)</f>
        <v/>
      </c>
      <c r="GJ29" s="128">
        <f>EDATE(InceptionDate,187)</f>
        <v/>
      </c>
      <c r="GK29" s="128">
        <f>EDATE(InceptionDate,188)</f>
        <v/>
      </c>
      <c r="GL29" s="128">
        <f>EDATE(InceptionDate,189)</f>
        <v/>
      </c>
      <c r="GM29" s="128">
        <f>EDATE(InceptionDate,190)</f>
        <v/>
      </c>
      <c r="GN29" s="128">
        <f>EDATE(InceptionDate,191)</f>
        <v/>
      </c>
      <c r="GO29" s="128">
        <f>EDATE(InceptionDate,192)</f>
        <v/>
      </c>
      <c r="GP29" s="128">
        <f>EDATE(InceptionDate,193)</f>
        <v/>
      </c>
      <c r="GQ29" s="128">
        <f>EDATE(InceptionDate,194)</f>
        <v/>
      </c>
      <c r="GR29" s="128">
        <f>EDATE(InceptionDate,195)</f>
        <v/>
      </c>
      <c r="GS29" s="128">
        <f>EDATE(InceptionDate,196)</f>
        <v/>
      </c>
      <c r="GT29" s="128">
        <f>EDATE(InceptionDate,197)</f>
        <v/>
      </c>
      <c r="GU29" s="128">
        <f>EDATE(InceptionDate,198)</f>
        <v/>
      </c>
      <c r="GV29" s="128">
        <f>EDATE(InceptionDate,199)</f>
        <v/>
      </c>
      <c r="GW29" s="128">
        <f>EDATE(InceptionDate,200)</f>
        <v/>
      </c>
      <c r="GX29" s="128">
        <f>EDATE(InceptionDate,201)</f>
        <v/>
      </c>
      <c r="GY29" s="128">
        <f>EDATE(InceptionDate,202)</f>
        <v/>
      </c>
      <c r="GZ29" s="128">
        <f>EDATE(InceptionDate,203)</f>
        <v/>
      </c>
      <c r="HA29" s="128">
        <f>EDATE(InceptionDate,204)</f>
        <v/>
      </c>
      <c r="HB29" s="128">
        <f>EDATE(InceptionDate,205)</f>
        <v/>
      </c>
      <c r="HC29" s="128">
        <f>EDATE(InceptionDate,206)</f>
        <v/>
      </c>
      <c r="HD29" s="128">
        <f>EDATE(InceptionDate,207)</f>
        <v/>
      </c>
      <c r="HE29" s="128">
        <f>EDATE(InceptionDate,208)</f>
        <v/>
      </c>
      <c r="HF29" s="128">
        <f>EDATE(InceptionDate,209)</f>
        <v/>
      </c>
      <c r="HG29" s="128">
        <f>EDATE(InceptionDate,210)</f>
        <v/>
      </c>
      <c r="HH29" s="128">
        <f>EDATE(InceptionDate,211)</f>
        <v/>
      </c>
      <c r="HI29" s="128">
        <f>EDATE(InceptionDate,212)</f>
        <v/>
      </c>
      <c r="HJ29" s="128">
        <f>EDATE(InceptionDate,213)</f>
        <v/>
      </c>
      <c r="HK29" s="128">
        <f>EDATE(InceptionDate,214)</f>
        <v/>
      </c>
      <c r="HL29" s="128">
        <f>EDATE(InceptionDate,215)</f>
        <v/>
      </c>
      <c r="HM29" s="128">
        <f>EDATE(InceptionDate,216)</f>
        <v/>
      </c>
      <c r="HN29" s="128">
        <f>EDATE(InceptionDate,217)</f>
        <v/>
      </c>
      <c r="HO29" s="128">
        <f>EDATE(InceptionDate,218)</f>
        <v/>
      </c>
      <c r="HP29" s="128">
        <f>EDATE(InceptionDate,219)</f>
        <v/>
      </c>
      <c r="HQ29" s="128">
        <f>EDATE(InceptionDate,220)</f>
        <v/>
      </c>
      <c r="HR29" s="128">
        <f>EDATE(InceptionDate,221)</f>
        <v/>
      </c>
      <c r="HS29" s="128">
        <f>EDATE(InceptionDate,222)</f>
        <v/>
      </c>
      <c r="HT29" s="128">
        <f>EDATE(InceptionDate,223)</f>
        <v/>
      </c>
      <c r="HU29" s="128">
        <f>EDATE(InceptionDate,224)</f>
        <v/>
      </c>
      <c r="HV29" s="128">
        <f>EDATE(InceptionDate,225)</f>
        <v/>
      </c>
      <c r="HW29" s="128">
        <f>EDATE(InceptionDate,226)</f>
        <v/>
      </c>
      <c r="HX29" s="128">
        <f>EDATE(InceptionDate,227)</f>
        <v/>
      </c>
      <c r="HY29" s="128">
        <f>EDATE(InceptionDate,228)</f>
        <v/>
      </c>
      <c r="HZ29" s="128">
        <f>EDATE(InceptionDate,229)</f>
        <v/>
      </c>
      <c r="IA29" s="128">
        <f>EDATE(InceptionDate,230)</f>
        <v/>
      </c>
      <c r="IB29" s="128">
        <f>EDATE(InceptionDate,231)</f>
        <v/>
      </c>
      <c r="IC29" s="128">
        <f>EDATE(InceptionDate,232)</f>
        <v/>
      </c>
      <c r="ID29" s="128">
        <f>EDATE(InceptionDate,233)</f>
        <v/>
      </c>
      <c r="IE29" s="128">
        <f>EDATE(InceptionDate,234)</f>
        <v/>
      </c>
      <c r="IF29" s="128">
        <f>EDATE(InceptionDate,235)</f>
        <v/>
      </c>
      <c r="IG29" s="128">
        <f>EDATE(InceptionDate,236)</f>
        <v/>
      </c>
      <c r="IH29" s="128">
        <f>EDATE(InceptionDate,237)</f>
        <v/>
      </c>
      <c r="II29" s="128">
        <f>EDATE(InceptionDate,238)</f>
        <v/>
      </c>
      <c r="IJ29" s="128">
        <f>EDATE(InceptionDate,239)</f>
        <v/>
      </c>
      <c r="IK29" s="128">
        <f>EDATE(InceptionDate,240)</f>
        <v/>
      </c>
      <c r="IL29" s="128">
        <f>EDATE(InceptionDate,241)</f>
        <v/>
      </c>
      <c r="IM29" s="128">
        <f>EDATE(InceptionDate,242)</f>
        <v/>
      </c>
      <c r="IN29" s="128">
        <f>EDATE(InceptionDate,243)</f>
        <v/>
      </c>
      <c r="IO29" s="128">
        <f>EDATE(InceptionDate,244)</f>
        <v/>
      </c>
      <c r="IP29" s="128">
        <f>EDATE(InceptionDate,245)</f>
        <v/>
      </c>
      <c r="IQ29" s="128">
        <f>EDATE(InceptionDate,246)</f>
        <v/>
      </c>
      <c r="IR29" s="128">
        <f>EDATE(InceptionDate,247)</f>
        <v/>
      </c>
      <c r="IS29" s="128">
        <f>EDATE(InceptionDate,248)</f>
        <v/>
      </c>
      <c r="IT29" s="128">
        <f>EDATE(InceptionDate,249)</f>
        <v/>
      </c>
      <c r="IU29" s="128">
        <f>EDATE(InceptionDate,250)</f>
        <v/>
      </c>
      <c r="IV29" s="128">
        <f>EDATE(InceptionDate,251)</f>
        <v/>
      </c>
      <c r="IW29" s="128">
        <f>EDATE(InceptionDate,252)</f>
        <v/>
      </c>
      <c r="IX29" s="128">
        <f>EDATE(InceptionDate,253)</f>
        <v/>
      </c>
      <c r="IY29" s="128">
        <f>EDATE(InceptionDate,254)</f>
        <v/>
      </c>
      <c r="IZ29" s="128">
        <f>EDATE(InceptionDate,255)</f>
        <v/>
      </c>
      <c r="JA29" s="128">
        <f>EDATE(InceptionDate,256)</f>
        <v/>
      </c>
      <c r="JB29" s="128">
        <f>EDATE(InceptionDate,257)</f>
        <v/>
      </c>
      <c r="JC29" s="128">
        <f>EDATE(InceptionDate,258)</f>
        <v/>
      </c>
      <c r="JD29" s="128">
        <f>EDATE(InceptionDate,259)</f>
        <v/>
      </c>
      <c r="JE29" s="128">
        <f>EDATE(InceptionDate,260)</f>
        <v/>
      </c>
      <c r="JF29" s="128">
        <f>EDATE(InceptionDate,261)</f>
        <v/>
      </c>
      <c r="JG29" s="128">
        <f>EDATE(InceptionDate,262)</f>
        <v/>
      </c>
      <c r="JH29" s="128">
        <f>EDATE(InceptionDate,263)</f>
        <v/>
      </c>
      <c r="JI29" s="128">
        <f>EDATE(InceptionDate,264)</f>
        <v/>
      </c>
      <c r="JJ29" s="128">
        <f>EDATE(InceptionDate,265)</f>
        <v/>
      </c>
      <c r="JK29" s="128">
        <f>EDATE(InceptionDate,266)</f>
        <v/>
      </c>
      <c r="JL29" s="128">
        <f>EDATE(InceptionDate,267)</f>
        <v/>
      </c>
      <c r="JM29" s="128">
        <f>EDATE(InceptionDate,268)</f>
        <v/>
      </c>
      <c r="JN29" s="128">
        <f>EDATE(InceptionDate,269)</f>
        <v/>
      </c>
      <c r="JO29" s="128">
        <f>EDATE(InceptionDate,270)</f>
        <v/>
      </c>
      <c r="JP29" s="128">
        <f>EDATE(InceptionDate,271)</f>
        <v/>
      </c>
      <c r="JQ29" s="128">
        <f>EDATE(InceptionDate,272)</f>
        <v/>
      </c>
      <c r="JR29" s="128">
        <f>EDATE(InceptionDate,273)</f>
        <v/>
      </c>
      <c r="JS29" s="128">
        <f>EDATE(InceptionDate,274)</f>
        <v/>
      </c>
      <c r="JT29" s="128">
        <f>EDATE(InceptionDate,275)</f>
        <v/>
      </c>
      <c r="JU29" s="128">
        <f>EDATE(InceptionDate,276)</f>
        <v/>
      </c>
      <c r="JV29" s="128">
        <f>EDATE(InceptionDate,277)</f>
        <v/>
      </c>
      <c r="JW29" s="128">
        <f>EDATE(InceptionDate,278)</f>
        <v/>
      </c>
      <c r="JX29" s="128">
        <f>EDATE(InceptionDate,279)</f>
        <v/>
      </c>
      <c r="JY29" s="128">
        <f>EDATE(InceptionDate,280)</f>
        <v/>
      </c>
      <c r="JZ29" s="128">
        <f>EDATE(InceptionDate,281)</f>
        <v/>
      </c>
      <c r="KA29" s="128">
        <f>EDATE(InceptionDate,282)</f>
        <v/>
      </c>
      <c r="KB29" s="128">
        <f>EDATE(InceptionDate,283)</f>
        <v/>
      </c>
      <c r="KC29" s="128">
        <f>EDATE(InceptionDate,284)</f>
        <v/>
      </c>
      <c r="KD29" s="128">
        <f>EDATE(InceptionDate,285)</f>
        <v/>
      </c>
      <c r="KE29" s="128">
        <f>EDATE(InceptionDate,286)</f>
        <v/>
      </c>
      <c r="KF29" s="128">
        <f>EDATE(InceptionDate,287)</f>
        <v/>
      </c>
      <c r="KG29" s="128">
        <f>EDATE(InceptionDate,288)</f>
        <v/>
      </c>
      <c r="KH29" s="128">
        <f>EDATE(InceptionDate,289)</f>
        <v/>
      </c>
      <c r="KI29" s="128">
        <f>EDATE(InceptionDate,290)</f>
        <v/>
      </c>
      <c r="KJ29" s="128">
        <f>EDATE(InceptionDate,291)</f>
        <v/>
      </c>
      <c r="KK29" s="128">
        <f>EDATE(InceptionDate,292)</f>
        <v/>
      </c>
      <c r="KL29" s="128">
        <f>EDATE(InceptionDate,293)</f>
        <v/>
      </c>
      <c r="KM29" s="128">
        <f>EDATE(InceptionDate,294)</f>
        <v/>
      </c>
      <c r="KN29" s="128">
        <f>EDATE(InceptionDate,295)</f>
        <v/>
      </c>
      <c r="KO29" s="128">
        <f>EDATE(InceptionDate,296)</f>
        <v/>
      </c>
      <c r="KP29" s="128">
        <f>EDATE(InceptionDate,297)</f>
        <v/>
      </c>
      <c r="KQ29" s="128">
        <f>EDATE(InceptionDate,298)</f>
        <v/>
      </c>
      <c r="KR29" s="128">
        <f>EDATE(InceptionDate,299)</f>
        <v/>
      </c>
      <c r="KS29" s="128">
        <f>EDATE(InceptionDate,300)</f>
        <v/>
      </c>
      <c r="KT29" s="128">
        <f>EDATE(InceptionDate,301)</f>
        <v/>
      </c>
      <c r="KU29" s="128">
        <f>EDATE(InceptionDate,302)</f>
        <v/>
      </c>
      <c r="KV29" s="128">
        <f>EDATE(InceptionDate,303)</f>
        <v/>
      </c>
      <c r="KW29" s="128">
        <f>EDATE(InceptionDate,304)</f>
        <v/>
      </c>
      <c r="KX29" s="128">
        <f>EDATE(InceptionDate,305)</f>
        <v/>
      </c>
      <c r="KY29" s="128">
        <f>EDATE(InceptionDate,306)</f>
        <v/>
      </c>
      <c r="KZ29" s="128">
        <f>EDATE(InceptionDate,307)</f>
        <v/>
      </c>
      <c r="LA29" s="128">
        <f>EDATE(InceptionDate,308)</f>
        <v/>
      </c>
      <c r="LB29" s="128">
        <f>EDATE(InceptionDate,309)</f>
        <v/>
      </c>
      <c r="LC29" s="128">
        <f>EDATE(InceptionDate,310)</f>
        <v/>
      </c>
      <c r="LD29" s="128">
        <f>EDATE(InceptionDate,311)</f>
        <v/>
      </c>
      <c r="LE29" s="128">
        <f>EDATE(InceptionDate,312)</f>
        <v/>
      </c>
      <c r="LF29" s="128">
        <f>EDATE(InceptionDate,313)</f>
        <v/>
      </c>
      <c r="LG29" s="128">
        <f>EDATE(InceptionDate,314)</f>
        <v/>
      </c>
      <c r="LH29" s="128">
        <f>EDATE(InceptionDate,315)</f>
        <v/>
      </c>
      <c r="LI29" s="128">
        <f>EDATE(InceptionDate,316)</f>
        <v/>
      </c>
      <c r="LJ29" s="128">
        <f>EDATE(InceptionDate,317)</f>
        <v/>
      </c>
      <c r="LK29" s="128">
        <f>EDATE(InceptionDate,318)</f>
        <v/>
      </c>
      <c r="LL29" s="128">
        <f>EDATE(InceptionDate,319)</f>
        <v/>
      </c>
      <c r="LM29" s="128">
        <f>EDATE(InceptionDate,320)</f>
        <v/>
      </c>
      <c r="LN29" s="128">
        <f>EDATE(InceptionDate,321)</f>
        <v/>
      </c>
      <c r="LO29" s="128">
        <f>EDATE(InceptionDate,322)</f>
        <v/>
      </c>
      <c r="LP29" s="128">
        <f>EDATE(InceptionDate,323)</f>
        <v/>
      </c>
      <c r="LQ29" s="128">
        <f>EDATE(InceptionDate,324)</f>
        <v/>
      </c>
      <c r="LR29" s="128">
        <f>EDATE(InceptionDate,325)</f>
        <v/>
      </c>
      <c r="LS29" s="128">
        <f>EDATE(InceptionDate,326)</f>
        <v/>
      </c>
      <c r="LT29" s="128">
        <f>EDATE(InceptionDate,327)</f>
        <v/>
      </c>
      <c r="LU29" s="128">
        <f>EDATE(InceptionDate,328)</f>
        <v/>
      </c>
      <c r="LV29" s="128">
        <f>EDATE(InceptionDate,329)</f>
        <v/>
      </c>
      <c r="LW29" s="128">
        <f>EDATE(InceptionDate,330)</f>
        <v/>
      </c>
      <c r="LX29" s="128">
        <f>EDATE(InceptionDate,331)</f>
        <v/>
      </c>
      <c r="LY29" s="128">
        <f>EDATE(InceptionDate,332)</f>
        <v/>
      </c>
      <c r="LZ29" s="128">
        <f>EDATE(InceptionDate,333)</f>
        <v/>
      </c>
      <c r="MA29" s="128">
        <f>EDATE(InceptionDate,334)</f>
        <v/>
      </c>
      <c r="MB29" s="128">
        <f>EDATE(InceptionDate,335)</f>
        <v/>
      </c>
      <c r="MC29" s="128">
        <f>EDATE(InceptionDate,336)</f>
        <v/>
      </c>
      <c r="MD29" s="128">
        <f>EDATE(InceptionDate,337)</f>
        <v/>
      </c>
      <c r="ME29" s="128">
        <f>EDATE(InceptionDate,338)</f>
        <v/>
      </c>
      <c r="MF29" s="128">
        <f>EDATE(InceptionDate,339)</f>
        <v/>
      </c>
      <c r="MG29" s="128">
        <f>EDATE(InceptionDate,340)</f>
        <v/>
      </c>
      <c r="MH29" s="128">
        <f>EDATE(InceptionDate,341)</f>
        <v/>
      </c>
      <c r="MI29" s="128">
        <f>EDATE(InceptionDate,342)</f>
        <v/>
      </c>
      <c r="MJ29" s="128">
        <f>EDATE(InceptionDate,343)</f>
        <v/>
      </c>
      <c r="MK29" s="128">
        <f>EDATE(InceptionDate,344)</f>
        <v/>
      </c>
      <c r="ML29" s="128">
        <f>EDATE(InceptionDate,345)</f>
        <v/>
      </c>
      <c r="MM29" s="128">
        <f>EDATE(InceptionDate,346)</f>
        <v/>
      </c>
      <c r="MN29" s="128">
        <f>EDATE(InceptionDate,347)</f>
        <v/>
      </c>
      <c r="MO29" s="128">
        <f>EDATE(InceptionDate,348)</f>
        <v/>
      </c>
      <c r="MP29" s="128">
        <f>EDATE(InceptionDate,349)</f>
        <v/>
      </c>
      <c r="MQ29" s="128">
        <f>EDATE(InceptionDate,350)</f>
        <v/>
      </c>
      <c r="MR29" s="128">
        <f>EDATE(InceptionDate,351)</f>
        <v/>
      </c>
      <c r="MS29" s="128">
        <f>EDATE(InceptionDate,352)</f>
        <v/>
      </c>
      <c r="MT29" s="128">
        <f>EDATE(InceptionDate,353)</f>
        <v/>
      </c>
      <c r="MU29" s="128">
        <f>EDATE(InceptionDate,354)</f>
        <v/>
      </c>
      <c r="MV29" s="128">
        <f>EDATE(InceptionDate,355)</f>
        <v/>
      </c>
      <c r="MW29" s="128">
        <f>EDATE(InceptionDate,356)</f>
        <v/>
      </c>
      <c r="MX29" s="128">
        <f>EDATE(InceptionDate,357)</f>
        <v/>
      </c>
      <c r="MY29" s="128">
        <f>EDATE(InceptionDate,358)</f>
        <v/>
      </c>
      <c r="MZ29" s="128">
        <f>EDATE(InceptionDate,359)</f>
        <v/>
      </c>
      <c r="NA29" s="128">
        <f>EDATE(InceptionDate,360)</f>
        <v/>
      </c>
      <c r="NB29" s="128">
        <f>EDATE(InceptionDate,361)</f>
        <v/>
      </c>
      <c r="NC29" s="128">
        <f>EDATE(InceptionDate,362)</f>
        <v/>
      </c>
      <c r="ND29" s="128">
        <f>EDATE(InceptionDate,363)</f>
        <v/>
      </c>
      <c r="NE29" s="128">
        <f>EDATE(InceptionDate,364)</f>
        <v/>
      </c>
      <c r="NF29" s="128">
        <f>EDATE(InceptionDate,365)</f>
        <v/>
      </c>
      <c r="NG29" s="128">
        <f>EDATE(InceptionDate,366)</f>
        <v/>
      </c>
      <c r="NH29" s="128">
        <f>EDATE(InceptionDate,367)</f>
        <v/>
      </c>
      <c r="NI29" s="128">
        <f>EDATE(InceptionDate,368)</f>
        <v/>
      </c>
      <c r="NJ29" s="128">
        <f>EDATE(InceptionDate,369)</f>
        <v/>
      </c>
      <c r="NK29" s="128">
        <f>EDATE(InceptionDate,370)</f>
        <v/>
      </c>
      <c r="NL29" s="128">
        <f>EDATE(InceptionDate,371)</f>
        <v/>
      </c>
    </row>
    <row r="30">
      <c r="B30" s="36" t="inlineStr">
        <is>
          <t>Flag: Open Escrow</t>
        </is>
      </c>
      <c r="D30" s="124" t="n"/>
      <c r="E30" s="85">
        <f>IF(AND(1&gt;=$C$4,1&lt;=$E$4),1,0)</f>
        <v/>
      </c>
      <c r="F30" s="85">
        <f>IF(AND(2&gt;=$C$4,2&lt;=$E$4),1,0)</f>
        <v/>
      </c>
      <c r="G30" s="85">
        <f>IF(AND(3&gt;=$C$4,3&lt;=$E$4),1,0)</f>
        <v/>
      </c>
      <c r="H30" s="85">
        <f>IF(AND(4&gt;=$C$4,4&lt;=$E$4),1,0)</f>
        <v/>
      </c>
      <c r="I30" s="85">
        <f>IF(AND(5&gt;=$C$4,5&lt;=$E$4),1,0)</f>
        <v/>
      </c>
      <c r="J30" s="85">
        <f>IF(AND(6&gt;=$C$4,6&lt;=$E$4),1,0)</f>
        <v/>
      </c>
      <c r="K30" s="85">
        <f>IF(AND(7&gt;=$C$4,7&lt;=$E$4),1,0)</f>
        <v/>
      </c>
      <c r="L30" s="85">
        <f>IF(AND(8&gt;=$C$4,8&lt;=$E$4),1,0)</f>
        <v/>
      </c>
      <c r="M30" s="85">
        <f>IF(AND(9&gt;=$C$4,9&lt;=$E$4),1,0)</f>
        <v/>
      </c>
      <c r="N30" s="85">
        <f>IF(AND(10&gt;=$C$4,10&lt;=$E$4),1,0)</f>
        <v/>
      </c>
      <c r="O30" s="85">
        <f>IF(AND(11&gt;=$C$4,11&lt;=$E$4),1,0)</f>
        <v/>
      </c>
      <c r="P30" s="85">
        <f>IF(AND(12&gt;=$C$4,12&lt;=$E$4),1,0)</f>
        <v/>
      </c>
      <c r="Q30" s="85">
        <f>IF(AND(13&gt;=$C$4,13&lt;=$E$4),1,0)</f>
        <v/>
      </c>
      <c r="R30" s="85">
        <f>IF(AND(14&gt;=$C$4,14&lt;=$E$4),1,0)</f>
        <v/>
      </c>
      <c r="S30" s="85">
        <f>IF(AND(15&gt;=$C$4,15&lt;=$E$4),1,0)</f>
        <v/>
      </c>
      <c r="T30" s="85">
        <f>IF(AND(16&gt;=$C$4,16&lt;=$E$4),1,0)</f>
        <v/>
      </c>
      <c r="U30" s="85">
        <f>IF(AND(17&gt;=$C$4,17&lt;=$E$4),1,0)</f>
        <v/>
      </c>
      <c r="V30" s="85">
        <f>IF(AND(18&gt;=$C$4,18&lt;=$E$4),1,0)</f>
        <v/>
      </c>
      <c r="W30" s="85">
        <f>IF(AND(19&gt;=$C$4,19&lt;=$E$4),1,0)</f>
        <v/>
      </c>
      <c r="X30" s="85">
        <f>IF(AND(20&gt;=$C$4,20&lt;=$E$4),1,0)</f>
        <v/>
      </c>
      <c r="Y30" s="85">
        <f>IF(AND(21&gt;=$C$4,21&lt;=$E$4),1,0)</f>
        <v/>
      </c>
      <c r="Z30" s="85">
        <f>IF(AND(22&gt;=$C$4,22&lt;=$E$4),1,0)</f>
        <v/>
      </c>
      <c r="AA30" s="85">
        <f>IF(AND(23&gt;=$C$4,23&lt;=$E$4),1,0)</f>
        <v/>
      </c>
      <c r="AB30" s="85">
        <f>IF(AND(24&gt;=$C$4,24&lt;=$E$4),1,0)</f>
        <v/>
      </c>
      <c r="AC30" s="85">
        <f>IF(AND(25&gt;=$C$4,25&lt;=$E$4),1,0)</f>
        <v/>
      </c>
      <c r="AD30" s="85">
        <f>IF(AND(26&gt;=$C$4,26&lt;=$E$4),1,0)</f>
        <v/>
      </c>
      <c r="AE30" s="85">
        <f>IF(AND(27&gt;=$C$4,27&lt;=$E$4),1,0)</f>
        <v/>
      </c>
      <c r="AF30" s="85">
        <f>IF(AND(28&gt;=$C$4,28&lt;=$E$4),1,0)</f>
        <v/>
      </c>
      <c r="AG30" s="85">
        <f>IF(AND(29&gt;=$C$4,29&lt;=$E$4),1,0)</f>
        <v/>
      </c>
      <c r="AH30" s="85">
        <f>IF(AND(30&gt;=$C$4,30&lt;=$E$4),1,0)</f>
        <v/>
      </c>
      <c r="AI30" s="85">
        <f>IF(AND(31&gt;=$C$4,31&lt;=$E$4),1,0)</f>
        <v/>
      </c>
      <c r="AJ30" s="85">
        <f>IF(AND(32&gt;=$C$4,32&lt;=$E$4),1,0)</f>
        <v/>
      </c>
      <c r="AK30" s="85">
        <f>IF(AND(33&gt;=$C$4,33&lt;=$E$4),1,0)</f>
        <v/>
      </c>
      <c r="AL30" s="85">
        <f>IF(AND(34&gt;=$C$4,34&lt;=$E$4),1,0)</f>
        <v/>
      </c>
      <c r="AM30" s="85">
        <f>IF(AND(35&gt;=$C$4,35&lt;=$E$4),1,0)</f>
        <v/>
      </c>
      <c r="AN30" s="85">
        <f>IF(AND(36&gt;=$C$4,36&lt;=$E$4),1,0)</f>
        <v/>
      </c>
      <c r="AO30" s="85">
        <f>IF(AND(37&gt;=$C$4,37&lt;=$E$4),1,0)</f>
        <v/>
      </c>
      <c r="AP30" s="85">
        <f>IF(AND(38&gt;=$C$4,38&lt;=$E$4),1,0)</f>
        <v/>
      </c>
      <c r="AQ30" s="85">
        <f>IF(AND(39&gt;=$C$4,39&lt;=$E$4),1,0)</f>
        <v/>
      </c>
      <c r="AR30" s="85">
        <f>IF(AND(40&gt;=$C$4,40&lt;=$E$4),1,0)</f>
        <v/>
      </c>
      <c r="AS30" s="85">
        <f>IF(AND(41&gt;=$C$4,41&lt;=$E$4),1,0)</f>
        <v/>
      </c>
      <c r="AT30" s="85">
        <f>IF(AND(42&gt;=$C$4,42&lt;=$E$4),1,0)</f>
        <v/>
      </c>
      <c r="AU30" s="85">
        <f>IF(AND(43&gt;=$C$4,43&lt;=$E$4),1,0)</f>
        <v/>
      </c>
      <c r="AV30" s="85">
        <f>IF(AND(44&gt;=$C$4,44&lt;=$E$4),1,0)</f>
        <v/>
      </c>
      <c r="AW30" s="85">
        <f>IF(AND(45&gt;=$C$4,45&lt;=$E$4),1,0)</f>
        <v/>
      </c>
      <c r="AX30" s="85">
        <f>IF(AND(46&gt;=$C$4,46&lt;=$E$4),1,0)</f>
        <v/>
      </c>
      <c r="AY30" s="85">
        <f>IF(AND(47&gt;=$C$4,47&lt;=$E$4),1,0)</f>
        <v/>
      </c>
      <c r="AZ30" s="85">
        <f>IF(AND(48&gt;=$C$4,48&lt;=$E$4),1,0)</f>
        <v/>
      </c>
      <c r="BA30" s="85">
        <f>IF(AND(49&gt;=$C$4,49&lt;=$E$4),1,0)</f>
        <v/>
      </c>
      <c r="BB30" s="85">
        <f>IF(AND(50&gt;=$C$4,50&lt;=$E$4),1,0)</f>
        <v/>
      </c>
      <c r="BC30" s="85">
        <f>IF(AND(51&gt;=$C$4,51&lt;=$E$4),1,0)</f>
        <v/>
      </c>
      <c r="BD30" s="85">
        <f>IF(AND(52&gt;=$C$4,52&lt;=$E$4),1,0)</f>
        <v/>
      </c>
      <c r="BE30" s="85">
        <f>IF(AND(53&gt;=$C$4,53&lt;=$E$4),1,0)</f>
        <v/>
      </c>
      <c r="BF30" s="85">
        <f>IF(AND(54&gt;=$C$4,54&lt;=$E$4),1,0)</f>
        <v/>
      </c>
      <c r="BG30" s="85">
        <f>IF(AND(55&gt;=$C$4,55&lt;=$E$4),1,0)</f>
        <v/>
      </c>
      <c r="BH30" s="85">
        <f>IF(AND(56&gt;=$C$4,56&lt;=$E$4),1,0)</f>
        <v/>
      </c>
      <c r="BI30" s="85">
        <f>IF(AND(57&gt;=$C$4,57&lt;=$E$4),1,0)</f>
        <v/>
      </c>
      <c r="BJ30" s="85">
        <f>IF(AND(58&gt;=$C$4,58&lt;=$E$4),1,0)</f>
        <v/>
      </c>
      <c r="BK30" s="85">
        <f>IF(AND(59&gt;=$C$4,59&lt;=$E$4),1,0)</f>
        <v/>
      </c>
      <c r="BL30" s="85">
        <f>IF(AND(60&gt;=$C$4,60&lt;=$E$4),1,0)</f>
        <v/>
      </c>
      <c r="BM30" s="85">
        <f>IF(AND(61&gt;=$C$4,61&lt;=$E$4),1,0)</f>
        <v/>
      </c>
      <c r="BN30" s="85">
        <f>IF(AND(62&gt;=$C$4,62&lt;=$E$4),1,0)</f>
        <v/>
      </c>
      <c r="BO30" s="85">
        <f>IF(AND(63&gt;=$C$4,63&lt;=$E$4),1,0)</f>
        <v/>
      </c>
      <c r="BP30" s="85">
        <f>IF(AND(64&gt;=$C$4,64&lt;=$E$4),1,0)</f>
        <v/>
      </c>
      <c r="BQ30" s="85">
        <f>IF(AND(65&gt;=$C$4,65&lt;=$E$4),1,0)</f>
        <v/>
      </c>
      <c r="BR30" s="85">
        <f>IF(AND(66&gt;=$C$4,66&lt;=$E$4),1,0)</f>
        <v/>
      </c>
      <c r="BS30" s="85">
        <f>IF(AND(67&gt;=$C$4,67&lt;=$E$4),1,0)</f>
        <v/>
      </c>
      <c r="BT30" s="85">
        <f>IF(AND(68&gt;=$C$4,68&lt;=$E$4),1,0)</f>
        <v/>
      </c>
      <c r="BU30" s="85">
        <f>IF(AND(69&gt;=$C$4,69&lt;=$E$4),1,0)</f>
        <v/>
      </c>
      <c r="BV30" s="85">
        <f>IF(AND(70&gt;=$C$4,70&lt;=$E$4),1,0)</f>
        <v/>
      </c>
      <c r="BW30" s="85">
        <f>IF(AND(71&gt;=$C$4,71&lt;=$E$4),1,0)</f>
        <v/>
      </c>
      <c r="BX30" s="85">
        <f>IF(AND(72&gt;=$C$4,72&lt;=$E$4),1,0)</f>
        <v/>
      </c>
      <c r="BY30" s="85">
        <f>IF(AND(73&gt;=$C$4,73&lt;=$E$4),1,0)</f>
        <v/>
      </c>
      <c r="BZ30" s="85">
        <f>IF(AND(74&gt;=$C$4,74&lt;=$E$4),1,0)</f>
        <v/>
      </c>
      <c r="CA30" s="85">
        <f>IF(AND(75&gt;=$C$4,75&lt;=$E$4),1,0)</f>
        <v/>
      </c>
      <c r="CB30" s="85">
        <f>IF(AND(76&gt;=$C$4,76&lt;=$E$4),1,0)</f>
        <v/>
      </c>
      <c r="CC30" s="85">
        <f>IF(AND(77&gt;=$C$4,77&lt;=$E$4),1,0)</f>
        <v/>
      </c>
      <c r="CD30" s="85">
        <f>IF(AND(78&gt;=$C$4,78&lt;=$E$4),1,0)</f>
        <v/>
      </c>
      <c r="CE30" s="85">
        <f>IF(AND(79&gt;=$C$4,79&lt;=$E$4),1,0)</f>
        <v/>
      </c>
      <c r="CF30" s="85">
        <f>IF(AND(80&gt;=$C$4,80&lt;=$E$4),1,0)</f>
        <v/>
      </c>
      <c r="CG30" s="85">
        <f>IF(AND(81&gt;=$C$4,81&lt;=$E$4),1,0)</f>
        <v/>
      </c>
      <c r="CH30" s="85">
        <f>IF(AND(82&gt;=$C$4,82&lt;=$E$4),1,0)</f>
        <v/>
      </c>
      <c r="CI30" s="85">
        <f>IF(AND(83&gt;=$C$4,83&lt;=$E$4),1,0)</f>
        <v/>
      </c>
      <c r="CJ30" s="85">
        <f>IF(AND(84&gt;=$C$4,84&lt;=$E$4),1,0)</f>
        <v/>
      </c>
      <c r="CK30" s="85">
        <f>IF(AND(85&gt;=$C$4,85&lt;=$E$4),1,0)</f>
        <v/>
      </c>
      <c r="CL30" s="85">
        <f>IF(AND(86&gt;=$C$4,86&lt;=$E$4),1,0)</f>
        <v/>
      </c>
      <c r="CM30" s="85">
        <f>IF(AND(87&gt;=$C$4,87&lt;=$E$4),1,0)</f>
        <v/>
      </c>
      <c r="CN30" s="85">
        <f>IF(AND(88&gt;=$C$4,88&lt;=$E$4),1,0)</f>
        <v/>
      </c>
      <c r="CO30" s="85">
        <f>IF(AND(89&gt;=$C$4,89&lt;=$E$4),1,0)</f>
        <v/>
      </c>
      <c r="CP30" s="85">
        <f>IF(AND(90&gt;=$C$4,90&lt;=$E$4),1,0)</f>
        <v/>
      </c>
      <c r="CQ30" s="85">
        <f>IF(AND(91&gt;=$C$4,91&lt;=$E$4),1,0)</f>
        <v/>
      </c>
      <c r="CR30" s="85">
        <f>IF(AND(92&gt;=$C$4,92&lt;=$E$4),1,0)</f>
        <v/>
      </c>
      <c r="CS30" s="85">
        <f>IF(AND(93&gt;=$C$4,93&lt;=$E$4),1,0)</f>
        <v/>
      </c>
      <c r="CT30" s="85">
        <f>IF(AND(94&gt;=$C$4,94&lt;=$E$4),1,0)</f>
        <v/>
      </c>
      <c r="CU30" s="85">
        <f>IF(AND(95&gt;=$C$4,95&lt;=$E$4),1,0)</f>
        <v/>
      </c>
      <c r="CV30" s="85">
        <f>IF(AND(96&gt;=$C$4,96&lt;=$E$4),1,0)</f>
        <v/>
      </c>
      <c r="CW30" s="85">
        <f>IF(AND(97&gt;=$C$4,97&lt;=$E$4),1,0)</f>
        <v/>
      </c>
      <c r="CX30" s="85">
        <f>IF(AND(98&gt;=$C$4,98&lt;=$E$4),1,0)</f>
        <v/>
      </c>
      <c r="CY30" s="85">
        <f>IF(AND(99&gt;=$C$4,99&lt;=$E$4),1,0)</f>
        <v/>
      </c>
      <c r="CZ30" s="85">
        <f>IF(AND(100&gt;=$C$4,100&lt;=$E$4),1,0)</f>
        <v/>
      </c>
      <c r="DA30" s="85">
        <f>IF(AND(101&gt;=$C$4,101&lt;=$E$4),1,0)</f>
        <v/>
      </c>
      <c r="DB30" s="85">
        <f>IF(AND(102&gt;=$C$4,102&lt;=$E$4),1,0)</f>
        <v/>
      </c>
      <c r="DC30" s="85">
        <f>IF(AND(103&gt;=$C$4,103&lt;=$E$4),1,0)</f>
        <v/>
      </c>
      <c r="DD30" s="85">
        <f>IF(AND(104&gt;=$C$4,104&lt;=$E$4),1,0)</f>
        <v/>
      </c>
      <c r="DE30" s="85">
        <f>IF(AND(105&gt;=$C$4,105&lt;=$E$4),1,0)</f>
        <v/>
      </c>
      <c r="DF30" s="85">
        <f>IF(AND(106&gt;=$C$4,106&lt;=$E$4),1,0)</f>
        <v/>
      </c>
      <c r="DG30" s="85">
        <f>IF(AND(107&gt;=$C$4,107&lt;=$E$4),1,0)</f>
        <v/>
      </c>
      <c r="DH30" s="85">
        <f>IF(AND(108&gt;=$C$4,108&lt;=$E$4),1,0)</f>
        <v/>
      </c>
      <c r="DI30" s="85">
        <f>IF(AND(109&gt;=$C$4,109&lt;=$E$4),1,0)</f>
        <v/>
      </c>
      <c r="DJ30" s="85">
        <f>IF(AND(110&gt;=$C$4,110&lt;=$E$4),1,0)</f>
        <v/>
      </c>
      <c r="DK30" s="85">
        <f>IF(AND(111&gt;=$C$4,111&lt;=$E$4),1,0)</f>
        <v/>
      </c>
      <c r="DL30" s="85">
        <f>IF(AND(112&gt;=$C$4,112&lt;=$E$4),1,0)</f>
        <v/>
      </c>
      <c r="DM30" s="85">
        <f>IF(AND(113&gt;=$C$4,113&lt;=$E$4),1,0)</f>
        <v/>
      </c>
      <c r="DN30" s="85">
        <f>IF(AND(114&gt;=$C$4,114&lt;=$E$4),1,0)</f>
        <v/>
      </c>
      <c r="DO30" s="85">
        <f>IF(AND(115&gt;=$C$4,115&lt;=$E$4),1,0)</f>
        <v/>
      </c>
      <c r="DP30" s="85">
        <f>IF(AND(116&gt;=$C$4,116&lt;=$E$4),1,0)</f>
        <v/>
      </c>
      <c r="DQ30" s="85">
        <f>IF(AND(117&gt;=$C$4,117&lt;=$E$4),1,0)</f>
        <v/>
      </c>
      <c r="DR30" s="85">
        <f>IF(AND(118&gt;=$C$4,118&lt;=$E$4),1,0)</f>
        <v/>
      </c>
      <c r="DS30" s="85">
        <f>IF(AND(119&gt;=$C$4,119&lt;=$E$4),1,0)</f>
        <v/>
      </c>
      <c r="DT30" s="85">
        <f>IF(AND(120&gt;=$C$4,120&lt;=$E$4),1,0)</f>
        <v/>
      </c>
      <c r="DU30" s="85">
        <f>IF(AND(121&gt;=$C$4,121&lt;=$E$4),1,0)</f>
        <v/>
      </c>
      <c r="DV30" s="85">
        <f>IF(AND(122&gt;=$C$4,122&lt;=$E$4),1,0)</f>
        <v/>
      </c>
      <c r="DW30" s="85">
        <f>IF(AND(123&gt;=$C$4,123&lt;=$E$4),1,0)</f>
        <v/>
      </c>
      <c r="DX30" s="85">
        <f>IF(AND(124&gt;=$C$4,124&lt;=$E$4),1,0)</f>
        <v/>
      </c>
      <c r="DY30" s="85">
        <f>IF(AND(125&gt;=$C$4,125&lt;=$E$4),1,0)</f>
        <v/>
      </c>
      <c r="DZ30" s="85">
        <f>IF(AND(126&gt;=$C$4,126&lt;=$E$4),1,0)</f>
        <v/>
      </c>
      <c r="EA30" s="85">
        <f>IF(AND(127&gt;=$C$4,127&lt;=$E$4),1,0)</f>
        <v/>
      </c>
      <c r="EB30" s="85">
        <f>IF(AND(128&gt;=$C$4,128&lt;=$E$4),1,0)</f>
        <v/>
      </c>
      <c r="EC30" s="85">
        <f>IF(AND(129&gt;=$C$4,129&lt;=$E$4),1,0)</f>
        <v/>
      </c>
      <c r="ED30" s="85">
        <f>IF(AND(130&gt;=$C$4,130&lt;=$E$4),1,0)</f>
        <v/>
      </c>
      <c r="EE30" s="85">
        <f>IF(AND(131&gt;=$C$4,131&lt;=$E$4),1,0)</f>
        <v/>
      </c>
      <c r="EF30" s="85">
        <f>IF(AND(132&gt;=$C$4,132&lt;=$E$4),1,0)</f>
        <v/>
      </c>
      <c r="EG30" s="85">
        <f>IF(AND(133&gt;=$C$4,133&lt;=$E$4),1,0)</f>
        <v/>
      </c>
      <c r="EH30" s="85">
        <f>IF(AND(134&gt;=$C$4,134&lt;=$E$4),1,0)</f>
        <v/>
      </c>
      <c r="EI30" s="85">
        <f>IF(AND(135&gt;=$C$4,135&lt;=$E$4),1,0)</f>
        <v/>
      </c>
      <c r="EJ30" s="85">
        <f>IF(AND(136&gt;=$C$4,136&lt;=$E$4),1,0)</f>
        <v/>
      </c>
      <c r="EK30" s="85">
        <f>IF(AND(137&gt;=$C$4,137&lt;=$E$4),1,0)</f>
        <v/>
      </c>
      <c r="EL30" s="85">
        <f>IF(AND(138&gt;=$C$4,138&lt;=$E$4),1,0)</f>
        <v/>
      </c>
      <c r="EM30" s="85">
        <f>IF(AND(139&gt;=$C$4,139&lt;=$E$4),1,0)</f>
        <v/>
      </c>
      <c r="EN30" s="85">
        <f>IF(AND(140&gt;=$C$4,140&lt;=$E$4),1,0)</f>
        <v/>
      </c>
      <c r="EO30" s="85">
        <f>IF(AND(141&gt;=$C$4,141&lt;=$E$4),1,0)</f>
        <v/>
      </c>
      <c r="EP30" s="85">
        <f>IF(AND(142&gt;=$C$4,142&lt;=$E$4),1,0)</f>
        <v/>
      </c>
      <c r="EQ30" s="85">
        <f>IF(AND(143&gt;=$C$4,143&lt;=$E$4),1,0)</f>
        <v/>
      </c>
      <c r="ER30" s="85">
        <f>IF(AND(144&gt;=$C$4,144&lt;=$E$4),1,0)</f>
        <v/>
      </c>
      <c r="ES30" s="85">
        <f>IF(AND(145&gt;=$C$4,145&lt;=$E$4),1,0)</f>
        <v/>
      </c>
      <c r="ET30" s="85">
        <f>IF(AND(146&gt;=$C$4,146&lt;=$E$4),1,0)</f>
        <v/>
      </c>
      <c r="EU30" s="85">
        <f>IF(AND(147&gt;=$C$4,147&lt;=$E$4),1,0)</f>
        <v/>
      </c>
      <c r="EV30" s="85">
        <f>IF(AND(148&gt;=$C$4,148&lt;=$E$4),1,0)</f>
        <v/>
      </c>
      <c r="EW30" s="85">
        <f>IF(AND(149&gt;=$C$4,149&lt;=$E$4),1,0)</f>
        <v/>
      </c>
      <c r="EX30" s="85">
        <f>IF(AND(150&gt;=$C$4,150&lt;=$E$4),1,0)</f>
        <v/>
      </c>
      <c r="EY30" s="85">
        <f>IF(AND(151&gt;=$C$4,151&lt;=$E$4),1,0)</f>
        <v/>
      </c>
      <c r="EZ30" s="85">
        <f>IF(AND(152&gt;=$C$4,152&lt;=$E$4),1,0)</f>
        <v/>
      </c>
      <c r="FA30" s="85">
        <f>IF(AND(153&gt;=$C$4,153&lt;=$E$4),1,0)</f>
        <v/>
      </c>
      <c r="FB30" s="85">
        <f>IF(AND(154&gt;=$C$4,154&lt;=$E$4),1,0)</f>
        <v/>
      </c>
      <c r="FC30" s="85">
        <f>IF(AND(155&gt;=$C$4,155&lt;=$E$4),1,0)</f>
        <v/>
      </c>
      <c r="FD30" s="85">
        <f>IF(AND(156&gt;=$C$4,156&lt;=$E$4),1,0)</f>
        <v/>
      </c>
      <c r="FE30" s="85">
        <f>IF(AND(157&gt;=$C$4,157&lt;=$E$4),1,0)</f>
        <v/>
      </c>
      <c r="FF30" s="85">
        <f>IF(AND(158&gt;=$C$4,158&lt;=$E$4),1,0)</f>
        <v/>
      </c>
      <c r="FG30" s="85">
        <f>IF(AND(159&gt;=$C$4,159&lt;=$E$4),1,0)</f>
        <v/>
      </c>
      <c r="FH30" s="85">
        <f>IF(AND(160&gt;=$C$4,160&lt;=$E$4),1,0)</f>
        <v/>
      </c>
      <c r="FI30" s="85">
        <f>IF(AND(161&gt;=$C$4,161&lt;=$E$4),1,0)</f>
        <v/>
      </c>
      <c r="FJ30" s="85">
        <f>IF(AND(162&gt;=$C$4,162&lt;=$E$4),1,0)</f>
        <v/>
      </c>
      <c r="FK30" s="85">
        <f>IF(AND(163&gt;=$C$4,163&lt;=$E$4),1,0)</f>
        <v/>
      </c>
      <c r="FL30" s="85">
        <f>IF(AND(164&gt;=$C$4,164&lt;=$E$4),1,0)</f>
        <v/>
      </c>
      <c r="FM30" s="85">
        <f>IF(AND(165&gt;=$C$4,165&lt;=$E$4),1,0)</f>
        <v/>
      </c>
      <c r="FN30" s="85">
        <f>IF(AND(166&gt;=$C$4,166&lt;=$E$4),1,0)</f>
        <v/>
      </c>
      <c r="FO30" s="85">
        <f>IF(AND(167&gt;=$C$4,167&lt;=$E$4),1,0)</f>
        <v/>
      </c>
      <c r="FP30" s="85">
        <f>IF(AND(168&gt;=$C$4,168&lt;=$E$4),1,0)</f>
        <v/>
      </c>
      <c r="FQ30" s="85">
        <f>IF(AND(169&gt;=$C$4,169&lt;=$E$4),1,0)</f>
        <v/>
      </c>
      <c r="FR30" s="85">
        <f>IF(AND(170&gt;=$C$4,170&lt;=$E$4),1,0)</f>
        <v/>
      </c>
      <c r="FS30" s="85">
        <f>IF(AND(171&gt;=$C$4,171&lt;=$E$4),1,0)</f>
        <v/>
      </c>
      <c r="FT30" s="85">
        <f>IF(AND(172&gt;=$C$4,172&lt;=$E$4),1,0)</f>
        <v/>
      </c>
      <c r="FU30" s="85">
        <f>IF(AND(173&gt;=$C$4,173&lt;=$E$4),1,0)</f>
        <v/>
      </c>
      <c r="FV30" s="85">
        <f>IF(AND(174&gt;=$C$4,174&lt;=$E$4),1,0)</f>
        <v/>
      </c>
      <c r="FW30" s="85">
        <f>IF(AND(175&gt;=$C$4,175&lt;=$E$4),1,0)</f>
        <v/>
      </c>
      <c r="FX30" s="85">
        <f>IF(AND(176&gt;=$C$4,176&lt;=$E$4),1,0)</f>
        <v/>
      </c>
      <c r="FY30" s="85">
        <f>IF(AND(177&gt;=$C$4,177&lt;=$E$4),1,0)</f>
        <v/>
      </c>
      <c r="FZ30" s="85">
        <f>IF(AND(178&gt;=$C$4,178&lt;=$E$4),1,0)</f>
        <v/>
      </c>
      <c r="GA30" s="85">
        <f>IF(AND(179&gt;=$C$4,179&lt;=$E$4),1,0)</f>
        <v/>
      </c>
      <c r="GB30" s="85">
        <f>IF(AND(180&gt;=$C$4,180&lt;=$E$4),1,0)</f>
        <v/>
      </c>
      <c r="GC30" s="85">
        <f>IF(AND(181&gt;=$C$4,181&lt;=$E$4),1,0)</f>
        <v/>
      </c>
      <c r="GD30" s="85">
        <f>IF(AND(182&gt;=$C$4,182&lt;=$E$4),1,0)</f>
        <v/>
      </c>
      <c r="GE30" s="85">
        <f>IF(AND(183&gt;=$C$4,183&lt;=$E$4),1,0)</f>
        <v/>
      </c>
      <c r="GF30" s="85">
        <f>IF(AND(184&gt;=$C$4,184&lt;=$E$4),1,0)</f>
        <v/>
      </c>
      <c r="GG30" s="85">
        <f>IF(AND(185&gt;=$C$4,185&lt;=$E$4),1,0)</f>
        <v/>
      </c>
      <c r="GH30" s="85">
        <f>IF(AND(186&gt;=$C$4,186&lt;=$E$4),1,0)</f>
        <v/>
      </c>
      <c r="GI30" s="85">
        <f>IF(AND(187&gt;=$C$4,187&lt;=$E$4),1,0)</f>
        <v/>
      </c>
      <c r="GJ30" s="85">
        <f>IF(AND(188&gt;=$C$4,188&lt;=$E$4),1,0)</f>
        <v/>
      </c>
      <c r="GK30" s="85">
        <f>IF(AND(189&gt;=$C$4,189&lt;=$E$4),1,0)</f>
        <v/>
      </c>
      <c r="GL30" s="85">
        <f>IF(AND(190&gt;=$C$4,190&lt;=$E$4),1,0)</f>
        <v/>
      </c>
      <c r="GM30" s="85">
        <f>IF(AND(191&gt;=$C$4,191&lt;=$E$4),1,0)</f>
        <v/>
      </c>
      <c r="GN30" s="85">
        <f>IF(AND(192&gt;=$C$4,192&lt;=$E$4),1,0)</f>
        <v/>
      </c>
      <c r="GO30" s="85">
        <f>IF(AND(193&gt;=$C$4,193&lt;=$E$4),1,0)</f>
        <v/>
      </c>
      <c r="GP30" s="85">
        <f>IF(AND(194&gt;=$C$4,194&lt;=$E$4),1,0)</f>
        <v/>
      </c>
      <c r="GQ30" s="85">
        <f>IF(AND(195&gt;=$C$4,195&lt;=$E$4),1,0)</f>
        <v/>
      </c>
      <c r="GR30" s="85">
        <f>IF(AND(196&gt;=$C$4,196&lt;=$E$4),1,0)</f>
        <v/>
      </c>
      <c r="GS30" s="85">
        <f>IF(AND(197&gt;=$C$4,197&lt;=$E$4),1,0)</f>
        <v/>
      </c>
      <c r="GT30" s="85">
        <f>IF(AND(198&gt;=$C$4,198&lt;=$E$4),1,0)</f>
        <v/>
      </c>
      <c r="GU30" s="85">
        <f>IF(AND(199&gt;=$C$4,199&lt;=$E$4),1,0)</f>
        <v/>
      </c>
      <c r="GV30" s="85">
        <f>IF(AND(200&gt;=$C$4,200&lt;=$E$4),1,0)</f>
        <v/>
      </c>
      <c r="GW30" s="85">
        <f>IF(AND(201&gt;=$C$4,201&lt;=$E$4),1,0)</f>
        <v/>
      </c>
      <c r="GX30" s="85">
        <f>IF(AND(202&gt;=$C$4,202&lt;=$E$4),1,0)</f>
        <v/>
      </c>
      <c r="GY30" s="85">
        <f>IF(AND(203&gt;=$C$4,203&lt;=$E$4),1,0)</f>
        <v/>
      </c>
      <c r="GZ30" s="85">
        <f>IF(AND(204&gt;=$C$4,204&lt;=$E$4),1,0)</f>
        <v/>
      </c>
      <c r="HA30" s="85">
        <f>IF(AND(205&gt;=$C$4,205&lt;=$E$4),1,0)</f>
        <v/>
      </c>
      <c r="HB30" s="85">
        <f>IF(AND(206&gt;=$C$4,206&lt;=$E$4),1,0)</f>
        <v/>
      </c>
      <c r="HC30" s="85">
        <f>IF(AND(207&gt;=$C$4,207&lt;=$E$4),1,0)</f>
        <v/>
      </c>
      <c r="HD30" s="85">
        <f>IF(AND(208&gt;=$C$4,208&lt;=$E$4),1,0)</f>
        <v/>
      </c>
      <c r="HE30" s="85">
        <f>IF(AND(209&gt;=$C$4,209&lt;=$E$4),1,0)</f>
        <v/>
      </c>
      <c r="HF30" s="85">
        <f>IF(AND(210&gt;=$C$4,210&lt;=$E$4),1,0)</f>
        <v/>
      </c>
      <c r="HG30" s="85">
        <f>IF(AND(211&gt;=$C$4,211&lt;=$E$4),1,0)</f>
        <v/>
      </c>
      <c r="HH30" s="85">
        <f>IF(AND(212&gt;=$C$4,212&lt;=$E$4),1,0)</f>
        <v/>
      </c>
      <c r="HI30" s="85">
        <f>IF(AND(213&gt;=$C$4,213&lt;=$E$4),1,0)</f>
        <v/>
      </c>
      <c r="HJ30" s="85">
        <f>IF(AND(214&gt;=$C$4,214&lt;=$E$4),1,0)</f>
        <v/>
      </c>
      <c r="HK30" s="85">
        <f>IF(AND(215&gt;=$C$4,215&lt;=$E$4),1,0)</f>
        <v/>
      </c>
      <c r="HL30" s="85">
        <f>IF(AND(216&gt;=$C$4,216&lt;=$E$4),1,0)</f>
        <v/>
      </c>
      <c r="HM30" s="85">
        <f>IF(AND(217&gt;=$C$4,217&lt;=$E$4),1,0)</f>
        <v/>
      </c>
      <c r="HN30" s="85">
        <f>IF(AND(218&gt;=$C$4,218&lt;=$E$4),1,0)</f>
        <v/>
      </c>
      <c r="HO30" s="85">
        <f>IF(AND(219&gt;=$C$4,219&lt;=$E$4),1,0)</f>
        <v/>
      </c>
      <c r="HP30" s="85">
        <f>IF(AND(220&gt;=$C$4,220&lt;=$E$4),1,0)</f>
        <v/>
      </c>
      <c r="HQ30" s="85">
        <f>IF(AND(221&gt;=$C$4,221&lt;=$E$4),1,0)</f>
        <v/>
      </c>
      <c r="HR30" s="85">
        <f>IF(AND(222&gt;=$C$4,222&lt;=$E$4),1,0)</f>
        <v/>
      </c>
      <c r="HS30" s="85">
        <f>IF(AND(223&gt;=$C$4,223&lt;=$E$4),1,0)</f>
        <v/>
      </c>
      <c r="HT30" s="85">
        <f>IF(AND(224&gt;=$C$4,224&lt;=$E$4),1,0)</f>
        <v/>
      </c>
      <c r="HU30" s="85">
        <f>IF(AND(225&gt;=$C$4,225&lt;=$E$4),1,0)</f>
        <v/>
      </c>
      <c r="HV30" s="85">
        <f>IF(AND(226&gt;=$C$4,226&lt;=$E$4),1,0)</f>
        <v/>
      </c>
      <c r="HW30" s="85">
        <f>IF(AND(227&gt;=$C$4,227&lt;=$E$4),1,0)</f>
        <v/>
      </c>
      <c r="HX30" s="85">
        <f>IF(AND(228&gt;=$C$4,228&lt;=$E$4),1,0)</f>
        <v/>
      </c>
      <c r="HY30" s="85">
        <f>IF(AND(229&gt;=$C$4,229&lt;=$E$4),1,0)</f>
        <v/>
      </c>
      <c r="HZ30" s="85">
        <f>IF(AND(230&gt;=$C$4,230&lt;=$E$4),1,0)</f>
        <v/>
      </c>
      <c r="IA30" s="85">
        <f>IF(AND(231&gt;=$C$4,231&lt;=$E$4),1,0)</f>
        <v/>
      </c>
      <c r="IB30" s="85">
        <f>IF(AND(232&gt;=$C$4,232&lt;=$E$4),1,0)</f>
        <v/>
      </c>
      <c r="IC30" s="85">
        <f>IF(AND(233&gt;=$C$4,233&lt;=$E$4),1,0)</f>
        <v/>
      </c>
      <c r="ID30" s="85">
        <f>IF(AND(234&gt;=$C$4,234&lt;=$E$4),1,0)</f>
        <v/>
      </c>
      <c r="IE30" s="85">
        <f>IF(AND(235&gt;=$C$4,235&lt;=$E$4),1,0)</f>
        <v/>
      </c>
      <c r="IF30" s="85">
        <f>IF(AND(236&gt;=$C$4,236&lt;=$E$4),1,0)</f>
        <v/>
      </c>
      <c r="IG30" s="85">
        <f>IF(AND(237&gt;=$C$4,237&lt;=$E$4),1,0)</f>
        <v/>
      </c>
      <c r="IH30" s="85">
        <f>IF(AND(238&gt;=$C$4,238&lt;=$E$4),1,0)</f>
        <v/>
      </c>
      <c r="II30" s="85">
        <f>IF(AND(239&gt;=$C$4,239&lt;=$E$4),1,0)</f>
        <v/>
      </c>
      <c r="IJ30" s="85">
        <f>IF(AND(240&gt;=$C$4,240&lt;=$E$4),1,0)</f>
        <v/>
      </c>
      <c r="IK30" s="85">
        <f>IF(AND(241&gt;=$C$4,241&lt;=$E$4),1,0)</f>
        <v/>
      </c>
      <c r="IL30" s="85">
        <f>IF(AND(242&gt;=$C$4,242&lt;=$E$4),1,0)</f>
        <v/>
      </c>
      <c r="IM30" s="85">
        <f>IF(AND(243&gt;=$C$4,243&lt;=$E$4),1,0)</f>
        <v/>
      </c>
      <c r="IN30" s="85">
        <f>IF(AND(244&gt;=$C$4,244&lt;=$E$4),1,0)</f>
        <v/>
      </c>
      <c r="IO30" s="85">
        <f>IF(AND(245&gt;=$C$4,245&lt;=$E$4),1,0)</f>
        <v/>
      </c>
      <c r="IP30" s="85">
        <f>IF(AND(246&gt;=$C$4,246&lt;=$E$4),1,0)</f>
        <v/>
      </c>
      <c r="IQ30" s="85">
        <f>IF(AND(247&gt;=$C$4,247&lt;=$E$4),1,0)</f>
        <v/>
      </c>
      <c r="IR30" s="85">
        <f>IF(AND(248&gt;=$C$4,248&lt;=$E$4),1,0)</f>
        <v/>
      </c>
      <c r="IS30" s="85">
        <f>IF(AND(249&gt;=$C$4,249&lt;=$E$4),1,0)</f>
        <v/>
      </c>
      <c r="IT30" s="85">
        <f>IF(AND(250&gt;=$C$4,250&lt;=$E$4),1,0)</f>
        <v/>
      </c>
      <c r="IU30" s="85">
        <f>IF(AND(251&gt;=$C$4,251&lt;=$E$4),1,0)</f>
        <v/>
      </c>
      <c r="IV30" s="85">
        <f>IF(AND(252&gt;=$C$4,252&lt;=$E$4),1,0)</f>
        <v/>
      </c>
      <c r="IW30" s="85">
        <f>IF(AND(253&gt;=$C$4,253&lt;=$E$4),1,0)</f>
        <v/>
      </c>
      <c r="IX30" s="85">
        <f>IF(AND(254&gt;=$C$4,254&lt;=$E$4),1,0)</f>
        <v/>
      </c>
      <c r="IY30" s="85">
        <f>IF(AND(255&gt;=$C$4,255&lt;=$E$4),1,0)</f>
        <v/>
      </c>
      <c r="IZ30" s="85">
        <f>IF(AND(256&gt;=$C$4,256&lt;=$E$4),1,0)</f>
        <v/>
      </c>
      <c r="JA30" s="85">
        <f>IF(AND(257&gt;=$C$4,257&lt;=$E$4),1,0)</f>
        <v/>
      </c>
      <c r="JB30" s="85">
        <f>IF(AND(258&gt;=$C$4,258&lt;=$E$4),1,0)</f>
        <v/>
      </c>
      <c r="JC30" s="85">
        <f>IF(AND(259&gt;=$C$4,259&lt;=$E$4),1,0)</f>
        <v/>
      </c>
      <c r="JD30" s="85">
        <f>IF(AND(260&gt;=$C$4,260&lt;=$E$4),1,0)</f>
        <v/>
      </c>
      <c r="JE30" s="85">
        <f>IF(AND(261&gt;=$C$4,261&lt;=$E$4),1,0)</f>
        <v/>
      </c>
      <c r="JF30" s="85">
        <f>IF(AND(262&gt;=$C$4,262&lt;=$E$4),1,0)</f>
        <v/>
      </c>
      <c r="JG30" s="85">
        <f>IF(AND(263&gt;=$C$4,263&lt;=$E$4),1,0)</f>
        <v/>
      </c>
      <c r="JH30" s="85">
        <f>IF(AND(264&gt;=$C$4,264&lt;=$E$4),1,0)</f>
        <v/>
      </c>
      <c r="JI30" s="85">
        <f>IF(AND(265&gt;=$C$4,265&lt;=$E$4),1,0)</f>
        <v/>
      </c>
      <c r="JJ30" s="85">
        <f>IF(AND(266&gt;=$C$4,266&lt;=$E$4),1,0)</f>
        <v/>
      </c>
      <c r="JK30" s="85">
        <f>IF(AND(267&gt;=$C$4,267&lt;=$E$4),1,0)</f>
        <v/>
      </c>
      <c r="JL30" s="85">
        <f>IF(AND(268&gt;=$C$4,268&lt;=$E$4),1,0)</f>
        <v/>
      </c>
      <c r="JM30" s="85">
        <f>IF(AND(269&gt;=$C$4,269&lt;=$E$4),1,0)</f>
        <v/>
      </c>
      <c r="JN30" s="85">
        <f>IF(AND(270&gt;=$C$4,270&lt;=$E$4),1,0)</f>
        <v/>
      </c>
      <c r="JO30" s="85">
        <f>IF(AND(271&gt;=$C$4,271&lt;=$E$4),1,0)</f>
        <v/>
      </c>
      <c r="JP30" s="85">
        <f>IF(AND(272&gt;=$C$4,272&lt;=$E$4),1,0)</f>
        <v/>
      </c>
      <c r="JQ30" s="85">
        <f>IF(AND(273&gt;=$C$4,273&lt;=$E$4),1,0)</f>
        <v/>
      </c>
      <c r="JR30" s="85">
        <f>IF(AND(274&gt;=$C$4,274&lt;=$E$4),1,0)</f>
        <v/>
      </c>
      <c r="JS30" s="85">
        <f>IF(AND(275&gt;=$C$4,275&lt;=$E$4),1,0)</f>
        <v/>
      </c>
      <c r="JT30" s="85">
        <f>IF(AND(276&gt;=$C$4,276&lt;=$E$4),1,0)</f>
        <v/>
      </c>
      <c r="JU30" s="85">
        <f>IF(AND(277&gt;=$C$4,277&lt;=$E$4),1,0)</f>
        <v/>
      </c>
      <c r="JV30" s="85">
        <f>IF(AND(278&gt;=$C$4,278&lt;=$E$4),1,0)</f>
        <v/>
      </c>
      <c r="JW30" s="85">
        <f>IF(AND(279&gt;=$C$4,279&lt;=$E$4),1,0)</f>
        <v/>
      </c>
      <c r="JX30" s="85">
        <f>IF(AND(280&gt;=$C$4,280&lt;=$E$4),1,0)</f>
        <v/>
      </c>
      <c r="JY30" s="85">
        <f>IF(AND(281&gt;=$C$4,281&lt;=$E$4),1,0)</f>
        <v/>
      </c>
      <c r="JZ30" s="85">
        <f>IF(AND(282&gt;=$C$4,282&lt;=$E$4),1,0)</f>
        <v/>
      </c>
      <c r="KA30" s="85">
        <f>IF(AND(283&gt;=$C$4,283&lt;=$E$4),1,0)</f>
        <v/>
      </c>
      <c r="KB30" s="85">
        <f>IF(AND(284&gt;=$C$4,284&lt;=$E$4),1,0)</f>
        <v/>
      </c>
      <c r="KC30" s="85">
        <f>IF(AND(285&gt;=$C$4,285&lt;=$E$4),1,0)</f>
        <v/>
      </c>
      <c r="KD30" s="85">
        <f>IF(AND(286&gt;=$C$4,286&lt;=$E$4),1,0)</f>
        <v/>
      </c>
      <c r="KE30" s="85">
        <f>IF(AND(287&gt;=$C$4,287&lt;=$E$4),1,0)</f>
        <v/>
      </c>
      <c r="KF30" s="85">
        <f>IF(AND(288&gt;=$C$4,288&lt;=$E$4),1,0)</f>
        <v/>
      </c>
      <c r="KG30" s="85">
        <f>IF(AND(289&gt;=$C$4,289&lt;=$E$4),1,0)</f>
        <v/>
      </c>
      <c r="KH30" s="85">
        <f>IF(AND(290&gt;=$C$4,290&lt;=$E$4),1,0)</f>
        <v/>
      </c>
      <c r="KI30" s="85">
        <f>IF(AND(291&gt;=$C$4,291&lt;=$E$4),1,0)</f>
        <v/>
      </c>
      <c r="KJ30" s="85">
        <f>IF(AND(292&gt;=$C$4,292&lt;=$E$4),1,0)</f>
        <v/>
      </c>
      <c r="KK30" s="85">
        <f>IF(AND(293&gt;=$C$4,293&lt;=$E$4),1,0)</f>
        <v/>
      </c>
      <c r="KL30" s="85">
        <f>IF(AND(294&gt;=$C$4,294&lt;=$E$4),1,0)</f>
        <v/>
      </c>
      <c r="KM30" s="85">
        <f>IF(AND(295&gt;=$C$4,295&lt;=$E$4),1,0)</f>
        <v/>
      </c>
      <c r="KN30" s="85">
        <f>IF(AND(296&gt;=$C$4,296&lt;=$E$4),1,0)</f>
        <v/>
      </c>
      <c r="KO30" s="85">
        <f>IF(AND(297&gt;=$C$4,297&lt;=$E$4),1,0)</f>
        <v/>
      </c>
      <c r="KP30" s="85">
        <f>IF(AND(298&gt;=$C$4,298&lt;=$E$4),1,0)</f>
        <v/>
      </c>
      <c r="KQ30" s="85">
        <f>IF(AND(299&gt;=$C$4,299&lt;=$E$4),1,0)</f>
        <v/>
      </c>
      <c r="KR30" s="85">
        <f>IF(AND(300&gt;=$C$4,300&lt;=$E$4),1,0)</f>
        <v/>
      </c>
      <c r="KS30" s="85">
        <f>IF(AND(301&gt;=$C$4,301&lt;=$E$4),1,0)</f>
        <v/>
      </c>
      <c r="KT30" s="85">
        <f>IF(AND(302&gt;=$C$4,302&lt;=$E$4),1,0)</f>
        <v/>
      </c>
      <c r="KU30" s="85">
        <f>IF(AND(303&gt;=$C$4,303&lt;=$E$4),1,0)</f>
        <v/>
      </c>
      <c r="KV30" s="85">
        <f>IF(AND(304&gt;=$C$4,304&lt;=$E$4),1,0)</f>
        <v/>
      </c>
      <c r="KW30" s="85">
        <f>IF(AND(305&gt;=$C$4,305&lt;=$E$4),1,0)</f>
        <v/>
      </c>
      <c r="KX30" s="85">
        <f>IF(AND(306&gt;=$C$4,306&lt;=$E$4),1,0)</f>
        <v/>
      </c>
      <c r="KY30" s="85">
        <f>IF(AND(307&gt;=$C$4,307&lt;=$E$4),1,0)</f>
        <v/>
      </c>
      <c r="KZ30" s="85">
        <f>IF(AND(308&gt;=$C$4,308&lt;=$E$4),1,0)</f>
        <v/>
      </c>
      <c r="LA30" s="85">
        <f>IF(AND(309&gt;=$C$4,309&lt;=$E$4),1,0)</f>
        <v/>
      </c>
      <c r="LB30" s="85">
        <f>IF(AND(310&gt;=$C$4,310&lt;=$E$4),1,0)</f>
        <v/>
      </c>
      <c r="LC30" s="85">
        <f>IF(AND(311&gt;=$C$4,311&lt;=$E$4),1,0)</f>
        <v/>
      </c>
      <c r="LD30" s="85">
        <f>IF(AND(312&gt;=$C$4,312&lt;=$E$4),1,0)</f>
        <v/>
      </c>
      <c r="LE30" s="85">
        <f>IF(AND(313&gt;=$C$4,313&lt;=$E$4),1,0)</f>
        <v/>
      </c>
      <c r="LF30" s="85">
        <f>IF(AND(314&gt;=$C$4,314&lt;=$E$4),1,0)</f>
        <v/>
      </c>
      <c r="LG30" s="85">
        <f>IF(AND(315&gt;=$C$4,315&lt;=$E$4),1,0)</f>
        <v/>
      </c>
      <c r="LH30" s="85">
        <f>IF(AND(316&gt;=$C$4,316&lt;=$E$4),1,0)</f>
        <v/>
      </c>
      <c r="LI30" s="85">
        <f>IF(AND(317&gt;=$C$4,317&lt;=$E$4),1,0)</f>
        <v/>
      </c>
      <c r="LJ30" s="85">
        <f>IF(AND(318&gt;=$C$4,318&lt;=$E$4),1,0)</f>
        <v/>
      </c>
      <c r="LK30" s="85">
        <f>IF(AND(319&gt;=$C$4,319&lt;=$E$4),1,0)</f>
        <v/>
      </c>
      <c r="LL30" s="85">
        <f>IF(AND(320&gt;=$C$4,320&lt;=$E$4),1,0)</f>
        <v/>
      </c>
      <c r="LM30" s="85">
        <f>IF(AND(321&gt;=$C$4,321&lt;=$E$4),1,0)</f>
        <v/>
      </c>
      <c r="LN30" s="85">
        <f>IF(AND(322&gt;=$C$4,322&lt;=$E$4),1,0)</f>
        <v/>
      </c>
      <c r="LO30" s="85">
        <f>IF(AND(323&gt;=$C$4,323&lt;=$E$4),1,0)</f>
        <v/>
      </c>
      <c r="LP30" s="85">
        <f>IF(AND(324&gt;=$C$4,324&lt;=$E$4),1,0)</f>
        <v/>
      </c>
      <c r="LQ30" s="85">
        <f>IF(AND(325&gt;=$C$4,325&lt;=$E$4),1,0)</f>
        <v/>
      </c>
      <c r="LR30" s="85">
        <f>IF(AND(326&gt;=$C$4,326&lt;=$E$4),1,0)</f>
        <v/>
      </c>
      <c r="LS30" s="85">
        <f>IF(AND(327&gt;=$C$4,327&lt;=$E$4),1,0)</f>
        <v/>
      </c>
      <c r="LT30" s="85">
        <f>IF(AND(328&gt;=$C$4,328&lt;=$E$4),1,0)</f>
        <v/>
      </c>
      <c r="LU30" s="85">
        <f>IF(AND(329&gt;=$C$4,329&lt;=$E$4),1,0)</f>
        <v/>
      </c>
      <c r="LV30" s="85">
        <f>IF(AND(330&gt;=$C$4,330&lt;=$E$4),1,0)</f>
        <v/>
      </c>
      <c r="LW30" s="85">
        <f>IF(AND(331&gt;=$C$4,331&lt;=$E$4),1,0)</f>
        <v/>
      </c>
      <c r="LX30" s="85">
        <f>IF(AND(332&gt;=$C$4,332&lt;=$E$4),1,0)</f>
        <v/>
      </c>
      <c r="LY30" s="85">
        <f>IF(AND(333&gt;=$C$4,333&lt;=$E$4),1,0)</f>
        <v/>
      </c>
      <c r="LZ30" s="85">
        <f>IF(AND(334&gt;=$C$4,334&lt;=$E$4),1,0)</f>
        <v/>
      </c>
      <c r="MA30" s="85">
        <f>IF(AND(335&gt;=$C$4,335&lt;=$E$4),1,0)</f>
        <v/>
      </c>
      <c r="MB30" s="85">
        <f>IF(AND(336&gt;=$C$4,336&lt;=$E$4),1,0)</f>
        <v/>
      </c>
      <c r="MC30" s="85">
        <f>IF(AND(337&gt;=$C$4,337&lt;=$E$4),1,0)</f>
        <v/>
      </c>
      <c r="MD30" s="85">
        <f>IF(AND(338&gt;=$C$4,338&lt;=$E$4),1,0)</f>
        <v/>
      </c>
      <c r="ME30" s="85">
        <f>IF(AND(339&gt;=$C$4,339&lt;=$E$4),1,0)</f>
        <v/>
      </c>
      <c r="MF30" s="85">
        <f>IF(AND(340&gt;=$C$4,340&lt;=$E$4),1,0)</f>
        <v/>
      </c>
      <c r="MG30" s="85">
        <f>IF(AND(341&gt;=$C$4,341&lt;=$E$4),1,0)</f>
        <v/>
      </c>
      <c r="MH30" s="85">
        <f>IF(AND(342&gt;=$C$4,342&lt;=$E$4),1,0)</f>
        <v/>
      </c>
      <c r="MI30" s="85">
        <f>IF(AND(343&gt;=$C$4,343&lt;=$E$4),1,0)</f>
        <v/>
      </c>
      <c r="MJ30" s="85">
        <f>IF(AND(344&gt;=$C$4,344&lt;=$E$4),1,0)</f>
        <v/>
      </c>
      <c r="MK30" s="85">
        <f>IF(AND(345&gt;=$C$4,345&lt;=$E$4),1,0)</f>
        <v/>
      </c>
      <c r="ML30" s="85">
        <f>IF(AND(346&gt;=$C$4,346&lt;=$E$4),1,0)</f>
        <v/>
      </c>
      <c r="MM30" s="85">
        <f>IF(AND(347&gt;=$C$4,347&lt;=$E$4),1,0)</f>
        <v/>
      </c>
      <c r="MN30" s="85">
        <f>IF(AND(348&gt;=$C$4,348&lt;=$E$4),1,0)</f>
        <v/>
      </c>
      <c r="MO30" s="85">
        <f>IF(AND(349&gt;=$C$4,349&lt;=$E$4),1,0)</f>
        <v/>
      </c>
      <c r="MP30" s="85">
        <f>IF(AND(350&gt;=$C$4,350&lt;=$E$4),1,0)</f>
        <v/>
      </c>
      <c r="MQ30" s="85">
        <f>IF(AND(351&gt;=$C$4,351&lt;=$E$4),1,0)</f>
        <v/>
      </c>
      <c r="MR30" s="85">
        <f>IF(AND(352&gt;=$C$4,352&lt;=$E$4),1,0)</f>
        <v/>
      </c>
      <c r="MS30" s="85">
        <f>IF(AND(353&gt;=$C$4,353&lt;=$E$4),1,0)</f>
        <v/>
      </c>
      <c r="MT30" s="85">
        <f>IF(AND(354&gt;=$C$4,354&lt;=$E$4),1,0)</f>
        <v/>
      </c>
      <c r="MU30" s="85">
        <f>IF(AND(355&gt;=$C$4,355&lt;=$E$4),1,0)</f>
        <v/>
      </c>
      <c r="MV30" s="85">
        <f>IF(AND(356&gt;=$C$4,356&lt;=$E$4),1,0)</f>
        <v/>
      </c>
      <c r="MW30" s="85">
        <f>IF(AND(357&gt;=$C$4,357&lt;=$E$4),1,0)</f>
        <v/>
      </c>
      <c r="MX30" s="85">
        <f>IF(AND(358&gt;=$C$4,358&lt;=$E$4),1,0)</f>
        <v/>
      </c>
      <c r="MY30" s="85">
        <f>IF(AND(359&gt;=$C$4,359&lt;=$E$4),1,0)</f>
        <v/>
      </c>
      <c r="MZ30" s="85">
        <f>IF(AND(360&gt;=$C$4,360&lt;=$E$4),1,0)</f>
        <v/>
      </c>
      <c r="NA30" s="85">
        <f>IF(AND(361&gt;=$C$4,361&lt;=$E$4),1,0)</f>
        <v/>
      </c>
      <c r="NB30" s="85">
        <f>IF(AND(362&gt;=$C$4,362&lt;=$E$4),1,0)</f>
        <v/>
      </c>
      <c r="NC30" s="85">
        <f>IF(AND(363&gt;=$C$4,363&lt;=$E$4),1,0)</f>
        <v/>
      </c>
      <c r="ND30" s="85">
        <f>IF(AND(364&gt;=$C$4,364&lt;=$E$4),1,0)</f>
        <v/>
      </c>
      <c r="NE30" s="85">
        <f>IF(AND(365&gt;=$C$4,365&lt;=$E$4),1,0)</f>
        <v/>
      </c>
      <c r="NF30" s="85">
        <f>IF(AND(366&gt;=$C$4,366&lt;=$E$4),1,0)</f>
        <v/>
      </c>
      <c r="NG30" s="85">
        <f>IF(AND(367&gt;=$C$4,367&lt;=$E$4),1,0)</f>
        <v/>
      </c>
      <c r="NH30" s="85">
        <f>IF(AND(368&gt;=$C$4,368&lt;=$E$4),1,0)</f>
        <v/>
      </c>
      <c r="NI30" s="85">
        <f>IF(AND(369&gt;=$C$4,369&lt;=$E$4),1,0)</f>
        <v/>
      </c>
      <c r="NJ30" s="85">
        <f>IF(AND(370&gt;=$C$4,370&lt;=$E$4),1,0)</f>
        <v/>
      </c>
      <c r="NK30" s="85">
        <f>IF(AND(371&gt;=$C$4,371&lt;=$E$4),1,0)</f>
        <v/>
      </c>
      <c r="NL30" s="85">
        <f>IF(AND(372&gt;=$C$4,372&lt;=$E$4),1,0)</f>
        <v/>
      </c>
    </row>
    <row r="31">
      <c r="B31" s="36" t="inlineStr">
        <is>
          <t>Flag: Due Diligence</t>
        </is>
      </c>
      <c r="D31" s="124" t="n"/>
      <c r="E31" s="85">
        <f>IF(AND(1&gt;=$C$5,1&lt;=$E$5),1,0)</f>
        <v/>
      </c>
      <c r="F31" s="85">
        <f>IF(AND(2&gt;=$C$5,2&lt;=$E$5),1,0)</f>
        <v/>
      </c>
      <c r="G31" s="85">
        <f>IF(AND(3&gt;=$C$5,3&lt;=$E$5),1,0)</f>
        <v/>
      </c>
      <c r="H31" s="85">
        <f>IF(AND(4&gt;=$C$5,4&lt;=$E$5),1,0)</f>
        <v/>
      </c>
      <c r="I31" s="85">
        <f>IF(AND(5&gt;=$C$5,5&lt;=$E$5),1,0)</f>
        <v/>
      </c>
      <c r="J31" s="85">
        <f>IF(AND(6&gt;=$C$5,6&lt;=$E$5),1,0)</f>
        <v/>
      </c>
      <c r="K31" s="85">
        <f>IF(AND(7&gt;=$C$5,7&lt;=$E$5),1,0)</f>
        <v/>
      </c>
      <c r="L31" s="85">
        <f>IF(AND(8&gt;=$C$5,8&lt;=$E$5),1,0)</f>
        <v/>
      </c>
      <c r="M31" s="85">
        <f>IF(AND(9&gt;=$C$5,9&lt;=$E$5),1,0)</f>
        <v/>
      </c>
      <c r="N31" s="85">
        <f>IF(AND(10&gt;=$C$5,10&lt;=$E$5),1,0)</f>
        <v/>
      </c>
      <c r="O31" s="85">
        <f>IF(AND(11&gt;=$C$5,11&lt;=$E$5),1,0)</f>
        <v/>
      </c>
      <c r="P31" s="85">
        <f>IF(AND(12&gt;=$C$5,12&lt;=$E$5),1,0)</f>
        <v/>
      </c>
      <c r="Q31" s="85">
        <f>IF(AND(13&gt;=$C$5,13&lt;=$E$5),1,0)</f>
        <v/>
      </c>
      <c r="R31" s="85">
        <f>IF(AND(14&gt;=$C$5,14&lt;=$E$5),1,0)</f>
        <v/>
      </c>
      <c r="S31" s="85">
        <f>IF(AND(15&gt;=$C$5,15&lt;=$E$5),1,0)</f>
        <v/>
      </c>
      <c r="T31" s="85">
        <f>IF(AND(16&gt;=$C$5,16&lt;=$E$5),1,0)</f>
        <v/>
      </c>
      <c r="U31" s="85">
        <f>IF(AND(17&gt;=$C$5,17&lt;=$E$5),1,0)</f>
        <v/>
      </c>
      <c r="V31" s="85">
        <f>IF(AND(18&gt;=$C$5,18&lt;=$E$5),1,0)</f>
        <v/>
      </c>
      <c r="W31" s="85">
        <f>IF(AND(19&gt;=$C$5,19&lt;=$E$5),1,0)</f>
        <v/>
      </c>
      <c r="X31" s="85">
        <f>IF(AND(20&gt;=$C$5,20&lt;=$E$5),1,0)</f>
        <v/>
      </c>
      <c r="Y31" s="85">
        <f>IF(AND(21&gt;=$C$5,21&lt;=$E$5),1,0)</f>
        <v/>
      </c>
      <c r="Z31" s="85">
        <f>IF(AND(22&gt;=$C$5,22&lt;=$E$5),1,0)</f>
        <v/>
      </c>
      <c r="AA31" s="85">
        <f>IF(AND(23&gt;=$C$5,23&lt;=$E$5),1,0)</f>
        <v/>
      </c>
      <c r="AB31" s="85">
        <f>IF(AND(24&gt;=$C$5,24&lt;=$E$5),1,0)</f>
        <v/>
      </c>
      <c r="AC31" s="85">
        <f>IF(AND(25&gt;=$C$5,25&lt;=$E$5),1,0)</f>
        <v/>
      </c>
      <c r="AD31" s="85">
        <f>IF(AND(26&gt;=$C$5,26&lt;=$E$5),1,0)</f>
        <v/>
      </c>
      <c r="AE31" s="85">
        <f>IF(AND(27&gt;=$C$5,27&lt;=$E$5),1,0)</f>
        <v/>
      </c>
      <c r="AF31" s="85">
        <f>IF(AND(28&gt;=$C$5,28&lt;=$E$5),1,0)</f>
        <v/>
      </c>
      <c r="AG31" s="85">
        <f>IF(AND(29&gt;=$C$5,29&lt;=$E$5),1,0)</f>
        <v/>
      </c>
      <c r="AH31" s="85">
        <f>IF(AND(30&gt;=$C$5,30&lt;=$E$5),1,0)</f>
        <v/>
      </c>
      <c r="AI31" s="85">
        <f>IF(AND(31&gt;=$C$5,31&lt;=$E$5),1,0)</f>
        <v/>
      </c>
      <c r="AJ31" s="85">
        <f>IF(AND(32&gt;=$C$5,32&lt;=$E$5),1,0)</f>
        <v/>
      </c>
      <c r="AK31" s="85">
        <f>IF(AND(33&gt;=$C$5,33&lt;=$E$5),1,0)</f>
        <v/>
      </c>
      <c r="AL31" s="85">
        <f>IF(AND(34&gt;=$C$5,34&lt;=$E$5),1,0)</f>
        <v/>
      </c>
      <c r="AM31" s="85">
        <f>IF(AND(35&gt;=$C$5,35&lt;=$E$5),1,0)</f>
        <v/>
      </c>
      <c r="AN31" s="85">
        <f>IF(AND(36&gt;=$C$5,36&lt;=$E$5),1,0)</f>
        <v/>
      </c>
      <c r="AO31" s="85">
        <f>IF(AND(37&gt;=$C$5,37&lt;=$E$5),1,0)</f>
        <v/>
      </c>
      <c r="AP31" s="85">
        <f>IF(AND(38&gt;=$C$5,38&lt;=$E$5),1,0)</f>
        <v/>
      </c>
      <c r="AQ31" s="85">
        <f>IF(AND(39&gt;=$C$5,39&lt;=$E$5),1,0)</f>
        <v/>
      </c>
      <c r="AR31" s="85">
        <f>IF(AND(40&gt;=$C$5,40&lt;=$E$5),1,0)</f>
        <v/>
      </c>
      <c r="AS31" s="85">
        <f>IF(AND(41&gt;=$C$5,41&lt;=$E$5),1,0)</f>
        <v/>
      </c>
      <c r="AT31" s="85">
        <f>IF(AND(42&gt;=$C$5,42&lt;=$E$5),1,0)</f>
        <v/>
      </c>
      <c r="AU31" s="85">
        <f>IF(AND(43&gt;=$C$5,43&lt;=$E$5),1,0)</f>
        <v/>
      </c>
      <c r="AV31" s="85">
        <f>IF(AND(44&gt;=$C$5,44&lt;=$E$5),1,0)</f>
        <v/>
      </c>
      <c r="AW31" s="85">
        <f>IF(AND(45&gt;=$C$5,45&lt;=$E$5),1,0)</f>
        <v/>
      </c>
      <c r="AX31" s="85">
        <f>IF(AND(46&gt;=$C$5,46&lt;=$E$5),1,0)</f>
        <v/>
      </c>
      <c r="AY31" s="85">
        <f>IF(AND(47&gt;=$C$5,47&lt;=$E$5),1,0)</f>
        <v/>
      </c>
      <c r="AZ31" s="85">
        <f>IF(AND(48&gt;=$C$5,48&lt;=$E$5),1,0)</f>
        <v/>
      </c>
      <c r="BA31" s="85">
        <f>IF(AND(49&gt;=$C$5,49&lt;=$E$5),1,0)</f>
        <v/>
      </c>
      <c r="BB31" s="85">
        <f>IF(AND(50&gt;=$C$5,50&lt;=$E$5),1,0)</f>
        <v/>
      </c>
      <c r="BC31" s="85">
        <f>IF(AND(51&gt;=$C$5,51&lt;=$E$5),1,0)</f>
        <v/>
      </c>
      <c r="BD31" s="85">
        <f>IF(AND(52&gt;=$C$5,52&lt;=$E$5),1,0)</f>
        <v/>
      </c>
      <c r="BE31" s="85">
        <f>IF(AND(53&gt;=$C$5,53&lt;=$E$5),1,0)</f>
        <v/>
      </c>
      <c r="BF31" s="85">
        <f>IF(AND(54&gt;=$C$5,54&lt;=$E$5),1,0)</f>
        <v/>
      </c>
      <c r="BG31" s="85">
        <f>IF(AND(55&gt;=$C$5,55&lt;=$E$5),1,0)</f>
        <v/>
      </c>
      <c r="BH31" s="85">
        <f>IF(AND(56&gt;=$C$5,56&lt;=$E$5),1,0)</f>
        <v/>
      </c>
      <c r="BI31" s="85">
        <f>IF(AND(57&gt;=$C$5,57&lt;=$E$5),1,0)</f>
        <v/>
      </c>
      <c r="BJ31" s="85">
        <f>IF(AND(58&gt;=$C$5,58&lt;=$E$5),1,0)</f>
        <v/>
      </c>
      <c r="BK31" s="85">
        <f>IF(AND(59&gt;=$C$5,59&lt;=$E$5),1,0)</f>
        <v/>
      </c>
      <c r="BL31" s="85">
        <f>IF(AND(60&gt;=$C$5,60&lt;=$E$5),1,0)</f>
        <v/>
      </c>
      <c r="BM31" s="85">
        <f>IF(AND(61&gt;=$C$5,61&lt;=$E$5),1,0)</f>
        <v/>
      </c>
      <c r="BN31" s="85">
        <f>IF(AND(62&gt;=$C$5,62&lt;=$E$5),1,0)</f>
        <v/>
      </c>
      <c r="BO31" s="85">
        <f>IF(AND(63&gt;=$C$5,63&lt;=$E$5),1,0)</f>
        <v/>
      </c>
      <c r="BP31" s="85">
        <f>IF(AND(64&gt;=$C$5,64&lt;=$E$5),1,0)</f>
        <v/>
      </c>
      <c r="BQ31" s="85">
        <f>IF(AND(65&gt;=$C$5,65&lt;=$E$5),1,0)</f>
        <v/>
      </c>
      <c r="BR31" s="85">
        <f>IF(AND(66&gt;=$C$5,66&lt;=$E$5),1,0)</f>
        <v/>
      </c>
      <c r="BS31" s="85">
        <f>IF(AND(67&gt;=$C$5,67&lt;=$E$5),1,0)</f>
        <v/>
      </c>
      <c r="BT31" s="85">
        <f>IF(AND(68&gt;=$C$5,68&lt;=$E$5),1,0)</f>
        <v/>
      </c>
      <c r="BU31" s="85">
        <f>IF(AND(69&gt;=$C$5,69&lt;=$E$5),1,0)</f>
        <v/>
      </c>
      <c r="BV31" s="85">
        <f>IF(AND(70&gt;=$C$5,70&lt;=$E$5),1,0)</f>
        <v/>
      </c>
      <c r="BW31" s="85">
        <f>IF(AND(71&gt;=$C$5,71&lt;=$E$5),1,0)</f>
        <v/>
      </c>
      <c r="BX31" s="85">
        <f>IF(AND(72&gt;=$C$5,72&lt;=$E$5),1,0)</f>
        <v/>
      </c>
      <c r="BY31" s="85">
        <f>IF(AND(73&gt;=$C$5,73&lt;=$E$5),1,0)</f>
        <v/>
      </c>
      <c r="BZ31" s="85">
        <f>IF(AND(74&gt;=$C$5,74&lt;=$E$5),1,0)</f>
        <v/>
      </c>
      <c r="CA31" s="85">
        <f>IF(AND(75&gt;=$C$5,75&lt;=$E$5),1,0)</f>
        <v/>
      </c>
      <c r="CB31" s="85">
        <f>IF(AND(76&gt;=$C$5,76&lt;=$E$5),1,0)</f>
        <v/>
      </c>
      <c r="CC31" s="85">
        <f>IF(AND(77&gt;=$C$5,77&lt;=$E$5),1,0)</f>
        <v/>
      </c>
      <c r="CD31" s="85">
        <f>IF(AND(78&gt;=$C$5,78&lt;=$E$5),1,0)</f>
        <v/>
      </c>
      <c r="CE31" s="85">
        <f>IF(AND(79&gt;=$C$5,79&lt;=$E$5),1,0)</f>
        <v/>
      </c>
      <c r="CF31" s="85">
        <f>IF(AND(80&gt;=$C$5,80&lt;=$E$5),1,0)</f>
        <v/>
      </c>
      <c r="CG31" s="85">
        <f>IF(AND(81&gt;=$C$5,81&lt;=$E$5),1,0)</f>
        <v/>
      </c>
      <c r="CH31" s="85">
        <f>IF(AND(82&gt;=$C$5,82&lt;=$E$5),1,0)</f>
        <v/>
      </c>
      <c r="CI31" s="85">
        <f>IF(AND(83&gt;=$C$5,83&lt;=$E$5),1,0)</f>
        <v/>
      </c>
      <c r="CJ31" s="85">
        <f>IF(AND(84&gt;=$C$5,84&lt;=$E$5),1,0)</f>
        <v/>
      </c>
      <c r="CK31" s="85">
        <f>IF(AND(85&gt;=$C$5,85&lt;=$E$5),1,0)</f>
        <v/>
      </c>
      <c r="CL31" s="85">
        <f>IF(AND(86&gt;=$C$5,86&lt;=$E$5),1,0)</f>
        <v/>
      </c>
      <c r="CM31" s="85">
        <f>IF(AND(87&gt;=$C$5,87&lt;=$E$5),1,0)</f>
        <v/>
      </c>
      <c r="CN31" s="85">
        <f>IF(AND(88&gt;=$C$5,88&lt;=$E$5),1,0)</f>
        <v/>
      </c>
      <c r="CO31" s="85">
        <f>IF(AND(89&gt;=$C$5,89&lt;=$E$5),1,0)</f>
        <v/>
      </c>
      <c r="CP31" s="85">
        <f>IF(AND(90&gt;=$C$5,90&lt;=$E$5),1,0)</f>
        <v/>
      </c>
      <c r="CQ31" s="85">
        <f>IF(AND(91&gt;=$C$5,91&lt;=$E$5),1,0)</f>
        <v/>
      </c>
      <c r="CR31" s="85">
        <f>IF(AND(92&gt;=$C$5,92&lt;=$E$5),1,0)</f>
        <v/>
      </c>
      <c r="CS31" s="85">
        <f>IF(AND(93&gt;=$C$5,93&lt;=$E$5),1,0)</f>
        <v/>
      </c>
      <c r="CT31" s="85">
        <f>IF(AND(94&gt;=$C$5,94&lt;=$E$5),1,0)</f>
        <v/>
      </c>
      <c r="CU31" s="85">
        <f>IF(AND(95&gt;=$C$5,95&lt;=$E$5),1,0)</f>
        <v/>
      </c>
      <c r="CV31" s="85">
        <f>IF(AND(96&gt;=$C$5,96&lt;=$E$5),1,0)</f>
        <v/>
      </c>
      <c r="CW31" s="85">
        <f>IF(AND(97&gt;=$C$5,97&lt;=$E$5),1,0)</f>
        <v/>
      </c>
      <c r="CX31" s="85">
        <f>IF(AND(98&gt;=$C$5,98&lt;=$E$5),1,0)</f>
        <v/>
      </c>
      <c r="CY31" s="85">
        <f>IF(AND(99&gt;=$C$5,99&lt;=$E$5),1,0)</f>
        <v/>
      </c>
      <c r="CZ31" s="85">
        <f>IF(AND(100&gt;=$C$5,100&lt;=$E$5),1,0)</f>
        <v/>
      </c>
      <c r="DA31" s="85">
        <f>IF(AND(101&gt;=$C$5,101&lt;=$E$5),1,0)</f>
        <v/>
      </c>
      <c r="DB31" s="85">
        <f>IF(AND(102&gt;=$C$5,102&lt;=$E$5),1,0)</f>
        <v/>
      </c>
      <c r="DC31" s="85">
        <f>IF(AND(103&gt;=$C$5,103&lt;=$E$5),1,0)</f>
        <v/>
      </c>
      <c r="DD31" s="85">
        <f>IF(AND(104&gt;=$C$5,104&lt;=$E$5),1,0)</f>
        <v/>
      </c>
      <c r="DE31" s="85">
        <f>IF(AND(105&gt;=$C$5,105&lt;=$E$5),1,0)</f>
        <v/>
      </c>
      <c r="DF31" s="85">
        <f>IF(AND(106&gt;=$C$5,106&lt;=$E$5),1,0)</f>
        <v/>
      </c>
      <c r="DG31" s="85">
        <f>IF(AND(107&gt;=$C$5,107&lt;=$E$5),1,0)</f>
        <v/>
      </c>
      <c r="DH31" s="85">
        <f>IF(AND(108&gt;=$C$5,108&lt;=$E$5),1,0)</f>
        <v/>
      </c>
      <c r="DI31" s="85">
        <f>IF(AND(109&gt;=$C$5,109&lt;=$E$5),1,0)</f>
        <v/>
      </c>
      <c r="DJ31" s="85">
        <f>IF(AND(110&gt;=$C$5,110&lt;=$E$5),1,0)</f>
        <v/>
      </c>
      <c r="DK31" s="85">
        <f>IF(AND(111&gt;=$C$5,111&lt;=$E$5),1,0)</f>
        <v/>
      </c>
      <c r="DL31" s="85">
        <f>IF(AND(112&gt;=$C$5,112&lt;=$E$5),1,0)</f>
        <v/>
      </c>
      <c r="DM31" s="85">
        <f>IF(AND(113&gt;=$C$5,113&lt;=$E$5),1,0)</f>
        <v/>
      </c>
      <c r="DN31" s="85">
        <f>IF(AND(114&gt;=$C$5,114&lt;=$E$5),1,0)</f>
        <v/>
      </c>
      <c r="DO31" s="85">
        <f>IF(AND(115&gt;=$C$5,115&lt;=$E$5),1,0)</f>
        <v/>
      </c>
      <c r="DP31" s="85">
        <f>IF(AND(116&gt;=$C$5,116&lt;=$E$5),1,0)</f>
        <v/>
      </c>
      <c r="DQ31" s="85">
        <f>IF(AND(117&gt;=$C$5,117&lt;=$E$5),1,0)</f>
        <v/>
      </c>
      <c r="DR31" s="85">
        <f>IF(AND(118&gt;=$C$5,118&lt;=$E$5),1,0)</f>
        <v/>
      </c>
      <c r="DS31" s="85">
        <f>IF(AND(119&gt;=$C$5,119&lt;=$E$5),1,0)</f>
        <v/>
      </c>
      <c r="DT31" s="85">
        <f>IF(AND(120&gt;=$C$5,120&lt;=$E$5),1,0)</f>
        <v/>
      </c>
      <c r="DU31" s="85">
        <f>IF(AND(121&gt;=$C$5,121&lt;=$E$5),1,0)</f>
        <v/>
      </c>
      <c r="DV31" s="85">
        <f>IF(AND(122&gt;=$C$5,122&lt;=$E$5),1,0)</f>
        <v/>
      </c>
      <c r="DW31" s="85">
        <f>IF(AND(123&gt;=$C$5,123&lt;=$E$5),1,0)</f>
        <v/>
      </c>
      <c r="DX31" s="85">
        <f>IF(AND(124&gt;=$C$5,124&lt;=$E$5),1,0)</f>
        <v/>
      </c>
      <c r="DY31" s="85">
        <f>IF(AND(125&gt;=$C$5,125&lt;=$E$5),1,0)</f>
        <v/>
      </c>
      <c r="DZ31" s="85">
        <f>IF(AND(126&gt;=$C$5,126&lt;=$E$5),1,0)</f>
        <v/>
      </c>
      <c r="EA31" s="85">
        <f>IF(AND(127&gt;=$C$5,127&lt;=$E$5),1,0)</f>
        <v/>
      </c>
      <c r="EB31" s="85">
        <f>IF(AND(128&gt;=$C$5,128&lt;=$E$5),1,0)</f>
        <v/>
      </c>
      <c r="EC31" s="85">
        <f>IF(AND(129&gt;=$C$5,129&lt;=$E$5),1,0)</f>
        <v/>
      </c>
      <c r="ED31" s="85">
        <f>IF(AND(130&gt;=$C$5,130&lt;=$E$5),1,0)</f>
        <v/>
      </c>
      <c r="EE31" s="85">
        <f>IF(AND(131&gt;=$C$5,131&lt;=$E$5),1,0)</f>
        <v/>
      </c>
      <c r="EF31" s="85">
        <f>IF(AND(132&gt;=$C$5,132&lt;=$E$5),1,0)</f>
        <v/>
      </c>
      <c r="EG31" s="85">
        <f>IF(AND(133&gt;=$C$5,133&lt;=$E$5),1,0)</f>
        <v/>
      </c>
      <c r="EH31" s="85">
        <f>IF(AND(134&gt;=$C$5,134&lt;=$E$5),1,0)</f>
        <v/>
      </c>
      <c r="EI31" s="85">
        <f>IF(AND(135&gt;=$C$5,135&lt;=$E$5),1,0)</f>
        <v/>
      </c>
      <c r="EJ31" s="85">
        <f>IF(AND(136&gt;=$C$5,136&lt;=$E$5),1,0)</f>
        <v/>
      </c>
      <c r="EK31" s="85">
        <f>IF(AND(137&gt;=$C$5,137&lt;=$E$5),1,0)</f>
        <v/>
      </c>
      <c r="EL31" s="85">
        <f>IF(AND(138&gt;=$C$5,138&lt;=$E$5),1,0)</f>
        <v/>
      </c>
      <c r="EM31" s="85">
        <f>IF(AND(139&gt;=$C$5,139&lt;=$E$5),1,0)</f>
        <v/>
      </c>
      <c r="EN31" s="85">
        <f>IF(AND(140&gt;=$C$5,140&lt;=$E$5),1,0)</f>
        <v/>
      </c>
      <c r="EO31" s="85">
        <f>IF(AND(141&gt;=$C$5,141&lt;=$E$5),1,0)</f>
        <v/>
      </c>
      <c r="EP31" s="85">
        <f>IF(AND(142&gt;=$C$5,142&lt;=$E$5),1,0)</f>
        <v/>
      </c>
      <c r="EQ31" s="85">
        <f>IF(AND(143&gt;=$C$5,143&lt;=$E$5),1,0)</f>
        <v/>
      </c>
      <c r="ER31" s="85">
        <f>IF(AND(144&gt;=$C$5,144&lt;=$E$5),1,0)</f>
        <v/>
      </c>
      <c r="ES31" s="85">
        <f>IF(AND(145&gt;=$C$5,145&lt;=$E$5),1,0)</f>
        <v/>
      </c>
      <c r="ET31" s="85">
        <f>IF(AND(146&gt;=$C$5,146&lt;=$E$5),1,0)</f>
        <v/>
      </c>
      <c r="EU31" s="85">
        <f>IF(AND(147&gt;=$C$5,147&lt;=$E$5),1,0)</f>
        <v/>
      </c>
      <c r="EV31" s="85">
        <f>IF(AND(148&gt;=$C$5,148&lt;=$E$5),1,0)</f>
        <v/>
      </c>
      <c r="EW31" s="85">
        <f>IF(AND(149&gt;=$C$5,149&lt;=$E$5),1,0)</f>
        <v/>
      </c>
      <c r="EX31" s="85">
        <f>IF(AND(150&gt;=$C$5,150&lt;=$E$5),1,0)</f>
        <v/>
      </c>
      <c r="EY31" s="85">
        <f>IF(AND(151&gt;=$C$5,151&lt;=$E$5),1,0)</f>
        <v/>
      </c>
      <c r="EZ31" s="85">
        <f>IF(AND(152&gt;=$C$5,152&lt;=$E$5),1,0)</f>
        <v/>
      </c>
      <c r="FA31" s="85">
        <f>IF(AND(153&gt;=$C$5,153&lt;=$E$5),1,0)</f>
        <v/>
      </c>
      <c r="FB31" s="85">
        <f>IF(AND(154&gt;=$C$5,154&lt;=$E$5),1,0)</f>
        <v/>
      </c>
      <c r="FC31" s="85">
        <f>IF(AND(155&gt;=$C$5,155&lt;=$E$5),1,0)</f>
        <v/>
      </c>
      <c r="FD31" s="85">
        <f>IF(AND(156&gt;=$C$5,156&lt;=$E$5),1,0)</f>
        <v/>
      </c>
      <c r="FE31" s="85">
        <f>IF(AND(157&gt;=$C$5,157&lt;=$E$5),1,0)</f>
        <v/>
      </c>
      <c r="FF31" s="85">
        <f>IF(AND(158&gt;=$C$5,158&lt;=$E$5),1,0)</f>
        <v/>
      </c>
      <c r="FG31" s="85">
        <f>IF(AND(159&gt;=$C$5,159&lt;=$E$5),1,0)</f>
        <v/>
      </c>
      <c r="FH31" s="85">
        <f>IF(AND(160&gt;=$C$5,160&lt;=$E$5),1,0)</f>
        <v/>
      </c>
      <c r="FI31" s="85">
        <f>IF(AND(161&gt;=$C$5,161&lt;=$E$5),1,0)</f>
        <v/>
      </c>
      <c r="FJ31" s="85">
        <f>IF(AND(162&gt;=$C$5,162&lt;=$E$5),1,0)</f>
        <v/>
      </c>
      <c r="FK31" s="85">
        <f>IF(AND(163&gt;=$C$5,163&lt;=$E$5),1,0)</f>
        <v/>
      </c>
      <c r="FL31" s="85">
        <f>IF(AND(164&gt;=$C$5,164&lt;=$E$5),1,0)</f>
        <v/>
      </c>
      <c r="FM31" s="85">
        <f>IF(AND(165&gt;=$C$5,165&lt;=$E$5),1,0)</f>
        <v/>
      </c>
      <c r="FN31" s="85">
        <f>IF(AND(166&gt;=$C$5,166&lt;=$E$5),1,0)</f>
        <v/>
      </c>
      <c r="FO31" s="85">
        <f>IF(AND(167&gt;=$C$5,167&lt;=$E$5),1,0)</f>
        <v/>
      </c>
      <c r="FP31" s="85">
        <f>IF(AND(168&gt;=$C$5,168&lt;=$E$5),1,0)</f>
        <v/>
      </c>
      <c r="FQ31" s="85">
        <f>IF(AND(169&gt;=$C$5,169&lt;=$E$5),1,0)</f>
        <v/>
      </c>
      <c r="FR31" s="85">
        <f>IF(AND(170&gt;=$C$5,170&lt;=$E$5),1,0)</f>
        <v/>
      </c>
      <c r="FS31" s="85">
        <f>IF(AND(171&gt;=$C$5,171&lt;=$E$5),1,0)</f>
        <v/>
      </c>
      <c r="FT31" s="85">
        <f>IF(AND(172&gt;=$C$5,172&lt;=$E$5),1,0)</f>
        <v/>
      </c>
      <c r="FU31" s="85">
        <f>IF(AND(173&gt;=$C$5,173&lt;=$E$5),1,0)</f>
        <v/>
      </c>
      <c r="FV31" s="85">
        <f>IF(AND(174&gt;=$C$5,174&lt;=$E$5),1,0)</f>
        <v/>
      </c>
      <c r="FW31" s="85">
        <f>IF(AND(175&gt;=$C$5,175&lt;=$E$5),1,0)</f>
        <v/>
      </c>
      <c r="FX31" s="85">
        <f>IF(AND(176&gt;=$C$5,176&lt;=$E$5),1,0)</f>
        <v/>
      </c>
      <c r="FY31" s="85">
        <f>IF(AND(177&gt;=$C$5,177&lt;=$E$5),1,0)</f>
        <v/>
      </c>
      <c r="FZ31" s="85">
        <f>IF(AND(178&gt;=$C$5,178&lt;=$E$5),1,0)</f>
        <v/>
      </c>
      <c r="GA31" s="85">
        <f>IF(AND(179&gt;=$C$5,179&lt;=$E$5),1,0)</f>
        <v/>
      </c>
      <c r="GB31" s="85">
        <f>IF(AND(180&gt;=$C$5,180&lt;=$E$5),1,0)</f>
        <v/>
      </c>
      <c r="GC31" s="85">
        <f>IF(AND(181&gt;=$C$5,181&lt;=$E$5),1,0)</f>
        <v/>
      </c>
      <c r="GD31" s="85">
        <f>IF(AND(182&gt;=$C$5,182&lt;=$E$5),1,0)</f>
        <v/>
      </c>
      <c r="GE31" s="85">
        <f>IF(AND(183&gt;=$C$5,183&lt;=$E$5),1,0)</f>
        <v/>
      </c>
      <c r="GF31" s="85">
        <f>IF(AND(184&gt;=$C$5,184&lt;=$E$5),1,0)</f>
        <v/>
      </c>
      <c r="GG31" s="85">
        <f>IF(AND(185&gt;=$C$5,185&lt;=$E$5),1,0)</f>
        <v/>
      </c>
      <c r="GH31" s="85">
        <f>IF(AND(186&gt;=$C$5,186&lt;=$E$5),1,0)</f>
        <v/>
      </c>
      <c r="GI31" s="85">
        <f>IF(AND(187&gt;=$C$5,187&lt;=$E$5),1,0)</f>
        <v/>
      </c>
      <c r="GJ31" s="85">
        <f>IF(AND(188&gt;=$C$5,188&lt;=$E$5),1,0)</f>
        <v/>
      </c>
      <c r="GK31" s="85">
        <f>IF(AND(189&gt;=$C$5,189&lt;=$E$5),1,0)</f>
        <v/>
      </c>
      <c r="GL31" s="85">
        <f>IF(AND(190&gt;=$C$5,190&lt;=$E$5),1,0)</f>
        <v/>
      </c>
      <c r="GM31" s="85">
        <f>IF(AND(191&gt;=$C$5,191&lt;=$E$5),1,0)</f>
        <v/>
      </c>
      <c r="GN31" s="85">
        <f>IF(AND(192&gt;=$C$5,192&lt;=$E$5),1,0)</f>
        <v/>
      </c>
      <c r="GO31" s="85">
        <f>IF(AND(193&gt;=$C$5,193&lt;=$E$5),1,0)</f>
        <v/>
      </c>
      <c r="GP31" s="85">
        <f>IF(AND(194&gt;=$C$5,194&lt;=$E$5),1,0)</f>
        <v/>
      </c>
      <c r="GQ31" s="85">
        <f>IF(AND(195&gt;=$C$5,195&lt;=$E$5),1,0)</f>
        <v/>
      </c>
      <c r="GR31" s="85">
        <f>IF(AND(196&gt;=$C$5,196&lt;=$E$5),1,0)</f>
        <v/>
      </c>
      <c r="GS31" s="85">
        <f>IF(AND(197&gt;=$C$5,197&lt;=$E$5),1,0)</f>
        <v/>
      </c>
      <c r="GT31" s="85">
        <f>IF(AND(198&gt;=$C$5,198&lt;=$E$5),1,0)</f>
        <v/>
      </c>
      <c r="GU31" s="85">
        <f>IF(AND(199&gt;=$C$5,199&lt;=$E$5),1,0)</f>
        <v/>
      </c>
      <c r="GV31" s="85">
        <f>IF(AND(200&gt;=$C$5,200&lt;=$E$5),1,0)</f>
        <v/>
      </c>
      <c r="GW31" s="85">
        <f>IF(AND(201&gt;=$C$5,201&lt;=$E$5),1,0)</f>
        <v/>
      </c>
      <c r="GX31" s="85">
        <f>IF(AND(202&gt;=$C$5,202&lt;=$E$5),1,0)</f>
        <v/>
      </c>
      <c r="GY31" s="85">
        <f>IF(AND(203&gt;=$C$5,203&lt;=$E$5),1,0)</f>
        <v/>
      </c>
      <c r="GZ31" s="85">
        <f>IF(AND(204&gt;=$C$5,204&lt;=$E$5),1,0)</f>
        <v/>
      </c>
      <c r="HA31" s="85">
        <f>IF(AND(205&gt;=$C$5,205&lt;=$E$5),1,0)</f>
        <v/>
      </c>
      <c r="HB31" s="85">
        <f>IF(AND(206&gt;=$C$5,206&lt;=$E$5),1,0)</f>
        <v/>
      </c>
      <c r="HC31" s="85">
        <f>IF(AND(207&gt;=$C$5,207&lt;=$E$5),1,0)</f>
        <v/>
      </c>
      <c r="HD31" s="85">
        <f>IF(AND(208&gt;=$C$5,208&lt;=$E$5),1,0)</f>
        <v/>
      </c>
      <c r="HE31" s="85">
        <f>IF(AND(209&gt;=$C$5,209&lt;=$E$5),1,0)</f>
        <v/>
      </c>
      <c r="HF31" s="85">
        <f>IF(AND(210&gt;=$C$5,210&lt;=$E$5),1,0)</f>
        <v/>
      </c>
      <c r="HG31" s="85">
        <f>IF(AND(211&gt;=$C$5,211&lt;=$E$5),1,0)</f>
        <v/>
      </c>
      <c r="HH31" s="85">
        <f>IF(AND(212&gt;=$C$5,212&lt;=$E$5),1,0)</f>
        <v/>
      </c>
      <c r="HI31" s="85">
        <f>IF(AND(213&gt;=$C$5,213&lt;=$E$5),1,0)</f>
        <v/>
      </c>
      <c r="HJ31" s="85">
        <f>IF(AND(214&gt;=$C$5,214&lt;=$E$5),1,0)</f>
        <v/>
      </c>
      <c r="HK31" s="85">
        <f>IF(AND(215&gt;=$C$5,215&lt;=$E$5),1,0)</f>
        <v/>
      </c>
      <c r="HL31" s="85">
        <f>IF(AND(216&gt;=$C$5,216&lt;=$E$5),1,0)</f>
        <v/>
      </c>
      <c r="HM31" s="85">
        <f>IF(AND(217&gt;=$C$5,217&lt;=$E$5),1,0)</f>
        <v/>
      </c>
      <c r="HN31" s="85">
        <f>IF(AND(218&gt;=$C$5,218&lt;=$E$5),1,0)</f>
        <v/>
      </c>
      <c r="HO31" s="85">
        <f>IF(AND(219&gt;=$C$5,219&lt;=$E$5),1,0)</f>
        <v/>
      </c>
      <c r="HP31" s="85">
        <f>IF(AND(220&gt;=$C$5,220&lt;=$E$5),1,0)</f>
        <v/>
      </c>
      <c r="HQ31" s="85">
        <f>IF(AND(221&gt;=$C$5,221&lt;=$E$5),1,0)</f>
        <v/>
      </c>
      <c r="HR31" s="85">
        <f>IF(AND(222&gt;=$C$5,222&lt;=$E$5),1,0)</f>
        <v/>
      </c>
      <c r="HS31" s="85">
        <f>IF(AND(223&gt;=$C$5,223&lt;=$E$5),1,0)</f>
        <v/>
      </c>
      <c r="HT31" s="85">
        <f>IF(AND(224&gt;=$C$5,224&lt;=$E$5),1,0)</f>
        <v/>
      </c>
      <c r="HU31" s="85">
        <f>IF(AND(225&gt;=$C$5,225&lt;=$E$5),1,0)</f>
        <v/>
      </c>
      <c r="HV31" s="85">
        <f>IF(AND(226&gt;=$C$5,226&lt;=$E$5),1,0)</f>
        <v/>
      </c>
      <c r="HW31" s="85">
        <f>IF(AND(227&gt;=$C$5,227&lt;=$E$5),1,0)</f>
        <v/>
      </c>
      <c r="HX31" s="85">
        <f>IF(AND(228&gt;=$C$5,228&lt;=$E$5),1,0)</f>
        <v/>
      </c>
      <c r="HY31" s="85">
        <f>IF(AND(229&gt;=$C$5,229&lt;=$E$5),1,0)</f>
        <v/>
      </c>
      <c r="HZ31" s="85">
        <f>IF(AND(230&gt;=$C$5,230&lt;=$E$5),1,0)</f>
        <v/>
      </c>
      <c r="IA31" s="85">
        <f>IF(AND(231&gt;=$C$5,231&lt;=$E$5),1,0)</f>
        <v/>
      </c>
      <c r="IB31" s="85">
        <f>IF(AND(232&gt;=$C$5,232&lt;=$E$5),1,0)</f>
        <v/>
      </c>
      <c r="IC31" s="85">
        <f>IF(AND(233&gt;=$C$5,233&lt;=$E$5),1,0)</f>
        <v/>
      </c>
      <c r="ID31" s="85">
        <f>IF(AND(234&gt;=$C$5,234&lt;=$E$5),1,0)</f>
        <v/>
      </c>
      <c r="IE31" s="85">
        <f>IF(AND(235&gt;=$C$5,235&lt;=$E$5),1,0)</f>
        <v/>
      </c>
      <c r="IF31" s="85">
        <f>IF(AND(236&gt;=$C$5,236&lt;=$E$5),1,0)</f>
        <v/>
      </c>
      <c r="IG31" s="85">
        <f>IF(AND(237&gt;=$C$5,237&lt;=$E$5),1,0)</f>
        <v/>
      </c>
      <c r="IH31" s="85">
        <f>IF(AND(238&gt;=$C$5,238&lt;=$E$5),1,0)</f>
        <v/>
      </c>
      <c r="II31" s="85">
        <f>IF(AND(239&gt;=$C$5,239&lt;=$E$5),1,0)</f>
        <v/>
      </c>
      <c r="IJ31" s="85">
        <f>IF(AND(240&gt;=$C$5,240&lt;=$E$5),1,0)</f>
        <v/>
      </c>
      <c r="IK31" s="85">
        <f>IF(AND(241&gt;=$C$5,241&lt;=$E$5),1,0)</f>
        <v/>
      </c>
      <c r="IL31" s="85">
        <f>IF(AND(242&gt;=$C$5,242&lt;=$E$5),1,0)</f>
        <v/>
      </c>
      <c r="IM31" s="85">
        <f>IF(AND(243&gt;=$C$5,243&lt;=$E$5),1,0)</f>
        <v/>
      </c>
      <c r="IN31" s="85">
        <f>IF(AND(244&gt;=$C$5,244&lt;=$E$5),1,0)</f>
        <v/>
      </c>
      <c r="IO31" s="85">
        <f>IF(AND(245&gt;=$C$5,245&lt;=$E$5),1,0)</f>
        <v/>
      </c>
      <c r="IP31" s="85">
        <f>IF(AND(246&gt;=$C$5,246&lt;=$E$5),1,0)</f>
        <v/>
      </c>
      <c r="IQ31" s="85">
        <f>IF(AND(247&gt;=$C$5,247&lt;=$E$5),1,0)</f>
        <v/>
      </c>
      <c r="IR31" s="85">
        <f>IF(AND(248&gt;=$C$5,248&lt;=$E$5),1,0)</f>
        <v/>
      </c>
      <c r="IS31" s="85">
        <f>IF(AND(249&gt;=$C$5,249&lt;=$E$5),1,0)</f>
        <v/>
      </c>
      <c r="IT31" s="85">
        <f>IF(AND(250&gt;=$C$5,250&lt;=$E$5),1,0)</f>
        <v/>
      </c>
      <c r="IU31" s="85">
        <f>IF(AND(251&gt;=$C$5,251&lt;=$E$5),1,0)</f>
        <v/>
      </c>
      <c r="IV31" s="85">
        <f>IF(AND(252&gt;=$C$5,252&lt;=$E$5),1,0)</f>
        <v/>
      </c>
      <c r="IW31" s="85">
        <f>IF(AND(253&gt;=$C$5,253&lt;=$E$5),1,0)</f>
        <v/>
      </c>
      <c r="IX31" s="85">
        <f>IF(AND(254&gt;=$C$5,254&lt;=$E$5),1,0)</f>
        <v/>
      </c>
      <c r="IY31" s="85">
        <f>IF(AND(255&gt;=$C$5,255&lt;=$E$5),1,0)</f>
        <v/>
      </c>
      <c r="IZ31" s="85">
        <f>IF(AND(256&gt;=$C$5,256&lt;=$E$5),1,0)</f>
        <v/>
      </c>
      <c r="JA31" s="85">
        <f>IF(AND(257&gt;=$C$5,257&lt;=$E$5),1,0)</f>
        <v/>
      </c>
      <c r="JB31" s="85">
        <f>IF(AND(258&gt;=$C$5,258&lt;=$E$5),1,0)</f>
        <v/>
      </c>
      <c r="JC31" s="85">
        <f>IF(AND(259&gt;=$C$5,259&lt;=$E$5),1,0)</f>
        <v/>
      </c>
      <c r="JD31" s="85">
        <f>IF(AND(260&gt;=$C$5,260&lt;=$E$5),1,0)</f>
        <v/>
      </c>
      <c r="JE31" s="85">
        <f>IF(AND(261&gt;=$C$5,261&lt;=$E$5),1,0)</f>
        <v/>
      </c>
      <c r="JF31" s="85">
        <f>IF(AND(262&gt;=$C$5,262&lt;=$E$5),1,0)</f>
        <v/>
      </c>
      <c r="JG31" s="85">
        <f>IF(AND(263&gt;=$C$5,263&lt;=$E$5),1,0)</f>
        <v/>
      </c>
      <c r="JH31" s="85">
        <f>IF(AND(264&gt;=$C$5,264&lt;=$E$5),1,0)</f>
        <v/>
      </c>
      <c r="JI31" s="85">
        <f>IF(AND(265&gt;=$C$5,265&lt;=$E$5),1,0)</f>
        <v/>
      </c>
      <c r="JJ31" s="85">
        <f>IF(AND(266&gt;=$C$5,266&lt;=$E$5),1,0)</f>
        <v/>
      </c>
      <c r="JK31" s="85">
        <f>IF(AND(267&gt;=$C$5,267&lt;=$E$5),1,0)</f>
        <v/>
      </c>
      <c r="JL31" s="85">
        <f>IF(AND(268&gt;=$C$5,268&lt;=$E$5),1,0)</f>
        <v/>
      </c>
      <c r="JM31" s="85">
        <f>IF(AND(269&gt;=$C$5,269&lt;=$E$5),1,0)</f>
        <v/>
      </c>
      <c r="JN31" s="85">
        <f>IF(AND(270&gt;=$C$5,270&lt;=$E$5),1,0)</f>
        <v/>
      </c>
      <c r="JO31" s="85">
        <f>IF(AND(271&gt;=$C$5,271&lt;=$E$5),1,0)</f>
        <v/>
      </c>
      <c r="JP31" s="85">
        <f>IF(AND(272&gt;=$C$5,272&lt;=$E$5),1,0)</f>
        <v/>
      </c>
      <c r="JQ31" s="85">
        <f>IF(AND(273&gt;=$C$5,273&lt;=$E$5),1,0)</f>
        <v/>
      </c>
      <c r="JR31" s="85">
        <f>IF(AND(274&gt;=$C$5,274&lt;=$E$5),1,0)</f>
        <v/>
      </c>
      <c r="JS31" s="85">
        <f>IF(AND(275&gt;=$C$5,275&lt;=$E$5),1,0)</f>
        <v/>
      </c>
      <c r="JT31" s="85">
        <f>IF(AND(276&gt;=$C$5,276&lt;=$E$5),1,0)</f>
        <v/>
      </c>
      <c r="JU31" s="85">
        <f>IF(AND(277&gt;=$C$5,277&lt;=$E$5),1,0)</f>
        <v/>
      </c>
      <c r="JV31" s="85">
        <f>IF(AND(278&gt;=$C$5,278&lt;=$E$5),1,0)</f>
        <v/>
      </c>
      <c r="JW31" s="85">
        <f>IF(AND(279&gt;=$C$5,279&lt;=$E$5),1,0)</f>
        <v/>
      </c>
      <c r="JX31" s="85">
        <f>IF(AND(280&gt;=$C$5,280&lt;=$E$5),1,0)</f>
        <v/>
      </c>
      <c r="JY31" s="85">
        <f>IF(AND(281&gt;=$C$5,281&lt;=$E$5),1,0)</f>
        <v/>
      </c>
      <c r="JZ31" s="85">
        <f>IF(AND(282&gt;=$C$5,282&lt;=$E$5),1,0)</f>
        <v/>
      </c>
      <c r="KA31" s="85">
        <f>IF(AND(283&gt;=$C$5,283&lt;=$E$5),1,0)</f>
        <v/>
      </c>
      <c r="KB31" s="85">
        <f>IF(AND(284&gt;=$C$5,284&lt;=$E$5),1,0)</f>
        <v/>
      </c>
      <c r="KC31" s="85">
        <f>IF(AND(285&gt;=$C$5,285&lt;=$E$5),1,0)</f>
        <v/>
      </c>
      <c r="KD31" s="85">
        <f>IF(AND(286&gt;=$C$5,286&lt;=$E$5),1,0)</f>
        <v/>
      </c>
      <c r="KE31" s="85">
        <f>IF(AND(287&gt;=$C$5,287&lt;=$E$5),1,0)</f>
        <v/>
      </c>
      <c r="KF31" s="85">
        <f>IF(AND(288&gt;=$C$5,288&lt;=$E$5),1,0)</f>
        <v/>
      </c>
      <c r="KG31" s="85">
        <f>IF(AND(289&gt;=$C$5,289&lt;=$E$5),1,0)</f>
        <v/>
      </c>
      <c r="KH31" s="85">
        <f>IF(AND(290&gt;=$C$5,290&lt;=$E$5),1,0)</f>
        <v/>
      </c>
      <c r="KI31" s="85">
        <f>IF(AND(291&gt;=$C$5,291&lt;=$E$5),1,0)</f>
        <v/>
      </c>
      <c r="KJ31" s="85">
        <f>IF(AND(292&gt;=$C$5,292&lt;=$E$5),1,0)</f>
        <v/>
      </c>
      <c r="KK31" s="85">
        <f>IF(AND(293&gt;=$C$5,293&lt;=$E$5),1,0)</f>
        <v/>
      </c>
      <c r="KL31" s="85">
        <f>IF(AND(294&gt;=$C$5,294&lt;=$E$5),1,0)</f>
        <v/>
      </c>
      <c r="KM31" s="85">
        <f>IF(AND(295&gt;=$C$5,295&lt;=$E$5),1,0)</f>
        <v/>
      </c>
      <c r="KN31" s="85">
        <f>IF(AND(296&gt;=$C$5,296&lt;=$E$5),1,0)</f>
        <v/>
      </c>
      <c r="KO31" s="85">
        <f>IF(AND(297&gt;=$C$5,297&lt;=$E$5),1,0)</f>
        <v/>
      </c>
      <c r="KP31" s="85">
        <f>IF(AND(298&gt;=$C$5,298&lt;=$E$5),1,0)</f>
        <v/>
      </c>
      <c r="KQ31" s="85">
        <f>IF(AND(299&gt;=$C$5,299&lt;=$E$5),1,0)</f>
        <v/>
      </c>
      <c r="KR31" s="85">
        <f>IF(AND(300&gt;=$C$5,300&lt;=$E$5),1,0)</f>
        <v/>
      </c>
      <c r="KS31" s="85">
        <f>IF(AND(301&gt;=$C$5,301&lt;=$E$5),1,0)</f>
        <v/>
      </c>
      <c r="KT31" s="85">
        <f>IF(AND(302&gt;=$C$5,302&lt;=$E$5),1,0)</f>
        <v/>
      </c>
      <c r="KU31" s="85">
        <f>IF(AND(303&gt;=$C$5,303&lt;=$E$5),1,0)</f>
        <v/>
      </c>
      <c r="KV31" s="85">
        <f>IF(AND(304&gt;=$C$5,304&lt;=$E$5),1,0)</f>
        <v/>
      </c>
      <c r="KW31" s="85">
        <f>IF(AND(305&gt;=$C$5,305&lt;=$E$5),1,0)</f>
        <v/>
      </c>
      <c r="KX31" s="85">
        <f>IF(AND(306&gt;=$C$5,306&lt;=$E$5),1,0)</f>
        <v/>
      </c>
      <c r="KY31" s="85">
        <f>IF(AND(307&gt;=$C$5,307&lt;=$E$5),1,0)</f>
        <v/>
      </c>
      <c r="KZ31" s="85">
        <f>IF(AND(308&gt;=$C$5,308&lt;=$E$5),1,0)</f>
        <v/>
      </c>
      <c r="LA31" s="85">
        <f>IF(AND(309&gt;=$C$5,309&lt;=$E$5),1,0)</f>
        <v/>
      </c>
      <c r="LB31" s="85">
        <f>IF(AND(310&gt;=$C$5,310&lt;=$E$5),1,0)</f>
        <v/>
      </c>
      <c r="LC31" s="85">
        <f>IF(AND(311&gt;=$C$5,311&lt;=$E$5),1,0)</f>
        <v/>
      </c>
      <c r="LD31" s="85">
        <f>IF(AND(312&gt;=$C$5,312&lt;=$E$5),1,0)</f>
        <v/>
      </c>
      <c r="LE31" s="85">
        <f>IF(AND(313&gt;=$C$5,313&lt;=$E$5),1,0)</f>
        <v/>
      </c>
      <c r="LF31" s="85">
        <f>IF(AND(314&gt;=$C$5,314&lt;=$E$5),1,0)</f>
        <v/>
      </c>
      <c r="LG31" s="85">
        <f>IF(AND(315&gt;=$C$5,315&lt;=$E$5),1,0)</f>
        <v/>
      </c>
      <c r="LH31" s="85">
        <f>IF(AND(316&gt;=$C$5,316&lt;=$E$5),1,0)</f>
        <v/>
      </c>
      <c r="LI31" s="85">
        <f>IF(AND(317&gt;=$C$5,317&lt;=$E$5),1,0)</f>
        <v/>
      </c>
      <c r="LJ31" s="85">
        <f>IF(AND(318&gt;=$C$5,318&lt;=$E$5),1,0)</f>
        <v/>
      </c>
      <c r="LK31" s="85">
        <f>IF(AND(319&gt;=$C$5,319&lt;=$E$5),1,0)</f>
        <v/>
      </c>
      <c r="LL31" s="85">
        <f>IF(AND(320&gt;=$C$5,320&lt;=$E$5),1,0)</f>
        <v/>
      </c>
      <c r="LM31" s="85">
        <f>IF(AND(321&gt;=$C$5,321&lt;=$E$5),1,0)</f>
        <v/>
      </c>
      <c r="LN31" s="85">
        <f>IF(AND(322&gt;=$C$5,322&lt;=$E$5),1,0)</f>
        <v/>
      </c>
      <c r="LO31" s="85">
        <f>IF(AND(323&gt;=$C$5,323&lt;=$E$5),1,0)</f>
        <v/>
      </c>
      <c r="LP31" s="85">
        <f>IF(AND(324&gt;=$C$5,324&lt;=$E$5),1,0)</f>
        <v/>
      </c>
      <c r="LQ31" s="85">
        <f>IF(AND(325&gt;=$C$5,325&lt;=$E$5),1,0)</f>
        <v/>
      </c>
      <c r="LR31" s="85">
        <f>IF(AND(326&gt;=$C$5,326&lt;=$E$5),1,0)</f>
        <v/>
      </c>
      <c r="LS31" s="85">
        <f>IF(AND(327&gt;=$C$5,327&lt;=$E$5),1,0)</f>
        <v/>
      </c>
      <c r="LT31" s="85">
        <f>IF(AND(328&gt;=$C$5,328&lt;=$E$5),1,0)</f>
        <v/>
      </c>
      <c r="LU31" s="85">
        <f>IF(AND(329&gt;=$C$5,329&lt;=$E$5),1,0)</f>
        <v/>
      </c>
      <c r="LV31" s="85">
        <f>IF(AND(330&gt;=$C$5,330&lt;=$E$5),1,0)</f>
        <v/>
      </c>
      <c r="LW31" s="85">
        <f>IF(AND(331&gt;=$C$5,331&lt;=$E$5),1,0)</f>
        <v/>
      </c>
      <c r="LX31" s="85">
        <f>IF(AND(332&gt;=$C$5,332&lt;=$E$5),1,0)</f>
        <v/>
      </c>
      <c r="LY31" s="85">
        <f>IF(AND(333&gt;=$C$5,333&lt;=$E$5),1,0)</f>
        <v/>
      </c>
      <c r="LZ31" s="85">
        <f>IF(AND(334&gt;=$C$5,334&lt;=$E$5),1,0)</f>
        <v/>
      </c>
      <c r="MA31" s="85">
        <f>IF(AND(335&gt;=$C$5,335&lt;=$E$5),1,0)</f>
        <v/>
      </c>
      <c r="MB31" s="85">
        <f>IF(AND(336&gt;=$C$5,336&lt;=$E$5),1,0)</f>
        <v/>
      </c>
      <c r="MC31" s="85">
        <f>IF(AND(337&gt;=$C$5,337&lt;=$E$5),1,0)</f>
        <v/>
      </c>
      <c r="MD31" s="85">
        <f>IF(AND(338&gt;=$C$5,338&lt;=$E$5),1,0)</f>
        <v/>
      </c>
      <c r="ME31" s="85">
        <f>IF(AND(339&gt;=$C$5,339&lt;=$E$5),1,0)</f>
        <v/>
      </c>
      <c r="MF31" s="85">
        <f>IF(AND(340&gt;=$C$5,340&lt;=$E$5),1,0)</f>
        <v/>
      </c>
      <c r="MG31" s="85">
        <f>IF(AND(341&gt;=$C$5,341&lt;=$E$5),1,0)</f>
        <v/>
      </c>
      <c r="MH31" s="85">
        <f>IF(AND(342&gt;=$C$5,342&lt;=$E$5),1,0)</f>
        <v/>
      </c>
      <c r="MI31" s="85">
        <f>IF(AND(343&gt;=$C$5,343&lt;=$E$5),1,0)</f>
        <v/>
      </c>
      <c r="MJ31" s="85">
        <f>IF(AND(344&gt;=$C$5,344&lt;=$E$5),1,0)</f>
        <v/>
      </c>
      <c r="MK31" s="85">
        <f>IF(AND(345&gt;=$C$5,345&lt;=$E$5),1,0)</f>
        <v/>
      </c>
      <c r="ML31" s="85">
        <f>IF(AND(346&gt;=$C$5,346&lt;=$E$5),1,0)</f>
        <v/>
      </c>
      <c r="MM31" s="85">
        <f>IF(AND(347&gt;=$C$5,347&lt;=$E$5),1,0)</f>
        <v/>
      </c>
      <c r="MN31" s="85">
        <f>IF(AND(348&gt;=$C$5,348&lt;=$E$5),1,0)</f>
        <v/>
      </c>
      <c r="MO31" s="85">
        <f>IF(AND(349&gt;=$C$5,349&lt;=$E$5),1,0)</f>
        <v/>
      </c>
      <c r="MP31" s="85">
        <f>IF(AND(350&gt;=$C$5,350&lt;=$E$5),1,0)</f>
        <v/>
      </c>
      <c r="MQ31" s="85">
        <f>IF(AND(351&gt;=$C$5,351&lt;=$E$5),1,0)</f>
        <v/>
      </c>
      <c r="MR31" s="85">
        <f>IF(AND(352&gt;=$C$5,352&lt;=$E$5),1,0)</f>
        <v/>
      </c>
      <c r="MS31" s="85">
        <f>IF(AND(353&gt;=$C$5,353&lt;=$E$5),1,0)</f>
        <v/>
      </c>
      <c r="MT31" s="85">
        <f>IF(AND(354&gt;=$C$5,354&lt;=$E$5),1,0)</f>
        <v/>
      </c>
      <c r="MU31" s="85">
        <f>IF(AND(355&gt;=$C$5,355&lt;=$E$5),1,0)</f>
        <v/>
      </c>
      <c r="MV31" s="85">
        <f>IF(AND(356&gt;=$C$5,356&lt;=$E$5),1,0)</f>
        <v/>
      </c>
      <c r="MW31" s="85">
        <f>IF(AND(357&gt;=$C$5,357&lt;=$E$5),1,0)</f>
        <v/>
      </c>
      <c r="MX31" s="85">
        <f>IF(AND(358&gt;=$C$5,358&lt;=$E$5),1,0)</f>
        <v/>
      </c>
      <c r="MY31" s="85">
        <f>IF(AND(359&gt;=$C$5,359&lt;=$E$5),1,0)</f>
        <v/>
      </c>
      <c r="MZ31" s="85">
        <f>IF(AND(360&gt;=$C$5,360&lt;=$E$5),1,0)</f>
        <v/>
      </c>
      <c r="NA31" s="85">
        <f>IF(AND(361&gt;=$C$5,361&lt;=$E$5),1,0)</f>
        <v/>
      </c>
      <c r="NB31" s="85">
        <f>IF(AND(362&gt;=$C$5,362&lt;=$E$5),1,0)</f>
        <v/>
      </c>
      <c r="NC31" s="85">
        <f>IF(AND(363&gt;=$C$5,363&lt;=$E$5),1,0)</f>
        <v/>
      </c>
      <c r="ND31" s="85">
        <f>IF(AND(364&gt;=$C$5,364&lt;=$E$5),1,0)</f>
        <v/>
      </c>
      <c r="NE31" s="85">
        <f>IF(AND(365&gt;=$C$5,365&lt;=$E$5),1,0)</f>
        <v/>
      </c>
      <c r="NF31" s="85">
        <f>IF(AND(366&gt;=$C$5,366&lt;=$E$5),1,0)</f>
        <v/>
      </c>
      <c r="NG31" s="85">
        <f>IF(AND(367&gt;=$C$5,367&lt;=$E$5),1,0)</f>
        <v/>
      </c>
      <c r="NH31" s="85">
        <f>IF(AND(368&gt;=$C$5,368&lt;=$E$5),1,0)</f>
        <v/>
      </c>
      <c r="NI31" s="85">
        <f>IF(AND(369&gt;=$C$5,369&lt;=$E$5),1,0)</f>
        <v/>
      </c>
      <c r="NJ31" s="85">
        <f>IF(AND(370&gt;=$C$5,370&lt;=$E$5),1,0)</f>
        <v/>
      </c>
      <c r="NK31" s="85">
        <f>IF(AND(371&gt;=$C$5,371&lt;=$E$5),1,0)</f>
        <v/>
      </c>
      <c r="NL31" s="85">
        <f>IF(AND(372&gt;=$C$5,372&lt;=$E$5),1,0)</f>
        <v/>
      </c>
    </row>
    <row r="32">
      <c r="B32" s="36" t="inlineStr">
        <is>
          <t>Flag: Entitlement</t>
        </is>
      </c>
      <c r="D32" s="124" t="n"/>
      <c r="E32" s="85">
        <f>IF(AND(1&gt;=$C$6,1&lt;=$E$6),1,0)</f>
        <v/>
      </c>
      <c r="F32" s="85">
        <f>IF(AND(2&gt;=$C$6,2&lt;=$E$6),1,0)</f>
        <v/>
      </c>
      <c r="G32" s="85">
        <f>IF(AND(3&gt;=$C$6,3&lt;=$E$6),1,0)</f>
        <v/>
      </c>
      <c r="H32" s="85">
        <f>IF(AND(4&gt;=$C$6,4&lt;=$E$6),1,0)</f>
        <v/>
      </c>
      <c r="I32" s="85">
        <f>IF(AND(5&gt;=$C$6,5&lt;=$E$6),1,0)</f>
        <v/>
      </c>
      <c r="J32" s="85">
        <f>IF(AND(6&gt;=$C$6,6&lt;=$E$6),1,0)</f>
        <v/>
      </c>
      <c r="K32" s="85">
        <f>IF(AND(7&gt;=$C$6,7&lt;=$E$6),1,0)</f>
        <v/>
      </c>
      <c r="L32" s="85">
        <f>IF(AND(8&gt;=$C$6,8&lt;=$E$6),1,0)</f>
        <v/>
      </c>
      <c r="M32" s="85">
        <f>IF(AND(9&gt;=$C$6,9&lt;=$E$6),1,0)</f>
        <v/>
      </c>
      <c r="N32" s="85">
        <f>IF(AND(10&gt;=$C$6,10&lt;=$E$6),1,0)</f>
        <v/>
      </c>
      <c r="O32" s="85">
        <f>IF(AND(11&gt;=$C$6,11&lt;=$E$6),1,0)</f>
        <v/>
      </c>
      <c r="P32" s="85">
        <f>IF(AND(12&gt;=$C$6,12&lt;=$E$6),1,0)</f>
        <v/>
      </c>
      <c r="Q32" s="85">
        <f>IF(AND(13&gt;=$C$6,13&lt;=$E$6),1,0)</f>
        <v/>
      </c>
      <c r="R32" s="85">
        <f>IF(AND(14&gt;=$C$6,14&lt;=$E$6),1,0)</f>
        <v/>
      </c>
      <c r="S32" s="85">
        <f>IF(AND(15&gt;=$C$6,15&lt;=$E$6),1,0)</f>
        <v/>
      </c>
      <c r="T32" s="85">
        <f>IF(AND(16&gt;=$C$6,16&lt;=$E$6),1,0)</f>
        <v/>
      </c>
      <c r="U32" s="85">
        <f>IF(AND(17&gt;=$C$6,17&lt;=$E$6),1,0)</f>
        <v/>
      </c>
      <c r="V32" s="85">
        <f>IF(AND(18&gt;=$C$6,18&lt;=$E$6),1,0)</f>
        <v/>
      </c>
      <c r="W32" s="85">
        <f>IF(AND(19&gt;=$C$6,19&lt;=$E$6),1,0)</f>
        <v/>
      </c>
      <c r="X32" s="85">
        <f>IF(AND(20&gt;=$C$6,20&lt;=$E$6),1,0)</f>
        <v/>
      </c>
      <c r="Y32" s="85">
        <f>IF(AND(21&gt;=$C$6,21&lt;=$E$6),1,0)</f>
        <v/>
      </c>
      <c r="Z32" s="85">
        <f>IF(AND(22&gt;=$C$6,22&lt;=$E$6),1,0)</f>
        <v/>
      </c>
      <c r="AA32" s="85">
        <f>IF(AND(23&gt;=$C$6,23&lt;=$E$6),1,0)</f>
        <v/>
      </c>
      <c r="AB32" s="85">
        <f>IF(AND(24&gt;=$C$6,24&lt;=$E$6),1,0)</f>
        <v/>
      </c>
      <c r="AC32" s="85">
        <f>IF(AND(25&gt;=$C$6,25&lt;=$E$6),1,0)</f>
        <v/>
      </c>
      <c r="AD32" s="85">
        <f>IF(AND(26&gt;=$C$6,26&lt;=$E$6),1,0)</f>
        <v/>
      </c>
      <c r="AE32" s="85">
        <f>IF(AND(27&gt;=$C$6,27&lt;=$E$6),1,0)</f>
        <v/>
      </c>
      <c r="AF32" s="85">
        <f>IF(AND(28&gt;=$C$6,28&lt;=$E$6),1,0)</f>
        <v/>
      </c>
      <c r="AG32" s="85">
        <f>IF(AND(29&gt;=$C$6,29&lt;=$E$6),1,0)</f>
        <v/>
      </c>
      <c r="AH32" s="85">
        <f>IF(AND(30&gt;=$C$6,30&lt;=$E$6),1,0)</f>
        <v/>
      </c>
      <c r="AI32" s="85">
        <f>IF(AND(31&gt;=$C$6,31&lt;=$E$6),1,0)</f>
        <v/>
      </c>
      <c r="AJ32" s="85">
        <f>IF(AND(32&gt;=$C$6,32&lt;=$E$6),1,0)</f>
        <v/>
      </c>
      <c r="AK32" s="85">
        <f>IF(AND(33&gt;=$C$6,33&lt;=$E$6),1,0)</f>
        <v/>
      </c>
      <c r="AL32" s="85">
        <f>IF(AND(34&gt;=$C$6,34&lt;=$E$6),1,0)</f>
        <v/>
      </c>
      <c r="AM32" s="85">
        <f>IF(AND(35&gt;=$C$6,35&lt;=$E$6),1,0)</f>
        <v/>
      </c>
      <c r="AN32" s="85">
        <f>IF(AND(36&gt;=$C$6,36&lt;=$E$6),1,0)</f>
        <v/>
      </c>
      <c r="AO32" s="85">
        <f>IF(AND(37&gt;=$C$6,37&lt;=$E$6),1,0)</f>
        <v/>
      </c>
      <c r="AP32" s="85">
        <f>IF(AND(38&gt;=$C$6,38&lt;=$E$6),1,0)</f>
        <v/>
      </c>
      <c r="AQ32" s="85">
        <f>IF(AND(39&gt;=$C$6,39&lt;=$E$6),1,0)</f>
        <v/>
      </c>
      <c r="AR32" s="85">
        <f>IF(AND(40&gt;=$C$6,40&lt;=$E$6),1,0)</f>
        <v/>
      </c>
      <c r="AS32" s="85">
        <f>IF(AND(41&gt;=$C$6,41&lt;=$E$6),1,0)</f>
        <v/>
      </c>
      <c r="AT32" s="85">
        <f>IF(AND(42&gt;=$C$6,42&lt;=$E$6),1,0)</f>
        <v/>
      </c>
      <c r="AU32" s="85">
        <f>IF(AND(43&gt;=$C$6,43&lt;=$E$6),1,0)</f>
        <v/>
      </c>
      <c r="AV32" s="85">
        <f>IF(AND(44&gt;=$C$6,44&lt;=$E$6),1,0)</f>
        <v/>
      </c>
      <c r="AW32" s="85">
        <f>IF(AND(45&gt;=$C$6,45&lt;=$E$6),1,0)</f>
        <v/>
      </c>
      <c r="AX32" s="85">
        <f>IF(AND(46&gt;=$C$6,46&lt;=$E$6),1,0)</f>
        <v/>
      </c>
      <c r="AY32" s="85">
        <f>IF(AND(47&gt;=$C$6,47&lt;=$E$6),1,0)</f>
        <v/>
      </c>
      <c r="AZ32" s="85">
        <f>IF(AND(48&gt;=$C$6,48&lt;=$E$6),1,0)</f>
        <v/>
      </c>
      <c r="BA32" s="85">
        <f>IF(AND(49&gt;=$C$6,49&lt;=$E$6),1,0)</f>
        <v/>
      </c>
      <c r="BB32" s="85">
        <f>IF(AND(50&gt;=$C$6,50&lt;=$E$6),1,0)</f>
        <v/>
      </c>
      <c r="BC32" s="85">
        <f>IF(AND(51&gt;=$C$6,51&lt;=$E$6),1,0)</f>
        <v/>
      </c>
      <c r="BD32" s="85">
        <f>IF(AND(52&gt;=$C$6,52&lt;=$E$6),1,0)</f>
        <v/>
      </c>
      <c r="BE32" s="85">
        <f>IF(AND(53&gt;=$C$6,53&lt;=$E$6),1,0)</f>
        <v/>
      </c>
      <c r="BF32" s="85">
        <f>IF(AND(54&gt;=$C$6,54&lt;=$E$6),1,0)</f>
        <v/>
      </c>
      <c r="BG32" s="85">
        <f>IF(AND(55&gt;=$C$6,55&lt;=$E$6),1,0)</f>
        <v/>
      </c>
      <c r="BH32" s="85">
        <f>IF(AND(56&gt;=$C$6,56&lt;=$E$6),1,0)</f>
        <v/>
      </c>
      <c r="BI32" s="85">
        <f>IF(AND(57&gt;=$C$6,57&lt;=$E$6),1,0)</f>
        <v/>
      </c>
      <c r="BJ32" s="85">
        <f>IF(AND(58&gt;=$C$6,58&lt;=$E$6),1,0)</f>
        <v/>
      </c>
      <c r="BK32" s="85">
        <f>IF(AND(59&gt;=$C$6,59&lt;=$E$6),1,0)</f>
        <v/>
      </c>
      <c r="BL32" s="85">
        <f>IF(AND(60&gt;=$C$6,60&lt;=$E$6),1,0)</f>
        <v/>
      </c>
      <c r="BM32" s="85">
        <f>IF(AND(61&gt;=$C$6,61&lt;=$E$6),1,0)</f>
        <v/>
      </c>
      <c r="BN32" s="85">
        <f>IF(AND(62&gt;=$C$6,62&lt;=$E$6),1,0)</f>
        <v/>
      </c>
      <c r="BO32" s="85">
        <f>IF(AND(63&gt;=$C$6,63&lt;=$E$6),1,0)</f>
        <v/>
      </c>
      <c r="BP32" s="85">
        <f>IF(AND(64&gt;=$C$6,64&lt;=$E$6),1,0)</f>
        <v/>
      </c>
      <c r="BQ32" s="85">
        <f>IF(AND(65&gt;=$C$6,65&lt;=$E$6),1,0)</f>
        <v/>
      </c>
      <c r="BR32" s="85">
        <f>IF(AND(66&gt;=$C$6,66&lt;=$E$6),1,0)</f>
        <v/>
      </c>
      <c r="BS32" s="85">
        <f>IF(AND(67&gt;=$C$6,67&lt;=$E$6),1,0)</f>
        <v/>
      </c>
      <c r="BT32" s="85">
        <f>IF(AND(68&gt;=$C$6,68&lt;=$E$6),1,0)</f>
        <v/>
      </c>
      <c r="BU32" s="85">
        <f>IF(AND(69&gt;=$C$6,69&lt;=$E$6),1,0)</f>
        <v/>
      </c>
      <c r="BV32" s="85">
        <f>IF(AND(70&gt;=$C$6,70&lt;=$E$6),1,0)</f>
        <v/>
      </c>
      <c r="BW32" s="85">
        <f>IF(AND(71&gt;=$C$6,71&lt;=$E$6),1,0)</f>
        <v/>
      </c>
      <c r="BX32" s="85">
        <f>IF(AND(72&gt;=$C$6,72&lt;=$E$6),1,0)</f>
        <v/>
      </c>
      <c r="BY32" s="85">
        <f>IF(AND(73&gt;=$C$6,73&lt;=$E$6),1,0)</f>
        <v/>
      </c>
      <c r="BZ32" s="85">
        <f>IF(AND(74&gt;=$C$6,74&lt;=$E$6),1,0)</f>
        <v/>
      </c>
      <c r="CA32" s="85">
        <f>IF(AND(75&gt;=$C$6,75&lt;=$E$6),1,0)</f>
        <v/>
      </c>
      <c r="CB32" s="85">
        <f>IF(AND(76&gt;=$C$6,76&lt;=$E$6),1,0)</f>
        <v/>
      </c>
      <c r="CC32" s="85">
        <f>IF(AND(77&gt;=$C$6,77&lt;=$E$6),1,0)</f>
        <v/>
      </c>
      <c r="CD32" s="85">
        <f>IF(AND(78&gt;=$C$6,78&lt;=$E$6),1,0)</f>
        <v/>
      </c>
      <c r="CE32" s="85">
        <f>IF(AND(79&gt;=$C$6,79&lt;=$E$6),1,0)</f>
        <v/>
      </c>
      <c r="CF32" s="85">
        <f>IF(AND(80&gt;=$C$6,80&lt;=$E$6),1,0)</f>
        <v/>
      </c>
      <c r="CG32" s="85">
        <f>IF(AND(81&gt;=$C$6,81&lt;=$E$6),1,0)</f>
        <v/>
      </c>
      <c r="CH32" s="85">
        <f>IF(AND(82&gt;=$C$6,82&lt;=$E$6),1,0)</f>
        <v/>
      </c>
      <c r="CI32" s="85">
        <f>IF(AND(83&gt;=$C$6,83&lt;=$E$6),1,0)</f>
        <v/>
      </c>
      <c r="CJ32" s="85">
        <f>IF(AND(84&gt;=$C$6,84&lt;=$E$6),1,0)</f>
        <v/>
      </c>
      <c r="CK32" s="85">
        <f>IF(AND(85&gt;=$C$6,85&lt;=$E$6),1,0)</f>
        <v/>
      </c>
      <c r="CL32" s="85">
        <f>IF(AND(86&gt;=$C$6,86&lt;=$E$6),1,0)</f>
        <v/>
      </c>
      <c r="CM32" s="85">
        <f>IF(AND(87&gt;=$C$6,87&lt;=$E$6),1,0)</f>
        <v/>
      </c>
      <c r="CN32" s="85">
        <f>IF(AND(88&gt;=$C$6,88&lt;=$E$6),1,0)</f>
        <v/>
      </c>
      <c r="CO32" s="85">
        <f>IF(AND(89&gt;=$C$6,89&lt;=$E$6),1,0)</f>
        <v/>
      </c>
      <c r="CP32" s="85">
        <f>IF(AND(90&gt;=$C$6,90&lt;=$E$6),1,0)</f>
        <v/>
      </c>
      <c r="CQ32" s="85">
        <f>IF(AND(91&gt;=$C$6,91&lt;=$E$6),1,0)</f>
        <v/>
      </c>
      <c r="CR32" s="85">
        <f>IF(AND(92&gt;=$C$6,92&lt;=$E$6),1,0)</f>
        <v/>
      </c>
      <c r="CS32" s="85">
        <f>IF(AND(93&gt;=$C$6,93&lt;=$E$6),1,0)</f>
        <v/>
      </c>
      <c r="CT32" s="85">
        <f>IF(AND(94&gt;=$C$6,94&lt;=$E$6),1,0)</f>
        <v/>
      </c>
      <c r="CU32" s="85">
        <f>IF(AND(95&gt;=$C$6,95&lt;=$E$6),1,0)</f>
        <v/>
      </c>
      <c r="CV32" s="85">
        <f>IF(AND(96&gt;=$C$6,96&lt;=$E$6),1,0)</f>
        <v/>
      </c>
      <c r="CW32" s="85">
        <f>IF(AND(97&gt;=$C$6,97&lt;=$E$6),1,0)</f>
        <v/>
      </c>
      <c r="CX32" s="85">
        <f>IF(AND(98&gt;=$C$6,98&lt;=$E$6),1,0)</f>
        <v/>
      </c>
      <c r="CY32" s="85">
        <f>IF(AND(99&gt;=$C$6,99&lt;=$E$6),1,0)</f>
        <v/>
      </c>
      <c r="CZ32" s="85">
        <f>IF(AND(100&gt;=$C$6,100&lt;=$E$6),1,0)</f>
        <v/>
      </c>
      <c r="DA32" s="85">
        <f>IF(AND(101&gt;=$C$6,101&lt;=$E$6),1,0)</f>
        <v/>
      </c>
      <c r="DB32" s="85">
        <f>IF(AND(102&gt;=$C$6,102&lt;=$E$6),1,0)</f>
        <v/>
      </c>
      <c r="DC32" s="85">
        <f>IF(AND(103&gt;=$C$6,103&lt;=$E$6),1,0)</f>
        <v/>
      </c>
      <c r="DD32" s="85">
        <f>IF(AND(104&gt;=$C$6,104&lt;=$E$6),1,0)</f>
        <v/>
      </c>
      <c r="DE32" s="85">
        <f>IF(AND(105&gt;=$C$6,105&lt;=$E$6),1,0)</f>
        <v/>
      </c>
      <c r="DF32" s="85">
        <f>IF(AND(106&gt;=$C$6,106&lt;=$E$6),1,0)</f>
        <v/>
      </c>
      <c r="DG32" s="85">
        <f>IF(AND(107&gt;=$C$6,107&lt;=$E$6),1,0)</f>
        <v/>
      </c>
      <c r="DH32" s="85">
        <f>IF(AND(108&gt;=$C$6,108&lt;=$E$6),1,0)</f>
        <v/>
      </c>
      <c r="DI32" s="85">
        <f>IF(AND(109&gt;=$C$6,109&lt;=$E$6),1,0)</f>
        <v/>
      </c>
      <c r="DJ32" s="85">
        <f>IF(AND(110&gt;=$C$6,110&lt;=$E$6),1,0)</f>
        <v/>
      </c>
      <c r="DK32" s="85">
        <f>IF(AND(111&gt;=$C$6,111&lt;=$E$6),1,0)</f>
        <v/>
      </c>
      <c r="DL32" s="85">
        <f>IF(AND(112&gt;=$C$6,112&lt;=$E$6),1,0)</f>
        <v/>
      </c>
      <c r="DM32" s="85">
        <f>IF(AND(113&gt;=$C$6,113&lt;=$E$6),1,0)</f>
        <v/>
      </c>
      <c r="DN32" s="85">
        <f>IF(AND(114&gt;=$C$6,114&lt;=$E$6),1,0)</f>
        <v/>
      </c>
      <c r="DO32" s="85">
        <f>IF(AND(115&gt;=$C$6,115&lt;=$E$6),1,0)</f>
        <v/>
      </c>
      <c r="DP32" s="85">
        <f>IF(AND(116&gt;=$C$6,116&lt;=$E$6),1,0)</f>
        <v/>
      </c>
      <c r="DQ32" s="85">
        <f>IF(AND(117&gt;=$C$6,117&lt;=$E$6),1,0)</f>
        <v/>
      </c>
      <c r="DR32" s="85">
        <f>IF(AND(118&gt;=$C$6,118&lt;=$E$6),1,0)</f>
        <v/>
      </c>
      <c r="DS32" s="85">
        <f>IF(AND(119&gt;=$C$6,119&lt;=$E$6),1,0)</f>
        <v/>
      </c>
      <c r="DT32" s="85">
        <f>IF(AND(120&gt;=$C$6,120&lt;=$E$6),1,0)</f>
        <v/>
      </c>
      <c r="DU32" s="85">
        <f>IF(AND(121&gt;=$C$6,121&lt;=$E$6),1,0)</f>
        <v/>
      </c>
      <c r="DV32" s="85">
        <f>IF(AND(122&gt;=$C$6,122&lt;=$E$6),1,0)</f>
        <v/>
      </c>
      <c r="DW32" s="85">
        <f>IF(AND(123&gt;=$C$6,123&lt;=$E$6),1,0)</f>
        <v/>
      </c>
      <c r="DX32" s="85">
        <f>IF(AND(124&gt;=$C$6,124&lt;=$E$6),1,0)</f>
        <v/>
      </c>
      <c r="DY32" s="85">
        <f>IF(AND(125&gt;=$C$6,125&lt;=$E$6),1,0)</f>
        <v/>
      </c>
      <c r="DZ32" s="85">
        <f>IF(AND(126&gt;=$C$6,126&lt;=$E$6),1,0)</f>
        <v/>
      </c>
      <c r="EA32" s="85">
        <f>IF(AND(127&gt;=$C$6,127&lt;=$E$6),1,0)</f>
        <v/>
      </c>
      <c r="EB32" s="85">
        <f>IF(AND(128&gt;=$C$6,128&lt;=$E$6),1,0)</f>
        <v/>
      </c>
      <c r="EC32" s="85">
        <f>IF(AND(129&gt;=$C$6,129&lt;=$E$6),1,0)</f>
        <v/>
      </c>
      <c r="ED32" s="85">
        <f>IF(AND(130&gt;=$C$6,130&lt;=$E$6),1,0)</f>
        <v/>
      </c>
      <c r="EE32" s="85">
        <f>IF(AND(131&gt;=$C$6,131&lt;=$E$6),1,0)</f>
        <v/>
      </c>
      <c r="EF32" s="85">
        <f>IF(AND(132&gt;=$C$6,132&lt;=$E$6),1,0)</f>
        <v/>
      </c>
      <c r="EG32" s="85">
        <f>IF(AND(133&gt;=$C$6,133&lt;=$E$6),1,0)</f>
        <v/>
      </c>
      <c r="EH32" s="85">
        <f>IF(AND(134&gt;=$C$6,134&lt;=$E$6),1,0)</f>
        <v/>
      </c>
      <c r="EI32" s="85">
        <f>IF(AND(135&gt;=$C$6,135&lt;=$E$6),1,0)</f>
        <v/>
      </c>
      <c r="EJ32" s="85">
        <f>IF(AND(136&gt;=$C$6,136&lt;=$E$6),1,0)</f>
        <v/>
      </c>
      <c r="EK32" s="85">
        <f>IF(AND(137&gt;=$C$6,137&lt;=$E$6),1,0)</f>
        <v/>
      </c>
      <c r="EL32" s="85">
        <f>IF(AND(138&gt;=$C$6,138&lt;=$E$6),1,0)</f>
        <v/>
      </c>
      <c r="EM32" s="85">
        <f>IF(AND(139&gt;=$C$6,139&lt;=$E$6),1,0)</f>
        <v/>
      </c>
      <c r="EN32" s="85">
        <f>IF(AND(140&gt;=$C$6,140&lt;=$E$6),1,0)</f>
        <v/>
      </c>
      <c r="EO32" s="85">
        <f>IF(AND(141&gt;=$C$6,141&lt;=$E$6),1,0)</f>
        <v/>
      </c>
      <c r="EP32" s="85">
        <f>IF(AND(142&gt;=$C$6,142&lt;=$E$6),1,0)</f>
        <v/>
      </c>
      <c r="EQ32" s="85">
        <f>IF(AND(143&gt;=$C$6,143&lt;=$E$6),1,0)</f>
        <v/>
      </c>
      <c r="ER32" s="85">
        <f>IF(AND(144&gt;=$C$6,144&lt;=$E$6),1,0)</f>
        <v/>
      </c>
      <c r="ES32" s="85">
        <f>IF(AND(145&gt;=$C$6,145&lt;=$E$6),1,0)</f>
        <v/>
      </c>
      <c r="ET32" s="85">
        <f>IF(AND(146&gt;=$C$6,146&lt;=$E$6),1,0)</f>
        <v/>
      </c>
      <c r="EU32" s="85">
        <f>IF(AND(147&gt;=$C$6,147&lt;=$E$6),1,0)</f>
        <v/>
      </c>
      <c r="EV32" s="85">
        <f>IF(AND(148&gt;=$C$6,148&lt;=$E$6),1,0)</f>
        <v/>
      </c>
      <c r="EW32" s="85">
        <f>IF(AND(149&gt;=$C$6,149&lt;=$E$6),1,0)</f>
        <v/>
      </c>
      <c r="EX32" s="85">
        <f>IF(AND(150&gt;=$C$6,150&lt;=$E$6),1,0)</f>
        <v/>
      </c>
      <c r="EY32" s="85">
        <f>IF(AND(151&gt;=$C$6,151&lt;=$E$6),1,0)</f>
        <v/>
      </c>
      <c r="EZ32" s="85">
        <f>IF(AND(152&gt;=$C$6,152&lt;=$E$6),1,0)</f>
        <v/>
      </c>
      <c r="FA32" s="85">
        <f>IF(AND(153&gt;=$C$6,153&lt;=$E$6),1,0)</f>
        <v/>
      </c>
      <c r="FB32" s="85">
        <f>IF(AND(154&gt;=$C$6,154&lt;=$E$6),1,0)</f>
        <v/>
      </c>
      <c r="FC32" s="85">
        <f>IF(AND(155&gt;=$C$6,155&lt;=$E$6),1,0)</f>
        <v/>
      </c>
      <c r="FD32" s="85">
        <f>IF(AND(156&gt;=$C$6,156&lt;=$E$6),1,0)</f>
        <v/>
      </c>
      <c r="FE32" s="85">
        <f>IF(AND(157&gt;=$C$6,157&lt;=$E$6),1,0)</f>
        <v/>
      </c>
      <c r="FF32" s="85">
        <f>IF(AND(158&gt;=$C$6,158&lt;=$E$6),1,0)</f>
        <v/>
      </c>
      <c r="FG32" s="85">
        <f>IF(AND(159&gt;=$C$6,159&lt;=$E$6),1,0)</f>
        <v/>
      </c>
      <c r="FH32" s="85">
        <f>IF(AND(160&gt;=$C$6,160&lt;=$E$6),1,0)</f>
        <v/>
      </c>
      <c r="FI32" s="85">
        <f>IF(AND(161&gt;=$C$6,161&lt;=$E$6),1,0)</f>
        <v/>
      </c>
      <c r="FJ32" s="85">
        <f>IF(AND(162&gt;=$C$6,162&lt;=$E$6),1,0)</f>
        <v/>
      </c>
      <c r="FK32" s="85">
        <f>IF(AND(163&gt;=$C$6,163&lt;=$E$6),1,0)</f>
        <v/>
      </c>
      <c r="FL32" s="85">
        <f>IF(AND(164&gt;=$C$6,164&lt;=$E$6),1,0)</f>
        <v/>
      </c>
      <c r="FM32" s="85">
        <f>IF(AND(165&gt;=$C$6,165&lt;=$E$6),1,0)</f>
        <v/>
      </c>
      <c r="FN32" s="85">
        <f>IF(AND(166&gt;=$C$6,166&lt;=$E$6),1,0)</f>
        <v/>
      </c>
      <c r="FO32" s="85">
        <f>IF(AND(167&gt;=$C$6,167&lt;=$E$6),1,0)</f>
        <v/>
      </c>
      <c r="FP32" s="85">
        <f>IF(AND(168&gt;=$C$6,168&lt;=$E$6),1,0)</f>
        <v/>
      </c>
      <c r="FQ32" s="85">
        <f>IF(AND(169&gt;=$C$6,169&lt;=$E$6),1,0)</f>
        <v/>
      </c>
      <c r="FR32" s="85">
        <f>IF(AND(170&gt;=$C$6,170&lt;=$E$6),1,0)</f>
        <v/>
      </c>
      <c r="FS32" s="85">
        <f>IF(AND(171&gt;=$C$6,171&lt;=$E$6),1,0)</f>
        <v/>
      </c>
      <c r="FT32" s="85">
        <f>IF(AND(172&gt;=$C$6,172&lt;=$E$6),1,0)</f>
        <v/>
      </c>
      <c r="FU32" s="85">
        <f>IF(AND(173&gt;=$C$6,173&lt;=$E$6),1,0)</f>
        <v/>
      </c>
      <c r="FV32" s="85">
        <f>IF(AND(174&gt;=$C$6,174&lt;=$E$6),1,0)</f>
        <v/>
      </c>
      <c r="FW32" s="85">
        <f>IF(AND(175&gt;=$C$6,175&lt;=$E$6),1,0)</f>
        <v/>
      </c>
      <c r="FX32" s="85">
        <f>IF(AND(176&gt;=$C$6,176&lt;=$E$6),1,0)</f>
        <v/>
      </c>
      <c r="FY32" s="85">
        <f>IF(AND(177&gt;=$C$6,177&lt;=$E$6),1,0)</f>
        <v/>
      </c>
      <c r="FZ32" s="85">
        <f>IF(AND(178&gt;=$C$6,178&lt;=$E$6),1,0)</f>
        <v/>
      </c>
      <c r="GA32" s="85">
        <f>IF(AND(179&gt;=$C$6,179&lt;=$E$6),1,0)</f>
        <v/>
      </c>
      <c r="GB32" s="85">
        <f>IF(AND(180&gt;=$C$6,180&lt;=$E$6),1,0)</f>
        <v/>
      </c>
      <c r="GC32" s="85">
        <f>IF(AND(181&gt;=$C$6,181&lt;=$E$6),1,0)</f>
        <v/>
      </c>
      <c r="GD32" s="85">
        <f>IF(AND(182&gt;=$C$6,182&lt;=$E$6),1,0)</f>
        <v/>
      </c>
      <c r="GE32" s="85">
        <f>IF(AND(183&gt;=$C$6,183&lt;=$E$6),1,0)</f>
        <v/>
      </c>
      <c r="GF32" s="85">
        <f>IF(AND(184&gt;=$C$6,184&lt;=$E$6),1,0)</f>
        <v/>
      </c>
      <c r="GG32" s="85">
        <f>IF(AND(185&gt;=$C$6,185&lt;=$E$6),1,0)</f>
        <v/>
      </c>
      <c r="GH32" s="85">
        <f>IF(AND(186&gt;=$C$6,186&lt;=$E$6),1,0)</f>
        <v/>
      </c>
      <c r="GI32" s="85">
        <f>IF(AND(187&gt;=$C$6,187&lt;=$E$6),1,0)</f>
        <v/>
      </c>
      <c r="GJ32" s="85">
        <f>IF(AND(188&gt;=$C$6,188&lt;=$E$6),1,0)</f>
        <v/>
      </c>
      <c r="GK32" s="85">
        <f>IF(AND(189&gt;=$C$6,189&lt;=$E$6),1,0)</f>
        <v/>
      </c>
      <c r="GL32" s="85">
        <f>IF(AND(190&gt;=$C$6,190&lt;=$E$6),1,0)</f>
        <v/>
      </c>
      <c r="GM32" s="85">
        <f>IF(AND(191&gt;=$C$6,191&lt;=$E$6),1,0)</f>
        <v/>
      </c>
      <c r="GN32" s="85">
        <f>IF(AND(192&gt;=$C$6,192&lt;=$E$6),1,0)</f>
        <v/>
      </c>
      <c r="GO32" s="85">
        <f>IF(AND(193&gt;=$C$6,193&lt;=$E$6),1,0)</f>
        <v/>
      </c>
      <c r="GP32" s="85">
        <f>IF(AND(194&gt;=$C$6,194&lt;=$E$6),1,0)</f>
        <v/>
      </c>
      <c r="GQ32" s="85">
        <f>IF(AND(195&gt;=$C$6,195&lt;=$E$6),1,0)</f>
        <v/>
      </c>
      <c r="GR32" s="85">
        <f>IF(AND(196&gt;=$C$6,196&lt;=$E$6),1,0)</f>
        <v/>
      </c>
      <c r="GS32" s="85">
        <f>IF(AND(197&gt;=$C$6,197&lt;=$E$6),1,0)</f>
        <v/>
      </c>
      <c r="GT32" s="85">
        <f>IF(AND(198&gt;=$C$6,198&lt;=$E$6),1,0)</f>
        <v/>
      </c>
      <c r="GU32" s="85">
        <f>IF(AND(199&gt;=$C$6,199&lt;=$E$6),1,0)</f>
        <v/>
      </c>
      <c r="GV32" s="85">
        <f>IF(AND(200&gt;=$C$6,200&lt;=$E$6),1,0)</f>
        <v/>
      </c>
      <c r="GW32" s="85">
        <f>IF(AND(201&gt;=$C$6,201&lt;=$E$6),1,0)</f>
        <v/>
      </c>
      <c r="GX32" s="85">
        <f>IF(AND(202&gt;=$C$6,202&lt;=$E$6),1,0)</f>
        <v/>
      </c>
      <c r="GY32" s="85">
        <f>IF(AND(203&gt;=$C$6,203&lt;=$E$6),1,0)</f>
        <v/>
      </c>
      <c r="GZ32" s="85">
        <f>IF(AND(204&gt;=$C$6,204&lt;=$E$6),1,0)</f>
        <v/>
      </c>
      <c r="HA32" s="85">
        <f>IF(AND(205&gt;=$C$6,205&lt;=$E$6),1,0)</f>
        <v/>
      </c>
      <c r="HB32" s="85">
        <f>IF(AND(206&gt;=$C$6,206&lt;=$E$6),1,0)</f>
        <v/>
      </c>
      <c r="HC32" s="85">
        <f>IF(AND(207&gt;=$C$6,207&lt;=$E$6),1,0)</f>
        <v/>
      </c>
      <c r="HD32" s="85">
        <f>IF(AND(208&gt;=$C$6,208&lt;=$E$6),1,0)</f>
        <v/>
      </c>
      <c r="HE32" s="85">
        <f>IF(AND(209&gt;=$C$6,209&lt;=$E$6),1,0)</f>
        <v/>
      </c>
      <c r="HF32" s="85">
        <f>IF(AND(210&gt;=$C$6,210&lt;=$E$6),1,0)</f>
        <v/>
      </c>
      <c r="HG32" s="85">
        <f>IF(AND(211&gt;=$C$6,211&lt;=$E$6),1,0)</f>
        <v/>
      </c>
      <c r="HH32" s="85">
        <f>IF(AND(212&gt;=$C$6,212&lt;=$E$6),1,0)</f>
        <v/>
      </c>
      <c r="HI32" s="85">
        <f>IF(AND(213&gt;=$C$6,213&lt;=$E$6),1,0)</f>
        <v/>
      </c>
      <c r="HJ32" s="85">
        <f>IF(AND(214&gt;=$C$6,214&lt;=$E$6),1,0)</f>
        <v/>
      </c>
      <c r="HK32" s="85">
        <f>IF(AND(215&gt;=$C$6,215&lt;=$E$6),1,0)</f>
        <v/>
      </c>
      <c r="HL32" s="85">
        <f>IF(AND(216&gt;=$C$6,216&lt;=$E$6),1,0)</f>
        <v/>
      </c>
      <c r="HM32" s="85">
        <f>IF(AND(217&gt;=$C$6,217&lt;=$E$6),1,0)</f>
        <v/>
      </c>
      <c r="HN32" s="85">
        <f>IF(AND(218&gt;=$C$6,218&lt;=$E$6),1,0)</f>
        <v/>
      </c>
      <c r="HO32" s="85">
        <f>IF(AND(219&gt;=$C$6,219&lt;=$E$6),1,0)</f>
        <v/>
      </c>
      <c r="HP32" s="85">
        <f>IF(AND(220&gt;=$C$6,220&lt;=$E$6),1,0)</f>
        <v/>
      </c>
      <c r="HQ32" s="85">
        <f>IF(AND(221&gt;=$C$6,221&lt;=$E$6),1,0)</f>
        <v/>
      </c>
      <c r="HR32" s="85">
        <f>IF(AND(222&gt;=$C$6,222&lt;=$E$6),1,0)</f>
        <v/>
      </c>
      <c r="HS32" s="85">
        <f>IF(AND(223&gt;=$C$6,223&lt;=$E$6),1,0)</f>
        <v/>
      </c>
      <c r="HT32" s="85">
        <f>IF(AND(224&gt;=$C$6,224&lt;=$E$6),1,0)</f>
        <v/>
      </c>
      <c r="HU32" s="85">
        <f>IF(AND(225&gt;=$C$6,225&lt;=$E$6),1,0)</f>
        <v/>
      </c>
      <c r="HV32" s="85">
        <f>IF(AND(226&gt;=$C$6,226&lt;=$E$6),1,0)</f>
        <v/>
      </c>
      <c r="HW32" s="85">
        <f>IF(AND(227&gt;=$C$6,227&lt;=$E$6),1,0)</f>
        <v/>
      </c>
      <c r="HX32" s="85">
        <f>IF(AND(228&gt;=$C$6,228&lt;=$E$6),1,0)</f>
        <v/>
      </c>
      <c r="HY32" s="85">
        <f>IF(AND(229&gt;=$C$6,229&lt;=$E$6),1,0)</f>
        <v/>
      </c>
      <c r="HZ32" s="85">
        <f>IF(AND(230&gt;=$C$6,230&lt;=$E$6),1,0)</f>
        <v/>
      </c>
      <c r="IA32" s="85">
        <f>IF(AND(231&gt;=$C$6,231&lt;=$E$6),1,0)</f>
        <v/>
      </c>
      <c r="IB32" s="85">
        <f>IF(AND(232&gt;=$C$6,232&lt;=$E$6),1,0)</f>
        <v/>
      </c>
      <c r="IC32" s="85">
        <f>IF(AND(233&gt;=$C$6,233&lt;=$E$6),1,0)</f>
        <v/>
      </c>
      <c r="ID32" s="85">
        <f>IF(AND(234&gt;=$C$6,234&lt;=$E$6),1,0)</f>
        <v/>
      </c>
      <c r="IE32" s="85">
        <f>IF(AND(235&gt;=$C$6,235&lt;=$E$6),1,0)</f>
        <v/>
      </c>
      <c r="IF32" s="85">
        <f>IF(AND(236&gt;=$C$6,236&lt;=$E$6),1,0)</f>
        <v/>
      </c>
      <c r="IG32" s="85">
        <f>IF(AND(237&gt;=$C$6,237&lt;=$E$6),1,0)</f>
        <v/>
      </c>
      <c r="IH32" s="85">
        <f>IF(AND(238&gt;=$C$6,238&lt;=$E$6),1,0)</f>
        <v/>
      </c>
      <c r="II32" s="85">
        <f>IF(AND(239&gt;=$C$6,239&lt;=$E$6),1,0)</f>
        <v/>
      </c>
      <c r="IJ32" s="85">
        <f>IF(AND(240&gt;=$C$6,240&lt;=$E$6),1,0)</f>
        <v/>
      </c>
      <c r="IK32" s="85">
        <f>IF(AND(241&gt;=$C$6,241&lt;=$E$6),1,0)</f>
        <v/>
      </c>
      <c r="IL32" s="85">
        <f>IF(AND(242&gt;=$C$6,242&lt;=$E$6),1,0)</f>
        <v/>
      </c>
      <c r="IM32" s="85">
        <f>IF(AND(243&gt;=$C$6,243&lt;=$E$6),1,0)</f>
        <v/>
      </c>
      <c r="IN32" s="85">
        <f>IF(AND(244&gt;=$C$6,244&lt;=$E$6),1,0)</f>
        <v/>
      </c>
      <c r="IO32" s="85">
        <f>IF(AND(245&gt;=$C$6,245&lt;=$E$6),1,0)</f>
        <v/>
      </c>
      <c r="IP32" s="85">
        <f>IF(AND(246&gt;=$C$6,246&lt;=$E$6),1,0)</f>
        <v/>
      </c>
      <c r="IQ32" s="85">
        <f>IF(AND(247&gt;=$C$6,247&lt;=$E$6),1,0)</f>
        <v/>
      </c>
      <c r="IR32" s="85">
        <f>IF(AND(248&gt;=$C$6,248&lt;=$E$6),1,0)</f>
        <v/>
      </c>
      <c r="IS32" s="85">
        <f>IF(AND(249&gt;=$C$6,249&lt;=$E$6),1,0)</f>
        <v/>
      </c>
      <c r="IT32" s="85">
        <f>IF(AND(250&gt;=$C$6,250&lt;=$E$6),1,0)</f>
        <v/>
      </c>
      <c r="IU32" s="85">
        <f>IF(AND(251&gt;=$C$6,251&lt;=$E$6),1,0)</f>
        <v/>
      </c>
      <c r="IV32" s="85">
        <f>IF(AND(252&gt;=$C$6,252&lt;=$E$6),1,0)</f>
        <v/>
      </c>
      <c r="IW32" s="85">
        <f>IF(AND(253&gt;=$C$6,253&lt;=$E$6),1,0)</f>
        <v/>
      </c>
      <c r="IX32" s="85">
        <f>IF(AND(254&gt;=$C$6,254&lt;=$E$6),1,0)</f>
        <v/>
      </c>
      <c r="IY32" s="85">
        <f>IF(AND(255&gt;=$C$6,255&lt;=$E$6),1,0)</f>
        <v/>
      </c>
      <c r="IZ32" s="85">
        <f>IF(AND(256&gt;=$C$6,256&lt;=$E$6),1,0)</f>
        <v/>
      </c>
      <c r="JA32" s="85">
        <f>IF(AND(257&gt;=$C$6,257&lt;=$E$6),1,0)</f>
        <v/>
      </c>
      <c r="JB32" s="85">
        <f>IF(AND(258&gt;=$C$6,258&lt;=$E$6),1,0)</f>
        <v/>
      </c>
      <c r="JC32" s="85">
        <f>IF(AND(259&gt;=$C$6,259&lt;=$E$6),1,0)</f>
        <v/>
      </c>
      <c r="JD32" s="85">
        <f>IF(AND(260&gt;=$C$6,260&lt;=$E$6),1,0)</f>
        <v/>
      </c>
      <c r="JE32" s="85">
        <f>IF(AND(261&gt;=$C$6,261&lt;=$E$6),1,0)</f>
        <v/>
      </c>
      <c r="JF32" s="85">
        <f>IF(AND(262&gt;=$C$6,262&lt;=$E$6),1,0)</f>
        <v/>
      </c>
      <c r="JG32" s="85">
        <f>IF(AND(263&gt;=$C$6,263&lt;=$E$6),1,0)</f>
        <v/>
      </c>
      <c r="JH32" s="85">
        <f>IF(AND(264&gt;=$C$6,264&lt;=$E$6),1,0)</f>
        <v/>
      </c>
      <c r="JI32" s="85">
        <f>IF(AND(265&gt;=$C$6,265&lt;=$E$6),1,0)</f>
        <v/>
      </c>
      <c r="JJ32" s="85">
        <f>IF(AND(266&gt;=$C$6,266&lt;=$E$6),1,0)</f>
        <v/>
      </c>
      <c r="JK32" s="85">
        <f>IF(AND(267&gt;=$C$6,267&lt;=$E$6),1,0)</f>
        <v/>
      </c>
      <c r="JL32" s="85">
        <f>IF(AND(268&gt;=$C$6,268&lt;=$E$6),1,0)</f>
        <v/>
      </c>
      <c r="JM32" s="85">
        <f>IF(AND(269&gt;=$C$6,269&lt;=$E$6),1,0)</f>
        <v/>
      </c>
      <c r="JN32" s="85">
        <f>IF(AND(270&gt;=$C$6,270&lt;=$E$6),1,0)</f>
        <v/>
      </c>
      <c r="JO32" s="85">
        <f>IF(AND(271&gt;=$C$6,271&lt;=$E$6),1,0)</f>
        <v/>
      </c>
      <c r="JP32" s="85">
        <f>IF(AND(272&gt;=$C$6,272&lt;=$E$6),1,0)</f>
        <v/>
      </c>
      <c r="JQ32" s="85">
        <f>IF(AND(273&gt;=$C$6,273&lt;=$E$6),1,0)</f>
        <v/>
      </c>
      <c r="JR32" s="85">
        <f>IF(AND(274&gt;=$C$6,274&lt;=$E$6),1,0)</f>
        <v/>
      </c>
      <c r="JS32" s="85">
        <f>IF(AND(275&gt;=$C$6,275&lt;=$E$6),1,0)</f>
        <v/>
      </c>
      <c r="JT32" s="85">
        <f>IF(AND(276&gt;=$C$6,276&lt;=$E$6),1,0)</f>
        <v/>
      </c>
      <c r="JU32" s="85">
        <f>IF(AND(277&gt;=$C$6,277&lt;=$E$6),1,0)</f>
        <v/>
      </c>
      <c r="JV32" s="85">
        <f>IF(AND(278&gt;=$C$6,278&lt;=$E$6),1,0)</f>
        <v/>
      </c>
      <c r="JW32" s="85">
        <f>IF(AND(279&gt;=$C$6,279&lt;=$E$6),1,0)</f>
        <v/>
      </c>
      <c r="JX32" s="85">
        <f>IF(AND(280&gt;=$C$6,280&lt;=$E$6),1,0)</f>
        <v/>
      </c>
      <c r="JY32" s="85">
        <f>IF(AND(281&gt;=$C$6,281&lt;=$E$6),1,0)</f>
        <v/>
      </c>
      <c r="JZ32" s="85">
        <f>IF(AND(282&gt;=$C$6,282&lt;=$E$6),1,0)</f>
        <v/>
      </c>
      <c r="KA32" s="85">
        <f>IF(AND(283&gt;=$C$6,283&lt;=$E$6),1,0)</f>
        <v/>
      </c>
      <c r="KB32" s="85">
        <f>IF(AND(284&gt;=$C$6,284&lt;=$E$6),1,0)</f>
        <v/>
      </c>
      <c r="KC32" s="85">
        <f>IF(AND(285&gt;=$C$6,285&lt;=$E$6),1,0)</f>
        <v/>
      </c>
      <c r="KD32" s="85">
        <f>IF(AND(286&gt;=$C$6,286&lt;=$E$6),1,0)</f>
        <v/>
      </c>
      <c r="KE32" s="85">
        <f>IF(AND(287&gt;=$C$6,287&lt;=$E$6),1,0)</f>
        <v/>
      </c>
      <c r="KF32" s="85">
        <f>IF(AND(288&gt;=$C$6,288&lt;=$E$6),1,0)</f>
        <v/>
      </c>
      <c r="KG32" s="85">
        <f>IF(AND(289&gt;=$C$6,289&lt;=$E$6),1,0)</f>
        <v/>
      </c>
      <c r="KH32" s="85">
        <f>IF(AND(290&gt;=$C$6,290&lt;=$E$6),1,0)</f>
        <v/>
      </c>
      <c r="KI32" s="85">
        <f>IF(AND(291&gt;=$C$6,291&lt;=$E$6),1,0)</f>
        <v/>
      </c>
      <c r="KJ32" s="85">
        <f>IF(AND(292&gt;=$C$6,292&lt;=$E$6),1,0)</f>
        <v/>
      </c>
      <c r="KK32" s="85">
        <f>IF(AND(293&gt;=$C$6,293&lt;=$E$6),1,0)</f>
        <v/>
      </c>
      <c r="KL32" s="85">
        <f>IF(AND(294&gt;=$C$6,294&lt;=$E$6),1,0)</f>
        <v/>
      </c>
      <c r="KM32" s="85">
        <f>IF(AND(295&gt;=$C$6,295&lt;=$E$6),1,0)</f>
        <v/>
      </c>
      <c r="KN32" s="85">
        <f>IF(AND(296&gt;=$C$6,296&lt;=$E$6),1,0)</f>
        <v/>
      </c>
      <c r="KO32" s="85">
        <f>IF(AND(297&gt;=$C$6,297&lt;=$E$6),1,0)</f>
        <v/>
      </c>
      <c r="KP32" s="85">
        <f>IF(AND(298&gt;=$C$6,298&lt;=$E$6),1,0)</f>
        <v/>
      </c>
      <c r="KQ32" s="85">
        <f>IF(AND(299&gt;=$C$6,299&lt;=$E$6),1,0)</f>
        <v/>
      </c>
      <c r="KR32" s="85">
        <f>IF(AND(300&gt;=$C$6,300&lt;=$E$6),1,0)</f>
        <v/>
      </c>
      <c r="KS32" s="85">
        <f>IF(AND(301&gt;=$C$6,301&lt;=$E$6),1,0)</f>
        <v/>
      </c>
      <c r="KT32" s="85">
        <f>IF(AND(302&gt;=$C$6,302&lt;=$E$6),1,0)</f>
        <v/>
      </c>
      <c r="KU32" s="85">
        <f>IF(AND(303&gt;=$C$6,303&lt;=$E$6),1,0)</f>
        <v/>
      </c>
      <c r="KV32" s="85">
        <f>IF(AND(304&gt;=$C$6,304&lt;=$E$6),1,0)</f>
        <v/>
      </c>
      <c r="KW32" s="85">
        <f>IF(AND(305&gt;=$C$6,305&lt;=$E$6),1,0)</f>
        <v/>
      </c>
      <c r="KX32" s="85">
        <f>IF(AND(306&gt;=$C$6,306&lt;=$E$6),1,0)</f>
        <v/>
      </c>
      <c r="KY32" s="85">
        <f>IF(AND(307&gt;=$C$6,307&lt;=$E$6),1,0)</f>
        <v/>
      </c>
      <c r="KZ32" s="85">
        <f>IF(AND(308&gt;=$C$6,308&lt;=$E$6),1,0)</f>
        <v/>
      </c>
      <c r="LA32" s="85">
        <f>IF(AND(309&gt;=$C$6,309&lt;=$E$6),1,0)</f>
        <v/>
      </c>
      <c r="LB32" s="85">
        <f>IF(AND(310&gt;=$C$6,310&lt;=$E$6),1,0)</f>
        <v/>
      </c>
      <c r="LC32" s="85">
        <f>IF(AND(311&gt;=$C$6,311&lt;=$E$6),1,0)</f>
        <v/>
      </c>
      <c r="LD32" s="85">
        <f>IF(AND(312&gt;=$C$6,312&lt;=$E$6),1,0)</f>
        <v/>
      </c>
      <c r="LE32" s="85">
        <f>IF(AND(313&gt;=$C$6,313&lt;=$E$6),1,0)</f>
        <v/>
      </c>
      <c r="LF32" s="85">
        <f>IF(AND(314&gt;=$C$6,314&lt;=$E$6),1,0)</f>
        <v/>
      </c>
      <c r="LG32" s="85">
        <f>IF(AND(315&gt;=$C$6,315&lt;=$E$6),1,0)</f>
        <v/>
      </c>
      <c r="LH32" s="85">
        <f>IF(AND(316&gt;=$C$6,316&lt;=$E$6),1,0)</f>
        <v/>
      </c>
      <c r="LI32" s="85">
        <f>IF(AND(317&gt;=$C$6,317&lt;=$E$6),1,0)</f>
        <v/>
      </c>
      <c r="LJ32" s="85">
        <f>IF(AND(318&gt;=$C$6,318&lt;=$E$6),1,0)</f>
        <v/>
      </c>
      <c r="LK32" s="85">
        <f>IF(AND(319&gt;=$C$6,319&lt;=$E$6),1,0)</f>
        <v/>
      </c>
      <c r="LL32" s="85">
        <f>IF(AND(320&gt;=$C$6,320&lt;=$E$6),1,0)</f>
        <v/>
      </c>
      <c r="LM32" s="85">
        <f>IF(AND(321&gt;=$C$6,321&lt;=$E$6),1,0)</f>
        <v/>
      </c>
      <c r="LN32" s="85">
        <f>IF(AND(322&gt;=$C$6,322&lt;=$E$6),1,0)</f>
        <v/>
      </c>
      <c r="LO32" s="85">
        <f>IF(AND(323&gt;=$C$6,323&lt;=$E$6),1,0)</f>
        <v/>
      </c>
      <c r="LP32" s="85">
        <f>IF(AND(324&gt;=$C$6,324&lt;=$E$6),1,0)</f>
        <v/>
      </c>
      <c r="LQ32" s="85">
        <f>IF(AND(325&gt;=$C$6,325&lt;=$E$6),1,0)</f>
        <v/>
      </c>
      <c r="LR32" s="85">
        <f>IF(AND(326&gt;=$C$6,326&lt;=$E$6),1,0)</f>
        <v/>
      </c>
      <c r="LS32" s="85">
        <f>IF(AND(327&gt;=$C$6,327&lt;=$E$6),1,0)</f>
        <v/>
      </c>
      <c r="LT32" s="85">
        <f>IF(AND(328&gt;=$C$6,328&lt;=$E$6),1,0)</f>
        <v/>
      </c>
      <c r="LU32" s="85">
        <f>IF(AND(329&gt;=$C$6,329&lt;=$E$6),1,0)</f>
        <v/>
      </c>
      <c r="LV32" s="85">
        <f>IF(AND(330&gt;=$C$6,330&lt;=$E$6),1,0)</f>
        <v/>
      </c>
      <c r="LW32" s="85">
        <f>IF(AND(331&gt;=$C$6,331&lt;=$E$6),1,0)</f>
        <v/>
      </c>
      <c r="LX32" s="85">
        <f>IF(AND(332&gt;=$C$6,332&lt;=$E$6),1,0)</f>
        <v/>
      </c>
      <c r="LY32" s="85">
        <f>IF(AND(333&gt;=$C$6,333&lt;=$E$6),1,0)</f>
        <v/>
      </c>
      <c r="LZ32" s="85">
        <f>IF(AND(334&gt;=$C$6,334&lt;=$E$6),1,0)</f>
        <v/>
      </c>
      <c r="MA32" s="85">
        <f>IF(AND(335&gt;=$C$6,335&lt;=$E$6),1,0)</f>
        <v/>
      </c>
      <c r="MB32" s="85">
        <f>IF(AND(336&gt;=$C$6,336&lt;=$E$6),1,0)</f>
        <v/>
      </c>
      <c r="MC32" s="85">
        <f>IF(AND(337&gt;=$C$6,337&lt;=$E$6),1,0)</f>
        <v/>
      </c>
      <c r="MD32" s="85">
        <f>IF(AND(338&gt;=$C$6,338&lt;=$E$6),1,0)</f>
        <v/>
      </c>
      <c r="ME32" s="85">
        <f>IF(AND(339&gt;=$C$6,339&lt;=$E$6),1,0)</f>
        <v/>
      </c>
      <c r="MF32" s="85">
        <f>IF(AND(340&gt;=$C$6,340&lt;=$E$6),1,0)</f>
        <v/>
      </c>
      <c r="MG32" s="85">
        <f>IF(AND(341&gt;=$C$6,341&lt;=$E$6),1,0)</f>
        <v/>
      </c>
      <c r="MH32" s="85">
        <f>IF(AND(342&gt;=$C$6,342&lt;=$E$6),1,0)</f>
        <v/>
      </c>
      <c r="MI32" s="85">
        <f>IF(AND(343&gt;=$C$6,343&lt;=$E$6),1,0)</f>
        <v/>
      </c>
      <c r="MJ32" s="85">
        <f>IF(AND(344&gt;=$C$6,344&lt;=$E$6),1,0)</f>
        <v/>
      </c>
      <c r="MK32" s="85">
        <f>IF(AND(345&gt;=$C$6,345&lt;=$E$6),1,0)</f>
        <v/>
      </c>
      <c r="ML32" s="85">
        <f>IF(AND(346&gt;=$C$6,346&lt;=$E$6),1,0)</f>
        <v/>
      </c>
      <c r="MM32" s="85">
        <f>IF(AND(347&gt;=$C$6,347&lt;=$E$6),1,0)</f>
        <v/>
      </c>
      <c r="MN32" s="85">
        <f>IF(AND(348&gt;=$C$6,348&lt;=$E$6),1,0)</f>
        <v/>
      </c>
      <c r="MO32" s="85">
        <f>IF(AND(349&gt;=$C$6,349&lt;=$E$6),1,0)</f>
        <v/>
      </c>
      <c r="MP32" s="85">
        <f>IF(AND(350&gt;=$C$6,350&lt;=$E$6),1,0)</f>
        <v/>
      </c>
      <c r="MQ32" s="85">
        <f>IF(AND(351&gt;=$C$6,351&lt;=$E$6),1,0)</f>
        <v/>
      </c>
      <c r="MR32" s="85">
        <f>IF(AND(352&gt;=$C$6,352&lt;=$E$6),1,0)</f>
        <v/>
      </c>
      <c r="MS32" s="85">
        <f>IF(AND(353&gt;=$C$6,353&lt;=$E$6),1,0)</f>
        <v/>
      </c>
      <c r="MT32" s="85">
        <f>IF(AND(354&gt;=$C$6,354&lt;=$E$6),1,0)</f>
        <v/>
      </c>
      <c r="MU32" s="85">
        <f>IF(AND(355&gt;=$C$6,355&lt;=$E$6),1,0)</f>
        <v/>
      </c>
      <c r="MV32" s="85">
        <f>IF(AND(356&gt;=$C$6,356&lt;=$E$6),1,0)</f>
        <v/>
      </c>
      <c r="MW32" s="85">
        <f>IF(AND(357&gt;=$C$6,357&lt;=$E$6),1,0)</f>
        <v/>
      </c>
      <c r="MX32" s="85">
        <f>IF(AND(358&gt;=$C$6,358&lt;=$E$6),1,0)</f>
        <v/>
      </c>
      <c r="MY32" s="85">
        <f>IF(AND(359&gt;=$C$6,359&lt;=$E$6),1,0)</f>
        <v/>
      </c>
      <c r="MZ32" s="85">
        <f>IF(AND(360&gt;=$C$6,360&lt;=$E$6),1,0)</f>
        <v/>
      </c>
      <c r="NA32" s="85">
        <f>IF(AND(361&gt;=$C$6,361&lt;=$E$6),1,0)</f>
        <v/>
      </c>
      <c r="NB32" s="85">
        <f>IF(AND(362&gt;=$C$6,362&lt;=$E$6),1,0)</f>
        <v/>
      </c>
      <c r="NC32" s="85">
        <f>IF(AND(363&gt;=$C$6,363&lt;=$E$6),1,0)</f>
        <v/>
      </c>
      <c r="ND32" s="85">
        <f>IF(AND(364&gt;=$C$6,364&lt;=$E$6),1,0)</f>
        <v/>
      </c>
      <c r="NE32" s="85">
        <f>IF(AND(365&gt;=$C$6,365&lt;=$E$6),1,0)</f>
        <v/>
      </c>
      <c r="NF32" s="85">
        <f>IF(AND(366&gt;=$C$6,366&lt;=$E$6),1,0)</f>
        <v/>
      </c>
      <c r="NG32" s="85">
        <f>IF(AND(367&gt;=$C$6,367&lt;=$E$6),1,0)</f>
        <v/>
      </c>
      <c r="NH32" s="85">
        <f>IF(AND(368&gt;=$C$6,368&lt;=$E$6),1,0)</f>
        <v/>
      </c>
      <c r="NI32" s="85">
        <f>IF(AND(369&gt;=$C$6,369&lt;=$E$6),1,0)</f>
        <v/>
      </c>
      <c r="NJ32" s="85">
        <f>IF(AND(370&gt;=$C$6,370&lt;=$E$6),1,0)</f>
        <v/>
      </c>
      <c r="NK32" s="85">
        <f>IF(AND(371&gt;=$C$6,371&lt;=$E$6),1,0)</f>
        <v/>
      </c>
      <c r="NL32" s="85">
        <f>IF(AND(372&gt;=$C$6,372&lt;=$E$6),1,0)</f>
        <v/>
      </c>
    </row>
    <row r="33">
      <c r="B33" s="36" t="inlineStr">
        <is>
          <t>Flag: Pre-Construction</t>
        </is>
      </c>
      <c r="D33" s="124" t="n"/>
      <c r="E33" s="85">
        <f>IF(AND(1&gt;=$C$7,1&lt;=$E$7),1,0)</f>
        <v/>
      </c>
      <c r="F33" s="85">
        <f>IF(AND(2&gt;=$C$7,2&lt;=$E$7),1,0)</f>
        <v/>
      </c>
      <c r="G33" s="85">
        <f>IF(AND(3&gt;=$C$7,3&lt;=$E$7),1,0)</f>
        <v/>
      </c>
      <c r="H33" s="85">
        <f>IF(AND(4&gt;=$C$7,4&lt;=$E$7),1,0)</f>
        <v/>
      </c>
      <c r="I33" s="85">
        <f>IF(AND(5&gt;=$C$7,5&lt;=$E$7),1,0)</f>
        <v/>
      </c>
      <c r="J33" s="85">
        <f>IF(AND(6&gt;=$C$7,6&lt;=$E$7),1,0)</f>
        <v/>
      </c>
      <c r="K33" s="85">
        <f>IF(AND(7&gt;=$C$7,7&lt;=$E$7),1,0)</f>
        <v/>
      </c>
      <c r="L33" s="85">
        <f>IF(AND(8&gt;=$C$7,8&lt;=$E$7),1,0)</f>
        <v/>
      </c>
      <c r="M33" s="85">
        <f>IF(AND(9&gt;=$C$7,9&lt;=$E$7),1,0)</f>
        <v/>
      </c>
      <c r="N33" s="85">
        <f>IF(AND(10&gt;=$C$7,10&lt;=$E$7),1,0)</f>
        <v/>
      </c>
      <c r="O33" s="85">
        <f>IF(AND(11&gt;=$C$7,11&lt;=$E$7),1,0)</f>
        <v/>
      </c>
      <c r="P33" s="85">
        <f>IF(AND(12&gt;=$C$7,12&lt;=$E$7),1,0)</f>
        <v/>
      </c>
      <c r="Q33" s="85">
        <f>IF(AND(13&gt;=$C$7,13&lt;=$E$7),1,0)</f>
        <v/>
      </c>
      <c r="R33" s="85">
        <f>IF(AND(14&gt;=$C$7,14&lt;=$E$7),1,0)</f>
        <v/>
      </c>
      <c r="S33" s="85">
        <f>IF(AND(15&gt;=$C$7,15&lt;=$E$7),1,0)</f>
        <v/>
      </c>
      <c r="T33" s="85">
        <f>IF(AND(16&gt;=$C$7,16&lt;=$E$7),1,0)</f>
        <v/>
      </c>
      <c r="U33" s="85">
        <f>IF(AND(17&gt;=$C$7,17&lt;=$E$7),1,0)</f>
        <v/>
      </c>
      <c r="V33" s="85">
        <f>IF(AND(18&gt;=$C$7,18&lt;=$E$7),1,0)</f>
        <v/>
      </c>
      <c r="W33" s="85">
        <f>IF(AND(19&gt;=$C$7,19&lt;=$E$7),1,0)</f>
        <v/>
      </c>
      <c r="X33" s="85">
        <f>IF(AND(20&gt;=$C$7,20&lt;=$E$7),1,0)</f>
        <v/>
      </c>
      <c r="Y33" s="85">
        <f>IF(AND(21&gt;=$C$7,21&lt;=$E$7),1,0)</f>
        <v/>
      </c>
      <c r="Z33" s="85">
        <f>IF(AND(22&gt;=$C$7,22&lt;=$E$7),1,0)</f>
        <v/>
      </c>
      <c r="AA33" s="85">
        <f>IF(AND(23&gt;=$C$7,23&lt;=$E$7),1,0)</f>
        <v/>
      </c>
      <c r="AB33" s="85">
        <f>IF(AND(24&gt;=$C$7,24&lt;=$E$7),1,0)</f>
        <v/>
      </c>
      <c r="AC33" s="85">
        <f>IF(AND(25&gt;=$C$7,25&lt;=$E$7),1,0)</f>
        <v/>
      </c>
      <c r="AD33" s="85">
        <f>IF(AND(26&gt;=$C$7,26&lt;=$E$7),1,0)</f>
        <v/>
      </c>
      <c r="AE33" s="85">
        <f>IF(AND(27&gt;=$C$7,27&lt;=$E$7),1,0)</f>
        <v/>
      </c>
      <c r="AF33" s="85">
        <f>IF(AND(28&gt;=$C$7,28&lt;=$E$7),1,0)</f>
        <v/>
      </c>
      <c r="AG33" s="85">
        <f>IF(AND(29&gt;=$C$7,29&lt;=$E$7),1,0)</f>
        <v/>
      </c>
      <c r="AH33" s="85">
        <f>IF(AND(30&gt;=$C$7,30&lt;=$E$7),1,0)</f>
        <v/>
      </c>
      <c r="AI33" s="85">
        <f>IF(AND(31&gt;=$C$7,31&lt;=$E$7),1,0)</f>
        <v/>
      </c>
      <c r="AJ33" s="85">
        <f>IF(AND(32&gt;=$C$7,32&lt;=$E$7),1,0)</f>
        <v/>
      </c>
      <c r="AK33" s="85">
        <f>IF(AND(33&gt;=$C$7,33&lt;=$E$7),1,0)</f>
        <v/>
      </c>
      <c r="AL33" s="85">
        <f>IF(AND(34&gt;=$C$7,34&lt;=$E$7),1,0)</f>
        <v/>
      </c>
      <c r="AM33" s="85">
        <f>IF(AND(35&gt;=$C$7,35&lt;=$E$7),1,0)</f>
        <v/>
      </c>
      <c r="AN33" s="85">
        <f>IF(AND(36&gt;=$C$7,36&lt;=$E$7),1,0)</f>
        <v/>
      </c>
      <c r="AO33" s="85">
        <f>IF(AND(37&gt;=$C$7,37&lt;=$E$7),1,0)</f>
        <v/>
      </c>
      <c r="AP33" s="85">
        <f>IF(AND(38&gt;=$C$7,38&lt;=$E$7),1,0)</f>
        <v/>
      </c>
      <c r="AQ33" s="85">
        <f>IF(AND(39&gt;=$C$7,39&lt;=$E$7),1,0)</f>
        <v/>
      </c>
      <c r="AR33" s="85">
        <f>IF(AND(40&gt;=$C$7,40&lt;=$E$7),1,0)</f>
        <v/>
      </c>
      <c r="AS33" s="85">
        <f>IF(AND(41&gt;=$C$7,41&lt;=$E$7),1,0)</f>
        <v/>
      </c>
      <c r="AT33" s="85">
        <f>IF(AND(42&gt;=$C$7,42&lt;=$E$7),1,0)</f>
        <v/>
      </c>
      <c r="AU33" s="85">
        <f>IF(AND(43&gt;=$C$7,43&lt;=$E$7),1,0)</f>
        <v/>
      </c>
      <c r="AV33" s="85">
        <f>IF(AND(44&gt;=$C$7,44&lt;=$E$7),1,0)</f>
        <v/>
      </c>
      <c r="AW33" s="85">
        <f>IF(AND(45&gt;=$C$7,45&lt;=$E$7),1,0)</f>
        <v/>
      </c>
      <c r="AX33" s="85">
        <f>IF(AND(46&gt;=$C$7,46&lt;=$E$7),1,0)</f>
        <v/>
      </c>
      <c r="AY33" s="85">
        <f>IF(AND(47&gt;=$C$7,47&lt;=$E$7),1,0)</f>
        <v/>
      </c>
      <c r="AZ33" s="85">
        <f>IF(AND(48&gt;=$C$7,48&lt;=$E$7),1,0)</f>
        <v/>
      </c>
      <c r="BA33" s="85">
        <f>IF(AND(49&gt;=$C$7,49&lt;=$E$7),1,0)</f>
        <v/>
      </c>
      <c r="BB33" s="85">
        <f>IF(AND(50&gt;=$C$7,50&lt;=$E$7),1,0)</f>
        <v/>
      </c>
      <c r="BC33" s="85">
        <f>IF(AND(51&gt;=$C$7,51&lt;=$E$7),1,0)</f>
        <v/>
      </c>
      <c r="BD33" s="85">
        <f>IF(AND(52&gt;=$C$7,52&lt;=$E$7),1,0)</f>
        <v/>
      </c>
      <c r="BE33" s="85">
        <f>IF(AND(53&gt;=$C$7,53&lt;=$E$7),1,0)</f>
        <v/>
      </c>
      <c r="BF33" s="85">
        <f>IF(AND(54&gt;=$C$7,54&lt;=$E$7),1,0)</f>
        <v/>
      </c>
      <c r="BG33" s="85">
        <f>IF(AND(55&gt;=$C$7,55&lt;=$E$7),1,0)</f>
        <v/>
      </c>
      <c r="BH33" s="85">
        <f>IF(AND(56&gt;=$C$7,56&lt;=$E$7),1,0)</f>
        <v/>
      </c>
      <c r="BI33" s="85">
        <f>IF(AND(57&gt;=$C$7,57&lt;=$E$7),1,0)</f>
        <v/>
      </c>
      <c r="BJ33" s="85">
        <f>IF(AND(58&gt;=$C$7,58&lt;=$E$7),1,0)</f>
        <v/>
      </c>
      <c r="BK33" s="85">
        <f>IF(AND(59&gt;=$C$7,59&lt;=$E$7),1,0)</f>
        <v/>
      </c>
      <c r="BL33" s="85">
        <f>IF(AND(60&gt;=$C$7,60&lt;=$E$7),1,0)</f>
        <v/>
      </c>
      <c r="BM33" s="85">
        <f>IF(AND(61&gt;=$C$7,61&lt;=$E$7),1,0)</f>
        <v/>
      </c>
      <c r="BN33" s="85">
        <f>IF(AND(62&gt;=$C$7,62&lt;=$E$7),1,0)</f>
        <v/>
      </c>
      <c r="BO33" s="85">
        <f>IF(AND(63&gt;=$C$7,63&lt;=$E$7),1,0)</f>
        <v/>
      </c>
      <c r="BP33" s="85">
        <f>IF(AND(64&gt;=$C$7,64&lt;=$E$7),1,0)</f>
        <v/>
      </c>
      <c r="BQ33" s="85">
        <f>IF(AND(65&gt;=$C$7,65&lt;=$E$7),1,0)</f>
        <v/>
      </c>
      <c r="BR33" s="85">
        <f>IF(AND(66&gt;=$C$7,66&lt;=$E$7),1,0)</f>
        <v/>
      </c>
      <c r="BS33" s="85">
        <f>IF(AND(67&gt;=$C$7,67&lt;=$E$7),1,0)</f>
        <v/>
      </c>
      <c r="BT33" s="85">
        <f>IF(AND(68&gt;=$C$7,68&lt;=$E$7),1,0)</f>
        <v/>
      </c>
      <c r="BU33" s="85">
        <f>IF(AND(69&gt;=$C$7,69&lt;=$E$7),1,0)</f>
        <v/>
      </c>
      <c r="BV33" s="85">
        <f>IF(AND(70&gt;=$C$7,70&lt;=$E$7),1,0)</f>
        <v/>
      </c>
      <c r="BW33" s="85">
        <f>IF(AND(71&gt;=$C$7,71&lt;=$E$7),1,0)</f>
        <v/>
      </c>
      <c r="BX33" s="85">
        <f>IF(AND(72&gt;=$C$7,72&lt;=$E$7),1,0)</f>
        <v/>
      </c>
      <c r="BY33" s="85">
        <f>IF(AND(73&gt;=$C$7,73&lt;=$E$7),1,0)</f>
        <v/>
      </c>
      <c r="BZ33" s="85">
        <f>IF(AND(74&gt;=$C$7,74&lt;=$E$7),1,0)</f>
        <v/>
      </c>
      <c r="CA33" s="85">
        <f>IF(AND(75&gt;=$C$7,75&lt;=$E$7),1,0)</f>
        <v/>
      </c>
      <c r="CB33" s="85">
        <f>IF(AND(76&gt;=$C$7,76&lt;=$E$7),1,0)</f>
        <v/>
      </c>
      <c r="CC33" s="85">
        <f>IF(AND(77&gt;=$C$7,77&lt;=$E$7),1,0)</f>
        <v/>
      </c>
      <c r="CD33" s="85">
        <f>IF(AND(78&gt;=$C$7,78&lt;=$E$7),1,0)</f>
        <v/>
      </c>
      <c r="CE33" s="85">
        <f>IF(AND(79&gt;=$C$7,79&lt;=$E$7),1,0)</f>
        <v/>
      </c>
      <c r="CF33" s="85">
        <f>IF(AND(80&gt;=$C$7,80&lt;=$E$7),1,0)</f>
        <v/>
      </c>
      <c r="CG33" s="85">
        <f>IF(AND(81&gt;=$C$7,81&lt;=$E$7),1,0)</f>
        <v/>
      </c>
      <c r="CH33" s="85">
        <f>IF(AND(82&gt;=$C$7,82&lt;=$E$7),1,0)</f>
        <v/>
      </c>
      <c r="CI33" s="85">
        <f>IF(AND(83&gt;=$C$7,83&lt;=$E$7),1,0)</f>
        <v/>
      </c>
      <c r="CJ33" s="85">
        <f>IF(AND(84&gt;=$C$7,84&lt;=$E$7),1,0)</f>
        <v/>
      </c>
      <c r="CK33" s="85">
        <f>IF(AND(85&gt;=$C$7,85&lt;=$E$7),1,0)</f>
        <v/>
      </c>
      <c r="CL33" s="85">
        <f>IF(AND(86&gt;=$C$7,86&lt;=$E$7),1,0)</f>
        <v/>
      </c>
      <c r="CM33" s="85">
        <f>IF(AND(87&gt;=$C$7,87&lt;=$E$7),1,0)</f>
        <v/>
      </c>
      <c r="CN33" s="85">
        <f>IF(AND(88&gt;=$C$7,88&lt;=$E$7),1,0)</f>
        <v/>
      </c>
      <c r="CO33" s="85">
        <f>IF(AND(89&gt;=$C$7,89&lt;=$E$7),1,0)</f>
        <v/>
      </c>
      <c r="CP33" s="85">
        <f>IF(AND(90&gt;=$C$7,90&lt;=$E$7),1,0)</f>
        <v/>
      </c>
      <c r="CQ33" s="85">
        <f>IF(AND(91&gt;=$C$7,91&lt;=$E$7),1,0)</f>
        <v/>
      </c>
      <c r="CR33" s="85">
        <f>IF(AND(92&gt;=$C$7,92&lt;=$E$7),1,0)</f>
        <v/>
      </c>
      <c r="CS33" s="85">
        <f>IF(AND(93&gt;=$C$7,93&lt;=$E$7),1,0)</f>
        <v/>
      </c>
      <c r="CT33" s="85">
        <f>IF(AND(94&gt;=$C$7,94&lt;=$E$7),1,0)</f>
        <v/>
      </c>
      <c r="CU33" s="85">
        <f>IF(AND(95&gt;=$C$7,95&lt;=$E$7),1,0)</f>
        <v/>
      </c>
      <c r="CV33" s="85">
        <f>IF(AND(96&gt;=$C$7,96&lt;=$E$7),1,0)</f>
        <v/>
      </c>
      <c r="CW33" s="85">
        <f>IF(AND(97&gt;=$C$7,97&lt;=$E$7),1,0)</f>
        <v/>
      </c>
      <c r="CX33" s="85">
        <f>IF(AND(98&gt;=$C$7,98&lt;=$E$7),1,0)</f>
        <v/>
      </c>
      <c r="CY33" s="85">
        <f>IF(AND(99&gt;=$C$7,99&lt;=$E$7),1,0)</f>
        <v/>
      </c>
      <c r="CZ33" s="85">
        <f>IF(AND(100&gt;=$C$7,100&lt;=$E$7),1,0)</f>
        <v/>
      </c>
      <c r="DA33" s="85">
        <f>IF(AND(101&gt;=$C$7,101&lt;=$E$7),1,0)</f>
        <v/>
      </c>
      <c r="DB33" s="85">
        <f>IF(AND(102&gt;=$C$7,102&lt;=$E$7),1,0)</f>
        <v/>
      </c>
      <c r="DC33" s="85">
        <f>IF(AND(103&gt;=$C$7,103&lt;=$E$7),1,0)</f>
        <v/>
      </c>
      <c r="DD33" s="85">
        <f>IF(AND(104&gt;=$C$7,104&lt;=$E$7),1,0)</f>
        <v/>
      </c>
      <c r="DE33" s="85">
        <f>IF(AND(105&gt;=$C$7,105&lt;=$E$7),1,0)</f>
        <v/>
      </c>
      <c r="DF33" s="85">
        <f>IF(AND(106&gt;=$C$7,106&lt;=$E$7),1,0)</f>
        <v/>
      </c>
      <c r="DG33" s="85">
        <f>IF(AND(107&gt;=$C$7,107&lt;=$E$7),1,0)</f>
        <v/>
      </c>
      <c r="DH33" s="85">
        <f>IF(AND(108&gt;=$C$7,108&lt;=$E$7),1,0)</f>
        <v/>
      </c>
      <c r="DI33" s="85">
        <f>IF(AND(109&gt;=$C$7,109&lt;=$E$7),1,0)</f>
        <v/>
      </c>
      <c r="DJ33" s="85">
        <f>IF(AND(110&gt;=$C$7,110&lt;=$E$7),1,0)</f>
        <v/>
      </c>
      <c r="DK33" s="85">
        <f>IF(AND(111&gt;=$C$7,111&lt;=$E$7),1,0)</f>
        <v/>
      </c>
      <c r="DL33" s="85">
        <f>IF(AND(112&gt;=$C$7,112&lt;=$E$7),1,0)</f>
        <v/>
      </c>
      <c r="DM33" s="85">
        <f>IF(AND(113&gt;=$C$7,113&lt;=$E$7),1,0)</f>
        <v/>
      </c>
      <c r="DN33" s="85">
        <f>IF(AND(114&gt;=$C$7,114&lt;=$E$7),1,0)</f>
        <v/>
      </c>
      <c r="DO33" s="85">
        <f>IF(AND(115&gt;=$C$7,115&lt;=$E$7),1,0)</f>
        <v/>
      </c>
      <c r="DP33" s="85">
        <f>IF(AND(116&gt;=$C$7,116&lt;=$E$7),1,0)</f>
        <v/>
      </c>
      <c r="DQ33" s="85">
        <f>IF(AND(117&gt;=$C$7,117&lt;=$E$7),1,0)</f>
        <v/>
      </c>
      <c r="DR33" s="85">
        <f>IF(AND(118&gt;=$C$7,118&lt;=$E$7),1,0)</f>
        <v/>
      </c>
      <c r="DS33" s="85">
        <f>IF(AND(119&gt;=$C$7,119&lt;=$E$7),1,0)</f>
        <v/>
      </c>
      <c r="DT33" s="85">
        <f>IF(AND(120&gt;=$C$7,120&lt;=$E$7),1,0)</f>
        <v/>
      </c>
      <c r="DU33" s="85">
        <f>IF(AND(121&gt;=$C$7,121&lt;=$E$7),1,0)</f>
        <v/>
      </c>
      <c r="DV33" s="85">
        <f>IF(AND(122&gt;=$C$7,122&lt;=$E$7),1,0)</f>
        <v/>
      </c>
      <c r="DW33" s="85">
        <f>IF(AND(123&gt;=$C$7,123&lt;=$E$7),1,0)</f>
        <v/>
      </c>
      <c r="DX33" s="85">
        <f>IF(AND(124&gt;=$C$7,124&lt;=$E$7),1,0)</f>
        <v/>
      </c>
      <c r="DY33" s="85">
        <f>IF(AND(125&gt;=$C$7,125&lt;=$E$7),1,0)</f>
        <v/>
      </c>
      <c r="DZ33" s="85">
        <f>IF(AND(126&gt;=$C$7,126&lt;=$E$7),1,0)</f>
        <v/>
      </c>
      <c r="EA33" s="85">
        <f>IF(AND(127&gt;=$C$7,127&lt;=$E$7),1,0)</f>
        <v/>
      </c>
      <c r="EB33" s="85">
        <f>IF(AND(128&gt;=$C$7,128&lt;=$E$7),1,0)</f>
        <v/>
      </c>
      <c r="EC33" s="85">
        <f>IF(AND(129&gt;=$C$7,129&lt;=$E$7),1,0)</f>
        <v/>
      </c>
      <c r="ED33" s="85">
        <f>IF(AND(130&gt;=$C$7,130&lt;=$E$7),1,0)</f>
        <v/>
      </c>
      <c r="EE33" s="85">
        <f>IF(AND(131&gt;=$C$7,131&lt;=$E$7),1,0)</f>
        <v/>
      </c>
      <c r="EF33" s="85">
        <f>IF(AND(132&gt;=$C$7,132&lt;=$E$7),1,0)</f>
        <v/>
      </c>
      <c r="EG33" s="85">
        <f>IF(AND(133&gt;=$C$7,133&lt;=$E$7),1,0)</f>
        <v/>
      </c>
      <c r="EH33" s="85">
        <f>IF(AND(134&gt;=$C$7,134&lt;=$E$7),1,0)</f>
        <v/>
      </c>
      <c r="EI33" s="85">
        <f>IF(AND(135&gt;=$C$7,135&lt;=$E$7),1,0)</f>
        <v/>
      </c>
      <c r="EJ33" s="85">
        <f>IF(AND(136&gt;=$C$7,136&lt;=$E$7),1,0)</f>
        <v/>
      </c>
      <c r="EK33" s="85">
        <f>IF(AND(137&gt;=$C$7,137&lt;=$E$7),1,0)</f>
        <v/>
      </c>
      <c r="EL33" s="85">
        <f>IF(AND(138&gt;=$C$7,138&lt;=$E$7),1,0)</f>
        <v/>
      </c>
      <c r="EM33" s="85">
        <f>IF(AND(139&gt;=$C$7,139&lt;=$E$7),1,0)</f>
        <v/>
      </c>
      <c r="EN33" s="85">
        <f>IF(AND(140&gt;=$C$7,140&lt;=$E$7),1,0)</f>
        <v/>
      </c>
      <c r="EO33" s="85">
        <f>IF(AND(141&gt;=$C$7,141&lt;=$E$7),1,0)</f>
        <v/>
      </c>
      <c r="EP33" s="85">
        <f>IF(AND(142&gt;=$C$7,142&lt;=$E$7),1,0)</f>
        <v/>
      </c>
      <c r="EQ33" s="85">
        <f>IF(AND(143&gt;=$C$7,143&lt;=$E$7),1,0)</f>
        <v/>
      </c>
      <c r="ER33" s="85">
        <f>IF(AND(144&gt;=$C$7,144&lt;=$E$7),1,0)</f>
        <v/>
      </c>
      <c r="ES33" s="85">
        <f>IF(AND(145&gt;=$C$7,145&lt;=$E$7),1,0)</f>
        <v/>
      </c>
      <c r="ET33" s="85">
        <f>IF(AND(146&gt;=$C$7,146&lt;=$E$7),1,0)</f>
        <v/>
      </c>
      <c r="EU33" s="85">
        <f>IF(AND(147&gt;=$C$7,147&lt;=$E$7),1,0)</f>
        <v/>
      </c>
      <c r="EV33" s="85">
        <f>IF(AND(148&gt;=$C$7,148&lt;=$E$7),1,0)</f>
        <v/>
      </c>
      <c r="EW33" s="85">
        <f>IF(AND(149&gt;=$C$7,149&lt;=$E$7),1,0)</f>
        <v/>
      </c>
      <c r="EX33" s="85">
        <f>IF(AND(150&gt;=$C$7,150&lt;=$E$7),1,0)</f>
        <v/>
      </c>
      <c r="EY33" s="85">
        <f>IF(AND(151&gt;=$C$7,151&lt;=$E$7),1,0)</f>
        <v/>
      </c>
      <c r="EZ33" s="85">
        <f>IF(AND(152&gt;=$C$7,152&lt;=$E$7),1,0)</f>
        <v/>
      </c>
      <c r="FA33" s="85">
        <f>IF(AND(153&gt;=$C$7,153&lt;=$E$7),1,0)</f>
        <v/>
      </c>
      <c r="FB33" s="85">
        <f>IF(AND(154&gt;=$C$7,154&lt;=$E$7),1,0)</f>
        <v/>
      </c>
      <c r="FC33" s="85">
        <f>IF(AND(155&gt;=$C$7,155&lt;=$E$7),1,0)</f>
        <v/>
      </c>
      <c r="FD33" s="85">
        <f>IF(AND(156&gt;=$C$7,156&lt;=$E$7),1,0)</f>
        <v/>
      </c>
      <c r="FE33" s="85">
        <f>IF(AND(157&gt;=$C$7,157&lt;=$E$7),1,0)</f>
        <v/>
      </c>
      <c r="FF33" s="85">
        <f>IF(AND(158&gt;=$C$7,158&lt;=$E$7),1,0)</f>
        <v/>
      </c>
      <c r="FG33" s="85">
        <f>IF(AND(159&gt;=$C$7,159&lt;=$E$7),1,0)</f>
        <v/>
      </c>
      <c r="FH33" s="85">
        <f>IF(AND(160&gt;=$C$7,160&lt;=$E$7),1,0)</f>
        <v/>
      </c>
      <c r="FI33" s="85">
        <f>IF(AND(161&gt;=$C$7,161&lt;=$E$7),1,0)</f>
        <v/>
      </c>
      <c r="FJ33" s="85">
        <f>IF(AND(162&gt;=$C$7,162&lt;=$E$7),1,0)</f>
        <v/>
      </c>
      <c r="FK33" s="85">
        <f>IF(AND(163&gt;=$C$7,163&lt;=$E$7),1,0)</f>
        <v/>
      </c>
      <c r="FL33" s="85">
        <f>IF(AND(164&gt;=$C$7,164&lt;=$E$7),1,0)</f>
        <v/>
      </c>
      <c r="FM33" s="85">
        <f>IF(AND(165&gt;=$C$7,165&lt;=$E$7),1,0)</f>
        <v/>
      </c>
      <c r="FN33" s="85">
        <f>IF(AND(166&gt;=$C$7,166&lt;=$E$7),1,0)</f>
        <v/>
      </c>
      <c r="FO33" s="85">
        <f>IF(AND(167&gt;=$C$7,167&lt;=$E$7),1,0)</f>
        <v/>
      </c>
      <c r="FP33" s="85">
        <f>IF(AND(168&gt;=$C$7,168&lt;=$E$7),1,0)</f>
        <v/>
      </c>
      <c r="FQ33" s="85">
        <f>IF(AND(169&gt;=$C$7,169&lt;=$E$7),1,0)</f>
        <v/>
      </c>
      <c r="FR33" s="85">
        <f>IF(AND(170&gt;=$C$7,170&lt;=$E$7),1,0)</f>
        <v/>
      </c>
      <c r="FS33" s="85">
        <f>IF(AND(171&gt;=$C$7,171&lt;=$E$7),1,0)</f>
        <v/>
      </c>
      <c r="FT33" s="85">
        <f>IF(AND(172&gt;=$C$7,172&lt;=$E$7),1,0)</f>
        <v/>
      </c>
      <c r="FU33" s="85">
        <f>IF(AND(173&gt;=$C$7,173&lt;=$E$7),1,0)</f>
        <v/>
      </c>
      <c r="FV33" s="85">
        <f>IF(AND(174&gt;=$C$7,174&lt;=$E$7),1,0)</f>
        <v/>
      </c>
      <c r="FW33" s="85">
        <f>IF(AND(175&gt;=$C$7,175&lt;=$E$7),1,0)</f>
        <v/>
      </c>
      <c r="FX33" s="85">
        <f>IF(AND(176&gt;=$C$7,176&lt;=$E$7),1,0)</f>
        <v/>
      </c>
      <c r="FY33" s="85">
        <f>IF(AND(177&gt;=$C$7,177&lt;=$E$7),1,0)</f>
        <v/>
      </c>
      <c r="FZ33" s="85">
        <f>IF(AND(178&gt;=$C$7,178&lt;=$E$7),1,0)</f>
        <v/>
      </c>
      <c r="GA33" s="85">
        <f>IF(AND(179&gt;=$C$7,179&lt;=$E$7),1,0)</f>
        <v/>
      </c>
      <c r="GB33" s="85">
        <f>IF(AND(180&gt;=$C$7,180&lt;=$E$7),1,0)</f>
        <v/>
      </c>
      <c r="GC33" s="85">
        <f>IF(AND(181&gt;=$C$7,181&lt;=$E$7),1,0)</f>
        <v/>
      </c>
      <c r="GD33" s="85">
        <f>IF(AND(182&gt;=$C$7,182&lt;=$E$7),1,0)</f>
        <v/>
      </c>
      <c r="GE33" s="85">
        <f>IF(AND(183&gt;=$C$7,183&lt;=$E$7),1,0)</f>
        <v/>
      </c>
      <c r="GF33" s="85">
        <f>IF(AND(184&gt;=$C$7,184&lt;=$E$7),1,0)</f>
        <v/>
      </c>
      <c r="GG33" s="85">
        <f>IF(AND(185&gt;=$C$7,185&lt;=$E$7),1,0)</f>
        <v/>
      </c>
      <c r="GH33" s="85">
        <f>IF(AND(186&gt;=$C$7,186&lt;=$E$7),1,0)</f>
        <v/>
      </c>
      <c r="GI33" s="85">
        <f>IF(AND(187&gt;=$C$7,187&lt;=$E$7),1,0)</f>
        <v/>
      </c>
      <c r="GJ33" s="85">
        <f>IF(AND(188&gt;=$C$7,188&lt;=$E$7),1,0)</f>
        <v/>
      </c>
      <c r="GK33" s="85">
        <f>IF(AND(189&gt;=$C$7,189&lt;=$E$7),1,0)</f>
        <v/>
      </c>
      <c r="GL33" s="85">
        <f>IF(AND(190&gt;=$C$7,190&lt;=$E$7),1,0)</f>
        <v/>
      </c>
      <c r="GM33" s="85">
        <f>IF(AND(191&gt;=$C$7,191&lt;=$E$7),1,0)</f>
        <v/>
      </c>
      <c r="GN33" s="85">
        <f>IF(AND(192&gt;=$C$7,192&lt;=$E$7),1,0)</f>
        <v/>
      </c>
      <c r="GO33" s="85">
        <f>IF(AND(193&gt;=$C$7,193&lt;=$E$7),1,0)</f>
        <v/>
      </c>
      <c r="GP33" s="85">
        <f>IF(AND(194&gt;=$C$7,194&lt;=$E$7),1,0)</f>
        <v/>
      </c>
      <c r="GQ33" s="85">
        <f>IF(AND(195&gt;=$C$7,195&lt;=$E$7),1,0)</f>
        <v/>
      </c>
      <c r="GR33" s="85">
        <f>IF(AND(196&gt;=$C$7,196&lt;=$E$7),1,0)</f>
        <v/>
      </c>
      <c r="GS33" s="85">
        <f>IF(AND(197&gt;=$C$7,197&lt;=$E$7),1,0)</f>
        <v/>
      </c>
      <c r="GT33" s="85">
        <f>IF(AND(198&gt;=$C$7,198&lt;=$E$7),1,0)</f>
        <v/>
      </c>
      <c r="GU33" s="85">
        <f>IF(AND(199&gt;=$C$7,199&lt;=$E$7),1,0)</f>
        <v/>
      </c>
      <c r="GV33" s="85">
        <f>IF(AND(200&gt;=$C$7,200&lt;=$E$7),1,0)</f>
        <v/>
      </c>
      <c r="GW33" s="85">
        <f>IF(AND(201&gt;=$C$7,201&lt;=$E$7),1,0)</f>
        <v/>
      </c>
      <c r="GX33" s="85">
        <f>IF(AND(202&gt;=$C$7,202&lt;=$E$7),1,0)</f>
        <v/>
      </c>
      <c r="GY33" s="85">
        <f>IF(AND(203&gt;=$C$7,203&lt;=$E$7),1,0)</f>
        <v/>
      </c>
      <c r="GZ33" s="85">
        <f>IF(AND(204&gt;=$C$7,204&lt;=$E$7),1,0)</f>
        <v/>
      </c>
      <c r="HA33" s="85">
        <f>IF(AND(205&gt;=$C$7,205&lt;=$E$7),1,0)</f>
        <v/>
      </c>
      <c r="HB33" s="85">
        <f>IF(AND(206&gt;=$C$7,206&lt;=$E$7),1,0)</f>
        <v/>
      </c>
      <c r="HC33" s="85">
        <f>IF(AND(207&gt;=$C$7,207&lt;=$E$7),1,0)</f>
        <v/>
      </c>
      <c r="HD33" s="85">
        <f>IF(AND(208&gt;=$C$7,208&lt;=$E$7),1,0)</f>
        <v/>
      </c>
      <c r="HE33" s="85">
        <f>IF(AND(209&gt;=$C$7,209&lt;=$E$7),1,0)</f>
        <v/>
      </c>
      <c r="HF33" s="85">
        <f>IF(AND(210&gt;=$C$7,210&lt;=$E$7),1,0)</f>
        <v/>
      </c>
      <c r="HG33" s="85">
        <f>IF(AND(211&gt;=$C$7,211&lt;=$E$7),1,0)</f>
        <v/>
      </c>
      <c r="HH33" s="85">
        <f>IF(AND(212&gt;=$C$7,212&lt;=$E$7),1,0)</f>
        <v/>
      </c>
      <c r="HI33" s="85">
        <f>IF(AND(213&gt;=$C$7,213&lt;=$E$7),1,0)</f>
        <v/>
      </c>
      <c r="HJ33" s="85">
        <f>IF(AND(214&gt;=$C$7,214&lt;=$E$7),1,0)</f>
        <v/>
      </c>
      <c r="HK33" s="85">
        <f>IF(AND(215&gt;=$C$7,215&lt;=$E$7),1,0)</f>
        <v/>
      </c>
      <c r="HL33" s="85">
        <f>IF(AND(216&gt;=$C$7,216&lt;=$E$7),1,0)</f>
        <v/>
      </c>
      <c r="HM33" s="85">
        <f>IF(AND(217&gt;=$C$7,217&lt;=$E$7),1,0)</f>
        <v/>
      </c>
      <c r="HN33" s="85">
        <f>IF(AND(218&gt;=$C$7,218&lt;=$E$7),1,0)</f>
        <v/>
      </c>
      <c r="HO33" s="85">
        <f>IF(AND(219&gt;=$C$7,219&lt;=$E$7),1,0)</f>
        <v/>
      </c>
      <c r="HP33" s="85">
        <f>IF(AND(220&gt;=$C$7,220&lt;=$E$7),1,0)</f>
        <v/>
      </c>
      <c r="HQ33" s="85">
        <f>IF(AND(221&gt;=$C$7,221&lt;=$E$7),1,0)</f>
        <v/>
      </c>
      <c r="HR33" s="85">
        <f>IF(AND(222&gt;=$C$7,222&lt;=$E$7),1,0)</f>
        <v/>
      </c>
      <c r="HS33" s="85">
        <f>IF(AND(223&gt;=$C$7,223&lt;=$E$7),1,0)</f>
        <v/>
      </c>
      <c r="HT33" s="85">
        <f>IF(AND(224&gt;=$C$7,224&lt;=$E$7),1,0)</f>
        <v/>
      </c>
      <c r="HU33" s="85">
        <f>IF(AND(225&gt;=$C$7,225&lt;=$E$7),1,0)</f>
        <v/>
      </c>
      <c r="HV33" s="85">
        <f>IF(AND(226&gt;=$C$7,226&lt;=$E$7),1,0)</f>
        <v/>
      </c>
      <c r="HW33" s="85">
        <f>IF(AND(227&gt;=$C$7,227&lt;=$E$7),1,0)</f>
        <v/>
      </c>
      <c r="HX33" s="85">
        <f>IF(AND(228&gt;=$C$7,228&lt;=$E$7),1,0)</f>
        <v/>
      </c>
      <c r="HY33" s="85">
        <f>IF(AND(229&gt;=$C$7,229&lt;=$E$7),1,0)</f>
        <v/>
      </c>
      <c r="HZ33" s="85">
        <f>IF(AND(230&gt;=$C$7,230&lt;=$E$7),1,0)</f>
        <v/>
      </c>
      <c r="IA33" s="85">
        <f>IF(AND(231&gt;=$C$7,231&lt;=$E$7),1,0)</f>
        <v/>
      </c>
      <c r="IB33" s="85">
        <f>IF(AND(232&gt;=$C$7,232&lt;=$E$7),1,0)</f>
        <v/>
      </c>
      <c r="IC33" s="85">
        <f>IF(AND(233&gt;=$C$7,233&lt;=$E$7),1,0)</f>
        <v/>
      </c>
      <c r="ID33" s="85">
        <f>IF(AND(234&gt;=$C$7,234&lt;=$E$7),1,0)</f>
        <v/>
      </c>
      <c r="IE33" s="85">
        <f>IF(AND(235&gt;=$C$7,235&lt;=$E$7),1,0)</f>
        <v/>
      </c>
      <c r="IF33" s="85">
        <f>IF(AND(236&gt;=$C$7,236&lt;=$E$7),1,0)</f>
        <v/>
      </c>
      <c r="IG33" s="85">
        <f>IF(AND(237&gt;=$C$7,237&lt;=$E$7),1,0)</f>
        <v/>
      </c>
      <c r="IH33" s="85">
        <f>IF(AND(238&gt;=$C$7,238&lt;=$E$7),1,0)</f>
        <v/>
      </c>
      <c r="II33" s="85">
        <f>IF(AND(239&gt;=$C$7,239&lt;=$E$7),1,0)</f>
        <v/>
      </c>
      <c r="IJ33" s="85">
        <f>IF(AND(240&gt;=$C$7,240&lt;=$E$7),1,0)</f>
        <v/>
      </c>
      <c r="IK33" s="85">
        <f>IF(AND(241&gt;=$C$7,241&lt;=$E$7),1,0)</f>
        <v/>
      </c>
      <c r="IL33" s="85">
        <f>IF(AND(242&gt;=$C$7,242&lt;=$E$7),1,0)</f>
        <v/>
      </c>
      <c r="IM33" s="85">
        <f>IF(AND(243&gt;=$C$7,243&lt;=$E$7),1,0)</f>
        <v/>
      </c>
      <c r="IN33" s="85">
        <f>IF(AND(244&gt;=$C$7,244&lt;=$E$7),1,0)</f>
        <v/>
      </c>
      <c r="IO33" s="85">
        <f>IF(AND(245&gt;=$C$7,245&lt;=$E$7),1,0)</f>
        <v/>
      </c>
      <c r="IP33" s="85">
        <f>IF(AND(246&gt;=$C$7,246&lt;=$E$7),1,0)</f>
        <v/>
      </c>
      <c r="IQ33" s="85">
        <f>IF(AND(247&gt;=$C$7,247&lt;=$E$7),1,0)</f>
        <v/>
      </c>
      <c r="IR33" s="85">
        <f>IF(AND(248&gt;=$C$7,248&lt;=$E$7),1,0)</f>
        <v/>
      </c>
      <c r="IS33" s="85">
        <f>IF(AND(249&gt;=$C$7,249&lt;=$E$7),1,0)</f>
        <v/>
      </c>
      <c r="IT33" s="85">
        <f>IF(AND(250&gt;=$C$7,250&lt;=$E$7),1,0)</f>
        <v/>
      </c>
      <c r="IU33" s="85">
        <f>IF(AND(251&gt;=$C$7,251&lt;=$E$7),1,0)</f>
        <v/>
      </c>
      <c r="IV33" s="85">
        <f>IF(AND(252&gt;=$C$7,252&lt;=$E$7),1,0)</f>
        <v/>
      </c>
      <c r="IW33" s="85">
        <f>IF(AND(253&gt;=$C$7,253&lt;=$E$7),1,0)</f>
        <v/>
      </c>
      <c r="IX33" s="85">
        <f>IF(AND(254&gt;=$C$7,254&lt;=$E$7),1,0)</f>
        <v/>
      </c>
      <c r="IY33" s="85">
        <f>IF(AND(255&gt;=$C$7,255&lt;=$E$7),1,0)</f>
        <v/>
      </c>
      <c r="IZ33" s="85">
        <f>IF(AND(256&gt;=$C$7,256&lt;=$E$7),1,0)</f>
        <v/>
      </c>
      <c r="JA33" s="85">
        <f>IF(AND(257&gt;=$C$7,257&lt;=$E$7),1,0)</f>
        <v/>
      </c>
      <c r="JB33" s="85">
        <f>IF(AND(258&gt;=$C$7,258&lt;=$E$7),1,0)</f>
        <v/>
      </c>
      <c r="JC33" s="85">
        <f>IF(AND(259&gt;=$C$7,259&lt;=$E$7),1,0)</f>
        <v/>
      </c>
      <c r="JD33" s="85">
        <f>IF(AND(260&gt;=$C$7,260&lt;=$E$7),1,0)</f>
        <v/>
      </c>
      <c r="JE33" s="85">
        <f>IF(AND(261&gt;=$C$7,261&lt;=$E$7),1,0)</f>
        <v/>
      </c>
      <c r="JF33" s="85">
        <f>IF(AND(262&gt;=$C$7,262&lt;=$E$7),1,0)</f>
        <v/>
      </c>
      <c r="JG33" s="85">
        <f>IF(AND(263&gt;=$C$7,263&lt;=$E$7),1,0)</f>
        <v/>
      </c>
      <c r="JH33" s="85">
        <f>IF(AND(264&gt;=$C$7,264&lt;=$E$7),1,0)</f>
        <v/>
      </c>
      <c r="JI33" s="85">
        <f>IF(AND(265&gt;=$C$7,265&lt;=$E$7),1,0)</f>
        <v/>
      </c>
      <c r="JJ33" s="85">
        <f>IF(AND(266&gt;=$C$7,266&lt;=$E$7),1,0)</f>
        <v/>
      </c>
      <c r="JK33" s="85">
        <f>IF(AND(267&gt;=$C$7,267&lt;=$E$7),1,0)</f>
        <v/>
      </c>
      <c r="JL33" s="85">
        <f>IF(AND(268&gt;=$C$7,268&lt;=$E$7),1,0)</f>
        <v/>
      </c>
      <c r="JM33" s="85">
        <f>IF(AND(269&gt;=$C$7,269&lt;=$E$7),1,0)</f>
        <v/>
      </c>
      <c r="JN33" s="85">
        <f>IF(AND(270&gt;=$C$7,270&lt;=$E$7),1,0)</f>
        <v/>
      </c>
      <c r="JO33" s="85">
        <f>IF(AND(271&gt;=$C$7,271&lt;=$E$7),1,0)</f>
        <v/>
      </c>
      <c r="JP33" s="85">
        <f>IF(AND(272&gt;=$C$7,272&lt;=$E$7),1,0)</f>
        <v/>
      </c>
      <c r="JQ33" s="85">
        <f>IF(AND(273&gt;=$C$7,273&lt;=$E$7),1,0)</f>
        <v/>
      </c>
      <c r="JR33" s="85">
        <f>IF(AND(274&gt;=$C$7,274&lt;=$E$7),1,0)</f>
        <v/>
      </c>
      <c r="JS33" s="85">
        <f>IF(AND(275&gt;=$C$7,275&lt;=$E$7),1,0)</f>
        <v/>
      </c>
      <c r="JT33" s="85">
        <f>IF(AND(276&gt;=$C$7,276&lt;=$E$7),1,0)</f>
        <v/>
      </c>
      <c r="JU33" s="85">
        <f>IF(AND(277&gt;=$C$7,277&lt;=$E$7),1,0)</f>
        <v/>
      </c>
      <c r="JV33" s="85">
        <f>IF(AND(278&gt;=$C$7,278&lt;=$E$7),1,0)</f>
        <v/>
      </c>
      <c r="JW33" s="85">
        <f>IF(AND(279&gt;=$C$7,279&lt;=$E$7),1,0)</f>
        <v/>
      </c>
      <c r="JX33" s="85">
        <f>IF(AND(280&gt;=$C$7,280&lt;=$E$7),1,0)</f>
        <v/>
      </c>
      <c r="JY33" s="85">
        <f>IF(AND(281&gt;=$C$7,281&lt;=$E$7),1,0)</f>
        <v/>
      </c>
      <c r="JZ33" s="85">
        <f>IF(AND(282&gt;=$C$7,282&lt;=$E$7),1,0)</f>
        <v/>
      </c>
      <c r="KA33" s="85">
        <f>IF(AND(283&gt;=$C$7,283&lt;=$E$7),1,0)</f>
        <v/>
      </c>
      <c r="KB33" s="85">
        <f>IF(AND(284&gt;=$C$7,284&lt;=$E$7),1,0)</f>
        <v/>
      </c>
      <c r="KC33" s="85">
        <f>IF(AND(285&gt;=$C$7,285&lt;=$E$7),1,0)</f>
        <v/>
      </c>
      <c r="KD33" s="85">
        <f>IF(AND(286&gt;=$C$7,286&lt;=$E$7),1,0)</f>
        <v/>
      </c>
      <c r="KE33" s="85">
        <f>IF(AND(287&gt;=$C$7,287&lt;=$E$7),1,0)</f>
        <v/>
      </c>
      <c r="KF33" s="85">
        <f>IF(AND(288&gt;=$C$7,288&lt;=$E$7),1,0)</f>
        <v/>
      </c>
      <c r="KG33" s="85">
        <f>IF(AND(289&gt;=$C$7,289&lt;=$E$7),1,0)</f>
        <v/>
      </c>
      <c r="KH33" s="85">
        <f>IF(AND(290&gt;=$C$7,290&lt;=$E$7),1,0)</f>
        <v/>
      </c>
      <c r="KI33" s="85">
        <f>IF(AND(291&gt;=$C$7,291&lt;=$E$7),1,0)</f>
        <v/>
      </c>
      <c r="KJ33" s="85">
        <f>IF(AND(292&gt;=$C$7,292&lt;=$E$7),1,0)</f>
        <v/>
      </c>
      <c r="KK33" s="85">
        <f>IF(AND(293&gt;=$C$7,293&lt;=$E$7),1,0)</f>
        <v/>
      </c>
      <c r="KL33" s="85">
        <f>IF(AND(294&gt;=$C$7,294&lt;=$E$7),1,0)</f>
        <v/>
      </c>
      <c r="KM33" s="85">
        <f>IF(AND(295&gt;=$C$7,295&lt;=$E$7),1,0)</f>
        <v/>
      </c>
      <c r="KN33" s="85">
        <f>IF(AND(296&gt;=$C$7,296&lt;=$E$7),1,0)</f>
        <v/>
      </c>
      <c r="KO33" s="85">
        <f>IF(AND(297&gt;=$C$7,297&lt;=$E$7),1,0)</f>
        <v/>
      </c>
      <c r="KP33" s="85">
        <f>IF(AND(298&gt;=$C$7,298&lt;=$E$7),1,0)</f>
        <v/>
      </c>
      <c r="KQ33" s="85">
        <f>IF(AND(299&gt;=$C$7,299&lt;=$E$7),1,0)</f>
        <v/>
      </c>
      <c r="KR33" s="85">
        <f>IF(AND(300&gt;=$C$7,300&lt;=$E$7),1,0)</f>
        <v/>
      </c>
      <c r="KS33" s="85">
        <f>IF(AND(301&gt;=$C$7,301&lt;=$E$7),1,0)</f>
        <v/>
      </c>
      <c r="KT33" s="85">
        <f>IF(AND(302&gt;=$C$7,302&lt;=$E$7),1,0)</f>
        <v/>
      </c>
      <c r="KU33" s="85">
        <f>IF(AND(303&gt;=$C$7,303&lt;=$E$7),1,0)</f>
        <v/>
      </c>
      <c r="KV33" s="85">
        <f>IF(AND(304&gt;=$C$7,304&lt;=$E$7),1,0)</f>
        <v/>
      </c>
      <c r="KW33" s="85">
        <f>IF(AND(305&gt;=$C$7,305&lt;=$E$7),1,0)</f>
        <v/>
      </c>
      <c r="KX33" s="85">
        <f>IF(AND(306&gt;=$C$7,306&lt;=$E$7),1,0)</f>
        <v/>
      </c>
      <c r="KY33" s="85">
        <f>IF(AND(307&gt;=$C$7,307&lt;=$E$7),1,0)</f>
        <v/>
      </c>
      <c r="KZ33" s="85">
        <f>IF(AND(308&gt;=$C$7,308&lt;=$E$7),1,0)</f>
        <v/>
      </c>
      <c r="LA33" s="85">
        <f>IF(AND(309&gt;=$C$7,309&lt;=$E$7),1,0)</f>
        <v/>
      </c>
      <c r="LB33" s="85">
        <f>IF(AND(310&gt;=$C$7,310&lt;=$E$7),1,0)</f>
        <v/>
      </c>
      <c r="LC33" s="85">
        <f>IF(AND(311&gt;=$C$7,311&lt;=$E$7),1,0)</f>
        <v/>
      </c>
      <c r="LD33" s="85">
        <f>IF(AND(312&gt;=$C$7,312&lt;=$E$7),1,0)</f>
        <v/>
      </c>
      <c r="LE33" s="85">
        <f>IF(AND(313&gt;=$C$7,313&lt;=$E$7),1,0)</f>
        <v/>
      </c>
      <c r="LF33" s="85">
        <f>IF(AND(314&gt;=$C$7,314&lt;=$E$7),1,0)</f>
        <v/>
      </c>
      <c r="LG33" s="85">
        <f>IF(AND(315&gt;=$C$7,315&lt;=$E$7),1,0)</f>
        <v/>
      </c>
      <c r="LH33" s="85">
        <f>IF(AND(316&gt;=$C$7,316&lt;=$E$7),1,0)</f>
        <v/>
      </c>
      <c r="LI33" s="85">
        <f>IF(AND(317&gt;=$C$7,317&lt;=$E$7),1,0)</f>
        <v/>
      </c>
      <c r="LJ33" s="85">
        <f>IF(AND(318&gt;=$C$7,318&lt;=$E$7),1,0)</f>
        <v/>
      </c>
      <c r="LK33" s="85">
        <f>IF(AND(319&gt;=$C$7,319&lt;=$E$7),1,0)</f>
        <v/>
      </c>
      <c r="LL33" s="85">
        <f>IF(AND(320&gt;=$C$7,320&lt;=$E$7),1,0)</f>
        <v/>
      </c>
      <c r="LM33" s="85">
        <f>IF(AND(321&gt;=$C$7,321&lt;=$E$7),1,0)</f>
        <v/>
      </c>
      <c r="LN33" s="85">
        <f>IF(AND(322&gt;=$C$7,322&lt;=$E$7),1,0)</f>
        <v/>
      </c>
      <c r="LO33" s="85">
        <f>IF(AND(323&gt;=$C$7,323&lt;=$E$7),1,0)</f>
        <v/>
      </c>
      <c r="LP33" s="85">
        <f>IF(AND(324&gt;=$C$7,324&lt;=$E$7),1,0)</f>
        <v/>
      </c>
      <c r="LQ33" s="85">
        <f>IF(AND(325&gt;=$C$7,325&lt;=$E$7),1,0)</f>
        <v/>
      </c>
      <c r="LR33" s="85">
        <f>IF(AND(326&gt;=$C$7,326&lt;=$E$7),1,0)</f>
        <v/>
      </c>
      <c r="LS33" s="85">
        <f>IF(AND(327&gt;=$C$7,327&lt;=$E$7),1,0)</f>
        <v/>
      </c>
      <c r="LT33" s="85">
        <f>IF(AND(328&gt;=$C$7,328&lt;=$E$7),1,0)</f>
        <v/>
      </c>
      <c r="LU33" s="85">
        <f>IF(AND(329&gt;=$C$7,329&lt;=$E$7),1,0)</f>
        <v/>
      </c>
      <c r="LV33" s="85">
        <f>IF(AND(330&gt;=$C$7,330&lt;=$E$7),1,0)</f>
        <v/>
      </c>
      <c r="LW33" s="85">
        <f>IF(AND(331&gt;=$C$7,331&lt;=$E$7),1,0)</f>
        <v/>
      </c>
      <c r="LX33" s="85">
        <f>IF(AND(332&gt;=$C$7,332&lt;=$E$7),1,0)</f>
        <v/>
      </c>
      <c r="LY33" s="85">
        <f>IF(AND(333&gt;=$C$7,333&lt;=$E$7),1,0)</f>
        <v/>
      </c>
      <c r="LZ33" s="85">
        <f>IF(AND(334&gt;=$C$7,334&lt;=$E$7),1,0)</f>
        <v/>
      </c>
      <c r="MA33" s="85">
        <f>IF(AND(335&gt;=$C$7,335&lt;=$E$7),1,0)</f>
        <v/>
      </c>
      <c r="MB33" s="85">
        <f>IF(AND(336&gt;=$C$7,336&lt;=$E$7),1,0)</f>
        <v/>
      </c>
      <c r="MC33" s="85">
        <f>IF(AND(337&gt;=$C$7,337&lt;=$E$7),1,0)</f>
        <v/>
      </c>
      <c r="MD33" s="85">
        <f>IF(AND(338&gt;=$C$7,338&lt;=$E$7),1,0)</f>
        <v/>
      </c>
      <c r="ME33" s="85">
        <f>IF(AND(339&gt;=$C$7,339&lt;=$E$7),1,0)</f>
        <v/>
      </c>
      <c r="MF33" s="85">
        <f>IF(AND(340&gt;=$C$7,340&lt;=$E$7),1,0)</f>
        <v/>
      </c>
      <c r="MG33" s="85">
        <f>IF(AND(341&gt;=$C$7,341&lt;=$E$7),1,0)</f>
        <v/>
      </c>
      <c r="MH33" s="85">
        <f>IF(AND(342&gt;=$C$7,342&lt;=$E$7),1,0)</f>
        <v/>
      </c>
      <c r="MI33" s="85">
        <f>IF(AND(343&gt;=$C$7,343&lt;=$E$7),1,0)</f>
        <v/>
      </c>
      <c r="MJ33" s="85">
        <f>IF(AND(344&gt;=$C$7,344&lt;=$E$7),1,0)</f>
        <v/>
      </c>
      <c r="MK33" s="85">
        <f>IF(AND(345&gt;=$C$7,345&lt;=$E$7),1,0)</f>
        <v/>
      </c>
      <c r="ML33" s="85">
        <f>IF(AND(346&gt;=$C$7,346&lt;=$E$7),1,0)</f>
        <v/>
      </c>
      <c r="MM33" s="85">
        <f>IF(AND(347&gt;=$C$7,347&lt;=$E$7),1,0)</f>
        <v/>
      </c>
      <c r="MN33" s="85">
        <f>IF(AND(348&gt;=$C$7,348&lt;=$E$7),1,0)</f>
        <v/>
      </c>
      <c r="MO33" s="85">
        <f>IF(AND(349&gt;=$C$7,349&lt;=$E$7),1,0)</f>
        <v/>
      </c>
      <c r="MP33" s="85">
        <f>IF(AND(350&gt;=$C$7,350&lt;=$E$7),1,0)</f>
        <v/>
      </c>
      <c r="MQ33" s="85">
        <f>IF(AND(351&gt;=$C$7,351&lt;=$E$7),1,0)</f>
        <v/>
      </c>
      <c r="MR33" s="85">
        <f>IF(AND(352&gt;=$C$7,352&lt;=$E$7),1,0)</f>
        <v/>
      </c>
      <c r="MS33" s="85">
        <f>IF(AND(353&gt;=$C$7,353&lt;=$E$7),1,0)</f>
        <v/>
      </c>
      <c r="MT33" s="85">
        <f>IF(AND(354&gt;=$C$7,354&lt;=$E$7),1,0)</f>
        <v/>
      </c>
      <c r="MU33" s="85">
        <f>IF(AND(355&gt;=$C$7,355&lt;=$E$7),1,0)</f>
        <v/>
      </c>
      <c r="MV33" s="85">
        <f>IF(AND(356&gt;=$C$7,356&lt;=$E$7),1,0)</f>
        <v/>
      </c>
      <c r="MW33" s="85">
        <f>IF(AND(357&gt;=$C$7,357&lt;=$E$7),1,0)</f>
        <v/>
      </c>
      <c r="MX33" s="85">
        <f>IF(AND(358&gt;=$C$7,358&lt;=$E$7),1,0)</f>
        <v/>
      </c>
      <c r="MY33" s="85">
        <f>IF(AND(359&gt;=$C$7,359&lt;=$E$7),1,0)</f>
        <v/>
      </c>
      <c r="MZ33" s="85">
        <f>IF(AND(360&gt;=$C$7,360&lt;=$E$7),1,0)</f>
        <v/>
      </c>
      <c r="NA33" s="85">
        <f>IF(AND(361&gt;=$C$7,361&lt;=$E$7),1,0)</f>
        <v/>
      </c>
      <c r="NB33" s="85">
        <f>IF(AND(362&gt;=$C$7,362&lt;=$E$7),1,0)</f>
        <v/>
      </c>
      <c r="NC33" s="85">
        <f>IF(AND(363&gt;=$C$7,363&lt;=$E$7),1,0)</f>
        <v/>
      </c>
      <c r="ND33" s="85">
        <f>IF(AND(364&gt;=$C$7,364&lt;=$E$7),1,0)</f>
        <v/>
      </c>
      <c r="NE33" s="85">
        <f>IF(AND(365&gt;=$C$7,365&lt;=$E$7),1,0)</f>
        <v/>
      </c>
      <c r="NF33" s="85">
        <f>IF(AND(366&gt;=$C$7,366&lt;=$E$7),1,0)</f>
        <v/>
      </c>
      <c r="NG33" s="85">
        <f>IF(AND(367&gt;=$C$7,367&lt;=$E$7),1,0)</f>
        <v/>
      </c>
      <c r="NH33" s="85">
        <f>IF(AND(368&gt;=$C$7,368&lt;=$E$7),1,0)</f>
        <v/>
      </c>
      <c r="NI33" s="85">
        <f>IF(AND(369&gt;=$C$7,369&lt;=$E$7),1,0)</f>
        <v/>
      </c>
      <c r="NJ33" s="85">
        <f>IF(AND(370&gt;=$C$7,370&lt;=$E$7),1,0)</f>
        <v/>
      </c>
      <c r="NK33" s="85">
        <f>IF(AND(371&gt;=$C$7,371&lt;=$E$7),1,0)</f>
        <v/>
      </c>
      <c r="NL33" s="85">
        <f>IF(AND(372&gt;=$C$7,372&lt;=$E$7),1,0)</f>
        <v/>
      </c>
    </row>
    <row r="34">
      <c r="B34" s="36" t="inlineStr">
        <is>
          <t>Flag: Initial Closing</t>
        </is>
      </c>
      <c r="D34" s="124" t="n"/>
      <c r="E34" s="85">
        <f>IF(AND(1&gt;=$C$8,1&lt;=$E$8),1,0)</f>
        <v/>
      </c>
      <c r="F34" s="85">
        <f>IF(AND(2&gt;=$C$8,2&lt;=$E$8),1,0)</f>
        <v/>
      </c>
      <c r="G34" s="85">
        <f>IF(AND(3&gt;=$C$8,3&lt;=$E$8),1,0)</f>
        <v/>
      </c>
      <c r="H34" s="85">
        <f>IF(AND(4&gt;=$C$8,4&lt;=$E$8),1,0)</f>
        <v/>
      </c>
      <c r="I34" s="85">
        <f>IF(AND(5&gt;=$C$8,5&lt;=$E$8),1,0)</f>
        <v/>
      </c>
      <c r="J34" s="85">
        <f>IF(AND(6&gt;=$C$8,6&lt;=$E$8),1,0)</f>
        <v/>
      </c>
      <c r="K34" s="85">
        <f>IF(AND(7&gt;=$C$8,7&lt;=$E$8),1,0)</f>
        <v/>
      </c>
      <c r="L34" s="85">
        <f>IF(AND(8&gt;=$C$8,8&lt;=$E$8),1,0)</f>
        <v/>
      </c>
      <c r="M34" s="85">
        <f>IF(AND(9&gt;=$C$8,9&lt;=$E$8),1,0)</f>
        <v/>
      </c>
      <c r="N34" s="85">
        <f>IF(AND(10&gt;=$C$8,10&lt;=$E$8),1,0)</f>
        <v/>
      </c>
      <c r="O34" s="85">
        <f>IF(AND(11&gt;=$C$8,11&lt;=$E$8),1,0)</f>
        <v/>
      </c>
      <c r="P34" s="85">
        <f>IF(AND(12&gt;=$C$8,12&lt;=$E$8),1,0)</f>
        <v/>
      </c>
      <c r="Q34" s="85">
        <f>IF(AND(13&gt;=$C$8,13&lt;=$E$8),1,0)</f>
        <v/>
      </c>
      <c r="R34" s="85">
        <f>IF(AND(14&gt;=$C$8,14&lt;=$E$8),1,0)</f>
        <v/>
      </c>
      <c r="S34" s="85">
        <f>IF(AND(15&gt;=$C$8,15&lt;=$E$8),1,0)</f>
        <v/>
      </c>
      <c r="T34" s="85">
        <f>IF(AND(16&gt;=$C$8,16&lt;=$E$8),1,0)</f>
        <v/>
      </c>
      <c r="U34" s="85">
        <f>IF(AND(17&gt;=$C$8,17&lt;=$E$8),1,0)</f>
        <v/>
      </c>
      <c r="V34" s="85">
        <f>IF(AND(18&gt;=$C$8,18&lt;=$E$8),1,0)</f>
        <v/>
      </c>
      <c r="W34" s="85">
        <f>IF(AND(19&gt;=$C$8,19&lt;=$E$8),1,0)</f>
        <v/>
      </c>
      <c r="X34" s="85">
        <f>IF(AND(20&gt;=$C$8,20&lt;=$E$8),1,0)</f>
        <v/>
      </c>
      <c r="Y34" s="85">
        <f>IF(AND(21&gt;=$C$8,21&lt;=$E$8),1,0)</f>
        <v/>
      </c>
      <c r="Z34" s="85">
        <f>IF(AND(22&gt;=$C$8,22&lt;=$E$8),1,0)</f>
        <v/>
      </c>
      <c r="AA34" s="85">
        <f>IF(AND(23&gt;=$C$8,23&lt;=$E$8),1,0)</f>
        <v/>
      </c>
      <c r="AB34" s="85">
        <f>IF(AND(24&gt;=$C$8,24&lt;=$E$8),1,0)</f>
        <v/>
      </c>
      <c r="AC34" s="85">
        <f>IF(AND(25&gt;=$C$8,25&lt;=$E$8),1,0)</f>
        <v/>
      </c>
      <c r="AD34" s="85">
        <f>IF(AND(26&gt;=$C$8,26&lt;=$E$8),1,0)</f>
        <v/>
      </c>
      <c r="AE34" s="85">
        <f>IF(AND(27&gt;=$C$8,27&lt;=$E$8),1,0)</f>
        <v/>
      </c>
      <c r="AF34" s="85">
        <f>IF(AND(28&gt;=$C$8,28&lt;=$E$8),1,0)</f>
        <v/>
      </c>
      <c r="AG34" s="85">
        <f>IF(AND(29&gt;=$C$8,29&lt;=$E$8),1,0)</f>
        <v/>
      </c>
      <c r="AH34" s="85">
        <f>IF(AND(30&gt;=$C$8,30&lt;=$E$8),1,0)</f>
        <v/>
      </c>
      <c r="AI34" s="85">
        <f>IF(AND(31&gt;=$C$8,31&lt;=$E$8),1,0)</f>
        <v/>
      </c>
      <c r="AJ34" s="85">
        <f>IF(AND(32&gt;=$C$8,32&lt;=$E$8),1,0)</f>
        <v/>
      </c>
      <c r="AK34" s="85">
        <f>IF(AND(33&gt;=$C$8,33&lt;=$E$8),1,0)</f>
        <v/>
      </c>
      <c r="AL34" s="85">
        <f>IF(AND(34&gt;=$C$8,34&lt;=$E$8),1,0)</f>
        <v/>
      </c>
      <c r="AM34" s="85">
        <f>IF(AND(35&gt;=$C$8,35&lt;=$E$8),1,0)</f>
        <v/>
      </c>
      <c r="AN34" s="85">
        <f>IF(AND(36&gt;=$C$8,36&lt;=$E$8),1,0)</f>
        <v/>
      </c>
      <c r="AO34" s="85">
        <f>IF(AND(37&gt;=$C$8,37&lt;=$E$8),1,0)</f>
        <v/>
      </c>
      <c r="AP34" s="85">
        <f>IF(AND(38&gt;=$C$8,38&lt;=$E$8),1,0)</f>
        <v/>
      </c>
      <c r="AQ34" s="85">
        <f>IF(AND(39&gt;=$C$8,39&lt;=$E$8),1,0)</f>
        <v/>
      </c>
      <c r="AR34" s="85">
        <f>IF(AND(40&gt;=$C$8,40&lt;=$E$8),1,0)</f>
        <v/>
      </c>
      <c r="AS34" s="85">
        <f>IF(AND(41&gt;=$C$8,41&lt;=$E$8),1,0)</f>
        <v/>
      </c>
      <c r="AT34" s="85">
        <f>IF(AND(42&gt;=$C$8,42&lt;=$E$8),1,0)</f>
        <v/>
      </c>
      <c r="AU34" s="85">
        <f>IF(AND(43&gt;=$C$8,43&lt;=$E$8),1,0)</f>
        <v/>
      </c>
      <c r="AV34" s="85">
        <f>IF(AND(44&gt;=$C$8,44&lt;=$E$8),1,0)</f>
        <v/>
      </c>
      <c r="AW34" s="85">
        <f>IF(AND(45&gt;=$C$8,45&lt;=$E$8),1,0)</f>
        <v/>
      </c>
      <c r="AX34" s="85">
        <f>IF(AND(46&gt;=$C$8,46&lt;=$E$8),1,0)</f>
        <v/>
      </c>
      <c r="AY34" s="85">
        <f>IF(AND(47&gt;=$C$8,47&lt;=$E$8),1,0)</f>
        <v/>
      </c>
      <c r="AZ34" s="85">
        <f>IF(AND(48&gt;=$C$8,48&lt;=$E$8),1,0)</f>
        <v/>
      </c>
      <c r="BA34" s="85">
        <f>IF(AND(49&gt;=$C$8,49&lt;=$E$8),1,0)</f>
        <v/>
      </c>
      <c r="BB34" s="85">
        <f>IF(AND(50&gt;=$C$8,50&lt;=$E$8),1,0)</f>
        <v/>
      </c>
      <c r="BC34" s="85">
        <f>IF(AND(51&gt;=$C$8,51&lt;=$E$8),1,0)</f>
        <v/>
      </c>
      <c r="BD34" s="85">
        <f>IF(AND(52&gt;=$C$8,52&lt;=$E$8),1,0)</f>
        <v/>
      </c>
      <c r="BE34" s="85">
        <f>IF(AND(53&gt;=$C$8,53&lt;=$E$8),1,0)</f>
        <v/>
      </c>
      <c r="BF34" s="85">
        <f>IF(AND(54&gt;=$C$8,54&lt;=$E$8),1,0)</f>
        <v/>
      </c>
      <c r="BG34" s="85">
        <f>IF(AND(55&gt;=$C$8,55&lt;=$E$8),1,0)</f>
        <v/>
      </c>
      <c r="BH34" s="85">
        <f>IF(AND(56&gt;=$C$8,56&lt;=$E$8),1,0)</f>
        <v/>
      </c>
      <c r="BI34" s="85">
        <f>IF(AND(57&gt;=$C$8,57&lt;=$E$8),1,0)</f>
        <v/>
      </c>
      <c r="BJ34" s="85">
        <f>IF(AND(58&gt;=$C$8,58&lt;=$E$8),1,0)</f>
        <v/>
      </c>
      <c r="BK34" s="85">
        <f>IF(AND(59&gt;=$C$8,59&lt;=$E$8),1,0)</f>
        <v/>
      </c>
      <c r="BL34" s="85">
        <f>IF(AND(60&gt;=$C$8,60&lt;=$E$8),1,0)</f>
        <v/>
      </c>
      <c r="BM34" s="85">
        <f>IF(AND(61&gt;=$C$8,61&lt;=$E$8),1,0)</f>
        <v/>
      </c>
      <c r="BN34" s="85">
        <f>IF(AND(62&gt;=$C$8,62&lt;=$E$8),1,0)</f>
        <v/>
      </c>
      <c r="BO34" s="85">
        <f>IF(AND(63&gt;=$C$8,63&lt;=$E$8),1,0)</f>
        <v/>
      </c>
      <c r="BP34" s="85">
        <f>IF(AND(64&gt;=$C$8,64&lt;=$E$8),1,0)</f>
        <v/>
      </c>
      <c r="BQ34" s="85">
        <f>IF(AND(65&gt;=$C$8,65&lt;=$E$8),1,0)</f>
        <v/>
      </c>
      <c r="BR34" s="85">
        <f>IF(AND(66&gt;=$C$8,66&lt;=$E$8),1,0)</f>
        <v/>
      </c>
      <c r="BS34" s="85">
        <f>IF(AND(67&gt;=$C$8,67&lt;=$E$8),1,0)</f>
        <v/>
      </c>
      <c r="BT34" s="85">
        <f>IF(AND(68&gt;=$C$8,68&lt;=$E$8),1,0)</f>
        <v/>
      </c>
      <c r="BU34" s="85">
        <f>IF(AND(69&gt;=$C$8,69&lt;=$E$8),1,0)</f>
        <v/>
      </c>
      <c r="BV34" s="85">
        <f>IF(AND(70&gt;=$C$8,70&lt;=$E$8),1,0)</f>
        <v/>
      </c>
      <c r="BW34" s="85">
        <f>IF(AND(71&gt;=$C$8,71&lt;=$E$8),1,0)</f>
        <v/>
      </c>
      <c r="BX34" s="85">
        <f>IF(AND(72&gt;=$C$8,72&lt;=$E$8),1,0)</f>
        <v/>
      </c>
      <c r="BY34" s="85">
        <f>IF(AND(73&gt;=$C$8,73&lt;=$E$8),1,0)</f>
        <v/>
      </c>
      <c r="BZ34" s="85">
        <f>IF(AND(74&gt;=$C$8,74&lt;=$E$8),1,0)</f>
        <v/>
      </c>
      <c r="CA34" s="85">
        <f>IF(AND(75&gt;=$C$8,75&lt;=$E$8),1,0)</f>
        <v/>
      </c>
      <c r="CB34" s="85">
        <f>IF(AND(76&gt;=$C$8,76&lt;=$E$8),1,0)</f>
        <v/>
      </c>
      <c r="CC34" s="85">
        <f>IF(AND(77&gt;=$C$8,77&lt;=$E$8),1,0)</f>
        <v/>
      </c>
      <c r="CD34" s="85">
        <f>IF(AND(78&gt;=$C$8,78&lt;=$E$8),1,0)</f>
        <v/>
      </c>
      <c r="CE34" s="85">
        <f>IF(AND(79&gt;=$C$8,79&lt;=$E$8),1,0)</f>
        <v/>
      </c>
      <c r="CF34" s="85">
        <f>IF(AND(80&gt;=$C$8,80&lt;=$E$8),1,0)</f>
        <v/>
      </c>
      <c r="CG34" s="85">
        <f>IF(AND(81&gt;=$C$8,81&lt;=$E$8),1,0)</f>
        <v/>
      </c>
      <c r="CH34" s="85">
        <f>IF(AND(82&gt;=$C$8,82&lt;=$E$8),1,0)</f>
        <v/>
      </c>
      <c r="CI34" s="85">
        <f>IF(AND(83&gt;=$C$8,83&lt;=$E$8),1,0)</f>
        <v/>
      </c>
      <c r="CJ34" s="85">
        <f>IF(AND(84&gt;=$C$8,84&lt;=$E$8),1,0)</f>
        <v/>
      </c>
      <c r="CK34" s="85">
        <f>IF(AND(85&gt;=$C$8,85&lt;=$E$8),1,0)</f>
        <v/>
      </c>
      <c r="CL34" s="85">
        <f>IF(AND(86&gt;=$C$8,86&lt;=$E$8),1,0)</f>
        <v/>
      </c>
      <c r="CM34" s="85">
        <f>IF(AND(87&gt;=$C$8,87&lt;=$E$8),1,0)</f>
        <v/>
      </c>
      <c r="CN34" s="85">
        <f>IF(AND(88&gt;=$C$8,88&lt;=$E$8),1,0)</f>
        <v/>
      </c>
      <c r="CO34" s="85">
        <f>IF(AND(89&gt;=$C$8,89&lt;=$E$8),1,0)</f>
        <v/>
      </c>
      <c r="CP34" s="85">
        <f>IF(AND(90&gt;=$C$8,90&lt;=$E$8),1,0)</f>
        <v/>
      </c>
      <c r="CQ34" s="85">
        <f>IF(AND(91&gt;=$C$8,91&lt;=$E$8),1,0)</f>
        <v/>
      </c>
      <c r="CR34" s="85">
        <f>IF(AND(92&gt;=$C$8,92&lt;=$E$8),1,0)</f>
        <v/>
      </c>
      <c r="CS34" s="85">
        <f>IF(AND(93&gt;=$C$8,93&lt;=$E$8),1,0)</f>
        <v/>
      </c>
      <c r="CT34" s="85">
        <f>IF(AND(94&gt;=$C$8,94&lt;=$E$8),1,0)</f>
        <v/>
      </c>
      <c r="CU34" s="85">
        <f>IF(AND(95&gt;=$C$8,95&lt;=$E$8),1,0)</f>
        <v/>
      </c>
      <c r="CV34" s="85">
        <f>IF(AND(96&gt;=$C$8,96&lt;=$E$8),1,0)</f>
        <v/>
      </c>
      <c r="CW34" s="85">
        <f>IF(AND(97&gt;=$C$8,97&lt;=$E$8),1,0)</f>
        <v/>
      </c>
      <c r="CX34" s="85">
        <f>IF(AND(98&gt;=$C$8,98&lt;=$E$8),1,0)</f>
        <v/>
      </c>
      <c r="CY34" s="85">
        <f>IF(AND(99&gt;=$C$8,99&lt;=$E$8),1,0)</f>
        <v/>
      </c>
      <c r="CZ34" s="85">
        <f>IF(AND(100&gt;=$C$8,100&lt;=$E$8),1,0)</f>
        <v/>
      </c>
      <c r="DA34" s="85">
        <f>IF(AND(101&gt;=$C$8,101&lt;=$E$8),1,0)</f>
        <v/>
      </c>
      <c r="DB34" s="85">
        <f>IF(AND(102&gt;=$C$8,102&lt;=$E$8),1,0)</f>
        <v/>
      </c>
      <c r="DC34" s="85">
        <f>IF(AND(103&gt;=$C$8,103&lt;=$E$8),1,0)</f>
        <v/>
      </c>
      <c r="DD34" s="85">
        <f>IF(AND(104&gt;=$C$8,104&lt;=$E$8),1,0)</f>
        <v/>
      </c>
      <c r="DE34" s="85">
        <f>IF(AND(105&gt;=$C$8,105&lt;=$E$8),1,0)</f>
        <v/>
      </c>
      <c r="DF34" s="85">
        <f>IF(AND(106&gt;=$C$8,106&lt;=$E$8),1,0)</f>
        <v/>
      </c>
      <c r="DG34" s="85">
        <f>IF(AND(107&gt;=$C$8,107&lt;=$E$8),1,0)</f>
        <v/>
      </c>
      <c r="DH34" s="85">
        <f>IF(AND(108&gt;=$C$8,108&lt;=$E$8),1,0)</f>
        <v/>
      </c>
      <c r="DI34" s="85">
        <f>IF(AND(109&gt;=$C$8,109&lt;=$E$8),1,0)</f>
        <v/>
      </c>
      <c r="DJ34" s="85">
        <f>IF(AND(110&gt;=$C$8,110&lt;=$E$8),1,0)</f>
        <v/>
      </c>
      <c r="DK34" s="85">
        <f>IF(AND(111&gt;=$C$8,111&lt;=$E$8),1,0)</f>
        <v/>
      </c>
      <c r="DL34" s="85">
        <f>IF(AND(112&gt;=$C$8,112&lt;=$E$8),1,0)</f>
        <v/>
      </c>
      <c r="DM34" s="85">
        <f>IF(AND(113&gt;=$C$8,113&lt;=$E$8),1,0)</f>
        <v/>
      </c>
      <c r="DN34" s="85">
        <f>IF(AND(114&gt;=$C$8,114&lt;=$E$8),1,0)</f>
        <v/>
      </c>
      <c r="DO34" s="85">
        <f>IF(AND(115&gt;=$C$8,115&lt;=$E$8),1,0)</f>
        <v/>
      </c>
      <c r="DP34" s="85">
        <f>IF(AND(116&gt;=$C$8,116&lt;=$E$8),1,0)</f>
        <v/>
      </c>
      <c r="DQ34" s="85">
        <f>IF(AND(117&gt;=$C$8,117&lt;=$E$8),1,0)</f>
        <v/>
      </c>
      <c r="DR34" s="85">
        <f>IF(AND(118&gt;=$C$8,118&lt;=$E$8),1,0)</f>
        <v/>
      </c>
      <c r="DS34" s="85">
        <f>IF(AND(119&gt;=$C$8,119&lt;=$E$8),1,0)</f>
        <v/>
      </c>
      <c r="DT34" s="85">
        <f>IF(AND(120&gt;=$C$8,120&lt;=$E$8),1,0)</f>
        <v/>
      </c>
      <c r="DU34" s="85">
        <f>IF(AND(121&gt;=$C$8,121&lt;=$E$8),1,0)</f>
        <v/>
      </c>
      <c r="DV34" s="85">
        <f>IF(AND(122&gt;=$C$8,122&lt;=$E$8),1,0)</f>
        <v/>
      </c>
      <c r="DW34" s="85">
        <f>IF(AND(123&gt;=$C$8,123&lt;=$E$8),1,0)</f>
        <v/>
      </c>
      <c r="DX34" s="85">
        <f>IF(AND(124&gt;=$C$8,124&lt;=$E$8),1,0)</f>
        <v/>
      </c>
      <c r="DY34" s="85">
        <f>IF(AND(125&gt;=$C$8,125&lt;=$E$8),1,0)</f>
        <v/>
      </c>
      <c r="DZ34" s="85">
        <f>IF(AND(126&gt;=$C$8,126&lt;=$E$8),1,0)</f>
        <v/>
      </c>
      <c r="EA34" s="85">
        <f>IF(AND(127&gt;=$C$8,127&lt;=$E$8),1,0)</f>
        <v/>
      </c>
      <c r="EB34" s="85">
        <f>IF(AND(128&gt;=$C$8,128&lt;=$E$8),1,0)</f>
        <v/>
      </c>
      <c r="EC34" s="85">
        <f>IF(AND(129&gt;=$C$8,129&lt;=$E$8),1,0)</f>
        <v/>
      </c>
      <c r="ED34" s="85">
        <f>IF(AND(130&gt;=$C$8,130&lt;=$E$8),1,0)</f>
        <v/>
      </c>
      <c r="EE34" s="85">
        <f>IF(AND(131&gt;=$C$8,131&lt;=$E$8),1,0)</f>
        <v/>
      </c>
      <c r="EF34" s="85">
        <f>IF(AND(132&gt;=$C$8,132&lt;=$E$8),1,0)</f>
        <v/>
      </c>
      <c r="EG34" s="85">
        <f>IF(AND(133&gt;=$C$8,133&lt;=$E$8),1,0)</f>
        <v/>
      </c>
      <c r="EH34" s="85">
        <f>IF(AND(134&gt;=$C$8,134&lt;=$E$8),1,0)</f>
        <v/>
      </c>
      <c r="EI34" s="85">
        <f>IF(AND(135&gt;=$C$8,135&lt;=$E$8),1,0)</f>
        <v/>
      </c>
      <c r="EJ34" s="85">
        <f>IF(AND(136&gt;=$C$8,136&lt;=$E$8),1,0)</f>
        <v/>
      </c>
      <c r="EK34" s="85">
        <f>IF(AND(137&gt;=$C$8,137&lt;=$E$8),1,0)</f>
        <v/>
      </c>
      <c r="EL34" s="85">
        <f>IF(AND(138&gt;=$C$8,138&lt;=$E$8),1,0)</f>
        <v/>
      </c>
      <c r="EM34" s="85">
        <f>IF(AND(139&gt;=$C$8,139&lt;=$E$8),1,0)</f>
        <v/>
      </c>
      <c r="EN34" s="85">
        <f>IF(AND(140&gt;=$C$8,140&lt;=$E$8),1,0)</f>
        <v/>
      </c>
      <c r="EO34" s="85">
        <f>IF(AND(141&gt;=$C$8,141&lt;=$E$8),1,0)</f>
        <v/>
      </c>
      <c r="EP34" s="85">
        <f>IF(AND(142&gt;=$C$8,142&lt;=$E$8),1,0)</f>
        <v/>
      </c>
      <c r="EQ34" s="85">
        <f>IF(AND(143&gt;=$C$8,143&lt;=$E$8),1,0)</f>
        <v/>
      </c>
      <c r="ER34" s="85">
        <f>IF(AND(144&gt;=$C$8,144&lt;=$E$8),1,0)</f>
        <v/>
      </c>
      <c r="ES34" s="85">
        <f>IF(AND(145&gt;=$C$8,145&lt;=$E$8),1,0)</f>
        <v/>
      </c>
      <c r="ET34" s="85">
        <f>IF(AND(146&gt;=$C$8,146&lt;=$E$8),1,0)</f>
        <v/>
      </c>
      <c r="EU34" s="85">
        <f>IF(AND(147&gt;=$C$8,147&lt;=$E$8),1,0)</f>
        <v/>
      </c>
      <c r="EV34" s="85">
        <f>IF(AND(148&gt;=$C$8,148&lt;=$E$8),1,0)</f>
        <v/>
      </c>
      <c r="EW34" s="85">
        <f>IF(AND(149&gt;=$C$8,149&lt;=$E$8),1,0)</f>
        <v/>
      </c>
      <c r="EX34" s="85">
        <f>IF(AND(150&gt;=$C$8,150&lt;=$E$8),1,0)</f>
        <v/>
      </c>
      <c r="EY34" s="85">
        <f>IF(AND(151&gt;=$C$8,151&lt;=$E$8),1,0)</f>
        <v/>
      </c>
      <c r="EZ34" s="85">
        <f>IF(AND(152&gt;=$C$8,152&lt;=$E$8),1,0)</f>
        <v/>
      </c>
      <c r="FA34" s="85">
        <f>IF(AND(153&gt;=$C$8,153&lt;=$E$8),1,0)</f>
        <v/>
      </c>
      <c r="FB34" s="85">
        <f>IF(AND(154&gt;=$C$8,154&lt;=$E$8),1,0)</f>
        <v/>
      </c>
      <c r="FC34" s="85">
        <f>IF(AND(155&gt;=$C$8,155&lt;=$E$8),1,0)</f>
        <v/>
      </c>
      <c r="FD34" s="85">
        <f>IF(AND(156&gt;=$C$8,156&lt;=$E$8),1,0)</f>
        <v/>
      </c>
      <c r="FE34" s="85">
        <f>IF(AND(157&gt;=$C$8,157&lt;=$E$8),1,0)</f>
        <v/>
      </c>
      <c r="FF34" s="85">
        <f>IF(AND(158&gt;=$C$8,158&lt;=$E$8),1,0)</f>
        <v/>
      </c>
      <c r="FG34" s="85">
        <f>IF(AND(159&gt;=$C$8,159&lt;=$E$8),1,0)</f>
        <v/>
      </c>
      <c r="FH34" s="85">
        <f>IF(AND(160&gt;=$C$8,160&lt;=$E$8),1,0)</f>
        <v/>
      </c>
      <c r="FI34" s="85">
        <f>IF(AND(161&gt;=$C$8,161&lt;=$E$8),1,0)</f>
        <v/>
      </c>
      <c r="FJ34" s="85">
        <f>IF(AND(162&gt;=$C$8,162&lt;=$E$8),1,0)</f>
        <v/>
      </c>
      <c r="FK34" s="85">
        <f>IF(AND(163&gt;=$C$8,163&lt;=$E$8),1,0)</f>
        <v/>
      </c>
      <c r="FL34" s="85">
        <f>IF(AND(164&gt;=$C$8,164&lt;=$E$8),1,0)</f>
        <v/>
      </c>
      <c r="FM34" s="85">
        <f>IF(AND(165&gt;=$C$8,165&lt;=$E$8),1,0)</f>
        <v/>
      </c>
      <c r="FN34" s="85">
        <f>IF(AND(166&gt;=$C$8,166&lt;=$E$8),1,0)</f>
        <v/>
      </c>
      <c r="FO34" s="85">
        <f>IF(AND(167&gt;=$C$8,167&lt;=$E$8),1,0)</f>
        <v/>
      </c>
      <c r="FP34" s="85">
        <f>IF(AND(168&gt;=$C$8,168&lt;=$E$8),1,0)</f>
        <v/>
      </c>
      <c r="FQ34" s="85">
        <f>IF(AND(169&gt;=$C$8,169&lt;=$E$8),1,0)</f>
        <v/>
      </c>
      <c r="FR34" s="85">
        <f>IF(AND(170&gt;=$C$8,170&lt;=$E$8),1,0)</f>
        <v/>
      </c>
      <c r="FS34" s="85">
        <f>IF(AND(171&gt;=$C$8,171&lt;=$E$8),1,0)</f>
        <v/>
      </c>
      <c r="FT34" s="85">
        <f>IF(AND(172&gt;=$C$8,172&lt;=$E$8),1,0)</f>
        <v/>
      </c>
      <c r="FU34" s="85">
        <f>IF(AND(173&gt;=$C$8,173&lt;=$E$8),1,0)</f>
        <v/>
      </c>
      <c r="FV34" s="85">
        <f>IF(AND(174&gt;=$C$8,174&lt;=$E$8),1,0)</f>
        <v/>
      </c>
      <c r="FW34" s="85">
        <f>IF(AND(175&gt;=$C$8,175&lt;=$E$8),1,0)</f>
        <v/>
      </c>
      <c r="FX34" s="85">
        <f>IF(AND(176&gt;=$C$8,176&lt;=$E$8),1,0)</f>
        <v/>
      </c>
      <c r="FY34" s="85">
        <f>IF(AND(177&gt;=$C$8,177&lt;=$E$8),1,0)</f>
        <v/>
      </c>
      <c r="FZ34" s="85">
        <f>IF(AND(178&gt;=$C$8,178&lt;=$E$8),1,0)</f>
        <v/>
      </c>
      <c r="GA34" s="85">
        <f>IF(AND(179&gt;=$C$8,179&lt;=$E$8),1,0)</f>
        <v/>
      </c>
      <c r="GB34" s="85">
        <f>IF(AND(180&gt;=$C$8,180&lt;=$E$8),1,0)</f>
        <v/>
      </c>
      <c r="GC34" s="85">
        <f>IF(AND(181&gt;=$C$8,181&lt;=$E$8),1,0)</f>
        <v/>
      </c>
      <c r="GD34" s="85">
        <f>IF(AND(182&gt;=$C$8,182&lt;=$E$8),1,0)</f>
        <v/>
      </c>
      <c r="GE34" s="85">
        <f>IF(AND(183&gt;=$C$8,183&lt;=$E$8),1,0)</f>
        <v/>
      </c>
      <c r="GF34" s="85">
        <f>IF(AND(184&gt;=$C$8,184&lt;=$E$8),1,0)</f>
        <v/>
      </c>
      <c r="GG34" s="85">
        <f>IF(AND(185&gt;=$C$8,185&lt;=$E$8),1,0)</f>
        <v/>
      </c>
      <c r="GH34" s="85">
        <f>IF(AND(186&gt;=$C$8,186&lt;=$E$8),1,0)</f>
        <v/>
      </c>
      <c r="GI34" s="85">
        <f>IF(AND(187&gt;=$C$8,187&lt;=$E$8),1,0)</f>
        <v/>
      </c>
      <c r="GJ34" s="85">
        <f>IF(AND(188&gt;=$C$8,188&lt;=$E$8),1,0)</f>
        <v/>
      </c>
      <c r="GK34" s="85">
        <f>IF(AND(189&gt;=$C$8,189&lt;=$E$8),1,0)</f>
        <v/>
      </c>
      <c r="GL34" s="85">
        <f>IF(AND(190&gt;=$C$8,190&lt;=$E$8),1,0)</f>
        <v/>
      </c>
      <c r="GM34" s="85">
        <f>IF(AND(191&gt;=$C$8,191&lt;=$E$8),1,0)</f>
        <v/>
      </c>
      <c r="GN34" s="85">
        <f>IF(AND(192&gt;=$C$8,192&lt;=$E$8),1,0)</f>
        <v/>
      </c>
      <c r="GO34" s="85">
        <f>IF(AND(193&gt;=$C$8,193&lt;=$E$8),1,0)</f>
        <v/>
      </c>
      <c r="GP34" s="85">
        <f>IF(AND(194&gt;=$C$8,194&lt;=$E$8),1,0)</f>
        <v/>
      </c>
      <c r="GQ34" s="85">
        <f>IF(AND(195&gt;=$C$8,195&lt;=$E$8),1,0)</f>
        <v/>
      </c>
      <c r="GR34" s="85">
        <f>IF(AND(196&gt;=$C$8,196&lt;=$E$8),1,0)</f>
        <v/>
      </c>
      <c r="GS34" s="85">
        <f>IF(AND(197&gt;=$C$8,197&lt;=$E$8),1,0)</f>
        <v/>
      </c>
      <c r="GT34" s="85">
        <f>IF(AND(198&gt;=$C$8,198&lt;=$E$8),1,0)</f>
        <v/>
      </c>
      <c r="GU34" s="85">
        <f>IF(AND(199&gt;=$C$8,199&lt;=$E$8),1,0)</f>
        <v/>
      </c>
      <c r="GV34" s="85">
        <f>IF(AND(200&gt;=$C$8,200&lt;=$E$8),1,0)</f>
        <v/>
      </c>
      <c r="GW34" s="85">
        <f>IF(AND(201&gt;=$C$8,201&lt;=$E$8),1,0)</f>
        <v/>
      </c>
      <c r="GX34" s="85">
        <f>IF(AND(202&gt;=$C$8,202&lt;=$E$8),1,0)</f>
        <v/>
      </c>
      <c r="GY34" s="85">
        <f>IF(AND(203&gt;=$C$8,203&lt;=$E$8),1,0)</f>
        <v/>
      </c>
      <c r="GZ34" s="85">
        <f>IF(AND(204&gt;=$C$8,204&lt;=$E$8),1,0)</f>
        <v/>
      </c>
      <c r="HA34" s="85">
        <f>IF(AND(205&gt;=$C$8,205&lt;=$E$8),1,0)</f>
        <v/>
      </c>
      <c r="HB34" s="85">
        <f>IF(AND(206&gt;=$C$8,206&lt;=$E$8),1,0)</f>
        <v/>
      </c>
      <c r="HC34" s="85">
        <f>IF(AND(207&gt;=$C$8,207&lt;=$E$8),1,0)</f>
        <v/>
      </c>
      <c r="HD34" s="85">
        <f>IF(AND(208&gt;=$C$8,208&lt;=$E$8),1,0)</f>
        <v/>
      </c>
      <c r="HE34" s="85">
        <f>IF(AND(209&gt;=$C$8,209&lt;=$E$8),1,0)</f>
        <v/>
      </c>
      <c r="HF34" s="85">
        <f>IF(AND(210&gt;=$C$8,210&lt;=$E$8),1,0)</f>
        <v/>
      </c>
      <c r="HG34" s="85">
        <f>IF(AND(211&gt;=$C$8,211&lt;=$E$8),1,0)</f>
        <v/>
      </c>
      <c r="HH34" s="85">
        <f>IF(AND(212&gt;=$C$8,212&lt;=$E$8),1,0)</f>
        <v/>
      </c>
      <c r="HI34" s="85">
        <f>IF(AND(213&gt;=$C$8,213&lt;=$E$8),1,0)</f>
        <v/>
      </c>
      <c r="HJ34" s="85">
        <f>IF(AND(214&gt;=$C$8,214&lt;=$E$8),1,0)</f>
        <v/>
      </c>
      <c r="HK34" s="85">
        <f>IF(AND(215&gt;=$C$8,215&lt;=$E$8),1,0)</f>
        <v/>
      </c>
      <c r="HL34" s="85">
        <f>IF(AND(216&gt;=$C$8,216&lt;=$E$8),1,0)</f>
        <v/>
      </c>
      <c r="HM34" s="85">
        <f>IF(AND(217&gt;=$C$8,217&lt;=$E$8),1,0)</f>
        <v/>
      </c>
      <c r="HN34" s="85">
        <f>IF(AND(218&gt;=$C$8,218&lt;=$E$8),1,0)</f>
        <v/>
      </c>
      <c r="HO34" s="85">
        <f>IF(AND(219&gt;=$C$8,219&lt;=$E$8),1,0)</f>
        <v/>
      </c>
      <c r="HP34" s="85">
        <f>IF(AND(220&gt;=$C$8,220&lt;=$E$8),1,0)</f>
        <v/>
      </c>
      <c r="HQ34" s="85">
        <f>IF(AND(221&gt;=$C$8,221&lt;=$E$8),1,0)</f>
        <v/>
      </c>
      <c r="HR34" s="85">
        <f>IF(AND(222&gt;=$C$8,222&lt;=$E$8),1,0)</f>
        <v/>
      </c>
      <c r="HS34" s="85">
        <f>IF(AND(223&gt;=$C$8,223&lt;=$E$8),1,0)</f>
        <v/>
      </c>
      <c r="HT34" s="85">
        <f>IF(AND(224&gt;=$C$8,224&lt;=$E$8),1,0)</f>
        <v/>
      </c>
      <c r="HU34" s="85">
        <f>IF(AND(225&gt;=$C$8,225&lt;=$E$8),1,0)</f>
        <v/>
      </c>
      <c r="HV34" s="85">
        <f>IF(AND(226&gt;=$C$8,226&lt;=$E$8),1,0)</f>
        <v/>
      </c>
      <c r="HW34" s="85">
        <f>IF(AND(227&gt;=$C$8,227&lt;=$E$8),1,0)</f>
        <v/>
      </c>
      <c r="HX34" s="85">
        <f>IF(AND(228&gt;=$C$8,228&lt;=$E$8),1,0)</f>
        <v/>
      </c>
      <c r="HY34" s="85">
        <f>IF(AND(229&gt;=$C$8,229&lt;=$E$8),1,0)</f>
        <v/>
      </c>
      <c r="HZ34" s="85">
        <f>IF(AND(230&gt;=$C$8,230&lt;=$E$8),1,0)</f>
        <v/>
      </c>
      <c r="IA34" s="85">
        <f>IF(AND(231&gt;=$C$8,231&lt;=$E$8),1,0)</f>
        <v/>
      </c>
      <c r="IB34" s="85">
        <f>IF(AND(232&gt;=$C$8,232&lt;=$E$8),1,0)</f>
        <v/>
      </c>
      <c r="IC34" s="85">
        <f>IF(AND(233&gt;=$C$8,233&lt;=$E$8),1,0)</f>
        <v/>
      </c>
      <c r="ID34" s="85">
        <f>IF(AND(234&gt;=$C$8,234&lt;=$E$8),1,0)</f>
        <v/>
      </c>
      <c r="IE34" s="85">
        <f>IF(AND(235&gt;=$C$8,235&lt;=$E$8),1,0)</f>
        <v/>
      </c>
      <c r="IF34" s="85">
        <f>IF(AND(236&gt;=$C$8,236&lt;=$E$8),1,0)</f>
        <v/>
      </c>
      <c r="IG34" s="85">
        <f>IF(AND(237&gt;=$C$8,237&lt;=$E$8),1,0)</f>
        <v/>
      </c>
      <c r="IH34" s="85">
        <f>IF(AND(238&gt;=$C$8,238&lt;=$E$8),1,0)</f>
        <v/>
      </c>
      <c r="II34" s="85">
        <f>IF(AND(239&gt;=$C$8,239&lt;=$E$8),1,0)</f>
        <v/>
      </c>
      <c r="IJ34" s="85">
        <f>IF(AND(240&gt;=$C$8,240&lt;=$E$8),1,0)</f>
        <v/>
      </c>
      <c r="IK34" s="85">
        <f>IF(AND(241&gt;=$C$8,241&lt;=$E$8),1,0)</f>
        <v/>
      </c>
      <c r="IL34" s="85">
        <f>IF(AND(242&gt;=$C$8,242&lt;=$E$8),1,0)</f>
        <v/>
      </c>
      <c r="IM34" s="85">
        <f>IF(AND(243&gt;=$C$8,243&lt;=$E$8),1,0)</f>
        <v/>
      </c>
      <c r="IN34" s="85">
        <f>IF(AND(244&gt;=$C$8,244&lt;=$E$8),1,0)</f>
        <v/>
      </c>
      <c r="IO34" s="85">
        <f>IF(AND(245&gt;=$C$8,245&lt;=$E$8),1,0)</f>
        <v/>
      </c>
      <c r="IP34" s="85">
        <f>IF(AND(246&gt;=$C$8,246&lt;=$E$8),1,0)</f>
        <v/>
      </c>
      <c r="IQ34" s="85">
        <f>IF(AND(247&gt;=$C$8,247&lt;=$E$8),1,0)</f>
        <v/>
      </c>
      <c r="IR34" s="85">
        <f>IF(AND(248&gt;=$C$8,248&lt;=$E$8),1,0)</f>
        <v/>
      </c>
      <c r="IS34" s="85">
        <f>IF(AND(249&gt;=$C$8,249&lt;=$E$8),1,0)</f>
        <v/>
      </c>
      <c r="IT34" s="85">
        <f>IF(AND(250&gt;=$C$8,250&lt;=$E$8),1,0)</f>
        <v/>
      </c>
      <c r="IU34" s="85">
        <f>IF(AND(251&gt;=$C$8,251&lt;=$E$8),1,0)</f>
        <v/>
      </c>
      <c r="IV34" s="85">
        <f>IF(AND(252&gt;=$C$8,252&lt;=$E$8),1,0)</f>
        <v/>
      </c>
      <c r="IW34" s="85">
        <f>IF(AND(253&gt;=$C$8,253&lt;=$E$8),1,0)</f>
        <v/>
      </c>
      <c r="IX34" s="85">
        <f>IF(AND(254&gt;=$C$8,254&lt;=$E$8),1,0)</f>
        <v/>
      </c>
      <c r="IY34" s="85">
        <f>IF(AND(255&gt;=$C$8,255&lt;=$E$8),1,0)</f>
        <v/>
      </c>
      <c r="IZ34" s="85">
        <f>IF(AND(256&gt;=$C$8,256&lt;=$E$8),1,0)</f>
        <v/>
      </c>
      <c r="JA34" s="85">
        <f>IF(AND(257&gt;=$C$8,257&lt;=$E$8),1,0)</f>
        <v/>
      </c>
      <c r="JB34" s="85">
        <f>IF(AND(258&gt;=$C$8,258&lt;=$E$8),1,0)</f>
        <v/>
      </c>
      <c r="JC34" s="85">
        <f>IF(AND(259&gt;=$C$8,259&lt;=$E$8),1,0)</f>
        <v/>
      </c>
      <c r="JD34" s="85">
        <f>IF(AND(260&gt;=$C$8,260&lt;=$E$8),1,0)</f>
        <v/>
      </c>
      <c r="JE34" s="85">
        <f>IF(AND(261&gt;=$C$8,261&lt;=$E$8),1,0)</f>
        <v/>
      </c>
      <c r="JF34" s="85">
        <f>IF(AND(262&gt;=$C$8,262&lt;=$E$8),1,0)</f>
        <v/>
      </c>
      <c r="JG34" s="85">
        <f>IF(AND(263&gt;=$C$8,263&lt;=$E$8),1,0)</f>
        <v/>
      </c>
      <c r="JH34" s="85">
        <f>IF(AND(264&gt;=$C$8,264&lt;=$E$8),1,0)</f>
        <v/>
      </c>
      <c r="JI34" s="85">
        <f>IF(AND(265&gt;=$C$8,265&lt;=$E$8),1,0)</f>
        <v/>
      </c>
      <c r="JJ34" s="85">
        <f>IF(AND(266&gt;=$C$8,266&lt;=$E$8),1,0)</f>
        <v/>
      </c>
      <c r="JK34" s="85">
        <f>IF(AND(267&gt;=$C$8,267&lt;=$E$8),1,0)</f>
        <v/>
      </c>
      <c r="JL34" s="85">
        <f>IF(AND(268&gt;=$C$8,268&lt;=$E$8),1,0)</f>
        <v/>
      </c>
      <c r="JM34" s="85">
        <f>IF(AND(269&gt;=$C$8,269&lt;=$E$8),1,0)</f>
        <v/>
      </c>
      <c r="JN34" s="85">
        <f>IF(AND(270&gt;=$C$8,270&lt;=$E$8),1,0)</f>
        <v/>
      </c>
      <c r="JO34" s="85">
        <f>IF(AND(271&gt;=$C$8,271&lt;=$E$8),1,0)</f>
        <v/>
      </c>
      <c r="JP34" s="85">
        <f>IF(AND(272&gt;=$C$8,272&lt;=$E$8),1,0)</f>
        <v/>
      </c>
      <c r="JQ34" s="85">
        <f>IF(AND(273&gt;=$C$8,273&lt;=$E$8),1,0)</f>
        <v/>
      </c>
      <c r="JR34" s="85">
        <f>IF(AND(274&gt;=$C$8,274&lt;=$E$8),1,0)</f>
        <v/>
      </c>
      <c r="JS34" s="85">
        <f>IF(AND(275&gt;=$C$8,275&lt;=$E$8),1,0)</f>
        <v/>
      </c>
      <c r="JT34" s="85">
        <f>IF(AND(276&gt;=$C$8,276&lt;=$E$8),1,0)</f>
        <v/>
      </c>
      <c r="JU34" s="85">
        <f>IF(AND(277&gt;=$C$8,277&lt;=$E$8),1,0)</f>
        <v/>
      </c>
      <c r="JV34" s="85">
        <f>IF(AND(278&gt;=$C$8,278&lt;=$E$8),1,0)</f>
        <v/>
      </c>
      <c r="JW34" s="85">
        <f>IF(AND(279&gt;=$C$8,279&lt;=$E$8),1,0)</f>
        <v/>
      </c>
      <c r="JX34" s="85">
        <f>IF(AND(280&gt;=$C$8,280&lt;=$E$8),1,0)</f>
        <v/>
      </c>
      <c r="JY34" s="85">
        <f>IF(AND(281&gt;=$C$8,281&lt;=$E$8),1,0)</f>
        <v/>
      </c>
      <c r="JZ34" s="85">
        <f>IF(AND(282&gt;=$C$8,282&lt;=$E$8),1,0)</f>
        <v/>
      </c>
      <c r="KA34" s="85">
        <f>IF(AND(283&gt;=$C$8,283&lt;=$E$8),1,0)</f>
        <v/>
      </c>
      <c r="KB34" s="85">
        <f>IF(AND(284&gt;=$C$8,284&lt;=$E$8),1,0)</f>
        <v/>
      </c>
      <c r="KC34" s="85">
        <f>IF(AND(285&gt;=$C$8,285&lt;=$E$8),1,0)</f>
        <v/>
      </c>
      <c r="KD34" s="85">
        <f>IF(AND(286&gt;=$C$8,286&lt;=$E$8),1,0)</f>
        <v/>
      </c>
      <c r="KE34" s="85">
        <f>IF(AND(287&gt;=$C$8,287&lt;=$E$8),1,0)</f>
        <v/>
      </c>
      <c r="KF34" s="85">
        <f>IF(AND(288&gt;=$C$8,288&lt;=$E$8),1,0)</f>
        <v/>
      </c>
      <c r="KG34" s="85">
        <f>IF(AND(289&gt;=$C$8,289&lt;=$E$8),1,0)</f>
        <v/>
      </c>
      <c r="KH34" s="85">
        <f>IF(AND(290&gt;=$C$8,290&lt;=$E$8),1,0)</f>
        <v/>
      </c>
      <c r="KI34" s="85">
        <f>IF(AND(291&gt;=$C$8,291&lt;=$E$8),1,0)</f>
        <v/>
      </c>
      <c r="KJ34" s="85">
        <f>IF(AND(292&gt;=$C$8,292&lt;=$E$8),1,0)</f>
        <v/>
      </c>
      <c r="KK34" s="85">
        <f>IF(AND(293&gt;=$C$8,293&lt;=$E$8),1,0)</f>
        <v/>
      </c>
      <c r="KL34" s="85">
        <f>IF(AND(294&gt;=$C$8,294&lt;=$E$8),1,0)</f>
        <v/>
      </c>
      <c r="KM34" s="85">
        <f>IF(AND(295&gt;=$C$8,295&lt;=$E$8),1,0)</f>
        <v/>
      </c>
      <c r="KN34" s="85">
        <f>IF(AND(296&gt;=$C$8,296&lt;=$E$8),1,0)</f>
        <v/>
      </c>
      <c r="KO34" s="85">
        <f>IF(AND(297&gt;=$C$8,297&lt;=$E$8),1,0)</f>
        <v/>
      </c>
      <c r="KP34" s="85">
        <f>IF(AND(298&gt;=$C$8,298&lt;=$E$8),1,0)</f>
        <v/>
      </c>
      <c r="KQ34" s="85">
        <f>IF(AND(299&gt;=$C$8,299&lt;=$E$8),1,0)</f>
        <v/>
      </c>
      <c r="KR34" s="85">
        <f>IF(AND(300&gt;=$C$8,300&lt;=$E$8),1,0)</f>
        <v/>
      </c>
      <c r="KS34" s="85">
        <f>IF(AND(301&gt;=$C$8,301&lt;=$E$8),1,0)</f>
        <v/>
      </c>
      <c r="KT34" s="85">
        <f>IF(AND(302&gt;=$C$8,302&lt;=$E$8),1,0)</f>
        <v/>
      </c>
      <c r="KU34" s="85">
        <f>IF(AND(303&gt;=$C$8,303&lt;=$E$8),1,0)</f>
        <v/>
      </c>
      <c r="KV34" s="85">
        <f>IF(AND(304&gt;=$C$8,304&lt;=$E$8),1,0)</f>
        <v/>
      </c>
      <c r="KW34" s="85">
        <f>IF(AND(305&gt;=$C$8,305&lt;=$E$8),1,0)</f>
        <v/>
      </c>
      <c r="KX34" s="85">
        <f>IF(AND(306&gt;=$C$8,306&lt;=$E$8),1,0)</f>
        <v/>
      </c>
      <c r="KY34" s="85">
        <f>IF(AND(307&gt;=$C$8,307&lt;=$E$8),1,0)</f>
        <v/>
      </c>
      <c r="KZ34" s="85">
        <f>IF(AND(308&gt;=$C$8,308&lt;=$E$8),1,0)</f>
        <v/>
      </c>
      <c r="LA34" s="85">
        <f>IF(AND(309&gt;=$C$8,309&lt;=$E$8),1,0)</f>
        <v/>
      </c>
      <c r="LB34" s="85">
        <f>IF(AND(310&gt;=$C$8,310&lt;=$E$8),1,0)</f>
        <v/>
      </c>
      <c r="LC34" s="85">
        <f>IF(AND(311&gt;=$C$8,311&lt;=$E$8),1,0)</f>
        <v/>
      </c>
      <c r="LD34" s="85">
        <f>IF(AND(312&gt;=$C$8,312&lt;=$E$8),1,0)</f>
        <v/>
      </c>
      <c r="LE34" s="85">
        <f>IF(AND(313&gt;=$C$8,313&lt;=$E$8),1,0)</f>
        <v/>
      </c>
      <c r="LF34" s="85">
        <f>IF(AND(314&gt;=$C$8,314&lt;=$E$8),1,0)</f>
        <v/>
      </c>
      <c r="LG34" s="85">
        <f>IF(AND(315&gt;=$C$8,315&lt;=$E$8),1,0)</f>
        <v/>
      </c>
      <c r="LH34" s="85">
        <f>IF(AND(316&gt;=$C$8,316&lt;=$E$8),1,0)</f>
        <v/>
      </c>
      <c r="LI34" s="85">
        <f>IF(AND(317&gt;=$C$8,317&lt;=$E$8),1,0)</f>
        <v/>
      </c>
      <c r="LJ34" s="85">
        <f>IF(AND(318&gt;=$C$8,318&lt;=$E$8),1,0)</f>
        <v/>
      </c>
      <c r="LK34" s="85">
        <f>IF(AND(319&gt;=$C$8,319&lt;=$E$8),1,0)</f>
        <v/>
      </c>
      <c r="LL34" s="85">
        <f>IF(AND(320&gt;=$C$8,320&lt;=$E$8),1,0)</f>
        <v/>
      </c>
      <c r="LM34" s="85">
        <f>IF(AND(321&gt;=$C$8,321&lt;=$E$8),1,0)</f>
        <v/>
      </c>
      <c r="LN34" s="85">
        <f>IF(AND(322&gt;=$C$8,322&lt;=$E$8),1,0)</f>
        <v/>
      </c>
      <c r="LO34" s="85">
        <f>IF(AND(323&gt;=$C$8,323&lt;=$E$8),1,0)</f>
        <v/>
      </c>
      <c r="LP34" s="85">
        <f>IF(AND(324&gt;=$C$8,324&lt;=$E$8),1,0)</f>
        <v/>
      </c>
      <c r="LQ34" s="85">
        <f>IF(AND(325&gt;=$C$8,325&lt;=$E$8),1,0)</f>
        <v/>
      </c>
      <c r="LR34" s="85">
        <f>IF(AND(326&gt;=$C$8,326&lt;=$E$8),1,0)</f>
        <v/>
      </c>
      <c r="LS34" s="85">
        <f>IF(AND(327&gt;=$C$8,327&lt;=$E$8),1,0)</f>
        <v/>
      </c>
      <c r="LT34" s="85">
        <f>IF(AND(328&gt;=$C$8,328&lt;=$E$8),1,0)</f>
        <v/>
      </c>
      <c r="LU34" s="85">
        <f>IF(AND(329&gt;=$C$8,329&lt;=$E$8),1,0)</f>
        <v/>
      </c>
      <c r="LV34" s="85">
        <f>IF(AND(330&gt;=$C$8,330&lt;=$E$8),1,0)</f>
        <v/>
      </c>
      <c r="LW34" s="85">
        <f>IF(AND(331&gt;=$C$8,331&lt;=$E$8),1,0)</f>
        <v/>
      </c>
      <c r="LX34" s="85">
        <f>IF(AND(332&gt;=$C$8,332&lt;=$E$8),1,0)</f>
        <v/>
      </c>
      <c r="LY34" s="85">
        <f>IF(AND(333&gt;=$C$8,333&lt;=$E$8),1,0)</f>
        <v/>
      </c>
      <c r="LZ34" s="85">
        <f>IF(AND(334&gt;=$C$8,334&lt;=$E$8),1,0)</f>
        <v/>
      </c>
      <c r="MA34" s="85">
        <f>IF(AND(335&gt;=$C$8,335&lt;=$E$8),1,0)</f>
        <v/>
      </c>
      <c r="MB34" s="85">
        <f>IF(AND(336&gt;=$C$8,336&lt;=$E$8),1,0)</f>
        <v/>
      </c>
      <c r="MC34" s="85">
        <f>IF(AND(337&gt;=$C$8,337&lt;=$E$8),1,0)</f>
        <v/>
      </c>
      <c r="MD34" s="85">
        <f>IF(AND(338&gt;=$C$8,338&lt;=$E$8),1,0)</f>
        <v/>
      </c>
      <c r="ME34" s="85">
        <f>IF(AND(339&gt;=$C$8,339&lt;=$E$8),1,0)</f>
        <v/>
      </c>
      <c r="MF34" s="85">
        <f>IF(AND(340&gt;=$C$8,340&lt;=$E$8),1,0)</f>
        <v/>
      </c>
      <c r="MG34" s="85">
        <f>IF(AND(341&gt;=$C$8,341&lt;=$E$8),1,0)</f>
        <v/>
      </c>
      <c r="MH34" s="85">
        <f>IF(AND(342&gt;=$C$8,342&lt;=$E$8),1,0)</f>
        <v/>
      </c>
      <c r="MI34" s="85">
        <f>IF(AND(343&gt;=$C$8,343&lt;=$E$8),1,0)</f>
        <v/>
      </c>
      <c r="MJ34" s="85">
        <f>IF(AND(344&gt;=$C$8,344&lt;=$E$8),1,0)</f>
        <v/>
      </c>
      <c r="MK34" s="85">
        <f>IF(AND(345&gt;=$C$8,345&lt;=$E$8),1,0)</f>
        <v/>
      </c>
      <c r="ML34" s="85">
        <f>IF(AND(346&gt;=$C$8,346&lt;=$E$8),1,0)</f>
        <v/>
      </c>
      <c r="MM34" s="85">
        <f>IF(AND(347&gt;=$C$8,347&lt;=$E$8),1,0)</f>
        <v/>
      </c>
      <c r="MN34" s="85">
        <f>IF(AND(348&gt;=$C$8,348&lt;=$E$8),1,0)</f>
        <v/>
      </c>
      <c r="MO34" s="85">
        <f>IF(AND(349&gt;=$C$8,349&lt;=$E$8),1,0)</f>
        <v/>
      </c>
      <c r="MP34" s="85">
        <f>IF(AND(350&gt;=$C$8,350&lt;=$E$8),1,0)</f>
        <v/>
      </c>
      <c r="MQ34" s="85">
        <f>IF(AND(351&gt;=$C$8,351&lt;=$E$8),1,0)</f>
        <v/>
      </c>
      <c r="MR34" s="85">
        <f>IF(AND(352&gt;=$C$8,352&lt;=$E$8),1,0)</f>
        <v/>
      </c>
      <c r="MS34" s="85">
        <f>IF(AND(353&gt;=$C$8,353&lt;=$E$8),1,0)</f>
        <v/>
      </c>
      <c r="MT34" s="85">
        <f>IF(AND(354&gt;=$C$8,354&lt;=$E$8),1,0)</f>
        <v/>
      </c>
      <c r="MU34" s="85">
        <f>IF(AND(355&gt;=$C$8,355&lt;=$E$8),1,0)</f>
        <v/>
      </c>
      <c r="MV34" s="85">
        <f>IF(AND(356&gt;=$C$8,356&lt;=$E$8),1,0)</f>
        <v/>
      </c>
      <c r="MW34" s="85">
        <f>IF(AND(357&gt;=$C$8,357&lt;=$E$8),1,0)</f>
        <v/>
      </c>
      <c r="MX34" s="85">
        <f>IF(AND(358&gt;=$C$8,358&lt;=$E$8),1,0)</f>
        <v/>
      </c>
      <c r="MY34" s="85">
        <f>IF(AND(359&gt;=$C$8,359&lt;=$E$8),1,0)</f>
        <v/>
      </c>
      <c r="MZ34" s="85">
        <f>IF(AND(360&gt;=$C$8,360&lt;=$E$8),1,0)</f>
        <v/>
      </c>
      <c r="NA34" s="85">
        <f>IF(AND(361&gt;=$C$8,361&lt;=$E$8),1,0)</f>
        <v/>
      </c>
      <c r="NB34" s="85">
        <f>IF(AND(362&gt;=$C$8,362&lt;=$E$8),1,0)</f>
        <v/>
      </c>
      <c r="NC34" s="85">
        <f>IF(AND(363&gt;=$C$8,363&lt;=$E$8),1,0)</f>
        <v/>
      </c>
      <c r="ND34" s="85">
        <f>IF(AND(364&gt;=$C$8,364&lt;=$E$8),1,0)</f>
        <v/>
      </c>
      <c r="NE34" s="85">
        <f>IF(AND(365&gt;=$C$8,365&lt;=$E$8),1,0)</f>
        <v/>
      </c>
      <c r="NF34" s="85">
        <f>IF(AND(366&gt;=$C$8,366&lt;=$E$8),1,0)</f>
        <v/>
      </c>
      <c r="NG34" s="85">
        <f>IF(AND(367&gt;=$C$8,367&lt;=$E$8),1,0)</f>
        <v/>
      </c>
      <c r="NH34" s="85">
        <f>IF(AND(368&gt;=$C$8,368&lt;=$E$8),1,0)</f>
        <v/>
      </c>
      <c r="NI34" s="85">
        <f>IF(AND(369&gt;=$C$8,369&lt;=$E$8),1,0)</f>
        <v/>
      </c>
      <c r="NJ34" s="85">
        <f>IF(AND(370&gt;=$C$8,370&lt;=$E$8),1,0)</f>
        <v/>
      </c>
      <c r="NK34" s="85">
        <f>IF(AND(371&gt;=$C$8,371&lt;=$E$8),1,0)</f>
        <v/>
      </c>
      <c r="NL34" s="85">
        <f>IF(AND(372&gt;=$C$8,372&lt;=$E$8),1,0)</f>
        <v/>
      </c>
    </row>
    <row r="35">
      <c r="B35" s="36" t="inlineStr">
        <is>
          <t>Flag: Construction</t>
        </is>
      </c>
      <c r="D35" s="124" t="n"/>
      <c r="E35" s="85">
        <f>IF(AND(1&gt;=$C$9,1&lt;=$E$9),1,0)</f>
        <v/>
      </c>
      <c r="F35" s="85">
        <f>IF(AND(2&gt;=$C$9,2&lt;=$E$9),1,0)</f>
        <v/>
      </c>
      <c r="G35" s="85">
        <f>IF(AND(3&gt;=$C$9,3&lt;=$E$9),1,0)</f>
        <v/>
      </c>
      <c r="H35" s="85">
        <f>IF(AND(4&gt;=$C$9,4&lt;=$E$9),1,0)</f>
        <v/>
      </c>
      <c r="I35" s="85">
        <f>IF(AND(5&gt;=$C$9,5&lt;=$E$9),1,0)</f>
        <v/>
      </c>
      <c r="J35" s="85">
        <f>IF(AND(6&gt;=$C$9,6&lt;=$E$9),1,0)</f>
        <v/>
      </c>
      <c r="K35" s="85">
        <f>IF(AND(7&gt;=$C$9,7&lt;=$E$9),1,0)</f>
        <v/>
      </c>
      <c r="L35" s="85">
        <f>IF(AND(8&gt;=$C$9,8&lt;=$E$9),1,0)</f>
        <v/>
      </c>
      <c r="M35" s="85">
        <f>IF(AND(9&gt;=$C$9,9&lt;=$E$9),1,0)</f>
        <v/>
      </c>
      <c r="N35" s="85">
        <f>IF(AND(10&gt;=$C$9,10&lt;=$E$9),1,0)</f>
        <v/>
      </c>
      <c r="O35" s="85">
        <f>IF(AND(11&gt;=$C$9,11&lt;=$E$9),1,0)</f>
        <v/>
      </c>
      <c r="P35" s="85">
        <f>IF(AND(12&gt;=$C$9,12&lt;=$E$9),1,0)</f>
        <v/>
      </c>
      <c r="Q35" s="85">
        <f>IF(AND(13&gt;=$C$9,13&lt;=$E$9),1,0)</f>
        <v/>
      </c>
      <c r="R35" s="85">
        <f>IF(AND(14&gt;=$C$9,14&lt;=$E$9),1,0)</f>
        <v/>
      </c>
      <c r="S35" s="85">
        <f>IF(AND(15&gt;=$C$9,15&lt;=$E$9),1,0)</f>
        <v/>
      </c>
      <c r="T35" s="85">
        <f>IF(AND(16&gt;=$C$9,16&lt;=$E$9),1,0)</f>
        <v/>
      </c>
      <c r="U35" s="85">
        <f>IF(AND(17&gt;=$C$9,17&lt;=$E$9),1,0)</f>
        <v/>
      </c>
      <c r="V35" s="85">
        <f>IF(AND(18&gt;=$C$9,18&lt;=$E$9),1,0)</f>
        <v/>
      </c>
      <c r="W35" s="85">
        <f>IF(AND(19&gt;=$C$9,19&lt;=$E$9),1,0)</f>
        <v/>
      </c>
      <c r="X35" s="85">
        <f>IF(AND(20&gt;=$C$9,20&lt;=$E$9),1,0)</f>
        <v/>
      </c>
      <c r="Y35" s="85">
        <f>IF(AND(21&gt;=$C$9,21&lt;=$E$9),1,0)</f>
        <v/>
      </c>
      <c r="Z35" s="85">
        <f>IF(AND(22&gt;=$C$9,22&lt;=$E$9),1,0)</f>
        <v/>
      </c>
      <c r="AA35" s="85">
        <f>IF(AND(23&gt;=$C$9,23&lt;=$E$9),1,0)</f>
        <v/>
      </c>
      <c r="AB35" s="85">
        <f>IF(AND(24&gt;=$C$9,24&lt;=$E$9),1,0)</f>
        <v/>
      </c>
      <c r="AC35" s="85">
        <f>IF(AND(25&gt;=$C$9,25&lt;=$E$9),1,0)</f>
        <v/>
      </c>
      <c r="AD35" s="85">
        <f>IF(AND(26&gt;=$C$9,26&lt;=$E$9),1,0)</f>
        <v/>
      </c>
      <c r="AE35" s="85">
        <f>IF(AND(27&gt;=$C$9,27&lt;=$E$9),1,0)</f>
        <v/>
      </c>
      <c r="AF35" s="85">
        <f>IF(AND(28&gt;=$C$9,28&lt;=$E$9),1,0)</f>
        <v/>
      </c>
      <c r="AG35" s="85">
        <f>IF(AND(29&gt;=$C$9,29&lt;=$E$9),1,0)</f>
        <v/>
      </c>
      <c r="AH35" s="85">
        <f>IF(AND(30&gt;=$C$9,30&lt;=$E$9),1,0)</f>
        <v/>
      </c>
      <c r="AI35" s="85">
        <f>IF(AND(31&gt;=$C$9,31&lt;=$E$9),1,0)</f>
        <v/>
      </c>
      <c r="AJ35" s="85">
        <f>IF(AND(32&gt;=$C$9,32&lt;=$E$9),1,0)</f>
        <v/>
      </c>
      <c r="AK35" s="85">
        <f>IF(AND(33&gt;=$C$9,33&lt;=$E$9),1,0)</f>
        <v/>
      </c>
      <c r="AL35" s="85">
        <f>IF(AND(34&gt;=$C$9,34&lt;=$E$9),1,0)</f>
        <v/>
      </c>
      <c r="AM35" s="85">
        <f>IF(AND(35&gt;=$C$9,35&lt;=$E$9),1,0)</f>
        <v/>
      </c>
      <c r="AN35" s="85">
        <f>IF(AND(36&gt;=$C$9,36&lt;=$E$9),1,0)</f>
        <v/>
      </c>
      <c r="AO35" s="85">
        <f>IF(AND(37&gt;=$C$9,37&lt;=$E$9),1,0)</f>
        <v/>
      </c>
      <c r="AP35" s="85">
        <f>IF(AND(38&gt;=$C$9,38&lt;=$E$9),1,0)</f>
        <v/>
      </c>
      <c r="AQ35" s="85">
        <f>IF(AND(39&gt;=$C$9,39&lt;=$E$9),1,0)</f>
        <v/>
      </c>
      <c r="AR35" s="85">
        <f>IF(AND(40&gt;=$C$9,40&lt;=$E$9),1,0)</f>
        <v/>
      </c>
      <c r="AS35" s="85">
        <f>IF(AND(41&gt;=$C$9,41&lt;=$E$9),1,0)</f>
        <v/>
      </c>
      <c r="AT35" s="85">
        <f>IF(AND(42&gt;=$C$9,42&lt;=$E$9),1,0)</f>
        <v/>
      </c>
      <c r="AU35" s="85">
        <f>IF(AND(43&gt;=$C$9,43&lt;=$E$9),1,0)</f>
        <v/>
      </c>
      <c r="AV35" s="85">
        <f>IF(AND(44&gt;=$C$9,44&lt;=$E$9),1,0)</f>
        <v/>
      </c>
      <c r="AW35" s="85">
        <f>IF(AND(45&gt;=$C$9,45&lt;=$E$9),1,0)</f>
        <v/>
      </c>
      <c r="AX35" s="85">
        <f>IF(AND(46&gt;=$C$9,46&lt;=$E$9),1,0)</f>
        <v/>
      </c>
      <c r="AY35" s="85">
        <f>IF(AND(47&gt;=$C$9,47&lt;=$E$9),1,0)</f>
        <v/>
      </c>
      <c r="AZ35" s="85">
        <f>IF(AND(48&gt;=$C$9,48&lt;=$E$9),1,0)</f>
        <v/>
      </c>
      <c r="BA35" s="85">
        <f>IF(AND(49&gt;=$C$9,49&lt;=$E$9),1,0)</f>
        <v/>
      </c>
      <c r="BB35" s="85">
        <f>IF(AND(50&gt;=$C$9,50&lt;=$E$9),1,0)</f>
        <v/>
      </c>
      <c r="BC35" s="85">
        <f>IF(AND(51&gt;=$C$9,51&lt;=$E$9),1,0)</f>
        <v/>
      </c>
      <c r="BD35" s="85">
        <f>IF(AND(52&gt;=$C$9,52&lt;=$E$9),1,0)</f>
        <v/>
      </c>
      <c r="BE35" s="85">
        <f>IF(AND(53&gt;=$C$9,53&lt;=$E$9),1,0)</f>
        <v/>
      </c>
      <c r="BF35" s="85">
        <f>IF(AND(54&gt;=$C$9,54&lt;=$E$9),1,0)</f>
        <v/>
      </c>
      <c r="BG35" s="85">
        <f>IF(AND(55&gt;=$C$9,55&lt;=$E$9),1,0)</f>
        <v/>
      </c>
      <c r="BH35" s="85">
        <f>IF(AND(56&gt;=$C$9,56&lt;=$E$9),1,0)</f>
        <v/>
      </c>
      <c r="BI35" s="85">
        <f>IF(AND(57&gt;=$C$9,57&lt;=$E$9),1,0)</f>
        <v/>
      </c>
      <c r="BJ35" s="85">
        <f>IF(AND(58&gt;=$C$9,58&lt;=$E$9),1,0)</f>
        <v/>
      </c>
      <c r="BK35" s="85">
        <f>IF(AND(59&gt;=$C$9,59&lt;=$E$9),1,0)</f>
        <v/>
      </c>
      <c r="BL35" s="85">
        <f>IF(AND(60&gt;=$C$9,60&lt;=$E$9),1,0)</f>
        <v/>
      </c>
      <c r="BM35" s="85">
        <f>IF(AND(61&gt;=$C$9,61&lt;=$E$9),1,0)</f>
        <v/>
      </c>
      <c r="BN35" s="85">
        <f>IF(AND(62&gt;=$C$9,62&lt;=$E$9),1,0)</f>
        <v/>
      </c>
      <c r="BO35" s="85">
        <f>IF(AND(63&gt;=$C$9,63&lt;=$E$9),1,0)</f>
        <v/>
      </c>
      <c r="BP35" s="85">
        <f>IF(AND(64&gt;=$C$9,64&lt;=$E$9),1,0)</f>
        <v/>
      </c>
      <c r="BQ35" s="85">
        <f>IF(AND(65&gt;=$C$9,65&lt;=$E$9),1,0)</f>
        <v/>
      </c>
      <c r="BR35" s="85">
        <f>IF(AND(66&gt;=$C$9,66&lt;=$E$9),1,0)</f>
        <v/>
      </c>
      <c r="BS35" s="85">
        <f>IF(AND(67&gt;=$C$9,67&lt;=$E$9),1,0)</f>
        <v/>
      </c>
      <c r="BT35" s="85">
        <f>IF(AND(68&gt;=$C$9,68&lt;=$E$9),1,0)</f>
        <v/>
      </c>
      <c r="BU35" s="85">
        <f>IF(AND(69&gt;=$C$9,69&lt;=$E$9),1,0)</f>
        <v/>
      </c>
      <c r="BV35" s="85">
        <f>IF(AND(70&gt;=$C$9,70&lt;=$E$9),1,0)</f>
        <v/>
      </c>
      <c r="BW35" s="85">
        <f>IF(AND(71&gt;=$C$9,71&lt;=$E$9),1,0)</f>
        <v/>
      </c>
      <c r="BX35" s="85">
        <f>IF(AND(72&gt;=$C$9,72&lt;=$E$9),1,0)</f>
        <v/>
      </c>
      <c r="BY35" s="85">
        <f>IF(AND(73&gt;=$C$9,73&lt;=$E$9),1,0)</f>
        <v/>
      </c>
      <c r="BZ35" s="85">
        <f>IF(AND(74&gt;=$C$9,74&lt;=$E$9),1,0)</f>
        <v/>
      </c>
      <c r="CA35" s="85">
        <f>IF(AND(75&gt;=$C$9,75&lt;=$E$9),1,0)</f>
        <v/>
      </c>
      <c r="CB35" s="85">
        <f>IF(AND(76&gt;=$C$9,76&lt;=$E$9),1,0)</f>
        <v/>
      </c>
      <c r="CC35" s="85">
        <f>IF(AND(77&gt;=$C$9,77&lt;=$E$9),1,0)</f>
        <v/>
      </c>
      <c r="CD35" s="85">
        <f>IF(AND(78&gt;=$C$9,78&lt;=$E$9),1,0)</f>
        <v/>
      </c>
      <c r="CE35" s="85">
        <f>IF(AND(79&gt;=$C$9,79&lt;=$E$9),1,0)</f>
        <v/>
      </c>
      <c r="CF35" s="85">
        <f>IF(AND(80&gt;=$C$9,80&lt;=$E$9),1,0)</f>
        <v/>
      </c>
      <c r="CG35" s="85">
        <f>IF(AND(81&gt;=$C$9,81&lt;=$E$9),1,0)</f>
        <v/>
      </c>
      <c r="CH35" s="85">
        <f>IF(AND(82&gt;=$C$9,82&lt;=$E$9),1,0)</f>
        <v/>
      </c>
      <c r="CI35" s="85">
        <f>IF(AND(83&gt;=$C$9,83&lt;=$E$9),1,0)</f>
        <v/>
      </c>
      <c r="CJ35" s="85">
        <f>IF(AND(84&gt;=$C$9,84&lt;=$E$9),1,0)</f>
        <v/>
      </c>
      <c r="CK35" s="85">
        <f>IF(AND(85&gt;=$C$9,85&lt;=$E$9),1,0)</f>
        <v/>
      </c>
      <c r="CL35" s="85">
        <f>IF(AND(86&gt;=$C$9,86&lt;=$E$9),1,0)</f>
        <v/>
      </c>
      <c r="CM35" s="85">
        <f>IF(AND(87&gt;=$C$9,87&lt;=$E$9),1,0)</f>
        <v/>
      </c>
      <c r="CN35" s="85">
        <f>IF(AND(88&gt;=$C$9,88&lt;=$E$9),1,0)</f>
        <v/>
      </c>
      <c r="CO35" s="85">
        <f>IF(AND(89&gt;=$C$9,89&lt;=$E$9),1,0)</f>
        <v/>
      </c>
      <c r="CP35" s="85">
        <f>IF(AND(90&gt;=$C$9,90&lt;=$E$9),1,0)</f>
        <v/>
      </c>
      <c r="CQ35" s="85">
        <f>IF(AND(91&gt;=$C$9,91&lt;=$E$9),1,0)</f>
        <v/>
      </c>
      <c r="CR35" s="85">
        <f>IF(AND(92&gt;=$C$9,92&lt;=$E$9),1,0)</f>
        <v/>
      </c>
      <c r="CS35" s="85">
        <f>IF(AND(93&gt;=$C$9,93&lt;=$E$9),1,0)</f>
        <v/>
      </c>
      <c r="CT35" s="85">
        <f>IF(AND(94&gt;=$C$9,94&lt;=$E$9),1,0)</f>
        <v/>
      </c>
      <c r="CU35" s="85">
        <f>IF(AND(95&gt;=$C$9,95&lt;=$E$9),1,0)</f>
        <v/>
      </c>
      <c r="CV35" s="85">
        <f>IF(AND(96&gt;=$C$9,96&lt;=$E$9),1,0)</f>
        <v/>
      </c>
      <c r="CW35" s="85">
        <f>IF(AND(97&gt;=$C$9,97&lt;=$E$9),1,0)</f>
        <v/>
      </c>
      <c r="CX35" s="85">
        <f>IF(AND(98&gt;=$C$9,98&lt;=$E$9),1,0)</f>
        <v/>
      </c>
      <c r="CY35" s="85">
        <f>IF(AND(99&gt;=$C$9,99&lt;=$E$9),1,0)</f>
        <v/>
      </c>
      <c r="CZ35" s="85">
        <f>IF(AND(100&gt;=$C$9,100&lt;=$E$9),1,0)</f>
        <v/>
      </c>
      <c r="DA35" s="85">
        <f>IF(AND(101&gt;=$C$9,101&lt;=$E$9),1,0)</f>
        <v/>
      </c>
      <c r="DB35" s="85">
        <f>IF(AND(102&gt;=$C$9,102&lt;=$E$9),1,0)</f>
        <v/>
      </c>
      <c r="DC35" s="85">
        <f>IF(AND(103&gt;=$C$9,103&lt;=$E$9),1,0)</f>
        <v/>
      </c>
      <c r="DD35" s="85">
        <f>IF(AND(104&gt;=$C$9,104&lt;=$E$9),1,0)</f>
        <v/>
      </c>
      <c r="DE35" s="85">
        <f>IF(AND(105&gt;=$C$9,105&lt;=$E$9),1,0)</f>
        <v/>
      </c>
      <c r="DF35" s="85">
        <f>IF(AND(106&gt;=$C$9,106&lt;=$E$9),1,0)</f>
        <v/>
      </c>
      <c r="DG35" s="85">
        <f>IF(AND(107&gt;=$C$9,107&lt;=$E$9),1,0)</f>
        <v/>
      </c>
      <c r="DH35" s="85">
        <f>IF(AND(108&gt;=$C$9,108&lt;=$E$9),1,0)</f>
        <v/>
      </c>
      <c r="DI35" s="85">
        <f>IF(AND(109&gt;=$C$9,109&lt;=$E$9),1,0)</f>
        <v/>
      </c>
      <c r="DJ35" s="85">
        <f>IF(AND(110&gt;=$C$9,110&lt;=$E$9),1,0)</f>
        <v/>
      </c>
      <c r="DK35" s="85">
        <f>IF(AND(111&gt;=$C$9,111&lt;=$E$9),1,0)</f>
        <v/>
      </c>
      <c r="DL35" s="85">
        <f>IF(AND(112&gt;=$C$9,112&lt;=$E$9),1,0)</f>
        <v/>
      </c>
      <c r="DM35" s="85">
        <f>IF(AND(113&gt;=$C$9,113&lt;=$E$9),1,0)</f>
        <v/>
      </c>
      <c r="DN35" s="85">
        <f>IF(AND(114&gt;=$C$9,114&lt;=$E$9),1,0)</f>
        <v/>
      </c>
      <c r="DO35" s="85">
        <f>IF(AND(115&gt;=$C$9,115&lt;=$E$9),1,0)</f>
        <v/>
      </c>
      <c r="DP35" s="85">
        <f>IF(AND(116&gt;=$C$9,116&lt;=$E$9),1,0)</f>
        <v/>
      </c>
      <c r="DQ35" s="85">
        <f>IF(AND(117&gt;=$C$9,117&lt;=$E$9),1,0)</f>
        <v/>
      </c>
      <c r="DR35" s="85">
        <f>IF(AND(118&gt;=$C$9,118&lt;=$E$9),1,0)</f>
        <v/>
      </c>
      <c r="DS35" s="85">
        <f>IF(AND(119&gt;=$C$9,119&lt;=$E$9),1,0)</f>
        <v/>
      </c>
      <c r="DT35" s="85">
        <f>IF(AND(120&gt;=$C$9,120&lt;=$E$9),1,0)</f>
        <v/>
      </c>
      <c r="DU35" s="85">
        <f>IF(AND(121&gt;=$C$9,121&lt;=$E$9),1,0)</f>
        <v/>
      </c>
      <c r="DV35" s="85">
        <f>IF(AND(122&gt;=$C$9,122&lt;=$E$9),1,0)</f>
        <v/>
      </c>
      <c r="DW35" s="85">
        <f>IF(AND(123&gt;=$C$9,123&lt;=$E$9),1,0)</f>
        <v/>
      </c>
      <c r="DX35" s="85">
        <f>IF(AND(124&gt;=$C$9,124&lt;=$E$9),1,0)</f>
        <v/>
      </c>
      <c r="DY35" s="85">
        <f>IF(AND(125&gt;=$C$9,125&lt;=$E$9),1,0)</f>
        <v/>
      </c>
      <c r="DZ35" s="85">
        <f>IF(AND(126&gt;=$C$9,126&lt;=$E$9),1,0)</f>
        <v/>
      </c>
      <c r="EA35" s="85">
        <f>IF(AND(127&gt;=$C$9,127&lt;=$E$9),1,0)</f>
        <v/>
      </c>
      <c r="EB35" s="85">
        <f>IF(AND(128&gt;=$C$9,128&lt;=$E$9),1,0)</f>
        <v/>
      </c>
      <c r="EC35" s="85">
        <f>IF(AND(129&gt;=$C$9,129&lt;=$E$9),1,0)</f>
        <v/>
      </c>
      <c r="ED35" s="85">
        <f>IF(AND(130&gt;=$C$9,130&lt;=$E$9),1,0)</f>
        <v/>
      </c>
      <c r="EE35" s="85">
        <f>IF(AND(131&gt;=$C$9,131&lt;=$E$9),1,0)</f>
        <v/>
      </c>
      <c r="EF35" s="85">
        <f>IF(AND(132&gt;=$C$9,132&lt;=$E$9),1,0)</f>
        <v/>
      </c>
      <c r="EG35" s="85">
        <f>IF(AND(133&gt;=$C$9,133&lt;=$E$9),1,0)</f>
        <v/>
      </c>
      <c r="EH35" s="85">
        <f>IF(AND(134&gt;=$C$9,134&lt;=$E$9),1,0)</f>
        <v/>
      </c>
      <c r="EI35" s="85">
        <f>IF(AND(135&gt;=$C$9,135&lt;=$E$9),1,0)</f>
        <v/>
      </c>
      <c r="EJ35" s="85">
        <f>IF(AND(136&gt;=$C$9,136&lt;=$E$9),1,0)</f>
        <v/>
      </c>
      <c r="EK35" s="85">
        <f>IF(AND(137&gt;=$C$9,137&lt;=$E$9),1,0)</f>
        <v/>
      </c>
      <c r="EL35" s="85">
        <f>IF(AND(138&gt;=$C$9,138&lt;=$E$9),1,0)</f>
        <v/>
      </c>
      <c r="EM35" s="85">
        <f>IF(AND(139&gt;=$C$9,139&lt;=$E$9),1,0)</f>
        <v/>
      </c>
      <c r="EN35" s="85">
        <f>IF(AND(140&gt;=$C$9,140&lt;=$E$9),1,0)</f>
        <v/>
      </c>
      <c r="EO35" s="85">
        <f>IF(AND(141&gt;=$C$9,141&lt;=$E$9),1,0)</f>
        <v/>
      </c>
      <c r="EP35" s="85">
        <f>IF(AND(142&gt;=$C$9,142&lt;=$E$9),1,0)</f>
        <v/>
      </c>
      <c r="EQ35" s="85">
        <f>IF(AND(143&gt;=$C$9,143&lt;=$E$9),1,0)</f>
        <v/>
      </c>
      <c r="ER35" s="85">
        <f>IF(AND(144&gt;=$C$9,144&lt;=$E$9),1,0)</f>
        <v/>
      </c>
      <c r="ES35" s="85">
        <f>IF(AND(145&gt;=$C$9,145&lt;=$E$9),1,0)</f>
        <v/>
      </c>
      <c r="ET35" s="85">
        <f>IF(AND(146&gt;=$C$9,146&lt;=$E$9),1,0)</f>
        <v/>
      </c>
      <c r="EU35" s="85">
        <f>IF(AND(147&gt;=$C$9,147&lt;=$E$9),1,0)</f>
        <v/>
      </c>
      <c r="EV35" s="85">
        <f>IF(AND(148&gt;=$C$9,148&lt;=$E$9),1,0)</f>
        <v/>
      </c>
      <c r="EW35" s="85">
        <f>IF(AND(149&gt;=$C$9,149&lt;=$E$9),1,0)</f>
        <v/>
      </c>
      <c r="EX35" s="85">
        <f>IF(AND(150&gt;=$C$9,150&lt;=$E$9),1,0)</f>
        <v/>
      </c>
      <c r="EY35" s="85">
        <f>IF(AND(151&gt;=$C$9,151&lt;=$E$9),1,0)</f>
        <v/>
      </c>
      <c r="EZ35" s="85">
        <f>IF(AND(152&gt;=$C$9,152&lt;=$E$9),1,0)</f>
        <v/>
      </c>
      <c r="FA35" s="85">
        <f>IF(AND(153&gt;=$C$9,153&lt;=$E$9),1,0)</f>
        <v/>
      </c>
      <c r="FB35" s="85">
        <f>IF(AND(154&gt;=$C$9,154&lt;=$E$9),1,0)</f>
        <v/>
      </c>
      <c r="FC35" s="85">
        <f>IF(AND(155&gt;=$C$9,155&lt;=$E$9),1,0)</f>
        <v/>
      </c>
      <c r="FD35" s="85">
        <f>IF(AND(156&gt;=$C$9,156&lt;=$E$9),1,0)</f>
        <v/>
      </c>
      <c r="FE35" s="85">
        <f>IF(AND(157&gt;=$C$9,157&lt;=$E$9),1,0)</f>
        <v/>
      </c>
      <c r="FF35" s="85">
        <f>IF(AND(158&gt;=$C$9,158&lt;=$E$9),1,0)</f>
        <v/>
      </c>
      <c r="FG35" s="85">
        <f>IF(AND(159&gt;=$C$9,159&lt;=$E$9),1,0)</f>
        <v/>
      </c>
      <c r="FH35" s="85">
        <f>IF(AND(160&gt;=$C$9,160&lt;=$E$9),1,0)</f>
        <v/>
      </c>
      <c r="FI35" s="85">
        <f>IF(AND(161&gt;=$C$9,161&lt;=$E$9),1,0)</f>
        <v/>
      </c>
      <c r="FJ35" s="85">
        <f>IF(AND(162&gt;=$C$9,162&lt;=$E$9),1,0)</f>
        <v/>
      </c>
      <c r="FK35" s="85">
        <f>IF(AND(163&gt;=$C$9,163&lt;=$E$9),1,0)</f>
        <v/>
      </c>
      <c r="FL35" s="85">
        <f>IF(AND(164&gt;=$C$9,164&lt;=$E$9),1,0)</f>
        <v/>
      </c>
      <c r="FM35" s="85">
        <f>IF(AND(165&gt;=$C$9,165&lt;=$E$9),1,0)</f>
        <v/>
      </c>
      <c r="FN35" s="85">
        <f>IF(AND(166&gt;=$C$9,166&lt;=$E$9),1,0)</f>
        <v/>
      </c>
      <c r="FO35" s="85">
        <f>IF(AND(167&gt;=$C$9,167&lt;=$E$9),1,0)</f>
        <v/>
      </c>
      <c r="FP35" s="85">
        <f>IF(AND(168&gt;=$C$9,168&lt;=$E$9),1,0)</f>
        <v/>
      </c>
      <c r="FQ35" s="85">
        <f>IF(AND(169&gt;=$C$9,169&lt;=$E$9),1,0)</f>
        <v/>
      </c>
      <c r="FR35" s="85">
        <f>IF(AND(170&gt;=$C$9,170&lt;=$E$9),1,0)</f>
        <v/>
      </c>
      <c r="FS35" s="85">
        <f>IF(AND(171&gt;=$C$9,171&lt;=$E$9),1,0)</f>
        <v/>
      </c>
      <c r="FT35" s="85">
        <f>IF(AND(172&gt;=$C$9,172&lt;=$E$9),1,0)</f>
        <v/>
      </c>
      <c r="FU35" s="85">
        <f>IF(AND(173&gt;=$C$9,173&lt;=$E$9),1,0)</f>
        <v/>
      </c>
      <c r="FV35" s="85">
        <f>IF(AND(174&gt;=$C$9,174&lt;=$E$9),1,0)</f>
        <v/>
      </c>
      <c r="FW35" s="85">
        <f>IF(AND(175&gt;=$C$9,175&lt;=$E$9),1,0)</f>
        <v/>
      </c>
      <c r="FX35" s="85">
        <f>IF(AND(176&gt;=$C$9,176&lt;=$E$9),1,0)</f>
        <v/>
      </c>
      <c r="FY35" s="85">
        <f>IF(AND(177&gt;=$C$9,177&lt;=$E$9),1,0)</f>
        <v/>
      </c>
      <c r="FZ35" s="85">
        <f>IF(AND(178&gt;=$C$9,178&lt;=$E$9),1,0)</f>
        <v/>
      </c>
      <c r="GA35" s="85">
        <f>IF(AND(179&gt;=$C$9,179&lt;=$E$9),1,0)</f>
        <v/>
      </c>
      <c r="GB35" s="85">
        <f>IF(AND(180&gt;=$C$9,180&lt;=$E$9),1,0)</f>
        <v/>
      </c>
      <c r="GC35" s="85">
        <f>IF(AND(181&gt;=$C$9,181&lt;=$E$9),1,0)</f>
        <v/>
      </c>
      <c r="GD35" s="85">
        <f>IF(AND(182&gt;=$C$9,182&lt;=$E$9),1,0)</f>
        <v/>
      </c>
      <c r="GE35" s="85">
        <f>IF(AND(183&gt;=$C$9,183&lt;=$E$9),1,0)</f>
        <v/>
      </c>
      <c r="GF35" s="85">
        <f>IF(AND(184&gt;=$C$9,184&lt;=$E$9),1,0)</f>
        <v/>
      </c>
      <c r="GG35" s="85">
        <f>IF(AND(185&gt;=$C$9,185&lt;=$E$9),1,0)</f>
        <v/>
      </c>
      <c r="GH35" s="85">
        <f>IF(AND(186&gt;=$C$9,186&lt;=$E$9),1,0)</f>
        <v/>
      </c>
      <c r="GI35" s="85">
        <f>IF(AND(187&gt;=$C$9,187&lt;=$E$9),1,0)</f>
        <v/>
      </c>
      <c r="GJ35" s="85">
        <f>IF(AND(188&gt;=$C$9,188&lt;=$E$9),1,0)</f>
        <v/>
      </c>
      <c r="GK35" s="85">
        <f>IF(AND(189&gt;=$C$9,189&lt;=$E$9),1,0)</f>
        <v/>
      </c>
      <c r="GL35" s="85">
        <f>IF(AND(190&gt;=$C$9,190&lt;=$E$9),1,0)</f>
        <v/>
      </c>
      <c r="GM35" s="85">
        <f>IF(AND(191&gt;=$C$9,191&lt;=$E$9),1,0)</f>
        <v/>
      </c>
      <c r="GN35" s="85">
        <f>IF(AND(192&gt;=$C$9,192&lt;=$E$9),1,0)</f>
        <v/>
      </c>
      <c r="GO35" s="85">
        <f>IF(AND(193&gt;=$C$9,193&lt;=$E$9),1,0)</f>
        <v/>
      </c>
      <c r="GP35" s="85">
        <f>IF(AND(194&gt;=$C$9,194&lt;=$E$9),1,0)</f>
        <v/>
      </c>
      <c r="GQ35" s="85">
        <f>IF(AND(195&gt;=$C$9,195&lt;=$E$9),1,0)</f>
        <v/>
      </c>
      <c r="GR35" s="85">
        <f>IF(AND(196&gt;=$C$9,196&lt;=$E$9),1,0)</f>
        <v/>
      </c>
      <c r="GS35" s="85">
        <f>IF(AND(197&gt;=$C$9,197&lt;=$E$9),1,0)</f>
        <v/>
      </c>
      <c r="GT35" s="85">
        <f>IF(AND(198&gt;=$C$9,198&lt;=$E$9),1,0)</f>
        <v/>
      </c>
      <c r="GU35" s="85">
        <f>IF(AND(199&gt;=$C$9,199&lt;=$E$9),1,0)</f>
        <v/>
      </c>
      <c r="GV35" s="85">
        <f>IF(AND(200&gt;=$C$9,200&lt;=$E$9),1,0)</f>
        <v/>
      </c>
      <c r="GW35" s="85">
        <f>IF(AND(201&gt;=$C$9,201&lt;=$E$9),1,0)</f>
        <v/>
      </c>
      <c r="GX35" s="85">
        <f>IF(AND(202&gt;=$C$9,202&lt;=$E$9),1,0)</f>
        <v/>
      </c>
      <c r="GY35" s="85">
        <f>IF(AND(203&gt;=$C$9,203&lt;=$E$9),1,0)</f>
        <v/>
      </c>
      <c r="GZ35" s="85">
        <f>IF(AND(204&gt;=$C$9,204&lt;=$E$9),1,0)</f>
        <v/>
      </c>
      <c r="HA35" s="85">
        <f>IF(AND(205&gt;=$C$9,205&lt;=$E$9),1,0)</f>
        <v/>
      </c>
      <c r="HB35" s="85">
        <f>IF(AND(206&gt;=$C$9,206&lt;=$E$9),1,0)</f>
        <v/>
      </c>
      <c r="HC35" s="85">
        <f>IF(AND(207&gt;=$C$9,207&lt;=$E$9),1,0)</f>
        <v/>
      </c>
      <c r="HD35" s="85">
        <f>IF(AND(208&gt;=$C$9,208&lt;=$E$9),1,0)</f>
        <v/>
      </c>
      <c r="HE35" s="85">
        <f>IF(AND(209&gt;=$C$9,209&lt;=$E$9),1,0)</f>
        <v/>
      </c>
      <c r="HF35" s="85">
        <f>IF(AND(210&gt;=$C$9,210&lt;=$E$9),1,0)</f>
        <v/>
      </c>
      <c r="HG35" s="85">
        <f>IF(AND(211&gt;=$C$9,211&lt;=$E$9),1,0)</f>
        <v/>
      </c>
      <c r="HH35" s="85">
        <f>IF(AND(212&gt;=$C$9,212&lt;=$E$9),1,0)</f>
        <v/>
      </c>
      <c r="HI35" s="85">
        <f>IF(AND(213&gt;=$C$9,213&lt;=$E$9),1,0)</f>
        <v/>
      </c>
      <c r="HJ35" s="85">
        <f>IF(AND(214&gt;=$C$9,214&lt;=$E$9),1,0)</f>
        <v/>
      </c>
      <c r="HK35" s="85">
        <f>IF(AND(215&gt;=$C$9,215&lt;=$E$9),1,0)</f>
        <v/>
      </c>
      <c r="HL35" s="85">
        <f>IF(AND(216&gt;=$C$9,216&lt;=$E$9),1,0)</f>
        <v/>
      </c>
      <c r="HM35" s="85">
        <f>IF(AND(217&gt;=$C$9,217&lt;=$E$9),1,0)</f>
        <v/>
      </c>
      <c r="HN35" s="85">
        <f>IF(AND(218&gt;=$C$9,218&lt;=$E$9),1,0)</f>
        <v/>
      </c>
      <c r="HO35" s="85">
        <f>IF(AND(219&gt;=$C$9,219&lt;=$E$9),1,0)</f>
        <v/>
      </c>
      <c r="HP35" s="85">
        <f>IF(AND(220&gt;=$C$9,220&lt;=$E$9),1,0)</f>
        <v/>
      </c>
      <c r="HQ35" s="85">
        <f>IF(AND(221&gt;=$C$9,221&lt;=$E$9),1,0)</f>
        <v/>
      </c>
      <c r="HR35" s="85">
        <f>IF(AND(222&gt;=$C$9,222&lt;=$E$9),1,0)</f>
        <v/>
      </c>
      <c r="HS35" s="85">
        <f>IF(AND(223&gt;=$C$9,223&lt;=$E$9),1,0)</f>
        <v/>
      </c>
      <c r="HT35" s="85">
        <f>IF(AND(224&gt;=$C$9,224&lt;=$E$9),1,0)</f>
        <v/>
      </c>
      <c r="HU35" s="85">
        <f>IF(AND(225&gt;=$C$9,225&lt;=$E$9),1,0)</f>
        <v/>
      </c>
      <c r="HV35" s="85">
        <f>IF(AND(226&gt;=$C$9,226&lt;=$E$9),1,0)</f>
        <v/>
      </c>
      <c r="HW35" s="85">
        <f>IF(AND(227&gt;=$C$9,227&lt;=$E$9),1,0)</f>
        <v/>
      </c>
      <c r="HX35" s="85">
        <f>IF(AND(228&gt;=$C$9,228&lt;=$E$9),1,0)</f>
        <v/>
      </c>
      <c r="HY35" s="85">
        <f>IF(AND(229&gt;=$C$9,229&lt;=$E$9),1,0)</f>
        <v/>
      </c>
      <c r="HZ35" s="85">
        <f>IF(AND(230&gt;=$C$9,230&lt;=$E$9),1,0)</f>
        <v/>
      </c>
      <c r="IA35" s="85">
        <f>IF(AND(231&gt;=$C$9,231&lt;=$E$9),1,0)</f>
        <v/>
      </c>
      <c r="IB35" s="85">
        <f>IF(AND(232&gt;=$C$9,232&lt;=$E$9),1,0)</f>
        <v/>
      </c>
      <c r="IC35" s="85">
        <f>IF(AND(233&gt;=$C$9,233&lt;=$E$9),1,0)</f>
        <v/>
      </c>
      <c r="ID35" s="85">
        <f>IF(AND(234&gt;=$C$9,234&lt;=$E$9),1,0)</f>
        <v/>
      </c>
      <c r="IE35" s="85">
        <f>IF(AND(235&gt;=$C$9,235&lt;=$E$9),1,0)</f>
        <v/>
      </c>
      <c r="IF35" s="85">
        <f>IF(AND(236&gt;=$C$9,236&lt;=$E$9),1,0)</f>
        <v/>
      </c>
      <c r="IG35" s="85">
        <f>IF(AND(237&gt;=$C$9,237&lt;=$E$9),1,0)</f>
        <v/>
      </c>
      <c r="IH35" s="85">
        <f>IF(AND(238&gt;=$C$9,238&lt;=$E$9),1,0)</f>
        <v/>
      </c>
      <c r="II35" s="85">
        <f>IF(AND(239&gt;=$C$9,239&lt;=$E$9),1,0)</f>
        <v/>
      </c>
      <c r="IJ35" s="85">
        <f>IF(AND(240&gt;=$C$9,240&lt;=$E$9),1,0)</f>
        <v/>
      </c>
      <c r="IK35" s="85">
        <f>IF(AND(241&gt;=$C$9,241&lt;=$E$9),1,0)</f>
        <v/>
      </c>
      <c r="IL35" s="85">
        <f>IF(AND(242&gt;=$C$9,242&lt;=$E$9),1,0)</f>
        <v/>
      </c>
      <c r="IM35" s="85">
        <f>IF(AND(243&gt;=$C$9,243&lt;=$E$9),1,0)</f>
        <v/>
      </c>
      <c r="IN35" s="85">
        <f>IF(AND(244&gt;=$C$9,244&lt;=$E$9),1,0)</f>
        <v/>
      </c>
      <c r="IO35" s="85">
        <f>IF(AND(245&gt;=$C$9,245&lt;=$E$9),1,0)</f>
        <v/>
      </c>
      <c r="IP35" s="85">
        <f>IF(AND(246&gt;=$C$9,246&lt;=$E$9),1,0)</f>
        <v/>
      </c>
      <c r="IQ35" s="85">
        <f>IF(AND(247&gt;=$C$9,247&lt;=$E$9),1,0)</f>
        <v/>
      </c>
      <c r="IR35" s="85">
        <f>IF(AND(248&gt;=$C$9,248&lt;=$E$9),1,0)</f>
        <v/>
      </c>
      <c r="IS35" s="85">
        <f>IF(AND(249&gt;=$C$9,249&lt;=$E$9),1,0)</f>
        <v/>
      </c>
      <c r="IT35" s="85">
        <f>IF(AND(250&gt;=$C$9,250&lt;=$E$9),1,0)</f>
        <v/>
      </c>
      <c r="IU35" s="85">
        <f>IF(AND(251&gt;=$C$9,251&lt;=$E$9),1,0)</f>
        <v/>
      </c>
      <c r="IV35" s="85">
        <f>IF(AND(252&gt;=$C$9,252&lt;=$E$9),1,0)</f>
        <v/>
      </c>
      <c r="IW35" s="85">
        <f>IF(AND(253&gt;=$C$9,253&lt;=$E$9),1,0)</f>
        <v/>
      </c>
      <c r="IX35" s="85">
        <f>IF(AND(254&gt;=$C$9,254&lt;=$E$9),1,0)</f>
        <v/>
      </c>
      <c r="IY35" s="85">
        <f>IF(AND(255&gt;=$C$9,255&lt;=$E$9),1,0)</f>
        <v/>
      </c>
      <c r="IZ35" s="85">
        <f>IF(AND(256&gt;=$C$9,256&lt;=$E$9),1,0)</f>
        <v/>
      </c>
      <c r="JA35" s="85">
        <f>IF(AND(257&gt;=$C$9,257&lt;=$E$9),1,0)</f>
        <v/>
      </c>
      <c r="JB35" s="85">
        <f>IF(AND(258&gt;=$C$9,258&lt;=$E$9),1,0)</f>
        <v/>
      </c>
      <c r="JC35" s="85">
        <f>IF(AND(259&gt;=$C$9,259&lt;=$E$9),1,0)</f>
        <v/>
      </c>
      <c r="JD35" s="85">
        <f>IF(AND(260&gt;=$C$9,260&lt;=$E$9),1,0)</f>
        <v/>
      </c>
      <c r="JE35" s="85">
        <f>IF(AND(261&gt;=$C$9,261&lt;=$E$9),1,0)</f>
        <v/>
      </c>
      <c r="JF35" s="85">
        <f>IF(AND(262&gt;=$C$9,262&lt;=$E$9),1,0)</f>
        <v/>
      </c>
      <c r="JG35" s="85">
        <f>IF(AND(263&gt;=$C$9,263&lt;=$E$9),1,0)</f>
        <v/>
      </c>
      <c r="JH35" s="85">
        <f>IF(AND(264&gt;=$C$9,264&lt;=$E$9),1,0)</f>
        <v/>
      </c>
      <c r="JI35" s="85">
        <f>IF(AND(265&gt;=$C$9,265&lt;=$E$9),1,0)</f>
        <v/>
      </c>
      <c r="JJ35" s="85">
        <f>IF(AND(266&gt;=$C$9,266&lt;=$E$9),1,0)</f>
        <v/>
      </c>
      <c r="JK35" s="85">
        <f>IF(AND(267&gt;=$C$9,267&lt;=$E$9),1,0)</f>
        <v/>
      </c>
      <c r="JL35" s="85">
        <f>IF(AND(268&gt;=$C$9,268&lt;=$E$9),1,0)</f>
        <v/>
      </c>
      <c r="JM35" s="85">
        <f>IF(AND(269&gt;=$C$9,269&lt;=$E$9),1,0)</f>
        <v/>
      </c>
      <c r="JN35" s="85">
        <f>IF(AND(270&gt;=$C$9,270&lt;=$E$9),1,0)</f>
        <v/>
      </c>
      <c r="JO35" s="85">
        <f>IF(AND(271&gt;=$C$9,271&lt;=$E$9),1,0)</f>
        <v/>
      </c>
      <c r="JP35" s="85">
        <f>IF(AND(272&gt;=$C$9,272&lt;=$E$9),1,0)</f>
        <v/>
      </c>
      <c r="JQ35" s="85">
        <f>IF(AND(273&gt;=$C$9,273&lt;=$E$9),1,0)</f>
        <v/>
      </c>
      <c r="JR35" s="85">
        <f>IF(AND(274&gt;=$C$9,274&lt;=$E$9),1,0)</f>
        <v/>
      </c>
      <c r="JS35" s="85">
        <f>IF(AND(275&gt;=$C$9,275&lt;=$E$9),1,0)</f>
        <v/>
      </c>
      <c r="JT35" s="85">
        <f>IF(AND(276&gt;=$C$9,276&lt;=$E$9),1,0)</f>
        <v/>
      </c>
      <c r="JU35" s="85">
        <f>IF(AND(277&gt;=$C$9,277&lt;=$E$9),1,0)</f>
        <v/>
      </c>
      <c r="JV35" s="85">
        <f>IF(AND(278&gt;=$C$9,278&lt;=$E$9),1,0)</f>
        <v/>
      </c>
      <c r="JW35" s="85">
        <f>IF(AND(279&gt;=$C$9,279&lt;=$E$9),1,0)</f>
        <v/>
      </c>
      <c r="JX35" s="85">
        <f>IF(AND(280&gt;=$C$9,280&lt;=$E$9),1,0)</f>
        <v/>
      </c>
      <c r="JY35" s="85">
        <f>IF(AND(281&gt;=$C$9,281&lt;=$E$9),1,0)</f>
        <v/>
      </c>
      <c r="JZ35" s="85">
        <f>IF(AND(282&gt;=$C$9,282&lt;=$E$9),1,0)</f>
        <v/>
      </c>
      <c r="KA35" s="85">
        <f>IF(AND(283&gt;=$C$9,283&lt;=$E$9),1,0)</f>
        <v/>
      </c>
      <c r="KB35" s="85">
        <f>IF(AND(284&gt;=$C$9,284&lt;=$E$9),1,0)</f>
        <v/>
      </c>
      <c r="KC35" s="85">
        <f>IF(AND(285&gt;=$C$9,285&lt;=$E$9),1,0)</f>
        <v/>
      </c>
      <c r="KD35" s="85">
        <f>IF(AND(286&gt;=$C$9,286&lt;=$E$9),1,0)</f>
        <v/>
      </c>
      <c r="KE35" s="85">
        <f>IF(AND(287&gt;=$C$9,287&lt;=$E$9),1,0)</f>
        <v/>
      </c>
      <c r="KF35" s="85">
        <f>IF(AND(288&gt;=$C$9,288&lt;=$E$9),1,0)</f>
        <v/>
      </c>
      <c r="KG35" s="85">
        <f>IF(AND(289&gt;=$C$9,289&lt;=$E$9),1,0)</f>
        <v/>
      </c>
      <c r="KH35" s="85">
        <f>IF(AND(290&gt;=$C$9,290&lt;=$E$9),1,0)</f>
        <v/>
      </c>
      <c r="KI35" s="85">
        <f>IF(AND(291&gt;=$C$9,291&lt;=$E$9),1,0)</f>
        <v/>
      </c>
      <c r="KJ35" s="85">
        <f>IF(AND(292&gt;=$C$9,292&lt;=$E$9),1,0)</f>
        <v/>
      </c>
      <c r="KK35" s="85">
        <f>IF(AND(293&gt;=$C$9,293&lt;=$E$9),1,0)</f>
        <v/>
      </c>
      <c r="KL35" s="85">
        <f>IF(AND(294&gt;=$C$9,294&lt;=$E$9),1,0)</f>
        <v/>
      </c>
      <c r="KM35" s="85">
        <f>IF(AND(295&gt;=$C$9,295&lt;=$E$9),1,0)</f>
        <v/>
      </c>
      <c r="KN35" s="85">
        <f>IF(AND(296&gt;=$C$9,296&lt;=$E$9),1,0)</f>
        <v/>
      </c>
      <c r="KO35" s="85">
        <f>IF(AND(297&gt;=$C$9,297&lt;=$E$9),1,0)</f>
        <v/>
      </c>
      <c r="KP35" s="85">
        <f>IF(AND(298&gt;=$C$9,298&lt;=$E$9),1,0)</f>
        <v/>
      </c>
      <c r="KQ35" s="85">
        <f>IF(AND(299&gt;=$C$9,299&lt;=$E$9),1,0)</f>
        <v/>
      </c>
      <c r="KR35" s="85">
        <f>IF(AND(300&gt;=$C$9,300&lt;=$E$9),1,0)</f>
        <v/>
      </c>
      <c r="KS35" s="85">
        <f>IF(AND(301&gt;=$C$9,301&lt;=$E$9),1,0)</f>
        <v/>
      </c>
      <c r="KT35" s="85">
        <f>IF(AND(302&gt;=$C$9,302&lt;=$E$9),1,0)</f>
        <v/>
      </c>
      <c r="KU35" s="85">
        <f>IF(AND(303&gt;=$C$9,303&lt;=$E$9),1,0)</f>
        <v/>
      </c>
      <c r="KV35" s="85">
        <f>IF(AND(304&gt;=$C$9,304&lt;=$E$9),1,0)</f>
        <v/>
      </c>
      <c r="KW35" s="85">
        <f>IF(AND(305&gt;=$C$9,305&lt;=$E$9),1,0)</f>
        <v/>
      </c>
      <c r="KX35" s="85">
        <f>IF(AND(306&gt;=$C$9,306&lt;=$E$9),1,0)</f>
        <v/>
      </c>
      <c r="KY35" s="85">
        <f>IF(AND(307&gt;=$C$9,307&lt;=$E$9),1,0)</f>
        <v/>
      </c>
      <c r="KZ35" s="85">
        <f>IF(AND(308&gt;=$C$9,308&lt;=$E$9),1,0)</f>
        <v/>
      </c>
      <c r="LA35" s="85">
        <f>IF(AND(309&gt;=$C$9,309&lt;=$E$9),1,0)</f>
        <v/>
      </c>
      <c r="LB35" s="85">
        <f>IF(AND(310&gt;=$C$9,310&lt;=$E$9),1,0)</f>
        <v/>
      </c>
      <c r="LC35" s="85">
        <f>IF(AND(311&gt;=$C$9,311&lt;=$E$9),1,0)</f>
        <v/>
      </c>
      <c r="LD35" s="85">
        <f>IF(AND(312&gt;=$C$9,312&lt;=$E$9),1,0)</f>
        <v/>
      </c>
      <c r="LE35" s="85">
        <f>IF(AND(313&gt;=$C$9,313&lt;=$E$9),1,0)</f>
        <v/>
      </c>
      <c r="LF35" s="85">
        <f>IF(AND(314&gt;=$C$9,314&lt;=$E$9),1,0)</f>
        <v/>
      </c>
      <c r="LG35" s="85">
        <f>IF(AND(315&gt;=$C$9,315&lt;=$E$9),1,0)</f>
        <v/>
      </c>
      <c r="LH35" s="85">
        <f>IF(AND(316&gt;=$C$9,316&lt;=$E$9),1,0)</f>
        <v/>
      </c>
      <c r="LI35" s="85">
        <f>IF(AND(317&gt;=$C$9,317&lt;=$E$9),1,0)</f>
        <v/>
      </c>
      <c r="LJ35" s="85">
        <f>IF(AND(318&gt;=$C$9,318&lt;=$E$9),1,0)</f>
        <v/>
      </c>
      <c r="LK35" s="85">
        <f>IF(AND(319&gt;=$C$9,319&lt;=$E$9),1,0)</f>
        <v/>
      </c>
      <c r="LL35" s="85">
        <f>IF(AND(320&gt;=$C$9,320&lt;=$E$9),1,0)</f>
        <v/>
      </c>
      <c r="LM35" s="85">
        <f>IF(AND(321&gt;=$C$9,321&lt;=$E$9),1,0)</f>
        <v/>
      </c>
      <c r="LN35" s="85">
        <f>IF(AND(322&gt;=$C$9,322&lt;=$E$9),1,0)</f>
        <v/>
      </c>
      <c r="LO35" s="85">
        <f>IF(AND(323&gt;=$C$9,323&lt;=$E$9),1,0)</f>
        <v/>
      </c>
      <c r="LP35" s="85">
        <f>IF(AND(324&gt;=$C$9,324&lt;=$E$9),1,0)</f>
        <v/>
      </c>
      <c r="LQ35" s="85">
        <f>IF(AND(325&gt;=$C$9,325&lt;=$E$9),1,0)</f>
        <v/>
      </c>
      <c r="LR35" s="85">
        <f>IF(AND(326&gt;=$C$9,326&lt;=$E$9),1,0)</f>
        <v/>
      </c>
      <c r="LS35" s="85">
        <f>IF(AND(327&gt;=$C$9,327&lt;=$E$9),1,0)</f>
        <v/>
      </c>
      <c r="LT35" s="85">
        <f>IF(AND(328&gt;=$C$9,328&lt;=$E$9),1,0)</f>
        <v/>
      </c>
      <c r="LU35" s="85">
        <f>IF(AND(329&gt;=$C$9,329&lt;=$E$9),1,0)</f>
        <v/>
      </c>
      <c r="LV35" s="85">
        <f>IF(AND(330&gt;=$C$9,330&lt;=$E$9),1,0)</f>
        <v/>
      </c>
      <c r="LW35" s="85">
        <f>IF(AND(331&gt;=$C$9,331&lt;=$E$9),1,0)</f>
        <v/>
      </c>
      <c r="LX35" s="85">
        <f>IF(AND(332&gt;=$C$9,332&lt;=$E$9),1,0)</f>
        <v/>
      </c>
      <c r="LY35" s="85">
        <f>IF(AND(333&gt;=$C$9,333&lt;=$E$9),1,0)</f>
        <v/>
      </c>
      <c r="LZ35" s="85">
        <f>IF(AND(334&gt;=$C$9,334&lt;=$E$9),1,0)</f>
        <v/>
      </c>
      <c r="MA35" s="85">
        <f>IF(AND(335&gt;=$C$9,335&lt;=$E$9),1,0)</f>
        <v/>
      </c>
      <c r="MB35" s="85">
        <f>IF(AND(336&gt;=$C$9,336&lt;=$E$9),1,0)</f>
        <v/>
      </c>
      <c r="MC35" s="85">
        <f>IF(AND(337&gt;=$C$9,337&lt;=$E$9),1,0)</f>
        <v/>
      </c>
      <c r="MD35" s="85">
        <f>IF(AND(338&gt;=$C$9,338&lt;=$E$9),1,0)</f>
        <v/>
      </c>
      <c r="ME35" s="85">
        <f>IF(AND(339&gt;=$C$9,339&lt;=$E$9),1,0)</f>
        <v/>
      </c>
      <c r="MF35" s="85">
        <f>IF(AND(340&gt;=$C$9,340&lt;=$E$9),1,0)</f>
        <v/>
      </c>
      <c r="MG35" s="85">
        <f>IF(AND(341&gt;=$C$9,341&lt;=$E$9),1,0)</f>
        <v/>
      </c>
      <c r="MH35" s="85">
        <f>IF(AND(342&gt;=$C$9,342&lt;=$E$9),1,0)</f>
        <v/>
      </c>
      <c r="MI35" s="85">
        <f>IF(AND(343&gt;=$C$9,343&lt;=$E$9),1,0)</f>
        <v/>
      </c>
      <c r="MJ35" s="85">
        <f>IF(AND(344&gt;=$C$9,344&lt;=$E$9),1,0)</f>
        <v/>
      </c>
      <c r="MK35" s="85">
        <f>IF(AND(345&gt;=$C$9,345&lt;=$E$9),1,0)</f>
        <v/>
      </c>
      <c r="ML35" s="85">
        <f>IF(AND(346&gt;=$C$9,346&lt;=$E$9),1,0)</f>
        <v/>
      </c>
      <c r="MM35" s="85">
        <f>IF(AND(347&gt;=$C$9,347&lt;=$E$9),1,0)</f>
        <v/>
      </c>
      <c r="MN35" s="85">
        <f>IF(AND(348&gt;=$C$9,348&lt;=$E$9),1,0)</f>
        <v/>
      </c>
      <c r="MO35" s="85">
        <f>IF(AND(349&gt;=$C$9,349&lt;=$E$9),1,0)</f>
        <v/>
      </c>
      <c r="MP35" s="85">
        <f>IF(AND(350&gt;=$C$9,350&lt;=$E$9),1,0)</f>
        <v/>
      </c>
      <c r="MQ35" s="85">
        <f>IF(AND(351&gt;=$C$9,351&lt;=$E$9),1,0)</f>
        <v/>
      </c>
      <c r="MR35" s="85">
        <f>IF(AND(352&gt;=$C$9,352&lt;=$E$9),1,0)</f>
        <v/>
      </c>
      <c r="MS35" s="85">
        <f>IF(AND(353&gt;=$C$9,353&lt;=$E$9),1,0)</f>
        <v/>
      </c>
      <c r="MT35" s="85">
        <f>IF(AND(354&gt;=$C$9,354&lt;=$E$9),1,0)</f>
        <v/>
      </c>
      <c r="MU35" s="85">
        <f>IF(AND(355&gt;=$C$9,355&lt;=$E$9),1,0)</f>
        <v/>
      </c>
      <c r="MV35" s="85">
        <f>IF(AND(356&gt;=$C$9,356&lt;=$E$9),1,0)</f>
        <v/>
      </c>
      <c r="MW35" s="85">
        <f>IF(AND(357&gt;=$C$9,357&lt;=$E$9),1,0)</f>
        <v/>
      </c>
      <c r="MX35" s="85">
        <f>IF(AND(358&gt;=$C$9,358&lt;=$E$9),1,0)</f>
        <v/>
      </c>
      <c r="MY35" s="85">
        <f>IF(AND(359&gt;=$C$9,359&lt;=$E$9),1,0)</f>
        <v/>
      </c>
      <c r="MZ35" s="85">
        <f>IF(AND(360&gt;=$C$9,360&lt;=$E$9),1,0)</f>
        <v/>
      </c>
      <c r="NA35" s="85">
        <f>IF(AND(361&gt;=$C$9,361&lt;=$E$9),1,0)</f>
        <v/>
      </c>
      <c r="NB35" s="85">
        <f>IF(AND(362&gt;=$C$9,362&lt;=$E$9),1,0)</f>
        <v/>
      </c>
      <c r="NC35" s="85">
        <f>IF(AND(363&gt;=$C$9,363&lt;=$E$9),1,0)</f>
        <v/>
      </c>
      <c r="ND35" s="85">
        <f>IF(AND(364&gt;=$C$9,364&lt;=$E$9),1,0)</f>
        <v/>
      </c>
      <c r="NE35" s="85">
        <f>IF(AND(365&gt;=$C$9,365&lt;=$E$9),1,0)</f>
        <v/>
      </c>
      <c r="NF35" s="85">
        <f>IF(AND(366&gt;=$C$9,366&lt;=$E$9),1,0)</f>
        <v/>
      </c>
      <c r="NG35" s="85">
        <f>IF(AND(367&gt;=$C$9,367&lt;=$E$9),1,0)</f>
        <v/>
      </c>
      <c r="NH35" s="85">
        <f>IF(AND(368&gt;=$C$9,368&lt;=$E$9),1,0)</f>
        <v/>
      </c>
      <c r="NI35" s="85">
        <f>IF(AND(369&gt;=$C$9,369&lt;=$E$9),1,0)</f>
        <v/>
      </c>
      <c r="NJ35" s="85">
        <f>IF(AND(370&gt;=$C$9,370&lt;=$E$9),1,0)</f>
        <v/>
      </c>
      <c r="NK35" s="85">
        <f>IF(AND(371&gt;=$C$9,371&lt;=$E$9),1,0)</f>
        <v/>
      </c>
      <c r="NL35" s="85">
        <f>IF(AND(372&gt;=$C$9,372&lt;=$E$9),1,0)</f>
        <v/>
      </c>
    </row>
    <row r="36">
      <c r="B36" s="36" t="inlineStr">
        <is>
          <t>Flag: 1st Unit Delivery</t>
        </is>
      </c>
      <c r="D36" s="124" t="n"/>
      <c r="E36" s="85">
        <f>IF(AND(1&gt;=$C$10,1&lt;=$E$10),1,0)</f>
        <v/>
      </c>
      <c r="F36" s="85">
        <f>IF(AND(2&gt;=$C$10,2&lt;=$E$10),1,0)</f>
        <v/>
      </c>
      <c r="G36" s="85">
        <f>IF(AND(3&gt;=$C$10,3&lt;=$E$10),1,0)</f>
        <v/>
      </c>
      <c r="H36" s="85">
        <f>IF(AND(4&gt;=$C$10,4&lt;=$E$10),1,0)</f>
        <v/>
      </c>
      <c r="I36" s="85">
        <f>IF(AND(5&gt;=$C$10,5&lt;=$E$10),1,0)</f>
        <v/>
      </c>
      <c r="J36" s="85">
        <f>IF(AND(6&gt;=$C$10,6&lt;=$E$10),1,0)</f>
        <v/>
      </c>
      <c r="K36" s="85">
        <f>IF(AND(7&gt;=$C$10,7&lt;=$E$10),1,0)</f>
        <v/>
      </c>
      <c r="L36" s="85">
        <f>IF(AND(8&gt;=$C$10,8&lt;=$E$10),1,0)</f>
        <v/>
      </c>
      <c r="M36" s="85">
        <f>IF(AND(9&gt;=$C$10,9&lt;=$E$10),1,0)</f>
        <v/>
      </c>
      <c r="N36" s="85">
        <f>IF(AND(10&gt;=$C$10,10&lt;=$E$10),1,0)</f>
        <v/>
      </c>
      <c r="O36" s="85">
        <f>IF(AND(11&gt;=$C$10,11&lt;=$E$10),1,0)</f>
        <v/>
      </c>
      <c r="P36" s="85">
        <f>IF(AND(12&gt;=$C$10,12&lt;=$E$10),1,0)</f>
        <v/>
      </c>
      <c r="Q36" s="85">
        <f>IF(AND(13&gt;=$C$10,13&lt;=$E$10),1,0)</f>
        <v/>
      </c>
      <c r="R36" s="85">
        <f>IF(AND(14&gt;=$C$10,14&lt;=$E$10),1,0)</f>
        <v/>
      </c>
      <c r="S36" s="85">
        <f>IF(AND(15&gt;=$C$10,15&lt;=$E$10),1,0)</f>
        <v/>
      </c>
      <c r="T36" s="85">
        <f>IF(AND(16&gt;=$C$10,16&lt;=$E$10),1,0)</f>
        <v/>
      </c>
      <c r="U36" s="85">
        <f>IF(AND(17&gt;=$C$10,17&lt;=$E$10),1,0)</f>
        <v/>
      </c>
      <c r="V36" s="85">
        <f>IF(AND(18&gt;=$C$10,18&lt;=$E$10),1,0)</f>
        <v/>
      </c>
      <c r="W36" s="85">
        <f>IF(AND(19&gt;=$C$10,19&lt;=$E$10),1,0)</f>
        <v/>
      </c>
      <c r="X36" s="85">
        <f>IF(AND(20&gt;=$C$10,20&lt;=$E$10),1,0)</f>
        <v/>
      </c>
      <c r="Y36" s="85">
        <f>IF(AND(21&gt;=$C$10,21&lt;=$E$10),1,0)</f>
        <v/>
      </c>
      <c r="Z36" s="85">
        <f>IF(AND(22&gt;=$C$10,22&lt;=$E$10),1,0)</f>
        <v/>
      </c>
      <c r="AA36" s="85">
        <f>IF(AND(23&gt;=$C$10,23&lt;=$E$10),1,0)</f>
        <v/>
      </c>
      <c r="AB36" s="85">
        <f>IF(AND(24&gt;=$C$10,24&lt;=$E$10),1,0)</f>
        <v/>
      </c>
      <c r="AC36" s="85">
        <f>IF(AND(25&gt;=$C$10,25&lt;=$E$10),1,0)</f>
        <v/>
      </c>
      <c r="AD36" s="85">
        <f>IF(AND(26&gt;=$C$10,26&lt;=$E$10),1,0)</f>
        <v/>
      </c>
      <c r="AE36" s="85">
        <f>IF(AND(27&gt;=$C$10,27&lt;=$E$10),1,0)</f>
        <v/>
      </c>
      <c r="AF36" s="85">
        <f>IF(AND(28&gt;=$C$10,28&lt;=$E$10),1,0)</f>
        <v/>
      </c>
      <c r="AG36" s="85">
        <f>IF(AND(29&gt;=$C$10,29&lt;=$E$10),1,0)</f>
        <v/>
      </c>
      <c r="AH36" s="85">
        <f>IF(AND(30&gt;=$C$10,30&lt;=$E$10),1,0)</f>
        <v/>
      </c>
      <c r="AI36" s="85">
        <f>IF(AND(31&gt;=$C$10,31&lt;=$E$10),1,0)</f>
        <v/>
      </c>
      <c r="AJ36" s="85">
        <f>IF(AND(32&gt;=$C$10,32&lt;=$E$10),1,0)</f>
        <v/>
      </c>
      <c r="AK36" s="85">
        <f>IF(AND(33&gt;=$C$10,33&lt;=$E$10),1,0)</f>
        <v/>
      </c>
      <c r="AL36" s="85">
        <f>IF(AND(34&gt;=$C$10,34&lt;=$E$10),1,0)</f>
        <v/>
      </c>
      <c r="AM36" s="85">
        <f>IF(AND(35&gt;=$C$10,35&lt;=$E$10),1,0)</f>
        <v/>
      </c>
      <c r="AN36" s="85">
        <f>IF(AND(36&gt;=$C$10,36&lt;=$E$10),1,0)</f>
        <v/>
      </c>
      <c r="AO36" s="85">
        <f>IF(AND(37&gt;=$C$10,37&lt;=$E$10),1,0)</f>
        <v/>
      </c>
      <c r="AP36" s="85">
        <f>IF(AND(38&gt;=$C$10,38&lt;=$E$10),1,0)</f>
        <v/>
      </c>
      <c r="AQ36" s="85">
        <f>IF(AND(39&gt;=$C$10,39&lt;=$E$10),1,0)</f>
        <v/>
      </c>
      <c r="AR36" s="85">
        <f>IF(AND(40&gt;=$C$10,40&lt;=$E$10),1,0)</f>
        <v/>
      </c>
      <c r="AS36" s="85">
        <f>IF(AND(41&gt;=$C$10,41&lt;=$E$10),1,0)</f>
        <v/>
      </c>
      <c r="AT36" s="85">
        <f>IF(AND(42&gt;=$C$10,42&lt;=$E$10),1,0)</f>
        <v/>
      </c>
      <c r="AU36" s="85">
        <f>IF(AND(43&gt;=$C$10,43&lt;=$E$10),1,0)</f>
        <v/>
      </c>
      <c r="AV36" s="85">
        <f>IF(AND(44&gt;=$C$10,44&lt;=$E$10),1,0)</f>
        <v/>
      </c>
      <c r="AW36" s="85">
        <f>IF(AND(45&gt;=$C$10,45&lt;=$E$10),1,0)</f>
        <v/>
      </c>
      <c r="AX36" s="85">
        <f>IF(AND(46&gt;=$C$10,46&lt;=$E$10),1,0)</f>
        <v/>
      </c>
      <c r="AY36" s="85">
        <f>IF(AND(47&gt;=$C$10,47&lt;=$E$10),1,0)</f>
        <v/>
      </c>
      <c r="AZ36" s="85">
        <f>IF(AND(48&gt;=$C$10,48&lt;=$E$10),1,0)</f>
        <v/>
      </c>
      <c r="BA36" s="85">
        <f>IF(AND(49&gt;=$C$10,49&lt;=$E$10),1,0)</f>
        <v/>
      </c>
      <c r="BB36" s="85">
        <f>IF(AND(50&gt;=$C$10,50&lt;=$E$10),1,0)</f>
        <v/>
      </c>
      <c r="BC36" s="85">
        <f>IF(AND(51&gt;=$C$10,51&lt;=$E$10),1,0)</f>
        <v/>
      </c>
      <c r="BD36" s="85">
        <f>IF(AND(52&gt;=$C$10,52&lt;=$E$10),1,0)</f>
        <v/>
      </c>
      <c r="BE36" s="85">
        <f>IF(AND(53&gt;=$C$10,53&lt;=$E$10),1,0)</f>
        <v/>
      </c>
      <c r="BF36" s="85">
        <f>IF(AND(54&gt;=$C$10,54&lt;=$E$10),1,0)</f>
        <v/>
      </c>
      <c r="BG36" s="85">
        <f>IF(AND(55&gt;=$C$10,55&lt;=$E$10),1,0)</f>
        <v/>
      </c>
      <c r="BH36" s="85">
        <f>IF(AND(56&gt;=$C$10,56&lt;=$E$10),1,0)</f>
        <v/>
      </c>
      <c r="BI36" s="85">
        <f>IF(AND(57&gt;=$C$10,57&lt;=$E$10),1,0)</f>
        <v/>
      </c>
      <c r="BJ36" s="85">
        <f>IF(AND(58&gt;=$C$10,58&lt;=$E$10),1,0)</f>
        <v/>
      </c>
      <c r="BK36" s="85">
        <f>IF(AND(59&gt;=$C$10,59&lt;=$E$10),1,0)</f>
        <v/>
      </c>
      <c r="BL36" s="85">
        <f>IF(AND(60&gt;=$C$10,60&lt;=$E$10),1,0)</f>
        <v/>
      </c>
      <c r="BM36" s="85">
        <f>IF(AND(61&gt;=$C$10,61&lt;=$E$10),1,0)</f>
        <v/>
      </c>
      <c r="BN36" s="85">
        <f>IF(AND(62&gt;=$C$10,62&lt;=$E$10),1,0)</f>
        <v/>
      </c>
      <c r="BO36" s="85">
        <f>IF(AND(63&gt;=$C$10,63&lt;=$E$10),1,0)</f>
        <v/>
      </c>
      <c r="BP36" s="85">
        <f>IF(AND(64&gt;=$C$10,64&lt;=$E$10),1,0)</f>
        <v/>
      </c>
      <c r="BQ36" s="85">
        <f>IF(AND(65&gt;=$C$10,65&lt;=$E$10),1,0)</f>
        <v/>
      </c>
      <c r="BR36" s="85">
        <f>IF(AND(66&gt;=$C$10,66&lt;=$E$10),1,0)</f>
        <v/>
      </c>
      <c r="BS36" s="85">
        <f>IF(AND(67&gt;=$C$10,67&lt;=$E$10),1,0)</f>
        <v/>
      </c>
      <c r="BT36" s="85">
        <f>IF(AND(68&gt;=$C$10,68&lt;=$E$10),1,0)</f>
        <v/>
      </c>
      <c r="BU36" s="85">
        <f>IF(AND(69&gt;=$C$10,69&lt;=$E$10),1,0)</f>
        <v/>
      </c>
      <c r="BV36" s="85">
        <f>IF(AND(70&gt;=$C$10,70&lt;=$E$10),1,0)</f>
        <v/>
      </c>
      <c r="BW36" s="85">
        <f>IF(AND(71&gt;=$C$10,71&lt;=$E$10),1,0)</f>
        <v/>
      </c>
      <c r="BX36" s="85">
        <f>IF(AND(72&gt;=$C$10,72&lt;=$E$10),1,0)</f>
        <v/>
      </c>
      <c r="BY36" s="85">
        <f>IF(AND(73&gt;=$C$10,73&lt;=$E$10),1,0)</f>
        <v/>
      </c>
      <c r="BZ36" s="85">
        <f>IF(AND(74&gt;=$C$10,74&lt;=$E$10),1,0)</f>
        <v/>
      </c>
      <c r="CA36" s="85">
        <f>IF(AND(75&gt;=$C$10,75&lt;=$E$10),1,0)</f>
        <v/>
      </c>
      <c r="CB36" s="85">
        <f>IF(AND(76&gt;=$C$10,76&lt;=$E$10),1,0)</f>
        <v/>
      </c>
      <c r="CC36" s="85">
        <f>IF(AND(77&gt;=$C$10,77&lt;=$E$10),1,0)</f>
        <v/>
      </c>
      <c r="CD36" s="85">
        <f>IF(AND(78&gt;=$C$10,78&lt;=$E$10),1,0)</f>
        <v/>
      </c>
      <c r="CE36" s="85">
        <f>IF(AND(79&gt;=$C$10,79&lt;=$E$10),1,0)</f>
        <v/>
      </c>
      <c r="CF36" s="85">
        <f>IF(AND(80&gt;=$C$10,80&lt;=$E$10),1,0)</f>
        <v/>
      </c>
      <c r="CG36" s="85">
        <f>IF(AND(81&gt;=$C$10,81&lt;=$E$10),1,0)</f>
        <v/>
      </c>
      <c r="CH36" s="85">
        <f>IF(AND(82&gt;=$C$10,82&lt;=$E$10),1,0)</f>
        <v/>
      </c>
      <c r="CI36" s="85">
        <f>IF(AND(83&gt;=$C$10,83&lt;=$E$10),1,0)</f>
        <v/>
      </c>
      <c r="CJ36" s="85">
        <f>IF(AND(84&gt;=$C$10,84&lt;=$E$10),1,0)</f>
        <v/>
      </c>
      <c r="CK36" s="85">
        <f>IF(AND(85&gt;=$C$10,85&lt;=$E$10),1,0)</f>
        <v/>
      </c>
      <c r="CL36" s="85">
        <f>IF(AND(86&gt;=$C$10,86&lt;=$E$10),1,0)</f>
        <v/>
      </c>
      <c r="CM36" s="85">
        <f>IF(AND(87&gt;=$C$10,87&lt;=$E$10),1,0)</f>
        <v/>
      </c>
      <c r="CN36" s="85">
        <f>IF(AND(88&gt;=$C$10,88&lt;=$E$10),1,0)</f>
        <v/>
      </c>
      <c r="CO36" s="85">
        <f>IF(AND(89&gt;=$C$10,89&lt;=$E$10),1,0)</f>
        <v/>
      </c>
      <c r="CP36" s="85">
        <f>IF(AND(90&gt;=$C$10,90&lt;=$E$10),1,0)</f>
        <v/>
      </c>
      <c r="CQ36" s="85">
        <f>IF(AND(91&gt;=$C$10,91&lt;=$E$10),1,0)</f>
        <v/>
      </c>
      <c r="CR36" s="85">
        <f>IF(AND(92&gt;=$C$10,92&lt;=$E$10),1,0)</f>
        <v/>
      </c>
      <c r="CS36" s="85">
        <f>IF(AND(93&gt;=$C$10,93&lt;=$E$10),1,0)</f>
        <v/>
      </c>
      <c r="CT36" s="85">
        <f>IF(AND(94&gt;=$C$10,94&lt;=$E$10),1,0)</f>
        <v/>
      </c>
      <c r="CU36" s="85">
        <f>IF(AND(95&gt;=$C$10,95&lt;=$E$10),1,0)</f>
        <v/>
      </c>
      <c r="CV36" s="85">
        <f>IF(AND(96&gt;=$C$10,96&lt;=$E$10),1,0)</f>
        <v/>
      </c>
      <c r="CW36" s="85">
        <f>IF(AND(97&gt;=$C$10,97&lt;=$E$10),1,0)</f>
        <v/>
      </c>
      <c r="CX36" s="85">
        <f>IF(AND(98&gt;=$C$10,98&lt;=$E$10),1,0)</f>
        <v/>
      </c>
      <c r="CY36" s="85">
        <f>IF(AND(99&gt;=$C$10,99&lt;=$E$10),1,0)</f>
        <v/>
      </c>
      <c r="CZ36" s="85">
        <f>IF(AND(100&gt;=$C$10,100&lt;=$E$10),1,0)</f>
        <v/>
      </c>
      <c r="DA36" s="85">
        <f>IF(AND(101&gt;=$C$10,101&lt;=$E$10),1,0)</f>
        <v/>
      </c>
      <c r="DB36" s="85">
        <f>IF(AND(102&gt;=$C$10,102&lt;=$E$10),1,0)</f>
        <v/>
      </c>
      <c r="DC36" s="85">
        <f>IF(AND(103&gt;=$C$10,103&lt;=$E$10),1,0)</f>
        <v/>
      </c>
      <c r="DD36" s="85">
        <f>IF(AND(104&gt;=$C$10,104&lt;=$E$10),1,0)</f>
        <v/>
      </c>
      <c r="DE36" s="85">
        <f>IF(AND(105&gt;=$C$10,105&lt;=$E$10),1,0)</f>
        <v/>
      </c>
      <c r="DF36" s="85">
        <f>IF(AND(106&gt;=$C$10,106&lt;=$E$10),1,0)</f>
        <v/>
      </c>
      <c r="DG36" s="85">
        <f>IF(AND(107&gt;=$C$10,107&lt;=$E$10),1,0)</f>
        <v/>
      </c>
      <c r="DH36" s="85">
        <f>IF(AND(108&gt;=$C$10,108&lt;=$E$10),1,0)</f>
        <v/>
      </c>
      <c r="DI36" s="85">
        <f>IF(AND(109&gt;=$C$10,109&lt;=$E$10),1,0)</f>
        <v/>
      </c>
      <c r="DJ36" s="85">
        <f>IF(AND(110&gt;=$C$10,110&lt;=$E$10),1,0)</f>
        <v/>
      </c>
      <c r="DK36" s="85">
        <f>IF(AND(111&gt;=$C$10,111&lt;=$E$10),1,0)</f>
        <v/>
      </c>
      <c r="DL36" s="85">
        <f>IF(AND(112&gt;=$C$10,112&lt;=$E$10),1,0)</f>
        <v/>
      </c>
      <c r="DM36" s="85">
        <f>IF(AND(113&gt;=$C$10,113&lt;=$E$10),1,0)</f>
        <v/>
      </c>
      <c r="DN36" s="85">
        <f>IF(AND(114&gt;=$C$10,114&lt;=$E$10),1,0)</f>
        <v/>
      </c>
      <c r="DO36" s="85">
        <f>IF(AND(115&gt;=$C$10,115&lt;=$E$10),1,0)</f>
        <v/>
      </c>
      <c r="DP36" s="85">
        <f>IF(AND(116&gt;=$C$10,116&lt;=$E$10),1,0)</f>
        <v/>
      </c>
      <c r="DQ36" s="85">
        <f>IF(AND(117&gt;=$C$10,117&lt;=$E$10),1,0)</f>
        <v/>
      </c>
      <c r="DR36" s="85">
        <f>IF(AND(118&gt;=$C$10,118&lt;=$E$10),1,0)</f>
        <v/>
      </c>
      <c r="DS36" s="85">
        <f>IF(AND(119&gt;=$C$10,119&lt;=$E$10),1,0)</f>
        <v/>
      </c>
      <c r="DT36" s="85">
        <f>IF(AND(120&gt;=$C$10,120&lt;=$E$10),1,0)</f>
        <v/>
      </c>
      <c r="DU36" s="85">
        <f>IF(AND(121&gt;=$C$10,121&lt;=$E$10),1,0)</f>
        <v/>
      </c>
      <c r="DV36" s="85">
        <f>IF(AND(122&gt;=$C$10,122&lt;=$E$10),1,0)</f>
        <v/>
      </c>
      <c r="DW36" s="85">
        <f>IF(AND(123&gt;=$C$10,123&lt;=$E$10),1,0)</f>
        <v/>
      </c>
      <c r="DX36" s="85">
        <f>IF(AND(124&gt;=$C$10,124&lt;=$E$10),1,0)</f>
        <v/>
      </c>
      <c r="DY36" s="85">
        <f>IF(AND(125&gt;=$C$10,125&lt;=$E$10),1,0)</f>
        <v/>
      </c>
      <c r="DZ36" s="85">
        <f>IF(AND(126&gt;=$C$10,126&lt;=$E$10),1,0)</f>
        <v/>
      </c>
      <c r="EA36" s="85">
        <f>IF(AND(127&gt;=$C$10,127&lt;=$E$10),1,0)</f>
        <v/>
      </c>
      <c r="EB36" s="85">
        <f>IF(AND(128&gt;=$C$10,128&lt;=$E$10),1,0)</f>
        <v/>
      </c>
      <c r="EC36" s="85">
        <f>IF(AND(129&gt;=$C$10,129&lt;=$E$10),1,0)</f>
        <v/>
      </c>
      <c r="ED36" s="85">
        <f>IF(AND(130&gt;=$C$10,130&lt;=$E$10),1,0)</f>
        <v/>
      </c>
      <c r="EE36" s="85">
        <f>IF(AND(131&gt;=$C$10,131&lt;=$E$10),1,0)</f>
        <v/>
      </c>
      <c r="EF36" s="85">
        <f>IF(AND(132&gt;=$C$10,132&lt;=$E$10),1,0)</f>
        <v/>
      </c>
      <c r="EG36" s="85">
        <f>IF(AND(133&gt;=$C$10,133&lt;=$E$10),1,0)</f>
        <v/>
      </c>
      <c r="EH36" s="85">
        <f>IF(AND(134&gt;=$C$10,134&lt;=$E$10),1,0)</f>
        <v/>
      </c>
      <c r="EI36" s="85">
        <f>IF(AND(135&gt;=$C$10,135&lt;=$E$10),1,0)</f>
        <v/>
      </c>
      <c r="EJ36" s="85">
        <f>IF(AND(136&gt;=$C$10,136&lt;=$E$10),1,0)</f>
        <v/>
      </c>
      <c r="EK36" s="85">
        <f>IF(AND(137&gt;=$C$10,137&lt;=$E$10),1,0)</f>
        <v/>
      </c>
      <c r="EL36" s="85">
        <f>IF(AND(138&gt;=$C$10,138&lt;=$E$10),1,0)</f>
        <v/>
      </c>
      <c r="EM36" s="85">
        <f>IF(AND(139&gt;=$C$10,139&lt;=$E$10),1,0)</f>
        <v/>
      </c>
      <c r="EN36" s="85">
        <f>IF(AND(140&gt;=$C$10,140&lt;=$E$10),1,0)</f>
        <v/>
      </c>
      <c r="EO36" s="85">
        <f>IF(AND(141&gt;=$C$10,141&lt;=$E$10),1,0)</f>
        <v/>
      </c>
      <c r="EP36" s="85">
        <f>IF(AND(142&gt;=$C$10,142&lt;=$E$10),1,0)</f>
        <v/>
      </c>
      <c r="EQ36" s="85">
        <f>IF(AND(143&gt;=$C$10,143&lt;=$E$10),1,0)</f>
        <v/>
      </c>
      <c r="ER36" s="85">
        <f>IF(AND(144&gt;=$C$10,144&lt;=$E$10),1,0)</f>
        <v/>
      </c>
      <c r="ES36" s="85">
        <f>IF(AND(145&gt;=$C$10,145&lt;=$E$10),1,0)</f>
        <v/>
      </c>
      <c r="ET36" s="85">
        <f>IF(AND(146&gt;=$C$10,146&lt;=$E$10),1,0)</f>
        <v/>
      </c>
      <c r="EU36" s="85">
        <f>IF(AND(147&gt;=$C$10,147&lt;=$E$10),1,0)</f>
        <v/>
      </c>
      <c r="EV36" s="85">
        <f>IF(AND(148&gt;=$C$10,148&lt;=$E$10),1,0)</f>
        <v/>
      </c>
      <c r="EW36" s="85">
        <f>IF(AND(149&gt;=$C$10,149&lt;=$E$10),1,0)</f>
        <v/>
      </c>
      <c r="EX36" s="85">
        <f>IF(AND(150&gt;=$C$10,150&lt;=$E$10),1,0)</f>
        <v/>
      </c>
      <c r="EY36" s="85">
        <f>IF(AND(151&gt;=$C$10,151&lt;=$E$10),1,0)</f>
        <v/>
      </c>
      <c r="EZ36" s="85">
        <f>IF(AND(152&gt;=$C$10,152&lt;=$E$10),1,0)</f>
        <v/>
      </c>
      <c r="FA36" s="85">
        <f>IF(AND(153&gt;=$C$10,153&lt;=$E$10),1,0)</f>
        <v/>
      </c>
      <c r="FB36" s="85">
        <f>IF(AND(154&gt;=$C$10,154&lt;=$E$10),1,0)</f>
        <v/>
      </c>
      <c r="FC36" s="85">
        <f>IF(AND(155&gt;=$C$10,155&lt;=$E$10),1,0)</f>
        <v/>
      </c>
      <c r="FD36" s="85">
        <f>IF(AND(156&gt;=$C$10,156&lt;=$E$10),1,0)</f>
        <v/>
      </c>
      <c r="FE36" s="85">
        <f>IF(AND(157&gt;=$C$10,157&lt;=$E$10),1,0)</f>
        <v/>
      </c>
      <c r="FF36" s="85">
        <f>IF(AND(158&gt;=$C$10,158&lt;=$E$10),1,0)</f>
        <v/>
      </c>
      <c r="FG36" s="85">
        <f>IF(AND(159&gt;=$C$10,159&lt;=$E$10),1,0)</f>
        <v/>
      </c>
      <c r="FH36" s="85">
        <f>IF(AND(160&gt;=$C$10,160&lt;=$E$10),1,0)</f>
        <v/>
      </c>
      <c r="FI36" s="85">
        <f>IF(AND(161&gt;=$C$10,161&lt;=$E$10),1,0)</f>
        <v/>
      </c>
      <c r="FJ36" s="85">
        <f>IF(AND(162&gt;=$C$10,162&lt;=$E$10),1,0)</f>
        <v/>
      </c>
      <c r="FK36" s="85">
        <f>IF(AND(163&gt;=$C$10,163&lt;=$E$10),1,0)</f>
        <v/>
      </c>
      <c r="FL36" s="85">
        <f>IF(AND(164&gt;=$C$10,164&lt;=$E$10),1,0)</f>
        <v/>
      </c>
      <c r="FM36" s="85">
        <f>IF(AND(165&gt;=$C$10,165&lt;=$E$10),1,0)</f>
        <v/>
      </c>
      <c r="FN36" s="85">
        <f>IF(AND(166&gt;=$C$10,166&lt;=$E$10),1,0)</f>
        <v/>
      </c>
      <c r="FO36" s="85">
        <f>IF(AND(167&gt;=$C$10,167&lt;=$E$10),1,0)</f>
        <v/>
      </c>
      <c r="FP36" s="85">
        <f>IF(AND(168&gt;=$C$10,168&lt;=$E$10),1,0)</f>
        <v/>
      </c>
      <c r="FQ36" s="85">
        <f>IF(AND(169&gt;=$C$10,169&lt;=$E$10),1,0)</f>
        <v/>
      </c>
      <c r="FR36" s="85">
        <f>IF(AND(170&gt;=$C$10,170&lt;=$E$10),1,0)</f>
        <v/>
      </c>
      <c r="FS36" s="85">
        <f>IF(AND(171&gt;=$C$10,171&lt;=$E$10),1,0)</f>
        <v/>
      </c>
      <c r="FT36" s="85">
        <f>IF(AND(172&gt;=$C$10,172&lt;=$E$10),1,0)</f>
        <v/>
      </c>
      <c r="FU36" s="85">
        <f>IF(AND(173&gt;=$C$10,173&lt;=$E$10),1,0)</f>
        <v/>
      </c>
      <c r="FV36" s="85">
        <f>IF(AND(174&gt;=$C$10,174&lt;=$E$10),1,0)</f>
        <v/>
      </c>
      <c r="FW36" s="85">
        <f>IF(AND(175&gt;=$C$10,175&lt;=$E$10),1,0)</f>
        <v/>
      </c>
      <c r="FX36" s="85">
        <f>IF(AND(176&gt;=$C$10,176&lt;=$E$10),1,0)</f>
        <v/>
      </c>
      <c r="FY36" s="85">
        <f>IF(AND(177&gt;=$C$10,177&lt;=$E$10),1,0)</f>
        <v/>
      </c>
      <c r="FZ36" s="85">
        <f>IF(AND(178&gt;=$C$10,178&lt;=$E$10),1,0)</f>
        <v/>
      </c>
      <c r="GA36" s="85">
        <f>IF(AND(179&gt;=$C$10,179&lt;=$E$10),1,0)</f>
        <v/>
      </c>
      <c r="GB36" s="85">
        <f>IF(AND(180&gt;=$C$10,180&lt;=$E$10),1,0)</f>
        <v/>
      </c>
      <c r="GC36" s="85">
        <f>IF(AND(181&gt;=$C$10,181&lt;=$E$10),1,0)</f>
        <v/>
      </c>
      <c r="GD36" s="85">
        <f>IF(AND(182&gt;=$C$10,182&lt;=$E$10),1,0)</f>
        <v/>
      </c>
      <c r="GE36" s="85">
        <f>IF(AND(183&gt;=$C$10,183&lt;=$E$10),1,0)</f>
        <v/>
      </c>
      <c r="GF36" s="85">
        <f>IF(AND(184&gt;=$C$10,184&lt;=$E$10),1,0)</f>
        <v/>
      </c>
      <c r="GG36" s="85">
        <f>IF(AND(185&gt;=$C$10,185&lt;=$E$10),1,0)</f>
        <v/>
      </c>
      <c r="GH36" s="85">
        <f>IF(AND(186&gt;=$C$10,186&lt;=$E$10),1,0)</f>
        <v/>
      </c>
      <c r="GI36" s="85">
        <f>IF(AND(187&gt;=$C$10,187&lt;=$E$10),1,0)</f>
        <v/>
      </c>
      <c r="GJ36" s="85">
        <f>IF(AND(188&gt;=$C$10,188&lt;=$E$10),1,0)</f>
        <v/>
      </c>
      <c r="GK36" s="85">
        <f>IF(AND(189&gt;=$C$10,189&lt;=$E$10),1,0)</f>
        <v/>
      </c>
      <c r="GL36" s="85">
        <f>IF(AND(190&gt;=$C$10,190&lt;=$E$10),1,0)</f>
        <v/>
      </c>
      <c r="GM36" s="85">
        <f>IF(AND(191&gt;=$C$10,191&lt;=$E$10),1,0)</f>
        <v/>
      </c>
      <c r="GN36" s="85">
        <f>IF(AND(192&gt;=$C$10,192&lt;=$E$10),1,0)</f>
        <v/>
      </c>
      <c r="GO36" s="85">
        <f>IF(AND(193&gt;=$C$10,193&lt;=$E$10),1,0)</f>
        <v/>
      </c>
      <c r="GP36" s="85">
        <f>IF(AND(194&gt;=$C$10,194&lt;=$E$10),1,0)</f>
        <v/>
      </c>
      <c r="GQ36" s="85">
        <f>IF(AND(195&gt;=$C$10,195&lt;=$E$10),1,0)</f>
        <v/>
      </c>
      <c r="GR36" s="85">
        <f>IF(AND(196&gt;=$C$10,196&lt;=$E$10),1,0)</f>
        <v/>
      </c>
      <c r="GS36" s="85">
        <f>IF(AND(197&gt;=$C$10,197&lt;=$E$10),1,0)</f>
        <v/>
      </c>
      <c r="GT36" s="85">
        <f>IF(AND(198&gt;=$C$10,198&lt;=$E$10),1,0)</f>
        <v/>
      </c>
      <c r="GU36" s="85">
        <f>IF(AND(199&gt;=$C$10,199&lt;=$E$10),1,0)</f>
        <v/>
      </c>
      <c r="GV36" s="85">
        <f>IF(AND(200&gt;=$C$10,200&lt;=$E$10),1,0)</f>
        <v/>
      </c>
      <c r="GW36" s="85">
        <f>IF(AND(201&gt;=$C$10,201&lt;=$E$10),1,0)</f>
        <v/>
      </c>
      <c r="GX36" s="85">
        <f>IF(AND(202&gt;=$C$10,202&lt;=$E$10),1,0)</f>
        <v/>
      </c>
      <c r="GY36" s="85">
        <f>IF(AND(203&gt;=$C$10,203&lt;=$E$10),1,0)</f>
        <v/>
      </c>
      <c r="GZ36" s="85">
        <f>IF(AND(204&gt;=$C$10,204&lt;=$E$10),1,0)</f>
        <v/>
      </c>
      <c r="HA36" s="85">
        <f>IF(AND(205&gt;=$C$10,205&lt;=$E$10),1,0)</f>
        <v/>
      </c>
      <c r="HB36" s="85">
        <f>IF(AND(206&gt;=$C$10,206&lt;=$E$10),1,0)</f>
        <v/>
      </c>
      <c r="HC36" s="85">
        <f>IF(AND(207&gt;=$C$10,207&lt;=$E$10),1,0)</f>
        <v/>
      </c>
      <c r="HD36" s="85">
        <f>IF(AND(208&gt;=$C$10,208&lt;=$E$10),1,0)</f>
        <v/>
      </c>
      <c r="HE36" s="85">
        <f>IF(AND(209&gt;=$C$10,209&lt;=$E$10),1,0)</f>
        <v/>
      </c>
      <c r="HF36" s="85">
        <f>IF(AND(210&gt;=$C$10,210&lt;=$E$10),1,0)</f>
        <v/>
      </c>
      <c r="HG36" s="85">
        <f>IF(AND(211&gt;=$C$10,211&lt;=$E$10),1,0)</f>
        <v/>
      </c>
      <c r="HH36" s="85">
        <f>IF(AND(212&gt;=$C$10,212&lt;=$E$10),1,0)</f>
        <v/>
      </c>
      <c r="HI36" s="85">
        <f>IF(AND(213&gt;=$C$10,213&lt;=$E$10),1,0)</f>
        <v/>
      </c>
      <c r="HJ36" s="85">
        <f>IF(AND(214&gt;=$C$10,214&lt;=$E$10),1,0)</f>
        <v/>
      </c>
      <c r="HK36" s="85">
        <f>IF(AND(215&gt;=$C$10,215&lt;=$E$10),1,0)</f>
        <v/>
      </c>
      <c r="HL36" s="85">
        <f>IF(AND(216&gt;=$C$10,216&lt;=$E$10),1,0)</f>
        <v/>
      </c>
      <c r="HM36" s="85">
        <f>IF(AND(217&gt;=$C$10,217&lt;=$E$10),1,0)</f>
        <v/>
      </c>
      <c r="HN36" s="85">
        <f>IF(AND(218&gt;=$C$10,218&lt;=$E$10),1,0)</f>
        <v/>
      </c>
      <c r="HO36" s="85">
        <f>IF(AND(219&gt;=$C$10,219&lt;=$E$10),1,0)</f>
        <v/>
      </c>
      <c r="HP36" s="85">
        <f>IF(AND(220&gt;=$C$10,220&lt;=$E$10),1,0)</f>
        <v/>
      </c>
      <c r="HQ36" s="85">
        <f>IF(AND(221&gt;=$C$10,221&lt;=$E$10),1,0)</f>
        <v/>
      </c>
      <c r="HR36" s="85">
        <f>IF(AND(222&gt;=$C$10,222&lt;=$E$10),1,0)</f>
        <v/>
      </c>
      <c r="HS36" s="85">
        <f>IF(AND(223&gt;=$C$10,223&lt;=$E$10),1,0)</f>
        <v/>
      </c>
      <c r="HT36" s="85">
        <f>IF(AND(224&gt;=$C$10,224&lt;=$E$10),1,0)</f>
        <v/>
      </c>
      <c r="HU36" s="85">
        <f>IF(AND(225&gt;=$C$10,225&lt;=$E$10),1,0)</f>
        <v/>
      </c>
      <c r="HV36" s="85">
        <f>IF(AND(226&gt;=$C$10,226&lt;=$E$10),1,0)</f>
        <v/>
      </c>
      <c r="HW36" s="85">
        <f>IF(AND(227&gt;=$C$10,227&lt;=$E$10),1,0)</f>
        <v/>
      </c>
      <c r="HX36" s="85">
        <f>IF(AND(228&gt;=$C$10,228&lt;=$E$10),1,0)</f>
        <v/>
      </c>
      <c r="HY36" s="85">
        <f>IF(AND(229&gt;=$C$10,229&lt;=$E$10),1,0)</f>
        <v/>
      </c>
      <c r="HZ36" s="85">
        <f>IF(AND(230&gt;=$C$10,230&lt;=$E$10),1,0)</f>
        <v/>
      </c>
      <c r="IA36" s="85">
        <f>IF(AND(231&gt;=$C$10,231&lt;=$E$10),1,0)</f>
        <v/>
      </c>
      <c r="IB36" s="85">
        <f>IF(AND(232&gt;=$C$10,232&lt;=$E$10),1,0)</f>
        <v/>
      </c>
      <c r="IC36" s="85">
        <f>IF(AND(233&gt;=$C$10,233&lt;=$E$10),1,0)</f>
        <v/>
      </c>
      <c r="ID36" s="85">
        <f>IF(AND(234&gt;=$C$10,234&lt;=$E$10),1,0)</f>
        <v/>
      </c>
      <c r="IE36" s="85">
        <f>IF(AND(235&gt;=$C$10,235&lt;=$E$10),1,0)</f>
        <v/>
      </c>
      <c r="IF36" s="85">
        <f>IF(AND(236&gt;=$C$10,236&lt;=$E$10),1,0)</f>
        <v/>
      </c>
      <c r="IG36" s="85">
        <f>IF(AND(237&gt;=$C$10,237&lt;=$E$10),1,0)</f>
        <v/>
      </c>
      <c r="IH36" s="85">
        <f>IF(AND(238&gt;=$C$10,238&lt;=$E$10),1,0)</f>
        <v/>
      </c>
      <c r="II36" s="85">
        <f>IF(AND(239&gt;=$C$10,239&lt;=$E$10),1,0)</f>
        <v/>
      </c>
      <c r="IJ36" s="85">
        <f>IF(AND(240&gt;=$C$10,240&lt;=$E$10),1,0)</f>
        <v/>
      </c>
      <c r="IK36" s="85">
        <f>IF(AND(241&gt;=$C$10,241&lt;=$E$10),1,0)</f>
        <v/>
      </c>
      <c r="IL36" s="85">
        <f>IF(AND(242&gt;=$C$10,242&lt;=$E$10),1,0)</f>
        <v/>
      </c>
      <c r="IM36" s="85">
        <f>IF(AND(243&gt;=$C$10,243&lt;=$E$10),1,0)</f>
        <v/>
      </c>
      <c r="IN36" s="85">
        <f>IF(AND(244&gt;=$C$10,244&lt;=$E$10),1,0)</f>
        <v/>
      </c>
      <c r="IO36" s="85">
        <f>IF(AND(245&gt;=$C$10,245&lt;=$E$10),1,0)</f>
        <v/>
      </c>
      <c r="IP36" s="85">
        <f>IF(AND(246&gt;=$C$10,246&lt;=$E$10),1,0)</f>
        <v/>
      </c>
      <c r="IQ36" s="85">
        <f>IF(AND(247&gt;=$C$10,247&lt;=$E$10),1,0)</f>
        <v/>
      </c>
      <c r="IR36" s="85">
        <f>IF(AND(248&gt;=$C$10,248&lt;=$E$10),1,0)</f>
        <v/>
      </c>
      <c r="IS36" s="85">
        <f>IF(AND(249&gt;=$C$10,249&lt;=$E$10),1,0)</f>
        <v/>
      </c>
      <c r="IT36" s="85">
        <f>IF(AND(250&gt;=$C$10,250&lt;=$E$10),1,0)</f>
        <v/>
      </c>
      <c r="IU36" s="85">
        <f>IF(AND(251&gt;=$C$10,251&lt;=$E$10),1,0)</f>
        <v/>
      </c>
      <c r="IV36" s="85">
        <f>IF(AND(252&gt;=$C$10,252&lt;=$E$10),1,0)</f>
        <v/>
      </c>
      <c r="IW36" s="85">
        <f>IF(AND(253&gt;=$C$10,253&lt;=$E$10),1,0)</f>
        <v/>
      </c>
      <c r="IX36" s="85">
        <f>IF(AND(254&gt;=$C$10,254&lt;=$E$10),1,0)</f>
        <v/>
      </c>
      <c r="IY36" s="85">
        <f>IF(AND(255&gt;=$C$10,255&lt;=$E$10),1,0)</f>
        <v/>
      </c>
      <c r="IZ36" s="85">
        <f>IF(AND(256&gt;=$C$10,256&lt;=$E$10),1,0)</f>
        <v/>
      </c>
      <c r="JA36" s="85">
        <f>IF(AND(257&gt;=$C$10,257&lt;=$E$10),1,0)</f>
        <v/>
      </c>
      <c r="JB36" s="85">
        <f>IF(AND(258&gt;=$C$10,258&lt;=$E$10),1,0)</f>
        <v/>
      </c>
      <c r="JC36" s="85">
        <f>IF(AND(259&gt;=$C$10,259&lt;=$E$10),1,0)</f>
        <v/>
      </c>
      <c r="JD36" s="85">
        <f>IF(AND(260&gt;=$C$10,260&lt;=$E$10),1,0)</f>
        <v/>
      </c>
      <c r="JE36" s="85">
        <f>IF(AND(261&gt;=$C$10,261&lt;=$E$10),1,0)</f>
        <v/>
      </c>
      <c r="JF36" s="85">
        <f>IF(AND(262&gt;=$C$10,262&lt;=$E$10),1,0)</f>
        <v/>
      </c>
      <c r="JG36" s="85">
        <f>IF(AND(263&gt;=$C$10,263&lt;=$E$10),1,0)</f>
        <v/>
      </c>
      <c r="JH36" s="85">
        <f>IF(AND(264&gt;=$C$10,264&lt;=$E$10),1,0)</f>
        <v/>
      </c>
      <c r="JI36" s="85">
        <f>IF(AND(265&gt;=$C$10,265&lt;=$E$10),1,0)</f>
        <v/>
      </c>
      <c r="JJ36" s="85">
        <f>IF(AND(266&gt;=$C$10,266&lt;=$E$10),1,0)</f>
        <v/>
      </c>
      <c r="JK36" s="85">
        <f>IF(AND(267&gt;=$C$10,267&lt;=$E$10),1,0)</f>
        <v/>
      </c>
      <c r="JL36" s="85">
        <f>IF(AND(268&gt;=$C$10,268&lt;=$E$10),1,0)</f>
        <v/>
      </c>
      <c r="JM36" s="85">
        <f>IF(AND(269&gt;=$C$10,269&lt;=$E$10),1,0)</f>
        <v/>
      </c>
      <c r="JN36" s="85">
        <f>IF(AND(270&gt;=$C$10,270&lt;=$E$10),1,0)</f>
        <v/>
      </c>
      <c r="JO36" s="85">
        <f>IF(AND(271&gt;=$C$10,271&lt;=$E$10),1,0)</f>
        <v/>
      </c>
      <c r="JP36" s="85">
        <f>IF(AND(272&gt;=$C$10,272&lt;=$E$10),1,0)</f>
        <v/>
      </c>
      <c r="JQ36" s="85">
        <f>IF(AND(273&gt;=$C$10,273&lt;=$E$10),1,0)</f>
        <v/>
      </c>
      <c r="JR36" s="85">
        <f>IF(AND(274&gt;=$C$10,274&lt;=$E$10),1,0)</f>
        <v/>
      </c>
      <c r="JS36" s="85">
        <f>IF(AND(275&gt;=$C$10,275&lt;=$E$10),1,0)</f>
        <v/>
      </c>
      <c r="JT36" s="85">
        <f>IF(AND(276&gt;=$C$10,276&lt;=$E$10),1,0)</f>
        <v/>
      </c>
      <c r="JU36" s="85">
        <f>IF(AND(277&gt;=$C$10,277&lt;=$E$10),1,0)</f>
        <v/>
      </c>
      <c r="JV36" s="85">
        <f>IF(AND(278&gt;=$C$10,278&lt;=$E$10),1,0)</f>
        <v/>
      </c>
      <c r="JW36" s="85">
        <f>IF(AND(279&gt;=$C$10,279&lt;=$E$10),1,0)</f>
        <v/>
      </c>
      <c r="JX36" s="85">
        <f>IF(AND(280&gt;=$C$10,280&lt;=$E$10),1,0)</f>
        <v/>
      </c>
      <c r="JY36" s="85">
        <f>IF(AND(281&gt;=$C$10,281&lt;=$E$10),1,0)</f>
        <v/>
      </c>
      <c r="JZ36" s="85">
        <f>IF(AND(282&gt;=$C$10,282&lt;=$E$10),1,0)</f>
        <v/>
      </c>
      <c r="KA36" s="85">
        <f>IF(AND(283&gt;=$C$10,283&lt;=$E$10),1,0)</f>
        <v/>
      </c>
      <c r="KB36" s="85">
        <f>IF(AND(284&gt;=$C$10,284&lt;=$E$10),1,0)</f>
        <v/>
      </c>
      <c r="KC36" s="85">
        <f>IF(AND(285&gt;=$C$10,285&lt;=$E$10),1,0)</f>
        <v/>
      </c>
      <c r="KD36" s="85">
        <f>IF(AND(286&gt;=$C$10,286&lt;=$E$10),1,0)</f>
        <v/>
      </c>
      <c r="KE36" s="85">
        <f>IF(AND(287&gt;=$C$10,287&lt;=$E$10),1,0)</f>
        <v/>
      </c>
      <c r="KF36" s="85">
        <f>IF(AND(288&gt;=$C$10,288&lt;=$E$10),1,0)</f>
        <v/>
      </c>
      <c r="KG36" s="85">
        <f>IF(AND(289&gt;=$C$10,289&lt;=$E$10),1,0)</f>
        <v/>
      </c>
      <c r="KH36" s="85">
        <f>IF(AND(290&gt;=$C$10,290&lt;=$E$10),1,0)</f>
        <v/>
      </c>
      <c r="KI36" s="85">
        <f>IF(AND(291&gt;=$C$10,291&lt;=$E$10),1,0)</f>
        <v/>
      </c>
      <c r="KJ36" s="85">
        <f>IF(AND(292&gt;=$C$10,292&lt;=$E$10),1,0)</f>
        <v/>
      </c>
      <c r="KK36" s="85">
        <f>IF(AND(293&gt;=$C$10,293&lt;=$E$10),1,0)</f>
        <v/>
      </c>
      <c r="KL36" s="85">
        <f>IF(AND(294&gt;=$C$10,294&lt;=$E$10),1,0)</f>
        <v/>
      </c>
      <c r="KM36" s="85">
        <f>IF(AND(295&gt;=$C$10,295&lt;=$E$10),1,0)</f>
        <v/>
      </c>
      <c r="KN36" s="85">
        <f>IF(AND(296&gt;=$C$10,296&lt;=$E$10),1,0)</f>
        <v/>
      </c>
      <c r="KO36" s="85">
        <f>IF(AND(297&gt;=$C$10,297&lt;=$E$10),1,0)</f>
        <v/>
      </c>
      <c r="KP36" s="85">
        <f>IF(AND(298&gt;=$C$10,298&lt;=$E$10),1,0)</f>
        <v/>
      </c>
      <c r="KQ36" s="85">
        <f>IF(AND(299&gt;=$C$10,299&lt;=$E$10),1,0)</f>
        <v/>
      </c>
      <c r="KR36" s="85">
        <f>IF(AND(300&gt;=$C$10,300&lt;=$E$10),1,0)</f>
        <v/>
      </c>
      <c r="KS36" s="85">
        <f>IF(AND(301&gt;=$C$10,301&lt;=$E$10),1,0)</f>
        <v/>
      </c>
      <c r="KT36" s="85">
        <f>IF(AND(302&gt;=$C$10,302&lt;=$E$10),1,0)</f>
        <v/>
      </c>
      <c r="KU36" s="85">
        <f>IF(AND(303&gt;=$C$10,303&lt;=$E$10),1,0)</f>
        <v/>
      </c>
      <c r="KV36" s="85">
        <f>IF(AND(304&gt;=$C$10,304&lt;=$E$10),1,0)</f>
        <v/>
      </c>
      <c r="KW36" s="85">
        <f>IF(AND(305&gt;=$C$10,305&lt;=$E$10),1,0)</f>
        <v/>
      </c>
      <c r="KX36" s="85">
        <f>IF(AND(306&gt;=$C$10,306&lt;=$E$10),1,0)</f>
        <v/>
      </c>
      <c r="KY36" s="85">
        <f>IF(AND(307&gt;=$C$10,307&lt;=$E$10),1,0)</f>
        <v/>
      </c>
      <c r="KZ36" s="85">
        <f>IF(AND(308&gt;=$C$10,308&lt;=$E$10),1,0)</f>
        <v/>
      </c>
      <c r="LA36" s="85">
        <f>IF(AND(309&gt;=$C$10,309&lt;=$E$10),1,0)</f>
        <v/>
      </c>
      <c r="LB36" s="85">
        <f>IF(AND(310&gt;=$C$10,310&lt;=$E$10),1,0)</f>
        <v/>
      </c>
      <c r="LC36" s="85">
        <f>IF(AND(311&gt;=$C$10,311&lt;=$E$10),1,0)</f>
        <v/>
      </c>
      <c r="LD36" s="85">
        <f>IF(AND(312&gt;=$C$10,312&lt;=$E$10),1,0)</f>
        <v/>
      </c>
      <c r="LE36" s="85">
        <f>IF(AND(313&gt;=$C$10,313&lt;=$E$10),1,0)</f>
        <v/>
      </c>
      <c r="LF36" s="85">
        <f>IF(AND(314&gt;=$C$10,314&lt;=$E$10),1,0)</f>
        <v/>
      </c>
      <c r="LG36" s="85">
        <f>IF(AND(315&gt;=$C$10,315&lt;=$E$10),1,0)</f>
        <v/>
      </c>
      <c r="LH36" s="85">
        <f>IF(AND(316&gt;=$C$10,316&lt;=$E$10),1,0)</f>
        <v/>
      </c>
      <c r="LI36" s="85">
        <f>IF(AND(317&gt;=$C$10,317&lt;=$E$10),1,0)</f>
        <v/>
      </c>
      <c r="LJ36" s="85">
        <f>IF(AND(318&gt;=$C$10,318&lt;=$E$10),1,0)</f>
        <v/>
      </c>
      <c r="LK36" s="85">
        <f>IF(AND(319&gt;=$C$10,319&lt;=$E$10),1,0)</f>
        <v/>
      </c>
      <c r="LL36" s="85">
        <f>IF(AND(320&gt;=$C$10,320&lt;=$E$10),1,0)</f>
        <v/>
      </c>
      <c r="LM36" s="85">
        <f>IF(AND(321&gt;=$C$10,321&lt;=$E$10),1,0)</f>
        <v/>
      </c>
      <c r="LN36" s="85">
        <f>IF(AND(322&gt;=$C$10,322&lt;=$E$10),1,0)</f>
        <v/>
      </c>
      <c r="LO36" s="85">
        <f>IF(AND(323&gt;=$C$10,323&lt;=$E$10),1,0)</f>
        <v/>
      </c>
      <c r="LP36" s="85">
        <f>IF(AND(324&gt;=$C$10,324&lt;=$E$10),1,0)</f>
        <v/>
      </c>
      <c r="LQ36" s="85">
        <f>IF(AND(325&gt;=$C$10,325&lt;=$E$10),1,0)</f>
        <v/>
      </c>
      <c r="LR36" s="85">
        <f>IF(AND(326&gt;=$C$10,326&lt;=$E$10),1,0)</f>
        <v/>
      </c>
      <c r="LS36" s="85">
        <f>IF(AND(327&gt;=$C$10,327&lt;=$E$10),1,0)</f>
        <v/>
      </c>
      <c r="LT36" s="85">
        <f>IF(AND(328&gt;=$C$10,328&lt;=$E$10),1,0)</f>
        <v/>
      </c>
      <c r="LU36" s="85">
        <f>IF(AND(329&gt;=$C$10,329&lt;=$E$10),1,0)</f>
        <v/>
      </c>
      <c r="LV36" s="85">
        <f>IF(AND(330&gt;=$C$10,330&lt;=$E$10),1,0)</f>
        <v/>
      </c>
      <c r="LW36" s="85">
        <f>IF(AND(331&gt;=$C$10,331&lt;=$E$10),1,0)</f>
        <v/>
      </c>
      <c r="LX36" s="85">
        <f>IF(AND(332&gt;=$C$10,332&lt;=$E$10),1,0)</f>
        <v/>
      </c>
      <c r="LY36" s="85">
        <f>IF(AND(333&gt;=$C$10,333&lt;=$E$10),1,0)</f>
        <v/>
      </c>
      <c r="LZ36" s="85">
        <f>IF(AND(334&gt;=$C$10,334&lt;=$E$10),1,0)</f>
        <v/>
      </c>
      <c r="MA36" s="85">
        <f>IF(AND(335&gt;=$C$10,335&lt;=$E$10),1,0)</f>
        <v/>
      </c>
      <c r="MB36" s="85">
        <f>IF(AND(336&gt;=$C$10,336&lt;=$E$10),1,0)</f>
        <v/>
      </c>
      <c r="MC36" s="85">
        <f>IF(AND(337&gt;=$C$10,337&lt;=$E$10),1,0)</f>
        <v/>
      </c>
      <c r="MD36" s="85">
        <f>IF(AND(338&gt;=$C$10,338&lt;=$E$10),1,0)</f>
        <v/>
      </c>
      <c r="ME36" s="85">
        <f>IF(AND(339&gt;=$C$10,339&lt;=$E$10),1,0)</f>
        <v/>
      </c>
      <c r="MF36" s="85">
        <f>IF(AND(340&gt;=$C$10,340&lt;=$E$10),1,0)</f>
        <v/>
      </c>
      <c r="MG36" s="85">
        <f>IF(AND(341&gt;=$C$10,341&lt;=$E$10),1,0)</f>
        <v/>
      </c>
      <c r="MH36" s="85">
        <f>IF(AND(342&gt;=$C$10,342&lt;=$E$10),1,0)</f>
        <v/>
      </c>
      <c r="MI36" s="85">
        <f>IF(AND(343&gt;=$C$10,343&lt;=$E$10),1,0)</f>
        <v/>
      </c>
      <c r="MJ36" s="85">
        <f>IF(AND(344&gt;=$C$10,344&lt;=$E$10),1,0)</f>
        <v/>
      </c>
      <c r="MK36" s="85">
        <f>IF(AND(345&gt;=$C$10,345&lt;=$E$10),1,0)</f>
        <v/>
      </c>
      <c r="ML36" s="85">
        <f>IF(AND(346&gt;=$C$10,346&lt;=$E$10),1,0)</f>
        <v/>
      </c>
      <c r="MM36" s="85">
        <f>IF(AND(347&gt;=$C$10,347&lt;=$E$10),1,0)</f>
        <v/>
      </c>
      <c r="MN36" s="85">
        <f>IF(AND(348&gt;=$C$10,348&lt;=$E$10),1,0)</f>
        <v/>
      </c>
      <c r="MO36" s="85">
        <f>IF(AND(349&gt;=$C$10,349&lt;=$E$10),1,0)</f>
        <v/>
      </c>
      <c r="MP36" s="85">
        <f>IF(AND(350&gt;=$C$10,350&lt;=$E$10),1,0)</f>
        <v/>
      </c>
      <c r="MQ36" s="85">
        <f>IF(AND(351&gt;=$C$10,351&lt;=$E$10),1,0)</f>
        <v/>
      </c>
      <c r="MR36" s="85">
        <f>IF(AND(352&gt;=$C$10,352&lt;=$E$10),1,0)</f>
        <v/>
      </c>
      <c r="MS36" s="85">
        <f>IF(AND(353&gt;=$C$10,353&lt;=$E$10),1,0)</f>
        <v/>
      </c>
      <c r="MT36" s="85">
        <f>IF(AND(354&gt;=$C$10,354&lt;=$E$10),1,0)</f>
        <v/>
      </c>
      <c r="MU36" s="85">
        <f>IF(AND(355&gt;=$C$10,355&lt;=$E$10),1,0)</f>
        <v/>
      </c>
      <c r="MV36" s="85">
        <f>IF(AND(356&gt;=$C$10,356&lt;=$E$10),1,0)</f>
        <v/>
      </c>
      <c r="MW36" s="85">
        <f>IF(AND(357&gt;=$C$10,357&lt;=$E$10),1,0)</f>
        <v/>
      </c>
      <c r="MX36" s="85">
        <f>IF(AND(358&gt;=$C$10,358&lt;=$E$10),1,0)</f>
        <v/>
      </c>
      <c r="MY36" s="85">
        <f>IF(AND(359&gt;=$C$10,359&lt;=$E$10),1,0)</f>
        <v/>
      </c>
      <c r="MZ36" s="85">
        <f>IF(AND(360&gt;=$C$10,360&lt;=$E$10),1,0)</f>
        <v/>
      </c>
      <c r="NA36" s="85">
        <f>IF(AND(361&gt;=$C$10,361&lt;=$E$10),1,0)</f>
        <v/>
      </c>
      <c r="NB36" s="85">
        <f>IF(AND(362&gt;=$C$10,362&lt;=$E$10),1,0)</f>
        <v/>
      </c>
      <c r="NC36" s="85">
        <f>IF(AND(363&gt;=$C$10,363&lt;=$E$10),1,0)</f>
        <v/>
      </c>
      <c r="ND36" s="85">
        <f>IF(AND(364&gt;=$C$10,364&lt;=$E$10),1,0)</f>
        <v/>
      </c>
      <c r="NE36" s="85">
        <f>IF(AND(365&gt;=$C$10,365&lt;=$E$10),1,0)</f>
        <v/>
      </c>
      <c r="NF36" s="85">
        <f>IF(AND(366&gt;=$C$10,366&lt;=$E$10),1,0)</f>
        <v/>
      </c>
      <c r="NG36" s="85">
        <f>IF(AND(367&gt;=$C$10,367&lt;=$E$10),1,0)</f>
        <v/>
      </c>
      <c r="NH36" s="85">
        <f>IF(AND(368&gt;=$C$10,368&lt;=$E$10),1,0)</f>
        <v/>
      </c>
      <c r="NI36" s="85">
        <f>IF(AND(369&gt;=$C$10,369&lt;=$E$10),1,0)</f>
        <v/>
      </c>
      <c r="NJ36" s="85">
        <f>IF(AND(370&gt;=$C$10,370&lt;=$E$10),1,0)</f>
        <v/>
      </c>
      <c r="NK36" s="85">
        <f>IF(AND(371&gt;=$C$10,371&lt;=$E$10),1,0)</f>
        <v/>
      </c>
      <c r="NL36" s="85">
        <f>IF(AND(372&gt;=$C$10,372&lt;=$E$10),1,0)</f>
        <v/>
      </c>
    </row>
    <row r="37">
      <c r="B37" s="36" t="inlineStr">
        <is>
          <t>Flag: Lease-Up</t>
        </is>
      </c>
      <c r="D37" s="124" t="n"/>
      <c r="E37" s="85">
        <f>IF(AND(1&gt;=$C$11,1&lt;=$E$11),1,0)</f>
        <v/>
      </c>
      <c r="F37" s="85">
        <f>IF(AND(2&gt;=$C$11,2&lt;=$E$11),1,0)</f>
        <v/>
      </c>
      <c r="G37" s="85">
        <f>IF(AND(3&gt;=$C$11,3&lt;=$E$11),1,0)</f>
        <v/>
      </c>
      <c r="H37" s="85">
        <f>IF(AND(4&gt;=$C$11,4&lt;=$E$11),1,0)</f>
        <v/>
      </c>
      <c r="I37" s="85">
        <f>IF(AND(5&gt;=$C$11,5&lt;=$E$11),1,0)</f>
        <v/>
      </c>
      <c r="J37" s="85">
        <f>IF(AND(6&gt;=$C$11,6&lt;=$E$11),1,0)</f>
        <v/>
      </c>
      <c r="K37" s="85">
        <f>IF(AND(7&gt;=$C$11,7&lt;=$E$11),1,0)</f>
        <v/>
      </c>
      <c r="L37" s="85">
        <f>IF(AND(8&gt;=$C$11,8&lt;=$E$11),1,0)</f>
        <v/>
      </c>
      <c r="M37" s="85">
        <f>IF(AND(9&gt;=$C$11,9&lt;=$E$11),1,0)</f>
        <v/>
      </c>
      <c r="N37" s="85">
        <f>IF(AND(10&gt;=$C$11,10&lt;=$E$11),1,0)</f>
        <v/>
      </c>
      <c r="O37" s="85">
        <f>IF(AND(11&gt;=$C$11,11&lt;=$E$11),1,0)</f>
        <v/>
      </c>
      <c r="P37" s="85">
        <f>IF(AND(12&gt;=$C$11,12&lt;=$E$11),1,0)</f>
        <v/>
      </c>
      <c r="Q37" s="85">
        <f>IF(AND(13&gt;=$C$11,13&lt;=$E$11),1,0)</f>
        <v/>
      </c>
      <c r="R37" s="85">
        <f>IF(AND(14&gt;=$C$11,14&lt;=$E$11),1,0)</f>
        <v/>
      </c>
      <c r="S37" s="85">
        <f>IF(AND(15&gt;=$C$11,15&lt;=$E$11),1,0)</f>
        <v/>
      </c>
      <c r="T37" s="85">
        <f>IF(AND(16&gt;=$C$11,16&lt;=$E$11),1,0)</f>
        <v/>
      </c>
      <c r="U37" s="85">
        <f>IF(AND(17&gt;=$C$11,17&lt;=$E$11),1,0)</f>
        <v/>
      </c>
      <c r="V37" s="85">
        <f>IF(AND(18&gt;=$C$11,18&lt;=$E$11),1,0)</f>
        <v/>
      </c>
      <c r="W37" s="85">
        <f>IF(AND(19&gt;=$C$11,19&lt;=$E$11),1,0)</f>
        <v/>
      </c>
      <c r="X37" s="85">
        <f>IF(AND(20&gt;=$C$11,20&lt;=$E$11),1,0)</f>
        <v/>
      </c>
      <c r="Y37" s="85">
        <f>IF(AND(21&gt;=$C$11,21&lt;=$E$11),1,0)</f>
        <v/>
      </c>
      <c r="Z37" s="85">
        <f>IF(AND(22&gt;=$C$11,22&lt;=$E$11),1,0)</f>
        <v/>
      </c>
      <c r="AA37" s="85">
        <f>IF(AND(23&gt;=$C$11,23&lt;=$E$11),1,0)</f>
        <v/>
      </c>
      <c r="AB37" s="85">
        <f>IF(AND(24&gt;=$C$11,24&lt;=$E$11),1,0)</f>
        <v/>
      </c>
      <c r="AC37" s="85">
        <f>IF(AND(25&gt;=$C$11,25&lt;=$E$11),1,0)</f>
        <v/>
      </c>
      <c r="AD37" s="85">
        <f>IF(AND(26&gt;=$C$11,26&lt;=$E$11),1,0)</f>
        <v/>
      </c>
      <c r="AE37" s="85">
        <f>IF(AND(27&gt;=$C$11,27&lt;=$E$11),1,0)</f>
        <v/>
      </c>
      <c r="AF37" s="85">
        <f>IF(AND(28&gt;=$C$11,28&lt;=$E$11),1,0)</f>
        <v/>
      </c>
      <c r="AG37" s="85">
        <f>IF(AND(29&gt;=$C$11,29&lt;=$E$11),1,0)</f>
        <v/>
      </c>
      <c r="AH37" s="85">
        <f>IF(AND(30&gt;=$C$11,30&lt;=$E$11),1,0)</f>
        <v/>
      </c>
      <c r="AI37" s="85">
        <f>IF(AND(31&gt;=$C$11,31&lt;=$E$11),1,0)</f>
        <v/>
      </c>
      <c r="AJ37" s="85">
        <f>IF(AND(32&gt;=$C$11,32&lt;=$E$11),1,0)</f>
        <v/>
      </c>
      <c r="AK37" s="85">
        <f>IF(AND(33&gt;=$C$11,33&lt;=$E$11),1,0)</f>
        <v/>
      </c>
      <c r="AL37" s="85">
        <f>IF(AND(34&gt;=$C$11,34&lt;=$E$11),1,0)</f>
        <v/>
      </c>
      <c r="AM37" s="85">
        <f>IF(AND(35&gt;=$C$11,35&lt;=$E$11),1,0)</f>
        <v/>
      </c>
      <c r="AN37" s="85">
        <f>IF(AND(36&gt;=$C$11,36&lt;=$E$11),1,0)</f>
        <v/>
      </c>
      <c r="AO37" s="85">
        <f>IF(AND(37&gt;=$C$11,37&lt;=$E$11),1,0)</f>
        <v/>
      </c>
      <c r="AP37" s="85">
        <f>IF(AND(38&gt;=$C$11,38&lt;=$E$11),1,0)</f>
        <v/>
      </c>
      <c r="AQ37" s="85">
        <f>IF(AND(39&gt;=$C$11,39&lt;=$E$11),1,0)</f>
        <v/>
      </c>
      <c r="AR37" s="85">
        <f>IF(AND(40&gt;=$C$11,40&lt;=$E$11),1,0)</f>
        <v/>
      </c>
      <c r="AS37" s="85">
        <f>IF(AND(41&gt;=$C$11,41&lt;=$E$11),1,0)</f>
        <v/>
      </c>
      <c r="AT37" s="85">
        <f>IF(AND(42&gt;=$C$11,42&lt;=$E$11),1,0)</f>
        <v/>
      </c>
      <c r="AU37" s="85">
        <f>IF(AND(43&gt;=$C$11,43&lt;=$E$11),1,0)</f>
        <v/>
      </c>
      <c r="AV37" s="85">
        <f>IF(AND(44&gt;=$C$11,44&lt;=$E$11),1,0)</f>
        <v/>
      </c>
      <c r="AW37" s="85">
        <f>IF(AND(45&gt;=$C$11,45&lt;=$E$11),1,0)</f>
        <v/>
      </c>
      <c r="AX37" s="85">
        <f>IF(AND(46&gt;=$C$11,46&lt;=$E$11),1,0)</f>
        <v/>
      </c>
      <c r="AY37" s="85">
        <f>IF(AND(47&gt;=$C$11,47&lt;=$E$11),1,0)</f>
        <v/>
      </c>
      <c r="AZ37" s="85">
        <f>IF(AND(48&gt;=$C$11,48&lt;=$E$11),1,0)</f>
        <v/>
      </c>
      <c r="BA37" s="85">
        <f>IF(AND(49&gt;=$C$11,49&lt;=$E$11),1,0)</f>
        <v/>
      </c>
      <c r="BB37" s="85">
        <f>IF(AND(50&gt;=$C$11,50&lt;=$E$11),1,0)</f>
        <v/>
      </c>
      <c r="BC37" s="85">
        <f>IF(AND(51&gt;=$C$11,51&lt;=$E$11),1,0)</f>
        <v/>
      </c>
      <c r="BD37" s="85">
        <f>IF(AND(52&gt;=$C$11,52&lt;=$E$11),1,0)</f>
        <v/>
      </c>
      <c r="BE37" s="85">
        <f>IF(AND(53&gt;=$C$11,53&lt;=$E$11),1,0)</f>
        <v/>
      </c>
      <c r="BF37" s="85">
        <f>IF(AND(54&gt;=$C$11,54&lt;=$E$11),1,0)</f>
        <v/>
      </c>
      <c r="BG37" s="85">
        <f>IF(AND(55&gt;=$C$11,55&lt;=$E$11),1,0)</f>
        <v/>
      </c>
      <c r="BH37" s="85">
        <f>IF(AND(56&gt;=$C$11,56&lt;=$E$11),1,0)</f>
        <v/>
      </c>
      <c r="BI37" s="85">
        <f>IF(AND(57&gt;=$C$11,57&lt;=$E$11),1,0)</f>
        <v/>
      </c>
      <c r="BJ37" s="85">
        <f>IF(AND(58&gt;=$C$11,58&lt;=$E$11),1,0)</f>
        <v/>
      </c>
      <c r="BK37" s="85">
        <f>IF(AND(59&gt;=$C$11,59&lt;=$E$11),1,0)</f>
        <v/>
      </c>
      <c r="BL37" s="85">
        <f>IF(AND(60&gt;=$C$11,60&lt;=$E$11),1,0)</f>
        <v/>
      </c>
      <c r="BM37" s="85">
        <f>IF(AND(61&gt;=$C$11,61&lt;=$E$11),1,0)</f>
        <v/>
      </c>
      <c r="BN37" s="85">
        <f>IF(AND(62&gt;=$C$11,62&lt;=$E$11),1,0)</f>
        <v/>
      </c>
      <c r="BO37" s="85">
        <f>IF(AND(63&gt;=$C$11,63&lt;=$E$11),1,0)</f>
        <v/>
      </c>
      <c r="BP37" s="85">
        <f>IF(AND(64&gt;=$C$11,64&lt;=$E$11),1,0)</f>
        <v/>
      </c>
      <c r="BQ37" s="85">
        <f>IF(AND(65&gt;=$C$11,65&lt;=$E$11),1,0)</f>
        <v/>
      </c>
      <c r="BR37" s="85">
        <f>IF(AND(66&gt;=$C$11,66&lt;=$E$11),1,0)</f>
        <v/>
      </c>
      <c r="BS37" s="85">
        <f>IF(AND(67&gt;=$C$11,67&lt;=$E$11),1,0)</f>
        <v/>
      </c>
      <c r="BT37" s="85">
        <f>IF(AND(68&gt;=$C$11,68&lt;=$E$11),1,0)</f>
        <v/>
      </c>
      <c r="BU37" s="85">
        <f>IF(AND(69&gt;=$C$11,69&lt;=$E$11),1,0)</f>
        <v/>
      </c>
      <c r="BV37" s="85">
        <f>IF(AND(70&gt;=$C$11,70&lt;=$E$11),1,0)</f>
        <v/>
      </c>
      <c r="BW37" s="85">
        <f>IF(AND(71&gt;=$C$11,71&lt;=$E$11),1,0)</f>
        <v/>
      </c>
      <c r="BX37" s="85">
        <f>IF(AND(72&gt;=$C$11,72&lt;=$E$11),1,0)</f>
        <v/>
      </c>
      <c r="BY37" s="85">
        <f>IF(AND(73&gt;=$C$11,73&lt;=$E$11),1,0)</f>
        <v/>
      </c>
      <c r="BZ37" s="85">
        <f>IF(AND(74&gt;=$C$11,74&lt;=$E$11),1,0)</f>
        <v/>
      </c>
      <c r="CA37" s="85">
        <f>IF(AND(75&gt;=$C$11,75&lt;=$E$11),1,0)</f>
        <v/>
      </c>
      <c r="CB37" s="85">
        <f>IF(AND(76&gt;=$C$11,76&lt;=$E$11),1,0)</f>
        <v/>
      </c>
      <c r="CC37" s="85">
        <f>IF(AND(77&gt;=$C$11,77&lt;=$E$11),1,0)</f>
        <v/>
      </c>
      <c r="CD37" s="85">
        <f>IF(AND(78&gt;=$C$11,78&lt;=$E$11),1,0)</f>
        <v/>
      </c>
      <c r="CE37" s="85">
        <f>IF(AND(79&gt;=$C$11,79&lt;=$E$11),1,0)</f>
        <v/>
      </c>
      <c r="CF37" s="85">
        <f>IF(AND(80&gt;=$C$11,80&lt;=$E$11),1,0)</f>
        <v/>
      </c>
      <c r="CG37" s="85">
        <f>IF(AND(81&gt;=$C$11,81&lt;=$E$11),1,0)</f>
        <v/>
      </c>
      <c r="CH37" s="85">
        <f>IF(AND(82&gt;=$C$11,82&lt;=$E$11),1,0)</f>
        <v/>
      </c>
      <c r="CI37" s="85">
        <f>IF(AND(83&gt;=$C$11,83&lt;=$E$11),1,0)</f>
        <v/>
      </c>
      <c r="CJ37" s="85">
        <f>IF(AND(84&gt;=$C$11,84&lt;=$E$11),1,0)</f>
        <v/>
      </c>
      <c r="CK37" s="85">
        <f>IF(AND(85&gt;=$C$11,85&lt;=$E$11),1,0)</f>
        <v/>
      </c>
      <c r="CL37" s="85">
        <f>IF(AND(86&gt;=$C$11,86&lt;=$E$11),1,0)</f>
        <v/>
      </c>
      <c r="CM37" s="85">
        <f>IF(AND(87&gt;=$C$11,87&lt;=$E$11),1,0)</f>
        <v/>
      </c>
      <c r="CN37" s="85">
        <f>IF(AND(88&gt;=$C$11,88&lt;=$E$11),1,0)</f>
        <v/>
      </c>
      <c r="CO37" s="85">
        <f>IF(AND(89&gt;=$C$11,89&lt;=$E$11),1,0)</f>
        <v/>
      </c>
      <c r="CP37" s="85">
        <f>IF(AND(90&gt;=$C$11,90&lt;=$E$11),1,0)</f>
        <v/>
      </c>
      <c r="CQ37" s="85">
        <f>IF(AND(91&gt;=$C$11,91&lt;=$E$11),1,0)</f>
        <v/>
      </c>
      <c r="CR37" s="85">
        <f>IF(AND(92&gt;=$C$11,92&lt;=$E$11),1,0)</f>
        <v/>
      </c>
      <c r="CS37" s="85">
        <f>IF(AND(93&gt;=$C$11,93&lt;=$E$11),1,0)</f>
        <v/>
      </c>
      <c r="CT37" s="85">
        <f>IF(AND(94&gt;=$C$11,94&lt;=$E$11),1,0)</f>
        <v/>
      </c>
      <c r="CU37" s="85">
        <f>IF(AND(95&gt;=$C$11,95&lt;=$E$11),1,0)</f>
        <v/>
      </c>
      <c r="CV37" s="85">
        <f>IF(AND(96&gt;=$C$11,96&lt;=$E$11),1,0)</f>
        <v/>
      </c>
      <c r="CW37" s="85">
        <f>IF(AND(97&gt;=$C$11,97&lt;=$E$11),1,0)</f>
        <v/>
      </c>
      <c r="CX37" s="85">
        <f>IF(AND(98&gt;=$C$11,98&lt;=$E$11),1,0)</f>
        <v/>
      </c>
      <c r="CY37" s="85">
        <f>IF(AND(99&gt;=$C$11,99&lt;=$E$11),1,0)</f>
        <v/>
      </c>
      <c r="CZ37" s="85">
        <f>IF(AND(100&gt;=$C$11,100&lt;=$E$11),1,0)</f>
        <v/>
      </c>
      <c r="DA37" s="85">
        <f>IF(AND(101&gt;=$C$11,101&lt;=$E$11),1,0)</f>
        <v/>
      </c>
      <c r="DB37" s="85">
        <f>IF(AND(102&gt;=$C$11,102&lt;=$E$11),1,0)</f>
        <v/>
      </c>
      <c r="DC37" s="85">
        <f>IF(AND(103&gt;=$C$11,103&lt;=$E$11),1,0)</f>
        <v/>
      </c>
      <c r="DD37" s="85">
        <f>IF(AND(104&gt;=$C$11,104&lt;=$E$11),1,0)</f>
        <v/>
      </c>
      <c r="DE37" s="85">
        <f>IF(AND(105&gt;=$C$11,105&lt;=$E$11),1,0)</f>
        <v/>
      </c>
      <c r="DF37" s="85">
        <f>IF(AND(106&gt;=$C$11,106&lt;=$E$11),1,0)</f>
        <v/>
      </c>
      <c r="DG37" s="85">
        <f>IF(AND(107&gt;=$C$11,107&lt;=$E$11),1,0)</f>
        <v/>
      </c>
      <c r="DH37" s="85">
        <f>IF(AND(108&gt;=$C$11,108&lt;=$E$11),1,0)</f>
        <v/>
      </c>
      <c r="DI37" s="85">
        <f>IF(AND(109&gt;=$C$11,109&lt;=$E$11),1,0)</f>
        <v/>
      </c>
      <c r="DJ37" s="85">
        <f>IF(AND(110&gt;=$C$11,110&lt;=$E$11),1,0)</f>
        <v/>
      </c>
      <c r="DK37" s="85">
        <f>IF(AND(111&gt;=$C$11,111&lt;=$E$11),1,0)</f>
        <v/>
      </c>
      <c r="DL37" s="85">
        <f>IF(AND(112&gt;=$C$11,112&lt;=$E$11),1,0)</f>
        <v/>
      </c>
      <c r="DM37" s="85">
        <f>IF(AND(113&gt;=$C$11,113&lt;=$E$11),1,0)</f>
        <v/>
      </c>
      <c r="DN37" s="85">
        <f>IF(AND(114&gt;=$C$11,114&lt;=$E$11),1,0)</f>
        <v/>
      </c>
      <c r="DO37" s="85">
        <f>IF(AND(115&gt;=$C$11,115&lt;=$E$11),1,0)</f>
        <v/>
      </c>
      <c r="DP37" s="85">
        <f>IF(AND(116&gt;=$C$11,116&lt;=$E$11),1,0)</f>
        <v/>
      </c>
      <c r="DQ37" s="85">
        <f>IF(AND(117&gt;=$C$11,117&lt;=$E$11),1,0)</f>
        <v/>
      </c>
      <c r="DR37" s="85">
        <f>IF(AND(118&gt;=$C$11,118&lt;=$E$11),1,0)</f>
        <v/>
      </c>
      <c r="DS37" s="85">
        <f>IF(AND(119&gt;=$C$11,119&lt;=$E$11),1,0)</f>
        <v/>
      </c>
      <c r="DT37" s="85">
        <f>IF(AND(120&gt;=$C$11,120&lt;=$E$11),1,0)</f>
        <v/>
      </c>
      <c r="DU37" s="85">
        <f>IF(AND(121&gt;=$C$11,121&lt;=$E$11),1,0)</f>
        <v/>
      </c>
      <c r="DV37" s="85">
        <f>IF(AND(122&gt;=$C$11,122&lt;=$E$11),1,0)</f>
        <v/>
      </c>
      <c r="DW37" s="85">
        <f>IF(AND(123&gt;=$C$11,123&lt;=$E$11),1,0)</f>
        <v/>
      </c>
      <c r="DX37" s="85">
        <f>IF(AND(124&gt;=$C$11,124&lt;=$E$11),1,0)</f>
        <v/>
      </c>
      <c r="DY37" s="85">
        <f>IF(AND(125&gt;=$C$11,125&lt;=$E$11),1,0)</f>
        <v/>
      </c>
      <c r="DZ37" s="85">
        <f>IF(AND(126&gt;=$C$11,126&lt;=$E$11),1,0)</f>
        <v/>
      </c>
      <c r="EA37" s="85">
        <f>IF(AND(127&gt;=$C$11,127&lt;=$E$11),1,0)</f>
        <v/>
      </c>
      <c r="EB37" s="85">
        <f>IF(AND(128&gt;=$C$11,128&lt;=$E$11),1,0)</f>
        <v/>
      </c>
      <c r="EC37" s="85">
        <f>IF(AND(129&gt;=$C$11,129&lt;=$E$11),1,0)</f>
        <v/>
      </c>
      <c r="ED37" s="85">
        <f>IF(AND(130&gt;=$C$11,130&lt;=$E$11),1,0)</f>
        <v/>
      </c>
      <c r="EE37" s="85">
        <f>IF(AND(131&gt;=$C$11,131&lt;=$E$11),1,0)</f>
        <v/>
      </c>
      <c r="EF37" s="85">
        <f>IF(AND(132&gt;=$C$11,132&lt;=$E$11),1,0)</f>
        <v/>
      </c>
      <c r="EG37" s="85">
        <f>IF(AND(133&gt;=$C$11,133&lt;=$E$11),1,0)</f>
        <v/>
      </c>
      <c r="EH37" s="85">
        <f>IF(AND(134&gt;=$C$11,134&lt;=$E$11),1,0)</f>
        <v/>
      </c>
      <c r="EI37" s="85">
        <f>IF(AND(135&gt;=$C$11,135&lt;=$E$11),1,0)</f>
        <v/>
      </c>
      <c r="EJ37" s="85">
        <f>IF(AND(136&gt;=$C$11,136&lt;=$E$11),1,0)</f>
        <v/>
      </c>
      <c r="EK37" s="85">
        <f>IF(AND(137&gt;=$C$11,137&lt;=$E$11),1,0)</f>
        <v/>
      </c>
      <c r="EL37" s="85">
        <f>IF(AND(138&gt;=$C$11,138&lt;=$E$11),1,0)</f>
        <v/>
      </c>
      <c r="EM37" s="85">
        <f>IF(AND(139&gt;=$C$11,139&lt;=$E$11),1,0)</f>
        <v/>
      </c>
      <c r="EN37" s="85">
        <f>IF(AND(140&gt;=$C$11,140&lt;=$E$11),1,0)</f>
        <v/>
      </c>
      <c r="EO37" s="85">
        <f>IF(AND(141&gt;=$C$11,141&lt;=$E$11),1,0)</f>
        <v/>
      </c>
      <c r="EP37" s="85">
        <f>IF(AND(142&gt;=$C$11,142&lt;=$E$11),1,0)</f>
        <v/>
      </c>
      <c r="EQ37" s="85">
        <f>IF(AND(143&gt;=$C$11,143&lt;=$E$11),1,0)</f>
        <v/>
      </c>
      <c r="ER37" s="85">
        <f>IF(AND(144&gt;=$C$11,144&lt;=$E$11),1,0)</f>
        <v/>
      </c>
      <c r="ES37" s="85">
        <f>IF(AND(145&gt;=$C$11,145&lt;=$E$11),1,0)</f>
        <v/>
      </c>
      <c r="ET37" s="85">
        <f>IF(AND(146&gt;=$C$11,146&lt;=$E$11),1,0)</f>
        <v/>
      </c>
      <c r="EU37" s="85">
        <f>IF(AND(147&gt;=$C$11,147&lt;=$E$11),1,0)</f>
        <v/>
      </c>
      <c r="EV37" s="85">
        <f>IF(AND(148&gt;=$C$11,148&lt;=$E$11),1,0)</f>
        <v/>
      </c>
      <c r="EW37" s="85">
        <f>IF(AND(149&gt;=$C$11,149&lt;=$E$11),1,0)</f>
        <v/>
      </c>
      <c r="EX37" s="85">
        <f>IF(AND(150&gt;=$C$11,150&lt;=$E$11),1,0)</f>
        <v/>
      </c>
      <c r="EY37" s="85">
        <f>IF(AND(151&gt;=$C$11,151&lt;=$E$11),1,0)</f>
        <v/>
      </c>
      <c r="EZ37" s="85">
        <f>IF(AND(152&gt;=$C$11,152&lt;=$E$11),1,0)</f>
        <v/>
      </c>
      <c r="FA37" s="85">
        <f>IF(AND(153&gt;=$C$11,153&lt;=$E$11),1,0)</f>
        <v/>
      </c>
      <c r="FB37" s="85">
        <f>IF(AND(154&gt;=$C$11,154&lt;=$E$11),1,0)</f>
        <v/>
      </c>
      <c r="FC37" s="85">
        <f>IF(AND(155&gt;=$C$11,155&lt;=$E$11),1,0)</f>
        <v/>
      </c>
      <c r="FD37" s="85">
        <f>IF(AND(156&gt;=$C$11,156&lt;=$E$11),1,0)</f>
        <v/>
      </c>
      <c r="FE37" s="85">
        <f>IF(AND(157&gt;=$C$11,157&lt;=$E$11),1,0)</f>
        <v/>
      </c>
      <c r="FF37" s="85">
        <f>IF(AND(158&gt;=$C$11,158&lt;=$E$11),1,0)</f>
        <v/>
      </c>
      <c r="FG37" s="85">
        <f>IF(AND(159&gt;=$C$11,159&lt;=$E$11),1,0)</f>
        <v/>
      </c>
      <c r="FH37" s="85">
        <f>IF(AND(160&gt;=$C$11,160&lt;=$E$11),1,0)</f>
        <v/>
      </c>
      <c r="FI37" s="85">
        <f>IF(AND(161&gt;=$C$11,161&lt;=$E$11),1,0)</f>
        <v/>
      </c>
      <c r="FJ37" s="85">
        <f>IF(AND(162&gt;=$C$11,162&lt;=$E$11),1,0)</f>
        <v/>
      </c>
      <c r="FK37" s="85">
        <f>IF(AND(163&gt;=$C$11,163&lt;=$E$11),1,0)</f>
        <v/>
      </c>
      <c r="FL37" s="85">
        <f>IF(AND(164&gt;=$C$11,164&lt;=$E$11),1,0)</f>
        <v/>
      </c>
      <c r="FM37" s="85">
        <f>IF(AND(165&gt;=$C$11,165&lt;=$E$11),1,0)</f>
        <v/>
      </c>
      <c r="FN37" s="85">
        <f>IF(AND(166&gt;=$C$11,166&lt;=$E$11),1,0)</f>
        <v/>
      </c>
      <c r="FO37" s="85">
        <f>IF(AND(167&gt;=$C$11,167&lt;=$E$11),1,0)</f>
        <v/>
      </c>
      <c r="FP37" s="85">
        <f>IF(AND(168&gt;=$C$11,168&lt;=$E$11),1,0)</f>
        <v/>
      </c>
      <c r="FQ37" s="85">
        <f>IF(AND(169&gt;=$C$11,169&lt;=$E$11),1,0)</f>
        <v/>
      </c>
      <c r="FR37" s="85">
        <f>IF(AND(170&gt;=$C$11,170&lt;=$E$11),1,0)</f>
        <v/>
      </c>
      <c r="FS37" s="85">
        <f>IF(AND(171&gt;=$C$11,171&lt;=$E$11),1,0)</f>
        <v/>
      </c>
      <c r="FT37" s="85">
        <f>IF(AND(172&gt;=$C$11,172&lt;=$E$11),1,0)</f>
        <v/>
      </c>
      <c r="FU37" s="85">
        <f>IF(AND(173&gt;=$C$11,173&lt;=$E$11),1,0)</f>
        <v/>
      </c>
      <c r="FV37" s="85">
        <f>IF(AND(174&gt;=$C$11,174&lt;=$E$11),1,0)</f>
        <v/>
      </c>
      <c r="FW37" s="85">
        <f>IF(AND(175&gt;=$C$11,175&lt;=$E$11),1,0)</f>
        <v/>
      </c>
      <c r="FX37" s="85">
        <f>IF(AND(176&gt;=$C$11,176&lt;=$E$11),1,0)</f>
        <v/>
      </c>
      <c r="FY37" s="85">
        <f>IF(AND(177&gt;=$C$11,177&lt;=$E$11),1,0)</f>
        <v/>
      </c>
      <c r="FZ37" s="85">
        <f>IF(AND(178&gt;=$C$11,178&lt;=$E$11),1,0)</f>
        <v/>
      </c>
      <c r="GA37" s="85">
        <f>IF(AND(179&gt;=$C$11,179&lt;=$E$11),1,0)</f>
        <v/>
      </c>
      <c r="GB37" s="85">
        <f>IF(AND(180&gt;=$C$11,180&lt;=$E$11),1,0)</f>
        <v/>
      </c>
      <c r="GC37" s="85">
        <f>IF(AND(181&gt;=$C$11,181&lt;=$E$11),1,0)</f>
        <v/>
      </c>
      <c r="GD37" s="85">
        <f>IF(AND(182&gt;=$C$11,182&lt;=$E$11),1,0)</f>
        <v/>
      </c>
      <c r="GE37" s="85">
        <f>IF(AND(183&gt;=$C$11,183&lt;=$E$11),1,0)</f>
        <v/>
      </c>
      <c r="GF37" s="85">
        <f>IF(AND(184&gt;=$C$11,184&lt;=$E$11),1,0)</f>
        <v/>
      </c>
      <c r="GG37" s="85">
        <f>IF(AND(185&gt;=$C$11,185&lt;=$E$11),1,0)</f>
        <v/>
      </c>
      <c r="GH37" s="85">
        <f>IF(AND(186&gt;=$C$11,186&lt;=$E$11),1,0)</f>
        <v/>
      </c>
      <c r="GI37" s="85">
        <f>IF(AND(187&gt;=$C$11,187&lt;=$E$11),1,0)</f>
        <v/>
      </c>
      <c r="GJ37" s="85">
        <f>IF(AND(188&gt;=$C$11,188&lt;=$E$11),1,0)</f>
        <v/>
      </c>
      <c r="GK37" s="85">
        <f>IF(AND(189&gt;=$C$11,189&lt;=$E$11),1,0)</f>
        <v/>
      </c>
      <c r="GL37" s="85">
        <f>IF(AND(190&gt;=$C$11,190&lt;=$E$11),1,0)</f>
        <v/>
      </c>
      <c r="GM37" s="85">
        <f>IF(AND(191&gt;=$C$11,191&lt;=$E$11),1,0)</f>
        <v/>
      </c>
      <c r="GN37" s="85">
        <f>IF(AND(192&gt;=$C$11,192&lt;=$E$11),1,0)</f>
        <v/>
      </c>
      <c r="GO37" s="85">
        <f>IF(AND(193&gt;=$C$11,193&lt;=$E$11),1,0)</f>
        <v/>
      </c>
      <c r="GP37" s="85">
        <f>IF(AND(194&gt;=$C$11,194&lt;=$E$11),1,0)</f>
        <v/>
      </c>
      <c r="GQ37" s="85">
        <f>IF(AND(195&gt;=$C$11,195&lt;=$E$11),1,0)</f>
        <v/>
      </c>
      <c r="GR37" s="85">
        <f>IF(AND(196&gt;=$C$11,196&lt;=$E$11),1,0)</f>
        <v/>
      </c>
      <c r="GS37" s="85">
        <f>IF(AND(197&gt;=$C$11,197&lt;=$E$11),1,0)</f>
        <v/>
      </c>
      <c r="GT37" s="85">
        <f>IF(AND(198&gt;=$C$11,198&lt;=$E$11),1,0)</f>
        <v/>
      </c>
      <c r="GU37" s="85">
        <f>IF(AND(199&gt;=$C$11,199&lt;=$E$11),1,0)</f>
        <v/>
      </c>
      <c r="GV37" s="85">
        <f>IF(AND(200&gt;=$C$11,200&lt;=$E$11),1,0)</f>
        <v/>
      </c>
      <c r="GW37" s="85">
        <f>IF(AND(201&gt;=$C$11,201&lt;=$E$11),1,0)</f>
        <v/>
      </c>
      <c r="GX37" s="85">
        <f>IF(AND(202&gt;=$C$11,202&lt;=$E$11),1,0)</f>
        <v/>
      </c>
      <c r="GY37" s="85">
        <f>IF(AND(203&gt;=$C$11,203&lt;=$E$11),1,0)</f>
        <v/>
      </c>
      <c r="GZ37" s="85">
        <f>IF(AND(204&gt;=$C$11,204&lt;=$E$11),1,0)</f>
        <v/>
      </c>
      <c r="HA37" s="85">
        <f>IF(AND(205&gt;=$C$11,205&lt;=$E$11),1,0)</f>
        <v/>
      </c>
      <c r="HB37" s="85">
        <f>IF(AND(206&gt;=$C$11,206&lt;=$E$11),1,0)</f>
        <v/>
      </c>
      <c r="HC37" s="85">
        <f>IF(AND(207&gt;=$C$11,207&lt;=$E$11),1,0)</f>
        <v/>
      </c>
      <c r="HD37" s="85">
        <f>IF(AND(208&gt;=$C$11,208&lt;=$E$11),1,0)</f>
        <v/>
      </c>
      <c r="HE37" s="85">
        <f>IF(AND(209&gt;=$C$11,209&lt;=$E$11),1,0)</f>
        <v/>
      </c>
      <c r="HF37" s="85">
        <f>IF(AND(210&gt;=$C$11,210&lt;=$E$11),1,0)</f>
        <v/>
      </c>
      <c r="HG37" s="85">
        <f>IF(AND(211&gt;=$C$11,211&lt;=$E$11),1,0)</f>
        <v/>
      </c>
      <c r="HH37" s="85">
        <f>IF(AND(212&gt;=$C$11,212&lt;=$E$11),1,0)</f>
        <v/>
      </c>
      <c r="HI37" s="85">
        <f>IF(AND(213&gt;=$C$11,213&lt;=$E$11),1,0)</f>
        <v/>
      </c>
      <c r="HJ37" s="85">
        <f>IF(AND(214&gt;=$C$11,214&lt;=$E$11),1,0)</f>
        <v/>
      </c>
      <c r="HK37" s="85">
        <f>IF(AND(215&gt;=$C$11,215&lt;=$E$11),1,0)</f>
        <v/>
      </c>
      <c r="HL37" s="85">
        <f>IF(AND(216&gt;=$C$11,216&lt;=$E$11),1,0)</f>
        <v/>
      </c>
      <c r="HM37" s="85">
        <f>IF(AND(217&gt;=$C$11,217&lt;=$E$11),1,0)</f>
        <v/>
      </c>
      <c r="HN37" s="85">
        <f>IF(AND(218&gt;=$C$11,218&lt;=$E$11),1,0)</f>
        <v/>
      </c>
      <c r="HO37" s="85">
        <f>IF(AND(219&gt;=$C$11,219&lt;=$E$11),1,0)</f>
        <v/>
      </c>
      <c r="HP37" s="85">
        <f>IF(AND(220&gt;=$C$11,220&lt;=$E$11),1,0)</f>
        <v/>
      </c>
      <c r="HQ37" s="85">
        <f>IF(AND(221&gt;=$C$11,221&lt;=$E$11),1,0)</f>
        <v/>
      </c>
      <c r="HR37" s="85">
        <f>IF(AND(222&gt;=$C$11,222&lt;=$E$11),1,0)</f>
        <v/>
      </c>
      <c r="HS37" s="85">
        <f>IF(AND(223&gt;=$C$11,223&lt;=$E$11),1,0)</f>
        <v/>
      </c>
      <c r="HT37" s="85">
        <f>IF(AND(224&gt;=$C$11,224&lt;=$E$11),1,0)</f>
        <v/>
      </c>
      <c r="HU37" s="85">
        <f>IF(AND(225&gt;=$C$11,225&lt;=$E$11),1,0)</f>
        <v/>
      </c>
      <c r="HV37" s="85">
        <f>IF(AND(226&gt;=$C$11,226&lt;=$E$11),1,0)</f>
        <v/>
      </c>
      <c r="HW37" s="85">
        <f>IF(AND(227&gt;=$C$11,227&lt;=$E$11),1,0)</f>
        <v/>
      </c>
      <c r="HX37" s="85">
        <f>IF(AND(228&gt;=$C$11,228&lt;=$E$11),1,0)</f>
        <v/>
      </c>
      <c r="HY37" s="85">
        <f>IF(AND(229&gt;=$C$11,229&lt;=$E$11),1,0)</f>
        <v/>
      </c>
      <c r="HZ37" s="85">
        <f>IF(AND(230&gt;=$C$11,230&lt;=$E$11),1,0)</f>
        <v/>
      </c>
      <c r="IA37" s="85">
        <f>IF(AND(231&gt;=$C$11,231&lt;=$E$11),1,0)</f>
        <v/>
      </c>
      <c r="IB37" s="85">
        <f>IF(AND(232&gt;=$C$11,232&lt;=$E$11),1,0)</f>
        <v/>
      </c>
      <c r="IC37" s="85">
        <f>IF(AND(233&gt;=$C$11,233&lt;=$E$11),1,0)</f>
        <v/>
      </c>
      <c r="ID37" s="85">
        <f>IF(AND(234&gt;=$C$11,234&lt;=$E$11),1,0)</f>
        <v/>
      </c>
      <c r="IE37" s="85">
        <f>IF(AND(235&gt;=$C$11,235&lt;=$E$11),1,0)</f>
        <v/>
      </c>
      <c r="IF37" s="85">
        <f>IF(AND(236&gt;=$C$11,236&lt;=$E$11),1,0)</f>
        <v/>
      </c>
      <c r="IG37" s="85">
        <f>IF(AND(237&gt;=$C$11,237&lt;=$E$11),1,0)</f>
        <v/>
      </c>
      <c r="IH37" s="85">
        <f>IF(AND(238&gt;=$C$11,238&lt;=$E$11),1,0)</f>
        <v/>
      </c>
      <c r="II37" s="85">
        <f>IF(AND(239&gt;=$C$11,239&lt;=$E$11),1,0)</f>
        <v/>
      </c>
      <c r="IJ37" s="85">
        <f>IF(AND(240&gt;=$C$11,240&lt;=$E$11),1,0)</f>
        <v/>
      </c>
      <c r="IK37" s="85">
        <f>IF(AND(241&gt;=$C$11,241&lt;=$E$11),1,0)</f>
        <v/>
      </c>
      <c r="IL37" s="85">
        <f>IF(AND(242&gt;=$C$11,242&lt;=$E$11),1,0)</f>
        <v/>
      </c>
      <c r="IM37" s="85">
        <f>IF(AND(243&gt;=$C$11,243&lt;=$E$11),1,0)</f>
        <v/>
      </c>
      <c r="IN37" s="85">
        <f>IF(AND(244&gt;=$C$11,244&lt;=$E$11),1,0)</f>
        <v/>
      </c>
      <c r="IO37" s="85">
        <f>IF(AND(245&gt;=$C$11,245&lt;=$E$11),1,0)</f>
        <v/>
      </c>
      <c r="IP37" s="85">
        <f>IF(AND(246&gt;=$C$11,246&lt;=$E$11),1,0)</f>
        <v/>
      </c>
      <c r="IQ37" s="85">
        <f>IF(AND(247&gt;=$C$11,247&lt;=$E$11),1,0)</f>
        <v/>
      </c>
      <c r="IR37" s="85">
        <f>IF(AND(248&gt;=$C$11,248&lt;=$E$11),1,0)</f>
        <v/>
      </c>
      <c r="IS37" s="85">
        <f>IF(AND(249&gt;=$C$11,249&lt;=$E$11),1,0)</f>
        <v/>
      </c>
      <c r="IT37" s="85">
        <f>IF(AND(250&gt;=$C$11,250&lt;=$E$11),1,0)</f>
        <v/>
      </c>
      <c r="IU37" s="85">
        <f>IF(AND(251&gt;=$C$11,251&lt;=$E$11),1,0)</f>
        <v/>
      </c>
      <c r="IV37" s="85">
        <f>IF(AND(252&gt;=$C$11,252&lt;=$E$11),1,0)</f>
        <v/>
      </c>
      <c r="IW37" s="85">
        <f>IF(AND(253&gt;=$C$11,253&lt;=$E$11),1,0)</f>
        <v/>
      </c>
      <c r="IX37" s="85">
        <f>IF(AND(254&gt;=$C$11,254&lt;=$E$11),1,0)</f>
        <v/>
      </c>
      <c r="IY37" s="85">
        <f>IF(AND(255&gt;=$C$11,255&lt;=$E$11),1,0)</f>
        <v/>
      </c>
      <c r="IZ37" s="85">
        <f>IF(AND(256&gt;=$C$11,256&lt;=$E$11),1,0)</f>
        <v/>
      </c>
      <c r="JA37" s="85">
        <f>IF(AND(257&gt;=$C$11,257&lt;=$E$11),1,0)</f>
        <v/>
      </c>
      <c r="JB37" s="85">
        <f>IF(AND(258&gt;=$C$11,258&lt;=$E$11),1,0)</f>
        <v/>
      </c>
      <c r="JC37" s="85">
        <f>IF(AND(259&gt;=$C$11,259&lt;=$E$11),1,0)</f>
        <v/>
      </c>
      <c r="JD37" s="85">
        <f>IF(AND(260&gt;=$C$11,260&lt;=$E$11),1,0)</f>
        <v/>
      </c>
      <c r="JE37" s="85">
        <f>IF(AND(261&gt;=$C$11,261&lt;=$E$11),1,0)</f>
        <v/>
      </c>
      <c r="JF37" s="85">
        <f>IF(AND(262&gt;=$C$11,262&lt;=$E$11),1,0)</f>
        <v/>
      </c>
      <c r="JG37" s="85">
        <f>IF(AND(263&gt;=$C$11,263&lt;=$E$11),1,0)</f>
        <v/>
      </c>
      <c r="JH37" s="85">
        <f>IF(AND(264&gt;=$C$11,264&lt;=$E$11),1,0)</f>
        <v/>
      </c>
      <c r="JI37" s="85">
        <f>IF(AND(265&gt;=$C$11,265&lt;=$E$11),1,0)</f>
        <v/>
      </c>
      <c r="JJ37" s="85">
        <f>IF(AND(266&gt;=$C$11,266&lt;=$E$11),1,0)</f>
        <v/>
      </c>
      <c r="JK37" s="85">
        <f>IF(AND(267&gt;=$C$11,267&lt;=$E$11),1,0)</f>
        <v/>
      </c>
      <c r="JL37" s="85">
        <f>IF(AND(268&gt;=$C$11,268&lt;=$E$11),1,0)</f>
        <v/>
      </c>
      <c r="JM37" s="85">
        <f>IF(AND(269&gt;=$C$11,269&lt;=$E$11),1,0)</f>
        <v/>
      </c>
      <c r="JN37" s="85">
        <f>IF(AND(270&gt;=$C$11,270&lt;=$E$11),1,0)</f>
        <v/>
      </c>
      <c r="JO37" s="85">
        <f>IF(AND(271&gt;=$C$11,271&lt;=$E$11),1,0)</f>
        <v/>
      </c>
      <c r="JP37" s="85">
        <f>IF(AND(272&gt;=$C$11,272&lt;=$E$11),1,0)</f>
        <v/>
      </c>
      <c r="JQ37" s="85">
        <f>IF(AND(273&gt;=$C$11,273&lt;=$E$11),1,0)</f>
        <v/>
      </c>
      <c r="JR37" s="85">
        <f>IF(AND(274&gt;=$C$11,274&lt;=$E$11),1,0)</f>
        <v/>
      </c>
      <c r="JS37" s="85">
        <f>IF(AND(275&gt;=$C$11,275&lt;=$E$11),1,0)</f>
        <v/>
      </c>
      <c r="JT37" s="85">
        <f>IF(AND(276&gt;=$C$11,276&lt;=$E$11),1,0)</f>
        <v/>
      </c>
      <c r="JU37" s="85">
        <f>IF(AND(277&gt;=$C$11,277&lt;=$E$11),1,0)</f>
        <v/>
      </c>
      <c r="JV37" s="85">
        <f>IF(AND(278&gt;=$C$11,278&lt;=$E$11),1,0)</f>
        <v/>
      </c>
      <c r="JW37" s="85">
        <f>IF(AND(279&gt;=$C$11,279&lt;=$E$11),1,0)</f>
        <v/>
      </c>
      <c r="JX37" s="85">
        <f>IF(AND(280&gt;=$C$11,280&lt;=$E$11),1,0)</f>
        <v/>
      </c>
      <c r="JY37" s="85">
        <f>IF(AND(281&gt;=$C$11,281&lt;=$E$11),1,0)</f>
        <v/>
      </c>
      <c r="JZ37" s="85">
        <f>IF(AND(282&gt;=$C$11,282&lt;=$E$11),1,0)</f>
        <v/>
      </c>
      <c r="KA37" s="85">
        <f>IF(AND(283&gt;=$C$11,283&lt;=$E$11),1,0)</f>
        <v/>
      </c>
      <c r="KB37" s="85">
        <f>IF(AND(284&gt;=$C$11,284&lt;=$E$11),1,0)</f>
        <v/>
      </c>
      <c r="KC37" s="85">
        <f>IF(AND(285&gt;=$C$11,285&lt;=$E$11),1,0)</f>
        <v/>
      </c>
      <c r="KD37" s="85">
        <f>IF(AND(286&gt;=$C$11,286&lt;=$E$11),1,0)</f>
        <v/>
      </c>
      <c r="KE37" s="85">
        <f>IF(AND(287&gt;=$C$11,287&lt;=$E$11),1,0)</f>
        <v/>
      </c>
      <c r="KF37" s="85">
        <f>IF(AND(288&gt;=$C$11,288&lt;=$E$11),1,0)</f>
        <v/>
      </c>
      <c r="KG37" s="85">
        <f>IF(AND(289&gt;=$C$11,289&lt;=$E$11),1,0)</f>
        <v/>
      </c>
      <c r="KH37" s="85">
        <f>IF(AND(290&gt;=$C$11,290&lt;=$E$11),1,0)</f>
        <v/>
      </c>
      <c r="KI37" s="85">
        <f>IF(AND(291&gt;=$C$11,291&lt;=$E$11),1,0)</f>
        <v/>
      </c>
      <c r="KJ37" s="85">
        <f>IF(AND(292&gt;=$C$11,292&lt;=$E$11),1,0)</f>
        <v/>
      </c>
      <c r="KK37" s="85">
        <f>IF(AND(293&gt;=$C$11,293&lt;=$E$11),1,0)</f>
        <v/>
      </c>
      <c r="KL37" s="85">
        <f>IF(AND(294&gt;=$C$11,294&lt;=$E$11),1,0)</f>
        <v/>
      </c>
      <c r="KM37" s="85">
        <f>IF(AND(295&gt;=$C$11,295&lt;=$E$11),1,0)</f>
        <v/>
      </c>
      <c r="KN37" s="85">
        <f>IF(AND(296&gt;=$C$11,296&lt;=$E$11),1,0)</f>
        <v/>
      </c>
      <c r="KO37" s="85">
        <f>IF(AND(297&gt;=$C$11,297&lt;=$E$11),1,0)</f>
        <v/>
      </c>
      <c r="KP37" s="85">
        <f>IF(AND(298&gt;=$C$11,298&lt;=$E$11),1,0)</f>
        <v/>
      </c>
      <c r="KQ37" s="85">
        <f>IF(AND(299&gt;=$C$11,299&lt;=$E$11),1,0)</f>
        <v/>
      </c>
      <c r="KR37" s="85">
        <f>IF(AND(300&gt;=$C$11,300&lt;=$E$11),1,0)</f>
        <v/>
      </c>
      <c r="KS37" s="85">
        <f>IF(AND(301&gt;=$C$11,301&lt;=$E$11),1,0)</f>
        <v/>
      </c>
      <c r="KT37" s="85">
        <f>IF(AND(302&gt;=$C$11,302&lt;=$E$11),1,0)</f>
        <v/>
      </c>
      <c r="KU37" s="85">
        <f>IF(AND(303&gt;=$C$11,303&lt;=$E$11),1,0)</f>
        <v/>
      </c>
      <c r="KV37" s="85">
        <f>IF(AND(304&gt;=$C$11,304&lt;=$E$11),1,0)</f>
        <v/>
      </c>
      <c r="KW37" s="85">
        <f>IF(AND(305&gt;=$C$11,305&lt;=$E$11),1,0)</f>
        <v/>
      </c>
      <c r="KX37" s="85">
        <f>IF(AND(306&gt;=$C$11,306&lt;=$E$11),1,0)</f>
        <v/>
      </c>
      <c r="KY37" s="85">
        <f>IF(AND(307&gt;=$C$11,307&lt;=$E$11),1,0)</f>
        <v/>
      </c>
      <c r="KZ37" s="85">
        <f>IF(AND(308&gt;=$C$11,308&lt;=$E$11),1,0)</f>
        <v/>
      </c>
      <c r="LA37" s="85">
        <f>IF(AND(309&gt;=$C$11,309&lt;=$E$11),1,0)</f>
        <v/>
      </c>
      <c r="LB37" s="85">
        <f>IF(AND(310&gt;=$C$11,310&lt;=$E$11),1,0)</f>
        <v/>
      </c>
      <c r="LC37" s="85">
        <f>IF(AND(311&gt;=$C$11,311&lt;=$E$11),1,0)</f>
        <v/>
      </c>
      <c r="LD37" s="85">
        <f>IF(AND(312&gt;=$C$11,312&lt;=$E$11),1,0)</f>
        <v/>
      </c>
      <c r="LE37" s="85">
        <f>IF(AND(313&gt;=$C$11,313&lt;=$E$11),1,0)</f>
        <v/>
      </c>
      <c r="LF37" s="85">
        <f>IF(AND(314&gt;=$C$11,314&lt;=$E$11),1,0)</f>
        <v/>
      </c>
      <c r="LG37" s="85">
        <f>IF(AND(315&gt;=$C$11,315&lt;=$E$11),1,0)</f>
        <v/>
      </c>
      <c r="LH37" s="85">
        <f>IF(AND(316&gt;=$C$11,316&lt;=$E$11),1,0)</f>
        <v/>
      </c>
      <c r="LI37" s="85">
        <f>IF(AND(317&gt;=$C$11,317&lt;=$E$11),1,0)</f>
        <v/>
      </c>
      <c r="LJ37" s="85">
        <f>IF(AND(318&gt;=$C$11,318&lt;=$E$11),1,0)</f>
        <v/>
      </c>
      <c r="LK37" s="85">
        <f>IF(AND(319&gt;=$C$11,319&lt;=$E$11),1,0)</f>
        <v/>
      </c>
      <c r="LL37" s="85">
        <f>IF(AND(320&gt;=$C$11,320&lt;=$E$11),1,0)</f>
        <v/>
      </c>
      <c r="LM37" s="85">
        <f>IF(AND(321&gt;=$C$11,321&lt;=$E$11),1,0)</f>
        <v/>
      </c>
      <c r="LN37" s="85">
        <f>IF(AND(322&gt;=$C$11,322&lt;=$E$11),1,0)</f>
        <v/>
      </c>
      <c r="LO37" s="85">
        <f>IF(AND(323&gt;=$C$11,323&lt;=$E$11),1,0)</f>
        <v/>
      </c>
      <c r="LP37" s="85">
        <f>IF(AND(324&gt;=$C$11,324&lt;=$E$11),1,0)</f>
        <v/>
      </c>
      <c r="LQ37" s="85">
        <f>IF(AND(325&gt;=$C$11,325&lt;=$E$11),1,0)</f>
        <v/>
      </c>
      <c r="LR37" s="85">
        <f>IF(AND(326&gt;=$C$11,326&lt;=$E$11),1,0)</f>
        <v/>
      </c>
      <c r="LS37" s="85">
        <f>IF(AND(327&gt;=$C$11,327&lt;=$E$11),1,0)</f>
        <v/>
      </c>
      <c r="LT37" s="85">
        <f>IF(AND(328&gt;=$C$11,328&lt;=$E$11),1,0)</f>
        <v/>
      </c>
      <c r="LU37" s="85">
        <f>IF(AND(329&gt;=$C$11,329&lt;=$E$11),1,0)</f>
        <v/>
      </c>
      <c r="LV37" s="85">
        <f>IF(AND(330&gt;=$C$11,330&lt;=$E$11),1,0)</f>
        <v/>
      </c>
      <c r="LW37" s="85">
        <f>IF(AND(331&gt;=$C$11,331&lt;=$E$11),1,0)</f>
        <v/>
      </c>
      <c r="LX37" s="85">
        <f>IF(AND(332&gt;=$C$11,332&lt;=$E$11),1,0)</f>
        <v/>
      </c>
      <c r="LY37" s="85">
        <f>IF(AND(333&gt;=$C$11,333&lt;=$E$11),1,0)</f>
        <v/>
      </c>
      <c r="LZ37" s="85">
        <f>IF(AND(334&gt;=$C$11,334&lt;=$E$11),1,0)</f>
        <v/>
      </c>
      <c r="MA37" s="85">
        <f>IF(AND(335&gt;=$C$11,335&lt;=$E$11),1,0)</f>
        <v/>
      </c>
      <c r="MB37" s="85">
        <f>IF(AND(336&gt;=$C$11,336&lt;=$E$11),1,0)</f>
        <v/>
      </c>
      <c r="MC37" s="85">
        <f>IF(AND(337&gt;=$C$11,337&lt;=$E$11),1,0)</f>
        <v/>
      </c>
      <c r="MD37" s="85">
        <f>IF(AND(338&gt;=$C$11,338&lt;=$E$11),1,0)</f>
        <v/>
      </c>
      <c r="ME37" s="85">
        <f>IF(AND(339&gt;=$C$11,339&lt;=$E$11),1,0)</f>
        <v/>
      </c>
      <c r="MF37" s="85">
        <f>IF(AND(340&gt;=$C$11,340&lt;=$E$11),1,0)</f>
        <v/>
      </c>
      <c r="MG37" s="85">
        <f>IF(AND(341&gt;=$C$11,341&lt;=$E$11),1,0)</f>
        <v/>
      </c>
      <c r="MH37" s="85">
        <f>IF(AND(342&gt;=$C$11,342&lt;=$E$11),1,0)</f>
        <v/>
      </c>
      <c r="MI37" s="85">
        <f>IF(AND(343&gt;=$C$11,343&lt;=$E$11),1,0)</f>
        <v/>
      </c>
      <c r="MJ37" s="85">
        <f>IF(AND(344&gt;=$C$11,344&lt;=$E$11),1,0)</f>
        <v/>
      </c>
      <c r="MK37" s="85">
        <f>IF(AND(345&gt;=$C$11,345&lt;=$E$11),1,0)</f>
        <v/>
      </c>
      <c r="ML37" s="85">
        <f>IF(AND(346&gt;=$C$11,346&lt;=$E$11),1,0)</f>
        <v/>
      </c>
      <c r="MM37" s="85">
        <f>IF(AND(347&gt;=$C$11,347&lt;=$E$11),1,0)</f>
        <v/>
      </c>
      <c r="MN37" s="85">
        <f>IF(AND(348&gt;=$C$11,348&lt;=$E$11),1,0)</f>
        <v/>
      </c>
      <c r="MO37" s="85">
        <f>IF(AND(349&gt;=$C$11,349&lt;=$E$11),1,0)</f>
        <v/>
      </c>
      <c r="MP37" s="85">
        <f>IF(AND(350&gt;=$C$11,350&lt;=$E$11),1,0)</f>
        <v/>
      </c>
      <c r="MQ37" s="85">
        <f>IF(AND(351&gt;=$C$11,351&lt;=$E$11),1,0)</f>
        <v/>
      </c>
      <c r="MR37" s="85">
        <f>IF(AND(352&gt;=$C$11,352&lt;=$E$11),1,0)</f>
        <v/>
      </c>
      <c r="MS37" s="85">
        <f>IF(AND(353&gt;=$C$11,353&lt;=$E$11),1,0)</f>
        <v/>
      </c>
      <c r="MT37" s="85">
        <f>IF(AND(354&gt;=$C$11,354&lt;=$E$11),1,0)</f>
        <v/>
      </c>
      <c r="MU37" s="85">
        <f>IF(AND(355&gt;=$C$11,355&lt;=$E$11),1,0)</f>
        <v/>
      </c>
      <c r="MV37" s="85">
        <f>IF(AND(356&gt;=$C$11,356&lt;=$E$11),1,0)</f>
        <v/>
      </c>
      <c r="MW37" s="85">
        <f>IF(AND(357&gt;=$C$11,357&lt;=$E$11),1,0)</f>
        <v/>
      </c>
      <c r="MX37" s="85">
        <f>IF(AND(358&gt;=$C$11,358&lt;=$E$11),1,0)</f>
        <v/>
      </c>
      <c r="MY37" s="85">
        <f>IF(AND(359&gt;=$C$11,359&lt;=$E$11),1,0)</f>
        <v/>
      </c>
      <c r="MZ37" s="85">
        <f>IF(AND(360&gt;=$C$11,360&lt;=$E$11),1,0)</f>
        <v/>
      </c>
      <c r="NA37" s="85">
        <f>IF(AND(361&gt;=$C$11,361&lt;=$E$11),1,0)</f>
        <v/>
      </c>
      <c r="NB37" s="85">
        <f>IF(AND(362&gt;=$C$11,362&lt;=$E$11),1,0)</f>
        <v/>
      </c>
      <c r="NC37" s="85">
        <f>IF(AND(363&gt;=$C$11,363&lt;=$E$11),1,0)</f>
        <v/>
      </c>
      <c r="ND37" s="85">
        <f>IF(AND(364&gt;=$C$11,364&lt;=$E$11),1,0)</f>
        <v/>
      </c>
      <c r="NE37" s="85">
        <f>IF(AND(365&gt;=$C$11,365&lt;=$E$11),1,0)</f>
        <v/>
      </c>
      <c r="NF37" s="85">
        <f>IF(AND(366&gt;=$C$11,366&lt;=$E$11),1,0)</f>
        <v/>
      </c>
      <c r="NG37" s="85">
        <f>IF(AND(367&gt;=$C$11,367&lt;=$E$11),1,0)</f>
        <v/>
      </c>
      <c r="NH37" s="85">
        <f>IF(AND(368&gt;=$C$11,368&lt;=$E$11),1,0)</f>
        <v/>
      </c>
      <c r="NI37" s="85">
        <f>IF(AND(369&gt;=$C$11,369&lt;=$E$11),1,0)</f>
        <v/>
      </c>
      <c r="NJ37" s="85">
        <f>IF(AND(370&gt;=$C$11,370&lt;=$E$11),1,0)</f>
        <v/>
      </c>
      <c r="NK37" s="85">
        <f>IF(AND(371&gt;=$C$11,371&lt;=$E$11),1,0)</f>
        <v/>
      </c>
      <c r="NL37" s="85">
        <f>IF(AND(372&gt;=$C$11,372&lt;=$E$11),1,0)</f>
        <v/>
      </c>
    </row>
    <row r="38">
      <c r="B38" s="36" t="inlineStr">
        <is>
          <t>Flag: Stabilization</t>
        </is>
      </c>
      <c r="D38" s="124" t="n"/>
      <c r="E38" s="85">
        <f>IF(AND(1&gt;=$C$12,1&lt;=$E$12),1,0)</f>
        <v/>
      </c>
      <c r="F38" s="85">
        <f>IF(AND(2&gt;=$C$12,2&lt;=$E$12),1,0)</f>
        <v/>
      </c>
      <c r="G38" s="85">
        <f>IF(AND(3&gt;=$C$12,3&lt;=$E$12),1,0)</f>
        <v/>
      </c>
      <c r="H38" s="85">
        <f>IF(AND(4&gt;=$C$12,4&lt;=$E$12),1,0)</f>
        <v/>
      </c>
      <c r="I38" s="85">
        <f>IF(AND(5&gt;=$C$12,5&lt;=$E$12),1,0)</f>
        <v/>
      </c>
      <c r="J38" s="85">
        <f>IF(AND(6&gt;=$C$12,6&lt;=$E$12),1,0)</f>
        <v/>
      </c>
      <c r="K38" s="85">
        <f>IF(AND(7&gt;=$C$12,7&lt;=$E$12),1,0)</f>
        <v/>
      </c>
      <c r="L38" s="85">
        <f>IF(AND(8&gt;=$C$12,8&lt;=$E$12),1,0)</f>
        <v/>
      </c>
      <c r="M38" s="85">
        <f>IF(AND(9&gt;=$C$12,9&lt;=$E$12),1,0)</f>
        <v/>
      </c>
      <c r="N38" s="85">
        <f>IF(AND(10&gt;=$C$12,10&lt;=$E$12),1,0)</f>
        <v/>
      </c>
      <c r="O38" s="85">
        <f>IF(AND(11&gt;=$C$12,11&lt;=$E$12),1,0)</f>
        <v/>
      </c>
      <c r="P38" s="85">
        <f>IF(AND(12&gt;=$C$12,12&lt;=$E$12),1,0)</f>
        <v/>
      </c>
      <c r="Q38" s="85">
        <f>IF(AND(13&gt;=$C$12,13&lt;=$E$12),1,0)</f>
        <v/>
      </c>
      <c r="R38" s="85">
        <f>IF(AND(14&gt;=$C$12,14&lt;=$E$12),1,0)</f>
        <v/>
      </c>
      <c r="S38" s="85">
        <f>IF(AND(15&gt;=$C$12,15&lt;=$E$12),1,0)</f>
        <v/>
      </c>
      <c r="T38" s="85">
        <f>IF(AND(16&gt;=$C$12,16&lt;=$E$12),1,0)</f>
        <v/>
      </c>
      <c r="U38" s="85">
        <f>IF(AND(17&gt;=$C$12,17&lt;=$E$12),1,0)</f>
        <v/>
      </c>
      <c r="V38" s="85">
        <f>IF(AND(18&gt;=$C$12,18&lt;=$E$12),1,0)</f>
        <v/>
      </c>
      <c r="W38" s="85">
        <f>IF(AND(19&gt;=$C$12,19&lt;=$E$12),1,0)</f>
        <v/>
      </c>
      <c r="X38" s="85">
        <f>IF(AND(20&gt;=$C$12,20&lt;=$E$12),1,0)</f>
        <v/>
      </c>
      <c r="Y38" s="85">
        <f>IF(AND(21&gt;=$C$12,21&lt;=$E$12),1,0)</f>
        <v/>
      </c>
      <c r="Z38" s="85">
        <f>IF(AND(22&gt;=$C$12,22&lt;=$E$12),1,0)</f>
        <v/>
      </c>
      <c r="AA38" s="85">
        <f>IF(AND(23&gt;=$C$12,23&lt;=$E$12),1,0)</f>
        <v/>
      </c>
      <c r="AB38" s="85">
        <f>IF(AND(24&gt;=$C$12,24&lt;=$E$12),1,0)</f>
        <v/>
      </c>
      <c r="AC38" s="85">
        <f>IF(AND(25&gt;=$C$12,25&lt;=$E$12),1,0)</f>
        <v/>
      </c>
      <c r="AD38" s="85">
        <f>IF(AND(26&gt;=$C$12,26&lt;=$E$12),1,0)</f>
        <v/>
      </c>
      <c r="AE38" s="85">
        <f>IF(AND(27&gt;=$C$12,27&lt;=$E$12),1,0)</f>
        <v/>
      </c>
      <c r="AF38" s="85">
        <f>IF(AND(28&gt;=$C$12,28&lt;=$E$12),1,0)</f>
        <v/>
      </c>
      <c r="AG38" s="85">
        <f>IF(AND(29&gt;=$C$12,29&lt;=$E$12),1,0)</f>
        <v/>
      </c>
      <c r="AH38" s="85">
        <f>IF(AND(30&gt;=$C$12,30&lt;=$E$12),1,0)</f>
        <v/>
      </c>
      <c r="AI38" s="85">
        <f>IF(AND(31&gt;=$C$12,31&lt;=$E$12),1,0)</f>
        <v/>
      </c>
      <c r="AJ38" s="85">
        <f>IF(AND(32&gt;=$C$12,32&lt;=$E$12),1,0)</f>
        <v/>
      </c>
      <c r="AK38" s="85">
        <f>IF(AND(33&gt;=$C$12,33&lt;=$E$12),1,0)</f>
        <v/>
      </c>
      <c r="AL38" s="85">
        <f>IF(AND(34&gt;=$C$12,34&lt;=$E$12),1,0)</f>
        <v/>
      </c>
      <c r="AM38" s="85">
        <f>IF(AND(35&gt;=$C$12,35&lt;=$E$12),1,0)</f>
        <v/>
      </c>
      <c r="AN38" s="85">
        <f>IF(AND(36&gt;=$C$12,36&lt;=$E$12),1,0)</f>
        <v/>
      </c>
      <c r="AO38" s="85">
        <f>IF(AND(37&gt;=$C$12,37&lt;=$E$12),1,0)</f>
        <v/>
      </c>
      <c r="AP38" s="85">
        <f>IF(AND(38&gt;=$C$12,38&lt;=$E$12),1,0)</f>
        <v/>
      </c>
      <c r="AQ38" s="85">
        <f>IF(AND(39&gt;=$C$12,39&lt;=$E$12),1,0)</f>
        <v/>
      </c>
      <c r="AR38" s="85">
        <f>IF(AND(40&gt;=$C$12,40&lt;=$E$12),1,0)</f>
        <v/>
      </c>
      <c r="AS38" s="85">
        <f>IF(AND(41&gt;=$C$12,41&lt;=$E$12),1,0)</f>
        <v/>
      </c>
      <c r="AT38" s="85">
        <f>IF(AND(42&gt;=$C$12,42&lt;=$E$12),1,0)</f>
        <v/>
      </c>
      <c r="AU38" s="85">
        <f>IF(AND(43&gt;=$C$12,43&lt;=$E$12),1,0)</f>
        <v/>
      </c>
      <c r="AV38" s="85">
        <f>IF(AND(44&gt;=$C$12,44&lt;=$E$12),1,0)</f>
        <v/>
      </c>
      <c r="AW38" s="85">
        <f>IF(AND(45&gt;=$C$12,45&lt;=$E$12),1,0)</f>
        <v/>
      </c>
      <c r="AX38" s="85">
        <f>IF(AND(46&gt;=$C$12,46&lt;=$E$12),1,0)</f>
        <v/>
      </c>
      <c r="AY38" s="85">
        <f>IF(AND(47&gt;=$C$12,47&lt;=$E$12),1,0)</f>
        <v/>
      </c>
      <c r="AZ38" s="85">
        <f>IF(AND(48&gt;=$C$12,48&lt;=$E$12),1,0)</f>
        <v/>
      </c>
      <c r="BA38" s="85">
        <f>IF(AND(49&gt;=$C$12,49&lt;=$E$12),1,0)</f>
        <v/>
      </c>
      <c r="BB38" s="85">
        <f>IF(AND(50&gt;=$C$12,50&lt;=$E$12),1,0)</f>
        <v/>
      </c>
      <c r="BC38" s="85">
        <f>IF(AND(51&gt;=$C$12,51&lt;=$E$12),1,0)</f>
        <v/>
      </c>
      <c r="BD38" s="85">
        <f>IF(AND(52&gt;=$C$12,52&lt;=$E$12),1,0)</f>
        <v/>
      </c>
      <c r="BE38" s="85">
        <f>IF(AND(53&gt;=$C$12,53&lt;=$E$12),1,0)</f>
        <v/>
      </c>
      <c r="BF38" s="85">
        <f>IF(AND(54&gt;=$C$12,54&lt;=$E$12),1,0)</f>
        <v/>
      </c>
      <c r="BG38" s="85">
        <f>IF(AND(55&gt;=$C$12,55&lt;=$E$12),1,0)</f>
        <v/>
      </c>
      <c r="BH38" s="85">
        <f>IF(AND(56&gt;=$C$12,56&lt;=$E$12),1,0)</f>
        <v/>
      </c>
      <c r="BI38" s="85">
        <f>IF(AND(57&gt;=$C$12,57&lt;=$E$12),1,0)</f>
        <v/>
      </c>
      <c r="BJ38" s="85">
        <f>IF(AND(58&gt;=$C$12,58&lt;=$E$12),1,0)</f>
        <v/>
      </c>
      <c r="BK38" s="85">
        <f>IF(AND(59&gt;=$C$12,59&lt;=$E$12),1,0)</f>
        <v/>
      </c>
      <c r="BL38" s="85">
        <f>IF(AND(60&gt;=$C$12,60&lt;=$E$12),1,0)</f>
        <v/>
      </c>
      <c r="BM38" s="85">
        <f>IF(AND(61&gt;=$C$12,61&lt;=$E$12),1,0)</f>
        <v/>
      </c>
      <c r="BN38" s="85">
        <f>IF(AND(62&gt;=$C$12,62&lt;=$E$12),1,0)</f>
        <v/>
      </c>
      <c r="BO38" s="85">
        <f>IF(AND(63&gt;=$C$12,63&lt;=$E$12),1,0)</f>
        <v/>
      </c>
      <c r="BP38" s="85">
        <f>IF(AND(64&gt;=$C$12,64&lt;=$E$12),1,0)</f>
        <v/>
      </c>
      <c r="BQ38" s="85">
        <f>IF(AND(65&gt;=$C$12,65&lt;=$E$12),1,0)</f>
        <v/>
      </c>
      <c r="BR38" s="85">
        <f>IF(AND(66&gt;=$C$12,66&lt;=$E$12),1,0)</f>
        <v/>
      </c>
      <c r="BS38" s="85">
        <f>IF(AND(67&gt;=$C$12,67&lt;=$E$12),1,0)</f>
        <v/>
      </c>
      <c r="BT38" s="85">
        <f>IF(AND(68&gt;=$C$12,68&lt;=$E$12),1,0)</f>
        <v/>
      </c>
      <c r="BU38" s="85">
        <f>IF(AND(69&gt;=$C$12,69&lt;=$E$12),1,0)</f>
        <v/>
      </c>
      <c r="BV38" s="85">
        <f>IF(AND(70&gt;=$C$12,70&lt;=$E$12),1,0)</f>
        <v/>
      </c>
      <c r="BW38" s="85">
        <f>IF(AND(71&gt;=$C$12,71&lt;=$E$12),1,0)</f>
        <v/>
      </c>
      <c r="BX38" s="85">
        <f>IF(AND(72&gt;=$C$12,72&lt;=$E$12),1,0)</f>
        <v/>
      </c>
      <c r="BY38" s="85">
        <f>IF(AND(73&gt;=$C$12,73&lt;=$E$12),1,0)</f>
        <v/>
      </c>
      <c r="BZ38" s="85">
        <f>IF(AND(74&gt;=$C$12,74&lt;=$E$12),1,0)</f>
        <v/>
      </c>
      <c r="CA38" s="85">
        <f>IF(AND(75&gt;=$C$12,75&lt;=$E$12),1,0)</f>
        <v/>
      </c>
      <c r="CB38" s="85">
        <f>IF(AND(76&gt;=$C$12,76&lt;=$E$12),1,0)</f>
        <v/>
      </c>
      <c r="CC38" s="85">
        <f>IF(AND(77&gt;=$C$12,77&lt;=$E$12),1,0)</f>
        <v/>
      </c>
      <c r="CD38" s="85">
        <f>IF(AND(78&gt;=$C$12,78&lt;=$E$12),1,0)</f>
        <v/>
      </c>
      <c r="CE38" s="85">
        <f>IF(AND(79&gt;=$C$12,79&lt;=$E$12),1,0)</f>
        <v/>
      </c>
      <c r="CF38" s="85">
        <f>IF(AND(80&gt;=$C$12,80&lt;=$E$12),1,0)</f>
        <v/>
      </c>
      <c r="CG38" s="85">
        <f>IF(AND(81&gt;=$C$12,81&lt;=$E$12),1,0)</f>
        <v/>
      </c>
      <c r="CH38" s="85">
        <f>IF(AND(82&gt;=$C$12,82&lt;=$E$12),1,0)</f>
        <v/>
      </c>
      <c r="CI38" s="85">
        <f>IF(AND(83&gt;=$C$12,83&lt;=$E$12),1,0)</f>
        <v/>
      </c>
      <c r="CJ38" s="85">
        <f>IF(AND(84&gt;=$C$12,84&lt;=$E$12),1,0)</f>
        <v/>
      </c>
      <c r="CK38" s="85">
        <f>IF(AND(85&gt;=$C$12,85&lt;=$E$12),1,0)</f>
        <v/>
      </c>
      <c r="CL38" s="85">
        <f>IF(AND(86&gt;=$C$12,86&lt;=$E$12),1,0)</f>
        <v/>
      </c>
      <c r="CM38" s="85">
        <f>IF(AND(87&gt;=$C$12,87&lt;=$E$12),1,0)</f>
        <v/>
      </c>
      <c r="CN38" s="85">
        <f>IF(AND(88&gt;=$C$12,88&lt;=$E$12),1,0)</f>
        <v/>
      </c>
      <c r="CO38" s="85">
        <f>IF(AND(89&gt;=$C$12,89&lt;=$E$12),1,0)</f>
        <v/>
      </c>
      <c r="CP38" s="85">
        <f>IF(AND(90&gt;=$C$12,90&lt;=$E$12),1,0)</f>
        <v/>
      </c>
      <c r="CQ38" s="85">
        <f>IF(AND(91&gt;=$C$12,91&lt;=$E$12),1,0)</f>
        <v/>
      </c>
      <c r="CR38" s="85">
        <f>IF(AND(92&gt;=$C$12,92&lt;=$E$12),1,0)</f>
        <v/>
      </c>
      <c r="CS38" s="85">
        <f>IF(AND(93&gt;=$C$12,93&lt;=$E$12),1,0)</f>
        <v/>
      </c>
      <c r="CT38" s="85">
        <f>IF(AND(94&gt;=$C$12,94&lt;=$E$12),1,0)</f>
        <v/>
      </c>
      <c r="CU38" s="85">
        <f>IF(AND(95&gt;=$C$12,95&lt;=$E$12),1,0)</f>
        <v/>
      </c>
      <c r="CV38" s="85">
        <f>IF(AND(96&gt;=$C$12,96&lt;=$E$12),1,0)</f>
        <v/>
      </c>
      <c r="CW38" s="85">
        <f>IF(AND(97&gt;=$C$12,97&lt;=$E$12),1,0)</f>
        <v/>
      </c>
      <c r="CX38" s="85">
        <f>IF(AND(98&gt;=$C$12,98&lt;=$E$12),1,0)</f>
        <v/>
      </c>
      <c r="CY38" s="85">
        <f>IF(AND(99&gt;=$C$12,99&lt;=$E$12),1,0)</f>
        <v/>
      </c>
      <c r="CZ38" s="85">
        <f>IF(AND(100&gt;=$C$12,100&lt;=$E$12),1,0)</f>
        <v/>
      </c>
      <c r="DA38" s="85">
        <f>IF(AND(101&gt;=$C$12,101&lt;=$E$12),1,0)</f>
        <v/>
      </c>
      <c r="DB38" s="85">
        <f>IF(AND(102&gt;=$C$12,102&lt;=$E$12),1,0)</f>
        <v/>
      </c>
      <c r="DC38" s="85">
        <f>IF(AND(103&gt;=$C$12,103&lt;=$E$12),1,0)</f>
        <v/>
      </c>
      <c r="DD38" s="85">
        <f>IF(AND(104&gt;=$C$12,104&lt;=$E$12),1,0)</f>
        <v/>
      </c>
      <c r="DE38" s="85">
        <f>IF(AND(105&gt;=$C$12,105&lt;=$E$12),1,0)</f>
        <v/>
      </c>
      <c r="DF38" s="85">
        <f>IF(AND(106&gt;=$C$12,106&lt;=$E$12),1,0)</f>
        <v/>
      </c>
      <c r="DG38" s="85">
        <f>IF(AND(107&gt;=$C$12,107&lt;=$E$12),1,0)</f>
        <v/>
      </c>
      <c r="DH38" s="85">
        <f>IF(AND(108&gt;=$C$12,108&lt;=$E$12),1,0)</f>
        <v/>
      </c>
      <c r="DI38" s="85">
        <f>IF(AND(109&gt;=$C$12,109&lt;=$E$12),1,0)</f>
        <v/>
      </c>
      <c r="DJ38" s="85">
        <f>IF(AND(110&gt;=$C$12,110&lt;=$E$12),1,0)</f>
        <v/>
      </c>
      <c r="DK38" s="85">
        <f>IF(AND(111&gt;=$C$12,111&lt;=$E$12),1,0)</f>
        <v/>
      </c>
      <c r="DL38" s="85">
        <f>IF(AND(112&gt;=$C$12,112&lt;=$E$12),1,0)</f>
        <v/>
      </c>
      <c r="DM38" s="85">
        <f>IF(AND(113&gt;=$C$12,113&lt;=$E$12),1,0)</f>
        <v/>
      </c>
      <c r="DN38" s="85">
        <f>IF(AND(114&gt;=$C$12,114&lt;=$E$12),1,0)</f>
        <v/>
      </c>
      <c r="DO38" s="85">
        <f>IF(AND(115&gt;=$C$12,115&lt;=$E$12),1,0)</f>
        <v/>
      </c>
      <c r="DP38" s="85">
        <f>IF(AND(116&gt;=$C$12,116&lt;=$E$12),1,0)</f>
        <v/>
      </c>
      <c r="DQ38" s="85">
        <f>IF(AND(117&gt;=$C$12,117&lt;=$E$12),1,0)</f>
        <v/>
      </c>
      <c r="DR38" s="85">
        <f>IF(AND(118&gt;=$C$12,118&lt;=$E$12),1,0)</f>
        <v/>
      </c>
      <c r="DS38" s="85">
        <f>IF(AND(119&gt;=$C$12,119&lt;=$E$12),1,0)</f>
        <v/>
      </c>
      <c r="DT38" s="85">
        <f>IF(AND(120&gt;=$C$12,120&lt;=$E$12),1,0)</f>
        <v/>
      </c>
      <c r="DU38" s="85">
        <f>IF(AND(121&gt;=$C$12,121&lt;=$E$12),1,0)</f>
        <v/>
      </c>
      <c r="DV38" s="85">
        <f>IF(AND(122&gt;=$C$12,122&lt;=$E$12),1,0)</f>
        <v/>
      </c>
      <c r="DW38" s="85">
        <f>IF(AND(123&gt;=$C$12,123&lt;=$E$12),1,0)</f>
        <v/>
      </c>
      <c r="DX38" s="85">
        <f>IF(AND(124&gt;=$C$12,124&lt;=$E$12),1,0)</f>
        <v/>
      </c>
      <c r="DY38" s="85">
        <f>IF(AND(125&gt;=$C$12,125&lt;=$E$12),1,0)</f>
        <v/>
      </c>
      <c r="DZ38" s="85">
        <f>IF(AND(126&gt;=$C$12,126&lt;=$E$12),1,0)</f>
        <v/>
      </c>
      <c r="EA38" s="85">
        <f>IF(AND(127&gt;=$C$12,127&lt;=$E$12),1,0)</f>
        <v/>
      </c>
      <c r="EB38" s="85">
        <f>IF(AND(128&gt;=$C$12,128&lt;=$E$12),1,0)</f>
        <v/>
      </c>
      <c r="EC38" s="85">
        <f>IF(AND(129&gt;=$C$12,129&lt;=$E$12),1,0)</f>
        <v/>
      </c>
      <c r="ED38" s="85">
        <f>IF(AND(130&gt;=$C$12,130&lt;=$E$12),1,0)</f>
        <v/>
      </c>
      <c r="EE38" s="85">
        <f>IF(AND(131&gt;=$C$12,131&lt;=$E$12),1,0)</f>
        <v/>
      </c>
      <c r="EF38" s="85">
        <f>IF(AND(132&gt;=$C$12,132&lt;=$E$12),1,0)</f>
        <v/>
      </c>
      <c r="EG38" s="85">
        <f>IF(AND(133&gt;=$C$12,133&lt;=$E$12),1,0)</f>
        <v/>
      </c>
      <c r="EH38" s="85">
        <f>IF(AND(134&gt;=$C$12,134&lt;=$E$12),1,0)</f>
        <v/>
      </c>
      <c r="EI38" s="85">
        <f>IF(AND(135&gt;=$C$12,135&lt;=$E$12),1,0)</f>
        <v/>
      </c>
      <c r="EJ38" s="85">
        <f>IF(AND(136&gt;=$C$12,136&lt;=$E$12),1,0)</f>
        <v/>
      </c>
      <c r="EK38" s="85">
        <f>IF(AND(137&gt;=$C$12,137&lt;=$E$12),1,0)</f>
        <v/>
      </c>
      <c r="EL38" s="85">
        <f>IF(AND(138&gt;=$C$12,138&lt;=$E$12),1,0)</f>
        <v/>
      </c>
      <c r="EM38" s="85">
        <f>IF(AND(139&gt;=$C$12,139&lt;=$E$12),1,0)</f>
        <v/>
      </c>
      <c r="EN38" s="85">
        <f>IF(AND(140&gt;=$C$12,140&lt;=$E$12),1,0)</f>
        <v/>
      </c>
      <c r="EO38" s="85">
        <f>IF(AND(141&gt;=$C$12,141&lt;=$E$12),1,0)</f>
        <v/>
      </c>
      <c r="EP38" s="85">
        <f>IF(AND(142&gt;=$C$12,142&lt;=$E$12),1,0)</f>
        <v/>
      </c>
      <c r="EQ38" s="85">
        <f>IF(AND(143&gt;=$C$12,143&lt;=$E$12),1,0)</f>
        <v/>
      </c>
      <c r="ER38" s="85">
        <f>IF(AND(144&gt;=$C$12,144&lt;=$E$12),1,0)</f>
        <v/>
      </c>
      <c r="ES38" s="85">
        <f>IF(AND(145&gt;=$C$12,145&lt;=$E$12),1,0)</f>
        <v/>
      </c>
      <c r="ET38" s="85">
        <f>IF(AND(146&gt;=$C$12,146&lt;=$E$12),1,0)</f>
        <v/>
      </c>
      <c r="EU38" s="85">
        <f>IF(AND(147&gt;=$C$12,147&lt;=$E$12),1,0)</f>
        <v/>
      </c>
      <c r="EV38" s="85">
        <f>IF(AND(148&gt;=$C$12,148&lt;=$E$12),1,0)</f>
        <v/>
      </c>
      <c r="EW38" s="85">
        <f>IF(AND(149&gt;=$C$12,149&lt;=$E$12),1,0)</f>
        <v/>
      </c>
      <c r="EX38" s="85">
        <f>IF(AND(150&gt;=$C$12,150&lt;=$E$12),1,0)</f>
        <v/>
      </c>
      <c r="EY38" s="85">
        <f>IF(AND(151&gt;=$C$12,151&lt;=$E$12),1,0)</f>
        <v/>
      </c>
      <c r="EZ38" s="85">
        <f>IF(AND(152&gt;=$C$12,152&lt;=$E$12),1,0)</f>
        <v/>
      </c>
      <c r="FA38" s="85">
        <f>IF(AND(153&gt;=$C$12,153&lt;=$E$12),1,0)</f>
        <v/>
      </c>
      <c r="FB38" s="85">
        <f>IF(AND(154&gt;=$C$12,154&lt;=$E$12),1,0)</f>
        <v/>
      </c>
      <c r="FC38" s="85">
        <f>IF(AND(155&gt;=$C$12,155&lt;=$E$12),1,0)</f>
        <v/>
      </c>
      <c r="FD38" s="85">
        <f>IF(AND(156&gt;=$C$12,156&lt;=$E$12),1,0)</f>
        <v/>
      </c>
      <c r="FE38" s="85">
        <f>IF(AND(157&gt;=$C$12,157&lt;=$E$12),1,0)</f>
        <v/>
      </c>
      <c r="FF38" s="85">
        <f>IF(AND(158&gt;=$C$12,158&lt;=$E$12),1,0)</f>
        <v/>
      </c>
      <c r="FG38" s="85">
        <f>IF(AND(159&gt;=$C$12,159&lt;=$E$12),1,0)</f>
        <v/>
      </c>
      <c r="FH38" s="85">
        <f>IF(AND(160&gt;=$C$12,160&lt;=$E$12),1,0)</f>
        <v/>
      </c>
      <c r="FI38" s="85">
        <f>IF(AND(161&gt;=$C$12,161&lt;=$E$12),1,0)</f>
        <v/>
      </c>
      <c r="FJ38" s="85">
        <f>IF(AND(162&gt;=$C$12,162&lt;=$E$12),1,0)</f>
        <v/>
      </c>
      <c r="FK38" s="85">
        <f>IF(AND(163&gt;=$C$12,163&lt;=$E$12),1,0)</f>
        <v/>
      </c>
      <c r="FL38" s="85">
        <f>IF(AND(164&gt;=$C$12,164&lt;=$E$12),1,0)</f>
        <v/>
      </c>
      <c r="FM38" s="85">
        <f>IF(AND(165&gt;=$C$12,165&lt;=$E$12),1,0)</f>
        <v/>
      </c>
      <c r="FN38" s="85">
        <f>IF(AND(166&gt;=$C$12,166&lt;=$E$12),1,0)</f>
        <v/>
      </c>
      <c r="FO38" s="85">
        <f>IF(AND(167&gt;=$C$12,167&lt;=$E$12),1,0)</f>
        <v/>
      </c>
      <c r="FP38" s="85">
        <f>IF(AND(168&gt;=$C$12,168&lt;=$E$12),1,0)</f>
        <v/>
      </c>
      <c r="FQ38" s="85">
        <f>IF(AND(169&gt;=$C$12,169&lt;=$E$12),1,0)</f>
        <v/>
      </c>
      <c r="FR38" s="85">
        <f>IF(AND(170&gt;=$C$12,170&lt;=$E$12),1,0)</f>
        <v/>
      </c>
      <c r="FS38" s="85">
        <f>IF(AND(171&gt;=$C$12,171&lt;=$E$12),1,0)</f>
        <v/>
      </c>
      <c r="FT38" s="85">
        <f>IF(AND(172&gt;=$C$12,172&lt;=$E$12),1,0)</f>
        <v/>
      </c>
      <c r="FU38" s="85">
        <f>IF(AND(173&gt;=$C$12,173&lt;=$E$12),1,0)</f>
        <v/>
      </c>
      <c r="FV38" s="85">
        <f>IF(AND(174&gt;=$C$12,174&lt;=$E$12),1,0)</f>
        <v/>
      </c>
      <c r="FW38" s="85">
        <f>IF(AND(175&gt;=$C$12,175&lt;=$E$12),1,0)</f>
        <v/>
      </c>
      <c r="FX38" s="85">
        <f>IF(AND(176&gt;=$C$12,176&lt;=$E$12),1,0)</f>
        <v/>
      </c>
      <c r="FY38" s="85">
        <f>IF(AND(177&gt;=$C$12,177&lt;=$E$12),1,0)</f>
        <v/>
      </c>
      <c r="FZ38" s="85">
        <f>IF(AND(178&gt;=$C$12,178&lt;=$E$12),1,0)</f>
        <v/>
      </c>
      <c r="GA38" s="85">
        <f>IF(AND(179&gt;=$C$12,179&lt;=$E$12),1,0)</f>
        <v/>
      </c>
      <c r="GB38" s="85">
        <f>IF(AND(180&gt;=$C$12,180&lt;=$E$12),1,0)</f>
        <v/>
      </c>
      <c r="GC38" s="85">
        <f>IF(AND(181&gt;=$C$12,181&lt;=$E$12),1,0)</f>
        <v/>
      </c>
      <c r="GD38" s="85">
        <f>IF(AND(182&gt;=$C$12,182&lt;=$E$12),1,0)</f>
        <v/>
      </c>
      <c r="GE38" s="85">
        <f>IF(AND(183&gt;=$C$12,183&lt;=$E$12),1,0)</f>
        <v/>
      </c>
      <c r="GF38" s="85">
        <f>IF(AND(184&gt;=$C$12,184&lt;=$E$12),1,0)</f>
        <v/>
      </c>
      <c r="GG38" s="85">
        <f>IF(AND(185&gt;=$C$12,185&lt;=$E$12),1,0)</f>
        <v/>
      </c>
      <c r="GH38" s="85">
        <f>IF(AND(186&gt;=$C$12,186&lt;=$E$12),1,0)</f>
        <v/>
      </c>
      <c r="GI38" s="85">
        <f>IF(AND(187&gt;=$C$12,187&lt;=$E$12),1,0)</f>
        <v/>
      </c>
      <c r="GJ38" s="85">
        <f>IF(AND(188&gt;=$C$12,188&lt;=$E$12),1,0)</f>
        <v/>
      </c>
      <c r="GK38" s="85">
        <f>IF(AND(189&gt;=$C$12,189&lt;=$E$12),1,0)</f>
        <v/>
      </c>
      <c r="GL38" s="85">
        <f>IF(AND(190&gt;=$C$12,190&lt;=$E$12),1,0)</f>
        <v/>
      </c>
      <c r="GM38" s="85">
        <f>IF(AND(191&gt;=$C$12,191&lt;=$E$12),1,0)</f>
        <v/>
      </c>
      <c r="GN38" s="85">
        <f>IF(AND(192&gt;=$C$12,192&lt;=$E$12),1,0)</f>
        <v/>
      </c>
      <c r="GO38" s="85">
        <f>IF(AND(193&gt;=$C$12,193&lt;=$E$12),1,0)</f>
        <v/>
      </c>
      <c r="GP38" s="85">
        <f>IF(AND(194&gt;=$C$12,194&lt;=$E$12),1,0)</f>
        <v/>
      </c>
      <c r="GQ38" s="85">
        <f>IF(AND(195&gt;=$C$12,195&lt;=$E$12),1,0)</f>
        <v/>
      </c>
      <c r="GR38" s="85">
        <f>IF(AND(196&gt;=$C$12,196&lt;=$E$12),1,0)</f>
        <v/>
      </c>
      <c r="GS38" s="85">
        <f>IF(AND(197&gt;=$C$12,197&lt;=$E$12),1,0)</f>
        <v/>
      </c>
      <c r="GT38" s="85">
        <f>IF(AND(198&gt;=$C$12,198&lt;=$E$12),1,0)</f>
        <v/>
      </c>
      <c r="GU38" s="85">
        <f>IF(AND(199&gt;=$C$12,199&lt;=$E$12),1,0)</f>
        <v/>
      </c>
      <c r="GV38" s="85">
        <f>IF(AND(200&gt;=$C$12,200&lt;=$E$12),1,0)</f>
        <v/>
      </c>
      <c r="GW38" s="85">
        <f>IF(AND(201&gt;=$C$12,201&lt;=$E$12),1,0)</f>
        <v/>
      </c>
      <c r="GX38" s="85">
        <f>IF(AND(202&gt;=$C$12,202&lt;=$E$12),1,0)</f>
        <v/>
      </c>
      <c r="GY38" s="85">
        <f>IF(AND(203&gt;=$C$12,203&lt;=$E$12),1,0)</f>
        <v/>
      </c>
      <c r="GZ38" s="85">
        <f>IF(AND(204&gt;=$C$12,204&lt;=$E$12),1,0)</f>
        <v/>
      </c>
      <c r="HA38" s="85">
        <f>IF(AND(205&gt;=$C$12,205&lt;=$E$12),1,0)</f>
        <v/>
      </c>
      <c r="HB38" s="85">
        <f>IF(AND(206&gt;=$C$12,206&lt;=$E$12),1,0)</f>
        <v/>
      </c>
      <c r="HC38" s="85">
        <f>IF(AND(207&gt;=$C$12,207&lt;=$E$12),1,0)</f>
        <v/>
      </c>
      <c r="HD38" s="85">
        <f>IF(AND(208&gt;=$C$12,208&lt;=$E$12),1,0)</f>
        <v/>
      </c>
      <c r="HE38" s="85">
        <f>IF(AND(209&gt;=$C$12,209&lt;=$E$12),1,0)</f>
        <v/>
      </c>
      <c r="HF38" s="85">
        <f>IF(AND(210&gt;=$C$12,210&lt;=$E$12),1,0)</f>
        <v/>
      </c>
      <c r="HG38" s="85">
        <f>IF(AND(211&gt;=$C$12,211&lt;=$E$12),1,0)</f>
        <v/>
      </c>
      <c r="HH38" s="85">
        <f>IF(AND(212&gt;=$C$12,212&lt;=$E$12),1,0)</f>
        <v/>
      </c>
      <c r="HI38" s="85">
        <f>IF(AND(213&gt;=$C$12,213&lt;=$E$12),1,0)</f>
        <v/>
      </c>
      <c r="HJ38" s="85">
        <f>IF(AND(214&gt;=$C$12,214&lt;=$E$12),1,0)</f>
        <v/>
      </c>
      <c r="HK38" s="85">
        <f>IF(AND(215&gt;=$C$12,215&lt;=$E$12),1,0)</f>
        <v/>
      </c>
      <c r="HL38" s="85">
        <f>IF(AND(216&gt;=$C$12,216&lt;=$E$12),1,0)</f>
        <v/>
      </c>
      <c r="HM38" s="85">
        <f>IF(AND(217&gt;=$C$12,217&lt;=$E$12),1,0)</f>
        <v/>
      </c>
      <c r="HN38" s="85">
        <f>IF(AND(218&gt;=$C$12,218&lt;=$E$12),1,0)</f>
        <v/>
      </c>
      <c r="HO38" s="85">
        <f>IF(AND(219&gt;=$C$12,219&lt;=$E$12),1,0)</f>
        <v/>
      </c>
      <c r="HP38" s="85">
        <f>IF(AND(220&gt;=$C$12,220&lt;=$E$12),1,0)</f>
        <v/>
      </c>
      <c r="HQ38" s="85">
        <f>IF(AND(221&gt;=$C$12,221&lt;=$E$12),1,0)</f>
        <v/>
      </c>
      <c r="HR38" s="85">
        <f>IF(AND(222&gt;=$C$12,222&lt;=$E$12),1,0)</f>
        <v/>
      </c>
      <c r="HS38" s="85">
        <f>IF(AND(223&gt;=$C$12,223&lt;=$E$12),1,0)</f>
        <v/>
      </c>
      <c r="HT38" s="85">
        <f>IF(AND(224&gt;=$C$12,224&lt;=$E$12),1,0)</f>
        <v/>
      </c>
      <c r="HU38" s="85">
        <f>IF(AND(225&gt;=$C$12,225&lt;=$E$12),1,0)</f>
        <v/>
      </c>
      <c r="HV38" s="85">
        <f>IF(AND(226&gt;=$C$12,226&lt;=$E$12),1,0)</f>
        <v/>
      </c>
      <c r="HW38" s="85">
        <f>IF(AND(227&gt;=$C$12,227&lt;=$E$12),1,0)</f>
        <v/>
      </c>
      <c r="HX38" s="85">
        <f>IF(AND(228&gt;=$C$12,228&lt;=$E$12),1,0)</f>
        <v/>
      </c>
      <c r="HY38" s="85">
        <f>IF(AND(229&gt;=$C$12,229&lt;=$E$12),1,0)</f>
        <v/>
      </c>
      <c r="HZ38" s="85">
        <f>IF(AND(230&gt;=$C$12,230&lt;=$E$12),1,0)</f>
        <v/>
      </c>
      <c r="IA38" s="85">
        <f>IF(AND(231&gt;=$C$12,231&lt;=$E$12),1,0)</f>
        <v/>
      </c>
      <c r="IB38" s="85">
        <f>IF(AND(232&gt;=$C$12,232&lt;=$E$12),1,0)</f>
        <v/>
      </c>
      <c r="IC38" s="85">
        <f>IF(AND(233&gt;=$C$12,233&lt;=$E$12),1,0)</f>
        <v/>
      </c>
      <c r="ID38" s="85">
        <f>IF(AND(234&gt;=$C$12,234&lt;=$E$12),1,0)</f>
        <v/>
      </c>
      <c r="IE38" s="85">
        <f>IF(AND(235&gt;=$C$12,235&lt;=$E$12),1,0)</f>
        <v/>
      </c>
      <c r="IF38" s="85">
        <f>IF(AND(236&gt;=$C$12,236&lt;=$E$12),1,0)</f>
        <v/>
      </c>
      <c r="IG38" s="85">
        <f>IF(AND(237&gt;=$C$12,237&lt;=$E$12),1,0)</f>
        <v/>
      </c>
      <c r="IH38" s="85">
        <f>IF(AND(238&gt;=$C$12,238&lt;=$E$12),1,0)</f>
        <v/>
      </c>
      <c r="II38" s="85">
        <f>IF(AND(239&gt;=$C$12,239&lt;=$E$12),1,0)</f>
        <v/>
      </c>
      <c r="IJ38" s="85">
        <f>IF(AND(240&gt;=$C$12,240&lt;=$E$12),1,0)</f>
        <v/>
      </c>
      <c r="IK38" s="85">
        <f>IF(AND(241&gt;=$C$12,241&lt;=$E$12),1,0)</f>
        <v/>
      </c>
      <c r="IL38" s="85">
        <f>IF(AND(242&gt;=$C$12,242&lt;=$E$12),1,0)</f>
        <v/>
      </c>
      <c r="IM38" s="85">
        <f>IF(AND(243&gt;=$C$12,243&lt;=$E$12),1,0)</f>
        <v/>
      </c>
      <c r="IN38" s="85">
        <f>IF(AND(244&gt;=$C$12,244&lt;=$E$12),1,0)</f>
        <v/>
      </c>
      <c r="IO38" s="85">
        <f>IF(AND(245&gt;=$C$12,245&lt;=$E$12),1,0)</f>
        <v/>
      </c>
      <c r="IP38" s="85">
        <f>IF(AND(246&gt;=$C$12,246&lt;=$E$12),1,0)</f>
        <v/>
      </c>
      <c r="IQ38" s="85">
        <f>IF(AND(247&gt;=$C$12,247&lt;=$E$12),1,0)</f>
        <v/>
      </c>
      <c r="IR38" s="85">
        <f>IF(AND(248&gt;=$C$12,248&lt;=$E$12),1,0)</f>
        <v/>
      </c>
      <c r="IS38" s="85">
        <f>IF(AND(249&gt;=$C$12,249&lt;=$E$12),1,0)</f>
        <v/>
      </c>
      <c r="IT38" s="85">
        <f>IF(AND(250&gt;=$C$12,250&lt;=$E$12),1,0)</f>
        <v/>
      </c>
      <c r="IU38" s="85">
        <f>IF(AND(251&gt;=$C$12,251&lt;=$E$12),1,0)</f>
        <v/>
      </c>
      <c r="IV38" s="85">
        <f>IF(AND(252&gt;=$C$12,252&lt;=$E$12),1,0)</f>
        <v/>
      </c>
      <c r="IW38" s="85">
        <f>IF(AND(253&gt;=$C$12,253&lt;=$E$12),1,0)</f>
        <v/>
      </c>
      <c r="IX38" s="85">
        <f>IF(AND(254&gt;=$C$12,254&lt;=$E$12),1,0)</f>
        <v/>
      </c>
      <c r="IY38" s="85">
        <f>IF(AND(255&gt;=$C$12,255&lt;=$E$12),1,0)</f>
        <v/>
      </c>
      <c r="IZ38" s="85">
        <f>IF(AND(256&gt;=$C$12,256&lt;=$E$12),1,0)</f>
        <v/>
      </c>
      <c r="JA38" s="85">
        <f>IF(AND(257&gt;=$C$12,257&lt;=$E$12),1,0)</f>
        <v/>
      </c>
      <c r="JB38" s="85">
        <f>IF(AND(258&gt;=$C$12,258&lt;=$E$12),1,0)</f>
        <v/>
      </c>
      <c r="JC38" s="85">
        <f>IF(AND(259&gt;=$C$12,259&lt;=$E$12),1,0)</f>
        <v/>
      </c>
      <c r="JD38" s="85">
        <f>IF(AND(260&gt;=$C$12,260&lt;=$E$12),1,0)</f>
        <v/>
      </c>
      <c r="JE38" s="85">
        <f>IF(AND(261&gt;=$C$12,261&lt;=$E$12),1,0)</f>
        <v/>
      </c>
      <c r="JF38" s="85">
        <f>IF(AND(262&gt;=$C$12,262&lt;=$E$12),1,0)</f>
        <v/>
      </c>
      <c r="JG38" s="85">
        <f>IF(AND(263&gt;=$C$12,263&lt;=$E$12),1,0)</f>
        <v/>
      </c>
      <c r="JH38" s="85">
        <f>IF(AND(264&gt;=$C$12,264&lt;=$E$12),1,0)</f>
        <v/>
      </c>
      <c r="JI38" s="85">
        <f>IF(AND(265&gt;=$C$12,265&lt;=$E$12),1,0)</f>
        <v/>
      </c>
      <c r="JJ38" s="85">
        <f>IF(AND(266&gt;=$C$12,266&lt;=$E$12),1,0)</f>
        <v/>
      </c>
      <c r="JK38" s="85">
        <f>IF(AND(267&gt;=$C$12,267&lt;=$E$12),1,0)</f>
        <v/>
      </c>
      <c r="JL38" s="85">
        <f>IF(AND(268&gt;=$C$12,268&lt;=$E$12),1,0)</f>
        <v/>
      </c>
      <c r="JM38" s="85">
        <f>IF(AND(269&gt;=$C$12,269&lt;=$E$12),1,0)</f>
        <v/>
      </c>
      <c r="JN38" s="85">
        <f>IF(AND(270&gt;=$C$12,270&lt;=$E$12),1,0)</f>
        <v/>
      </c>
      <c r="JO38" s="85">
        <f>IF(AND(271&gt;=$C$12,271&lt;=$E$12),1,0)</f>
        <v/>
      </c>
      <c r="JP38" s="85">
        <f>IF(AND(272&gt;=$C$12,272&lt;=$E$12),1,0)</f>
        <v/>
      </c>
      <c r="JQ38" s="85">
        <f>IF(AND(273&gt;=$C$12,273&lt;=$E$12),1,0)</f>
        <v/>
      </c>
      <c r="JR38" s="85">
        <f>IF(AND(274&gt;=$C$12,274&lt;=$E$12),1,0)</f>
        <v/>
      </c>
      <c r="JS38" s="85">
        <f>IF(AND(275&gt;=$C$12,275&lt;=$E$12),1,0)</f>
        <v/>
      </c>
      <c r="JT38" s="85">
        <f>IF(AND(276&gt;=$C$12,276&lt;=$E$12),1,0)</f>
        <v/>
      </c>
      <c r="JU38" s="85">
        <f>IF(AND(277&gt;=$C$12,277&lt;=$E$12),1,0)</f>
        <v/>
      </c>
      <c r="JV38" s="85">
        <f>IF(AND(278&gt;=$C$12,278&lt;=$E$12),1,0)</f>
        <v/>
      </c>
      <c r="JW38" s="85">
        <f>IF(AND(279&gt;=$C$12,279&lt;=$E$12),1,0)</f>
        <v/>
      </c>
      <c r="JX38" s="85">
        <f>IF(AND(280&gt;=$C$12,280&lt;=$E$12),1,0)</f>
        <v/>
      </c>
      <c r="JY38" s="85">
        <f>IF(AND(281&gt;=$C$12,281&lt;=$E$12),1,0)</f>
        <v/>
      </c>
      <c r="JZ38" s="85">
        <f>IF(AND(282&gt;=$C$12,282&lt;=$E$12),1,0)</f>
        <v/>
      </c>
      <c r="KA38" s="85">
        <f>IF(AND(283&gt;=$C$12,283&lt;=$E$12),1,0)</f>
        <v/>
      </c>
      <c r="KB38" s="85">
        <f>IF(AND(284&gt;=$C$12,284&lt;=$E$12),1,0)</f>
        <v/>
      </c>
      <c r="KC38" s="85">
        <f>IF(AND(285&gt;=$C$12,285&lt;=$E$12),1,0)</f>
        <v/>
      </c>
      <c r="KD38" s="85">
        <f>IF(AND(286&gt;=$C$12,286&lt;=$E$12),1,0)</f>
        <v/>
      </c>
      <c r="KE38" s="85">
        <f>IF(AND(287&gt;=$C$12,287&lt;=$E$12),1,0)</f>
        <v/>
      </c>
      <c r="KF38" s="85">
        <f>IF(AND(288&gt;=$C$12,288&lt;=$E$12),1,0)</f>
        <v/>
      </c>
      <c r="KG38" s="85">
        <f>IF(AND(289&gt;=$C$12,289&lt;=$E$12),1,0)</f>
        <v/>
      </c>
      <c r="KH38" s="85">
        <f>IF(AND(290&gt;=$C$12,290&lt;=$E$12),1,0)</f>
        <v/>
      </c>
      <c r="KI38" s="85">
        <f>IF(AND(291&gt;=$C$12,291&lt;=$E$12),1,0)</f>
        <v/>
      </c>
      <c r="KJ38" s="85">
        <f>IF(AND(292&gt;=$C$12,292&lt;=$E$12),1,0)</f>
        <v/>
      </c>
      <c r="KK38" s="85">
        <f>IF(AND(293&gt;=$C$12,293&lt;=$E$12),1,0)</f>
        <v/>
      </c>
      <c r="KL38" s="85">
        <f>IF(AND(294&gt;=$C$12,294&lt;=$E$12),1,0)</f>
        <v/>
      </c>
      <c r="KM38" s="85">
        <f>IF(AND(295&gt;=$C$12,295&lt;=$E$12),1,0)</f>
        <v/>
      </c>
      <c r="KN38" s="85">
        <f>IF(AND(296&gt;=$C$12,296&lt;=$E$12),1,0)</f>
        <v/>
      </c>
      <c r="KO38" s="85">
        <f>IF(AND(297&gt;=$C$12,297&lt;=$E$12),1,0)</f>
        <v/>
      </c>
      <c r="KP38" s="85">
        <f>IF(AND(298&gt;=$C$12,298&lt;=$E$12),1,0)</f>
        <v/>
      </c>
      <c r="KQ38" s="85">
        <f>IF(AND(299&gt;=$C$12,299&lt;=$E$12),1,0)</f>
        <v/>
      </c>
      <c r="KR38" s="85">
        <f>IF(AND(300&gt;=$C$12,300&lt;=$E$12),1,0)</f>
        <v/>
      </c>
      <c r="KS38" s="85">
        <f>IF(AND(301&gt;=$C$12,301&lt;=$E$12),1,0)</f>
        <v/>
      </c>
      <c r="KT38" s="85">
        <f>IF(AND(302&gt;=$C$12,302&lt;=$E$12),1,0)</f>
        <v/>
      </c>
      <c r="KU38" s="85">
        <f>IF(AND(303&gt;=$C$12,303&lt;=$E$12),1,0)</f>
        <v/>
      </c>
      <c r="KV38" s="85">
        <f>IF(AND(304&gt;=$C$12,304&lt;=$E$12),1,0)</f>
        <v/>
      </c>
      <c r="KW38" s="85">
        <f>IF(AND(305&gt;=$C$12,305&lt;=$E$12),1,0)</f>
        <v/>
      </c>
      <c r="KX38" s="85">
        <f>IF(AND(306&gt;=$C$12,306&lt;=$E$12),1,0)</f>
        <v/>
      </c>
      <c r="KY38" s="85">
        <f>IF(AND(307&gt;=$C$12,307&lt;=$E$12),1,0)</f>
        <v/>
      </c>
      <c r="KZ38" s="85">
        <f>IF(AND(308&gt;=$C$12,308&lt;=$E$12),1,0)</f>
        <v/>
      </c>
      <c r="LA38" s="85">
        <f>IF(AND(309&gt;=$C$12,309&lt;=$E$12),1,0)</f>
        <v/>
      </c>
      <c r="LB38" s="85">
        <f>IF(AND(310&gt;=$C$12,310&lt;=$E$12),1,0)</f>
        <v/>
      </c>
      <c r="LC38" s="85">
        <f>IF(AND(311&gt;=$C$12,311&lt;=$E$12),1,0)</f>
        <v/>
      </c>
      <c r="LD38" s="85">
        <f>IF(AND(312&gt;=$C$12,312&lt;=$E$12),1,0)</f>
        <v/>
      </c>
      <c r="LE38" s="85">
        <f>IF(AND(313&gt;=$C$12,313&lt;=$E$12),1,0)</f>
        <v/>
      </c>
      <c r="LF38" s="85">
        <f>IF(AND(314&gt;=$C$12,314&lt;=$E$12),1,0)</f>
        <v/>
      </c>
      <c r="LG38" s="85">
        <f>IF(AND(315&gt;=$C$12,315&lt;=$E$12),1,0)</f>
        <v/>
      </c>
      <c r="LH38" s="85">
        <f>IF(AND(316&gt;=$C$12,316&lt;=$E$12),1,0)</f>
        <v/>
      </c>
      <c r="LI38" s="85">
        <f>IF(AND(317&gt;=$C$12,317&lt;=$E$12),1,0)</f>
        <v/>
      </c>
      <c r="LJ38" s="85">
        <f>IF(AND(318&gt;=$C$12,318&lt;=$E$12),1,0)</f>
        <v/>
      </c>
      <c r="LK38" s="85">
        <f>IF(AND(319&gt;=$C$12,319&lt;=$E$12),1,0)</f>
        <v/>
      </c>
      <c r="LL38" s="85">
        <f>IF(AND(320&gt;=$C$12,320&lt;=$E$12),1,0)</f>
        <v/>
      </c>
      <c r="LM38" s="85">
        <f>IF(AND(321&gt;=$C$12,321&lt;=$E$12),1,0)</f>
        <v/>
      </c>
      <c r="LN38" s="85">
        <f>IF(AND(322&gt;=$C$12,322&lt;=$E$12),1,0)</f>
        <v/>
      </c>
      <c r="LO38" s="85">
        <f>IF(AND(323&gt;=$C$12,323&lt;=$E$12),1,0)</f>
        <v/>
      </c>
      <c r="LP38" s="85">
        <f>IF(AND(324&gt;=$C$12,324&lt;=$E$12),1,0)</f>
        <v/>
      </c>
      <c r="LQ38" s="85">
        <f>IF(AND(325&gt;=$C$12,325&lt;=$E$12),1,0)</f>
        <v/>
      </c>
      <c r="LR38" s="85">
        <f>IF(AND(326&gt;=$C$12,326&lt;=$E$12),1,0)</f>
        <v/>
      </c>
      <c r="LS38" s="85">
        <f>IF(AND(327&gt;=$C$12,327&lt;=$E$12),1,0)</f>
        <v/>
      </c>
      <c r="LT38" s="85">
        <f>IF(AND(328&gt;=$C$12,328&lt;=$E$12),1,0)</f>
        <v/>
      </c>
      <c r="LU38" s="85">
        <f>IF(AND(329&gt;=$C$12,329&lt;=$E$12),1,0)</f>
        <v/>
      </c>
      <c r="LV38" s="85">
        <f>IF(AND(330&gt;=$C$12,330&lt;=$E$12),1,0)</f>
        <v/>
      </c>
      <c r="LW38" s="85">
        <f>IF(AND(331&gt;=$C$12,331&lt;=$E$12),1,0)</f>
        <v/>
      </c>
      <c r="LX38" s="85">
        <f>IF(AND(332&gt;=$C$12,332&lt;=$E$12),1,0)</f>
        <v/>
      </c>
      <c r="LY38" s="85">
        <f>IF(AND(333&gt;=$C$12,333&lt;=$E$12),1,0)</f>
        <v/>
      </c>
      <c r="LZ38" s="85">
        <f>IF(AND(334&gt;=$C$12,334&lt;=$E$12),1,0)</f>
        <v/>
      </c>
      <c r="MA38" s="85">
        <f>IF(AND(335&gt;=$C$12,335&lt;=$E$12),1,0)</f>
        <v/>
      </c>
      <c r="MB38" s="85">
        <f>IF(AND(336&gt;=$C$12,336&lt;=$E$12),1,0)</f>
        <v/>
      </c>
      <c r="MC38" s="85">
        <f>IF(AND(337&gt;=$C$12,337&lt;=$E$12),1,0)</f>
        <v/>
      </c>
      <c r="MD38" s="85">
        <f>IF(AND(338&gt;=$C$12,338&lt;=$E$12),1,0)</f>
        <v/>
      </c>
      <c r="ME38" s="85">
        <f>IF(AND(339&gt;=$C$12,339&lt;=$E$12),1,0)</f>
        <v/>
      </c>
      <c r="MF38" s="85">
        <f>IF(AND(340&gt;=$C$12,340&lt;=$E$12),1,0)</f>
        <v/>
      </c>
      <c r="MG38" s="85">
        <f>IF(AND(341&gt;=$C$12,341&lt;=$E$12),1,0)</f>
        <v/>
      </c>
      <c r="MH38" s="85">
        <f>IF(AND(342&gt;=$C$12,342&lt;=$E$12),1,0)</f>
        <v/>
      </c>
      <c r="MI38" s="85">
        <f>IF(AND(343&gt;=$C$12,343&lt;=$E$12),1,0)</f>
        <v/>
      </c>
      <c r="MJ38" s="85">
        <f>IF(AND(344&gt;=$C$12,344&lt;=$E$12),1,0)</f>
        <v/>
      </c>
      <c r="MK38" s="85">
        <f>IF(AND(345&gt;=$C$12,345&lt;=$E$12),1,0)</f>
        <v/>
      </c>
      <c r="ML38" s="85">
        <f>IF(AND(346&gt;=$C$12,346&lt;=$E$12),1,0)</f>
        <v/>
      </c>
      <c r="MM38" s="85">
        <f>IF(AND(347&gt;=$C$12,347&lt;=$E$12),1,0)</f>
        <v/>
      </c>
      <c r="MN38" s="85">
        <f>IF(AND(348&gt;=$C$12,348&lt;=$E$12),1,0)</f>
        <v/>
      </c>
      <c r="MO38" s="85">
        <f>IF(AND(349&gt;=$C$12,349&lt;=$E$12),1,0)</f>
        <v/>
      </c>
      <c r="MP38" s="85">
        <f>IF(AND(350&gt;=$C$12,350&lt;=$E$12),1,0)</f>
        <v/>
      </c>
      <c r="MQ38" s="85">
        <f>IF(AND(351&gt;=$C$12,351&lt;=$E$12),1,0)</f>
        <v/>
      </c>
      <c r="MR38" s="85">
        <f>IF(AND(352&gt;=$C$12,352&lt;=$E$12),1,0)</f>
        <v/>
      </c>
      <c r="MS38" s="85">
        <f>IF(AND(353&gt;=$C$12,353&lt;=$E$12),1,0)</f>
        <v/>
      </c>
      <c r="MT38" s="85">
        <f>IF(AND(354&gt;=$C$12,354&lt;=$E$12),1,0)</f>
        <v/>
      </c>
      <c r="MU38" s="85">
        <f>IF(AND(355&gt;=$C$12,355&lt;=$E$12),1,0)</f>
        <v/>
      </c>
      <c r="MV38" s="85">
        <f>IF(AND(356&gt;=$C$12,356&lt;=$E$12),1,0)</f>
        <v/>
      </c>
      <c r="MW38" s="85">
        <f>IF(AND(357&gt;=$C$12,357&lt;=$E$12),1,0)</f>
        <v/>
      </c>
      <c r="MX38" s="85">
        <f>IF(AND(358&gt;=$C$12,358&lt;=$E$12),1,0)</f>
        <v/>
      </c>
      <c r="MY38" s="85">
        <f>IF(AND(359&gt;=$C$12,359&lt;=$E$12),1,0)</f>
        <v/>
      </c>
      <c r="MZ38" s="85">
        <f>IF(AND(360&gt;=$C$12,360&lt;=$E$12),1,0)</f>
        <v/>
      </c>
      <c r="NA38" s="85">
        <f>IF(AND(361&gt;=$C$12,361&lt;=$E$12),1,0)</f>
        <v/>
      </c>
      <c r="NB38" s="85">
        <f>IF(AND(362&gt;=$C$12,362&lt;=$E$12),1,0)</f>
        <v/>
      </c>
      <c r="NC38" s="85">
        <f>IF(AND(363&gt;=$C$12,363&lt;=$E$12),1,0)</f>
        <v/>
      </c>
      <c r="ND38" s="85">
        <f>IF(AND(364&gt;=$C$12,364&lt;=$E$12),1,0)</f>
        <v/>
      </c>
      <c r="NE38" s="85">
        <f>IF(AND(365&gt;=$C$12,365&lt;=$E$12),1,0)</f>
        <v/>
      </c>
      <c r="NF38" s="85">
        <f>IF(AND(366&gt;=$C$12,366&lt;=$E$12),1,0)</f>
        <v/>
      </c>
      <c r="NG38" s="85">
        <f>IF(AND(367&gt;=$C$12,367&lt;=$E$12),1,0)</f>
        <v/>
      </c>
      <c r="NH38" s="85">
        <f>IF(AND(368&gt;=$C$12,368&lt;=$E$12),1,0)</f>
        <v/>
      </c>
      <c r="NI38" s="85">
        <f>IF(AND(369&gt;=$C$12,369&lt;=$E$12),1,0)</f>
        <v/>
      </c>
      <c r="NJ38" s="85">
        <f>IF(AND(370&gt;=$C$12,370&lt;=$E$12),1,0)</f>
        <v/>
      </c>
      <c r="NK38" s="85">
        <f>IF(AND(371&gt;=$C$12,371&lt;=$E$12),1,0)</f>
        <v/>
      </c>
      <c r="NL38" s="85">
        <f>IF(AND(372&gt;=$C$12,372&lt;=$E$12),1,0)</f>
        <v/>
      </c>
    </row>
    <row r="39">
      <c r="B39" s="36" t="inlineStr">
        <is>
          <t>Flag: Recapitalization/Refinance</t>
        </is>
      </c>
      <c r="D39" s="124" t="n"/>
      <c r="E39" s="85">
        <f>IF(AND(1&gt;=$C$13,1&lt;=$E$13),1,0)</f>
        <v/>
      </c>
      <c r="F39" s="85">
        <f>IF(AND(2&gt;=$C$13,2&lt;=$E$13),1,0)</f>
        <v/>
      </c>
      <c r="G39" s="85">
        <f>IF(AND(3&gt;=$C$13,3&lt;=$E$13),1,0)</f>
        <v/>
      </c>
      <c r="H39" s="85">
        <f>IF(AND(4&gt;=$C$13,4&lt;=$E$13),1,0)</f>
        <v/>
      </c>
      <c r="I39" s="85">
        <f>IF(AND(5&gt;=$C$13,5&lt;=$E$13),1,0)</f>
        <v/>
      </c>
      <c r="J39" s="85">
        <f>IF(AND(6&gt;=$C$13,6&lt;=$E$13),1,0)</f>
        <v/>
      </c>
      <c r="K39" s="85">
        <f>IF(AND(7&gt;=$C$13,7&lt;=$E$13),1,0)</f>
        <v/>
      </c>
      <c r="L39" s="85">
        <f>IF(AND(8&gt;=$C$13,8&lt;=$E$13),1,0)</f>
        <v/>
      </c>
      <c r="M39" s="85">
        <f>IF(AND(9&gt;=$C$13,9&lt;=$E$13),1,0)</f>
        <v/>
      </c>
      <c r="N39" s="85">
        <f>IF(AND(10&gt;=$C$13,10&lt;=$E$13),1,0)</f>
        <v/>
      </c>
      <c r="O39" s="85">
        <f>IF(AND(11&gt;=$C$13,11&lt;=$E$13),1,0)</f>
        <v/>
      </c>
      <c r="P39" s="85">
        <f>IF(AND(12&gt;=$C$13,12&lt;=$E$13),1,0)</f>
        <v/>
      </c>
      <c r="Q39" s="85">
        <f>IF(AND(13&gt;=$C$13,13&lt;=$E$13),1,0)</f>
        <v/>
      </c>
      <c r="R39" s="85">
        <f>IF(AND(14&gt;=$C$13,14&lt;=$E$13),1,0)</f>
        <v/>
      </c>
      <c r="S39" s="85">
        <f>IF(AND(15&gt;=$C$13,15&lt;=$E$13),1,0)</f>
        <v/>
      </c>
      <c r="T39" s="85">
        <f>IF(AND(16&gt;=$C$13,16&lt;=$E$13),1,0)</f>
        <v/>
      </c>
      <c r="U39" s="85">
        <f>IF(AND(17&gt;=$C$13,17&lt;=$E$13),1,0)</f>
        <v/>
      </c>
      <c r="V39" s="85">
        <f>IF(AND(18&gt;=$C$13,18&lt;=$E$13),1,0)</f>
        <v/>
      </c>
      <c r="W39" s="85">
        <f>IF(AND(19&gt;=$C$13,19&lt;=$E$13),1,0)</f>
        <v/>
      </c>
      <c r="X39" s="85">
        <f>IF(AND(20&gt;=$C$13,20&lt;=$E$13),1,0)</f>
        <v/>
      </c>
      <c r="Y39" s="85">
        <f>IF(AND(21&gt;=$C$13,21&lt;=$E$13),1,0)</f>
        <v/>
      </c>
      <c r="Z39" s="85">
        <f>IF(AND(22&gt;=$C$13,22&lt;=$E$13),1,0)</f>
        <v/>
      </c>
      <c r="AA39" s="85">
        <f>IF(AND(23&gt;=$C$13,23&lt;=$E$13),1,0)</f>
        <v/>
      </c>
      <c r="AB39" s="85">
        <f>IF(AND(24&gt;=$C$13,24&lt;=$E$13),1,0)</f>
        <v/>
      </c>
      <c r="AC39" s="85">
        <f>IF(AND(25&gt;=$C$13,25&lt;=$E$13),1,0)</f>
        <v/>
      </c>
      <c r="AD39" s="85">
        <f>IF(AND(26&gt;=$C$13,26&lt;=$E$13),1,0)</f>
        <v/>
      </c>
      <c r="AE39" s="85">
        <f>IF(AND(27&gt;=$C$13,27&lt;=$E$13),1,0)</f>
        <v/>
      </c>
      <c r="AF39" s="85">
        <f>IF(AND(28&gt;=$C$13,28&lt;=$E$13),1,0)</f>
        <v/>
      </c>
      <c r="AG39" s="85">
        <f>IF(AND(29&gt;=$C$13,29&lt;=$E$13),1,0)</f>
        <v/>
      </c>
      <c r="AH39" s="85">
        <f>IF(AND(30&gt;=$C$13,30&lt;=$E$13),1,0)</f>
        <v/>
      </c>
      <c r="AI39" s="85">
        <f>IF(AND(31&gt;=$C$13,31&lt;=$E$13),1,0)</f>
        <v/>
      </c>
      <c r="AJ39" s="85">
        <f>IF(AND(32&gt;=$C$13,32&lt;=$E$13),1,0)</f>
        <v/>
      </c>
      <c r="AK39" s="85">
        <f>IF(AND(33&gt;=$C$13,33&lt;=$E$13),1,0)</f>
        <v/>
      </c>
      <c r="AL39" s="85">
        <f>IF(AND(34&gt;=$C$13,34&lt;=$E$13),1,0)</f>
        <v/>
      </c>
      <c r="AM39" s="85">
        <f>IF(AND(35&gt;=$C$13,35&lt;=$E$13),1,0)</f>
        <v/>
      </c>
      <c r="AN39" s="85">
        <f>IF(AND(36&gt;=$C$13,36&lt;=$E$13),1,0)</f>
        <v/>
      </c>
      <c r="AO39" s="85">
        <f>IF(AND(37&gt;=$C$13,37&lt;=$E$13),1,0)</f>
        <v/>
      </c>
      <c r="AP39" s="85">
        <f>IF(AND(38&gt;=$C$13,38&lt;=$E$13),1,0)</f>
        <v/>
      </c>
      <c r="AQ39" s="85">
        <f>IF(AND(39&gt;=$C$13,39&lt;=$E$13),1,0)</f>
        <v/>
      </c>
      <c r="AR39" s="85">
        <f>IF(AND(40&gt;=$C$13,40&lt;=$E$13),1,0)</f>
        <v/>
      </c>
      <c r="AS39" s="85">
        <f>IF(AND(41&gt;=$C$13,41&lt;=$E$13),1,0)</f>
        <v/>
      </c>
      <c r="AT39" s="85">
        <f>IF(AND(42&gt;=$C$13,42&lt;=$E$13),1,0)</f>
        <v/>
      </c>
      <c r="AU39" s="85">
        <f>IF(AND(43&gt;=$C$13,43&lt;=$E$13),1,0)</f>
        <v/>
      </c>
      <c r="AV39" s="85">
        <f>IF(AND(44&gt;=$C$13,44&lt;=$E$13),1,0)</f>
        <v/>
      </c>
      <c r="AW39" s="85">
        <f>IF(AND(45&gt;=$C$13,45&lt;=$E$13),1,0)</f>
        <v/>
      </c>
      <c r="AX39" s="85">
        <f>IF(AND(46&gt;=$C$13,46&lt;=$E$13),1,0)</f>
        <v/>
      </c>
      <c r="AY39" s="85">
        <f>IF(AND(47&gt;=$C$13,47&lt;=$E$13),1,0)</f>
        <v/>
      </c>
      <c r="AZ39" s="85">
        <f>IF(AND(48&gt;=$C$13,48&lt;=$E$13),1,0)</f>
        <v/>
      </c>
      <c r="BA39" s="85">
        <f>IF(AND(49&gt;=$C$13,49&lt;=$E$13),1,0)</f>
        <v/>
      </c>
      <c r="BB39" s="85">
        <f>IF(AND(50&gt;=$C$13,50&lt;=$E$13),1,0)</f>
        <v/>
      </c>
      <c r="BC39" s="85">
        <f>IF(AND(51&gt;=$C$13,51&lt;=$E$13),1,0)</f>
        <v/>
      </c>
      <c r="BD39" s="85">
        <f>IF(AND(52&gt;=$C$13,52&lt;=$E$13),1,0)</f>
        <v/>
      </c>
      <c r="BE39" s="85">
        <f>IF(AND(53&gt;=$C$13,53&lt;=$E$13),1,0)</f>
        <v/>
      </c>
      <c r="BF39" s="85">
        <f>IF(AND(54&gt;=$C$13,54&lt;=$E$13),1,0)</f>
        <v/>
      </c>
      <c r="BG39" s="85">
        <f>IF(AND(55&gt;=$C$13,55&lt;=$E$13),1,0)</f>
        <v/>
      </c>
      <c r="BH39" s="85">
        <f>IF(AND(56&gt;=$C$13,56&lt;=$E$13),1,0)</f>
        <v/>
      </c>
      <c r="BI39" s="85">
        <f>IF(AND(57&gt;=$C$13,57&lt;=$E$13),1,0)</f>
        <v/>
      </c>
      <c r="BJ39" s="85">
        <f>IF(AND(58&gt;=$C$13,58&lt;=$E$13),1,0)</f>
        <v/>
      </c>
      <c r="BK39" s="85">
        <f>IF(AND(59&gt;=$C$13,59&lt;=$E$13),1,0)</f>
        <v/>
      </c>
      <c r="BL39" s="85">
        <f>IF(AND(60&gt;=$C$13,60&lt;=$E$13),1,0)</f>
        <v/>
      </c>
      <c r="BM39" s="85">
        <f>IF(AND(61&gt;=$C$13,61&lt;=$E$13),1,0)</f>
        <v/>
      </c>
      <c r="BN39" s="85">
        <f>IF(AND(62&gt;=$C$13,62&lt;=$E$13),1,0)</f>
        <v/>
      </c>
      <c r="BO39" s="85">
        <f>IF(AND(63&gt;=$C$13,63&lt;=$E$13),1,0)</f>
        <v/>
      </c>
      <c r="BP39" s="85">
        <f>IF(AND(64&gt;=$C$13,64&lt;=$E$13),1,0)</f>
        <v/>
      </c>
      <c r="BQ39" s="85">
        <f>IF(AND(65&gt;=$C$13,65&lt;=$E$13),1,0)</f>
        <v/>
      </c>
      <c r="BR39" s="85">
        <f>IF(AND(66&gt;=$C$13,66&lt;=$E$13),1,0)</f>
        <v/>
      </c>
      <c r="BS39" s="85">
        <f>IF(AND(67&gt;=$C$13,67&lt;=$E$13),1,0)</f>
        <v/>
      </c>
      <c r="BT39" s="85">
        <f>IF(AND(68&gt;=$C$13,68&lt;=$E$13),1,0)</f>
        <v/>
      </c>
      <c r="BU39" s="85">
        <f>IF(AND(69&gt;=$C$13,69&lt;=$E$13),1,0)</f>
        <v/>
      </c>
      <c r="BV39" s="85">
        <f>IF(AND(70&gt;=$C$13,70&lt;=$E$13),1,0)</f>
        <v/>
      </c>
      <c r="BW39" s="85">
        <f>IF(AND(71&gt;=$C$13,71&lt;=$E$13),1,0)</f>
        <v/>
      </c>
      <c r="BX39" s="85">
        <f>IF(AND(72&gt;=$C$13,72&lt;=$E$13),1,0)</f>
        <v/>
      </c>
      <c r="BY39" s="85">
        <f>IF(AND(73&gt;=$C$13,73&lt;=$E$13),1,0)</f>
        <v/>
      </c>
      <c r="BZ39" s="85">
        <f>IF(AND(74&gt;=$C$13,74&lt;=$E$13),1,0)</f>
        <v/>
      </c>
      <c r="CA39" s="85">
        <f>IF(AND(75&gt;=$C$13,75&lt;=$E$13),1,0)</f>
        <v/>
      </c>
      <c r="CB39" s="85">
        <f>IF(AND(76&gt;=$C$13,76&lt;=$E$13),1,0)</f>
        <v/>
      </c>
      <c r="CC39" s="85">
        <f>IF(AND(77&gt;=$C$13,77&lt;=$E$13),1,0)</f>
        <v/>
      </c>
      <c r="CD39" s="85">
        <f>IF(AND(78&gt;=$C$13,78&lt;=$E$13),1,0)</f>
        <v/>
      </c>
      <c r="CE39" s="85">
        <f>IF(AND(79&gt;=$C$13,79&lt;=$E$13),1,0)</f>
        <v/>
      </c>
      <c r="CF39" s="85">
        <f>IF(AND(80&gt;=$C$13,80&lt;=$E$13),1,0)</f>
        <v/>
      </c>
      <c r="CG39" s="85">
        <f>IF(AND(81&gt;=$C$13,81&lt;=$E$13),1,0)</f>
        <v/>
      </c>
      <c r="CH39" s="85">
        <f>IF(AND(82&gt;=$C$13,82&lt;=$E$13),1,0)</f>
        <v/>
      </c>
      <c r="CI39" s="85">
        <f>IF(AND(83&gt;=$C$13,83&lt;=$E$13),1,0)</f>
        <v/>
      </c>
      <c r="CJ39" s="85">
        <f>IF(AND(84&gt;=$C$13,84&lt;=$E$13),1,0)</f>
        <v/>
      </c>
      <c r="CK39" s="85">
        <f>IF(AND(85&gt;=$C$13,85&lt;=$E$13),1,0)</f>
        <v/>
      </c>
      <c r="CL39" s="85">
        <f>IF(AND(86&gt;=$C$13,86&lt;=$E$13),1,0)</f>
        <v/>
      </c>
      <c r="CM39" s="85">
        <f>IF(AND(87&gt;=$C$13,87&lt;=$E$13),1,0)</f>
        <v/>
      </c>
      <c r="CN39" s="85">
        <f>IF(AND(88&gt;=$C$13,88&lt;=$E$13),1,0)</f>
        <v/>
      </c>
      <c r="CO39" s="85">
        <f>IF(AND(89&gt;=$C$13,89&lt;=$E$13),1,0)</f>
        <v/>
      </c>
      <c r="CP39" s="85">
        <f>IF(AND(90&gt;=$C$13,90&lt;=$E$13),1,0)</f>
        <v/>
      </c>
      <c r="CQ39" s="85">
        <f>IF(AND(91&gt;=$C$13,91&lt;=$E$13),1,0)</f>
        <v/>
      </c>
      <c r="CR39" s="85">
        <f>IF(AND(92&gt;=$C$13,92&lt;=$E$13),1,0)</f>
        <v/>
      </c>
      <c r="CS39" s="85">
        <f>IF(AND(93&gt;=$C$13,93&lt;=$E$13),1,0)</f>
        <v/>
      </c>
      <c r="CT39" s="85">
        <f>IF(AND(94&gt;=$C$13,94&lt;=$E$13),1,0)</f>
        <v/>
      </c>
      <c r="CU39" s="85">
        <f>IF(AND(95&gt;=$C$13,95&lt;=$E$13),1,0)</f>
        <v/>
      </c>
      <c r="CV39" s="85">
        <f>IF(AND(96&gt;=$C$13,96&lt;=$E$13),1,0)</f>
        <v/>
      </c>
      <c r="CW39" s="85">
        <f>IF(AND(97&gt;=$C$13,97&lt;=$E$13),1,0)</f>
        <v/>
      </c>
      <c r="CX39" s="85">
        <f>IF(AND(98&gt;=$C$13,98&lt;=$E$13),1,0)</f>
        <v/>
      </c>
      <c r="CY39" s="85">
        <f>IF(AND(99&gt;=$C$13,99&lt;=$E$13),1,0)</f>
        <v/>
      </c>
      <c r="CZ39" s="85">
        <f>IF(AND(100&gt;=$C$13,100&lt;=$E$13),1,0)</f>
        <v/>
      </c>
      <c r="DA39" s="85">
        <f>IF(AND(101&gt;=$C$13,101&lt;=$E$13),1,0)</f>
        <v/>
      </c>
      <c r="DB39" s="85">
        <f>IF(AND(102&gt;=$C$13,102&lt;=$E$13),1,0)</f>
        <v/>
      </c>
      <c r="DC39" s="85">
        <f>IF(AND(103&gt;=$C$13,103&lt;=$E$13),1,0)</f>
        <v/>
      </c>
      <c r="DD39" s="85">
        <f>IF(AND(104&gt;=$C$13,104&lt;=$E$13),1,0)</f>
        <v/>
      </c>
      <c r="DE39" s="85">
        <f>IF(AND(105&gt;=$C$13,105&lt;=$E$13),1,0)</f>
        <v/>
      </c>
      <c r="DF39" s="85">
        <f>IF(AND(106&gt;=$C$13,106&lt;=$E$13),1,0)</f>
        <v/>
      </c>
      <c r="DG39" s="85">
        <f>IF(AND(107&gt;=$C$13,107&lt;=$E$13),1,0)</f>
        <v/>
      </c>
      <c r="DH39" s="85">
        <f>IF(AND(108&gt;=$C$13,108&lt;=$E$13),1,0)</f>
        <v/>
      </c>
      <c r="DI39" s="85">
        <f>IF(AND(109&gt;=$C$13,109&lt;=$E$13),1,0)</f>
        <v/>
      </c>
      <c r="DJ39" s="85">
        <f>IF(AND(110&gt;=$C$13,110&lt;=$E$13),1,0)</f>
        <v/>
      </c>
      <c r="DK39" s="85">
        <f>IF(AND(111&gt;=$C$13,111&lt;=$E$13),1,0)</f>
        <v/>
      </c>
      <c r="DL39" s="85">
        <f>IF(AND(112&gt;=$C$13,112&lt;=$E$13),1,0)</f>
        <v/>
      </c>
      <c r="DM39" s="85">
        <f>IF(AND(113&gt;=$C$13,113&lt;=$E$13),1,0)</f>
        <v/>
      </c>
      <c r="DN39" s="85">
        <f>IF(AND(114&gt;=$C$13,114&lt;=$E$13),1,0)</f>
        <v/>
      </c>
      <c r="DO39" s="85">
        <f>IF(AND(115&gt;=$C$13,115&lt;=$E$13),1,0)</f>
        <v/>
      </c>
      <c r="DP39" s="85">
        <f>IF(AND(116&gt;=$C$13,116&lt;=$E$13),1,0)</f>
        <v/>
      </c>
      <c r="DQ39" s="85">
        <f>IF(AND(117&gt;=$C$13,117&lt;=$E$13),1,0)</f>
        <v/>
      </c>
      <c r="DR39" s="85">
        <f>IF(AND(118&gt;=$C$13,118&lt;=$E$13),1,0)</f>
        <v/>
      </c>
      <c r="DS39" s="85">
        <f>IF(AND(119&gt;=$C$13,119&lt;=$E$13),1,0)</f>
        <v/>
      </c>
      <c r="DT39" s="85">
        <f>IF(AND(120&gt;=$C$13,120&lt;=$E$13),1,0)</f>
        <v/>
      </c>
      <c r="DU39" s="85">
        <f>IF(AND(121&gt;=$C$13,121&lt;=$E$13),1,0)</f>
        <v/>
      </c>
      <c r="DV39" s="85">
        <f>IF(AND(122&gt;=$C$13,122&lt;=$E$13),1,0)</f>
        <v/>
      </c>
      <c r="DW39" s="85">
        <f>IF(AND(123&gt;=$C$13,123&lt;=$E$13),1,0)</f>
        <v/>
      </c>
      <c r="DX39" s="85">
        <f>IF(AND(124&gt;=$C$13,124&lt;=$E$13),1,0)</f>
        <v/>
      </c>
      <c r="DY39" s="85">
        <f>IF(AND(125&gt;=$C$13,125&lt;=$E$13),1,0)</f>
        <v/>
      </c>
      <c r="DZ39" s="85">
        <f>IF(AND(126&gt;=$C$13,126&lt;=$E$13),1,0)</f>
        <v/>
      </c>
      <c r="EA39" s="85">
        <f>IF(AND(127&gt;=$C$13,127&lt;=$E$13),1,0)</f>
        <v/>
      </c>
      <c r="EB39" s="85">
        <f>IF(AND(128&gt;=$C$13,128&lt;=$E$13),1,0)</f>
        <v/>
      </c>
      <c r="EC39" s="85">
        <f>IF(AND(129&gt;=$C$13,129&lt;=$E$13),1,0)</f>
        <v/>
      </c>
      <c r="ED39" s="85">
        <f>IF(AND(130&gt;=$C$13,130&lt;=$E$13),1,0)</f>
        <v/>
      </c>
      <c r="EE39" s="85">
        <f>IF(AND(131&gt;=$C$13,131&lt;=$E$13),1,0)</f>
        <v/>
      </c>
      <c r="EF39" s="85">
        <f>IF(AND(132&gt;=$C$13,132&lt;=$E$13),1,0)</f>
        <v/>
      </c>
      <c r="EG39" s="85">
        <f>IF(AND(133&gt;=$C$13,133&lt;=$E$13),1,0)</f>
        <v/>
      </c>
      <c r="EH39" s="85">
        <f>IF(AND(134&gt;=$C$13,134&lt;=$E$13),1,0)</f>
        <v/>
      </c>
      <c r="EI39" s="85">
        <f>IF(AND(135&gt;=$C$13,135&lt;=$E$13),1,0)</f>
        <v/>
      </c>
      <c r="EJ39" s="85">
        <f>IF(AND(136&gt;=$C$13,136&lt;=$E$13),1,0)</f>
        <v/>
      </c>
      <c r="EK39" s="85">
        <f>IF(AND(137&gt;=$C$13,137&lt;=$E$13),1,0)</f>
        <v/>
      </c>
      <c r="EL39" s="85">
        <f>IF(AND(138&gt;=$C$13,138&lt;=$E$13),1,0)</f>
        <v/>
      </c>
      <c r="EM39" s="85">
        <f>IF(AND(139&gt;=$C$13,139&lt;=$E$13),1,0)</f>
        <v/>
      </c>
      <c r="EN39" s="85">
        <f>IF(AND(140&gt;=$C$13,140&lt;=$E$13),1,0)</f>
        <v/>
      </c>
      <c r="EO39" s="85">
        <f>IF(AND(141&gt;=$C$13,141&lt;=$E$13),1,0)</f>
        <v/>
      </c>
      <c r="EP39" s="85">
        <f>IF(AND(142&gt;=$C$13,142&lt;=$E$13),1,0)</f>
        <v/>
      </c>
      <c r="EQ39" s="85">
        <f>IF(AND(143&gt;=$C$13,143&lt;=$E$13),1,0)</f>
        <v/>
      </c>
      <c r="ER39" s="85">
        <f>IF(AND(144&gt;=$C$13,144&lt;=$E$13),1,0)</f>
        <v/>
      </c>
      <c r="ES39" s="85">
        <f>IF(AND(145&gt;=$C$13,145&lt;=$E$13),1,0)</f>
        <v/>
      </c>
      <c r="ET39" s="85">
        <f>IF(AND(146&gt;=$C$13,146&lt;=$E$13),1,0)</f>
        <v/>
      </c>
      <c r="EU39" s="85">
        <f>IF(AND(147&gt;=$C$13,147&lt;=$E$13),1,0)</f>
        <v/>
      </c>
      <c r="EV39" s="85">
        <f>IF(AND(148&gt;=$C$13,148&lt;=$E$13),1,0)</f>
        <v/>
      </c>
      <c r="EW39" s="85">
        <f>IF(AND(149&gt;=$C$13,149&lt;=$E$13),1,0)</f>
        <v/>
      </c>
      <c r="EX39" s="85">
        <f>IF(AND(150&gt;=$C$13,150&lt;=$E$13),1,0)</f>
        <v/>
      </c>
      <c r="EY39" s="85">
        <f>IF(AND(151&gt;=$C$13,151&lt;=$E$13),1,0)</f>
        <v/>
      </c>
      <c r="EZ39" s="85">
        <f>IF(AND(152&gt;=$C$13,152&lt;=$E$13),1,0)</f>
        <v/>
      </c>
      <c r="FA39" s="85">
        <f>IF(AND(153&gt;=$C$13,153&lt;=$E$13),1,0)</f>
        <v/>
      </c>
      <c r="FB39" s="85">
        <f>IF(AND(154&gt;=$C$13,154&lt;=$E$13),1,0)</f>
        <v/>
      </c>
      <c r="FC39" s="85">
        <f>IF(AND(155&gt;=$C$13,155&lt;=$E$13),1,0)</f>
        <v/>
      </c>
      <c r="FD39" s="85">
        <f>IF(AND(156&gt;=$C$13,156&lt;=$E$13),1,0)</f>
        <v/>
      </c>
      <c r="FE39" s="85">
        <f>IF(AND(157&gt;=$C$13,157&lt;=$E$13),1,0)</f>
        <v/>
      </c>
      <c r="FF39" s="85">
        <f>IF(AND(158&gt;=$C$13,158&lt;=$E$13),1,0)</f>
        <v/>
      </c>
      <c r="FG39" s="85">
        <f>IF(AND(159&gt;=$C$13,159&lt;=$E$13),1,0)</f>
        <v/>
      </c>
      <c r="FH39" s="85">
        <f>IF(AND(160&gt;=$C$13,160&lt;=$E$13),1,0)</f>
        <v/>
      </c>
      <c r="FI39" s="85">
        <f>IF(AND(161&gt;=$C$13,161&lt;=$E$13),1,0)</f>
        <v/>
      </c>
      <c r="FJ39" s="85">
        <f>IF(AND(162&gt;=$C$13,162&lt;=$E$13),1,0)</f>
        <v/>
      </c>
      <c r="FK39" s="85">
        <f>IF(AND(163&gt;=$C$13,163&lt;=$E$13),1,0)</f>
        <v/>
      </c>
      <c r="FL39" s="85">
        <f>IF(AND(164&gt;=$C$13,164&lt;=$E$13),1,0)</f>
        <v/>
      </c>
      <c r="FM39" s="85">
        <f>IF(AND(165&gt;=$C$13,165&lt;=$E$13),1,0)</f>
        <v/>
      </c>
      <c r="FN39" s="85">
        <f>IF(AND(166&gt;=$C$13,166&lt;=$E$13),1,0)</f>
        <v/>
      </c>
      <c r="FO39" s="85">
        <f>IF(AND(167&gt;=$C$13,167&lt;=$E$13),1,0)</f>
        <v/>
      </c>
      <c r="FP39" s="85">
        <f>IF(AND(168&gt;=$C$13,168&lt;=$E$13),1,0)</f>
        <v/>
      </c>
      <c r="FQ39" s="85">
        <f>IF(AND(169&gt;=$C$13,169&lt;=$E$13),1,0)</f>
        <v/>
      </c>
      <c r="FR39" s="85">
        <f>IF(AND(170&gt;=$C$13,170&lt;=$E$13),1,0)</f>
        <v/>
      </c>
      <c r="FS39" s="85">
        <f>IF(AND(171&gt;=$C$13,171&lt;=$E$13),1,0)</f>
        <v/>
      </c>
      <c r="FT39" s="85">
        <f>IF(AND(172&gt;=$C$13,172&lt;=$E$13),1,0)</f>
        <v/>
      </c>
      <c r="FU39" s="85">
        <f>IF(AND(173&gt;=$C$13,173&lt;=$E$13),1,0)</f>
        <v/>
      </c>
      <c r="FV39" s="85">
        <f>IF(AND(174&gt;=$C$13,174&lt;=$E$13),1,0)</f>
        <v/>
      </c>
      <c r="FW39" s="85">
        <f>IF(AND(175&gt;=$C$13,175&lt;=$E$13),1,0)</f>
        <v/>
      </c>
      <c r="FX39" s="85">
        <f>IF(AND(176&gt;=$C$13,176&lt;=$E$13),1,0)</f>
        <v/>
      </c>
      <c r="FY39" s="85">
        <f>IF(AND(177&gt;=$C$13,177&lt;=$E$13),1,0)</f>
        <v/>
      </c>
      <c r="FZ39" s="85">
        <f>IF(AND(178&gt;=$C$13,178&lt;=$E$13),1,0)</f>
        <v/>
      </c>
      <c r="GA39" s="85">
        <f>IF(AND(179&gt;=$C$13,179&lt;=$E$13),1,0)</f>
        <v/>
      </c>
      <c r="GB39" s="85">
        <f>IF(AND(180&gt;=$C$13,180&lt;=$E$13),1,0)</f>
        <v/>
      </c>
      <c r="GC39" s="85">
        <f>IF(AND(181&gt;=$C$13,181&lt;=$E$13),1,0)</f>
        <v/>
      </c>
      <c r="GD39" s="85">
        <f>IF(AND(182&gt;=$C$13,182&lt;=$E$13),1,0)</f>
        <v/>
      </c>
      <c r="GE39" s="85">
        <f>IF(AND(183&gt;=$C$13,183&lt;=$E$13),1,0)</f>
        <v/>
      </c>
      <c r="GF39" s="85">
        <f>IF(AND(184&gt;=$C$13,184&lt;=$E$13),1,0)</f>
        <v/>
      </c>
      <c r="GG39" s="85">
        <f>IF(AND(185&gt;=$C$13,185&lt;=$E$13),1,0)</f>
        <v/>
      </c>
      <c r="GH39" s="85">
        <f>IF(AND(186&gt;=$C$13,186&lt;=$E$13),1,0)</f>
        <v/>
      </c>
      <c r="GI39" s="85">
        <f>IF(AND(187&gt;=$C$13,187&lt;=$E$13),1,0)</f>
        <v/>
      </c>
      <c r="GJ39" s="85">
        <f>IF(AND(188&gt;=$C$13,188&lt;=$E$13),1,0)</f>
        <v/>
      </c>
      <c r="GK39" s="85">
        <f>IF(AND(189&gt;=$C$13,189&lt;=$E$13),1,0)</f>
        <v/>
      </c>
      <c r="GL39" s="85">
        <f>IF(AND(190&gt;=$C$13,190&lt;=$E$13),1,0)</f>
        <v/>
      </c>
      <c r="GM39" s="85">
        <f>IF(AND(191&gt;=$C$13,191&lt;=$E$13),1,0)</f>
        <v/>
      </c>
      <c r="GN39" s="85">
        <f>IF(AND(192&gt;=$C$13,192&lt;=$E$13),1,0)</f>
        <v/>
      </c>
      <c r="GO39" s="85">
        <f>IF(AND(193&gt;=$C$13,193&lt;=$E$13),1,0)</f>
        <v/>
      </c>
      <c r="GP39" s="85">
        <f>IF(AND(194&gt;=$C$13,194&lt;=$E$13),1,0)</f>
        <v/>
      </c>
      <c r="GQ39" s="85">
        <f>IF(AND(195&gt;=$C$13,195&lt;=$E$13),1,0)</f>
        <v/>
      </c>
      <c r="GR39" s="85">
        <f>IF(AND(196&gt;=$C$13,196&lt;=$E$13),1,0)</f>
        <v/>
      </c>
      <c r="GS39" s="85">
        <f>IF(AND(197&gt;=$C$13,197&lt;=$E$13),1,0)</f>
        <v/>
      </c>
      <c r="GT39" s="85">
        <f>IF(AND(198&gt;=$C$13,198&lt;=$E$13),1,0)</f>
        <v/>
      </c>
      <c r="GU39" s="85">
        <f>IF(AND(199&gt;=$C$13,199&lt;=$E$13),1,0)</f>
        <v/>
      </c>
      <c r="GV39" s="85">
        <f>IF(AND(200&gt;=$C$13,200&lt;=$E$13),1,0)</f>
        <v/>
      </c>
      <c r="GW39" s="85">
        <f>IF(AND(201&gt;=$C$13,201&lt;=$E$13),1,0)</f>
        <v/>
      </c>
      <c r="GX39" s="85">
        <f>IF(AND(202&gt;=$C$13,202&lt;=$E$13),1,0)</f>
        <v/>
      </c>
      <c r="GY39" s="85">
        <f>IF(AND(203&gt;=$C$13,203&lt;=$E$13),1,0)</f>
        <v/>
      </c>
      <c r="GZ39" s="85">
        <f>IF(AND(204&gt;=$C$13,204&lt;=$E$13),1,0)</f>
        <v/>
      </c>
      <c r="HA39" s="85">
        <f>IF(AND(205&gt;=$C$13,205&lt;=$E$13),1,0)</f>
        <v/>
      </c>
      <c r="HB39" s="85">
        <f>IF(AND(206&gt;=$C$13,206&lt;=$E$13),1,0)</f>
        <v/>
      </c>
      <c r="HC39" s="85">
        <f>IF(AND(207&gt;=$C$13,207&lt;=$E$13),1,0)</f>
        <v/>
      </c>
      <c r="HD39" s="85">
        <f>IF(AND(208&gt;=$C$13,208&lt;=$E$13),1,0)</f>
        <v/>
      </c>
      <c r="HE39" s="85">
        <f>IF(AND(209&gt;=$C$13,209&lt;=$E$13),1,0)</f>
        <v/>
      </c>
      <c r="HF39" s="85">
        <f>IF(AND(210&gt;=$C$13,210&lt;=$E$13),1,0)</f>
        <v/>
      </c>
      <c r="HG39" s="85">
        <f>IF(AND(211&gt;=$C$13,211&lt;=$E$13),1,0)</f>
        <v/>
      </c>
      <c r="HH39" s="85">
        <f>IF(AND(212&gt;=$C$13,212&lt;=$E$13),1,0)</f>
        <v/>
      </c>
      <c r="HI39" s="85">
        <f>IF(AND(213&gt;=$C$13,213&lt;=$E$13),1,0)</f>
        <v/>
      </c>
      <c r="HJ39" s="85">
        <f>IF(AND(214&gt;=$C$13,214&lt;=$E$13),1,0)</f>
        <v/>
      </c>
      <c r="HK39" s="85">
        <f>IF(AND(215&gt;=$C$13,215&lt;=$E$13),1,0)</f>
        <v/>
      </c>
      <c r="HL39" s="85">
        <f>IF(AND(216&gt;=$C$13,216&lt;=$E$13),1,0)</f>
        <v/>
      </c>
      <c r="HM39" s="85">
        <f>IF(AND(217&gt;=$C$13,217&lt;=$E$13),1,0)</f>
        <v/>
      </c>
      <c r="HN39" s="85">
        <f>IF(AND(218&gt;=$C$13,218&lt;=$E$13),1,0)</f>
        <v/>
      </c>
      <c r="HO39" s="85">
        <f>IF(AND(219&gt;=$C$13,219&lt;=$E$13),1,0)</f>
        <v/>
      </c>
      <c r="HP39" s="85">
        <f>IF(AND(220&gt;=$C$13,220&lt;=$E$13),1,0)</f>
        <v/>
      </c>
      <c r="HQ39" s="85">
        <f>IF(AND(221&gt;=$C$13,221&lt;=$E$13),1,0)</f>
        <v/>
      </c>
      <c r="HR39" s="85">
        <f>IF(AND(222&gt;=$C$13,222&lt;=$E$13),1,0)</f>
        <v/>
      </c>
      <c r="HS39" s="85">
        <f>IF(AND(223&gt;=$C$13,223&lt;=$E$13),1,0)</f>
        <v/>
      </c>
      <c r="HT39" s="85">
        <f>IF(AND(224&gt;=$C$13,224&lt;=$E$13),1,0)</f>
        <v/>
      </c>
      <c r="HU39" s="85">
        <f>IF(AND(225&gt;=$C$13,225&lt;=$E$13),1,0)</f>
        <v/>
      </c>
      <c r="HV39" s="85">
        <f>IF(AND(226&gt;=$C$13,226&lt;=$E$13),1,0)</f>
        <v/>
      </c>
      <c r="HW39" s="85">
        <f>IF(AND(227&gt;=$C$13,227&lt;=$E$13),1,0)</f>
        <v/>
      </c>
      <c r="HX39" s="85">
        <f>IF(AND(228&gt;=$C$13,228&lt;=$E$13),1,0)</f>
        <v/>
      </c>
      <c r="HY39" s="85">
        <f>IF(AND(229&gt;=$C$13,229&lt;=$E$13),1,0)</f>
        <v/>
      </c>
      <c r="HZ39" s="85">
        <f>IF(AND(230&gt;=$C$13,230&lt;=$E$13),1,0)</f>
        <v/>
      </c>
      <c r="IA39" s="85">
        <f>IF(AND(231&gt;=$C$13,231&lt;=$E$13),1,0)</f>
        <v/>
      </c>
      <c r="IB39" s="85">
        <f>IF(AND(232&gt;=$C$13,232&lt;=$E$13),1,0)</f>
        <v/>
      </c>
      <c r="IC39" s="85">
        <f>IF(AND(233&gt;=$C$13,233&lt;=$E$13),1,0)</f>
        <v/>
      </c>
      <c r="ID39" s="85">
        <f>IF(AND(234&gt;=$C$13,234&lt;=$E$13),1,0)</f>
        <v/>
      </c>
      <c r="IE39" s="85">
        <f>IF(AND(235&gt;=$C$13,235&lt;=$E$13),1,0)</f>
        <v/>
      </c>
      <c r="IF39" s="85">
        <f>IF(AND(236&gt;=$C$13,236&lt;=$E$13),1,0)</f>
        <v/>
      </c>
      <c r="IG39" s="85">
        <f>IF(AND(237&gt;=$C$13,237&lt;=$E$13),1,0)</f>
        <v/>
      </c>
      <c r="IH39" s="85">
        <f>IF(AND(238&gt;=$C$13,238&lt;=$E$13),1,0)</f>
        <v/>
      </c>
      <c r="II39" s="85">
        <f>IF(AND(239&gt;=$C$13,239&lt;=$E$13),1,0)</f>
        <v/>
      </c>
      <c r="IJ39" s="85">
        <f>IF(AND(240&gt;=$C$13,240&lt;=$E$13),1,0)</f>
        <v/>
      </c>
      <c r="IK39" s="85">
        <f>IF(AND(241&gt;=$C$13,241&lt;=$E$13),1,0)</f>
        <v/>
      </c>
      <c r="IL39" s="85">
        <f>IF(AND(242&gt;=$C$13,242&lt;=$E$13),1,0)</f>
        <v/>
      </c>
      <c r="IM39" s="85">
        <f>IF(AND(243&gt;=$C$13,243&lt;=$E$13),1,0)</f>
        <v/>
      </c>
      <c r="IN39" s="85">
        <f>IF(AND(244&gt;=$C$13,244&lt;=$E$13),1,0)</f>
        <v/>
      </c>
      <c r="IO39" s="85">
        <f>IF(AND(245&gt;=$C$13,245&lt;=$E$13),1,0)</f>
        <v/>
      </c>
      <c r="IP39" s="85">
        <f>IF(AND(246&gt;=$C$13,246&lt;=$E$13),1,0)</f>
        <v/>
      </c>
      <c r="IQ39" s="85">
        <f>IF(AND(247&gt;=$C$13,247&lt;=$E$13),1,0)</f>
        <v/>
      </c>
      <c r="IR39" s="85">
        <f>IF(AND(248&gt;=$C$13,248&lt;=$E$13),1,0)</f>
        <v/>
      </c>
      <c r="IS39" s="85">
        <f>IF(AND(249&gt;=$C$13,249&lt;=$E$13),1,0)</f>
        <v/>
      </c>
      <c r="IT39" s="85">
        <f>IF(AND(250&gt;=$C$13,250&lt;=$E$13),1,0)</f>
        <v/>
      </c>
      <c r="IU39" s="85">
        <f>IF(AND(251&gt;=$C$13,251&lt;=$E$13),1,0)</f>
        <v/>
      </c>
      <c r="IV39" s="85">
        <f>IF(AND(252&gt;=$C$13,252&lt;=$E$13),1,0)</f>
        <v/>
      </c>
      <c r="IW39" s="85">
        <f>IF(AND(253&gt;=$C$13,253&lt;=$E$13),1,0)</f>
        <v/>
      </c>
      <c r="IX39" s="85">
        <f>IF(AND(254&gt;=$C$13,254&lt;=$E$13),1,0)</f>
        <v/>
      </c>
      <c r="IY39" s="85">
        <f>IF(AND(255&gt;=$C$13,255&lt;=$E$13),1,0)</f>
        <v/>
      </c>
      <c r="IZ39" s="85">
        <f>IF(AND(256&gt;=$C$13,256&lt;=$E$13),1,0)</f>
        <v/>
      </c>
      <c r="JA39" s="85">
        <f>IF(AND(257&gt;=$C$13,257&lt;=$E$13),1,0)</f>
        <v/>
      </c>
      <c r="JB39" s="85">
        <f>IF(AND(258&gt;=$C$13,258&lt;=$E$13),1,0)</f>
        <v/>
      </c>
      <c r="JC39" s="85">
        <f>IF(AND(259&gt;=$C$13,259&lt;=$E$13),1,0)</f>
        <v/>
      </c>
      <c r="JD39" s="85">
        <f>IF(AND(260&gt;=$C$13,260&lt;=$E$13),1,0)</f>
        <v/>
      </c>
      <c r="JE39" s="85">
        <f>IF(AND(261&gt;=$C$13,261&lt;=$E$13),1,0)</f>
        <v/>
      </c>
      <c r="JF39" s="85">
        <f>IF(AND(262&gt;=$C$13,262&lt;=$E$13),1,0)</f>
        <v/>
      </c>
      <c r="JG39" s="85">
        <f>IF(AND(263&gt;=$C$13,263&lt;=$E$13),1,0)</f>
        <v/>
      </c>
      <c r="JH39" s="85">
        <f>IF(AND(264&gt;=$C$13,264&lt;=$E$13),1,0)</f>
        <v/>
      </c>
      <c r="JI39" s="85">
        <f>IF(AND(265&gt;=$C$13,265&lt;=$E$13),1,0)</f>
        <v/>
      </c>
      <c r="JJ39" s="85">
        <f>IF(AND(266&gt;=$C$13,266&lt;=$E$13),1,0)</f>
        <v/>
      </c>
      <c r="JK39" s="85">
        <f>IF(AND(267&gt;=$C$13,267&lt;=$E$13),1,0)</f>
        <v/>
      </c>
      <c r="JL39" s="85">
        <f>IF(AND(268&gt;=$C$13,268&lt;=$E$13),1,0)</f>
        <v/>
      </c>
      <c r="JM39" s="85">
        <f>IF(AND(269&gt;=$C$13,269&lt;=$E$13),1,0)</f>
        <v/>
      </c>
      <c r="JN39" s="85">
        <f>IF(AND(270&gt;=$C$13,270&lt;=$E$13),1,0)</f>
        <v/>
      </c>
      <c r="JO39" s="85">
        <f>IF(AND(271&gt;=$C$13,271&lt;=$E$13),1,0)</f>
        <v/>
      </c>
      <c r="JP39" s="85">
        <f>IF(AND(272&gt;=$C$13,272&lt;=$E$13),1,0)</f>
        <v/>
      </c>
      <c r="JQ39" s="85">
        <f>IF(AND(273&gt;=$C$13,273&lt;=$E$13),1,0)</f>
        <v/>
      </c>
      <c r="JR39" s="85">
        <f>IF(AND(274&gt;=$C$13,274&lt;=$E$13),1,0)</f>
        <v/>
      </c>
      <c r="JS39" s="85">
        <f>IF(AND(275&gt;=$C$13,275&lt;=$E$13),1,0)</f>
        <v/>
      </c>
      <c r="JT39" s="85">
        <f>IF(AND(276&gt;=$C$13,276&lt;=$E$13),1,0)</f>
        <v/>
      </c>
      <c r="JU39" s="85">
        <f>IF(AND(277&gt;=$C$13,277&lt;=$E$13),1,0)</f>
        <v/>
      </c>
      <c r="JV39" s="85">
        <f>IF(AND(278&gt;=$C$13,278&lt;=$E$13),1,0)</f>
        <v/>
      </c>
      <c r="JW39" s="85">
        <f>IF(AND(279&gt;=$C$13,279&lt;=$E$13),1,0)</f>
        <v/>
      </c>
      <c r="JX39" s="85">
        <f>IF(AND(280&gt;=$C$13,280&lt;=$E$13),1,0)</f>
        <v/>
      </c>
      <c r="JY39" s="85">
        <f>IF(AND(281&gt;=$C$13,281&lt;=$E$13),1,0)</f>
        <v/>
      </c>
      <c r="JZ39" s="85">
        <f>IF(AND(282&gt;=$C$13,282&lt;=$E$13),1,0)</f>
        <v/>
      </c>
      <c r="KA39" s="85">
        <f>IF(AND(283&gt;=$C$13,283&lt;=$E$13),1,0)</f>
        <v/>
      </c>
      <c r="KB39" s="85">
        <f>IF(AND(284&gt;=$C$13,284&lt;=$E$13),1,0)</f>
        <v/>
      </c>
      <c r="KC39" s="85">
        <f>IF(AND(285&gt;=$C$13,285&lt;=$E$13),1,0)</f>
        <v/>
      </c>
      <c r="KD39" s="85">
        <f>IF(AND(286&gt;=$C$13,286&lt;=$E$13),1,0)</f>
        <v/>
      </c>
      <c r="KE39" s="85">
        <f>IF(AND(287&gt;=$C$13,287&lt;=$E$13),1,0)</f>
        <v/>
      </c>
      <c r="KF39" s="85">
        <f>IF(AND(288&gt;=$C$13,288&lt;=$E$13),1,0)</f>
        <v/>
      </c>
      <c r="KG39" s="85">
        <f>IF(AND(289&gt;=$C$13,289&lt;=$E$13),1,0)</f>
        <v/>
      </c>
      <c r="KH39" s="85">
        <f>IF(AND(290&gt;=$C$13,290&lt;=$E$13),1,0)</f>
        <v/>
      </c>
      <c r="KI39" s="85">
        <f>IF(AND(291&gt;=$C$13,291&lt;=$E$13),1,0)</f>
        <v/>
      </c>
      <c r="KJ39" s="85">
        <f>IF(AND(292&gt;=$C$13,292&lt;=$E$13),1,0)</f>
        <v/>
      </c>
      <c r="KK39" s="85">
        <f>IF(AND(293&gt;=$C$13,293&lt;=$E$13),1,0)</f>
        <v/>
      </c>
      <c r="KL39" s="85">
        <f>IF(AND(294&gt;=$C$13,294&lt;=$E$13),1,0)</f>
        <v/>
      </c>
      <c r="KM39" s="85">
        <f>IF(AND(295&gt;=$C$13,295&lt;=$E$13),1,0)</f>
        <v/>
      </c>
      <c r="KN39" s="85">
        <f>IF(AND(296&gt;=$C$13,296&lt;=$E$13),1,0)</f>
        <v/>
      </c>
      <c r="KO39" s="85">
        <f>IF(AND(297&gt;=$C$13,297&lt;=$E$13),1,0)</f>
        <v/>
      </c>
      <c r="KP39" s="85">
        <f>IF(AND(298&gt;=$C$13,298&lt;=$E$13),1,0)</f>
        <v/>
      </c>
      <c r="KQ39" s="85">
        <f>IF(AND(299&gt;=$C$13,299&lt;=$E$13),1,0)</f>
        <v/>
      </c>
      <c r="KR39" s="85">
        <f>IF(AND(300&gt;=$C$13,300&lt;=$E$13),1,0)</f>
        <v/>
      </c>
      <c r="KS39" s="85">
        <f>IF(AND(301&gt;=$C$13,301&lt;=$E$13),1,0)</f>
        <v/>
      </c>
      <c r="KT39" s="85">
        <f>IF(AND(302&gt;=$C$13,302&lt;=$E$13),1,0)</f>
        <v/>
      </c>
      <c r="KU39" s="85">
        <f>IF(AND(303&gt;=$C$13,303&lt;=$E$13),1,0)</f>
        <v/>
      </c>
      <c r="KV39" s="85">
        <f>IF(AND(304&gt;=$C$13,304&lt;=$E$13),1,0)</f>
        <v/>
      </c>
      <c r="KW39" s="85">
        <f>IF(AND(305&gt;=$C$13,305&lt;=$E$13),1,0)</f>
        <v/>
      </c>
      <c r="KX39" s="85">
        <f>IF(AND(306&gt;=$C$13,306&lt;=$E$13),1,0)</f>
        <v/>
      </c>
      <c r="KY39" s="85">
        <f>IF(AND(307&gt;=$C$13,307&lt;=$E$13),1,0)</f>
        <v/>
      </c>
      <c r="KZ39" s="85">
        <f>IF(AND(308&gt;=$C$13,308&lt;=$E$13),1,0)</f>
        <v/>
      </c>
      <c r="LA39" s="85">
        <f>IF(AND(309&gt;=$C$13,309&lt;=$E$13),1,0)</f>
        <v/>
      </c>
      <c r="LB39" s="85">
        <f>IF(AND(310&gt;=$C$13,310&lt;=$E$13),1,0)</f>
        <v/>
      </c>
      <c r="LC39" s="85">
        <f>IF(AND(311&gt;=$C$13,311&lt;=$E$13),1,0)</f>
        <v/>
      </c>
      <c r="LD39" s="85">
        <f>IF(AND(312&gt;=$C$13,312&lt;=$E$13),1,0)</f>
        <v/>
      </c>
      <c r="LE39" s="85">
        <f>IF(AND(313&gt;=$C$13,313&lt;=$E$13),1,0)</f>
        <v/>
      </c>
      <c r="LF39" s="85">
        <f>IF(AND(314&gt;=$C$13,314&lt;=$E$13),1,0)</f>
        <v/>
      </c>
      <c r="LG39" s="85">
        <f>IF(AND(315&gt;=$C$13,315&lt;=$E$13),1,0)</f>
        <v/>
      </c>
      <c r="LH39" s="85">
        <f>IF(AND(316&gt;=$C$13,316&lt;=$E$13),1,0)</f>
        <v/>
      </c>
      <c r="LI39" s="85">
        <f>IF(AND(317&gt;=$C$13,317&lt;=$E$13),1,0)</f>
        <v/>
      </c>
      <c r="LJ39" s="85">
        <f>IF(AND(318&gt;=$C$13,318&lt;=$E$13),1,0)</f>
        <v/>
      </c>
      <c r="LK39" s="85">
        <f>IF(AND(319&gt;=$C$13,319&lt;=$E$13),1,0)</f>
        <v/>
      </c>
      <c r="LL39" s="85">
        <f>IF(AND(320&gt;=$C$13,320&lt;=$E$13),1,0)</f>
        <v/>
      </c>
      <c r="LM39" s="85">
        <f>IF(AND(321&gt;=$C$13,321&lt;=$E$13),1,0)</f>
        <v/>
      </c>
      <c r="LN39" s="85">
        <f>IF(AND(322&gt;=$C$13,322&lt;=$E$13),1,0)</f>
        <v/>
      </c>
      <c r="LO39" s="85">
        <f>IF(AND(323&gt;=$C$13,323&lt;=$E$13),1,0)</f>
        <v/>
      </c>
      <c r="LP39" s="85">
        <f>IF(AND(324&gt;=$C$13,324&lt;=$E$13),1,0)</f>
        <v/>
      </c>
      <c r="LQ39" s="85">
        <f>IF(AND(325&gt;=$C$13,325&lt;=$E$13),1,0)</f>
        <v/>
      </c>
      <c r="LR39" s="85">
        <f>IF(AND(326&gt;=$C$13,326&lt;=$E$13),1,0)</f>
        <v/>
      </c>
      <c r="LS39" s="85">
        <f>IF(AND(327&gt;=$C$13,327&lt;=$E$13),1,0)</f>
        <v/>
      </c>
      <c r="LT39" s="85">
        <f>IF(AND(328&gt;=$C$13,328&lt;=$E$13),1,0)</f>
        <v/>
      </c>
      <c r="LU39" s="85">
        <f>IF(AND(329&gt;=$C$13,329&lt;=$E$13),1,0)</f>
        <v/>
      </c>
      <c r="LV39" s="85">
        <f>IF(AND(330&gt;=$C$13,330&lt;=$E$13),1,0)</f>
        <v/>
      </c>
      <c r="LW39" s="85">
        <f>IF(AND(331&gt;=$C$13,331&lt;=$E$13),1,0)</f>
        <v/>
      </c>
      <c r="LX39" s="85">
        <f>IF(AND(332&gt;=$C$13,332&lt;=$E$13),1,0)</f>
        <v/>
      </c>
      <c r="LY39" s="85">
        <f>IF(AND(333&gt;=$C$13,333&lt;=$E$13),1,0)</f>
        <v/>
      </c>
      <c r="LZ39" s="85">
        <f>IF(AND(334&gt;=$C$13,334&lt;=$E$13),1,0)</f>
        <v/>
      </c>
      <c r="MA39" s="85">
        <f>IF(AND(335&gt;=$C$13,335&lt;=$E$13),1,0)</f>
        <v/>
      </c>
      <c r="MB39" s="85">
        <f>IF(AND(336&gt;=$C$13,336&lt;=$E$13),1,0)</f>
        <v/>
      </c>
      <c r="MC39" s="85">
        <f>IF(AND(337&gt;=$C$13,337&lt;=$E$13),1,0)</f>
        <v/>
      </c>
      <c r="MD39" s="85">
        <f>IF(AND(338&gt;=$C$13,338&lt;=$E$13),1,0)</f>
        <v/>
      </c>
      <c r="ME39" s="85">
        <f>IF(AND(339&gt;=$C$13,339&lt;=$E$13),1,0)</f>
        <v/>
      </c>
      <c r="MF39" s="85">
        <f>IF(AND(340&gt;=$C$13,340&lt;=$E$13),1,0)</f>
        <v/>
      </c>
      <c r="MG39" s="85">
        <f>IF(AND(341&gt;=$C$13,341&lt;=$E$13),1,0)</f>
        <v/>
      </c>
      <c r="MH39" s="85">
        <f>IF(AND(342&gt;=$C$13,342&lt;=$E$13),1,0)</f>
        <v/>
      </c>
      <c r="MI39" s="85">
        <f>IF(AND(343&gt;=$C$13,343&lt;=$E$13),1,0)</f>
        <v/>
      </c>
      <c r="MJ39" s="85">
        <f>IF(AND(344&gt;=$C$13,344&lt;=$E$13),1,0)</f>
        <v/>
      </c>
      <c r="MK39" s="85">
        <f>IF(AND(345&gt;=$C$13,345&lt;=$E$13),1,0)</f>
        <v/>
      </c>
      <c r="ML39" s="85">
        <f>IF(AND(346&gt;=$C$13,346&lt;=$E$13),1,0)</f>
        <v/>
      </c>
      <c r="MM39" s="85">
        <f>IF(AND(347&gt;=$C$13,347&lt;=$E$13),1,0)</f>
        <v/>
      </c>
      <c r="MN39" s="85">
        <f>IF(AND(348&gt;=$C$13,348&lt;=$E$13),1,0)</f>
        <v/>
      </c>
      <c r="MO39" s="85">
        <f>IF(AND(349&gt;=$C$13,349&lt;=$E$13),1,0)</f>
        <v/>
      </c>
      <c r="MP39" s="85">
        <f>IF(AND(350&gt;=$C$13,350&lt;=$E$13),1,0)</f>
        <v/>
      </c>
      <c r="MQ39" s="85">
        <f>IF(AND(351&gt;=$C$13,351&lt;=$E$13),1,0)</f>
        <v/>
      </c>
      <c r="MR39" s="85">
        <f>IF(AND(352&gt;=$C$13,352&lt;=$E$13),1,0)</f>
        <v/>
      </c>
      <c r="MS39" s="85">
        <f>IF(AND(353&gt;=$C$13,353&lt;=$E$13),1,0)</f>
        <v/>
      </c>
      <c r="MT39" s="85">
        <f>IF(AND(354&gt;=$C$13,354&lt;=$E$13),1,0)</f>
        <v/>
      </c>
      <c r="MU39" s="85">
        <f>IF(AND(355&gt;=$C$13,355&lt;=$E$13),1,0)</f>
        <v/>
      </c>
      <c r="MV39" s="85">
        <f>IF(AND(356&gt;=$C$13,356&lt;=$E$13),1,0)</f>
        <v/>
      </c>
      <c r="MW39" s="85">
        <f>IF(AND(357&gt;=$C$13,357&lt;=$E$13),1,0)</f>
        <v/>
      </c>
      <c r="MX39" s="85">
        <f>IF(AND(358&gt;=$C$13,358&lt;=$E$13),1,0)</f>
        <v/>
      </c>
      <c r="MY39" s="85">
        <f>IF(AND(359&gt;=$C$13,359&lt;=$E$13),1,0)</f>
        <v/>
      </c>
      <c r="MZ39" s="85">
        <f>IF(AND(360&gt;=$C$13,360&lt;=$E$13),1,0)</f>
        <v/>
      </c>
      <c r="NA39" s="85">
        <f>IF(AND(361&gt;=$C$13,361&lt;=$E$13),1,0)</f>
        <v/>
      </c>
      <c r="NB39" s="85">
        <f>IF(AND(362&gt;=$C$13,362&lt;=$E$13),1,0)</f>
        <v/>
      </c>
      <c r="NC39" s="85">
        <f>IF(AND(363&gt;=$C$13,363&lt;=$E$13),1,0)</f>
        <v/>
      </c>
      <c r="ND39" s="85">
        <f>IF(AND(364&gt;=$C$13,364&lt;=$E$13),1,0)</f>
        <v/>
      </c>
      <c r="NE39" s="85">
        <f>IF(AND(365&gt;=$C$13,365&lt;=$E$13),1,0)</f>
        <v/>
      </c>
      <c r="NF39" s="85">
        <f>IF(AND(366&gt;=$C$13,366&lt;=$E$13),1,0)</f>
        <v/>
      </c>
      <c r="NG39" s="85">
        <f>IF(AND(367&gt;=$C$13,367&lt;=$E$13),1,0)</f>
        <v/>
      </c>
      <c r="NH39" s="85">
        <f>IF(AND(368&gt;=$C$13,368&lt;=$E$13),1,0)</f>
        <v/>
      </c>
      <c r="NI39" s="85">
        <f>IF(AND(369&gt;=$C$13,369&lt;=$E$13),1,0)</f>
        <v/>
      </c>
      <c r="NJ39" s="85">
        <f>IF(AND(370&gt;=$C$13,370&lt;=$E$13),1,0)</f>
        <v/>
      </c>
      <c r="NK39" s="85">
        <f>IF(AND(371&gt;=$C$13,371&lt;=$E$13),1,0)</f>
        <v/>
      </c>
      <c r="NL39" s="85">
        <f>IF(AND(372&gt;=$C$13,372&lt;=$E$13),1,0)</f>
        <v/>
      </c>
    </row>
    <row r="40">
      <c r="B40" s="36" t="inlineStr">
        <is>
          <t>Flag: Disposition</t>
        </is>
      </c>
      <c r="D40" s="124" t="n"/>
      <c r="E40" s="85">
        <f>IF(AND(1&gt;=$C$14,1&lt;=$E$14),1,0)</f>
        <v/>
      </c>
      <c r="F40" s="85">
        <f>IF(AND(2&gt;=$C$14,2&lt;=$E$14),1,0)</f>
        <v/>
      </c>
      <c r="G40" s="85">
        <f>IF(AND(3&gt;=$C$14,3&lt;=$E$14),1,0)</f>
        <v/>
      </c>
      <c r="H40" s="85">
        <f>IF(AND(4&gt;=$C$14,4&lt;=$E$14),1,0)</f>
        <v/>
      </c>
      <c r="I40" s="85">
        <f>IF(AND(5&gt;=$C$14,5&lt;=$E$14),1,0)</f>
        <v/>
      </c>
      <c r="J40" s="85">
        <f>IF(AND(6&gt;=$C$14,6&lt;=$E$14),1,0)</f>
        <v/>
      </c>
      <c r="K40" s="85">
        <f>IF(AND(7&gt;=$C$14,7&lt;=$E$14),1,0)</f>
        <v/>
      </c>
      <c r="L40" s="85">
        <f>IF(AND(8&gt;=$C$14,8&lt;=$E$14),1,0)</f>
        <v/>
      </c>
      <c r="M40" s="85">
        <f>IF(AND(9&gt;=$C$14,9&lt;=$E$14),1,0)</f>
        <v/>
      </c>
      <c r="N40" s="85">
        <f>IF(AND(10&gt;=$C$14,10&lt;=$E$14),1,0)</f>
        <v/>
      </c>
      <c r="O40" s="85">
        <f>IF(AND(11&gt;=$C$14,11&lt;=$E$14),1,0)</f>
        <v/>
      </c>
      <c r="P40" s="85">
        <f>IF(AND(12&gt;=$C$14,12&lt;=$E$14),1,0)</f>
        <v/>
      </c>
      <c r="Q40" s="85">
        <f>IF(AND(13&gt;=$C$14,13&lt;=$E$14),1,0)</f>
        <v/>
      </c>
      <c r="R40" s="85">
        <f>IF(AND(14&gt;=$C$14,14&lt;=$E$14),1,0)</f>
        <v/>
      </c>
      <c r="S40" s="85">
        <f>IF(AND(15&gt;=$C$14,15&lt;=$E$14),1,0)</f>
        <v/>
      </c>
      <c r="T40" s="85">
        <f>IF(AND(16&gt;=$C$14,16&lt;=$E$14),1,0)</f>
        <v/>
      </c>
      <c r="U40" s="85">
        <f>IF(AND(17&gt;=$C$14,17&lt;=$E$14),1,0)</f>
        <v/>
      </c>
      <c r="V40" s="85">
        <f>IF(AND(18&gt;=$C$14,18&lt;=$E$14),1,0)</f>
        <v/>
      </c>
      <c r="W40" s="85">
        <f>IF(AND(19&gt;=$C$14,19&lt;=$E$14),1,0)</f>
        <v/>
      </c>
      <c r="X40" s="85">
        <f>IF(AND(20&gt;=$C$14,20&lt;=$E$14),1,0)</f>
        <v/>
      </c>
      <c r="Y40" s="85">
        <f>IF(AND(21&gt;=$C$14,21&lt;=$E$14),1,0)</f>
        <v/>
      </c>
      <c r="Z40" s="85">
        <f>IF(AND(22&gt;=$C$14,22&lt;=$E$14),1,0)</f>
        <v/>
      </c>
      <c r="AA40" s="85">
        <f>IF(AND(23&gt;=$C$14,23&lt;=$E$14),1,0)</f>
        <v/>
      </c>
      <c r="AB40" s="85">
        <f>IF(AND(24&gt;=$C$14,24&lt;=$E$14),1,0)</f>
        <v/>
      </c>
      <c r="AC40" s="85">
        <f>IF(AND(25&gt;=$C$14,25&lt;=$E$14),1,0)</f>
        <v/>
      </c>
      <c r="AD40" s="85">
        <f>IF(AND(26&gt;=$C$14,26&lt;=$E$14),1,0)</f>
        <v/>
      </c>
      <c r="AE40" s="85">
        <f>IF(AND(27&gt;=$C$14,27&lt;=$E$14),1,0)</f>
        <v/>
      </c>
      <c r="AF40" s="85">
        <f>IF(AND(28&gt;=$C$14,28&lt;=$E$14),1,0)</f>
        <v/>
      </c>
      <c r="AG40" s="85">
        <f>IF(AND(29&gt;=$C$14,29&lt;=$E$14),1,0)</f>
        <v/>
      </c>
      <c r="AH40" s="85">
        <f>IF(AND(30&gt;=$C$14,30&lt;=$E$14),1,0)</f>
        <v/>
      </c>
      <c r="AI40" s="85">
        <f>IF(AND(31&gt;=$C$14,31&lt;=$E$14),1,0)</f>
        <v/>
      </c>
      <c r="AJ40" s="85">
        <f>IF(AND(32&gt;=$C$14,32&lt;=$E$14),1,0)</f>
        <v/>
      </c>
      <c r="AK40" s="85">
        <f>IF(AND(33&gt;=$C$14,33&lt;=$E$14),1,0)</f>
        <v/>
      </c>
      <c r="AL40" s="85">
        <f>IF(AND(34&gt;=$C$14,34&lt;=$E$14),1,0)</f>
        <v/>
      </c>
      <c r="AM40" s="85">
        <f>IF(AND(35&gt;=$C$14,35&lt;=$E$14),1,0)</f>
        <v/>
      </c>
      <c r="AN40" s="85">
        <f>IF(AND(36&gt;=$C$14,36&lt;=$E$14),1,0)</f>
        <v/>
      </c>
      <c r="AO40" s="85">
        <f>IF(AND(37&gt;=$C$14,37&lt;=$E$14),1,0)</f>
        <v/>
      </c>
      <c r="AP40" s="85">
        <f>IF(AND(38&gt;=$C$14,38&lt;=$E$14),1,0)</f>
        <v/>
      </c>
      <c r="AQ40" s="85">
        <f>IF(AND(39&gt;=$C$14,39&lt;=$E$14),1,0)</f>
        <v/>
      </c>
      <c r="AR40" s="85">
        <f>IF(AND(40&gt;=$C$14,40&lt;=$E$14),1,0)</f>
        <v/>
      </c>
      <c r="AS40" s="85">
        <f>IF(AND(41&gt;=$C$14,41&lt;=$E$14),1,0)</f>
        <v/>
      </c>
      <c r="AT40" s="85">
        <f>IF(AND(42&gt;=$C$14,42&lt;=$E$14),1,0)</f>
        <v/>
      </c>
      <c r="AU40" s="85">
        <f>IF(AND(43&gt;=$C$14,43&lt;=$E$14),1,0)</f>
        <v/>
      </c>
      <c r="AV40" s="85">
        <f>IF(AND(44&gt;=$C$14,44&lt;=$E$14),1,0)</f>
        <v/>
      </c>
      <c r="AW40" s="85">
        <f>IF(AND(45&gt;=$C$14,45&lt;=$E$14),1,0)</f>
        <v/>
      </c>
      <c r="AX40" s="85">
        <f>IF(AND(46&gt;=$C$14,46&lt;=$E$14),1,0)</f>
        <v/>
      </c>
      <c r="AY40" s="85">
        <f>IF(AND(47&gt;=$C$14,47&lt;=$E$14),1,0)</f>
        <v/>
      </c>
      <c r="AZ40" s="85">
        <f>IF(AND(48&gt;=$C$14,48&lt;=$E$14),1,0)</f>
        <v/>
      </c>
      <c r="BA40" s="85">
        <f>IF(AND(49&gt;=$C$14,49&lt;=$E$14),1,0)</f>
        <v/>
      </c>
      <c r="BB40" s="85">
        <f>IF(AND(50&gt;=$C$14,50&lt;=$E$14),1,0)</f>
        <v/>
      </c>
      <c r="BC40" s="85">
        <f>IF(AND(51&gt;=$C$14,51&lt;=$E$14),1,0)</f>
        <v/>
      </c>
      <c r="BD40" s="85">
        <f>IF(AND(52&gt;=$C$14,52&lt;=$E$14),1,0)</f>
        <v/>
      </c>
      <c r="BE40" s="85">
        <f>IF(AND(53&gt;=$C$14,53&lt;=$E$14),1,0)</f>
        <v/>
      </c>
      <c r="BF40" s="85">
        <f>IF(AND(54&gt;=$C$14,54&lt;=$E$14),1,0)</f>
        <v/>
      </c>
      <c r="BG40" s="85">
        <f>IF(AND(55&gt;=$C$14,55&lt;=$E$14),1,0)</f>
        <v/>
      </c>
      <c r="BH40" s="85">
        <f>IF(AND(56&gt;=$C$14,56&lt;=$E$14),1,0)</f>
        <v/>
      </c>
      <c r="BI40" s="85">
        <f>IF(AND(57&gt;=$C$14,57&lt;=$E$14),1,0)</f>
        <v/>
      </c>
      <c r="BJ40" s="85">
        <f>IF(AND(58&gt;=$C$14,58&lt;=$E$14),1,0)</f>
        <v/>
      </c>
      <c r="BK40" s="85">
        <f>IF(AND(59&gt;=$C$14,59&lt;=$E$14),1,0)</f>
        <v/>
      </c>
      <c r="BL40" s="85">
        <f>IF(AND(60&gt;=$C$14,60&lt;=$E$14),1,0)</f>
        <v/>
      </c>
      <c r="BM40" s="85">
        <f>IF(AND(61&gt;=$C$14,61&lt;=$E$14),1,0)</f>
        <v/>
      </c>
      <c r="BN40" s="85">
        <f>IF(AND(62&gt;=$C$14,62&lt;=$E$14),1,0)</f>
        <v/>
      </c>
      <c r="BO40" s="85">
        <f>IF(AND(63&gt;=$C$14,63&lt;=$E$14),1,0)</f>
        <v/>
      </c>
      <c r="BP40" s="85">
        <f>IF(AND(64&gt;=$C$14,64&lt;=$E$14),1,0)</f>
        <v/>
      </c>
      <c r="BQ40" s="85">
        <f>IF(AND(65&gt;=$C$14,65&lt;=$E$14),1,0)</f>
        <v/>
      </c>
      <c r="BR40" s="85">
        <f>IF(AND(66&gt;=$C$14,66&lt;=$E$14),1,0)</f>
        <v/>
      </c>
      <c r="BS40" s="85">
        <f>IF(AND(67&gt;=$C$14,67&lt;=$E$14),1,0)</f>
        <v/>
      </c>
      <c r="BT40" s="85">
        <f>IF(AND(68&gt;=$C$14,68&lt;=$E$14),1,0)</f>
        <v/>
      </c>
      <c r="BU40" s="85">
        <f>IF(AND(69&gt;=$C$14,69&lt;=$E$14),1,0)</f>
        <v/>
      </c>
      <c r="BV40" s="85">
        <f>IF(AND(70&gt;=$C$14,70&lt;=$E$14),1,0)</f>
        <v/>
      </c>
      <c r="BW40" s="85">
        <f>IF(AND(71&gt;=$C$14,71&lt;=$E$14),1,0)</f>
        <v/>
      </c>
      <c r="BX40" s="85">
        <f>IF(AND(72&gt;=$C$14,72&lt;=$E$14),1,0)</f>
        <v/>
      </c>
      <c r="BY40" s="85">
        <f>IF(AND(73&gt;=$C$14,73&lt;=$E$14),1,0)</f>
        <v/>
      </c>
      <c r="BZ40" s="85">
        <f>IF(AND(74&gt;=$C$14,74&lt;=$E$14),1,0)</f>
        <v/>
      </c>
      <c r="CA40" s="85">
        <f>IF(AND(75&gt;=$C$14,75&lt;=$E$14),1,0)</f>
        <v/>
      </c>
      <c r="CB40" s="85">
        <f>IF(AND(76&gt;=$C$14,76&lt;=$E$14),1,0)</f>
        <v/>
      </c>
      <c r="CC40" s="85">
        <f>IF(AND(77&gt;=$C$14,77&lt;=$E$14),1,0)</f>
        <v/>
      </c>
      <c r="CD40" s="85">
        <f>IF(AND(78&gt;=$C$14,78&lt;=$E$14),1,0)</f>
        <v/>
      </c>
      <c r="CE40" s="85">
        <f>IF(AND(79&gt;=$C$14,79&lt;=$E$14),1,0)</f>
        <v/>
      </c>
      <c r="CF40" s="85">
        <f>IF(AND(80&gt;=$C$14,80&lt;=$E$14),1,0)</f>
        <v/>
      </c>
      <c r="CG40" s="85">
        <f>IF(AND(81&gt;=$C$14,81&lt;=$E$14),1,0)</f>
        <v/>
      </c>
      <c r="CH40" s="85">
        <f>IF(AND(82&gt;=$C$14,82&lt;=$E$14),1,0)</f>
        <v/>
      </c>
      <c r="CI40" s="85">
        <f>IF(AND(83&gt;=$C$14,83&lt;=$E$14),1,0)</f>
        <v/>
      </c>
      <c r="CJ40" s="85">
        <f>IF(AND(84&gt;=$C$14,84&lt;=$E$14),1,0)</f>
        <v/>
      </c>
      <c r="CK40" s="85">
        <f>IF(AND(85&gt;=$C$14,85&lt;=$E$14),1,0)</f>
        <v/>
      </c>
      <c r="CL40" s="85">
        <f>IF(AND(86&gt;=$C$14,86&lt;=$E$14),1,0)</f>
        <v/>
      </c>
      <c r="CM40" s="85">
        <f>IF(AND(87&gt;=$C$14,87&lt;=$E$14),1,0)</f>
        <v/>
      </c>
      <c r="CN40" s="85">
        <f>IF(AND(88&gt;=$C$14,88&lt;=$E$14),1,0)</f>
        <v/>
      </c>
      <c r="CO40" s="85">
        <f>IF(AND(89&gt;=$C$14,89&lt;=$E$14),1,0)</f>
        <v/>
      </c>
      <c r="CP40" s="85">
        <f>IF(AND(90&gt;=$C$14,90&lt;=$E$14),1,0)</f>
        <v/>
      </c>
      <c r="CQ40" s="85">
        <f>IF(AND(91&gt;=$C$14,91&lt;=$E$14),1,0)</f>
        <v/>
      </c>
      <c r="CR40" s="85">
        <f>IF(AND(92&gt;=$C$14,92&lt;=$E$14),1,0)</f>
        <v/>
      </c>
      <c r="CS40" s="85">
        <f>IF(AND(93&gt;=$C$14,93&lt;=$E$14),1,0)</f>
        <v/>
      </c>
      <c r="CT40" s="85">
        <f>IF(AND(94&gt;=$C$14,94&lt;=$E$14),1,0)</f>
        <v/>
      </c>
      <c r="CU40" s="85">
        <f>IF(AND(95&gt;=$C$14,95&lt;=$E$14),1,0)</f>
        <v/>
      </c>
      <c r="CV40" s="85">
        <f>IF(AND(96&gt;=$C$14,96&lt;=$E$14),1,0)</f>
        <v/>
      </c>
      <c r="CW40" s="85">
        <f>IF(AND(97&gt;=$C$14,97&lt;=$E$14),1,0)</f>
        <v/>
      </c>
      <c r="CX40" s="85">
        <f>IF(AND(98&gt;=$C$14,98&lt;=$E$14),1,0)</f>
        <v/>
      </c>
      <c r="CY40" s="85">
        <f>IF(AND(99&gt;=$C$14,99&lt;=$E$14),1,0)</f>
        <v/>
      </c>
      <c r="CZ40" s="85">
        <f>IF(AND(100&gt;=$C$14,100&lt;=$E$14),1,0)</f>
        <v/>
      </c>
      <c r="DA40" s="85">
        <f>IF(AND(101&gt;=$C$14,101&lt;=$E$14),1,0)</f>
        <v/>
      </c>
      <c r="DB40" s="85">
        <f>IF(AND(102&gt;=$C$14,102&lt;=$E$14),1,0)</f>
        <v/>
      </c>
      <c r="DC40" s="85">
        <f>IF(AND(103&gt;=$C$14,103&lt;=$E$14),1,0)</f>
        <v/>
      </c>
      <c r="DD40" s="85">
        <f>IF(AND(104&gt;=$C$14,104&lt;=$E$14),1,0)</f>
        <v/>
      </c>
      <c r="DE40" s="85">
        <f>IF(AND(105&gt;=$C$14,105&lt;=$E$14),1,0)</f>
        <v/>
      </c>
      <c r="DF40" s="85">
        <f>IF(AND(106&gt;=$C$14,106&lt;=$E$14),1,0)</f>
        <v/>
      </c>
      <c r="DG40" s="85">
        <f>IF(AND(107&gt;=$C$14,107&lt;=$E$14),1,0)</f>
        <v/>
      </c>
      <c r="DH40" s="85">
        <f>IF(AND(108&gt;=$C$14,108&lt;=$E$14),1,0)</f>
        <v/>
      </c>
      <c r="DI40" s="85">
        <f>IF(AND(109&gt;=$C$14,109&lt;=$E$14),1,0)</f>
        <v/>
      </c>
      <c r="DJ40" s="85">
        <f>IF(AND(110&gt;=$C$14,110&lt;=$E$14),1,0)</f>
        <v/>
      </c>
      <c r="DK40" s="85">
        <f>IF(AND(111&gt;=$C$14,111&lt;=$E$14),1,0)</f>
        <v/>
      </c>
      <c r="DL40" s="85">
        <f>IF(AND(112&gt;=$C$14,112&lt;=$E$14),1,0)</f>
        <v/>
      </c>
      <c r="DM40" s="85">
        <f>IF(AND(113&gt;=$C$14,113&lt;=$E$14),1,0)</f>
        <v/>
      </c>
      <c r="DN40" s="85">
        <f>IF(AND(114&gt;=$C$14,114&lt;=$E$14),1,0)</f>
        <v/>
      </c>
      <c r="DO40" s="85">
        <f>IF(AND(115&gt;=$C$14,115&lt;=$E$14),1,0)</f>
        <v/>
      </c>
      <c r="DP40" s="85">
        <f>IF(AND(116&gt;=$C$14,116&lt;=$E$14),1,0)</f>
        <v/>
      </c>
      <c r="DQ40" s="85">
        <f>IF(AND(117&gt;=$C$14,117&lt;=$E$14),1,0)</f>
        <v/>
      </c>
      <c r="DR40" s="85">
        <f>IF(AND(118&gt;=$C$14,118&lt;=$E$14),1,0)</f>
        <v/>
      </c>
      <c r="DS40" s="85">
        <f>IF(AND(119&gt;=$C$14,119&lt;=$E$14),1,0)</f>
        <v/>
      </c>
      <c r="DT40" s="85">
        <f>IF(AND(120&gt;=$C$14,120&lt;=$E$14),1,0)</f>
        <v/>
      </c>
      <c r="DU40" s="85">
        <f>IF(AND(121&gt;=$C$14,121&lt;=$E$14),1,0)</f>
        <v/>
      </c>
      <c r="DV40" s="85">
        <f>IF(AND(122&gt;=$C$14,122&lt;=$E$14),1,0)</f>
        <v/>
      </c>
      <c r="DW40" s="85">
        <f>IF(AND(123&gt;=$C$14,123&lt;=$E$14),1,0)</f>
        <v/>
      </c>
      <c r="DX40" s="85">
        <f>IF(AND(124&gt;=$C$14,124&lt;=$E$14),1,0)</f>
        <v/>
      </c>
      <c r="DY40" s="85">
        <f>IF(AND(125&gt;=$C$14,125&lt;=$E$14),1,0)</f>
        <v/>
      </c>
      <c r="DZ40" s="85">
        <f>IF(AND(126&gt;=$C$14,126&lt;=$E$14),1,0)</f>
        <v/>
      </c>
      <c r="EA40" s="85">
        <f>IF(AND(127&gt;=$C$14,127&lt;=$E$14),1,0)</f>
        <v/>
      </c>
      <c r="EB40" s="85">
        <f>IF(AND(128&gt;=$C$14,128&lt;=$E$14),1,0)</f>
        <v/>
      </c>
      <c r="EC40" s="85">
        <f>IF(AND(129&gt;=$C$14,129&lt;=$E$14),1,0)</f>
        <v/>
      </c>
      <c r="ED40" s="85">
        <f>IF(AND(130&gt;=$C$14,130&lt;=$E$14),1,0)</f>
        <v/>
      </c>
      <c r="EE40" s="85">
        <f>IF(AND(131&gt;=$C$14,131&lt;=$E$14),1,0)</f>
        <v/>
      </c>
      <c r="EF40" s="85">
        <f>IF(AND(132&gt;=$C$14,132&lt;=$E$14),1,0)</f>
        <v/>
      </c>
      <c r="EG40" s="85">
        <f>IF(AND(133&gt;=$C$14,133&lt;=$E$14),1,0)</f>
        <v/>
      </c>
      <c r="EH40" s="85">
        <f>IF(AND(134&gt;=$C$14,134&lt;=$E$14),1,0)</f>
        <v/>
      </c>
      <c r="EI40" s="85">
        <f>IF(AND(135&gt;=$C$14,135&lt;=$E$14),1,0)</f>
        <v/>
      </c>
      <c r="EJ40" s="85">
        <f>IF(AND(136&gt;=$C$14,136&lt;=$E$14),1,0)</f>
        <v/>
      </c>
      <c r="EK40" s="85">
        <f>IF(AND(137&gt;=$C$14,137&lt;=$E$14),1,0)</f>
        <v/>
      </c>
      <c r="EL40" s="85">
        <f>IF(AND(138&gt;=$C$14,138&lt;=$E$14),1,0)</f>
        <v/>
      </c>
      <c r="EM40" s="85">
        <f>IF(AND(139&gt;=$C$14,139&lt;=$E$14),1,0)</f>
        <v/>
      </c>
      <c r="EN40" s="85">
        <f>IF(AND(140&gt;=$C$14,140&lt;=$E$14),1,0)</f>
        <v/>
      </c>
      <c r="EO40" s="85">
        <f>IF(AND(141&gt;=$C$14,141&lt;=$E$14),1,0)</f>
        <v/>
      </c>
      <c r="EP40" s="85">
        <f>IF(AND(142&gt;=$C$14,142&lt;=$E$14),1,0)</f>
        <v/>
      </c>
      <c r="EQ40" s="85">
        <f>IF(AND(143&gt;=$C$14,143&lt;=$E$14),1,0)</f>
        <v/>
      </c>
      <c r="ER40" s="85">
        <f>IF(AND(144&gt;=$C$14,144&lt;=$E$14),1,0)</f>
        <v/>
      </c>
      <c r="ES40" s="85">
        <f>IF(AND(145&gt;=$C$14,145&lt;=$E$14),1,0)</f>
        <v/>
      </c>
      <c r="ET40" s="85">
        <f>IF(AND(146&gt;=$C$14,146&lt;=$E$14),1,0)</f>
        <v/>
      </c>
      <c r="EU40" s="85">
        <f>IF(AND(147&gt;=$C$14,147&lt;=$E$14),1,0)</f>
        <v/>
      </c>
      <c r="EV40" s="85">
        <f>IF(AND(148&gt;=$C$14,148&lt;=$E$14),1,0)</f>
        <v/>
      </c>
      <c r="EW40" s="85">
        <f>IF(AND(149&gt;=$C$14,149&lt;=$E$14),1,0)</f>
        <v/>
      </c>
      <c r="EX40" s="85">
        <f>IF(AND(150&gt;=$C$14,150&lt;=$E$14),1,0)</f>
        <v/>
      </c>
      <c r="EY40" s="85">
        <f>IF(AND(151&gt;=$C$14,151&lt;=$E$14),1,0)</f>
        <v/>
      </c>
      <c r="EZ40" s="85">
        <f>IF(AND(152&gt;=$C$14,152&lt;=$E$14),1,0)</f>
        <v/>
      </c>
      <c r="FA40" s="85">
        <f>IF(AND(153&gt;=$C$14,153&lt;=$E$14),1,0)</f>
        <v/>
      </c>
      <c r="FB40" s="85">
        <f>IF(AND(154&gt;=$C$14,154&lt;=$E$14),1,0)</f>
        <v/>
      </c>
      <c r="FC40" s="85">
        <f>IF(AND(155&gt;=$C$14,155&lt;=$E$14),1,0)</f>
        <v/>
      </c>
      <c r="FD40" s="85">
        <f>IF(AND(156&gt;=$C$14,156&lt;=$E$14),1,0)</f>
        <v/>
      </c>
      <c r="FE40" s="85">
        <f>IF(AND(157&gt;=$C$14,157&lt;=$E$14),1,0)</f>
        <v/>
      </c>
      <c r="FF40" s="85">
        <f>IF(AND(158&gt;=$C$14,158&lt;=$E$14),1,0)</f>
        <v/>
      </c>
      <c r="FG40" s="85">
        <f>IF(AND(159&gt;=$C$14,159&lt;=$E$14),1,0)</f>
        <v/>
      </c>
      <c r="FH40" s="85">
        <f>IF(AND(160&gt;=$C$14,160&lt;=$E$14),1,0)</f>
        <v/>
      </c>
      <c r="FI40" s="85">
        <f>IF(AND(161&gt;=$C$14,161&lt;=$E$14),1,0)</f>
        <v/>
      </c>
      <c r="FJ40" s="85">
        <f>IF(AND(162&gt;=$C$14,162&lt;=$E$14),1,0)</f>
        <v/>
      </c>
      <c r="FK40" s="85">
        <f>IF(AND(163&gt;=$C$14,163&lt;=$E$14),1,0)</f>
        <v/>
      </c>
      <c r="FL40" s="85">
        <f>IF(AND(164&gt;=$C$14,164&lt;=$E$14),1,0)</f>
        <v/>
      </c>
      <c r="FM40" s="85">
        <f>IF(AND(165&gt;=$C$14,165&lt;=$E$14),1,0)</f>
        <v/>
      </c>
      <c r="FN40" s="85">
        <f>IF(AND(166&gt;=$C$14,166&lt;=$E$14),1,0)</f>
        <v/>
      </c>
      <c r="FO40" s="85">
        <f>IF(AND(167&gt;=$C$14,167&lt;=$E$14),1,0)</f>
        <v/>
      </c>
      <c r="FP40" s="85">
        <f>IF(AND(168&gt;=$C$14,168&lt;=$E$14),1,0)</f>
        <v/>
      </c>
      <c r="FQ40" s="85">
        <f>IF(AND(169&gt;=$C$14,169&lt;=$E$14),1,0)</f>
        <v/>
      </c>
      <c r="FR40" s="85">
        <f>IF(AND(170&gt;=$C$14,170&lt;=$E$14),1,0)</f>
        <v/>
      </c>
      <c r="FS40" s="85">
        <f>IF(AND(171&gt;=$C$14,171&lt;=$E$14),1,0)</f>
        <v/>
      </c>
      <c r="FT40" s="85">
        <f>IF(AND(172&gt;=$C$14,172&lt;=$E$14),1,0)</f>
        <v/>
      </c>
      <c r="FU40" s="85">
        <f>IF(AND(173&gt;=$C$14,173&lt;=$E$14),1,0)</f>
        <v/>
      </c>
      <c r="FV40" s="85">
        <f>IF(AND(174&gt;=$C$14,174&lt;=$E$14),1,0)</f>
        <v/>
      </c>
      <c r="FW40" s="85">
        <f>IF(AND(175&gt;=$C$14,175&lt;=$E$14),1,0)</f>
        <v/>
      </c>
      <c r="FX40" s="85">
        <f>IF(AND(176&gt;=$C$14,176&lt;=$E$14),1,0)</f>
        <v/>
      </c>
      <c r="FY40" s="85">
        <f>IF(AND(177&gt;=$C$14,177&lt;=$E$14),1,0)</f>
        <v/>
      </c>
      <c r="FZ40" s="85">
        <f>IF(AND(178&gt;=$C$14,178&lt;=$E$14),1,0)</f>
        <v/>
      </c>
      <c r="GA40" s="85">
        <f>IF(AND(179&gt;=$C$14,179&lt;=$E$14),1,0)</f>
        <v/>
      </c>
      <c r="GB40" s="85">
        <f>IF(AND(180&gt;=$C$14,180&lt;=$E$14),1,0)</f>
        <v/>
      </c>
      <c r="GC40" s="85">
        <f>IF(AND(181&gt;=$C$14,181&lt;=$E$14),1,0)</f>
        <v/>
      </c>
      <c r="GD40" s="85">
        <f>IF(AND(182&gt;=$C$14,182&lt;=$E$14),1,0)</f>
        <v/>
      </c>
      <c r="GE40" s="85">
        <f>IF(AND(183&gt;=$C$14,183&lt;=$E$14),1,0)</f>
        <v/>
      </c>
      <c r="GF40" s="85">
        <f>IF(AND(184&gt;=$C$14,184&lt;=$E$14),1,0)</f>
        <v/>
      </c>
      <c r="GG40" s="85">
        <f>IF(AND(185&gt;=$C$14,185&lt;=$E$14),1,0)</f>
        <v/>
      </c>
      <c r="GH40" s="85">
        <f>IF(AND(186&gt;=$C$14,186&lt;=$E$14),1,0)</f>
        <v/>
      </c>
      <c r="GI40" s="85">
        <f>IF(AND(187&gt;=$C$14,187&lt;=$E$14),1,0)</f>
        <v/>
      </c>
      <c r="GJ40" s="85">
        <f>IF(AND(188&gt;=$C$14,188&lt;=$E$14),1,0)</f>
        <v/>
      </c>
      <c r="GK40" s="85">
        <f>IF(AND(189&gt;=$C$14,189&lt;=$E$14),1,0)</f>
        <v/>
      </c>
      <c r="GL40" s="85">
        <f>IF(AND(190&gt;=$C$14,190&lt;=$E$14),1,0)</f>
        <v/>
      </c>
      <c r="GM40" s="85">
        <f>IF(AND(191&gt;=$C$14,191&lt;=$E$14),1,0)</f>
        <v/>
      </c>
      <c r="GN40" s="85">
        <f>IF(AND(192&gt;=$C$14,192&lt;=$E$14),1,0)</f>
        <v/>
      </c>
      <c r="GO40" s="85">
        <f>IF(AND(193&gt;=$C$14,193&lt;=$E$14),1,0)</f>
        <v/>
      </c>
      <c r="GP40" s="85">
        <f>IF(AND(194&gt;=$C$14,194&lt;=$E$14),1,0)</f>
        <v/>
      </c>
      <c r="GQ40" s="85">
        <f>IF(AND(195&gt;=$C$14,195&lt;=$E$14),1,0)</f>
        <v/>
      </c>
      <c r="GR40" s="85">
        <f>IF(AND(196&gt;=$C$14,196&lt;=$E$14),1,0)</f>
        <v/>
      </c>
      <c r="GS40" s="85">
        <f>IF(AND(197&gt;=$C$14,197&lt;=$E$14),1,0)</f>
        <v/>
      </c>
      <c r="GT40" s="85">
        <f>IF(AND(198&gt;=$C$14,198&lt;=$E$14),1,0)</f>
        <v/>
      </c>
      <c r="GU40" s="85">
        <f>IF(AND(199&gt;=$C$14,199&lt;=$E$14),1,0)</f>
        <v/>
      </c>
      <c r="GV40" s="85">
        <f>IF(AND(200&gt;=$C$14,200&lt;=$E$14),1,0)</f>
        <v/>
      </c>
      <c r="GW40" s="85">
        <f>IF(AND(201&gt;=$C$14,201&lt;=$E$14),1,0)</f>
        <v/>
      </c>
      <c r="GX40" s="85">
        <f>IF(AND(202&gt;=$C$14,202&lt;=$E$14),1,0)</f>
        <v/>
      </c>
      <c r="GY40" s="85">
        <f>IF(AND(203&gt;=$C$14,203&lt;=$E$14),1,0)</f>
        <v/>
      </c>
      <c r="GZ40" s="85">
        <f>IF(AND(204&gt;=$C$14,204&lt;=$E$14),1,0)</f>
        <v/>
      </c>
      <c r="HA40" s="85">
        <f>IF(AND(205&gt;=$C$14,205&lt;=$E$14),1,0)</f>
        <v/>
      </c>
      <c r="HB40" s="85">
        <f>IF(AND(206&gt;=$C$14,206&lt;=$E$14),1,0)</f>
        <v/>
      </c>
      <c r="HC40" s="85">
        <f>IF(AND(207&gt;=$C$14,207&lt;=$E$14),1,0)</f>
        <v/>
      </c>
      <c r="HD40" s="85">
        <f>IF(AND(208&gt;=$C$14,208&lt;=$E$14),1,0)</f>
        <v/>
      </c>
      <c r="HE40" s="85">
        <f>IF(AND(209&gt;=$C$14,209&lt;=$E$14),1,0)</f>
        <v/>
      </c>
      <c r="HF40" s="85">
        <f>IF(AND(210&gt;=$C$14,210&lt;=$E$14),1,0)</f>
        <v/>
      </c>
      <c r="HG40" s="85">
        <f>IF(AND(211&gt;=$C$14,211&lt;=$E$14),1,0)</f>
        <v/>
      </c>
      <c r="HH40" s="85">
        <f>IF(AND(212&gt;=$C$14,212&lt;=$E$14),1,0)</f>
        <v/>
      </c>
      <c r="HI40" s="85">
        <f>IF(AND(213&gt;=$C$14,213&lt;=$E$14),1,0)</f>
        <v/>
      </c>
      <c r="HJ40" s="85">
        <f>IF(AND(214&gt;=$C$14,214&lt;=$E$14),1,0)</f>
        <v/>
      </c>
      <c r="HK40" s="85">
        <f>IF(AND(215&gt;=$C$14,215&lt;=$E$14),1,0)</f>
        <v/>
      </c>
      <c r="HL40" s="85">
        <f>IF(AND(216&gt;=$C$14,216&lt;=$E$14),1,0)</f>
        <v/>
      </c>
      <c r="HM40" s="85">
        <f>IF(AND(217&gt;=$C$14,217&lt;=$E$14),1,0)</f>
        <v/>
      </c>
      <c r="HN40" s="85">
        <f>IF(AND(218&gt;=$C$14,218&lt;=$E$14),1,0)</f>
        <v/>
      </c>
      <c r="HO40" s="85">
        <f>IF(AND(219&gt;=$C$14,219&lt;=$E$14),1,0)</f>
        <v/>
      </c>
      <c r="HP40" s="85">
        <f>IF(AND(220&gt;=$C$14,220&lt;=$E$14),1,0)</f>
        <v/>
      </c>
      <c r="HQ40" s="85">
        <f>IF(AND(221&gt;=$C$14,221&lt;=$E$14),1,0)</f>
        <v/>
      </c>
      <c r="HR40" s="85">
        <f>IF(AND(222&gt;=$C$14,222&lt;=$E$14),1,0)</f>
        <v/>
      </c>
      <c r="HS40" s="85">
        <f>IF(AND(223&gt;=$C$14,223&lt;=$E$14),1,0)</f>
        <v/>
      </c>
      <c r="HT40" s="85">
        <f>IF(AND(224&gt;=$C$14,224&lt;=$E$14),1,0)</f>
        <v/>
      </c>
      <c r="HU40" s="85">
        <f>IF(AND(225&gt;=$C$14,225&lt;=$E$14),1,0)</f>
        <v/>
      </c>
      <c r="HV40" s="85">
        <f>IF(AND(226&gt;=$C$14,226&lt;=$E$14),1,0)</f>
        <v/>
      </c>
      <c r="HW40" s="85">
        <f>IF(AND(227&gt;=$C$14,227&lt;=$E$14),1,0)</f>
        <v/>
      </c>
      <c r="HX40" s="85">
        <f>IF(AND(228&gt;=$C$14,228&lt;=$E$14),1,0)</f>
        <v/>
      </c>
      <c r="HY40" s="85">
        <f>IF(AND(229&gt;=$C$14,229&lt;=$E$14),1,0)</f>
        <v/>
      </c>
      <c r="HZ40" s="85">
        <f>IF(AND(230&gt;=$C$14,230&lt;=$E$14),1,0)</f>
        <v/>
      </c>
      <c r="IA40" s="85">
        <f>IF(AND(231&gt;=$C$14,231&lt;=$E$14),1,0)</f>
        <v/>
      </c>
      <c r="IB40" s="85">
        <f>IF(AND(232&gt;=$C$14,232&lt;=$E$14),1,0)</f>
        <v/>
      </c>
      <c r="IC40" s="85">
        <f>IF(AND(233&gt;=$C$14,233&lt;=$E$14),1,0)</f>
        <v/>
      </c>
      <c r="ID40" s="85">
        <f>IF(AND(234&gt;=$C$14,234&lt;=$E$14),1,0)</f>
        <v/>
      </c>
      <c r="IE40" s="85">
        <f>IF(AND(235&gt;=$C$14,235&lt;=$E$14),1,0)</f>
        <v/>
      </c>
      <c r="IF40" s="85">
        <f>IF(AND(236&gt;=$C$14,236&lt;=$E$14),1,0)</f>
        <v/>
      </c>
      <c r="IG40" s="85">
        <f>IF(AND(237&gt;=$C$14,237&lt;=$E$14),1,0)</f>
        <v/>
      </c>
      <c r="IH40" s="85">
        <f>IF(AND(238&gt;=$C$14,238&lt;=$E$14),1,0)</f>
        <v/>
      </c>
      <c r="II40" s="85">
        <f>IF(AND(239&gt;=$C$14,239&lt;=$E$14),1,0)</f>
        <v/>
      </c>
      <c r="IJ40" s="85">
        <f>IF(AND(240&gt;=$C$14,240&lt;=$E$14),1,0)</f>
        <v/>
      </c>
      <c r="IK40" s="85">
        <f>IF(AND(241&gt;=$C$14,241&lt;=$E$14),1,0)</f>
        <v/>
      </c>
      <c r="IL40" s="85">
        <f>IF(AND(242&gt;=$C$14,242&lt;=$E$14),1,0)</f>
        <v/>
      </c>
      <c r="IM40" s="85">
        <f>IF(AND(243&gt;=$C$14,243&lt;=$E$14),1,0)</f>
        <v/>
      </c>
      <c r="IN40" s="85">
        <f>IF(AND(244&gt;=$C$14,244&lt;=$E$14),1,0)</f>
        <v/>
      </c>
      <c r="IO40" s="85">
        <f>IF(AND(245&gt;=$C$14,245&lt;=$E$14),1,0)</f>
        <v/>
      </c>
      <c r="IP40" s="85">
        <f>IF(AND(246&gt;=$C$14,246&lt;=$E$14),1,0)</f>
        <v/>
      </c>
      <c r="IQ40" s="85">
        <f>IF(AND(247&gt;=$C$14,247&lt;=$E$14),1,0)</f>
        <v/>
      </c>
      <c r="IR40" s="85">
        <f>IF(AND(248&gt;=$C$14,248&lt;=$E$14),1,0)</f>
        <v/>
      </c>
      <c r="IS40" s="85">
        <f>IF(AND(249&gt;=$C$14,249&lt;=$E$14),1,0)</f>
        <v/>
      </c>
      <c r="IT40" s="85">
        <f>IF(AND(250&gt;=$C$14,250&lt;=$E$14),1,0)</f>
        <v/>
      </c>
      <c r="IU40" s="85">
        <f>IF(AND(251&gt;=$C$14,251&lt;=$E$14),1,0)</f>
        <v/>
      </c>
      <c r="IV40" s="85">
        <f>IF(AND(252&gt;=$C$14,252&lt;=$E$14),1,0)</f>
        <v/>
      </c>
      <c r="IW40" s="85">
        <f>IF(AND(253&gt;=$C$14,253&lt;=$E$14),1,0)</f>
        <v/>
      </c>
      <c r="IX40" s="85">
        <f>IF(AND(254&gt;=$C$14,254&lt;=$E$14),1,0)</f>
        <v/>
      </c>
      <c r="IY40" s="85">
        <f>IF(AND(255&gt;=$C$14,255&lt;=$E$14),1,0)</f>
        <v/>
      </c>
      <c r="IZ40" s="85">
        <f>IF(AND(256&gt;=$C$14,256&lt;=$E$14),1,0)</f>
        <v/>
      </c>
      <c r="JA40" s="85">
        <f>IF(AND(257&gt;=$C$14,257&lt;=$E$14),1,0)</f>
        <v/>
      </c>
      <c r="JB40" s="85">
        <f>IF(AND(258&gt;=$C$14,258&lt;=$E$14),1,0)</f>
        <v/>
      </c>
      <c r="JC40" s="85">
        <f>IF(AND(259&gt;=$C$14,259&lt;=$E$14),1,0)</f>
        <v/>
      </c>
      <c r="JD40" s="85">
        <f>IF(AND(260&gt;=$C$14,260&lt;=$E$14),1,0)</f>
        <v/>
      </c>
      <c r="JE40" s="85">
        <f>IF(AND(261&gt;=$C$14,261&lt;=$E$14),1,0)</f>
        <v/>
      </c>
      <c r="JF40" s="85">
        <f>IF(AND(262&gt;=$C$14,262&lt;=$E$14),1,0)</f>
        <v/>
      </c>
      <c r="JG40" s="85">
        <f>IF(AND(263&gt;=$C$14,263&lt;=$E$14),1,0)</f>
        <v/>
      </c>
      <c r="JH40" s="85">
        <f>IF(AND(264&gt;=$C$14,264&lt;=$E$14),1,0)</f>
        <v/>
      </c>
      <c r="JI40" s="85">
        <f>IF(AND(265&gt;=$C$14,265&lt;=$E$14),1,0)</f>
        <v/>
      </c>
      <c r="JJ40" s="85">
        <f>IF(AND(266&gt;=$C$14,266&lt;=$E$14),1,0)</f>
        <v/>
      </c>
      <c r="JK40" s="85">
        <f>IF(AND(267&gt;=$C$14,267&lt;=$E$14),1,0)</f>
        <v/>
      </c>
      <c r="JL40" s="85">
        <f>IF(AND(268&gt;=$C$14,268&lt;=$E$14),1,0)</f>
        <v/>
      </c>
      <c r="JM40" s="85">
        <f>IF(AND(269&gt;=$C$14,269&lt;=$E$14),1,0)</f>
        <v/>
      </c>
      <c r="JN40" s="85">
        <f>IF(AND(270&gt;=$C$14,270&lt;=$E$14),1,0)</f>
        <v/>
      </c>
      <c r="JO40" s="85">
        <f>IF(AND(271&gt;=$C$14,271&lt;=$E$14),1,0)</f>
        <v/>
      </c>
      <c r="JP40" s="85">
        <f>IF(AND(272&gt;=$C$14,272&lt;=$E$14),1,0)</f>
        <v/>
      </c>
      <c r="JQ40" s="85">
        <f>IF(AND(273&gt;=$C$14,273&lt;=$E$14),1,0)</f>
        <v/>
      </c>
      <c r="JR40" s="85">
        <f>IF(AND(274&gt;=$C$14,274&lt;=$E$14),1,0)</f>
        <v/>
      </c>
      <c r="JS40" s="85">
        <f>IF(AND(275&gt;=$C$14,275&lt;=$E$14),1,0)</f>
        <v/>
      </c>
      <c r="JT40" s="85">
        <f>IF(AND(276&gt;=$C$14,276&lt;=$E$14),1,0)</f>
        <v/>
      </c>
      <c r="JU40" s="85">
        <f>IF(AND(277&gt;=$C$14,277&lt;=$E$14),1,0)</f>
        <v/>
      </c>
      <c r="JV40" s="85">
        <f>IF(AND(278&gt;=$C$14,278&lt;=$E$14),1,0)</f>
        <v/>
      </c>
      <c r="JW40" s="85">
        <f>IF(AND(279&gt;=$C$14,279&lt;=$E$14),1,0)</f>
        <v/>
      </c>
      <c r="JX40" s="85">
        <f>IF(AND(280&gt;=$C$14,280&lt;=$E$14),1,0)</f>
        <v/>
      </c>
      <c r="JY40" s="85">
        <f>IF(AND(281&gt;=$C$14,281&lt;=$E$14),1,0)</f>
        <v/>
      </c>
      <c r="JZ40" s="85">
        <f>IF(AND(282&gt;=$C$14,282&lt;=$E$14),1,0)</f>
        <v/>
      </c>
      <c r="KA40" s="85">
        <f>IF(AND(283&gt;=$C$14,283&lt;=$E$14),1,0)</f>
        <v/>
      </c>
      <c r="KB40" s="85">
        <f>IF(AND(284&gt;=$C$14,284&lt;=$E$14),1,0)</f>
        <v/>
      </c>
      <c r="KC40" s="85">
        <f>IF(AND(285&gt;=$C$14,285&lt;=$E$14),1,0)</f>
        <v/>
      </c>
      <c r="KD40" s="85">
        <f>IF(AND(286&gt;=$C$14,286&lt;=$E$14),1,0)</f>
        <v/>
      </c>
      <c r="KE40" s="85">
        <f>IF(AND(287&gt;=$C$14,287&lt;=$E$14),1,0)</f>
        <v/>
      </c>
      <c r="KF40" s="85">
        <f>IF(AND(288&gt;=$C$14,288&lt;=$E$14),1,0)</f>
        <v/>
      </c>
      <c r="KG40" s="85">
        <f>IF(AND(289&gt;=$C$14,289&lt;=$E$14),1,0)</f>
        <v/>
      </c>
      <c r="KH40" s="85">
        <f>IF(AND(290&gt;=$C$14,290&lt;=$E$14),1,0)</f>
        <v/>
      </c>
      <c r="KI40" s="85">
        <f>IF(AND(291&gt;=$C$14,291&lt;=$E$14),1,0)</f>
        <v/>
      </c>
      <c r="KJ40" s="85">
        <f>IF(AND(292&gt;=$C$14,292&lt;=$E$14),1,0)</f>
        <v/>
      </c>
      <c r="KK40" s="85">
        <f>IF(AND(293&gt;=$C$14,293&lt;=$E$14),1,0)</f>
        <v/>
      </c>
      <c r="KL40" s="85">
        <f>IF(AND(294&gt;=$C$14,294&lt;=$E$14),1,0)</f>
        <v/>
      </c>
      <c r="KM40" s="85">
        <f>IF(AND(295&gt;=$C$14,295&lt;=$E$14),1,0)</f>
        <v/>
      </c>
      <c r="KN40" s="85">
        <f>IF(AND(296&gt;=$C$14,296&lt;=$E$14),1,0)</f>
        <v/>
      </c>
      <c r="KO40" s="85">
        <f>IF(AND(297&gt;=$C$14,297&lt;=$E$14),1,0)</f>
        <v/>
      </c>
      <c r="KP40" s="85">
        <f>IF(AND(298&gt;=$C$14,298&lt;=$E$14),1,0)</f>
        <v/>
      </c>
      <c r="KQ40" s="85">
        <f>IF(AND(299&gt;=$C$14,299&lt;=$E$14),1,0)</f>
        <v/>
      </c>
      <c r="KR40" s="85">
        <f>IF(AND(300&gt;=$C$14,300&lt;=$E$14),1,0)</f>
        <v/>
      </c>
      <c r="KS40" s="85">
        <f>IF(AND(301&gt;=$C$14,301&lt;=$E$14),1,0)</f>
        <v/>
      </c>
      <c r="KT40" s="85">
        <f>IF(AND(302&gt;=$C$14,302&lt;=$E$14),1,0)</f>
        <v/>
      </c>
      <c r="KU40" s="85">
        <f>IF(AND(303&gt;=$C$14,303&lt;=$E$14),1,0)</f>
        <v/>
      </c>
      <c r="KV40" s="85">
        <f>IF(AND(304&gt;=$C$14,304&lt;=$E$14),1,0)</f>
        <v/>
      </c>
      <c r="KW40" s="85">
        <f>IF(AND(305&gt;=$C$14,305&lt;=$E$14),1,0)</f>
        <v/>
      </c>
      <c r="KX40" s="85">
        <f>IF(AND(306&gt;=$C$14,306&lt;=$E$14),1,0)</f>
        <v/>
      </c>
      <c r="KY40" s="85">
        <f>IF(AND(307&gt;=$C$14,307&lt;=$E$14),1,0)</f>
        <v/>
      </c>
      <c r="KZ40" s="85">
        <f>IF(AND(308&gt;=$C$14,308&lt;=$E$14),1,0)</f>
        <v/>
      </c>
      <c r="LA40" s="85">
        <f>IF(AND(309&gt;=$C$14,309&lt;=$E$14),1,0)</f>
        <v/>
      </c>
      <c r="LB40" s="85">
        <f>IF(AND(310&gt;=$C$14,310&lt;=$E$14),1,0)</f>
        <v/>
      </c>
      <c r="LC40" s="85">
        <f>IF(AND(311&gt;=$C$14,311&lt;=$E$14),1,0)</f>
        <v/>
      </c>
      <c r="LD40" s="85">
        <f>IF(AND(312&gt;=$C$14,312&lt;=$E$14),1,0)</f>
        <v/>
      </c>
      <c r="LE40" s="85">
        <f>IF(AND(313&gt;=$C$14,313&lt;=$E$14),1,0)</f>
        <v/>
      </c>
      <c r="LF40" s="85">
        <f>IF(AND(314&gt;=$C$14,314&lt;=$E$14),1,0)</f>
        <v/>
      </c>
      <c r="LG40" s="85">
        <f>IF(AND(315&gt;=$C$14,315&lt;=$E$14),1,0)</f>
        <v/>
      </c>
      <c r="LH40" s="85">
        <f>IF(AND(316&gt;=$C$14,316&lt;=$E$14),1,0)</f>
        <v/>
      </c>
      <c r="LI40" s="85">
        <f>IF(AND(317&gt;=$C$14,317&lt;=$E$14),1,0)</f>
        <v/>
      </c>
      <c r="LJ40" s="85">
        <f>IF(AND(318&gt;=$C$14,318&lt;=$E$14),1,0)</f>
        <v/>
      </c>
      <c r="LK40" s="85">
        <f>IF(AND(319&gt;=$C$14,319&lt;=$E$14),1,0)</f>
        <v/>
      </c>
      <c r="LL40" s="85">
        <f>IF(AND(320&gt;=$C$14,320&lt;=$E$14),1,0)</f>
        <v/>
      </c>
      <c r="LM40" s="85">
        <f>IF(AND(321&gt;=$C$14,321&lt;=$E$14),1,0)</f>
        <v/>
      </c>
      <c r="LN40" s="85">
        <f>IF(AND(322&gt;=$C$14,322&lt;=$E$14),1,0)</f>
        <v/>
      </c>
      <c r="LO40" s="85">
        <f>IF(AND(323&gt;=$C$14,323&lt;=$E$14),1,0)</f>
        <v/>
      </c>
      <c r="LP40" s="85">
        <f>IF(AND(324&gt;=$C$14,324&lt;=$E$14),1,0)</f>
        <v/>
      </c>
      <c r="LQ40" s="85">
        <f>IF(AND(325&gt;=$C$14,325&lt;=$E$14),1,0)</f>
        <v/>
      </c>
      <c r="LR40" s="85">
        <f>IF(AND(326&gt;=$C$14,326&lt;=$E$14),1,0)</f>
        <v/>
      </c>
      <c r="LS40" s="85">
        <f>IF(AND(327&gt;=$C$14,327&lt;=$E$14),1,0)</f>
        <v/>
      </c>
      <c r="LT40" s="85">
        <f>IF(AND(328&gt;=$C$14,328&lt;=$E$14),1,0)</f>
        <v/>
      </c>
      <c r="LU40" s="85">
        <f>IF(AND(329&gt;=$C$14,329&lt;=$E$14),1,0)</f>
        <v/>
      </c>
      <c r="LV40" s="85">
        <f>IF(AND(330&gt;=$C$14,330&lt;=$E$14),1,0)</f>
        <v/>
      </c>
      <c r="LW40" s="85">
        <f>IF(AND(331&gt;=$C$14,331&lt;=$E$14),1,0)</f>
        <v/>
      </c>
      <c r="LX40" s="85">
        <f>IF(AND(332&gt;=$C$14,332&lt;=$E$14),1,0)</f>
        <v/>
      </c>
      <c r="LY40" s="85">
        <f>IF(AND(333&gt;=$C$14,333&lt;=$E$14),1,0)</f>
        <v/>
      </c>
      <c r="LZ40" s="85">
        <f>IF(AND(334&gt;=$C$14,334&lt;=$E$14),1,0)</f>
        <v/>
      </c>
      <c r="MA40" s="85">
        <f>IF(AND(335&gt;=$C$14,335&lt;=$E$14),1,0)</f>
        <v/>
      </c>
      <c r="MB40" s="85">
        <f>IF(AND(336&gt;=$C$14,336&lt;=$E$14),1,0)</f>
        <v/>
      </c>
      <c r="MC40" s="85">
        <f>IF(AND(337&gt;=$C$14,337&lt;=$E$14),1,0)</f>
        <v/>
      </c>
      <c r="MD40" s="85">
        <f>IF(AND(338&gt;=$C$14,338&lt;=$E$14),1,0)</f>
        <v/>
      </c>
      <c r="ME40" s="85">
        <f>IF(AND(339&gt;=$C$14,339&lt;=$E$14),1,0)</f>
        <v/>
      </c>
      <c r="MF40" s="85">
        <f>IF(AND(340&gt;=$C$14,340&lt;=$E$14),1,0)</f>
        <v/>
      </c>
      <c r="MG40" s="85">
        <f>IF(AND(341&gt;=$C$14,341&lt;=$E$14),1,0)</f>
        <v/>
      </c>
      <c r="MH40" s="85">
        <f>IF(AND(342&gt;=$C$14,342&lt;=$E$14),1,0)</f>
        <v/>
      </c>
      <c r="MI40" s="85">
        <f>IF(AND(343&gt;=$C$14,343&lt;=$E$14),1,0)</f>
        <v/>
      </c>
      <c r="MJ40" s="85">
        <f>IF(AND(344&gt;=$C$14,344&lt;=$E$14),1,0)</f>
        <v/>
      </c>
      <c r="MK40" s="85">
        <f>IF(AND(345&gt;=$C$14,345&lt;=$E$14),1,0)</f>
        <v/>
      </c>
      <c r="ML40" s="85">
        <f>IF(AND(346&gt;=$C$14,346&lt;=$E$14),1,0)</f>
        <v/>
      </c>
      <c r="MM40" s="85">
        <f>IF(AND(347&gt;=$C$14,347&lt;=$E$14),1,0)</f>
        <v/>
      </c>
      <c r="MN40" s="85">
        <f>IF(AND(348&gt;=$C$14,348&lt;=$E$14),1,0)</f>
        <v/>
      </c>
      <c r="MO40" s="85">
        <f>IF(AND(349&gt;=$C$14,349&lt;=$E$14),1,0)</f>
        <v/>
      </c>
      <c r="MP40" s="85">
        <f>IF(AND(350&gt;=$C$14,350&lt;=$E$14),1,0)</f>
        <v/>
      </c>
      <c r="MQ40" s="85">
        <f>IF(AND(351&gt;=$C$14,351&lt;=$E$14),1,0)</f>
        <v/>
      </c>
      <c r="MR40" s="85">
        <f>IF(AND(352&gt;=$C$14,352&lt;=$E$14),1,0)</f>
        <v/>
      </c>
      <c r="MS40" s="85">
        <f>IF(AND(353&gt;=$C$14,353&lt;=$E$14),1,0)</f>
        <v/>
      </c>
      <c r="MT40" s="85">
        <f>IF(AND(354&gt;=$C$14,354&lt;=$E$14),1,0)</f>
        <v/>
      </c>
      <c r="MU40" s="85">
        <f>IF(AND(355&gt;=$C$14,355&lt;=$E$14),1,0)</f>
        <v/>
      </c>
      <c r="MV40" s="85">
        <f>IF(AND(356&gt;=$C$14,356&lt;=$E$14),1,0)</f>
        <v/>
      </c>
      <c r="MW40" s="85">
        <f>IF(AND(357&gt;=$C$14,357&lt;=$E$14),1,0)</f>
        <v/>
      </c>
      <c r="MX40" s="85">
        <f>IF(AND(358&gt;=$C$14,358&lt;=$E$14),1,0)</f>
        <v/>
      </c>
      <c r="MY40" s="85">
        <f>IF(AND(359&gt;=$C$14,359&lt;=$E$14),1,0)</f>
        <v/>
      </c>
      <c r="MZ40" s="85">
        <f>IF(AND(360&gt;=$C$14,360&lt;=$E$14),1,0)</f>
        <v/>
      </c>
      <c r="NA40" s="85">
        <f>IF(AND(361&gt;=$C$14,361&lt;=$E$14),1,0)</f>
        <v/>
      </c>
      <c r="NB40" s="85">
        <f>IF(AND(362&gt;=$C$14,362&lt;=$E$14),1,0)</f>
        <v/>
      </c>
      <c r="NC40" s="85">
        <f>IF(AND(363&gt;=$C$14,363&lt;=$E$14),1,0)</f>
        <v/>
      </c>
      <c r="ND40" s="85">
        <f>IF(AND(364&gt;=$C$14,364&lt;=$E$14),1,0)</f>
        <v/>
      </c>
      <c r="NE40" s="85">
        <f>IF(AND(365&gt;=$C$14,365&lt;=$E$14),1,0)</f>
        <v/>
      </c>
      <c r="NF40" s="85">
        <f>IF(AND(366&gt;=$C$14,366&lt;=$E$14),1,0)</f>
        <v/>
      </c>
      <c r="NG40" s="85">
        <f>IF(AND(367&gt;=$C$14,367&lt;=$E$14),1,0)</f>
        <v/>
      </c>
      <c r="NH40" s="85">
        <f>IF(AND(368&gt;=$C$14,368&lt;=$E$14),1,0)</f>
        <v/>
      </c>
      <c r="NI40" s="85">
        <f>IF(AND(369&gt;=$C$14,369&lt;=$E$14),1,0)</f>
        <v/>
      </c>
      <c r="NJ40" s="85">
        <f>IF(AND(370&gt;=$C$14,370&lt;=$E$14),1,0)</f>
        <v/>
      </c>
      <c r="NK40" s="85">
        <f>IF(AND(371&gt;=$C$14,371&lt;=$E$14),1,0)</f>
        <v/>
      </c>
      <c r="NL40" s="85">
        <f>IF(AND(372&gt;=$C$14,372&lt;=$E$14),1,0)</f>
        <v/>
      </c>
    </row>
    <row r="41">
      <c r="B41" s="36" t="inlineStr">
        <is>
          <t>Flag: Operations Active</t>
        </is>
      </c>
      <c r="D41" s="124" t="n"/>
      <c r="E41" s="85">
        <f>IF(AND(1&gt;=DeliverStart,1&lt;=DispoMonth),1,0)</f>
        <v/>
      </c>
      <c r="F41" s="85">
        <f>IF(AND(2&gt;=DeliverStart,2&lt;=DispoMonth),1,0)</f>
        <v/>
      </c>
      <c r="G41" s="85">
        <f>IF(AND(3&gt;=DeliverStart,3&lt;=DispoMonth),1,0)</f>
        <v/>
      </c>
      <c r="H41" s="85">
        <f>IF(AND(4&gt;=DeliverStart,4&lt;=DispoMonth),1,0)</f>
        <v/>
      </c>
      <c r="I41" s="85">
        <f>IF(AND(5&gt;=DeliverStart,5&lt;=DispoMonth),1,0)</f>
        <v/>
      </c>
      <c r="J41" s="85">
        <f>IF(AND(6&gt;=DeliverStart,6&lt;=DispoMonth),1,0)</f>
        <v/>
      </c>
      <c r="K41" s="85">
        <f>IF(AND(7&gt;=DeliverStart,7&lt;=DispoMonth),1,0)</f>
        <v/>
      </c>
      <c r="L41" s="85">
        <f>IF(AND(8&gt;=DeliverStart,8&lt;=DispoMonth),1,0)</f>
        <v/>
      </c>
      <c r="M41" s="85">
        <f>IF(AND(9&gt;=DeliverStart,9&lt;=DispoMonth),1,0)</f>
        <v/>
      </c>
      <c r="N41" s="85">
        <f>IF(AND(10&gt;=DeliverStart,10&lt;=DispoMonth),1,0)</f>
        <v/>
      </c>
      <c r="O41" s="85">
        <f>IF(AND(11&gt;=DeliverStart,11&lt;=DispoMonth),1,0)</f>
        <v/>
      </c>
      <c r="P41" s="85">
        <f>IF(AND(12&gt;=DeliverStart,12&lt;=DispoMonth),1,0)</f>
        <v/>
      </c>
      <c r="Q41" s="85">
        <f>IF(AND(13&gt;=DeliverStart,13&lt;=DispoMonth),1,0)</f>
        <v/>
      </c>
      <c r="R41" s="85">
        <f>IF(AND(14&gt;=DeliverStart,14&lt;=DispoMonth),1,0)</f>
        <v/>
      </c>
      <c r="S41" s="85">
        <f>IF(AND(15&gt;=DeliverStart,15&lt;=DispoMonth),1,0)</f>
        <v/>
      </c>
      <c r="T41" s="85">
        <f>IF(AND(16&gt;=DeliverStart,16&lt;=DispoMonth),1,0)</f>
        <v/>
      </c>
      <c r="U41" s="85">
        <f>IF(AND(17&gt;=DeliverStart,17&lt;=DispoMonth),1,0)</f>
        <v/>
      </c>
      <c r="V41" s="85">
        <f>IF(AND(18&gt;=DeliverStart,18&lt;=DispoMonth),1,0)</f>
        <v/>
      </c>
      <c r="W41" s="85">
        <f>IF(AND(19&gt;=DeliverStart,19&lt;=DispoMonth),1,0)</f>
        <v/>
      </c>
      <c r="X41" s="85">
        <f>IF(AND(20&gt;=DeliverStart,20&lt;=DispoMonth),1,0)</f>
        <v/>
      </c>
      <c r="Y41" s="85">
        <f>IF(AND(21&gt;=DeliverStart,21&lt;=DispoMonth),1,0)</f>
        <v/>
      </c>
      <c r="Z41" s="85">
        <f>IF(AND(22&gt;=DeliverStart,22&lt;=DispoMonth),1,0)</f>
        <v/>
      </c>
      <c r="AA41" s="85">
        <f>IF(AND(23&gt;=DeliverStart,23&lt;=DispoMonth),1,0)</f>
        <v/>
      </c>
      <c r="AB41" s="85">
        <f>IF(AND(24&gt;=DeliverStart,24&lt;=DispoMonth),1,0)</f>
        <v/>
      </c>
      <c r="AC41" s="85">
        <f>IF(AND(25&gt;=DeliverStart,25&lt;=DispoMonth),1,0)</f>
        <v/>
      </c>
      <c r="AD41" s="85">
        <f>IF(AND(26&gt;=DeliverStart,26&lt;=DispoMonth),1,0)</f>
        <v/>
      </c>
      <c r="AE41" s="85">
        <f>IF(AND(27&gt;=DeliverStart,27&lt;=DispoMonth),1,0)</f>
        <v/>
      </c>
      <c r="AF41" s="85">
        <f>IF(AND(28&gt;=DeliverStart,28&lt;=DispoMonth),1,0)</f>
        <v/>
      </c>
      <c r="AG41" s="85">
        <f>IF(AND(29&gt;=DeliverStart,29&lt;=DispoMonth),1,0)</f>
        <v/>
      </c>
      <c r="AH41" s="85">
        <f>IF(AND(30&gt;=DeliverStart,30&lt;=DispoMonth),1,0)</f>
        <v/>
      </c>
      <c r="AI41" s="85">
        <f>IF(AND(31&gt;=DeliverStart,31&lt;=DispoMonth),1,0)</f>
        <v/>
      </c>
      <c r="AJ41" s="85">
        <f>IF(AND(32&gt;=DeliverStart,32&lt;=DispoMonth),1,0)</f>
        <v/>
      </c>
      <c r="AK41" s="85">
        <f>IF(AND(33&gt;=DeliverStart,33&lt;=DispoMonth),1,0)</f>
        <v/>
      </c>
      <c r="AL41" s="85">
        <f>IF(AND(34&gt;=DeliverStart,34&lt;=DispoMonth),1,0)</f>
        <v/>
      </c>
      <c r="AM41" s="85">
        <f>IF(AND(35&gt;=DeliverStart,35&lt;=DispoMonth),1,0)</f>
        <v/>
      </c>
      <c r="AN41" s="85">
        <f>IF(AND(36&gt;=DeliverStart,36&lt;=DispoMonth),1,0)</f>
        <v/>
      </c>
      <c r="AO41" s="85">
        <f>IF(AND(37&gt;=DeliverStart,37&lt;=DispoMonth),1,0)</f>
        <v/>
      </c>
      <c r="AP41" s="85">
        <f>IF(AND(38&gt;=DeliverStart,38&lt;=DispoMonth),1,0)</f>
        <v/>
      </c>
      <c r="AQ41" s="85">
        <f>IF(AND(39&gt;=DeliverStart,39&lt;=DispoMonth),1,0)</f>
        <v/>
      </c>
      <c r="AR41" s="85">
        <f>IF(AND(40&gt;=DeliverStart,40&lt;=DispoMonth),1,0)</f>
        <v/>
      </c>
      <c r="AS41" s="85">
        <f>IF(AND(41&gt;=DeliverStart,41&lt;=DispoMonth),1,0)</f>
        <v/>
      </c>
      <c r="AT41" s="85">
        <f>IF(AND(42&gt;=DeliverStart,42&lt;=DispoMonth),1,0)</f>
        <v/>
      </c>
      <c r="AU41" s="85">
        <f>IF(AND(43&gt;=DeliverStart,43&lt;=DispoMonth),1,0)</f>
        <v/>
      </c>
      <c r="AV41" s="85">
        <f>IF(AND(44&gt;=DeliverStart,44&lt;=DispoMonth),1,0)</f>
        <v/>
      </c>
      <c r="AW41" s="85">
        <f>IF(AND(45&gt;=DeliverStart,45&lt;=DispoMonth),1,0)</f>
        <v/>
      </c>
      <c r="AX41" s="85">
        <f>IF(AND(46&gt;=DeliverStart,46&lt;=DispoMonth),1,0)</f>
        <v/>
      </c>
      <c r="AY41" s="85">
        <f>IF(AND(47&gt;=DeliverStart,47&lt;=DispoMonth),1,0)</f>
        <v/>
      </c>
      <c r="AZ41" s="85">
        <f>IF(AND(48&gt;=DeliverStart,48&lt;=DispoMonth),1,0)</f>
        <v/>
      </c>
      <c r="BA41" s="85">
        <f>IF(AND(49&gt;=DeliverStart,49&lt;=DispoMonth),1,0)</f>
        <v/>
      </c>
      <c r="BB41" s="85">
        <f>IF(AND(50&gt;=DeliverStart,50&lt;=DispoMonth),1,0)</f>
        <v/>
      </c>
      <c r="BC41" s="85">
        <f>IF(AND(51&gt;=DeliverStart,51&lt;=DispoMonth),1,0)</f>
        <v/>
      </c>
      <c r="BD41" s="85">
        <f>IF(AND(52&gt;=DeliverStart,52&lt;=DispoMonth),1,0)</f>
        <v/>
      </c>
      <c r="BE41" s="85">
        <f>IF(AND(53&gt;=DeliverStart,53&lt;=DispoMonth),1,0)</f>
        <v/>
      </c>
      <c r="BF41" s="85">
        <f>IF(AND(54&gt;=DeliverStart,54&lt;=DispoMonth),1,0)</f>
        <v/>
      </c>
      <c r="BG41" s="85">
        <f>IF(AND(55&gt;=DeliverStart,55&lt;=DispoMonth),1,0)</f>
        <v/>
      </c>
      <c r="BH41" s="85">
        <f>IF(AND(56&gt;=DeliverStart,56&lt;=DispoMonth),1,0)</f>
        <v/>
      </c>
      <c r="BI41" s="85">
        <f>IF(AND(57&gt;=DeliverStart,57&lt;=DispoMonth),1,0)</f>
        <v/>
      </c>
      <c r="BJ41" s="85">
        <f>IF(AND(58&gt;=DeliverStart,58&lt;=DispoMonth),1,0)</f>
        <v/>
      </c>
      <c r="BK41" s="85">
        <f>IF(AND(59&gt;=DeliverStart,59&lt;=DispoMonth),1,0)</f>
        <v/>
      </c>
      <c r="BL41" s="85">
        <f>IF(AND(60&gt;=DeliverStart,60&lt;=DispoMonth),1,0)</f>
        <v/>
      </c>
      <c r="BM41" s="85">
        <f>IF(AND(61&gt;=DeliverStart,61&lt;=DispoMonth),1,0)</f>
        <v/>
      </c>
      <c r="BN41" s="85">
        <f>IF(AND(62&gt;=DeliverStart,62&lt;=DispoMonth),1,0)</f>
        <v/>
      </c>
      <c r="BO41" s="85">
        <f>IF(AND(63&gt;=DeliverStart,63&lt;=DispoMonth),1,0)</f>
        <v/>
      </c>
      <c r="BP41" s="85">
        <f>IF(AND(64&gt;=DeliverStart,64&lt;=DispoMonth),1,0)</f>
        <v/>
      </c>
      <c r="BQ41" s="85">
        <f>IF(AND(65&gt;=DeliverStart,65&lt;=DispoMonth),1,0)</f>
        <v/>
      </c>
      <c r="BR41" s="85">
        <f>IF(AND(66&gt;=DeliverStart,66&lt;=DispoMonth),1,0)</f>
        <v/>
      </c>
      <c r="BS41" s="85">
        <f>IF(AND(67&gt;=DeliverStart,67&lt;=DispoMonth),1,0)</f>
        <v/>
      </c>
      <c r="BT41" s="85">
        <f>IF(AND(68&gt;=DeliverStart,68&lt;=DispoMonth),1,0)</f>
        <v/>
      </c>
      <c r="BU41" s="85">
        <f>IF(AND(69&gt;=DeliverStart,69&lt;=DispoMonth),1,0)</f>
        <v/>
      </c>
      <c r="BV41" s="85">
        <f>IF(AND(70&gt;=DeliverStart,70&lt;=DispoMonth),1,0)</f>
        <v/>
      </c>
      <c r="BW41" s="85">
        <f>IF(AND(71&gt;=DeliverStart,71&lt;=DispoMonth),1,0)</f>
        <v/>
      </c>
      <c r="BX41" s="85">
        <f>IF(AND(72&gt;=DeliverStart,72&lt;=DispoMonth),1,0)</f>
        <v/>
      </c>
      <c r="BY41" s="85">
        <f>IF(AND(73&gt;=DeliverStart,73&lt;=DispoMonth),1,0)</f>
        <v/>
      </c>
      <c r="BZ41" s="85">
        <f>IF(AND(74&gt;=DeliverStart,74&lt;=DispoMonth),1,0)</f>
        <v/>
      </c>
      <c r="CA41" s="85">
        <f>IF(AND(75&gt;=DeliverStart,75&lt;=DispoMonth),1,0)</f>
        <v/>
      </c>
      <c r="CB41" s="85">
        <f>IF(AND(76&gt;=DeliverStart,76&lt;=DispoMonth),1,0)</f>
        <v/>
      </c>
      <c r="CC41" s="85">
        <f>IF(AND(77&gt;=DeliverStart,77&lt;=DispoMonth),1,0)</f>
        <v/>
      </c>
      <c r="CD41" s="85">
        <f>IF(AND(78&gt;=DeliverStart,78&lt;=DispoMonth),1,0)</f>
        <v/>
      </c>
      <c r="CE41" s="85">
        <f>IF(AND(79&gt;=DeliverStart,79&lt;=DispoMonth),1,0)</f>
        <v/>
      </c>
      <c r="CF41" s="85">
        <f>IF(AND(80&gt;=DeliverStart,80&lt;=DispoMonth),1,0)</f>
        <v/>
      </c>
      <c r="CG41" s="85">
        <f>IF(AND(81&gt;=DeliverStart,81&lt;=DispoMonth),1,0)</f>
        <v/>
      </c>
      <c r="CH41" s="85">
        <f>IF(AND(82&gt;=DeliverStart,82&lt;=DispoMonth),1,0)</f>
        <v/>
      </c>
      <c r="CI41" s="85">
        <f>IF(AND(83&gt;=DeliverStart,83&lt;=DispoMonth),1,0)</f>
        <v/>
      </c>
      <c r="CJ41" s="85">
        <f>IF(AND(84&gt;=DeliverStart,84&lt;=DispoMonth),1,0)</f>
        <v/>
      </c>
      <c r="CK41" s="85">
        <f>IF(AND(85&gt;=DeliverStart,85&lt;=DispoMonth),1,0)</f>
        <v/>
      </c>
      <c r="CL41" s="85">
        <f>IF(AND(86&gt;=DeliverStart,86&lt;=DispoMonth),1,0)</f>
        <v/>
      </c>
      <c r="CM41" s="85">
        <f>IF(AND(87&gt;=DeliverStart,87&lt;=DispoMonth),1,0)</f>
        <v/>
      </c>
      <c r="CN41" s="85">
        <f>IF(AND(88&gt;=DeliverStart,88&lt;=DispoMonth),1,0)</f>
        <v/>
      </c>
      <c r="CO41" s="85">
        <f>IF(AND(89&gt;=DeliverStart,89&lt;=DispoMonth),1,0)</f>
        <v/>
      </c>
      <c r="CP41" s="85">
        <f>IF(AND(90&gt;=DeliverStart,90&lt;=DispoMonth),1,0)</f>
        <v/>
      </c>
      <c r="CQ41" s="85">
        <f>IF(AND(91&gt;=DeliverStart,91&lt;=DispoMonth),1,0)</f>
        <v/>
      </c>
      <c r="CR41" s="85">
        <f>IF(AND(92&gt;=DeliverStart,92&lt;=DispoMonth),1,0)</f>
        <v/>
      </c>
      <c r="CS41" s="85">
        <f>IF(AND(93&gt;=DeliverStart,93&lt;=DispoMonth),1,0)</f>
        <v/>
      </c>
      <c r="CT41" s="85">
        <f>IF(AND(94&gt;=DeliverStart,94&lt;=DispoMonth),1,0)</f>
        <v/>
      </c>
      <c r="CU41" s="85">
        <f>IF(AND(95&gt;=DeliverStart,95&lt;=DispoMonth),1,0)</f>
        <v/>
      </c>
      <c r="CV41" s="85">
        <f>IF(AND(96&gt;=DeliverStart,96&lt;=DispoMonth),1,0)</f>
        <v/>
      </c>
      <c r="CW41" s="85">
        <f>IF(AND(97&gt;=DeliverStart,97&lt;=DispoMonth),1,0)</f>
        <v/>
      </c>
      <c r="CX41" s="85">
        <f>IF(AND(98&gt;=DeliverStart,98&lt;=DispoMonth),1,0)</f>
        <v/>
      </c>
      <c r="CY41" s="85">
        <f>IF(AND(99&gt;=DeliverStart,99&lt;=DispoMonth),1,0)</f>
        <v/>
      </c>
      <c r="CZ41" s="85">
        <f>IF(AND(100&gt;=DeliverStart,100&lt;=DispoMonth),1,0)</f>
        <v/>
      </c>
      <c r="DA41" s="85">
        <f>IF(AND(101&gt;=DeliverStart,101&lt;=DispoMonth),1,0)</f>
        <v/>
      </c>
      <c r="DB41" s="85">
        <f>IF(AND(102&gt;=DeliverStart,102&lt;=DispoMonth),1,0)</f>
        <v/>
      </c>
      <c r="DC41" s="85">
        <f>IF(AND(103&gt;=DeliverStart,103&lt;=DispoMonth),1,0)</f>
        <v/>
      </c>
      <c r="DD41" s="85">
        <f>IF(AND(104&gt;=DeliverStart,104&lt;=DispoMonth),1,0)</f>
        <v/>
      </c>
      <c r="DE41" s="85">
        <f>IF(AND(105&gt;=DeliverStart,105&lt;=DispoMonth),1,0)</f>
        <v/>
      </c>
      <c r="DF41" s="85">
        <f>IF(AND(106&gt;=DeliverStart,106&lt;=DispoMonth),1,0)</f>
        <v/>
      </c>
      <c r="DG41" s="85">
        <f>IF(AND(107&gt;=DeliverStart,107&lt;=DispoMonth),1,0)</f>
        <v/>
      </c>
      <c r="DH41" s="85">
        <f>IF(AND(108&gt;=DeliverStart,108&lt;=DispoMonth),1,0)</f>
        <v/>
      </c>
      <c r="DI41" s="85">
        <f>IF(AND(109&gt;=DeliverStart,109&lt;=DispoMonth),1,0)</f>
        <v/>
      </c>
      <c r="DJ41" s="85">
        <f>IF(AND(110&gt;=DeliverStart,110&lt;=DispoMonth),1,0)</f>
        <v/>
      </c>
      <c r="DK41" s="85">
        <f>IF(AND(111&gt;=DeliverStart,111&lt;=DispoMonth),1,0)</f>
        <v/>
      </c>
      <c r="DL41" s="85">
        <f>IF(AND(112&gt;=DeliverStart,112&lt;=DispoMonth),1,0)</f>
        <v/>
      </c>
      <c r="DM41" s="85">
        <f>IF(AND(113&gt;=DeliverStart,113&lt;=DispoMonth),1,0)</f>
        <v/>
      </c>
      <c r="DN41" s="85">
        <f>IF(AND(114&gt;=DeliverStart,114&lt;=DispoMonth),1,0)</f>
        <v/>
      </c>
      <c r="DO41" s="85">
        <f>IF(AND(115&gt;=DeliverStart,115&lt;=DispoMonth),1,0)</f>
        <v/>
      </c>
      <c r="DP41" s="85">
        <f>IF(AND(116&gt;=DeliverStart,116&lt;=DispoMonth),1,0)</f>
        <v/>
      </c>
      <c r="DQ41" s="85">
        <f>IF(AND(117&gt;=DeliverStart,117&lt;=DispoMonth),1,0)</f>
        <v/>
      </c>
      <c r="DR41" s="85">
        <f>IF(AND(118&gt;=DeliverStart,118&lt;=DispoMonth),1,0)</f>
        <v/>
      </c>
      <c r="DS41" s="85">
        <f>IF(AND(119&gt;=DeliverStart,119&lt;=DispoMonth),1,0)</f>
        <v/>
      </c>
      <c r="DT41" s="85">
        <f>IF(AND(120&gt;=DeliverStart,120&lt;=DispoMonth),1,0)</f>
        <v/>
      </c>
      <c r="DU41" s="85">
        <f>IF(AND(121&gt;=DeliverStart,121&lt;=DispoMonth),1,0)</f>
        <v/>
      </c>
      <c r="DV41" s="85">
        <f>IF(AND(122&gt;=DeliverStart,122&lt;=DispoMonth),1,0)</f>
        <v/>
      </c>
      <c r="DW41" s="85">
        <f>IF(AND(123&gt;=DeliverStart,123&lt;=DispoMonth),1,0)</f>
        <v/>
      </c>
      <c r="DX41" s="85">
        <f>IF(AND(124&gt;=DeliverStart,124&lt;=DispoMonth),1,0)</f>
        <v/>
      </c>
      <c r="DY41" s="85">
        <f>IF(AND(125&gt;=DeliverStart,125&lt;=DispoMonth),1,0)</f>
        <v/>
      </c>
      <c r="DZ41" s="85">
        <f>IF(AND(126&gt;=DeliverStart,126&lt;=DispoMonth),1,0)</f>
        <v/>
      </c>
      <c r="EA41" s="85">
        <f>IF(AND(127&gt;=DeliverStart,127&lt;=DispoMonth),1,0)</f>
        <v/>
      </c>
      <c r="EB41" s="85">
        <f>IF(AND(128&gt;=DeliverStart,128&lt;=DispoMonth),1,0)</f>
        <v/>
      </c>
      <c r="EC41" s="85">
        <f>IF(AND(129&gt;=DeliverStart,129&lt;=DispoMonth),1,0)</f>
        <v/>
      </c>
      <c r="ED41" s="85">
        <f>IF(AND(130&gt;=DeliverStart,130&lt;=DispoMonth),1,0)</f>
        <v/>
      </c>
      <c r="EE41" s="85">
        <f>IF(AND(131&gt;=DeliverStart,131&lt;=DispoMonth),1,0)</f>
        <v/>
      </c>
      <c r="EF41" s="85">
        <f>IF(AND(132&gt;=DeliverStart,132&lt;=DispoMonth),1,0)</f>
        <v/>
      </c>
      <c r="EG41" s="85">
        <f>IF(AND(133&gt;=DeliverStart,133&lt;=DispoMonth),1,0)</f>
        <v/>
      </c>
      <c r="EH41" s="85">
        <f>IF(AND(134&gt;=DeliverStart,134&lt;=DispoMonth),1,0)</f>
        <v/>
      </c>
      <c r="EI41" s="85">
        <f>IF(AND(135&gt;=DeliverStart,135&lt;=DispoMonth),1,0)</f>
        <v/>
      </c>
      <c r="EJ41" s="85">
        <f>IF(AND(136&gt;=DeliverStart,136&lt;=DispoMonth),1,0)</f>
        <v/>
      </c>
      <c r="EK41" s="85">
        <f>IF(AND(137&gt;=DeliverStart,137&lt;=DispoMonth),1,0)</f>
        <v/>
      </c>
      <c r="EL41" s="85">
        <f>IF(AND(138&gt;=DeliverStart,138&lt;=DispoMonth),1,0)</f>
        <v/>
      </c>
      <c r="EM41" s="85">
        <f>IF(AND(139&gt;=DeliverStart,139&lt;=DispoMonth),1,0)</f>
        <v/>
      </c>
      <c r="EN41" s="85">
        <f>IF(AND(140&gt;=DeliverStart,140&lt;=DispoMonth),1,0)</f>
        <v/>
      </c>
      <c r="EO41" s="85">
        <f>IF(AND(141&gt;=DeliverStart,141&lt;=DispoMonth),1,0)</f>
        <v/>
      </c>
      <c r="EP41" s="85">
        <f>IF(AND(142&gt;=DeliverStart,142&lt;=DispoMonth),1,0)</f>
        <v/>
      </c>
      <c r="EQ41" s="85">
        <f>IF(AND(143&gt;=DeliverStart,143&lt;=DispoMonth),1,0)</f>
        <v/>
      </c>
      <c r="ER41" s="85">
        <f>IF(AND(144&gt;=DeliverStart,144&lt;=DispoMonth),1,0)</f>
        <v/>
      </c>
      <c r="ES41" s="85">
        <f>IF(AND(145&gt;=DeliverStart,145&lt;=DispoMonth),1,0)</f>
        <v/>
      </c>
      <c r="ET41" s="85">
        <f>IF(AND(146&gt;=DeliverStart,146&lt;=DispoMonth),1,0)</f>
        <v/>
      </c>
      <c r="EU41" s="85">
        <f>IF(AND(147&gt;=DeliverStart,147&lt;=DispoMonth),1,0)</f>
        <v/>
      </c>
      <c r="EV41" s="85">
        <f>IF(AND(148&gt;=DeliverStart,148&lt;=DispoMonth),1,0)</f>
        <v/>
      </c>
      <c r="EW41" s="85">
        <f>IF(AND(149&gt;=DeliverStart,149&lt;=DispoMonth),1,0)</f>
        <v/>
      </c>
      <c r="EX41" s="85">
        <f>IF(AND(150&gt;=DeliverStart,150&lt;=DispoMonth),1,0)</f>
        <v/>
      </c>
      <c r="EY41" s="85">
        <f>IF(AND(151&gt;=DeliverStart,151&lt;=DispoMonth),1,0)</f>
        <v/>
      </c>
      <c r="EZ41" s="85">
        <f>IF(AND(152&gt;=DeliverStart,152&lt;=DispoMonth),1,0)</f>
        <v/>
      </c>
      <c r="FA41" s="85">
        <f>IF(AND(153&gt;=DeliverStart,153&lt;=DispoMonth),1,0)</f>
        <v/>
      </c>
      <c r="FB41" s="85">
        <f>IF(AND(154&gt;=DeliverStart,154&lt;=DispoMonth),1,0)</f>
        <v/>
      </c>
      <c r="FC41" s="85">
        <f>IF(AND(155&gt;=DeliverStart,155&lt;=DispoMonth),1,0)</f>
        <v/>
      </c>
      <c r="FD41" s="85">
        <f>IF(AND(156&gt;=DeliverStart,156&lt;=DispoMonth),1,0)</f>
        <v/>
      </c>
      <c r="FE41" s="85">
        <f>IF(AND(157&gt;=DeliverStart,157&lt;=DispoMonth),1,0)</f>
        <v/>
      </c>
      <c r="FF41" s="85">
        <f>IF(AND(158&gt;=DeliverStart,158&lt;=DispoMonth),1,0)</f>
        <v/>
      </c>
      <c r="FG41" s="85">
        <f>IF(AND(159&gt;=DeliverStart,159&lt;=DispoMonth),1,0)</f>
        <v/>
      </c>
      <c r="FH41" s="85">
        <f>IF(AND(160&gt;=DeliverStart,160&lt;=DispoMonth),1,0)</f>
        <v/>
      </c>
      <c r="FI41" s="85">
        <f>IF(AND(161&gt;=DeliverStart,161&lt;=DispoMonth),1,0)</f>
        <v/>
      </c>
      <c r="FJ41" s="85">
        <f>IF(AND(162&gt;=DeliverStart,162&lt;=DispoMonth),1,0)</f>
        <v/>
      </c>
      <c r="FK41" s="85">
        <f>IF(AND(163&gt;=DeliverStart,163&lt;=DispoMonth),1,0)</f>
        <v/>
      </c>
      <c r="FL41" s="85">
        <f>IF(AND(164&gt;=DeliverStart,164&lt;=DispoMonth),1,0)</f>
        <v/>
      </c>
      <c r="FM41" s="85">
        <f>IF(AND(165&gt;=DeliverStart,165&lt;=DispoMonth),1,0)</f>
        <v/>
      </c>
      <c r="FN41" s="85">
        <f>IF(AND(166&gt;=DeliverStart,166&lt;=DispoMonth),1,0)</f>
        <v/>
      </c>
      <c r="FO41" s="85">
        <f>IF(AND(167&gt;=DeliverStart,167&lt;=DispoMonth),1,0)</f>
        <v/>
      </c>
      <c r="FP41" s="85">
        <f>IF(AND(168&gt;=DeliverStart,168&lt;=DispoMonth),1,0)</f>
        <v/>
      </c>
      <c r="FQ41" s="85">
        <f>IF(AND(169&gt;=DeliverStart,169&lt;=DispoMonth),1,0)</f>
        <v/>
      </c>
      <c r="FR41" s="85">
        <f>IF(AND(170&gt;=DeliverStart,170&lt;=DispoMonth),1,0)</f>
        <v/>
      </c>
      <c r="FS41" s="85">
        <f>IF(AND(171&gt;=DeliverStart,171&lt;=DispoMonth),1,0)</f>
        <v/>
      </c>
      <c r="FT41" s="85">
        <f>IF(AND(172&gt;=DeliverStart,172&lt;=DispoMonth),1,0)</f>
        <v/>
      </c>
      <c r="FU41" s="85">
        <f>IF(AND(173&gt;=DeliverStart,173&lt;=DispoMonth),1,0)</f>
        <v/>
      </c>
      <c r="FV41" s="85">
        <f>IF(AND(174&gt;=DeliverStart,174&lt;=DispoMonth),1,0)</f>
        <v/>
      </c>
      <c r="FW41" s="85">
        <f>IF(AND(175&gt;=DeliverStart,175&lt;=DispoMonth),1,0)</f>
        <v/>
      </c>
      <c r="FX41" s="85">
        <f>IF(AND(176&gt;=DeliverStart,176&lt;=DispoMonth),1,0)</f>
        <v/>
      </c>
      <c r="FY41" s="85">
        <f>IF(AND(177&gt;=DeliverStart,177&lt;=DispoMonth),1,0)</f>
        <v/>
      </c>
      <c r="FZ41" s="85">
        <f>IF(AND(178&gt;=DeliverStart,178&lt;=DispoMonth),1,0)</f>
        <v/>
      </c>
      <c r="GA41" s="85">
        <f>IF(AND(179&gt;=DeliverStart,179&lt;=DispoMonth),1,0)</f>
        <v/>
      </c>
      <c r="GB41" s="85">
        <f>IF(AND(180&gt;=DeliverStart,180&lt;=DispoMonth),1,0)</f>
        <v/>
      </c>
      <c r="GC41" s="85">
        <f>IF(AND(181&gt;=DeliverStart,181&lt;=DispoMonth),1,0)</f>
        <v/>
      </c>
      <c r="GD41" s="85">
        <f>IF(AND(182&gt;=DeliverStart,182&lt;=DispoMonth),1,0)</f>
        <v/>
      </c>
      <c r="GE41" s="85">
        <f>IF(AND(183&gt;=DeliverStart,183&lt;=DispoMonth),1,0)</f>
        <v/>
      </c>
      <c r="GF41" s="85">
        <f>IF(AND(184&gt;=DeliverStart,184&lt;=DispoMonth),1,0)</f>
        <v/>
      </c>
      <c r="GG41" s="85">
        <f>IF(AND(185&gt;=DeliverStart,185&lt;=DispoMonth),1,0)</f>
        <v/>
      </c>
      <c r="GH41" s="85">
        <f>IF(AND(186&gt;=DeliverStart,186&lt;=DispoMonth),1,0)</f>
        <v/>
      </c>
      <c r="GI41" s="85">
        <f>IF(AND(187&gt;=DeliverStart,187&lt;=DispoMonth),1,0)</f>
        <v/>
      </c>
      <c r="GJ41" s="85">
        <f>IF(AND(188&gt;=DeliverStart,188&lt;=DispoMonth),1,0)</f>
        <v/>
      </c>
      <c r="GK41" s="85">
        <f>IF(AND(189&gt;=DeliverStart,189&lt;=DispoMonth),1,0)</f>
        <v/>
      </c>
      <c r="GL41" s="85">
        <f>IF(AND(190&gt;=DeliverStart,190&lt;=DispoMonth),1,0)</f>
        <v/>
      </c>
      <c r="GM41" s="85">
        <f>IF(AND(191&gt;=DeliverStart,191&lt;=DispoMonth),1,0)</f>
        <v/>
      </c>
      <c r="GN41" s="85">
        <f>IF(AND(192&gt;=DeliverStart,192&lt;=DispoMonth),1,0)</f>
        <v/>
      </c>
      <c r="GO41" s="85">
        <f>IF(AND(193&gt;=DeliverStart,193&lt;=DispoMonth),1,0)</f>
        <v/>
      </c>
      <c r="GP41" s="85">
        <f>IF(AND(194&gt;=DeliverStart,194&lt;=DispoMonth),1,0)</f>
        <v/>
      </c>
      <c r="GQ41" s="85">
        <f>IF(AND(195&gt;=DeliverStart,195&lt;=DispoMonth),1,0)</f>
        <v/>
      </c>
      <c r="GR41" s="85">
        <f>IF(AND(196&gt;=DeliverStart,196&lt;=DispoMonth),1,0)</f>
        <v/>
      </c>
      <c r="GS41" s="85">
        <f>IF(AND(197&gt;=DeliverStart,197&lt;=DispoMonth),1,0)</f>
        <v/>
      </c>
      <c r="GT41" s="85">
        <f>IF(AND(198&gt;=DeliverStart,198&lt;=DispoMonth),1,0)</f>
        <v/>
      </c>
      <c r="GU41" s="85">
        <f>IF(AND(199&gt;=DeliverStart,199&lt;=DispoMonth),1,0)</f>
        <v/>
      </c>
      <c r="GV41" s="85">
        <f>IF(AND(200&gt;=DeliverStart,200&lt;=DispoMonth),1,0)</f>
        <v/>
      </c>
      <c r="GW41" s="85">
        <f>IF(AND(201&gt;=DeliverStart,201&lt;=DispoMonth),1,0)</f>
        <v/>
      </c>
      <c r="GX41" s="85">
        <f>IF(AND(202&gt;=DeliverStart,202&lt;=DispoMonth),1,0)</f>
        <v/>
      </c>
      <c r="GY41" s="85">
        <f>IF(AND(203&gt;=DeliverStart,203&lt;=DispoMonth),1,0)</f>
        <v/>
      </c>
      <c r="GZ41" s="85">
        <f>IF(AND(204&gt;=DeliverStart,204&lt;=DispoMonth),1,0)</f>
        <v/>
      </c>
      <c r="HA41" s="85">
        <f>IF(AND(205&gt;=DeliverStart,205&lt;=DispoMonth),1,0)</f>
        <v/>
      </c>
      <c r="HB41" s="85">
        <f>IF(AND(206&gt;=DeliverStart,206&lt;=DispoMonth),1,0)</f>
        <v/>
      </c>
      <c r="HC41" s="85">
        <f>IF(AND(207&gt;=DeliverStart,207&lt;=DispoMonth),1,0)</f>
        <v/>
      </c>
      <c r="HD41" s="85">
        <f>IF(AND(208&gt;=DeliverStart,208&lt;=DispoMonth),1,0)</f>
        <v/>
      </c>
      <c r="HE41" s="85">
        <f>IF(AND(209&gt;=DeliverStart,209&lt;=DispoMonth),1,0)</f>
        <v/>
      </c>
      <c r="HF41" s="85">
        <f>IF(AND(210&gt;=DeliverStart,210&lt;=DispoMonth),1,0)</f>
        <v/>
      </c>
      <c r="HG41" s="85">
        <f>IF(AND(211&gt;=DeliverStart,211&lt;=DispoMonth),1,0)</f>
        <v/>
      </c>
      <c r="HH41" s="85">
        <f>IF(AND(212&gt;=DeliverStart,212&lt;=DispoMonth),1,0)</f>
        <v/>
      </c>
      <c r="HI41" s="85">
        <f>IF(AND(213&gt;=DeliverStart,213&lt;=DispoMonth),1,0)</f>
        <v/>
      </c>
      <c r="HJ41" s="85">
        <f>IF(AND(214&gt;=DeliverStart,214&lt;=DispoMonth),1,0)</f>
        <v/>
      </c>
      <c r="HK41" s="85">
        <f>IF(AND(215&gt;=DeliverStart,215&lt;=DispoMonth),1,0)</f>
        <v/>
      </c>
      <c r="HL41" s="85">
        <f>IF(AND(216&gt;=DeliverStart,216&lt;=DispoMonth),1,0)</f>
        <v/>
      </c>
      <c r="HM41" s="85">
        <f>IF(AND(217&gt;=DeliverStart,217&lt;=DispoMonth),1,0)</f>
        <v/>
      </c>
      <c r="HN41" s="85">
        <f>IF(AND(218&gt;=DeliverStart,218&lt;=DispoMonth),1,0)</f>
        <v/>
      </c>
      <c r="HO41" s="85">
        <f>IF(AND(219&gt;=DeliverStart,219&lt;=DispoMonth),1,0)</f>
        <v/>
      </c>
      <c r="HP41" s="85">
        <f>IF(AND(220&gt;=DeliverStart,220&lt;=DispoMonth),1,0)</f>
        <v/>
      </c>
      <c r="HQ41" s="85">
        <f>IF(AND(221&gt;=DeliverStart,221&lt;=DispoMonth),1,0)</f>
        <v/>
      </c>
      <c r="HR41" s="85">
        <f>IF(AND(222&gt;=DeliverStart,222&lt;=DispoMonth),1,0)</f>
        <v/>
      </c>
      <c r="HS41" s="85">
        <f>IF(AND(223&gt;=DeliverStart,223&lt;=DispoMonth),1,0)</f>
        <v/>
      </c>
      <c r="HT41" s="85">
        <f>IF(AND(224&gt;=DeliverStart,224&lt;=DispoMonth),1,0)</f>
        <v/>
      </c>
      <c r="HU41" s="85">
        <f>IF(AND(225&gt;=DeliverStart,225&lt;=DispoMonth),1,0)</f>
        <v/>
      </c>
      <c r="HV41" s="85">
        <f>IF(AND(226&gt;=DeliverStart,226&lt;=DispoMonth),1,0)</f>
        <v/>
      </c>
      <c r="HW41" s="85">
        <f>IF(AND(227&gt;=DeliverStart,227&lt;=DispoMonth),1,0)</f>
        <v/>
      </c>
      <c r="HX41" s="85">
        <f>IF(AND(228&gt;=DeliverStart,228&lt;=DispoMonth),1,0)</f>
        <v/>
      </c>
      <c r="HY41" s="85">
        <f>IF(AND(229&gt;=DeliverStart,229&lt;=DispoMonth),1,0)</f>
        <v/>
      </c>
      <c r="HZ41" s="85">
        <f>IF(AND(230&gt;=DeliverStart,230&lt;=DispoMonth),1,0)</f>
        <v/>
      </c>
      <c r="IA41" s="85">
        <f>IF(AND(231&gt;=DeliverStart,231&lt;=DispoMonth),1,0)</f>
        <v/>
      </c>
      <c r="IB41" s="85">
        <f>IF(AND(232&gt;=DeliverStart,232&lt;=DispoMonth),1,0)</f>
        <v/>
      </c>
      <c r="IC41" s="85">
        <f>IF(AND(233&gt;=DeliverStart,233&lt;=DispoMonth),1,0)</f>
        <v/>
      </c>
      <c r="ID41" s="85">
        <f>IF(AND(234&gt;=DeliverStart,234&lt;=DispoMonth),1,0)</f>
        <v/>
      </c>
      <c r="IE41" s="85">
        <f>IF(AND(235&gt;=DeliverStart,235&lt;=DispoMonth),1,0)</f>
        <v/>
      </c>
      <c r="IF41" s="85">
        <f>IF(AND(236&gt;=DeliverStart,236&lt;=DispoMonth),1,0)</f>
        <v/>
      </c>
      <c r="IG41" s="85">
        <f>IF(AND(237&gt;=DeliverStart,237&lt;=DispoMonth),1,0)</f>
        <v/>
      </c>
      <c r="IH41" s="85">
        <f>IF(AND(238&gt;=DeliverStart,238&lt;=DispoMonth),1,0)</f>
        <v/>
      </c>
      <c r="II41" s="85">
        <f>IF(AND(239&gt;=DeliverStart,239&lt;=DispoMonth),1,0)</f>
        <v/>
      </c>
      <c r="IJ41" s="85">
        <f>IF(AND(240&gt;=DeliverStart,240&lt;=DispoMonth),1,0)</f>
        <v/>
      </c>
      <c r="IK41" s="85">
        <f>IF(AND(241&gt;=DeliverStart,241&lt;=DispoMonth),1,0)</f>
        <v/>
      </c>
      <c r="IL41" s="85">
        <f>IF(AND(242&gt;=DeliverStart,242&lt;=DispoMonth),1,0)</f>
        <v/>
      </c>
      <c r="IM41" s="85">
        <f>IF(AND(243&gt;=DeliverStart,243&lt;=DispoMonth),1,0)</f>
        <v/>
      </c>
      <c r="IN41" s="85">
        <f>IF(AND(244&gt;=DeliverStart,244&lt;=DispoMonth),1,0)</f>
        <v/>
      </c>
      <c r="IO41" s="85">
        <f>IF(AND(245&gt;=DeliverStart,245&lt;=DispoMonth),1,0)</f>
        <v/>
      </c>
      <c r="IP41" s="85">
        <f>IF(AND(246&gt;=DeliverStart,246&lt;=DispoMonth),1,0)</f>
        <v/>
      </c>
      <c r="IQ41" s="85">
        <f>IF(AND(247&gt;=DeliverStart,247&lt;=DispoMonth),1,0)</f>
        <v/>
      </c>
      <c r="IR41" s="85">
        <f>IF(AND(248&gt;=DeliverStart,248&lt;=DispoMonth),1,0)</f>
        <v/>
      </c>
      <c r="IS41" s="85">
        <f>IF(AND(249&gt;=DeliverStart,249&lt;=DispoMonth),1,0)</f>
        <v/>
      </c>
      <c r="IT41" s="85">
        <f>IF(AND(250&gt;=DeliverStart,250&lt;=DispoMonth),1,0)</f>
        <v/>
      </c>
      <c r="IU41" s="85">
        <f>IF(AND(251&gt;=DeliverStart,251&lt;=DispoMonth),1,0)</f>
        <v/>
      </c>
      <c r="IV41" s="85">
        <f>IF(AND(252&gt;=DeliverStart,252&lt;=DispoMonth),1,0)</f>
        <v/>
      </c>
      <c r="IW41" s="85">
        <f>IF(AND(253&gt;=DeliverStart,253&lt;=DispoMonth),1,0)</f>
        <v/>
      </c>
      <c r="IX41" s="85">
        <f>IF(AND(254&gt;=DeliverStart,254&lt;=DispoMonth),1,0)</f>
        <v/>
      </c>
      <c r="IY41" s="85">
        <f>IF(AND(255&gt;=DeliverStart,255&lt;=DispoMonth),1,0)</f>
        <v/>
      </c>
      <c r="IZ41" s="85">
        <f>IF(AND(256&gt;=DeliverStart,256&lt;=DispoMonth),1,0)</f>
        <v/>
      </c>
      <c r="JA41" s="85">
        <f>IF(AND(257&gt;=DeliverStart,257&lt;=DispoMonth),1,0)</f>
        <v/>
      </c>
      <c r="JB41" s="85">
        <f>IF(AND(258&gt;=DeliverStart,258&lt;=DispoMonth),1,0)</f>
        <v/>
      </c>
      <c r="JC41" s="85">
        <f>IF(AND(259&gt;=DeliverStart,259&lt;=DispoMonth),1,0)</f>
        <v/>
      </c>
      <c r="JD41" s="85">
        <f>IF(AND(260&gt;=DeliverStart,260&lt;=DispoMonth),1,0)</f>
        <v/>
      </c>
      <c r="JE41" s="85">
        <f>IF(AND(261&gt;=DeliverStart,261&lt;=DispoMonth),1,0)</f>
        <v/>
      </c>
      <c r="JF41" s="85">
        <f>IF(AND(262&gt;=DeliverStart,262&lt;=DispoMonth),1,0)</f>
        <v/>
      </c>
      <c r="JG41" s="85">
        <f>IF(AND(263&gt;=DeliverStart,263&lt;=DispoMonth),1,0)</f>
        <v/>
      </c>
      <c r="JH41" s="85">
        <f>IF(AND(264&gt;=DeliverStart,264&lt;=DispoMonth),1,0)</f>
        <v/>
      </c>
      <c r="JI41" s="85">
        <f>IF(AND(265&gt;=DeliverStart,265&lt;=DispoMonth),1,0)</f>
        <v/>
      </c>
      <c r="JJ41" s="85">
        <f>IF(AND(266&gt;=DeliverStart,266&lt;=DispoMonth),1,0)</f>
        <v/>
      </c>
      <c r="JK41" s="85">
        <f>IF(AND(267&gt;=DeliverStart,267&lt;=DispoMonth),1,0)</f>
        <v/>
      </c>
      <c r="JL41" s="85">
        <f>IF(AND(268&gt;=DeliverStart,268&lt;=DispoMonth),1,0)</f>
        <v/>
      </c>
      <c r="JM41" s="85">
        <f>IF(AND(269&gt;=DeliverStart,269&lt;=DispoMonth),1,0)</f>
        <v/>
      </c>
      <c r="JN41" s="85">
        <f>IF(AND(270&gt;=DeliverStart,270&lt;=DispoMonth),1,0)</f>
        <v/>
      </c>
      <c r="JO41" s="85">
        <f>IF(AND(271&gt;=DeliverStart,271&lt;=DispoMonth),1,0)</f>
        <v/>
      </c>
      <c r="JP41" s="85">
        <f>IF(AND(272&gt;=DeliverStart,272&lt;=DispoMonth),1,0)</f>
        <v/>
      </c>
      <c r="JQ41" s="85">
        <f>IF(AND(273&gt;=DeliverStart,273&lt;=DispoMonth),1,0)</f>
        <v/>
      </c>
      <c r="JR41" s="85">
        <f>IF(AND(274&gt;=DeliverStart,274&lt;=DispoMonth),1,0)</f>
        <v/>
      </c>
      <c r="JS41" s="85">
        <f>IF(AND(275&gt;=DeliverStart,275&lt;=DispoMonth),1,0)</f>
        <v/>
      </c>
      <c r="JT41" s="85">
        <f>IF(AND(276&gt;=DeliverStart,276&lt;=DispoMonth),1,0)</f>
        <v/>
      </c>
      <c r="JU41" s="85">
        <f>IF(AND(277&gt;=DeliverStart,277&lt;=DispoMonth),1,0)</f>
        <v/>
      </c>
      <c r="JV41" s="85">
        <f>IF(AND(278&gt;=DeliverStart,278&lt;=DispoMonth),1,0)</f>
        <v/>
      </c>
      <c r="JW41" s="85">
        <f>IF(AND(279&gt;=DeliverStart,279&lt;=DispoMonth),1,0)</f>
        <v/>
      </c>
      <c r="JX41" s="85">
        <f>IF(AND(280&gt;=DeliverStart,280&lt;=DispoMonth),1,0)</f>
        <v/>
      </c>
      <c r="JY41" s="85">
        <f>IF(AND(281&gt;=DeliverStart,281&lt;=DispoMonth),1,0)</f>
        <v/>
      </c>
      <c r="JZ41" s="85">
        <f>IF(AND(282&gt;=DeliverStart,282&lt;=DispoMonth),1,0)</f>
        <v/>
      </c>
      <c r="KA41" s="85">
        <f>IF(AND(283&gt;=DeliverStart,283&lt;=DispoMonth),1,0)</f>
        <v/>
      </c>
      <c r="KB41" s="85">
        <f>IF(AND(284&gt;=DeliverStart,284&lt;=DispoMonth),1,0)</f>
        <v/>
      </c>
      <c r="KC41" s="85">
        <f>IF(AND(285&gt;=DeliverStart,285&lt;=DispoMonth),1,0)</f>
        <v/>
      </c>
      <c r="KD41" s="85">
        <f>IF(AND(286&gt;=DeliverStart,286&lt;=DispoMonth),1,0)</f>
        <v/>
      </c>
      <c r="KE41" s="85">
        <f>IF(AND(287&gt;=DeliverStart,287&lt;=DispoMonth),1,0)</f>
        <v/>
      </c>
      <c r="KF41" s="85">
        <f>IF(AND(288&gt;=DeliverStart,288&lt;=DispoMonth),1,0)</f>
        <v/>
      </c>
      <c r="KG41" s="85">
        <f>IF(AND(289&gt;=DeliverStart,289&lt;=DispoMonth),1,0)</f>
        <v/>
      </c>
      <c r="KH41" s="85">
        <f>IF(AND(290&gt;=DeliverStart,290&lt;=DispoMonth),1,0)</f>
        <v/>
      </c>
      <c r="KI41" s="85">
        <f>IF(AND(291&gt;=DeliverStart,291&lt;=DispoMonth),1,0)</f>
        <v/>
      </c>
      <c r="KJ41" s="85">
        <f>IF(AND(292&gt;=DeliverStart,292&lt;=DispoMonth),1,0)</f>
        <v/>
      </c>
      <c r="KK41" s="85">
        <f>IF(AND(293&gt;=DeliverStart,293&lt;=DispoMonth),1,0)</f>
        <v/>
      </c>
      <c r="KL41" s="85">
        <f>IF(AND(294&gt;=DeliverStart,294&lt;=DispoMonth),1,0)</f>
        <v/>
      </c>
      <c r="KM41" s="85">
        <f>IF(AND(295&gt;=DeliverStart,295&lt;=DispoMonth),1,0)</f>
        <v/>
      </c>
      <c r="KN41" s="85">
        <f>IF(AND(296&gt;=DeliverStart,296&lt;=DispoMonth),1,0)</f>
        <v/>
      </c>
      <c r="KO41" s="85">
        <f>IF(AND(297&gt;=DeliverStart,297&lt;=DispoMonth),1,0)</f>
        <v/>
      </c>
      <c r="KP41" s="85">
        <f>IF(AND(298&gt;=DeliverStart,298&lt;=DispoMonth),1,0)</f>
        <v/>
      </c>
      <c r="KQ41" s="85">
        <f>IF(AND(299&gt;=DeliverStart,299&lt;=DispoMonth),1,0)</f>
        <v/>
      </c>
      <c r="KR41" s="85">
        <f>IF(AND(300&gt;=DeliverStart,300&lt;=DispoMonth),1,0)</f>
        <v/>
      </c>
      <c r="KS41" s="85">
        <f>IF(AND(301&gt;=DeliverStart,301&lt;=DispoMonth),1,0)</f>
        <v/>
      </c>
      <c r="KT41" s="85">
        <f>IF(AND(302&gt;=DeliverStart,302&lt;=DispoMonth),1,0)</f>
        <v/>
      </c>
      <c r="KU41" s="85">
        <f>IF(AND(303&gt;=DeliverStart,303&lt;=DispoMonth),1,0)</f>
        <v/>
      </c>
      <c r="KV41" s="85">
        <f>IF(AND(304&gt;=DeliverStart,304&lt;=DispoMonth),1,0)</f>
        <v/>
      </c>
      <c r="KW41" s="85">
        <f>IF(AND(305&gt;=DeliverStart,305&lt;=DispoMonth),1,0)</f>
        <v/>
      </c>
      <c r="KX41" s="85">
        <f>IF(AND(306&gt;=DeliverStart,306&lt;=DispoMonth),1,0)</f>
        <v/>
      </c>
      <c r="KY41" s="85">
        <f>IF(AND(307&gt;=DeliverStart,307&lt;=DispoMonth),1,0)</f>
        <v/>
      </c>
      <c r="KZ41" s="85">
        <f>IF(AND(308&gt;=DeliverStart,308&lt;=DispoMonth),1,0)</f>
        <v/>
      </c>
      <c r="LA41" s="85">
        <f>IF(AND(309&gt;=DeliverStart,309&lt;=DispoMonth),1,0)</f>
        <v/>
      </c>
      <c r="LB41" s="85">
        <f>IF(AND(310&gt;=DeliverStart,310&lt;=DispoMonth),1,0)</f>
        <v/>
      </c>
      <c r="LC41" s="85">
        <f>IF(AND(311&gt;=DeliverStart,311&lt;=DispoMonth),1,0)</f>
        <v/>
      </c>
      <c r="LD41" s="85">
        <f>IF(AND(312&gt;=DeliverStart,312&lt;=DispoMonth),1,0)</f>
        <v/>
      </c>
      <c r="LE41" s="85">
        <f>IF(AND(313&gt;=DeliverStart,313&lt;=DispoMonth),1,0)</f>
        <v/>
      </c>
      <c r="LF41" s="85">
        <f>IF(AND(314&gt;=DeliverStart,314&lt;=DispoMonth),1,0)</f>
        <v/>
      </c>
      <c r="LG41" s="85">
        <f>IF(AND(315&gt;=DeliverStart,315&lt;=DispoMonth),1,0)</f>
        <v/>
      </c>
      <c r="LH41" s="85">
        <f>IF(AND(316&gt;=DeliverStart,316&lt;=DispoMonth),1,0)</f>
        <v/>
      </c>
      <c r="LI41" s="85">
        <f>IF(AND(317&gt;=DeliverStart,317&lt;=DispoMonth),1,0)</f>
        <v/>
      </c>
      <c r="LJ41" s="85">
        <f>IF(AND(318&gt;=DeliverStart,318&lt;=DispoMonth),1,0)</f>
        <v/>
      </c>
      <c r="LK41" s="85">
        <f>IF(AND(319&gt;=DeliverStart,319&lt;=DispoMonth),1,0)</f>
        <v/>
      </c>
      <c r="LL41" s="85">
        <f>IF(AND(320&gt;=DeliverStart,320&lt;=DispoMonth),1,0)</f>
        <v/>
      </c>
      <c r="LM41" s="85">
        <f>IF(AND(321&gt;=DeliverStart,321&lt;=DispoMonth),1,0)</f>
        <v/>
      </c>
      <c r="LN41" s="85">
        <f>IF(AND(322&gt;=DeliverStart,322&lt;=DispoMonth),1,0)</f>
        <v/>
      </c>
      <c r="LO41" s="85">
        <f>IF(AND(323&gt;=DeliverStart,323&lt;=DispoMonth),1,0)</f>
        <v/>
      </c>
      <c r="LP41" s="85">
        <f>IF(AND(324&gt;=DeliverStart,324&lt;=DispoMonth),1,0)</f>
        <v/>
      </c>
      <c r="LQ41" s="85">
        <f>IF(AND(325&gt;=DeliverStart,325&lt;=DispoMonth),1,0)</f>
        <v/>
      </c>
      <c r="LR41" s="85">
        <f>IF(AND(326&gt;=DeliverStart,326&lt;=DispoMonth),1,0)</f>
        <v/>
      </c>
      <c r="LS41" s="85">
        <f>IF(AND(327&gt;=DeliverStart,327&lt;=DispoMonth),1,0)</f>
        <v/>
      </c>
      <c r="LT41" s="85">
        <f>IF(AND(328&gt;=DeliverStart,328&lt;=DispoMonth),1,0)</f>
        <v/>
      </c>
      <c r="LU41" s="85">
        <f>IF(AND(329&gt;=DeliverStart,329&lt;=DispoMonth),1,0)</f>
        <v/>
      </c>
      <c r="LV41" s="85">
        <f>IF(AND(330&gt;=DeliverStart,330&lt;=DispoMonth),1,0)</f>
        <v/>
      </c>
      <c r="LW41" s="85">
        <f>IF(AND(331&gt;=DeliverStart,331&lt;=DispoMonth),1,0)</f>
        <v/>
      </c>
      <c r="LX41" s="85">
        <f>IF(AND(332&gt;=DeliverStart,332&lt;=DispoMonth),1,0)</f>
        <v/>
      </c>
      <c r="LY41" s="85">
        <f>IF(AND(333&gt;=DeliverStart,333&lt;=DispoMonth),1,0)</f>
        <v/>
      </c>
      <c r="LZ41" s="85">
        <f>IF(AND(334&gt;=DeliverStart,334&lt;=DispoMonth),1,0)</f>
        <v/>
      </c>
      <c r="MA41" s="85">
        <f>IF(AND(335&gt;=DeliverStart,335&lt;=DispoMonth),1,0)</f>
        <v/>
      </c>
      <c r="MB41" s="85">
        <f>IF(AND(336&gt;=DeliverStart,336&lt;=DispoMonth),1,0)</f>
        <v/>
      </c>
      <c r="MC41" s="85">
        <f>IF(AND(337&gt;=DeliverStart,337&lt;=DispoMonth),1,0)</f>
        <v/>
      </c>
      <c r="MD41" s="85">
        <f>IF(AND(338&gt;=DeliverStart,338&lt;=DispoMonth),1,0)</f>
        <v/>
      </c>
      <c r="ME41" s="85">
        <f>IF(AND(339&gt;=DeliverStart,339&lt;=DispoMonth),1,0)</f>
        <v/>
      </c>
      <c r="MF41" s="85">
        <f>IF(AND(340&gt;=DeliverStart,340&lt;=DispoMonth),1,0)</f>
        <v/>
      </c>
      <c r="MG41" s="85">
        <f>IF(AND(341&gt;=DeliverStart,341&lt;=DispoMonth),1,0)</f>
        <v/>
      </c>
      <c r="MH41" s="85">
        <f>IF(AND(342&gt;=DeliverStart,342&lt;=DispoMonth),1,0)</f>
        <v/>
      </c>
      <c r="MI41" s="85">
        <f>IF(AND(343&gt;=DeliverStart,343&lt;=DispoMonth),1,0)</f>
        <v/>
      </c>
      <c r="MJ41" s="85">
        <f>IF(AND(344&gt;=DeliverStart,344&lt;=DispoMonth),1,0)</f>
        <v/>
      </c>
      <c r="MK41" s="85">
        <f>IF(AND(345&gt;=DeliverStart,345&lt;=DispoMonth),1,0)</f>
        <v/>
      </c>
      <c r="ML41" s="85">
        <f>IF(AND(346&gt;=DeliverStart,346&lt;=DispoMonth),1,0)</f>
        <v/>
      </c>
      <c r="MM41" s="85">
        <f>IF(AND(347&gt;=DeliverStart,347&lt;=DispoMonth),1,0)</f>
        <v/>
      </c>
      <c r="MN41" s="85">
        <f>IF(AND(348&gt;=DeliverStart,348&lt;=DispoMonth),1,0)</f>
        <v/>
      </c>
      <c r="MO41" s="85">
        <f>IF(AND(349&gt;=DeliverStart,349&lt;=DispoMonth),1,0)</f>
        <v/>
      </c>
      <c r="MP41" s="85">
        <f>IF(AND(350&gt;=DeliverStart,350&lt;=DispoMonth),1,0)</f>
        <v/>
      </c>
      <c r="MQ41" s="85">
        <f>IF(AND(351&gt;=DeliverStart,351&lt;=DispoMonth),1,0)</f>
        <v/>
      </c>
      <c r="MR41" s="85">
        <f>IF(AND(352&gt;=DeliverStart,352&lt;=DispoMonth),1,0)</f>
        <v/>
      </c>
      <c r="MS41" s="85">
        <f>IF(AND(353&gt;=DeliverStart,353&lt;=DispoMonth),1,0)</f>
        <v/>
      </c>
      <c r="MT41" s="85">
        <f>IF(AND(354&gt;=DeliverStart,354&lt;=DispoMonth),1,0)</f>
        <v/>
      </c>
      <c r="MU41" s="85">
        <f>IF(AND(355&gt;=DeliverStart,355&lt;=DispoMonth),1,0)</f>
        <v/>
      </c>
      <c r="MV41" s="85">
        <f>IF(AND(356&gt;=DeliverStart,356&lt;=DispoMonth),1,0)</f>
        <v/>
      </c>
      <c r="MW41" s="85">
        <f>IF(AND(357&gt;=DeliverStart,357&lt;=DispoMonth),1,0)</f>
        <v/>
      </c>
      <c r="MX41" s="85">
        <f>IF(AND(358&gt;=DeliverStart,358&lt;=DispoMonth),1,0)</f>
        <v/>
      </c>
      <c r="MY41" s="85">
        <f>IF(AND(359&gt;=DeliverStart,359&lt;=DispoMonth),1,0)</f>
        <v/>
      </c>
      <c r="MZ41" s="85">
        <f>IF(AND(360&gt;=DeliverStart,360&lt;=DispoMonth),1,0)</f>
        <v/>
      </c>
      <c r="NA41" s="85">
        <f>IF(AND(361&gt;=DeliverStart,361&lt;=DispoMonth),1,0)</f>
        <v/>
      </c>
      <c r="NB41" s="85">
        <f>IF(AND(362&gt;=DeliverStart,362&lt;=DispoMonth),1,0)</f>
        <v/>
      </c>
      <c r="NC41" s="85">
        <f>IF(AND(363&gt;=DeliverStart,363&lt;=DispoMonth),1,0)</f>
        <v/>
      </c>
      <c r="ND41" s="85">
        <f>IF(AND(364&gt;=DeliverStart,364&lt;=DispoMonth),1,0)</f>
        <v/>
      </c>
      <c r="NE41" s="85">
        <f>IF(AND(365&gt;=DeliverStart,365&lt;=DispoMonth),1,0)</f>
        <v/>
      </c>
      <c r="NF41" s="85">
        <f>IF(AND(366&gt;=DeliverStart,366&lt;=DispoMonth),1,0)</f>
        <v/>
      </c>
      <c r="NG41" s="85">
        <f>IF(AND(367&gt;=DeliverStart,367&lt;=DispoMonth),1,0)</f>
        <v/>
      </c>
      <c r="NH41" s="85">
        <f>IF(AND(368&gt;=DeliverStart,368&lt;=DispoMonth),1,0)</f>
        <v/>
      </c>
      <c r="NI41" s="85">
        <f>IF(AND(369&gt;=DeliverStart,369&lt;=DispoMonth),1,0)</f>
        <v/>
      </c>
      <c r="NJ41" s="85">
        <f>IF(AND(370&gt;=DeliverStart,370&lt;=DispoMonth),1,0)</f>
        <v/>
      </c>
      <c r="NK41" s="85">
        <f>IF(AND(371&gt;=DeliverStart,371&lt;=DispoMonth),1,0)</f>
        <v/>
      </c>
      <c r="NL41" s="85">
        <f>IF(AND(372&gt;=DeliverStart,372&lt;=DispoMonth),1,0)</f>
        <v/>
      </c>
    </row>
    <row r="42">
      <c r="B42" s="36" t="inlineStr">
        <is>
          <t>Flag: Con Loan Active</t>
        </is>
      </c>
      <c r="D42" s="124" t="n"/>
      <c r="E42" s="85">
        <f>IF(AND(1&gt;=ConStart,1&lt;=ConPayoffMonth),1,0)</f>
        <v/>
      </c>
      <c r="F42" s="85">
        <f>IF(AND(2&gt;=ConStart,2&lt;=ConPayoffMonth),1,0)</f>
        <v/>
      </c>
      <c r="G42" s="85">
        <f>IF(AND(3&gt;=ConStart,3&lt;=ConPayoffMonth),1,0)</f>
        <v/>
      </c>
      <c r="H42" s="85">
        <f>IF(AND(4&gt;=ConStart,4&lt;=ConPayoffMonth),1,0)</f>
        <v/>
      </c>
      <c r="I42" s="85">
        <f>IF(AND(5&gt;=ConStart,5&lt;=ConPayoffMonth),1,0)</f>
        <v/>
      </c>
      <c r="J42" s="85">
        <f>IF(AND(6&gt;=ConStart,6&lt;=ConPayoffMonth),1,0)</f>
        <v/>
      </c>
      <c r="K42" s="85">
        <f>IF(AND(7&gt;=ConStart,7&lt;=ConPayoffMonth),1,0)</f>
        <v/>
      </c>
      <c r="L42" s="85">
        <f>IF(AND(8&gt;=ConStart,8&lt;=ConPayoffMonth),1,0)</f>
        <v/>
      </c>
      <c r="M42" s="85">
        <f>IF(AND(9&gt;=ConStart,9&lt;=ConPayoffMonth),1,0)</f>
        <v/>
      </c>
      <c r="N42" s="85">
        <f>IF(AND(10&gt;=ConStart,10&lt;=ConPayoffMonth),1,0)</f>
        <v/>
      </c>
      <c r="O42" s="85">
        <f>IF(AND(11&gt;=ConStart,11&lt;=ConPayoffMonth),1,0)</f>
        <v/>
      </c>
      <c r="P42" s="85">
        <f>IF(AND(12&gt;=ConStart,12&lt;=ConPayoffMonth),1,0)</f>
        <v/>
      </c>
      <c r="Q42" s="85">
        <f>IF(AND(13&gt;=ConStart,13&lt;=ConPayoffMonth),1,0)</f>
        <v/>
      </c>
      <c r="R42" s="85">
        <f>IF(AND(14&gt;=ConStart,14&lt;=ConPayoffMonth),1,0)</f>
        <v/>
      </c>
      <c r="S42" s="85">
        <f>IF(AND(15&gt;=ConStart,15&lt;=ConPayoffMonth),1,0)</f>
        <v/>
      </c>
      <c r="T42" s="85">
        <f>IF(AND(16&gt;=ConStart,16&lt;=ConPayoffMonth),1,0)</f>
        <v/>
      </c>
      <c r="U42" s="85">
        <f>IF(AND(17&gt;=ConStart,17&lt;=ConPayoffMonth),1,0)</f>
        <v/>
      </c>
      <c r="V42" s="85">
        <f>IF(AND(18&gt;=ConStart,18&lt;=ConPayoffMonth),1,0)</f>
        <v/>
      </c>
      <c r="W42" s="85">
        <f>IF(AND(19&gt;=ConStart,19&lt;=ConPayoffMonth),1,0)</f>
        <v/>
      </c>
      <c r="X42" s="85">
        <f>IF(AND(20&gt;=ConStart,20&lt;=ConPayoffMonth),1,0)</f>
        <v/>
      </c>
      <c r="Y42" s="85">
        <f>IF(AND(21&gt;=ConStart,21&lt;=ConPayoffMonth),1,0)</f>
        <v/>
      </c>
      <c r="Z42" s="85">
        <f>IF(AND(22&gt;=ConStart,22&lt;=ConPayoffMonth),1,0)</f>
        <v/>
      </c>
      <c r="AA42" s="85">
        <f>IF(AND(23&gt;=ConStart,23&lt;=ConPayoffMonth),1,0)</f>
        <v/>
      </c>
      <c r="AB42" s="85">
        <f>IF(AND(24&gt;=ConStart,24&lt;=ConPayoffMonth),1,0)</f>
        <v/>
      </c>
      <c r="AC42" s="85">
        <f>IF(AND(25&gt;=ConStart,25&lt;=ConPayoffMonth),1,0)</f>
        <v/>
      </c>
      <c r="AD42" s="85">
        <f>IF(AND(26&gt;=ConStart,26&lt;=ConPayoffMonth),1,0)</f>
        <v/>
      </c>
      <c r="AE42" s="85">
        <f>IF(AND(27&gt;=ConStart,27&lt;=ConPayoffMonth),1,0)</f>
        <v/>
      </c>
      <c r="AF42" s="85">
        <f>IF(AND(28&gt;=ConStart,28&lt;=ConPayoffMonth),1,0)</f>
        <v/>
      </c>
      <c r="AG42" s="85">
        <f>IF(AND(29&gt;=ConStart,29&lt;=ConPayoffMonth),1,0)</f>
        <v/>
      </c>
      <c r="AH42" s="85">
        <f>IF(AND(30&gt;=ConStart,30&lt;=ConPayoffMonth),1,0)</f>
        <v/>
      </c>
      <c r="AI42" s="85">
        <f>IF(AND(31&gt;=ConStart,31&lt;=ConPayoffMonth),1,0)</f>
        <v/>
      </c>
      <c r="AJ42" s="85">
        <f>IF(AND(32&gt;=ConStart,32&lt;=ConPayoffMonth),1,0)</f>
        <v/>
      </c>
      <c r="AK42" s="85">
        <f>IF(AND(33&gt;=ConStart,33&lt;=ConPayoffMonth),1,0)</f>
        <v/>
      </c>
      <c r="AL42" s="85">
        <f>IF(AND(34&gt;=ConStart,34&lt;=ConPayoffMonth),1,0)</f>
        <v/>
      </c>
      <c r="AM42" s="85">
        <f>IF(AND(35&gt;=ConStart,35&lt;=ConPayoffMonth),1,0)</f>
        <v/>
      </c>
      <c r="AN42" s="85">
        <f>IF(AND(36&gt;=ConStart,36&lt;=ConPayoffMonth),1,0)</f>
        <v/>
      </c>
      <c r="AO42" s="85">
        <f>IF(AND(37&gt;=ConStart,37&lt;=ConPayoffMonth),1,0)</f>
        <v/>
      </c>
      <c r="AP42" s="85">
        <f>IF(AND(38&gt;=ConStart,38&lt;=ConPayoffMonth),1,0)</f>
        <v/>
      </c>
      <c r="AQ42" s="85">
        <f>IF(AND(39&gt;=ConStart,39&lt;=ConPayoffMonth),1,0)</f>
        <v/>
      </c>
      <c r="AR42" s="85">
        <f>IF(AND(40&gt;=ConStart,40&lt;=ConPayoffMonth),1,0)</f>
        <v/>
      </c>
      <c r="AS42" s="85">
        <f>IF(AND(41&gt;=ConStart,41&lt;=ConPayoffMonth),1,0)</f>
        <v/>
      </c>
      <c r="AT42" s="85">
        <f>IF(AND(42&gt;=ConStart,42&lt;=ConPayoffMonth),1,0)</f>
        <v/>
      </c>
      <c r="AU42" s="85">
        <f>IF(AND(43&gt;=ConStart,43&lt;=ConPayoffMonth),1,0)</f>
        <v/>
      </c>
      <c r="AV42" s="85">
        <f>IF(AND(44&gt;=ConStart,44&lt;=ConPayoffMonth),1,0)</f>
        <v/>
      </c>
      <c r="AW42" s="85">
        <f>IF(AND(45&gt;=ConStart,45&lt;=ConPayoffMonth),1,0)</f>
        <v/>
      </c>
      <c r="AX42" s="85">
        <f>IF(AND(46&gt;=ConStart,46&lt;=ConPayoffMonth),1,0)</f>
        <v/>
      </c>
      <c r="AY42" s="85">
        <f>IF(AND(47&gt;=ConStart,47&lt;=ConPayoffMonth),1,0)</f>
        <v/>
      </c>
      <c r="AZ42" s="85">
        <f>IF(AND(48&gt;=ConStart,48&lt;=ConPayoffMonth),1,0)</f>
        <v/>
      </c>
      <c r="BA42" s="85">
        <f>IF(AND(49&gt;=ConStart,49&lt;=ConPayoffMonth),1,0)</f>
        <v/>
      </c>
      <c r="BB42" s="85">
        <f>IF(AND(50&gt;=ConStart,50&lt;=ConPayoffMonth),1,0)</f>
        <v/>
      </c>
      <c r="BC42" s="85">
        <f>IF(AND(51&gt;=ConStart,51&lt;=ConPayoffMonth),1,0)</f>
        <v/>
      </c>
      <c r="BD42" s="85">
        <f>IF(AND(52&gt;=ConStart,52&lt;=ConPayoffMonth),1,0)</f>
        <v/>
      </c>
      <c r="BE42" s="85">
        <f>IF(AND(53&gt;=ConStart,53&lt;=ConPayoffMonth),1,0)</f>
        <v/>
      </c>
      <c r="BF42" s="85">
        <f>IF(AND(54&gt;=ConStart,54&lt;=ConPayoffMonth),1,0)</f>
        <v/>
      </c>
      <c r="BG42" s="85">
        <f>IF(AND(55&gt;=ConStart,55&lt;=ConPayoffMonth),1,0)</f>
        <v/>
      </c>
      <c r="BH42" s="85">
        <f>IF(AND(56&gt;=ConStart,56&lt;=ConPayoffMonth),1,0)</f>
        <v/>
      </c>
      <c r="BI42" s="85">
        <f>IF(AND(57&gt;=ConStart,57&lt;=ConPayoffMonth),1,0)</f>
        <v/>
      </c>
      <c r="BJ42" s="85">
        <f>IF(AND(58&gt;=ConStart,58&lt;=ConPayoffMonth),1,0)</f>
        <v/>
      </c>
      <c r="BK42" s="85">
        <f>IF(AND(59&gt;=ConStart,59&lt;=ConPayoffMonth),1,0)</f>
        <v/>
      </c>
      <c r="BL42" s="85">
        <f>IF(AND(60&gt;=ConStart,60&lt;=ConPayoffMonth),1,0)</f>
        <v/>
      </c>
      <c r="BM42" s="85">
        <f>IF(AND(61&gt;=ConStart,61&lt;=ConPayoffMonth),1,0)</f>
        <v/>
      </c>
      <c r="BN42" s="85">
        <f>IF(AND(62&gt;=ConStart,62&lt;=ConPayoffMonth),1,0)</f>
        <v/>
      </c>
      <c r="BO42" s="85">
        <f>IF(AND(63&gt;=ConStart,63&lt;=ConPayoffMonth),1,0)</f>
        <v/>
      </c>
      <c r="BP42" s="85">
        <f>IF(AND(64&gt;=ConStart,64&lt;=ConPayoffMonth),1,0)</f>
        <v/>
      </c>
      <c r="BQ42" s="85">
        <f>IF(AND(65&gt;=ConStart,65&lt;=ConPayoffMonth),1,0)</f>
        <v/>
      </c>
      <c r="BR42" s="85">
        <f>IF(AND(66&gt;=ConStart,66&lt;=ConPayoffMonth),1,0)</f>
        <v/>
      </c>
      <c r="BS42" s="85">
        <f>IF(AND(67&gt;=ConStart,67&lt;=ConPayoffMonth),1,0)</f>
        <v/>
      </c>
      <c r="BT42" s="85">
        <f>IF(AND(68&gt;=ConStart,68&lt;=ConPayoffMonth),1,0)</f>
        <v/>
      </c>
      <c r="BU42" s="85">
        <f>IF(AND(69&gt;=ConStart,69&lt;=ConPayoffMonth),1,0)</f>
        <v/>
      </c>
      <c r="BV42" s="85">
        <f>IF(AND(70&gt;=ConStart,70&lt;=ConPayoffMonth),1,0)</f>
        <v/>
      </c>
      <c r="BW42" s="85">
        <f>IF(AND(71&gt;=ConStart,71&lt;=ConPayoffMonth),1,0)</f>
        <v/>
      </c>
      <c r="BX42" s="85">
        <f>IF(AND(72&gt;=ConStart,72&lt;=ConPayoffMonth),1,0)</f>
        <v/>
      </c>
      <c r="BY42" s="85">
        <f>IF(AND(73&gt;=ConStart,73&lt;=ConPayoffMonth),1,0)</f>
        <v/>
      </c>
      <c r="BZ42" s="85">
        <f>IF(AND(74&gt;=ConStart,74&lt;=ConPayoffMonth),1,0)</f>
        <v/>
      </c>
      <c r="CA42" s="85">
        <f>IF(AND(75&gt;=ConStart,75&lt;=ConPayoffMonth),1,0)</f>
        <v/>
      </c>
      <c r="CB42" s="85">
        <f>IF(AND(76&gt;=ConStart,76&lt;=ConPayoffMonth),1,0)</f>
        <v/>
      </c>
      <c r="CC42" s="85">
        <f>IF(AND(77&gt;=ConStart,77&lt;=ConPayoffMonth),1,0)</f>
        <v/>
      </c>
      <c r="CD42" s="85">
        <f>IF(AND(78&gt;=ConStart,78&lt;=ConPayoffMonth),1,0)</f>
        <v/>
      </c>
      <c r="CE42" s="85">
        <f>IF(AND(79&gt;=ConStart,79&lt;=ConPayoffMonth),1,0)</f>
        <v/>
      </c>
      <c r="CF42" s="85">
        <f>IF(AND(80&gt;=ConStart,80&lt;=ConPayoffMonth),1,0)</f>
        <v/>
      </c>
      <c r="CG42" s="85">
        <f>IF(AND(81&gt;=ConStart,81&lt;=ConPayoffMonth),1,0)</f>
        <v/>
      </c>
      <c r="CH42" s="85">
        <f>IF(AND(82&gt;=ConStart,82&lt;=ConPayoffMonth),1,0)</f>
        <v/>
      </c>
      <c r="CI42" s="85">
        <f>IF(AND(83&gt;=ConStart,83&lt;=ConPayoffMonth),1,0)</f>
        <v/>
      </c>
      <c r="CJ42" s="85">
        <f>IF(AND(84&gt;=ConStart,84&lt;=ConPayoffMonth),1,0)</f>
        <v/>
      </c>
      <c r="CK42" s="85">
        <f>IF(AND(85&gt;=ConStart,85&lt;=ConPayoffMonth),1,0)</f>
        <v/>
      </c>
      <c r="CL42" s="85">
        <f>IF(AND(86&gt;=ConStart,86&lt;=ConPayoffMonth),1,0)</f>
        <v/>
      </c>
      <c r="CM42" s="85">
        <f>IF(AND(87&gt;=ConStart,87&lt;=ConPayoffMonth),1,0)</f>
        <v/>
      </c>
      <c r="CN42" s="85">
        <f>IF(AND(88&gt;=ConStart,88&lt;=ConPayoffMonth),1,0)</f>
        <v/>
      </c>
      <c r="CO42" s="85">
        <f>IF(AND(89&gt;=ConStart,89&lt;=ConPayoffMonth),1,0)</f>
        <v/>
      </c>
      <c r="CP42" s="85">
        <f>IF(AND(90&gt;=ConStart,90&lt;=ConPayoffMonth),1,0)</f>
        <v/>
      </c>
      <c r="CQ42" s="85">
        <f>IF(AND(91&gt;=ConStart,91&lt;=ConPayoffMonth),1,0)</f>
        <v/>
      </c>
      <c r="CR42" s="85">
        <f>IF(AND(92&gt;=ConStart,92&lt;=ConPayoffMonth),1,0)</f>
        <v/>
      </c>
      <c r="CS42" s="85">
        <f>IF(AND(93&gt;=ConStart,93&lt;=ConPayoffMonth),1,0)</f>
        <v/>
      </c>
      <c r="CT42" s="85">
        <f>IF(AND(94&gt;=ConStart,94&lt;=ConPayoffMonth),1,0)</f>
        <v/>
      </c>
      <c r="CU42" s="85">
        <f>IF(AND(95&gt;=ConStart,95&lt;=ConPayoffMonth),1,0)</f>
        <v/>
      </c>
      <c r="CV42" s="85">
        <f>IF(AND(96&gt;=ConStart,96&lt;=ConPayoffMonth),1,0)</f>
        <v/>
      </c>
      <c r="CW42" s="85">
        <f>IF(AND(97&gt;=ConStart,97&lt;=ConPayoffMonth),1,0)</f>
        <v/>
      </c>
      <c r="CX42" s="85">
        <f>IF(AND(98&gt;=ConStart,98&lt;=ConPayoffMonth),1,0)</f>
        <v/>
      </c>
      <c r="CY42" s="85">
        <f>IF(AND(99&gt;=ConStart,99&lt;=ConPayoffMonth),1,0)</f>
        <v/>
      </c>
      <c r="CZ42" s="85">
        <f>IF(AND(100&gt;=ConStart,100&lt;=ConPayoffMonth),1,0)</f>
        <v/>
      </c>
      <c r="DA42" s="85">
        <f>IF(AND(101&gt;=ConStart,101&lt;=ConPayoffMonth),1,0)</f>
        <v/>
      </c>
      <c r="DB42" s="85">
        <f>IF(AND(102&gt;=ConStart,102&lt;=ConPayoffMonth),1,0)</f>
        <v/>
      </c>
      <c r="DC42" s="85">
        <f>IF(AND(103&gt;=ConStart,103&lt;=ConPayoffMonth),1,0)</f>
        <v/>
      </c>
      <c r="DD42" s="85">
        <f>IF(AND(104&gt;=ConStart,104&lt;=ConPayoffMonth),1,0)</f>
        <v/>
      </c>
      <c r="DE42" s="85">
        <f>IF(AND(105&gt;=ConStart,105&lt;=ConPayoffMonth),1,0)</f>
        <v/>
      </c>
      <c r="DF42" s="85">
        <f>IF(AND(106&gt;=ConStart,106&lt;=ConPayoffMonth),1,0)</f>
        <v/>
      </c>
      <c r="DG42" s="85">
        <f>IF(AND(107&gt;=ConStart,107&lt;=ConPayoffMonth),1,0)</f>
        <v/>
      </c>
      <c r="DH42" s="85">
        <f>IF(AND(108&gt;=ConStart,108&lt;=ConPayoffMonth),1,0)</f>
        <v/>
      </c>
      <c r="DI42" s="85">
        <f>IF(AND(109&gt;=ConStart,109&lt;=ConPayoffMonth),1,0)</f>
        <v/>
      </c>
      <c r="DJ42" s="85">
        <f>IF(AND(110&gt;=ConStart,110&lt;=ConPayoffMonth),1,0)</f>
        <v/>
      </c>
      <c r="DK42" s="85">
        <f>IF(AND(111&gt;=ConStart,111&lt;=ConPayoffMonth),1,0)</f>
        <v/>
      </c>
      <c r="DL42" s="85">
        <f>IF(AND(112&gt;=ConStart,112&lt;=ConPayoffMonth),1,0)</f>
        <v/>
      </c>
      <c r="DM42" s="85">
        <f>IF(AND(113&gt;=ConStart,113&lt;=ConPayoffMonth),1,0)</f>
        <v/>
      </c>
      <c r="DN42" s="85">
        <f>IF(AND(114&gt;=ConStart,114&lt;=ConPayoffMonth),1,0)</f>
        <v/>
      </c>
      <c r="DO42" s="85">
        <f>IF(AND(115&gt;=ConStart,115&lt;=ConPayoffMonth),1,0)</f>
        <v/>
      </c>
      <c r="DP42" s="85">
        <f>IF(AND(116&gt;=ConStart,116&lt;=ConPayoffMonth),1,0)</f>
        <v/>
      </c>
      <c r="DQ42" s="85">
        <f>IF(AND(117&gt;=ConStart,117&lt;=ConPayoffMonth),1,0)</f>
        <v/>
      </c>
      <c r="DR42" s="85">
        <f>IF(AND(118&gt;=ConStart,118&lt;=ConPayoffMonth),1,0)</f>
        <v/>
      </c>
      <c r="DS42" s="85">
        <f>IF(AND(119&gt;=ConStart,119&lt;=ConPayoffMonth),1,0)</f>
        <v/>
      </c>
      <c r="DT42" s="85">
        <f>IF(AND(120&gt;=ConStart,120&lt;=ConPayoffMonth),1,0)</f>
        <v/>
      </c>
      <c r="DU42" s="85">
        <f>IF(AND(121&gt;=ConStart,121&lt;=ConPayoffMonth),1,0)</f>
        <v/>
      </c>
      <c r="DV42" s="85">
        <f>IF(AND(122&gt;=ConStart,122&lt;=ConPayoffMonth),1,0)</f>
        <v/>
      </c>
      <c r="DW42" s="85">
        <f>IF(AND(123&gt;=ConStart,123&lt;=ConPayoffMonth),1,0)</f>
        <v/>
      </c>
      <c r="DX42" s="85">
        <f>IF(AND(124&gt;=ConStart,124&lt;=ConPayoffMonth),1,0)</f>
        <v/>
      </c>
      <c r="DY42" s="85">
        <f>IF(AND(125&gt;=ConStart,125&lt;=ConPayoffMonth),1,0)</f>
        <v/>
      </c>
      <c r="DZ42" s="85">
        <f>IF(AND(126&gt;=ConStart,126&lt;=ConPayoffMonth),1,0)</f>
        <v/>
      </c>
      <c r="EA42" s="85">
        <f>IF(AND(127&gt;=ConStart,127&lt;=ConPayoffMonth),1,0)</f>
        <v/>
      </c>
      <c r="EB42" s="85">
        <f>IF(AND(128&gt;=ConStart,128&lt;=ConPayoffMonth),1,0)</f>
        <v/>
      </c>
      <c r="EC42" s="85">
        <f>IF(AND(129&gt;=ConStart,129&lt;=ConPayoffMonth),1,0)</f>
        <v/>
      </c>
      <c r="ED42" s="85">
        <f>IF(AND(130&gt;=ConStart,130&lt;=ConPayoffMonth),1,0)</f>
        <v/>
      </c>
      <c r="EE42" s="85">
        <f>IF(AND(131&gt;=ConStart,131&lt;=ConPayoffMonth),1,0)</f>
        <v/>
      </c>
      <c r="EF42" s="85">
        <f>IF(AND(132&gt;=ConStart,132&lt;=ConPayoffMonth),1,0)</f>
        <v/>
      </c>
      <c r="EG42" s="85">
        <f>IF(AND(133&gt;=ConStart,133&lt;=ConPayoffMonth),1,0)</f>
        <v/>
      </c>
      <c r="EH42" s="85">
        <f>IF(AND(134&gt;=ConStart,134&lt;=ConPayoffMonth),1,0)</f>
        <v/>
      </c>
      <c r="EI42" s="85">
        <f>IF(AND(135&gt;=ConStart,135&lt;=ConPayoffMonth),1,0)</f>
        <v/>
      </c>
      <c r="EJ42" s="85">
        <f>IF(AND(136&gt;=ConStart,136&lt;=ConPayoffMonth),1,0)</f>
        <v/>
      </c>
      <c r="EK42" s="85">
        <f>IF(AND(137&gt;=ConStart,137&lt;=ConPayoffMonth),1,0)</f>
        <v/>
      </c>
      <c r="EL42" s="85">
        <f>IF(AND(138&gt;=ConStart,138&lt;=ConPayoffMonth),1,0)</f>
        <v/>
      </c>
      <c r="EM42" s="85">
        <f>IF(AND(139&gt;=ConStart,139&lt;=ConPayoffMonth),1,0)</f>
        <v/>
      </c>
      <c r="EN42" s="85">
        <f>IF(AND(140&gt;=ConStart,140&lt;=ConPayoffMonth),1,0)</f>
        <v/>
      </c>
      <c r="EO42" s="85">
        <f>IF(AND(141&gt;=ConStart,141&lt;=ConPayoffMonth),1,0)</f>
        <v/>
      </c>
      <c r="EP42" s="85">
        <f>IF(AND(142&gt;=ConStart,142&lt;=ConPayoffMonth),1,0)</f>
        <v/>
      </c>
      <c r="EQ42" s="85">
        <f>IF(AND(143&gt;=ConStart,143&lt;=ConPayoffMonth),1,0)</f>
        <v/>
      </c>
      <c r="ER42" s="85">
        <f>IF(AND(144&gt;=ConStart,144&lt;=ConPayoffMonth),1,0)</f>
        <v/>
      </c>
      <c r="ES42" s="85">
        <f>IF(AND(145&gt;=ConStart,145&lt;=ConPayoffMonth),1,0)</f>
        <v/>
      </c>
      <c r="ET42" s="85">
        <f>IF(AND(146&gt;=ConStart,146&lt;=ConPayoffMonth),1,0)</f>
        <v/>
      </c>
      <c r="EU42" s="85">
        <f>IF(AND(147&gt;=ConStart,147&lt;=ConPayoffMonth),1,0)</f>
        <v/>
      </c>
      <c r="EV42" s="85">
        <f>IF(AND(148&gt;=ConStart,148&lt;=ConPayoffMonth),1,0)</f>
        <v/>
      </c>
      <c r="EW42" s="85">
        <f>IF(AND(149&gt;=ConStart,149&lt;=ConPayoffMonth),1,0)</f>
        <v/>
      </c>
      <c r="EX42" s="85">
        <f>IF(AND(150&gt;=ConStart,150&lt;=ConPayoffMonth),1,0)</f>
        <v/>
      </c>
      <c r="EY42" s="85">
        <f>IF(AND(151&gt;=ConStart,151&lt;=ConPayoffMonth),1,0)</f>
        <v/>
      </c>
      <c r="EZ42" s="85">
        <f>IF(AND(152&gt;=ConStart,152&lt;=ConPayoffMonth),1,0)</f>
        <v/>
      </c>
      <c r="FA42" s="85">
        <f>IF(AND(153&gt;=ConStart,153&lt;=ConPayoffMonth),1,0)</f>
        <v/>
      </c>
      <c r="FB42" s="85">
        <f>IF(AND(154&gt;=ConStart,154&lt;=ConPayoffMonth),1,0)</f>
        <v/>
      </c>
      <c r="FC42" s="85">
        <f>IF(AND(155&gt;=ConStart,155&lt;=ConPayoffMonth),1,0)</f>
        <v/>
      </c>
      <c r="FD42" s="85">
        <f>IF(AND(156&gt;=ConStart,156&lt;=ConPayoffMonth),1,0)</f>
        <v/>
      </c>
      <c r="FE42" s="85">
        <f>IF(AND(157&gt;=ConStart,157&lt;=ConPayoffMonth),1,0)</f>
        <v/>
      </c>
      <c r="FF42" s="85">
        <f>IF(AND(158&gt;=ConStart,158&lt;=ConPayoffMonth),1,0)</f>
        <v/>
      </c>
      <c r="FG42" s="85">
        <f>IF(AND(159&gt;=ConStart,159&lt;=ConPayoffMonth),1,0)</f>
        <v/>
      </c>
      <c r="FH42" s="85">
        <f>IF(AND(160&gt;=ConStart,160&lt;=ConPayoffMonth),1,0)</f>
        <v/>
      </c>
      <c r="FI42" s="85">
        <f>IF(AND(161&gt;=ConStart,161&lt;=ConPayoffMonth),1,0)</f>
        <v/>
      </c>
      <c r="FJ42" s="85">
        <f>IF(AND(162&gt;=ConStart,162&lt;=ConPayoffMonth),1,0)</f>
        <v/>
      </c>
      <c r="FK42" s="85">
        <f>IF(AND(163&gt;=ConStart,163&lt;=ConPayoffMonth),1,0)</f>
        <v/>
      </c>
      <c r="FL42" s="85">
        <f>IF(AND(164&gt;=ConStart,164&lt;=ConPayoffMonth),1,0)</f>
        <v/>
      </c>
      <c r="FM42" s="85">
        <f>IF(AND(165&gt;=ConStart,165&lt;=ConPayoffMonth),1,0)</f>
        <v/>
      </c>
      <c r="FN42" s="85">
        <f>IF(AND(166&gt;=ConStart,166&lt;=ConPayoffMonth),1,0)</f>
        <v/>
      </c>
      <c r="FO42" s="85">
        <f>IF(AND(167&gt;=ConStart,167&lt;=ConPayoffMonth),1,0)</f>
        <v/>
      </c>
      <c r="FP42" s="85">
        <f>IF(AND(168&gt;=ConStart,168&lt;=ConPayoffMonth),1,0)</f>
        <v/>
      </c>
      <c r="FQ42" s="85">
        <f>IF(AND(169&gt;=ConStart,169&lt;=ConPayoffMonth),1,0)</f>
        <v/>
      </c>
      <c r="FR42" s="85">
        <f>IF(AND(170&gt;=ConStart,170&lt;=ConPayoffMonth),1,0)</f>
        <v/>
      </c>
      <c r="FS42" s="85">
        <f>IF(AND(171&gt;=ConStart,171&lt;=ConPayoffMonth),1,0)</f>
        <v/>
      </c>
      <c r="FT42" s="85">
        <f>IF(AND(172&gt;=ConStart,172&lt;=ConPayoffMonth),1,0)</f>
        <v/>
      </c>
      <c r="FU42" s="85">
        <f>IF(AND(173&gt;=ConStart,173&lt;=ConPayoffMonth),1,0)</f>
        <v/>
      </c>
      <c r="FV42" s="85">
        <f>IF(AND(174&gt;=ConStart,174&lt;=ConPayoffMonth),1,0)</f>
        <v/>
      </c>
      <c r="FW42" s="85">
        <f>IF(AND(175&gt;=ConStart,175&lt;=ConPayoffMonth),1,0)</f>
        <v/>
      </c>
      <c r="FX42" s="85">
        <f>IF(AND(176&gt;=ConStart,176&lt;=ConPayoffMonth),1,0)</f>
        <v/>
      </c>
      <c r="FY42" s="85">
        <f>IF(AND(177&gt;=ConStart,177&lt;=ConPayoffMonth),1,0)</f>
        <v/>
      </c>
      <c r="FZ42" s="85">
        <f>IF(AND(178&gt;=ConStart,178&lt;=ConPayoffMonth),1,0)</f>
        <v/>
      </c>
      <c r="GA42" s="85">
        <f>IF(AND(179&gt;=ConStart,179&lt;=ConPayoffMonth),1,0)</f>
        <v/>
      </c>
      <c r="GB42" s="85">
        <f>IF(AND(180&gt;=ConStart,180&lt;=ConPayoffMonth),1,0)</f>
        <v/>
      </c>
      <c r="GC42" s="85">
        <f>IF(AND(181&gt;=ConStart,181&lt;=ConPayoffMonth),1,0)</f>
        <v/>
      </c>
      <c r="GD42" s="85">
        <f>IF(AND(182&gt;=ConStart,182&lt;=ConPayoffMonth),1,0)</f>
        <v/>
      </c>
      <c r="GE42" s="85">
        <f>IF(AND(183&gt;=ConStart,183&lt;=ConPayoffMonth),1,0)</f>
        <v/>
      </c>
      <c r="GF42" s="85">
        <f>IF(AND(184&gt;=ConStart,184&lt;=ConPayoffMonth),1,0)</f>
        <v/>
      </c>
      <c r="GG42" s="85">
        <f>IF(AND(185&gt;=ConStart,185&lt;=ConPayoffMonth),1,0)</f>
        <v/>
      </c>
      <c r="GH42" s="85">
        <f>IF(AND(186&gt;=ConStart,186&lt;=ConPayoffMonth),1,0)</f>
        <v/>
      </c>
      <c r="GI42" s="85">
        <f>IF(AND(187&gt;=ConStart,187&lt;=ConPayoffMonth),1,0)</f>
        <v/>
      </c>
      <c r="GJ42" s="85">
        <f>IF(AND(188&gt;=ConStart,188&lt;=ConPayoffMonth),1,0)</f>
        <v/>
      </c>
      <c r="GK42" s="85">
        <f>IF(AND(189&gt;=ConStart,189&lt;=ConPayoffMonth),1,0)</f>
        <v/>
      </c>
      <c r="GL42" s="85">
        <f>IF(AND(190&gt;=ConStart,190&lt;=ConPayoffMonth),1,0)</f>
        <v/>
      </c>
      <c r="GM42" s="85">
        <f>IF(AND(191&gt;=ConStart,191&lt;=ConPayoffMonth),1,0)</f>
        <v/>
      </c>
      <c r="GN42" s="85">
        <f>IF(AND(192&gt;=ConStart,192&lt;=ConPayoffMonth),1,0)</f>
        <v/>
      </c>
      <c r="GO42" s="85">
        <f>IF(AND(193&gt;=ConStart,193&lt;=ConPayoffMonth),1,0)</f>
        <v/>
      </c>
      <c r="GP42" s="85">
        <f>IF(AND(194&gt;=ConStart,194&lt;=ConPayoffMonth),1,0)</f>
        <v/>
      </c>
      <c r="GQ42" s="85">
        <f>IF(AND(195&gt;=ConStart,195&lt;=ConPayoffMonth),1,0)</f>
        <v/>
      </c>
      <c r="GR42" s="85">
        <f>IF(AND(196&gt;=ConStart,196&lt;=ConPayoffMonth),1,0)</f>
        <v/>
      </c>
      <c r="GS42" s="85">
        <f>IF(AND(197&gt;=ConStart,197&lt;=ConPayoffMonth),1,0)</f>
        <v/>
      </c>
      <c r="GT42" s="85">
        <f>IF(AND(198&gt;=ConStart,198&lt;=ConPayoffMonth),1,0)</f>
        <v/>
      </c>
      <c r="GU42" s="85">
        <f>IF(AND(199&gt;=ConStart,199&lt;=ConPayoffMonth),1,0)</f>
        <v/>
      </c>
      <c r="GV42" s="85">
        <f>IF(AND(200&gt;=ConStart,200&lt;=ConPayoffMonth),1,0)</f>
        <v/>
      </c>
      <c r="GW42" s="85">
        <f>IF(AND(201&gt;=ConStart,201&lt;=ConPayoffMonth),1,0)</f>
        <v/>
      </c>
      <c r="GX42" s="85">
        <f>IF(AND(202&gt;=ConStart,202&lt;=ConPayoffMonth),1,0)</f>
        <v/>
      </c>
      <c r="GY42" s="85">
        <f>IF(AND(203&gt;=ConStart,203&lt;=ConPayoffMonth),1,0)</f>
        <v/>
      </c>
      <c r="GZ42" s="85">
        <f>IF(AND(204&gt;=ConStart,204&lt;=ConPayoffMonth),1,0)</f>
        <v/>
      </c>
      <c r="HA42" s="85">
        <f>IF(AND(205&gt;=ConStart,205&lt;=ConPayoffMonth),1,0)</f>
        <v/>
      </c>
      <c r="HB42" s="85">
        <f>IF(AND(206&gt;=ConStart,206&lt;=ConPayoffMonth),1,0)</f>
        <v/>
      </c>
      <c r="HC42" s="85">
        <f>IF(AND(207&gt;=ConStart,207&lt;=ConPayoffMonth),1,0)</f>
        <v/>
      </c>
      <c r="HD42" s="85">
        <f>IF(AND(208&gt;=ConStart,208&lt;=ConPayoffMonth),1,0)</f>
        <v/>
      </c>
      <c r="HE42" s="85">
        <f>IF(AND(209&gt;=ConStart,209&lt;=ConPayoffMonth),1,0)</f>
        <v/>
      </c>
      <c r="HF42" s="85">
        <f>IF(AND(210&gt;=ConStart,210&lt;=ConPayoffMonth),1,0)</f>
        <v/>
      </c>
      <c r="HG42" s="85">
        <f>IF(AND(211&gt;=ConStart,211&lt;=ConPayoffMonth),1,0)</f>
        <v/>
      </c>
      <c r="HH42" s="85">
        <f>IF(AND(212&gt;=ConStart,212&lt;=ConPayoffMonth),1,0)</f>
        <v/>
      </c>
      <c r="HI42" s="85">
        <f>IF(AND(213&gt;=ConStart,213&lt;=ConPayoffMonth),1,0)</f>
        <v/>
      </c>
      <c r="HJ42" s="85">
        <f>IF(AND(214&gt;=ConStart,214&lt;=ConPayoffMonth),1,0)</f>
        <v/>
      </c>
      <c r="HK42" s="85">
        <f>IF(AND(215&gt;=ConStart,215&lt;=ConPayoffMonth),1,0)</f>
        <v/>
      </c>
      <c r="HL42" s="85">
        <f>IF(AND(216&gt;=ConStart,216&lt;=ConPayoffMonth),1,0)</f>
        <v/>
      </c>
      <c r="HM42" s="85">
        <f>IF(AND(217&gt;=ConStart,217&lt;=ConPayoffMonth),1,0)</f>
        <v/>
      </c>
      <c r="HN42" s="85">
        <f>IF(AND(218&gt;=ConStart,218&lt;=ConPayoffMonth),1,0)</f>
        <v/>
      </c>
      <c r="HO42" s="85">
        <f>IF(AND(219&gt;=ConStart,219&lt;=ConPayoffMonth),1,0)</f>
        <v/>
      </c>
      <c r="HP42" s="85">
        <f>IF(AND(220&gt;=ConStart,220&lt;=ConPayoffMonth),1,0)</f>
        <v/>
      </c>
      <c r="HQ42" s="85">
        <f>IF(AND(221&gt;=ConStart,221&lt;=ConPayoffMonth),1,0)</f>
        <v/>
      </c>
      <c r="HR42" s="85">
        <f>IF(AND(222&gt;=ConStart,222&lt;=ConPayoffMonth),1,0)</f>
        <v/>
      </c>
      <c r="HS42" s="85">
        <f>IF(AND(223&gt;=ConStart,223&lt;=ConPayoffMonth),1,0)</f>
        <v/>
      </c>
      <c r="HT42" s="85">
        <f>IF(AND(224&gt;=ConStart,224&lt;=ConPayoffMonth),1,0)</f>
        <v/>
      </c>
      <c r="HU42" s="85">
        <f>IF(AND(225&gt;=ConStart,225&lt;=ConPayoffMonth),1,0)</f>
        <v/>
      </c>
      <c r="HV42" s="85">
        <f>IF(AND(226&gt;=ConStart,226&lt;=ConPayoffMonth),1,0)</f>
        <v/>
      </c>
      <c r="HW42" s="85">
        <f>IF(AND(227&gt;=ConStart,227&lt;=ConPayoffMonth),1,0)</f>
        <v/>
      </c>
      <c r="HX42" s="85">
        <f>IF(AND(228&gt;=ConStart,228&lt;=ConPayoffMonth),1,0)</f>
        <v/>
      </c>
      <c r="HY42" s="85">
        <f>IF(AND(229&gt;=ConStart,229&lt;=ConPayoffMonth),1,0)</f>
        <v/>
      </c>
      <c r="HZ42" s="85">
        <f>IF(AND(230&gt;=ConStart,230&lt;=ConPayoffMonth),1,0)</f>
        <v/>
      </c>
      <c r="IA42" s="85">
        <f>IF(AND(231&gt;=ConStart,231&lt;=ConPayoffMonth),1,0)</f>
        <v/>
      </c>
      <c r="IB42" s="85">
        <f>IF(AND(232&gt;=ConStart,232&lt;=ConPayoffMonth),1,0)</f>
        <v/>
      </c>
      <c r="IC42" s="85">
        <f>IF(AND(233&gt;=ConStart,233&lt;=ConPayoffMonth),1,0)</f>
        <v/>
      </c>
      <c r="ID42" s="85">
        <f>IF(AND(234&gt;=ConStart,234&lt;=ConPayoffMonth),1,0)</f>
        <v/>
      </c>
      <c r="IE42" s="85">
        <f>IF(AND(235&gt;=ConStart,235&lt;=ConPayoffMonth),1,0)</f>
        <v/>
      </c>
      <c r="IF42" s="85">
        <f>IF(AND(236&gt;=ConStart,236&lt;=ConPayoffMonth),1,0)</f>
        <v/>
      </c>
      <c r="IG42" s="85">
        <f>IF(AND(237&gt;=ConStart,237&lt;=ConPayoffMonth),1,0)</f>
        <v/>
      </c>
      <c r="IH42" s="85">
        <f>IF(AND(238&gt;=ConStart,238&lt;=ConPayoffMonth),1,0)</f>
        <v/>
      </c>
      <c r="II42" s="85">
        <f>IF(AND(239&gt;=ConStart,239&lt;=ConPayoffMonth),1,0)</f>
        <v/>
      </c>
      <c r="IJ42" s="85">
        <f>IF(AND(240&gt;=ConStart,240&lt;=ConPayoffMonth),1,0)</f>
        <v/>
      </c>
      <c r="IK42" s="85">
        <f>IF(AND(241&gt;=ConStart,241&lt;=ConPayoffMonth),1,0)</f>
        <v/>
      </c>
      <c r="IL42" s="85">
        <f>IF(AND(242&gt;=ConStart,242&lt;=ConPayoffMonth),1,0)</f>
        <v/>
      </c>
      <c r="IM42" s="85">
        <f>IF(AND(243&gt;=ConStart,243&lt;=ConPayoffMonth),1,0)</f>
        <v/>
      </c>
      <c r="IN42" s="85">
        <f>IF(AND(244&gt;=ConStart,244&lt;=ConPayoffMonth),1,0)</f>
        <v/>
      </c>
      <c r="IO42" s="85">
        <f>IF(AND(245&gt;=ConStart,245&lt;=ConPayoffMonth),1,0)</f>
        <v/>
      </c>
      <c r="IP42" s="85">
        <f>IF(AND(246&gt;=ConStart,246&lt;=ConPayoffMonth),1,0)</f>
        <v/>
      </c>
      <c r="IQ42" s="85">
        <f>IF(AND(247&gt;=ConStart,247&lt;=ConPayoffMonth),1,0)</f>
        <v/>
      </c>
      <c r="IR42" s="85">
        <f>IF(AND(248&gt;=ConStart,248&lt;=ConPayoffMonth),1,0)</f>
        <v/>
      </c>
      <c r="IS42" s="85">
        <f>IF(AND(249&gt;=ConStart,249&lt;=ConPayoffMonth),1,0)</f>
        <v/>
      </c>
      <c r="IT42" s="85">
        <f>IF(AND(250&gt;=ConStart,250&lt;=ConPayoffMonth),1,0)</f>
        <v/>
      </c>
      <c r="IU42" s="85">
        <f>IF(AND(251&gt;=ConStart,251&lt;=ConPayoffMonth),1,0)</f>
        <v/>
      </c>
      <c r="IV42" s="85">
        <f>IF(AND(252&gt;=ConStart,252&lt;=ConPayoffMonth),1,0)</f>
        <v/>
      </c>
      <c r="IW42" s="85">
        <f>IF(AND(253&gt;=ConStart,253&lt;=ConPayoffMonth),1,0)</f>
        <v/>
      </c>
      <c r="IX42" s="85">
        <f>IF(AND(254&gt;=ConStart,254&lt;=ConPayoffMonth),1,0)</f>
        <v/>
      </c>
      <c r="IY42" s="85">
        <f>IF(AND(255&gt;=ConStart,255&lt;=ConPayoffMonth),1,0)</f>
        <v/>
      </c>
      <c r="IZ42" s="85">
        <f>IF(AND(256&gt;=ConStart,256&lt;=ConPayoffMonth),1,0)</f>
        <v/>
      </c>
      <c r="JA42" s="85">
        <f>IF(AND(257&gt;=ConStart,257&lt;=ConPayoffMonth),1,0)</f>
        <v/>
      </c>
      <c r="JB42" s="85">
        <f>IF(AND(258&gt;=ConStart,258&lt;=ConPayoffMonth),1,0)</f>
        <v/>
      </c>
      <c r="JC42" s="85">
        <f>IF(AND(259&gt;=ConStart,259&lt;=ConPayoffMonth),1,0)</f>
        <v/>
      </c>
      <c r="JD42" s="85">
        <f>IF(AND(260&gt;=ConStart,260&lt;=ConPayoffMonth),1,0)</f>
        <v/>
      </c>
      <c r="JE42" s="85">
        <f>IF(AND(261&gt;=ConStart,261&lt;=ConPayoffMonth),1,0)</f>
        <v/>
      </c>
      <c r="JF42" s="85">
        <f>IF(AND(262&gt;=ConStart,262&lt;=ConPayoffMonth),1,0)</f>
        <v/>
      </c>
      <c r="JG42" s="85">
        <f>IF(AND(263&gt;=ConStart,263&lt;=ConPayoffMonth),1,0)</f>
        <v/>
      </c>
      <c r="JH42" s="85">
        <f>IF(AND(264&gt;=ConStart,264&lt;=ConPayoffMonth),1,0)</f>
        <v/>
      </c>
      <c r="JI42" s="85">
        <f>IF(AND(265&gt;=ConStart,265&lt;=ConPayoffMonth),1,0)</f>
        <v/>
      </c>
      <c r="JJ42" s="85">
        <f>IF(AND(266&gt;=ConStart,266&lt;=ConPayoffMonth),1,0)</f>
        <v/>
      </c>
      <c r="JK42" s="85">
        <f>IF(AND(267&gt;=ConStart,267&lt;=ConPayoffMonth),1,0)</f>
        <v/>
      </c>
      <c r="JL42" s="85">
        <f>IF(AND(268&gt;=ConStart,268&lt;=ConPayoffMonth),1,0)</f>
        <v/>
      </c>
      <c r="JM42" s="85">
        <f>IF(AND(269&gt;=ConStart,269&lt;=ConPayoffMonth),1,0)</f>
        <v/>
      </c>
      <c r="JN42" s="85">
        <f>IF(AND(270&gt;=ConStart,270&lt;=ConPayoffMonth),1,0)</f>
        <v/>
      </c>
      <c r="JO42" s="85">
        <f>IF(AND(271&gt;=ConStart,271&lt;=ConPayoffMonth),1,0)</f>
        <v/>
      </c>
      <c r="JP42" s="85">
        <f>IF(AND(272&gt;=ConStart,272&lt;=ConPayoffMonth),1,0)</f>
        <v/>
      </c>
      <c r="JQ42" s="85">
        <f>IF(AND(273&gt;=ConStart,273&lt;=ConPayoffMonth),1,0)</f>
        <v/>
      </c>
      <c r="JR42" s="85">
        <f>IF(AND(274&gt;=ConStart,274&lt;=ConPayoffMonth),1,0)</f>
        <v/>
      </c>
      <c r="JS42" s="85">
        <f>IF(AND(275&gt;=ConStart,275&lt;=ConPayoffMonth),1,0)</f>
        <v/>
      </c>
      <c r="JT42" s="85">
        <f>IF(AND(276&gt;=ConStart,276&lt;=ConPayoffMonth),1,0)</f>
        <v/>
      </c>
      <c r="JU42" s="85">
        <f>IF(AND(277&gt;=ConStart,277&lt;=ConPayoffMonth),1,0)</f>
        <v/>
      </c>
      <c r="JV42" s="85">
        <f>IF(AND(278&gt;=ConStart,278&lt;=ConPayoffMonth),1,0)</f>
        <v/>
      </c>
      <c r="JW42" s="85">
        <f>IF(AND(279&gt;=ConStart,279&lt;=ConPayoffMonth),1,0)</f>
        <v/>
      </c>
      <c r="JX42" s="85">
        <f>IF(AND(280&gt;=ConStart,280&lt;=ConPayoffMonth),1,0)</f>
        <v/>
      </c>
      <c r="JY42" s="85">
        <f>IF(AND(281&gt;=ConStart,281&lt;=ConPayoffMonth),1,0)</f>
        <v/>
      </c>
      <c r="JZ42" s="85">
        <f>IF(AND(282&gt;=ConStart,282&lt;=ConPayoffMonth),1,0)</f>
        <v/>
      </c>
      <c r="KA42" s="85">
        <f>IF(AND(283&gt;=ConStart,283&lt;=ConPayoffMonth),1,0)</f>
        <v/>
      </c>
      <c r="KB42" s="85">
        <f>IF(AND(284&gt;=ConStart,284&lt;=ConPayoffMonth),1,0)</f>
        <v/>
      </c>
      <c r="KC42" s="85">
        <f>IF(AND(285&gt;=ConStart,285&lt;=ConPayoffMonth),1,0)</f>
        <v/>
      </c>
      <c r="KD42" s="85">
        <f>IF(AND(286&gt;=ConStart,286&lt;=ConPayoffMonth),1,0)</f>
        <v/>
      </c>
      <c r="KE42" s="85">
        <f>IF(AND(287&gt;=ConStart,287&lt;=ConPayoffMonth),1,0)</f>
        <v/>
      </c>
      <c r="KF42" s="85">
        <f>IF(AND(288&gt;=ConStart,288&lt;=ConPayoffMonth),1,0)</f>
        <v/>
      </c>
      <c r="KG42" s="85">
        <f>IF(AND(289&gt;=ConStart,289&lt;=ConPayoffMonth),1,0)</f>
        <v/>
      </c>
      <c r="KH42" s="85">
        <f>IF(AND(290&gt;=ConStart,290&lt;=ConPayoffMonth),1,0)</f>
        <v/>
      </c>
      <c r="KI42" s="85">
        <f>IF(AND(291&gt;=ConStart,291&lt;=ConPayoffMonth),1,0)</f>
        <v/>
      </c>
      <c r="KJ42" s="85">
        <f>IF(AND(292&gt;=ConStart,292&lt;=ConPayoffMonth),1,0)</f>
        <v/>
      </c>
      <c r="KK42" s="85">
        <f>IF(AND(293&gt;=ConStart,293&lt;=ConPayoffMonth),1,0)</f>
        <v/>
      </c>
      <c r="KL42" s="85">
        <f>IF(AND(294&gt;=ConStart,294&lt;=ConPayoffMonth),1,0)</f>
        <v/>
      </c>
      <c r="KM42" s="85">
        <f>IF(AND(295&gt;=ConStart,295&lt;=ConPayoffMonth),1,0)</f>
        <v/>
      </c>
      <c r="KN42" s="85">
        <f>IF(AND(296&gt;=ConStart,296&lt;=ConPayoffMonth),1,0)</f>
        <v/>
      </c>
      <c r="KO42" s="85">
        <f>IF(AND(297&gt;=ConStart,297&lt;=ConPayoffMonth),1,0)</f>
        <v/>
      </c>
      <c r="KP42" s="85">
        <f>IF(AND(298&gt;=ConStart,298&lt;=ConPayoffMonth),1,0)</f>
        <v/>
      </c>
      <c r="KQ42" s="85">
        <f>IF(AND(299&gt;=ConStart,299&lt;=ConPayoffMonth),1,0)</f>
        <v/>
      </c>
      <c r="KR42" s="85">
        <f>IF(AND(300&gt;=ConStart,300&lt;=ConPayoffMonth),1,0)</f>
        <v/>
      </c>
      <c r="KS42" s="85">
        <f>IF(AND(301&gt;=ConStart,301&lt;=ConPayoffMonth),1,0)</f>
        <v/>
      </c>
      <c r="KT42" s="85">
        <f>IF(AND(302&gt;=ConStart,302&lt;=ConPayoffMonth),1,0)</f>
        <v/>
      </c>
      <c r="KU42" s="85">
        <f>IF(AND(303&gt;=ConStart,303&lt;=ConPayoffMonth),1,0)</f>
        <v/>
      </c>
      <c r="KV42" s="85">
        <f>IF(AND(304&gt;=ConStart,304&lt;=ConPayoffMonth),1,0)</f>
        <v/>
      </c>
      <c r="KW42" s="85">
        <f>IF(AND(305&gt;=ConStart,305&lt;=ConPayoffMonth),1,0)</f>
        <v/>
      </c>
      <c r="KX42" s="85">
        <f>IF(AND(306&gt;=ConStart,306&lt;=ConPayoffMonth),1,0)</f>
        <v/>
      </c>
      <c r="KY42" s="85">
        <f>IF(AND(307&gt;=ConStart,307&lt;=ConPayoffMonth),1,0)</f>
        <v/>
      </c>
      <c r="KZ42" s="85">
        <f>IF(AND(308&gt;=ConStart,308&lt;=ConPayoffMonth),1,0)</f>
        <v/>
      </c>
      <c r="LA42" s="85">
        <f>IF(AND(309&gt;=ConStart,309&lt;=ConPayoffMonth),1,0)</f>
        <v/>
      </c>
      <c r="LB42" s="85">
        <f>IF(AND(310&gt;=ConStart,310&lt;=ConPayoffMonth),1,0)</f>
        <v/>
      </c>
      <c r="LC42" s="85">
        <f>IF(AND(311&gt;=ConStart,311&lt;=ConPayoffMonth),1,0)</f>
        <v/>
      </c>
      <c r="LD42" s="85">
        <f>IF(AND(312&gt;=ConStart,312&lt;=ConPayoffMonth),1,0)</f>
        <v/>
      </c>
      <c r="LE42" s="85">
        <f>IF(AND(313&gt;=ConStart,313&lt;=ConPayoffMonth),1,0)</f>
        <v/>
      </c>
      <c r="LF42" s="85">
        <f>IF(AND(314&gt;=ConStart,314&lt;=ConPayoffMonth),1,0)</f>
        <v/>
      </c>
      <c r="LG42" s="85">
        <f>IF(AND(315&gt;=ConStart,315&lt;=ConPayoffMonth),1,0)</f>
        <v/>
      </c>
      <c r="LH42" s="85">
        <f>IF(AND(316&gt;=ConStart,316&lt;=ConPayoffMonth),1,0)</f>
        <v/>
      </c>
      <c r="LI42" s="85">
        <f>IF(AND(317&gt;=ConStart,317&lt;=ConPayoffMonth),1,0)</f>
        <v/>
      </c>
      <c r="LJ42" s="85">
        <f>IF(AND(318&gt;=ConStart,318&lt;=ConPayoffMonth),1,0)</f>
        <v/>
      </c>
      <c r="LK42" s="85">
        <f>IF(AND(319&gt;=ConStart,319&lt;=ConPayoffMonth),1,0)</f>
        <v/>
      </c>
      <c r="LL42" s="85">
        <f>IF(AND(320&gt;=ConStart,320&lt;=ConPayoffMonth),1,0)</f>
        <v/>
      </c>
      <c r="LM42" s="85">
        <f>IF(AND(321&gt;=ConStart,321&lt;=ConPayoffMonth),1,0)</f>
        <v/>
      </c>
      <c r="LN42" s="85">
        <f>IF(AND(322&gt;=ConStart,322&lt;=ConPayoffMonth),1,0)</f>
        <v/>
      </c>
      <c r="LO42" s="85">
        <f>IF(AND(323&gt;=ConStart,323&lt;=ConPayoffMonth),1,0)</f>
        <v/>
      </c>
      <c r="LP42" s="85">
        <f>IF(AND(324&gt;=ConStart,324&lt;=ConPayoffMonth),1,0)</f>
        <v/>
      </c>
      <c r="LQ42" s="85">
        <f>IF(AND(325&gt;=ConStart,325&lt;=ConPayoffMonth),1,0)</f>
        <v/>
      </c>
      <c r="LR42" s="85">
        <f>IF(AND(326&gt;=ConStart,326&lt;=ConPayoffMonth),1,0)</f>
        <v/>
      </c>
      <c r="LS42" s="85">
        <f>IF(AND(327&gt;=ConStart,327&lt;=ConPayoffMonth),1,0)</f>
        <v/>
      </c>
      <c r="LT42" s="85">
        <f>IF(AND(328&gt;=ConStart,328&lt;=ConPayoffMonth),1,0)</f>
        <v/>
      </c>
      <c r="LU42" s="85">
        <f>IF(AND(329&gt;=ConStart,329&lt;=ConPayoffMonth),1,0)</f>
        <v/>
      </c>
      <c r="LV42" s="85">
        <f>IF(AND(330&gt;=ConStart,330&lt;=ConPayoffMonth),1,0)</f>
        <v/>
      </c>
      <c r="LW42" s="85">
        <f>IF(AND(331&gt;=ConStart,331&lt;=ConPayoffMonth),1,0)</f>
        <v/>
      </c>
      <c r="LX42" s="85">
        <f>IF(AND(332&gt;=ConStart,332&lt;=ConPayoffMonth),1,0)</f>
        <v/>
      </c>
      <c r="LY42" s="85">
        <f>IF(AND(333&gt;=ConStart,333&lt;=ConPayoffMonth),1,0)</f>
        <v/>
      </c>
      <c r="LZ42" s="85">
        <f>IF(AND(334&gt;=ConStart,334&lt;=ConPayoffMonth),1,0)</f>
        <v/>
      </c>
      <c r="MA42" s="85">
        <f>IF(AND(335&gt;=ConStart,335&lt;=ConPayoffMonth),1,0)</f>
        <v/>
      </c>
      <c r="MB42" s="85">
        <f>IF(AND(336&gt;=ConStart,336&lt;=ConPayoffMonth),1,0)</f>
        <v/>
      </c>
      <c r="MC42" s="85">
        <f>IF(AND(337&gt;=ConStart,337&lt;=ConPayoffMonth),1,0)</f>
        <v/>
      </c>
      <c r="MD42" s="85">
        <f>IF(AND(338&gt;=ConStart,338&lt;=ConPayoffMonth),1,0)</f>
        <v/>
      </c>
      <c r="ME42" s="85">
        <f>IF(AND(339&gt;=ConStart,339&lt;=ConPayoffMonth),1,0)</f>
        <v/>
      </c>
      <c r="MF42" s="85">
        <f>IF(AND(340&gt;=ConStart,340&lt;=ConPayoffMonth),1,0)</f>
        <v/>
      </c>
      <c r="MG42" s="85">
        <f>IF(AND(341&gt;=ConStart,341&lt;=ConPayoffMonth),1,0)</f>
        <v/>
      </c>
      <c r="MH42" s="85">
        <f>IF(AND(342&gt;=ConStart,342&lt;=ConPayoffMonth),1,0)</f>
        <v/>
      </c>
      <c r="MI42" s="85">
        <f>IF(AND(343&gt;=ConStart,343&lt;=ConPayoffMonth),1,0)</f>
        <v/>
      </c>
      <c r="MJ42" s="85">
        <f>IF(AND(344&gt;=ConStart,344&lt;=ConPayoffMonth),1,0)</f>
        <v/>
      </c>
      <c r="MK42" s="85">
        <f>IF(AND(345&gt;=ConStart,345&lt;=ConPayoffMonth),1,0)</f>
        <v/>
      </c>
      <c r="ML42" s="85">
        <f>IF(AND(346&gt;=ConStart,346&lt;=ConPayoffMonth),1,0)</f>
        <v/>
      </c>
      <c r="MM42" s="85">
        <f>IF(AND(347&gt;=ConStart,347&lt;=ConPayoffMonth),1,0)</f>
        <v/>
      </c>
      <c r="MN42" s="85">
        <f>IF(AND(348&gt;=ConStart,348&lt;=ConPayoffMonth),1,0)</f>
        <v/>
      </c>
      <c r="MO42" s="85">
        <f>IF(AND(349&gt;=ConStart,349&lt;=ConPayoffMonth),1,0)</f>
        <v/>
      </c>
      <c r="MP42" s="85">
        <f>IF(AND(350&gt;=ConStart,350&lt;=ConPayoffMonth),1,0)</f>
        <v/>
      </c>
      <c r="MQ42" s="85">
        <f>IF(AND(351&gt;=ConStart,351&lt;=ConPayoffMonth),1,0)</f>
        <v/>
      </c>
      <c r="MR42" s="85">
        <f>IF(AND(352&gt;=ConStart,352&lt;=ConPayoffMonth),1,0)</f>
        <v/>
      </c>
      <c r="MS42" s="85">
        <f>IF(AND(353&gt;=ConStart,353&lt;=ConPayoffMonth),1,0)</f>
        <v/>
      </c>
      <c r="MT42" s="85">
        <f>IF(AND(354&gt;=ConStart,354&lt;=ConPayoffMonth),1,0)</f>
        <v/>
      </c>
      <c r="MU42" s="85">
        <f>IF(AND(355&gt;=ConStart,355&lt;=ConPayoffMonth),1,0)</f>
        <v/>
      </c>
      <c r="MV42" s="85">
        <f>IF(AND(356&gt;=ConStart,356&lt;=ConPayoffMonth),1,0)</f>
        <v/>
      </c>
      <c r="MW42" s="85">
        <f>IF(AND(357&gt;=ConStart,357&lt;=ConPayoffMonth),1,0)</f>
        <v/>
      </c>
      <c r="MX42" s="85">
        <f>IF(AND(358&gt;=ConStart,358&lt;=ConPayoffMonth),1,0)</f>
        <v/>
      </c>
      <c r="MY42" s="85">
        <f>IF(AND(359&gt;=ConStart,359&lt;=ConPayoffMonth),1,0)</f>
        <v/>
      </c>
      <c r="MZ42" s="85">
        <f>IF(AND(360&gt;=ConStart,360&lt;=ConPayoffMonth),1,0)</f>
        <v/>
      </c>
      <c r="NA42" s="85">
        <f>IF(AND(361&gt;=ConStart,361&lt;=ConPayoffMonth),1,0)</f>
        <v/>
      </c>
      <c r="NB42" s="85">
        <f>IF(AND(362&gt;=ConStart,362&lt;=ConPayoffMonth),1,0)</f>
        <v/>
      </c>
      <c r="NC42" s="85">
        <f>IF(AND(363&gt;=ConStart,363&lt;=ConPayoffMonth),1,0)</f>
        <v/>
      </c>
      <c r="ND42" s="85">
        <f>IF(AND(364&gt;=ConStart,364&lt;=ConPayoffMonth),1,0)</f>
        <v/>
      </c>
      <c r="NE42" s="85">
        <f>IF(AND(365&gt;=ConStart,365&lt;=ConPayoffMonth),1,0)</f>
        <v/>
      </c>
      <c r="NF42" s="85">
        <f>IF(AND(366&gt;=ConStart,366&lt;=ConPayoffMonth),1,0)</f>
        <v/>
      </c>
      <c r="NG42" s="85">
        <f>IF(AND(367&gt;=ConStart,367&lt;=ConPayoffMonth),1,0)</f>
        <v/>
      </c>
      <c r="NH42" s="85">
        <f>IF(AND(368&gt;=ConStart,368&lt;=ConPayoffMonth),1,0)</f>
        <v/>
      </c>
      <c r="NI42" s="85">
        <f>IF(AND(369&gt;=ConStart,369&lt;=ConPayoffMonth),1,0)</f>
        <v/>
      </c>
      <c r="NJ42" s="85">
        <f>IF(AND(370&gt;=ConStart,370&lt;=ConPayoffMonth),1,0)</f>
        <v/>
      </c>
      <c r="NK42" s="85">
        <f>IF(AND(371&gt;=ConStart,371&lt;=ConPayoffMonth),1,0)</f>
        <v/>
      </c>
      <c r="NL42" s="85">
        <f>IF(AND(372&gt;=ConStart,372&lt;=ConPayoffMonth),1,0)</f>
        <v/>
      </c>
    </row>
    <row r="43">
      <c r="B43" s="40" t="inlineStr">
        <is>
          <t>Flag: Perm Loan Active</t>
        </is>
      </c>
      <c r="C43" s="79" t="n"/>
      <c r="D43" s="125" t="n"/>
      <c r="E43" s="85">
        <f>IF(AND(RefiFlag=1,1&gt;RefiMonth,1&lt;=DispoMonth),1,0)</f>
        <v/>
      </c>
      <c r="F43" s="85">
        <f>IF(AND(RefiFlag=1,2&gt;RefiMonth,2&lt;=DispoMonth),1,0)</f>
        <v/>
      </c>
      <c r="G43" s="85">
        <f>IF(AND(RefiFlag=1,3&gt;RefiMonth,3&lt;=DispoMonth),1,0)</f>
        <v/>
      </c>
      <c r="H43" s="85">
        <f>IF(AND(RefiFlag=1,4&gt;RefiMonth,4&lt;=DispoMonth),1,0)</f>
        <v/>
      </c>
      <c r="I43" s="85">
        <f>IF(AND(RefiFlag=1,5&gt;RefiMonth,5&lt;=DispoMonth),1,0)</f>
        <v/>
      </c>
      <c r="J43" s="85">
        <f>IF(AND(RefiFlag=1,6&gt;RefiMonth,6&lt;=DispoMonth),1,0)</f>
        <v/>
      </c>
      <c r="K43" s="85">
        <f>IF(AND(RefiFlag=1,7&gt;RefiMonth,7&lt;=DispoMonth),1,0)</f>
        <v/>
      </c>
      <c r="L43" s="85">
        <f>IF(AND(RefiFlag=1,8&gt;RefiMonth,8&lt;=DispoMonth),1,0)</f>
        <v/>
      </c>
      <c r="M43" s="85">
        <f>IF(AND(RefiFlag=1,9&gt;RefiMonth,9&lt;=DispoMonth),1,0)</f>
        <v/>
      </c>
      <c r="N43" s="85">
        <f>IF(AND(RefiFlag=1,10&gt;RefiMonth,10&lt;=DispoMonth),1,0)</f>
        <v/>
      </c>
      <c r="O43" s="85">
        <f>IF(AND(RefiFlag=1,11&gt;RefiMonth,11&lt;=DispoMonth),1,0)</f>
        <v/>
      </c>
      <c r="P43" s="85">
        <f>IF(AND(RefiFlag=1,12&gt;RefiMonth,12&lt;=DispoMonth),1,0)</f>
        <v/>
      </c>
      <c r="Q43" s="85">
        <f>IF(AND(RefiFlag=1,13&gt;RefiMonth,13&lt;=DispoMonth),1,0)</f>
        <v/>
      </c>
      <c r="R43" s="85">
        <f>IF(AND(RefiFlag=1,14&gt;RefiMonth,14&lt;=DispoMonth),1,0)</f>
        <v/>
      </c>
      <c r="S43" s="85">
        <f>IF(AND(RefiFlag=1,15&gt;RefiMonth,15&lt;=DispoMonth),1,0)</f>
        <v/>
      </c>
      <c r="T43" s="85">
        <f>IF(AND(RefiFlag=1,16&gt;RefiMonth,16&lt;=DispoMonth),1,0)</f>
        <v/>
      </c>
      <c r="U43" s="85">
        <f>IF(AND(RefiFlag=1,17&gt;RefiMonth,17&lt;=DispoMonth),1,0)</f>
        <v/>
      </c>
      <c r="V43" s="85">
        <f>IF(AND(RefiFlag=1,18&gt;RefiMonth,18&lt;=DispoMonth),1,0)</f>
        <v/>
      </c>
      <c r="W43" s="85">
        <f>IF(AND(RefiFlag=1,19&gt;RefiMonth,19&lt;=DispoMonth),1,0)</f>
        <v/>
      </c>
      <c r="X43" s="85">
        <f>IF(AND(RefiFlag=1,20&gt;RefiMonth,20&lt;=DispoMonth),1,0)</f>
        <v/>
      </c>
      <c r="Y43" s="85">
        <f>IF(AND(RefiFlag=1,21&gt;RefiMonth,21&lt;=DispoMonth),1,0)</f>
        <v/>
      </c>
      <c r="Z43" s="85">
        <f>IF(AND(RefiFlag=1,22&gt;RefiMonth,22&lt;=DispoMonth),1,0)</f>
        <v/>
      </c>
      <c r="AA43" s="85">
        <f>IF(AND(RefiFlag=1,23&gt;RefiMonth,23&lt;=DispoMonth),1,0)</f>
        <v/>
      </c>
      <c r="AB43" s="85">
        <f>IF(AND(RefiFlag=1,24&gt;RefiMonth,24&lt;=DispoMonth),1,0)</f>
        <v/>
      </c>
      <c r="AC43" s="85">
        <f>IF(AND(RefiFlag=1,25&gt;RefiMonth,25&lt;=DispoMonth),1,0)</f>
        <v/>
      </c>
      <c r="AD43" s="85">
        <f>IF(AND(RefiFlag=1,26&gt;RefiMonth,26&lt;=DispoMonth),1,0)</f>
        <v/>
      </c>
      <c r="AE43" s="85">
        <f>IF(AND(RefiFlag=1,27&gt;RefiMonth,27&lt;=DispoMonth),1,0)</f>
        <v/>
      </c>
      <c r="AF43" s="85">
        <f>IF(AND(RefiFlag=1,28&gt;RefiMonth,28&lt;=DispoMonth),1,0)</f>
        <v/>
      </c>
      <c r="AG43" s="85">
        <f>IF(AND(RefiFlag=1,29&gt;RefiMonth,29&lt;=DispoMonth),1,0)</f>
        <v/>
      </c>
      <c r="AH43" s="85">
        <f>IF(AND(RefiFlag=1,30&gt;RefiMonth,30&lt;=DispoMonth),1,0)</f>
        <v/>
      </c>
      <c r="AI43" s="85">
        <f>IF(AND(RefiFlag=1,31&gt;RefiMonth,31&lt;=DispoMonth),1,0)</f>
        <v/>
      </c>
      <c r="AJ43" s="85">
        <f>IF(AND(RefiFlag=1,32&gt;RefiMonth,32&lt;=DispoMonth),1,0)</f>
        <v/>
      </c>
      <c r="AK43" s="85">
        <f>IF(AND(RefiFlag=1,33&gt;RefiMonth,33&lt;=DispoMonth),1,0)</f>
        <v/>
      </c>
      <c r="AL43" s="85">
        <f>IF(AND(RefiFlag=1,34&gt;RefiMonth,34&lt;=DispoMonth),1,0)</f>
        <v/>
      </c>
      <c r="AM43" s="85">
        <f>IF(AND(RefiFlag=1,35&gt;RefiMonth,35&lt;=DispoMonth),1,0)</f>
        <v/>
      </c>
      <c r="AN43" s="85">
        <f>IF(AND(RefiFlag=1,36&gt;RefiMonth,36&lt;=DispoMonth),1,0)</f>
        <v/>
      </c>
      <c r="AO43" s="85">
        <f>IF(AND(RefiFlag=1,37&gt;RefiMonth,37&lt;=DispoMonth),1,0)</f>
        <v/>
      </c>
      <c r="AP43" s="85">
        <f>IF(AND(RefiFlag=1,38&gt;RefiMonth,38&lt;=DispoMonth),1,0)</f>
        <v/>
      </c>
      <c r="AQ43" s="85">
        <f>IF(AND(RefiFlag=1,39&gt;RefiMonth,39&lt;=DispoMonth),1,0)</f>
        <v/>
      </c>
      <c r="AR43" s="85">
        <f>IF(AND(RefiFlag=1,40&gt;RefiMonth,40&lt;=DispoMonth),1,0)</f>
        <v/>
      </c>
      <c r="AS43" s="85">
        <f>IF(AND(RefiFlag=1,41&gt;RefiMonth,41&lt;=DispoMonth),1,0)</f>
        <v/>
      </c>
      <c r="AT43" s="85">
        <f>IF(AND(RefiFlag=1,42&gt;RefiMonth,42&lt;=DispoMonth),1,0)</f>
        <v/>
      </c>
      <c r="AU43" s="85">
        <f>IF(AND(RefiFlag=1,43&gt;RefiMonth,43&lt;=DispoMonth),1,0)</f>
        <v/>
      </c>
      <c r="AV43" s="85">
        <f>IF(AND(RefiFlag=1,44&gt;RefiMonth,44&lt;=DispoMonth),1,0)</f>
        <v/>
      </c>
      <c r="AW43" s="85">
        <f>IF(AND(RefiFlag=1,45&gt;RefiMonth,45&lt;=DispoMonth),1,0)</f>
        <v/>
      </c>
      <c r="AX43" s="85">
        <f>IF(AND(RefiFlag=1,46&gt;RefiMonth,46&lt;=DispoMonth),1,0)</f>
        <v/>
      </c>
      <c r="AY43" s="85">
        <f>IF(AND(RefiFlag=1,47&gt;RefiMonth,47&lt;=DispoMonth),1,0)</f>
        <v/>
      </c>
      <c r="AZ43" s="85">
        <f>IF(AND(RefiFlag=1,48&gt;RefiMonth,48&lt;=DispoMonth),1,0)</f>
        <v/>
      </c>
      <c r="BA43" s="85">
        <f>IF(AND(RefiFlag=1,49&gt;RefiMonth,49&lt;=DispoMonth),1,0)</f>
        <v/>
      </c>
      <c r="BB43" s="85">
        <f>IF(AND(RefiFlag=1,50&gt;RefiMonth,50&lt;=DispoMonth),1,0)</f>
        <v/>
      </c>
      <c r="BC43" s="85">
        <f>IF(AND(RefiFlag=1,51&gt;RefiMonth,51&lt;=DispoMonth),1,0)</f>
        <v/>
      </c>
      <c r="BD43" s="85">
        <f>IF(AND(RefiFlag=1,52&gt;RefiMonth,52&lt;=DispoMonth),1,0)</f>
        <v/>
      </c>
      <c r="BE43" s="85">
        <f>IF(AND(RefiFlag=1,53&gt;RefiMonth,53&lt;=DispoMonth),1,0)</f>
        <v/>
      </c>
      <c r="BF43" s="85">
        <f>IF(AND(RefiFlag=1,54&gt;RefiMonth,54&lt;=DispoMonth),1,0)</f>
        <v/>
      </c>
      <c r="BG43" s="85">
        <f>IF(AND(RefiFlag=1,55&gt;RefiMonth,55&lt;=DispoMonth),1,0)</f>
        <v/>
      </c>
      <c r="BH43" s="85">
        <f>IF(AND(RefiFlag=1,56&gt;RefiMonth,56&lt;=DispoMonth),1,0)</f>
        <v/>
      </c>
      <c r="BI43" s="85">
        <f>IF(AND(RefiFlag=1,57&gt;RefiMonth,57&lt;=DispoMonth),1,0)</f>
        <v/>
      </c>
      <c r="BJ43" s="85">
        <f>IF(AND(RefiFlag=1,58&gt;RefiMonth,58&lt;=DispoMonth),1,0)</f>
        <v/>
      </c>
      <c r="BK43" s="85">
        <f>IF(AND(RefiFlag=1,59&gt;RefiMonth,59&lt;=DispoMonth),1,0)</f>
        <v/>
      </c>
      <c r="BL43" s="85">
        <f>IF(AND(RefiFlag=1,60&gt;RefiMonth,60&lt;=DispoMonth),1,0)</f>
        <v/>
      </c>
      <c r="BM43" s="85">
        <f>IF(AND(RefiFlag=1,61&gt;RefiMonth,61&lt;=DispoMonth),1,0)</f>
        <v/>
      </c>
      <c r="BN43" s="85">
        <f>IF(AND(RefiFlag=1,62&gt;RefiMonth,62&lt;=DispoMonth),1,0)</f>
        <v/>
      </c>
      <c r="BO43" s="85">
        <f>IF(AND(RefiFlag=1,63&gt;RefiMonth,63&lt;=DispoMonth),1,0)</f>
        <v/>
      </c>
      <c r="BP43" s="85">
        <f>IF(AND(RefiFlag=1,64&gt;RefiMonth,64&lt;=DispoMonth),1,0)</f>
        <v/>
      </c>
      <c r="BQ43" s="85">
        <f>IF(AND(RefiFlag=1,65&gt;RefiMonth,65&lt;=DispoMonth),1,0)</f>
        <v/>
      </c>
      <c r="BR43" s="85">
        <f>IF(AND(RefiFlag=1,66&gt;RefiMonth,66&lt;=DispoMonth),1,0)</f>
        <v/>
      </c>
      <c r="BS43" s="85">
        <f>IF(AND(RefiFlag=1,67&gt;RefiMonth,67&lt;=DispoMonth),1,0)</f>
        <v/>
      </c>
      <c r="BT43" s="85">
        <f>IF(AND(RefiFlag=1,68&gt;RefiMonth,68&lt;=DispoMonth),1,0)</f>
        <v/>
      </c>
      <c r="BU43" s="85">
        <f>IF(AND(RefiFlag=1,69&gt;RefiMonth,69&lt;=DispoMonth),1,0)</f>
        <v/>
      </c>
      <c r="BV43" s="85">
        <f>IF(AND(RefiFlag=1,70&gt;RefiMonth,70&lt;=DispoMonth),1,0)</f>
        <v/>
      </c>
      <c r="BW43" s="85">
        <f>IF(AND(RefiFlag=1,71&gt;RefiMonth,71&lt;=DispoMonth),1,0)</f>
        <v/>
      </c>
      <c r="BX43" s="85">
        <f>IF(AND(RefiFlag=1,72&gt;RefiMonth,72&lt;=DispoMonth),1,0)</f>
        <v/>
      </c>
      <c r="BY43" s="85">
        <f>IF(AND(RefiFlag=1,73&gt;RefiMonth,73&lt;=DispoMonth),1,0)</f>
        <v/>
      </c>
      <c r="BZ43" s="85">
        <f>IF(AND(RefiFlag=1,74&gt;RefiMonth,74&lt;=DispoMonth),1,0)</f>
        <v/>
      </c>
      <c r="CA43" s="85">
        <f>IF(AND(RefiFlag=1,75&gt;RefiMonth,75&lt;=DispoMonth),1,0)</f>
        <v/>
      </c>
      <c r="CB43" s="85">
        <f>IF(AND(RefiFlag=1,76&gt;RefiMonth,76&lt;=DispoMonth),1,0)</f>
        <v/>
      </c>
      <c r="CC43" s="85">
        <f>IF(AND(RefiFlag=1,77&gt;RefiMonth,77&lt;=DispoMonth),1,0)</f>
        <v/>
      </c>
      <c r="CD43" s="85">
        <f>IF(AND(RefiFlag=1,78&gt;RefiMonth,78&lt;=DispoMonth),1,0)</f>
        <v/>
      </c>
      <c r="CE43" s="85">
        <f>IF(AND(RefiFlag=1,79&gt;RefiMonth,79&lt;=DispoMonth),1,0)</f>
        <v/>
      </c>
      <c r="CF43" s="85">
        <f>IF(AND(RefiFlag=1,80&gt;RefiMonth,80&lt;=DispoMonth),1,0)</f>
        <v/>
      </c>
      <c r="CG43" s="85">
        <f>IF(AND(RefiFlag=1,81&gt;RefiMonth,81&lt;=DispoMonth),1,0)</f>
        <v/>
      </c>
      <c r="CH43" s="85">
        <f>IF(AND(RefiFlag=1,82&gt;RefiMonth,82&lt;=DispoMonth),1,0)</f>
        <v/>
      </c>
      <c r="CI43" s="85">
        <f>IF(AND(RefiFlag=1,83&gt;RefiMonth,83&lt;=DispoMonth),1,0)</f>
        <v/>
      </c>
      <c r="CJ43" s="85">
        <f>IF(AND(RefiFlag=1,84&gt;RefiMonth,84&lt;=DispoMonth),1,0)</f>
        <v/>
      </c>
      <c r="CK43" s="85">
        <f>IF(AND(RefiFlag=1,85&gt;RefiMonth,85&lt;=DispoMonth),1,0)</f>
        <v/>
      </c>
      <c r="CL43" s="85">
        <f>IF(AND(RefiFlag=1,86&gt;RefiMonth,86&lt;=DispoMonth),1,0)</f>
        <v/>
      </c>
      <c r="CM43" s="85">
        <f>IF(AND(RefiFlag=1,87&gt;RefiMonth,87&lt;=DispoMonth),1,0)</f>
        <v/>
      </c>
      <c r="CN43" s="85">
        <f>IF(AND(RefiFlag=1,88&gt;RefiMonth,88&lt;=DispoMonth),1,0)</f>
        <v/>
      </c>
      <c r="CO43" s="85">
        <f>IF(AND(RefiFlag=1,89&gt;RefiMonth,89&lt;=DispoMonth),1,0)</f>
        <v/>
      </c>
      <c r="CP43" s="85">
        <f>IF(AND(RefiFlag=1,90&gt;RefiMonth,90&lt;=DispoMonth),1,0)</f>
        <v/>
      </c>
      <c r="CQ43" s="85">
        <f>IF(AND(RefiFlag=1,91&gt;RefiMonth,91&lt;=DispoMonth),1,0)</f>
        <v/>
      </c>
      <c r="CR43" s="85">
        <f>IF(AND(RefiFlag=1,92&gt;RefiMonth,92&lt;=DispoMonth),1,0)</f>
        <v/>
      </c>
      <c r="CS43" s="85">
        <f>IF(AND(RefiFlag=1,93&gt;RefiMonth,93&lt;=DispoMonth),1,0)</f>
        <v/>
      </c>
      <c r="CT43" s="85">
        <f>IF(AND(RefiFlag=1,94&gt;RefiMonth,94&lt;=DispoMonth),1,0)</f>
        <v/>
      </c>
      <c r="CU43" s="85">
        <f>IF(AND(RefiFlag=1,95&gt;RefiMonth,95&lt;=DispoMonth),1,0)</f>
        <v/>
      </c>
      <c r="CV43" s="85">
        <f>IF(AND(RefiFlag=1,96&gt;RefiMonth,96&lt;=DispoMonth),1,0)</f>
        <v/>
      </c>
      <c r="CW43" s="85">
        <f>IF(AND(RefiFlag=1,97&gt;RefiMonth,97&lt;=DispoMonth),1,0)</f>
        <v/>
      </c>
      <c r="CX43" s="85">
        <f>IF(AND(RefiFlag=1,98&gt;RefiMonth,98&lt;=DispoMonth),1,0)</f>
        <v/>
      </c>
      <c r="CY43" s="85">
        <f>IF(AND(RefiFlag=1,99&gt;RefiMonth,99&lt;=DispoMonth),1,0)</f>
        <v/>
      </c>
      <c r="CZ43" s="85">
        <f>IF(AND(RefiFlag=1,100&gt;RefiMonth,100&lt;=DispoMonth),1,0)</f>
        <v/>
      </c>
      <c r="DA43" s="85">
        <f>IF(AND(RefiFlag=1,101&gt;RefiMonth,101&lt;=DispoMonth),1,0)</f>
        <v/>
      </c>
      <c r="DB43" s="85">
        <f>IF(AND(RefiFlag=1,102&gt;RefiMonth,102&lt;=DispoMonth),1,0)</f>
        <v/>
      </c>
      <c r="DC43" s="85">
        <f>IF(AND(RefiFlag=1,103&gt;RefiMonth,103&lt;=DispoMonth),1,0)</f>
        <v/>
      </c>
      <c r="DD43" s="85">
        <f>IF(AND(RefiFlag=1,104&gt;RefiMonth,104&lt;=DispoMonth),1,0)</f>
        <v/>
      </c>
      <c r="DE43" s="85">
        <f>IF(AND(RefiFlag=1,105&gt;RefiMonth,105&lt;=DispoMonth),1,0)</f>
        <v/>
      </c>
      <c r="DF43" s="85">
        <f>IF(AND(RefiFlag=1,106&gt;RefiMonth,106&lt;=DispoMonth),1,0)</f>
        <v/>
      </c>
      <c r="DG43" s="85">
        <f>IF(AND(RefiFlag=1,107&gt;RefiMonth,107&lt;=DispoMonth),1,0)</f>
        <v/>
      </c>
      <c r="DH43" s="85">
        <f>IF(AND(RefiFlag=1,108&gt;RefiMonth,108&lt;=DispoMonth),1,0)</f>
        <v/>
      </c>
      <c r="DI43" s="85">
        <f>IF(AND(RefiFlag=1,109&gt;RefiMonth,109&lt;=DispoMonth),1,0)</f>
        <v/>
      </c>
      <c r="DJ43" s="85">
        <f>IF(AND(RefiFlag=1,110&gt;RefiMonth,110&lt;=DispoMonth),1,0)</f>
        <v/>
      </c>
      <c r="DK43" s="85">
        <f>IF(AND(RefiFlag=1,111&gt;RefiMonth,111&lt;=DispoMonth),1,0)</f>
        <v/>
      </c>
      <c r="DL43" s="85">
        <f>IF(AND(RefiFlag=1,112&gt;RefiMonth,112&lt;=DispoMonth),1,0)</f>
        <v/>
      </c>
      <c r="DM43" s="85">
        <f>IF(AND(RefiFlag=1,113&gt;RefiMonth,113&lt;=DispoMonth),1,0)</f>
        <v/>
      </c>
      <c r="DN43" s="85">
        <f>IF(AND(RefiFlag=1,114&gt;RefiMonth,114&lt;=DispoMonth),1,0)</f>
        <v/>
      </c>
      <c r="DO43" s="85">
        <f>IF(AND(RefiFlag=1,115&gt;RefiMonth,115&lt;=DispoMonth),1,0)</f>
        <v/>
      </c>
      <c r="DP43" s="85">
        <f>IF(AND(RefiFlag=1,116&gt;RefiMonth,116&lt;=DispoMonth),1,0)</f>
        <v/>
      </c>
      <c r="DQ43" s="85">
        <f>IF(AND(RefiFlag=1,117&gt;RefiMonth,117&lt;=DispoMonth),1,0)</f>
        <v/>
      </c>
      <c r="DR43" s="85">
        <f>IF(AND(RefiFlag=1,118&gt;RefiMonth,118&lt;=DispoMonth),1,0)</f>
        <v/>
      </c>
      <c r="DS43" s="85">
        <f>IF(AND(RefiFlag=1,119&gt;RefiMonth,119&lt;=DispoMonth),1,0)</f>
        <v/>
      </c>
      <c r="DT43" s="85">
        <f>IF(AND(RefiFlag=1,120&gt;RefiMonth,120&lt;=DispoMonth),1,0)</f>
        <v/>
      </c>
      <c r="DU43" s="85">
        <f>IF(AND(RefiFlag=1,121&gt;RefiMonth,121&lt;=DispoMonth),1,0)</f>
        <v/>
      </c>
      <c r="DV43" s="85">
        <f>IF(AND(RefiFlag=1,122&gt;RefiMonth,122&lt;=DispoMonth),1,0)</f>
        <v/>
      </c>
      <c r="DW43" s="85">
        <f>IF(AND(RefiFlag=1,123&gt;RefiMonth,123&lt;=DispoMonth),1,0)</f>
        <v/>
      </c>
      <c r="DX43" s="85">
        <f>IF(AND(RefiFlag=1,124&gt;RefiMonth,124&lt;=DispoMonth),1,0)</f>
        <v/>
      </c>
      <c r="DY43" s="85">
        <f>IF(AND(RefiFlag=1,125&gt;RefiMonth,125&lt;=DispoMonth),1,0)</f>
        <v/>
      </c>
      <c r="DZ43" s="85">
        <f>IF(AND(RefiFlag=1,126&gt;RefiMonth,126&lt;=DispoMonth),1,0)</f>
        <v/>
      </c>
      <c r="EA43" s="85">
        <f>IF(AND(RefiFlag=1,127&gt;RefiMonth,127&lt;=DispoMonth),1,0)</f>
        <v/>
      </c>
      <c r="EB43" s="85">
        <f>IF(AND(RefiFlag=1,128&gt;RefiMonth,128&lt;=DispoMonth),1,0)</f>
        <v/>
      </c>
      <c r="EC43" s="85">
        <f>IF(AND(RefiFlag=1,129&gt;RefiMonth,129&lt;=DispoMonth),1,0)</f>
        <v/>
      </c>
      <c r="ED43" s="85">
        <f>IF(AND(RefiFlag=1,130&gt;RefiMonth,130&lt;=DispoMonth),1,0)</f>
        <v/>
      </c>
      <c r="EE43" s="85">
        <f>IF(AND(RefiFlag=1,131&gt;RefiMonth,131&lt;=DispoMonth),1,0)</f>
        <v/>
      </c>
      <c r="EF43" s="85">
        <f>IF(AND(RefiFlag=1,132&gt;RefiMonth,132&lt;=DispoMonth),1,0)</f>
        <v/>
      </c>
      <c r="EG43" s="85">
        <f>IF(AND(RefiFlag=1,133&gt;RefiMonth,133&lt;=DispoMonth),1,0)</f>
        <v/>
      </c>
      <c r="EH43" s="85">
        <f>IF(AND(RefiFlag=1,134&gt;RefiMonth,134&lt;=DispoMonth),1,0)</f>
        <v/>
      </c>
      <c r="EI43" s="85">
        <f>IF(AND(RefiFlag=1,135&gt;RefiMonth,135&lt;=DispoMonth),1,0)</f>
        <v/>
      </c>
      <c r="EJ43" s="85">
        <f>IF(AND(RefiFlag=1,136&gt;RefiMonth,136&lt;=DispoMonth),1,0)</f>
        <v/>
      </c>
      <c r="EK43" s="85">
        <f>IF(AND(RefiFlag=1,137&gt;RefiMonth,137&lt;=DispoMonth),1,0)</f>
        <v/>
      </c>
      <c r="EL43" s="85">
        <f>IF(AND(RefiFlag=1,138&gt;RefiMonth,138&lt;=DispoMonth),1,0)</f>
        <v/>
      </c>
      <c r="EM43" s="85">
        <f>IF(AND(RefiFlag=1,139&gt;RefiMonth,139&lt;=DispoMonth),1,0)</f>
        <v/>
      </c>
      <c r="EN43" s="85">
        <f>IF(AND(RefiFlag=1,140&gt;RefiMonth,140&lt;=DispoMonth),1,0)</f>
        <v/>
      </c>
      <c r="EO43" s="85">
        <f>IF(AND(RefiFlag=1,141&gt;RefiMonth,141&lt;=DispoMonth),1,0)</f>
        <v/>
      </c>
      <c r="EP43" s="85">
        <f>IF(AND(RefiFlag=1,142&gt;RefiMonth,142&lt;=DispoMonth),1,0)</f>
        <v/>
      </c>
      <c r="EQ43" s="85">
        <f>IF(AND(RefiFlag=1,143&gt;RefiMonth,143&lt;=DispoMonth),1,0)</f>
        <v/>
      </c>
      <c r="ER43" s="85">
        <f>IF(AND(RefiFlag=1,144&gt;RefiMonth,144&lt;=DispoMonth),1,0)</f>
        <v/>
      </c>
      <c r="ES43" s="85">
        <f>IF(AND(RefiFlag=1,145&gt;RefiMonth,145&lt;=DispoMonth),1,0)</f>
        <v/>
      </c>
      <c r="ET43" s="85">
        <f>IF(AND(RefiFlag=1,146&gt;RefiMonth,146&lt;=DispoMonth),1,0)</f>
        <v/>
      </c>
      <c r="EU43" s="85">
        <f>IF(AND(RefiFlag=1,147&gt;RefiMonth,147&lt;=DispoMonth),1,0)</f>
        <v/>
      </c>
      <c r="EV43" s="85">
        <f>IF(AND(RefiFlag=1,148&gt;RefiMonth,148&lt;=DispoMonth),1,0)</f>
        <v/>
      </c>
      <c r="EW43" s="85">
        <f>IF(AND(RefiFlag=1,149&gt;RefiMonth,149&lt;=DispoMonth),1,0)</f>
        <v/>
      </c>
      <c r="EX43" s="85">
        <f>IF(AND(RefiFlag=1,150&gt;RefiMonth,150&lt;=DispoMonth),1,0)</f>
        <v/>
      </c>
      <c r="EY43" s="85">
        <f>IF(AND(RefiFlag=1,151&gt;RefiMonth,151&lt;=DispoMonth),1,0)</f>
        <v/>
      </c>
      <c r="EZ43" s="85">
        <f>IF(AND(RefiFlag=1,152&gt;RefiMonth,152&lt;=DispoMonth),1,0)</f>
        <v/>
      </c>
      <c r="FA43" s="85">
        <f>IF(AND(RefiFlag=1,153&gt;RefiMonth,153&lt;=DispoMonth),1,0)</f>
        <v/>
      </c>
      <c r="FB43" s="85">
        <f>IF(AND(RefiFlag=1,154&gt;RefiMonth,154&lt;=DispoMonth),1,0)</f>
        <v/>
      </c>
      <c r="FC43" s="85">
        <f>IF(AND(RefiFlag=1,155&gt;RefiMonth,155&lt;=DispoMonth),1,0)</f>
        <v/>
      </c>
      <c r="FD43" s="85">
        <f>IF(AND(RefiFlag=1,156&gt;RefiMonth,156&lt;=DispoMonth),1,0)</f>
        <v/>
      </c>
      <c r="FE43" s="85">
        <f>IF(AND(RefiFlag=1,157&gt;RefiMonth,157&lt;=DispoMonth),1,0)</f>
        <v/>
      </c>
      <c r="FF43" s="85">
        <f>IF(AND(RefiFlag=1,158&gt;RefiMonth,158&lt;=DispoMonth),1,0)</f>
        <v/>
      </c>
      <c r="FG43" s="85">
        <f>IF(AND(RefiFlag=1,159&gt;RefiMonth,159&lt;=DispoMonth),1,0)</f>
        <v/>
      </c>
      <c r="FH43" s="85">
        <f>IF(AND(RefiFlag=1,160&gt;RefiMonth,160&lt;=DispoMonth),1,0)</f>
        <v/>
      </c>
      <c r="FI43" s="85">
        <f>IF(AND(RefiFlag=1,161&gt;RefiMonth,161&lt;=DispoMonth),1,0)</f>
        <v/>
      </c>
      <c r="FJ43" s="85">
        <f>IF(AND(RefiFlag=1,162&gt;RefiMonth,162&lt;=DispoMonth),1,0)</f>
        <v/>
      </c>
      <c r="FK43" s="85">
        <f>IF(AND(RefiFlag=1,163&gt;RefiMonth,163&lt;=DispoMonth),1,0)</f>
        <v/>
      </c>
      <c r="FL43" s="85">
        <f>IF(AND(RefiFlag=1,164&gt;RefiMonth,164&lt;=DispoMonth),1,0)</f>
        <v/>
      </c>
      <c r="FM43" s="85">
        <f>IF(AND(RefiFlag=1,165&gt;RefiMonth,165&lt;=DispoMonth),1,0)</f>
        <v/>
      </c>
      <c r="FN43" s="85">
        <f>IF(AND(RefiFlag=1,166&gt;RefiMonth,166&lt;=DispoMonth),1,0)</f>
        <v/>
      </c>
      <c r="FO43" s="85">
        <f>IF(AND(RefiFlag=1,167&gt;RefiMonth,167&lt;=DispoMonth),1,0)</f>
        <v/>
      </c>
      <c r="FP43" s="85">
        <f>IF(AND(RefiFlag=1,168&gt;RefiMonth,168&lt;=DispoMonth),1,0)</f>
        <v/>
      </c>
      <c r="FQ43" s="85">
        <f>IF(AND(RefiFlag=1,169&gt;RefiMonth,169&lt;=DispoMonth),1,0)</f>
        <v/>
      </c>
      <c r="FR43" s="85">
        <f>IF(AND(RefiFlag=1,170&gt;RefiMonth,170&lt;=DispoMonth),1,0)</f>
        <v/>
      </c>
      <c r="FS43" s="85">
        <f>IF(AND(RefiFlag=1,171&gt;RefiMonth,171&lt;=DispoMonth),1,0)</f>
        <v/>
      </c>
      <c r="FT43" s="85">
        <f>IF(AND(RefiFlag=1,172&gt;RefiMonth,172&lt;=DispoMonth),1,0)</f>
        <v/>
      </c>
      <c r="FU43" s="85">
        <f>IF(AND(RefiFlag=1,173&gt;RefiMonth,173&lt;=DispoMonth),1,0)</f>
        <v/>
      </c>
      <c r="FV43" s="85">
        <f>IF(AND(RefiFlag=1,174&gt;RefiMonth,174&lt;=DispoMonth),1,0)</f>
        <v/>
      </c>
      <c r="FW43" s="85">
        <f>IF(AND(RefiFlag=1,175&gt;RefiMonth,175&lt;=DispoMonth),1,0)</f>
        <v/>
      </c>
      <c r="FX43" s="85">
        <f>IF(AND(RefiFlag=1,176&gt;RefiMonth,176&lt;=DispoMonth),1,0)</f>
        <v/>
      </c>
      <c r="FY43" s="85">
        <f>IF(AND(RefiFlag=1,177&gt;RefiMonth,177&lt;=DispoMonth),1,0)</f>
        <v/>
      </c>
      <c r="FZ43" s="85">
        <f>IF(AND(RefiFlag=1,178&gt;RefiMonth,178&lt;=DispoMonth),1,0)</f>
        <v/>
      </c>
      <c r="GA43" s="85">
        <f>IF(AND(RefiFlag=1,179&gt;RefiMonth,179&lt;=DispoMonth),1,0)</f>
        <v/>
      </c>
      <c r="GB43" s="85">
        <f>IF(AND(RefiFlag=1,180&gt;RefiMonth,180&lt;=DispoMonth),1,0)</f>
        <v/>
      </c>
      <c r="GC43" s="85">
        <f>IF(AND(RefiFlag=1,181&gt;RefiMonth,181&lt;=DispoMonth),1,0)</f>
        <v/>
      </c>
      <c r="GD43" s="85">
        <f>IF(AND(RefiFlag=1,182&gt;RefiMonth,182&lt;=DispoMonth),1,0)</f>
        <v/>
      </c>
      <c r="GE43" s="85">
        <f>IF(AND(RefiFlag=1,183&gt;RefiMonth,183&lt;=DispoMonth),1,0)</f>
        <v/>
      </c>
      <c r="GF43" s="85">
        <f>IF(AND(RefiFlag=1,184&gt;RefiMonth,184&lt;=DispoMonth),1,0)</f>
        <v/>
      </c>
      <c r="GG43" s="85">
        <f>IF(AND(RefiFlag=1,185&gt;RefiMonth,185&lt;=DispoMonth),1,0)</f>
        <v/>
      </c>
      <c r="GH43" s="85">
        <f>IF(AND(RefiFlag=1,186&gt;RefiMonth,186&lt;=DispoMonth),1,0)</f>
        <v/>
      </c>
      <c r="GI43" s="85">
        <f>IF(AND(RefiFlag=1,187&gt;RefiMonth,187&lt;=DispoMonth),1,0)</f>
        <v/>
      </c>
      <c r="GJ43" s="85">
        <f>IF(AND(RefiFlag=1,188&gt;RefiMonth,188&lt;=DispoMonth),1,0)</f>
        <v/>
      </c>
      <c r="GK43" s="85">
        <f>IF(AND(RefiFlag=1,189&gt;RefiMonth,189&lt;=DispoMonth),1,0)</f>
        <v/>
      </c>
      <c r="GL43" s="85">
        <f>IF(AND(RefiFlag=1,190&gt;RefiMonth,190&lt;=DispoMonth),1,0)</f>
        <v/>
      </c>
      <c r="GM43" s="85">
        <f>IF(AND(RefiFlag=1,191&gt;RefiMonth,191&lt;=DispoMonth),1,0)</f>
        <v/>
      </c>
      <c r="GN43" s="85">
        <f>IF(AND(RefiFlag=1,192&gt;RefiMonth,192&lt;=DispoMonth),1,0)</f>
        <v/>
      </c>
      <c r="GO43" s="85">
        <f>IF(AND(RefiFlag=1,193&gt;RefiMonth,193&lt;=DispoMonth),1,0)</f>
        <v/>
      </c>
      <c r="GP43" s="85">
        <f>IF(AND(RefiFlag=1,194&gt;RefiMonth,194&lt;=DispoMonth),1,0)</f>
        <v/>
      </c>
      <c r="GQ43" s="85">
        <f>IF(AND(RefiFlag=1,195&gt;RefiMonth,195&lt;=DispoMonth),1,0)</f>
        <v/>
      </c>
      <c r="GR43" s="85">
        <f>IF(AND(RefiFlag=1,196&gt;RefiMonth,196&lt;=DispoMonth),1,0)</f>
        <v/>
      </c>
      <c r="GS43" s="85">
        <f>IF(AND(RefiFlag=1,197&gt;RefiMonth,197&lt;=DispoMonth),1,0)</f>
        <v/>
      </c>
      <c r="GT43" s="85">
        <f>IF(AND(RefiFlag=1,198&gt;RefiMonth,198&lt;=DispoMonth),1,0)</f>
        <v/>
      </c>
      <c r="GU43" s="85">
        <f>IF(AND(RefiFlag=1,199&gt;RefiMonth,199&lt;=DispoMonth),1,0)</f>
        <v/>
      </c>
      <c r="GV43" s="85">
        <f>IF(AND(RefiFlag=1,200&gt;RefiMonth,200&lt;=DispoMonth),1,0)</f>
        <v/>
      </c>
      <c r="GW43" s="85">
        <f>IF(AND(RefiFlag=1,201&gt;RefiMonth,201&lt;=DispoMonth),1,0)</f>
        <v/>
      </c>
      <c r="GX43" s="85">
        <f>IF(AND(RefiFlag=1,202&gt;RefiMonth,202&lt;=DispoMonth),1,0)</f>
        <v/>
      </c>
      <c r="GY43" s="85">
        <f>IF(AND(RefiFlag=1,203&gt;RefiMonth,203&lt;=DispoMonth),1,0)</f>
        <v/>
      </c>
      <c r="GZ43" s="85">
        <f>IF(AND(RefiFlag=1,204&gt;RefiMonth,204&lt;=DispoMonth),1,0)</f>
        <v/>
      </c>
      <c r="HA43" s="85">
        <f>IF(AND(RefiFlag=1,205&gt;RefiMonth,205&lt;=DispoMonth),1,0)</f>
        <v/>
      </c>
      <c r="HB43" s="85">
        <f>IF(AND(RefiFlag=1,206&gt;RefiMonth,206&lt;=DispoMonth),1,0)</f>
        <v/>
      </c>
      <c r="HC43" s="85">
        <f>IF(AND(RefiFlag=1,207&gt;RefiMonth,207&lt;=DispoMonth),1,0)</f>
        <v/>
      </c>
      <c r="HD43" s="85">
        <f>IF(AND(RefiFlag=1,208&gt;RefiMonth,208&lt;=DispoMonth),1,0)</f>
        <v/>
      </c>
      <c r="HE43" s="85">
        <f>IF(AND(RefiFlag=1,209&gt;RefiMonth,209&lt;=DispoMonth),1,0)</f>
        <v/>
      </c>
      <c r="HF43" s="85">
        <f>IF(AND(RefiFlag=1,210&gt;RefiMonth,210&lt;=DispoMonth),1,0)</f>
        <v/>
      </c>
      <c r="HG43" s="85">
        <f>IF(AND(RefiFlag=1,211&gt;RefiMonth,211&lt;=DispoMonth),1,0)</f>
        <v/>
      </c>
      <c r="HH43" s="85">
        <f>IF(AND(RefiFlag=1,212&gt;RefiMonth,212&lt;=DispoMonth),1,0)</f>
        <v/>
      </c>
      <c r="HI43" s="85">
        <f>IF(AND(RefiFlag=1,213&gt;RefiMonth,213&lt;=DispoMonth),1,0)</f>
        <v/>
      </c>
      <c r="HJ43" s="85">
        <f>IF(AND(RefiFlag=1,214&gt;RefiMonth,214&lt;=DispoMonth),1,0)</f>
        <v/>
      </c>
      <c r="HK43" s="85">
        <f>IF(AND(RefiFlag=1,215&gt;RefiMonth,215&lt;=DispoMonth),1,0)</f>
        <v/>
      </c>
      <c r="HL43" s="85">
        <f>IF(AND(RefiFlag=1,216&gt;RefiMonth,216&lt;=DispoMonth),1,0)</f>
        <v/>
      </c>
      <c r="HM43" s="85">
        <f>IF(AND(RefiFlag=1,217&gt;RefiMonth,217&lt;=DispoMonth),1,0)</f>
        <v/>
      </c>
      <c r="HN43" s="85">
        <f>IF(AND(RefiFlag=1,218&gt;RefiMonth,218&lt;=DispoMonth),1,0)</f>
        <v/>
      </c>
      <c r="HO43" s="85">
        <f>IF(AND(RefiFlag=1,219&gt;RefiMonth,219&lt;=DispoMonth),1,0)</f>
        <v/>
      </c>
      <c r="HP43" s="85">
        <f>IF(AND(RefiFlag=1,220&gt;RefiMonth,220&lt;=DispoMonth),1,0)</f>
        <v/>
      </c>
      <c r="HQ43" s="85">
        <f>IF(AND(RefiFlag=1,221&gt;RefiMonth,221&lt;=DispoMonth),1,0)</f>
        <v/>
      </c>
      <c r="HR43" s="85">
        <f>IF(AND(RefiFlag=1,222&gt;RefiMonth,222&lt;=DispoMonth),1,0)</f>
        <v/>
      </c>
      <c r="HS43" s="85">
        <f>IF(AND(RefiFlag=1,223&gt;RefiMonth,223&lt;=DispoMonth),1,0)</f>
        <v/>
      </c>
      <c r="HT43" s="85">
        <f>IF(AND(RefiFlag=1,224&gt;RefiMonth,224&lt;=DispoMonth),1,0)</f>
        <v/>
      </c>
      <c r="HU43" s="85">
        <f>IF(AND(RefiFlag=1,225&gt;RefiMonth,225&lt;=DispoMonth),1,0)</f>
        <v/>
      </c>
      <c r="HV43" s="85">
        <f>IF(AND(RefiFlag=1,226&gt;RefiMonth,226&lt;=DispoMonth),1,0)</f>
        <v/>
      </c>
      <c r="HW43" s="85">
        <f>IF(AND(RefiFlag=1,227&gt;RefiMonth,227&lt;=DispoMonth),1,0)</f>
        <v/>
      </c>
      <c r="HX43" s="85">
        <f>IF(AND(RefiFlag=1,228&gt;RefiMonth,228&lt;=DispoMonth),1,0)</f>
        <v/>
      </c>
      <c r="HY43" s="85">
        <f>IF(AND(RefiFlag=1,229&gt;RefiMonth,229&lt;=DispoMonth),1,0)</f>
        <v/>
      </c>
      <c r="HZ43" s="85">
        <f>IF(AND(RefiFlag=1,230&gt;RefiMonth,230&lt;=DispoMonth),1,0)</f>
        <v/>
      </c>
      <c r="IA43" s="85">
        <f>IF(AND(RefiFlag=1,231&gt;RefiMonth,231&lt;=DispoMonth),1,0)</f>
        <v/>
      </c>
      <c r="IB43" s="85">
        <f>IF(AND(RefiFlag=1,232&gt;RefiMonth,232&lt;=DispoMonth),1,0)</f>
        <v/>
      </c>
      <c r="IC43" s="85">
        <f>IF(AND(RefiFlag=1,233&gt;RefiMonth,233&lt;=DispoMonth),1,0)</f>
        <v/>
      </c>
      <c r="ID43" s="85">
        <f>IF(AND(RefiFlag=1,234&gt;RefiMonth,234&lt;=DispoMonth),1,0)</f>
        <v/>
      </c>
      <c r="IE43" s="85">
        <f>IF(AND(RefiFlag=1,235&gt;RefiMonth,235&lt;=DispoMonth),1,0)</f>
        <v/>
      </c>
      <c r="IF43" s="85">
        <f>IF(AND(RefiFlag=1,236&gt;RefiMonth,236&lt;=DispoMonth),1,0)</f>
        <v/>
      </c>
      <c r="IG43" s="85">
        <f>IF(AND(RefiFlag=1,237&gt;RefiMonth,237&lt;=DispoMonth),1,0)</f>
        <v/>
      </c>
      <c r="IH43" s="85">
        <f>IF(AND(RefiFlag=1,238&gt;RefiMonth,238&lt;=DispoMonth),1,0)</f>
        <v/>
      </c>
      <c r="II43" s="85">
        <f>IF(AND(RefiFlag=1,239&gt;RefiMonth,239&lt;=DispoMonth),1,0)</f>
        <v/>
      </c>
      <c r="IJ43" s="85">
        <f>IF(AND(RefiFlag=1,240&gt;RefiMonth,240&lt;=DispoMonth),1,0)</f>
        <v/>
      </c>
      <c r="IK43" s="85">
        <f>IF(AND(RefiFlag=1,241&gt;RefiMonth,241&lt;=DispoMonth),1,0)</f>
        <v/>
      </c>
      <c r="IL43" s="85">
        <f>IF(AND(RefiFlag=1,242&gt;RefiMonth,242&lt;=DispoMonth),1,0)</f>
        <v/>
      </c>
      <c r="IM43" s="85">
        <f>IF(AND(RefiFlag=1,243&gt;RefiMonth,243&lt;=DispoMonth),1,0)</f>
        <v/>
      </c>
      <c r="IN43" s="85">
        <f>IF(AND(RefiFlag=1,244&gt;RefiMonth,244&lt;=DispoMonth),1,0)</f>
        <v/>
      </c>
      <c r="IO43" s="85">
        <f>IF(AND(RefiFlag=1,245&gt;RefiMonth,245&lt;=DispoMonth),1,0)</f>
        <v/>
      </c>
      <c r="IP43" s="85">
        <f>IF(AND(RefiFlag=1,246&gt;RefiMonth,246&lt;=DispoMonth),1,0)</f>
        <v/>
      </c>
      <c r="IQ43" s="85">
        <f>IF(AND(RefiFlag=1,247&gt;RefiMonth,247&lt;=DispoMonth),1,0)</f>
        <v/>
      </c>
      <c r="IR43" s="85">
        <f>IF(AND(RefiFlag=1,248&gt;RefiMonth,248&lt;=DispoMonth),1,0)</f>
        <v/>
      </c>
      <c r="IS43" s="85">
        <f>IF(AND(RefiFlag=1,249&gt;RefiMonth,249&lt;=DispoMonth),1,0)</f>
        <v/>
      </c>
      <c r="IT43" s="85">
        <f>IF(AND(RefiFlag=1,250&gt;RefiMonth,250&lt;=DispoMonth),1,0)</f>
        <v/>
      </c>
      <c r="IU43" s="85">
        <f>IF(AND(RefiFlag=1,251&gt;RefiMonth,251&lt;=DispoMonth),1,0)</f>
        <v/>
      </c>
      <c r="IV43" s="85">
        <f>IF(AND(RefiFlag=1,252&gt;RefiMonth,252&lt;=DispoMonth),1,0)</f>
        <v/>
      </c>
      <c r="IW43" s="85">
        <f>IF(AND(RefiFlag=1,253&gt;RefiMonth,253&lt;=DispoMonth),1,0)</f>
        <v/>
      </c>
      <c r="IX43" s="85">
        <f>IF(AND(RefiFlag=1,254&gt;RefiMonth,254&lt;=DispoMonth),1,0)</f>
        <v/>
      </c>
      <c r="IY43" s="85">
        <f>IF(AND(RefiFlag=1,255&gt;RefiMonth,255&lt;=DispoMonth),1,0)</f>
        <v/>
      </c>
      <c r="IZ43" s="85">
        <f>IF(AND(RefiFlag=1,256&gt;RefiMonth,256&lt;=DispoMonth),1,0)</f>
        <v/>
      </c>
      <c r="JA43" s="85">
        <f>IF(AND(RefiFlag=1,257&gt;RefiMonth,257&lt;=DispoMonth),1,0)</f>
        <v/>
      </c>
      <c r="JB43" s="85">
        <f>IF(AND(RefiFlag=1,258&gt;RefiMonth,258&lt;=DispoMonth),1,0)</f>
        <v/>
      </c>
      <c r="JC43" s="85">
        <f>IF(AND(RefiFlag=1,259&gt;RefiMonth,259&lt;=DispoMonth),1,0)</f>
        <v/>
      </c>
      <c r="JD43" s="85">
        <f>IF(AND(RefiFlag=1,260&gt;RefiMonth,260&lt;=DispoMonth),1,0)</f>
        <v/>
      </c>
      <c r="JE43" s="85">
        <f>IF(AND(RefiFlag=1,261&gt;RefiMonth,261&lt;=DispoMonth),1,0)</f>
        <v/>
      </c>
      <c r="JF43" s="85">
        <f>IF(AND(RefiFlag=1,262&gt;RefiMonth,262&lt;=DispoMonth),1,0)</f>
        <v/>
      </c>
      <c r="JG43" s="85">
        <f>IF(AND(RefiFlag=1,263&gt;RefiMonth,263&lt;=DispoMonth),1,0)</f>
        <v/>
      </c>
      <c r="JH43" s="85">
        <f>IF(AND(RefiFlag=1,264&gt;RefiMonth,264&lt;=DispoMonth),1,0)</f>
        <v/>
      </c>
      <c r="JI43" s="85">
        <f>IF(AND(RefiFlag=1,265&gt;RefiMonth,265&lt;=DispoMonth),1,0)</f>
        <v/>
      </c>
      <c r="JJ43" s="85">
        <f>IF(AND(RefiFlag=1,266&gt;RefiMonth,266&lt;=DispoMonth),1,0)</f>
        <v/>
      </c>
      <c r="JK43" s="85">
        <f>IF(AND(RefiFlag=1,267&gt;RefiMonth,267&lt;=DispoMonth),1,0)</f>
        <v/>
      </c>
      <c r="JL43" s="85">
        <f>IF(AND(RefiFlag=1,268&gt;RefiMonth,268&lt;=DispoMonth),1,0)</f>
        <v/>
      </c>
      <c r="JM43" s="85">
        <f>IF(AND(RefiFlag=1,269&gt;RefiMonth,269&lt;=DispoMonth),1,0)</f>
        <v/>
      </c>
      <c r="JN43" s="85">
        <f>IF(AND(RefiFlag=1,270&gt;RefiMonth,270&lt;=DispoMonth),1,0)</f>
        <v/>
      </c>
      <c r="JO43" s="85">
        <f>IF(AND(RefiFlag=1,271&gt;RefiMonth,271&lt;=DispoMonth),1,0)</f>
        <v/>
      </c>
      <c r="JP43" s="85">
        <f>IF(AND(RefiFlag=1,272&gt;RefiMonth,272&lt;=DispoMonth),1,0)</f>
        <v/>
      </c>
      <c r="JQ43" s="85">
        <f>IF(AND(RefiFlag=1,273&gt;RefiMonth,273&lt;=DispoMonth),1,0)</f>
        <v/>
      </c>
      <c r="JR43" s="85">
        <f>IF(AND(RefiFlag=1,274&gt;RefiMonth,274&lt;=DispoMonth),1,0)</f>
        <v/>
      </c>
      <c r="JS43" s="85">
        <f>IF(AND(RefiFlag=1,275&gt;RefiMonth,275&lt;=DispoMonth),1,0)</f>
        <v/>
      </c>
      <c r="JT43" s="85">
        <f>IF(AND(RefiFlag=1,276&gt;RefiMonth,276&lt;=DispoMonth),1,0)</f>
        <v/>
      </c>
      <c r="JU43" s="85">
        <f>IF(AND(RefiFlag=1,277&gt;RefiMonth,277&lt;=DispoMonth),1,0)</f>
        <v/>
      </c>
      <c r="JV43" s="85">
        <f>IF(AND(RefiFlag=1,278&gt;RefiMonth,278&lt;=DispoMonth),1,0)</f>
        <v/>
      </c>
      <c r="JW43" s="85">
        <f>IF(AND(RefiFlag=1,279&gt;RefiMonth,279&lt;=DispoMonth),1,0)</f>
        <v/>
      </c>
      <c r="JX43" s="85">
        <f>IF(AND(RefiFlag=1,280&gt;RefiMonth,280&lt;=DispoMonth),1,0)</f>
        <v/>
      </c>
      <c r="JY43" s="85">
        <f>IF(AND(RefiFlag=1,281&gt;RefiMonth,281&lt;=DispoMonth),1,0)</f>
        <v/>
      </c>
      <c r="JZ43" s="85">
        <f>IF(AND(RefiFlag=1,282&gt;RefiMonth,282&lt;=DispoMonth),1,0)</f>
        <v/>
      </c>
      <c r="KA43" s="85">
        <f>IF(AND(RefiFlag=1,283&gt;RefiMonth,283&lt;=DispoMonth),1,0)</f>
        <v/>
      </c>
      <c r="KB43" s="85">
        <f>IF(AND(RefiFlag=1,284&gt;RefiMonth,284&lt;=DispoMonth),1,0)</f>
        <v/>
      </c>
      <c r="KC43" s="85">
        <f>IF(AND(RefiFlag=1,285&gt;RefiMonth,285&lt;=DispoMonth),1,0)</f>
        <v/>
      </c>
      <c r="KD43" s="85">
        <f>IF(AND(RefiFlag=1,286&gt;RefiMonth,286&lt;=DispoMonth),1,0)</f>
        <v/>
      </c>
      <c r="KE43" s="85">
        <f>IF(AND(RefiFlag=1,287&gt;RefiMonth,287&lt;=DispoMonth),1,0)</f>
        <v/>
      </c>
      <c r="KF43" s="85">
        <f>IF(AND(RefiFlag=1,288&gt;RefiMonth,288&lt;=DispoMonth),1,0)</f>
        <v/>
      </c>
      <c r="KG43" s="85">
        <f>IF(AND(RefiFlag=1,289&gt;RefiMonth,289&lt;=DispoMonth),1,0)</f>
        <v/>
      </c>
      <c r="KH43" s="85">
        <f>IF(AND(RefiFlag=1,290&gt;RefiMonth,290&lt;=DispoMonth),1,0)</f>
        <v/>
      </c>
      <c r="KI43" s="85">
        <f>IF(AND(RefiFlag=1,291&gt;RefiMonth,291&lt;=DispoMonth),1,0)</f>
        <v/>
      </c>
      <c r="KJ43" s="85">
        <f>IF(AND(RefiFlag=1,292&gt;RefiMonth,292&lt;=DispoMonth),1,0)</f>
        <v/>
      </c>
      <c r="KK43" s="85">
        <f>IF(AND(RefiFlag=1,293&gt;RefiMonth,293&lt;=DispoMonth),1,0)</f>
        <v/>
      </c>
      <c r="KL43" s="85">
        <f>IF(AND(RefiFlag=1,294&gt;RefiMonth,294&lt;=DispoMonth),1,0)</f>
        <v/>
      </c>
      <c r="KM43" s="85">
        <f>IF(AND(RefiFlag=1,295&gt;RefiMonth,295&lt;=DispoMonth),1,0)</f>
        <v/>
      </c>
      <c r="KN43" s="85">
        <f>IF(AND(RefiFlag=1,296&gt;RefiMonth,296&lt;=DispoMonth),1,0)</f>
        <v/>
      </c>
      <c r="KO43" s="85">
        <f>IF(AND(RefiFlag=1,297&gt;RefiMonth,297&lt;=DispoMonth),1,0)</f>
        <v/>
      </c>
      <c r="KP43" s="85">
        <f>IF(AND(RefiFlag=1,298&gt;RefiMonth,298&lt;=DispoMonth),1,0)</f>
        <v/>
      </c>
      <c r="KQ43" s="85">
        <f>IF(AND(RefiFlag=1,299&gt;RefiMonth,299&lt;=DispoMonth),1,0)</f>
        <v/>
      </c>
      <c r="KR43" s="85">
        <f>IF(AND(RefiFlag=1,300&gt;RefiMonth,300&lt;=DispoMonth),1,0)</f>
        <v/>
      </c>
      <c r="KS43" s="85">
        <f>IF(AND(RefiFlag=1,301&gt;RefiMonth,301&lt;=DispoMonth),1,0)</f>
        <v/>
      </c>
      <c r="KT43" s="85">
        <f>IF(AND(RefiFlag=1,302&gt;RefiMonth,302&lt;=DispoMonth),1,0)</f>
        <v/>
      </c>
      <c r="KU43" s="85">
        <f>IF(AND(RefiFlag=1,303&gt;RefiMonth,303&lt;=DispoMonth),1,0)</f>
        <v/>
      </c>
      <c r="KV43" s="85">
        <f>IF(AND(RefiFlag=1,304&gt;RefiMonth,304&lt;=DispoMonth),1,0)</f>
        <v/>
      </c>
      <c r="KW43" s="85">
        <f>IF(AND(RefiFlag=1,305&gt;RefiMonth,305&lt;=DispoMonth),1,0)</f>
        <v/>
      </c>
      <c r="KX43" s="85">
        <f>IF(AND(RefiFlag=1,306&gt;RefiMonth,306&lt;=DispoMonth),1,0)</f>
        <v/>
      </c>
      <c r="KY43" s="85">
        <f>IF(AND(RefiFlag=1,307&gt;RefiMonth,307&lt;=DispoMonth),1,0)</f>
        <v/>
      </c>
      <c r="KZ43" s="85">
        <f>IF(AND(RefiFlag=1,308&gt;RefiMonth,308&lt;=DispoMonth),1,0)</f>
        <v/>
      </c>
      <c r="LA43" s="85">
        <f>IF(AND(RefiFlag=1,309&gt;RefiMonth,309&lt;=DispoMonth),1,0)</f>
        <v/>
      </c>
      <c r="LB43" s="85">
        <f>IF(AND(RefiFlag=1,310&gt;RefiMonth,310&lt;=DispoMonth),1,0)</f>
        <v/>
      </c>
      <c r="LC43" s="85">
        <f>IF(AND(RefiFlag=1,311&gt;RefiMonth,311&lt;=DispoMonth),1,0)</f>
        <v/>
      </c>
      <c r="LD43" s="85">
        <f>IF(AND(RefiFlag=1,312&gt;RefiMonth,312&lt;=DispoMonth),1,0)</f>
        <v/>
      </c>
      <c r="LE43" s="85">
        <f>IF(AND(RefiFlag=1,313&gt;RefiMonth,313&lt;=DispoMonth),1,0)</f>
        <v/>
      </c>
      <c r="LF43" s="85">
        <f>IF(AND(RefiFlag=1,314&gt;RefiMonth,314&lt;=DispoMonth),1,0)</f>
        <v/>
      </c>
      <c r="LG43" s="85">
        <f>IF(AND(RefiFlag=1,315&gt;RefiMonth,315&lt;=DispoMonth),1,0)</f>
        <v/>
      </c>
      <c r="LH43" s="85">
        <f>IF(AND(RefiFlag=1,316&gt;RefiMonth,316&lt;=DispoMonth),1,0)</f>
        <v/>
      </c>
      <c r="LI43" s="85">
        <f>IF(AND(RefiFlag=1,317&gt;RefiMonth,317&lt;=DispoMonth),1,0)</f>
        <v/>
      </c>
      <c r="LJ43" s="85">
        <f>IF(AND(RefiFlag=1,318&gt;RefiMonth,318&lt;=DispoMonth),1,0)</f>
        <v/>
      </c>
      <c r="LK43" s="85">
        <f>IF(AND(RefiFlag=1,319&gt;RefiMonth,319&lt;=DispoMonth),1,0)</f>
        <v/>
      </c>
      <c r="LL43" s="85">
        <f>IF(AND(RefiFlag=1,320&gt;RefiMonth,320&lt;=DispoMonth),1,0)</f>
        <v/>
      </c>
      <c r="LM43" s="85">
        <f>IF(AND(RefiFlag=1,321&gt;RefiMonth,321&lt;=DispoMonth),1,0)</f>
        <v/>
      </c>
      <c r="LN43" s="85">
        <f>IF(AND(RefiFlag=1,322&gt;RefiMonth,322&lt;=DispoMonth),1,0)</f>
        <v/>
      </c>
      <c r="LO43" s="85">
        <f>IF(AND(RefiFlag=1,323&gt;RefiMonth,323&lt;=DispoMonth),1,0)</f>
        <v/>
      </c>
      <c r="LP43" s="85">
        <f>IF(AND(RefiFlag=1,324&gt;RefiMonth,324&lt;=DispoMonth),1,0)</f>
        <v/>
      </c>
      <c r="LQ43" s="85">
        <f>IF(AND(RefiFlag=1,325&gt;RefiMonth,325&lt;=DispoMonth),1,0)</f>
        <v/>
      </c>
      <c r="LR43" s="85">
        <f>IF(AND(RefiFlag=1,326&gt;RefiMonth,326&lt;=DispoMonth),1,0)</f>
        <v/>
      </c>
      <c r="LS43" s="85">
        <f>IF(AND(RefiFlag=1,327&gt;RefiMonth,327&lt;=DispoMonth),1,0)</f>
        <v/>
      </c>
      <c r="LT43" s="85">
        <f>IF(AND(RefiFlag=1,328&gt;RefiMonth,328&lt;=DispoMonth),1,0)</f>
        <v/>
      </c>
      <c r="LU43" s="85">
        <f>IF(AND(RefiFlag=1,329&gt;RefiMonth,329&lt;=DispoMonth),1,0)</f>
        <v/>
      </c>
      <c r="LV43" s="85">
        <f>IF(AND(RefiFlag=1,330&gt;RefiMonth,330&lt;=DispoMonth),1,0)</f>
        <v/>
      </c>
      <c r="LW43" s="85">
        <f>IF(AND(RefiFlag=1,331&gt;RefiMonth,331&lt;=DispoMonth),1,0)</f>
        <v/>
      </c>
      <c r="LX43" s="85">
        <f>IF(AND(RefiFlag=1,332&gt;RefiMonth,332&lt;=DispoMonth),1,0)</f>
        <v/>
      </c>
      <c r="LY43" s="85">
        <f>IF(AND(RefiFlag=1,333&gt;RefiMonth,333&lt;=DispoMonth),1,0)</f>
        <v/>
      </c>
      <c r="LZ43" s="85">
        <f>IF(AND(RefiFlag=1,334&gt;RefiMonth,334&lt;=DispoMonth),1,0)</f>
        <v/>
      </c>
      <c r="MA43" s="85">
        <f>IF(AND(RefiFlag=1,335&gt;RefiMonth,335&lt;=DispoMonth),1,0)</f>
        <v/>
      </c>
      <c r="MB43" s="85">
        <f>IF(AND(RefiFlag=1,336&gt;RefiMonth,336&lt;=DispoMonth),1,0)</f>
        <v/>
      </c>
      <c r="MC43" s="85">
        <f>IF(AND(RefiFlag=1,337&gt;RefiMonth,337&lt;=DispoMonth),1,0)</f>
        <v/>
      </c>
      <c r="MD43" s="85">
        <f>IF(AND(RefiFlag=1,338&gt;RefiMonth,338&lt;=DispoMonth),1,0)</f>
        <v/>
      </c>
      <c r="ME43" s="85">
        <f>IF(AND(RefiFlag=1,339&gt;RefiMonth,339&lt;=DispoMonth),1,0)</f>
        <v/>
      </c>
      <c r="MF43" s="85">
        <f>IF(AND(RefiFlag=1,340&gt;RefiMonth,340&lt;=DispoMonth),1,0)</f>
        <v/>
      </c>
      <c r="MG43" s="85">
        <f>IF(AND(RefiFlag=1,341&gt;RefiMonth,341&lt;=DispoMonth),1,0)</f>
        <v/>
      </c>
      <c r="MH43" s="85">
        <f>IF(AND(RefiFlag=1,342&gt;RefiMonth,342&lt;=DispoMonth),1,0)</f>
        <v/>
      </c>
      <c r="MI43" s="85">
        <f>IF(AND(RefiFlag=1,343&gt;RefiMonth,343&lt;=DispoMonth),1,0)</f>
        <v/>
      </c>
      <c r="MJ43" s="85">
        <f>IF(AND(RefiFlag=1,344&gt;RefiMonth,344&lt;=DispoMonth),1,0)</f>
        <v/>
      </c>
      <c r="MK43" s="85">
        <f>IF(AND(RefiFlag=1,345&gt;RefiMonth,345&lt;=DispoMonth),1,0)</f>
        <v/>
      </c>
      <c r="ML43" s="85">
        <f>IF(AND(RefiFlag=1,346&gt;RefiMonth,346&lt;=DispoMonth),1,0)</f>
        <v/>
      </c>
      <c r="MM43" s="85">
        <f>IF(AND(RefiFlag=1,347&gt;RefiMonth,347&lt;=DispoMonth),1,0)</f>
        <v/>
      </c>
      <c r="MN43" s="85">
        <f>IF(AND(RefiFlag=1,348&gt;RefiMonth,348&lt;=DispoMonth),1,0)</f>
        <v/>
      </c>
      <c r="MO43" s="85">
        <f>IF(AND(RefiFlag=1,349&gt;RefiMonth,349&lt;=DispoMonth),1,0)</f>
        <v/>
      </c>
      <c r="MP43" s="85">
        <f>IF(AND(RefiFlag=1,350&gt;RefiMonth,350&lt;=DispoMonth),1,0)</f>
        <v/>
      </c>
      <c r="MQ43" s="85">
        <f>IF(AND(RefiFlag=1,351&gt;RefiMonth,351&lt;=DispoMonth),1,0)</f>
        <v/>
      </c>
      <c r="MR43" s="85">
        <f>IF(AND(RefiFlag=1,352&gt;RefiMonth,352&lt;=DispoMonth),1,0)</f>
        <v/>
      </c>
      <c r="MS43" s="85">
        <f>IF(AND(RefiFlag=1,353&gt;RefiMonth,353&lt;=DispoMonth),1,0)</f>
        <v/>
      </c>
      <c r="MT43" s="85">
        <f>IF(AND(RefiFlag=1,354&gt;RefiMonth,354&lt;=DispoMonth),1,0)</f>
        <v/>
      </c>
      <c r="MU43" s="85">
        <f>IF(AND(RefiFlag=1,355&gt;RefiMonth,355&lt;=DispoMonth),1,0)</f>
        <v/>
      </c>
      <c r="MV43" s="85">
        <f>IF(AND(RefiFlag=1,356&gt;RefiMonth,356&lt;=DispoMonth),1,0)</f>
        <v/>
      </c>
      <c r="MW43" s="85">
        <f>IF(AND(RefiFlag=1,357&gt;RefiMonth,357&lt;=DispoMonth),1,0)</f>
        <v/>
      </c>
      <c r="MX43" s="85">
        <f>IF(AND(RefiFlag=1,358&gt;RefiMonth,358&lt;=DispoMonth),1,0)</f>
        <v/>
      </c>
      <c r="MY43" s="85">
        <f>IF(AND(RefiFlag=1,359&gt;RefiMonth,359&lt;=DispoMonth),1,0)</f>
        <v/>
      </c>
      <c r="MZ43" s="85">
        <f>IF(AND(RefiFlag=1,360&gt;RefiMonth,360&lt;=DispoMonth),1,0)</f>
        <v/>
      </c>
      <c r="NA43" s="85">
        <f>IF(AND(RefiFlag=1,361&gt;RefiMonth,361&lt;=DispoMonth),1,0)</f>
        <v/>
      </c>
      <c r="NB43" s="85">
        <f>IF(AND(RefiFlag=1,362&gt;RefiMonth,362&lt;=DispoMonth),1,0)</f>
        <v/>
      </c>
      <c r="NC43" s="85">
        <f>IF(AND(RefiFlag=1,363&gt;RefiMonth,363&lt;=DispoMonth),1,0)</f>
        <v/>
      </c>
      <c r="ND43" s="85">
        <f>IF(AND(RefiFlag=1,364&gt;RefiMonth,364&lt;=DispoMonth),1,0)</f>
        <v/>
      </c>
      <c r="NE43" s="85">
        <f>IF(AND(RefiFlag=1,365&gt;RefiMonth,365&lt;=DispoMonth),1,0)</f>
        <v/>
      </c>
      <c r="NF43" s="85">
        <f>IF(AND(RefiFlag=1,366&gt;RefiMonth,366&lt;=DispoMonth),1,0)</f>
        <v/>
      </c>
      <c r="NG43" s="85">
        <f>IF(AND(RefiFlag=1,367&gt;RefiMonth,367&lt;=DispoMonth),1,0)</f>
        <v/>
      </c>
      <c r="NH43" s="85">
        <f>IF(AND(RefiFlag=1,368&gt;RefiMonth,368&lt;=DispoMonth),1,0)</f>
        <v/>
      </c>
      <c r="NI43" s="85">
        <f>IF(AND(RefiFlag=1,369&gt;RefiMonth,369&lt;=DispoMonth),1,0)</f>
        <v/>
      </c>
      <c r="NJ43" s="85">
        <f>IF(AND(RefiFlag=1,370&gt;RefiMonth,370&lt;=DispoMonth),1,0)</f>
        <v/>
      </c>
      <c r="NK43" s="85">
        <f>IF(AND(RefiFlag=1,371&gt;RefiMonth,371&lt;=DispoMonth),1,0)</f>
        <v/>
      </c>
      <c r="NL43" s="85">
        <f>IF(AND(RefiFlag=1,372&gt;RefiMonth,372&lt;=DispoMonth),1,0)</f>
        <v/>
      </c>
    </row>
    <row r="45">
      <c r="B45" s="316" t="inlineStr">
        <is>
          <t>Operating Tax Start Month (capitalization boundary)</t>
        </is>
      </c>
      <c r="C45" s="294">
        <f>IF(TaxCapitalizeLeaseUp&gt;=1,StabMonth,DeliverStart)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B1:NU43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5" sqref="E5"/>
    </sheetView>
  </sheetViews>
  <sheetFormatPr baseColWidth="8" defaultRowHeight="15"/>
  <cols>
    <col width="3.7109375" customWidth="1" style="97" min="1" max="1"/>
    <col width="30" customWidth="1" style="97" min="2" max="2"/>
    <col width="15.7109375" customWidth="1" style="97" min="4" max="4"/>
    <col width="10.7109375" customWidth="1" style="97" min="5" max="376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Development Cost-Curve Engine — Monthly Spend by Line</t>
        </is>
      </c>
    </row>
    <row r="3">
      <c r="NN3" s="25" t="inlineStr">
        <is>
          <t>total</t>
        </is>
      </c>
      <c r="NO3" s="25" t="inlineStr">
        <is>
          <t>phase</t>
        </is>
      </c>
      <c r="NP3" s="25" t="inlineStr">
        <is>
          <t>curve</t>
        </is>
      </c>
      <c r="NQ3" s="25" t="inlineStr">
        <is>
          <t>mod</t>
        </is>
      </c>
      <c r="NR3" s="25" t="inlineStr">
        <is>
          <t>start</t>
        </is>
      </c>
      <c r="NS3" s="25" t="inlineStr">
        <is>
          <t>end</t>
        </is>
      </c>
      <c r="NT3" s="25" t="inlineStr">
        <is>
          <t>n</t>
        </is>
      </c>
      <c r="NU3" s="25" t="inlineStr">
        <is>
          <t>denom</t>
        </is>
      </c>
    </row>
    <row r="4">
      <c r="B4" s="112" t="inlineStr">
        <is>
          <t>Period →</t>
        </is>
      </c>
      <c r="C4" s="107" t="n"/>
      <c r="D4" s="113" t="inlineStr">
        <is>
          <t>Total</t>
        </is>
      </c>
      <c r="E4" s="126" t="n">
        <v>1</v>
      </c>
      <c r="F4" s="126" t="n">
        <v>2</v>
      </c>
      <c r="G4" s="126" t="n">
        <v>3</v>
      </c>
      <c r="H4" s="126" t="n">
        <v>4</v>
      </c>
      <c r="I4" s="126" t="n">
        <v>5</v>
      </c>
      <c r="J4" s="126" t="n">
        <v>6</v>
      </c>
      <c r="K4" s="126" t="n">
        <v>7</v>
      </c>
      <c r="L4" s="126" t="n">
        <v>8</v>
      </c>
      <c r="M4" s="126" t="n">
        <v>9</v>
      </c>
      <c r="N4" s="126" t="n">
        <v>10</v>
      </c>
      <c r="O4" s="126" t="n">
        <v>11</v>
      </c>
      <c r="P4" s="126" t="n">
        <v>12</v>
      </c>
      <c r="Q4" s="126" t="n">
        <v>13</v>
      </c>
      <c r="R4" s="126" t="n">
        <v>14</v>
      </c>
      <c r="S4" s="126" t="n">
        <v>15</v>
      </c>
      <c r="T4" s="126" t="n">
        <v>16</v>
      </c>
      <c r="U4" s="126" t="n">
        <v>17</v>
      </c>
      <c r="V4" s="126" t="n">
        <v>18</v>
      </c>
      <c r="W4" s="126" t="n">
        <v>19</v>
      </c>
      <c r="X4" s="126" t="n">
        <v>20</v>
      </c>
      <c r="Y4" s="126" t="n">
        <v>21</v>
      </c>
      <c r="Z4" s="126" t="n">
        <v>22</v>
      </c>
      <c r="AA4" s="126" t="n">
        <v>23</v>
      </c>
      <c r="AB4" s="126" t="n">
        <v>24</v>
      </c>
      <c r="AC4" s="126" t="n">
        <v>25</v>
      </c>
      <c r="AD4" s="126" t="n">
        <v>26</v>
      </c>
      <c r="AE4" s="126" t="n">
        <v>27</v>
      </c>
      <c r="AF4" s="126" t="n">
        <v>28</v>
      </c>
      <c r="AG4" s="126" t="n">
        <v>29</v>
      </c>
      <c r="AH4" s="126" t="n">
        <v>30</v>
      </c>
      <c r="AI4" s="126" t="n">
        <v>31</v>
      </c>
      <c r="AJ4" s="126" t="n">
        <v>32</v>
      </c>
      <c r="AK4" s="126" t="n">
        <v>33</v>
      </c>
      <c r="AL4" s="126" t="n">
        <v>34</v>
      </c>
      <c r="AM4" s="126" t="n">
        <v>35</v>
      </c>
      <c r="AN4" s="126" t="n">
        <v>36</v>
      </c>
      <c r="AO4" s="126" t="n">
        <v>37</v>
      </c>
      <c r="AP4" s="126" t="n">
        <v>38</v>
      </c>
      <c r="AQ4" s="126" t="n">
        <v>39</v>
      </c>
      <c r="AR4" s="126" t="n">
        <v>40</v>
      </c>
      <c r="AS4" s="126" t="n">
        <v>41</v>
      </c>
      <c r="AT4" s="126" t="n">
        <v>42</v>
      </c>
      <c r="AU4" s="126" t="n">
        <v>43</v>
      </c>
      <c r="AV4" s="126" t="n">
        <v>44</v>
      </c>
      <c r="AW4" s="126" t="n">
        <v>45</v>
      </c>
      <c r="AX4" s="126" t="n">
        <v>46</v>
      </c>
      <c r="AY4" s="126" t="n">
        <v>47</v>
      </c>
      <c r="AZ4" s="126" t="n">
        <v>48</v>
      </c>
      <c r="BA4" s="126" t="n">
        <v>49</v>
      </c>
      <c r="BB4" s="126" t="n">
        <v>50</v>
      </c>
      <c r="BC4" s="126" t="n">
        <v>51</v>
      </c>
      <c r="BD4" s="126" t="n">
        <v>52</v>
      </c>
      <c r="BE4" s="126" t="n">
        <v>53</v>
      </c>
      <c r="BF4" s="126" t="n">
        <v>54</v>
      </c>
      <c r="BG4" s="126" t="n">
        <v>55</v>
      </c>
      <c r="BH4" s="126" t="n">
        <v>56</v>
      </c>
      <c r="BI4" s="126" t="n">
        <v>57</v>
      </c>
      <c r="BJ4" s="126" t="n">
        <v>58</v>
      </c>
      <c r="BK4" s="126" t="n">
        <v>59</v>
      </c>
      <c r="BL4" s="126" t="n">
        <v>60</v>
      </c>
      <c r="BM4" s="126" t="n">
        <v>61</v>
      </c>
      <c r="BN4" s="126" t="n">
        <v>62</v>
      </c>
      <c r="BO4" s="126" t="n">
        <v>63</v>
      </c>
      <c r="BP4" s="126" t="n">
        <v>64</v>
      </c>
      <c r="BQ4" s="126" t="n">
        <v>65</v>
      </c>
      <c r="BR4" s="126" t="n">
        <v>66</v>
      </c>
      <c r="BS4" s="126" t="n">
        <v>67</v>
      </c>
      <c r="BT4" s="126" t="n">
        <v>68</v>
      </c>
      <c r="BU4" s="126" t="n">
        <v>69</v>
      </c>
      <c r="BV4" s="126" t="n">
        <v>70</v>
      </c>
      <c r="BW4" s="126" t="n">
        <v>71</v>
      </c>
      <c r="BX4" s="126" t="n">
        <v>72</v>
      </c>
      <c r="BY4" s="126" t="n">
        <v>73</v>
      </c>
      <c r="BZ4" s="126" t="n">
        <v>74</v>
      </c>
      <c r="CA4" s="126" t="n">
        <v>75</v>
      </c>
      <c r="CB4" s="126" t="n">
        <v>76</v>
      </c>
      <c r="CC4" s="126" t="n">
        <v>77</v>
      </c>
      <c r="CD4" s="126" t="n">
        <v>78</v>
      </c>
      <c r="CE4" s="126" t="n">
        <v>79</v>
      </c>
      <c r="CF4" s="126" t="n">
        <v>80</v>
      </c>
      <c r="CG4" s="126" t="n">
        <v>81</v>
      </c>
      <c r="CH4" s="126" t="n">
        <v>82</v>
      </c>
      <c r="CI4" s="126" t="n">
        <v>83</v>
      </c>
      <c r="CJ4" s="126" t="n">
        <v>84</v>
      </c>
      <c r="CK4" s="126" t="n">
        <v>85</v>
      </c>
      <c r="CL4" s="126" t="n">
        <v>86</v>
      </c>
      <c r="CM4" s="126" t="n">
        <v>87</v>
      </c>
      <c r="CN4" s="126" t="n">
        <v>88</v>
      </c>
      <c r="CO4" s="126" t="n">
        <v>89</v>
      </c>
      <c r="CP4" s="126" t="n">
        <v>90</v>
      </c>
      <c r="CQ4" s="126" t="n">
        <v>91</v>
      </c>
      <c r="CR4" s="126" t="n">
        <v>92</v>
      </c>
      <c r="CS4" s="126" t="n">
        <v>93</v>
      </c>
      <c r="CT4" s="126" t="n">
        <v>94</v>
      </c>
      <c r="CU4" s="126" t="n">
        <v>95</v>
      </c>
      <c r="CV4" s="126" t="n">
        <v>96</v>
      </c>
      <c r="CW4" s="126" t="n">
        <v>97</v>
      </c>
      <c r="CX4" s="126" t="n">
        <v>98</v>
      </c>
      <c r="CY4" s="126" t="n">
        <v>99</v>
      </c>
      <c r="CZ4" s="126" t="n">
        <v>100</v>
      </c>
      <c r="DA4" s="126" t="n">
        <v>101</v>
      </c>
      <c r="DB4" s="126" t="n">
        <v>102</v>
      </c>
      <c r="DC4" s="126" t="n">
        <v>103</v>
      </c>
      <c r="DD4" s="126" t="n">
        <v>104</v>
      </c>
      <c r="DE4" s="126" t="n">
        <v>105</v>
      </c>
      <c r="DF4" s="126" t="n">
        <v>106</v>
      </c>
      <c r="DG4" s="126" t="n">
        <v>107</v>
      </c>
      <c r="DH4" s="126" t="n">
        <v>108</v>
      </c>
      <c r="DI4" s="126" t="n">
        <v>109</v>
      </c>
      <c r="DJ4" s="126" t="n">
        <v>110</v>
      </c>
      <c r="DK4" s="126" t="n">
        <v>111</v>
      </c>
      <c r="DL4" s="126" t="n">
        <v>112</v>
      </c>
      <c r="DM4" s="126" t="n">
        <v>113</v>
      </c>
      <c r="DN4" s="126" t="n">
        <v>114</v>
      </c>
      <c r="DO4" s="126" t="n">
        <v>115</v>
      </c>
      <c r="DP4" s="126" t="n">
        <v>116</v>
      </c>
      <c r="DQ4" s="126" t="n">
        <v>117</v>
      </c>
      <c r="DR4" s="126" t="n">
        <v>118</v>
      </c>
      <c r="DS4" s="126" t="n">
        <v>119</v>
      </c>
      <c r="DT4" s="126" t="n">
        <v>120</v>
      </c>
      <c r="DU4" s="126" t="n">
        <v>121</v>
      </c>
      <c r="DV4" s="126" t="n">
        <v>122</v>
      </c>
      <c r="DW4" s="126" t="n">
        <v>123</v>
      </c>
      <c r="DX4" s="126" t="n">
        <v>124</v>
      </c>
      <c r="DY4" s="126" t="n">
        <v>125</v>
      </c>
      <c r="DZ4" s="126" t="n">
        <v>126</v>
      </c>
      <c r="EA4" s="126" t="n">
        <v>127</v>
      </c>
      <c r="EB4" s="126" t="n">
        <v>128</v>
      </c>
      <c r="EC4" s="126" t="n">
        <v>129</v>
      </c>
      <c r="ED4" s="126" t="n">
        <v>130</v>
      </c>
      <c r="EE4" s="126" t="n">
        <v>131</v>
      </c>
      <c r="EF4" s="126" t="n">
        <v>132</v>
      </c>
      <c r="EG4" s="126" t="n">
        <v>133</v>
      </c>
      <c r="EH4" s="126" t="n">
        <v>134</v>
      </c>
      <c r="EI4" s="126" t="n">
        <v>135</v>
      </c>
      <c r="EJ4" s="126" t="n">
        <v>136</v>
      </c>
      <c r="EK4" s="126" t="n">
        <v>137</v>
      </c>
      <c r="EL4" s="126" t="n">
        <v>138</v>
      </c>
      <c r="EM4" s="126" t="n">
        <v>139</v>
      </c>
      <c r="EN4" s="126" t="n">
        <v>140</v>
      </c>
      <c r="EO4" s="126" t="n">
        <v>141</v>
      </c>
      <c r="EP4" s="126" t="n">
        <v>142</v>
      </c>
      <c r="EQ4" s="126" t="n">
        <v>143</v>
      </c>
      <c r="ER4" s="126" t="n">
        <v>144</v>
      </c>
      <c r="ES4" s="126" t="n">
        <v>145</v>
      </c>
      <c r="ET4" s="126" t="n">
        <v>146</v>
      </c>
      <c r="EU4" s="126" t="n">
        <v>147</v>
      </c>
      <c r="EV4" s="126" t="n">
        <v>148</v>
      </c>
      <c r="EW4" s="126" t="n">
        <v>149</v>
      </c>
      <c r="EX4" s="126" t="n">
        <v>150</v>
      </c>
      <c r="EY4" s="126" t="n">
        <v>151</v>
      </c>
      <c r="EZ4" s="126" t="n">
        <v>152</v>
      </c>
      <c r="FA4" s="126" t="n">
        <v>153</v>
      </c>
      <c r="FB4" s="126" t="n">
        <v>154</v>
      </c>
      <c r="FC4" s="126" t="n">
        <v>155</v>
      </c>
      <c r="FD4" s="126" t="n">
        <v>156</v>
      </c>
      <c r="FE4" s="126" t="n">
        <v>157</v>
      </c>
      <c r="FF4" s="126" t="n">
        <v>158</v>
      </c>
      <c r="FG4" s="126" t="n">
        <v>159</v>
      </c>
      <c r="FH4" s="126" t="n">
        <v>160</v>
      </c>
      <c r="FI4" s="126" t="n">
        <v>161</v>
      </c>
      <c r="FJ4" s="126" t="n">
        <v>162</v>
      </c>
      <c r="FK4" s="126" t="n">
        <v>163</v>
      </c>
      <c r="FL4" s="126" t="n">
        <v>164</v>
      </c>
      <c r="FM4" s="126" t="n">
        <v>165</v>
      </c>
      <c r="FN4" s="126" t="n">
        <v>166</v>
      </c>
      <c r="FO4" s="126" t="n">
        <v>167</v>
      </c>
      <c r="FP4" s="126" t="n">
        <v>168</v>
      </c>
      <c r="FQ4" s="126" t="n">
        <v>169</v>
      </c>
      <c r="FR4" s="126" t="n">
        <v>170</v>
      </c>
      <c r="FS4" s="126" t="n">
        <v>171</v>
      </c>
      <c r="FT4" s="126" t="n">
        <v>172</v>
      </c>
      <c r="FU4" s="126" t="n">
        <v>173</v>
      </c>
      <c r="FV4" s="126" t="n">
        <v>174</v>
      </c>
      <c r="FW4" s="126" t="n">
        <v>175</v>
      </c>
      <c r="FX4" s="126" t="n">
        <v>176</v>
      </c>
      <c r="FY4" s="126" t="n">
        <v>177</v>
      </c>
      <c r="FZ4" s="126" t="n">
        <v>178</v>
      </c>
      <c r="GA4" s="126" t="n">
        <v>179</v>
      </c>
      <c r="GB4" s="126" t="n">
        <v>180</v>
      </c>
      <c r="GC4" s="126" t="n">
        <v>181</v>
      </c>
      <c r="GD4" s="126" t="n">
        <v>182</v>
      </c>
      <c r="GE4" s="126" t="n">
        <v>183</v>
      </c>
      <c r="GF4" s="126" t="n">
        <v>184</v>
      </c>
      <c r="GG4" s="126" t="n">
        <v>185</v>
      </c>
      <c r="GH4" s="126" t="n">
        <v>186</v>
      </c>
      <c r="GI4" s="126" t="n">
        <v>187</v>
      </c>
      <c r="GJ4" s="126" t="n">
        <v>188</v>
      </c>
      <c r="GK4" s="126" t="n">
        <v>189</v>
      </c>
      <c r="GL4" s="126" t="n">
        <v>190</v>
      </c>
      <c r="GM4" s="126" t="n">
        <v>191</v>
      </c>
      <c r="GN4" s="126" t="n">
        <v>192</v>
      </c>
      <c r="GO4" s="126" t="n">
        <v>193</v>
      </c>
      <c r="GP4" s="126" t="n">
        <v>194</v>
      </c>
      <c r="GQ4" s="126" t="n">
        <v>195</v>
      </c>
      <c r="GR4" s="126" t="n">
        <v>196</v>
      </c>
      <c r="GS4" s="126" t="n">
        <v>197</v>
      </c>
      <c r="GT4" s="126" t="n">
        <v>198</v>
      </c>
      <c r="GU4" s="126" t="n">
        <v>199</v>
      </c>
      <c r="GV4" s="126" t="n">
        <v>200</v>
      </c>
      <c r="GW4" s="126" t="n">
        <v>201</v>
      </c>
      <c r="GX4" s="126" t="n">
        <v>202</v>
      </c>
      <c r="GY4" s="126" t="n">
        <v>203</v>
      </c>
      <c r="GZ4" s="126" t="n">
        <v>204</v>
      </c>
      <c r="HA4" s="126" t="n">
        <v>205</v>
      </c>
      <c r="HB4" s="126" t="n">
        <v>206</v>
      </c>
      <c r="HC4" s="126" t="n">
        <v>207</v>
      </c>
      <c r="HD4" s="126" t="n">
        <v>208</v>
      </c>
      <c r="HE4" s="126" t="n">
        <v>209</v>
      </c>
      <c r="HF4" s="126" t="n">
        <v>210</v>
      </c>
      <c r="HG4" s="126" t="n">
        <v>211</v>
      </c>
      <c r="HH4" s="126" t="n">
        <v>212</v>
      </c>
      <c r="HI4" s="126" t="n">
        <v>213</v>
      </c>
      <c r="HJ4" s="126" t="n">
        <v>214</v>
      </c>
      <c r="HK4" s="126" t="n">
        <v>215</v>
      </c>
      <c r="HL4" s="126" t="n">
        <v>216</v>
      </c>
      <c r="HM4" s="126" t="n">
        <v>217</v>
      </c>
      <c r="HN4" s="126" t="n">
        <v>218</v>
      </c>
      <c r="HO4" s="126" t="n">
        <v>219</v>
      </c>
      <c r="HP4" s="126" t="n">
        <v>220</v>
      </c>
      <c r="HQ4" s="126" t="n">
        <v>221</v>
      </c>
      <c r="HR4" s="126" t="n">
        <v>222</v>
      </c>
      <c r="HS4" s="126" t="n">
        <v>223</v>
      </c>
      <c r="HT4" s="126" t="n">
        <v>224</v>
      </c>
      <c r="HU4" s="126" t="n">
        <v>225</v>
      </c>
      <c r="HV4" s="126" t="n">
        <v>226</v>
      </c>
      <c r="HW4" s="126" t="n">
        <v>227</v>
      </c>
      <c r="HX4" s="126" t="n">
        <v>228</v>
      </c>
      <c r="HY4" s="126" t="n">
        <v>229</v>
      </c>
      <c r="HZ4" s="126" t="n">
        <v>230</v>
      </c>
      <c r="IA4" s="126" t="n">
        <v>231</v>
      </c>
      <c r="IB4" s="126" t="n">
        <v>232</v>
      </c>
      <c r="IC4" s="126" t="n">
        <v>233</v>
      </c>
      <c r="ID4" s="126" t="n">
        <v>234</v>
      </c>
      <c r="IE4" s="126" t="n">
        <v>235</v>
      </c>
      <c r="IF4" s="126" t="n">
        <v>236</v>
      </c>
      <c r="IG4" s="126" t="n">
        <v>237</v>
      </c>
      <c r="IH4" s="126" t="n">
        <v>238</v>
      </c>
      <c r="II4" s="126" t="n">
        <v>239</v>
      </c>
      <c r="IJ4" s="126" t="n">
        <v>240</v>
      </c>
      <c r="IK4" s="126" t="n">
        <v>241</v>
      </c>
      <c r="IL4" s="126" t="n">
        <v>242</v>
      </c>
      <c r="IM4" s="126" t="n">
        <v>243</v>
      </c>
      <c r="IN4" s="126" t="n">
        <v>244</v>
      </c>
      <c r="IO4" s="126" t="n">
        <v>245</v>
      </c>
      <c r="IP4" s="126" t="n">
        <v>246</v>
      </c>
      <c r="IQ4" s="126" t="n">
        <v>247</v>
      </c>
      <c r="IR4" s="126" t="n">
        <v>248</v>
      </c>
      <c r="IS4" s="126" t="n">
        <v>249</v>
      </c>
      <c r="IT4" s="126" t="n">
        <v>250</v>
      </c>
      <c r="IU4" s="126" t="n">
        <v>251</v>
      </c>
      <c r="IV4" s="126" t="n">
        <v>252</v>
      </c>
      <c r="IW4" s="126" t="n">
        <v>253</v>
      </c>
      <c r="IX4" s="126" t="n">
        <v>254</v>
      </c>
      <c r="IY4" s="126" t="n">
        <v>255</v>
      </c>
      <c r="IZ4" s="126" t="n">
        <v>256</v>
      </c>
      <c r="JA4" s="126" t="n">
        <v>257</v>
      </c>
      <c r="JB4" s="126" t="n">
        <v>258</v>
      </c>
      <c r="JC4" s="126" t="n">
        <v>259</v>
      </c>
      <c r="JD4" s="126" t="n">
        <v>260</v>
      </c>
      <c r="JE4" s="126" t="n">
        <v>261</v>
      </c>
      <c r="JF4" s="126" t="n">
        <v>262</v>
      </c>
      <c r="JG4" s="126" t="n">
        <v>263</v>
      </c>
      <c r="JH4" s="126" t="n">
        <v>264</v>
      </c>
      <c r="JI4" s="126" t="n">
        <v>265</v>
      </c>
      <c r="JJ4" s="126" t="n">
        <v>266</v>
      </c>
      <c r="JK4" s="126" t="n">
        <v>267</v>
      </c>
      <c r="JL4" s="126" t="n">
        <v>268</v>
      </c>
      <c r="JM4" s="126" t="n">
        <v>269</v>
      </c>
      <c r="JN4" s="126" t="n">
        <v>270</v>
      </c>
      <c r="JO4" s="126" t="n">
        <v>271</v>
      </c>
      <c r="JP4" s="126" t="n">
        <v>272</v>
      </c>
      <c r="JQ4" s="126" t="n">
        <v>273</v>
      </c>
      <c r="JR4" s="126" t="n">
        <v>274</v>
      </c>
      <c r="JS4" s="126" t="n">
        <v>275</v>
      </c>
      <c r="JT4" s="126" t="n">
        <v>276</v>
      </c>
      <c r="JU4" s="126" t="n">
        <v>277</v>
      </c>
      <c r="JV4" s="126" t="n">
        <v>278</v>
      </c>
      <c r="JW4" s="126" t="n">
        <v>279</v>
      </c>
      <c r="JX4" s="126" t="n">
        <v>280</v>
      </c>
      <c r="JY4" s="126" t="n">
        <v>281</v>
      </c>
      <c r="JZ4" s="126" t="n">
        <v>282</v>
      </c>
      <c r="KA4" s="126" t="n">
        <v>283</v>
      </c>
      <c r="KB4" s="126" t="n">
        <v>284</v>
      </c>
      <c r="KC4" s="126" t="n">
        <v>285</v>
      </c>
      <c r="KD4" s="126" t="n">
        <v>286</v>
      </c>
      <c r="KE4" s="126" t="n">
        <v>287</v>
      </c>
      <c r="KF4" s="126" t="n">
        <v>288</v>
      </c>
      <c r="KG4" s="126" t="n">
        <v>289</v>
      </c>
      <c r="KH4" s="126" t="n">
        <v>290</v>
      </c>
      <c r="KI4" s="126" t="n">
        <v>291</v>
      </c>
      <c r="KJ4" s="126" t="n">
        <v>292</v>
      </c>
      <c r="KK4" s="126" t="n">
        <v>293</v>
      </c>
      <c r="KL4" s="126" t="n">
        <v>294</v>
      </c>
      <c r="KM4" s="126" t="n">
        <v>295</v>
      </c>
      <c r="KN4" s="126" t="n">
        <v>296</v>
      </c>
      <c r="KO4" s="126" t="n">
        <v>297</v>
      </c>
      <c r="KP4" s="126" t="n">
        <v>298</v>
      </c>
      <c r="KQ4" s="126" t="n">
        <v>299</v>
      </c>
      <c r="KR4" s="126" t="n">
        <v>300</v>
      </c>
      <c r="KS4" s="126" t="n">
        <v>301</v>
      </c>
      <c r="KT4" s="126" t="n">
        <v>302</v>
      </c>
      <c r="KU4" s="126" t="n">
        <v>303</v>
      </c>
      <c r="KV4" s="126" t="n">
        <v>304</v>
      </c>
      <c r="KW4" s="126" t="n">
        <v>305</v>
      </c>
      <c r="KX4" s="126" t="n">
        <v>306</v>
      </c>
      <c r="KY4" s="126" t="n">
        <v>307</v>
      </c>
      <c r="KZ4" s="126" t="n">
        <v>308</v>
      </c>
      <c r="LA4" s="126" t="n">
        <v>309</v>
      </c>
      <c r="LB4" s="126" t="n">
        <v>310</v>
      </c>
      <c r="LC4" s="126" t="n">
        <v>311</v>
      </c>
      <c r="LD4" s="126" t="n">
        <v>312</v>
      </c>
      <c r="LE4" s="126" t="n">
        <v>313</v>
      </c>
      <c r="LF4" s="126" t="n">
        <v>314</v>
      </c>
      <c r="LG4" s="126" t="n">
        <v>315</v>
      </c>
      <c r="LH4" s="126" t="n">
        <v>316</v>
      </c>
      <c r="LI4" s="126" t="n">
        <v>317</v>
      </c>
      <c r="LJ4" s="126" t="n">
        <v>318</v>
      </c>
      <c r="LK4" s="126" t="n">
        <v>319</v>
      </c>
      <c r="LL4" s="126" t="n">
        <v>320</v>
      </c>
      <c r="LM4" s="126" t="n">
        <v>321</v>
      </c>
      <c r="LN4" s="126" t="n">
        <v>322</v>
      </c>
      <c r="LO4" s="126" t="n">
        <v>323</v>
      </c>
      <c r="LP4" s="126" t="n">
        <v>324</v>
      </c>
      <c r="LQ4" s="126" t="n">
        <v>325</v>
      </c>
      <c r="LR4" s="126" t="n">
        <v>326</v>
      </c>
      <c r="LS4" s="126" t="n">
        <v>327</v>
      </c>
      <c r="LT4" s="126" t="n">
        <v>328</v>
      </c>
      <c r="LU4" s="126" t="n">
        <v>329</v>
      </c>
      <c r="LV4" s="126" t="n">
        <v>330</v>
      </c>
      <c r="LW4" s="126" t="n">
        <v>331</v>
      </c>
      <c r="LX4" s="126" t="n">
        <v>332</v>
      </c>
      <c r="LY4" s="126" t="n">
        <v>333</v>
      </c>
      <c r="LZ4" s="126" t="n">
        <v>334</v>
      </c>
      <c r="MA4" s="126" t="n">
        <v>335</v>
      </c>
      <c r="MB4" s="126" t="n">
        <v>336</v>
      </c>
      <c r="MC4" s="126" t="n">
        <v>337</v>
      </c>
      <c r="MD4" s="126" t="n">
        <v>338</v>
      </c>
      <c r="ME4" s="126" t="n">
        <v>339</v>
      </c>
      <c r="MF4" s="126" t="n">
        <v>340</v>
      </c>
      <c r="MG4" s="126" t="n">
        <v>341</v>
      </c>
      <c r="MH4" s="126" t="n">
        <v>342</v>
      </c>
      <c r="MI4" s="126" t="n">
        <v>343</v>
      </c>
      <c r="MJ4" s="126" t="n">
        <v>344</v>
      </c>
      <c r="MK4" s="126" t="n">
        <v>345</v>
      </c>
      <c r="ML4" s="126" t="n">
        <v>346</v>
      </c>
      <c r="MM4" s="126" t="n">
        <v>347</v>
      </c>
      <c r="MN4" s="126" t="n">
        <v>348</v>
      </c>
      <c r="MO4" s="126" t="n">
        <v>349</v>
      </c>
      <c r="MP4" s="126" t="n">
        <v>350</v>
      </c>
      <c r="MQ4" s="126" t="n">
        <v>351</v>
      </c>
      <c r="MR4" s="126" t="n">
        <v>352</v>
      </c>
      <c r="MS4" s="126" t="n">
        <v>353</v>
      </c>
      <c r="MT4" s="126" t="n">
        <v>354</v>
      </c>
      <c r="MU4" s="126" t="n">
        <v>355</v>
      </c>
      <c r="MV4" s="126" t="n">
        <v>356</v>
      </c>
      <c r="MW4" s="126" t="n">
        <v>357</v>
      </c>
      <c r="MX4" s="126" t="n">
        <v>358</v>
      </c>
      <c r="MY4" s="126" t="n">
        <v>359</v>
      </c>
      <c r="MZ4" s="126" t="n">
        <v>360</v>
      </c>
      <c r="NA4" s="126" t="n">
        <v>361</v>
      </c>
      <c r="NB4" s="126" t="n">
        <v>362</v>
      </c>
      <c r="NC4" s="126" t="n">
        <v>363</v>
      </c>
      <c r="ND4" s="126" t="n">
        <v>364</v>
      </c>
      <c r="NE4" s="126" t="n">
        <v>365</v>
      </c>
      <c r="NF4" s="126" t="n">
        <v>366</v>
      </c>
      <c r="NG4" s="126" t="n">
        <v>367</v>
      </c>
      <c r="NH4" s="126" t="n">
        <v>368</v>
      </c>
      <c r="NI4" s="126" t="n">
        <v>369</v>
      </c>
      <c r="NJ4" s="126" t="n">
        <v>370</v>
      </c>
      <c r="NK4" s="126" t="n">
        <v>371</v>
      </c>
      <c r="NL4" s="127" t="n">
        <v>372</v>
      </c>
    </row>
    <row r="5">
      <c r="B5" s="123" t="inlineStr">
        <is>
          <t>Month Start</t>
        </is>
      </c>
      <c r="E5" s="128">
        <f>EDATE(InceptionDate,0)</f>
        <v/>
      </c>
      <c r="F5" s="128">
        <f>EDATE(InceptionDate,1)</f>
        <v/>
      </c>
      <c r="G5" s="128">
        <f>EDATE(InceptionDate,2)</f>
        <v/>
      </c>
      <c r="H5" s="128">
        <f>EDATE(InceptionDate,3)</f>
        <v/>
      </c>
      <c r="I5" s="128">
        <f>EDATE(InceptionDate,4)</f>
        <v/>
      </c>
      <c r="J5" s="128">
        <f>EDATE(InceptionDate,5)</f>
        <v/>
      </c>
      <c r="K5" s="128">
        <f>EDATE(InceptionDate,6)</f>
        <v/>
      </c>
      <c r="L5" s="128">
        <f>EDATE(InceptionDate,7)</f>
        <v/>
      </c>
      <c r="M5" s="128">
        <f>EDATE(InceptionDate,8)</f>
        <v/>
      </c>
      <c r="N5" s="128">
        <f>EDATE(InceptionDate,9)</f>
        <v/>
      </c>
      <c r="O5" s="128">
        <f>EDATE(InceptionDate,10)</f>
        <v/>
      </c>
      <c r="P5" s="128">
        <f>EDATE(InceptionDate,11)</f>
        <v/>
      </c>
      <c r="Q5" s="128">
        <f>EDATE(InceptionDate,12)</f>
        <v/>
      </c>
      <c r="R5" s="128">
        <f>EDATE(InceptionDate,13)</f>
        <v/>
      </c>
      <c r="S5" s="128">
        <f>EDATE(InceptionDate,14)</f>
        <v/>
      </c>
      <c r="T5" s="128">
        <f>EDATE(InceptionDate,15)</f>
        <v/>
      </c>
      <c r="U5" s="128">
        <f>EDATE(InceptionDate,16)</f>
        <v/>
      </c>
      <c r="V5" s="128">
        <f>EDATE(InceptionDate,17)</f>
        <v/>
      </c>
      <c r="W5" s="128">
        <f>EDATE(InceptionDate,18)</f>
        <v/>
      </c>
      <c r="X5" s="128">
        <f>EDATE(InceptionDate,19)</f>
        <v/>
      </c>
      <c r="Y5" s="128">
        <f>EDATE(InceptionDate,20)</f>
        <v/>
      </c>
      <c r="Z5" s="128">
        <f>EDATE(InceptionDate,21)</f>
        <v/>
      </c>
      <c r="AA5" s="128">
        <f>EDATE(InceptionDate,22)</f>
        <v/>
      </c>
      <c r="AB5" s="128">
        <f>EDATE(InceptionDate,23)</f>
        <v/>
      </c>
      <c r="AC5" s="128">
        <f>EDATE(InceptionDate,24)</f>
        <v/>
      </c>
      <c r="AD5" s="128">
        <f>EDATE(InceptionDate,25)</f>
        <v/>
      </c>
      <c r="AE5" s="128">
        <f>EDATE(InceptionDate,26)</f>
        <v/>
      </c>
      <c r="AF5" s="128">
        <f>EDATE(InceptionDate,27)</f>
        <v/>
      </c>
      <c r="AG5" s="128">
        <f>EDATE(InceptionDate,28)</f>
        <v/>
      </c>
      <c r="AH5" s="128">
        <f>EDATE(InceptionDate,29)</f>
        <v/>
      </c>
      <c r="AI5" s="128">
        <f>EDATE(InceptionDate,30)</f>
        <v/>
      </c>
      <c r="AJ5" s="128">
        <f>EDATE(InceptionDate,31)</f>
        <v/>
      </c>
      <c r="AK5" s="128">
        <f>EDATE(InceptionDate,32)</f>
        <v/>
      </c>
      <c r="AL5" s="128">
        <f>EDATE(InceptionDate,33)</f>
        <v/>
      </c>
      <c r="AM5" s="128">
        <f>EDATE(InceptionDate,34)</f>
        <v/>
      </c>
      <c r="AN5" s="128">
        <f>EDATE(InceptionDate,35)</f>
        <v/>
      </c>
      <c r="AO5" s="128">
        <f>EDATE(InceptionDate,36)</f>
        <v/>
      </c>
      <c r="AP5" s="128">
        <f>EDATE(InceptionDate,37)</f>
        <v/>
      </c>
      <c r="AQ5" s="128">
        <f>EDATE(InceptionDate,38)</f>
        <v/>
      </c>
      <c r="AR5" s="128">
        <f>EDATE(InceptionDate,39)</f>
        <v/>
      </c>
      <c r="AS5" s="128">
        <f>EDATE(InceptionDate,40)</f>
        <v/>
      </c>
      <c r="AT5" s="128">
        <f>EDATE(InceptionDate,41)</f>
        <v/>
      </c>
      <c r="AU5" s="128">
        <f>EDATE(InceptionDate,42)</f>
        <v/>
      </c>
      <c r="AV5" s="128">
        <f>EDATE(InceptionDate,43)</f>
        <v/>
      </c>
      <c r="AW5" s="128">
        <f>EDATE(InceptionDate,44)</f>
        <v/>
      </c>
      <c r="AX5" s="128">
        <f>EDATE(InceptionDate,45)</f>
        <v/>
      </c>
      <c r="AY5" s="128">
        <f>EDATE(InceptionDate,46)</f>
        <v/>
      </c>
      <c r="AZ5" s="128">
        <f>EDATE(InceptionDate,47)</f>
        <v/>
      </c>
      <c r="BA5" s="128">
        <f>EDATE(InceptionDate,48)</f>
        <v/>
      </c>
      <c r="BB5" s="128">
        <f>EDATE(InceptionDate,49)</f>
        <v/>
      </c>
      <c r="BC5" s="128">
        <f>EDATE(InceptionDate,50)</f>
        <v/>
      </c>
      <c r="BD5" s="128">
        <f>EDATE(InceptionDate,51)</f>
        <v/>
      </c>
      <c r="BE5" s="128">
        <f>EDATE(InceptionDate,52)</f>
        <v/>
      </c>
      <c r="BF5" s="128">
        <f>EDATE(InceptionDate,53)</f>
        <v/>
      </c>
      <c r="BG5" s="128">
        <f>EDATE(InceptionDate,54)</f>
        <v/>
      </c>
      <c r="BH5" s="128">
        <f>EDATE(InceptionDate,55)</f>
        <v/>
      </c>
      <c r="BI5" s="128">
        <f>EDATE(InceptionDate,56)</f>
        <v/>
      </c>
      <c r="BJ5" s="128">
        <f>EDATE(InceptionDate,57)</f>
        <v/>
      </c>
      <c r="BK5" s="128">
        <f>EDATE(InceptionDate,58)</f>
        <v/>
      </c>
      <c r="BL5" s="128">
        <f>EDATE(InceptionDate,59)</f>
        <v/>
      </c>
      <c r="BM5" s="128">
        <f>EDATE(InceptionDate,60)</f>
        <v/>
      </c>
      <c r="BN5" s="128">
        <f>EDATE(InceptionDate,61)</f>
        <v/>
      </c>
      <c r="BO5" s="128">
        <f>EDATE(InceptionDate,62)</f>
        <v/>
      </c>
      <c r="BP5" s="128">
        <f>EDATE(InceptionDate,63)</f>
        <v/>
      </c>
      <c r="BQ5" s="128">
        <f>EDATE(InceptionDate,64)</f>
        <v/>
      </c>
      <c r="BR5" s="128">
        <f>EDATE(InceptionDate,65)</f>
        <v/>
      </c>
      <c r="BS5" s="128">
        <f>EDATE(InceptionDate,66)</f>
        <v/>
      </c>
      <c r="BT5" s="128">
        <f>EDATE(InceptionDate,67)</f>
        <v/>
      </c>
      <c r="BU5" s="128">
        <f>EDATE(InceptionDate,68)</f>
        <v/>
      </c>
      <c r="BV5" s="128">
        <f>EDATE(InceptionDate,69)</f>
        <v/>
      </c>
      <c r="BW5" s="128">
        <f>EDATE(InceptionDate,70)</f>
        <v/>
      </c>
      <c r="BX5" s="128">
        <f>EDATE(InceptionDate,71)</f>
        <v/>
      </c>
      <c r="BY5" s="128">
        <f>EDATE(InceptionDate,72)</f>
        <v/>
      </c>
      <c r="BZ5" s="128">
        <f>EDATE(InceptionDate,73)</f>
        <v/>
      </c>
      <c r="CA5" s="128">
        <f>EDATE(InceptionDate,74)</f>
        <v/>
      </c>
      <c r="CB5" s="128">
        <f>EDATE(InceptionDate,75)</f>
        <v/>
      </c>
      <c r="CC5" s="128">
        <f>EDATE(InceptionDate,76)</f>
        <v/>
      </c>
      <c r="CD5" s="128">
        <f>EDATE(InceptionDate,77)</f>
        <v/>
      </c>
      <c r="CE5" s="128">
        <f>EDATE(InceptionDate,78)</f>
        <v/>
      </c>
      <c r="CF5" s="128">
        <f>EDATE(InceptionDate,79)</f>
        <v/>
      </c>
      <c r="CG5" s="128">
        <f>EDATE(InceptionDate,80)</f>
        <v/>
      </c>
      <c r="CH5" s="128">
        <f>EDATE(InceptionDate,81)</f>
        <v/>
      </c>
      <c r="CI5" s="128">
        <f>EDATE(InceptionDate,82)</f>
        <v/>
      </c>
      <c r="CJ5" s="128">
        <f>EDATE(InceptionDate,83)</f>
        <v/>
      </c>
      <c r="CK5" s="128">
        <f>EDATE(InceptionDate,84)</f>
        <v/>
      </c>
      <c r="CL5" s="128">
        <f>EDATE(InceptionDate,85)</f>
        <v/>
      </c>
      <c r="CM5" s="128">
        <f>EDATE(InceptionDate,86)</f>
        <v/>
      </c>
      <c r="CN5" s="128">
        <f>EDATE(InceptionDate,87)</f>
        <v/>
      </c>
      <c r="CO5" s="128">
        <f>EDATE(InceptionDate,88)</f>
        <v/>
      </c>
      <c r="CP5" s="128">
        <f>EDATE(InceptionDate,89)</f>
        <v/>
      </c>
      <c r="CQ5" s="128">
        <f>EDATE(InceptionDate,90)</f>
        <v/>
      </c>
      <c r="CR5" s="128">
        <f>EDATE(InceptionDate,91)</f>
        <v/>
      </c>
      <c r="CS5" s="128">
        <f>EDATE(InceptionDate,92)</f>
        <v/>
      </c>
      <c r="CT5" s="128">
        <f>EDATE(InceptionDate,93)</f>
        <v/>
      </c>
      <c r="CU5" s="128">
        <f>EDATE(InceptionDate,94)</f>
        <v/>
      </c>
      <c r="CV5" s="128">
        <f>EDATE(InceptionDate,95)</f>
        <v/>
      </c>
      <c r="CW5" s="128">
        <f>EDATE(InceptionDate,96)</f>
        <v/>
      </c>
      <c r="CX5" s="128">
        <f>EDATE(InceptionDate,97)</f>
        <v/>
      </c>
      <c r="CY5" s="128">
        <f>EDATE(InceptionDate,98)</f>
        <v/>
      </c>
      <c r="CZ5" s="128">
        <f>EDATE(InceptionDate,99)</f>
        <v/>
      </c>
      <c r="DA5" s="128">
        <f>EDATE(InceptionDate,100)</f>
        <v/>
      </c>
      <c r="DB5" s="128">
        <f>EDATE(InceptionDate,101)</f>
        <v/>
      </c>
      <c r="DC5" s="128">
        <f>EDATE(InceptionDate,102)</f>
        <v/>
      </c>
      <c r="DD5" s="128">
        <f>EDATE(InceptionDate,103)</f>
        <v/>
      </c>
      <c r="DE5" s="128">
        <f>EDATE(InceptionDate,104)</f>
        <v/>
      </c>
      <c r="DF5" s="128">
        <f>EDATE(InceptionDate,105)</f>
        <v/>
      </c>
      <c r="DG5" s="128">
        <f>EDATE(InceptionDate,106)</f>
        <v/>
      </c>
      <c r="DH5" s="128">
        <f>EDATE(InceptionDate,107)</f>
        <v/>
      </c>
      <c r="DI5" s="128">
        <f>EDATE(InceptionDate,108)</f>
        <v/>
      </c>
      <c r="DJ5" s="128">
        <f>EDATE(InceptionDate,109)</f>
        <v/>
      </c>
      <c r="DK5" s="128">
        <f>EDATE(InceptionDate,110)</f>
        <v/>
      </c>
      <c r="DL5" s="128">
        <f>EDATE(InceptionDate,111)</f>
        <v/>
      </c>
      <c r="DM5" s="128">
        <f>EDATE(InceptionDate,112)</f>
        <v/>
      </c>
      <c r="DN5" s="128">
        <f>EDATE(InceptionDate,113)</f>
        <v/>
      </c>
      <c r="DO5" s="128">
        <f>EDATE(InceptionDate,114)</f>
        <v/>
      </c>
      <c r="DP5" s="128">
        <f>EDATE(InceptionDate,115)</f>
        <v/>
      </c>
      <c r="DQ5" s="128">
        <f>EDATE(InceptionDate,116)</f>
        <v/>
      </c>
      <c r="DR5" s="128">
        <f>EDATE(InceptionDate,117)</f>
        <v/>
      </c>
      <c r="DS5" s="128">
        <f>EDATE(InceptionDate,118)</f>
        <v/>
      </c>
      <c r="DT5" s="128">
        <f>EDATE(InceptionDate,119)</f>
        <v/>
      </c>
      <c r="DU5" s="128">
        <f>EDATE(InceptionDate,120)</f>
        <v/>
      </c>
      <c r="DV5" s="128">
        <f>EDATE(InceptionDate,121)</f>
        <v/>
      </c>
      <c r="DW5" s="128">
        <f>EDATE(InceptionDate,122)</f>
        <v/>
      </c>
      <c r="DX5" s="128">
        <f>EDATE(InceptionDate,123)</f>
        <v/>
      </c>
      <c r="DY5" s="128">
        <f>EDATE(InceptionDate,124)</f>
        <v/>
      </c>
      <c r="DZ5" s="128">
        <f>EDATE(InceptionDate,125)</f>
        <v/>
      </c>
      <c r="EA5" s="128">
        <f>EDATE(InceptionDate,126)</f>
        <v/>
      </c>
      <c r="EB5" s="128">
        <f>EDATE(InceptionDate,127)</f>
        <v/>
      </c>
      <c r="EC5" s="128">
        <f>EDATE(InceptionDate,128)</f>
        <v/>
      </c>
      <c r="ED5" s="128">
        <f>EDATE(InceptionDate,129)</f>
        <v/>
      </c>
      <c r="EE5" s="128">
        <f>EDATE(InceptionDate,130)</f>
        <v/>
      </c>
      <c r="EF5" s="128">
        <f>EDATE(InceptionDate,131)</f>
        <v/>
      </c>
      <c r="EG5" s="128">
        <f>EDATE(InceptionDate,132)</f>
        <v/>
      </c>
      <c r="EH5" s="128">
        <f>EDATE(InceptionDate,133)</f>
        <v/>
      </c>
      <c r="EI5" s="128">
        <f>EDATE(InceptionDate,134)</f>
        <v/>
      </c>
      <c r="EJ5" s="128">
        <f>EDATE(InceptionDate,135)</f>
        <v/>
      </c>
      <c r="EK5" s="128">
        <f>EDATE(InceptionDate,136)</f>
        <v/>
      </c>
      <c r="EL5" s="128">
        <f>EDATE(InceptionDate,137)</f>
        <v/>
      </c>
      <c r="EM5" s="128">
        <f>EDATE(InceptionDate,138)</f>
        <v/>
      </c>
      <c r="EN5" s="128">
        <f>EDATE(InceptionDate,139)</f>
        <v/>
      </c>
      <c r="EO5" s="128">
        <f>EDATE(InceptionDate,140)</f>
        <v/>
      </c>
      <c r="EP5" s="128">
        <f>EDATE(InceptionDate,141)</f>
        <v/>
      </c>
      <c r="EQ5" s="128">
        <f>EDATE(InceptionDate,142)</f>
        <v/>
      </c>
      <c r="ER5" s="128">
        <f>EDATE(InceptionDate,143)</f>
        <v/>
      </c>
      <c r="ES5" s="128">
        <f>EDATE(InceptionDate,144)</f>
        <v/>
      </c>
      <c r="ET5" s="128">
        <f>EDATE(InceptionDate,145)</f>
        <v/>
      </c>
      <c r="EU5" s="128">
        <f>EDATE(InceptionDate,146)</f>
        <v/>
      </c>
      <c r="EV5" s="128">
        <f>EDATE(InceptionDate,147)</f>
        <v/>
      </c>
      <c r="EW5" s="128">
        <f>EDATE(InceptionDate,148)</f>
        <v/>
      </c>
      <c r="EX5" s="128">
        <f>EDATE(InceptionDate,149)</f>
        <v/>
      </c>
      <c r="EY5" s="128">
        <f>EDATE(InceptionDate,150)</f>
        <v/>
      </c>
      <c r="EZ5" s="128">
        <f>EDATE(InceptionDate,151)</f>
        <v/>
      </c>
      <c r="FA5" s="128">
        <f>EDATE(InceptionDate,152)</f>
        <v/>
      </c>
      <c r="FB5" s="128">
        <f>EDATE(InceptionDate,153)</f>
        <v/>
      </c>
      <c r="FC5" s="128">
        <f>EDATE(InceptionDate,154)</f>
        <v/>
      </c>
      <c r="FD5" s="128">
        <f>EDATE(InceptionDate,155)</f>
        <v/>
      </c>
      <c r="FE5" s="128">
        <f>EDATE(InceptionDate,156)</f>
        <v/>
      </c>
      <c r="FF5" s="128">
        <f>EDATE(InceptionDate,157)</f>
        <v/>
      </c>
      <c r="FG5" s="128">
        <f>EDATE(InceptionDate,158)</f>
        <v/>
      </c>
      <c r="FH5" s="128">
        <f>EDATE(InceptionDate,159)</f>
        <v/>
      </c>
      <c r="FI5" s="128">
        <f>EDATE(InceptionDate,160)</f>
        <v/>
      </c>
      <c r="FJ5" s="128">
        <f>EDATE(InceptionDate,161)</f>
        <v/>
      </c>
      <c r="FK5" s="128">
        <f>EDATE(InceptionDate,162)</f>
        <v/>
      </c>
      <c r="FL5" s="128">
        <f>EDATE(InceptionDate,163)</f>
        <v/>
      </c>
      <c r="FM5" s="128">
        <f>EDATE(InceptionDate,164)</f>
        <v/>
      </c>
      <c r="FN5" s="128">
        <f>EDATE(InceptionDate,165)</f>
        <v/>
      </c>
      <c r="FO5" s="128">
        <f>EDATE(InceptionDate,166)</f>
        <v/>
      </c>
      <c r="FP5" s="128">
        <f>EDATE(InceptionDate,167)</f>
        <v/>
      </c>
      <c r="FQ5" s="128">
        <f>EDATE(InceptionDate,168)</f>
        <v/>
      </c>
      <c r="FR5" s="128">
        <f>EDATE(InceptionDate,169)</f>
        <v/>
      </c>
      <c r="FS5" s="128">
        <f>EDATE(InceptionDate,170)</f>
        <v/>
      </c>
      <c r="FT5" s="128">
        <f>EDATE(InceptionDate,171)</f>
        <v/>
      </c>
      <c r="FU5" s="128">
        <f>EDATE(InceptionDate,172)</f>
        <v/>
      </c>
      <c r="FV5" s="128">
        <f>EDATE(InceptionDate,173)</f>
        <v/>
      </c>
      <c r="FW5" s="128">
        <f>EDATE(InceptionDate,174)</f>
        <v/>
      </c>
      <c r="FX5" s="128">
        <f>EDATE(InceptionDate,175)</f>
        <v/>
      </c>
      <c r="FY5" s="128">
        <f>EDATE(InceptionDate,176)</f>
        <v/>
      </c>
      <c r="FZ5" s="128">
        <f>EDATE(InceptionDate,177)</f>
        <v/>
      </c>
      <c r="GA5" s="128">
        <f>EDATE(InceptionDate,178)</f>
        <v/>
      </c>
      <c r="GB5" s="128">
        <f>EDATE(InceptionDate,179)</f>
        <v/>
      </c>
      <c r="GC5" s="128">
        <f>EDATE(InceptionDate,180)</f>
        <v/>
      </c>
      <c r="GD5" s="128">
        <f>EDATE(InceptionDate,181)</f>
        <v/>
      </c>
      <c r="GE5" s="128">
        <f>EDATE(InceptionDate,182)</f>
        <v/>
      </c>
      <c r="GF5" s="128">
        <f>EDATE(InceptionDate,183)</f>
        <v/>
      </c>
      <c r="GG5" s="128">
        <f>EDATE(InceptionDate,184)</f>
        <v/>
      </c>
      <c r="GH5" s="128">
        <f>EDATE(InceptionDate,185)</f>
        <v/>
      </c>
      <c r="GI5" s="128">
        <f>EDATE(InceptionDate,186)</f>
        <v/>
      </c>
      <c r="GJ5" s="128">
        <f>EDATE(InceptionDate,187)</f>
        <v/>
      </c>
      <c r="GK5" s="128">
        <f>EDATE(InceptionDate,188)</f>
        <v/>
      </c>
      <c r="GL5" s="128">
        <f>EDATE(InceptionDate,189)</f>
        <v/>
      </c>
      <c r="GM5" s="128">
        <f>EDATE(InceptionDate,190)</f>
        <v/>
      </c>
      <c r="GN5" s="128">
        <f>EDATE(InceptionDate,191)</f>
        <v/>
      </c>
      <c r="GO5" s="128">
        <f>EDATE(InceptionDate,192)</f>
        <v/>
      </c>
      <c r="GP5" s="128">
        <f>EDATE(InceptionDate,193)</f>
        <v/>
      </c>
      <c r="GQ5" s="128">
        <f>EDATE(InceptionDate,194)</f>
        <v/>
      </c>
      <c r="GR5" s="128">
        <f>EDATE(InceptionDate,195)</f>
        <v/>
      </c>
      <c r="GS5" s="128">
        <f>EDATE(InceptionDate,196)</f>
        <v/>
      </c>
      <c r="GT5" s="128">
        <f>EDATE(InceptionDate,197)</f>
        <v/>
      </c>
      <c r="GU5" s="128">
        <f>EDATE(InceptionDate,198)</f>
        <v/>
      </c>
      <c r="GV5" s="128">
        <f>EDATE(InceptionDate,199)</f>
        <v/>
      </c>
      <c r="GW5" s="128">
        <f>EDATE(InceptionDate,200)</f>
        <v/>
      </c>
      <c r="GX5" s="128">
        <f>EDATE(InceptionDate,201)</f>
        <v/>
      </c>
      <c r="GY5" s="128">
        <f>EDATE(InceptionDate,202)</f>
        <v/>
      </c>
      <c r="GZ5" s="128">
        <f>EDATE(InceptionDate,203)</f>
        <v/>
      </c>
      <c r="HA5" s="128">
        <f>EDATE(InceptionDate,204)</f>
        <v/>
      </c>
      <c r="HB5" s="128">
        <f>EDATE(InceptionDate,205)</f>
        <v/>
      </c>
      <c r="HC5" s="128">
        <f>EDATE(InceptionDate,206)</f>
        <v/>
      </c>
      <c r="HD5" s="128">
        <f>EDATE(InceptionDate,207)</f>
        <v/>
      </c>
      <c r="HE5" s="128">
        <f>EDATE(InceptionDate,208)</f>
        <v/>
      </c>
      <c r="HF5" s="128">
        <f>EDATE(InceptionDate,209)</f>
        <v/>
      </c>
      <c r="HG5" s="128">
        <f>EDATE(InceptionDate,210)</f>
        <v/>
      </c>
      <c r="HH5" s="128">
        <f>EDATE(InceptionDate,211)</f>
        <v/>
      </c>
      <c r="HI5" s="128">
        <f>EDATE(InceptionDate,212)</f>
        <v/>
      </c>
      <c r="HJ5" s="128">
        <f>EDATE(InceptionDate,213)</f>
        <v/>
      </c>
      <c r="HK5" s="128">
        <f>EDATE(InceptionDate,214)</f>
        <v/>
      </c>
      <c r="HL5" s="128">
        <f>EDATE(InceptionDate,215)</f>
        <v/>
      </c>
      <c r="HM5" s="128">
        <f>EDATE(InceptionDate,216)</f>
        <v/>
      </c>
      <c r="HN5" s="128">
        <f>EDATE(InceptionDate,217)</f>
        <v/>
      </c>
      <c r="HO5" s="128">
        <f>EDATE(InceptionDate,218)</f>
        <v/>
      </c>
      <c r="HP5" s="128">
        <f>EDATE(InceptionDate,219)</f>
        <v/>
      </c>
      <c r="HQ5" s="128">
        <f>EDATE(InceptionDate,220)</f>
        <v/>
      </c>
      <c r="HR5" s="128">
        <f>EDATE(InceptionDate,221)</f>
        <v/>
      </c>
      <c r="HS5" s="128">
        <f>EDATE(InceptionDate,222)</f>
        <v/>
      </c>
      <c r="HT5" s="128">
        <f>EDATE(InceptionDate,223)</f>
        <v/>
      </c>
      <c r="HU5" s="128">
        <f>EDATE(InceptionDate,224)</f>
        <v/>
      </c>
      <c r="HV5" s="128">
        <f>EDATE(InceptionDate,225)</f>
        <v/>
      </c>
      <c r="HW5" s="128">
        <f>EDATE(InceptionDate,226)</f>
        <v/>
      </c>
      <c r="HX5" s="128">
        <f>EDATE(InceptionDate,227)</f>
        <v/>
      </c>
      <c r="HY5" s="128">
        <f>EDATE(InceptionDate,228)</f>
        <v/>
      </c>
      <c r="HZ5" s="128">
        <f>EDATE(InceptionDate,229)</f>
        <v/>
      </c>
      <c r="IA5" s="128">
        <f>EDATE(InceptionDate,230)</f>
        <v/>
      </c>
      <c r="IB5" s="128">
        <f>EDATE(InceptionDate,231)</f>
        <v/>
      </c>
      <c r="IC5" s="128">
        <f>EDATE(InceptionDate,232)</f>
        <v/>
      </c>
      <c r="ID5" s="128">
        <f>EDATE(InceptionDate,233)</f>
        <v/>
      </c>
      <c r="IE5" s="128">
        <f>EDATE(InceptionDate,234)</f>
        <v/>
      </c>
      <c r="IF5" s="128">
        <f>EDATE(InceptionDate,235)</f>
        <v/>
      </c>
      <c r="IG5" s="128">
        <f>EDATE(InceptionDate,236)</f>
        <v/>
      </c>
      <c r="IH5" s="128">
        <f>EDATE(InceptionDate,237)</f>
        <v/>
      </c>
      <c r="II5" s="128">
        <f>EDATE(InceptionDate,238)</f>
        <v/>
      </c>
      <c r="IJ5" s="128">
        <f>EDATE(InceptionDate,239)</f>
        <v/>
      </c>
      <c r="IK5" s="128">
        <f>EDATE(InceptionDate,240)</f>
        <v/>
      </c>
      <c r="IL5" s="128">
        <f>EDATE(InceptionDate,241)</f>
        <v/>
      </c>
      <c r="IM5" s="128">
        <f>EDATE(InceptionDate,242)</f>
        <v/>
      </c>
      <c r="IN5" s="128">
        <f>EDATE(InceptionDate,243)</f>
        <v/>
      </c>
      <c r="IO5" s="128">
        <f>EDATE(InceptionDate,244)</f>
        <v/>
      </c>
      <c r="IP5" s="128">
        <f>EDATE(InceptionDate,245)</f>
        <v/>
      </c>
      <c r="IQ5" s="128">
        <f>EDATE(InceptionDate,246)</f>
        <v/>
      </c>
      <c r="IR5" s="128">
        <f>EDATE(InceptionDate,247)</f>
        <v/>
      </c>
      <c r="IS5" s="128">
        <f>EDATE(InceptionDate,248)</f>
        <v/>
      </c>
      <c r="IT5" s="128">
        <f>EDATE(InceptionDate,249)</f>
        <v/>
      </c>
      <c r="IU5" s="128">
        <f>EDATE(InceptionDate,250)</f>
        <v/>
      </c>
      <c r="IV5" s="128">
        <f>EDATE(InceptionDate,251)</f>
        <v/>
      </c>
      <c r="IW5" s="128">
        <f>EDATE(InceptionDate,252)</f>
        <v/>
      </c>
      <c r="IX5" s="128">
        <f>EDATE(InceptionDate,253)</f>
        <v/>
      </c>
      <c r="IY5" s="128">
        <f>EDATE(InceptionDate,254)</f>
        <v/>
      </c>
      <c r="IZ5" s="128">
        <f>EDATE(InceptionDate,255)</f>
        <v/>
      </c>
      <c r="JA5" s="128">
        <f>EDATE(InceptionDate,256)</f>
        <v/>
      </c>
      <c r="JB5" s="128">
        <f>EDATE(InceptionDate,257)</f>
        <v/>
      </c>
      <c r="JC5" s="128">
        <f>EDATE(InceptionDate,258)</f>
        <v/>
      </c>
      <c r="JD5" s="128">
        <f>EDATE(InceptionDate,259)</f>
        <v/>
      </c>
      <c r="JE5" s="128">
        <f>EDATE(InceptionDate,260)</f>
        <v/>
      </c>
      <c r="JF5" s="128">
        <f>EDATE(InceptionDate,261)</f>
        <v/>
      </c>
      <c r="JG5" s="128">
        <f>EDATE(InceptionDate,262)</f>
        <v/>
      </c>
      <c r="JH5" s="128">
        <f>EDATE(InceptionDate,263)</f>
        <v/>
      </c>
      <c r="JI5" s="128">
        <f>EDATE(InceptionDate,264)</f>
        <v/>
      </c>
      <c r="JJ5" s="128">
        <f>EDATE(InceptionDate,265)</f>
        <v/>
      </c>
      <c r="JK5" s="128">
        <f>EDATE(InceptionDate,266)</f>
        <v/>
      </c>
      <c r="JL5" s="128">
        <f>EDATE(InceptionDate,267)</f>
        <v/>
      </c>
      <c r="JM5" s="128">
        <f>EDATE(InceptionDate,268)</f>
        <v/>
      </c>
      <c r="JN5" s="128">
        <f>EDATE(InceptionDate,269)</f>
        <v/>
      </c>
      <c r="JO5" s="128">
        <f>EDATE(InceptionDate,270)</f>
        <v/>
      </c>
      <c r="JP5" s="128">
        <f>EDATE(InceptionDate,271)</f>
        <v/>
      </c>
      <c r="JQ5" s="128">
        <f>EDATE(InceptionDate,272)</f>
        <v/>
      </c>
      <c r="JR5" s="128">
        <f>EDATE(InceptionDate,273)</f>
        <v/>
      </c>
      <c r="JS5" s="128">
        <f>EDATE(InceptionDate,274)</f>
        <v/>
      </c>
      <c r="JT5" s="128">
        <f>EDATE(InceptionDate,275)</f>
        <v/>
      </c>
      <c r="JU5" s="128">
        <f>EDATE(InceptionDate,276)</f>
        <v/>
      </c>
      <c r="JV5" s="128">
        <f>EDATE(InceptionDate,277)</f>
        <v/>
      </c>
      <c r="JW5" s="128">
        <f>EDATE(InceptionDate,278)</f>
        <v/>
      </c>
      <c r="JX5" s="128">
        <f>EDATE(InceptionDate,279)</f>
        <v/>
      </c>
      <c r="JY5" s="128">
        <f>EDATE(InceptionDate,280)</f>
        <v/>
      </c>
      <c r="JZ5" s="128">
        <f>EDATE(InceptionDate,281)</f>
        <v/>
      </c>
      <c r="KA5" s="128">
        <f>EDATE(InceptionDate,282)</f>
        <v/>
      </c>
      <c r="KB5" s="128">
        <f>EDATE(InceptionDate,283)</f>
        <v/>
      </c>
      <c r="KC5" s="128">
        <f>EDATE(InceptionDate,284)</f>
        <v/>
      </c>
      <c r="KD5" s="128">
        <f>EDATE(InceptionDate,285)</f>
        <v/>
      </c>
      <c r="KE5" s="128">
        <f>EDATE(InceptionDate,286)</f>
        <v/>
      </c>
      <c r="KF5" s="128">
        <f>EDATE(InceptionDate,287)</f>
        <v/>
      </c>
      <c r="KG5" s="128">
        <f>EDATE(InceptionDate,288)</f>
        <v/>
      </c>
      <c r="KH5" s="128">
        <f>EDATE(InceptionDate,289)</f>
        <v/>
      </c>
      <c r="KI5" s="128">
        <f>EDATE(InceptionDate,290)</f>
        <v/>
      </c>
      <c r="KJ5" s="128">
        <f>EDATE(InceptionDate,291)</f>
        <v/>
      </c>
      <c r="KK5" s="128">
        <f>EDATE(InceptionDate,292)</f>
        <v/>
      </c>
      <c r="KL5" s="128">
        <f>EDATE(InceptionDate,293)</f>
        <v/>
      </c>
      <c r="KM5" s="128">
        <f>EDATE(InceptionDate,294)</f>
        <v/>
      </c>
      <c r="KN5" s="128">
        <f>EDATE(InceptionDate,295)</f>
        <v/>
      </c>
      <c r="KO5" s="128">
        <f>EDATE(InceptionDate,296)</f>
        <v/>
      </c>
      <c r="KP5" s="128">
        <f>EDATE(InceptionDate,297)</f>
        <v/>
      </c>
      <c r="KQ5" s="128">
        <f>EDATE(InceptionDate,298)</f>
        <v/>
      </c>
      <c r="KR5" s="128">
        <f>EDATE(InceptionDate,299)</f>
        <v/>
      </c>
      <c r="KS5" s="128">
        <f>EDATE(InceptionDate,300)</f>
        <v/>
      </c>
      <c r="KT5" s="128">
        <f>EDATE(InceptionDate,301)</f>
        <v/>
      </c>
      <c r="KU5" s="128">
        <f>EDATE(InceptionDate,302)</f>
        <v/>
      </c>
      <c r="KV5" s="128">
        <f>EDATE(InceptionDate,303)</f>
        <v/>
      </c>
      <c r="KW5" s="128">
        <f>EDATE(InceptionDate,304)</f>
        <v/>
      </c>
      <c r="KX5" s="128">
        <f>EDATE(InceptionDate,305)</f>
        <v/>
      </c>
      <c r="KY5" s="128">
        <f>EDATE(InceptionDate,306)</f>
        <v/>
      </c>
      <c r="KZ5" s="128">
        <f>EDATE(InceptionDate,307)</f>
        <v/>
      </c>
      <c r="LA5" s="128">
        <f>EDATE(InceptionDate,308)</f>
        <v/>
      </c>
      <c r="LB5" s="128">
        <f>EDATE(InceptionDate,309)</f>
        <v/>
      </c>
      <c r="LC5" s="128">
        <f>EDATE(InceptionDate,310)</f>
        <v/>
      </c>
      <c r="LD5" s="128">
        <f>EDATE(InceptionDate,311)</f>
        <v/>
      </c>
      <c r="LE5" s="128">
        <f>EDATE(InceptionDate,312)</f>
        <v/>
      </c>
      <c r="LF5" s="128">
        <f>EDATE(InceptionDate,313)</f>
        <v/>
      </c>
      <c r="LG5" s="128">
        <f>EDATE(InceptionDate,314)</f>
        <v/>
      </c>
      <c r="LH5" s="128">
        <f>EDATE(InceptionDate,315)</f>
        <v/>
      </c>
      <c r="LI5" s="128">
        <f>EDATE(InceptionDate,316)</f>
        <v/>
      </c>
      <c r="LJ5" s="128">
        <f>EDATE(InceptionDate,317)</f>
        <v/>
      </c>
      <c r="LK5" s="128">
        <f>EDATE(InceptionDate,318)</f>
        <v/>
      </c>
      <c r="LL5" s="128">
        <f>EDATE(InceptionDate,319)</f>
        <v/>
      </c>
      <c r="LM5" s="128">
        <f>EDATE(InceptionDate,320)</f>
        <v/>
      </c>
      <c r="LN5" s="128">
        <f>EDATE(InceptionDate,321)</f>
        <v/>
      </c>
      <c r="LO5" s="128">
        <f>EDATE(InceptionDate,322)</f>
        <v/>
      </c>
      <c r="LP5" s="128">
        <f>EDATE(InceptionDate,323)</f>
        <v/>
      </c>
      <c r="LQ5" s="128">
        <f>EDATE(InceptionDate,324)</f>
        <v/>
      </c>
      <c r="LR5" s="128">
        <f>EDATE(InceptionDate,325)</f>
        <v/>
      </c>
      <c r="LS5" s="128">
        <f>EDATE(InceptionDate,326)</f>
        <v/>
      </c>
      <c r="LT5" s="128">
        <f>EDATE(InceptionDate,327)</f>
        <v/>
      </c>
      <c r="LU5" s="128">
        <f>EDATE(InceptionDate,328)</f>
        <v/>
      </c>
      <c r="LV5" s="128">
        <f>EDATE(InceptionDate,329)</f>
        <v/>
      </c>
      <c r="LW5" s="128">
        <f>EDATE(InceptionDate,330)</f>
        <v/>
      </c>
      <c r="LX5" s="128">
        <f>EDATE(InceptionDate,331)</f>
        <v/>
      </c>
      <c r="LY5" s="128">
        <f>EDATE(InceptionDate,332)</f>
        <v/>
      </c>
      <c r="LZ5" s="128">
        <f>EDATE(InceptionDate,333)</f>
        <v/>
      </c>
      <c r="MA5" s="128">
        <f>EDATE(InceptionDate,334)</f>
        <v/>
      </c>
      <c r="MB5" s="128">
        <f>EDATE(InceptionDate,335)</f>
        <v/>
      </c>
      <c r="MC5" s="128">
        <f>EDATE(InceptionDate,336)</f>
        <v/>
      </c>
      <c r="MD5" s="128">
        <f>EDATE(InceptionDate,337)</f>
        <v/>
      </c>
      <c r="ME5" s="128">
        <f>EDATE(InceptionDate,338)</f>
        <v/>
      </c>
      <c r="MF5" s="128">
        <f>EDATE(InceptionDate,339)</f>
        <v/>
      </c>
      <c r="MG5" s="128">
        <f>EDATE(InceptionDate,340)</f>
        <v/>
      </c>
      <c r="MH5" s="128">
        <f>EDATE(InceptionDate,341)</f>
        <v/>
      </c>
      <c r="MI5" s="128">
        <f>EDATE(InceptionDate,342)</f>
        <v/>
      </c>
      <c r="MJ5" s="128">
        <f>EDATE(InceptionDate,343)</f>
        <v/>
      </c>
      <c r="MK5" s="128">
        <f>EDATE(InceptionDate,344)</f>
        <v/>
      </c>
      <c r="ML5" s="128">
        <f>EDATE(InceptionDate,345)</f>
        <v/>
      </c>
      <c r="MM5" s="128">
        <f>EDATE(InceptionDate,346)</f>
        <v/>
      </c>
      <c r="MN5" s="128">
        <f>EDATE(InceptionDate,347)</f>
        <v/>
      </c>
      <c r="MO5" s="128">
        <f>EDATE(InceptionDate,348)</f>
        <v/>
      </c>
      <c r="MP5" s="128">
        <f>EDATE(InceptionDate,349)</f>
        <v/>
      </c>
      <c r="MQ5" s="128">
        <f>EDATE(InceptionDate,350)</f>
        <v/>
      </c>
      <c r="MR5" s="128">
        <f>EDATE(InceptionDate,351)</f>
        <v/>
      </c>
      <c r="MS5" s="128">
        <f>EDATE(InceptionDate,352)</f>
        <v/>
      </c>
      <c r="MT5" s="128">
        <f>EDATE(InceptionDate,353)</f>
        <v/>
      </c>
      <c r="MU5" s="128">
        <f>EDATE(InceptionDate,354)</f>
        <v/>
      </c>
      <c r="MV5" s="128">
        <f>EDATE(InceptionDate,355)</f>
        <v/>
      </c>
      <c r="MW5" s="128">
        <f>EDATE(InceptionDate,356)</f>
        <v/>
      </c>
      <c r="MX5" s="128">
        <f>EDATE(InceptionDate,357)</f>
        <v/>
      </c>
      <c r="MY5" s="128">
        <f>EDATE(InceptionDate,358)</f>
        <v/>
      </c>
      <c r="MZ5" s="128">
        <f>EDATE(InceptionDate,359)</f>
        <v/>
      </c>
      <c r="NA5" s="128">
        <f>EDATE(InceptionDate,360)</f>
        <v/>
      </c>
      <c r="NB5" s="128">
        <f>EDATE(InceptionDate,361)</f>
        <v/>
      </c>
      <c r="NC5" s="128">
        <f>EDATE(InceptionDate,362)</f>
        <v/>
      </c>
      <c r="ND5" s="128">
        <f>EDATE(InceptionDate,363)</f>
        <v/>
      </c>
      <c r="NE5" s="128">
        <f>EDATE(InceptionDate,364)</f>
        <v/>
      </c>
      <c r="NF5" s="128">
        <f>EDATE(InceptionDate,365)</f>
        <v/>
      </c>
      <c r="NG5" s="128">
        <f>EDATE(InceptionDate,366)</f>
        <v/>
      </c>
      <c r="NH5" s="128">
        <f>EDATE(InceptionDate,367)</f>
        <v/>
      </c>
      <c r="NI5" s="128">
        <f>EDATE(InceptionDate,368)</f>
        <v/>
      </c>
      <c r="NJ5" s="128">
        <f>EDATE(InceptionDate,369)</f>
        <v/>
      </c>
      <c r="NK5" s="128">
        <f>EDATE(InceptionDate,370)</f>
        <v/>
      </c>
      <c r="NL5" s="129">
        <f>EDATE(InceptionDate,371)</f>
        <v/>
      </c>
    </row>
    <row r="6">
      <c r="B6" s="36" t="inlineStr">
        <is>
          <t>Land Acquisition</t>
        </is>
      </c>
      <c r="D6" s="246">
        <f>SUM(E6:NL6)</f>
        <v/>
      </c>
      <c r="E6" s="228">
        <f>IF(AND(1&gt;=$NR$6,1&lt;=$NS$6),IF($NP$6="Single_Point",IF(1=$NR$6,$NN$6,0),IF($NP$6="Bell_Curve",$NN$6*(1-$NR$6+1)*($NS$6-1+1)/$NU$6,$NN$6/$NT$6)),0)</f>
        <v/>
      </c>
      <c r="F6" s="228">
        <f>IF(AND(2&gt;=$NR$6,2&lt;=$NS$6),IF($NP$6="Single_Point",IF(2=$NR$6,$NN$6,0),IF($NP$6="Bell_Curve",$NN$6*(2-$NR$6+1)*($NS$6-2+1)/$NU$6,$NN$6/$NT$6)),0)</f>
        <v/>
      </c>
      <c r="G6" s="228">
        <f>IF(AND(3&gt;=$NR$6,3&lt;=$NS$6),IF($NP$6="Single_Point",IF(3=$NR$6,$NN$6,0),IF($NP$6="Bell_Curve",$NN$6*(3-$NR$6+1)*($NS$6-3+1)/$NU$6,$NN$6/$NT$6)),0)</f>
        <v/>
      </c>
      <c r="H6" s="228">
        <f>IF(AND(4&gt;=$NR$6,4&lt;=$NS$6),IF($NP$6="Single_Point",IF(4=$NR$6,$NN$6,0),IF($NP$6="Bell_Curve",$NN$6*(4-$NR$6+1)*($NS$6-4+1)/$NU$6,$NN$6/$NT$6)),0)</f>
        <v/>
      </c>
      <c r="I6" s="228">
        <f>IF(AND(5&gt;=$NR$6,5&lt;=$NS$6),IF($NP$6="Single_Point",IF(5=$NR$6,$NN$6,0),IF($NP$6="Bell_Curve",$NN$6*(5-$NR$6+1)*($NS$6-5+1)/$NU$6,$NN$6/$NT$6)),0)</f>
        <v/>
      </c>
      <c r="J6" s="228">
        <f>IF(AND(6&gt;=$NR$6,6&lt;=$NS$6),IF($NP$6="Single_Point",IF(6=$NR$6,$NN$6,0),IF($NP$6="Bell_Curve",$NN$6*(6-$NR$6+1)*($NS$6-6+1)/$NU$6,$NN$6/$NT$6)),0)</f>
        <v/>
      </c>
      <c r="K6" s="228">
        <f>IF(AND(7&gt;=$NR$6,7&lt;=$NS$6),IF($NP$6="Single_Point",IF(7=$NR$6,$NN$6,0),IF($NP$6="Bell_Curve",$NN$6*(7-$NR$6+1)*($NS$6-7+1)/$NU$6,$NN$6/$NT$6)),0)</f>
        <v/>
      </c>
      <c r="L6" s="228">
        <f>IF(AND(8&gt;=$NR$6,8&lt;=$NS$6),IF($NP$6="Single_Point",IF(8=$NR$6,$NN$6,0),IF($NP$6="Bell_Curve",$NN$6*(8-$NR$6+1)*($NS$6-8+1)/$NU$6,$NN$6/$NT$6)),0)</f>
        <v/>
      </c>
      <c r="M6" s="228">
        <f>IF(AND(9&gt;=$NR$6,9&lt;=$NS$6),IF($NP$6="Single_Point",IF(9=$NR$6,$NN$6,0),IF($NP$6="Bell_Curve",$NN$6*(9-$NR$6+1)*($NS$6-9+1)/$NU$6,$NN$6/$NT$6)),0)</f>
        <v/>
      </c>
      <c r="N6" s="228">
        <f>IF(AND(10&gt;=$NR$6,10&lt;=$NS$6),IF($NP$6="Single_Point",IF(10=$NR$6,$NN$6,0),IF($NP$6="Bell_Curve",$NN$6*(10-$NR$6+1)*($NS$6-10+1)/$NU$6,$NN$6/$NT$6)),0)</f>
        <v/>
      </c>
      <c r="O6" s="228">
        <f>IF(AND(11&gt;=$NR$6,11&lt;=$NS$6),IF($NP$6="Single_Point",IF(11=$NR$6,$NN$6,0),IF($NP$6="Bell_Curve",$NN$6*(11-$NR$6+1)*($NS$6-11+1)/$NU$6,$NN$6/$NT$6)),0)</f>
        <v/>
      </c>
      <c r="P6" s="228">
        <f>IF(AND(12&gt;=$NR$6,12&lt;=$NS$6),IF($NP$6="Single_Point",IF(12=$NR$6,$NN$6,0),IF($NP$6="Bell_Curve",$NN$6*(12-$NR$6+1)*($NS$6-12+1)/$NU$6,$NN$6/$NT$6)),0)</f>
        <v/>
      </c>
      <c r="Q6" s="228">
        <f>IF(AND(13&gt;=$NR$6,13&lt;=$NS$6),IF($NP$6="Single_Point",IF(13=$NR$6,$NN$6,0),IF($NP$6="Bell_Curve",$NN$6*(13-$NR$6+1)*($NS$6-13+1)/$NU$6,$NN$6/$NT$6)),0)</f>
        <v/>
      </c>
      <c r="R6" s="228">
        <f>IF(AND(14&gt;=$NR$6,14&lt;=$NS$6),IF($NP$6="Single_Point",IF(14=$NR$6,$NN$6,0),IF($NP$6="Bell_Curve",$NN$6*(14-$NR$6+1)*($NS$6-14+1)/$NU$6,$NN$6/$NT$6)),0)</f>
        <v/>
      </c>
      <c r="S6" s="228">
        <f>IF(AND(15&gt;=$NR$6,15&lt;=$NS$6),IF($NP$6="Single_Point",IF(15=$NR$6,$NN$6,0),IF($NP$6="Bell_Curve",$NN$6*(15-$NR$6+1)*($NS$6-15+1)/$NU$6,$NN$6/$NT$6)),0)</f>
        <v/>
      </c>
      <c r="T6" s="228">
        <f>IF(AND(16&gt;=$NR$6,16&lt;=$NS$6),IF($NP$6="Single_Point",IF(16=$NR$6,$NN$6,0),IF($NP$6="Bell_Curve",$NN$6*(16-$NR$6+1)*($NS$6-16+1)/$NU$6,$NN$6/$NT$6)),0)</f>
        <v/>
      </c>
      <c r="U6" s="228">
        <f>IF(AND(17&gt;=$NR$6,17&lt;=$NS$6),IF($NP$6="Single_Point",IF(17=$NR$6,$NN$6,0),IF($NP$6="Bell_Curve",$NN$6*(17-$NR$6+1)*($NS$6-17+1)/$NU$6,$NN$6/$NT$6)),0)</f>
        <v/>
      </c>
      <c r="V6" s="228">
        <f>IF(AND(18&gt;=$NR$6,18&lt;=$NS$6),IF($NP$6="Single_Point",IF(18=$NR$6,$NN$6,0),IF($NP$6="Bell_Curve",$NN$6*(18-$NR$6+1)*($NS$6-18+1)/$NU$6,$NN$6/$NT$6)),0)</f>
        <v/>
      </c>
      <c r="W6" s="228">
        <f>IF(AND(19&gt;=$NR$6,19&lt;=$NS$6),IF($NP$6="Single_Point",IF(19=$NR$6,$NN$6,0),IF($NP$6="Bell_Curve",$NN$6*(19-$NR$6+1)*($NS$6-19+1)/$NU$6,$NN$6/$NT$6)),0)</f>
        <v/>
      </c>
      <c r="X6" s="228">
        <f>IF(AND(20&gt;=$NR$6,20&lt;=$NS$6),IF($NP$6="Single_Point",IF(20=$NR$6,$NN$6,0),IF($NP$6="Bell_Curve",$NN$6*(20-$NR$6+1)*($NS$6-20+1)/$NU$6,$NN$6/$NT$6)),0)</f>
        <v/>
      </c>
      <c r="Y6" s="228">
        <f>IF(AND(21&gt;=$NR$6,21&lt;=$NS$6),IF($NP$6="Single_Point",IF(21=$NR$6,$NN$6,0),IF($NP$6="Bell_Curve",$NN$6*(21-$NR$6+1)*($NS$6-21+1)/$NU$6,$NN$6/$NT$6)),0)</f>
        <v/>
      </c>
      <c r="Z6" s="228">
        <f>IF(AND(22&gt;=$NR$6,22&lt;=$NS$6),IF($NP$6="Single_Point",IF(22=$NR$6,$NN$6,0),IF($NP$6="Bell_Curve",$NN$6*(22-$NR$6+1)*($NS$6-22+1)/$NU$6,$NN$6/$NT$6)),0)</f>
        <v/>
      </c>
      <c r="AA6" s="228">
        <f>IF(AND(23&gt;=$NR$6,23&lt;=$NS$6),IF($NP$6="Single_Point",IF(23=$NR$6,$NN$6,0),IF($NP$6="Bell_Curve",$NN$6*(23-$NR$6+1)*($NS$6-23+1)/$NU$6,$NN$6/$NT$6)),0)</f>
        <v/>
      </c>
      <c r="AB6" s="228">
        <f>IF(AND(24&gt;=$NR$6,24&lt;=$NS$6),IF($NP$6="Single_Point",IF(24=$NR$6,$NN$6,0),IF($NP$6="Bell_Curve",$NN$6*(24-$NR$6+1)*($NS$6-24+1)/$NU$6,$NN$6/$NT$6)),0)</f>
        <v/>
      </c>
      <c r="AC6" s="228">
        <f>IF(AND(25&gt;=$NR$6,25&lt;=$NS$6),IF($NP$6="Single_Point",IF(25=$NR$6,$NN$6,0),IF($NP$6="Bell_Curve",$NN$6*(25-$NR$6+1)*($NS$6-25+1)/$NU$6,$NN$6/$NT$6)),0)</f>
        <v/>
      </c>
      <c r="AD6" s="228">
        <f>IF(AND(26&gt;=$NR$6,26&lt;=$NS$6),IF($NP$6="Single_Point",IF(26=$NR$6,$NN$6,0),IF($NP$6="Bell_Curve",$NN$6*(26-$NR$6+1)*($NS$6-26+1)/$NU$6,$NN$6/$NT$6)),0)</f>
        <v/>
      </c>
      <c r="AE6" s="228">
        <f>IF(AND(27&gt;=$NR$6,27&lt;=$NS$6),IF($NP$6="Single_Point",IF(27=$NR$6,$NN$6,0),IF($NP$6="Bell_Curve",$NN$6*(27-$NR$6+1)*($NS$6-27+1)/$NU$6,$NN$6/$NT$6)),0)</f>
        <v/>
      </c>
      <c r="AF6" s="228">
        <f>IF(AND(28&gt;=$NR$6,28&lt;=$NS$6),IF($NP$6="Single_Point",IF(28=$NR$6,$NN$6,0),IF($NP$6="Bell_Curve",$NN$6*(28-$NR$6+1)*($NS$6-28+1)/$NU$6,$NN$6/$NT$6)),0)</f>
        <v/>
      </c>
      <c r="AG6" s="228">
        <f>IF(AND(29&gt;=$NR$6,29&lt;=$NS$6),IF($NP$6="Single_Point",IF(29=$NR$6,$NN$6,0),IF($NP$6="Bell_Curve",$NN$6*(29-$NR$6+1)*($NS$6-29+1)/$NU$6,$NN$6/$NT$6)),0)</f>
        <v/>
      </c>
      <c r="AH6" s="228">
        <f>IF(AND(30&gt;=$NR$6,30&lt;=$NS$6),IF($NP$6="Single_Point",IF(30=$NR$6,$NN$6,0),IF($NP$6="Bell_Curve",$NN$6*(30-$NR$6+1)*($NS$6-30+1)/$NU$6,$NN$6/$NT$6)),0)</f>
        <v/>
      </c>
      <c r="AI6" s="228">
        <f>IF(AND(31&gt;=$NR$6,31&lt;=$NS$6),IF($NP$6="Single_Point",IF(31=$NR$6,$NN$6,0),IF($NP$6="Bell_Curve",$NN$6*(31-$NR$6+1)*($NS$6-31+1)/$NU$6,$NN$6/$NT$6)),0)</f>
        <v/>
      </c>
      <c r="AJ6" s="228">
        <f>IF(AND(32&gt;=$NR$6,32&lt;=$NS$6),IF($NP$6="Single_Point",IF(32=$NR$6,$NN$6,0),IF($NP$6="Bell_Curve",$NN$6*(32-$NR$6+1)*($NS$6-32+1)/$NU$6,$NN$6/$NT$6)),0)</f>
        <v/>
      </c>
      <c r="AK6" s="228">
        <f>IF(AND(33&gt;=$NR$6,33&lt;=$NS$6),IF($NP$6="Single_Point",IF(33=$NR$6,$NN$6,0),IF($NP$6="Bell_Curve",$NN$6*(33-$NR$6+1)*($NS$6-33+1)/$NU$6,$NN$6/$NT$6)),0)</f>
        <v/>
      </c>
      <c r="AL6" s="228">
        <f>IF(AND(34&gt;=$NR$6,34&lt;=$NS$6),IF($NP$6="Single_Point",IF(34=$NR$6,$NN$6,0),IF($NP$6="Bell_Curve",$NN$6*(34-$NR$6+1)*($NS$6-34+1)/$NU$6,$NN$6/$NT$6)),0)</f>
        <v/>
      </c>
      <c r="AM6" s="228">
        <f>IF(AND(35&gt;=$NR$6,35&lt;=$NS$6),IF($NP$6="Single_Point",IF(35=$NR$6,$NN$6,0),IF($NP$6="Bell_Curve",$NN$6*(35-$NR$6+1)*($NS$6-35+1)/$NU$6,$NN$6/$NT$6)),0)</f>
        <v/>
      </c>
      <c r="AN6" s="228">
        <f>IF(AND(36&gt;=$NR$6,36&lt;=$NS$6),IF($NP$6="Single_Point",IF(36=$NR$6,$NN$6,0),IF($NP$6="Bell_Curve",$NN$6*(36-$NR$6+1)*($NS$6-36+1)/$NU$6,$NN$6/$NT$6)),0)</f>
        <v/>
      </c>
      <c r="AO6" s="228">
        <f>IF(AND(37&gt;=$NR$6,37&lt;=$NS$6),IF($NP$6="Single_Point",IF(37=$NR$6,$NN$6,0),IF($NP$6="Bell_Curve",$NN$6*(37-$NR$6+1)*($NS$6-37+1)/$NU$6,$NN$6/$NT$6)),0)</f>
        <v/>
      </c>
      <c r="AP6" s="228">
        <f>IF(AND(38&gt;=$NR$6,38&lt;=$NS$6),IF($NP$6="Single_Point",IF(38=$NR$6,$NN$6,0),IF($NP$6="Bell_Curve",$NN$6*(38-$NR$6+1)*($NS$6-38+1)/$NU$6,$NN$6/$NT$6)),0)</f>
        <v/>
      </c>
      <c r="AQ6" s="228">
        <f>IF(AND(39&gt;=$NR$6,39&lt;=$NS$6),IF($NP$6="Single_Point",IF(39=$NR$6,$NN$6,0),IF($NP$6="Bell_Curve",$NN$6*(39-$NR$6+1)*($NS$6-39+1)/$NU$6,$NN$6/$NT$6)),0)</f>
        <v/>
      </c>
      <c r="AR6" s="228">
        <f>IF(AND(40&gt;=$NR$6,40&lt;=$NS$6),IF($NP$6="Single_Point",IF(40=$NR$6,$NN$6,0),IF($NP$6="Bell_Curve",$NN$6*(40-$NR$6+1)*($NS$6-40+1)/$NU$6,$NN$6/$NT$6)),0)</f>
        <v/>
      </c>
      <c r="AS6" s="228">
        <f>IF(AND(41&gt;=$NR$6,41&lt;=$NS$6),IF($NP$6="Single_Point",IF(41=$NR$6,$NN$6,0),IF($NP$6="Bell_Curve",$NN$6*(41-$NR$6+1)*($NS$6-41+1)/$NU$6,$NN$6/$NT$6)),0)</f>
        <v/>
      </c>
      <c r="AT6" s="228">
        <f>IF(AND(42&gt;=$NR$6,42&lt;=$NS$6),IF($NP$6="Single_Point",IF(42=$NR$6,$NN$6,0),IF($NP$6="Bell_Curve",$NN$6*(42-$NR$6+1)*($NS$6-42+1)/$NU$6,$NN$6/$NT$6)),0)</f>
        <v/>
      </c>
      <c r="AU6" s="228">
        <f>IF(AND(43&gt;=$NR$6,43&lt;=$NS$6),IF($NP$6="Single_Point",IF(43=$NR$6,$NN$6,0),IF($NP$6="Bell_Curve",$NN$6*(43-$NR$6+1)*($NS$6-43+1)/$NU$6,$NN$6/$NT$6)),0)</f>
        <v/>
      </c>
      <c r="AV6" s="228">
        <f>IF(AND(44&gt;=$NR$6,44&lt;=$NS$6),IF($NP$6="Single_Point",IF(44=$NR$6,$NN$6,0),IF($NP$6="Bell_Curve",$NN$6*(44-$NR$6+1)*($NS$6-44+1)/$NU$6,$NN$6/$NT$6)),0)</f>
        <v/>
      </c>
      <c r="AW6" s="228">
        <f>IF(AND(45&gt;=$NR$6,45&lt;=$NS$6),IF($NP$6="Single_Point",IF(45=$NR$6,$NN$6,0),IF($NP$6="Bell_Curve",$NN$6*(45-$NR$6+1)*($NS$6-45+1)/$NU$6,$NN$6/$NT$6)),0)</f>
        <v/>
      </c>
      <c r="AX6" s="228">
        <f>IF(AND(46&gt;=$NR$6,46&lt;=$NS$6),IF($NP$6="Single_Point",IF(46=$NR$6,$NN$6,0),IF($NP$6="Bell_Curve",$NN$6*(46-$NR$6+1)*($NS$6-46+1)/$NU$6,$NN$6/$NT$6)),0)</f>
        <v/>
      </c>
      <c r="AY6" s="228">
        <f>IF(AND(47&gt;=$NR$6,47&lt;=$NS$6),IF($NP$6="Single_Point",IF(47=$NR$6,$NN$6,0),IF($NP$6="Bell_Curve",$NN$6*(47-$NR$6+1)*($NS$6-47+1)/$NU$6,$NN$6/$NT$6)),0)</f>
        <v/>
      </c>
      <c r="AZ6" s="228">
        <f>IF(AND(48&gt;=$NR$6,48&lt;=$NS$6),IF($NP$6="Single_Point",IF(48=$NR$6,$NN$6,0),IF($NP$6="Bell_Curve",$NN$6*(48-$NR$6+1)*($NS$6-48+1)/$NU$6,$NN$6/$NT$6)),0)</f>
        <v/>
      </c>
      <c r="BA6" s="228">
        <f>IF(AND(49&gt;=$NR$6,49&lt;=$NS$6),IF($NP$6="Single_Point",IF(49=$NR$6,$NN$6,0),IF($NP$6="Bell_Curve",$NN$6*(49-$NR$6+1)*($NS$6-49+1)/$NU$6,$NN$6/$NT$6)),0)</f>
        <v/>
      </c>
      <c r="BB6" s="228">
        <f>IF(AND(50&gt;=$NR$6,50&lt;=$NS$6),IF($NP$6="Single_Point",IF(50=$NR$6,$NN$6,0),IF($NP$6="Bell_Curve",$NN$6*(50-$NR$6+1)*($NS$6-50+1)/$NU$6,$NN$6/$NT$6)),0)</f>
        <v/>
      </c>
      <c r="BC6" s="228">
        <f>IF(AND(51&gt;=$NR$6,51&lt;=$NS$6),IF($NP$6="Single_Point",IF(51=$NR$6,$NN$6,0),IF($NP$6="Bell_Curve",$NN$6*(51-$NR$6+1)*($NS$6-51+1)/$NU$6,$NN$6/$NT$6)),0)</f>
        <v/>
      </c>
      <c r="BD6" s="228">
        <f>IF(AND(52&gt;=$NR$6,52&lt;=$NS$6),IF($NP$6="Single_Point",IF(52=$NR$6,$NN$6,0),IF($NP$6="Bell_Curve",$NN$6*(52-$NR$6+1)*($NS$6-52+1)/$NU$6,$NN$6/$NT$6)),0)</f>
        <v/>
      </c>
      <c r="BE6" s="228">
        <f>IF(AND(53&gt;=$NR$6,53&lt;=$NS$6),IF($NP$6="Single_Point",IF(53=$NR$6,$NN$6,0),IF($NP$6="Bell_Curve",$NN$6*(53-$NR$6+1)*($NS$6-53+1)/$NU$6,$NN$6/$NT$6)),0)</f>
        <v/>
      </c>
      <c r="BF6" s="228">
        <f>IF(AND(54&gt;=$NR$6,54&lt;=$NS$6),IF($NP$6="Single_Point",IF(54=$NR$6,$NN$6,0),IF($NP$6="Bell_Curve",$NN$6*(54-$NR$6+1)*($NS$6-54+1)/$NU$6,$NN$6/$NT$6)),0)</f>
        <v/>
      </c>
      <c r="BG6" s="228">
        <f>IF(AND(55&gt;=$NR$6,55&lt;=$NS$6),IF($NP$6="Single_Point",IF(55=$NR$6,$NN$6,0),IF($NP$6="Bell_Curve",$NN$6*(55-$NR$6+1)*($NS$6-55+1)/$NU$6,$NN$6/$NT$6)),0)</f>
        <v/>
      </c>
      <c r="BH6" s="228">
        <f>IF(AND(56&gt;=$NR$6,56&lt;=$NS$6),IF($NP$6="Single_Point",IF(56=$NR$6,$NN$6,0),IF($NP$6="Bell_Curve",$NN$6*(56-$NR$6+1)*($NS$6-56+1)/$NU$6,$NN$6/$NT$6)),0)</f>
        <v/>
      </c>
      <c r="BI6" s="228">
        <f>IF(AND(57&gt;=$NR$6,57&lt;=$NS$6),IF($NP$6="Single_Point",IF(57=$NR$6,$NN$6,0),IF($NP$6="Bell_Curve",$NN$6*(57-$NR$6+1)*($NS$6-57+1)/$NU$6,$NN$6/$NT$6)),0)</f>
        <v/>
      </c>
      <c r="BJ6" s="228">
        <f>IF(AND(58&gt;=$NR$6,58&lt;=$NS$6),IF($NP$6="Single_Point",IF(58=$NR$6,$NN$6,0),IF($NP$6="Bell_Curve",$NN$6*(58-$NR$6+1)*($NS$6-58+1)/$NU$6,$NN$6/$NT$6)),0)</f>
        <v/>
      </c>
      <c r="BK6" s="228">
        <f>IF(AND(59&gt;=$NR$6,59&lt;=$NS$6),IF($NP$6="Single_Point",IF(59=$NR$6,$NN$6,0),IF($NP$6="Bell_Curve",$NN$6*(59-$NR$6+1)*($NS$6-59+1)/$NU$6,$NN$6/$NT$6)),0)</f>
        <v/>
      </c>
      <c r="BL6" s="228">
        <f>IF(AND(60&gt;=$NR$6,60&lt;=$NS$6),IF($NP$6="Single_Point",IF(60=$NR$6,$NN$6,0),IF($NP$6="Bell_Curve",$NN$6*(60-$NR$6+1)*($NS$6-60+1)/$NU$6,$NN$6/$NT$6)),0)</f>
        <v/>
      </c>
      <c r="BM6" s="228">
        <f>IF(AND(61&gt;=$NR$6,61&lt;=$NS$6),IF($NP$6="Single_Point",IF(61=$NR$6,$NN$6,0),IF($NP$6="Bell_Curve",$NN$6*(61-$NR$6+1)*($NS$6-61+1)/$NU$6,$NN$6/$NT$6)),0)</f>
        <v/>
      </c>
      <c r="BN6" s="228">
        <f>IF(AND(62&gt;=$NR$6,62&lt;=$NS$6),IF($NP$6="Single_Point",IF(62=$NR$6,$NN$6,0),IF($NP$6="Bell_Curve",$NN$6*(62-$NR$6+1)*($NS$6-62+1)/$NU$6,$NN$6/$NT$6)),0)</f>
        <v/>
      </c>
      <c r="BO6" s="228">
        <f>IF(AND(63&gt;=$NR$6,63&lt;=$NS$6),IF($NP$6="Single_Point",IF(63=$NR$6,$NN$6,0),IF($NP$6="Bell_Curve",$NN$6*(63-$NR$6+1)*($NS$6-63+1)/$NU$6,$NN$6/$NT$6)),0)</f>
        <v/>
      </c>
      <c r="BP6" s="228">
        <f>IF(AND(64&gt;=$NR$6,64&lt;=$NS$6),IF($NP$6="Single_Point",IF(64=$NR$6,$NN$6,0),IF($NP$6="Bell_Curve",$NN$6*(64-$NR$6+1)*($NS$6-64+1)/$NU$6,$NN$6/$NT$6)),0)</f>
        <v/>
      </c>
      <c r="BQ6" s="228">
        <f>IF(AND(65&gt;=$NR$6,65&lt;=$NS$6),IF($NP$6="Single_Point",IF(65=$NR$6,$NN$6,0),IF($NP$6="Bell_Curve",$NN$6*(65-$NR$6+1)*($NS$6-65+1)/$NU$6,$NN$6/$NT$6)),0)</f>
        <v/>
      </c>
      <c r="BR6" s="228">
        <f>IF(AND(66&gt;=$NR$6,66&lt;=$NS$6),IF($NP$6="Single_Point",IF(66=$NR$6,$NN$6,0),IF($NP$6="Bell_Curve",$NN$6*(66-$NR$6+1)*($NS$6-66+1)/$NU$6,$NN$6/$NT$6)),0)</f>
        <v/>
      </c>
      <c r="BS6" s="228">
        <f>IF(AND(67&gt;=$NR$6,67&lt;=$NS$6),IF($NP$6="Single_Point",IF(67=$NR$6,$NN$6,0),IF($NP$6="Bell_Curve",$NN$6*(67-$NR$6+1)*($NS$6-67+1)/$NU$6,$NN$6/$NT$6)),0)</f>
        <v/>
      </c>
      <c r="BT6" s="228">
        <f>IF(AND(68&gt;=$NR$6,68&lt;=$NS$6),IF($NP$6="Single_Point",IF(68=$NR$6,$NN$6,0),IF($NP$6="Bell_Curve",$NN$6*(68-$NR$6+1)*($NS$6-68+1)/$NU$6,$NN$6/$NT$6)),0)</f>
        <v/>
      </c>
      <c r="BU6" s="228">
        <f>IF(AND(69&gt;=$NR$6,69&lt;=$NS$6),IF($NP$6="Single_Point",IF(69=$NR$6,$NN$6,0),IF($NP$6="Bell_Curve",$NN$6*(69-$NR$6+1)*($NS$6-69+1)/$NU$6,$NN$6/$NT$6)),0)</f>
        <v/>
      </c>
      <c r="BV6" s="228">
        <f>IF(AND(70&gt;=$NR$6,70&lt;=$NS$6),IF($NP$6="Single_Point",IF(70=$NR$6,$NN$6,0),IF($NP$6="Bell_Curve",$NN$6*(70-$NR$6+1)*($NS$6-70+1)/$NU$6,$NN$6/$NT$6)),0)</f>
        <v/>
      </c>
      <c r="BW6" s="228">
        <f>IF(AND(71&gt;=$NR$6,71&lt;=$NS$6),IF($NP$6="Single_Point",IF(71=$NR$6,$NN$6,0),IF($NP$6="Bell_Curve",$NN$6*(71-$NR$6+1)*($NS$6-71+1)/$NU$6,$NN$6/$NT$6)),0)</f>
        <v/>
      </c>
      <c r="BX6" s="228">
        <f>IF(AND(72&gt;=$NR$6,72&lt;=$NS$6),IF($NP$6="Single_Point",IF(72=$NR$6,$NN$6,0),IF($NP$6="Bell_Curve",$NN$6*(72-$NR$6+1)*($NS$6-72+1)/$NU$6,$NN$6/$NT$6)),0)</f>
        <v/>
      </c>
      <c r="BY6" s="228">
        <f>IF(AND(73&gt;=$NR$6,73&lt;=$NS$6),IF($NP$6="Single_Point",IF(73=$NR$6,$NN$6,0),IF($NP$6="Bell_Curve",$NN$6*(73-$NR$6+1)*($NS$6-73+1)/$NU$6,$NN$6/$NT$6)),0)</f>
        <v/>
      </c>
      <c r="BZ6" s="228">
        <f>IF(AND(74&gt;=$NR$6,74&lt;=$NS$6),IF($NP$6="Single_Point",IF(74=$NR$6,$NN$6,0),IF($NP$6="Bell_Curve",$NN$6*(74-$NR$6+1)*($NS$6-74+1)/$NU$6,$NN$6/$NT$6)),0)</f>
        <v/>
      </c>
      <c r="CA6" s="228">
        <f>IF(AND(75&gt;=$NR$6,75&lt;=$NS$6),IF($NP$6="Single_Point",IF(75=$NR$6,$NN$6,0),IF($NP$6="Bell_Curve",$NN$6*(75-$NR$6+1)*($NS$6-75+1)/$NU$6,$NN$6/$NT$6)),0)</f>
        <v/>
      </c>
      <c r="CB6" s="228">
        <f>IF(AND(76&gt;=$NR$6,76&lt;=$NS$6),IF($NP$6="Single_Point",IF(76=$NR$6,$NN$6,0),IF($NP$6="Bell_Curve",$NN$6*(76-$NR$6+1)*($NS$6-76+1)/$NU$6,$NN$6/$NT$6)),0)</f>
        <v/>
      </c>
      <c r="CC6" s="228">
        <f>IF(AND(77&gt;=$NR$6,77&lt;=$NS$6),IF($NP$6="Single_Point",IF(77=$NR$6,$NN$6,0),IF($NP$6="Bell_Curve",$NN$6*(77-$NR$6+1)*($NS$6-77+1)/$NU$6,$NN$6/$NT$6)),0)</f>
        <v/>
      </c>
      <c r="CD6" s="228">
        <f>IF(AND(78&gt;=$NR$6,78&lt;=$NS$6),IF($NP$6="Single_Point",IF(78=$NR$6,$NN$6,0),IF($NP$6="Bell_Curve",$NN$6*(78-$NR$6+1)*($NS$6-78+1)/$NU$6,$NN$6/$NT$6)),0)</f>
        <v/>
      </c>
      <c r="CE6" s="228">
        <f>IF(AND(79&gt;=$NR$6,79&lt;=$NS$6),IF($NP$6="Single_Point",IF(79=$NR$6,$NN$6,0),IF($NP$6="Bell_Curve",$NN$6*(79-$NR$6+1)*($NS$6-79+1)/$NU$6,$NN$6/$NT$6)),0)</f>
        <v/>
      </c>
      <c r="CF6" s="228">
        <f>IF(AND(80&gt;=$NR$6,80&lt;=$NS$6),IF($NP$6="Single_Point",IF(80=$NR$6,$NN$6,0),IF($NP$6="Bell_Curve",$NN$6*(80-$NR$6+1)*($NS$6-80+1)/$NU$6,$NN$6/$NT$6)),0)</f>
        <v/>
      </c>
      <c r="CG6" s="228">
        <f>IF(AND(81&gt;=$NR$6,81&lt;=$NS$6),IF($NP$6="Single_Point",IF(81=$NR$6,$NN$6,0),IF($NP$6="Bell_Curve",$NN$6*(81-$NR$6+1)*($NS$6-81+1)/$NU$6,$NN$6/$NT$6)),0)</f>
        <v/>
      </c>
      <c r="CH6" s="228">
        <f>IF(AND(82&gt;=$NR$6,82&lt;=$NS$6),IF($NP$6="Single_Point",IF(82=$NR$6,$NN$6,0),IF($NP$6="Bell_Curve",$NN$6*(82-$NR$6+1)*($NS$6-82+1)/$NU$6,$NN$6/$NT$6)),0)</f>
        <v/>
      </c>
      <c r="CI6" s="228">
        <f>IF(AND(83&gt;=$NR$6,83&lt;=$NS$6),IF($NP$6="Single_Point",IF(83=$NR$6,$NN$6,0),IF($NP$6="Bell_Curve",$NN$6*(83-$NR$6+1)*($NS$6-83+1)/$NU$6,$NN$6/$NT$6)),0)</f>
        <v/>
      </c>
      <c r="CJ6" s="228">
        <f>IF(AND(84&gt;=$NR$6,84&lt;=$NS$6),IF($NP$6="Single_Point",IF(84=$NR$6,$NN$6,0),IF($NP$6="Bell_Curve",$NN$6*(84-$NR$6+1)*($NS$6-84+1)/$NU$6,$NN$6/$NT$6)),0)</f>
        <v/>
      </c>
      <c r="CK6" s="228">
        <f>IF(AND(85&gt;=$NR$6,85&lt;=$NS$6),IF($NP$6="Single_Point",IF(85=$NR$6,$NN$6,0),IF($NP$6="Bell_Curve",$NN$6*(85-$NR$6+1)*($NS$6-85+1)/$NU$6,$NN$6/$NT$6)),0)</f>
        <v/>
      </c>
      <c r="CL6" s="228">
        <f>IF(AND(86&gt;=$NR$6,86&lt;=$NS$6),IF($NP$6="Single_Point",IF(86=$NR$6,$NN$6,0),IF($NP$6="Bell_Curve",$NN$6*(86-$NR$6+1)*($NS$6-86+1)/$NU$6,$NN$6/$NT$6)),0)</f>
        <v/>
      </c>
      <c r="CM6" s="228">
        <f>IF(AND(87&gt;=$NR$6,87&lt;=$NS$6),IF($NP$6="Single_Point",IF(87=$NR$6,$NN$6,0),IF($NP$6="Bell_Curve",$NN$6*(87-$NR$6+1)*($NS$6-87+1)/$NU$6,$NN$6/$NT$6)),0)</f>
        <v/>
      </c>
      <c r="CN6" s="228">
        <f>IF(AND(88&gt;=$NR$6,88&lt;=$NS$6),IF($NP$6="Single_Point",IF(88=$NR$6,$NN$6,0),IF($NP$6="Bell_Curve",$NN$6*(88-$NR$6+1)*($NS$6-88+1)/$NU$6,$NN$6/$NT$6)),0)</f>
        <v/>
      </c>
      <c r="CO6" s="228">
        <f>IF(AND(89&gt;=$NR$6,89&lt;=$NS$6),IF($NP$6="Single_Point",IF(89=$NR$6,$NN$6,0),IF($NP$6="Bell_Curve",$NN$6*(89-$NR$6+1)*($NS$6-89+1)/$NU$6,$NN$6/$NT$6)),0)</f>
        <v/>
      </c>
      <c r="CP6" s="228">
        <f>IF(AND(90&gt;=$NR$6,90&lt;=$NS$6),IF($NP$6="Single_Point",IF(90=$NR$6,$NN$6,0),IF($NP$6="Bell_Curve",$NN$6*(90-$NR$6+1)*($NS$6-90+1)/$NU$6,$NN$6/$NT$6)),0)</f>
        <v/>
      </c>
      <c r="CQ6" s="228">
        <f>IF(AND(91&gt;=$NR$6,91&lt;=$NS$6),IF($NP$6="Single_Point",IF(91=$NR$6,$NN$6,0),IF($NP$6="Bell_Curve",$NN$6*(91-$NR$6+1)*($NS$6-91+1)/$NU$6,$NN$6/$NT$6)),0)</f>
        <v/>
      </c>
      <c r="CR6" s="228">
        <f>IF(AND(92&gt;=$NR$6,92&lt;=$NS$6),IF($NP$6="Single_Point",IF(92=$NR$6,$NN$6,0),IF($NP$6="Bell_Curve",$NN$6*(92-$NR$6+1)*($NS$6-92+1)/$NU$6,$NN$6/$NT$6)),0)</f>
        <v/>
      </c>
      <c r="CS6" s="228">
        <f>IF(AND(93&gt;=$NR$6,93&lt;=$NS$6),IF($NP$6="Single_Point",IF(93=$NR$6,$NN$6,0),IF($NP$6="Bell_Curve",$NN$6*(93-$NR$6+1)*($NS$6-93+1)/$NU$6,$NN$6/$NT$6)),0)</f>
        <v/>
      </c>
      <c r="CT6" s="228">
        <f>IF(AND(94&gt;=$NR$6,94&lt;=$NS$6),IF($NP$6="Single_Point",IF(94=$NR$6,$NN$6,0),IF($NP$6="Bell_Curve",$NN$6*(94-$NR$6+1)*($NS$6-94+1)/$NU$6,$NN$6/$NT$6)),0)</f>
        <v/>
      </c>
      <c r="CU6" s="228">
        <f>IF(AND(95&gt;=$NR$6,95&lt;=$NS$6),IF($NP$6="Single_Point",IF(95=$NR$6,$NN$6,0),IF($NP$6="Bell_Curve",$NN$6*(95-$NR$6+1)*($NS$6-95+1)/$NU$6,$NN$6/$NT$6)),0)</f>
        <v/>
      </c>
      <c r="CV6" s="228">
        <f>IF(AND(96&gt;=$NR$6,96&lt;=$NS$6),IF($NP$6="Single_Point",IF(96=$NR$6,$NN$6,0),IF($NP$6="Bell_Curve",$NN$6*(96-$NR$6+1)*($NS$6-96+1)/$NU$6,$NN$6/$NT$6)),0)</f>
        <v/>
      </c>
      <c r="CW6" s="228">
        <f>IF(AND(97&gt;=$NR$6,97&lt;=$NS$6),IF($NP$6="Single_Point",IF(97=$NR$6,$NN$6,0),IF($NP$6="Bell_Curve",$NN$6*(97-$NR$6+1)*($NS$6-97+1)/$NU$6,$NN$6/$NT$6)),0)</f>
        <v/>
      </c>
      <c r="CX6" s="228">
        <f>IF(AND(98&gt;=$NR$6,98&lt;=$NS$6),IF($NP$6="Single_Point",IF(98=$NR$6,$NN$6,0),IF($NP$6="Bell_Curve",$NN$6*(98-$NR$6+1)*($NS$6-98+1)/$NU$6,$NN$6/$NT$6)),0)</f>
        <v/>
      </c>
      <c r="CY6" s="228">
        <f>IF(AND(99&gt;=$NR$6,99&lt;=$NS$6),IF($NP$6="Single_Point",IF(99=$NR$6,$NN$6,0),IF($NP$6="Bell_Curve",$NN$6*(99-$NR$6+1)*($NS$6-99+1)/$NU$6,$NN$6/$NT$6)),0)</f>
        <v/>
      </c>
      <c r="CZ6" s="228">
        <f>IF(AND(100&gt;=$NR$6,100&lt;=$NS$6),IF($NP$6="Single_Point",IF(100=$NR$6,$NN$6,0),IF($NP$6="Bell_Curve",$NN$6*(100-$NR$6+1)*($NS$6-100+1)/$NU$6,$NN$6/$NT$6)),0)</f>
        <v/>
      </c>
      <c r="DA6" s="228">
        <f>IF(AND(101&gt;=$NR$6,101&lt;=$NS$6),IF($NP$6="Single_Point",IF(101=$NR$6,$NN$6,0),IF($NP$6="Bell_Curve",$NN$6*(101-$NR$6+1)*($NS$6-101+1)/$NU$6,$NN$6/$NT$6)),0)</f>
        <v/>
      </c>
      <c r="DB6" s="228">
        <f>IF(AND(102&gt;=$NR$6,102&lt;=$NS$6),IF($NP$6="Single_Point",IF(102=$NR$6,$NN$6,0),IF($NP$6="Bell_Curve",$NN$6*(102-$NR$6+1)*($NS$6-102+1)/$NU$6,$NN$6/$NT$6)),0)</f>
        <v/>
      </c>
      <c r="DC6" s="228">
        <f>IF(AND(103&gt;=$NR$6,103&lt;=$NS$6),IF($NP$6="Single_Point",IF(103=$NR$6,$NN$6,0),IF($NP$6="Bell_Curve",$NN$6*(103-$NR$6+1)*($NS$6-103+1)/$NU$6,$NN$6/$NT$6)),0)</f>
        <v/>
      </c>
      <c r="DD6" s="228">
        <f>IF(AND(104&gt;=$NR$6,104&lt;=$NS$6),IF($NP$6="Single_Point",IF(104=$NR$6,$NN$6,0),IF($NP$6="Bell_Curve",$NN$6*(104-$NR$6+1)*($NS$6-104+1)/$NU$6,$NN$6/$NT$6)),0)</f>
        <v/>
      </c>
      <c r="DE6" s="228">
        <f>IF(AND(105&gt;=$NR$6,105&lt;=$NS$6),IF($NP$6="Single_Point",IF(105=$NR$6,$NN$6,0),IF($NP$6="Bell_Curve",$NN$6*(105-$NR$6+1)*($NS$6-105+1)/$NU$6,$NN$6/$NT$6)),0)</f>
        <v/>
      </c>
      <c r="DF6" s="228">
        <f>IF(AND(106&gt;=$NR$6,106&lt;=$NS$6),IF($NP$6="Single_Point",IF(106=$NR$6,$NN$6,0),IF($NP$6="Bell_Curve",$NN$6*(106-$NR$6+1)*($NS$6-106+1)/$NU$6,$NN$6/$NT$6)),0)</f>
        <v/>
      </c>
      <c r="DG6" s="228">
        <f>IF(AND(107&gt;=$NR$6,107&lt;=$NS$6),IF($NP$6="Single_Point",IF(107=$NR$6,$NN$6,0),IF($NP$6="Bell_Curve",$NN$6*(107-$NR$6+1)*($NS$6-107+1)/$NU$6,$NN$6/$NT$6)),0)</f>
        <v/>
      </c>
      <c r="DH6" s="228">
        <f>IF(AND(108&gt;=$NR$6,108&lt;=$NS$6),IF($NP$6="Single_Point",IF(108=$NR$6,$NN$6,0),IF($NP$6="Bell_Curve",$NN$6*(108-$NR$6+1)*($NS$6-108+1)/$NU$6,$NN$6/$NT$6)),0)</f>
        <v/>
      </c>
      <c r="DI6" s="228">
        <f>IF(AND(109&gt;=$NR$6,109&lt;=$NS$6),IF($NP$6="Single_Point",IF(109=$NR$6,$NN$6,0),IF($NP$6="Bell_Curve",$NN$6*(109-$NR$6+1)*($NS$6-109+1)/$NU$6,$NN$6/$NT$6)),0)</f>
        <v/>
      </c>
      <c r="DJ6" s="228">
        <f>IF(AND(110&gt;=$NR$6,110&lt;=$NS$6),IF($NP$6="Single_Point",IF(110=$NR$6,$NN$6,0),IF($NP$6="Bell_Curve",$NN$6*(110-$NR$6+1)*($NS$6-110+1)/$NU$6,$NN$6/$NT$6)),0)</f>
        <v/>
      </c>
      <c r="DK6" s="228">
        <f>IF(AND(111&gt;=$NR$6,111&lt;=$NS$6),IF($NP$6="Single_Point",IF(111=$NR$6,$NN$6,0),IF($NP$6="Bell_Curve",$NN$6*(111-$NR$6+1)*($NS$6-111+1)/$NU$6,$NN$6/$NT$6)),0)</f>
        <v/>
      </c>
      <c r="DL6" s="228">
        <f>IF(AND(112&gt;=$NR$6,112&lt;=$NS$6),IF($NP$6="Single_Point",IF(112=$NR$6,$NN$6,0),IF($NP$6="Bell_Curve",$NN$6*(112-$NR$6+1)*($NS$6-112+1)/$NU$6,$NN$6/$NT$6)),0)</f>
        <v/>
      </c>
      <c r="DM6" s="228">
        <f>IF(AND(113&gt;=$NR$6,113&lt;=$NS$6),IF($NP$6="Single_Point",IF(113=$NR$6,$NN$6,0),IF($NP$6="Bell_Curve",$NN$6*(113-$NR$6+1)*($NS$6-113+1)/$NU$6,$NN$6/$NT$6)),0)</f>
        <v/>
      </c>
      <c r="DN6" s="228">
        <f>IF(AND(114&gt;=$NR$6,114&lt;=$NS$6),IF($NP$6="Single_Point",IF(114=$NR$6,$NN$6,0),IF($NP$6="Bell_Curve",$NN$6*(114-$NR$6+1)*($NS$6-114+1)/$NU$6,$NN$6/$NT$6)),0)</f>
        <v/>
      </c>
      <c r="DO6" s="228">
        <f>IF(AND(115&gt;=$NR$6,115&lt;=$NS$6),IF($NP$6="Single_Point",IF(115=$NR$6,$NN$6,0),IF($NP$6="Bell_Curve",$NN$6*(115-$NR$6+1)*($NS$6-115+1)/$NU$6,$NN$6/$NT$6)),0)</f>
        <v/>
      </c>
      <c r="DP6" s="228">
        <f>IF(AND(116&gt;=$NR$6,116&lt;=$NS$6),IF($NP$6="Single_Point",IF(116=$NR$6,$NN$6,0),IF($NP$6="Bell_Curve",$NN$6*(116-$NR$6+1)*($NS$6-116+1)/$NU$6,$NN$6/$NT$6)),0)</f>
        <v/>
      </c>
      <c r="DQ6" s="228">
        <f>IF(AND(117&gt;=$NR$6,117&lt;=$NS$6),IF($NP$6="Single_Point",IF(117=$NR$6,$NN$6,0),IF($NP$6="Bell_Curve",$NN$6*(117-$NR$6+1)*($NS$6-117+1)/$NU$6,$NN$6/$NT$6)),0)</f>
        <v/>
      </c>
      <c r="DR6" s="228">
        <f>IF(AND(118&gt;=$NR$6,118&lt;=$NS$6),IF($NP$6="Single_Point",IF(118=$NR$6,$NN$6,0),IF($NP$6="Bell_Curve",$NN$6*(118-$NR$6+1)*($NS$6-118+1)/$NU$6,$NN$6/$NT$6)),0)</f>
        <v/>
      </c>
      <c r="DS6" s="228">
        <f>IF(AND(119&gt;=$NR$6,119&lt;=$NS$6),IF($NP$6="Single_Point",IF(119=$NR$6,$NN$6,0),IF($NP$6="Bell_Curve",$NN$6*(119-$NR$6+1)*($NS$6-119+1)/$NU$6,$NN$6/$NT$6)),0)</f>
        <v/>
      </c>
      <c r="DT6" s="228">
        <f>IF(AND(120&gt;=$NR$6,120&lt;=$NS$6),IF($NP$6="Single_Point",IF(120=$NR$6,$NN$6,0),IF($NP$6="Bell_Curve",$NN$6*(120-$NR$6+1)*($NS$6-120+1)/$NU$6,$NN$6/$NT$6)),0)</f>
        <v/>
      </c>
      <c r="DU6" s="228">
        <f>IF(AND(121&gt;=$NR$6,121&lt;=$NS$6),IF($NP$6="Single_Point",IF(121=$NR$6,$NN$6,0),IF($NP$6="Bell_Curve",$NN$6*(121-$NR$6+1)*($NS$6-121+1)/$NU$6,$NN$6/$NT$6)),0)</f>
        <v/>
      </c>
      <c r="DV6" s="228">
        <f>IF(AND(122&gt;=$NR$6,122&lt;=$NS$6),IF($NP$6="Single_Point",IF(122=$NR$6,$NN$6,0),IF($NP$6="Bell_Curve",$NN$6*(122-$NR$6+1)*($NS$6-122+1)/$NU$6,$NN$6/$NT$6)),0)</f>
        <v/>
      </c>
      <c r="DW6" s="228">
        <f>IF(AND(123&gt;=$NR$6,123&lt;=$NS$6),IF($NP$6="Single_Point",IF(123=$NR$6,$NN$6,0),IF($NP$6="Bell_Curve",$NN$6*(123-$NR$6+1)*($NS$6-123+1)/$NU$6,$NN$6/$NT$6)),0)</f>
        <v/>
      </c>
      <c r="DX6" s="228">
        <f>IF(AND(124&gt;=$NR$6,124&lt;=$NS$6),IF($NP$6="Single_Point",IF(124=$NR$6,$NN$6,0),IF($NP$6="Bell_Curve",$NN$6*(124-$NR$6+1)*($NS$6-124+1)/$NU$6,$NN$6/$NT$6)),0)</f>
        <v/>
      </c>
      <c r="DY6" s="228">
        <f>IF(AND(125&gt;=$NR$6,125&lt;=$NS$6),IF($NP$6="Single_Point",IF(125=$NR$6,$NN$6,0),IF($NP$6="Bell_Curve",$NN$6*(125-$NR$6+1)*($NS$6-125+1)/$NU$6,$NN$6/$NT$6)),0)</f>
        <v/>
      </c>
      <c r="DZ6" s="228">
        <f>IF(AND(126&gt;=$NR$6,126&lt;=$NS$6),IF($NP$6="Single_Point",IF(126=$NR$6,$NN$6,0),IF($NP$6="Bell_Curve",$NN$6*(126-$NR$6+1)*($NS$6-126+1)/$NU$6,$NN$6/$NT$6)),0)</f>
        <v/>
      </c>
      <c r="EA6" s="228">
        <f>IF(AND(127&gt;=$NR$6,127&lt;=$NS$6),IF($NP$6="Single_Point",IF(127=$NR$6,$NN$6,0),IF($NP$6="Bell_Curve",$NN$6*(127-$NR$6+1)*($NS$6-127+1)/$NU$6,$NN$6/$NT$6)),0)</f>
        <v/>
      </c>
      <c r="EB6" s="228">
        <f>IF(AND(128&gt;=$NR$6,128&lt;=$NS$6),IF($NP$6="Single_Point",IF(128=$NR$6,$NN$6,0),IF($NP$6="Bell_Curve",$NN$6*(128-$NR$6+1)*($NS$6-128+1)/$NU$6,$NN$6/$NT$6)),0)</f>
        <v/>
      </c>
      <c r="EC6" s="228">
        <f>IF(AND(129&gt;=$NR$6,129&lt;=$NS$6),IF($NP$6="Single_Point",IF(129=$NR$6,$NN$6,0),IF($NP$6="Bell_Curve",$NN$6*(129-$NR$6+1)*($NS$6-129+1)/$NU$6,$NN$6/$NT$6)),0)</f>
        <v/>
      </c>
      <c r="ED6" s="228">
        <f>IF(AND(130&gt;=$NR$6,130&lt;=$NS$6),IF($NP$6="Single_Point",IF(130=$NR$6,$NN$6,0),IF($NP$6="Bell_Curve",$NN$6*(130-$NR$6+1)*($NS$6-130+1)/$NU$6,$NN$6/$NT$6)),0)</f>
        <v/>
      </c>
      <c r="EE6" s="228">
        <f>IF(AND(131&gt;=$NR$6,131&lt;=$NS$6),IF($NP$6="Single_Point",IF(131=$NR$6,$NN$6,0),IF($NP$6="Bell_Curve",$NN$6*(131-$NR$6+1)*($NS$6-131+1)/$NU$6,$NN$6/$NT$6)),0)</f>
        <v/>
      </c>
      <c r="EF6" s="228">
        <f>IF(AND(132&gt;=$NR$6,132&lt;=$NS$6),IF($NP$6="Single_Point",IF(132=$NR$6,$NN$6,0),IF($NP$6="Bell_Curve",$NN$6*(132-$NR$6+1)*($NS$6-132+1)/$NU$6,$NN$6/$NT$6)),0)</f>
        <v/>
      </c>
      <c r="EG6" s="228">
        <f>IF(AND(133&gt;=$NR$6,133&lt;=$NS$6),IF($NP$6="Single_Point",IF(133=$NR$6,$NN$6,0),IF($NP$6="Bell_Curve",$NN$6*(133-$NR$6+1)*($NS$6-133+1)/$NU$6,$NN$6/$NT$6)),0)</f>
        <v/>
      </c>
      <c r="EH6" s="228">
        <f>IF(AND(134&gt;=$NR$6,134&lt;=$NS$6),IF($NP$6="Single_Point",IF(134=$NR$6,$NN$6,0),IF($NP$6="Bell_Curve",$NN$6*(134-$NR$6+1)*($NS$6-134+1)/$NU$6,$NN$6/$NT$6)),0)</f>
        <v/>
      </c>
      <c r="EI6" s="228">
        <f>IF(AND(135&gt;=$NR$6,135&lt;=$NS$6),IF($NP$6="Single_Point",IF(135=$NR$6,$NN$6,0),IF($NP$6="Bell_Curve",$NN$6*(135-$NR$6+1)*($NS$6-135+1)/$NU$6,$NN$6/$NT$6)),0)</f>
        <v/>
      </c>
      <c r="EJ6" s="228">
        <f>IF(AND(136&gt;=$NR$6,136&lt;=$NS$6),IF($NP$6="Single_Point",IF(136=$NR$6,$NN$6,0),IF($NP$6="Bell_Curve",$NN$6*(136-$NR$6+1)*($NS$6-136+1)/$NU$6,$NN$6/$NT$6)),0)</f>
        <v/>
      </c>
      <c r="EK6" s="228">
        <f>IF(AND(137&gt;=$NR$6,137&lt;=$NS$6),IF($NP$6="Single_Point",IF(137=$NR$6,$NN$6,0),IF($NP$6="Bell_Curve",$NN$6*(137-$NR$6+1)*($NS$6-137+1)/$NU$6,$NN$6/$NT$6)),0)</f>
        <v/>
      </c>
      <c r="EL6" s="228">
        <f>IF(AND(138&gt;=$NR$6,138&lt;=$NS$6),IF($NP$6="Single_Point",IF(138=$NR$6,$NN$6,0),IF($NP$6="Bell_Curve",$NN$6*(138-$NR$6+1)*($NS$6-138+1)/$NU$6,$NN$6/$NT$6)),0)</f>
        <v/>
      </c>
      <c r="EM6" s="228">
        <f>IF(AND(139&gt;=$NR$6,139&lt;=$NS$6),IF($NP$6="Single_Point",IF(139=$NR$6,$NN$6,0),IF($NP$6="Bell_Curve",$NN$6*(139-$NR$6+1)*($NS$6-139+1)/$NU$6,$NN$6/$NT$6)),0)</f>
        <v/>
      </c>
      <c r="EN6" s="228">
        <f>IF(AND(140&gt;=$NR$6,140&lt;=$NS$6),IF($NP$6="Single_Point",IF(140=$NR$6,$NN$6,0),IF($NP$6="Bell_Curve",$NN$6*(140-$NR$6+1)*($NS$6-140+1)/$NU$6,$NN$6/$NT$6)),0)</f>
        <v/>
      </c>
      <c r="EO6" s="228">
        <f>IF(AND(141&gt;=$NR$6,141&lt;=$NS$6),IF($NP$6="Single_Point",IF(141=$NR$6,$NN$6,0),IF($NP$6="Bell_Curve",$NN$6*(141-$NR$6+1)*($NS$6-141+1)/$NU$6,$NN$6/$NT$6)),0)</f>
        <v/>
      </c>
      <c r="EP6" s="228">
        <f>IF(AND(142&gt;=$NR$6,142&lt;=$NS$6),IF($NP$6="Single_Point",IF(142=$NR$6,$NN$6,0),IF($NP$6="Bell_Curve",$NN$6*(142-$NR$6+1)*($NS$6-142+1)/$NU$6,$NN$6/$NT$6)),0)</f>
        <v/>
      </c>
      <c r="EQ6" s="228">
        <f>IF(AND(143&gt;=$NR$6,143&lt;=$NS$6),IF($NP$6="Single_Point",IF(143=$NR$6,$NN$6,0),IF($NP$6="Bell_Curve",$NN$6*(143-$NR$6+1)*($NS$6-143+1)/$NU$6,$NN$6/$NT$6)),0)</f>
        <v/>
      </c>
      <c r="ER6" s="228">
        <f>IF(AND(144&gt;=$NR$6,144&lt;=$NS$6),IF($NP$6="Single_Point",IF(144=$NR$6,$NN$6,0),IF($NP$6="Bell_Curve",$NN$6*(144-$NR$6+1)*($NS$6-144+1)/$NU$6,$NN$6/$NT$6)),0)</f>
        <v/>
      </c>
      <c r="ES6" s="228">
        <f>IF(AND(145&gt;=$NR$6,145&lt;=$NS$6),IF($NP$6="Single_Point",IF(145=$NR$6,$NN$6,0),IF($NP$6="Bell_Curve",$NN$6*(145-$NR$6+1)*($NS$6-145+1)/$NU$6,$NN$6/$NT$6)),0)</f>
        <v/>
      </c>
      <c r="ET6" s="228">
        <f>IF(AND(146&gt;=$NR$6,146&lt;=$NS$6),IF($NP$6="Single_Point",IF(146=$NR$6,$NN$6,0),IF($NP$6="Bell_Curve",$NN$6*(146-$NR$6+1)*($NS$6-146+1)/$NU$6,$NN$6/$NT$6)),0)</f>
        <v/>
      </c>
      <c r="EU6" s="228">
        <f>IF(AND(147&gt;=$NR$6,147&lt;=$NS$6),IF($NP$6="Single_Point",IF(147=$NR$6,$NN$6,0),IF($NP$6="Bell_Curve",$NN$6*(147-$NR$6+1)*($NS$6-147+1)/$NU$6,$NN$6/$NT$6)),0)</f>
        <v/>
      </c>
      <c r="EV6" s="228">
        <f>IF(AND(148&gt;=$NR$6,148&lt;=$NS$6),IF($NP$6="Single_Point",IF(148=$NR$6,$NN$6,0),IF($NP$6="Bell_Curve",$NN$6*(148-$NR$6+1)*($NS$6-148+1)/$NU$6,$NN$6/$NT$6)),0)</f>
        <v/>
      </c>
      <c r="EW6" s="228">
        <f>IF(AND(149&gt;=$NR$6,149&lt;=$NS$6),IF($NP$6="Single_Point",IF(149=$NR$6,$NN$6,0),IF($NP$6="Bell_Curve",$NN$6*(149-$NR$6+1)*($NS$6-149+1)/$NU$6,$NN$6/$NT$6)),0)</f>
        <v/>
      </c>
      <c r="EX6" s="228">
        <f>IF(AND(150&gt;=$NR$6,150&lt;=$NS$6),IF($NP$6="Single_Point",IF(150=$NR$6,$NN$6,0),IF($NP$6="Bell_Curve",$NN$6*(150-$NR$6+1)*($NS$6-150+1)/$NU$6,$NN$6/$NT$6)),0)</f>
        <v/>
      </c>
      <c r="EY6" s="228">
        <f>IF(AND(151&gt;=$NR$6,151&lt;=$NS$6),IF($NP$6="Single_Point",IF(151=$NR$6,$NN$6,0),IF($NP$6="Bell_Curve",$NN$6*(151-$NR$6+1)*($NS$6-151+1)/$NU$6,$NN$6/$NT$6)),0)</f>
        <v/>
      </c>
      <c r="EZ6" s="228">
        <f>IF(AND(152&gt;=$NR$6,152&lt;=$NS$6),IF($NP$6="Single_Point",IF(152=$NR$6,$NN$6,0),IF($NP$6="Bell_Curve",$NN$6*(152-$NR$6+1)*($NS$6-152+1)/$NU$6,$NN$6/$NT$6)),0)</f>
        <v/>
      </c>
      <c r="FA6" s="228">
        <f>IF(AND(153&gt;=$NR$6,153&lt;=$NS$6),IF($NP$6="Single_Point",IF(153=$NR$6,$NN$6,0),IF($NP$6="Bell_Curve",$NN$6*(153-$NR$6+1)*($NS$6-153+1)/$NU$6,$NN$6/$NT$6)),0)</f>
        <v/>
      </c>
      <c r="FB6" s="228">
        <f>IF(AND(154&gt;=$NR$6,154&lt;=$NS$6),IF($NP$6="Single_Point",IF(154=$NR$6,$NN$6,0),IF($NP$6="Bell_Curve",$NN$6*(154-$NR$6+1)*($NS$6-154+1)/$NU$6,$NN$6/$NT$6)),0)</f>
        <v/>
      </c>
      <c r="FC6" s="228">
        <f>IF(AND(155&gt;=$NR$6,155&lt;=$NS$6),IF($NP$6="Single_Point",IF(155=$NR$6,$NN$6,0),IF($NP$6="Bell_Curve",$NN$6*(155-$NR$6+1)*($NS$6-155+1)/$NU$6,$NN$6/$NT$6)),0)</f>
        <v/>
      </c>
      <c r="FD6" s="228">
        <f>IF(AND(156&gt;=$NR$6,156&lt;=$NS$6),IF($NP$6="Single_Point",IF(156=$NR$6,$NN$6,0),IF($NP$6="Bell_Curve",$NN$6*(156-$NR$6+1)*($NS$6-156+1)/$NU$6,$NN$6/$NT$6)),0)</f>
        <v/>
      </c>
      <c r="FE6" s="228">
        <f>IF(AND(157&gt;=$NR$6,157&lt;=$NS$6),IF($NP$6="Single_Point",IF(157=$NR$6,$NN$6,0),IF($NP$6="Bell_Curve",$NN$6*(157-$NR$6+1)*($NS$6-157+1)/$NU$6,$NN$6/$NT$6)),0)</f>
        <v/>
      </c>
      <c r="FF6" s="228">
        <f>IF(AND(158&gt;=$NR$6,158&lt;=$NS$6),IF($NP$6="Single_Point",IF(158=$NR$6,$NN$6,0),IF($NP$6="Bell_Curve",$NN$6*(158-$NR$6+1)*($NS$6-158+1)/$NU$6,$NN$6/$NT$6)),0)</f>
        <v/>
      </c>
      <c r="FG6" s="228">
        <f>IF(AND(159&gt;=$NR$6,159&lt;=$NS$6),IF($NP$6="Single_Point",IF(159=$NR$6,$NN$6,0),IF($NP$6="Bell_Curve",$NN$6*(159-$NR$6+1)*($NS$6-159+1)/$NU$6,$NN$6/$NT$6)),0)</f>
        <v/>
      </c>
      <c r="FH6" s="228">
        <f>IF(AND(160&gt;=$NR$6,160&lt;=$NS$6),IF($NP$6="Single_Point",IF(160=$NR$6,$NN$6,0),IF($NP$6="Bell_Curve",$NN$6*(160-$NR$6+1)*($NS$6-160+1)/$NU$6,$NN$6/$NT$6)),0)</f>
        <v/>
      </c>
      <c r="FI6" s="228">
        <f>IF(AND(161&gt;=$NR$6,161&lt;=$NS$6),IF($NP$6="Single_Point",IF(161=$NR$6,$NN$6,0),IF($NP$6="Bell_Curve",$NN$6*(161-$NR$6+1)*($NS$6-161+1)/$NU$6,$NN$6/$NT$6)),0)</f>
        <v/>
      </c>
      <c r="FJ6" s="228">
        <f>IF(AND(162&gt;=$NR$6,162&lt;=$NS$6),IF($NP$6="Single_Point",IF(162=$NR$6,$NN$6,0),IF($NP$6="Bell_Curve",$NN$6*(162-$NR$6+1)*($NS$6-162+1)/$NU$6,$NN$6/$NT$6)),0)</f>
        <v/>
      </c>
      <c r="FK6" s="228">
        <f>IF(AND(163&gt;=$NR$6,163&lt;=$NS$6),IF($NP$6="Single_Point",IF(163=$NR$6,$NN$6,0),IF($NP$6="Bell_Curve",$NN$6*(163-$NR$6+1)*($NS$6-163+1)/$NU$6,$NN$6/$NT$6)),0)</f>
        <v/>
      </c>
      <c r="FL6" s="228">
        <f>IF(AND(164&gt;=$NR$6,164&lt;=$NS$6),IF($NP$6="Single_Point",IF(164=$NR$6,$NN$6,0),IF($NP$6="Bell_Curve",$NN$6*(164-$NR$6+1)*($NS$6-164+1)/$NU$6,$NN$6/$NT$6)),0)</f>
        <v/>
      </c>
      <c r="FM6" s="228">
        <f>IF(AND(165&gt;=$NR$6,165&lt;=$NS$6),IF($NP$6="Single_Point",IF(165=$NR$6,$NN$6,0),IF($NP$6="Bell_Curve",$NN$6*(165-$NR$6+1)*($NS$6-165+1)/$NU$6,$NN$6/$NT$6)),0)</f>
        <v/>
      </c>
      <c r="FN6" s="228">
        <f>IF(AND(166&gt;=$NR$6,166&lt;=$NS$6),IF($NP$6="Single_Point",IF(166=$NR$6,$NN$6,0),IF($NP$6="Bell_Curve",$NN$6*(166-$NR$6+1)*($NS$6-166+1)/$NU$6,$NN$6/$NT$6)),0)</f>
        <v/>
      </c>
      <c r="FO6" s="228">
        <f>IF(AND(167&gt;=$NR$6,167&lt;=$NS$6),IF($NP$6="Single_Point",IF(167=$NR$6,$NN$6,0),IF($NP$6="Bell_Curve",$NN$6*(167-$NR$6+1)*($NS$6-167+1)/$NU$6,$NN$6/$NT$6)),0)</f>
        <v/>
      </c>
      <c r="FP6" s="228">
        <f>IF(AND(168&gt;=$NR$6,168&lt;=$NS$6),IF($NP$6="Single_Point",IF(168=$NR$6,$NN$6,0),IF($NP$6="Bell_Curve",$NN$6*(168-$NR$6+1)*($NS$6-168+1)/$NU$6,$NN$6/$NT$6)),0)</f>
        <v/>
      </c>
      <c r="FQ6" s="228">
        <f>IF(AND(169&gt;=$NR$6,169&lt;=$NS$6),IF($NP$6="Single_Point",IF(169=$NR$6,$NN$6,0),IF($NP$6="Bell_Curve",$NN$6*(169-$NR$6+1)*($NS$6-169+1)/$NU$6,$NN$6/$NT$6)),0)</f>
        <v/>
      </c>
      <c r="FR6" s="228">
        <f>IF(AND(170&gt;=$NR$6,170&lt;=$NS$6),IF($NP$6="Single_Point",IF(170=$NR$6,$NN$6,0),IF($NP$6="Bell_Curve",$NN$6*(170-$NR$6+1)*($NS$6-170+1)/$NU$6,$NN$6/$NT$6)),0)</f>
        <v/>
      </c>
      <c r="FS6" s="228">
        <f>IF(AND(171&gt;=$NR$6,171&lt;=$NS$6),IF($NP$6="Single_Point",IF(171=$NR$6,$NN$6,0),IF($NP$6="Bell_Curve",$NN$6*(171-$NR$6+1)*($NS$6-171+1)/$NU$6,$NN$6/$NT$6)),0)</f>
        <v/>
      </c>
      <c r="FT6" s="228">
        <f>IF(AND(172&gt;=$NR$6,172&lt;=$NS$6),IF($NP$6="Single_Point",IF(172=$NR$6,$NN$6,0),IF($NP$6="Bell_Curve",$NN$6*(172-$NR$6+1)*($NS$6-172+1)/$NU$6,$NN$6/$NT$6)),0)</f>
        <v/>
      </c>
      <c r="FU6" s="228">
        <f>IF(AND(173&gt;=$NR$6,173&lt;=$NS$6),IF($NP$6="Single_Point",IF(173=$NR$6,$NN$6,0),IF($NP$6="Bell_Curve",$NN$6*(173-$NR$6+1)*($NS$6-173+1)/$NU$6,$NN$6/$NT$6)),0)</f>
        <v/>
      </c>
      <c r="FV6" s="228">
        <f>IF(AND(174&gt;=$NR$6,174&lt;=$NS$6),IF($NP$6="Single_Point",IF(174=$NR$6,$NN$6,0),IF($NP$6="Bell_Curve",$NN$6*(174-$NR$6+1)*($NS$6-174+1)/$NU$6,$NN$6/$NT$6)),0)</f>
        <v/>
      </c>
      <c r="FW6" s="228">
        <f>IF(AND(175&gt;=$NR$6,175&lt;=$NS$6),IF($NP$6="Single_Point",IF(175=$NR$6,$NN$6,0),IF($NP$6="Bell_Curve",$NN$6*(175-$NR$6+1)*($NS$6-175+1)/$NU$6,$NN$6/$NT$6)),0)</f>
        <v/>
      </c>
      <c r="FX6" s="228">
        <f>IF(AND(176&gt;=$NR$6,176&lt;=$NS$6),IF($NP$6="Single_Point",IF(176=$NR$6,$NN$6,0),IF($NP$6="Bell_Curve",$NN$6*(176-$NR$6+1)*($NS$6-176+1)/$NU$6,$NN$6/$NT$6)),0)</f>
        <v/>
      </c>
      <c r="FY6" s="228">
        <f>IF(AND(177&gt;=$NR$6,177&lt;=$NS$6),IF($NP$6="Single_Point",IF(177=$NR$6,$NN$6,0),IF($NP$6="Bell_Curve",$NN$6*(177-$NR$6+1)*($NS$6-177+1)/$NU$6,$NN$6/$NT$6)),0)</f>
        <v/>
      </c>
      <c r="FZ6" s="228">
        <f>IF(AND(178&gt;=$NR$6,178&lt;=$NS$6),IF($NP$6="Single_Point",IF(178=$NR$6,$NN$6,0),IF($NP$6="Bell_Curve",$NN$6*(178-$NR$6+1)*($NS$6-178+1)/$NU$6,$NN$6/$NT$6)),0)</f>
        <v/>
      </c>
      <c r="GA6" s="228">
        <f>IF(AND(179&gt;=$NR$6,179&lt;=$NS$6),IF($NP$6="Single_Point",IF(179=$NR$6,$NN$6,0),IF($NP$6="Bell_Curve",$NN$6*(179-$NR$6+1)*($NS$6-179+1)/$NU$6,$NN$6/$NT$6)),0)</f>
        <v/>
      </c>
      <c r="GB6" s="228">
        <f>IF(AND(180&gt;=$NR$6,180&lt;=$NS$6),IF($NP$6="Single_Point",IF(180=$NR$6,$NN$6,0),IF($NP$6="Bell_Curve",$NN$6*(180-$NR$6+1)*($NS$6-180+1)/$NU$6,$NN$6/$NT$6)),0)</f>
        <v/>
      </c>
      <c r="GC6" s="228">
        <f>IF(AND(181&gt;=$NR$6,181&lt;=$NS$6),IF($NP$6="Single_Point",IF(181=$NR$6,$NN$6,0),IF($NP$6="Bell_Curve",$NN$6*(181-$NR$6+1)*($NS$6-181+1)/$NU$6,$NN$6/$NT$6)),0)</f>
        <v/>
      </c>
      <c r="GD6" s="228">
        <f>IF(AND(182&gt;=$NR$6,182&lt;=$NS$6),IF($NP$6="Single_Point",IF(182=$NR$6,$NN$6,0),IF($NP$6="Bell_Curve",$NN$6*(182-$NR$6+1)*($NS$6-182+1)/$NU$6,$NN$6/$NT$6)),0)</f>
        <v/>
      </c>
      <c r="GE6" s="228">
        <f>IF(AND(183&gt;=$NR$6,183&lt;=$NS$6),IF($NP$6="Single_Point",IF(183=$NR$6,$NN$6,0),IF($NP$6="Bell_Curve",$NN$6*(183-$NR$6+1)*($NS$6-183+1)/$NU$6,$NN$6/$NT$6)),0)</f>
        <v/>
      </c>
      <c r="GF6" s="228">
        <f>IF(AND(184&gt;=$NR$6,184&lt;=$NS$6),IF($NP$6="Single_Point",IF(184=$NR$6,$NN$6,0),IF($NP$6="Bell_Curve",$NN$6*(184-$NR$6+1)*($NS$6-184+1)/$NU$6,$NN$6/$NT$6)),0)</f>
        <v/>
      </c>
      <c r="GG6" s="228">
        <f>IF(AND(185&gt;=$NR$6,185&lt;=$NS$6),IF($NP$6="Single_Point",IF(185=$NR$6,$NN$6,0),IF($NP$6="Bell_Curve",$NN$6*(185-$NR$6+1)*($NS$6-185+1)/$NU$6,$NN$6/$NT$6)),0)</f>
        <v/>
      </c>
      <c r="GH6" s="228">
        <f>IF(AND(186&gt;=$NR$6,186&lt;=$NS$6),IF($NP$6="Single_Point",IF(186=$NR$6,$NN$6,0),IF($NP$6="Bell_Curve",$NN$6*(186-$NR$6+1)*($NS$6-186+1)/$NU$6,$NN$6/$NT$6)),0)</f>
        <v/>
      </c>
      <c r="GI6" s="228">
        <f>IF(AND(187&gt;=$NR$6,187&lt;=$NS$6),IF($NP$6="Single_Point",IF(187=$NR$6,$NN$6,0),IF($NP$6="Bell_Curve",$NN$6*(187-$NR$6+1)*($NS$6-187+1)/$NU$6,$NN$6/$NT$6)),0)</f>
        <v/>
      </c>
      <c r="GJ6" s="228">
        <f>IF(AND(188&gt;=$NR$6,188&lt;=$NS$6),IF($NP$6="Single_Point",IF(188=$NR$6,$NN$6,0),IF($NP$6="Bell_Curve",$NN$6*(188-$NR$6+1)*($NS$6-188+1)/$NU$6,$NN$6/$NT$6)),0)</f>
        <v/>
      </c>
      <c r="GK6" s="228">
        <f>IF(AND(189&gt;=$NR$6,189&lt;=$NS$6),IF($NP$6="Single_Point",IF(189=$NR$6,$NN$6,0),IF($NP$6="Bell_Curve",$NN$6*(189-$NR$6+1)*($NS$6-189+1)/$NU$6,$NN$6/$NT$6)),0)</f>
        <v/>
      </c>
      <c r="GL6" s="228">
        <f>IF(AND(190&gt;=$NR$6,190&lt;=$NS$6),IF($NP$6="Single_Point",IF(190=$NR$6,$NN$6,0),IF($NP$6="Bell_Curve",$NN$6*(190-$NR$6+1)*($NS$6-190+1)/$NU$6,$NN$6/$NT$6)),0)</f>
        <v/>
      </c>
      <c r="GM6" s="228">
        <f>IF(AND(191&gt;=$NR$6,191&lt;=$NS$6),IF($NP$6="Single_Point",IF(191=$NR$6,$NN$6,0),IF($NP$6="Bell_Curve",$NN$6*(191-$NR$6+1)*($NS$6-191+1)/$NU$6,$NN$6/$NT$6)),0)</f>
        <v/>
      </c>
      <c r="GN6" s="228">
        <f>IF(AND(192&gt;=$NR$6,192&lt;=$NS$6),IF($NP$6="Single_Point",IF(192=$NR$6,$NN$6,0),IF($NP$6="Bell_Curve",$NN$6*(192-$NR$6+1)*($NS$6-192+1)/$NU$6,$NN$6/$NT$6)),0)</f>
        <v/>
      </c>
      <c r="GO6" s="228">
        <f>IF(AND(193&gt;=$NR$6,193&lt;=$NS$6),IF($NP$6="Single_Point",IF(193=$NR$6,$NN$6,0),IF($NP$6="Bell_Curve",$NN$6*(193-$NR$6+1)*($NS$6-193+1)/$NU$6,$NN$6/$NT$6)),0)</f>
        <v/>
      </c>
      <c r="GP6" s="228">
        <f>IF(AND(194&gt;=$NR$6,194&lt;=$NS$6),IF($NP$6="Single_Point",IF(194=$NR$6,$NN$6,0),IF($NP$6="Bell_Curve",$NN$6*(194-$NR$6+1)*($NS$6-194+1)/$NU$6,$NN$6/$NT$6)),0)</f>
        <v/>
      </c>
      <c r="GQ6" s="228">
        <f>IF(AND(195&gt;=$NR$6,195&lt;=$NS$6),IF($NP$6="Single_Point",IF(195=$NR$6,$NN$6,0),IF($NP$6="Bell_Curve",$NN$6*(195-$NR$6+1)*($NS$6-195+1)/$NU$6,$NN$6/$NT$6)),0)</f>
        <v/>
      </c>
      <c r="GR6" s="228">
        <f>IF(AND(196&gt;=$NR$6,196&lt;=$NS$6),IF($NP$6="Single_Point",IF(196=$NR$6,$NN$6,0),IF($NP$6="Bell_Curve",$NN$6*(196-$NR$6+1)*($NS$6-196+1)/$NU$6,$NN$6/$NT$6)),0)</f>
        <v/>
      </c>
      <c r="GS6" s="228">
        <f>IF(AND(197&gt;=$NR$6,197&lt;=$NS$6),IF($NP$6="Single_Point",IF(197=$NR$6,$NN$6,0),IF($NP$6="Bell_Curve",$NN$6*(197-$NR$6+1)*($NS$6-197+1)/$NU$6,$NN$6/$NT$6)),0)</f>
        <v/>
      </c>
      <c r="GT6" s="228">
        <f>IF(AND(198&gt;=$NR$6,198&lt;=$NS$6),IF($NP$6="Single_Point",IF(198=$NR$6,$NN$6,0),IF($NP$6="Bell_Curve",$NN$6*(198-$NR$6+1)*($NS$6-198+1)/$NU$6,$NN$6/$NT$6)),0)</f>
        <v/>
      </c>
      <c r="GU6" s="228">
        <f>IF(AND(199&gt;=$NR$6,199&lt;=$NS$6),IF($NP$6="Single_Point",IF(199=$NR$6,$NN$6,0),IF($NP$6="Bell_Curve",$NN$6*(199-$NR$6+1)*($NS$6-199+1)/$NU$6,$NN$6/$NT$6)),0)</f>
        <v/>
      </c>
      <c r="GV6" s="228">
        <f>IF(AND(200&gt;=$NR$6,200&lt;=$NS$6),IF($NP$6="Single_Point",IF(200=$NR$6,$NN$6,0),IF($NP$6="Bell_Curve",$NN$6*(200-$NR$6+1)*($NS$6-200+1)/$NU$6,$NN$6/$NT$6)),0)</f>
        <v/>
      </c>
      <c r="GW6" s="228">
        <f>IF(AND(201&gt;=$NR$6,201&lt;=$NS$6),IF($NP$6="Single_Point",IF(201=$NR$6,$NN$6,0),IF($NP$6="Bell_Curve",$NN$6*(201-$NR$6+1)*($NS$6-201+1)/$NU$6,$NN$6/$NT$6)),0)</f>
        <v/>
      </c>
      <c r="GX6" s="228">
        <f>IF(AND(202&gt;=$NR$6,202&lt;=$NS$6),IF($NP$6="Single_Point",IF(202=$NR$6,$NN$6,0),IF($NP$6="Bell_Curve",$NN$6*(202-$NR$6+1)*($NS$6-202+1)/$NU$6,$NN$6/$NT$6)),0)</f>
        <v/>
      </c>
      <c r="GY6" s="228">
        <f>IF(AND(203&gt;=$NR$6,203&lt;=$NS$6),IF($NP$6="Single_Point",IF(203=$NR$6,$NN$6,0),IF($NP$6="Bell_Curve",$NN$6*(203-$NR$6+1)*($NS$6-203+1)/$NU$6,$NN$6/$NT$6)),0)</f>
        <v/>
      </c>
      <c r="GZ6" s="228">
        <f>IF(AND(204&gt;=$NR$6,204&lt;=$NS$6),IF($NP$6="Single_Point",IF(204=$NR$6,$NN$6,0),IF($NP$6="Bell_Curve",$NN$6*(204-$NR$6+1)*($NS$6-204+1)/$NU$6,$NN$6/$NT$6)),0)</f>
        <v/>
      </c>
      <c r="HA6" s="228">
        <f>IF(AND(205&gt;=$NR$6,205&lt;=$NS$6),IF($NP$6="Single_Point",IF(205=$NR$6,$NN$6,0),IF($NP$6="Bell_Curve",$NN$6*(205-$NR$6+1)*($NS$6-205+1)/$NU$6,$NN$6/$NT$6)),0)</f>
        <v/>
      </c>
      <c r="HB6" s="228">
        <f>IF(AND(206&gt;=$NR$6,206&lt;=$NS$6),IF($NP$6="Single_Point",IF(206=$NR$6,$NN$6,0),IF($NP$6="Bell_Curve",$NN$6*(206-$NR$6+1)*($NS$6-206+1)/$NU$6,$NN$6/$NT$6)),0)</f>
        <v/>
      </c>
      <c r="HC6" s="228">
        <f>IF(AND(207&gt;=$NR$6,207&lt;=$NS$6),IF($NP$6="Single_Point",IF(207=$NR$6,$NN$6,0),IF($NP$6="Bell_Curve",$NN$6*(207-$NR$6+1)*($NS$6-207+1)/$NU$6,$NN$6/$NT$6)),0)</f>
        <v/>
      </c>
      <c r="HD6" s="228">
        <f>IF(AND(208&gt;=$NR$6,208&lt;=$NS$6),IF($NP$6="Single_Point",IF(208=$NR$6,$NN$6,0),IF($NP$6="Bell_Curve",$NN$6*(208-$NR$6+1)*($NS$6-208+1)/$NU$6,$NN$6/$NT$6)),0)</f>
        <v/>
      </c>
      <c r="HE6" s="228">
        <f>IF(AND(209&gt;=$NR$6,209&lt;=$NS$6),IF($NP$6="Single_Point",IF(209=$NR$6,$NN$6,0),IF($NP$6="Bell_Curve",$NN$6*(209-$NR$6+1)*($NS$6-209+1)/$NU$6,$NN$6/$NT$6)),0)</f>
        <v/>
      </c>
      <c r="HF6" s="228">
        <f>IF(AND(210&gt;=$NR$6,210&lt;=$NS$6),IF($NP$6="Single_Point",IF(210=$NR$6,$NN$6,0),IF($NP$6="Bell_Curve",$NN$6*(210-$NR$6+1)*($NS$6-210+1)/$NU$6,$NN$6/$NT$6)),0)</f>
        <v/>
      </c>
      <c r="HG6" s="228">
        <f>IF(AND(211&gt;=$NR$6,211&lt;=$NS$6),IF($NP$6="Single_Point",IF(211=$NR$6,$NN$6,0),IF($NP$6="Bell_Curve",$NN$6*(211-$NR$6+1)*($NS$6-211+1)/$NU$6,$NN$6/$NT$6)),0)</f>
        <v/>
      </c>
      <c r="HH6" s="228">
        <f>IF(AND(212&gt;=$NR$6,212&lt;=$NS$6),IF($NP$6="Single_Point",IF(212=$NR$6,$NN$6,0),IF($NP$6="Bell_Curve",$NN$6*(212-$NR$6+1)*($NS$6-212+1)/$NU$6,$NN$6/$NT$6)),0)</f>
        <v/>
      </c>
      <c r="HI6" s="228">
        <f>IF(AND(213&gt;=$NR$6,213&lt;=$NS$6),IF($NP$6="Single_Point",IF(213=$NR$6,$NN$6,0),IF($NP$6="Bell_Curve",$NN$6*(213-$NR$6+1)*($NS$6-213+1)/$NU$6,$NN$6/$NT$6)),0)</f>
        <v/>
      </c>
      <c r="HJ6" s="228">
        <f>IF(AND(214&gt;=$NR$6,214&lt;=$NS$6),IF($NP$6="Single_Point",IF(214=$NR$6,$NN$6,0),IF($NP$6="Bell_Curve",$NN$6*(214-$NR$6+1)*($NS$6-214+1)/$NU$6,$NN$6/$NT$6)),0)</f>
        <v/>
      </c>
      <c r="HK6" s="228">
        <f>IF(AND(215&gt;=$NR$6,215&lt;=$NS$6),IF($NP$6="Single_Point",IF(215=$NR$6,$NN$6,0),IF($NP$6="Bell_Curve",$NN$6*(215-$NR$6+1)*($NS$6-215+1)/$NU$6,$NN$6/$NT$6)),0)</f>
        <v/>
      </c>
      <c r="HL6" s="228">
        <f>IF(AND(216&gt;=$NR$6,216&lt;=$NS$6),IF($NP$6="Single_Point",IF(216=$NR$6,$NN$6,0),IF($NP$6="Bell_Curve",$NN$6*(216-$NR$6+1)*($NS$6-216+1)/$NU$6,$NN$6/$NT$6)),0)</f>
        <v/>
      </c>
      <c r="HM6" s="228">
        <f>IF(AND(217&gt;=$NR$6,217&lt;=$NS$6),IF($NP$6="Single_Point",IF(217=$NR$6,$NN$6,0),IF($NP$6="Bell_Curve",$NN$6*(217-$NR$6+1)*($NS$6-217+1)/$NU$6,$NN$6/$NT$6)),0)</f>
        <v/>
      </c>
      <c r="HN6" s="228">
        <f>IF(AND(218&gt;=$NR$6,218&lt;=$NS$6),IF($NP$6="Single_Point",IF(218=$NR$6,$NN$6,0),IF($NP$6="Bell_Curve",$NN$6*(218-$NR$6+1)*($NS$6-218+1)/$NU$6,$NN$6/$NT$6)),0)</f>
        <v/>
      </c>
      <c r="HO6" s="228">
        <f>IF(AND(219&gt;=$NR$6,219&lt;=$NS$6),IF($NP$6="Single_Point",IF(219=$NR$6,$NN$6,0),IF($NP$6="Bell_Curve",$NN$6*(219-$NR$6+1)*($NS$6-219+1)/$NU$6,$NN$6/$NT$6)),0)</f>
        <v/>
      </c>
      <c r="HP6" s="228">
        <f>IF(AND(220&gt;=$NR$6,220&lt;=$NS$6),IF($NP$6="Single_Point",IF(220=$NR$6,$NN$6,0),IF($NP$6="Bell_Curve",$NN$6*(220-$NR$6+1)*($NS$6-220+1)/$NU$6,$NN$6/$NT$6)),0)</f>
        <v/>
      </c>
      <c r="HQ6" s="228">
        <f>IF(AND(221&gt;=$NR$6,221&lt;=$NS$6),IF($NP$6="Single_Point",IF(221=$NR$6,$NN$6,0),IF($NP$6="Bell_Curve",$NN$6*(221-$NR$6+1)*($NS$6-221+1)/$NU$6,$NN$6/$NT$6)),0)</f>
        <v/>
      </c>
      <c r="HR6" s="228">
        <f>IF(AND(222&gt;=$NR$6,222&lt;=$NS$6),IF($NP$6="Single_Point",IF(222=$NR$6,$NN$6,0),IF($NP$6="Bell_Curve",$NN$6*(222-$NR$6+1)*($NS$6-222+1)/$NU$6,$NN$6/$NT$6)),0)</f>
        <v/>
      </c>
      <c r="HS6" s="228">
        <f>IF(AND(223&gt;=$NR$6,223&lt;=$NS$6),IF($NP$6="Single_Point",IF(223=$NR$6,$NN$6,0),IF($NP$6="Bell_Curve",$NN$6*(223-$NR$6+1)*($NS$6-223+1)/$NU$6,$NN$6/$NT$6)),0)</f>
        <v/>
      </c>
      <c r="HT6" s="228">
        <f>IF(AND(224&gt;=$NR$6,224&lt;=$NS$6),IF($NP$6="Single_Point",IF(224=$NR$6,$NN$6,0),IF($NP$6="Bell_Curve",$NN$6*(224-$NR$6+1)*($NS$6-224+1)/$NU$6,$NN$6/$NT$6)),0)</f>
        <v/>
      </c>
      <c r="HU6" s="228">
        <f>IF(AND(225&gt;=$NR$6,225&lt;=$NS$6),IF($NP$6="Single_Point",IF(225=$NR$6,$NN$6,0),IF($NP$6="Bell_Curve",$NN$6*(225-$NR$6+1)*($NS$6-225+1)/$NU$6,$NN$6/$NT$6)),0)</f>
        <v/>
      </c>
      <c r="HV6" s="228">
        <f>IF(AND(226&gt;=$NR$6,226&lt;=$NS$6),IF($NP$6="Single_Point",IF(226=$NR$6,$NN$6,0),IF($NP$6="Bell_Curve",$NN$6*(226-$NR$6+1)*($NS$6-226+1)/$NU$6,$NN$6/$NT$6)),0)</f>
        <v/>
      </c>
      <c r="HW6" s="228">
        <f>IF(AND(227&gt;=$NR$6,227&lt;=$NS$6),IF($NP$6="Single_Point",IF(227=$NR$6,$NN$6,0),IF($NP$6="Bell_Curve",$NN$6*(227-$NR$6+1)*($NS$6-227+1)/$NU$6,$NN$6/$NT$6)),0)</f>
        <v/>
      </c>
      <c r="HX6" s="228">
        <f>IF(AND(228&gt;=$NR$6,228&lt;=$NS$6),IF($NP$6="Single_Point",IF(228=$NR$6,$NN$6,0),IF($NP$6="Bell_Curve",$NN$6*(228-$NR$6+1)*($NS$6-228+1)/$NU$6,$NN$6/$NT$6)),0)</f>
        <v/>
      </c>
      <c r="HY6" s="228">
        <f>IF(AND(229&gt;=$NR$6,229&lt;=$NS$6),IF($NP$6="Single_Point",IF(229=$NR$6,$NN$6,0),IF($NP$6="Bell_Curve",$NN$6*(229-$NR$6+1)*($NS$6-229+1)/$NU$6,$NN$6/$NT$6)),0)</f>
        <v/>
      </c>
      <c r="HZ6" s="228">
        <f>IF(AND(230&gt;=$NR$6,230&lt;=$NS$6),IF($NP$6="Single_Point",IF(230=$NR$6,$NN$6,0),IF($NP$6="Bell_Curve",$NN$6*(230-$NR$6+1)*($NS$6-230+1)/$NU$6,$NN$6/$NT$6)),0)</f>
        <v/>
      </c>
      <c r="IA6" s="228">
        <f>IF(AND(231&gt;=$NR$6,231&lt;=$NS$6),IF($NP$6="Single_Point",IF(231=$NR$6,$NN$6,0),IF($NP$6="Bell_Curve",$NN$6*(231-$NR$6+1)*($NS$6-231+1)/$NU$6,$NN$6/$NT$6)),0)</f>
        <v/>
      </c>
      <c r="IB6" s="228">
        <f>IF(AND(232&gt;=$NR$6,232&lt;=$NS$6),IF($NP$6="Single_Point",IF(232=$NR$6,$NN$6,0),IF($NP$6="Bell_Curve",$NN$6*(232-$NR$6+1)*($NS$6-232+1)/$NU$6,$NN$6/$NT$6)),0)</f>
        <v/>
      </c>
      <c r="IC6" s="228">
        <f>IF(AND(233&gt;=$NR$6,233&lt;=$NS$6),IF($NP$6="Single_Point",IF(233=$NR$6,$NN$6,0),IF($NP$6="Bell_Curve",$NN$6*(233-$NR$6+1)*($NS$6-233+1)/$NU$6,$NN$6/$NT$6)),0)</f>
        <v/>
      </c>
      <c r="ID6" s="228">
        <f>IF(AND(234&gt;=$NR$6,234&lt;=$NS$6),IF($NP$6="Single_Point",IF(234=$NR$6,$NN$6,0),IF($NP$6="Bell_Curve",$NN$6*(234-$NR$6+1)*($NS$6-234+1)/$NU$6,$NN$6/$NT$6)),0)</f>
        <v/>
      </c>
      <c r="IE6" s="228">
        <f>IF(AND(235&gt;=$NR$6,235&lt;=$NS$6),IF($NP$6="Single_Point",IF(235=$NR$6,$NN$6,0),IF($NP$6="Bell_Curve",$NN$6*(235-$NR$6+1)*($NS$6-235+1)/$NU$6,$NN$6/$NT$6)),0)</f>
        <v/>
      </c>
      <c r="IF6" s="228">
        <f>IF(AND(236&gt;=$NR$6,236&lt;=$NS$6),IF($NP$6="Single_Point",IF(236=$NR$6,$NN$6,0),IF($NP$6="Bell_Curve",$NN$6*(236-$NR$6+1)*($NS$6-236+1)/$NU$6,$NN$6/$NT$6)),0)</f>
        <v/>
      </c>
      <c r="IG6" s="228">
        <f>IF(AND(237&gt;=$NR$6,237&lt;=$NS$6),IF($NP$6="Single_Point",IF(237=$NR$6,$NN$6,0),IF($NP$6="Bell_Curve",$NN$6*(237-$NR$6+1)*($NS$6-237+1)/$NU$6,$NN$6/$NT$6)),0)</f>
        <v/>
      </c>
      <c r="IH6" s="228">
        <f>IF(AND(238&gt;=$NR$6,238&lt;=$NS$6),IF($NP$6="Single_Point",IF(238=$NR$6,$NN$6,0),IF($NP$6="Bell_Curve",$NN$6*(238-$NR$6+1)*($NS$6-238+1)/$NU$6,$NN$6/$NT$6)),0)</f>
        <v/>
      </c>
      <c r="II6" s="228">
        <f>IF(AND(239&gt;=$NR$6,239&lt;=$NS$6),IF($NP$6="Single_Point",IF(239=$NR$6,$NN$6,0),IF($NP$6="Bell_Curve",$NN$6*(239-$NR$6+1)*($NS$6-239+1)/$NU$6,$NN$6/$NT$6)),0)</f>
        <v/>
      </c>
      <c r="IJ6" s="228">
        <f>IF(AND(240&gt;=$NR$6,240&lt;=$NS$6),IF($NP$6="Single_Point",IF(240=$NR$6,$NN$6,0),IF($NP$6="Bell_Curve",$NN$6*(240-$NR$6+1)*($NS$6-240+1)/$NU$6,$NN$6/$NT$6)),0)</f>
        <v/>
      </c>
      <c r="IK6" s="228">
        <f>IF(AND(241&gt;=$NR$6,241&lt;=$NS$6),IF($NP$6="Single_Point",IF(241=$NR$6,$NN$6,0),IF($NP$6="Bell_Curve",$NN$6*(241-$NR$6+1)*($NS$6-241+1)/$NU$6,$NN$6/$NT$6)),0)</f>
        <v/>
      </c>
      <c r="IL6" s="228">
        <f>IF(AND(242&gt;=$NR$6,242&lt;=$NS$6),IF($NP$6="Single_Point",IF(242=$NR$6,$NN$6,0),IF($NP$6="Bell_Curve",$NN$6*(242-$NR$6+1)*($NS$6-242+1)/$NU$6,$NN$6/$NT$6)),0)</f>
        <v/>
      </c>
      <c r="IM6" s="228">
        <f>IF(AND(243&gt;=$NR$6,243&lt;=$NS$6),IF($NP$6="Single_Point",IF(243=$NR$6,$NN$6,0),IF($NP$6="Bell_Curve",$NN$6*(243-$NR$6+1)*($NS$6-243+1)/$NU$6,$NN$6/$NT$6)),0)</f>
        <v/>
      </c>
      <c r="IN6" s="228">
        <f>IF(AND(244&gt;=$NR$6,244&lt;=$NS$6),IF($NP$6="Single_Point",IF(244=$NR$6,$NN$6,0),IF($NP$6="Bell_Curve",$NN$6*(244-$NR$6+1)*($NS$6-244+1)/$NU$6,$NN$6/$NT$6)),0)</f>
        <v/>
      </c>
      <c r="IO6" s="228">
        <f>IF(AND(245&gt;=$NR$6,245&lt;=$NS$6),IF($NP$6="Single_Point",IF(245=$NR$6,$NN$6,0),IF($NP$6="Bell_Curve",$NN$6*(245-$NR$6+1)*($NS$6-245+1)/$NU$6,$NN$6/$NT$6)),0)</f>
        <v/>
      </c>
      <c r="IP6" s="228">
        <f>IF(AND(246&gt;=$NR$6,246&lt;=$NS$6),IF($NP$6="Single_Point",IF(246=$NR$6,$NN$6,0),IF($NP$6="Bell_Curve",$NN$6*(246-$NR$6+1)*($NS$6-246+1)/$NU$6,$NN$6/$NT$6)),0)</f>
        <v/>
      </c>
      <c r="IQ6" s="228">
        <f>IF(AND(247&gt;=$NR$6,247&lt;=$NS$6),IF($NP$6="Single_Point",IF(247=$NR$6,$NN$6,0),IF($NP$6="Bell_Curve",$NN$6*(247-$NR$6+1)*($NS$6-247+1)/$NU$6,$NN$6/$NT$6)),0)</f>
        <v/>
      </c>
      <c r="IR6" s="228">
        <f>IF(AND(248&gt;=$NR$6,248&lt;=$NS$6),IF($NP$6="Single_Point",IF(248=$NR$6,$NN$6,0),IF($NP$6="Bell_Curve",$NN$6*(248-$NR$6+1)*($NS$6-248+1)/$NU$6,$NN$6/$NT$6)),0)</f>
        <v/>
      </c>
      <c r="IS6" s="228">
        <f>IF(AND(249&gt;=$NR$6,249&lt;=$NS$6),IF($NP$6="Single_Point",IF(249=$NR$6,$NN$6,0),IF($NP$6="Bell_Curve",$NN$6*(249-$NR$6+1)*($NS$6-249+1)/$NU$6,$NN$6/$NT$6)),0)</f>
        <v/>
      </c>
      <c r="IT6" s="228">
        <f>IF(AND(250&gt;=$NR$6,250&lt;=$NS$6),IF($NP$6="Single_Point",IF(250=$NR$6,$NN$6,0),IF($NP$6="Bell_Curve",$NN$6*(250-$NR$6+1)*($NS$6-250+1)/$NU$6,$NN$6/$NT$6)),0)</f>
        <v/>
      </c>
      <c r="IU6" s="228">
        <f>IF(AND(251&gt;=$NR$6,251&lt;=$NS$6),IF($NP$6="Single_Point",IF(251=$NR$6,$NN$6,0),IF($NP$6="Bell_Curve",$NN$6*(251-$NR$6+1)*($NS$6-251+1)/$NU$6,$NN$6/$NT$6)),0)</f>
        <v/>
      </c>
      <c r="IV6" s="228">
        <f>IF(AND(252&gt;=$NR$6,252&lt;=$NS$6),IF($NP$6="Single_Point",IF(252=$NR$6,$NN$6,0),IF($NP$6="Bell_Curve",$NN$6*(252-$NR$6+1)*($NS$6-252+1)/$NU$6,$NN$6/$NT$6)),0)</f>
        <v/>
      </c>
      <c r="IW6" s="228">
        <f>IF(AND(253&gt;=$NR$6,253&lt;=$NS$6),IF($NP$6="Single_Point",IF(253=$NR$6,$NN$6,0),IF($NP$6="Bell_Curve",$NN$6*(253-$NR$6+1)*($NS$6-253+1)/$NU$6,$NN$6/$NT$6)),0)</f>
        <v/>
      </c>
      <c r="IX6" s="228">
        <f>IF(AND(254&gt;=$NR$6,254&lt;=$NS$6),IF($NP$6="Single_Point",IF(254=$NR$6,$NN$6,0),IF($NP$6="Bell_Curve",$NN$6*(254-$NR$6+1)*($NS$6-254+1)/$NU$6,$NN$6/$NT$6)),0)</f>
        <v/>
      </c>
      <c r="IY6" s="228">
        <f>IF(AND(255&gt;=$NR$6,255&lt;=$NS$6),IF($NP$6="Single_Point",IF(255=$NR$6,$NN$6,0),IF($NP$6="Bell_Curve",$NN$6*(255-$NR$6+1)*($NS$6-255+1)/$NU$6,$NN$6/$NT$6)),0)</f>
        <v/>
      </c>
      <c r="IZ6" s="228">
        <f>IF(AND(256&gt;=$NR$6,256&lt;=$NS$6),IF($NP$6="Single_Point",IF(256=$NR$6,$NN$6,0),IF($NP$6="Bell_Curve",$NN$6*(256-$NR$6+1)*($NS$6-256+1)/$NU$6,$NN$6/$NT$6)),0)</f>
        <v/>
      </c>
      <c r="JA6" s="228">
        <f>IF(AND(257&gt;=$NR$6,257&lt;=$NS$6),IF($NP$6="Single_Point",IF(257=$NR$6,$NN$6,0),IF($NP$6="Bell_Curve",$NN$6*(257-$NR$6+1)*($NS$6-257+1)/$NU$6,$NN$6/$NT$6)),0)</f>
        <v/>
      </c>
      <c r="JB6" s="228">
        <f>IF(AND(258&gt;=$NR$6,258&lt;=$NS$6),IF($NP$6="Single_Point",IF(258=$NR$6,$NN$6,0),IF($NP$6="Bell_Curve",$NN$6*(258-$NR$6+1)*($NS$6-258+1)/$NU$6,$NN$6/$NT$6)),0)</f>
        <v/>
      </c>
      <c r="JC6" s="228">
        <f>IF(AND(259&gt;=$NR$6,259&lt;=$NS$6),IF($NP$6="Single_Point",IF(259=$NR$6,$NN$6,0),IF($NP$6="Bell_Curve",$NN$6*(259-$NR$6+1)*($NS$6-259+1)/$NU$6,$NN$6/$NT$6)),0)</f>
        <v/>
      </c>
      <c r="JD6" s="228">
        <f>IF(AND(260&gt;=$NR$6,260&lt;=$NS$6),IF($NP$6="Single_Point",IF(260=$NR$6,$NN$6,0),IF($NP$6="Bell_Curve",$NN$6*(260-$NR$6+1)*($NS$6-260+1)/$NU$6,$NN$6/$NT$6)),0)</f>
        <v/>
      </c>
      <c r="JE6" s="228">
        <f>IF(AND(261&gt;=$NR$6,261&lt;=$NS$6),IF($NP$6="Single_Point",IF(261=$NR$6,$NN$6,0),IF($NP$6="Bell_Curve",$NN$6*(261-$NR$6+1)*($NS$6-261+1)/$NU$6,$NN$6/$NT$6)),0)</f>
        <v/>
      </c>
      <c r="JF6" s="228">
        <f>IF(AND(262&gt;=$NR$6,262&lt;=$NS$6),IF($NP$6="Single_Point",IF(262=$NR$6,$NN$6,0),IF($NP$6="Bell_Curve",$NN$6*(262-$NR$6+1)*($NS$6-262+1)/$NU$6,$NN$6/$NT$6)),0)</f>
        <v/>
      </c>
      <c r="JG6" s="228">
        <f>IF(AND(263&gt;=$NR$6,263&lt;=$NS$6),IF($NP$6="Single_Point",IF(263=$NR$6,$NN$6,0),IF($NP$6="Bell_Curve",$NN$6*(263-$NR$6+1)*($NS$6-263+1)/$NU$6,$NN$6/$NT$6)),0)</f>
        <v/>
      </c>
      <c r="JH6" s="228">
        <f>IF(AND(264&gt;=$NR$6,264&lt;=$NS$6),IF($NP$6="Single_Point",IF(264=$NR$6,$NN$6,0),IF($NP$6="Bell_Curve",$NN$6*(264-$NR$6+1)*($NS$6-264+1)/$NU$6,$NN$6/$NT$6)),0)</f>
        <v/>
      </c>
      <c r="JI6" s="228">
        <f>IF(AND(265&gt;=$NR$6,265&lt;=$NS$6),IF($NP$6="Single_Point",IF(265=$NR$6,$NN$6,0),IF($NP$6="Bell_Curve",$NN$6*(265-$NR$6+1)*($NS$6-265+1)/$NU$6,$NN$6/$NT$6)),0)</f>
        <v/>
      </c>
      <c r="JJ6" s="228">
        <f>IF(AND(266&gt;=$NR$6,266&lt;=$NS$6),IF($NP$6="Single_Point",IF(266=$NR$6,$NN$6,0),IF($NP$6="Bell_Curve",$NN$6*(266-$NR$6+1)*($NS$6-266+1)/$NU$6,$NN$6/$NT$6)),0)</f>
        <v/>
      </c>
      <c r="JK6" s="228">
        <f>IF(AND(267&gt;=$NR$6,267&lt;=$NS$6),IF($NP$6="Single_Point",IF(267=$NR$6,$NN$6,0),IF($NP$6="Bell_Curve",$NN$6*(267-$NR$6+1)*($NS$6-267+1)/$NU$6,$NN$6/$NT$6)),0)</f>
        <v/>
      </c>
      <c r="JL6" s="228">
        <f>IF(AND(268&gt;=$NR$6,268&lt;=$NS$6),IF($NP$6="Single_Point",IF(268=$NR$6,$NN$6,0),IF($NP$6="Bell_Curve",$NN$6*(268-$NR$6+1)*($NS$6-268+1)/$NU$6,$NN$6/$NT$6)),0)</f>
        <v/>
      </c>
      <c r="JM6" s="228">
        <f>IF(AND(269&gt;=$NR$6,269&lt;=$NS$6),IF($NP$6="Single_Point",IF(269=$NR$6,$NN$6,0),IF($NP$6="Bell_Curve",$NN$6*(269-$NR$6+1)*($NS$6-269+1)/$NU$6,$NN$6/$NT$6)),0)</f>
        <v/>
      </c>
      <c r="JN6" s="228">
        <f>IF(AND(270&gt;=$NR$6,270&lt;=$NS$6),IF($NP$6="Single_Point",IF(270=$NR$6,$NN$6,0),IF($NP$6="Bell_Curve",$NN$6*(270-$NR$6+1)*($NS$6-270+1)/$NU$6,$NN$6/$NT$6)),0)</f>
        <v/>
      </c>
      <c r="JO6" s="228">
        <f>IF(AND(271&gt;=$NR$6,271&lt;=$NS$6),IF($NP$6="Single_Point",IF(271=$NR$6,$NN$6,0),IF($NP$6="Bell_Curve",$NN$6*(271-$NR$6+1)*($NS$6-271+1)/$NU$6,$NN$6/$NT$6)),0)</f>
        <v/>
      </c>
      <c r="JP6" s="228">
        <f>IF(AND(272&gt;=$NR$6,272&lt;=$NS$6),IF($NP$6="Single_Point",IF(272=$NR$6,$NN$6,0),IF($NP$6="Bell_Curve",$NN$6*(272-$NR$6+1)*($NS$6-272+1)/$NU$6,$NN$6/$NT$6)),0)</f>
        <v/>
      </c>
      <c r="JQ6" s="228">
        <f>IF(AND(273&gt;=$NR$6,273&lt;=$NS$6),IF($NP$6="Single_Point",IF(273=$NR$6,$NN$6,0),IF($NP$6="Bell_Curve",$NN$6*(273-$NR$6+1)*($NS$6-273+1)/$NU$6,$NN$6/$NT$6)),0)</f>
        <v/>
      </c>
      <c r="JR6" s="228">
        <f>IF(AND(274&gt;=$NR$6,274&lt;=$NS$6),IF($NP$6="Single_Point",IF(274=$NR$6,$NN$6,0),IF($NP$6="Bell_Curve",$NN$6*(274-$NR$6+1)*($NS$6-274+1)/$NU$6,$NN$6/$NT$6)),0)</f>
        <v/>
      </c>
      <c r="JS6" s="228">
        <f>IF(AND(275&gt;=$NR$6,275&lt;=$NS$6),IF($NP$6="Single_Point",IF(275=$NR$6,$NN$6,0),IF($NP$6="Bell_Curve",$NN$6*(275-$NR$6+1)*($NS$6-275+1)/$NU$6,$NN$6/$NT$6)),0)</f>
        <v/>
      </c>
      <c r="JT6" s="228">
        <f>IF(AND(276&gt;=$NR$6,276&lt;=$NS$6),IF($NP$6="Single_Point",IF(276=$NR$6,$NN$6,0),IF($NP$6="Bell_Curve",$NN$6*(276-$NR$6+1)*($NS$6-276+1)/$NU$6,$NN$6/$NT$6)),0)</f>
        <v/>
      </c>
      <c r="JU6" s="228">
        <f>IF(AND(277&gt;=$NR$6,277&lt;=$NS$6),IF($NP$6="Single_Point",IF(277=$NR$6,$NN$6,0),IF($NP$6="Bell_Curve",$NN$6*(277-$NR$6+1)*($NS$6-277+1)/$NU$6,$NN$6/$NT$6)),0)</f>
        <v/>
      </c>
      <c r="JV6" s="228">
        <f>IF(AND(278&gt;=$NR$6,278&lt;=$NS$6),IF($NP$6="Single_Point",IF(278=$NR$6,$NN$6,0),IF($NP$6="Bell_Curve",$NN$6*(278-$NR$6+1)*($NS$6-278+1)/$NU$6,$NN$6/$NT$6)),0)</f>
        <v/>
      </c>
      <c r="JW6" s="228">
        <f>IF(AND(279&gt;=$NR$6,279&lt;=$NS$6),IF($NP$6="Single_Point",IF(279=$NR$6,$NN$6,0),IF($NP$6="Bell_Curve",$NN$6*(279-$NR$6+1)*($NS$6-279+1)/$NU$6,$NN$6/$NT$6)),0)</f>
        <v/>
      </c>
      <c r="JX6" s="228">
        <f>IF(AND(280&gt;=$NR$6,280&lt;=$NS$6),IF($NP$6="Single_Point",IF(280=$NR$6,$NN$6,0),IF($NP$6="Bell_Curve",$NN$6*(280-$NR$6+1)*($NS$6-280+1)/$NU$6,$NN$6/$NT$6)),0)</f>
        <v/>
      </c>
      <c r="JY6" s="228">
        <f>IF(AND(281&gt;=$NR$6,281&lt;=$NS$6),IF($NP$6="Single_Point",IF(281=$NR$6,$NN$6,0),IF($NP$6="Bell_Curve",$NN$6*(281-$NR$6+1)*($NS$6-281+1)/$NU$6,$NN$6/$NT$6)),0)</f>
        <v/>
      </c>
      <c r="JZ6" s="228">
        <f>IF(AND(282&gt;=$NR$6,282&lt;=$NS$6),IF($NP$6="Single_Point",IF(282=$NR$6,$NN$6,0),IF($NP$6="Bell_Curve",$NN$6*(282-$NR$6+1)*($NS$6-282+1)/$NU$6,$NN$6/$NT$6)),0)</f>
        <v/>
      </c>
      <c r="KA6" s="228">
        <f>IF(AND(283&gt;=$NR$6,283&lt;=$NS$6),IF($NP$6="Single_Point",IF(283=$NR$6,$NN$6,0),IF($NP$6="Bell_Curve",$NN$6*(283-$NR$6+1)*($NS$6-283+1)/$NU$6,$NN$6/$NT$6)),0)</f>
        <v/>
      </c>
      <c r="KB6" s="228">
        <f>IF(AND(284&gt;=$NR$6,284&lt;=$NS$6),IF($NP$6="Single_Point",IF(284=$NR$6,$NN$6,0),IF($NP$6="Bell_Curve",$NN$6*(284-$NR$6+1)*($NS$6-284+1)/$NU$6,$NN$6/$NT$6)),0)</f>
        <v/>
      </c>
      <c r="KC6" s="228">
        <f>IF(AND(285&gt;=$NR$6,285&lt;=$NS$6),IF($NP$6="Single_Point",IF(285=$NR$6,$NN$6,0),IF($NP$6="Bell_Curve",$NN$6*(285-$NR$6+1)*($NS$6-285+1)/$NU$6,$NN$6/$NT$6)),0)</f>
        <v/>
      </c>
      <c r="KD6" s="228">
        <f>IF(AND(286&gt;=$NR$6,286&lt;=$NS$6),IF($NP$6="Single_Point",IF(286=$NR$6,$NN$6,0),IF($NP$6="Bell_Curve",$NN$6*(286-$NR$6+1)*($NS$6-286+1)/$NU$6,$NN$6/$NT$6)),0)</f>
        <v/>
      </c>
      <c r="KE6" s="228">
        <f>IF(AND(287&gt;=$NR$6,287&lt;=$NS$6),IF($NP$6="Single_Point",IF(287=$NR$6,$NN$6,0),IF($NP$6="Bell_Curve",$NN$6*(287-$NR$6+1)*($NS$6-287+1)/$NU$6,$NN$6/$NT$6)),0)</f>
        <v/>
      </c>
      <c r="KF6" s="228">
        <f>IF(AND(288&gt;=$NR$6,288&lt;=$NS$6),IF($NP$6="Single_Point",IF(288=$NR$6,$NN$6,0),IF($NP$6="Bell_Curve",$NN$6*(288-$NR$6+1)*($NS$6-288+1)/$NU$6,$NN$6/$NT$6)),0)</f>
        <v/>
      </c>
      <c r="KG6" s="228">
        <f>IF(AND(289&gt;=$NR$6,289&lt;=$NS$6),IF($NP$6="Single_Point",IF(289=$NR$6,$NN$6,0),IF($NP$6="Bell_Curve",$NN$6*(289-$NR$6+1)*($NS$6-289+1)/$NU$6,$NN$6/$NT$6)),0)</f>
        <v/>
      </c>
      <c r="KH6" s="228">
        <f>IF(AND(290&gt;=$NR$6,290&lt;=$NS$6),IF($NP$6="Single_Point",IF(290=$NR$6,$NN$6,0),IF($NP$6="Bell_Curve",$NN$6*(290-$NR$6+1)*($NS$6-290+1)/$NU$6,$NN$6/$NT$6)),0)</f>
        <v/>
      </c>
      <c r="KI6" s="228">
        <f>IF(AND(291&gt;=$NR$6,291&lt;=$NS$6),IF($NP$6="Single_Point",IF(291=$NR$6,$NN$6,0),IF($NP$6="Bell_Curve",$NN$6*(291-$NR$6+1)*($NS$6-291+1)/$NU$6,$NN$6/$NT$6)),0)</f>
        <v/>
      </c>
      <c r="KJ6" s="228">
        <f>IF(AND(292&gt;=$NR$6,292&lt;=$NS$6),IF($NP$6="Single_Point",IF(292=$NR$6,$NN$6,0),IF($NP$6="Bell_Curve",$NN$6*(292-$NR$6+1)*($NS$6-292+1)/$NU$6,$NN$6/$NT$6)),0)</f>
        <v/>
      </c>
      <c r="KK6" s="228">
        <f>IF(AND(293&gt;=$NR$6,293&lt;=$NS$6),IF($NP$6="Single_Point",IF(293=$NR$6,$NN$6,0),IF($NP$6="Bell_Curve",$NN$6*(293-$NR$6+1)*($NS$6-293+1)/$NU$6,$NN$6/$NT$6)),0)</f>
        <v/>
      </c>
      <c r="KL6" s="228">
        <f>IF(AND(294&gt;=$NR$6,294&lt;=$NS$6),IF($NP$6="Single_Point",IF(294=$NR$6,$NN$6,0),IF($NP$6="Bell_Curve",$NN$6*(294-$NR$6+1)*($NS$6-294+1)/$NU$6,$NN$6/$NT$6)),0)</f>
        <v/>
      </c>
      <c r="KM6" s="228">
        <f>IF(AND(295&gt;=$NR$6,295&lt;=$NS$6),IF($NP$6="Single_Point",IF(295=$NR$6,$NN$6,0),IF($NP$6="Bell_Curve",$NN$6*(295-$NR$6+1)*($NS$6-295+1)/$NU$6,$NN$6/$NT$6)),0)</f>
        <v/>
      </c>
      <c r="KN6" s="228">
        <f>IF(AND(296&gt;=$NR$6,296&lt;=$NS$6),IF($NP$6="Single_Point",IF(296=$NR$6,$NN$6,0),IF($NP$6="Bell_Curve",$NN$6*(296-$NR$6+1)*($NS$6-296+1)/$NU$6,$NN$6/$NT$6)),0)</f>
        <v/>
      </c>
      <c r="KO6" s="228">
        <f>IF(AND(297&gt;=$NR$6,297&lt;=$NS$6),IF($NP$6="Single_Point",IF(297=$NR$6,$NN$6,0),IF($NP$6="Bell_Curve",$NN$6*(297-$NR$6+1)*($NS$6-297+1)/$NU$6,$NN$6/$NT$6)),0)</f>
        <v/>
      </c>
      <c r="KP6" s="228">
        <f>IF(AND(298&gt;=$NR$6,298&lt;=$NS$6),IF($NP$6="Single_Point",IF(298=$NR$6,$NN$6,0),IF($NP$6="Bell_Curve",$NN$6*(298-$NR$6+1)*($NS$6-298+1)/$NU$6,$NN$6/$NT$6)),0)</f>
        <v/>
      </c>
      <c r="KQ6" s="228">
        <f>IF(AND(299&gt;=$NR$6,299&lt;=$NS$6),IF($NP$6="Single_Point",IF(299=$NR$6,$NN$6,0),IF($NP$6="Bell_Curve",$NN$6*(299-$NR$6+1)*($NS$6-299+1)/$NU$6,$NN$6/$NT$6)),0)</f>
        <v/>
      </c>
      <c r="KR6" s="228">
        <f>IF(AND(300&gt;=$NR$6,300&lt;=$NS$6),IF($NP$6="Single_Point",IF(300=$NR$6,$NN$6,0),IF($NP$6="Bell_Curve",$NN$6*(300-$NR$6+1)*($NS$6-300+1)/$NU$6,$NN$6/$NT$6)),0)</f>
        <v/>
      </c>
      <c r="KS6" s="228">
        <f>IF(AND(301&gt;=$NR$6,301&lt;=$NS$6),IF($NP$6="Single_Point",IF(301=$NR$6,$NN$6,0),IF($NP$6="Bell_Curve",$NN$6*(301-$NR$6+1)*($NS$6-301+1)/$NU$6,$NN$6/$NT$6)),0)</f>
        <v/>
      </c>
      <c r="KT6" s="228">
        <f>IF(AND(302&gt;=$NR$6,302&lt;=$NS$6),IF($NP$6="Single_Point",IF(302=$NR$6,$NN$6,0),IF($NP$6="Bell_Curve",$NN$6*(302-$NR$6+1)*($NS$6-302+1)/$NU$6,$NN$6/$NT$6)),0)</f>
        <v/>
      </c>
      <c r="KU6" s="228">
        <f>IF(AND(303&gt;=$NR$6,303&lt;=$NS$6),IF($NP$6="Single_Point",IF(303=$NR$6,$NN$6,0),IF($NP$6="Bell_Curve",$NN$6*(303-$NR$6+1)*($NS$6-303+1)/$NU$6,$NN$6/$NT$6)),0)</f>
        <v/>
      </c>
      <c r="KV6" s="228">
        <f>IF(AND(304&gt;=$NR$6,304&lt;=$NS$6),IF($NP$6="Single_Point",IF(304=$NR$6,$NN$6,0),IF($NP$6="Bell_Curve",$NN$6*(304-$NR$6+1)*($NS$6-304+1)/$NU$6,$NN$6/$NT$6)),0)</f>
        <v/>
      </c>
      <c r="KW6" s="228">
        <f>IF(AND(305&gt;=$NR$6,305&lt;=$NS$6),IF($NP$6="Single_Point",IF(305=$NR$6,$NN$6,0),IF($NP$6="Bell_Curve",$NN$6*(305-$NR$6+1)*($NS$6-305+1)/$NU$6,$NN$6/$NT$6)),0)</f>
        <v/>
      </c>
      <c r="KX6" s="228">
        <f>IF(AND(306&gt;=$NR$6,306&lt;=$NS$6),IF($NP$6="Single_Point",IF(306=$NR$6,$NN$6,0),IF($NP$6="Bell_Curve",$NN$6*(306-$NR$6+1)*($NS$6-306+1)/$NU$6,$NN$6/$NT$6)),0)</f>
        <v/>
      </c>
      <c r="KY6" s="228">
        <f>IF(AND(307&gt;=$NR$6,307&lt;=$NS$6),IF($NP$6="Single_Point",IF(307=$NR$6,$NN$6,0),IF($NP$6="Bell_Curve",$NN$6*(307-$NR$6+1)*($NS$6-307+1)/$NU$6,$NN$6/$NT$6)),0)</f>
        <v/>
      </c>
      <c r="KZ6" s="228">
        <f>IF(AND(308&gt;=$NR$6,308&lt;=$NS$6),IF($NP$6="Single_Point",IF(308=$NR$6,$NN$6,0),IF($NP$6="Bell_Curve",$NN$6*(308-$NR$6+1)*($NS$6-308+1)/$NU$6,$NN$6/$NT$6)),0)</f>
        <v/>
      </c>
      <c r="LA6" s="228">
        <f>IF(AND(309&gt;=$NR$6,309&lt;=$NS$6),IF($NP$6="Single_Point",IF(309=$NR$6,$NN$6,0),IF($NP$6="Bell_Curve",$NN$6*(309-$NR$6+1)*($NS$6-309+1)/$NU$6,$NN$6/$NT$6)),0)</f>
        <v/>
      </c>
      <c r="LB6" s="228">
        <f>IF(AND(310&gt;=$NR$6,310&lt;=$NS$6),IF($NP$6="Single_Point",IF(310=$NR$6,$NN$6,0),IF($NP$6="Bell_Curve",$NN$6*(310-$NR$6+1)*($NS$6-310+1)/$NU$6,$NN$6/$NT$6)),0)</f>
        <v/>
      </c>
      <c r="LC6" s="228">
        <f>IF(AND(311&gt;=$NR$6,311&lt;=$NS$6),IF($NP$6="Single_Point",IF(311=$NR$6,$NN$6,0),IF($NP$6="Bell_Curve",$NN$6*(311-$NR$6+1)*($NS$6-311+1)/$NU$6,$NN$6/$NT$6)),0)</f>
        <v/>
      </c>
      <c r="LD6" s="228">
        <f>IF(AND(312&gt;=$NR$6,312&lt;=$NS$6),IF($NP$6="Single_Point",IF(312=$NR$6,$NN$6,0),IF($NP$6="Bell_Curve",$NN$6*(312-$NR$6+1)*($NS$6-312+1)/$NU$6,$NN$6/$NT$6)),0)</f>
        <v/>
      </c>
      <c r="LE6" s="228">
        <f>IF(AND(313&gt;=$NR$6,313&lt;=$NS$6),IF($NP$6="Single_Point",IF(313=$NR$6,$NN$6,0),IF($NP$6="Bell_Curve",$NN$6*(313-$NR$6+1)*($NS$6-313+1)/$NU$6,$NN$6/$NT$6)),0)</f>
        <v/>
      </c>
      <c r="LF6" s="228">
        <f>IF(AND(314&gt;=$NR$6,314&lt;=$NS$6),IF($NP$6="Single_Point",IF(314=$NR$6,$NN$6,0),IF($NP$6="Bell_Curve",$NN$6*(314-$NR$6+1)*($NS$6-314+1)/$NU$6,$NN$6/$NT$6)),0)</f>
        <v/>
      </c>
      <c r="LG6" s="228">
        <f>IF(AND(315&gt;=$NR$6,315&lt;=$NS$6),IF($NP$6="Single_Point",IF(315=$NR$6,$NN$6,0),IF($NP$6="Bell_Curve",$NN$6*(315-$NR$6+1)*($NS$6-315+1)/$NU$6,$NN$6/$NT$6)),0)</f>
        <v/>
      </c>
      <c r="LH6" s="228">
        <f>IF(AND(316&gt;=$NR$6,316&lt;=$NS$6),IF($NP$6="Single_Point",IF(316=$NR$6,$NN$6,0),IF($NP$6="Bell_Curve",$NN$6*(316-$NR$6+1)*($NS$6-316+1)/$NU$6,$NN$6/$NT$6)),0)</f>
        <v/>
      </c>
      <c r="LI6" s="228">
        <f>IF(AND(317&gt;=$NR$6,317&lt;=$NS$6),IF($NP$6="Single_Point",IF(317=$NR$6,$NN$6,0),IF($NP$6="Bell_Curve",$NN$6*(317-$NR$6+1)*($NS$6-317+1)/$NU$6,$NN$6/$NT$6)),0)</f>
        <v/>
      </c>
      <c r="LJ6" s="228">
        <f>IF(AND(318&gt;=$NR$6,318&lt;=$NS$6),IF($NP$6="Single_Point",IF(318=$NR$6,$NN$6,0),IF($NP$6="Bell_Curve",$NN$6*(318-$NR$6+1)*($NS$6-318+1)/$NU$6,$NN$6/$NT$6)),0)</f>
        <v/>
      </c>
      <c r="LK6" s="228">
        <f>IF(AND(319&gt;=$NR$6,319&lt;=$NS$6),IF($NP$6="Single_Point",IF(319=$NR$6,$NN$6,0),IF($NP$6="Bell_Curve",$NN$6*(319-$NR$6+1)*($NS$6-319+1)/$NU$6,$NN$6/$NT$6)),0)</f>
        <v/>
      </c>
      <c r="LL6" s="228">
        <f>IF(AND(320&gt;=$NR$6,320&lt;=$NS$6),IF($NP$6="Single_Point",IF(320=$NR$6,$NN$6,0),IF($NP$6="Bell_Curve",$NN$6*(320-$NR$6+1)*($NS$6-320+1)/$NU$6,$NN$6/$NT$6)),0)</f>
        <v/>
      </c>
      <c r="LM6" s="228">
        <f>IF(AND(321&gt;=$NR$6,321&lt;=$NS$6),IF($NP$6="Single_Point",IF(321=$NR$6,$NN$6,0),IF($NP$6="Bell_Curve",$NN$6*(321-$NR$6+1)*($NS$6-321+1)/$NU$6,$NN$6/$NT$6)),0)</f>
        <v/>
      </c>
      <c r="LN6" s="228">
        <f>IF(AND(322&gt;=$NR$6,322&lt;=$NS$6),IF($NP$6="Single_Point",IF(322=$NR$6,$NN$6,0),IF($NP$6="Bell_Curve",$NN$6*(322-$NR$6+1)*($NS$6-322+1)/$NU$6,$NN$6/$NT$6)),0)</f>
        <v/>
      </c>
      <c r="LO6" s="228">
        <f>IF(AND(323&gt;=$NR$6,323&lt;=$NS$6),IF($NP$6="Single_Point",IF(323=$NR$6,$NN$6,0),IF($NP$6="Bell_Curve",$NN$6*(323-$NR$6+1)*($NS$6-323+1)/$NU$6,$NN$6/$NT$6)),0)</f>
        <v/>
      </c>
      <c r="LP6" s="228">
        <f>IF(AND(324&gt;=$NR$6,324&lt;=$NS$6),IF($NP$6="Single_Point",IF(324=$NR$6,$NN$6,0),IF($NP$6="Bell_Curve",$NN$6*(324-$NR$6+1)*($NS$6-324+1)/$NU$6,$NN$6/$NT$6)),0)</f>
        <v/>
      </c>
      <c r="LQ6" s="228">
        <f>IF(AND(325&gt;=$NR$6,325&lt;=$NS$6),IF($NP$6="Single_Point",IF(325=$NR$6,$NN$6,0),IF($NP$6="Bell_Curve",$NN$6*(325-$NR$6+1)*($NS$6-325+1)/$NU$6,$NN$6/$NT$6)),0)</f>
        <v/>
      </c>
      <c r="LR6" s="228">
        <f>IF(AND(326&gt;=$NR$6,326&lt;=$NS$6),IF($NP$6="Single_Point",IF(326=$NR$6,$NN$6,0),IF($NP$6="Bell_Curve",$NN$6*(326-$NR$6+1)*($NS$6-326+1)/$NU$6,$NN$6/$NT$6)),0)</f>
        <v/>
      </c>
      <c r="LS6" s="228">
        <f>IF(AND(327&gt;=$NR$6,327&lt;=$NS$6),IF($NP$6="Single_Point",IF(327=$NR$6,$NN$6,0),IF($NP$6="Bell_Curve",$NN$6*(327-$NR$6+1)*($NS$6-327+1)/$NU$6,$NN$6/$NT$6)),0)</f>
        <v/>
      </c>
      <c r="LT6" s="228">
        <f>IF(AND(328&gt;=$NR$6,328&lt;=$NS$6),IF($NP$6="Single_Point",IF(328=$NR$6,$NN$6,0),IF($NP$6="Bell_Curve",$NN$6*(328-$NR$6+1)*($NS$6-328+1)/$NU$6,$NN$6/$NT$6)),0)</f>
        <v/>
      </c>
      <c r="LU6" s="228">
        <f>IF(AND(329&gt;=$NR$6,329&lt;=$NS$6),IF($NP$6="Single_Point",IF(329=$NR$6,$NN$6,0),IF($NP$6="Bell_Curve",$NN$6*(329-$NR$6+1)*($NS$6-329+1)/$NU$6,$NN$6/$NT$6)),0)</f>
        <v/>
      </c>
      <c r="LV6" s="228">
        <f>IF(AND(330&gt;=$NR$6,330&lt;=$NS$6),IF($NP$6="Single_Point",IF(330=$NR$6,$NN$6,0),IF($NP$6="Bell_Curve",$NN$6*(330-$NR$6+1)*($NS$6-330+1)/$NU$6,$NN$6/$NT$6)),0)</f>
        <v/>
      </c>
      <c r="LW6" s="228">
        <f>IF(AND(331&gt;=$NR$6,331&lt;=$NS$6),IF($NP$6="Single_Point",IF(331=$NR$6,$NN$6,0),IF($NP$6="Bell_Curve",$NN$6*(331-$NR$6+1)*($NS$6-331+1)/$NU$6,$NN$6/$NT$6)),0)</f>
        <v/>
      </c>
      <c r="LX6" s="228">
        <f>IF(AND(332&gt;=$NR$6,332&lt;=$NS$6),IF($NP$6="Single_Point",IF(332=$NR$6,$NN$6,0),IF($NP$6="Bell_Curve",$NN$6*(332-$NR$6+1)*($NS$6-332+1)/$NU$6,$NN$6/$NT$6)),0)</f>
        <v/>
      </c>
      <c r="LY6" s="228">
        <f>IF(AND(333&gt;=$NR$6,333&lt;=$NS$6),IF($NP$6="Single_Point",IF(333=$NR$6,$NN$6,0),IF($NP$6="Bell_Curve",$NN$6*(333-$NR$6+1)*($NS$6-333+1)/$NU$6,$NN$6/$NT$6)),0)</f>
        <v/>
      </c>
      <c r="LZ6" s="228">
        <f>IF(AND(334&gt;=$NR$6,334&lt;=$NS$6),IF($NP$6="Single_Point",IF(334=$NR$6,$NN$6,0),IF($NP$6="Bell_Curve",$NN$6*(334-$NR$6+1)*($NS$6-334+1)/$NU$6,$NN$6/$NT$6)),0)</f>
        <v/>
      </c>
      <c r="MA6" s="228">
        <f>IF(AND(335&gt;=$NR$6,335&lt;=$NS$6),IF($NP$6="Single_Point",IF(335=$NR$6,$NN$6,0),IF($NP$6="Bell_Curve",$NN$6*(335-$NR$6+1)*($NS$6-335+1)/$NU$6,$NN$6/$NT$6)),0)</f>
        <v/>
      </c>
      <c r="MB6" s="228">
        <f>IF(AND(336&gt;=$NR$6,336&lt;=$NS$6),IF($NP$6="Single_Point",IF(336=$NR$6,$NN$6,0),IF($NP$6="Bell_Curve",$NN$6*(336-$NR$6+1)*($NS$6-336+1)/$NU$6,$NN$6/$NT$6)),0)</f>
        <v/>
      </c>
      <c r="MC6" s="228">
        <f>IF(AND(337&gt;=$NR$6,337&lt;=$NS$6),IF($NP$6="Single_Point",IF(337=$NR$6,$NN$6,0),IF($NP$6="Bell_Curve",$NN$6*(337-$NR$6+1)*($NS$6-337+1)/$NU$6,$NN$6/$NT$6)),0)</f>
        <v/>
      </c>
      <c r="MD6" s="228">
        <f>IF(AND(338&gt;=$NR$6,338&lt;=$NS$6),IF($NP$6="Single_Point",IF(338=$NR$6,$NN$6,0),IF($NP$6="Bell_Curve",$NN$6*(338-$NR$6+1)*($NS$6-338+1)/$NU$6,$NN$6/$NT$6)),0)</f>
        <v/>
      </c>
      <c r="ME6" s="228">
        <f>IF(AND(339&gt;=$NR$6,339&lt;=$NS$6),IF($NP$6="Single_Point",IF(339=$NR$6,$NN$6,0),IF($NP$6="Bell_Curve",$NN$6*(339-$NR$6+1)*($NS$6-339+1)/$NU$6,$NN$6/$NT$6)),0)</f>
        <v/>
      </c>
      <c r="MF6" s="228">
        <f>IF(AND(340&gt;=$NR$6,340&lt;=$NS$6),IF($NP$6="Single_Point",IF(340=$NR$6,$NN$6,0),IF($NP$6="Bell_Curve",$NN$6*(340-$NR$6+1)*($NS$6-340+1)/$NU$6,$NN$6/$NT$6)),0)</f>
        <v/>
      </c>
      <c r="MG6" s="228">
        <f>IF(AND(341&gt;=$NR$6,341&lt;=$NS$6),IF($NP$6="Single_Point",IF(341=$NR$6,$NN$6,0),IF($NP$6="Bell_Curve",$NN$6*(341-$NR$6+1)*($NS$6-341+1)/$NU$6,$NN$6/$NT$6)),0)</f>
        <v/>
      </c>
      <c r="MH6" s="228">
        <f>IF(AND(342&gt;=$NR$6,342&lt;=$NS$6),IF($NP$6="Single_Point",IF(342=$NR$6,$NN$6,0),IF($NP$6="Bell_Curve",$NN$6*(342-$NR$6+1)*($NS$6-342+1)/$NU$6,$NN$6/$NT$6)),0)</f>
        <v/>
      </c>
      <c r="MI6" s="228">
        <f>IF(AND(343&gt;=$NR$6,343&lt;=$NS$6),IF($NP$6="Single_Point",IF(343=$NR$6,$NN$6,0),IF($NP$6="Bell_Curve",$NN$6*(343-$NR$6+1)*($NS$6-343+1)/$NU$6,$NN$6/$NT$6)),0)</f>
        <v/>
      </c>
      <c r="MJ6" s="228">
        <f>IF(AND(344&gt;=$NR$6,344&lt;=$NS$6),IF($NP$6="Single_Point",IF(344=$NR$6,$NN$6,0),IF($NP$6="Bell_Curve",$NN$6*(344-$NR$6+1)*($NS$6-344+1)/$NU$6,$NN$6/$NT$6)),0)</f>
        <v/>
      </c>
      <c r="MK6" s="228">
        <f>IF(AND(345&gt;=$NR$6,345&lt;=$NS$6),IF($NP$6="Single_Point",IF(345=$NR$6,$NN$6,0),IF($NP$6="Bell_Curve",$NN$6*(345-$NR$6+1)*($NS$6-345+1)/$NU$6,$NN$6/$NT$6)),0)</f>
        <v/>
      </c>
      <c r="ML6" s="228">
        <f>IF(AND(346&gt;=$NR$6,346&lt;=$NS$6),IF($NP$6="Single_Point",IF(346=$NR$6,$NN$6,0),IF($NP$6="Bell_Curve",$NN$6*(346-$NR$6+1)*($NS$6-346+1)/$NU$6,$NN$6/$NT$6)),0)</f>
        <v/>
      </c>
      <c r="MM6" s="228">
        <f>IF(AND(347&gt;=$NR$6,347&lt;=$NS$6),IF($NP$6="Single_Point",IF(347=$NR$6,$NN$6,0),IF($NP$6="Bell_Curve",$NN$6*(347-$NR$6+1)*($NS$6-347+1)/$NU$6,$NN$6/$NT$6)),0)</f>
        <v/>
      </c>
      <c r="MN6" s="228">
        <f>IF(AND(348&gt;=$NR$6,348&lt;=$NS$6),IF($NP$6="Single_Point",IF(348=$NR$6,$NN$6,0),IF($NP$6="Bell_Curve",$NN$6*(348-$NR$6+1)*($NS$6-348+1)/$NU$6,$NN$6/$NT$6)),0)</f>
        <v/>
      </c>
      <c r="MO6" s="228">
        <f>IF(AND(349&gt;=$NR$6,349&lt;=$NS$6),IF($NP$6="Single_Point",IF(349=$NR$6,$NN$6,0),IF($NP$6="Bell_Curve",$NN$6*(349-$NR$6+1)*($NS$6-349+1)/$NU$6,$NN$6/$NT$6)),0)</f>
        <v/>
      </c>
      <c r="MP6" s="228">
        <f>IF(AND(350&gt;=$NR$6,350&lt;=$NS$6),IF($NP$6="Single_Point",IF(350=$NR$6,$NN$6,0),IF($NP$6="Bell_Curve",$NN$6*(350-$NR$6+1)*($NS$6-350+1)/$NU$6,$NN$6/$NT$6)),0)</f>
        <v/>
      </c>
      <c r="MQ6" s="228">
        <f>IF(AND(351&gt;=$NR$6,351&lt;=$NS$6),IF($NP$6="Single_Point",IF(351=$NR$6,$NN$6,0),IF($NP$6="Bell_Curve",$NN$6*(351-$NR$6+1)*($NS$6-351+1)/$NU$6,$NN$6/$NT$6)),0)</f>
        <v/>
      </c>
      <c r="MR6" s="228">
        <f>IF(AND(352&gt;=$NR$6,352&lt;=$NS$6),IF($NP$6="Single_Point",IF(352=$NR$6,$NN$6,0),IF($NP$6="Bell_Curve",$NN$6*(352-$NR$6+1)*($NS$6-352+1)/$NU$6,$NN$6/$NT$6)),0)</f>
        <v/>
      </c>
      <c r="MS6" s="228">
        <f>IF(AND(353&gt;=$NR$6,353&lt;=$NS$6),IF($NP$6="Single_Point",IF(353=$NR$6,$NN$6,0),IF($NP$6="Bell_Curve",$NN$6*(353-$NR$6+1)*($NS$6-353+1)/$NU$6,$NN$6/$NT$6)),0)</f>
        <v/>
      </c>
      <c r="MT6" s="228">
        <f>IF(AND(354&gt;=$NR$6,354&lt;=$NS$6),IF($NP$6="Single_Point",IF(354=$NR$6,$NN$6,0),IF($NP$6="Bell_Curve",$NN$6*(354-$NR$6+1)*($NS$6-354+1)/$NU$6,$NN$6/$NT$6)),0)</f>
        <v/>
      </c>
      <c r="MU6" s="228">
        <f>IF(AND(355&gt;=$NR$6,355&lt;=$NS$6),IF($NP$6="Single_Point",IF(355=$NR$6,$NN$6,0),IF($NP$6="Bell_Curve",$NN$6*(355-$NR$6+1)*($NS$6-355+1)/$NU$6,$NN$6/$NT$6)),0)</f>
        <v/>
      </c>
      <c r="MV6" s="228">
        <f>IF(AND(356&gt;=$NR$6,356&lt;=$NS$6),IF($NP$6="Single_Point",IF(356=$NR$6,$NN$6,0),IF($NP$6="Bell_Curve",$NN$6*(356-$NR$6+1)*($NS$6-356+1)/$NU$6,$NN$6/$NT$6)),0)</f>
        <v/>
      </c>
      <c r="MW6" s="228">
        <f>IF(AND(357&gt;=$NR$6,357&lt;=$NS$6),IF($NP$6="Single_Point",IF(357=$NR$6,$NN$6,0),IF($NP$6="Bell_Curve",$NN$6*(357-$NR$6+1)*($NS$6-357+1)/$NU$6,$NN$6/$NT$6)),0)</f>
        <v/>
      </c>
      <c r="MX6" s="228">
        <f>IF(AND(358&gt;=$NR$6,358&lt;=$NS$6),IF($NP$6="Single_Point",IF(358=$NR$6,$NN$6,0),IF($NP$6="Bell_Curve",$NN$6*(358-$NR$6+1)*($NS$6-358+1)/$NU$6,$NN$6/$NT$6)),0)</f>
        <v/>
      </c>
      <c r="MY6" s="228">
        <f>IF(AND(359&gt;=$NR$6,359&lt;=$NS$6),IF($NP$6="Single_Point",IF(359=$NR$6,$NN$6,0),IF($NP$6="Bell_Curve",$NN$6*(359-$NR$6+1)*($NS$6-359+1)/$NU$6,$NN$6/$NT$6)),0)</f>
        <v/>
      </c>
      <c r="MZ6" s="228">
        <f>IF(AND(360&gt;=$NR$6,360&lt;=$NS$6),IF($NP$6="Single_Point",IF(360=$NR$6,$NN$6,0),IF($NP$6="Bell_Curve",$NN$6*(360-$NR$6+1)*($NS$6-360+1)/$NU$6,$NN$6/$NT$6)),0)</f>
        <v/>
      </c>
      <c r="NA6" s="228">
        <f>IF(AND(361&gt;=$NR$6,361&lt;=$NS$6),IF($NP$6="Single_Point",IF(361=$NR$6,$NN$6,0),IF($NP$6="Bell_Curve",$NN$6*(361-$NR$6+1)*($NS$6-361+1)/$NU$6,$NN$6/$NT$6)),0)</f>
        <v/>
      </c>
      <c r="NB6" s="228">
        <f>IF(AND(362&gt;=$NR$6,362&lt;=$NS$6),IF($NP$6="Single_Point",IF(362=$NR$6,$NN$6,0),IF($NP$6="Bell_Curve",$NN$6*(362-$NR$6+1)*($NS$6-362+1)/$NU$6,$NN$6/$NT$6)),0)</f>
        <v/>
      </c>
      <c r="NC6" s="228">
        <f>IF(AND(363&gt;=$NR$6,363&lt;=$NS$6),IF($NP$6="Single_Point",IF(363=$NR$6,$NN$6,0),IF($NP$6="Bell_Curve",$NN$6*(363-$NR$6+1)*($NS$6-363+1)/$NU$6,$NN$6/$NT$6)),0)</f>
        <v/>
      </c>
      <c r="ND6" s="228">
        <f>IF(AND(364&gt;=$NR$6,364&lt;=$NS$6),IF($NP$6="Single_Point",IF(364=$NR$6,$NN$6,0),IF($NP$6="Bell_Curve",$NN$6*(364-$NR$6+1)*($NS$6-364+1)/$NU$6,$NN$6/$NT$6)),0)</f>
        <v/>
      </c>
      <c r="NE6" s="228">
        <f>IF(AND(365&gt;=$NR$6,365&lt;=$NS$6),IF($NP$6="Single_Point",IF(365=$NR$6,$NN$6,0),IF($NP$6="Bell_Curve",$NN$6*(365-$NR$6+1)*($NS$6-365+1)/$NU$6,$NN$6/$NT$6)),0)</f>
        <v/>
      </c>
      <c r="NF6" s="228">
        <f>IF(AND(366&gt;=$NR$6,366&lt;=$NS$6),IF($NP$6="Single_Point",IF(366=$NR$6,$NN$6,0),IF($NP$6="Bell_Curve",$NN$6*(366-$NR$6+1)*($NS$6-366+1)/$NU$6,$NN$6/$NT$6)),0)</f>
        <v/>
      </c>
      <c r="NG6" s="228">
        <f>IF(AND(367&gt;=$NR$6,367&lt;=$NS$6),IF($NP$6="Single_Point",IF(367=$NR$6,$NN$6,0),IF($NP$6="Bell_Curve",$NN$6*(367-$NR$6+1)*($NS$6-367+1)/$NU$6,$NN$6/$NT$6)),0)</f>
        <v/>
      </c>
      <c r="NH6" s="228">
        <f>IF(AND(368&gt;=$NR$6,368&lt;=$NS$6),IF($NP$6="Single_Point",IF(368=$NR$6,$NN$6,0),IF($NP$6="Bell_Curve",$NN$6*(368-$NR$6+1)*($NS$6-368+1)/$NU$6,$NN$6/$NT$6)),0)</f>
        <v/>
      </c>
      <c r="NI6" s="228">
        <f>IF(AND(369&gt;=$NR$6,369&lt;=$NS$6),IF($NP$6="Single_Point",IF(369=$NR$6,$NN$6,0),IF($NP$6="Bell_Curve",$NN$6*(369-$NR$6+1)*($NS$6-369+1)/$NU$6,$NN$6/$NT$6)),0)</f>
        <v/>
      </c>
      <c r="NJ6" s="228">
        <f>IF(AND(370&gt;=$NR$6,370&lt;=$NS$6),IF($NP$6="Single_Point",IF(370=$NR$6,$NN$6,0),IF($NP$6="Bell_Curve",$NN$6*(370-$NR$6+1)*($NS$6-370+1)/$NU$6,$NN$6/$NT$6)),0)</f>
        <v/>
      </c>
      <c r="NK6" s="228">
        <f>IF(AND(371&gt;=$NR$6,371&lt;=$NS$6),IF($NP$6="Single_Point",IF(371=$NR$6,$NN$6,0),IF($NP$6="Bell_Curve",$NN$6*(371-$NR$6+1)*($NS$6-371+1)/$NU$6,$NN$6/$NT$6)),0)</f>
        <v/>
      </c>
      <c r="NL6" s="247">
        <f>IF(AND(372&gt;=$NR$6,372&lt;=$NS$6),IF($NP$6="Single_Point",IF(372=$NR$6,$NN$6,0),IF($NP$6="Bell_Curve",$NN$6*(372-$NR$6+1)*($NS$6-372+1)/$NU$6,$NN$6/$NT$6)),0)</f>
        <v/>
      </c>
      <c r="NN6" s="218">
        <f>Budget!J5</f>
        <v/>
      </c>
      <c r="NO6" s="144">
        <f>Budget!G5</f>
        <v/>
      </c>
      <c r="NP6" s="144">
        <f>Budget!H5</f>
        <v/>
      </c>
      <c r="NQ6" s="85">
        <f>Budget!I5</f>
        <v/>
      </c>
      <c r="NR6" s="248">
        <f>MAX(1,MIN(372,INDEX(MilestoneStart,MATCH(NO6,MilestoneNames,0))+NQ6))</f>
        <v/>
      </c>
      <c r="NS6" s="248">
        <f>MAX(NR6,MIN(372,INDEX(MilestoneEnd,MATCH(NO6,MilestoneNames,0))+NQ6))</f>
        <v/>
      </c>
      <c r="NT6" s="85">
        <f>NS6-NR6+1</f>
        <v/>
      </c>
      <c r="NU6" s="85">
        <f>NT6*(NT6+1)*(NT6+2)/6</f>
        <v/>
      </c>
    </row>
    <row r="7">
      <c r="B7" s="36" t="inlineStr">
        <is>
          <t>Existing Structure/Demo</t>
        </is>
      </c>
      <c r="D7" s="246">
        <f>SUM(E7:NL7)</f>
        <v/>
      </c>
      <c r="E7" s="228">
        <f>IF(AND(1&gt;=$NR$7,1&lt;=$NS$7),IF($NP$7="Single_Point",IF(1=$NR$7,$NN$7,0),IF($NP$7="Bell_Curve",$NN$7*(1-$NR$7+1)*($NS$7-1+1)/$NU$7,$NN$7/$NT$7)),0)</f>
        <v/>
      </c>
      <c r="F7" s="228">
        <f>IF(AND(2&gt;=$NR$7,2&lt;=$NS$7),IF($NP$7="Single_Point",IF(2=$NR$7,$NN$7,0),IF($NP$7="Bell_Curve",$NN$7*(2-$NR$7+1)*($NS$7-2+1)/$NU$7,$NN$7/$NT$7)),0)</f>
        <v/>
      </c>
      <c r="G7" s="228">
        <f>IF(AND(3&gt;=$NR$7,3&lt;=$NS$7),IF($NP$7="Single_Point",IF(3=$NR$7,$NN$7,0),IF($NP$7="Bell_Curve",$NN$7*(3-$NR$7+1)*($NS$7-3+1)/$NU$7,$NN$7/$NT$7)),0)</f>
        <v/>
      </c>
      <c r="H7" s="228">
        <f>IF(AND(4&gt;=$NR$7,4&lt;=$NS$7),IF($NP$7="Single_Point",IF(4=$NR$7,$NN$7,0),IF($NP$7="Bell_Curve",$NN$7*(4-$NR$7+1)*($NS$7-4+1)/$NU$7,$NN$7/$NT$7)),0)</f>
        <v/>
      </c>
      <c r="I7" s="228">
        <f>IF(AND(5&gt;=$NR$7,5&lt;=$NS$7),IF($NP$7="Single_Point",IF(5=$NR$7,$NN$7,0),IF($NP$7="Bell_Curve",$NN$7*(5-$NR$7+1)*($NS$7-5+1)/$NU$7,$NN$7/$NT$7)),0)</f>
        <v/>
      </c>
      <c r="J7" s="228">
        <f>IF(AND(6&gt;=$NR$7,6&lt;=$NS$7),IF($NP$7="Single_Point",IF(6=$NR$7,$NN$7,0),IF($NP$7="Bell_Curve",$NN$7*(6-$NR$7+1)*($NS$7-6+1)/$NU$7,$NN$7/$NT$7)),0)</f>
        <v/>
      </c>
      <c r="K7" s="228">
        <f>IF(AND(7&gt;=$NR$7,7&lt;=$NS$7),IF($NP$7="Single_Point",IF(7=$NR$7,$NN$7,0),IF($NP$7="Bell_Curve",$NN$7*(7-$NR$7+1)*($NS$7-7+1)/$NU$7,$NN$7/$NT$7)),0)</f>
        <v/>
      </c>
      <c r="L7" s="228">
        <f>IF(AND(8&gt;=$NR$7,8&lt;=$NS$7),IF($NP$7="Single_Point",IF(8=$NR$7,$NN$7,0),IF($NP$7="Bell_Curve",$NN$7*(8-$NR$7+1)*($NS$7-8+1)/$NU$7,$NN$7/$NT$7)),0)</f>
        <v/>
      </c>
      <c r="M7" s="228">
        <f>IF(AND(9&gt;=$NR$7,9&lt;=$NS$7),IF($NP$7="Single_Point",IF(9=$NR$7,$NN$7,0),IF($NP$7="Bell_Curve",$NN$7*(9-$NR$7+1)*($NS$7-9+1)/$NU$7,$NN$7/$NT$7)),0)</f>
        <v/>
      </c>
      <c r="N7" s="228">
        <f>IF(AND(10&gt;=$NR$7,10&lt;=$NS$7),IF($NP$7="Single_Point",IF(10=$NR$7,$NN$7,0),IF($NP$7="Bell_Curve",$NN$7*(10-$NR$7+1)*($NS$7-10+1)/$NU$7,$NN$7/$NT$7)),0)</f>
        <v/>
      </c>
      <c r="O7" s="228">
        <f>IF(AND(11&gt;=$NR$7,11&lt;=$NS$7),IF($NP$7="Single_Point",IF(11=$NR$7,$NN$7,0),IF($NP$7="Bell_Curve",$NN$7*(11-$NR$7+1)*($NS$7-11+1)/$NU$7,$NN$7/$NT$7)),0)</f>
        <v/>
      </c>
      <c r="P7" s="228">
        <f>IF(AND(12&gt;=$NR$7,12&lt;=$NS$7),IF($NP$7="Single_Point",IF(12=$NR$7,$NN$7,0),IF($NP$7="Bell_Curve",$NN$7*(12-$NR$7+1)*($NS$7-12+1)/$NU$7,$NN$7/$NT$7)),0)</f>
        <v/>
      </c>
      <c r="Q7" s="228">
        <f>IF(AND(13&gt;=$NR$7,13&lt;=$NS$7),IF($NP$7="Single_Point",IF(13=$NR$7,$NN$7,0),IF($NP$7="Bell_Curve",$NN$7*(13-$NR$7+1)*($NS$7-13+1)/$NU$7,$NN$7/$NT$7)),0)</f>
        <v/>
      </c>
      <c r="R7" s="228">
        <f>IF(AND(14&gt;=$NR$7,14&lt;=$NS$7),IF($NP$7="Single_Point",IF(14=$NR$7,$NN$7,0),IF($NP$7="Bell_Curve",$NN$7*(14-$NR$7+1)*($NS$7-14+1)/$NU$7,$NN$7/$NT$7)),0)</f>
        <v/>
      </c>
      <c r="S7" s="228">
        <f>IF(AND(15&gt;=$NR$7,15&lt;=$NS$7),IF($NP$7="Single_Point",IF(15=$NR$7,$NN$7,0),IF($NP$7="Bell_Curve",$NN$7*(15-$NR$7+1)*($NS$7-15+1)/$NU$7,$NN$7/$NT$7)),0)</f>
        <v/>
      </c>
      <c r="T7" s="228">
        <f>IF(AND(16&gt;=$NR$7,16&lt;=$NS$7),IF($NP$7="Single_Point",IF(16=$NR$7,$NN$7,0),IF($NP$7="Bell_Curve",$NN$7*(16-$NR$7+1)*($NS$7-16+1)/$NU$7,$NN$7/$NT$7)),0)</f>
        <v/>
      </c>
      <c r="U7" s="228">
        <f>IF(AND(17&gt;=$NR$7,17&lt;=$NS$7),IF($NP$7="Single_Point",IF(17=$NR$7,$NN$7,0),IF($NP$7="Bell_Curve",$NN$7*(17-$NR$7+1)*($NS$7-17+1)/$NU$7,$NN$7/$NT$7)),0)</f>
        <v/>
      </c>
      <c r="V7" s="228">
        <f>IF(AND(18&gt;=$NR$7,18&lt;=$NS$7),IF($NP$7="Single_Point",IF(18=$NR$7,$NN$7,0),IF($NP$7="Bell_Curve",$NN$7*(18-$NR$7+1)*($NS$7-18+1)/$NU$7,$NN$7/$NT$7)),0)</f>
        <v/>
      </c>
      <c r="W7" s="228">
        <f>IF(AND(19&gt;=$NR$7,19&lt;=$NS$7),IF($NP$7="Single_Point",IF(19=$NR$7,$NN$7,0),IF($NP$7="Bell_Curve",$NN$7*(19-$NR$7+1)*($NS$7-19+1)/$NU$7,$NN$7/$NT$7)),0)</f>
        <v/>
      </c>
      <c r="X7" s="228">
        <f>IF(AND(20&gt;=$NR$7,20&lt;=$NS$7),IF($NP$7="Single_Point",IF(20=$NR$7,$NN$7,0),IF($NP$7="Bell_Curve",$NN$7*(20-$NR$7+1)*($NS$7-20+1)/$NU$7,$NN$7/$NT$7)),0)</f>
        <v/>
      </c>
      <c r="Y7" s="228">
        <f>IF(AND(21&gt;=$NR$7,21&lt;=$NS$7),IF($NP$7="Single_Point",IF(21=$NR$7,$NN$7,0),IF($NP$7="Bell_Curve",$NN$7*(21-$NR$7+1)*($NS$7-21+1)/$NU$7,$NN$7/$NT$7)),0)</f>
        <v/>
      </c>
      <c r="Z7" s="228">
        <f>IF(AND(22&gt;=$NR$7,22&lt;=$NS$7),IF($NP$7="Single_Point",IF(22=$NR$7,$NN$7,0),IF($NP$7="Bell_Curve",$NN$7*(22-$NR$7+1)*($NS$7-22+1)/$NU$7,$NN$7/$NT$7)),0)</f>
        <v/>
      </c>
      <c r="AA7" s="228">
        <f>IF(AND(23&gt;=$NR$7,23&lt;=$NS$7),IF($NP$7="Single_Point",IF(23=$NR$7,$NN$7,0),IF($NP$7="Bell_Curve",$NN$7*(23-$NR$7+1)*($NS$7-23+1)/$NU$7,$NN$7/$NT$7)),0)</f>
        <v/>
      </c>
      <c r="AB7" s="228">
        <f>IF(AND(24&gt;=$NR$7,24&lt;=$NS$7),IF($NP$7="Single_Point",IF(24=$NR$7,$NN$7,0),IF($NP$7="Bell_Curve",$NN$7*(24-$NR$7+1)*($NS$7-24+1)/$NU$7,$NN$7/$NT$7)),0)</f>
        <v/>
      </c>
      <c r="AC7" s="228">
        <f>IF(AND(25&gt;=$NR$7,25&lt;=$NS$7),IF($NP$7="Single_Point",IF(25=$NR$7,$NN$7,0),IF($NP$7="Bell_Curve",$NN$7*(25-$NR$7+1)*($NS$7-25+1)/$NU$7,$NN$7/$NT$7)),0)</f>
        <v/>
      </c>
      <c r="AD7" s="228">
        <f>IF(AND(26&gt;=$NR$7,26&lt;=$NS$7),IF($NP$7="Single_Point",IF(26=$NR$7,$NN$7,0),IF($NP$7="Bell_Curve",$NN$7*(26-$NR$7+1)*($NS$7-26+1)/$NU$7,$NN$7/$NT$7)),0)</f>
        <v/>
      </c>
      <c r="AE7" s="228">
        <f>IF(AND(27&gt;=$NR$7,27&lt;=$NS$7),IF($NP$7="Single_Point",IF(27=$NR$7,$NN$7,0),IF($NP$7="Bell_Curve",$NN$7*(27-$NR$7+1)*($NS$7-27+1)/$NU$7,$NN$7/$NT$7)),0)</f>
        <v/>
      </c>
      <c r="AF7" s="228">
        <f>IF(AND(28&gt;=$NR$7,28&lt;=$NS$7),IF($NP$7="Single_Point",IF(28=$NR$7,$NN$7,0),IF($NP$7="Bell_Curve",$NN$7*(28-$NR$7+1)*($NS$7-28+1)/$NU$7,$NN$7/$NT$7)),0)</f>
        <v/>
      </c>
      <c r="AG7" s="228">
        <f>IF(AND(29&gt;=$NR$7,29&lt;=$NS$7),IF($NP$7="Single_Point",IF(29=$NR$7,$NN$7,0),IF($NP$7="Bell_Curve",$NN$7*(29-$NR$7+1)*($NS$7-29+1)/$NU$7,$NN$7/$NT$7)),0)</f>
        <v/>
      </c>
      <c r="AH7" s="228">
        <f>IF(AND(30&gt;=$NR$7,30&lt;=$NS$7),IF($NP$7="Single_Point",IF(30=$NR$7,$NN$7,0),IF($NP$7="Bell_Curve",$NN$7*(30-$NR$7+1)*($NS$7-30+1)/$NU$7,$NN$7/$NT$7)),0)</f>
        <v/>
      </c>
      <c r="AI7" s="228">
        <f>IF(AND(31&gt;=$NR$7,31&lt;=$NS$7),IF($NP$7="Single_Point",IF(31=$NR$7,$NN$7,0),IF($NP$7="Bell_Curve",$NN$7*(31-$NR$7+1)*($NS$7-31+1)/$NU$7,$NN$7/$NT$7)),0)</f>
        <v/>
      </c>
      <c r="AJ7" s="228">
        <f>IF(AND(32&gt;=$NR$7,32&lt;=$NS$7),IF($NP$7="Single_Point",IF(32=$NR$7,$NN$7,0),IF($NP$7="Bell_Curve",$NN$7*(32-$NR$7+1)*($NS$7-32+1)/$NU$7,$NN$7/$NT$7)),0)</f>
        <v/>
      </c>
      <c r="AK7" s="228">
        <f>IF(AND(33&gt;=$NR$7,33&lt;=$NS$7),IF($NP$7="Single_Point",IF(33=$NR$7,$NN$7,0),IF($NP$7="Bell_Curve",$NN$7*(33-$NR$7+1)*($NS$7-33+1)/$NU$7,$NN$7/$NT$7)),0)</f>
        <v/>
      </c>
      <c r="AL7" s="228">
        <f>IF(AND(34&gt;=$NR$7,34&lt;=$NS$7),IF($NP$7="Single_Point",IF(34=$NR$7,$NN$7,0),IF($NP$7="Bell_Curve",$NN$7*(34-$NR$7+1)*($NS$7-34+1)/$NU$7,$NN$7/$NT$7)),0)</f>
        <v/>
      </c>
      <c r="AM7" s="228">
        <f>IF(AND(35&gt;=$NR$7,35&lt;=$NS$7),IF($NP$7="Single_Point",IF(35=$NR$7,$NN$7,0),IF($NP$7="Bell_Curve",$NN$7*(35-$NR$7+1)*($NS$7-35+1)/$NU$7,$NN$7/$NT$7)),0)</f>
        <v/>
      </c>
      <c r="AN7" s="228">
        <f>IF(AND(36&gt;=$NR$7,36&lt;=$NS$7),IF($NP$7="Single_Point",IF(36=$NR$7,$NN$7,0),IF($NP$7="Bell_Curve",$NN$7*(36-$NR$7+1)*($NS$7-36+1)/$NU$7,$NN$7/$NT$7)),0)</f>
        <v/>
      </c>
      <c r="AO7" s="228">
        <f>IF(AND(37&gt;=$NR$7,37&lt;=$NS$7),IF($NP$7="Single_Point",IF(37=$NR$7,$NN$7,0),IF($NP$7="Bell_Curve",$NN$7*(37-$NR$7+1)*($NS$7-37+1)/$NU$7,$NN$7/$NT$7)),0)</f>
        <v/>
      </c>
      <c r="AP7" s="228">
        <f>IF(AND(38&gt;=$NR$7,38&lt;=$NS$7),IF($NP$7="Single_Point",IF(38=$NR$7,$NN$7,0),IF($NP$7="Bell_Curve",$NN$7*(38-$NR$7+1)*($NS$7-38+1)/$NU$7,$NN$7/$NT$7)),0)</f>
        <v/>
      </c>
      <c r="AQ7" s="228">
        <f>IF(AND(39&gt;=$NR$7,39&lt;=$NS$7),IF($NP$7="Single_Point",IF(39=$NR$7,$NN$7,0),IF($NP$7="Bell_Curve",$NN$7*(39-$NR$7+1)*($NS$7-39+1)/$NU$7,$NN$7/$NT$7)),0)</f>
        <v/>
      </c>
      <c r="AR7" s="228">
        <f>IF(AND(40&gt;=$NR$7,40&lt;=$NS$7),IF($NP$7="Single_Point",IF(40=$NR$7,$NN$7,0),IF($NP$7="Bell_Curve",$NN$7*(40-$NR$7+1)*($NS$7-40+1)/$NU$7,$NN$7/$NT$7)),0)</f>
        <v/>
      </c>
      <c r="AS7" s="228">
        <f>IF(AND(41&gt;=$NR$7,41&lt;=$NS$7),IF($NP$7="Single_Point",IF(41=$NR$7,$NN$7,0),IF($NP$7="Bell_Curve",$NN$7*(41-$NR$7+1)*($NS$7-41+1)/$NU$7,$NN$7/$NT$7)),0)</f>
        <v/>
      </c>
      <c r="AT7" s="228">
        <f>IF(AND(42&gt;=$NR$7,42&lt;=$NS$7),IF($NP$7="Single_Point",IF(42=$NR$7,$NN$7,0),IF($NP$7="Bell_Curve",$NN$7*(42-$NR$7+1)*($NS$7-42+1)/$NU$7,$NN$7/$NT$7)),0)</f>
        <v/>
      </c>
      <c r="AU7" s="228">
        <f>IF(AND(43&gt;=$NR$7,43&lt;=$NS$7),IF($NP$7="Single_Point",IF(43=$NR$7,$NN$7,0),IF($NP$7="Bell_Curve",$NN$7*(43-$NR$7+1)*($NS$7-43+1)/$NU$7,$NN$7/$NT$7)),0)</f>
        <v/>
      </c>
      <c r="AV7" s="228">
        <f>IF(AND(44&gt;=$NR$7,44&lt;=$NS$7),IF($NP$7="Single_Point",IF(44=$NR$7,$NN$7,0),IF($NP$7="Bell_Curve",$NN$7*(44-$NR$7+1)*($NS$7-44+1)/$NU$7,$NN$7/$NT$7)),0)</f>
        <v/>
      </c>
      <c r="AW7" s="228">
        <f>IF(AND(45&gt;=$NR$7,45&lt;=$NS$7),IF($NP$7="Single_Point",IF(45=$NR$7,$NN$7,0),IF($NP$7="Bell_Curve",$NN$7*(45-$NR$7+1)*($NS$7-45+1)/$NU$7,$NN$7/$NT$7)),0)</f>
        <v/>
      </c>
      <c r="AX7" s="228">
        <f>IF(AND(46&gt;=$NR$7,46&lt;=$NS$7),IF($NP$7="Single_Point",IF(46=$NR$7,$NN$7,0),IF($NP$7="Bell_Curve",$NN$7*(46-$NR$7+1)*($NS$7-46+1)/$NU$7,$NN$7/$NT$7)),0)</f>
        <v/>
      </c>
      <c r="AY7" s="228">
        <f>IF(AND(47&gt;=$NR$7,47&lt;=$NS$7),IF($NP$7="Single_Point",IF(47=$NR$7,$NN$7,0),IF($NP$7="Bell_Curve",$NN$7*(47-$NR$7+1)*($NS$7-47+1)/$NU$7,$NN$7/$NT$7)),0)</f>
        <v/>
      </c>
      <c r="AZ7" s="228">
        <f>IF(AND(48&gt;=$NR$7,48&lt;=$NS$7),IF($NP$7="Single_Point",IF(48=$NR$7,$NN$7,0),IF($NP$7="Bell_Curve",$NN$7*(48-$NR$7+1)*($NS$7-48+1)/$NU$7,$NN$7/$NT$7)),0)</f>
        <v/>
      </c>
      <c r="BA7" s="228">
        <f>IF(AND(49&gt;=$NR$7,49&lt;=$NS$7),IF($NP$7="Single_Point",IF(49=$NR$7,$NN$7,0),IF($NP$7="Bell_Curve",$NN$7*(49-$NR$7+1)*($NS$7-49+1)/$NU$7,$NN$7/$NT$7)),0)</f>
        <v/>
      </c>
      <c r="BB7" s="228">
        <f>IF(AND(50&gt;=$NR$7,50&lt;=$NS$7),IF($NP$7="Single_Point",IF(50=$NR$7,$NN$7,0),IF($NP$7="Bell_Curve",$NN$7*(50-$NR$7+1)*($NS$7-50+1)/$NU$7,$NN$7/$NT$7)),0)</f>
        <v/>
      </c>
      <c r="BC7" s="228">
        <f>IF(AND(51&gt;=$NR$7,51&lt;=$NS$7),IF($NP$7="Single_Point",IF(51=$NR$7,$NN$7,0),IF($NP$7="Bell_Curve",$NN$7*(51-$NR$7+1)*($NS$7-51+1)/$NU$7,$NN$7/$NT$7)),0)</f>
        <v/>
      </c>
      <c r="BD7" s="228">
        <f>IF(AND(52&gt;=$NR$7,52&lt;=$NS$7),IF($NP$7="Single_Point",IF(52=$NR$7,$NN$7,0),IF($NP$7="Bell_Curve",$NN$7*(52-$NR$7+1)*($NS$7-52+1)/$NU$7,$NN$7/$NT$7)),0)</f>
        <v/>
      </c>
      <c r="BE7" s="228">
        <f>IF(AND(53&gt;=$NR$7,53&lt;=$NS$7),IF($NP$7="Single_Point",IF(53=$NR$7,$NN$7,0),IF($NP$7="Bell_Curve",$NN$7*(53-$NR$7+1)*($NS$7-53+1)/$NU$7,$NN$7/$NT$7)),0)</f>
        <v/>
      </c>
      <c r="BF7" s="228">
        <f>IF(AND(54&gt;=$NR$7,54&lt;=$NS$7),IF($NP$7="Single_Point",IF(54=$NR$7,$NN$7,0),IF($NP$7="Bell_Curve",$NN$7*(54-$NR$7+1)*($NS$7-54+1)/$NU$7,$NN$7/$NT$7)),0)</f>
        <v/>
      </c>
      <c r="BG7" s="228">
        <f>IF(AND(55&gt;=$NR$7,55&lt;=$NS$7),IF($NP$7="Single_Point",IF(55=$NR$7,$NN$7,0),IF($NP$7="Bell_Curve",$NN$7*(55-$NR$7+1)*($NS$7-55+1)/$NU$7,$NN$7/$NT$7)),0)</f>
        <v/>
      </c>
      <c r="BH7" s="228">
        <f>IF(AND(56&gt;=$NR$7,56&lt;=$NS$7),IF($NP$7="Single_Point",IF(56=$NR$7,$NN$7,0),IF($NP$7="Bell_Curve",$NN$7*(56-$NR$7+1)*($NS$7-56+1)/$NU$7,$NN$7/$NT$7)),0)</f>
        <v/>
      </c>
      <c r="BI7" s="228">
        <f>IF(AND(57&gt;=$NR$7,57&lt;=$NS$7),IF($NP$7="Single_Point",IF(57=$NR$7,$NN$7,0),IF($NP$7="Bell_Curve",$NN$7*(57-$NR$7+1)*($NS$7-57+1)/$NU$7,$NN$7/$NT$7)),0)</f>
        <v/>
      </c>
      <c r="BJ7" s="228">
        <f>IF(AND(58&gt;=$NR$7,58&lt;=$NS$7),IF($NP$7="Single_Point",IF(58=$NR$7,$NN$7,0),IF($NP$7="Bell_Curve",$NN$7*(58-$NR$7+1)*($NS$7-58+1)/$NU$7,$NN$7/$NT$7)),0)</f>
        <v/>
      </c>
      <c r="BK7" s="228">
        <f>IF(AND(59&gt;=$NR$7,59&lt;=$NS$7),IF($NP$7="Single_Point",IF(59=$NR$7,$NN$7,0),IF($NP$7="Bell_Curve",$NN$7*(59-$NR$7+1)*($NS$7-59+1)/$NU$7,$NN$7/$NT$7)),0)</f>
        <v/>
      </c>
      <c r="BL7" s="228">
        <f>IF(AND(60&gt;=$NR$7,60&lt;=$NS$7),IF($NP$7="Single_Point",IF(60=$NR$7,$NN$7,0),IF($NP$7="Bell_Curve",$NN$7*(60-$NR$7+1)*($NS$7-60+1)/$NU$7,$NN$7/$NT$7)),0)</f>
        <v/>
      </c>
      <c r="BM7" s="228">
        <f>IF(AND(61&gt;=$NR$7,61&lt;=$NS$7),IF($NP$7="Single_Point",IF(61=$NR$7,$NN$7,0),IF($NP$7="Bell_Curve",$NN$7*(61-$NR$7+1)*($NS$7-61+1)/$NU$7,$NN$7/$NT$7)),0)</f>
        <v/>
      </c>
      <c r="BN7" s="228">
        <f>IF(AND(62&gt;=$NR$7,62&lt;=$NS$7),IF($NP$7="Single_Point",IF(62=$NR$7,$NN$7,0),IF($NP$7="Bell_Curve",$NN$7*(62-$NR$7+1)*($NS$7-62+1)/$NU$7,$NN$7/$NT$7)),0)</f>
        <v/>
      </c>
      <c r="BO7" s="228">
        <f>IF(AND(63&gt;=$NR$7,63&lt;=$NS$7),IF($NP$7="Single_Point",IF(63=$NR$7,$NN$7,0),IF($NP$7="Bell_Curve",$NN$7*(63-$NR$7+1)*($NS$7-63+1)/$NU$7,$NN$7/$NT$7)),0)</f>
        <v/>
      </c>
      <c r="BP7" s="228">
        <f>IF(AND(64&gt;=$NR$7,64&lt;=$NS$7),IF($NP$7="Single_Point",IF(64=$NR$7,$NN$7,0),IF($NP$7="Bell_Curve",$NN$7*(64-$NR$7+1)*($NS$7-64+1)/$NU$7,$NN$7/$NT$7)),0)</f>
        <v/>
      </c>
      <c r="BQ7" s="228">
        <f>IF(AND(65&gt;=$NR$7,65&lt;=$NS$7),IF($NP$7="Single_Point",IF(65=$NR$7,$NN$7,0),IF($NP$7="Bell_Curve",$NN$7*(65-$NR$7+1)*($NS$7-65+1)/$NU$7,$NN$7/$NT$7)),0)</f>
        <v/>
      </c>
      <c r="BR7" s="228">
        <f>IF(AND(66&gt;=$NR$7,66&lt;=$NS$7),IF($NP$7="Single_Point",IF(66=$NR$7,$NN$7,0),IF($NP$7="Bell_Curve",$NN$7*(66-$NR$7+1)*($NS$7-66+1)/$NU$7,$NN$7/$NT$7)),0)</f>
        <v/>
      </c>
      <c r="BS7" s="228">
        <f>IF(AND(67&gt;=$NR$7,67&lt;=$NS$7),IF($NP$7="Single_Point",IF(67=$NR$7,$NN$7,0),IF($NP$7="Bell_Curve",$NN$7*(67-$NR$7+1)*($NS$7-67+1)/$NU$7,$NN$7/$NT$7)),0)</f>
        <v/>
      </c>
      <c r="BT7" s="228">
        <f>IF(AND(68&gt;=$NR$7,68&lt;=$NS$7),IF($NP$7="Single_Point",IF(68=$NR$7,$NN$7,0),IF($NP$7="Bell_Curve",$NN$7*(68-$NR$7+1)*($NS$7-68+1)/$NU$7,$NN$7/$NT$7)),0)</f>
        <v/>
      </c>
      <c r="BU7" s="228">
        <f>IF(AND(69&gt;=$NR$7,69&lt;=$NS$7),IF($NP$7="Single_Point",IF(69=$NR$7,$NN$7,0),IF($NP$7="Bell_Curve",$NN$7*(69-$NR$7+1)*($NS$7-69+1)/$NU$7,$NN$7/$NT$7)),0)</f>
        <v/>
      </c>
      <c r="BV7" s="228">
        <f>IF(AND(70&gt;=$NR$7,70&lt;=$NS$7),IF($NP$7="Single_Point",IF(70=$NR$7,$NN$7,0),IF($NP$7="Bell_Curve",$NN$7*(70-$NR$7+1)*($NS$7-70+1)/$NU$7,$NN$7/$NT$7)),0)</f>
        <v/>
      </c>
      <c r="BW7" s="228">
        <f>IF(AND(71&gt;=$NR$7,71&lt;=$NS$7),IF($NP$7="Single_Point",IF(71=$NR$7,$NN$7,0),IF($NP$7="Bell_Curve",$NN$7*(71-$NR$7+1)*($NS$7-71+1)/$NU$7,$NN$7/$NT$7)),0)</f>
        <v/>
      </c>
      <c r="BX7" s="228">
        <f>IF(AND(72&gt;=$NR$7,72&lt;=$NS$7),IF($NP$7="Single_Point",IF(72=$NR$7,$NN$7,0),IF($NP$7="Bell_Curve",$NN$7*(72-$NR$7+1)*($NS$7-72+1)/$NU$7,$NN$7/$NT$7)),0)</f>
        <v/>
      </c>
      <c r="BY7" s="228">
        <f>IF(AND(73&gt;=$NR$7,73&lt;=$NS$7),IF($NP$7="Single_Point",IF(73=$NR$7,$NN$7,0),IF($NP$7="Bell_Curve",$NN$7*(73-$NR$7+1)*($NS$7-73+1)/$NU$7,$NN$7/$NT$7)),0)</f>
        <v/>
      </c>
      <c r="BZ7" s="228">
        <f>IF(AND(74&gt;=$NR$7,74&lt;=$NS$7),IF($NP$7="Single_Point",IF(74=$NR$7,$NN$7,0),IF($NP$7="Bell_Curve",$NN$7*(74-$NR$7+1)*($NS$7-74+1)/$NU$7,$NN$7/$NT$7)),0)</f>
        <v/>
      </c>
      <c r="CA7" s="228">
        <f>IF(AND(75&gt;=$NR$7,75&lt;=$NS$7),IF($NP$7="Single_Point",IF(75=$NR$7,$NN$7,0),IF($NP$7="Bell_Curve",$NN$7*(75-$NR$7+1)*($NS$7-75+1)/$NU$7,$NN$7/$NT$7)),0)</f>
        <v/>
      </c>
      <c r="CB7" s="228">
        <f>IF(AND(76&gt;=$NR$7,76&lt;=$NS$7),IF($NP$7="Single_Point",IF(76=$NR$7,$NN$7,0),IF($NP$7="Bell_Curve",$NN$7*(76-$NR$7+1)*($NS$7-76+1)/$NU$7,$NN$7/$NT$7)),0)</f>
        <v/>
      </c>
      <c r="CC7" s="228">
        <f>IF(AND(77&gt;=$NR$7,77&lt;=$NS$7),IF($NP$7="Single_Point",IF(77=$NR$7,$NN$7,0),IF($NP$7="Bell_Curve",$NN$7*(77-$NR$7+1)*($NS$7-77+1)/$NU$7,$NN$7/$NT$7)),0)</f>
        <v/>
      </c>
      <c r="CD7" s="228">
        <f>IF(AND(78&gt;=$NR$7,78&lt;=$NS$7),IF($NP$7="Single_Point",IF(78=$NR$7,$NN$7,0),IF($NP$7="Bell_Curve",$NN$7*(78-$NR$7+1)*($NS$7-78+1)/$NU$7,$NN$7/$NT$7)),0)</f>
        <v/>
      </c>
      <c r="CE7" s="228">
        <f>IF(AND(79&gt;=$NR$7,79&lt;=$NS$7),IF($NP$7="Single_Point",IF(79=$NR$7,$NN$7,0),IF($NP$7="Bell_Curve",$NN$7*(79-$NR$7+1)*($NS$7-79+1)/$NU$7,$NN$7/$NT$7)),0)</f>
        <v/>
      </c>
      <c r="CF7" s="228">
        <f>IF(AND(80&gt;=$NR$7,80&lt;=$NS$7),IF($NP$7="Single_Point",IF(80=$NR$7,$NN$7,0),IF($NP$7="Bell_Curve",$NN$7*(80-$NR$7+1)*($NS$7-80+1)/$NU$7,$NN$7/$NT$7)),0)</f>
        <v/>
      </c>
      <c r="CG7" s="228">
        <f>IF(AND(81&gt;=$NR$7,81&lt;=$NS$7),IF($NP$7="Single_Point",IF(81=$NR$7,$NN$7,0),IF($NP$7="Bell_Curve",$NN$7*(81-$NR$7+1)*($NS$7-81+1)/$NU$7,$NN$7/$NT$7)),0)</f>
        <v/>
      </c>
      <c r="CH7" s="228">
        <f>IF(AND(82&gt;=$NR$7,82&lt;=$NS$7),IF($NP$7="Single_Point",IF(82=$NR$7,$NN$7,0),IF($NP$7="Bell_Curve",$NN$7*(82-$NR$7+1)*($NS$7-82+1)/$NU$7,$NN$7/$NT$7)),0)</f>
        <v/>
      </c>
      <c r="CI7" s="228">
        <f>IF(AND(83&gt;=$NR$7,83&lt;=$NS$7),IF($NP$7="Single_Point",IF(83=$NR$7,$NN$7,0),IF($NP$7="Bell_Curve",$NN$7*(83-$NR$7+1)*($NS$7-83+1)/$NU$7,$NN$7/$NT$7)),0)</f>
        <v/>
      </c>
      <c r="CJ7" s="228">
        <f>IF(AND(84&gt;=$NR$7,84&lt;=$NS$7),IF($NP$7="Single_Point",IF(84=$NR$7,$NN$7,0),IF($NP$7="Bell_Curve",$NN$7*(84-$NR$7+1)*($NS$7-84+1)/$NU$7,$NN$7/$NT$7)),0)</f>
        <v/>
      </c>
      <c r="CK7" s="228">
        <f>IF(AND(85&gt;=$NR$7,85&lt;=$NS$7),IF($NP$7="Single_Point",IF(85=$NR$7,$NN$7,0),IF($NP$7="Bell_Curve",$NN$7*(85-$NR$7+1)*($NS$7-85+1)/$NU$7,$NN$7/$NT$7)),0)</f>
        <v/>
      </c>
      <c r="CL7" s="228">
        <f>IF(AND(86&gt;=$NR$7,86&lt;=$NS$7),IF($NP$7="Single_Point",IF(86=$NR$7,$NN$7,0),IF($NP$7="Bell_Curve",$NN$7*(86-$NR$7+1)*($NS$7-86+1)/$NU$7,$NN$7/$NT$7)),0)</f>
        <v/>
      </c>
      <c r="CM7" s="228">
        <f>IF(AND(87&gt;=$NR$7,87&lt;=$NS$7),IF($NP$7="Single_Point",IF(87=$NR$7,$NN$7,0),IF($NP$7="Bell_Curve",$NN$7*(87-$NR$7+1)*($NS$7-87+1)/$NU$7,$NN$7/$NT$7)),0)</f>
        <v/>
      </c>
      <c r="CN7" s="228">
        <f>IF(AND(88&gt;=$NR$7,88&lt;=$NS$7),IF($NP$7="Single_Point",IF(88=$NR$7,$NN$7,0),IF($NP$7="Bell_Curve",$NN$7*(88-$NR$7+1)*($NS$7-88+1)/$NU$7,$NN$7/$NT$7)),0)</f>
        <v/>
      </c>
      <c r="CO7" s="228">
        <f>IF(AND(89&gt;=$NR$7,89&lt;=$NS$7),IF($NP$7="Single_Point",IF(89=$NR$7,$NN$7,0),IF($NP$7="Bell_Curve",$NN$7*(89-$NR$7+1)*($NS$7-89+1)/$NU$7,$NN$7/$NT$7)),0)</f>
        <v/>
      </c>
      <c r="CP7" s="228">
        <f>IF(AND(90&gt;=$NR$7,90&lt;=$NS$7),IF($NP$7="Single_Point",IF(90=$NR$7,$NN$7,0),IF($NP$7="Bell_Curve",$NN$7*(90-$NR$7+1)*($NS$7-90+1)/$NU$7,$NN$7/$NT$7)),0)</f>
        <v/>
      </c>
      <c r="CQ7" s="228">
        <f>IF(AND(91&gt;=$NR$7,91&lt;=$NS$7),IF($NP$7="Single_Point",IF(91=$NR$7,$NN$7,0),IF($NP$7="Bell_Curve",$NN$7*(91-$NR$7+1)*($NS$7-91+1)/$NU$7,$NN$7/$NT$7)),0)</f>
        <v/>
      </c>
      <c r="CR7" s="228">
        <f>IF(AND(92&gt;=$NR$7,92&lt;=$NS$7),IF($NP$7="Single_Point",IF(92=$NR$7,$NN$7,0),IF($NP$7="Bell_Curve",$NN$7*(92-$NR$7+1)*($NS$7-92+1)/$NU$7,$NN$7/$NT$7)),0)</f>
        <v/>
      </c>
      <c r="CS7" s="228">
        <f>IF(AND(93&gt;=$NR$7,93&lt;=$NS$7),IF($NP$7="Single_Point",IF(93=$NR$7,$NN$7,0),IF($NP$7="Bell_Curve",$NN$7*(93-$NR$7+1)*($NS$7-93+1)/$NU$7,$NN$7/$NT$7)),0)</f>
        <v/>
      </c>
      <c r="CT7" s="228">
        <f>IF(AND(94&gt;=$NR$7,94&lt;=$NS$7),IF($NP$7="Single_Point",IF(94=$NR$7,$NN$7,0),IF($NP$7="Bell_Curve",$NN$7*(94-$NR$7+1)*($NS$7-94+1)/$NU$7,$NN$7/$NT$7)),0)</f>
        <v/>
      </c>
      <c r="CU7" s="228">
        <f>IF(AND(95&gt;=$NR$7,95&lt;=$NS$7),IF($NP$7="Single_Point",IF(95=$NR$7,$NN$7,0),IF($NP$7="Bell_Curve",$NN$7*(95-$NR$7+1)*($NS$7-95+1)/$NU$7,$NN$7/$NT$7)),0)</f>
        <v/>
      </c>
      <c r="CV7" s="228">
        <f>IF(AND(96&gt;=$NR$7,96&lt;=$NS$7),IF($NP$7="Single_Point",IF(96=$NR$7,$NN$7,0),IF($NP$7="Bell_Curve",$NN$7*(96-$NR$7+1)*($NS$7-96+1)/$NU$7,$NN$7/$NT$7)),0)</f>
        <v/>
      </c>
      <c r="CW7" s="228">
        <f>IF(AND(97&gt;=$NR$7,97&lt;=$NS$7),IF($NP$7="Single_Point",IF(97=$NR$7,$NN$7,0),IF($NP$7="Bell_Curve",$NN$7*(97-$NR$7+1)*($NS$7-97+1)/$NU$7,$NN$7/$NT$7)),0)</f>
        <v/>
      </c>
      <c r="CX7" s="228">
        <f>IF(AND(98&gt;=$NR$7,98&lt;=$NS$7),IF($NP$7="Single_Point",IF(98=$NR$7,$NN$7,0),IF($NP$7="Bell_Curve",$NN$7*(98-$NR$7+1)*($NS$7-98+1)/$NU$7,$NN$7/$NT$7)),0)</f>
        <v/>
      </c>
      <c r="CY7" s="228">
        <f>IF(AND(99&gt;=$NR$7,99&lt;=$NS$7),IF($NP$7="Single_Point",IF(99=$NR$7,$NN$7,0),IF($NP$7="Bell_Curve",$NN$7*(99-$NR$7+1)*($NS$7-99+1)/$NU$7,$NN$7/$NT$7)),0)</f>
        <v/>
      </c>
      <c r="CZ7" s="228">
        <f>IF(AND(100&gt;=$NR$7,100&lt;=$NS$7),IF($NP$7="Single_Point",IF(100=$NR$7,$NN$7,0),IF($NP$7="Bell_Curve",$NN$7*(100-$NR$7+1)*($NS$7-100+1)/$NU$7,$NN$7/$NT$7)),0)</f>
        <v/>
      </c>
      <c r="DA7" s="228">
        <f>IF(AND(101&gt;=$NR$7,101&lt;=$NS$7),IF($NP$7="Single_Point",IF(101=$NR$7,$NN$7,0),IF($NP$7="Bell_Curve",$NN$7*(101-$NR$7+1)*($NS$7-101+1)/$NU$7,$NN$7/$NT$7)),0)</f>
        <v/>
      </c>
      <c r="DB7" s="228">
        <f>IF(AND(102&gt;=$NR$7,102&lt;=$NS$7),IF($NP$7="Single_Point",IF(102=$NR$7,$NN$7,0),IF($NP$7="Bell_Curve",$NN$7*(102-$NR$7+1)*($NS$7-102+1)/$NU$7,$NN$7/$NT$7)),0)</f>
        <v/>
      </c>
      <c r="DC7" s="228">
        <f>IF(AND(103&gt;=$NR$7,103&lt;=$NS$7),IF($NP$7="Single_Point",IF(103=$NR$7,$NN$7,0),IF($NP$7="Bell_Curve",$NN$7*(103-$NR$7+1)*($NS$7-103+1)/$NU$7,$NN$7/$NT$7)),0)</f>
        <v/>
      </c>
      <c r="DD7" s="228">
        <f>IF(AND(104&gt;=$NR$7,104&lt;=$NS$7),IF($NP$7="Single_Point",IF(104=$NR$7,$NN$7,0),IF($NP$7="Bell_Curve",$NN$7*(104-$NR$7+1)*($NS$7-104+1)/$NU$7,$NN$7/$NT$7)),0)</f>
        <v/>
      </c>
      <c r="DE7" s="228">
        <f>IF(AND(105&gt;=$NR$7,105&lt;=$NS$7),IF($NP$7="Single_Point",IF(105=$NR$7,$NN$7,0),IF($NP$7="Bell_Curve",$NN$7*(105-$NR$7+1)*($NS$7-105+1)/$NU$7,$NN$7/$NT$7)),0)</f>
        <v/>
      </c>
      <c r="DF7" s="228">
        <f>IF(AND(106&gt;=$NR$7,106&lt;=$NS$7),IF($NP$7="Single_Point",IF(106=$NR$7,$NN$7,0),IF($NP$7="Bell_Curve",$NN$7*(106-$NR$7+1)*($NS$7-106+1)/$NU$7,$NN$7/$NT$7)),0)</f>
        <v/>
      </c>
      <c r="DG7" s="228">
        <f>IF(AND(107&gt;=$NR$7,107&lt;=$NS$7),IF($NP$7="Single_Point",IF(107=$NR$7,$NN$7,0),IF($NP$7="Bell_Curve",$NN$7*(107-$NR$7+1)*($NS$7-107+1)/$NU$7,$NN$7/$NT$7)),0)</f>
        <v/>
      </c>
      <c r="DH7" s="228">
        <f>IF(AND(108&gt;=$NR$7,108&lt;=$NS$7),IF($NP$7="Single_Point",IF(108=$NR$7,$NN$7,0),IF($NP$7="Bell_Curve",$NN$7*(108-$NR$7+1)*($NS$7-108+1)/$NU$7,$NN$7/$NT$7)),0)</f>
        <v/>
      </c>
      <c r="DI7" s="228">
        <f>IF(AND(109&gt;=$NR$7,109&lt;=$NS$7),IF($NP$7="Single_Point",IF(109=$NR$7,$NN$7,0),IF($NP$7="Bell_Curve",$NN$7*(109-$NR$7+1)*($NS$7-109+1)/$NU$7,$NN$7/$NT$7)),0)</f>
        <v/>
      </c>
      <c r="DJ7" s="228">
        <f>IF(AND(110&gt;=$NR$7,110&lt;=$NS$7),IF($NP$7="Single_Point",IF(110=$NR$7,$NN$7,0),IF($NP$7="Bell_Curve",$NN$7*(110-$NR$7+1)*($NS$7-110+1)/$NU$7,$NN$7/$NT$7)),0)</f>
        <v/>
      </c>
      <c r="DK7" s="228">
        <f>IF(AND(111&gt;=$NR$7,111&lt;=$NS$7),IF($NP$7="Single_Point",IF(111=$NR$7,$NN$7,0),IF($NP$7="Bell_Curve",$NN$7*(111-$NR$7+1)*($NS$7-111+1)/$NU$7,$NN$7/$NT$7)),0)</f>
        <v/>
      </c>
      <c r="DL7" s="228">
        <f>IF(AND(112&gt;=$NR$7,112&lt;=$NS$7),IF($NP$7="Single_Point",IF(112=$NR$7,$NN$7,0),IF($NP$7="Bell_Curve",$NN$7*(112-$NR$7+1)*($NS$7-112+1)/$NU$7,$NN$7/$NT$7)),0)</f>
        <v/>
      </c>
      <c r="DM7" s="228">
        <f>IF(AND(113&gt;=$NR$7,113&lt;=$NS$7),IF($NP$7="Single_Point",IF(113=$NR$7,$NN$7,0),IF($NP$7="Bell_Curve",$NN$7*(113-$NR$7+1)*($NS$7-113+1)/$NU$7,$NN$7/$NT$7)),0)</f>
        <v/>
      </c>
      <c r="DN7" s="228">
        <f>IF(AND(114&gt;=$NR$7,114&lt;=$NS$7),IF($NP$7="Single_Point",IF(114=$NR$7,$NN$7,0),IF($NP$7="Bell_Curve",$NN$7*(114-$NR$7+1)*($NS$7-114+1)/$NU$7,$NN$7/$NT$7)),0)</f>
        <v/>
      </c>
      <c r="DO7" s="228">
        <f>IF(AND(115&gt;=$NR$7,115&lt;=$NS$7),IF($NP$7="Single_Point",IF(115=$NR$7,$NN$7,0),IF($NP$7="Bell_Curve",$NN$7*(115-$NR$7+1)*($NS$7-115+1)/$NU$7,$NN$7/$NT$7)),0)</f>
        <v/>
      </c>
      <c r="DP7" s="228">
        <f>IF(AND(116&gt;=$NR$7,116&lt;=$NS$7),IF($NP$7="Single_Point",IF(116=$NR$7,$NN$7,0),IF($NP$7="Bell_Curve",$NN$7*(116-$NR$7+1)*($NS$7-116+1)/$NU$7,$NN$7/$NT$7)),0)</f>
        <v/>
      </c>
      <c r="DQ7" s="228">
        <f>IF(AND(117&gt;=$NR$7,117&lt;=$NS$7),IF($NP$7="Single_Point",IF(117=$NR$7,$NN$7,0),IF($NP$7="Bell_Curve",$NN$7*(117-$NR$7+1)*($NS$7-117+1)/$NU$7,$NN$7/$NT$7)),0)</f>
        <v/>
      </c>
      <c r="DR7" s="228">
        <f>IF(AND(118&gt;=$NR$7,118&lt;=$NS$7),IF($NP$7="Single_Point",IF(118=$NR$7,$NN$7,0),IF($NP$7="Bell_Curve",$NN$7*(118-$NR$7+1)*($NS$7-118+1)/$NU$7,$NN$7/$NT$7)),0)</f>
        <v/>
      </c>
      <c r="DS7" s="228">
        <f>IF(AND(119&gt;=$NR$7,119&lt;=$NS$7),IF($NP$7="Single_Point",IF(119=$NR$7,$NN$7,0),IF($NP$7="Bell_Curve",$NN$7*(119-$NR$7+1)*($NS$7-119+1)/$NU$7,$NN$7/$NT$7)),0)</f>
        <v/>
      </c>
      <c r="DT7" s="228">
        <f>IF(AND(120&gt;=$NR$7,120&lt;=$NS$7),IF($NP$7="Single_Point",IF(120=$NR$7,$NN$7,0),IF($NP$7="Bell_Curve",$NN$7*(120-$NR$7+1)*($NS$7-120+1)/$NU$7,$NN$7/$NT$7)),0)</f>
        <v/>
      </c>
      <c r="DU7" s="228">
        <f>IF(AND(121&gt;=$NR$7,121&lt;=$NS$7),IF($NP$7="Single_Point",IF(121=$NR$7,$NN$7,0),IF($NP$7="Bell_Curve",$NN$7*(121-$NR$7+1)*($NS$7-121+1)/$NU$7,$NN$7/$NT$7)),0)</f>
        <v/>
      </c>
      <c r="DV7" s="228">
        <f>IF(AND(122&gt;=$NR$7,122&lt;=$NS$7),IF($NP$7="Single_Point",IF(122=$NR$7,$NN$7,0),IF($NP$7="Bell_Curve",$NN$7*(122-$NR$7+1)*($NS$7-122+1)/$NU$7,$NN$7/$NT$7)),0)</f>
        <v/>
      </c>
      <c r="DW7" s="228">
        <f>IF(AND(123&gt;=$NR$7,123&lt;=$NS$7),IF($NP$7="Single_Point",IF(123=$NR$7,$NN$7,0),IF($NP$7="Bell_Curve",$NN$7*(123-$NR$7+1)*($NS$7-123+1)/$NU$7,$NN$7/$NT$7)),0)</f>
        <v/>
      </c>
      <c r="DX7" s="228">
        <f>IF(AND(124&gt;=$NR$7,124&lt;=$NS$7),IF($NP$7="Single_Point",IF(124=$NR$7,$NN$7,0),IF($NP$7="Bell_Curve",$NN$7*(124-$NR$7+1)*($NS$7-124+1)/$NU$7,$NN$7/$NT$7)),0)</f>
        <v/>
      </c>
      <c r="DY7" s="228">
        <f>IF(AND(125&gt;=$NR$7,125&lt;=$NS$7),IF($NP$7="Single_Point",IF(125=$NR$7,$NN$7,0),IF($NP$7="Bell_Curve",$NN$7*(125-$NR$7+1)*($NS$7-125+1)/$NU$7,$NN$7/$NT$7)),0)</f>
        <v/>
      </c>
      <c r="DZ7" s="228">
        <f>IF(AND(126&gt;=$NR$7,126&lt;=$NS$7),IF($NP$7="Single_Point",IF(126=$NR$7,$NN$7,0),IF($NP$7="Bell_Curve",$NN$7*(126-$NR$7+1)*($NS$7-126+1)/$NU$7,$NN$7/$NT$7)),0)</f>
        <v/>
      </c>
      <c r="EA7" s="228">
        <f>IF(AND(127&gt;=$NR$7,127&lt;=$NS$7),IF($NP$7="Single_Point",IF(127=$NR$7,$NN$7,0),IF($NP$7="Bell_Curve",$NN$7*(127-$NR$7+1)*($NS$7-127+1)/$NU$7,$NN$7/$NT$7)),0)</f>
        <v/>
      </c>
      <c r="EB7" s="228">
        <f>IF(AND(128&gt;=$NR$7,128&lt;=$NS$7),IF($NP$7="Single_Point",IF(128=$NR$7,$NN$7,0),IF($NP$7="Bell_Curve",$NN$7*(128-$NR$7+1)*($NS$7-128+1)/$NU$7,$NN$7/$NT$7)),0)</f>
        <v/>
      </c>
      <c r="EC7" s="228">
        <f>IF(AND(129&gt;=$NR$7,129&lt;=$NS$7),IF($NP$7="Single_Point",IF(129=$NR$7,$NN$7,0),IF($NP$7="Bell_Curve",$NN$7*(129-$NR$7+1)*($NS$7-129+1)/$NU$7,$NN$7/$NT$7)),0)</f>
        <v/>
      </c>
      <c r="ED7" s="228">
        <f>IF(AND(130&gt;=$NR$7,130&lt;=$NS$7),IF($NP$7="Single_Point",IF(130=$NR$7,$NN$7,0),IF($NP$7="Bell_Curve",$NN$7*(130-$NR$7+1)*($NS$7-130+1)/$NU$7,$NN$7/$NT$7)),0)</f>
        <v/>
      </c>
      <c r="EE7" s="228">
        <f>IF(AND(131&gt;=$NR$7,131&lt;=$NS$7),IF($NP$7="Single_Point",IF(131=$NR$7,$NN$7,0),IF($NP$7="Bell_Curve",$NN$7*(131-$NR$7+1)*($NS$7-131+1)/$NU$7,$NN$7/$NT$7)),0)</f>
        <v/>
      </c>
      <c r="EF7" s="228">
        <f>IF(AND(132&gt;=$NR$7,132&lt;=$NS$7),IF($NP$7="Single_Point",IF(132=$NR$7,$NN$7,0),IF($NP$7="Bell_Curve",$NN$7*(132-$NR$7+1)*($NS$7-132+1)/$NU$7,$NN$7/$NT$7)),0)</f>
        <v/>
      </c>
      <c r="EG7" s="228">
        <f>IF(AND(133&gt;=$NR$7,133&lt;=$NS$7),IF($NP$7="Single_Point",IF(133=$NR$7,$NN$7,0),IF($NP$7="Bell_Curve",$NN$7*(133-$NR$7+1)*($NS$7-133+1)/$NU$7,$NN$7/$NT$7)),0)</f>
        <v/>
      </c>
      <c r="EH7" s="228">
        <f>IF(AND(134&gt;=$NR$7,134&lt;=$NS$7),IF($NP$7="Single_Point",IF(134=$NR$7,$NN$7,0),IF($NP$7="Bell_Curve",$NN$7*(134-$NR$7+1)*($NS$7-134+1)/$NU$7,$NN$7/$NT$7)),0)</f>
        <v/>
      </c>
      <c r="EI7" s="228">
        <f>IF(AND(135&gt;=$NR$7,135&lt;=$NS$7),IF($NP$7="Single_Point",IF(135=$NR$7,$NN$7,0),IF($NP$7="Bell_Curve",$NN$7*(135-$NR$7+1)*($NS$7-135+1)/$NU$7,$NN$7/$NT$7)),0)</f>
        <v/>
      </c>
      <c r="EJ7" s="228">
        <f>IF(AND(136&gt;=$NR$7,136&lt;=$NS$7),IF($NP$7="Single_Point",IF(136=$NR$7,$NN$7,0),IF($NP$7="Bell_Curve",$NN$7*(136-$NR$7+1)*($NS$7-136+1)/$NU$7,$NN$7/$NT$7)),0)</f>
        <v/>
      </c>
      <c r="EK7" s="228">
        <f>IF(AND(137&gt;=$NR$7,137&lt;=$NS$7),IF($NP$7="Single_Point",IF(137=$NR$7,$NN$7,0),IF($NP$7="Bell_Curve",$NN$7*(137-$NR$7+1)*($NS$7-137+1)/$NU$7,$NN$7/$NT$7)),0)</f>
        <v/>
      </c>
      <c r="EL7" s="228">
        <f>IF(AND(138&gt;=$NR$7,138&lt;=$NS$7),IF($NP$7="Single_Point",IF(138=$NR$7,$NN$7,0),IF($NP$7="Bell_Curve",$NN$7*(138-$NR$7+1)*($NS$7-138+1)/$NU$7,$NN$7/$NT$7)),0)</f>
        <v/>
      </c>
      <c r="EM7" s="228">
        <f>IF(AND(139&gt;=$NR$7,139&lt;=$NS$7),IF($NP$7="Single_Point",IF(139=$NR$7,$NN$7,0),IF($NP$7="Bell_Curve",$NN$7*(139-$NR$7+1)*($NS$7-139+1)/$NU$7,$NN$7/$NT$7)),0)</f>
        <v/>
      </c>
      <c r="EN7" s="228">
        <f>IF(AND(140&gt;=$NR$7,140&lt;=$NS$7),IF($NP$7="Single_Point",IF(140=$NR$7,$NN$7,0),IF($NP$7="Bell_Curve",$NN$7*(140-$NR$7+1)*($NS$7-140+1)/$NU$7,$NN$7/$NT$7)),0)</f>
        <v/>
      </c>
      <c r="EO7" s="228">
        <f>IF(AND(141&gt;=$NR$7,141&lt;=$NS$7),IF($NP$7="Single_Point",IF(141=$NR$7,$NN$7,0),IF($NP$7="Bell_Curve",$NN$7*(141-$NR$7+1)*($NS$7-141+1)/$NU$7,$NN$7/$NT$7)),0)</f>
        <v/>
      </c>
      <c r="EP7" s="228">
        <f>IF(AND(142&gt;=$NR$7,142&lt;=$NS$7),IF($NP$7="Single_Point",IF(142=$NR$7,$NN$7,0),IF($NP$7="Bell_Curve",$NN$7*(142-$NR$7+1)*($NS$7-142+1)/$NU$7,$NN$7/$NT$7)),0)</f>
        <v/>
      </c>
      <c r="EQ7" s="228">
        <f>IF(AND(143&gt;=$NR$7,143&lt;=$NS$7),IF($NP$7="Single_Point",IF(143=$NR$7,$NN$7,0),IF($NP$7="Bell_Curve",$NN$7*(143-$NR$7+1)*($NS$7-143+1)/$NU$7,$NN$7/$NT$7)),0)</f>
        <v/>
      </c>
      <c r="ER7" s="228">
        <f>IF(AND(144&gt;=$NR$7,144&lt;=$NS$7),IF($NP$7="Single_Point",IF(144=$NR$7,$NN$7,0),IF($NP$7="Bell_Curve",$NN$7*(144-$NR$7+1)*($NS$7-144+1)/$NU$7,$NN$7/$NT$7)),0)</f>
        <v/>
      </c>
      <c r="ES7" s="228">
        <f>IF(AND(145&gt;=$NR$7,145&lt;=$NS$7),IF($NP$7="Single_Point",IF(145=$NR$7,$NN$7,0),IF($NP$7="Bell_Curve",$NN$7*(145-$NR$7+1)*($NS$7-145+1)/$NU$7,$NN$7/$NT$7)),0)</f>
        <v/>
      </c>
      <c r="ET7" s="228">
        <f>IF(AND(146&gt;=$NR$7,146&lt;=$NS$7),IF($NP$7="Single_Point",IF(146=$NR$7,$NN$7,0),IF($NP$7="Bell_Curve",$NN$7*(146-$NR$7+1)*($NS$7-146+1)/$NU$7,$NN$7/$NT$7)),0)</f>
        <v/>
      </c>
      <c r="EU7" s="228">
        <f>IF(AND(147&gt;=$NR$7,147&lt;=$NS$7),IF($NP$7="Single_Point",IF(147=$NR$7,$NN$7,0),IF($NP$7="Bell_Curve",$NN$7*(147-$NR$7+1)*($NS$7-147+1)/$NU$7,$NN$7/$NT$7)),0)</f>
        <v/>
      </c>
      <c r="EV7" s="228">
        <f>IF(AND(148&gt;=$NR$7,148&lt;=$NS$7),IF($NP$7="Single_Point",IF(148=$NR$7,$NN$7,0),IF($NP$7="Bell_Curve",$NN$7*(148-$NR$7+1)*($NS$7-148+1)/$NU$7,$NN$7/$NT$7)),0)</f>
        <v/>
      </c>
      <c r="EW7" s="228">
        <f>IF(AND(149&gt;=$NR$7,149&lt;=$NS$7),IF($NP$7="Single_Point",IF(149=$NR$7,$NN$7,0),IF($NP$7="Bell_Curve",$NN$7*(149-$NR$7+1)*($NS$7-149+1)/$NU$7,$NN$7/$NT$7)),0)</f>
        <v/>
      </c>
      <c r="EX7" s="228">
        <f>IF(AND(150&gt;=$NR$7,150&lt;=$NS$7),IF($NP$7="Single_Point",IF(150=$NR$7,$NN$7,0),IF($NP$7="Bell_Curve",$NN$7*(150-$NR$7+1)*($NS$7-150+1)/$NU$7,$NN$7/$NT$7)),0)</f>
        <v/>
      </c>
      <c r="EY7" s="228">
        <f>IF(AND(151&gt;=$NR$7,151&lt;=$NS$7),IF($NP$7="Single_Point",IF(151=$NR$7,$NN$7,0),IF($NP$7="Bell_Curve",$NN$7*(151-$NR$7+1)*($NS$7-151+1)/$NU$7,$NN$7/$NT$7)),0)</f>
        <v/>
      </c>
      <c r="EZ7" s="228">
        <f>IF(AND(152&gt;=$NR$7,152&lt;=$NS$7),IF($NP$7="Single_Point",IF(152=$NR$7,$NN$7,0),IF($NP$7="Bell_Curve",$NN$7*(152-$NR$7+1)*($NS$7-152+1)/$NU$7,$NN$7/$NT$7)),0)</f>
        <v/>
      </c>
      <c r="FA7" s="228">
        <f>IF(AND(153&gt;=$NR$7,153&lt;=$NS$7),IF($NP$7="Single_Point",IF(153=$NR$7,$NN$7,0),IF($NP$7="Bell_Curve",$NN$7*(153-$NR$7+1)*($NS$7-153+1)/$NU$7,$NN$7/$NT$7)),0)</f>
        <v/>
      </c>
      <c r="FB7" s="228">
        <f>IF(AND(154&gt;=$NR$7,154&lt;=$NS$7),IF($NP$7="Single_Point",IF(154=$NR$7,$NN$7,0),IF($NP$7="Bell_Curve",$NN$7*(154-$NR$7+1)*($NS$7-154+1)/$NU$7,$NN$7/$NT$7)),0)</f>
        <v/>
      </c>
      <c r="FC7" s="228">
        <f>IF(AND(155&gt;=$NR$7,155&lt;=$NS$7),IF($NP$7="Single_Point",IF(155=$NR$7,$NN$7,0),IF($NP$7="Bell_Curve",$NN$7*(155-$NR$7+1)*($NS$7-155+1)/$NU$7,$NN$7/$NT$7)),0)</f>
        <v/>
      </c>
      <c r="FD7" s="228">
        <f>IF(AND(156&gt;=$NR$7,156&lt;=$NS$7),IF($NP$7="Single_Point",IF(156=$NR$7,$NN$7,0),IF($NP$7="Bell_Curve",$NN$7*(156-$NR$7+1)*($NS$7-156+1)/$NU$7,$NN$7/$NT$7)),0)</f>
        <v/>
      </c>
      <c r="FE7" s="228">
        <f>IF(AND(157&gt;=$NR$7,157&lt;=$NS$7),IF($NP$7="Single_Point",IF(157=$NR$7,$NN$7,0),IF($NP$7="Bell_Curve",$NN$7*(157-$NR$7+1)*($NS$7-157+1)/$NU$7,$NN$7/$NT$7)),0)</f>
        <v/>
      </c>
      <c r="FF7" s="228">
        <f>IF(AND(158&gt;=$NR$7,158&lt;=$NS$7),IF($NP$7="Single_Point",IF(158=$NR$7,$NN$7,0),IF($NP$7="Bell_Curve",$NN$7*(158-$NR$7+1)*($NS$7-158+1)/$NU$7,$NN$7/$NT$7)),0)</f>
        <v/>
      </c>
      <c r="FG7" s="228">
        <f>IF(AND(159&gt;=$NR$7,159&lt;=$NS$7),IF($NP$7="Single_Point",IF(159=$NR$7,$NN$7,0),IF($NP$7="Bell_Curve",$NN$7*(159-$NR$7+1)*($NS$7-159+1)/$NU$7,$NN$7/$NT$7)),0)</f>
        <v/>
      </c>
      <c r="FH7" s="228">
        <f>IF(AND(160&gt;=$NR$7,160&lt;=$NS$7),IF($NP$7="Single_Point",IF(160=$NR$7,$NN$7,0),IF($NP$7="Bell_Curve",$NN$7*(160-$NR$7+1)*($NS$7-160+1)/$NU$7,$NN$7/$NT$7)),0)</f>
        <v/>
      </c>
      <c r="FI7" s="228">
        <f>IF(AND(161&gt;=$NR$7,161&lt;=$NS$7),IF($NP$7="Single_Point",IF(161=$NR$7,$NN$7,0),IF($NP$7="Bell_Curve",$NN$7*(161-$NR$7+1)*($NS$7-161+1)/$NU$7,$NN$7/$NT$7)),0)</f>
        <v/>
      </c>
      <c r="FJ7" s="228">
        <f>IF(AND(162&gt;=$NR$7,162&lt;=$NS$7),IF($NP$7="Single_Point",IF(162=$NR$7,$NN$7,0),IF($NP$7="Bell_Curve",$NN$7*(162-$NR$7+1)*($NS$7-162+1)/$NU$7,$NN$7/$NT$7)),0)</f>
        <v/>
      </c>
      <c r="FK7" s="228">
        <f>IF(AND(163&gt;=$NR$7,163&lt;=$NS$7),IF($NP$7="Single_Point",IF(163=$NR$7,$NN$7,0),IF($NP$7="Bell_Curve",$NN$7*(163-$NR$7+1)*($NS$7-163+1)/$NU$7,$NN$7/$NT$7)),0)</f>
        <v/>
      </c>
      <c r="FL7" s="228">
        <f>IF(AND(164&gt;=$NR$7,164&lt;=$NS$7),IF($NP$7="Single_Point",IF(164=$NR$7,$NN$7,0),IF($NP$7="Bell_Curve",$NN$7*(164-$NR$7+1)*($NS$7-164+1)/$NU$7,$NN$7/$NT$7)),0)</f>
        <v/>
      </c>
      <c r="FM7" s="228">
        <f>IF(AND(165&gt;=$NR$7,165&lt;=$NS$7),IF($NP$7="Single_Point",IF(165=$NR$7,$NN$7,0),IF($NP$7="Bell_Curve",$NN$7*(165-$NR$7+1)*($NS$7-165+1)/$NU$7,$NN$7/$NT$7)),0)</f>
        <v/>
      </c>
      <c r="FN7" s="228">
        <f>IF(AND(166&gt;=$NR$7,166&lt;=$NS$7),IF($NP$7="Single_Point",IF(166=$NR$7,$NN$7,0),IF($NP$7="Bell_Curve",$NN$7*(166-$NR$7+1)*($NS$7-166+1)/$NU$7,$NN$7/$NT$7)),0)</f>
        <v/>
      </c>
      <c r="FO7" s="228">
        <f>IF(AND(167&gt;=$NR$7,167&lt;=$NS$7),IF($NP$7="Single_Point",IF(167=$NR$7,$NN$7,0),IF($NP$7="Bell_Curve",$NN$7*(167-$NR$7+1)*($NS$7-167+1)/$NU$7,$NN$7/$NT$7)),0)</f>
        <v/>
      </c>
      <c r="FP7" s="228">
        <f>IF(AND(168&gt;=$NR$7,168&lt;=$NS$7),IF($NP$7="Single_Point",IF(168=$NR$7,$NN$7,0),IF($NP$7="Bell_Curve",$NN$7*(168-$NR$7+1)*($NS$7-168+1)/$NU$7,$NN$7/$NT$7)),0)</f>
        <v/>
      </c>
      <c r="FQ7" s="228">
        <f>IF(AND(169&gt;=$NR$7,169&lt;=$NS$7),IF($NP$7="Single_Point",IF(169=$NR$7,$NN$7,0),IF($NP$7="Bell_Curve",$NN$7*(169-$NR$7+1)*($NS$7-169+1)/$NU$7,$NN$7/$NT$7)),0)</f>
        <v/>
      </c>
      <c r="FR7" s="228">
        <f>IF(AND(170&gt;=$NR$7,170&lt;=$NS$7),IF($NP$7="Single_Point",IF(170=$NR$7,$NN$7,0),IF($NP$7="Bell_Curve",$NN$7*(170-$NR$7+1)*($NS$7-170+1)/$NU$7,$NN$7/$NT$7)),0)</f>
        <v/>
      </c>
      <c r="FS7" s="228">
        <f>IF(AND(171&gt;=$NR$7,171&lt;=$NS$7),IF($NP$7="Single_Point",IF(171=$NR$7,$NN$7,0),IF($NP$7="Bell_Curve",$NN$7*(171-$NR$7+1)*($NS$7-171+1)/$NU$7,$NN$7/$NT$7)),0)</f>
        <v/>
      </c>
      <c r="FT7" s="228">
        <f>IF(AND(172&gt;=$NR$7,172&lt;=$NS$7),IF($NP$7="Single_Point",IF(172=$NR$7,$NN$7,0),IF($NP$7="Bell_Curve",$NN$7*(172-$NR$7+1)*($NS$7-172+1)/$NU$7,$NN$7/$NT$7)),0)</f>
        <v/>
      </c>
      <c r="FU7" s="228">
        <f>IF(AND(173&gt;=$NR$7,173&lt;=$NS$7),IF($NP$7="Single_Point",IF(173=$NR$7,$NN$7,0),IF($NP$7="Bell_Curve",$NN$7*(173-$NR$7+1)*($NS$7-173+1)/$NU$7,$NN$7/$NT$7)),0)</f>
        <v/>
      </c>
      <c r="FV7" s="228">
        <f>IF(AND(174&gt;=$NR$7,174&lt;=$NS$7),IF($NP$7="Single_Point",IF(174=$NR$7,$NN$7,0),IF($NP$7="Bell_Curve",$NN$7*(174-$NR$7+1)*($NS$7-174+1)/$NU$7,$NN$7/$NT$7)),0)</f>
        <v/>
      </c>
      <c r="FW7" s="228">
        <f>IF(AND(175&gt;=$NR$7,175&lt;=$NS$7),IF($NP$7="Single_Point",IF(175=$NR$7,$NN$7,0),IF($NP$7="Bell_Curve",$NN$7*(175-$NR$7+1)*($NS$7-175+1)/$NU$7,$NN$7/$NT$7)),0)</f>
        <v/>
      </c>
      <c r="FX7" s="228">
        <f>IF(AND(176&gt;=$NR$7,176&lt;=$NS$7),IF($NP$7="Single_Point",IF(176=$NR$7,$NN$7,0),IF($NP$7="Bell_Curve",$NN$7*(176-$NR$7+1)*($NS$7-176+1)/$NU$7,$NN$7/$NT$7)),0)</f>
        <v/>
      </c>
      <c r="FY7" s="228">
        <f>IF(AND(177&gt;=$NR$7,177&lt;=$NS$7),IF($NP$7="Single_Point",IF(177=$NR$7,$NN$7,0),IF($NP$7="Bell_Curve",$NN$7*(177-$NR$7+1)*($NS$7-177+1)/$NU$7,$NN$7/$NT$7)),0)</f>
        <v/>
      </c>
      <c r="FZ7" s="228">
        <f>IF(AND(178&gt;=$NR$7,178&lt;=$NS$7),IF($NP$7="Single_Point",IF(178=$NR$7,$NN$7,0),IF($NP$7="Bell_Curve",$NN$7*(178-$NR$7+1)*($NS$7-178+1)/$NU$7,$NN$7/$NT$7)),0)</f>
        <v/>
      </c>
      <c r="GA7" s="228">
        <f>IF(AND(179&gt;=$NR$7,179&lt;=$NS$7),IF($NP$7="Single_Point",IF(179=$NR$7,$NN$7,0),IF($NP$7="Bell_Curve",$NN$7*(179-$NR$7+1)*($NS$7-179+1)/$NU$7,$NN$7/$NT$7)),0)</f>
        <v/>
      </c>
      <c r="GB7" s="228">
        <f>IF(AND(180&gt;=$NR$7,180&lt;=$NS$7),IF($NP$7="Single_Point",IF(180=$NR$7,$NN$7,0),IF($NP$7="Bell_Curve",$NN$7*(180-$NR$7+1)*($NS$7-180+1)/$NU$7,$NN$7/$NT$7)),0)</f>
        <v/>
      </c>
      <c r="GC7" s="228">
        <f>IF(AND(181&gt;=$NR$7,181&lt;=$NS$7),IF($NP$7="Single_Point",IF(181=$NR$7,$NN$7,0),IF($NP$7="Bell_Curve",$NN$7*(181-$NR$7+1)*($NS$7-181+1)/$NU$7,$NN$7/$NT$7)),0)</f>
        <v/>
      </c>
      <c r="GD7" s="228">
        <f>IF(AND(182&gt;=$NR$7,182&lt;=$NS$7),IF($NP$7="Single_Point",IF(182=$NR$7,$NN$7,0),IF($NP$7="Bell_Curve",$NN$7*(182-$NR$7+1)*($NS$7-182+1)/$NU$7,$NN$7/$NT$7)),0)</f>
        <v/>
      </c>
      <c r="GE7" s="228">
        <f>IF(AND(183&gt;=$NR$7,183&lt;=$NS$7),IF($NP$7="Single_Point",IF(183=$NR$7,$NN$7,0),IF($NP$7="Bell_Curve",$NN$7*(183-$NR$7+1)*($NS$7-183+1)/$NU$7,$NN$7/$NT$7)),0)</f>
        <v/>
      </c>
      <c r="GF7" s="228">
        <f>IF(AND(184&gt;=$NR$7,184&lt;=$NS$7),IF($NP$7="Single_Point",IF(184=$NR$7,$NN$7,0),IF($NP$7="Bell_Curve",$NN$7*(184-$NR$7+1)*($NS$7-184+1)/$NU$7,$NN$7/$NT$7)),0)</f>
        <v/>
      </c>
      <c r="GG7" s="228">
        <f>IF(AND(185&gt;=$NR$7,185&lt;=$NS$7),IF($NP$7="Single_Point",IF(185=$NR$7,$NN$7,0),IF($NP$7="Bell_Curve",$NN$7*(185-$NR$7+1)*($NS$7-185+1)/$NU$7,$NN$7/$NT$7)),0)</f>
        <v/>
      </c>
      <c r="GH7" s="228">
        <f>IF(AND(186&gt;=$NR$7,186&lt;=$NS$7),IF($NP$7="Single_Point",IF(186=$NR$7,$NN$7,0),IF($NP$7="Bell_Curve",$NN$7*(186-$NR$7+1)*($NS$7-186+1)/$NU$7,$NN$7/$NT$7)),0)</f>
        <v/>
      </c>
      <c r="GI7" s="228">
        <f>IF(AND(187&gt;=$NR$7,187&lt;=$NS$7),IF($NP$7="Single_Point",IF(187=$NR$7,$NN$7,0),IF($NP$7="Bell_Curve",$NN$7*(187-$NR$7+1)*($NS$7-187+1)/$NU$7,$NN$7/$NT$7)),0)</f>
        <v/>
      </c>
      <c r="GJ7" s="228">
        <f>IF(AND(188&gt;=$NR$7,188&lt;=$NS$7),IF($NP$7="Single_Point",IF(188=$NR$7,$NN$7,0),IF($NP$7="Bell_Curve",$NN$7*(188-$NR$7+1)*($NS$7-188+1)/$NU$7,$NN$7/$NT$7)),0)</f>
        <v/>
      </c>
      <c r="GK7" s="228">
        <f>IF(AND(189&gt;=$NR$7,189&lt;=$NS$7),IF($NP$7="Single_Point",IF(189=$NR$7,$NN$7,0),IF($NP$7="Bell_Curve",$NN$7*(189-$NR$7+1)*($NS$7-189+1)/$NU$7,$NN$7/$NT$7)),0)</f>
        <v/>
      </c>
      <c r="GL7" s="228">
        <f>IF(AND(190&gt;=$NR$7,190&lt;=$NS$7),IF($NP$7="Single_Point",IF(190=$NR$7,$NN$7,0),IF($NP$7="Bell_Curve",$NN$7*(190-$NR$7+1)*($NS$7-190+1)/$NU$7,$NN$7/$NT$7)),0)</f>
        <v/>
      </c>
      <c r="GM7" s="228">
        <f>IF(AND(191&gt;=$NR$7,191&lt;=$NS$7),IF($NP$7="Single_Point",IF(191=$NR$7,$NN$7,0),IF($NP$7="Bell_Curve",$NN$7*(191-$NR$7+1)*($NS$7-191+1)/$NU$7,$NN$7/$NT$7)),0)</f>
        <v/>
      </c>
      <c r="GN7" s="228">
        <f>IF(AND(192&gt;=$NR$7,192&lt;=$NS$7),IF($NP$7="Single_Point",IF(192=$NR$7,$NN$7,0),IF($NP$7="Bell_Curve",$NN$7*(192-$NR$7+1)*($NS$7-192+1)/$NU$7,$NN$7/$NT$7)),0)</f>
        <v/>
      </c>
      <c r="GO7" s="228">
        <f>IF(AND(193&gt;=$NR$7,193&lt;=$NS$7),IF($NP$7="Single_Point",IF(193=$NR$7,$NN$7,0),IF($NP$7="Bell_Curve",$NN$7*(193-$NR$7+1)*($NS$7-193+1)/$NU$7,$NN$7/$NT$7)),0)</f>
        <v/>
      </c>
      <c r="GP7" s="228">
        <f>IF(AND(194&gt;=$NR$7,194&lt;=$NS$7),IF($NP$7="Single_Point",IF(194=$NR$7,$NN$7,0),IF($NP$7="Bell_Curve",$NN$7*(194-$NR$7+1)*($NS$7-194+1)/$NU$7,$NN$7/$NT$7)),0)</f>
        <v/>
      </c>
      <c r="GQ7" s="228">
        <f>IF(AND(195&gt;=$NR$7,195&lt;=$NS$7),IF($NP$7="Single_Point",IF(195=$NR$7,$NN$7,0),IF($NP$7="Bell_Curve",$NN$7*(195-$NR$7+1)*($NS$7-195+1)/$NU$7,$NN$7/$NT$7)),0)</f>
        <v/>
      </c>
      <c r="GR7" s="228">
        <f>IF(AND(196&gt;=$NR$7,196&lt;=$NS$7),IF($NP$7="Single_Point",IF(196=$NR$7,$NN$7,0),IF($NP$7="Bell_Curve",$NN$7*(196-$NR$7+1)*($NS$7-196+1)/$NU$7,$NN$7/$NT$7)),0)</f>
        <v/>
      </c>
      <c r="GS7" s="228">
        <f>IF(AND(197&gt;=$NR$7,197&lt;=$NS$7),IF($NP$7="Single_Point",IF(197=$NR$7,$NN$7,0),IF($NP$7="Bell_Curve",$NN$7*(197-$NR$7+1)*($NS$7-197+1)/$NU$7,$NN$7/$NT$7)),0)</f>
        <v/>
      </c>
      <c r="GT7" s="228">
        <f>IF(AND(198&gt;=$NR$7,198&lt;=$NS$7),IF($NP$7="Single_Point",IF(198=$NR$7,$NN$7,0),IF($NP$7="Bell_Curve",$NN$7*(198-$NR$7+1)*($NS$7-198+1)/$NU$7,$NN$7/$NT$7)),0)</f>
        <v/>
      </c>
      <c r="GU7" s="228">
        <f>IF(AND(199&gt;=$NR$7,199&lt;=$NS$7),IF($NP$7="Single_Point",IF(199=$NR$7,$NN$7,0),IF($NP$7="Bell_Curve",$NN$7*(199-$NR$7+1)*($NS$7-199+1)/$NU$7,$NN$7/$NT$7)),0)</f>
        <v/>
      </c>
      <c r="GV7" s="228">
        <f>IF(AND(200&gt;=$NR$7,200&lt;=$NS$7),IF($NP$7="Single_Point",IF(200=$NR$7,$NN$7,0),IF($NP$7="Bell_Curve",$NN$7*(200-$NR$7+1)*($NS$7-200+1)/$NU$7,$NN$7/$NT$7)),0)</f>
        <v/>
      </c>
      <c r="GW7" s="228">
        <f>IF(AND(201&gt;=$NR$7,201&lt;=$NS$7),IF($NP$7="Single_Point",IF(201=$NR$7,$NN$7,0),IF($NP$7="Bell_Curve",$NN$7*(201-$NR$7+1)*($NS$7-201+1)/$NU$7,$NN$7/$NT$7)),0)</f>
        <v/>
      </c>
      <c r="GX7" s="228">
        <f>IF(AND(202&gt;=$NR$7,202&lt;=$NS$7),IF($NP$7="Single_Point",IF(202=$NR$7,$NN$7,0),IF($NP$7="Bell_Curve",$NN$7*(202-$NR$7+1)*($NS$7-202+1)/$NU$7,$NN$7/$NT$7)),0)</f>
        <v/>
      </c>
      <c r="GY7" s="228">
        <f>IF(AND(203&gt;=$NR$7,203&lt;=$NS$7),IF($NP$7="Single_Point",IF(203=$NR$7,$NN$7,0),IF($NP$7="Bell_Curve",$NN$7*(203-$NR$7+1)*($NS$7-203+1)/$NU$7,$NN$7/$NT$7)),0)</f>
        <v/>
      </c>
      <c r="GZ7" s="228">
        <f>IF(AND(204&gt;=$NR$7,204&lt;=$NS$7),IF($NP$7="Single_Point",IF(204=$NR$7,$NN$7,0),IF($NP$7="Bell_Curve",$NN$7*(204-$NR$7+1)*($NS$7-204+1)/$NU$7,$NN$7/$NT$7)),0)</f>
        <v/>
      </c>
      <c r="HA7" s="228">
        <f>IF(AND(205&gt;=$NR$7,205&lt;=$NS$7),IF($NP$7="Single_Point",IF(205=$NR$7,$NN$7,0),IF($NP$7="Bell_Curve",$NN$7*(205-$NR$7+1)*($NS$7-205+1)/$NU$7,$NN$7/$NT$7)),0)</f>
        <v/>
      </c>
      <c r="HB7" s="228">
        <f>IF(AND(206&gt;=$NR$7,206&lt;=$NS$7),IF($NP$7="Single_Point",IF(206=$NR$7,$NN$7,0),IF($NP$7="Bell_Curve",$NN$7*(206-$NR$7+1)*($NS$7-206+1)/$NU$7,$NN$7/$NT$7)),0)</f>
        <v/>
      </c>
      <c r="HC7" s="228">
        <f>IF(AND(207&gt;=$NR$7,207&lt;=$NS$7),IF($NP$7="Single_Point",IF(207=$NR$7,$NN$7,0),IF($NP$7="Bell_Curve",$NN$7*(207-$NR$7+1)*($NS$7-207+1)/$NU$7,$NN$7/$NT$7)),0)</f>
        <v/>
      </c>
      <c r="HD7" s="228">
        <f>IF(AND(208&gt;=$NR$7,208&lt;=$NS$7),IF($NP$7="Single_Point",IF(208=$NR$7,$NN$7,0),IF($NP$7="Bell_Curve",$NN$7*(208-$NR$7+1)*($NS$7-208+1)/$NU$7,$NN$7/$NT$7)),0)</f>
        <v/>
      </c>
      <c r="HE7" s="228">
        <f>IF(AND(209&gt;=$NR$7,209&lt;=$NS$7),IF($NP$7="Single_Point",IF(209=$NR$7,$NN$7,0),IF($NP$7="Bell_Curve",$NN$7*(209-$NR$7+1)*($NS$7-209+1)/$NU$7,$NN$7/$NT$7)),0)</f>
        <v/>
      </c>
      <c r="HF7" s="228">
        <f>IF(AND(210&gt;=$NR$7,210&lt;=$NS$7),IF($NP$7="Single_Point",IF(210=$NR$7,$NN$7,0),IF($NP$7="Bell_Curve",$NN$7*(210-$NR$7+1)*($NS$7-210+1)/$NU$7,$NN$7/$NT$7)),0)</f>
        <v/>
      </c>
      <c r="HG7" s="228">
        <f>IF(AND(211&gt;=$NR$7,211&lt;=$NS$7),IF($NP$7="Single_Point",IF(211=$NR$7,$NN$7,0),IF($NP$7="Bell_Curve",$NN$7*(211-$NR$7+1)*($NS$7-211+1)/$NU$7,$NN$7/$NT$7)),0)</f>
        <v/>
      </c>
      <c r="HH7" s="228">
        <f>IF(AND(212&gt;=$NR$7,212&lt;=$NS$7),IF($NP$7="Single_Point",IF(212=$NR$7,$NN$7,0),IF($NP$7="Bell_Curve",$NN$7*(212-$NR$7+1)*($NS$7-212+1)/$NU$7,$NN$7/$NT$7)),0)</f>
        <v/>
      </c>
      <c r="HI7" s="228">
        <f>IF(AND(213&gt;=$NR$7,213&lt;=$NS$7),IF($NP$7="Single_Point",IF(213=$NR$7,$NN$7,0),IF($NP$7="Bell_Curve",$NN$7*(213-$NR$7+1)*($NS$7-213+1)/$NU$7,$NN$7/$NT$7)),0)</f>
        <v/>
      </c>
      <c r="HJ7" s="228">
        <f>IF(AND(214&gt;=$NR$7,214&lt;=$NS$7),IF($NP$7="Single_Point",IF(214=$NR$7,$NN$7,0),IF($NP$7="Bell_Curve",$NN$7*(214-$NR$7+1)*($NS$7-214+1)/$NU$7,$NN$7/$NT$7)),0)</f>
        <v/>
      </c>
      <c r="HK7" s="228">
        <f>IF(AND(215&gt;=$NR$7,215&lt;=$NS$7),IF($NP$7="Single_Point",IF(215=$NR$7,$NN$7,0),IF($NP$7="Bell_Curve",$NN$7*(215-$NR$7+1)*($NS$7-215+1)/$NU$7,$NN$7/$NT$7)),0)</f>
        <v/>
      </c>
      <c r="HL7" s="228">
        <f>IF(AND(216&gt;=$NR$7,216&lt;=$NS$7),IF($NP$7="Single_Point",IF(216=$NR$7,$NN$7,0),IF($NP$7="Bell_Curve",$NN$7*(216-$NR$7+1)*($NS$7-216+1)/$NU$7,$NN$7/$NT$7)),0)</f>
        <v/>
      </c>
      <c r="HM7" s="228">
        <f>IF(AND(217&gt;=$NR$7,217&lt;=$NS$7),IF($NP$7="Single_Point",IF(217=$NR$7,$NN$7,0),IF($NP$7="Bell_Curve",$NN$7*(217-$NR$7+1)*($NS$7-217+1)/$NU$7,$NN$7/$NT$7)),0)</f>
        <v/>
      </c>
      <c r="HN7" s="228">
        <f>IF(AND(218&gt;=$NR$7,218&lt;=$NS$7),IF($NP$7="Single_Point",IF(218=$NR$7,$NN$7,0),IF($NP$7="Bell_Curve",$NN$7*(218-$NR$7+1)*($NS$7-218+1)/$NU$7,$NN$7/$NT$7)),0)</f>
        <v/>
      </c>
      <c r="HO7" s="228">
        <f>IF(AND(219&gt;=$NR$7,219&lt;=$NS$7),IF($NP$7="Single_Point",IF(219=$NR$7,$NN$7,0),IF($NP$7="Bell_Curve",$NN$7*(219-$NR$7+1)*($NS$7-219+1)/$NU$7,$NN$7/$NT$7)),0)</f>
        <v/>
      </c>
      <c r="HP7" s="228">
        <f>IF(AND(220&gt;=$NR$7,220&lt;=$NS$7),IF($NP$7="Single_Point",IF(220=$NR$7,$NN$7,0),IF($NP$7="Bell_Curve",$NN$7*(220-$NR$7+1)*($NS$7-220+1)/$NU$7,$NN$7/$NT$7)),0)</f>
        <v/>
      </c>
      <c r="HQ7" s="228">
        <f>IF(AND(221&gt;=$NR$7,221&lt;=$NS$7),IF($NP$7="Single_Point",IF(221=$NR$7,$NN$7,0),IF($NP$7="Bell_Curve",$NN$7*(221-$NR$7+1)*($NS$7-221+1)/$NU$7,$NN$7/$NT$7)),0)</f>
        <v/>
      </c>
      <c r="HR7" s="228">
        <f>IF(AND(222&gt;=$NR$7,222&lt;=$NS$7),IF($NP$7="Single_Point",IF(222=$NR$7,$NN$7,0),IF($NP$7="Bell_Curve",$NN$7*(222-$NR$7+1)*($NS$7-222+1)/$NU$7,$NN$7/$NT$7)),0)</f>
        <v/>
      </c>
      <c r="HS7" s="228">
        <f>IF(AND(223&gt;=$NR$7,223&lt;=$NS$7),IF($NP$7="Single_Point",IF(223=$NR$7,$NN$7,0),IF($NP$7="Bell_Curve",$NN$7*(223-$NR$7+1)*($NS$7-223+1)/$NU$7,$NN$7/$NT$7)),0)</f>
        <v/>
      </c>
      <c r="HT7" s="228">
        <f>IF(AND(224&gt;=$NR$7,224&lt;=$NS$7),IF($NP$7="Single_Point",IF(224=$NR$7,$NN$7,0),IF($NP$7="Bell_Curve",$NN$7*(224-$NR$7+1)*($NS$7-224+1)/$NU$7,$NN$7/$NT$7)),0)</f>
        <v/>
      </c>
      <c r="HU7" s="228">
        <f>IF(AND(225&gt;=$NR$7,225&lt;=$NS$7),IF($NP$7="Single_Point",IF(225=$NR$7,$NN$7,0),IF($NP$7="Bell_Curve",$NN$7*(225-$NR$7+1)*($NS$7-225+1)/$NU$7,$NN$7/$NT$7)),0)</f>
        <v/>
      </c>
      <c r="HV7" s="228">
        <f>IF(AND(226&gt;=$NR$7,226&lt;=$NS$7),IF($NP$7="Single_Point",IF(226=$NR$7,$NN$7,0),IF($NP$7="Bell_Curve",$NN$7*(226-$NR$7+1)*($NS$7-226+1)/$NU$7,$NN$7/$NT$7)),0)</f>
        <v/>
      </c>
      <c r="HW7" s="228">
        <f>IF(AND(227&gt;=$NR$7,227&lt;=$NS$7),IF($NP$7="Single_Point",IF(227=$NR$7,$NN$7,0),IF($NP$7="Bell_Curve",$NN$7*(227-$NR$7+1)*($NS$7-227+1)/$NU$7,$NN$7/$NT$7)),0)</f>
        <v/>
      </c>
      <c r="HX7" s="228">
        <f>IF(AND(228&gt;=$NR$7,228&lt;=$NS$7),IF($NP$7="Single_Point",IF(228=$NR$7,$NN$7,0),IF($NP$7="Bell_Curve",$NN$7*(228-$NR$7+1)*($NS$7-228+1)/$NU$7,$NN$7/$NT$7)),0)</f>
        <v/>
      </c>
      <c r="HY7" s="228">
        <f>IF(AND(229&gt;=$NR$7,229&lt;=$NS$7),IF($NP$7="Single_Point",IF(229=$NR$7,$NN$7,0),IF($NP$7="Bell_Curve",$NN$7*(229-$NR$7+1)*($NS$7-229+1)/$NU$7,$NN$7/$NT$7)),0)</f>
        <v/>
      </c>
      <c r="HZ7" s="228">
        <f>IF(AND(230&gt;=$NR$7,230&lt;=$NS$7),IF($NP$7="Single_Point",IF(230=$NR$7,$NN$7,0),IF($NP$7="Bell_Curve",$NN$7*(230-$NR$7+1)*($NS$7-230+1)/$NU$7,$NN$7/$NT$7)),0)</f>
        <v/>
      </c>
      <c r="IA7" s="228">
        <f>IF(AND(231&gt;=$NR$7,231&lt;=$NS$7),IF($NP$7="Single_Point",IF(231=$NR$7,$NN$7,0),IF($NP$7="Bell_Curve",$NN$7*(231-$NR$7+1)*($NS$7-231+1)/$NU$7,$NN$7/$NT$7)),0)</f>
        <v/>
      </c>
      <c r="IB7" s="228">
        <f>IF(AND(232&gt;=$NR$7,232&lt;=$NS$7),IF($NP$7="Single_Point",IF(232=$NR$7,$NN$7,0),IF($NP$7="Bell_Curve",$NN$7*(232-$NR$7+1)*($NS$7-232+1)/$NU$7,$NN$7/$NT$7)),0)</f>
        <v/>
      </c>
      <c r="IC7" s="228">
        <f>IF(AND(233&gt;=$NR$7,233&lt;=$NS$7),IF($NP$7="Single_Point",IF(233=$NR$7,$NN$7,0),IF($NP$7="Bell_Curve",$NN$7*(233-$NR$7+1)*($NS$7-233+1)/$NU$7,$NN$7/$NT$7)),0)</f>
        <v/>
      </c>
      <c r="ID7" s="228">
        <f>IF(AND(234&gt;=$NR$7,234&lt;=$NS$7),IF($NP$7="Single_Point",IF(234=$NR$7,$NN$7,0),IF($NP$7="Bell_Curve",$NN$7*(234-$NR$7+1)*($NS$7-234+1)/$NU$7,$NN$7/$NT$7)),0)</f>
        <v/>
      </c>
      <c r="IE7" s="228">
        <f>IF(AND(235&gt;=$NR$7,235&lt;=$NS$7),IF($NP$7="Single_Point",IF(235=$NR$7,$NN$7,0),IF($NP$7="Bell_Curve",$NN$7*(235-$NR$7+1)*($NS$7-235+1)/$NU$7,$NN$7/$NT$7)),0)</f>
        <v/>
      </c>
      <c r="IF7" s="228">
        <f>IF(AND(236&gt;=$NR$7,236&lt;=$NS$7),IF($NP$7="Single_Point",IF(236=$NR$7,$NN$7,0),IF($NP$7="Bell_Curve",$NN$7*(236-$NR$7+1)*($NS$7-236+1)/$NU$7,$NN$7/$NT$7)),0)</f>
        <v/>
      </c>
      <c r="IG7" s="228">
        <f>IF(AND(237&gt;=$NR$7,237&lt;=$NS$7),IF($NP$7="Single_Point",IF(237=$NR$7,$NN$7,0),IF($NP$7="Bell_Curve",$NN$7*(237-$NR$7+1)*($NS$7-237+1)/$NU$7,$NN$7/$NT$7)),0)</f>
        <v/>
      </c>
      <c r="IH7" s="228">
        <f>IF(AND(238&gt;=$NR$7,238&lt;=$NS$7),IF($NP$7="Single_Point",IF(238=$NR$7,$NN$7,0),IF($NP$7="Bell_Curve",$NN$7*(238-$NR$7+1)*($NS$7-238+1)/$NU$7,$NN$7/$NT$7)),0)</f>
        <v/>
      </c>
      <c r="II7" s="228">
        <f>IF(AND(239&gt;=$NR$7,239&lt;=$NS$7),IF($NP$7="Single_Point",IF(239=$NR$7,$NN$7,0),IF($NP$7="Bell_Curve",$NN$7*(239-$NR$7+1)*($NS$7-239+1)/$NU$7,$NN$7/$NT$7)),0)</f>
        <v/>
      </c>
      <c r="IJ7" s="228">
        <f>IF(AND(240&gt;=$NR$7,240&lt;=$NS$7),IF($NP$7="Single_Point",IF(240=$NR$7,$NN$7,0),IF($NP$7="Bell_Curve",$NN$7*(240-$NR$7+1)*($NS$7-240+1)/$NU$7,$NN$7/$NT$7)),0)</f>
        <v/>
      </c>
      <c r="IK7" s="228">
        <f>IF(AND(241&gt;=$NR$7,241&lt;=$NS$7),IF($NP$7="Single_Point",IF(241=$NR$7,$NN$7,0),IF($NP$7="Bell_Curve",$NN$7*(241-$NR$7+1)*($NS$7-241+1)/$NU$7,$NN$7/$NT$7)),0)</f>
        <v/>
      </c>
      <c r="IL7" s="228">
        <f>IF(AND(242&gt;=$NR$7,242&lt;=$NS$7),IF($NP$7="Single_Point",IF(242=$NR$7,$NN$7,0),IF($NP$7="Bell_Curve",$NN$7*(242-$NR$7+1)*($NS$7-242+1)/$NU$7,$NN$7/$NT$7)),0)</f>
        <v/>
      </c>
      <c r="IM7" s="228">
        <f>IF(AND(243&gt;=$NR$7,243&lt;=$NS$7),IF($NP$7="Single_Point",IF(243=$NR$7,$NN$7,0),IF($NP$7="Bell_Curve",$NN$7*(243-$NR$7+1)*($NS$7-243+1)/$NU$7,$NN$7/$NT$7)),0)</f>
        <v/>
      </c>
      <c r="IN7" s="228">
        <f>IF(AND(244&gt;=$NR$7,244&lt;=$NS$7),IF($NP$7="Single_Point",IF(244=$NR$7,$NN$7,0),IF($NP$7="Bell_Curve",$NN$7*(244-$NR$7+1)*($NS$7-244+1)/$NU$7,$NN$7/$NT$7)),0)</f>
        <v/>
      </c>
      <c r="IO7" s="228">
        <f>IF(AND(245&gt;=$NR$7,245&lt;=$NS$7),IF($NP$7="Single_Point",IF(245=$NR$7,$NN$7,0),IF($NP$7="Bell_Curve",$NN$7*(245-$NR$7+1)*($NS$7-245+1)/$NU$7,$NN$7/$NT$7)),0)</f>
        <v/>
      </c>
      <c r="IP7" s="228">
        <f>IF(AND(246&gt;=$NR$7,246&lt;=$NS$7),IF($NP$7="Single_Point",IF(246=$NR$7,$NN$7,0),IF($NP$7="Bell_Curve",$NN$7*(246-$NR$7+1)*($NS$7-246+1)/$NU$7,$NN$7/$NT$7)),0)</f>
        <v/>
      </c>
      <c r="IQ7" s="228">
        <f>IF(AND(247&gt;=$NR$7,247&lt;=$NS$7),IF($NP$7="Single_Point",IF(247=$NR$7,$NN$7,0),IF($NP$7="Bell_Curve",$NN$7*(247-$NR$7+1)*($NS$7-247+1)/$NU$7,$NN$7/$NT$7)),0)</f>
        <v/>
      </c>
      <c r="IR7" s="228">
        <f>IF(AND(248&gt;=$NR$7,248&lt;=$NS$7),IF($NP$7="Single_Point",IF(248=$NR$7,$NN$7,0),IF($NP$7="Bell_Curve",$NN$7*(248-$NR$7+1)*($NS$7-248+1)/$NU$7,$NN$7/$NT$7)),0)</f>
        <v/>
      </c>
      <c r="IS7" s="228">
        <f>IF(AND(249&gt;=$NR$7,249&lt;=$NS$7),IF($NP$7="Single_Point",IF(249=$NR$7,$NN$7,0),IF($NP$7="Bell_Curve",$NN$7*(249-$NR$7+1)*($NS$7-249+1)/$NU$7,$NN$7/$NT$7)),0)</f>
        <v/>
      </c>
      <c r="IT7" s="228">
        <f>IF(AND(250&gt;=$NR$7,250&lt;=$NS$7),IF($NP$7="Single_Point",IF(250=$NR$7,$NN$7,0),IF($NP$7="Bell_Curve",$NN$7*(250-$NR$7+1)*($NS$7-250+1)/$NU$7,$NN$7/$NT$7)),0)</f>
        <v/>
      </c>
      <c r="IU7" s="228">
        <f>IF(AND(251&gt;=$NR$7,251&lt;=$NS$7),IF($NP$7="Single_Point",IF(251=$NR$7,$NN$7,0),IF($NP$7="Bell_Curve",$NN$7*(251-$NR$7+1)*($NS$7-251+1)/$NU$7,$NN$7/$NT$7)),0)</f>
        <v/>
      </c>
      <c r="IV7" s="228">
        <f>IF(AND(252&gt;=$NR$7,252&lt;=$NS$7),IF($NP$7="Single_Point",IF(252=$NR$7,$NN$7,0),IF($NP$7="Bell_Curve",$NN$7*(252-$NR$7+1)*($NS$7-252+1)/$NU$7,$NN$7/$NT$7)),0)</f>
        <v/>
      </c>
      <c r="IW7" s="228">
        <f>IF(AND(253&gt;=$NR$7,253&lt;=$NS$7),IF($NP$7="Single_Point",IF(253=$NR$7,$NN$7,0),IF($NP$7="Bell_Curve",$NN$7*(253-$NR$7+1)*($NS$7-253+1)/$NU$7,$NN$7/$NT$7)),0)</f>
        <v/>
      </c>
      <c r="IX7" s="228">
        <f>IF(AND(254&gt;=$NR$7,254&lt;=$NS$7),IF($NP$7="Single_Point",IF(254=$NR$7,$NN$7,0),IF($NP$7="Bell_Curve",$NN$7*(254-$NR$7+1)*($NS$7-254+1)/$NU$7,$NN$7/$NT$7)),0)</f>
        <v/>
      </c>
      <c r="IY7" s="228">
        <f>IF(AND(255&gt;=$NR$7,255&lt;=$NS$7),IF($NP$7="Single_Point",IF(255=$NR$7,$NN$7,0),IF($NP$7="Bell_Curve",$NN$7*(255-$NR$7+1)*($NS$7-255+1)/$NU$7,$NN$7/$NT$7)),0)</f>
        <v/>
      </c>
      <c r="IZ7" s="228">
        <f>IF(AND(256&gt;=$NR$7,256&lt;=$NS$7),IF($NP$7="Single_Point",IF(256=$NR$7,$NN$7,0),IF($NP$7="Bell_Curve",$NN$7*(256-$NR$7+1)*($NS$7-256+1)/$NU$7,$NN$7/$NT$7)),0)</f>
        <v/>
      </c>
      <c r="JA7" s="228">
        <f>IF(AND(257&gt;=$NR$7,257&lt;=$NS$7),IF($NP$7="Single_Point",IF(257=$NR$7,$NN$7,0),IF($NP$7="Bell_Curve",$NN$7*(257-$NR$7+1)*($NS$7-257+1)/$NU$7,$NN$7/$NT$7)),0)</f>
        <v/>
      </c>
      <c r="JB7" s="228">
        <f>IF(AND(258&gt;=$NR$7,258&lt;=$NS$7),IF($NP$7="Single_Point",IF(258=$NR$7,$NN$7,0),IF($NP$7="Bell_Curve",$NN$7*(258-$NR$7+1)*($NS$7-258+1)/$NU$7,$NN$7/$NT$7)),0)</f>
        <v/>
      </c>
      <c r="JC7" s="228">
        <f>IF(AND(259&gt;=$NR$7,259&lt;=$NS$7),IF($NP$7="Single_Point",IF(259=$NR$7,$NN$7,0),IF($NP$7="Bell_Curve",$NN$7*(259-$NR$7+1)*($NS$7-259+1)/$NU$7,$NN$7/$NT$7)),0)</f>
        <v/>
      </c>
      <c r="JD7" s="228">
        <f>IF(AND(260&gt;=$NR$7,260&lt;=$NS$7),IF($NP$7="Single_Point",IF(260=$NR$7,$NN$7,0),IF($NP$7="Bell_Curve",$NN$7*(260-$NR$7+1)*($NS$7-260+1)/$NU$7,$NN$7/$NT$7)),0)</f>
        <v/>
      </c>
      <c r="JE7" s="228">
        <f>IF(AND(261&gt;=$NR$7,261&lt;=$NS$7),IF($NP$7="Single_Point",IF(261=$NR$7,$NN$7,0),IF($NP$7="Bell_Curve",$NN$7*(261-$NR$7+1)*($NS$7-261+1)/$NU$7,$NN$7/$NT$7)),0)</f>
        <v/>
      </c>
      <c r="JF7" s="228">
        <f>IF(AND(262&gt;=$NR$7,262&lt;=$NS$7),IF($NP$7="Single_Point",IF(262=$NR$7,$NN$7,0),IF($NP$7="Bell_Curve",$NN$7*(262-$NR$7+1)*($NS$7-262+1)/$NU$7,$NN$7/$NT$7)),0)</f>
        <v/>
      </c>
      <c r="JG7" s="228">
        <f>IF(AND(263&gt;=$NR$7,263&lt;=$NS$7),IF($NP$7="Single_Point",IF(263=$NR$7,$NN$7,0),IF($NP$7="Bell_Curve",$NN$7*(263-$NR$7+1)*($NS$7-263+1)/$NU$7,$NN$7/$NT$7)),0)</f>
        <v/>
      </c>
      <c r="JH7" s="228">
        <f>IF(AND(264&gt;=$NR$7,264&lt;=$NS$7),IF($NP$7="Single_Point",IF(264=$NR$7,$NN$7,0),IF($NP$7="Bell_Curve",$NN$7*(264-$NR$7+1)*($NS$7-264+1)/$NU$7,$NN$7/$NT$7)),0)</f>
        <v/>
      </c>
      <c r="JI7" s="228">
        <f>IF(AND(265&gt;=$NR$7,265&lt;=$NS$7),IF($NP$7="Single_Point",IF(265=$NR$7,$NN$7,0),IF($NP$7="Bell_Curve",$NN$7*(265-$NR$7+1)*($NS$7-265+1)/$NU$7,$NN$7/$NT$7)),0)</f>
        <v/>
      </c>
      <c r="JJ7" s="228">
        <f>IF(AND(266&gt;=$NR$7,266&lt;=$NS$7),IF($NP$7="Single_Point",IF(266=$NR$7,$NN$7,0),IF($NP$7="Bell_Curve",$NN$7*(266-$NR$7+1)*($NS$7-266+1)/$NU$7,$NN$7/$NT$7)),0)</f>
        <v/>
      </c>
      <c r="JK7" s="228">
        <f>IF(AND(267&gt;=$NR$7,267&lt;=$NS$7),IF($NP$7="Single_Point",IF(267=$NR$7,$NN$7,0),IF($NP$7="Bell_Curve",$NN$7*(267-$NR$7+1)*($NS$7-267+1)/$NU$7,$NN$7/$NT$7)),0)</f>
        <v/>
      </c>
      <c r="JL7" s="228">
        <f>IF(AND(268&gt;=$NR$7,268&lt;=$NS$7),IF($NP$7="Single_Point",IF(268=$NR$7,$NN$7,0),IF($NP$7="Bell_Curve",$NN$7*(268-$NR$7+1)*($NS$7-268+1)/$NU$7,$NN$7/$NT$7)),0)</f>
        <v/>
      </c>
      <c r="JM7" s="228">
        <f>IF(AND(269&gt;=$NR$7,269&lt;=$NS$7),IF($NP$7="Single_Point",IF(269=$NR$7,$NN$7,0),IF($NP$7="Bell_Curve",$NN$7*(269-$NR$7+1)*($NS$7-269+1)/$NU$7,$NN$7/$NT$7)),0)</f>
        <v/>
      </c>
      <c r="JN7" s="228">
        <f>IF(AND(270&gt;=$NR$7,270&lt;=$NS$7),IF($NP$7="Single_Point",IF(270=$NR$7,$NN$7,0),IF($NP$7="Bell_Curve",$NN$7*(270-$NR$7+1)*($NS$7-270+1)/$NU$7,$NN$7/$NT$7)),0)</f>
        <v/>
      </c>
      <c r="JO7" s="228">
        <f>IF(AND(271&gt;=$NR$7,271&lt;=$NS$7),IF($NP$7="Single_Point",IF(271=$NR$7,$NN$7,0),IF($NP$7="Bell_Curve",$NN$7*(271-$NR$7+1)*($NS$7-271+1)/$NU$7,$NN$7/$NT$7)),0)</f>
        <v/>
      </c>
      <c r="JP7" s="228">
        <f>IF(AND(272&gt;=$NR$7,272&lt;=$NS$7),IF($NP$7="Single_Point",IF(272=$NR$7,$NN$7,0),IF($NP$7="Bell_Curve",$NN$7*(272-$NR$7+1)*($NS$7-272+1)/$NU$7,$NN$7/$NT$7)),0)</f>
        <v/>
      </c>
      <c r="JQ7" s="228">
        <f>IF(AND(273&gt;=$NR$7,273&lt;=$NS$7),IF($NP$7="Single_Point",IF(273=$NR$7,$NN$7,0),IF($NP$7="Bell_Curve",$NN$7*(273-$NR$7+1)*($NS$7-273+1)/$NU$7,$NN$7/$NT$7)),0)</f>
        <v/>
      </c>
      <c r="JR7" s="228">
        <f>IF(AND(274&gt;=$NR$7,274&lt;=$NS$7),IF($NP$7="Single_Point",IF(274=$NR$7,$NN$7,0),IF($NP$7="Bell_Curve",$NN$7*(274-$NR$7+1)*($NS$7-274+1)/$NU$7,$NN$7/$NT$7)),0)</f>
        <v/>
      </c>
      <c r="JS7" s="228">
        <f>IF(AND(275&gt;=$NR$7,275&lt;=$NS$7),IF($NP$7="Single_Point",IF(275=$NR$7,$NN$7,0),IF($NP$7="Bell_Curve",$NN$7*(275-$NR$7+1)*($NS$7-275+1)/$NU$7,$NN$7/$NT$7)),0)</f>
        <v/>
      </c>
      <c r="JT7" s="228">
        <f>IF(AND(276&gt;=$NR$7,276&lt;=$NS$7),IF($NP$7="Single_Point",IF(276=$NR$7,$NN$7,0),IF($NP$7="Bell_Curve",$NN$7*(276-$NR$7+1)*($NS$7-276+1)/$NU$7,$NN$7/$NT$7)),0)</f>
        <v/>
      </c>
      <c r="JU7" s="228">
        <f>IF(AND(277&gt;=$NR$7,277&lt;=$NS$7),IF($NP$7="Single_Point",IF(277=$NR$7,$NN$7,0),IF($NP$7="Bell_Curve",$NN$7*(277-$NR$7+1)*($NS$7-277+1)/$NU$7,$NN$7/$NT$7)),0)</f>
        <v/>
      </c>
      <c r="JV7" s="228">
        <f>IF(AND(278&gt;=$NR$7,278&lt;=$NS$7),IF($NP$7="Single_Point",IF(278=$NR$7,$NN$7,0),IF($NP$7="Bell_Curve",$NN$7*(278-$NR$7+1)*($NS$7-278+1)/$NU$7,$NN$7/$NT$7)),0)</f>
        <v/>
      </c>
      <c r="JW7" s="228">
        <f>IF(AND(279&gt;=$NR$7,279&lt;=$NS$7),IF($NP$7="Single_Point",IF(279=$NR$7,$NN$7,0),IF($NP$7="Bell_Curve",$NN$7*(279-$NR$7+1)*($NS$7-279+1)/$NU$7,$NN$7/$NT$7)),0)</f>
        <v/>
      </c>
      <c r="JX7" s="228">
        <f>IF(AND(280&gt;=$NR$7,280&lt;=$NS$7),IF($NP$7="Single_Point",IF(280=$NR$7,$NN$7,0),IF($NP$7="Bell_Curve",$NN$7*(280-$NR$7+1)*($NS$7-280+1)/$NU$7,$NN$7/$NT$7)),0)</f>
        <v/>
      </c>
      <c r="JY7" s="228">
        <f>IF(AND(281&gt;=$NR$7,281&lt;=$NS$7),IF($NP$7="Single_Point",IF(281=$NR$7,$NN$7,0),IF($NP$7="Bell_Curve",$NN$7*(281-$NR$7+1)*($NS$7-281+1)/$NU$7,$NN$7/$NT$7)),0)</f>
        <v/>
      </c>
      <c r="JZ7" s="228">
        <f>IF(AND(282&gt;=$NR$7,282&lt;=$NS$7),IF($NP$7="Single_Point",IF(282=$NR$7,$NN$7,0),IF($NP$7="Bell_Curve",$NN$7*(282-$NR$7+1)*($NS$7-282+1)/$NU$7,$NN$7/$NT$7)),0)</f>
        <v/>
      </c>
      <c r="KA7" s="228">
        <f>IF(AND(283&gt;=$NR$7,283&lt;=$NS$7),IF($NP$7="Single_Point",IF(283=$NR$7,$NN$7,0),IF($NP$7="Bell_Curve",$NN$7*(283-$NR$7+1)*($NS$7-283+1)/$NU$7,$NN$7/$NT$7)),0)</f>
        <v/>
      </c>
      <c r="KB7" s="228">
        <f>IF(AND(284&gt;=$NR$7,284&lt;=$NS$7),IF($NP$7="Single_Point",IF(284=$NR$7,$NN$7,0),IF($NP$7="Bell_Curve",$NN$7*(284-$NR$7+1)*($NS$7-284+1)/$NU$7,$NN$7/$NT$7)),0)</f>
        <v/>
      </c>
      <c r="KC7" s="228">
        <f>IF(AND(285&gt;=$NR$7,285&lt;=$NS$7),IF($NP$7="Single_Point",IF(285=$NR$7,$NN$7,0),IF($NP$7="Bell_Curve",$NN$7*(285-$NR$7+1)*($NS$7-285+1)/$NU$7,$NN$7/$NT$7)),0)</f>
        <v/>
      </c>
      <c r="KD7" s="228">
        <f>IF(AND(286&gt;=$NR$7,286&lt;=$NS$7),IF($NP$7="Single_Point",IF(286=$NR$7,$NN$7,0),IF($NP$7="Bell_Curve",$NN$7*(286-$NR$7+1)*($NS$7-286+1)/$NU$7,$NN$7/$NT$7)),0)</f>
        <v/>
      </c>
      <c r="KE7" s="228">
        <f>IF(AND(287&gt;=$NR$7,287&lt;=$NS$7),IF($NP$7="Single_Point",IF(287=$NR$7,$NN$7,0),IF($NP$7="Bell_Curve",$NN$7*(287-$NR$7+1)*($NS$7-287+1)/$NU$7,$NN$7/$NT$7)),0)</f>
        <v/>
      </c>
      <c r="KF7" s="228">
        <f>IF(AND(288&gt;=$NR$7,288&lt;=$NS$7),IF($NP$7="Single_Point",IF(288=$NR$7,$NN$7,0),IF($NP$7="Bell_Curve",$NN$7*(288-$NR$7+1)*($NS$7-288+1)/$NU$7,$NN$7/$NT$7)),0)</f>
        <v/>
      </c>
      <c r="KG7" s="228">
        <f>IF(AND(289&gt;=$NR$7,289&lt;=$NS$7),IF($NP$7="Single_Point",IF(289=$NR$7,$NN$7,0),IF($NP$7="Bell_Curve",$NN$7*(289-$NR$7+1)*($NS$7-289+1)/$NU$7,$NN$7/$NT$7)),0)</f>
        <v/>
      </c>
      <c r="KH7" s="228">
        <f>IF(AND(290&gt;=$NR$7,290&lt;=$NS$7),IF($NP$7="Single_Point",IF(290=$NR$7,$NN$7,0),IF($NP$7="Bell_Curve",$NN$7*(290-$NR$7+1)*($NS$7-290+1)/$NU$7,$NN$7/$NT$7)),0)</f>
        <v/>
      </c>
      <c r="KI7" s="228">
        <f>IF(AND(291&gt;=$NR$7,291&lt;=$NS$7),IF($NP$7="Single_Point",IF(291=$NR$7,$NN$7,0),IF($NP$7="Bell_Curve",$NN$7*(291-$NR$7+1)*($NS$7-291+1)/$NU$7,$NN$7/$NT$7)),0)</f>
        <v/>
      </c>
      <c r="KJ7" s="228">
        <f>IF(AND(292&gt;=$NR$7,292&lt;=$NS$7),IF($NP$7="Single_Point",IF(292=$NR$7,$NN$7,0),IF($NP$7="Bell_Curve",$NN$7*(292-$NR$7+1)*($NS$7-292+1)/$NU$7,$NN$7/$NT$7)),0)</f>
        <v/>
      </c>
      <c r="KK7" s="228">
        <f>IF(AND(293&gt;=$NR$7,293&lt;=$NS$7),IF($NP$7="Single_Point",IF(293=$NR$7,$NN$7,0),IF($NP$7="Bell_Curve",$NN$7*(293-$NR$7+1)*($NS$7-293+1)/$NU$7,$NN$7/$NT$7)),0)</f>
        <v/>
      </c>
      <c r="KL7" s="228">
        <f>IF(AND(294&gt;=$NR$7,294&lt;=$NS$7),IF($NP$7="Single_Point",IF(294=$NR$7,$NN$7,0),IF($NP$7="Bell_Curve",$NN$7*(294-$NR$7+1)*($NS$7-294+1)/$NU$7,$NN$7/$NT$7)),0)</f>
        <v/>
      </c>
      <c r="KM7" s="228">
        <f>IF(AND(295&gt;=$NR$7,295&lt;=$NS$7),IF($NP$7="Single_Point",IF(295=$NR$7,$NN$7,0),IF($NP$7="Bell_Curve",$NN$7*(295-$NR$7+1)*($NS$7-295+1)/$NU$7,$NN$7/$NT$7)),0)</f>
        <v/>
      </c>
      <c r="KN7" s="228">
        <f>IF(AND(296&gt;=$NR$7,296&lt;=$NS$7),IF($NP$7="Single_Point",IF(296=$NR$7,$NN$7,0),IF($NP$7="Bell_Curve",$NN$7*(296-$NR$7+1)*($NS$7-296+1)/$NU$7,$NN$7/$NT$7)),0)</f>
        <v/>
      </c>
      <c r="KO7" s="228">
        <f>IF(AND(297&gt;=$NR$7,297&lt;=$NS$7),IF($NP$7="Single_Point",IF(297=$NR$7,$NN$7,0),IF($NP$7="Bell_Curve",$NN$7*(297-$NR$7+1)*($NS$7-297+1)/$NU$7,$NN$7/$NT$7)),0)</f>
        <v/>
      </c>
      <c r="KP7" s="228">
        <f>IF(AND(298&gt;=$NR$7,298&lt;=$NS$7),IF($NP$7="Single_Point",IF(298=$NR$7,$NN$7,0),IF($NP$7="Bell_Curve",$NN$7*(298-$NR$7+1)*($NS$7-298+1)/$NU$7,$NN$7/$NT$7)),0)</f>
        <v/>
      </c>
      <c r="KQ7" s="228">
        <f>IF(AND(299&gt;=$NR$7,299&lt;=$NS$7),IF($NP$7="Single_Point",IF(299=$NR$7,$NN$7,0),IF($NP$7="Bell_Curve",$NN$7*(299-$NR$7+1)*($NS$7-299+1)/$NU$7,$NN$7/$NT$7)),0)</f>
        <v/>
      </c>
      <c r="KR7" s="228">
        <f>IF(AND(300&gt;=$NR$7,300&lt;=$NS$7),IF($NP$7="Single_Point",IF(300=$NR$7,$NN$7,0),IF($NP$7="Bell_Curve",$NN$7*(300-$NR$7+1)*($NS$7-300+1)/$NU$7,$NN$7/$NT$7)),0)</f>
        <v/>
      </c>
      <c r="KS7" s="228">
        <f>IF(AND(301&gt;=$NR$7,301&lt;=$NS$7),IF($NP$7="Single_Point",IF(301=$NR$7,$NN$7,0),IF($NP$7="Bell_Curve",$NN$7*(301-$NR$7+1)*($NS$7-301+1)/$NU$7,$NN$7/$NT$7)),0)</f>
        <v/>
      </c>
      <c r="KT7" s="228">
        <f>IF(AND(302&gt;=$NR$7,302&lt;=$NS$7),IF($NP$7="Single_Point",IF(302=$NR$7,$NN$7,0),IF($NP$7="Bell_Curve",$NN$7*(302-$NR$7+1)*($NS$7-302+1)/$NU$7,$NN$7/$NT$7)),0)</f>
        <v/>
      </c>
      <c r="KU7" s="228">
        <f>IF(AND(303&gt;=$NR$7,303&lt;=$NS$7),IF($NP$7="Single_Point",IF(303=$NR$7,$NN$7,0),IF($NP$7="Bell_Curve",$NN$7*(303-$NR$7+1)*($NS$7-303+1)/$NU$7,$NN$7/$NT$7)),0)</f>
        <v/>
      </c>
      <c r="KV7" s="228">
        <f>IF(AND(304&gt;=$NR$7,304&lt;=$NS$7),IF($NP$7="Single_Point",IF(304=$NR$7,$NN$7,0),IF($NP$7="Bell_Curve",$NN$7*(304-$NR$7+1)*($NS$7-304+1)/$NU$7,$NN$7/$NT$7)),0)</f>
        <v/>
      </c>
      <c r="KW7" s="228">
        <f>IF(AND(305&gt;=$NR$7,305&lt;=$NS$7),IF($NP$7="Single_Point",IF(305=$NR$7,$NN$7,0),IF($NP$7="Bell_Curve",$NN$7*(305-$NR$7+1)*($NS$7-305+1)/$NU$7,$NN$7/$NT$7)),0)</f>
        <v/>
      </c>
      <c r="KX7" s="228">
        <f>IF(AND(306&gt;=$NR$7,306&lt;=$NS$7),IF($NP$7="Single_Point",IF(306=$NR$7,$NN$7,0),IF($NP$7="Bell_Curve",$NN$7*(306-$NR$7+1)*($NS$7-306+1)/$NU$7,$NN$7/$NT$7)),0)</f>
        <v/>
      </c>
      <c r="KY7" s="228">
        <f>IF(AND(307&gt;=$NR$7,307&lt;=$NS$7),IF($NP$7="Single_Point",IF(307=$NR$7,$NN$7,0),IF($NP$7="Bell_Curve",$NN$7*(307-$NR$7+1)*($NS$7-307+1)/$NU$7,$NN$7/$NT$7)),0)</f>
        <v/>
      </c>
      <c r="KZ7" s="228">
        <f>IF(AND(308&gt;=$NR$7,308&lt;=$NS$7),IF($NP$7="Single_Point",IF(308=$NR$7,$NN$7,0),IF($NP$7="Bell_Curve",$NN$7*(308-$NR$7+1)*($NS$7-308+1)/$NU$7,$NN$7/$NT$7)),0)</f>
        <v/>
      </c>
      <c r="LA7" s="228">
        <f>IF(AND(309&gt;=$NR$7,309&lt;=$NS$7),IF($NP$7="Single_Point",IF(309=$NR$7,$NN$7,0),IF($NP$7="Bell_Curve",$NN$7*(309-$NR$7+1)*($NS$7-309+1)/$NU$7,$NN$7/$NT$7)),0)</f>
        <v/>
      </c>
      <c r="LB7" s="228">
        <f>IF(AND(310&gt;=$NR$7,310&lt;=$NS$7),IF($NP$7="Single_Point",IF(310=$NR$7,$NN$7,0),IF($NP$7="Bell_Curve",$NN$7*(310-$NR$7+1)*($NS$7-310+1)/$NU$7,$NN$7/$NT$7)),0)</f>
        <v/>
      </c>
      <c r="LC7" s="228">
        <f>IF(AND(311&gt;=$NR$7,311&lt;=$NS$7),IF($NP$7="Single_Point",IF(311=$NR$7,$NN$7,0),IF($NP$7="Bell_Curve",$NN$7*(311-$NR$7+1)*($NS$7-311+1)/$NU$7,$NN$7/$NT$7)),0)</f>
        <v/>
      </c>
      <c r="LD7" s="228">
        <f>IF(AND(312&gt;=$NR$7,312&lt;=$NS$7),IF($NP$7="Single_Point",IF(312=$NR$7,$NN$7,0),IF($NP$7="Bell_Curve",$NN$7*(312-$NR$7+1)*($NS$7-312+1)/$NU$7,$NN$7/$NT$7)),0)</f>
        <v/>
      </c>
      <c r="LE7" s="228">
        <f>IF(AND(313&gt;=$NR$7,313&lt;=$NS$7),IF($NP$7="Single_Point",IF(313=$NR$7,$NN$7,0),IF($NP$7="Bell_Curve",$NN$7*(313-$NR$7+1)*($NS$7-313+1)/$NU$7,$NN$7/$NT$7)),0)</f>
        <v/>
      </c>
      <c r="LF7" s="228">
        <f>IF(AND(314&gt;=$NR$7,314&lt;=$NS$7),IF($NP$7="Single_Point",IF(314=$NR$7,$NN$7,0),IF($NP$7="Bell_Curve",$NN$7*(314-$NR$7+1)*($NS$7-314+1)/$NU$7,$NN$7/$NT$7)),0)</f>
        <v/>
      </c>
      <c r="LG7" s="228">
        <f>IF(AND(315&gt;=$NR$7,315&lt;=$NS$7),IF($NP$7="Single_Point",IF(315=$NR$7,$NN$7,0),IF($NP$7="Bell_Curve",$NN$7*(315-$NR$7+1)*($NS$7-315+1)/$NU$7,$NN$7/$NT$7)),0)</f>
        <v/>
      </c>
      <c r="LH7" s="228">
        <f>IF(AND(316&gt;=$NR$7,316&lt;=$NS$7),IF($NP$7="Single_Point",IF(316=$NR$7,$NN$7,0),IF($NP$7="Bell_Curve",$NN$7*(316-$NR$7+1)*($NS$7-316+1)/$NU$7,$NN$7/$NT$7)),0)</f>
        <v/>
      </c>
      <c r="LI7" s="228">
        <f>IF(AND(317&gt;=$NR$7,317&lt;=$NS$7),IF($NP$7="Single_Point",IF(317=$NR$7,$NN$7,0),IF($NP$7="Bell_Curve",$NN$7*(317-$NR$7+1)*($NS$7-317+1)/$NU$7,$NN$7/$NT$7)),0)</f>
        <v/>
      </c>
      <c r="LJ7" s="228">
        <f>IF(AND(318&gt;=$NR$7,318&lt;=$NS$7),IF($NP$7="Single_Point",IF(318=$NR$7,$NN$7,0),IF($NP$7="Bell_Curve",$NN$7*(318-$NR$7+1)*($NS$7-318+1)/$NU$7,$NN$7/$NT$7)),0)</f>
        <v/>
      </c>
      <c r="LK7" s="228">
        <f>IF(AND(319&gt;=$NR$7,319&lt;=$NS$7),IF($NP$7="Single_Point",IF(319=$NR$7,$NN$7,0),IF($NP$7="Bell_Curve",$NN$7*(319-$NR$7+1)*($NS$7-319+1)/$NU$7,$NN$7/$NT$7)),0)</f>
        <v/>
      </c>
      <c r="LL7" s="228">
        <f>IF(AND(320&gt;=$NR$7,320&lt;=$NS$7),IF($NP$7="Single_Point",IF(320=$NR$7,$NN$7,0),IF($NP$7="Bell_Curve",$NN$7*(320-$NR$7+1)*($NS$7-320+1)/$NU$7,$NN$7/$NT$7)),0)</f>
        <v/>
      </c>
      <c r="LM7" s="228">
        <f>IF(AND(321&gt;=$NR$7,321&lt;=$NS$7),IF($NP$7="Single_Point",IF(321=$NR$7,$NN$7,0),IF($NP$7="Bell_Curve",$NN$7*(321-$NR$7+1)*($NS$7-321+1)/$NU$7,$NN$7/$NT$7)),0)</f>
        <v/>
      </c>
      <c r="LN7" s="228">
        <f>IF(AND(322&gt;=$NR$7,322&lt;=$NS$7),IF($NP$7="Single_Point",IF(322=$NR$7,$NN$7,0),IF($NP$7="Bell_Curve",$NN$7*(322-$NR$7+1)*($NS$7-322+1)/$NU$7,$NN$7/$NT$7)),0)</f>
        <v/>
      </c>
      <c r="LO7" s="228">
        <f>IF(AND(323&gt;=$NR$7,323&lt;=$NS$7),IF($NP$7="Single_Point",IF(323=$NR$7,$NN$7,0),IF($NP$7="Bell_Curve",$NN$7*(323-$NR$7+1)*($NS$7-323+1)/$NU$7,$NN$7/$NT$7)),0)</f>
        <v/>
      </c>
      <c r="LP7" s="228">
        <f>IF(AND(324&gt;=$NR$7,324&lt;=$NS$7),IF($NP$7="Single_Point",IF(324=$NR$7,$NN$7,0),IF($NP$7="Bell_Curve",$NN$7*(324-$NR$7+1)*($NS$7-324+1)/$NU$7,$NN$7/$NT$7)),0)</f>
        <v/>
      </c>
      <c r="LQ7" s="228">
        <f>IF(AND(325&gt;=$NR$7,325&lt;=$NS$7),IF($NP$7="Single_Point",IF(325=$NR$7,$NN$7,0),IF($NP$7="Bell_Curve",$NN$7*(325-$NR$7+1)*($NS$7-325+1)/$NU$7,$NN$7/$NT$7)),0)</f>
        <v/>
      </c>
      <c r="LR7" s="228">
        <f>IF(AND(326&gt;=$NR$7,326&lt;=$NS$7),IF($NP$7="Single_Point",IF(326=$NR$7,$NN$7,0),IF($NP$7="Bell_Curve",$NN$7*(326-$NR$7+1)*($NS$7-326+1)/$NU$7,$NN$7/$NT$7)),0)</f>
        <v/>
      </c>
      <c r="LS7" s="228">
        <f>IF(AND(327&gt;=$NR$7,327&lt;=$NS$7),IF($NP$7="Single_Point",IF(327=$NR$7,$NN$7,0),IF($NP$7="Bell_Curve",$NN$7*(327-$NR$7+1)*($NS$7-327+1)/$NU$7,$NN$7/$NT$7)),0)</f>
        <v/>
      </c>
      <c r="LT7" s="228">
        <f>IF(AND(328&gt;=$NR$7,328&lt;=$NS$7),IF($NP$7="Single_Point",IF(328=$NR$7,$NN$7,0),IF($NP$7="Bell_Curve",$NN$7*(328-$NR$7+1)*($NS$7-328+1)/$NU$7,$NN$7/$NT$7)),0)</f>
        <v/>
      </c>
      <c r="LU7" s="228">
        <f>IF(AND(329&gt;=$NR$7,329&lt;=$NS$7),IF($NP$7="Single_Point",IF(329=$NR$7,$NN$7,0),IF($NP$7="Bell_Curve",$NN$7*(329-$NR$7+1)*($NS$7-329+1)/$NU$7,$NN$7/$NT$7)),0)</f>
        <v/>
      </c>
      <c r="LV7" s="228">
        <f>IF(AND(330&gt;=$NR$7,330&lt;=$NS$7),IF($NP$7="Single_Point",IF(330=$NR$7,$NN$7,0),IF($NP$7="Bell_Curve",$NN$7*(330-$NR$7+1)*($NS$7-330+1)/$NU$7,$NN$7/$NT$7)),0)</f>
        <v/>
      </c>
      <c r="LW7" s="228">
        <f>IF(AND(331&gt;=$NR$7,331&lt;=$NS$7),IF($NP$7="Single_Point",IF(331=$NR$7,$NN$7,0),IF($NP$7="Bell_Curve",$NN$7*(331-$NR$7+1)*($NS$7-331+1)/$NU$7,$NN$7/$NT$7)),0)</f>
        <v/>
      </c>
      <c r="LX7" s="228">
        <f>IF(AND(332&gt;=$NR$7,332&lt;=$NS$7),IF($NP$7="Single_Point",IF(332=$NR$7,$NN$7,0),IF($NP$7="Bell_Curve",$NN$7*(332-$NR$7+1)*($NS$7-332+1)/$NU$7,$NN$7/$NT$7)),0)</f>
        <v/>
      </c>
      <c r="LY7" s="228">
        <f>IF(AND(333&gt;=$NR$7,333&lt;=$NS$7),IF($NP$7="Single_Point",IF(333=$NR$7,$NN$7,0),IF($NP$7="Bell_Curve",$NN$7*(333-$NR$7+1)*($NS$7-333+1)/$NU$7,$NN$7/$NT$7)),0)</f>
        <v/>
      </c>
      <c r="LZ7" s="228">
        <f>IF(AND(334&gt;=$NR$7,334&lt;=$NS$7),IF($NP$7="Single_Point",IF(334=$NR$7,$NN$7,0),IF($NP$7="Bell_Curve",$NN$7*(334-$NR$7+1)*($NS$7-334+1)/$NU$7,$NN$7/$NT$7)),0)</f>
        <v/>
      </c>
      <c r="MA7" s="228">
        <f>IF(AND(335&gt;=$NR$7,335&lt;=$NS$7),IF($NP$7="Single_Point",IF(335=$NR$7,$NN$7,0),IF($NP$7="Bell_Curve",$NN$7*(335-$NR$7+1)*($NS$7-335+1)/$NU$7,$NN$7/$NT$7)),0)</f>
        <v/>
      </c>
      <c r="MB7" s="228">
        <f>IF(AND(336&gt;=$NR$7,336&lt;=$NS$7),IF($NP$7="Single_Point",IF(336=$NR$7,$NN$7,0),IF($NP$7="Bell_Curve",$NN$7*(336-$NR$7+1)*($NS$7-336+1)/$NU$7,$NN$7/$NT$7)),0)</f>
        <v/>
      </c>
      <c r="MC7" s="228">
        <f>IF(AND(337&gt;=$NR$7,337&lt;=$NS$7),IF($NP$7="Single_Point",IF(337=$NR$7,$NN$7,0),IF($NP$7="Bell_Curve",$NN$7*(337-$NR$7+1)*($NS$7-337+1)/$NU$7,$NN$7/$NT$7)),0)</f>
        <v/>
      </c>
      <c r="MD7" s="228">
        <f>IF(AND(338&gt;=$NR$7,338&lt;=$NS$7),IF($NP$7="Single_Point",IF(338=$NR$7,$NN$7,0),IF($NP$7="Bell_Curve",$NN$7*(338-$NR$7+1)*($NS$7-338+1)/$NU$7,$NN$7/$NT$7)),0)</f>
        <v/>
      </c>
      <c r="ME7" s="228">
        <f>IF(AND(339&gt;=$NR$7,339&lt;=$NS$7),IF($NP$7="Single_Point",IF(339=$NR$7,$NN$7,0),IF($NP$7="Bell_Curve",$NN$7*(339-$NR$7+1)*($NS$7-339+1)/$NU$7,$NN$7/$NT$7)),0)</f>
        <v/>
      </c>
      <c r="MF7" s="228">
        <f>IF(AND(340&gt;=$NR$7,340&lt;=$NS$7),IF($NP$7="Single_Point",IF(340=$NR$7,$NN$7,0),IF($NP$7="Bell_Curve",$NN$7*(340-$NR$7+1)*($NS$7-340+1)/$NU$7,$NN$7/$NT$7)),0)</f>
        <v/>
      </c>
      <c r="MG7" s="228">
        <f>IF(AND(341&gt;=$NR$7,341&lt;=$NS$7),IF($NP$7="Single_Point",IF(341=$NR$7,$NN$7,0),IF($NP$7="Bell_Curve",$NN$7*(341-$NR$7+1)*($NS$7-341+1)/$NU$7,$NN$7/$NT$7)),0)</f>
        <v/>
      </c>
      <c r="MH7" s="228">
        <f>IF(AND(342&gt;=$NR$7,342&lt;=$NS$7),IF($NP$7="Single_Point",IF(342=$NR$7,$NN$7,0),IF($NP$7="Bell_Curve",$NN$7*(342-$NR$7+1)*($NS$7-342+1)/$NU$7,$NN$7/$NT$7)),0)</f>
        <v/>
      </c>
      <c r="MI7" s="228">
        <f>IF(AND(343&gt;=$NR$7,343&lt;=$NS$7),IF($NP$7="Single_Point",IF(343=$NR$7,$NN$7,0),IF($NP$7="Bell_Curve",$NN$7*(343-$NR$7+1)*($NS$7-343+1)/$NU$7,$NN$7/$NT$7)),0)</f>
        <v/>
      </c>
      <c r="MJ7" s="228">
        <f>IF(AND(344&gt;=$NR$7,344&lt;=$NS$7),IF($NP$7="Single_Point",IF(344=$NR$7,$NN$7,0),IF($NP$7="Bell_Curve",$NN$7*(344-$NR$7+1)*($NS$7-344+1)/$NU$7,$NN$7/$NT$7)),0)</f>
        <v/>
      </c>
      <c r="MK7" s="228">
        <f>IF(AND(345&gt;=$NR$7,345&lt;=$NS$7),IF($NP$7="Single_Point",IF(345=$NR$7,$NN$7,0),IF($NP$7="Bell_Curve",$NN$7*(345-$NR$7+1)*($NS$7-345+1)/$NU$7,$NN$7/$NT$7)),0)</f>
        <v/>
      </c>
      <c r="ML7" s="228">
        <f>IF(AND(346&gt;=$NR$7,346&lt;=$NS$7),IF($NP$7="Single_Point",IF(346=$NR$7,$NN$7,0),IF($NP$7="Bell_Curve",$NN$7*(346-$NR$7+1)*($NS$7-346+1)/$NU$7,$NN$7/$NT$7)),0)</f>
        <v/>
      </c>
      <c r="MM7" s="228">
        <f>IF(AND(347&gt;=$NR$7,347&lt;=$NS$7),IF($NP$7="Single_Point",IF(347=$NR$7,$NN$7,0),IF($NP$7="Bell_Curve",$NN$7*(347-$NR$7+1)*($NS$7-347+1)/$NU$7,$NN$7/$NT$7)),0)</f>
        <v/>
      </c>
      <c r="MN7" s="228">
        <f>IF(AND(348&gt;=$NR$7,348&lt;=$NS$7),IF($NP$7="Single_Point",IF(348=$NR$7,$NN$7,0),IF($NP$7="Bell_Curve",$NN$7*(348-$NR$7+1)*($NS$7-348+1)/$NU$7,$NN$7/$NT$7)),0)</f>
        <v/>
      </c>
      <c r="MO7" s="228">
        <f>IF(AND(349&gt;=$NR$7,349&lt;=$NS$7),IF($NP$7="Single_Point",IF(349=$NR$7,$NN$7,0),IF($NP$7="Bell_Curve",$NN$7*(349-$NR$7+1)*($NS$7-349+1)/$NU$7,$NN$7/$NT$7)),0)</f>
        <v/>
      </c>
      <c r="MP7" s="228">
        <f>IF(AND(350&gt;=$NR$7,350&lt;=$NS$7),IF($NP$7="Single_Point",IF(350=$NR$7,$NN$7,0),IF($NP$7="Bell_Curve",$NN$7*(350-$NR$7+1)*($NS$7-350+1)/$NU$7,$NN$7/$NT$7)),0)</f>
        <v/>
      </c>
      <c r="MQ7" s="228">
        <f>IF(AND(351&gt;=$NR$7,351&lt;=$NS$7),IF($NP$7="Single_Point",IF(351=$NR$7,$NN$7,0),IF($NP$7="Bell_Curve",$NN$7*(351-$NR$7+1)*($NS$7-351+1)/$NU$7,$NN$7/$NT$7)),0)</f>
        <v/>
      </c>
      <c r="MR7" s="228">
        <f>IF(AND(352&gt;=$NR$7,352&lt;=$NS$7),IF($NP$7="Single_Point",IF(352=$NR$7,$NN$7,0),IF($NP$7="Bell_Curve",$NN$7*(352-$NR$7+1)*($NS$7-352+1)/$NU$7,$NN$7/$NT$7)),0)</f>
        <v/>
      </c>
      <c r="MS7" s="228">
        <f>IF(AND(353&gt;=$NR$7,353&lt;=$NS$7),IF($NP$7="Single_Point",IF(353=$NR$7,$NN$7,0),IF($NP$7="Bell_Curve",$NN$7*(353-$NR$7+1)*($NS$7-353+1)/$NU$7,$NN$7/$NT$7)),0)</f>
        <v/>
      </c>
      <c r="MT7" s="228">
        <f>IF(AND(354&gt;=$NR$7,354&lt;=$NS$7),IF($NP$7="Single_Point",IF(354=$NR$7,$NN$7,0),IF($NP$7="Bell_Curve",$NN$7*(354-$NR$7+1)*($NS$7-354+1)/$NU$7,$NN$7/$NT$7)),0)</f>
        <v/>
      </c>
      <c r="MU7" s="228">
        <f>IF(AND(355&gt;=$NR$7,355&lt;=$NS$7),IF($NP$7="Single_Point",IF(355=$NR$7,$NN$7,0),IF($NP$7="Bell_Curve",$NN$7*(355-$NR$7+1)*($NS$7-355+1)/$NU$7,$NN$7/$NT$7)),0)</f>
        <v/>
      </c>
      <c r="MV7" s="228">
        <f>IF(AND(356&gt;=$NR$7,356&lt;=$NS$7),IF($NP$7="Single_Point",IF(356=$NR$7,$NN$7,0),IF($NP$7="Bell_Curve",$NN$7*(356-$NR$7+1)*($NS$7-356+1)/$NU$7,$NN$7/$NT$7)),0)</f>
        <v/>
      </c>
      <c r="MW7" s="228">
        <f>IF(AND(357&gt;=$NR$7,357&lt;=$NS$7),IF($NP$7="Single_Point",IF(357=$NR$7,$NN$7,0),IF($NP$7="Bell_Curve",$NN$7*(357-$NR$7+1)*($NS$7-357+1)/$NU$7,$NN$7/$NT$7)),0)</f>
        <v/>
      </c>
      <c r="MX7" s="228">
        <f>IF(AND(358&gt;=$NR$7,358&lt;=$NS$7),IF($NP$7="Single_Point",IF(358=$NR$7,$NN$7,0),IF($NP$7="Bell_Curve",$NN$7*(358-$NR$7+1)*($NS$7-358+1)/$NU$7,$NN$7/$NT$7)),0)</f>
        <v/>
      </c>
      <c r="MY7" s="228">
        <f>IF(AND(359&gt;=$NR$7,359&lt;=$NS$7),IF($NP$7="Single_Point",IF(359=$NR$7,$NN$7,0),IF($NP$7="Bell_Curve",$NN$7*(359-$NR$7+1)*($NS$7-359+1)/$NU$7,$NN$7/$NT$7)),0)</f>
        <v/>
      </c>
      <c r="MZ7" s="228">
        <f>IF(AND(360&gt;=$NR$7,360&lt;=$NS$7),IF($NP$7="Single_Point",IF(360=$NR$7,$NN$7,0),IF($NP$7="Bell_Curve",$NN$7*(360-$NR$7+1)*($NS$7-360+1)/$NU$7,$NN$7/$NT$7)),0)</f>
        <v/>
      </c>
      <c r="NA7" s="228">
        <f>IF(AND(361&gt;=$NR$7,361&lt;=$NS$7),IF($NP$7="Single_Point",IF(361=$NR$7,$NN$7,0),IF($NP$7="Bell_Curve",$NN$7*(361-$NR$7+1)*($NS$7-361+1)/$NU$7,$NN$7/$NT$7)),0)</f>
        <v/>
      </c>
      <c r="NB7" s="228">
        <f>IF(AND(362&gt;=$NR$7,362&lt;=$NS$7),IF($NP$7="Single_Point",IF(362=$NR$7,$NN$7,0),IF($NP$7="Bell_Curve",$NN$7*(362-$NR$7+1)*($NS$7-362+1)/$NU$7,$NN$7/$NT$7)),0)</f>
        <v/>
      </c>
      <c r="NC7" s="228">
        <f>IF(AND(363&gt;=$NR$7,363&lt;=$NS$7),IF($NP$7="Single_Point",IF(363=$NR$7,$NN$7,0),IF($NP$7="Bell_Curve",$NN$7*(363-$NR$7+1)*($NS$7-363+1)/$NU$7,$NN$7/$NT$7)),0)</f>
        <v/>
      </c>
      <c r="ND7" s="228">
        <f>IF(AND(364&gt;=$NR$7,364&lt;=$NS$7),IF($NP$7="Single_Point",IF(364=$NR$7,$NN$7,0),IF($NP$7="Bell_Curve",$NN$7*(364-$NR$7+1)*($NS$7-364+1)/$NU$7,$NN$7/$NT$7)),0)</f>
        <v/>
      </c>
      <c r="NE7" s="228">
        <f>IF(AND(365&gt;=$NR$7,365&lt;=$NS$7),IF($NP$7="Single_Point",IF(365=$NR$7,$NN$7,0),IF($NP$7="Bell_Curve",$NN$7*(365-$NR$7+1)*($NS$7-365+1)/$NU$7,$NN$7/$NT$7)),0)</f>
        <v/>
      </c>
      <c r="NF7" s="228">
        <f>IF(AND(366&gt;=$NR$7,366&lt;=$NS$7),IF($NP$7="Single_Point",IF(366=$NR$7,$NN$7,0),IF($NP$7="Bell_Curve",$NN$7*(366-$NR$7+1)*($NS$7-366+1)/$NU$7,$NN$7/$NT$7)),0)</f>
        <v/>
      </c>
      <c r="NG7" s="228">
        <f>IF(AND(367&gt;=$NR$7,367&lt;=$NS$7),IF($NP$7="Single_Point",IF(367=$NR$7,$NN$7,0),IF($NP$7="Bell_Curve",$NN$7*(367-$NR$7+1)*($NS$7-367+1)/$NU$7,$NN$7/$NT$7)),0)</f>
        <v/>
      </c>
      <c r="NH7" s="228">
        <f>IF(AND(368&gt;=$NR$7,368&lt;=$NS$7),IF($NP$7="Single_Point",IF(368=$NR$7,$NN$7,0),IF($NP$7="Bell_Curve",$NN$7*(368-$NR$7+1)*($NS$7-368+1)/$NU$7,$NN$7/$NT$7)),0)</f>
        <v/>
      </c>
      <c r="NI7" s="228">
        <f>IF(AND(369&gt;=$NR$7,369&lt;=$NS$7),IF($NP$7="Single_Point",IF(369=$NR$7,$NN$7,0),IF($NP$7="Bell_Curve",$NN$7*(369-$NR$7+1)*($NS$7-369+1)/$NU$7,$NN$7/$NT$7)),0)</f>
        <v/>
      </c>
      <c r="NJ7" s="228">
        <f>IF(AND(370&gt;=$NR$7,370&lt;=$NS$7),IF($NP$7="Single_Point",IF(370=$NR$7,$NN$7,0),IF($NP$7="Bell_Curve",$NN$7*(370-$NR$7+1)*($NS$7-370+1)/$NU$7,$NN$7/$NT$7)),0)</f>
        <v/>
      </c>
      <c r="NK7" s="228">
        <f>IF(AND(371&gt;=$NR$7,371&lt;=$NS$7),IF($NP$7="Single_Point",IF(371=$NR$7,$NN$7,0),IF($NP$7="Bell_Curve",$NN$7*(371-$NR$7+1)*($NS$7-371+1)/$NU$7,$NN$7/$NT$7)),0)</f>
        <v/>
      </c>
      <c r="NL7" s="247">
        <f>IF(AND(372&gt;=$NR$7,372&lt;=$NS$7),IF($NP$7="Single_Point",IF(372=$NR$7,$NN$7,0),IF($NP$7="Bell_Curve",$NN$7*(372-$NR$7+1)*($NS$7-372+1)/$NU$7,$NN$7/$NT$7)),0)</f>
        <v/>
      </c>
      <c r="NN7" s="218">
        <f>Budget!J6</f>
        <v/>
      </c>
      <c r="NO7" s="144">
        <f>Budget!G6</f>
        <v/>
      </c>
      <c r="NP7" s="144">
        <f>Budget!H6</f>
        <v/>
      </c>
      <c r="NQ7" s="85">
        <f>Budget!I6</f>
        <v/>
      </c>
      <c r="NR7" s="248">
        <f>MAX(1,MIN(372,INDEX(MilestoneStart,MATCH(NO7,MilestoneNames,0))+NQ7))</f>
        <v/>
      </c>
      <c r="NS7" s="248">
        <f>MAX(NR7,MIN(372,INDEX(MilestoneEnd,MATCH(NO7,MilestoneNames,0))+NQ7))</f>
        <v/>
      </c>
      <c r="NT7" s="85">
        <f>NS7-NR7+1</f>
        <v/>
      </c>
      <c r="NU7" s="85">
        <f>NT7*(NT7+1)*(NT7+2)/6</f>
        <v/>
      </c>
    </row>
    <row r="8">
      <c r="B8" s="36" t="inlineStr">
        <is>
          <t>Due Diligence</t>
        </is>
      </c>
      <c r="D8" s="246">
        <f>SUM(E8:NL8)</f>
        <v/>
      </c>
      <c r="E8" s="228">
        <f>IF(AND(1&gt;=$NR$8,1&lt;=$NS$8),IF($NP$8="Single_Point",IF(1=$NR$8,$NN$8,0),IF($NP$8="Bell_Curve",$NN$8*(1-$NR$8+1)*($NS$8-1+1)/$NU$8,$NN$8/$NT$8)),0)</f>
        <v/>
      </c>
      <c r="F8" s="228">
        <f>IF(AND(2&gt;=$NR$8,2&lt;=$NS$8),IF($NP$8="Single_Point",IF(2=$NR$8,$NN$8,0),IF($NP$8="Bell_Curve",$NN$8*(2-$NR$8+1)*($NS$8-2+1)/$NU$8,$NN$8/$NT$8)),0)</f>
        <v/>
      </c>
      <c r="G8" s="228">
        <f>IF(AND(3&gt;=$NR$8,3&lt;=$NS$8),IF($NP$8="Single_Point",IF(3=$NR$8,$NN$8,0),IF($NP$8="Bell_Curve",$NN$8*(3-$NR$8+1)*($NS$8-3+1)/$NU$8,$NN$8/$NT$8)),0)</f>
        <v/>
      </c>
      <c r="H8" s="228">
        <f>IF(AND(4&gt;=$NR$8,4&lt;=$NS$8),IF($NP$8="Single_Point",IF(4=$NR$8,$NN$8,0),IF($NP$8="Bell_Curve",$NN$8*(4-$NR$8+1)*($NS$8-4+1)/$NU$8,$NN$8/$NT$8)),0)</f>
        <v/>
      </c>
      <c r="I8" s="228">
        <f>IF(AND(5&gt;=$NR$8,5&lt;=$NS$8),IF($NP$8="Single_Point",IF(5=$NR$8,$NN$8,0),IF($NP$8="Bell_Curve",$NN$8*(5-$NR$8+1)*($NS$8-5+1)/$NU$8,$NN$8/$NT$8)),0)</f>
        <v/>
      </c>
      <c r="J8" s="228">
        <f>IF(AND(6&gt;=$NR$8,6&lt;=$NS$8),IF($NP$8="Single_Point",IF(6=$NR$8,$NN$8,0),IF($NP$8="Bell_Curve",$NN$8*(6-$NR$8+1)*($NS$8-6+1)/$NU$8,$NN$8/$NT$8)),0)</f>
        <v/>
      </c>
      <c r="K8" s="228">
        <f>IF(AND(7&gt;=$NR$8,7&lt;=$NS$8),IF($NP$8="Single_Point",IF(7=$NR$8,$NN$8,0),IF($NP$8="Bell_Curve",$NN$8*(7-$NR$8+1)*($NS$8-7+1)/$NU$8,$NN$8/$NT$8)),0)</f>
        <v/>
      </c>
      <c r="L8" s="228">
        <f>IF(AND(8&gt;=$NR$8,8&lt;=$NS$8),IF($NP$8="Single_Point",IF(8=$NR$8,$NN$8,0),IF($NP$8="Bell_Curve",$NN$8*(8-$NR$8+1)*($NS$8-8+1)/$NU$8,$NN$8/$NT$8)),0)</f>
        <v/>
      </c>
      <c r="M8" s="228">
        <f>IF(AND(9&gt;=$NR$8,9&lt;=$NS$8),IF($NP$8="Single_Point",IF(9=$NR$8,$NN$8,0),IF($NP$8="Bell_Curve",$NN$8*(9-$NR$8+1)*($NS$8-9+1)/$NU$8,$NN$8/$NT$8)),0)</f>
        <v/>
      </c>
      <c r="N8" s="228">
        <f>IF(AND(10&gt;=$NR$8,10&lt;=$NS$8),IF($NP$8="Single_Point",IF(10=$NR$8,$NN$8,0),IF($NP$8="Bell_Curve",$NN$8*(10-$NR$8+1)*($NS$8-10+1)/$NU$8,$NN$8/$NT$8)),0)</f>
        <v/>
      </c>
      <c r="O8" s="228">
        <f>IF(AND(11&gt;=$NR$8,11&lt;=$NS$8),IF($NP$8="Single_Point",IF(11=$NR$8,$NN$8,0),IF($NP$8="Bell_Curve",$NN$8*(11-$NR$8+1)*($NS$8-11+1)/$NU$8,$NN$8/$NT$8)),0)</f>
        <v/>
      </c>
      <c r="P8" s="228">
        <f>IF(AND(12&gt;=$NR$8,12&lt;=$NS$8),IF($NP$8="Single_Point",IF(12=$NR$8,$NN$8,0),IF($NP$8="Bell_Curve",$NN$8*(12-$NR$8+1)*($NS$8-12+1)/$NU$8,$NN$8/$NT$8)),0)</f>
        <v/>
      </c>
      <c r="Q8" s="228">
        <f>IF(AND(13&gt;=$NR$8,13&lt;=$NS$8),IF($NP$8="Single_Point",IF(13=$NR$8,$NN$8,0),IF($NP$8="Bell_Curve",$NN$8*(13-$NR$8+1)*($NS$8-13+1)/$NU$8,$NN$8/$NT$8)),0)</f>
        <v/>
      </c>
      <c r="R8" s="228">
        <f>IF(AND(14&gt;=$NR$8,14&lt;=$NS$8),IF($NP$8="Single_Point",IF(14=$NR$8,$NN$8,0),IF($NP$8="Bell_Curve",$NN$8*(14-$NR$8+1)*($NS$8-14+1)/$NU$8,$NN$8/$NT$8)),0)</f>
        <v/>
      </c>
      <c r="S8" s="228">
        <f>IF(AND(15&gt;=$NR$8,15&lt;=$NS$8),IF($NP$8="Single_Point",IF(15=$NR$8,$NN$8,0),IF($NP$8="Bell_Curve",$NN$8*(15-$NR$8+1)*($NS$8-15+1)/$NU$8,$NN$8/$NT$8)),0)</f>
        <v/>
      </c>
      <c r="T8" s="228">
        <f>IF(AND(16&gt;=$NR$8,16&lt;=$NS$8),IF($NP$8="Single_Point",IF(16=$NR$8,$NN$8,0),IF($NP$8="Bell_Curve",$NN$8*(16-$NR$8+1)*($NS$8-16+1)/$NU$8,$NN$8/$NT$8)),0)</f>
        <v/>
      </c>
      <c r="U8" s="228">
        <f>IF(AND(17&gt;=$NR$8,17&lt;=$NS$8),IF($NP$8="Single_Point",IF(17=$NR$8,$NN$8,0),IF($NP$8="Bell_Curve",$NN$8*(17-$NR$8+1)*($NS$8-17+1)/$NU$8,$NN$8/$NT$8)),0)</f>
        <v/>
      </c>
      <c r="V8" s="228">
        <f>IF(AND(18&gt;=$NR$8,18&lt;=$NS$8),IF($NP$8="Single_Point",IF(18=$NR$8,$NN$8,0),IF($NP$8="Bell_Curve",$NN$8*(18-$NR$8+1)*($NS$8-18+1)/$NU$8,$NN$8/$NT$8)),0)</f>
        <v/>
      </c>
      <c r="W8" s="228">
        <f>IF(AND(19&gt;=$NR$8,19&lt;=$NS$8),IF($NP$8="Single_Point",IF(19=$NR$8,$NN$8,0),IF($NP$8="Bell_Curve",$NN$8*(19-$NR$8+1)*($NS$8-19+1)/$NU$8,$NN$8/$NT$8)),0)</f>
        <v/>
      </c>
      <c r="X8" s="228">
        <f>IF(AND(20&gt;=$NR$8,20&lt;=$NS$8),IF($NP$8="Single_Point",IF(20=$NR$8,$NN$8,0),IF($NP$8="Bell_Curve",$NN$8*(20-$NR$8+1)*($NS$8-20+1)/$NU$8,$NN$8/$NT$8)),0)</f>
        <v/>
      </c>
      <c r="Y8" s="228">
        <f>IF(AND(21&gt;=$NR$8,21&lt;=$NS$8),IF($NP$8="Single_Point",IF(21=$NR$8,$NN$8,0),IF($NP$8="Bell_Curve",$NN$8*(21-$NR$8+1)*($NS$8-21+1)/$NU$8,$NN$8/$NT$8)),0)</f>
        <v/>
      </c>
      <c r="Z8" s="228">
        <f>IF(AND(22&gt;=$NR$8,22&lt;=$NS$8),IF($NP$8="Single_Point",IF(22=$NR$8,$NN$8,0),IF($NP$8="Bell_Curve",$NN$8*(22-$NR$8+1)*($NS$8-22+1)/$NU$8,$NN$8/$NT$8)),0)</f>
        <v/>
      </c>
      <c r="AA8" s="228">
        <f>IF(AND(23&gt;=$NR$8,23&lt;=$NS$8),IF($NP$8="Single_Point",IF(23=$NR$8,$NN$8,0),IF($NP$8="Bell_Curve",$NN$8*(23-$NR$8+1)*($NS$8-23+1)/$NU$8,$NN$8/$NT$8)),0)</f>
        <v/>
      </c>
      <c r="AB8" s="228">
        <f>IF(AND(24&gt;=$NR$8,24&lt;=$NS$8),IF($NP$8="Single_Point",IF(24=$NR$8,$NN$8,0),IF($NP$8="Bell_Curve",$NN$8*(24-$NR$8+1)*($NS$8-24+1)/$NU$8,$NN$8/$NT$8)),0)</f>
        <v/>
      </c>
      <c r="AC8" s="228">
        <f>IF(AND(25&gt;=$NR$8,25&lt;=$NS$8),IF($NP$8="Single_Point",IF(25=$NR$8,$NN$8,0),IF($NP$8="Bell_Curve",$NN$8*(25-$NR$8+1)*($NS$8-25+1)/$NU$8,$NN$8/$NT$8)),0)</f>
        <v/>
      </c>
      <c r="AD8" s="228">
        <f>IF(AND(26&gt;=$NR$8,26&lt;=$NS$8),IF($NP$8="Single_Point",IF(26=$NR$8,$NN$8,0),IF($NP$8="Bell_Curve",$NN$8*(26-$NR$8+1)*($NS$8-26+1)/$NU$8,$NN$8/$NT$8)),0)</f>
        <v/>
      </c>
      <c r="AE8" s="228">
        <f>IF(AND(27&gt;=$NR$8,27&lt;=$NS$8),IF($NP$8="Single_Point",IF(27=$NR$8,$NN$8,0),IF($NP$8="Bell_Curve",$NN$8*(27-$NR$8+1)*($NS$8-27+1)/$NU$8,$NN$8/$NT$8)),0)</f>
        <v/>
      </c>
      <c r="AF8" s="228">
        <f>IF(AND(28&gt;=$NR$8,28&lt;=$NS$8),IF($NP$8="Single_Point",IF(28=$NR$8,$NN$8,0),IF($NP$8="Bell_Curve",$NN$8*(28-$NR$8+1)*($NS$8-28+1)/$NU$8,$NN$8/$NT$8)),0)</f>
        <v/>
      </c>
      <c r="AG8" s="228">
        <f>IF(AND(29&gt;=$NR$8,29&lt;=$NS$8),IF($NP$8="Single_Point",IF(29=$NR$8,$NN$8,0),IF($NP$8="Bell_Curve",$NN$8*(29-$NR$8+1)*($NS$8-29+1)/$NU$8,$NN$8/$NT$8)),0)</f>
        <v/>
      </c>
      <c r="AH8" s="228">
        <f>IF(AND(30&gt;=$NR$8,30&lt;=$NS$8),IF($NP$8="Single_Point",IF(30=$NR$8,$NN$8,0),IF($NP$8="Bell_Curve",$NN$8*(30-$NR$8+1)*($NS$8-30+1)/$NU$8,$NN$8/$NT$8)),0)</f>
        <v/>
      </c>
      <c r="AI8" s="228">
        <f>IF(AND(31&gt;=$NR$8,31&lt;=$NS$8),IF($NP$8="Single_Point",IF(31=$NR$8,$NN$8,0),IF($NP$8="Bell_Curve",$NN$8*(31-$NR$8+1)*($NS$8-31+1)/$NU$8,$NN$8/$NT$8)),0)</f>
        <v/>
      </c>
      <c r="AJ8" s="228">
        <f>IF(AND(32&gt;=$NR$8,32&lt;=$NS$8),IF($NP$8="Single_Point",IF(32=$NR$8,$NN$8,0),IF($NP$8="Bell_Curve",$NN$8*(32-$NR$8+1)*($NS$8-32+1)/$NU$8,$NN$8/$NT$8)),0)</f>
        <v/>
      </c>
      <c r="AK8" s="228">
        <f>IF(AND(33&gt;=$NR$8,33&lt;=$NS$8),IF($NP$8="Single_Point",IF(33=$NR$8,$NN$8,0),IF($NP$8="Bell_Curve",$NN$8*(33-$NR$8+1)*($NS$8-33+1)/$NU$8,$NN$8/$NT$8)),0)</f>
        <v/>
      </c>
      <c r="AL8" s="228">
        <f>IF(AND(34&gt;=$NR$8,34&lt;=$NS$8),IF($NP$8="Single_Point",IF(34=$NR$8,$NN$8,0),IF($NP$8="Bell_Curve",$NN$8*(34-$NR$8+1)*($NS$8-34+1)/$NU$8,$NN$8/$NT$8)),0)</f>
        <v/>
      </c>
      <c r="AM8" s="228">
        <f>IF(AND(35&gt;=$NR$8,35&lt;=$NS$8),IF($NP$8="Single_Point",IF(35=$NR$8,$NN$8,0),IF($NP$8="Bell_Curve",$NN$8*(35-$NR$8+1)*($NS$8-35+1)/$NU$8,$NN$8/$NT$8)),0)</f>
        <v/>
      </c>
      <c r="AN8" s="228">
        <f>IF(AND(36&gt;=$NR$8,36&lt;=$NS$8),IF($NP$8="Single_Point",IF(36=$NR$8,$NN$8,0),IF($NP$8="Bell_Curve",$NN$8*(36-$NR$8+1)*($NS$8-36+1)/$NU$8,$NN$8/$NT$8)),0)</f>
        <v/>
      </c>
      <c r="AO8" s="228">
        <f>IF(AND(37&gt;=$NR$8,37&lt;=$NS$8),IF($NP$8="Single_Point",IF(37=$NR$8,$NN$8,0),IF($NP$8="Bell_Curve",$NN$8*(37-$NR$8+1)*($NS$8-37+1)/$NU$8,$NN$8/$NT$8)),0)</f>
        <v/>
      </c>
      <c r="AP8" s="228">
        <f>IF(AND(38&gt;=$NR$8,38&lt;=$NS$8),IF($NP$8="Single_Point",IF(38=$NR$8,$NN$8,0),IF($NP$8="Bell_Curve",$NN$8*(38-$NR$8+1)*($NS$8-38+1)/$NU$8,$NN$8/$NT$8)),0)</f>
        <v/>
      </c>
      <c r="AQ8" s="228">
        <f>IF(AND(39&gt;=$NR$8,39&lt;=$NS$8),IF($NP$8="Single_Point",IF(39=$NR$8,$NN$8,0),IF($NP$8="Bell_Curve",$NN$8*(39-$NR$8+1)*($NS$8-39+1)/$NU$8,$NN$8/$NT$8)),0)</f>
        <v/>
      </c>
      <c r="AR8" s="228">
        <f>IF(AND(40&gt;=$NR$8,40&lt;=$NS$8),IF($NP$8="Single_Point",IF(40=$NR$8,$NN$8,0),IF($NP$8="Bell_Curve",$NN$8*(40-$NR$8+1)*($NS$8-40+1)/$NU$8,$NN$8/$NT$8)),0)</f>
        <v/>
      </c>
      <c r="AS8" s="228">
        <f>IF(AND(41&gt;=$NR$8,41&lt;=$NS$8),IF($NP$8="Single_Point",IF(41=$NR$8,$NN$8,0),IF($NP$8="Bell_Curve",$NN$8*(41-$NR$8+1)*($NS$8-41+1)/$NU$8,$NN$8/$NT$8)),0)</f>
        <v/>
      </c>
      <c r="AT8" s="228">
        <f>IF(AND(42&gt;=$NR$8,42&lt;=$NS$8),IF($NP$8="Single_Point",IF(42=$NR$8,$NN$8,0),IF($NP$8="Bell_Curve",$NN$8*(42-$NR$8+1)*($NS$8-42+1)/$NU$8,$NN$8/$NT$8)),0)</f>
        <v/>
      </c>
      <c r="AU8" s="228">
        <f>IF(AND(43&gt;=$NR$8,43&lt;=$NS$8),IF($NP$8="Single_Point",IF(43=$NR$8,$NN$8,0),IF($NP$8="Bell_Curve",$NN$8*(43-$NR$8+1)*($NS$8-43+1)/$NU$8,$NN$8/$NT$8)),0)</f>
        <v/>
      </c>
      <c r="AV8" s="228">
        <f>IF(AND(44&gt;=$NR$8,44&lt;=$NS$8),IF($NP$8="Single_Point",IF(44=$NR$8,$NN$8,0),IF($NP$8="Bell_Curve",$NN$8*(44-$NR$8+1)*($NS$8-44+1)/$NU$8,$NN$8/$NT$8)),0)</f>
        <v/>
      </c>
      <c r="AW8" s="228">
        <f>IF(AND(45&gt;=$NR$8,45&lt;=$NS$8),IF($NP$8="Single_Point",IF(45=$NR$8,$NN$8,0),IF($NP$8="Bell_Curve",$NN$8*(45-$NR$8+1)*($NS$8-45+1)/$NU$8,$NN$8/$NT$8)),0)</f>
        <v/>
      </c>
      <c r="AX8" s="228">
        <f>IF(AND(46&gt;=$NR$8,46&lt;=$NS$8),IF($NP$8="Single_Point",IF(46=$NR$8,$NN$8,0),IF($NP$8="Bell_Curve",$NN$8*(46-$NR$8+1)*($NS$8-46+1)/$NU$8,$NN$8/$NT$8)),0)</f>
        <v/>
      </c>
      <c r="AY8" s="228">
        <f>IF(AND(47&gt;=$NR$8,47&lt;=$NS$8),IF($NP$8="Single_Point",IF(47=$NR$8,$NN$8,0),IF($NP$8="Bell_Curve",$NN$8*(47-$NR$8+1)*($NS$8-47+1)/$NU$8,$NN$8/$NT$8)),0)</f>
        <v/>
      </c>
      <c r="AZ8" s="228">
        <f>IF(AND(48&gt;=$NR$8,48&lt;=$NS$8),IF($NP$8="Single_Point",IF(48=$NR$8,$NN$8,0),IF($NP$8="Bell_Curve",$NN$8*(48-$NR$8+1)*($NS$8-48+1)/$NU$8,$NN$8/$NT$8)),0)</f>
        <v/>
      </c>
      <c r="BA8" s="228">
        <f>IF(AND(49&gt;=$NR$8,49&lt;=$NS$8),IF($NP$8="Single_Point",IF(49=$NR$8,$NN$8,0),IF($NP$8="Bell_Curve",$NN$8*(49-$NR$8+1)*($NS$8-49+1)/$NU$8,$NN$8/$NT$8)),0)</f>
        <v/>
      </c>
      <c r="BB8" s="228">
        <f>IF(AND(50&gt;=$NR$8,50&lt;=$NS$8),IF($NP$8="Single_Point",IF(50=$NR$8,$NN$8,0),IF($NP$8="Bell_Curve",$NN$8*(50-$NR$8+1)*($NS$8-50+1)/$NU$8,$NN$8/$NT$8)),0)</f>
        <v/>
      </c>
      <c r="BC8" s="228">
        <f>IF(AND(51&gt;=$NR$8,51&lt;=$NS$8),IF($NP$8="Single_Point",IF(51=$NR$8,$NN$8,0),IF($NP$8="Bell_Curve",$NN$8*(51-$NR$8+1)*($NS$8-51+1)/$NU$8,$NN$8/$NT$8)),0)</f>
        <v/>
      </c>
      <c r="BD8" s="228">
        <f>IF(AND(52&gt;=$NR$8,52&lt;=$NS$8),IF($NP$8="Single_Point",IF(52=$NR$8,$NN$8,0),IF($NP$8="Bell_Curve",$NN$8*(52-$NR$8+1)*($NS$8-52+1)/$NU$8,$NN$8/$NT$8)),0)</f>
        <v/>
      </c>
      <c r="BE8" s="228">
        <f>IF(AND(53&gt;=$NR$8,53&lt;=$NS$8),IF($NP$8="Single_Point",IF(53=$NR$8,$NN$8,0),IF($NP$8="Bell_Curve",$NN$8*(53-$NR$8+1)*($NS$8-53+1)/$NU$8,$NN$8/$NT$8)),0)</f>
        <v/>
      </c>
      <c r="BF8" s="228">
        <f>IF(AND(54&gt;=$NR$8,54&lt;=$NS$8),IF($NP$8="Single_Point",IF(54=$NR$8,$NN$8,0),IF($NP$8="Bell_Curve",$NN$8*(54-$NR$8+1)*($NS$8-54+1)/$NU$8,$NN$8/$NT$8)),0)</f>
        <v/>
      </c>
      <c r="BG8" s="228">
        <f>IF(AND(55&gt;=$NR$8,55&lt;=$NS$8),IF($NP$8="Single_Point",IF(55=$NR$8,$NN$8,0),IF($NP$8="Bell_Curve",$NN$8*(55-$NR$8+1)*($NS$8-55+1)/$NU$8,$NN$8/$NT$8)),0)</f>
        <v/>
      </c>
      <c r="BH8" s="228">
        <f>IF(AND(56&gt;=$NR$8,56&lt;=$NS$8),IF($NP$8="Single_Point",IF(56=$NR$8,$NN$8,0),IF($NP$8="Bell_Curve",$NN$8*(56-$NR$8+1)*($NS$8-56+1)/$NU$8,$NN$8/$NT$8)),0)</f>
        <v/>
      </c>
      <c r="BI8" s="228">
        <f>IF(AND(57&gt;=$NR$8,57&lt;=$NS$8),IF($NP$8="Single_Point",IF(57=$NR$8,$NN$8,0),IF($NP$8="Bell_Curve",$NN$8*(57-$NR$8+1)*($NS$8-57+1)/$NU$8,$NN$8/$NT$8)),0)</f>
        <v/>
      </c>
      <c r="BJ8" s="228">
        <f>IF(AND(58&gt;=$NR$8,58&lt;=$NS$8),IF($NP$8="Single_Point",IF(58=$NR$8,$NN$8,0),IF($NP$8="Bell_Curve",$NN$8*(58-$NR$8+1)*($NS$8-58+1)/$NU$8,$NN$8/$NT$8)),0)</f>
        <v/>
      </c>
      <c r="BK8" s="228">
        <f>IF(AND(59&gt;=$NR$8,59&lt;=$NS$8),IF($NP$8="Single_Point",IF(59=$NR$8,$NN$8,0),IF($NP$8="Bell_Curve",$NN$8*(59-$NR$8+1)*($NS$8-59+1)/$NU$8,$NN$8/$NT$8)),0)</f>
        <v/>
      </c>
      <c r="BL8" s="228">
        <f>IF(AND(60&gt;=$NR$8,60&lt;=$NS$8),IF($NP$8="Single_Point",IF(60=$NR$8,$NN$8,0),IF($NP$8="Bell_Curve",$NN$8*(60-$NR$8+1)*($NS$8-60+1)/$NU$8,$NN$8/$NT$8)),0)</f>
        <v/>
      </c>
      <c r="BM8" s="228">
        <f>IF(AND(61&gt;=$NR$8,61&lt;=$NS$8),IF($NP$8="Single_Point",IF(61=$NR$8,$NN$8,0),IF($NP$8="Bell_Curve",$NN$8*(61-$NR$8+1)*($NS$8-61+1)/$NU$8,$NN$8/$NT$8)),0)</f>
        <v/>
      </c>
      <c r="BN8" s="228">
        <f>IF(AND(62&gt;=$NR$8,62&lt;=$NS$8),IF($NP$8="Single_Point",IF(62=$NR$8,$NN$8,0),IF($NP$8="Bell_Curve",$NN$8*(62-$NR$8+1)*($NS$8-62+1)/$NU$8,$NN$8/$NT$8)),0)</f>
        <v/>
      </c>
      <c r="BO8" s="228">
        <f>IF(AND(63&gt;=$NR$8,63&lt;=$NS$8),IF($NP$8="Single_Point",IF(63=$NR$8,$NN$8,0),IF($NP$8="Bell_Curve",$NN$8*(63-$NR$8+1)*($NS$8-63+1)/$NU$8,$NN$8/$NT$8)),0)</f>
        <v/>
      </c>
      <c r="BP8" s="228">
        <f>IF(AND(64&gt;=$NR$8,64&lt;=$NS$8),IF($NP$8="Single_Point",IF(64=$NR$8,$NN$8,0),IF($NP$8="Bell_Curve",$NN$8*(64-$NR$8+1)*($NS$8-64+1)/$NU$8,$NN$8/$NT$8)),0)</f>
        <v/>
      </c>
      <c r="BQ8" s="228">
        <f>IF(AND(65&gt;=$NR$8,65&lt;=$NS$8),IF($NP$8="Single_Point",IF(65=$NR$8,$NN$8,0),IF($NP$8="Bell_Curve",$NN$8*(65-$NR$8+1)*($NS$8-65+1)/$NU$8,$NN$8/$NT$8)),0)</f>
        <v/>
      </c>
      <c r="BR8" s="228">
        <f>IF(AND(66&gt;=$NR$8,66&lt;=$NS$8),IF($NP$8="Single_Point",IF(66=$NR$8,$NN$8,0),IF($NP$8="Bell_Curve",$NN$8*(66-$NR$8+1)*($NS$8-66+1)/$NU$8,$NN$8/$NT$8)),0)</f>
        <v/>
      </c>
      <c r="BS8" s="228">
        <f>IF(AND(67&gt;=$NR$8,67&lt;=$NS$8),IF($NP$8="Single_Point",IF(67=$NR$8,$NN$8,0),IF($NP$8="Bell_Curve",$NN$8*(67-$NR$8+1)*($NS$8-67+1)/$NU$8,$NN$8/$NT$8)),0)</f>
        <v/>
      </c>
      <c r="BT8" s="228">
        <f>IF(AND(68&gt;=$NR$8,68&lt;=$NS$8),IF($NP$8="Single_Point",IF(68=$NR$8,$NN$8,0),IF($NP$8="Bell_Curve",$NN$8*(68-$NR$8+1)*($NS$8-68+1)/$NU$8,$NN$8/$NT$8)),0)</f>
        <v/>
      </c>
      <c r="BU8" s="228">
        <f>IF(AND(69&gt;=$NR$8,69&lt;=$NS$8),IF($NP$8="Single_Point",IF(69=$NR$8,$NN$8,0),IF($NP$8="Bell_Curve",$NN$8*(69-$NR$8+1)*($NS$8-69+1)/$NU$8,$NN$8/$NT$8)),0)</f>
        <v/>
      </c>
      <c r="BV8" s="228">
        <f>IF(AND(70&gt;=$NR$8,70&lt;=$NS$8),IF($NP$8="Single_Point",IF(70=$NR$8,$NN$8,0),IF($NP$8="Bell_Curve",$NN$8*(70-$NR$8+1)*($NS$8-70+1)/$NU$8,$NN$8/$NT$8)),0)</f>
        <v/>
      </c>
      <c r="BW8" s="228">
        <f>IF(AND(71&gt;=$NR$8,71&lt;=$NS$8),IF($NP$8="Single_Point",IF(71=$NR$8,$NN$8,0),IF($NP$8="Bell_Curve",$NN$8*(71-$NR$8+1)*($NS$8-71+1)/$NU$8,$NN$8/$NT$8)),0)</f>
        <v/>
      </c>
      <c r="BX8" s="228">
        <f>IF(AND(72&gt;=$NR$8,72&lt;=$NS$8),IF($NP$8="Single_Point",IF(72=$NR$8,$NN$8,0),IF($NP$8="Bell_Curve",$NN$8*(72-$NR$8+1)*($NS$8-72+1)/$NU$8,$NN$8/$NT$8)),0)</f>
        <v/>
      </c>
      <c r="BY8" s="228">
        <f>IF(AND(73&gt;=$NR$8,73&lt;=$NS$8),IF($NP$8="Single_Point",IF(73=$NR$8,$NN$8,0),IF($NP$8="Bell_Curve",$NN$8*(73-$NR$8+1)*($NS$8-73+1)/$NU$8,$NN$8/$NT$8)),0)</f>
        <v/>
      </c>
      <c r="BZ8" s="228">
        <f>IF(AND(74&gt;=$NR$8,74&lt;=$NS$8),IF($NP$8="Single_Point",IF(74=$NR$8,$NN$8,0),IF($NP$8="Bell_Curve",$NN$8*(74-$NR$8+1)*($NS$8-74+1)/$NU$8,$NN$8/$NT$8)),0)</f>
        <v/>
      </c>
      <c r="CA8" s="228">
        <f>IF(AND(75&gt;=$NR$8,75&lt;=$NS$8),IF($NP$8="Single_Point",IF(75=$NR$8,$NN$8,0),IF($NP$8="Bell_Curve",$NN$8*(75-$NR$8+1)*($NS$8-75+1)/$NU$8,$NN$8/$NT$8)),0)</f>
        <v/>
      </c>
      <c r="CB8" s="228">
        <f>IF(AND(76&gt;=$NR$8,76&lt;=$NS$8),IF($NP$8="Single_Point",IF(76=$NR$8,$NN$8,0),IF($NP$8="Bell_Curve",$NN$8*(76-$NR$8+1)*($NS$8-76+1)/$NU$8,$NN$8/$NT$8)),0)</f>
        <v/>
      </c>
      <c r="CC8" s="228">
        <f>IF(AND(77&gt;=$NR$8,77&lt;=$NS$8),IF($NP$8="Single_Point",IF(77=$NR$8,$NN$8,0),IF($NP$8="Bell_Curve",$NN$8*(77-$NR$8+1)*($NS$8-77+1)/$NU$8,$NN$8/$NT$8)),0)</f>
        <v/>
      </c>
      <c r="CD8" s="228">
        <f>IF(AND(78&gt;=$NR$8,78&lt;=$NS$8),IF($NP$8="Single_Point",IF(78=$NR$8,$NN$8,0),IF($NP$8="Bell_Curve",$NN$8*(78-$NR$8+1)*($NS$8-78+1)/$NU$8,$NN$8/$NT$8)),0)</f>
        <v/>
      </c>
      <c r="CE8" s="228">
        <f>IF(AND(79&gt;=$NR$8,79&lt;=$NS$8),IF($NP$8="Single_Point",IF(79=$NR$8,$NN$8,0),IF($NP$8="Bell_Curve",$NN$8*(79-$NR$8+1)*($NS$8-79+1)/$NU$8,$NN$8/$NT$8)),0)</f>
        <v/>
      </c>
      <c r="CF8" s="228">
        <f>IF(AND(80&gt;=$NR$8,80&lt;=$NS$8),IF($NP$8="Single_Point",IF(80=$NR$8,$NN$8,0),IF($NP$8="Bell_Curve",$NN$8*(80-$NR$8+1)*($NS$8-80+1)/$NU$8,$NN$8/$NT$8)),0)</f>
        <v/>
      </c>
      <c r="CG8" s="228">
        <f>IF(AND(81&gt;=$NR$8,81&lt;=$NS$8),IF($NP$8="Single_Point",IF(81=$NR$8,$NN$8,0),IF($NP$8="Bell_Curve",$NN$8*(81-$NR$8+1)*($NS$8-81+1)/$NU$8,$NN$8/$NT$8)),0)</f>
        <v/>
      </c>
      <c r="CH8" s="228">
        <f>IF(AND(82&gt;=$NR$8,82&lt;=$NS$8),IF($NP$8="Single_Point",IF(82=$NR$8,$NN$8,0),IF($NP$8="Bell_Curve",$NN$8*(82-$NR$8+1)*($NS$8-82+1)/$NU$8,$NN$8/$NT$8)),0)</f>
        <v/>
      </c>
      <c r="CI8" s="228">
        <f>IF(AND(83&gt;=$NR$8,83&lt;=$NS$8),IF($NP$8="Single_Point",IF(83=$NR$8,$NN$8,0),IF($NP$8="Bell_Curve",$NN$8*(83-$NR$8+1)*($NS$8-83+1)/$NU$8,$NN$8/$NT$8)),0)</f>
        <v/>
      </c>
      <c r="CJ8" s="228">
        <f>IF(AND(84&gt;=$NR$8,84&lt;=$NS$8),IF($NP$8="Single_Point",IF(84=$NR$8,$NN$8,0),IF($NP$8="Bell_Curve",$NN$8*(84-$NR$8+1)*($NS$8-84+1)/$NU$8,$NN$8/$NT$8)),0)</f>
        <v/>
      </c>
      <c r="CK8" s="228">
        <f>IF(AND(85&gt;=$NR$8,85&lt;=$NS$8),IF($NP$8="Single_Point",IF(85=$NR$8,$NN$8,0),IF($NP$8="Bell_Curve",$NN$8*(85-$NR$8+1)*($NS$8-85+1)/$NU$8,$NN$8/$NT$8)),0)</f>
        <v/>
      </c>
      <c r="CL8" s="228">
        <f>IF(AND(86&gt;=$NR$8,86&lt;=$NS$8),IF($NP$8="Single_Point",IF(86=$NR$8,$NN$8,0),IF($NP$8="Bell_Curve",$NN$8*(86-$NR$8+1)*($NS$8-86+1)/$NU$8,$NN$8/$NT$8)),0)</f>
        <v/>
      </c>
      <c r="CM8" s="228">
        <f>IF(AND(87&gt;=$NR$8,87&lt;=$NS$8),IF($NP$8="Single_Point",IF(87=$NR$8,$NN$8,0),IF($NP$8="Bell_Curve",$NN$8*(87-$NR$8+1)*($NS$8-87+1)/$NU$8,$NN$8/$NT$8)),0)</f>
        <v/>
      </c>
      <c r="CN8" s="228">
        <f>IF(AND(88&gt;=$NR$8,88&lt;=$NS$8),IF($NP$8="Single_Point",IF(88=$NR$8,$NN$8,0),IF($NP$8="Bell_Curve",$NN$8*(88-$NR$8+1)*($NS$8-88+1)/$NU$8,$NN$8/$NT$8)),0)</f>
        <v/>
      </c>
      <c r="CO8" s="228">
        <f>IF(AND(89&gt;=$NR$8,89&lt;=$NS$8),IF($NP$8="Single_Point",IF(89=$NR$8,$NN$8,0),IF($NP$8="Bell_Curve",$NN$8*(89-$NR$8+1)*($NS$8-89+1)/$NU$8,$NN$8/$NT$8)),0)</f>
        <v/>
      </c>
      <c r="CP8" s="228">
        <f>IF(AND(90&gt;=$NR$8,90&lt;=$NS$8),IF($NP$8="Single_Point",IF(90=$NR$8,$NN$8,0),IF($NP$8="Bell_Curve",$NN$8*(90-$NR$8+1)*($NS$8-90+1)/$NU$8,$NN$8/$NT$8)),0)</f>
        <v/>
      </c>
      <c r="CQ8" s="228">
        <f>IF(AND(91&gt;=$NR$8,91&lt;=$NS$8),IF($NP$8="Single_Point",IF(91=$NR$8,$NN$8,0),IF($NP$8="Bell_Curve",$NN$8*(91-$NR$8+1)*($NS$8-91+1)/$NU$8,$NN$8/$NT$8)),0)</f>
        <v/>
      </c>
      <c r="CR8" s="228">
        <f>IF(AND(92&gt;=$NR$8,92&lt;=$NS$8),IF($NP$8="Single_Point",IF(92=$NR$8,$NN$8,0),IF($NP$8="Bell_Curve",$NN$8*(92-$NR$8+1)*($NS$8-92+1)/$NU$8,$NN$8/$NT$8)),0)</f>
        <v/>
      </c>
      <c r="CS8" s="228">
        <f>IF(AND(93&gt;=$NR$8,93&lt;=$NS$8),IF($NP$8="Single_Point",IF(93=$NR$8,$NN$8,0),IF($NP$8="Bell_Curve",$NN$8*(93-$NR$8+1)*($NS$8-93+1)/$NU$8,$NN$8/$NT$8)),0)</f>
        <v/>
      </c>
      <c r="CT8" s="228">
        <f>IF(AND(94&gt;=$NR$8,94&lt;=$NS$8),IF($NP$8="Single_Point",IF(94=$NR$8,$NN$8,0),IF($NP$8="Bell_Curve",$NN$8*(94-$NR$8+1)*($NS$8-94+1)/$NU$8,$NN$8/$NT$8)),0)</f>
        <v/>
      </c>
      <c r="CU8" s="228">
        <f>IF(AND(95&gt;=$NR$8,95&lt;=$NS$8),IF($NP$8="Single_Point",IF(95=$NR$8,$NN$8,0),IF($NP$8="Bell_Curve",$NN$8*(95-$NR$8+1)*($NS$8-95+1)/$NU$8,$NN$8/$NT$8)),0)</f>
        <v/>
      </c>
      <c r="CV8" s="228">
        <f>IF(AND(96&gt;=$NR$8,96&lt;=$NS$8),IF($NP$8="Single_Point",IF(96=$NR$8,$NN$8,0),IF($NP$8="Bell_Curve",$NN$8*(96-$NR$8+1)*($NS$8-96+1)/$NU$8,$NN$8/$NT$8)),0)</f>
        <v/>
      </c>
      <c r="CW8" s="228">
        <f>IF(AND(97&gt;=$NR$8,97&lt;=$NS$8),IF($NP$8="Single_Point",IF(97=$NR$8,$NN$8,0),IF($NP$8="Bell_Curve",$NN$8*(97-$NR$8+1)*($NS$8-97+1)/$NU$8,$NN$8/$NT$8)),0)</f>
        <v/>
      </c>
      <c r="CX8" s="228">
        <f>IF(AND(98&gt;=$NR$8,98&lt;=$NS$8),IF($NP$8="Single_Point",IF(98=$NR$8,$NN$8,0),IF($NP$8="Bell_Curve",$NN$8*(98-$NR$8+1)*($NS$8-98+1)/$NU$8,$NN$8/$NT$8)),0)</f>
        <v/>
      </c>
      <c r="CY8" s="228">
        <f>IF(AND(99&gt;=$NR$8,99&lt;=$NS$8),IF($NP$8="Single_Point",IF(99=$NR$8,$NN$8,0),IF($NP$8="Bell_Curve",$NN$8*(99-$NR$8+1)*($NS$8-99+1)/$NU$8,$NN$8/$NT$8)),0)</f>
        <v/>
      </c>
      <c r="CZ8" s="228">
        <f>IF(AND(100&gt;=$NR$8,100&lt;=$NS$8),IF($NP$8="Single_Point",IF(100=$NR$8,$NN$8,0),IF($NP$8="Bell_Curve",$NN$8*(100-$NR$8+1)*($NS$8-100+1)/$NU$8,$NN$8/$NT$8)),0)</f>
        <v/>
      </c>
      <c r="DA8" s="228">
        <f>IF(AND(101&gt;=$NR$8,101&lt;=$NS$8),IF($NP$8="Single_Point",IF(101=$NR$8,$NN$8,0),IF($NP$8="Bell_Curve",$NN$8*(101-$NR$8+1)*($NS$8-101+1)/$NU$8,$NN$8/$NT$8)),0)</f>
        <v/>
      </c>
      <c r="DB8" s="228">
        <f>IF(AND(102&gt;=$NR$8,102&lt;=$NS$8),IF($NP$8="Single_Point",IF(102=$NR$8,$NN$8,0),IF($NP$8="Bell_Curve",$NN$8*(102-$NR$8+1)*($NS$8-102+1)/$NU$8,$NN$8/$NT$8)),0)</f>
        <v/>
      </c>
      <c r="DC8" s="228">
        <f>IF(AND(103&gt;=$NR$8,103&lt;=$NS$8),IF($NP$8="Single_Point",IF(103=$NR$8,$NN$8,0),IF($NP$8="Bell_Curve",$NN$8*(103-$NR$8+1)*($NS$8-103+1)/$NU$8,$NN$8/$NT$8)),0)</f>
        <v/>
      </c>
      <c r="DD8" s="228">
        <f>IF(AND(104&gt;=$NR$8,104&lt;=$NS$8),IF($NP$8="Single_Point",IF(104=$NR$8,$NN$8,0),IF($NP$8="Bell_Curve",$NN$8*(104-$NR$8+1)*($NS$8-104+1)/$NU$8,$NN$8/$NT$8)),0)</f>
        <v/>
      </c>
      <c r="DE8" s="228">
        <f>IF(AND(105&gt;=$NR$8,105&lt;=$NS$8),IF($NP$8="Single_Point",IF(105=$NR$8,$NN$8,0),IF($NP$8="Bell_Curve",$NN$8*(105-$NR$8+1)*($NS$8-105+1)/$NU$8,$NN$8/$NT$8)),0)</f>
        <v/>
      </c>
      <c r="DF8" s="228">
        <f>IF(AND(106&gt;=$NR$8,106&lt;=$NS$8),IF($NP$8="Single_Point",IF(106=$NR$8,$NN$8,0),IF($NP$8="Bell_Curve",$NN$8*(106-$NR$8+1)*($NS$8-106+1)/$NU$8,$NN$8/$NT$8)),0)</f>
        <v/>
      </c>
      <c r="DG8" s="228">
        <f>IF(AND(107&gt;=$NR$8,107&lt;=$NS$8),IF($NP$8="Single_Point",IF(107=$NR$8,$NN$8,0),IF($NP$8="Bell_Curve",$NN$8*(107-$NR$8+1)*($NS$8-107+1)/$NU$8,$NN$8/$NT$8)),0)</f>
        <v/>
      </c>
      <c r="DH8" s="228">
        <f>IF(AND(108&gt;=$NR$8,108&lt;=$NS$8),IF($NP$8="Single_Point",IF(108=$NR$8,$NN$8,0),IF($NP$8="Bell_Curve",$NN$8*(108-$NR$8+1)*($NS$8-108+1)/$NU$8,$NN$8/$NT$8)),0)</f>
        <v/>
      </c>
      <c r="DI8" s="228">
        <f>IF(AND(109&gt;=$NR$8,109&lt;=$NS$8),IF($NP$8="Single_Point",IF(109=$NR$8,$NN$8,0),IF($NP$8="Bell_Curve",$NN$8*(109-$NR$8+1)*($NS$8-109+1)/$NU$8,$NN$8/$NT$8)),0)</f>
        <v/>
      </c>
      <c r="DJ8" s="228">
        <f>IF(AND(110&gt;=$NR$8,110&lt;=$NS$8),IF($NP$8="Single_Point",IF(110=$NR$8,$NN$8,0),IF($NP$8="Bell_Curve",$NN$8*(110-$NR$8+1)*($NS$8-110+1)/$NU$8,$NN$8/$NT$8)),0)</f>
        <v/>
      </c>
      <c r="DK8" s="228">
        <f>IF(AND(111&gt;=$NR$8,111&lt;=$NS$8),IF($NP$8="Single_Point",IF(111=$NR$8,$NN$8,0),IF($NP$8="Bell_Curve",$NN$8*(111-$NR$8+1)*($NS$8-111+1)/$NU$8,$NN$8/$NT$8)),0)</f>
        <v/>
      </c>
      <c r="DL8" s="228">
        <f>IF(AND(112&gt;=$NR$8,112&lt;=$NS$8),IF($NP$8="Single_Point",IF(112=$NR$8,$NN$8,0),IF($NP$8="Bell_Curve",$NN$8*(112-$NR$8+1)*($NS$8-112+1)/$NU$8,$NN$8/$NT$8)),0)</f>
        <v/>
      </c>
      <c r="DM8" s="228">
        <f>IF(AND(113&gt;=$NR$8,113&lt;=$NS$8),IF($NP$8="Single_Point",IF(113=$NR$8,$NN$8,0),IF($NP$8="Bell_Curve",$NN$8*(113-$NR$8+1)*($NS$8-113+1)/$NU$8,$NN$8/$NT$8)),0)</f>
        <v/>
      </c>
      <c r="DN8" s="228">
        <f>IF(AND(114&gt;=$NR$8,114&lt;=$NS$8),IF($NP$8="Single_Point",IF(114=$NR$8,$NN$8,0),IF($NP$8="Bell_Curve",$NN$8*(114-$NR$8+1)*($NS$8-114+1)/$NU$8,$NN$8/$NT$8)),0)</f>
        <v/>
      </c>
      <c r="DO8" s="228">
        <f>IF(AND(115&gt;=$NR$8,115&lt;=$NS$8),IF($NP$8="Single_Point",IF(115=$NR$8,$NN$8,0),IF($NP$8="Bell_Curve",$NN$8*(115-$NR$8+1)*($NS$8-115+1)/$NU$8,$NN$8/$NT$8)),0)</f>
        <v/>
      </c>
      <c r="DP8" s="228">
        <f>IF(AND(116&gt;=$NR$8,116&lt;=$NS$8),IF($NP$8="Single_Point",IF(116=$NR$8,$NN$8,0),IF($NP$8="Bell_Curve",$NN$8*(116-$NR$8+1)*($NS$8-116+1)/$NU$8,$NN$8/$NT$8)),0)</f>
        <v/>
      </c>
      <c r="DQ8" s="228">
        <f>IF(AND(117&gt;=$NR$8,117&lt;=$NS$8),IF($NP$8="Single_Point",IF(117=$NR$8,$NN$8,0),IF($NP$8="Bell_Curve",$NN$8*(117-$NR$8+1)*($NS$8-117+1)/$NU$8,$NN$8/$NT$8)),0)</f>
        <v/>
      </c>
      <c r="DR8" s="228">
        <f>IF(AND(118&gt;=$NR$8,118&lt;=$NS$8),IF($NP$8="Single_Point",IF(118=$NR$8,$NN$8,0),IF($NP$8="Bell_Curve",$NN$8*(118-$NR$8+1)*($NS$8-118+1)/$NU$8,$NN$8/$NT$8)),0)</f>
        <v/>
      </c>
      <c r="DS8" s="228">
        <f>IF(AND(119&gt;=$NR$8,119&lt;=$NS$8),IF($NP$8="Single_Point",IF(119=$NR$8,$NN$8,0),IF($NP$8="Bell_Curve",$NN$8*(119-$NR$8+1)*($NS$8-119+1)/$NU$8,$NN$8/$NT$8)),0)</f>
        <v/>
      </c>
      <c r="DT8" s="228">
        <f>IF(AND(120&gt;=$NR$8,120&lt;=$NS$8),IF($NP$8="Single_Point",IF(120=$NR$8,$NN$8,0),IF($NP$8="Bell_Curve",$NN$8*(120-$NR$8+1)*($NS$8-120+1)/$NU$8,$NN$8/$NT$8)),0)</f>
        <v/>
      </c>
      <c r="DU8" s="228">
        <f>IF(AND(121&gt;=$NR$8,121&lt;=$NS$8),IF($NP$8="Single_Point",IF(121=$NR$8,$NN$8,0),IF($NP$8="Bell_Curve",$NN$8*(121-$NR$8+1)*($NS$8-121+1)/$NU$8,$NN$8/$NT$8)),0)</f>
        <v/>
      </c>
      <c r="DV8" s="228">
        <f>IF(AND(122&gt;=$NR$8,122&lt;=$NS$8),IF($NP$8="Single_Point",IF(122=$NR$8,$NN$8,0),IF($NP$8="Bell_Curve",$NN$8*(122-$NR$8+1)*($NS$8-122+1)/$NU$8,$NN$8/$NT$8)),0)</f>
        <v/>
      </c>
      <c r="DW8" s="228">
        <f>IF(AND(123&gt;=$NR$8,123&lt;=$NS$8),IF($NP$8="Single_Point",IF(123=$NR$8,$NN$8,0),IF($NP$8="Bell_Curve",$NN$8*(123-$NR$8+1)*($NS$8-123+1)/$NU$8,$NN$8/$NT$8)),0)</f>
        <v/>
      </c>
      <c r="DX8" s="228">
        <f>IF(AND(124&gt;=$NR$8,124&lt;=$NS$8),IF($NP$8="Single_Point",IF(124=$NR$8,$NN$8,0),IF($NP$8="Bell_Curve",$NN$8*(124-$NR$8+1)*($NS$8-124+1)/$NU$8,$NN$8/$NT$8)),0)</f>
        <v/>
      </c>
      <c r="DY8" s="228">
        <f>IF(AND(125&gt;=$NR$8,125&lt;=$NS$8),IF($NP$8="Single_Point",IF(125=$NR$8,$NN$8,0),IF($NP$8="Bell_Curve",$NN$8*(125-$NR$8+1)*($NS$8-125+1)/$NU$8,$NN$8/$NT$8)),0)</f>
        <v/>
      </c>
      <c r="DZ8" s="228">
        <f>IF(AND(126&gt;=$NR$8,126&lt;=$NS$8),IF($NP$8="Single_Point",IF(126=$NR$8,$NN$8,0),IF($NP$8="Bell_Curve",$NN$8*(126-$NR$8+1)*($NS$8-126+1)/$NU$8,$NN$8/$NT$8)),0)</f>
        <v/>
      </c>
      <c r="EA8" s="228">
        <f>IF(AND(127&gt;=$NR$8,127&lt;=$NS$8),IF($NP$8="Single_Point",IF(127=$NR$8,$NN$8,0),IF($NP$8="Bell_Curve",$NN$8*(127-$NR$8+1)*($NS$8-127+1)/$NU$8,$NN$8/$NT$8)),0)</f>
        <v/>
      </c>
      <c r="EB8" s="228">
        <f>IF(AND(128&gt;=$NR$8,128&lt;=$NS$8),IF($NP$8="Single_Point",IF(128=$NR$8,$NN$8,0),IF($NP$8="Bell_Curve",$NN$8*(128-$NR$8+1)*($NS$8-128+1)/$NU$8,$NN$8/$NT$8)),0)</f>
        <v/>
      </c>
      <c r="EC8" s="228">
        <f>IF(AND(129&gt;=$NR$8,129&lt;=$NS$8),IF($NP$8="Single_Point",IF(129=$NR$8,$NN$8,0),IF($NP$8="Bell_Curve",$NN$8*(129-$NR$8+1)*($NS$8-129+1)/$NU$8,$NN$8/$NT$8)),0)</f>
        <v/>
      </c>
      <c r="ED8" s="228">
        <f>IF(AND(130&gt;=$NR$8,130&lt;=$NS$8),IF($NP$8="Single_Point",IF(130=$NR$8,$NN$8,0),IF($NP$8="Bell_Curve",$NN$8*(130-$NR$8+1)*($NS$8-130+1)/$NU$8,$NN$8/$NT$8)),0)</f>
        <v/>
      </c>
      <c r="EE8" s="228">
        <f>IF(AND(131&gt;=$NR$8,131&lt;=$NS$8),IF($NP$8="Single_Point",IF(131=$NR$8,$NN$8,0),IF($NP$8="Bell_Curve",$NN$8*(131-$NR$8+1)*($NS$8-131+1)/$NU$8,$NN$8/$NT$8)),0)</f>
        <v/>
      </c>
      <c r="EF8" s="228">
        <f>IF(AND(132&gt;=$NR$8,132&lt;=$NS$8),IF($NP$8="Single_Point",IF(132=$NR$8,$NN$8,0),IF($NP$8="Bell_Curve",$NN$8*(132-$NR$8+1)*($NS$8-132+1)/$NU$8,$NN$8/$NT$8)),0)</f>
        <v/>
      </c>
      <c r="EG8" s="228">
        <f>IF(AND(133&gt;=$NR$8,133&lt;=$NS$8),IF($NP$8="Single_Point",IF(133=$NR$8,$NN$8,0),IF($NP$8="Bell_Curve",$NN$8*(133-$NR$8+1)*($NS$8-133+1)/$NU$8,$NN$8/$NT$8)),0)</f>
        <v/>
      </c>
      <c r="EH8" s="228">
        <f>IF(AND(134&gt;=$NR$8,134&lt;=$NS$8),IF($NP$8="Single_Point",IF(134=$NR$8,$NN$8,0),IF($NP$8="Bell_Curve",$NN$8*(134-$NR$8+1)*($NS$8-134+1)/$NU$8,$NN$8/$NT$8)),0)</f>
        <v/>
      </c>
      <c r="EI8" s="228">
        <f>IF(AND(135&gt;=$NR$8,135&lt;=$NS$8),IF($NP$8="Single_Point",IF(135=$NR$8,$NN$8,0),IF($NP$8="Bell_Curve",$NN$8*(135-$NR$8+1)*($NS$8-135+1)/$NU$8,$NN$8/$NT$8)),0)</f>
        <v/>
      </c>
      <c r="EJ8" s="228">
        <f>IF(AND(136&gt;=$NR$8,136&lt;=$NS$8),IF($NP$8="Single_Point",IF(136=$NR$8,$NN$8,0),IF($NP$8="Bell_Curve",$NN$8*(136-$NR$8+1)*($NS$8-136+1)/$NU$8,$NN$8/$NT$8)),0)</f>
        <v/>
      </c>
      <c r="EK8" s="228">
        <f>IF(AND(137&gt;=$NR$8,137&lt;=$NS$8),IF($NP$8="Single_Point",IF(137=$NR$8,$NN$8,0),IF($NP$8="Bell_Curve",$NN$8*(137-$NR$8+1)*($NS$8-137+1)/$NU$8,$NN$8/$NT$8)),0)</f>
        <v/>
      </c>
      <c r="EL8" s="228">
        <f>IF(AND(138&gt;=$NR$8,138&lt;=$NS$8),IF($NP$8="Single_Point",IF(138=$NR$8,$NN$8,0),IF($NP$8="Bell_Curve",$NN$8*(138-$NR$8+1)*($NS$8-138+1)/$NU$8,$NN$8/$NT$8)),0)</f>
        <v/>
      </c>
      <c r="EM8" s="228">
        <f>IF(AND(139&gt;=$NR$8,139&lt;=$NS$8),IF($NP$8="Single_Point",IF(139=$NR$8,$NN$8,0),IF($NP$8="Bell_Curve",$NN$8*(139-$NR$8+1)*($NS$8-139+1)/$NU$8,$NN$8/$NT$8)),0)</f>
        <v/>
      </c>
      <c r="EN8" s="228">
        <f>IF(AND(140&gt;=$NR$8,140&lt;=$NS$8),IF($NP$8="Single_Point",IF(140=$NR$8,$NN$8,0),IF($NP$8="Bell_Curve",$NN$8*(140-$NR$8+1)*($NS$8-140+1)/$NU$8,$NN$8/$NT$8)),0)</f>
        <v/>
      </c>
      <c r="EO8" s="228">
        <f>IF(AND(141&gt;=$NR$8,141&lt;=$NS$8),IF($NP$8="Single_Point",IF(141=$NR$8,$NN$8,0),IF($NP$8="Bell_Curve",$NN$8*(141-$NR$8+1)*($NS$8-141+1)/$NU$8,$NN$8/$NT$8)),0)</f>
        <v/>
      </c>
      <c r="EP8" s="228">
        <f>IF(AND(142&gt;=$NR$8,142&lt;=$NS$8),IF($NP$8="Single_Point",IF(142=$NR$8,$NN$8,0),IF($NP$8="Bell_Curve",$NN$8*(142-$NR$8+1)*($NS$8-142+1)/$NU$8,$NN$8/$NT$8)),0)</f>
        <v/>
      </c>
      <c r="EQ8" s="228">
        <f>IF(AND(143&gt;=$NR$8,143&lt;=$NS$8),IF($NP$8="Single_Point",IF(143=$NR$8,$NN$8,0),IF($NP$8="Bell_Curve",$NN$8*(143-$NR$8+1)*($NS$8-143+1)/$NU$8,$NN$8/$NT$8)),0)</f>
        <v/>
      </c>
      <c r="ER8" s="228">
        <f>IF(AND(144&gt;=$NR$8,144&lt;=$NS$8),IF($NP$8="Single_Point",IF(144=$NR$8,$NN$8,0),IF($NP$8="Bell_Curve",$NN$8*(144-$NR$8+1)*($NS$8-144+1)/$NU$8,$NN$8/$NT$8)),0)</f>
        <v/>
      </c>
      <c r="ES8" s="228">
        <f>IF(AND(145&gt;=$NR$8,145&lt;=$NS$8),IF($NP$8="Single_Point",IF(145=$NR$8,$NN$8,0),IF($NP$8="Bell_Curve",$NN$8*(145-$NR$8+1)*($NS$8-145+1)/$NU$8,$NN$8/$NT$8)),0)</f>
        <v/>
      </c>
      <c r="ET8" s="228">
        <f>IF(AND(146&gt;=$NR$8,146&lt;=$NS$8),IF($NP$8="Single_Point",IF(146=$NR$8,$NN$8,0),IF($NP$8="Bell_Curve",$NN$8*(146-$NR$8+1)*($NS$8-146+1)/$NU$8,$NN$8/$NT$8)),0)</f>
        <v/>
      </c>
      <c r="EU8" s="228">
        <f>IF(AND(147&gt;=$NR$8,147&lt;=$NS$8),IF($NP$8="Single_Point",IF(147=$NR$8,$NN$8,0),IF($NP$8="Bell_Curve",$NN$8*(147-$NR$8+1)*($NS$8-147+1)/$NU$8,$NN$8/$NT$8)),0)</f>
        <v/>
      </c>
      <c r="EV8" s="228">
        <f>IF(AND(148&gt;=$NR$8,148&lt;=$NS$8),IF($NP$8="Single_Point",IF(148=$NR$8,$NN$8,0),IF($NP$8="Bell_Curve",$NN$8*(148-$NR$8+1)*($NS$8-148+1)/$NU$8,$NN$8/$NT$8)),0)</f>
        <v/>
      </c>
      <c r="EW8" s="228">
        <f>IF(AND(149&gt;=$NR$8,149&lt;=$NS$8),IF($NP$8="Single_Point",IF(149=$NR$8,$NN$8,0),IF($NP$8="Bell_Curve",$NN$8*(149-$NR$8+1)*($NS$8-149+1)/$NU$8,$NN$8/$NT$8)),0)</f>
        <v/>
      </c>
      <c r="EX8" s="228">
        <f>IF(AND(150&gt;=$NR$8,150&lt;=$NS$8),IF($NP$8="Single_Point",IF(150=$NR$8,$NN$8,0),IF($NP$8="Bell_Curve",$NN$8*(150-$NR$8+1)*($NS$8-150+1)/$NU$8,$NN$8/$NT$8)),0)</f>
        <v/>
      </c>
      <c r="EY8" s="228">
        <f>IF(AND(151&gt;=$NR$8,151&lt;=$NS$8),IF($NP$8="Single_Point",IF(151=$NR$8,$NN$8,0),IF($NP$8="Bell_Curve",$NN$8*(151-$NR$8+1)*($NS$8-151+1)/$NU$8,$NN$8/$NT$8)),0)</f>
        <v/>
      </c>
      <c r="EZ8" s="228">
        <f>IF(AND(152&gt;=$NR$8,152&lt;=$NS$8),IF($NP$8="Single_Point",IF(152=$NR$8,$NN$8,0),IF($NP$8="Bell_Curve",$NN$8*(152-$NR$8+1)*($NS$8-152+1)/$NU$8,$NN$8/$NT$8)),0)</f>
        <v/>
      </c>
      <c r="FA8" s="228">
        <f>IF(AND(153&gt;=$NR$8,153&lt;=$NS$8),IF($NP$8="Single_Point",IF(153=$NR$8,$NN$8,0),IF($NP$8="Bell_Curve",$NN$8*(153-$NR$8+1)*($NS$8-153+1)/$NU$8,$NN$8/$NT$8)),0)</f>
        <v/>
      </c>
      <c r="FB8" s="228">
        <f>IF(AND(154&gt;=$NR$8,154&lt;=$NS$8),IF($NP$8="Single_Point",IF(154=$NR$8,$NN$8,0),IF($NP$8="Bell_Curve",$NN$8*(154-$NR$8+1)*($NS$8-154+1)/$NU$8,$NN$8/$NT$8)),0)</f>
        <v/>
      </c>
      <c r="FC8" s="228">
        <f>IF(AND(155&gt;=$NR$8,155&lt;=$NS$8),IF($NP$8="Single_Point",IF(155=$NR$8,$NN$8,0),IF($NP$8="Bell_Curve",$NN$8*(155-$NR$8+1)*($NS$8-155+1)/$NU$8,$NN$8/$NT$8)),0)</f>
        <v/>
      </c>
      <c r="FD8" s="228">
        <f>IF(AND(156&gt;=$NR$8,156&lt;=$NS$8),IF($NP$8="Single_Point",IF(156=$NR$8,$NN$8,0),IF($NP$8="Bell_Curve",$NN$8*(156-$NR$8+1)*($NS$8-156+1)/$NU$8,$NN$8/$NT$8)),0)</f>
        <v/>
      </c>
      <c r="FE8" s="228">
        <f>IF(AND(157&gt;=$NR$8,157&lt;=$NS$8),IF($NP$8="Single_Point",IF(157=$NR$8,$NN$8,0),IF($NP$8="Bell_Curve",$NN$8*(157-$NR$8+1)*($NS$8-157+1)/$NU$8,$NN$8/$NT$8)),0)</f>
        <v/>
      </c>
      <c r="FF8" s="228">
        <f>IF(AND(158&gt;=$NR$8,158&lt;=$NS$8),IF($NP$8="Single_Point",IF(158=$NR$8,$NN$8,0),IF($NP$8="Bell_Curve",$NN$8*(158-$NR$8+1)*($NS$8-158+1)/$NU$8,$NN$8/$NT$8)),0)</f>
        <v/>
      </c>
      <c r="FG8" s="228">
        <f>IF(AND(159&gt;=$NR$8,159&lt;=$NS$8),IF($NP$8="Single_Point",IF(159=$NR$8,$NN$8,0),IF($NP$8="Bell_Curve",$NN$8*(159-$NR$8+1)*($NS$8-159+1)/$NU$8,$NN$8/$NT$8)),0)</f>
        <v/>
      </c>
      <c r="FH8" s="228">
        <f>IF(AND(160&gt;=$NR$8,160&lt;=$NS$8),IF($NP$8="Single_Point",IF(160=$NR$8,$NN$8,0),IF($NP$8="Bell_Curve",$NN$8*(160-$NR$8+1)*($NS$8-160+1)/$NU$8,$NN$8/$NT$8)),0)</f>
        <v/>
      </c>
      <c r="FI8" s="228">
        <f>IF(AND(161&gt;=$NR$8,161&lt;=$NS$8),IF($NP$8="Single_Point",IF(161=$NR$8,$NN$8,0),IF($NP$8="Bell_Curve",$NN$8*(161-$NR$8+1)*($NS$8-161+1)/$NU$8,$NN$8/$NT$8)),0)</f>
        <v/>
      </c>
      <c r="FJ8" s="228">
        <f>IF(AND(162&gt;=$NR$8,162&lt;=$NS$8),IF($NP$8="Single_Point",IF(162=$NR$8,$NN$8,0),IF($NP$8="Bell_Curve",$NN$8*(162-$NR$8+1)*($NS$8-162+1)/$NU$8,$NN$8/$NT$8)),0)</f>
        <v/>
      </c>
      <c r="FK8" s="228">
        <f>IF(AND(163&gt;=$NR$8,163&lt;=$NS$8),IF($NP$8="Single_Point",IF(163=$NR$8,$NN$8,0),IF($NP$8="Bell_Curve",$NN$8*(163-$NR$8+1)*($NS$8-163+1)/$NU$8,$NN$8/$NT$8)),0)</f>
        <v/>
      </c>
      <c r="FL8" s="228">
        <f>IF(AND(164&gt;=$NR$8,164&lt;=$NS$8),IF($NP$8="Single_Point",IF(164=$NR$8,$NN$8,0),IF($NP$8="Bell_Curve",$NN$8*(164-$NR$8+1)*($NS$8-164+1)/$NU$8,$NN$8/$NT$8)),0)</f>
        <v/>
      </c>
      <c r="FM8" s="228">
        <f>IF(AND(165&gt;=$NR$8,165&lt;=$NS$8),IF($NP$8="Single_Point",IF(165=$NR$8,$NN$8,0),IF($NP$8="Bell_Curve",$NN$8*(165-$NR$8+1)*($NS$8-165+1)/$NU$8,$NN$8/$NT$8)),0)</f>
        <v/>
      </c>
      <c r="FN8" s="228">
        <f>IF(AND(166&gt;=$NR$8,166&lt;=$NS$8),IF($NP$8="Single_Point",IF(166=$NR$8,$NN$8,0),IF($NP$8="Bell_Curve",$NN$8*(166-$NR$8+1)*($NS$8-166+1)/$NU$8,$NN$8/$NT$8)),0)</f>
        <v/>
      </c>
      <c r="FO8" s="228">
        <f>IF(AND(167&gt;=$NR$8,167&lt;=$NS$8),IF($NP$8="Single_Point",IF(167=$NR$8,$NN$8,0),IF($NP$8="Bell_Curve",$NN$8*(167-$NR$8+1)*($NS$8-167+1)/$NU$8,$NN$8/$NT$8)),0)</f>
        <v/>
      </c>
      <c r="FP8" s="228">
        <f>IF(AND(168&gt;=$NR$8,168&lt;=$NS$8),IF($NP$8="Single_Point",IF(168=$NR$8,$NN$8,0),IF($NP$8="Bell_Curve",$NN$8*(168-$NR$8+1)*($NS$8-168+1)/$NU$8,$NN$8/$NT$8)),0)</f>
        <v/>
      </c>
      <c r="FQ8" s="228">
        <f>IF(AND(169&gt;=$NR$8,169&lt;=$NS$8),IF($NP$8="Single_Point",IF(169=$NR$8,$NN$8,0),IF($NP$8="Bell_Curve",$NN$8*(169-$NR$8+1)*($NS$8-169+1)/$NU$8,$NN$8/$NT$8)),0)</f>
        <v/>
      </c>
      <c r="FR8" s="228">
        <f>IF(AND(170&gt;=$NR$8,170&lt;=$NS$8),IF($NP$8="Single_Point",IF(170=$NR$8,$NN$8,0),IF($NP$8="Bell_Curve",$NN$8*(170-$NR$8+1)*($NS$8-170+1)/$NU$8,$NN$8/$NT$8)),0)</f>
        <v/>
      </c>
      <c r="FS8" s="228">
        <f>IF(AND(171&gt;=$NR$8,171&lt;=$NS$8),IF($NP$8="Single_Point",IF(171=$NR$8,$NN$8,0),IF($NP$8="Bell_Curve",$NN$8*(171-$NR$8+1)*($NS$8-171+1)/$NU$8,$NN$8/$NT$8)),0)</f>
        <v/>
      </c>
      <c r="FT8" s="228">
        <f>IF(AND(172&gt;=$NR$8,172&lt;=$NS$8),IF($NP$8="Single_Point",IF(172=$NR$8,$NN$8,0),IF($NP$8="Bell_Curve",$NN$8*(172-$NR$8+1)*($NS$8-172+1)/$NU$8,$NN$8/$NT$8)),0)</f>
        <v/>
      </c>
      <c r="FU8" s="228">
        <f>IF(AND(173&gt;=$NR$8,173&lt;=$NS$8),IF($NP$8="Single_Point",IF(173=$NR$8,$NN$8,0),IF($NP$8="Bell_Curve",$NN$8*(173-$NR$8+1)*($NS$8-173+1)/$NU$8,$NN$8/$NT$8)),0)</f>
        <v/>
      </c>
      <c r="FV8" s="228">
        <f>IF(AND(174&gt;=$NR$8,174&lt;=$NS$8),IF($NP$8="Single_Point",IF(174=$NR$8,$NN$8,0),IF($NP$8="Bell_Curve",$NN$8*(174-$NR$8+1)*($NS$8-174+1)/$NU$8,$NN$8/$NT$8)),0)</f>
        <v/>
      </c>
      <c r="FW8" s="228">
        <f>IF(AND(175&gt;=$NR$8,175&lt;=$NS$8),IF($NP$8="Single_Point",IF(175=$NR$8,$NN$8,0),IF($NP$8="Bell_Curve",$NN$8*(175-$NR$8+1)*($NS$8-175+1)/$NU$8,$NN$8/$NT$8)),0)</f>
        <v/>
      </c>
      <c r="FX8" s="228">
        <f>IF(AND(176&gt;=$NR$8,176&lt;=$NS$8),IF($NP$8="Single_Point",IF(176=$NR$8,$NN$8,0),IF($NP$8="Bell_Curve",$NN$8*(176-$NR$8+1)*($NS$8-176+1)/$NU$8,$NN$8/$NT$8)),0)</f>
        <v/>
      </c>
      <c r="FY8" s="228">
        <f>IF(AND(177&gt;=$NR$8,177&lt;=$NS$8),IF($NP$8="Single_Point",IF(177=$NR$8,$NN$8,0),IF($NP$8="Bell_Curve",$NN$8*(177-$NR$8+1)*($NS$8-177+1)/$NU$8,$NN$8/$NT$8)),0)</f>
        <v/>
      </c>
      <c r="FZ8" s="228">
        <f>IF(AND(178&gt;=$NR$8,178&lt;=$NS$8),IF($NP$8="Single_Point",IF(178=$NR$8,$NN$8,0),IF($NP$8="Bell_Curve",$NN$8*(178-$NR$8+1)*($NS$8-178+1)/$NU$8,$NN$8/$NT$8)),0)</f>
        <v/>
      </c>
      <c r="GA8" s="228">
        <f>IF(AND(179&gt;=$NR$8,179&lt;=$NS$8),IF($NP$8="Single_Point",IF(179=$NR$8,$NN$8,0),IF($NP$8="Bell_Curve",$NN$8*(179-$NR$8+1)*($NS$8-179+1)/$NU$8,$NN$8/$NT$8)),0)</f>
        <v/>
      </c>
      <c r="GB8" s="228">
        <f>IF(AND(180&gt;=$NR$8,180&lt;=$NS$8),IF($NP$8="Single_Point",IF(180=$NR$8,$NN$8,0),IF($NP$8="Bell_Curve",$NN$8*(180-$NR$8+1)*($NS$8-180+1)/$NU$8,$NN$8/$NT$8)),0)</f>
        <v/>
      </c>
      <c r="GC8" s="228">
        <f>IF(AND(181&gt;=$NR$8,181&lt;=$NS$8),IF($NP$8="Single_Point",IF(181=$NR$8,$NN$8,0),IF($NP$8="Bell_Curve",$NN$8*(181-$NR$8+1)*($NS$8-181+1)/$NU$8,$NN$8/$NT$8)),0)</f>
        <v/>
      </c>
      <c r="GD8" s="228">
        <f>IF(AND(182&gt;=$NR$8,182&lt;=$NS$8),IF($NP$8="Single_Point",IF(182=$NR$8,$NN$8,0),IF($NP$8="Bell_Curve",$NN$8*(182-$NR$8+1)*($NS$8-182+1)/$NU$8,$NN$8/$NT$8)),0)</f>
        <v/>
      </c>
      <c r="GE8" s="228">
        <f>IF(AND(183&gt;=$NR$8,183&lt;=$NS$8),IF($NP$8="Single_Point",IF(183=$NR$8,$NN$8,0),IF($NP$8="Bell_Curve",$NN$8*(183-$NR$8+1)*($NS$8-183+1)/$NU$8,$NN$8/$NT$8)),0)</f>
        <v/>
      </c>
      <c r="GF8" s="228">
        <f>IF(AND(184&gt;=$NR$8,184&lt;=$NS$8),IF($NP$8="Single_Point",IF(184=$NR$8,$NN$8,0),IF($NP$8="Bell_Curve",$NN$8*(184-$NR$8+1)*($NS$8-184+1)/$NU$8,$NN$8/$NT$8)),0)</f>
        <v/>
      </c>
      <c r="GG8" s="228">
        <f>IF(AND(185&gt;=$NR$8,185&lt;=$NS$8),IF($NP$8="Single_Point",IF(185=$NR$8,$NN$8,0),IF($NP$8="Bell_Curve",$NN$8*(185-$NR$8+1)*($NS$8-185+1)/$NU$8,$NN$8/$NT$8)),0)</f>
        <v/>
      </c>
      <c r="GH8" s="228">
        <f>IF(AND(186&gt;=$NR$8,186&lt;=$NS$8),IF($NP$8="Single_Point",IF(186=$NR$8,$NN$8,0),IF($NP$8="Bell_Curve",$NN$8*(186-$NR$8+1)*($NS$8-186+1)/$NU$8,$NN$8/$NT$8)),0)</f>
        <v/>
      </c>
      <c r="GI8" s="228">
        <f>IF(AND(187&gt;=$NR$8,187&lt;=$NS$8),IF($NP$8="Single_Point",IF(187=$NR$8,$NN$8,0),IF($NP$8="Bell_Curve",$NN$8*(187-$NR$8+1)*($NS$8-187+1)/$NU$8,$NN$8/$NT$8)),0)</f>
        <v/>
      </c>
      <c r="GJ8" s="228">
        <f>IF(AND(188&gt;=$NR$8,188&lt;=$NS$8),IF($NP$8="Single_Point",IF(188=$NR$8,$NN$8,0),IF($NP$8="Bell_Curve",$NN$8*(188-$NR$8+1)*($NS$8-188+1)/$NU$8,$NN$8/$NT$8)),0)</f>
        <v/>
      </c>
      <c r="GK8" s="228">
        <f>IF(AND(189&gt;=$NR$8,189&lt;=$NS$8),IF($NP$8="Single_Point",IF(189=$NR$8,$NN$8,0),IF($NP$8="Bell_Curve",$NN$8*(189-$NR$8+1)*($NS$8-189+1)/$NU$8,$NN$8/$NT$8)),0)</f>
        <v/>
      </c>
      <c r="GL8" s="228">
        <f>IF(AND(190&gt;=$NR$8,190&lt;=$NS$8),IF($NP$8="Single_Point",IF(190=$NR$8,$NN$8,0),IF($NP$8="Bell_Curve",$NN$8*(190-$NR$8+1)*($NS$8-190+1)/$NU$8,$NN$8/$NT$8)),0)</f>
        <v/>
      </c>
      <c r="GM8" s="228">
        <f>IF(AND(191&gt;=$NR$8,191&lt;=$NS$8),IF($NP$8="Single_Point",IF(191=$NR$8,$NN$8,0),IF($NP$8="Bell_Curve",$NN$8*(191-$NR$8+1)*($NS$8-191+1)/$NU$8,$NN$8/$NT$8)),0)</f>
        <v/>
      </c>
      <c r="GN8" s="228">
        <f>IF(AND(192&gt;=$NR$8,192&lt;=$NS$8),IF($NP$8="Single_Point",IF(192=$NR$8,$NN$8,0),IF($NP$8="Bell_Curve",$NN$8*(192-$NR$8+1)*($NS$8-192+1)/$NU$8,$NN$8/$NT$8)),0)</f>
        <v/>
      </c>
      <c r="GO8" s="228">
        <f>IF(AND(193&gt;=$NR$8,193&lt;=$NS$8),IF($NP$8="Single_Point",IF(193=$NR$8,$NN$8,0),IF($NP$8="Bell_Curve",$NN$8*(193-$NR$8+1)*($NS$8-193+1)/$NU$8,$NN$8/$NT$8)),0)</f>
        <v/>
      </c>
      <c r="GP8" s="228">
        <f>IF(AND(194&gt;=$NR$8,194&lt;=$NS$8),IF($NP$8="Single_Point",IF(194=$NR$8,$NN$8,0),IF($NP$8="Bell_Curve",$NN$8*(194-$NR$8+1)*($NS$8-194+1)/$NU$8,$NN$8/$NT$8)),0)</f>
        <v/>
      </c>
      <c r="GQ8" s="228">
        <f>IF(AND(195&gt;=$NR$8,195&lt;=$NS$8),IF($NP$8="Single_Point",IF(195=$NR$8,$NN$8,0),IF($NP$8="Bell_Curve",$NN$8*(195-$NR$8+1)*($NS$8-195+1)/$NU$8,$NN$8/$NT$8)),0)</f>
        <v/>
      </c>
      <c r="GR8" s="228">
        <f>IF(AND(196&gt;=$NR$8,196&lt;=$NS$8),IF($NP$8="Single_Point",IF(196=$NR$8,$NN$8,0),IF($NP$8="Bell_Curve",$NN$8*(196-$NR$8+1)*($NS$8-196+1)/$NU$8,$NN$8/$NT$8)),0)</f>
        <v/>
      </c>
      <c r="GS8" s="228">
        <f>IF(AND(197&gt;=$NR$8,197&lt;=$NS$8),IF($NP$8="Single_Point",IF(197=$NR$8,$NN$8,0),IF($NP$8="Bell_Curve",$NN$8*(197-$NR$8+1)*($NS$8-197+1)/$NU$8,$NN$8/$NT$8)),0)</f>
        <v/>
      </c>
      <c r="GT8" s="228">
        <f>IF(AND(198&gt;=$NR$8,198&lt;=$NS$8),IF($NP$8="Single_Point",IF(198=$NR$8,$NN$8,0),IF($NP$8="Bell_Curve",$NN$8*(198-$NR$8+1)*($NS$8-198+1)/$NU$8,$NN$8/$NT$8)),0)</f>
        <v/>
      </c>
      <c r="GU8" s="228">
        <f>IF(AND(199&gt;=$NR$8,199&lt;=$NS$8),IF($NP$8="Single_Point",IF(199=$NR$8,$NN$8,0),IF($NP$8="Bell_Curve",$NN$8*(199-$NR$8+1)*($NS$8-199+1)/$NU$8,$NN$8/$NT$8)),0)</f>
        <v/>
      </c>
      <c r="GV8" s="228">
        <f>IF(AND(200&gt;=$NR$8,200&lt;=$NS$8),IF($NP$8="Single_Point",IF(200=$NR$8,$NN$8,0),IF($NP$8="Bell_Curve",$NN$8*(200-$NR$8+1)*($NS$8-200+1)/$NU$8,$NN$8/$NT$8)),0)</f>
        <v/>
      </c>
      <c r="GW8" s="228">
        <f>IF(AND(201&gt;=$NR$8,201&lt;=$NS$8),IF($NP$8="Single_Point",IF(201=$NR$8,$NN$8,0),IF($NP$8="Bell_Curve",$NN$8*(201-$NR$8+1)*($NS$8-201+1)/$NU$8,$NN$8/$NT$8)),0)</f>
        <v/>
      </c>
      <c r="GX8" s="228">
        <f>IF(AND(202&gt;=$NR$8,202&lt;=$NS$8),IF($NP$8="Single_Point",IF(202=$NR$8,$NN$8,0),IF($NP$8="Bell_Curve",$NN$8*(202-$NR$8+1)*($NS$8-202+1)/$NU$8,$NN$8/$NT$8)),0)</f>
        <v/>
      </c>
      <c r="GY8" s="228">
        <f>IF(AND(203&gt;=$NR$8,203&lt;=$NS$8),IF($NP$8="Single_Point",IF(203=$NR$8,$NN$8,0),IF($NP$8="Bell_Curve",$NN$8*(203-$NR$8+1)*($NS$8-203+1)/$NU$8,$NN$8/$NT$8)),0)</f>
        <v/>
      </c>
      <c r="GZ8" s="228">
        <f>IF(AND(204&gt;=$NR$8,204&lt;=$NS$8),IF($NP$8="Single_Point",IF(204=$NR$8,$NN$8,0),IF($NP$8="Bell_Curve",$NN$8*(204-$NR$8+1)*($NS$8-204+1)/$NU$8,$NN$8/$NT$8)),0)</f>
        <v/>
      </c>
      <c r="HA8" s="228">
        <f>IF(AND(205&gt;=$NR$8,205&lt;=$NS$8),IF($NP$8="Single_Point",IF(205=$NR$8,$NN$8,0),IF($NP$8="Bell_Curve",$NN$8*(205-$NR$8+1)*($NS$8-205+1)/$NU$8,$NN$8/$NT$8)),0)</f>
        <v/>
      </c>
      <c r="HB8" s="228">
        <f>IF(AND(206&gt;=$NR$8,206&lt;=$NS$8),IF($NP$8="Single_Point",IF(206=$NR$8,$NN$8,0),IF($NP$8="Bell_Curve",$NN$8*(206-$NR$8+1)*($NS$8-206+1)/$NU$8,$NN$8/$NT$8)),0)</f>
        <v/>
      </c>
      <c r="HC8" s="228">
        <f>IF(AND(207&gt;=$NR$8,207&lt;=$NS$8),IF($NP$8="Single_Point",IF(207=$NR$8,$NN$8,0),IF($NP$8="Bell_Curve",$NN$8*(207-$NR$8+1)*($NS$8-207+1)/$NU$8,$NN$8/$NT$8)),0)</f>
        <v/>
      </c>
      <c r="HD8" s="228">
        <f>IF(AND(208&gt;=$NR$8,208&lt;=$NS$8),IF($NP$8="Single_Point",IF(208=$NR$8,$NN$8,0),IF($NP$8="Bell_Curve",$NN$8*(208-$NR$8+1)*($NS$8-208+1)/$NU$8,$NN$8/$NT$8)),0)</f>
        <v/>
      </c>
      <c r="HE8" s="228">
        <f>IF(AND(209&gt;=$NR$8,209&lt;=$NS$8),IF($NP$8="Single_Point",IF(209=$NR$8,$NN$8,0),IF($NP$8="Bell_Curve",$NN$8*(209-$NR$8+1)*($NS$8-209+1)/$NU$8,$NN$8/$NT$8)),0)</f>
        <v/>
      </c>
      <c r="HF8" s="228">
        <f>IF(AND(210&gt;=$NR$8,210&lt;=$NS$8),IF($NP$8="Single_Point",IF(210=$NR$8,$NN$8,0),IF($NP$8="Bell_Curve",$NN$8*(210-$NR$8+1)*($NS$8-210+1)/$NU$8,$NN$8/$NT$8)),0)</f>
        <v/>
      </c>
      <c r="HG8" s="228">
        <f>IF(AND(211&gt;=$NR$8,211&lt;=$NS$8),IF($NP$8="Single_Point",IF(211=$NR$8,$NN$8,0),IF($NP$8="Bell_Curve",$NN$8*(211-$NR$8+1)*($NS$8-211+1)/$NU$8,$NN$8/$NT$8)),0)</f>
        <v/>
      </c>
      <c r="HH8" s="228">
        <f>IF(AND(212&gt;=$NR$8,212&lt;=$NS$8),IF($NP$8="Single_Point",IF(212=$NR$8,$NN$8,0),IF($NP$8="Bell_Curve",$NN$8*(212-$NR$8+1)*($NS$8-212+1)/$NU$8,$NN$8/$NT$8)),0)</f>
        <v/>
      </c>
      <c r="HI8" s="228">
        <f>IF(AND(213&gt;=$NR$8,213&lt;=$NS$8),IF($NP$8="Single_Point",IF(213=$NR$8,$NN$8,0),IF($NP$8="Bell_Curve",$NN$8*(213-$NR$8+1)*($NS$8-213+1)/$NU$8,$NN$8/$NT$8)),0)</f>
        <v/>
      </c>
      <c r="HJ8" s="228">
        <f>IF(AND(214&gt;=$NR$8,214&lt;=$NS$8),IF($NP$8="Single_Point",IF(214=$NR$8,$NN$8,0),IF($NP$8="Bell_Curve",$NN$8*(214-$NR$8+1)*($NS$8-214+1)/$NU$8,$NN$8/$NT$8)),0)</f>
        <v/>
      </c>
      <c r="HK8" s="228">
        <f>IF(AND(215&gt;=$NR$8,215&lt;=$NS$8),IF($NP$8="Single_Point",IF(215=$NR$8,$NN$8,0),IF($NP$8="Bell_Curve",$NN$8*(215-$NR$8+1)*($NS$8-215+1)/$NU$8,$NN$8/$NT$8)),0)</f>
        <v/>
      </c>
      <c r="HL8" s="228">
        <f>IF(AND(216&gt;=$NR$8,216&lt;=$NS$8),IF($NP$8="Single_Point",IF(216=$NR$8,$NN$8,0),IF($NP$8="Bell_Curve",$NN$8*(216-$NR$8+1)*($NS$8-216+1)/$NU$8,$NN$8/$NT$8)),0)</f>
        <v/>
      </c>
      <c r="HM8" s="228">
        <f>IF(AND(217&gt;=$NR$8,217&lt;=$NS$8),IF($NP$8="Single_Point",IF(217=$NR$8,$NN$8,0),IF($NP$8="Bell_Curve",$NN$8*(217-$NR$8+1)*($NS$8-217+1)/$NU$8,$NN$8/$NT$8)),0)</f>
        <v/>
      </c>
      <c r="HN8" s="228">
        <f>IF(AND(218&gt;=$NR$8,218&lt;=$NS$8),IF($NP$8="Single_Point",IF(218=$NR$8,$NN$8,0),IF($NP$8="Bell_Curve",$NN$8*(218-$NR$8+1)*($NS$8-218+1)/$NU$8,$NN$8/$NT$8)),0)</f>
        <v/>
      </c>
      <c r="HO8" s="228">
        <f>IF(AND(219&gt;=$NR$8,219&lt;=$NS$8),IF($NP$8="Single_Point",IF(219=$NR$8,$NN$8,0),IF($NP$8="Bell_Curve",$NN$8*(219-$NR$8+1)*($NS$8-219+1)/$NU$8,$NN$8/$NT$8)),0)</f>
        <v/>
      </c>
      <c r="HP8" s="228">
        <f>IF(AND(220&gt;=$NR$8,220&lt;=$NS$8),IF($NP$8="Single_Point",IF(220=$NR$8,$NN$8,0),IF($NP$8="Bell_Curve",$NN$8*(220-$NR$8+1)*($NS$8-220+1)/$NU$8,$NN$8/$NT$8)),0)</f>
        <v/>
      </c>
      <c r="HQ8" s="228">
        <f>IF(AND(221&gt;=$NR$8,221&lt;=$NS$8),IF($NP$8="Single_Point",IF(221=$NR$8,$NN$8,0),IF($NP$8="Bell_Curve",$NN$8*(221-$NR$8+1)*($NS$8-221+1)/$NU$8,$NN$8/$NT$8)),0)</f>
        <v/>
      </c>
      <c r="HR8" s="228">
        <f>IF(AND(222&gt;=$NR$8,222&lt;=$NS$8),IF($NP$8="Single_Point",IF(222=$NR$8,$NN$8,0),IF($NP$8="Bell_Curve",$NN$8*(222-$NR$8+1)*($NS$8-222+1)/$NU$8,$NN$8/$NT$8)),0)</f>
        <v/>
      </c>
      <c r="HS8" s="228">
        <f>IF(AND(223&gt;=$NR$8,223&lt;=$NS$8),IF($NP$8="Single_Point",IF(223=$NR$8,$NN$8,0),IF($NP$8="Bell_Curve",$NN$8*(223-$NR$8+1)*($NS$8-223+1)/$NU$8,$NN$8/$NT$8)),0)</f>
        <v/>
      </c>
      <c r="HT8" s="228">
        <f>IF(AND(224&gt;=$NR$8,224&lt;=$NS$8),IF($NP$8="Single_Point",IF(224=$NR$8,$NN$8,0),IF($NP$8="Bell_Curve",$NN$8*(224-$NR$8+1)*($NS$8-224+1)/$NU$8,$NN$8/$NT$8)),0)</f>
        <v/>
      </c>
      <c r="HU8" s="228">
        <f>IF(AND(225&gt;=$NR$8,225&lt;=$NS$8),IF($NP$8="Single_Point",IF(225=$NR$8,$NN$8,0),IF($NP$8="Bell_Curve",$NN$8*(225-$NR$8+1)*($NS$8-225+1)/$NU$8,$NN$8/$NT$8)),0)</f>
        <v/>
      </c>
      <c r="HV8" s="228">
        <f>IF(AND(226&gt;=$NR$8,226&lt;=$NS$8),IF($NP$8="Single_Point",IF(226=$NR$8,$NN$8,0),IF($NP$8="Bell_Curve",$NN$8*(226-$NR$8+1)*($NS$8-226+1)/$NU$8,$NN$8/$NT$8)),0)</f>
        <v/>
      </c>
      <c r="HW8" s="228">
        <f>IF(AND(227&gt;=$NR$8,227&lt;=$NS$8),IF($NP$8="Single_Point",IF(227=$NR$8,$NN$8,0),IF($NP$8="Bell_Curve",$NN$8*(227-$NR$8+1)*($NS$8-227+1)/$NU$8,$NN$8/$NT$8)),0)</f>
        <v/>
      </c>
      <c r="HX8" s="228">
        <f>IF(AND(228&gt;=$NR$8,228&lt;=$NS$8),IF($NP$8="Single_Point",IF(228=$NR$8,$NN$8,0),IF($NP$8="Bell_Curve",$NN$8*(228-$NR$8+1)*($NS$8-228+1)/$NU$8,$NN$8/$NT$8)),0)</f>
        <v/>
      </c>
      <c r="HY8" s="228">
        <f>IF(AND(229&gt;=$NR$8,229&lt;=$NS$8),IF($NP$8="Single_Point",IF(229=$NR$8,$NN$8,0),IF($NP$8="Bell_Curve",$NN$8*(229-$NR$8+1)*($NS$8-229+1)/$NU$8,$NN$8/$NT$8)),0)</f>
        <v/>
      </c>
      <c r="HZ8" s="228">
        <f>IF(AND(230&gt;=$NR$8,230&lt;=$NS$8),IF($NP$8="Single_Point",IF(230=$NR$8,$NN$8,0),IF($NP$8="Bell_Curve",$NN$8*(230-$NR$8+1)*($NS$8-230+1)/$NU$8,$NN$8/$NT$8)),0)</f>
        <v/>
      </c>
      <c r="IA8" s="228">
        <f>IF(AND(231&gt;=$NR$8,231&lt;=$NS$8),IF($NP$8="Single_Point",IF(231=$NR$8,$NN$8,0),IF($NP$8="Bell_Curve",$NN$8*(231-$NR$8+1)*($NS$8-231+1)/$NU$8,$NN$8/$NT$8)),0)</f>
        <v/>
      </c>
      <c r="IB8" s="228">
        <f>IF(AND(232&gt;=$NR$8,232&lt;=$NS$8),IF($NP$8="Single_Point",IF(232=$NR$8,$NN$8,0),IF($NP$8="Bell_Curve",$NN$8*(232-$NR$8+1)*($NS$8-232+1)/$NU$8,$NN$8/$NT$8)),0)</f>
        <v/>
      </c>
      <c r="IC8" s="228">
        <f>IF(AND(233&gt;=$NR$8,233&lt;=$NS$8),IF($NP$8="Single_Point",IF(233=$NR$8,$NN$8,0),IF($NP$8="Bell_Curve",$NN$8*(233-$NR$8+1)*($NS$8-233+1)/$NU$8,$NN$8/$NT$8)),0)</f>
        <v/>
      </c>
      <c r="ID8" s="228">
        <f>IF(AND(234&gt;=$NR$8,234&lt;=$NS$8),IF($NP$8="Single_Point",IF(234=$NR$8,$NN$8,0),IF($NP$8="Bell_Curve",$NN$8*(234-$NR$8+1)*($NS$8-234+1)/$NU$8,$NN$8/$NT$8)),0)</f>
        <v/>
      </c>
      <c r="IE8" s="228">
        <f>IF(AND(235&gt;=$NR$8,235&lt;=$NS$8),IF($NP$8="Single_Point",IF(235=$NR$8,$NN$8,0),IF($NP$8="Bell_Curve",$NN$8*(235-$NR$8+1)*($NS$8-235+1)/$NU$8,$NN$8/$NT$8)),0)</f>
        <v/>
      </c>
      <c r="IF8" s="228">
        <f>IF(AND(236&gt;=$NR$8,236&lt;=$NS$8),IF($NP$8="Single_Point",IF(236=$NR$8,$NN$8,0),IF($NP$8="Bell_Curve",$NN$8*(236-$NR$8+1)*($NS$8-236+1)/$NU$8,$NN$8/$NT$8)),0)</f>
        <v/>
      </c>
      <c r="IG8" s="228">
        <f>IF(AND(237&gt;=$NR$8,237&lt;=$NS$8),IF($NP$8="Single_Point",IF(237=$NR$8,$NN$8,0),IF($NP$8="Bell_Curve",$NN$8*(237-$NR$8+1)*($NS$8-237+1)/$NU$8,$NN$8/$NT$8)),0)</f>
        <v/>
      </c>
      <c r="IH8" s="228">
        <f>IF(AND(238&gt;=$NR$8,238&lt;=$NS$8),IF($NP$8="Single_Point",IF(238=$NR$8,$NN$8,0),IF($NP$8="Bell_Curve",$NN$8*(238-$NR$8+1)*($NS$8-238+1)/$NU$8,$NN$8/$NT$8)),0)</f>
        <v/>
      </c>
      <c r="II8" s="228">
        <f>IF(AND(239&gt;=$NR$8,239&lt;=$NS$8),IF($NP$8="Single_Point",IF(239=$NR$8,$NN$8,0),IF($NP$8="Bell_Curve",$NN$8*(239-$NR$8+1)*($NS$8-239+1)/$NU$8,$NN$8/$NT$8)),0)</f>
        <v/>
      </c>
      <c r="IJ8" s="228">
        <f>IF(AND(240&gt;=$NR$8,240&lt;=$NS$8),IF($NP$8="Single_Point",IF(240=$NR$8,$NN$8,0),IF($NP$8="Bell_Curve",$NN$8*(240-$NR$8+1)*($NS$8-240+1)/$NU$8,$NN$8/$NT$8)),0)</f>
        <v/>
      </c>
      <c r="IK8" s="228">
        <f>IF(AND(241&gt;=$NR$8,241&lt;=$NS$8),IF($NP$8="Single_Point",IF(241=$NR$8,$NN$8,0),IF($NP$8="Bell_Curve",$NN$8*(241-$NR$8+1)*($NS$8-241+1)/$NU$8,$NN$8/$NT$8)),0)</f>
        <v/>
      </c>
      <c r="IL8" s="228">
        <f>IF(AND(242&gt;=$NR$8,242&lt;=$NS$8),IF($NP$8="Single_Point",IF(242=$NR$8,$NN$8,0),IF($NP$8="Bell_Curve",$NN$8*(242-$NR$8+1)*($NS$8-242+1)/$NU$8,$NN$8/$NT$8)),0)</f>
        <v/>
      </c>
      <c r="IM8" s="228">
        <f>IF(AND(243&gt;=$NR$8,243&lt;=$NS$8),IF($NP$8="Single_Point",IF(243=$NR$8,$NN$8,0),IF($NP$8="Bell_Curve",$NN$8*(243-$NR$8+1)*($NS$8-243+1)/$NU$8,$NN$8/$NT$8)),0)</f>
        <v/>
      </c>
      <c r="IN8" s="228">
        <f>IF(AND(244&gt;=$NR$8,244&lt;=$NS$8),IF($NP$8="Single_Point",IF(244=$NR$8,$NN$8,0),IF($NP$8="Bell_Curve",$NN$8*(244-$NR$8+1)*($NS$8-244+1)/$NU$8,$NN$8/$NT$8)),0)</f>
        <v/>
      </c>
      <c r="IO8" s="228">
        <f>IF(AND(245&gt;=$NR$8,245&lt;=$NS$8),IF($NP$8="Single_Point",IF(245=$NR$8,$NN$8,0),IF($NP$8="Bell_Curve",$NN$8*(245-$NR$8+1)*($NS$8-245+1)/$NU$8,$NN$8/$NT$8)),0)</f>
        <v/>
      </c>
      <c r="IP8" s="228">
        <f>IF(AND(246&gt;=$NR$8,246&lt;=$NS$8),IF($NP$8="Single_Point",IF(246=$NR$8,$NN$8,0),IF($NP$8="Bell_Curve",$NN$8*(246-$NR$8+1)*($NS$8-246+1)/$NU$8,$NN$8/$NT$8)),0)</f>
        <v/>
      </c>
      <c r="IQ8" s="228">
        <f>IF(AND(247&gt;=$NR$8,247&lt;=$NS$8),IF($NP$8="Single_Point",IF(247=$NR$8,$NN$8,0),IF($NP$8="Bell_Curve",$NN$8*(247-$NR$8+1)*($NS$8-247+1)/$NU$8,$NN$8/$NT$8)),0)</f>
        <v/>
      </c>
      <c r="IR8" s="228">
        <f>IF(AND(248&gt;=$NR$8,248&lt;=$NS$8),IF($NP$8="Single_Point",IF(248=$NR$8,$NN$8,0),IF($NP$8="Bell_Curve",$NN$8*(248-$NR$8+1)*($NS$8-248+1)/$NU$8,$NN$8/$NT$8)),0)</f>
        <v/>
      </c>
      <c r="IS8" s="228">
        <f>IF(AND(249&gt;=$NR$8,249&lt;=$NS$8),IF($NP$8="Single_Point",IF(249=$NR$8,$NN$8,0),IF($NP$8="Bell_Curve",$NN$8*(249-$NR$8+1)*($NS$8-249+1)/$NU$8,$NN$8/$NT$8)),0)</f>
        <v/>
      </c>
      <c r="IT8" s="228">
        <f>IF(AND(250&gt;=$NR$8,250&lt;=$NS$8),IF($NP$8="Single_Point",IF(250=$NR$8,$NN$8,0),IF($NP$8="Bell_Curve",$NN$8*(250-$NR$8+1)*($NS$8-250+1)/$NU$8,$NN$8/$NT$8)),0)</f>
        <v/>
      </c>
      <c r="IU8" s="228">
        <f>IF(AND(251&gt;=$NR$8,251&lt;=$NS$8),IF($NP$8="Single_Point",IF(251=$NR$8,$NN$8,0),IF($NP$8="Bell_Curve",$NN$8*(251-$NR$8+1)*($NS$8-251+1)/$NU$8,$NN$8/$NT$8)),0)</f>
        <v/>
      </c>
      <c r="IV8" s="228">
        <f>IF(AND(252&gt;=$NR$8,252&lt;=$NS$8),IF($NP$8="Single_Point",IF(252=$NR$8,$NN$8,0),IF($NP$8="Bell_Curve",$NN$8*(252-$NR$8+1)*($NS$8-252+1)/$NU$8,$NN$8/$NT$8)),0)</f>
        <v/>
      </c>
      <c r="IW8" s="228">
        <f>IF(AND(253&gt;=$NR$8,253&lt;=$NS$8),IF($NP$8="Single_Point",IF(253=$NR$8,$NN$8,0),IF($NP$8="Bell_Curve",$NN$8*(253-$NR$8+1)*($NS$8-253+1)/$NU$8,$NN$8/$NT$8)),0)</f>
        <v/>
      </c>
      <c r="IX8" s="228">
        <f>IF(AND(254&gt;=$NR$8,254&lt;=$NS$8),IF($NP$8="Single_Point",IF(254=$NR$8,$NN$8,0),IF($NP$8="Bell_Curve",$NN$8*(254-$NR$8+1)*($NS$8-254+1)/$NU$8,$NN$8/$NT$8)),0)</f>
        <v/>
      </c>
      <c r="IY8" s="228">
        <f>IF(AND(255&gt;=$NR$8,255&lt;=$NS$8),IF($NP$8="Single_Point",IF(255=$NR$8,$NN$8,0),IF($NP$8="Bell_Curve",$NN$8*(255-$NR$8+1)*($NS$8-255+1)/$NU$8,$NN$8/$NT$8)),0)</f>
        <v/>
      </c>
      <c r="IZ8" s="228">
        <f>IF(AND(256&gt;=$NR$8,256&lt;=$NS$8),IF($NP$8="Single_Point",IF(256=$NR$8,$NN$8,0),IF($NP$8="Bell_Curve",$NN$8*(256-$NR$8+1)*($NS$8-256+1)/$NU$8,$NN$8/$NT$8)),0)</f>
        <v/>
      </c>
      <c r="JA8" s="228">
        <f>IF(AND(257&gt;=$NR$8,257&lt;=$NS$8),IF($NP$8="Single_Point",IF(257=$NR$8,$NN$8,0),IF($NP$8="Bell_Curve",$NN$8*(257-$NR$8+1)*($NS$8-257+1)/$NU$8,$NN$8/$NT$8)),0)</f>
        <v/>
      </c>
      <c r="JB8" s="228">
        <f>IF(AND(258&gt;=$NR$8,258&lt;=$NS$8),IF($NP$8="Single_Point",IF(258=$NR$8,$NN$8,0),IF($NP$8="Bell_Curve",$NN$8*(258-$NR$8+1)*($NS$8-258+1)/$NU$8,$NN$8/$NT$8)),0)</f>
        <v/>
      </c>
      <c r="JC8" s="228">
        <f>IF(AND(259&gt;=$NR$8,259&lt;=$NS$8),IF($NP$8="Single_Point",IF(259=$NR$8,$NN$8,0),IF($NP$8="Bell_Curve",$NN$8*(259-$NR$8+1)*($NS$8-259+1)/$NU$8,$NN$8/$NT$8)),0)</f>
        <v/>
      </c>
      <c r="JD8" s="228">
        <f>IF(AND(260&gt;=$NR$8,260&lt;=$NS$8),IF($NP$8="Single_Point",IF(260=$NR$8,$NN$8,0),IF($NP$8="Bell_Curve",$NN$8*(260-$NR$8+1)*($NS$8-260+1)/$NU$8,$NN$8/$NT$8)),0)</f>
        <v/>
      </c>
      <c r="JE8" s="228">
        <f>IF(AND(261&gt;=$NR$8,261&lt;=$NS$8),IF($NP$8="Single_Point",IF(261=$NR$8,$NN$8,0),IF($NP$8="Bell_Curve",$NN$8*(261-$NR$8+1)*($NS$8-261+1)/$NU$8,$NN$8/$NT$8)),0)</f>
        <v/>
      </c>
      <c r="JF8" s="228">
        <f>IF(AND(262&gt;=$NR$8,262&lt;=$NS$8),IF($NP$8="Single_Point",IF(262=$NR$8,$NN$8,0),IF($NP$8="Bell_Curve",$NN$8*(262-$NR$8+1)*($NS$8-262+1)/$NU$8,$NN$8/$NT$8)),0)</f>
        <v/>
      </c>
      <c r="JG8" s="228">
        <f>IF(AND(263&gt;=$NR$8,263&lt;=$NS$8),IF($NP$8="Single_Point",IF(263=$NR$8,$NN$8,0),IF($NP$8="Bell_Curve",$NN$8*(263-$NR$8+1)*($NS$8-263+1)/$NU$8,$NN$8/$NT$8)),0)</f>
        <v/>
      </c>
      <c r="JH8" s="228">
        <f>IF(AND(264&gt;=$NR$8,264&lt;=$NS$8),IF($NP$8="Single_Point",IF(264=$NR$8,$NN$8,0),IF($NP$8="Bell_Curve",$NN$8*(264-$NR$8+1)*($NS$8-264+1)/$NU$8,$NN$8/$NT$8)),0)</f>
        <v/>
      </c>
      <c r="JI8" s="228">
        <f>IF(AND(265&gt;=$NR$8,265&lt;=$NS$8),IF($NP$8="Single_Point",IF(265=$NR$8,$NN$8,0),IF($NP$8="Bell_Curve",$NN$8*(265-$NR$8+1)*($NS$8-265+1)/$NU$8,$NN$8/$NT$8)),0)</f>
        <v/>
      </c>
      <c r="JJ8" s="228">
        <f>IF(AND(266&gt;=$NR$8,266&lt;=$NS$8),IF($NP$8="Single_Point",IF(266=$NR$8,$NN$8,0),IF($NP$8="Bell_Curve",$NN$8*(266-$NR$8+1)*($NS$8-266+1)/$NU$8,$NN$8/$NT$8)),0)</f>
        <v/>
      </c>
      <c r="JK8" s="228">
        <f>IF(AND(267&gt;=$NR$8,267&lt;=$NS$8),IF($NP$8="Single_Point",IF(267=$NR$8,$NN$8,0),IF($NP$8="Bell_Curve",$NN$8*(267-$NR$8+1)*($NS$8-267+1)/$NU$8,$NN$8/$NT$8)),0)</f>
        <v/>
      </c>
      <c r="JL8" s="228">
        <f>IF(AND(268&gt;=$NR$8,268&lt;=$NS$8),IF($NP$8="Single_Point",IF(268=$NR$8,$NN$8,0),IF($NP$8="Bell_Curve",$NN$8*(268-$NR$8+1)*($NS$8-268+1)/$NU$8,$NN$8/$NT$8)),0)</f>
        <v/>
      </c>
      <c r="JM8" s="228">
        <f>IF(AND(269&gt;=$NR$8,269&lt;=$NS$8),IF($NP$8="Single_Point",IF(269=$NR$8,$NN$8,0),IF($NP$8="Bell_Curve",$NN$8*(269-$NR$8+1)*($NS$8-269+1)/$NU$8,$NN$8/$NT$8)),0)</f>
        <v/>
      </c>
      <c r="JN8" s="228">
        <f>IF(AND(270&gt;=$NR$8,270&lt;=$NS$8),IF($NP$8="Single_Point",IF(270=$NR$8,$NN$8,0),IF($NP$8="Bell_Curve",$NN$8*(270-$NR$8+1)*($NS$8-270+1)/$NU$8,$NN$8/$NT$8)),0)</f>
        <v/>
      </c>
      <c r="JO8" s="228">
        <f>IF(AND(271&gt;=$NR$8,271&lt;=$NS$8),IF($NP$8="Single_Point",IF(271=$NR$8,$NN$8,0),IF($NP$8="Bell_Curve",$NN$8*(271-$NR$8+1)*($NS$8-271+1)/$NU$8,$NN$8/$NT$8)),0)</f>
        <v/>
      </c>
      <c r="JP8" s="228">
        <f>IF(AND(272&gt;=$NR$8,272&lt;=$NS$8),IF($NP$8="Single_Point",IF(272=$NR$8,$NN$8,0),IF($NP$8="Bell_Curve",$NN$8*(272-$NR$8+1)*($NS$8-272+1)/$NU$8,$NN$8/$NT$8)),0)</f>
        <v/>
      </c>
      <c r="JQ8" s="228">
        <f>IF(AND(273&gt;=$NR$8,273&lt;=$NS$8),IF($NP$8="Single_Point",IF(273=$NR$8,$NN$8,0),IF($NP$8="Bell_Curve",$NN$8*(273-$NR$8+1)*($NS$8-273+1)/$NU$8,$NN$8/$NT$8)),0)</f>
        <v/>
      </c>
      <c r="JR8" s="228">
        <f>IF(AND(274&gt;=$NR$8,274&lt;=$NS$8),IF($NP$8="Single_Point",IF(274=$NR$8,$NN$8,0),IF($NP$8="Bell_Curve",$NN$8*(274-$NR$8+1)*($NS$8-274+1)/$NU$8,$NN$8/$NT$8)),0)</f>
        <v/>
      </c>
      <c r="JS8" s="228">
        <f>IF(AND(275&gt;=$NR$8,275&lt;=$NS$8),IF($NP$8="Single_Point",IF(275=$NR$8,$NN$8,0),IF($NP$8="Bell_Curve",$NN$8*(275-$NR$8+1)*($NS$8-275+1)/$NU$8,$NN$8/$NT$8)),0)</f>
        <v/>
      </c>
      <c r="JT8" s="228">
        <f>IF(AND(276&gt;=$NR$8,276&lt;=$NS$8),IF($NP$8="Single_Point",IF(276=$NR$8,$NN$8,0),IF($NP$8="Bell_Curve",$NN$8*(276-$NR$8+1)*($NS$8-276+1)/$NU$8,$NN$8/$NT$8)),0)</f>
        <v/>
      </c>
      <c r="JU8" s="228">
        <f>IF(AND(277&gt;=$NR$8,277&lt;=$NS$8),IF($NP$8="Single_Point",IF(277=$NR$8,$NN$8,0),IF($NP$8="Bell_Curve",$NN$8*(277-$NR$8+1)*($NS$8-277+1)/$NU$8,$NN$8/$NT$8)),0)</f>
        <v/>
      </c>
      <c r="JV8" s="228">
        <f>IF(AND(278&gt;=$NR$8,278&lt;=$NS$8),IF($NP$8="Single_Point",IF(278=$NR$8,$NN$8,0),IF($NP$8="Bell_Curve",$NN$8*(278-$NR$8+1)*($NS$8-278+1)/$NU$8,$NN$8/$NT$8)),0)</f>
        <v/>
      </c>
      <c r="JW8" s="228">
        <f>IF(AND(279&gt;=$NR$8,279&lt;=$NS$8),IF($NP$8="Single_Point",IF(279=$NR$8,$NN$8,0),IF($NP$8="Bell_Curve",$NN$8*(279-$NR$8+1)*($NS$8-279+1)/$NU$8,$NN$8/$NT$8)),0)</f>
        <v/>
      </c>
      <c r="JX8" s="228">
        <f>IF(AND(280&gt;=$NR$8,280&lt;=$NS$8),IF($NP$8="Single_Point",IF(280=$NR$8,$NN$8,0),IF($NP$8="Bell_Curve",$NN$8*(280-$NR$8+1)*($NS$8-280+1)/$NU$8,$NN$8/$NT$8)),0)</f>
        <v/>
      </c>
      <c r="JY8" s="228">
        <f>IF(AND(281&gt;=$NR$8,281&lt;=$NS$8),IF($NP$8="Single_Point",IF(281=$NR$8,$NN$8,0),IF($NP$8="Bell_Curve",$NN$8*(281-$NR$8+1)*($NS$8-281+1)/$NU$8,$NN$8/$NT$8)),0)</f>
        <v/>
      </c>
      <c r="JZ8" s="228">
        <f>IF(AND(282&gt;=$NR$8,282&lt;=$NS$8),IF($NP$8="Single_Point",IF(282=$NR$8,$NN$8,0),IF($NP$8="Bell_Curve",$NN$8*(282-$NR$8+1)*($NS$8-282+1)/$NU$8,$NN$8/$NT$8)),0)</f>
        <v/>
      </c>
      <c r="KA8" s="228">
        <f>IF(AND(283&gt;=$NR$8,283&lt;=$NS$8),IF($NP$8="Single_Point",IF(283=$NR$8,$NN$8,0),IF($NP$8="Bell_Curve",$NN$8*(283-$NR$8+1)*($NS$8-283+1)/$NU$8,$NN$8/$NT$8)),0)</f>
        <v/>
      </c>
      <c r="KB8" s="228">
        <f>IF(AND(284&gt;=$NR$8,284&lt;=$NS$8),IF($NP$8="Single_Point",IF(284=$NR$8,$NN$8,0),IF($NP$8="Bell_Curve",$NN$8*(284-$NR$8+1)*($NS$8-284+1)/$NU$8,$NN$8/$NT$8)),0)</f>
        <v/>
      </c>
      <c r="KC8" s="228">
        <f>IF(AND(285&gt;=$NR$8,285&lt;=$NS$8),IF($NP$8="Single_Point",IF(285=$NR$8,$NN$8,0),IF($NP$8="Bell_Curve",$NN$8*(285-$NR$8+1)*($NS$8-285+1)/$NU$8,$NN$8/$NT$8)),0)</f>
        <v/>
      </c>
      <c r="KD8" s="228">
        <f>IF(AND(286&gt;=$NR$8,286&lt;=$NS$8),IF($NP$8="Single_Point",IF(286=$NR$8,$NN$8,0),IF($NP$8="Bell_Curve",$NN$8*(286-$NR$8+1)*($NS$8-286+1)/$NU$8,$NN$8/$NT$8)),0)</f>
        <v/>
      </c>
      <c r="KE8" s="228">
        <f>IF(AND(287&gt;=$NR$8,287&lt;=$NS$8),IF($NP$8="Single_Point",IF(287=$NR$8,$NN$8,0),IF($NP$8="Bell_Curve",$NN$8*(287-$NR$8+1)*($NS$8-287+1)/$NU$8,$NN$8/$NT$8)),0)</f>
        <v/>
      </c>
      <c r="KF8" s="228">
        <f>IF(AND(288&gt;=$NR$8,288&lt;=$NS$8),IF($NP$8="Single_Point",IF(288=$NR$8,$NN$8,0),IF($NP$8="Bell_Curve",$NN$8*(288-$NR$8+1)*($NS$8-288+1)/$NU$8,$NN$8/$NT$8)),0)</f>
        <v/>
      </c>
      <c r="KG8" s="228">
        <f>IF(AND(289&gt;=$NR$8,289&lt;=$NS$8),IF($NP$8="Single_Point",IF(289=$NR$8,$NN$8,0),IF($NP$8="Bell_Curve",$NN$8*(289-$NR$8+1)*($NS$8-289+1)/$NU$8,$NN$8/$NT$8)),0)</f>
        <v/>
      </c>
      <c r="KH8" s="228">
        <f>IF(AND(290&gt;=$NR$8,290&lt;=$NS$8),IF($NP$8="Single_Point",IF(290=$NR$8,$NN$8,0),IF($NP$8="Bell_Curve",$NN$8*(290-$NR$8+1)*($NS$8-290+1)/$NU$8,$NN$8/$NT$8)),0)</f>
        <v/>
      </c>
      <c r="KI8" s="228">
        <f>IF(AND(291&gt;=$NR$8,291&lt;=$NS$8),IF($NP$8="Single_Point",IF(291=$NR$8,$NN$8,0),IF($NP$8="Bell_Curve",$NN$8*(291-$NR$8+1)*($NS$8-291+1)/$NU$8,$NN$8/$NT$8)),0)</f>
        <v/>
      </c>
      <c r="KJ8" s="228">
        <f>IF(AND(292&gt;=$NR$8,292&lt;=$NS$8),IF($NP$8="Single_Point",IF(292=$NR$8,$NN$8,0),IF($NP$8="Bell_Curve",$NN$8*(292-$NR$8+1)*($NS$8-292+1)/$NU$8,$NN$8/$NT$8)),0)</f>
        <v/>
      </c>
      <c r="KK8" s="228">
        <f>IF(AND(293&gt;=$NR$8,293&lt;=$NS$8),IF($NP$8="Single_Point",IF(293=$NR$8,$NN$8,0),IF($NP$8="Bell_Curve",$NN$8*(293-$NR$8+1)*($NS$8-293+1)/$NU$8,$NN$8/$NT$8)),0)</f>
        <v/>
      </c>
      <c r="KL8" s="228">
        <f>IF(AND(294&gt;=$NR$8,294&lt;=$NS$8),IF($NP$8="Single_Point",IF(294=$NR$8,$NN$8,0),IF($NP$8="Bell_Curve",$NN$8*(294-$NR$8+1)*($NS$8-294+1)/$NU$8,$NN$8/$NT$8)),0)</f>
        <v/>
      </c>
      <c r="KM8" s="228">
        <f>IF(AND(295&gt;=$NR$8,295&lt;=$NS$8),IF($NP$8="Single_Point",IF(295=$NR$8,$NN$8,0),IF($NP$8="Bell_Curve",$NN$8*(295-$NR$8+1)*($NS$8-295+1)/$NU$8,$NN$8/$NT$8)),0)</f>
        <v/>
      </c>
      <c r="KN8" s="228">
        <f>IF(AND(296&gt;=$NR$8,296&lt;=$NS$8),IF($NP$8="Single_Point",IF(296=$NR$8,$NN$8,0),IF($NP$8="Bell_Curve",$NN$8*(296-$NR$8+1)*($NS$8-296+1)/$NU$8,$NN$8/$NT$8)),0)</f>
        <v/>
      </c>
      <c r="KO8" s="228">
        <f>IF(AND(297&gt;=$NR$8,297&lt;=$NS$8),IF($NP$8="Single_Point",IF(297=$NR$8,$NN$8,0),IF($NP$8="Bell_Curve",$NN$8*(297-$NR$8+1)*($NS$8-297+1)/$NU$8,$NN$8/$NT$8)),0)</f>
        <v/>
      </c>
      <c r="KP8" s="228">
        <f>IF(AND(298&gt;=$NR$8,298&lt;=$NS$8),IF($NP$8="Single_Point",IF(298=$NR$8,$NN$8,0),IF($NP$8="Bell_Curve",$NN$8*(298-$NR$8+1)*($NS$8-298+1)/$NU$8,$NN$8/$NT$8)),0)</f>
        <v/>
      </c>
      <c r="KQ8" s="228">
        <f>IF(AND(299&gt;=$NR$8,299&lt;=$NS$8),IF($NP$8="Single_Point",IF(299=$NR$8,$NN$8,0),IF($NP$8="Bell_Curve",$NN$8*(299-$NR$8+1)*($NS$8-299+1)/$NU$8,$NN$8/$NT$8)),0)</f>
        <v/>
      </c>
      <c r="KR8" s="228">
        <f>IF(AND(300&gt;=$NR$8,300&lt;=$NS$8),IF($NP$8="Single_Point",IF(300=$NR$8,$NN$8,0),IF($NP$8="Bell_Curve",$NN$8*(300-$NR$8+1)*($NS$8-300+1)/$NU$8,$NN$8/$NT$8)),0)</f>
        <v/>
      </c>
      <c r="KS8" s="228">
        <f>IF(AND(301&gt;=$NR$8,301&lt;=$NS$8),IF($NP$8="Single_Point",IF(301=$NR$8,$NN$8,0),IF($NP$8="Bell_Curve",$NN$8*(301-$NR$8+1)*($NS$8-301+1)/$NU$8,$NN$8/$NT$8)),0)</f>
        <v/>
      </c>
      <c r="KT8" s="228">
        <f>IF(AND(302&gt;=$NR$8,302&lt;=$NS$8),IF($NP$8="Single_Point",IF(302=$NR$8,$NN$8,0),IF($NP$8="Bell_Curve",$NN$8*(302-$NR$8+1)*($NS$8-302+1)/$NU$8,$NN$8/$NT$8)),0)</f>
        <v/>
      </c>
      <c r="KU8" s="228">
        <f>IF(AND(303&gt;=$NR$8,303&lt;=$NS$8),IF($NP$8="Single_Point",IF(303=$NR$8,$NN$8,0),IF($NP$8="Bell_Curve",$NN$8*(303-$NR$8+1)*($NS$8-303+1)/$NU$8,$NN$8/$NT$8)),0)</f>
        <v/>
      </c>
      <c r="KV8" s="228">
        <f>IF(AND(304&gt;=$NR$8,304&lt;=$NS$8),IF($NP$8="Single_Point",IF(304=$NR$8,$NN$8,0),IF($NP$8="Bell_Curve",$NN$8*(304-$NR$8+1)*($NS$8-304+1)/$NU$8,$NN$8/$NT$8)),0)</f>
        <v/>
      </c>
      <c r="KW8" s="228">
        <f>IF(AND(305&gt;=$NR$8,305&lt;=$NS$8),IF($NP$8="Single_Point",IF(305=$NR$8,$NN$8,0),IF($NP$8="Bell_Curve",$NN$8*(305-$NR$8+1)*($NS$8-305+1)/$NU$8,$NN$8/$NT$8)),0)</f>
        <v/>
      </c>
      <c r="KX8" s="228">
        <f>IF(AND(306&gt;=$NR$8,306&lt;=$NS$8),IF($NP$8="Single_Point",IF(306=$NR$8,$NN$8,0),IF($NP$8="Bell_Curve",$NN$8*(306-$NR$8+1)*($NS$8-306+1)/$NU$8,$NN$8/$NT$8)),0)</f>
        <v/>
      </c>
      <c r="KY8" s="228">
        <f>IF(AND(307&gt;=$NR$8,307&lt;=$NS$8),IF($NP$8="Single_Point",IF(307=$NR$8,$NN$8,0),IF($NP$8="Bell_Curve",$NN$8*(307-$NR$8+1)*($NS$8-307+1)/$NU$8,$NN$8/$NT$8)),0)</f>
        <v/>
      </c>
      <c r="KZ8" s="228">
        <f>IF(AND(308&gt;=$NR$8,308&lt;=$NS$8),IF($NP$8="Single_Point",IF(308=$NR$8,$NN$8,0),IF($NP$8="Bell_Curve",$NN$8*(308-$NR$8+1)*($NS$8-308+1)/$NU$8,$NN$8/$NT$8)),0)</f>
        <v/>
      </c>
      <c r="LA8" s="228">
        <f>IF(AND(309&gt;=$NR$8,309&lt;=$NS$8),IF($NP$8="Single_Point",IF(309=$NR$8,$NN$8,0),IF($NP$8="Bell_Curve",$NN$8*(309-$NR$8+1)*($NS$8-309+1)/$NU$8,$NN$8/$NT$8)),0)</f>
        <v/>
      </c>
      <c r="LB8" s="228">
        <f>IF(AND(310&gt;=$NR$8,310&lt;=$NS$8),IF($NP$8="Single_Point",IF(310=$NR$8,$NN$8,0),IF($NP$8="Bell_Curve",$NN$8*(310-$NR$8+1)*($NS$8-310+1)/$NU$8,$NN$8/$NT$8)),0)</f>
        <v/>
      </c>
      <c r="LC8" s="228">
        <f>IF(AND(311&gt;=$NR$8,311&lt;=$NS$8),IF($NP$8="Single_Point",IF(311=$NR$8,$NN$8,0),IF($NP$8="Bell_Curve",$NN$8*(311-$NR$8+1)*($NS$8-311+1)/$NU$8,$NN$8/$NT$8)),0)</f>
        <v/>
      </c>
      <c r="LD8" s="228">
        <f>IF(AND(312&gt;=$NR$8,312&lt;=$NS$8),IF($NP$8="Single_Point",IF(312=$NR$8,$NN$8,0),IF($NP$8="Bell_Curve",$NN$8*(312-$NR$8+1)*($NS$8-312+1)/$NU$8,$NN$8/$NT$8)),0)</f>
        <v/>
      </c>
      <c r="LE8" s="228">
        <f>IF(AND(313&gt;=$NR$8,313&lt;=$NS$8),IF($NP$8="Single_Point",IF(313=$NR$8,$NN$8,0),IF($NP$8="Bell_Curve",$NN$8*(313-$NR$8+1)*($NS$8-313+1)/$NU$8,$NN$8/$NT$8)),0)</f>
        <v/>
      </c>
      <c r="LF8" s="228">
        <f>IF(AND(314&gt;=$NR$8,314&lt;=$NS$8),IF($NP$8="Single_Point",IF(314=$NR$8,$NN$8,0),IF($NP$8="Bell_Curve",$NN$8*(314-$NR$8+1)*($NS$8-314+1)/$NU$8,$NN$8/$NT$8)),0)</f>
        <v/>
      </c>
      <c r="LG8" s="228">
        <f>IF(AND(315&gt;=$NR$8,315&lt;=$NS$8),IF($NP$8="Single_Point",IF(315=$NR$8,$NN$8,0),IF($NP$8="Bell_Curve",$NN$8*(315-$NR$8+1)*($NS$8-315+1)/$NU$8,$NN$8/$NT$8)),0)</f>
        <v/>
      </c>
      <c r="LH8" s="228">
        <f>IF(AND(316&gt;=$NR$8,316&lt;=$NS$8),IF($NP$8="Single_Point",IF(316=$NR$8,$NN$8,0),IF($NP$8="Bell_Curve",$NN$8*(316-$NR$8+1)*($NS$8-316+1)/$NU$8,$NN$8/$NT$8)),0)</f>
        <v/>
      </c>
      <c r="LI8" s="228">
        <f>IF(AND(317&gt;=$NR$8,317&lt;=$NS$8),IF($NP$8="Single_Point",IF(317=$NR$8,$NN$8,0),IF($NP$8="Bell_Curve",$NN$8*(317-$NR$8+1)*($NS$8-317+1)/$NU$8,$NN$8/$NT$8)),0)</f>
        <v/>
      </c>
      <c r="LJ8" s="228">
        <f>IF(AND(318&gt;=$NR$8,318&lt;=$NS$8),IF($NP$8="Single_Point",IF(318=$NR$8,$NN$8,0),IF($NP$8="Bell_Curve",$NN$8*(318-$NR$8+1)*($NS$8-318+1)/$NU$8,$NN$8/$NT$8)),0)</f>
        <v/>
      </c>
      <c r="LK8" s="228">
        <f>IF(AND(319&gt;=$NR$8,319&lt;=$NS$8),IF($NP$8="Single_Point",IF(319=$NR$8,$NN$8,0),IF($NP$8="Bell_Curve",$NN$8*(319-$NR$8+1)*($NS$8-319+1)/$NU$8,$NN$8/$NT$8)),0)</f>
        <v/>
      </c>
      <c r="LL8" s="228">
        <f>IF(AND(320&gt;=$NR$8,320&lt;=$NS$8),IF($NP$8="Single_Point",IF(320=$NR$8,$NN$8,0),IF($NP$8="Bell_Curve",$NN$8*(320-$NR$8+1)*($NS$8-320+1)/$NU$8,$NN$8/$NT$8)),0)</f>
        <v/>
      </c>
      <c r="LM8" s="228">
        <f>IF(AND(321&gt;=$NR$8,321&lt;=$NS$8),IF($NP$8="Single_Point",IF(321=$NR$8,$NN$8,0),IF($NP$8="Bell_Curve",$NN$8*(321-$NR$8+1)*($NS$8-321+1)/$NU$8,$NN$8/$NT$8)),0)</f>
        <v/>
      </c>
      <c r="LN8" s="228">
        <f>IF(AND(322&gt;=$NR$8,322&lt;=$NS$8),IF($NP$8="Single_Point",IF(322=$NR$8,$NN$8,0),IF($NP$8="Bell_Curve",$NN$8*(322-$NR$8+1)*($NS$8-322+1)/$NU$8,$NN$8/$NT$8)),0)</f>
        <v/>
      </c>
      <c r="LO8" s="228">
        <f>IF(AND(323&gt;=$NR$8,323&lt;=$NS$8),IF($NP$8="Single_Point",IF(323=$NR$8,$NN$8,0),IF($NP$8="Bell_Curve",$NN$8*(323-$NR$8+1)*($NS$8-323+1)/$NU$8,$NN$8/$NT$8)),0)</f>
        <v/>
      </c>
      <c r="LP8" s="228">
        <f>IF(AND(324&gt;=$NR$8,324&lt;=$NS$8),IF($NP$8="Single_Point",IF(324=$NR$8,$NN$8,0),IF($NP$8="Bell_Curve",$NN$8*(324-$NR$8+1)*($NS$8-324+1)/$NU$8,$NN$8/$NT$8)),0)</f>
        <v/>
      </c>
      <c r="LQ8" s="228">
        <f>IF(AND(325&gt;=$NR$8,325&lt;=$NS$8),IF($NP$8="Single_Point",IF(325=$NR$8,$NN$8,0),IF($NP$8="Bell_Curve",$NN$8*(325-$NR$8+1)*($NS$8-325+1)/$NU$8,$NN$8/$NT$8)),0)</f>
        <v/>
      </c>
      <c r="LR8" s="228">
        <f>IF(AND(326&gt;=$NR$8,326&lt;=$NS$8),IF($NP$8="Single_Point",IF(326=$NR$8,$NN$8,0),IF($NP$8="Bell_Curve",$NN$8*(326-$NR$8+1)*($NS$8-326+1)/$NU$8,$NN$8/$NT$8)),0)</f>
        <v/>
      </c>
      <c r="LS8" s="228">
        <f>IF(AND(327&gt;=$NR$8,327&lt;=$NS$8),IF($NP$8="Single_Point",IF(327=$NR$8,$NN$8,0),IF($NP$8="Bell_Curve",$NN$8*(327-$NR$8+1)*($NS$8-327+1)/$NU$8,$NN$8/$NT$8)),0)</f>
        <v/>
      </c>
      <c r="LT8" s="228">
        <f>IF(AND(328&gt;=$NR$8,328&lt;=$NS$8),IF($NP$8="Single_Point",IF(328=$NR$8,$NN$8,0),IF($NP$8="Bell_Curve",$NN$8*(328-$NR$8+1)*($NS$8-328+1)/$NU$8,$NN$8/$NT$8)),0)</f>
        <v/>
      </c>
      <c r="LU8" s="228">
        <f>IF(AND(329&gt;=$NR$8,329&lt;=$NS$8),IF($NP$8="Single_Point",IF(329=$NR$8,$NN$8,0),IF($NP$8="Bell_Curve",$NN$8*(329-$NR$8+1)*($NS$8-329+1)/$NU$8,$NN$8/$NT$8)),0)</f>
        <v/>
      </c>
      <c r="LV8" s="228">
        <f>IF(AND(330&gt;=$NR$8,330&lt;=$NS$8),IF($NP$8="Single_Point",IF(330=$NR$8,$NN$8,0),IF($NP$8="Bell_Curve",$NN$8*(330-$NR$8+1)*($NS$8-330+1)/$NU$8,$NN$8/$NT$8)),0)</f>
        <v/>
      </c>
      <c r="LW8" s="228">
        <f>IF(AND(331&gt;=$NR$8,331&lt;=$NS$8),IF($NP$8="Single_Point",IF(331=$NR$8,$NN$8,0),IF($NP$8="Bell_Curve",$NN$8*(331-$NR$8+1)*($NS$8-331+1)/$NU$8,$NN$8/$NT$8)),0)</f>
        <v/>
      </c>
      <c r="LX8" s="228">
        <f>IF(AND(332&gt;=$NR$8,332&lt;=$NS$8),IF($NP$8="Single_Point",IF(332=$NR$8,$NN$8,0),IF($NP$8="Bell_Curve",$NN$8*(332-$NR$8+1)*($NS$8-332+1)/$NU$8,$NN$8/$NT$8)),0)</f>
        <v/>
      </c>
      <c r="LY8" s="228">
        <f>IF(AND(333&gt;=$NR$8,333&lt;=$NS$8),IF($NP$8="Single_Point",IF(333=$NR$8,$NN$8,0),IF($NP$8="Bell_Curve",$NN$8*(333-$NR$8+1)*($NS$8-333+1)/$NU$8,$NN$8/$NT$8)),0)</f>
        <v/>
      </c>
      <c r="LZ8" s="228">
        <f>IF(AND(334&gt;=$NR$8,334&lt;=$NS$8),IF($NP$8="Single_Point",IF(334=$NR$8,$NN$8,0),IF($NP$8="Bell_Curve",$NN$8*(334-$NR$8+1)*($NS$8-334+1)/$NU$8,$NN$8/$NT$8)),0)</f>
        <v/>
      </c>
      <c r="MA8" s="228">
        <f>IF(AND(335&gt;=$NR$8,335&lt;=$NS$8),IF($NP$8="Single_Point",IF(335=$NR$8,$NN$8,0),IF($NP$8="Bell_Curve",$NN$8*(335-$NR$8+1)*($NS$8-335+1)/$NU$8,$NN$8/$NT$8)),0)</f>
        <v/>
      </c>
      <c r="MB8" s="228">
        <f>IF(AND(336&gt;=$NR$8,336&lt;=$NS$8),IF($NP$8="Single_Point",IF(336=$NR$8,$NN$8,0),IF($NP$8="Bell_Curve",$NN$8*(336-$NR$8+1)*($NS$8-336+1)/$NU$8,$NN$8/$NT$8)),0)</f>
        <v/>
      </c>
      <c r="MC8" s="228">
        <f>IF(AND(337&gt;=$NR$8,337&lt;=$NS$8),IF($NP$8="Single_Point",IF(337=$NR$8,$NN$8,0),IF($NP$8="Bell_Curve",$NN$8*(337-$NR$8+1)*($NS$8-337+1)/$NU$8,$NN$8/$NT$8)),0)</f>
        <v/>
      </c>
      <c r="MD8" s="228">
        <f>IF(AND(338&gt;=$NR$8,338&lt;=$NS$8),IF($NP$8="Single_Point",IF(338=$NR$8,$NN$8,0),IF($NP$8="Bell_Curve",$NN$8*(338-$NR$8+1)*($NS$8-338+1)/$NU$8,$NN$8/$NT$8)),0)</f>
        <v/>
      </c>
      <c r="ME8" s="228">
        <f>IF(AND(339&gt;=$NR$8,339&lt;=$NS$8),IF($NP$8="Single_Point",IF(339=$NR$8,$NN$8,0),IF($NP$8="Bell_Curve",$NN$8*(339-$NR$8+1)*($NS$8-339+1)/$NU$8,$NN$8/$NT$8)),0)</f>
        <v/>
      </c>
      <c r="MF8" s="228">
        <f>IF(AND(340&gt;=$NR$8,340&lt;=$NS$8),IF($NP$8="Single_Point",IF(340=$NR$8,$NN$8,0),IF($NP$8="Bell_Curve",$NN$8*(340-$NR$8+1)*($NS$8-340+1)/$NU$8,$NN$8/$NT$8)),0)</f>
        <v/>
      </c>
      <c r="MG8" s="228">
        <f>IF(AND(341&gt;=$NR$8,341&lt;=$NS$8),IF($NP$8="Single_Point",IF(341=$NR$8,$NN$8,0),IF($NP$8="Bell_Curve",$NN$8*(341-$NR$8+1)*($NS$8-341+1)/$NU$8,$NN$8/$NT$8)),0)</f>
        <v/>
      </c>
      <c r="MH8" s="228">
        <f>IF(AND(342&gt;=$NR$8,342&lt;=$NS$8),IF($NP$8="Single_Point",IF(342=$NR$8,$NN$8,0),IF($NP$8="Bell_Curve",$NN$8*(342-$NR$8+1)*($NS$8-342+1)/$NU$8,$NN$8/$NT$8)),0)</f>
        <v/>
      </c>
      <c r="MI8" s="228">
        <f>IF(AND(343&gt;=$NR$8,343&lt;=$NS$8),IF($NP$8="Single_Point",IF(343=$NR$8,$NN$8,0),IF($NP$8="Bell_Curve",$NN$8*(343-$NR$8+1)*($NS$8-343+1)/$NU$8,$NN$8/$NT$8)),0)</f>
        <v/>
      </c>
      <c r="MJ8" s="228">
        <f>IF(AND(344&gt;=$NR$8,344&lt;=$NS$8),IF($NP$8="Single_Point",IF(344=$NR$8,$NN$8,0),IF($NP$8="Bell_Curve",$NN$8*(344-$NR$8+1)*($NS$8-344+1)/$NU$8,$NN$8/$NT$8)),0)</f>
        <v/>
      </c>
      <c r="MK8" s="228">
        <f>IF(AND(345&gt;=$NR$8,345&lt;=$NS$8),IF($NP$8="Single_Point",IF(345=$NR$8,$NN$8,0),IF($NP$8="Bell_Curve",$NN$8*(345-$NR$8+1)*($NS$8-345+1)/$NU$8,$NN$8/$NT$8)),0)</f>
        <v/>
      </c>
      <c r="ML8" s="228">
        <f>IF(AND(346&gt;=$NR$8,346&lt;=$NS$8),IF($NP$8="Single_Point",IF(346=$NR$8,$NN$8,0),IF($NP$8="Bell_Curve",$NN$8*(346-$NR$8+1)*($NS$8-346+1)/$NU$8,$NN$8/$NT$8)),0)</f>
        <v/>
      </c>
      <c r="MM8" s="228">
        <f>IF(AND(347&gt;=$NR$8,347&lt;=$NS$8),IF($NP$8="Single_Point",IF(347=$NR$8,$NN$8,0),IF($NP$8="Bell_Curve",$NN$8*(347-$NR$8+1)*($NS$8-347+1)/$NU$8,$NN$8/$NT$8)),0)</f>
        <v/>
      </c>
      <c r="MN8" s="228">
        <f>IF(AND(348&gt;=$NR$8,348&lt;=$NS$8),IF($NP$8="Single_Point",IF(348=$NR$8,$NN$8,0),IF($NP$8="Bell_Curve",$NN$8*(348-$NR$8+1)*($NS$8-348+1)/$NU$8,$NN$8/$NT$8)),0)</f>
        <v/>
      </c>
      <c r="MO8" s="228">
        <f>IF(AND(349&gt;=$NR$8,349&lt;=$NS$8),IF($NP$8="Single_Point",IF(349=$NR$8,$NN$8,0),IF($NP$8="Bell_Curve",$NN$8*(349-$NR$8+1)*($NS$8-349+1)/$NU$8,$NN$8/$NT$8)),0)</f>
        <v/>
      </c>
      <c r="MP8" s="228">
        <f>IF(AND(350&gt;=$NR$8,350&lt;=$NS$8),IF($NP$8="Single_Point",IF(350=$NR$8,$NN$8,0),IF($NP$8="Bell_Curve",$NN$8*(350-$NR$8+1)*($NS$8-350+1)/$NU$8,$NN$8/$NT$8)),0)</f>
        <v/>
      </c>
      <c r="MQ8" s="228">
        <f>IF(AND(351&gt;=$NR$8,351&lt;=$NS$8),IF($NP$8="Single_Point",IF(351=$NR$8,$NN$8,0),IF($NP$8="Bell_Curve",$NN$8*(351-$NR$8+1)*($NS$8-351+1)/$NU$8,$NN$8/$NT$8)),0)</f>
        <v/>
      </c>
      <c r="MR8" s="228">
        <f>IF(AND(352&gt;=$NR$8,352&lt;=$NS$8),IF($NP$8="Single_Point",IF(352=$NR$8,$NN$8,0),IF($NP$8="Bell_Curve",$NN$8*(352-$NR$8+1)*($NS$8-352+1)/$NU$8,$NN$8/$NT$8)),0)</f>
        <v/>
      </c>
      <c r="MS8" s="228">
        <f>IF(AND(353&gt;=$NR$8,353&lt;=$NS$8),IF($NP$8="Single_Point",IF(353=$NR$8,$NN$8,0),IF($NP$8="Bell_Curve",$NN$8*(353-$NR$8+1)*($NS$8-353+1)/$NU$8,$NN$8/$NT$8)),0)</f>
        <v/>
      </c>
      <c r="MT8" s="228">
        <f>IF(AND(354&gt;=$NR$8,354&lt;=$NS$8),IF($NP$8="Single_Point",IF(354=$NR$8,$NN$8,0),IF($NP$8="Bell_Curve",$NN$8*(354-$NR$8+1)*($NS$8-354+1)/$NU$8,$NN$8/$NT$8)),0)</f>
        <v/>
      </c>
      <c r="MU8" s="228">
        <f>IF(AND(355&gt;=$NR$8,355&lt;=$NS$8),IF($NP$8="Single_Point",IF(355=$NR$8,$NN$8,0),IF($NP$8="Bell_Curve",$NN$8*(355-$NR$8+1)*($NS$8-355+1)/$NU$8,$NN$8/$NT$8)),0)</f>
        <v/>
      </c>
      <c r="MV8" s="228">
        <f>IF(AND(356&gt;=$NR$8,356&lt;=$NS$8),IF($NP$8="Single_Point",IF(356=$NR$8,$NN$8,0),IF($NP$8="Bell_Curve",$NN$8*(356-$NR$8+1)*($NS$8-356+1)/$NU$8,$NN$8/$NT$8)),0)</f>
        <v/>
      </c>
      <c r="MW8" s="228">
        <f>IF(AND(357&gt;=$NR$8,357&lt;=$NS$8),IF($NP$8="Single_Point",IF(357=$NR$8,$NN$8,0),IF($NP$8="Bell_Curve",$NN$8*(357-$NR$8+1)*($NS$8-357+1)/$NU$8,$NN$8/$NT$8)),0)</f>
        <v/>
      </c>
      <c r="MX8" s="228">
        <f>IF(AND(358&gt;=$NR$8,358&lt;=$NS$8),IF($NP$8="Single_Point",IF(358=$NR$8,$NN$8,0),IF($NP$8="Bell_Curve",$NN$8*(358-$NR$8+1)*($NS$8-358+1)/$NU$8,$NN$8/$NT$8)),0)</f>
        <v/>
      </c>
      <c r="MY8" s="228">
        <f>IF(AND(359&gt;=$NR$8,359&lt;=$NS$8),IF($NP$8="Single_Point",IF(359=$NR$8,$NN$8,0),IF($NP$8="Bell_Curve",$NN$8*(359-$NR$8+1)*($NS$8-359+1)/$NU$8,$NN$8/$NT$8)),0)</f>
        <v/>
      </c>
      <c r="MZ8" s="228">
        <f>IF(AND(360&gt;=$NR$8,360&lt;=$NS$8),IF($NP$8="Single_Point",IF(360=$NR$8,$NN$8,0),IF($NP$8="Bell_Curve",$NN$8*(360-$NR$8+1)*($NS$8-360+1)/$NU$8,$NN$8/$NT$8)),0)</f>
        <v/>
      </c>
      <c r="NA8" s="228">
        <f>IF(AND(361&gt;=$NR$8,361&lt;=$NS$8),IF($NP$8="Single_Point",IF(361=$NR$8,$NN$8,0),IF($NP$8="Bell_Curve",$NN$8*(361-$NR$8+1)*($NS$8-361+1)/$NU$8,$NN$8/$NT$8)),0)</f>
        <v/>
      </c>
      <c r="NB8" s="228">
        <f>IF(AND(362&gt;=$NR$8,362&lt;=$NS$8),IF($NP$8="Single_Point",IF(362=$NR$8,$NN$8,0),IF($NP$8="Bell_Curve",$NN$8*(362-$NR$8+1)*($NS$8-362+1)/$NU$8,$NN$8/$NT$8)),0)</f>
        <v/>
      </c>
      <c r="NC8" s="228">
        <f>IF(AND(363&gt;=$NR$8,363&lt;=$NS$8),IF($NP$8="Single_Point",IF(363=$NR$8,$NN$8,0),IF($NP$8="Bell_Curve",$NN$8*(363-$NR$8+1)*($NS$8-363+1)/$NU$8,$NN$8/$NT$8)),0)</f>
        <v/>
      </c>
      <c r="ND8" s="228">
        <f>IF(AND(364&gt;=$NR$8,364&lt;=$NS$8),IF($NP$8="Single_Point",IF(364=$NR$8,$NN$8,0),IF($NP$8="Bell_Curve",$NN$8*(364-$NR$8+1)*($NS$8-364+1)/$NU$8,$NN$8/$NT$8)),0)</f>
        <v/>
      </c>
      <c r="NE8" s="228">
        <f>IF(AND(365&gt;=$NR$8,365&lt;=$NS$8),IF($NP$8="Single_Point",IF(365=$NR$8,$NN$8,0),IF($NP$8="Bell_Curve",$NN$8*(365-$NR$8+1)*($NS$8-365+1)/$NU$8,$NN$8/$NT$8)),0)</f>
        <v/>
      </c>
      <c r="NF8" s="228">
        <f>IF(AND(366&gt;=$NR$8,366&lt;=$NS$8),IF($NP$8="Single_Point",IF(366=$NR$8,$NN$8,0),IF($NP$8="Bell_Curve",$NN$8*(366-$NR$8+1)*($NS$8-366+1)/$NU$8,$NN$8/$NT$8)),0)</f>
        <v/>
      </c>
      <c r="NG8" s="228">
        <f>IF(AND(367&gt;=$NR$8,367&lt;=$NS$8),IF($NP$8="Single_Point",IF(367=$NR$8,$NN$8,0),IF($NP$8="Bell_Curve",$NN$8*(367-$NR$8+1)*($NS$8-367+1)/$NU$8,$NN$8/$NT$8)),0)</f>
        <v/>
      </c>
      <c r="NH8" s="228">
        <f>IF(AND(368&gt;=$NR$8,368&lt;=$NS$8),IF($NP$8="Single_Point",IF(368=$NR$8,$NN$8,0),IF($NP$8="Bell_Curve",$NN$8*(368-$NR$8+1)*($NS$8-368+1)/$NU$8,$NN$8/$NT$8)),0)</f>
        <v/>
      </c>
      <c r="NI8" s="228">
        <f>IF(AND(369&gt;=$NR$8,369&lt;=$NS$8),IF($NP$8="Single_Point",IF(369=$NR$8,$NN$8,0),IF($NP$8="Bell_Curve",$NN$8*(369-$NR$8+1)*($NS$8-369+1)/$NU$8,$NN$8/$NT$8)),0)</f>
        <v/>
      </c>
      <c r="NJ8" s="228">
        <f>IF(AND(370&gt;=$NR$8,370&lt;=$NS$8),IF($NP$8="Single_Point",IF(370=$NR$8,$NN$8,0),IF($NP$8="Bell_Curve",$NN$8*(370-$NR$8+1)*($NS$8-370+1)/$NU$8,$NN$8/$NT$8)),0)</f>
        <v/>
      </c>
      <c r="NK8" s="228">
        <f>IF(AND(371&gt;=$NR$8,371&lt;=$NS$8),IF($NP$8="Single_Point",IF(371=$NR$8,$NN$8,0),IF($NP$8="Bell_Curve",$NN$8*(371-$NR$8+1)*($NS$8-371+1)/$NU$8,$NN$8/$NT$8)),0)</f>
        <v/>
      </c>
      <c r="NL8" s="247">
        <f>IF(AND(372&gt;=$NR$8,372&lt;=$NS$8),IF($NP$8="Single_Point",IF(372=$NR$8,$NN$8,0),IF($NP$8="Bell_Curve",$NN$8*(372-$NR$8+1)*($NS$8-372+1)/$NU$8,$NN$8/$NT$8)),0)</f>
        <v/>
      </c>
      <c r="NN8" s="218">
        <f>Budget!J7</f>
        <v/>
      </c>
      <c r="NO8" s="144">
        <f>Budget!G7</f>
        <v/>
      </c>
      <c r="NP8" s="144">
        <f>Budget!H7</f>
        <v/>
      </c>
      <c r="NQ8" s="85">
        <f>Budget!I7</f>
        <v/>
      </c>
      <c r="NR8" s="248">
        <f>MAX(1,MIN(372,INDEX(MilestoneStart,MATCH(NO8,MilestoneNames,0))+NQ8))</f>
        <v/>
      </c>
      <c r="NS8" s="248">
        <f>MAX(NR8,MIN(372,INDEX(MilestoneEnd,MATCH(NO8,MilestoneNames,0))+NQ8))</f>
        <v/>
      </c>
      <c r="NT8" s="85">
        <f>NS8-NR8+1</f>
        <v/>
      </c>
      <c r="NU8" s="85">
        <f>NT8*(NT8+1)*(NT8+2)/6</f>
        <v/>
      </c>
    </row>
    <row r="9">
      <c r="B9" s="36" t="inlineStr">
        <is>
          <t>Entitlements</t>
        </is>
      </c>
      <c r="D9" s="246">
        <f>SUM(E9:NL9)</f>
        <v/>
      </c>
      <c r="E9" s="228">
        <f>IF(AND(1&gt;=$NR$9,1&lt;=$NS$9),IF($NP$9="Single_Point",IF(1=$NR$9,$NN$9,0),IF($NP$9="Bell_Curve",$NN$9*(1-$NR$9+1)*($NS$9-1+1)/$NU$9,$NN$9/$NT$9)),0)</f>
        <v/>
      </c>
      <c r="F9" s="228">
        <f>IF(AND(2&gt;=$NR$9,2&lt;=$NS$9),IF($NP$9="Single_Point",IF(2=$NR$9,$NN$9,0),IF($NP$9="Bell_Curve",$NN$9*(2-$NR$9+1)*($NS$9-2+1)/$NU$9,$NN$9/$NT$9)),0)</f>
        <v/>
      </c>
      <c r="G9" s="228">
        <f>IF(AND(3&gt;=$NR$9,3&lt;=$NS$9),IF($NP$9="Single_Point",IF(3=$NR$9,$NN$9,0),IF($NP$9="Bell_Curve",$NN$9*(3-$NR$9+1)*($NS$9-3+1)/$NU$9,$NN$9/$NT$9)),0)</f>
        <v/>
      </c>
      <c r="H9" s="228">
        <f>IF(AND(4&gt;=$NR$9,4&lt;=$NS$9),IF($NP$9="Single_Point",IF(4=$NR$9,$NN$9,0),IF($NP$9="Bell_Curve",$NN$9*(4-$NR$9+1)*($NS$9-4+1)/$NU$9,$NN$9/$NT$9)),0)</f>
        <v/>
      </c>
      <c r="I9" s="228">
        <f>IF(AND(5&gt;=$NR$9,5&lt;=$NS$9),IF($NP$9="Single_Point",IF(5=$NR$9,$NN$9,0),IF($NP$9="Bell_Curve",$NN$9*(5-$NR$9+1)*($NS$9-5+1)/$NU$9,$NN$9/$NT$9)),0)</f>
        <v/>
      </c>
      <c r="J9" s="228">
        <f>IF(AND(6&gt;=$NR$9,6&lt;=$NS$9),IF($NP$9="Single_Point",IF(6=$NR$9,$NN$9,0),IF($NP$9="Bell_Curve",$NN$9*(6-$NR$9+1)*($NS$9-6+1)/$NU$9,$NN$9/$NT$9)),0)</f>
        <v/>
      </c>
      <c r="K9" s="228">
        <f>IF(AND(7&gt;=$NR$9,7&lt;=$NS$9),IF($NP$9="Single_Point",IF(7=$NR$9,$NN$9,0),IF($NP$9="Bell_Curve",$NN$9*(7-$NR$9+1)*($NS$9-7+1)/$NU$9,$NN$9/$NT$9)),0)</f>
        <v/>
      </c>
      <c r="L9" s="228">
        <f>IF(AND(8&gt;=$NR$9,8&lt;=$NS$9),IF($NP$9="Single_Point",IF(8=$NR$9,$NN$9,0),IF($NP$9="Bell_Curve",$NN$9*(8-$NR$9+1)*($NS$9-8+1)/$NU$9,$NN$9/$NT$9)),0)</f>
        <v/>
      </c>
      <c r="M9" s="228">
        <f>IF(AND(9&gt;=$NR$9,9&lt;=$NS$9),IF($NP$9="Single_Point",IF(9=$NR$9,$NN$9,0),IF($NP$9="Bell_Curve",$NN$9*(9-$NR$9+1)*($NS$9-9+1)/$NU$9,$NN$9/$NT$9)),0)</f>
        <v/>
      </c>
      <c r="N9" s="228">
        <f>IF(AND(10&gt;=$NR$9,10&lt;=$NS$9),IF($NP$9="Single_Point",IF(10=$NR$9,$NN$9,0),IF($NP$9="Bell_Curve",$NN$9*(10-$NR$9+1)*($NS$9-10+1)/$NU$9,$NN$9/$NT$9)),0)</f>
        <v/>
      </c>
      <c r="O9" s="228">
        <f>IF(AND(11&gt;=$NR$9,11&lt;=$NS$9),IF($NP$9="Single_Point",IF(11=$NR$9,$NN$9,0),IF($NP$9="Bell_Curve",$NN$9*(11-$NR$9+1)*($NS$9-11+1)/$NU$9,$NN$9/$NT$9)),0)</f>
        <v/>
      </c>
      <c r="P9" s="228">
        <f>IF(AND(12&gt;=$NR$9,12&lt;=$NS$9),IF($NP$9="Single_Point",IF(12=$NR$9,$NN$9,0),IF($NP$9="Bell_Curve",$NN$9*(12-$NR$9+1)*($NS$9-12+1)/$NU$9,$NN$9/$NT$9)),0)</f>
        <v/>
      </c>
      <c r="Q9" s="228">
        <f>IF(AND(13&gt;=$NR$9,13&lt;=$NS$9),IF($NP$9="Single_Point",IF(13=$NR$9,$NN$9,0),IF($NP$9="Bell_Curve",$NN$9*(13-$NR$9+1)*($NS$9-13+1)/$NU$9,$NN$9/$NT$9)),0)</f>
        <v/>
      </c>
      <c r="R9" s="228">
        <f>IF(AND(14&gt;=$NR$9,14&lt;=$NS$9),IF($NP$9="Single_Point",IF(14=$NR$9,$NN$9,0),IF($NP$9="Bell_Curve",$NN$9*(14-$NR$9+1)*($NS$9-14+1)/$NU$9,$NN$9/$NT$9)),0)</f>
        <v/>
      </c>
      <c r="S9" s="228">
        <f>IF(AND(15&gt;=$NR$9,15&lt;=$NS$9),IF($NP$9="Single_Point",IF(15=$NR$9,$NN$9,0),IF($NP$9="Bell_Curve",$NN$9*(15-$NR$9+1)*($NS$9-15+1)/$NU$9,$NN$9/$NT$9)),0)</f>
        <v/>
      </c>
      <c r="T9" s="228">
        <f>IF(AND(16&gt;=$NR$9,16&lt;=$NS$9),IF($NP$9="Single_Point",IF(16=$NR$9,$NN$9,0),IF($NP$9="Bell_Curve",$NN$9*(16-$NR$9+1)*($NS$9-16+1)/$NU$9,$NN$9/$NT$9)),0)</f>
        <v/>
      </c>
      <c r="U9" s="228">
        <f>IF(AND(17&gt;=$NR$9,17&lt;=$NS$9),IF($NP$9="Single_Point",IF(17=$NR$9,$NN$9,0),IF($NP$9="Bell_Curve",$NN$9*(17-$NR$9+1)*($NS$9-17+1)/$NU$9,$NN$9/$NT$9)),0)</f>
        <v/>
      </c>
      <c r="V9" s="228">
        <f>IF(AND(18&gt;=$NR$9,18&lt;=$NS$9),IF($NP$9="Single_Point",IF(18=$NR$9,$NN$9,0),IF($NP$9="Bell_Curve",$NN$9*(18-$NR$9+1)*($NS$9-18+1)/$NU$9,$NN$9/$NT$9)),0)</f>
        <v/>
      </c>
      <c r="W9" s="228">
        <f>IF(AND(19&gt;=$NR$9,19&lt;=$NS$9),IF($NP$9="Single_Point",IF(19=$NR$9,$NN$9,0),IF($NP$9="Bell_Curve",$NN$9*(19-$NR$9+1)*($NS$9-19+1)/$NU$9,$NN$9/$NT$9)),0)</f>
        <v/>
      </c>
      <c r="X9" s="228">
        <f>IF(AND(20&gt;=$NR$9,20&lt;=$NS$9),IF($NP$9="Single_Point",IF(20=$NR$9,$NN$9,0),IF($NP$9="Bell_Curve",$NN$9*(20-$NR$9+1)*($NS$9-20+1)/$NU$9,$NN$9/$NT$9)),0)</f>
        <v/>
      </c>
      <c r="Y9" s="228">
        <f>IF(AND(21&gt;=$NR$9,21&lt;=$NS$9),IF($NP$9="Single_Point",IF(21=$NR$9,$NN$9,0),IF($NP$9="Bell_Curve",$NN$9*(21-$NR$9+1)*($NS$9-21+1)/$NU$9,$NN$9/$NT$9)),0)</f>
        <v/>
      </c>
      <c r="Z9" s="228">
        <f>IF(AND(22&gt;=$NR$9,22&lt;=$NS$9),IF($NP$9="Single_Point",IF(22=$NR$9,$NN$9,0),IF($NP$9="Bell_Curve",$NN$9*(22-$NR$9+1)*($NS$9-22+1)/$NU$9,$NN$9/$NT$9)),0)</f>
        <v/>
      </c>
      <c r="AA9" s="228">
        <f>IF(AND(23&gt;=$NR$9,23&lt;=$NS$9),IF($NP$9="Single_Point",IF(23=$NR$9,$NN$9,0),IF($NP$9="Bell_Curve",$NN$9*(23-$NR$9+1)*($NS$9-23+1)/$NU$9,$NN$9/$NT$9)),0)</f>
        <v/>
      </c>
      <c r="AB9" s="228">
        <f>IF(AND(24&gt;=$NR$9,24&lt;=$NS$9),IF($NP$9="Single_Point",IF(24=$NR$9,$NN$9,0),IF($NP$9="Bell_Curve",$NN$9*(24-$NR$9+1)*($NS$9-24+1)/$NU$9,$NN$9/$NT$9)),0)</f>
        <v/>
      </c>
      <c r="AC9" s="228">
        <f>IF(AND(25&gt;=$NR$9,25&lt;=$NS$9),IF($NP$9="Single_Point",IF(25=$NR$9,$NN$9,0),IF($NP$9="Bell_Curve",$NN$9*(25-$NR$9+1)*($NS$9-25+1)/$NU$9,$NN$9/$NT$9)),0)</f>
        <v/>
      </c>
      <c r="AD9" s="228">
        <f>IF(AND(26&gt;=$NR$9,26&lt;=$NS$9),IF($NP$9="Single_Point",IF(26=$NR$9,$NN$9,0),IF($NP$9="Bell_Curve",$NN$9*(26-$NR$9+1)*($NS$9-26+1)/$NU$9,$NN$9/$NT$9)),0)</f>
        <v/>
      </c>
      <c r="AE9" s="228">
        <f>IF(AND(27&gt;=$NR$9,27&lt;=$NS$9),IF($NP$9="Single_Point",IF(27=$NR$9,$NN$9,0),IF($NP$9="Bell_Curve",$NN$9*(27-$NR$9+1)*($NS$9-27+1)/$NU$9,$NN$9/$NT$9)),0)</f>
        <v/>
      </c>
      <c r="AF9" s="228">
        <f>IF(AND(28&gt;=$NR$9,28&lt;=$NS$9),IF($NP$9="Single_Point",IF(28=$NR$9,$NN$9,0),IF($NP$9="Bell_Curve",$NN$9*(28-$NR$9+1)*($NS$9-28+1)/$NU$9,$NN$9/$NT$9)),0)</f>
        <v/>
      </c>
      <c r="AG9" s="228">
        <f>IF(AND(29&gt;=$NR$9,29&lt;=$NS$9),IF($NP$9="Single_Point",IF(29=$NR$9,$NN$9,0),IF($NP$9="Bell_Curve",$NN$9*(29-$NR$9+1)*($NS$9-29+1)/$NU$9,$NN$9/$NT$9)),0)</f>
        <v/>
      </c>
      <c r="AH9" s="228">
        <f>IF(AND(30&gt;=$NR$9,30&lt;=$NS$9),IF($NP$9="Single_Point",IF(30=$NR$9,$NN$9,0),IF($NP$9="Bell_Curve",$NN$9*(30-$NR$9+1)*($NS$9-30+1)/$NU$9,$NN$9/$NT$9)),0)</f>
        <v/>
      </c>
      <c r="AI9" s="228">
        <f>IF(AND(31&gt;=$NR$9,31&lt;=$NS$9),IF($NP$9="Single_Point",IF(31=$NR$9,$NN$9,0),IF($NP$9="Bell_Curve",$NN$9*(31-$NR$9+1)*($NS$9-31+1)/$NU$9,$NN$9/$NT$9)),0)</f>
        <v/>
      </c>
      <c r="AJ9" s="228">
        <f>IF(AND(32&gt;=$NR$9,32&lt;=$NS$9),IF($NP$9="Single_Point",IF(32=$NR$9,$NN$9,0),IF($NP$9="Bell_Curve",$NN$9*(32-$NR$9+1)*($NS$9-32+1)/$NU$9,$NN$9/$NT$9)),0)</f>
        <v/>
      </c>
      <c r="AK9" s="228">
        <f>IF(AND(33&gt;=$NR$9,33&lt;=$NS$9),IF($NP$9="Single_Point",IF(33=$NR$9,$NN$9,0),IF($NP$9="Bell_Curve",$NN$9*(33-$NR$9+1)*($NS$9-33+1)/$NU$9,$NN$9/$NT$9)),0)</f>
        <v/>
      </c>
      <c r="AL9" s="228">
        <f>IF(AND(34&gt;=$NR$9,34&lt;=$NS$9),IF($NP$9="Single_Point",IF(34=$NR$9,$NN$9,0),IF($NP$9="Bell_Curve",$NN$9*(34-$NR$9+1)*($NS$9-34+1)/$NU$9,$NN$9/$NT$9)),0)</f>
        <v/>
      </c>
      <c r="AM9" s="228">
        <f>IF(AND(35&gt;=$NR$9,35&lt;=$NS$9),IF($NP$9="Single_Point",IF(35=$NR$9,$NN$9,0),IF($NP$9="Bell_Curve",$NN$9*(35-$NR$9+1)*($NS$9-35+1)/$NU$9,$NN$9/$NT$9)),0)</f>
        <v/>
      </c>
      <c r="AN9" s="228">
        <f>IF(AND(36&gt;=$NR$9,36&lt;=$NS$9),IF($NP$9="Single_Point",IF(36=$NR$9,$NN$9,0),IF($NP$9="Bell_Curve",$NN$9*(36-$NR$9+1)*($NS$9-36+1)/$NU$9,$NN$9/$NT$9)),0)</f>
        <v/>
      </c>
      <c r="AO9" s="228">
        <f>IF(AND(37&gt;=$NR$9,37&lt;=$NS$9),IF($NP$9="Single_Point",IF(37=$NR$9,$NN$9,0),IF($NP$9="Bell_Curve",$NN$9*(37-$NR$9+1)*($NS$9-37+1)/$NU$9,$NN$9/$NT$9)),0)</f>
        <v/>
      </c>
      <c r="AP9" s="228">
        <f>IF(AND(38&gt;=$NR$9,38&lt;=$NS$9),IF($NP$9="Single_Point",IF(38=$NR$9,$NN$9,0),IF($NP$9="Bell_Curve",$NN$9*(38-$NR$9+1)*($NS$9-38+1)/$NU$9,$NN$9/$NT$9)),0)</f>
        <v/>
      </c>
      <c r="AQ9" s="228">
        <f>IF(AND(39&gt;=$NR$9,39&lt;=$NS$9),IF($NP$9="Single_Point",IF(39=$NR$9,$NN$9,0),IF($NP$9="Bell_Curve",$NN$9*(39-$NR$9+1)*($NS$9-39+1)/$NU$9,$NN$9/$NT$9)),0)</f>
        <v/>
      </c>
      <c r="AR9" s="228">
        <f>IF(AND(40&gt;=$NR$9,40&lt;=$NS$9),IF($NP$9="Single_Point",IF(40=$NR$9,$NN$9,0),IF($NP$9="Bell_Curve",$NN$9*(40-$NR$9+1)*($NS$9-40+1)/$NU$9,$NN$9/$NT$9)),0)</f>
        <v/>
      </c>
      <c r="AS9" s="228">
        <f>IF(AND(41&gt;=$NR$9,41&lt;=$NS$9),IF($NP$9="Single_Point",IF(41=$NR$9,$NN$9,0),IF($NP$9="Bell_Curve",$NN$9*(41-$NR$9+1)*($NS$9-41+1)/$NU$9,$NN$9/$NT$9)),0)</f>
        <v/>
      </c>
      <c r="AT9" s="228">
        <f>IF(AND(42&gt;=$NR$9,42&lt;=$NS$9),IF($NP$9="Single_Point",IF(42=$NR$9,$NN$9,0),IF($NP$9="Bell_Curve",$NN$9*(42-$NR$9+1)*($NS$9-42+1)/$NU$9,$NN$9/$NT$9)),0)</f>
        <v/>
      </c>
      <c r="AU9" s="228">
        <f>IF(AND(43&gt;=$NR$9,43&lt;=$NS$9),IF($NP$9="Single_Point",IF(43=$NR$9,$NN$9,0),IF($NP$9="Bell_Curve",$NN$9*(43-$NR$9+1)*($NS$9-43+1)/$NU$9,$NN$9/$NT$9)),0)</f>
        <v/>
      </c>
      <c r="AV9" s="228">
        <f>IF(AND(44&gt;=$NR$9,44&lt;=$NS$9),IF($NP$9="Single_Point",IF(44=$NR$9,$NN$9,0),IF($NP$9="Bell_Curve",$NN$9*(44-$NR$9+1)*($NS$9-44+1)/$NU$9,$NN$9/$NT$9)),0)</f>
        <v/>
      </c>
      <c r="AW9" s="228">
        <f>IF(AND(45&gt;=$NR$9,45&lt;=$NS$9),IF($NP$9="Single_Point",IF(45=$NR$9,$NN$9,0),IF($NP$9="Bell_Curve",$NN$9*(45-$NR$9+1)*($NS$9-45+1)/$NU$9,$NN$9/$NT$9)),0)</f>
        <v/>
      </c>
      <c r="AX9" s="228">
        <f>IF(AND(46&gt;=$NR$9,46&lt;=$NS$9),IF($NP$9="Single_Point",IF(46=$NR$9,$NN$9,0),IF($NP$9="Bell_Curve",$NN$9*(46-$NR$9+1)*($NS$9-46+1)/$NU$9,$NN$9/$NT$9)),0)</f>
        <v/>
      </c>
      <c r="AY9" s="228">
        <f>IF(AND(47&gt;=$NR$9,47&lt;=$NS$9),IF($NP$9="Single_Point",IF(47=$NR$9,$NN$9,0),IF($NP$9="Bell_Curve",$NN$9*(47-$NR$9+1)*($NS$9-47+1)/$NU$9,$NN$9/$NT$9)),0)</f>
        <v/>
      </c>
      <c r="AZ9" s="228">
        <f>IF(AND(48&gt;=$NR$9,48&lt;=$NS$9),IF($NP$9="Single_Point",IF(48=$NR$9,$NN$9,0),IF($NP$9="Bell_Curve",$NN$9*(48-$NR$9+1)*($NS$9-48+1)/$NU$9,$NN$9/$NT$9)),0)</f>
        <v/>
      </c>
      <c r="BA9" s="228">
        <f>IF(AND(49&gt;=$NR$9,49&lt;=$NS$9),IF($NP$9="Single_Point",IF(49=$NR$9,$NN$9,0),IF($NP$9="Bell_Curve",$NN$9*(49-$NR$9+1)*($NS$9-49+1)/$NU$9,$NN$9/$NT$9)),0)</f>
        <v/>
      </c>
      <c r="BB9" s="228">
        <f>IF(AND(50&gt;=$NR$9,50&lt;=$NS$9),IF($NP$9="Single_Point",IF(50=$NR$9,$NN$9,0),IF($NP$9="Bell_Curve",$NN$9*(50-$NR$9+1)*($NS$9-50+1)/$NU$9,$NN$9/$NT$9)),0)</f>
        <v/>
      </c>
      <c r="BC9" s="228">
        <f>IF(AND(51&gt;=$NR$9,51&lt;=$NS$9),IF($NP$9="Single_Point",IF(51=$NR$9,$NN$9,0),IF($NP$9="Bell_Curve",$NN$9*(51-$NR$9+1)*($NS$9-51+1)/$NU$9,$NN$9/$NT$9)),0)</f>
        <v/>
      </c>
      <c r="BD9" s="228">
        <f>IF(AND(52&gt;=$NR$9,52&lt;=$NS$9),IF($NP$9="Single_Point",IF(52=$NR$9,$NN$9,0),IF($NP$9="Bell_Curve",$NN$9*(52-$NR$9+1)*($NS$9-52+1)/$NU$9,$NN$9/$NT$9)),0)</f>
        <v/>
      </c>
      <c r="BE9" s="228">
        <f>IF(AND(53&gt;=$NR$9,53&lt;=$NS$9),IF($NP$9="Single_Point",IF(53=$NR$9,$NN$9,0),IF($NP$9="Bell_Curve",$NN$9*(53-$NR$9+1)*($NS$9-53+1)/$NU$9,$NN$9/$NT$9)),0)</f>
        <v/>
      </c>
      <c r="BF9" s="228">
        <f>IF(AND(54&gt;=$NR$9,54&lt;=$NS$9),IF($NP$9="Single_Point",IF(54=$NR$9,$NN$9,0),IF($NP$9="Bell_Curve",$NN$9*(54-$NR$9+1)*($NS$9-54+1)/$NU$9,$NN$9/$NT$9)),0)</f>
        <v/>
      </c>
      <c r="BG9" s="228">
        <f>IF(AND(55&gt;=$NR$9,55&lt;=$NS$9),IF($NP$9="Single_Point",IF(55=$NR$9,$NN$9,0),IF($NP$9="Bell_Curve",$NN$9*(55-$NR$9+1)*($NS$9-55+1)/$NU$9,$NN$9/$NT$9)),0)</f>
        <v/>
      </c>
      <c r="BH9" s="228">
        <f>IF(AND(56&gt;=$NR$9,56&lt;=$NS$9),IF($NP$9="Single_Point",IF(56=$NR$9,$NN$9,0),IF($NP$9="Bell_Curve",$NN$9*(56-$NR$9+1)*($NS$9-56+1)/$NU$9,$NN$9/$NT$9)),0)</f>
        <v/>
      </c>
      <c r="BI9" s="228">
        <f>IF(AND(57&gt;=$NR$9,57&lt;=$NS$9),IF($NP$9="Single_Point",IF(57=$NR$9,$NN$9,0),IF($NP$9="Bell_Curve",$NN$9*(57-$NR$9+1)*($NS$9-57+1)/$NU$9,$NN$9/$NT$9)),0)</f>
        <v/>
      </c>
      <c r="BJ9" s="228">
        <f>IF(AND(58&gt;=$NR$9,58&lt;=$NS$9),IF($NP$9="Single_Point",IF(58=$NR$9,$NN$9,0),IF($NP$9="Bell_Curve",$NN$9*(58-$NR$9+1)*($NS$9-58+1)/$NU$9,$NN$9/$NT$9)),0)</f>
        <v/>
      </c>
      <c r="BK9" s="228">
        <f>IF(AND(59&gt;=$NR$9,59&lt;=$NS$9),IF($NP$9="Single_Point",IF(59=$NR$9,$NN$9,0),IF($NP$9="Bell_Curve",$NN$9*(59-$NR$9+1)*($NS$9-59+1)/$NU$9,$NN$9/$NT$9)),0)</f>
        <v/>
      </c>
      <c r="BL9" s="228">
        <f>IF(AND(60&gt;=$NR$9,60&lt;=$NS$9),IF($NP$9="Single_Point",IF(60=$NR$9,$NN$9,0),IF($NP$9="Bell_Curve",$NN$9*(60-$NR$9+1)*($NS$9-60+1)/$NU$9,$NN$9/$NT$9)),0)</f>
        <v/>
      </c>
      <c r="BM9" s="228">
        <f>IF(AND(61&gt;=$NR$9,61&lt;=$NS$9),IF($NP$9="Single_Point",IF(61=$NR$9,$NN$9,0),IF($NP$9="Bell_Curve",$NN$9*(61-$NR$9+1)*($NS$9-61+1)/$NU$9,$NN$9/$NT$9)),0)</f>
        <v/>
      </c>
      <c r="BN9" s="228">
        <f>IF(AND(62&gt;=$NR$9,62&lt;=$NS$9),IF($NP$9="Single_Point",IF(62=$NR$9,$NN$9,0),IF($NP$9="Bell_Curve",$NN$9*(62-$NR$9+1)*($NS$9-62+1)/$NU$9,$NN$9/$NT$9)),0)</f>
        <v/>
      </c>
      <c r="BO9" s="228">
        <f>IF(AND(63&gt;=$NR$9,63&lt;=$NS$9),IF($NP$9="Single_Point",IF(63=$NR$9,$NN$9,0),IF($NP$9="Bell_Curve",$NN$9*(63-$NR$9+1)*($NS$9-63+1)/$NU$9,$NN$9/$NT$9)),0)</f>
        <v/>
      </c>
      <c r="BP9" s="228">
        <f>IF(AND(64&gt;=$NR$9,64&lt;=$NS$9),IF($NP$9="Single_Point",IF(64=$NR$9,$NN$9,0),IF($NP$9="Bell_Curve",$NN$9*(64-$NR$9+1)*($NS$9-64+1)/$NU$9,$NN$9/$NT$9)),0)</f>
        <v/>
      </c>
      <c r="BQ9" s="228">
        <f>IF(AND(65&gt;=$NR$9,65&lt;=$NS$9),IF($NP$9="Single_Point",IF(65=$NR$9,$NN$9,0),IF($NP$9="Bell_Curve",$NN$9*(65-$NR$9+1)*($NS$9-65+1)/$NU$9,$NN$9/$NT$9)),0)</f>
        <v/>
      </c>
      <c r="BR9" s="228">
        <f>IF(AND(66&gt;=$NR$9,66&lt;=$NS$9),IF($NP$9="Single_Point",IF(66=$NR$9,$NN$9,0),IF($NP$9="Bell_Curve",$NN$9*(66-$NR$9+1)*($NS$9-66+1)/$NU$9,$NN$9/$NT$9)),0)</f>
        <v/>
      </c>
      <c r="BS9" s="228">
        <f>IF(AND(67&gt;=$NR$9,67&lt;=$NS$9),IF($NP$9="Single_Point",IF(67=$NR$9,$NN$9,0),IF($NP$9="Bell_Curve",$NN$9*(67-$NR$9+1)*($NS$9-67+1)/$NU$9,$NN$9/$NT$9)),0)</f>
        <v/>
      </c>
      <c r="BT9" s="228">
        <f>IF(AND(68&gt;=$NR$9,68&lt;=$NS$9),IF($NP$9="Single_Point",IF(68=$NR$9,$NN$9,0),IF($NP$9="Bell_Curve",$NN$9*(68-$NR$9+1)*($NS$9-68+1)/$NU$9,$NN$9/$NT$9)),0)</f>
        <v/>
      </c>
      <c r="BU9" s="228">
        <f>IF(AND(69&gt;=$NR$9,69&lt;=$NS$9),IF($NP$9="Single_Point",IF(69=$NR$9,$NN$9,0),IF($NP$9="Bell_Curve",$NN$9*(69-$NR$9+1)*($NS$9-69+1)/$NU$9,$NN$9/$NT$9)),0)</f>
        <v/>
      </c>
      <c r="BV9" s="228">
        <f>IF(AND(70&gt;=$NR$9,70&lt;=$NS$9),IF($NP$9="Single_Point",IF(70=$NR$9,$NN$9,0),IF($NP$9="Bell_Curve",$NN$9*(70-$NR$9+1)*($NS$9-70+1)/$NU$9,$NN$9/$NT$9)),0)</f>
        <v/>
      </c>
      <c r="BW9" s="228">
        <f>IF(AND(71&gt;=$NR$9,71&lt;=$NS$9),IF($NP$9="Single_Point",IF(71=$NR$9,$NN$9,0),IF($NP$9="Bell_Curve",$NN$9*(71-$NR$9+1)*($NS$9-71+1)/$NU$9,$NN$9/$NT$9)),0)</f>
        <v/>
      </c>
      <c r="BX9" s="228">
        <f>IF(AND(72&gt;=$NR$9,72&lt;=$NS$9),IF($NP$9="Single_Point",IF(72=$NR$9,$NN$9,0),IF($NP$9="Bell_Curve",$NN$9*(72-$NR$9+1)*($NS$9-72+1)/$NU$9,$NN$9/$NT$9)),0)</f>
        <v/>
      </c>
      <c r="BY9" s="228">
        <f>IF(AND(73&gt;=$NR$9,73&lt;=$NS$9),IF($NP$9="Single_Point",IF(73=$NR$9,$NN$9,0),IF($NP$9="Bell_Curve",$NN$9*(73-$NR$9+1)*($NS$9-73+1)/$NU$9,$NN$9/$NT$9)),0)</f>
        <v/>
      </c>
      <c r="BZ9" s="228">
        <f>IF(AND(74&gt;=$NR$9,74&lt;=$NS$9),IF($NP$9="Single_Point",IF(74=$NR$9,$NN$9,0),IF($NP$9="Bell_Curve",$NN$9*(74-$NR$9+1)*($NS$9-74+1)/$NU$9,$NN$9/$NT$9)),0)</f>
        <v/>
      </c>
      <c r="CA9" s="228">
        <f>IF(AND(75&gt;=$NR$9,75&lt;=$NS$9),IF($NP$9="Single_Point",IF(75=$NR$9,$NN$9,0),IF($NP$9="Bell_Curve",$NN$9*(75-$NR$9+1)*($NS$9-75+1)/$NU$9,$NN$9/$NT$9)),0)</f>
        <v/>
      </c>
      <c r="CB9" s="228">
        <f>IF(AND(76&gt;=$NR$9,76&lt;=$NS$9),IF($NP$9="Single_Point",IF(76=$NR$9,$NN$9,0),IF($NP$9="Bell_Curve",$NN$9*(76-$NR$9+1)*($NS$9-76+1)/$NU$9,$NN$9/$NT$9)),0)</f>
        <v/>
      </c>
      <c r="CC9" s="228">
        <f>IF(AND(77&gt;=$NR$9,77&lt;=$NS$9),IF($NP$9="Single_Point",IF(77=$NR$9,$NN$9,0),IF($NP$9="Bell_Curve",$NN$9*(77-$NR$9+1)*($NS$9-77+1)/$NU$9,$NN$9/$NT$9)),0)</f>
        <v/>
      </c>
      <c r="CD9" s="228">
        <f>IF(AND(78&gt;=$NR$9,78&lt;=$NS$9),IF($NP$9="Single_Point",IF(78=$NR$9,$NN$9,0),IF($NP$9="Bell_Curve",$NN$9*(78-$NR$9+1)*($NS$9-78+1)/$NU$9,$NN$9/$NT$9)),0)</f>
        <v/>
      </c>
      <c r="CE9" s="228">
        <f>IF(AND(79&gt;=$NR$9,79&lt;=$NS$9),IF($NP$9="Single_Point",IF(79=$NR$9,$NN$9,0),IF($NP$9="Bell_Curve",$NN$9*(79-$NR$9+1)*($NS$9-79+1)/$NU$9,$NN$9/$NT$9)),0)</f>
        <v/>
      </c>
      <c r="CF9" s="228">
        <f>IF(AND(80&gt;=$NR$9,80&lt;=$NS$9),IF($NP$9="Single_Point",IF(80=$NR$9,$NN$9,0),IF($NP$9="Bell_Curve",$NN$9*(80-$NR$9+1)*($NS$9-80+1)/$NU$9,$NN$9/$NT$9)),0)</f>
        <v/>
      </c>
      <c r="CG9" s="228">
        <f>IF(AND(81&gt;=$NR$9,81&lt;=$NS$9),IF($NP$9="Single_Point",IF(81=$NR$9,$NN$9,0),IF($NP$9="Bell_Curve",$NN$9*(81-$NR$9+1)*($NS$9-81+1)/$NU$9,$NN$9/$NT$9)),0)</f>
        <v/>
      </c>
      <c r="CH9" s="228">
        <f>IF(AND(82&gt;=$NR$9,82&lt;=$NS$9),IF($NP$9="Single_Point",IF(82=$NR$9,$NN$9,0),IF($NP$9="Bell_Curve",$NN$9*(82-$NR$9+1)*($NS$9-82+1)/$NU$9,$NN$9/$NT$9)),0)</f>
        <v/>
      </c>
      <c r="CI9" s="228">
        <f>IF(AND(83&gt;=$NR$9,83&lt;=$NS$9),IF($NP$9="Single_Point",IF(83=$NR$9,$NN$9,0),IF($NP$9="Bell_Curve",$NN$9*(83-$NR$9+1)*($NS$9-83+1)/$NU$9,$NN$9/$NT$9)),0)</f>
        <v/>
      </c>
      <c r="CJ9" s="228">
        <f>IF(AND(84&gt;=$NR$9,84&lt;=$NS$9),IF($NP$9="Single_Point",IF(84=$NR$9,$NN$9,0),IF($NP$9="Bell_Curve",$NN$9*(84-$NR$9+1)*($NS$9-84+1)/$NU$9,$NN$9/$NT$9)),0)</f>
        <v/>
      </c>
      <c r="CK9" s="228">
        <f>IF(AND(85&gt;=$NR$9,85&lt;=$NS$9),IF($NP$9="Single_Point",IF(85=$NR$9,$NN$9,0),IF($NP$9="Bell_Curve",$NN$9*(85-$NR$9+1)*($NS$9-85+1)/$NU$9,$NN$9/$NT$9)),0)</f>
        <v/>
      </c>
      <c r="CL9" s="228">
        <f>IF(AND(86&gt;=$NR$9,86&lt;=$NS$9),IF($NP$9="Single_Point",IF(86=$NR$9,$NN$9,0),IF($NP$9="Bell_Curve",$NN$9*(86-$NR$9+1)*($NS$9-86+1)/$NU$9,$NN$9/$NT$9)),0)</f>
        <v/>
      </c>
      <c r="CM9" s="228">
        <f>IF(AND(87&gt;=$NR$9,87&lt;=$NS$9),IF($NP$9="Single_Point",IF(87=$NR$9,$NN$9,0),IF($NP$9="Bell_Curve",$NN$9*(87-$NR$9+1)*($NS$9-87+1)/$NU$9,$NN$9/$NT$9)),0)</f>
        <v/>
      </c>
      <c r="CN9" s="228">
        <f>IF(AND(88&gt;=$NR$9,88&lt;=$NS$9),IF($NP$9="Single_Point",IF(88=$NR$9,$NN$9,0),IF($NP$9="Bell_Curve",$NN$9*(88-$NR$9+1)*($NS$9-88+1)/$NU$9,$NN$9/$NT$9)),0)</f>
        <v/>
      </c>
      <c r="CO9" s="228">
        <f>IF(AND(89&gt;=$NR$9,89&lt;=$NS$9),IF($NP$9="Single_Point",IF(89=$NR$9,$NN$9,0),IF($NP$9="Bell_Curve",$NN$9*(89-$NR$9+1)*($NS$9-89+1)/$NU$9,$NN$9/$NT$9)),0)</f>
        <v/>
      </c>
      <c r="CP9" s="228">
        <f>IF(AND(90&gt;=$NR$9,90&lt;=$NS$9),IF($NP$9="Single_Point",IF(90=$NR$9,$NN$9,0),IF($NP$9="Bell_Curve",$NN$9*(90-$NR$9+1)*($NS$9-90+1)/$NU$9,$NN$9/$NT$9)),0)</f>
        <v/>
      </c>
      <c r="CQ9" s="228">
        <f>IF(AND(91&gt;=$NR$9,91&lt;=$NS$9),IF($NP$9="Single_Point",IF(91=$NR$9,$NN$9,0),IF($NP$9="Bell_Curve",$NN$9*(91-$NR$9+1)*($NS$9-91+1)/$NU$9,$NN$9/$NT$9)),0)</f>
        <v/>
      </c>
      <c r="CR9" s="228">
        <f>IF(AND(92&gt;=$NR$9,92&lt;=$NS$9),IF($NP$9="Single_Point",IF(92=$NR$9,$NN$9,0),IF($NP$9="Bell_Curve",$NN$9*(92-$NR$9+1)*($NS$9-92+1)/$NU$9,$NN$9/$NT$9)),0)</f>
        <v/>
      </c>
      <c r="CS9" s="228">
        <f>IF(AND(93&gt;=$NR$9,93&lt;=$NS$9),IF($NP$9="Single_Point",IF(93=$NR$9,$NN$9,0),IF($NP$9="Bell_Curve",$NN$9*(93-$NR$9+1)*($NS$9-93+1)/$NU$9,$NN$9/$NT$9)),0)</f>
        <v/>
      </c>
      <c r="CT9" s="228">
        <f>IF(AND(94&gt;=$NR$9,94&lt;=$NS$9),IF($NP$9="Single_Point",IF(94=$NR$9,$NN$9,0),IF($NP$9="Bell_Curve",$NN$9*(94-$NR$9+1)*($NS$9-94+1)/$NU$9,$NN$9/$NT$9)),0)</f>
        <v/>
      </c>
      <c r="CU9" s="228">
        <f>IF(AND(95&gt;=$NR$9,95&lt;=$NS$9),IF($NP$9="Single_Point",IF(95=$NR$9,$NN$9,0),IF($NP$9="Bell_Curve",$NN$9*(95-$NR$9+1)*($NS$9-95+1)/$NU$9,$NN$9/$NT$9)),0)</f>
        <v/>
      </c>
      <c r="CV9" s="228">
        <f>IF(AND(96&gt;=$NR$9,96&lt;=$NS$9),IF($NP$9="Single_Point",IF(96=$NR$9,$NN$9,0),IF($NP$9="Bell_Curve",$NN$9*(96-$NR$9+1)*($NS$9-96+1)/$NU$9,$NN$9/$NT$9)),0)</f>
        <v/>
      </c>
      <c r="CW9" s="228">
        <f>IF(AND(97&gt;=$NR$9,97&lt;=$NS$9),IF($NP$9="Single_Point",IF(97=$NR$9,$NN$9,0),IF($NP$9="Bell_Curve",$NN$9*(97-$NR$9+1)*($NS$9-97+1)/$NU$9,$NN$9/$NT$9)),0)</f>
        <v/>
      </c>
      <c r="CX9" s="228">
        <f>IF(AND(98&gt;=$NR$9,98&lt;=$NS$9),IF($NP$9="Single_Point",IF(98=$NR$9,$NN$9,0),IF($NP$9="Bell_Curve",$NN$9*(98-$NR$9+1)*($NS$9-98+1)/$NU$9,$NN$9/$NT$9)),0)</f>
        <v/>
      </c>
      <c r="CY9" s="228">
        <f>IF(AND(99&gt;=$NR$9,99&lt;=$NS$9),IF($NP$9="Single_Point",IF(99=$NR$9,$NN$9,0),IF($NP$9="Bell_Curve",$NN$9*(99-$NR$9+1)*($NS$9-99+1)/$NU$9,$NN$9/$NT$9)),0)</f>
        <v/>
      </c>
      <c r="CZ9" s="228">
        <f>IF(AND(100&gt;=$NR$9,100&lt;=$NS$9),IF($NP$9="Single_Point",IF(100=$NR$9,$NN$9,0),IF($NP$9="Bell_Curve",$NN$9*(100-$NR$9+1)*($NS$9-100+1)/$NU$9,$NN$9/$NT$9)),0)</f>
        <v/>
      </c>
      <c r="DA9" s="228">
        <f>IF(AND(101&gt;=$NR$9,101&lt;=$NS$9),IF($NP$9="Single_Point",IF(101=$NR$9,$NN$9,0),IF($NP$9="Bell_Curve",$NN$9*(101-$NR$9+1)*($NS$9-101+1)/$NU$9,$NN$9/$NT$9)),0)</f>
        <v/>
      </c>
      <c r="DB9" s="228">
        <f>IF(AND(102&gt;=$NR$9,102&lt;=$NS$9),IF($NP$9="Single_Point",IF(102=$NR$9,$NN$9,0),IF($NP$9="Bell_Curve",$NN$9*(102-$NR$9+1)*($NS$9-102+1)/$NU$9,$NN$9/$NT$9)),0)</f>
        <v/>
      </c>
      <c r="DC9" s="228">
        <f>IF(AND(103&gt;=$NR$9,103&lt;=$NS$9),IF($NP$9="Single_Point",IF(103=$NR$9,$NN$9,0),IF($NP$9="Bell_Curve",$NN$9*(103-$NR$9+1)*($NS$9-103+1)/$NU$9,$NN$9/$NT$9)),0)</f>
        <v/>
      </c>
      <c r="DD9" s="228">
        <f>IF(AND(104&gt;=$NR$9,104&lt;=$NS$9),IF($NP$9="Single_Point",IF(104=$NR$9,$NN$9,0),IF($NP$9="Bell_Curve",$NN$9*(104-$NR$9+1)*($NS$9-104+1)/$NU$9,$NN$9/$NT$9)),0)</f>
        <v/>
      </c>
      <c r="DE9" s="228">
        <f>IF(AND(105&gt;=$NR$9,105&lt;=$NS$9),IF($NP$9="Single_Point",IF(105=$NR$9,$NN$9,0),IF($NP$9="Bell_Curve",$NN$9*(105-$NR$9+1)*($NS$9-105+1)/$NU$9,$NN$9/$NT$9)),0)</f>
        <v/>
      </c>
      <c r="DF9" s="228">
        <f>IF(AND(106&gt;=$NR$9,106&lt;=$NS$9),IF($NP$9="Single_Point",IF(106=$NR$9,$NN$9,0),IF($NP$9="Bell_Curve",$NN$9*(106-$NR$9+1)*($NS$9-106+1)/$NU$9,$NN$9/$NT$9)),0)</f>
        <v/>
      </c>
      <c r="DG9" s="228">
        <f>IF(AND(107&gt;=$NR$9,107&lt;=$NS$9),IF($NP$9="Single_Point",IF(107=$NR$9,$NN$9,0),IF($NP$9="Bell_Curve",$NN$9*(107-$NR$9+1)*($NS$9-107+1)/$NU$9,$NN$9/$NT$9)),0)</f>
        <v/>
      </c>
      <c r="DH9" s="228">
        <f>IF(AND(108&gt;=$NR$9,108&lt;=$NS$9),IF($NP$9="Single_Point",IF(108=$NR$9,$NN$9,0),IF($NP$9="Bell_Curve",$NN$9*(108-$NR$9+1)*($NS$9-108+1)/$NU$9,$NN$9/$NT$9)),0)</f>
        <v/>
      </c>
      <c r="DI9" s="228">
        <f>IF(AND(109&gt;=$NR$9,109&lt;=$NS$9),IF($NP$9="Single_Point",IF(109=$NR$9,$NN$9,0),IF($NP$9="Bell_Curve",$NN$9*(109-$NR$9+1)*($NS$9-109+1)/$NU$9,$NN$9/$NT$9)),0)</f>
        <v/>
      </c>
      <c r="DJ9" s="228">
        <f>IF(AND(110&gt;=$NR$9,110&lt;=$NS$9),IF($NP$9="Single_Point",IF(110=$NR$9,$NN$9,0),IF($NP$9="Bell_Curve",$NN$9*(110-$NR$9+1)*($NS$9-110+1)/$NU$9,$NN$9/$NT$9)),0)</f>
        <v/>
      </c>
      <c r="DK9" s="228">
        <f>IF(AND(111&gt;=$NR$9,111&lt;=$NS$9),IF($NP$9="Single_Point",IF(111=$NR$9,$NN$9,0),IF($NP$9="Bell_Curve",$NN$9*(111-$NR$9+1)*($NS$9-111+1)/$NU$9,$NN$9/$NT$9)),0)</f>
        <v/>
      </c>
      <c r="DL9" s="228">
        <f>IF(AND(112&gt;=$NR$9,112&lt;=$NS$9),IF($NP$9="Single_Point",IF(112=$NR$9,$NN$9,0),IF($NP$9="Bell_Curve",$NN$9*(112-$NR$9+1)*($NS$9-112+1)/$NU$9,$NN$9/$NT$9)),0)</f>
        <v/>
      </c>
      <c r="DM9" s="228">
        <f>IF(AND(113&gt;=$NR$9,113&lt;=$NS$9),IF($NP$9="Single_Point",IF(113=$NR$9,$NN$9,0),IF($NP$9="Bell_Curve",$NN$9*(113-$NR$9+1)*($NS$9-113+1)/$NU$9,$NN$9/$NT$9)),0)</f>
        <v/>
      </c>
      <c r="DN9" s="228">
        <f>IF(AND(114&gt;=$NR$9,114&lt;=$NS$9),IF($NP$9="Single_Point",IF(114=$NR$9,$NN$9,0),IF($NP$9="Bell_Curve",$NN$9*(114-$NR$9+1)*($NS$9-114+1)/$NU$9,$NN$9/$NT$9)),0)</f>
        <v/>
      </c>
      <c r="DO9" s="228">
        <f>IF(AND(115&gt;=$NR$9,115&lt;=$NS$9),IF($NP$9="Single_Point",IF(115=$NR$9,$NN$9,0),IF($NP$9="Bell_Curve",$NN$9*(115-$NR$9+1)*($NS$9-115+1)/$NU$9,$NN$9/$NT$9)),0)</f>
        <v/>
      </c>
      <c r="DP9" s="228">
        <f>IF(AND(116&gt;=$NR$9,116&lt;=$NS$9),IF($NP$9="Single_Point",IF(116=$NR$9,$NN$9,0),IF($NP$9="Bell_Curve",$NN$9*(116-$NR$9+1)*($NS$9-116+1)/$NU$9,$NN$9/$NT$9)),0)</f>
        <v/>
      </c>
      <c r="DQ9" s="228">
        <f>IF(AND(117&gt;=$NR$9,117&lt;=$NS$9),IF($NP$9="Single_Point",IF(117=$NR$9,$NN$9,0),IF($NP$9="Bell_Curve",$NN$9*(117-$NR$9+1)*($NS$9-117+1)/$NU$9,$NN$9/$NT$9)),0)</f>
        <v/>
      </c>
      <c r="DR9" s="228">
        <f>IF(AND(118&gt;=$NR$9,118&lt;=$NS$9),IF($NP$9="Single_Point",IF(118=$NR$9,$NN$9,0),IF($NP$9="Bell_Curve",$NN$9*(118-$NR$9+1)*($NS$9-118+1)/$NU$9,$NN$9/$NT$9)),0)</f>
        <v/>
      </c>
      <c r="DS9" s="228">
        <f>IF(AND(119&gt;=$NR$9,119&lt;=$NS$9),IF($NP$9="Single_Point",IF(119=$NR$9,$NN$9,0),IF($NP$9="Bell_Curve",$NN$9*(119-$NR$9+1)*($NS$9-119+1)/$NU$9,$NN$9/$NT$9)),0)</f>
        <v/>
      </c>
      <c r="DT9" s="228">
        <f>IF(AND(120&gt;=$NR$9,120&lt;=$NS$9),IF($NP$9="Single_Point",IF(120=$NR$9,$NN$9,0),IF($NP$9="Bell_Curve",$NN$9*(120-$NR$9+1)*($NS$9-120+1)/$NU$9,$NN$9/$NT$9)),0)</f>
        <v/>
      </c>
      <c r="DU9" s="228">
        <f>IF(AND(121&gt;=$NR$9,121&lt;=$NS$9),IF($NP$9="Single_Point",IF(121=$NR$9,$NN$9,0),IF($NP$9="Bell_Curve",$NN$9*(121-$NR$9+1)*($NS$9-121+1)/$NU$9,$NN$9/$NT$9)),0)</f>
        <v/>
      </c>
      <c r="DV9" s="228">
        <f>IF(AND(122&gt;=$NR$9,122&lt;=$NS$9),IF($NP$9="Single_Point",IF(122=$NR$9,$NN$9,0),IF($NP$9="Bell_Curve",$NN$9*(122-$NR$9+1)*($NS$9-122+1)/$NU$9,$NN$9/$NT$9)),0)</f>
        <v/>
      </c>
      <c r="DW9" s="228">
        <f>IF(AND(123&gt;=$NR$9,123&lt;=$NS$9),IF($NP$9="Single_Point",IF(123=$NR$9,$NN$9,0),IF($NP$9="Bell_Curve",$NN$9*(123-$NR$9+1)*($NS$9-123+1)/$NU$9,$NN$9/$NT$9)),0)</f>
        <v/>
      </c>
      <c r="DX9" s="228">
        <f>IF(AND(124&gt;=$NR$9,124&lt;=$NS$9),IF($NP$9="Single_Point",IF(124=$NR$9,$NN$9,0),IF($NP$9="Bell_Curve",$NN$9*(124-$NR$9+1)*($NS$9-124+1)/$NU$9,$NN$9/$NT$9)),0)</f>
        <v/>
      </c>
      <c r="DY9" s="228">
        <f>IF(AND(125&gt;=$NR$9,125&lt;=$NS$9),IF($NP$9="Single_Point",IF(125=$NR$9,$NN$9,0),IF($NP$9="Bell_Curve",$NN$9*(125-$NR$9+1)*($NS$9-125+1)/$NU$9,$NN$9/$NT$9)),0)</f>
        <v/>
      </c>
      <c r="DZ9" s="228">
        <f>IF(AND(126&gt;=$NR$9,126&lt;=$NS$9),IF($NP$9="Single_Point",IF(126=$NR$9,$NN$9,0),IF($NP$9="Bell_Curve",$NN$9*(126-$NR$9+1)*($NS$9-126+1)/$NU$9,$NN$9/$NT$9)),0)</f>
        <v/>
      </c>
      <c r="EA9" s="228">
        <f>IF(AND(127&gt;=$NR$9,127&lt;=$NS$9),IF($NP$9="Single_Point",IF(127=$NR$9,$NN$9,0),IF($NP$9="Bell_Curve",$NN$9*(127-$NR$9+1)*($NS$9-127+1)/$NU$9,$NN$9/$NT$9)),0)</f>
        <v/>
      </c>
      <c r="EB9" s="228">
        <f>IF(AND(128&gt;=$NR$9,128&lt;=$NS$9),IF($NP$9="Single_Point",IF(128=$NR$9,$NN$9,0),IF($NP$9="Bell_Curve",$NN$9*(128-$NR$9+1)*($NS$9-128+1)/$NU$9,$NN$9/$NT$9)),0)</f>
        <v/>
      </c>
      <c r="EC9" s="228">
        <f>IF(AND(129&gt;=$NR$9,129&lt;=$NS$9),IF($NP$9="Single_Point",IF(129=$NR$9,$NN$9,0),IF($NP$9="Bell_Curve",$NN$9*(129-$NR$9+1)*($NS$9-129+1)/$NU$9,$NN$9/$NT$9)),0)</f>
        <v/>
      </c>
      <c r="ED9" s="228">
        <f>IF(AND(130&gt;=$NR$9,130&lt;=$NS$9),IF($NP$9="Single_Point",IF(130=$NR$9,$NN$9,0),IF($NP$9="Bell_Curve",$NN$9*(130-$NR$9+1)*($NS$9-130+1)/$NU$9,$NN$9/$NT$9)),0)</f>
        <v/>
      </c>
      <c r="EE9" s="228">
        <f>IF(AND(131&gt;=$NR$9,131&lt;=$NS$9),IF($NP$9="Single_Point",IF(131=$NR$9,$NN$9,0),IF($NP$9="Bell_Curve",$NN$9*(131-$NR$9+1)*($NS$9-131+1)/$NU$9,$NN$9/$NT$9)),0)</f>
        <v/>
      </c>
      <c r="EF9" s="228">
        <f>IF(AND(132&gt;=$NR$9,132&lt;=$NS$9),IF($NP$9="Single_Point",IF(132=$NR$9,$NN$9,0),IF($NP$9="Bell_Curve",$NN$9*(132-$NR$9+1)*($NS$9-132+1)/$NU$9,$NN$9/$NT$9)),0)</f>
        <v/>
      </c>
      <c r="EG9" s="228">
        <f>IF(AND(133&gt;=$NR$9,133&lt;=$NS$9),IF($NP$9="Single_Point",IF(133=$NR$9,$NN$9,0),IF($NP$9="Bell_Curve",$NN$9*(133-$NR$9+1)*($NS$9-133+1)/$NU$9,$NN$9/$NT$9)),0)</f>
        <v/>
      </c>
      <c r="EH9" s="228">
        <f>IF(AND(134&gt;=$NR$9,134&lt;=$NS$9),IF($NP$9="Single_Point",IF(134=$NR$9,$NN$9,0),IF($NP$9="Bell_Curve",$NN$9*(134-$NR$9+1)*($NS$9-134+1)/$NU$9,$NN$9/$NT$9)),0)</f>
        <v/>
      </c>
      <c r="EI9" s="228">
        <f>IF(AND(135&gt;=$NR$9,135&lt;=$NS$9),IF($NP$9="Single_Point",IF(135=$NR$9,$NN$9,0),IF($NP$9="Bell_Curve",$NN$9*(135-$NR$9+1)*($NS$9-135+1)/$NU$9,$NN$9/$NT$9)),0)</f>
        <v/>
      </c>
      <c r="EJ9" s="228">
        <f>IF(AND(136&gt;=$NR$9,136&lt;=$NS$9),IF($NP$9="Single_Point",IF(136=$NR$9,$NN$9,0),IF($NP$9="Bell_Curve",$NN$9*(136-$NR$9+1)*($NS$9-136+1)/$NU$9,$NN$9/$NT$9)),0)</f>
        <v/>
      </c>
      <c r="EK9" s="228">
        <f>IF(AND(137&gt;=$NR$9,137&lt;=$NS$9),IF($NP$9="Single_Point",IF(137=$NR$9,$NN$9,0),IF($NP$9="Bell_Curve",$NN$9*(137-$NR$9+1)*($NS$9-137+1)/$NU$9,$NN$9/$NT$9)),0)</f>
        <v/>
      </c>
      <c r="EL9" s="228">
        <f>IF(AND(138&gt;=$NR$9,138&lt;=$NS$9),IF($NP$9="Single_Point",IF(138=$NR$9,$NN$9,0),IF($NP$9="Bell_Curve",$NN$9*(138-$NR$9+1)*($NS$9-138+1)/$NU$9,$NN$9/$NT$9)),0)</f>
        <v/>
      </c>
      <c r="EM9" s="228">
        <f>IF(AND(139&gt;=$NR$9,139&lt;=$NS$9),IF($NP$9="Single_Point",IF(139=$NR$9,$NN$9,0),IF($NP$9="Bell_Curve",$NN$9*(139-$NR$9+1)*($NS$9-139+1)/$NU$9,$NN$9/$NT$9)),0)</f>
        <v/>
      </c>
      <c r="EN9" s="228">
        <f>IF(AND(140&gt;=$NR$9,140&lt;=$NS$9),IF($NP$9="Single_Point",IF(140=$NR$9,$NN$9,0),IF($NP$9="Bell_Curve",$NN$9*(140-$NR$9+1)*($NS$9-140+1)/$NU$9,$NN$9/$NT$9)),0)</f>
        <v/>
      </c>
      <c r="EO9" s="228">
        <f>IF(AND(141&gt;=$NR$9,141&lt;=$NS$9),IF($NP$9="Single_Point",IF(141=$NR$9,$NN$9,0),IF($NP$9="Bell_Curve",$NN$9*(141-$NR$9+1)*($NS$9-141+1)/$NU$9,$NN$9/$NT$9)),0)</f>
        <v/>
      </c>
      <c r="EP9" s="228">
        <f>IF(AND(142&gt;=$NR$9,142&lt;=$NS$9),IF($NP$9="Single_Point",IF(142=$NR$9,$NN$9,0),IF($NP$9="Bell_Curve",$NN$9*(142-$NR$9+1)*($NS$9-142+1)/$NU$9,$NN$9/$NT$9)),0)</f>
        <v/>
      </c>
      <c r="EQ9" s="228">
        <f>IF(AND(143&gt;=$NR$9,143&lt;=$NS$9),IF($NP$9="Single_Point",IF(143=$NR$9,$NN$9,0),IF($NP$9="Bell_Curve",$NN$9*(143-$NR$9+1)*($NS$9-143+1)/$NU$9,$NN$9/$NT$9)),0)</f>
        <v/>
      </c>
      <c r="ER9" s="228">
        <f>IF(AND(144&gt;=$NR$9,144&lt;=$NS$9),IF($NP$9="Single_Point",IF(144=$NR$9,$NN$9,0),IF($NP$9="Bell_Curve",$NN$9*(144-$NR$9+1)*($NS$9-144+1)/$NU$9,$NN$9/$NT$9)),0)</f>
        <v/>
      </c>
      <c r="ES9" s="228">
        <f>IF(AND(145&gt;=$NR$9,145&lt;=$NS$9),IF($NP$9="Single_Point",IF(145=$NR$9,$NN$9,0),IF($NP$9="Bell_Curve",$NN$9*(145-$NR$9+1)*($NS$9-145+1)/$NU$9,$NN$9/$NT$9)),0)</f>
        <v/>
      </c>
      <c r="ET9" s="228">
        <f>IF(AND(146&gt;=$NR$9,146&lt;=$NS$9),IF($NP$9="Single_Point",IF(146=$NR$9,$NN$9,0),IF($NP$9="Bell_Curve",$NN$9*(146-$NR$9+1)*($NS$9-146+1)/$NU$9,$NN$9/$NT$9)),0)</f>
        <v/>
      </c>
      <c r="EU9" s="228">
        <f>IF(AND(147&gt;=$NR$9,147&lt;=$NS$9),IF($NP$9="Single_Point",IF(147=$NR$9,$NN$9,0),IF($NP$9="Bell_Curve",$NN$9*(147-$NR$9+1)*($NS$9-147+1)/$NU$9,$NN$9/$NT$9)),0)</f>
        <v/>
      </c>
      <c r="EV9" s="228">
        <f>IF(AND(148&gt;=$NR$9,148&lt;=$NS$9),IF($NP$9="Single_Point",IF(148=$NR$9,$NN$9,0),IF($NP$9="Bell_Curve",$NN$9*(148-$NR$9+1)*($NS$9-148+1)/$NU$9,$NN$9/$NT$9)),0)</f>
        <v/>
      </c>
      <c r="EW9" s="228">
        <f>IF(AND(149&gt;=$NR$9,149&lt;=$NS$9),IF($NP$9="Single_Point",IF(149=$NR$9,$NN$9,0),IF($NP$9="Bell_Curve",$NN$9*(149-$NR$9+1)*($NS$9-149+1)/$NU$9,$NN$9/$NT$9)),0)</f>
        <v/>
      </c>
      <c r="EX9" s="228">
        <f>IF(AND(150&gt;=$NR$9,150&lt;=$NS$9),IF($NP$9="Single_Point",IF(150=$NR$9,$NN$9,0),IF($NP$9="Bell_Curve",$NN$9*(150-$NR$9+1)*($NS$9-150+1)/$NU$9,$NN$9/$NT$9)),0)</f>
        <v/>
      </c>
      <c r="EY9" s="228">
        <f>IF(AND(151&gt;=$NR$9,151&lt;=$NS$9),IF($NP$9="Single_Point",IF(151=$NR$9,$NN$9,0),IF($NP$9="Bell_Curve",$NN$9*(151-$NR$9+1)*($NS$9-151+1)/$NU$9,$NN$9/$NT$9)),0)</f>
        <v/>
      </c>
      <c r="EZ9" s="228">
        <f>IF(AND(152&gt;=$NR$9,152&lt;=$NS$9),IF($NP$9="Single_Point",IF(152=$NR$9,$NN$9,0),IF($NP$9="Bell_Curve",$NN$9*(152-$NR$9+1)*($NS$9-152+1)/$NU$9,$NN$9/$NT$9)),0)</f>
        <v/>
      </c>
      <c r="FA9" s="228">
        <f>IF(AND(153&gt;=$NR$9,153&lt;=$NS$9),IF($NP$9="Single_Point",IF(153=$NR$9,$NN$9,0),IF($NP$9="Bell_Curve",$NN$9*(153-$NR$9+1)*($NS$9-153+1)/$NU$9,$NN$9/$NT$9)),0)</f>
        <v/>
      </c>
      <c r="FB9" s="228">
        <f>IF(AND(154&gt;=$NR$9,154&lt;=$NS$9),IF($NP$9="Single_Point",IF(154=$NR$9,$NN$9,0),IF($NP$9="Bell_Curve",$NN$9*(154-$NR$9+1)*($NS$9-154+1)/$NU$9,$NN$9/$NT$9)),0)</f>
        <v/>
      </c>
      <c r="FC9" s="228">
        <f>IF(AND(155&gt;=$NR$9,155&lt;=$NS$9),IF($NP$9="Single_Point",IF(155=$NR$9,$NN$9,0),IF($NP$9="Bell_Curve",$NN$9*(155-$NR$9+1)*($NS$9-155+1)/$NU$9,$NN$9/$NT$9)),0)</f>
        <v/>
      </c>
      <c r="FD9" s="228">
        <f>IF(AND(156&gt;=$NR$9,156&lt;=$NS$9),IF($NP$9="Single_Point",IF(156=$NR$9,$NN$9,0),IF($NP$9="Bell_Curve",$NN$9*(156-$NR$9+1)*($NS$9-156+1)/$NU$9,$NN$9/$NT$9)),0)</f>
        <v/>
      </c>
      <c r="FE9" s="228">
        <f>IF(AND(157&gt;=$NR$9,157&lt;=$NS$9),IF($NP$9="Single_Point",IF(157=$NR$9,$NN$9,0),IF($NP$9="Bell_Curve",$NN$9*(157-$NR$9+1)*($NS$9-157+1)/$NU$9,$NN$9/$NT$9)),0)</f>
        <v/>
      </c>
      <c r="FF9" s="228">
        <f>IF(AND(158&gt;=$NR$9,158&lt;=$NS$9),IF($NP$9="Single_Point",IF(158=$NR$9,$NN$9,0),IF($NP$9="Bell_Curve",$NN$9*(158-$NR$9+1)*($NS$9-158+1)/$NU$9,$NN$9/$NT$9)),0)</f>
        <v/>
      </c>
      <c r="FG9" s="228">
        <f>IF(AND(159&gt;=$NR$9,159&lt;=$NS$9),IF($NP$9="Single_Point",IF(159=$NR$9,$NN$9,0),IF($NP$9="Bell_Curve",$NN$9*(159-$NR$9+1)*($NS$9-159+1)/$NU$9,$NN$9/$NT$9)),0)</f>
        <v/>
      </c>
      <c r="FH9" s="228">
        <f>IF(AND(160&gt;=$NR$9,160&lt;=$NS$9),IF($NP$9="Single_Point",IF(160=$NR$9,$NN$9,0),IF($NP$9="Bell_Curve",$NN$9*(160-$NR$9+1)*($NS$9-160+1)/$NU$9,$NN$9/$NT$9)),0)</f>
        <v/>
      </c>
      <c r="FI9" s="228">
        <f>IF(AND(161&gt;=$NR$9,161&lt;=$NS$9),IF($NP$9="Single_Point",IF(161=$NR$9,$NN$9,0),IF($NP$9="Bell_Curve",$NN$9*(161-$NR$9+1)*($NS$9-161+1)/$NU$9,$NN$9/$NT$9)),0)</f>
        <v/>
      </c>
      <c r="FJ9" s="228">
        <f>IF(AND(162&gt;=$NR$9,162&lt;=$NS$9),IF($NP$9="Single_Point",IF(162=$NR$9,$NN$9,0),IF($NP$9="Bell_Curve",$NN$9*(162-$NR$9+1)*($NS$9-162+1)/$NU$9,$NN$9/$NT$9)),0)</f>
        <v/>
      </c>
      <c r="FK9" s="228">
        <f>IF(AND(163&gt;=$NR$9,163&lt;=$NS$9),IF($NP$9="Single_Point",IF(163=$NR$9,$NN$9,0),IF($NP$9="Bell_Curve",$NN$9*(163-$NR$9+1)*($NS$9-163+1)/$NU$9,$NN$9/$NT$9)),0)</f>
        <v/>
      </c>
      <c r="FL9" s="228">
        <f>IF(AND(164&gt;=$NR$9,164&lt;=$NS$9),IF($NP$9="Single_Point",IF(164=$NR$9,$NN$9,0),IF($NP$9="Bell_Curve",$NN$9*(164-$NR$9+1)*($NS$9-164+1)/$NU$9,$NN$9/$NT$9)),0)</f>
        <v/>
      </c>
      <c r="FM9" s="228">
        <f>IF(AND(165&gt;=$NR$9,165&lt;=$NS$9),IF($NP$9="Single_Point",IF(165=$NR$9,$NN$9,0),IF($NP$9="Bell_Curve",$NN$9*(165-$NR$9+1)*($NS$9-165+1)/$NU$9,$NN$9/$NT$9)),0)</f>
        <v/>
      </c>
      <c r="FN9" s="228">
        <f>IF(AND(166&gt;=$NR$9,166&lt;=$NS$9),IF($NP$9="Single_Point",IF(166=$NR$9,$NN$9,0),IF($NP$9="Bell_Curve",$NN$9*(166-$NR$9+1)*($NS$9-166+1)/$NU$9,$NN$9/$NT$9)),0)</f>
        <v/>
      </c>
      <c r="FO9" s="228">
        <f>IF(AND(167&gt;=$NR$9,167&lt;=$NS$9),IF($NP$9="Single_Point",IF(167=$NR$9,$NN$9,0),IF($NP$9="Bell_Curve",$NN$9*(167-$NR$9+1)*($NS$9-167+1)/$NU$9,$NN$9/$NT$9)),0)</f>
        <v/>
      </c>
      <c r="FP9" s="228">
        <f>IF(AND(168&gt;=$NR$9,168&lt;=$NS$9),IF($NP$9="Single_Point",IF(168=$NR$9,$NN$9,0),IF($NP$9="Bell_Curve",$NN$9*(168-$NR$9+1)*($NS$9-168+1)/$NU$9,$NN$9/$NT$9)),0)</f>
        <v/>
      </c>
      <c r="FQ9" s="228">
        <f>IF(AND(169&gt;=$NR$9,169&lt;=$NS$9),IF($NP$9="Single_Point",IF(169=$NR$9,$NN$9,0),IF($NP$9="Bell_Curve",$NN$9*(169-$NR$9+1)*($NS$9-169+1)/$NU$9,$NN$9/$NT$9)),0)</f>
        <v/>
      </c>
      <c r="FR9" s="228">
        <f>IF(AND(170&gt;=$NR$9,170&lt;=$NS$9),IF($NP$9="Single_Point",IF(170=$NR$9,$NN$9,0),IF($NP$9="Bell_Curve",$NN$9*(170-$NR$9+1)*($NS$9-170+1)/$NU$9,$NN$9/$NT$9)),0)</f>
        <v/>
      </c>
      <c r="FS9" s="228">
        <f>IF(AND(171&gt;=$NR$9,171&lt;=$NS$9),IF($NP$9="Single_Point",IF(171=$NR$9,$NN$9,0),IF($NP$9="Bell_Curve",$NN$9*(171-$NR$9+1)*($NS$9-171+1)/$NU$9,$NN$9/$NT$9)),0)</f>
        <v/>
      </c>
      <c r="FT9" s="228">
        <f>IF(AND(172&gt;=$NR$9,172&lt;=$NS$9),IF($NP$9="Single_Point",IF(172=$NR$9,$NN$9,0),IF($NP$9="Bell_Curve",$NN$9*(172-$NR$9+1)*($NS$9-172+1)/$NU$9,$NN$9/$NT$9)),0)</f>
        <v/>
      </c>
      <c r="FU9" s="228">
        <f>IF(AND(173&gt;=$NR$9,173&lt;=$NS$9),IF($NP$9="Single_Point",IF(173=$NR$9,$NN$9,0),IF($NP$9="Bell_Curve",$NN$9*(173-$NR$9+1)*($NS$9-173+1)/$NU$9,$NN$9/$NT$9)),0)</f>
        <v/>
      </c>
      <c r="FV9" s="228">
        <f>IF(AND(174&gt;=$NR$9,174&lt;=$NS$9),IF($NP$9="Single_Point",IF(174=$NR$9,$NN$9,0),IF($NP$9="Bell_Curve",$NN$9*(174-$NR$9+1)*($NS$9-174+1)/$NU$9,$NN$9/$NT$9)),0)</f>
        <v/>
      </c>
      <c r="FW9" s="228">
        <f>IF(AND(175&gt;=$NR$9,175&lt;=$NS$9),IF($NP$9="Single_Point",IF(175=$NR$9,$NN$9,0),IF($NP$9="Bell_Curve",$NN$9*(175-$NR$9+1)*($NS$9-175+1)/$NU$9,$NN$9/$NT$9)),0)</f>
        <v/>
      </c>
      <c r="FX9" s="228">
        <f>IF(AND(176&gt;=$NR$9,176&lt;=$NS$9),IF($NP$9="Single_Point",IF(176=$NR$9,$NN$9,0),IF($NP$9="Bell_Curve",$NN$9*(176-$NR$9+1)*($NS$9-176+1)/$NU$9,$NN$9/$NT$9)),0)</f>
        <v/>
      </c>
      <c r="FY9" s="228">
        <f>IF(AND(177&gt;=$NR$9,177&lt;=$NS$9),IF($NP$9="Single_Point",IF(177=$NR$9,$NN$9,0),IF($NP$9="Bell_Curve",$NN$9*(177-$NR$9+1)*($NS$9-177+1)/$NU$9,$NN$9/$NT$9)),0)</f>
        <v/>
      </c>
      <c r="FZ9" s="228">
        <f>IF(AND(178&gt;=$NR$9,178&lt;=$NS$9),IF($NP$9="Single_Point",IF(178=$NR$9,$NN$9,0),IF($NP$9="Bell_Curve",$NN$9*(178-$NR$9+1)*($NS$9-178+1)/$NU$9,$NN$9/$NT$9)),0)</f>
        <v/>
      </c>
      <c r="GA9" s="228">
        <f>IF(AND(179&gt;=$NR$9,179&lt;=$NS$9),IF($NP$9="Single_Point",IF(179=$NR$9,$NN$9,0),IF($NP$9="Bell_Curve",$NN$9*(179-$NR$9+1)*($NS$9-179+1)/$NU$9,$NN$9/$NT$9)),0)</f>
        <v/>
      </c>
      <c r="GB9" s="228">
        <f>IF(AND(180&gt;=$NR$9,180&lt;=$NS$9),IF($NP$9="Single_Point",IF(180=$NR$9,$NN$9,0),IF($NP$9="Bell_Curve",$NN$9*(180-$NR$9+1)*($NS$9-180+1)/$NU$9,$NN$9/$NT$9)),0)</f>
        <v/>
      </c>
      <c r="GC9" s="228">
        <f>IF(AND(181&gt;=$NR$9,181&lt;=$NS$9),IF($NP$9="Single_Point",IF(181=$NR$9,$NN$9,0),IF($NP$9="Bell_Curve",$NN$9*(181-$NR$9+1)*($NS$9-181+1)/$NU$9,$NN$9/$NT$9)),0)</f>
        <v/>
      </c>
      <c r="GD9" s="228">
        <f>IF(AND(182&gt;=$NR$9,182&lt;=$NS$9),IF($NP$9="Single_Point",IF(182=$NR$9,$NN$9,0),IF($NP$9="Bell_Curve",$NN$9*(182-$NR$9+1)*($NS$9-182+1)/$NU$9,$NN$9/$NT$9)),0)</f>
        <v/>
      </c>
      <c r="GE9" s="228">
        <f>IF(AND(183&gt;=$NR$9,183&lt;=$NS$9),IF($NP$9="Single_Point",IF(183=$NR$9,$NN$9,0),IF($NP$9="Bell_Curve",$NN$9*(183-$NR$9+1)*($NS$9-183+1)/$NU$9,$NN$9/$NT$9)),0)</f>
        <v/>
      </c>
      <c r="GF9" s="228">
        <f>IF(AND(184&gt;=$NR$9,184&lt;=$NS$9),IF($NP$9="Single_Point",IF(184=$NR$9,$NN$9,0),IF($NP$9="Bell_Curve",$NN$9*(184-$NR$9+1)*($NS$9-184+1)/$NU$9,$NN$9/$NT$9)),0)</f>
        <v/>
      </c>
      <c r="GG9" s="228">
        <f>IF(AND(185&gt;=$NR$9,185&lt;=$NS$9),IF($NP$9="Single_Point",IF(185=$NR$9,$NN$9,0),IF($NP$9="Bell_Curve",$NN$9*(185-$NR$9+1)*($NS$9-185+1)/$NU$9,$NN$9/$NT$9)),0)</f>
        <v/>
      </c>
      <c r="GH9" s="228">
        <f>IF(AND(186&gt;=$NR$9,186&lt;=$NS$9),IF($NP$9="Single_Point",IF(186=$NR$9,$NN$9,0),IF($NP$9="Bell_Curve",$NN$9*(186-$NR$9+1)*($NS$9-186+1)/$NU$9,$NN$9/$NT$9)),0)</f>
        <v/>
      </c>
      <c r="GI9" s="228">
        <f>IF(AND(187&gt;=$NR$9,187&lt;=$NS$9),IF($NP$9="Single_Point",IF(187=$NR$9,$NN$9,0),IF($NP$9="Bell_Curve",$NN$9*(187-$NR$9+1)*($NS$9-187+1)/$NU$9,$NN$9/$NT$9)),0)</f>
        <v/>
      </c>
      <c r="GJ9" s="228">
        <f>IF(AND(188&gt;=$NR$9,188&lt;=$NS$9),IF($NP$9="Single_Point",IF(188=$NR$9,$NN$9,0),IF($NP$9="Bell_Curve",$NN$9*(188-$NR$9+1)*($NS$9-188+1)/$NU$9,$NN$9/$NT$9)),0)</f>
        <v/>
      </c>
      <c r="GK9" s="228">
        <f>IF(AND(189&gt;=$NR$9,189&lt;=$NS$9),IF($NP$9="Single_Point",IF(189=$NR$9,$NN$9,0),IF($NP$9="Bell_Curve",$NN$9*(189-$NR$9+1)*($NS$9-189+1)/$NU$9,$NN$9/$NT$9)),0)</f>
        <v/>
      </c>
      <c r="GL9" s="228">
        <f>IF(AND(190&gt;=$NR$9,190&lt;=$NS$9),IF($NP$9="Single_Point",IF(190=$NR$9,$NN$9,0),IF($NP$9="Bell_Curve",$NN$9*(190-$NR$9+1)*($NS$9-190+1)/$NU$9,$NN$9/$NT$9)),0)</f>
        <v/>
      </c>
      <c r="GM9" s="228">
        <f>IF(AND(191&gt;=$NR$9,191&lt;=$NS$9),IF($NP$9="Single_Point",IF(191=$NR$9,$NN$9,0),IF($NP$9="Bell_Curve",$NN$9*(191-$NR$9+1)*($NS$9-191+1)/$NU$9,$NN$9/$NT$9)),0)</f>
        <v/>
      </c>
      <c r="GN9" s="228">
        <f>IF(AND(192&gt;=$NR$9,192&lt;=$NS$9),IF($NP$9="Single_Point",IF(192=$NR$9,$NN$9,0),IF($NP$9="Bell_Curve",$NN$9*(192-$NR$9+1)*($NS$9-192+1)/$NU$9,$NN$9/$NT$9)),0)</f>
        <v/>
      </c>
      <c r="GO9" s="228">
        <f>IF(AND(193&gt;=$NR$9,193&lt;=$NS$9),IF($NP$9="Single_Point",IF(193=$NR$9,$NN$9,0),IF($NP$9="Bell_Curve",$NN$9*(193-$NR$9+1)*($NS$9-193+1)/$NU$9,$NN$9/$NT$9)),0)</f>
        <v/>
      </c>
      <c r="GP9" s="228">
        <f>IF(AND(194&gt;=$NR$9,194&lt;=$NS$9),IF($NP$9="Single_Point",IF(194=$NR$9,$NN$9,0),IF($NP$9="Bell_Curve",$NN$9*(194-$NR$9+1)*($NS$9-194+1)/$NU$9,$NN$9/$NT$9)),0)</f>
        <v/>
      </c>
      <c r="GQ9" s="228">
        <f>IF(AND(195&gt;=$NR$9,195&lt;=$NS$9),IF($NP$9="Single_Point",IF(195=$NR$9,$NN$9,0),IF($NP$9="Bell_Curve",$NN$9*(195-$NR$9+1)*($NS$9-195+1)/$NU$9,$NN$9/$NT$9)),0)</f>
        <v/>
      </c>
      <c r="GR9" s="228">
        <f>IF(AND(196&gt;=$NR$9,196&lt;=$NS$9),IF($NP$9="Single_Point",IF(196=$NR$9,$NN$9,0),IF($NP$9="Bell_Curve",$NN$9*(196-$NR$9+1)*($NS$9-196+1)/$NU$9,$NN$9/$NT$9)),0)</f>
        <v/>
      </c>
      <c r="GS9" s="228">
        <f>IF(AND(197&gt;=$NR$9,197&lt;=$NS$9),IF($NP$9="Single_Point",IF(197=$NR$9,$NN$9,0),IF($NP$9="Bell_Curve",$NN$9*(197-$NR$9+1)*($NS$9-197+1)/$NU$9,$NN$9/$NT$9)),0)</f>
        <v/>
      </c>
      <c r="GT9" s="228">
        <f>IF(AND(198&gt;=$NR$9,198&lt;=$NS$9),IF($NP$9="Single_Point",IF(198=$NR$9,$NN$9,0),IF($NP$9="Bell_Curve",$NN$9*(198-$NR$9+1)*($NS$9-198+1)/$NU$9,$NN$9/$NT$9)),0)</f>
        <v/>
      </c>
      <c r="GU9" s="228">
        <f>IF(AND(199&gt;=$NR$9,199&lt;=$NS$9),IF($NP$9="Single_Point",IF(199=$NR$9,$NN$9,0),IF($NP$9="Bell_Curve",$NN$9*(199-$NR$9+1)*($NS$9-199+1)/$NU$9,$NN$9/$NT$9)),0)</f>
        <v/>
      </c>
      <c r="GV9" s="228">
        <f>IF(AND(200&gt;=$NR$9,200&lt;=$NS$9),IF($NP$9="Single_Point",IF(200=$NR$9,$NN$9,0),IF($NP$9="Bell_Curve",$NN$9*(200-$NR$9+1)*($NS$9-200+1)/$NU$9,$NN$9/$NT$9)),0)</f>
        <v/>
      </c>
      <c r="GW9" s="228">
        <f>IF(AND(201&gt;=$NR$9,201&lt;=$NS$9),IF($NP$9="Single_Point",IF(201=$NR$9,$NN$9,0),IF($NP$9="Bell_Curve",$NN$9*(201-$NR$9+1)*($NS$9-201+1)/$NU$9,$NN$9/$NT$9)),0)</f>
        <v/>
      </c>
      <c r="GX9" s="228">
        <f>IF(AND(202&gt;=$NR$9,202&lt;=$NS$9),IF($NP$9="Single_Point",IF(202=$NR$9,$NN$9,0),IF($NP$9="Bell_Curve",$NN$9*(202-$NR$9+1)*($NS$9-202+1)/$NU$9,$NN$9/$NT$9)),0)</f>
        <v/>
      </c>
      <c r="GY9" s="228">
        <f>IF(AND(203&gt;=$NR$9,203&lt;=$NS$9),IF($NP$9="Single_Point",IF(203=$NR$9,$NN$9,0),IF($NP$9="Bell_Curve",$NN$9*(203-$NR$9+1)*($NS$9-203+1)/$NU$9,$NN$9/$NT$9)),0)</f>
        <v/>
      </c>
      <c r="GZ9" s="228">
        <f>IF(AND(204&gt;=$NR$9,204&lt;=$NS$9),IF($NP$9="Single_Point",IF(204=$NR$9,$NN$9,0),IF($NP$9="Bell_Curve",$NN$9*(204-$NR$9+1)*($NS$9-204+1)/$NU$9,$NN$9/$NT$9)),0)</f>
        <v/>
      </c>
      <c r="HA9" s="228">
        <f>IF(AND(205&gt;=$NR$9,205&lt;=$NS$9),IF($NP$9="Single_Point",IF(205=$NR$9,$NN$9,0),IF($NP$9="Bell_Curve",$NN$9*(205-$NR$9+1)*($NS$9-205+1)/$NU$9,$NN$9/$NT$9)),0)</f>
        <v/>
      </c>
      <c r="HB9" s="228">
        <f>IF(AND(206&gt;=$NR$9,206&lt;=$NS$9),IF($NP$9="Single_Point",IF(206=$NR$9,$NN$9,0),IF($NP$9="Bell_Curve",$NN$9*(206-$NR$9+1)*($NS$9-206+1)/$NU$9,$NN$9/$NT$9)),0)</f>
        <v/>
      </c>
      <c r="HC9" s="228">
        <f>IF(AND(207&gt;=$NR$9,207&lt;=$NS$9),IF($NP$9="Single_Point",IF(207=$NR$9,$NN$9,0),IF($NP$9="Bell_Curve",$NN$9*(207-$NR$9+1)*($NS$9-207+1)/$NU$9,$NN$9/$NT$9)),0)</f>
        <v/>
      </c>
      <c r="HD9" s="228">
        <f>IF(AND(208&gt;=$NR$9,208&lt;=$NS$9),IF($NP$9="Single_Point",IF(208=$NR$9,$NN$9,0),IF($NP$9="Bell_Curve",$NN$9*(208-$NR$9+1)*($NS$9-208+1)/$NU$9,$NN$9/$NT$9)),0)</f>
        <v/>
      </c>
      <c r="HE9" s="228">
        <f>IF(AND(209&gt;=$NR$9,209&lt;=$NS$9),IF($NP$9="Single_Point",IF(209=$NR$9,$NN$9,0),IF($NP$9="Bell_Curve",$NN$9*(209-$NR$9+1)*($NS$9-209+1)/$NU$9,$NN$9/$NT$9)),0)</f>
        <v/>
      </c>
      <c r="HF9" s="228">
        <f>IF(AND(210&gt;=$NR$9,210&lt;=$NS$9),IF($NP$9="Single_Point",IF(210=$NR$9,$NN$9,0),IF($NP$9="Bell_Curve",$NN$9*(210-$NR$9+1)*($NS$9-210+1)/$NU$9,$NN$9/$NT$9)),0)</f>
        <v/>
      </c>
      <c r="HG9" s="228">
        <f>IF(AND(211&gt;=$NR$9,211&lt;=$NS$9),IF($NP$9="Single_Point",IF(211=$NR$9,$NN$9,0),IF($NP$9="Bell_Curve",$NN$9*(211-$NR$9+1)*($NS$9-211+1)/$NU$9,$NN$9/$NT$9)),0)</f>
        <v/>
      </c>
      <c r="HH9" s="228">
        <f>IF(AND(212&gt;=$NR$9,212&lt;=$NS$9),IF($NP$9="Single_Point",IF(212=$NR$9,$NN$9,0),IF($NP$9="Bell_Curve",$NN$9*(212-$NR$9+1)*($NS$9-212+1)/$NU$9,$NN$9/$NT$9)),0)</f>
        <v/>
      </c>
      <c r="HI9" s="228">
        <f>IF(AND(213&gt;=$NR$9,213&lt;=$NS$9),IF($NP$9="Single_Point",IF(213=$NR$9,$NN$9,0),IF($NP$9="Bell_Curve",$NN$9*(213-$NR$9+1)*($NS$9-213+1)/$NU$9,$NN$9/$NT$9)),0)</f>
        <v/>
      </c>
      <c r="HJ9" s="228">
        <f>IF(AND(214&gt;=$NR$9,214&lt;=$NS$9),IF($NP$9="Single_Point",IF(214=$NR$9,$NN$9,0),IF($NP$9="Bell_Curve",$NN$9*(214-$NR$9+1)*($NS$9-214+1)/$NU$9,$NN$9/$NT$9)),0)</f>
        <v/>
      </c>
      <c r="HK9" s="228">
        <f>IF(AND(215&gt;=$NR$9,215&lt;=$NS$9),IF($NP$9="Single_Point",IF(215=$NR$9,$NN$9,0),IF($NP$9="Bell_Curve",$NN$9*(215-$NR$9+1)*($NS$9-215+1)/$NU$9,$NN$9/$NT$9)),0)</f>
        <v/>
      </c>
      <c r="HL9" s="228">
        <f>IF(AND(216&gt;=$NR$9,216&lt;=$NS$9),IF($NP$9="Single_Point",IF(216=$NR$9,$NN$9,0),IF($NP$9="Bell_Curve",$NN$9*(216-$NR$9+1)*($NS$9-216+1)/$NU$9,$NN$9/$NT$9)),0)</f>
        <v/>
      </c>
      <c r="HM9" s="228">
        <f>IF(AND(217&gt;=$NR$9,217&lt;=$NS$9),IF($NP$9="Single_Point",IF(217=$NR$9,$NN$9,0),IF($NP$9="Bell_Curve",$NN$9*(217-$NR$9+1)*($NS$9-217+1)/$NU$9,$NN$9/$NT$9)),0)</f>
        <v/>
      </c>
      <c r="HN9" s="228">
        <f>IF(AND(218&gt;=$NR$9,218&lt;=$NS$9),IF($NP$9="Single_Point",IF(218=$NR$9,$NN$9,0),IF($NP$9="Bell_Curve",$NN$9*(218-$NR$9+1)*($NS$9-218+1)/$NU$9,$NN$9/$NT$9)),0)</f>
        <v/>
      </c>
      <c r="HO9" s="228">
        <f>IF(AND(219&gt;=$NR$9,219&lt;=$NS$9),IF($NP$9="Single_Point",IF(219=$NR$9,$NN$9,0),IF($NP$9="Bell_Curve",$NN$9*(219-$NR$9+1)*($NS$9-219+1)/$NU$9,$NN$9/$NT$9)),0)</f>
        <v/>
      </c>
      <c r="HP9" s="228">
        <f>IF(AND(220&gt;=$NR$9,220&lt;=$NS$9),IF($NP$9="Single_Point",IF(220=$NR$9,$NN$9,0),IF($NP$9="Bell_Curve",$NN$9*(220-$NR$9+1)*($NS$9-220+1)/$NU$9,$NN$9/$NT$9)),0)</f>
        <v/>
      </c>
      <c r="HQ9" s="228">
        <f>IF(AND(221&gt;=$NR$9,221&lt;=$NS$9),IF($NP$9="Single_Point",IF(221=$NR$9,$NN$9,0),IF($NP$9="Bell_Curve",$NN$9*(221-$NR$9+1)*($NS$9-221+1)/$NU$9,$NN$9/$NT$9)),0)</f>
        <v/>
      </c>
      <c r="HR9" s="228">
        <f>IF(AND(222&gt;=$NR$9,222&lt;=$NS$9),IF($NP$9="Single_Point",IF(222=$NR$9,$NN$9,0),IF($NP$9="Bell_Curve",$NN$9*(222-$NR$9+1)*($NS$9-222+1)/$NU$9,$NN$9/$NT$9)),0)</f>
        <v/>
      </c>
      <c r="HS9" s="228">
        <f>IF(AND(223&gt;=$NR$9,223&lt;=$NS$9),IF($NP$9="Single_Point",IF(223=$NR$9,$NN$9,0),IF($NP$9="Bell_Curve",$NN$9*(223-$NR$9+1)*($NS$9-223+1)/$NU$9,$NN$9/$NT$9)),0)</f>
        <v/>
      </c>
      <c r="HT9" s="228">
        <f>IF(AND(224&gt;=$NR$9,224&lt;=$NS$9),IF($NP$9="Single_Point",IF(224=$NR$9,$NN$9,0),IF($NP$9="Bell_Curve",$NN$9*(224-$NR$9+1)*($NS$9-224+1)/$NU$9,$NN$9/$NT$9)),0)</f>
        <v/>
      </c>
      <c r="HU9" s="228">
        <f>IF(AND(225&gt;=$NR$9,225&lt;=$NS$9),IF($NP$9="Single_Point",IF(225=$NR$9,$NN$9,0),IF($NP$9="Bell_Curve",$NN$9*(225-$NR$9+1)*($NS$9-225+1)/$NU$9,$NN$9/$NT$9)),0)</f>
        <v/>
      </c>
      <c r="HV9" s="228">
        <f>IF(AND(226&gt;=$NR$9,226&lt;=$NS$9),IF($NP$9="Single_Point",IF(226=$NR$9,$NN$9,0),IF($NP$9="Bell_Curve",$NN$9*(226-$NR$9+1)*($NS$9-226+1)/$NU$9,$NN$9/$NT$9)),0)</f>
        <v/>
      </c>
      <c r="HW9" s="228">
        <f>IF(AND(227&gt;=$NR$9,227&lt;=$NS$9),IF($NP$9="Single_Point",IF(227=$NR$9,$NN$9,0),IF($NP$9="Bell_Curve",$NN$9*(227-$NR$9+1)*($NS$9-227+1)/$NU$9,$NN$9/$NT$9)),0)</f>
        <v/>
      </c>
      <c r="HX9" s="228">
        <f>IF(AND(228&gt;=$NR$9,228&lt;=$NS$9),IF($NP$9="Single_Point",IF(228=$NR$9,$NN$9,0),IF($NP$9="Bell_Curve",$NN$9*(228-$NR$9+1)*($NS$9-228+1)/$NU$9,$NN$9/$NT$9)),0)</f>
        <v/>
      </c>
      <c r="HY9" s="228">
        <f>IF(AND(229&gt;=$NR$9,229&lt;=$NS$9),IF($NP$9="Single_Point",IF(229=$NR$9,$NN$9,0),IF($NP$9="Bell_Curve",$NN$9*(229-$NR$9+1)*($NS$9-229+1)/$NU$9,$NN$9/$NT$9)),0)</f>
        <v/>
      </c>
      <c r="HZ9" s="228">
        <f>IF(AND(230&gt;=$NR$9,230&lt;=$NS$9),IF($NP$9="Single_Point",IF(230=$NR$9,$NN$9,0),IF($NP$9="Bell_Curve",$NN$9*(230-$NR$9+1)*($NS$9-230+1)/$NU$9,$NN$9/$NT$9)),0)</f>
        <v/>
      </c>
      <c r="IA9" s="228">
        <f>IF(AND(231&gt;=$NR$9,231&lt;=$NS$9),IF($NP$9="Single_Point",IF(231=$NR$9,$NN$9,0),IF($NP$9="Bell_Curve",$NN$9*(231-$NR$9+1)*($NS$9-231+1)/$NU$9,$NN$9/$NT$9)),0)</f>
        <v/>
      </c>
      <c r="IB9" s="228">
        <f>IF(AND(232&gt;=$NR$9,232&lt;=$NS$9),IF($NP$9="Single_Point",IF(232=$NR$9,$NN$9,0),IF($NP$9="Bell_Curve",$NN$9*(232-$NR$9+1)*($NS$9-232+1)/$NU$9,$NN$9/$NT$9)),0)</f>
        <v/>
      </c>
      <c r="IC9" s="228">
        <f>IF(AND(233&gt;=$NR$9,233&lt;=$NS$9),IF($NP$9="Single_Point",IF(233=$NR$9,$NN$9,0),IF($NP$9="Bell_Curve",$NN$9*(233-$NR$9+1)*($NS$9-233+1)/$NU$9,$NN$9/$NT$9)),0)</f>
        <v/>
      </c>
      <c r="ID9" s="228">
        <f>IF(AND(234&gt;=$NR$9,234&lt;=$NS$9),IF($NP$9="Single_Point",IF(234=$NR$9,$NN$9,0),IF($NP$9="Bell_Curve",$NN$9*(234-$NR$9+1)*($NS$9-234+1)/$NU$9,$NN$9/$NT$9)),0)</f>
        <v/>
      </c>
      <c r="IE9" s="228">
        <f>IF(AND(235&gt;=$NR$9,235&lt;=$NS$9),IF($NP$9="Single_Point",IF(235=$NR$9,$NN$9,0),IF($NP$9="Bell_Curve",$NN$9*(235-$NR$9+1)*($NS$9-235+1)/$NU$9,$NN$9/$NT$9)),0)</f>
        <v/>
      </c>
      <c r="IF9" s="228">
        <f>IF(AND(236&gt;=$NR$9,236&lt;=$NS$9),IF($NP$9="Single_Point",IF(236=$NR$9,$NN$9,0),IF($NP$9="Bell_Curve",$NN$9*(236-$NR$9+1)*($NS$9-236+1)/$NU$9,$NN$9/$NT$9)),0)</f>
        <v/>
      </c>
      <c r="IG9" s="228">
        <f>IF(AND(237&gt;=$NR$9,237&lt;=$NS$9),IF($NP$9="Single_Point",IF(237=$NR$9,$NN$9,0),IF($NP$9="Bell_Curve",$NN$9*(237-$NR$9+1)*($NS$9-237+1)/$NU$9,$NN$9/$NT$9)),0)</f>
        <v/>
      </c>
      <c r="IH9" s="228">
        <f>IF(AND(238&gt;=$NR$9,238&lt;=$NS$9),IF($NP$9="Single_Point",IF(238=$NR$9,$NN$9,0),IF($NP$9="Bell_Curve",$NN$9*(238-$NR$9+1)*($NS$9-238+1)/$NU$9,$NN$9/$NT$9)),0)</f>
        <v/>
      </c>
      <c r="II9" s="228">
        <f>IF(AND(239&gt;=$NR$9,239&lt;=$NS$9),IF($NP$9="Single_Point",IF(239=$NR$9,$NN$9,0),IF($NP$9="Bell_Curve",$NN$9*(239-$NR$9+1)*($NS$9-239+1)/$NU$9,$NN$9/$NT$9)),0)</f>
        <v/>
      </c>
      <c r="IJ9" s="228">
        <f>IF(AND(240&gt;=$NR$9,240&lt;=$NS$9),IF($NP$9="Single_Point",IF(240=$NR$9,$NN$9,0),IF($NP$9="Bell_Curve",$NN$9*(240-$NR$9+1)*($NS$9-240+1)/$NU$9,$NN$9/$NT$9)),0)</f>
        <v/>
      </c>
      <c r="IK9" s="228">
        <f>IF(AND(241&gt;=$NR$9,241&lt;=$NS$9),IF($NP$9="Single_Point",IF(241=$NR$9,$NN$9,0),IF($NP$9="Bell_Curve",$NN$9*(241-$NR$9+1)*($NS$9-241+1)/$NU$9,$NN$9/$NT$9)),0)</f>
        <v/>
      </c>
      <c r="IL9" s="228">
        <f>IF(AND(242&gt;=$NR$9,242&lt;=$NS$9),IF($NP$9="Single_Point",IF(242=$NR$9,$NN$9,0),IF($NP$9="Bell_Curve",$NN$9*(242-$NR$9+1)*($NS$9-242+1)/$NU$9,$NN$9/$NT$9)),0)</f>
        <v/>
      </c>
      <c r="IM9" s="228">
        <f>IF(AND(243&gt;=$NR$9,243&lt;=$NS$9),IF($NP$9="Single_Point",IF(243=$NR$9,$NN$9,0),IF($NP$9="Bell_Curve",$NN$9*(243-$NR$9+1)*($NS$9-243+1)/$NU$9,$NN$9/$NT$9)),0)</f>
        <v/>
      </c>
      <c r="IN9" s="228">
        <f>IF(AND(244&gt;=$NR$9,244&lt;=$NS$9),IF($NP$9="Single_Point",IF(244=$NR$9,$NN$9,0),IF($NP$9="Bell_Curve",$NN$9*(244-$NR$9+1)*($NS$9-244+1)/$NU$9,$NN$9/$NT$9)),0)</f>
        <v/>
      </c>
      <c r="IO9" s="228">
        <f>IF(AND(245&gt;=$NR$9,245&lt;=$NS$9),IF($NP$9="Single_Point",IF(245=$NR$9,$NN$9,0),IF($NP$9="Bell_Curve",$NN$9*(245-$NR$9+1)*($NS$9-245+1)/$NU$9,$NN$9/$NT$9)),0)</f>
        <v/>
      </c>
      <c r="IP9" s="228">
        <f>IF(AND(246&gt;=$NR$9,246&lt;=$NS$9),IF($NP$9="Single_Point",IF(246=$NR$9,$NN$9,0),IF($NP$9="Bell_Curve",$NN$9*(246-$NR$9+1)*($NS$9-246+1)/$NU$9,$NN$9/$NT$9)),0)</f>
        <v/>
      </c>
      <c r="IQ9" s="228">
        <f>IF(AND(247&gt;=$NR$9,247&lt;=$NS$9),IF($NP$9="Single_Point",IF(247=$NR$9,$NN$9,0),IF($NP$9="Bell_Curve",$NN$9*(247-$NR$9+1)*($NS$9-247+1)/$NU$9,$NN$9/$NT$9)),0)</f>
        <v/>
      </c>
      <c r="IR9" s="228">
        <f>IF(AND(248&gt;=$NR$9,248&lt;=$NS$9),IF($NP$9="Single_Point",IF(248=$NR$9,$NN$9,0),IF($NP$9="Bell_Curve",$NN$9*(248-$NR$9+1)*($NS$9-248+1)/$NU$9,$NN$9/$NT$9)),0)</f>
        <v/>
      </c>
      <c r="IS9" s="228">
        <f>IF(AND(249&gt;=$NR$9,249&lt;=$NS$9),IF($NP$9="Single_Point",IF(249=$NR$9,$NN$9,0),IF($NP$9="Bell_Curve",$NN$9*(249-$NR$9+1)*($NS$9-249+1)/$NU$9,$NN$9/$NT$9)),0)</f>
        <v/>
      </c>
      <c r="IT9" s="228">
        <f>IF(AND(250&gt;=$NR$9,250&lt;=$NS$9),IF($NP$9="Single_Point",IF(250=$NR$9,$NN$9,0),IF($NP$9="Bell_Curve",$NN$9*(250-$NR$9+1)*($NS$9-250+1)/$NU$9,$NN$9/$NT$9)),0)</f>
        <v/>
      </c>
      <c r="IU9" s="228">
        <f>IF(AND(251&gt;=$NR$9,251&lt;=$NS$9),IF($NP$9="Single_Point",IF(251=$NR$9,$NN$9,0),IF($NP$9="Bell_Curve",$NN$9*(251-$NR$9+1)*($NS$9-251+1)/$NU$9,$NN$9/$NT$9)),0)</f>
        <v/>
      </c>
      <c r="IV9" s="228">
        <f>IF(AND(252&gt;=$NR$9,252&lt;=$NS$9),IF($NP$9="Single_Point",IF(252=$NR$9,$NN$9,0),IF($NP$9="Bell_Curve",$NN$9*(252-$NR$9+1)*($NS$9-252+1)/$NU$9,$NN$9/$NT$9)),0)</f>
        <v/>
      </c>
      <c r="IW9" s="228">
        <f>IF(AND(253&gt;=$NR$9,253&lt;=$NS$9),IF($NP$9="Single_Point",IF(253=$NR$9,$NN$9,0),IF($NP$9="Bell_Curve",$NN$9*(253-$NR$9+1)*($NS$9-253+1)/$NU$9,$NN$9/$NT$9)),0)</f>
        <v/>
      </c>
      <c r="IX9" s="228">
        <f>IF(AND(254&gt;=$NR$9,254&lt;=$NS$9),IF($NP$9="Single_Point",IF(254=$NR$9,$NN$9,0),IF($NP$9="Bell_Curve",$NN$9*(254-$NR$9+1)*($NS$9-254+1)/$NU$9,$NN$9/$NT$9)),0)</f>
        <v/>
      </c>
      <c r="IY9" s="228">
        <f>IF(AND(255&gt;=$NR$9,255&lt;=$NS$9),IF($NP$9="Single_Point",IF(255=$NR$9,$NN$9,0),IF($NP$9="Bell_Curve",$NN$9*(255-$NR$9+1)*($NS$9-255+1)/$NU$9,$NN$9/$NT$9)),0)</f>
        <v/>
      </c>
      <c r="IZ9" s="228">
        <f>IF(AND(256&gt;=$NR$9,256&lt;=$NS$9),IF($NP$9="Single_Point",IF(256=$NR$9,$NN$9,0),IF($NP$9="Bell_Curve",$NN$9*(256-$NR$9+1)*($NS$9-256+1)/$NU$9,$NN$9/$NT$9)),0)</f>
        <v/>
      </c>
      <c r="JA9" s="228">
        <f>IF(AND(257&gt;=$NR$9,257&lt;=$NS$9),IF($NP$9="Single_Point",IF(257=$NR$9,$NN$9,0),IF($NP$9="Bell_Curve",$NN$9*(257-$NR$9+1)*($NS$9-257+1)/$NU$9,$NN$9/$NT$9)),0)</f>
        <v/>
      </c>
      <c r="JB9" s="228">
        <f>IF(AND(258&gt;=$NR$9,258&lt;=$NS$9),IF($NP$9="Single_Point",IF(258=$NR$9,$NN$9,0),IF($NP$9="Bell_Curve",$NN$9*(258-$NR$9+1)*($NS$9-258+1)/$NU$9,$NN$9/$NT$9)),0)</f>
        <v/>
      </c>
      <c r="JC9" s="228">
        <f>IF(AND(259&gt;=$NR$9,259&lt;=$NS$9),IF($NP$9="Single_Point",IF(259=$NR$9,$NN$9,0),IF($NP$9="Bell_Curve",$NN$9*(259-$NR$9+1)*($NS$9-259+1)/$NU$9,$NN$9/$NT$9)),0)</f>
        <v/>
      </c>
      <c r="JD9" s="228">
        <f>IF(AND(260&gt;=$NR$9,260&lt;=$NS$9),IF($NP$9="Single_Point",IF(260=$NR$9,$NN$9,0),IF($NP$9="Bell_Curve",$NN$9*(260-$NR$9+1)*($NS$9-260+1)/$NU$9,$NN$9/$NT$9)),0)</f>
        <v/>
      </c>
      <c r="JE9" s="228">
        <f>IF(AND(261&gt;=$NR$9,261&lt;=$NS$9),IF($NP$9="Single_Point",IF(261=$NR$9,$NN$9,0),IF($NP$9="Bell_Curve",$NN$9*(261-$NR$9+1)*($NS$9-261+1)/$NU$9,$NN$9/$NT$9)),0)</f>
        <v/>
      </c>
      <c r="JF9" s="228">
        <f>IF(AND(262&gt;=$NR$9,262&lt;=$NS$9),IF($NP$9="Single_Point",IF(262=$NR$9,$NN$9,0),IF($NP$9="Bell_Curve",$NN$9*(262-$NR$9+1)*($NS$9-262+1)/$NU$9,$NN$9/$NT$9)),0)</f>
        <v/>
      </c>
      <c r="JG9" s="228">
        <f>IF(AND(263&gt;=$NR$9,263&lt;=$NS$9),IF($NP$9="Single_Point",IF(263=$NR$9,$NN$9,0),IF($NP$9="Bell_Curve",$NN$9*(263-$NR$9+1)*($NS$9-263+1)/$NU$9,$NN$9/$NT$9)),0)</f>
        <v/>
      </c>
      <c r="JH9" s="228">
        <f>IF(AND(264&gt;=$NR$9,264&lt;=$NS$9),IF($NP$9="Single_Point",IF(264=$NR$9,$NN$9,0),IF($NP$9="Bell_Curve",$NN$9*(264-$NR$9+1)*($NS$9-264+1)/$NU$9,$NN$9/$NT$9)),0)</f>
        <v/>
      </c>
      <c r="JI9" s="228">
        <f>IF(AND(265&gt;=$NR$9,265&lt;=$NS$9),IF($NP$9="Single_Point",IF(265=$NR$9,$NN$9,0),IF($NP$9="Bell_Curve",$NN$9*(265-$NR$9+1)*($NS$9-265+1)/$NU$9,$NN$9/$NT$9)),0)</f>
        <v/>
      </c>
      <c r="JJ9" s="228">
        <f>IF(AND(266&gt;=$NR$9,266&lt;=$NS$9),IF($NP$9="Single_Point",IF(266=$NR$9,$NN$9,0),IF($NP$9="Bell_Curve",$NN$9*(266-$NR$9+1)*($NS$9-266+1)/$NU$9,$NN$9/$NT$9)),0)</f>
        <v/>
      </c>
      <c r="JK9" s="228">
        <f>IF(AND(267&gt;=$NR$9,267&lt;=$NS$9),IF($NP$9="Single_Point",IF(267=$NR$9,$NN$9,0),IF($NP$9="Bell_Curve",$NN$9*(267-$NR$9+1)*($NS$9-267+1)/$NU$9,$NN$9/$NT$9)),0)</f>
        <v/>
      </c>
      <c r="JL9" s="228">
        <f>IF(AND(268&gt;=$NR$9,268&lt;=$NS$9),IF($NP$9="Single_Point",IF(268=$NR$9,$NN$9,0),IF($NP$9="Bell_Curve",$NN$9*(268-$NR$9+1)*($NS$9-268+1)/$NU$9,$NN$9/$NT$9)),0)</f>
        <v/>
      </c>
      <c r="JM9" s="228">
        <f>IF(AND(269&gt;=$NR$9,269&lt;=$NS$9),IF($NP$9="Single_Point",IF(269=$NR$9,$NN$9,0),IF($NP$9="Bell_Curve",$NN$9*(269-$NR$9+1)*($NS$9-269+1)/$NU$9,$NN$9/$NT$9)),0)</f>
        <v/>
      </c>
      <c r="JN9" s="228">
        <f>IF(AND(270&gt;=$NR$9,270&lt;=$NS$9),IF($NP$9="Single_Point",IF(270=$NR$9,$NN$9,0),IF($NP$9="Bell_Curve",$NN$9*(270-$NR$9+1)*($NS$9-270+1)/$NU$9,$NN$9/$NT$9)),0)</f>
        <v/>
      </c>
      <c r="JO9" s="228">
        <f>IF(AND(271&gt;=$NR$9,271&lt;=$NS$9),IF($NP$9="Single_Point",IF(271=$NR$9,$NN$9,0),IF($NP$9="Bell_Curve",$NN$9*(271-$NR$9+1)*($NS$9-271+1)/$NU$9,$NN$9/$NT$9)),0)</f>
        <v/>
      </c>
      <c r="JP9" s="228">
        <f>IF(AND(272&gt;=$NR$9,272&lt;=$NS$9),IF($NP$9="Single_Point",IF(272=$NR$9,$NN$9,0),IF($NP$9="Bell_Curve",$NN$9*(272-$NR$9+1)*($NS$9-272+1)/$NU$9,$NN$9/$NT$9)),0)</f>
        <v/>
      </c>
      <c r="JQ9" s="228">
        <f>IF(AND(273&gt;=$NR$9,273&lt;=$NS$9),IF($NP$9="Single_Point",IF(273=$NR$9,$NN$9,0),IF($NP$9="Bell_Curve",$NN$9*(273-$NR$9+1)*($NS$9-273+1)/$NU$9,$NN$9/$NT$9)),0)</f>
        <v/>
      </c>
      <c r="JR9" s="228">
        <f>IF(AND(274&gt;=$NR$9,274&lt;=$NS$9),IF($NP$9="Single_Point",IF(274=$NR$9,$NN$9,0),IF($NP$9="Bell_Curve",$NN$9*(274-$NR$9+1)*($NS$9-274+1)/$NU$9,$NN$9/$NT$9)),0)</f>
        <v/>
      </c>
      <c r="JS9" s="228">
        <f>IF(AND(275&gt;=$NR$9,275&lt;=$NS$9),IF($NP$9="Single_Point",IF(275=$NR$9,$NN$9,0),IF($NP$9="Bell_Curve",$NN$9*(275-$NR$9+1)*($NS$9-275+1)/$NU$9,$NN$9/$NT$9)),0)</f>
        <v/>
      </c>
      <c r="JT9" s="228">
        <f>IF(AND(276&gt;=$NR$9,276&lt;=$NS$9),IF($NP$9="Single_Point",IF(276=$NR$9,$NN$9,0),IF($NP$9="Bell_Curve",$NN$9*(276-$NR$9+1)*($NS$9-276+1)/$NU$9,$NN$9/$NT$9)),0)</f>
        <v/>
      </c>
      <c r="JU9" s="228">
        <f>IF(AND(277&gt;=$NR$9,277&lt;=$NS$9),IF($NP$9="Single_Point",IF(277=$NR$9,$NN$9,0),IF($NP$9="Bell_Curve",$NN$9*(277-$NR$9+1)*($NS$9-277+1)/$NU$9,$NN$9/$NT$9)),0)</f>
        <v/>
      </c>
      <c r="JV9" s="228">
        <f>IF(AND(278&gt;=$NR$9,278&lt;=$NS$9),IF($NP$9="Single_Point",IF(278=$NR$9,$NN$9,0),IF($NP$9="Bell_Curve",$NN$9*(278-$NR$9+1)*($NS$9-278+1)/$NU$9,$NN$9/$NT$9)),0)</f>
        <v/>
      </c>
      <c r="JW9" s="228">
        <f>IF(AND(279&gt;=$NR$9,279&lt;=$NS$9),IF($NP$9="Single_Point",IF(279=$NR$9,$NN$9,0),IF($NP$9="Bell_Curve",$NN$9*(279-$NR$9+1)*($NS$9-279+1)/$NU$9,$NN$9/$NT$9)),0)</f>
        <v/>
      </c>
      <c r="JX9" s="228">
        <f>IF(AND(280&gt;=$NR$9,280&lt;=$NS$9),IF($NP$9="Single_Point",IF(280=$NR$9,$NN$9,0),IF($NP$9="Bell_Curve",$NN$9*(280-$NR$9+1)*($NS$9-280+1)/$NU$9,$NN$9/$NT$9)),0)</f>
        <v/>
      </c>
      <c r="JY9" s="228">
        <f>IF(AND(281&gt;=$NR$9,281&lt;=$NS$9),IF($NP$9="Single_Point",IF(281=$NR$9,$NN$9,0),IF($NP$9="Bell_Curve",$NN$9*(281-$NR$9+1)*($NS$9-281+1)/$NU$9,$NN$9/$NT$9)),0)</f>
        <v/>
      </c>
      <c r="JZ9" s="228">
        <f>IF(AND(282&gt;=$NR$9,282&lt;=$NS$9),IF($NP$9="Single_Point",IF(282=$NR$9,$NN$9,0),IF($NP$9="Bell_Curve",$NN$9*(282-$NR$9+1)*($NS$9-282+1)/$NU$9,$NN$9/$NT$9)),0)</f>
        <v/>
      </c>
      <c r="KA9" s="228">
        <f>IF(AND(283&gt;=$NR$9,283&lt;=$NS$9),IF($NP$9="Single_Point",IF(283=$NR$9,$NN$9,0),IF($NP$9="Bell_Curve",$NN$9*(283-$NR$9+1)*($NS$9-283+1)/$NU$9,$NN$9/$NT$9)),0)</f>
        <v/>
      </c>
      <c r="KB9" s="228">
        <f>IF(AND(284&gt;=$NR$9,284&lt;=$NS$9),IF($NP$9="Single_Point",IF(284=$NR$9,$NN$9,0),IF($NP$9="Bell_Curve",$NN$9*(284-$NR$9+1)*($NS$9-284+1)/$NU$9,$NN$9/$NT$9)),0)</f>
        <v/>
      </c>
      <c r="KC9" s="228">
        <f>IF(AND(285&gt;=$NR$9,285&lt;=$NS$9),IF($NP$9="Single_Point",IF(285=$NR$9,$NN$9,0),IF($NP$9="Bell_Curve",$NN$9*(285-$NR$9+1)*($NS$9-285+1)/$NU$9,$NN$9/$NT$9)),0)</f>
        <v/>
      </c>
      <c r="KD9" s="228">
        <f>IF(AND(286&gt;=$NR$9,286&lt;=$NS$9),IF($NP$9="Single_Point",IF(286=$NR$9,$NN$9,0),IF($NP$9="Bell_Curve",$NN$9*(286-$NR$9+1)*($NS$9-286+1)/$NU$9,$NN$9/$NT$9)),0)</f>
        <v/>
      </c>
      <c r="KE9" s="228">
        <f>IF(AND(287&gt;=$NR$9,287&lt;=$NS$9),IF($NP$9="Single_Point",IF(287=$NR$9,$NN$9,0),IF($NP$9="Bell_Curve",$NN$9*(287-$NR$9+1)*($NS$9-287+1)/$NU$9,$NN$9/$NT$9)),0)</f>
        <v/>
      </c>
      <c r="KF9" s="228">
        <f>IF(AND(288&gt;=$NR$9,288&lt;=$NS$9),IF($NP$9="Single_Point",IF(288=$NR$9,$NN$9,0),IF($NP$9="Bell_Curve",$NN$9*(288-$NR$9+1)*($NS$9-288+1)/$NU$9,$NN$9/$NT$9)),0)</f>
        <v/>
      </c>
      <c r="KG9" s="228">
        <f>IF(AND(289&gt;=$NR$9,289&lt;=$NS$9),IF($NP$9="Single_Point",IF(289=$NR$9,$NN$9,0),IF($NP$9="Bell_Curve",$NN$9*(289-$NR$9+1)*($NS$9-289+1)/$NU$9,$NN$9/$NT$9)),0)</f>
        <v/>
      </c>
      <c r="KH9" s="228">
        <f>IF(AND(290&gt;=$NR$9,290&lt;=$NS$9),IF($NP$9="Single_Point",IF(290=$NR$9,$NN$9,0),IF($NP$9="Bell_Curve",$NN$9*(290-$NR$9+1)*($NS$9-290+1)/$NU$9,$NN$9/$NT$9)),0)</f>
        <v/>
      </c>
      <c r="KI9" s="228">
        <f>IF(AND(291&gt;=$NR$9,291&lt;=$NS$9),IF($NP$9="Single_Point",IF(291=$NR$9,$NN$9,0),IF($NP$9="Bell_Curve",$NN$9*(291-$NR$9+1)*($NS$9-291+1)/$NU$9,$NN$9/$NT$9)),0)</f>
        <v/>
      </c>
      <c r="KJ9" s="228">
        <f>IF(AND(292&gt;=$NR$9,292&lt;=$NS$9),IF($NP$9="Single_Point",IF(292=$NR$9,$NN$9,0),IF($NP$9="Bell_Curve",$NN$9*(292-$NR$9+1)*($NS$9-292+1)/$NU$9,$NN$9/$NT$9)),0)</f>
        <v/>
      </c>
      <c r="KK9" s="228">
        <f>IF(AND(293&gt;=$NR$9,293&lt;=$NS$9),IF($NP$9="Single_Point",IF(293=$NR$9,$NN$9,0),IF($NP$9="Bell_Curve",$NN$9*(293-$NR$9+1)*($NS$9-293+1)/$NU$9,$NN$9/$NT$9)),0)</f>
        <v/>
      </c>
      <c r="KL9" s="228">
        <f>IF(AND(294&gt;=$NR$9,294&lt;=$NS$9),IF($NP$9="Single_Point",IF(294=$NR$9,$NN$9,0),IF($NP$9="Bell_Curve",$NN$9*(294-$NR$9+1)*($NS$9-294+1)/$NU$9,$NN$9/$NT$9)),0)</f>
        <v/>
      </c>
      <c r="KM9" s="228">
        <f>IF(AND(295&gt;=$NR$9,295&lt;=$NS$9),IF($NP$9="Single_Point",IF(295=$NR$9,$NN$9,0),IF($NP$9="Bell_Curve",$NN$9*(295-$NR$9+1)*($NS$9-295+1)/$NU$9,$NN$9/$NT$9)),0)</f>
        <v/>
      </c>
      <c r="KN9" s="228">
        <f>IF(AND(296&gt;=$NR$9,296&lt;=$NS$9),IF($NP$9="Single_Point",IF(296=$NR$9,$NN$9,0),IF($NP$9="Bell_Curve",$NN$9*(296-$NR$9+1)*($NS$9-296+1)/$NU$9,$NN$9/$NT$9)),0)</f>
        <v/>
      </c>
      <c r="KO9" s="228">
        <f>IF(AND(297&gt;=$NR$9,297&lt;=$NS$9),IF($NP$9="Single_Point",IF(297=$NR$9,$NN$9,0),IF($NP$9="Bell_Curve",$NN$9*(297-$NR$9+1)*($NS$9-297+1)/$NU$9,$NN$9/$NT$9)),0)</f>
        <v/>
      </c>
      <c r="KP9" s="228">
        <f>IF(AND(298&gt;=$NR$9,298&lt;=$NS$9),IF($NP$9="Single_Point",IF(298=$NR$9,$NN$9,0),IF($NP$9="Bell_Curve",$NN$9*(298-$NR$9+1)*($NS$9-298+1)/$NU$9,$NN$9/$NT$9)),0)</f>
        <v/>
      </c>
      <c r="KQ9" s="228">
        <f>IF(AND(299&gt;=$NR$9,299&lt;=$NS$9),IF($NP$9="Single_Point",IF(299=$NR$9,$NN$9,0),IF($NP$9="Bell_Curve",$NN$9*(299-$NR$9+1)*($NS$9-299+1)/$NU$9,$NN$9/$NT$9)),0)</f>
        <v/>
      </c>
      <c r="KR9" s="228">
        <f>IF(AND(300&gt;=$NR$9,300&lt;=$NS$9),IF($NP$9="Single_Point",IF(300=$NR$9,$NN$9,0),IF($NP$9="Bell_Curve",$NN$9*(300-$NR$9+1)*($NS$9-300+1)/$NU$9,$NN$9/$NT$9)),0)</f>
        <v/>
      </c>
      <c r="KS9" s="228">
        <f>IF(AND(301&gt;=$NR$9,301&lt;=$NS$9),IF($NP$9="Single_Point",IF(301=$NR$9,$NN$9,0),IF($NP$9="Bell_Curve",$NN$9*(301-$NR$9+1)*($NS$9-301+1)/$NU$9,$NN$9/$NT$9)),0)</f>
        <v/>
      </c>
      <c r="KT9" s="228">
        <f>IF(AND(302&gt;=$NR$9,302&lt;=$NS$9),IF($NP$9="Single_Point",IF(302=$NR$9,$NN$9,0),IF($NP$9="Bell_Curve",$NN$9*(302-$NR$9+1)*($NS$9-302+1)/$NU$9,$NN$9/$NT$9)),0)</f>
        <v/>
      </c>
      <c r="KU9" s="228">
        <f>IF(AND(303&gt;=$NR$9,303&lt;=$NS$9),IF($NP$9="Single_Point",IF(303=$NR$9,$NN$9,0),IF($NP$9="Bell_Curve",$NN$9*(303-$NR$9+1)*($NS$9-303+1)/$NU$9,$NN$9/$NT$9)),0)</f>
        <v/>
      </c>
      <c r="KV9" s="228">
        <f>IF(AND(304&gt;=$NR$9,304&lt;=$NS$9),IF($NP$9="Single_Point",IF(304=$NR$9,$NN$9,0),IF($NP$9="Bell_Curve",$NN$9*(304-$NR$9+1)*($NS$9-304+1)/$NU$9,$NN$9/$NT$9)),0)</f>
        <v/>
      </c>
      <c r="KW9" s="228">
        <f>IF(AND(305&gt;=$NR$9,305&lt;=$NS$9),IF($NP$9="Single_Point",IF(305=$NR$9,$NN$9,0),IF($NP$9="Bell_Curve",$NN$9*(305-$NR$9+1)*($NS$9-305+1)/$NU$9,$NN$9/$NT$9)),0)</f>
        <v/>
      </c>
      <c r="KX9" s="228">
        <f>IF(AND(306&gt;=$NR$9,306&lt;=$NS$9),IF($NP$9="Single_Point",IF(306=$NR$9,$NN$9,0),IF($NP$9="Bell_Curve",$NN$9*(306-$NR$9+1)*($NS$9-306+1)/$NU$9,$NN$9/$NT$9)),0)</f>
        <v/>
      </c>
      <c r="KY9" s="228">
        <f>IF(AND(307&gt;=$NR$9,307&lt;=$NS$9),IF($NP$9="Single_Point",IF(307=$NR$9,$NN$9,0),IF($NP$9="Bell_Curve",$NN$9*(307-$NR$9+1)*($NS$9-307+1)/$NU$9,$NN$9/$NT$9)),0)</f>
        <v/>
      </c>
      <c r="KZ9" s="228">
        <f>IF(AND(308&gt;=$NR$9,308&lt;=$NS$9),IF($NP$9="Single_Point",IF(308=$NR$9,$NN$9,0),IF($NP$9="Bell_Curve",$NN$9*(308-$NR$9+1)*($NS$9-308+1)/$NU$9,$NN$9/$NT$9)),0)</f>
        <v/>
      </c>
      <c r="LA9" s="228">
        <f>IF(AND(309&gt;=$NR$9,309&lt;=$NS$9),IF($NP$9="Single_Point",IF(309=$NR$9,$NN$9,0),IF($NP$9="Bell_Curve",$NN$9*(309-$NR$9+1)*($NS$9-309+1)/$NU$9,$NN$9/$NT$9)),0)</f>
        <v/>
      </c>
      <c r="LB9" s="228">
        <f>IF(AND(310&gt;=$NR$9,310&lt;=$NS$9),IF($NP$9="Single_Point",IF(310=$NR$9,$NN$9,0),IF($NP$9="Bell_Curve",$NN$9*(310-$NR$9+1)*($NS$9-310+1)/$NU$9,$NN$9/$NT$9)),0)</f>
        <v/>
      </c>
      <c r="LC9" s="228">
        <f>IF(AND(311&gt;=$NR$9,311&lt;=$NS$9),IF($NP$9="Single_Point",IF(311=$NR$9,$NN$9,0),IF($NP$9="Bell_Curve",$NN$9*(311-$NR$9+1)*($NS$9-311+1)/$NU$9,$NN$9/$NT$9)),0)</f>
        <v/>
      </c>
      <c r="LD9" s="228">
        <f>IF(AND(312&gt;=$NR$9,312&lt;=$NS$9),IF($NP$9="Single_Point",IF(312=$NR$9,$NN$9,0),IF($NP$9="Bell_Curve",$NN$9*(312-$NR$9+1)*($NS$9-312+1)/$NU$9,$NN$9/$NT$9)),0)</f>
        <v/>
      </c>
      <c r="LE9" s="228">
        <f>IF(AND(313&gt;=$NR$9,313&lt;=$NS$9),IF($NP$9="Single_Point",IF(313=$NR$9,$NN$9,0),IF($NP$9="Bell_Curve",$NN$9*(313-$NR$9+1)*($NS$9-313+1)/$NU$9,$NN$9/$NT$9)),0)</f>
        <v/>
      </c>
      <c r="LF9" s="228">
        <f>IF(AND(314&gt;=$NR$9,314&lt;=$NS$9),IF($NP$9="Single_Point",IF(314=$NR$9,$NN$9,0),IF($NP$9="Bell_Curve",$NN$9*(314-$NR$9+1)*($NS$9-314+1)/$NU$9,$NN$9/$NT$9)),0)</f>
        <v/>
      </c>
      <c r="LG9" s="228">
        <f>IF(AND(315&gt;=$NR$9,315&lt;=$NS$9),IF($NP$9="Single_Point",IF(315=$NR$9,$NN$9,0),IF($NP$9="Bell_Curve",$NN$9*(315-$NR$9+1)*($NS$9-315+1)/$NU$9,$NN$9/$NT$9)),0)</f>
        <v/>
      </c>
      <c r="LH9" s="228">
        <f>IF(AND(316&gt;=$NR$9,316&lt;=$NS$9),IF($NP$9="Single_Point",IF(316=$NR$9,$NN$9,0),IF($NP$9="Bell_Curve",$NN$9*(316-$NR$9+1)*($NS$9-316+1)/$NU$9,$NN$9/$NT$9)),0)</f>
        <v/>
      </c>
      <c r="LI9" s="228">
        <f>IF(AND(317&gt;=$NR$9,317&lt;=$NS$9),IF($NP$9="Single_Point",IF(317=$NR$9,$NN$9,0),IF($NP$9="Bell_Curve",$NN$9*(317-$NR$9+1)*($NS$9-317+1)/$NU$9,$NN$9/$NT$9)),0)</f>
        <v/>
      </c>
      <c r="LJ9" s="228">
        <f>IF(AND(318&gt;=$NR$9,318&lt;=$NS$9),IF($NP$9="Single_Point",IF(318=$NR$9,$NN$9,0),IF($NP$9="Bell_Curve",$NN$9*(318-$NR$9+1)*($NS$9-318+1)/$NU$9,$NN$9/$NT$9)),0)</f>
        <v/>
      </c>
      <c r="LK9" s="228">
        <f>IF(AND(319&gt;=$NR$9,319&lt;=$NS$9),IF($NP$9="Single_Point",IF(319=$NR$9,$NN$9,0),IF($NP$9="Bell_Curve",$NN$9*(319-$NR$9+1)*($NS$9-319+1)/$NU$9,$NN$9/$NT$9)),0)</f>
        <v/>
      </c>
      <c r="LL9" s="228">
        <f>IF(AND(320&gt;=$NR$9,320&lt;=$NS$9),IF($NP$9="Single_Point",IF(320=$NR$9,$NN$9,0),IF($NP$9="Bell_Curve",$NN$9*(320-$NR$9+1)*($NS$9-320+1)/$NU$9,$NN$9/$NT$9)),0)</f>
        <v/>
      </c>
      <c r="LM9" s="228">
        <f>IF(AND(321&gt;=$NR$9,321&lt;=$NS$9),IF($NP$9="Single_Point",IF(321=$NR$9,$NN$9,0),IF($NP$9="Bell_Curve",$NN$9*(321-$NR$9+1)*($NS$9-321+1)/$NU$9,$NN$9/$NT$9)),0)</f>
        <v/>
      </c>
      <c r="LN9" s="228">
        <f>IF(AND(322&gt;=$NR$9,322&lt;=$NS$9),IF($NP$9="Single_Point",IF(322=$NR$9,$NN$9,0),IF($NP$9="Bell_Curve",$NN$9*(322-$NR$9+1)*($NS$9-322+1)/$NU$9,$NN$9/$NT$9)),0)</f>
        <v/>
      </c>
      <c r="LO9" s="228">
        <f>IF(AND(323&gt;=$NR$9,323&lt;=$NS$9),IF($NP$9="Single_Point",IF(323=$NR$9,$NN$9,0),IF($NP$9="Bell_Curve",$NN$9*(323-$NR$9+1)*($NS$9-323+1)/$NU$9,$NN$9/$NT$9)),0)</f>
        <v/>
      </c>
      <c r="LP9" s="228">
        <f>IF(AND(324&gt;=$NR$9,324&lt;=$NS$9),IF($NP$9="Single_Point",IF(324=$NR$9,$NN$9,0),IF($NP$9="Bell_Curve",$NN$9*(324-$NR$9+1)*($NS$9-324+1)/$NU$9,$NN$9/$NT$9)),0)</f>
        <v/>
      </c>
      <c r="LQ9" s="228">
        <f>IF(AND(325&gt;=$NR$9,325&lt;=$NS$9),IF($NP$9="Single_Point",IF(325=$NR$9,$NN$9,0),IF($NP$9="Bell_Curve",$NN$9*(325-$NR$9+1)*($NS$9-325+1)/$NU$9,$NN$9/$NT$9)),0)</f>
        <v/>
      </c>
      <c r="LR9" s="228">
        <f>IF(AND(326&gt;=$NR$9,326&lt;=$NS$9),IF($NP$9="Single_Point",IF(326=$NR$9,$NN$9,0),IF($NP$9="Bell_Curve",$NN$9*(326-$NR$9+1)*($NS$9-326+1)/$NU$9,$NN$9/$NT$9)),0)</f>
        <v/>
      </c>
      <c r="LS9" s="228">
        <f>IF(AND(327&gt;=$NR$9,327&lt;=$NS$9),IF($NP$9="Single_Point",IF(327=$NR$9,$NN$9,0),IF($NP$9="Bell_Curve",$NN$9*(327-$NR$9+1)*($NS$9-327+1)/$NU$9,$NN$9/$NT$9)),0)</f>
        <v/>
      </c>
      <c r="LT9" s="228">
        <f>IF(AND(328&gt;=$NR$9,328&lt;=$NS$9),IF($NP$9="Single_Point",IF(328=$NR$9,$NN$9,0),IF($NP$9="Bell_Curve",$NN$9*(328-$NR$9+1)*($NS$9-328+1)/$NU$9,$NN$9/$NT$9)),0)</f>
        <v/>
      </c>
      <c r="LU9" s="228">
        <f>IF(AND(329&gt;=$NR$9,329&lt;=$NS$9),IF($NP$9="Single_Point",IF(329=$NR$9,$NN$9,0),IF($NP$9="Bell_Curve",$NN$9*(329-$NR$9+1)*($NS$9-329+1)/$NU$9,$NN$9/$NT$9)),0)</f>
        <v/>
      </c>
      <c r="LV9" s="228">
        <f>IF(AND(330&gt;=$NR$9,330&lt;=$NS$9),IF($NP$9="Single_Point",IF(330=$NR$9,$NN$9,0),IF($NP$9="Bell_Curve",$NN$9*(330-$NR$9+1)*($NS$9-330+1)/$NU$9,$NN$9/$NT$9)),0)</f>
        <v/>
      </c>
      <c r="LW9" s="228">
        <f>IF(AND(331&gt;=$NR$9,331&lt;=$NS$9),IF($NP$9="Single_Point",IF(331=$NR$9,$NN$9,0),IF($NP$9="Bell_Curve",$NN$9*(331-$NR$9+1)*($NS$9-331+1)/$NU$9,$NN$9/$NT$9)),0)</f>
        <v/>
      </c>
      <c r="LX9" s="228">
        <f>IF(AND(332&gt;=$NR$9,332&lt;=$NS$9),IF($NP$9="Single_Point",IF(332=$NR$9,$NN$9,0),IF($NP$9="Bell_Curve",$NN$9*(332-$NR$9+1)*($NS$9-332+1)/$NU$9,$NN$9/$NT$9)),0)</f>
        <v/>
      </c>
      <c r="LY9" s="228">
        <f>IF(AND(333&gt;=$NR$9,333&lt;=$NS$9),IF($NP$9="Single_Point",IF(333=$NR$9,$NN$9,0),IF($NP$9="Bell_Curve",$NN$9*(333-$NR$9+1)*($NS$9-333+1)/$NU$9,$NN$9/$NT$9)),0)</f>
        <v/>
      </c>
      <c r="LZ9" s="228">
        <f>IF(AND(334&gt;=$NR$9,334&lt;=$NS$9),IF($NP$9="Single_Point",IF(334=$NR$9,$NN$9,0),IF($NP$9="Bell_Curve",$NN$9*(334-$NR$9+1)*($NS$9-334+1)/$NU$9,$NN$9/$NT$9)),0)</f>
        <v/>
      </c>
      <c r="MA9" s="228">
        <f>IF(AND(335&gt;=$NR$9,335&lt;=$NS$9),IF($NP$9="Single_Point",IF(335=$NR$9,$NN$9,0),IF($NP$9="Bell_Curve",$NN$9*(335-$NR$9+1)*($NS$9-335+1)/$NU$9,$NN$9/$NT$9)),0)</f>
        <v/>
      </c>
      <c r="MB9" s="228">
        <f>IF(AND(336&gt;=$NR$9,336&lt;=$NS$9),IF($NP$9="Single_Point",IF(336=$NR$9,$NN$9,0),IF($NP$9="Bell_Curve",$NN$9*(336-$NR$9+1)*($NS$9-336+1)/$NU$9,$NN$9/$NT$9)),0)</f>
        <v/>
      </c>
      <c r="MC9" s="228">
        <f>IF(AND(337&gt;=$NR$9,337&lt;=$NS$9),IF($NP$9="Single_Point",IF(337=$NR$9,$NN$9,0),IF($NP$9="Bell_Curve",$NN$9*(337-$NR$9+1)*($NS$9-337+1)/$NU$9,$NN$9/$NT$9)),0)</f>
        <v/>
      </c>
      <c r="MD9" s="228">
        <f>IF(AND(338&gt;=$NR$9,338&lt;=$NS$9),IF($NP$9="Single_Point",IF(338=$NR$9,$NN$9,0),IF($NP$9="Bell_Curve",$NN$9*(338-$NR$9+1)*($NS$9-338+1)/$NU$9,$NN$9/$NT$9)),0)</f>
        <v/>
      </c>
      <c r="ME9" s="228">
        <f>IF(AND(339&gt;=$NR$9,339&lt;=$NS$9),IF($NP$9="Single_Point",IF(339=$NR$9,$NN$9,0),IF($NP$9="Bell_Curve",$NN$9*(339-$NR$9+1)*($NS$9-339+1)/$NU$9,$NN$9/$NT$9)),0)</f>
        <v/>
      </c>
      <c r="MF9" s="228">
        <f>IF(AND(340&gt;=$NR$9,340&lt;=$NS$9),IF($NP$9="Single_Point",IF(340=$NR$9,$NN$9,0),IF($NP$9="Bell_Curve",$NN$9*(340-$NR$9+1)*($NS$9-340+1)/$NU$9,$NN$9/$NT$9)),0)</f>
        <v/>
      </c>
      <c r="MG9" s="228">
        <f>IF(AND(341&gt;=$NR$9,341&lt;=$NS$9),IF($NP$9="Single_Point",IF(341=$NR$9,$NN$9,0),IF($NP$9="Bell_Curve",$NN$9*(341-$NR$9+1)*($NS$9-341+1)/$NU$9,$NN$9/$NT$9)),0)</f>
        <v/>
      </c>
      <c r="MH9" s="228">
        <f>IF(AND(342&gt;=$NR$9,342&lt;=$NS$9),IF($NP$9="Single_Point",IF(342=$NR$9,$NN$9,0),IF($NP$9="Bell_Curve",$NN$9*(342-$NR$9+1)*($NS$9-342+1)/$NU$9,$NN$9/$NT$9)),0)</f>
        <v/>
      </c>
      <c r="MI9" s="228">
        <f>IF(AND(343&gt;=$NR$9,343&lt;=$NS$9),IF($NP$9="Single_Point",IF(343=$NR$9,$NN$9,0),IF($NP$9="Bell_Curve",$NN$9*(343-$NR$9+1)*($NS$9-343+1)/$NU$9,$NN$9/$NT$9)),0)</f>
        <v/>
      </c>
      <c r="MJ9" s="228">
        <f>IF(AND(344&gt;=$NR$9,344&lt;=$NS$9),IF($NP$9="Single_Point",IF(344=$NR$9,$NN$9,0),IF($NP$9="Bell_Curve",$NN$9*(344-$NR$9+1)*($NS$9-344+1)/$NU$9,$NN$9/$NT$9)),0)</f>
        <v/>
      </c>
      <c r="MK9" s="228">
        <f>IF(AND(345&gt;=$NR$9,345&lt;=$NS$9),IF($NP$9="Single_Point",IF(345=$NR$9,$NN$9,0),IF($NP$9="Bell_Curve",$NN$9*(345-$NR$9+1)*($NS$9-345+1)/$NU$9,$NN$9/$NT$9)),0)</f>
        <v/>
      </c>
      <c r="ML9" s="228">
        <f>IF(AND(346&gt;=$NR$9,346&lt;=$NS$9),IF($NP$9="Single_Point",IF(346=$NR$9,$NN$9,0),IF($NP$9="Bell_Curve",$NN$9*(346-$NR$9+1)*($NS$9-346+1)/$NU$9,$NN$9/$NT$9)),0)</f>
        <v/>
      </c>
      <c r="MM9" s="228">
        <f>IF(AND(347&gt;=$NR$9,347&lt;=$NS$9),IF($NP$9="Single_Point",IF(347=$NR$9,$NN$9,0),IF($NP$9="Bell_Curve",$NN$9*(347-$NR$9+1)*($NS$9-347+1)/$NU$9,$NN$9/$NT$9)),0)</f>
        <v/>
      </c>
      <c r="MN9" s="228">
        <f>IF(AND(348&gt;=$NR$9,348&lt;=$NS$9),IF($NP$9="Single_Point",IF(348=$NR$9,$NN$9,0),IF($NP$9="Bell_Curve",$NN$9*(348-$NR$9+1)*($NS$9-348+1)/$NU$9,$NN$9/$NT$9)),0)</f>
        <v/>
      </c>
      <c r="MO9" s="228">
        <f>IF(AND(349&gt;=$NR$9,349&lt;=$NS$9),IF($NP$9="Single_Point",IF(349=$NR$9,$NN$9,0),IF($NP$9="Bell_Curve",$NN$9*(349-$NR$9+1)*($NS$9-349+1)/$NU$9,$NN$9/$NT$9)),0)</f>
        <v/>
      </c>
      <c r="MP9" s="228">
        <f>IF(AND(350&gt;=$NR$9,350&lt;=$NS$9),IF($NP$9="Single_Point",IF(350=$NR$9,$NN$9,0),IF($NP$9="Bell_Curve",$NN$9*(350-$NR$9+1)*($NS$9-350+1)/$NU$9,$NN$9/$NT$9)),0)</f>
        <v/>
      </c>
      <c r="MQ9" s="228">
        <f>IF(AND(351&gt;=$NR$9,351&lt;=$NS$9),IF($NP$9="Single_Point",IF(351=$NR$9,$NN$9,0),IF($NP$9="Bell_Curve",$NN$9*(351-$NR$9+1)*($NS$9-351+1)/$NU$9,$NN$9/$NT$9)),0)</f>
        <v/>
      </c>
      <c r="MR9" s="228">
        <f>IF(AND(352&gt;=$NR$9,352&lt;=$NS$9),IF($NP$9="Single_Point",IF(352=$NR$9,$NN$9,0),IF($NP$9="Bell_Curve",$NN$9*(352-$NR$9+1)*($NS$9-352+1)/$NU$9,$NN$9/$NT$9)),0)</f>
        <v/>
      </c>
      <c r="MS9" s="228">
        <f>IF(AND(353&gt;=$NR$9,353&lt;=$NS$9),IF($NP$9="Single_Point",IF(353=$NR$9,$NN$9,0),IF($NP$9="Bell_Curve",$NN$9*(353-$NR$9+1)*($NS$9-353+1)/$NU$9,$NN$9/$NT$9)),0)</f>
        <v/>
      </c>
      <c r="MT9" s="228">
        <f>IF(AND(354&gt;=$NR$9,354&lt;=$NS$9),IF($NP$9="Single_Point",IF(354=$NR$9,$NN$9,0),IF($NP$9="Bell_Curve",$NN$9*(354-$NR$9+1)*($NS$9-354+1)/$NU$9,$NN$9/$NT$9)),0)</f>
        <v/>
      </c>
      <c r="MU9" s="228">
        <f>IF(AND(355&gt;=$NR$9,355&lt;=$NS$9),IF($NP$9="Single_Point",IF(355=$NR$9,$NN$9,0),IF($NP$9="Bell_Curve",$NN$9*(355-$NR$9+1)*($NS$9-355+1)/$NU$9,$NN$9/$NT$9)),0)</f>
        <v/>
      </c>
      <c r="MV9" s="228">
        <f>IF(AND(356&gt;=$NR$9,356&lt;=$NS$9),IF($NP$9="Single_Point",IF(356=$NR$9,$NN$9,0),IF($NP$9="Bell_Curve",$NN$9*(356-$NR$9+1)*($NS$9-356+1)/$NU$9,$NN$9/$NT$9)),0)</f>
        <v/>
      </c>
      <c r="MW9" s="228">
        <f>IF(AND(357&gt;=$NR$9,357&lt;=$NS$9),IF($NP$9="Single_Point",IF(357=$NR$9,$NN$9,0),IF($NP$9="Bell_Curve",$NN$9*(357-$NR$9+1)*($NS$9-357+1)/$NU$9,$NN$9/$NT$9)),0)</f>
        <v/>
      </c>
      <c r="MX9" s="228">
        <f>IF(AND(358&gt;=$NR$9,358&lt;=$NS$9),IF($NP$9="Single_Point",IF(358=$NR$9,$NN$9,0),IF($NP$9="Bell_Curve",$NN$9*(358-$NR$9+1)*($NS$9-358+1)/$NU$9,$NN$9/$NT$9)),0)</f>
        <v/>
      </c>
      <c r="MY9" s="228">
        <f>IF(AND(359&gt;=$NR$9,359&lt;=$NS$9),IF($NP$9="Single_Point",IF(359=$NR$9,$NN$9,0),IF($NP$9="Bell_Curve",$NN$9*(359-$NR$9+1)*($NS$9-359+1)/$NU$9,$NN$9/$NT$9)),0)</f>
        <v/>
      </c>
      <c r="MZ9" s="228">
        <f>IF(AND(360&gt;=$NR$9,360&lt;=$NS$9),IF($NP$9="Single_Point",IF(360=$NR$9,$NN$9,0),IF($NP$9="Bell_Curve",$NN$9*(360-$NR$9+1)*($NS$9-360+1)/$NU$9,$NN$9/$NT$9)),0)</f>
        <v/>
      </c>
      <c r="NA9" s="228">
        <f>IF(AND(361&gt;=$NR$9,361&lt;=$NS$9),IF($NP$9="Single_Point",IF(361=$NR$9,$NN$9,0),IF($NP$9="Bell_Curve",$NN$9*(361-$NR$9+1)*($NS$9-361+1)/$NU$9,$NN$9/$NT$9)),0)</f>
        <v/>
      </c>
      <c r="NB9" s="228">
        <f>IF(AND(362&gt;=$NR$9,362&lt;=$NS$9),IF($NP$9="Single_Point",IF(362=$NR$9,$NN$9,0),IF($NP$9="Bell_Curve",$NN$9*(362-$NR$9+1)*($NS$9-362+1)/$NU$9,$NN$9/$NT$9)),0)</f>
        <v/>
      </c>
      <c r="NC9" s="228">
        <f>IF(AND(363&gt;=$NR$9,363&lt;=$NS$9),IF($NP$9="Single_Point",IF(363=$NR$9,$NN$9,0),IF($NP$9="Bell_Curve",$NN$9*(363-$NR$9+1)*($NS$9-363+1)/$NU$9,$NN$9/$NT$9)),0)</f>
        <v/>
      </c>
      <c r="ND9" s="228">
        <f>IF(AND(364&gt;=$NR$9,364&lt;=$NS$9),IF($NP$9="Single_Point",IF(364=$NR$9,$NN$9,0),IF($NP$9="Bell_Curve",$NN$9*(364-$NR$9+1)*($NS$9-364+1)/$NU$9,$NN$9/$NT$9)),0)</f>
        <v/>
      </c>
      <c r="NE9" s="228">
        <f>IF(AND(365&gt;=$NR$9,365&lt;=$NS$9),IF($NP$9="Single_Point",IF(365=$NR$9,$NN$9,0),IF($NP$9="Bell_Curve",$NN$9*(365-$NR$9+1)*($NS$9-365+1)/$NU$9,$NN$9/$NT$9)),0)</f>
        <v/>
      </c>
      <c r="NF9" s="228">
        <f>IF(AND(366&gt;=$NR$9,366&lt;=$NS$9),IF($NP$9="Single_Point",IF(366=$NR$9,$NN$9,0),IF($NP$9="Bell_Curve",$NN$9*(366-$NR$9+1)*($NS$9-366+1)/$NU$9,$NN$9/$NT$9)),0)</f>
        <v/>
      </c>
      <c r="NG9" s="228">
        <f>IF(AND(367&gt;=$NR$9,367&lt;=$NS$9),IF($NP$9="Single_Point",IF(367=$NR$9,$NN$9,0),IF($NP$9="Bell_Curve",$NN$9*(367-$NR$9+1)*($NS$9-367+1)/$NU$9,$NN$9/$NT$9)),0)</f>
        <v/>
      </c>
      <c r="NH9" s="228">
        <f>IF(AND(368&gt;=$NR$9,368&lt;=$NS$9),IF($NP$9="Single_Point",IF(368=$NR$9,$NN$9,0),IF($NP$9="Bell_Curve",$NN$9*(368-$NR$9+1)*($NS$9-368+1)/$NU$9,$NN$9/$NT$9)),0)</f>
        <v/>
      </c>
      <c r="NI9" s="228">
        <f>IF(AND(369&gt;=$NR$9,369&lt;=$NS$9),IF($NP$9="Single_Point",IF(369=$NR$9,$NN$9,0),IF($NP$9="Bell_Curve",$NN$9*(369-$NR$9+1)*($NS$9-369+1)/$NU$9,$NN$9/$NT$9)),0)</f>
        <v/>
      </c>
      <c r="NJ9" s="228">
        <f>IF(AND(370&gt;=$NR$9,370&lt;=$NS$9),IF($NP$9="Single_Point",IF(370=$NR$9,$NN$9,0),IF($NP$9="Bell_Curve",$NN$9*(370-$NR$9+1)*($NS$9-370+1)/$NU$9,$NN$9/$NT$9)),0)</f>
        <v/>
      </c>
      <c r="NK9" s="228">
        <f>IF(AND(371&gt;=$NR$9,371&lt;=$NS$9),IF($NP$9="Single_Point",IF(371=$NR$9,$NN$9,0),IF($NP$9="Bell_Curve",$NN$9*(371-$NR$9+1)*($NS$9-371+1)/$NU$9,$NN$9/$NT$9)),0)</f>
        <v/>
      </c>
      <c r="NL9" s="247">
        <f>IF(AND(372&gt;=$NR$9,372&lt;=$NS$9),IF($NP$9="Single_Point",IF(372=$NR$9,$NN$9,0),IF($NP$9="Bell_Curve",$NN$9*(372-$NR$9+1)*($NS$9-372+1)/$NU$9,$NN$9/$NT$9)),0)</f>
        <v/>
      </c>
      <c r="NN9" s="218">
        <f>Budget!J8</f>
        <v/>
      </c>
      <c r="NO9" s="144">
        <f>Budget!G8</f>
        <v/>
      </c>
      <c r="NP9" s="144">
        <f>Budget!H8</f>
        <v/>
      </c>
      <c r="NQ9" s="85">
        <f>Budget!I8</f>
        <v/>
      </c>
      <c r="NR9" s="248">
        <f>MAX(1,MIN(372,INDEX(MilestoneStart,MATCH(NO9,MilestoneNames,0))+NQ9))</f>
        <v/>
      </c>
      <c r="NS9" s="248">
        <f>MAX(NR9,MIN(372,INDEX(MilestoneEnd,MATCH(NO9,MilestoneNames,0))+NQ9))</f>
        <v/>
      </c>
      <c r="NT9" s="85">
        <f>NS9-NR9+1</f>
        <v/>
      </c>
      <c r="NU9" s="85">
        <f>NT9*(NT9+1)*(NT9+2)/6</f>
        <v/>
      </c>
    </row>
    <row r="10">
      <c r="B10" s="36" t="inlineStr">
        <is>
          <t>Architecture &amp; Eng.</t>
        </is>
      </c>
      <c r="D10" s="246">
        <f>SUM(E10:NL10)</f>
        <v/>
      </c>
      <c r="E10" s="228">
        <f>IF(AND(1&gt;=$NR$10,1&lt;=$NS$10),IF($NP$10="Single_Point",IF(1=$NR$10,$NN$10,0),IF($NP$10="Bell_Curve",$NN$10*(1-$NR$10+1)*($NS$10-1+1)/$NU$10,$NN$10/$NT$10)),0)</f>
        <v/>
      </c>
      <c r="F10" s="228">
        <f>IF(AND(2&gt;=$NR$10,2&lt;=$NS$10),IF($NP$10="Single_Point",IF(2=$NR$10,$NN$10,0),IF($NP$10="Bell_Curve",$NN$10*(2-$NR$10+1)*($NS$10-2+1)/$NU$10,$NN$10/$NT$10)),0)</f>
        <v/>
      </c>
      <c r="G10" s="228">
        <f>IF(AND(3&gt;=$NR$10,3&lt;=$NS$10),IF($NP$10="Single_Point",IF(3=$NR$10,$NN$10,0),IF($NP$10="Bell_Curve",$NN$10*(3-$NR$10+1)*($NS$10-3+1)/$NU$10,$NN$10/$NT$10)),0)</f>
        <v/>
      </c>
      <c r="H10" s="228">
        <f>IF(AND(4&gt;=$NR$10,4&lt;=$NS$10),IF($NP$10="Single_Point",IF(4=$NR$10,$NN$10,0),IF($NP$10="Bell_Curve",$NN$10*(4-$NR$10+1)*($NS$10-4+1)/$NU$10,$NN$10/$NT$10)),0)</f>
        <v/>
      </c>
      <c r="I10" s="228">
        <f>IF(AND(5&gt;=$NR$10,5&lt;=$NS$10),IF($NP$10="Single_Point",IF(5=$NR$10,$NN$10,0),IF($NP$10="Bell_Curve",$NN$10*(5-$NR$10+1)*($NS$10-5+1)/$NU$10,$NN$10/$NT$10)),0)</f>
        <v/>
      </c>
      <c r="J10" s="228">
        <f>IF(AND(6&gt;=$NR$10,6&lt;=$NS$10),IF($NP$10="Single_Point",IF(6=$NR$10,$NN$10,0),IF($NP$10="Bell_Curve",$NN$10*(6-$NR$10+1)*($NS$10-6+1)/$NU$10,$NN$10/$NT$10)),0)</f>
        <v/>
      </c>
      <c r="K10" s="228">
        <f>IF(AND(7&gt;=$NR$10,7&lt;=$NS$10),IF($NP$10="Single_Point",IF(7=$NR$10,$NN$10,0),IF($NP$10="Bell_Curve",$NN$10*(7-$NR$10+1)*($NS$10-7+1)/$NU$10,$NN$10/$NT$10)),0)</f>
        <v/>
      </c>
      <c r="L10" s="228">
        <f>IF(AND(8&gt;=$NR$10,8&lt;=$NS$10),IF($NP$10="Single_Point",IF(8=$NR$10,$NN$10,0),IF($NP$10="Bell_Curve",$NN$10*(8-$NR$10+1)*($NS$10-8+1)/$NU$10,$NN$10/$NT$10)),0)</f>
        <v/>
      </c>
      <c r="M10" s="228">
        <f>IF(AND(9&gt;=$NR$10,9&lt;=$NS$10),IF($NP$10="Single_Point",IF(9=$NR$10,$NN$10,0),IF($NP$10="Bell_Curve",$NN$10*(9-$NR$10+1)*($NS$10-9+1)/$NU$10,$NN$10/$NT$10)),0)</f>
        <v/>
      </c>
      <c r="N10" s="228">
        <f>IF(AND(10&gt;=$NR$10,10&lt;=$NS$10),IF($NP$10="Single_Point",IF(10=$NR$10,$NN$10,0),IF($NP$10="Bell_Curve",$NN$10*(10-$NR$10+1)*($NS$10-10+1)/$NU$10,$NN$10/$NT$10)),0)</f>
        <v/>
      </c>
      <c r="O10" s="228">
        <f>IF(AND(11&gt;=$NR$10,11&lt;=$NS$10),IF($NP$10="Single_Point",IF(11=$NR$10,$NN$10,0),IF($NP$10="Bell_Curve",$NN$10*(11-$NR$10+1)*($NS$10-11+1)/$NU$10,$NN$10/$NT$10)),0)</f>
        <v/>
      </c>
      <c r="P10" s="228">
        <f>IF(AND(12&gt;=$NR$10,12&lt;=$NS$10),IF($NP$10="Single_Point",IF(12=$NR$10,$NN$10,0),IF($NP$10="Bell_Curve",$NN$10*(12-$NR$10+1)*($NS$10-12+1)/$NU$10,$NN$10/$NT$10)),0)</f>
        <v/>
      </c>
      <c r="Q10" s="228">
        <f>IF(AND(13&gt;=$NR$10,13&lt;=$NS$10),IF($NP$10="Single_Point",IF(13=$NR$10,$NN$10,0),IF($NP$10="Bell_Curve",$NN$10*(13-$NR$10+1)*($NS$10-13+1)/$NU$10,$NN$10/$NT$10)),0)</f>
        <v/>
      </c>
      <c r="R10" s="228">
        <f>IF(AND(14&gt;=$NR$10,14&lt;=$NS$10),IF($NP$10="Single_Point",IF(14=$NR$10,$NN$10,0),IF($NP$10="Bell_Curve",$NN$10*(14-$NR$10+1)*($NS$10-14+1)/$NU$10,$NN$10/$NT$10)),0)</f>
        <v/>
      </c>
      <c r="S10" s="228">
        <f>IF(AND(15&gt;=$NR$10,15&lt;=$NS$10),IF($NP$10="Single_Point",IF(15=$NR$10,$NN$10,0),IF($NP$10="Bell_Curve",$NN$10*(15-$NR$10+1)*($NS$10-15+1)/$NU$10,$NN$10/$NT$10)),0)</f>
        <v/>
      </c>
      <c r="T10" s="228">
        <f>IF(AND(16&gt;=$NR$10,16&lt;=$NS$10),IF($NP$10="Single_Point",IF(16=$NR$10,$NN$10,0),IF($NP$10="Bell_Curve",$NN$10*(16-$NR$10+1)*($NS$10-16+1)/$NU$10,$NN$10/$NT$10)),0)</f>
        <v/>
      </c>
      <c r="U10" s="228">
        <f>IF(AND(17&gt;=$NR$10,17&lt;=$NS$10),IF($NP$10="Single_Point",IF(17=$NR$10,$NN$10,0),IF($NP$10="Bell_Curve",$NN$10*(17-$NR$10+1)*($NS$10-17+1)/$NU$10,$NN$10/$NT$10)),0)</f>
        <v/>
      </c>
      <c r="V10" s="228">
        <f>IF(AND(18&gt;=$NR$10,18&lt;=$NS$10),IF($NP$10="Single_Point",IF(18=$NR$10,$NN$10,0),IF($NP$10="Bell_Curve",$NN$10*(18-$NR$10+1)*($NS$10-18+1)/$NU$10,$NN$10/$NT$10)),0)</f>
        <v/>
      </c>
      <c r="W10" s="228">
        <f>IF(AND(19&gt;=$NR$10,19&lt;=$NS$10),IF($NP$10="Single_Point",IF(19=$NR$10,$NN$10,0),IF($NP$10="Bell_Curve",$NN$10*(19-$NR$10+1)*($NS$10-19+1)/$NU$10,$NN$10/$NT$10)),0)</f>
        <v/>
      </c>
      <c r="X10" s="228">
        <f>IF(AND(20&gt;=$NR$10,20&lt;=$NS$10),IF($NP$10="Single_Point",IF(20=$NR$10,$NN$10,0),IF($NP$10="Bell_Curve",$NN$10*(20-$NR$10+1)*($NS$10-20+1)/$NU$10,$NN$10/$NT$10)),0)</f>
        <v/>
      </c>
      <c r="Y10" s="228">
        <f>IF(AND(21&gt;=$NR$10,21&lt;=$NS$10),IF($NP$10="Single_Point",IF(21=$NR$10,$NN$10,0),IF($NP$10="Bell_Curve",$NN$10*(21-$NR$10+1)*($NS$10-21+1)/$NU$10,$NN$10/$NT$10)),0)</f>
        <v/>
      </c>
      <c r="Z10" s="228">
        <f>IF(AND(22&gt;=$NR$10,22&lt;=$NS$10),IF($NP$10="Single_Point",IF(22=$NR$10,$NN$10,0),IF($NP$10="Bell_Curve",$NN$10*(22-$NR$10+1)*($NS$10-22+1)/$NU$10,$NN$10/$NT$10)),0)</f>
        <v/>
      </c>
      <c r="AA10" s="228">
        <f>IF(AND(23&gt;=$NR$10,23&lt;=$NS$10),IF($NP$10="Single_Point",IF(23=$NR$10,$NN$10,0),IF($NP$10="Bell_Curve",$NN$10*(23-$NR$10+1)*($NS$10-23+1)/$NU$10,$NN$10/$NT$10)),0)</f>
        <v/>
      </c>
      <c r="AB10" s="228">
        <f>IF(AND(24&gt;=$NR$10,24&lt;=$NS$10),IF($NP$10="Single_Point",IF(24=$NR$10,$NN$10,0),IF($NP$10="Bell_Curve",$NN$10*(24-$NR$10+1)*($NS$10-24+1)/$NU$10,$NN$10/$NT$10)),0)</f>
        <v/>
      </c>
      <c r="AC10" s="228">
        <f>IF(AND(25&gt;=$NR$10,25&lt;=$NS$10),IF($NP$10="Single_Point",IF(25=$NR$10,$NN$10,0),IF($NP$10="Bell_Curve",$NN$10*(25-$NR$10+1)*($NS$10-25+1)/$NU$10,$NN$10/$NT$10)),0)</f>
        <v/>
      </c>
      <c r="AD10" s="228">
        <f>IF(AND(26&gt;=$NR$10,26&lt;=$NS$10),IF($NP$10="Single_Point",IF(26=$NR$10,$NN$10,0),IF($NP$10="Bell_Curve",$NN$10*(26-$NR$10+1)*($NS$10-26+1)/$NU$10,$NN$10/$NT$10)),0)</f>
        <v/>
      </c>
      <c r="AE10" s="228">
        <f>IF(AND(27&gt;=$NR$10,27&lt;=$NS$10),IF($NP$10="Single_Point",IF(27=$NR$10,$NN$10,0),IF($NP$10="Bell_Curve",$NN$10*(27-$NR$10+1)*($NS$10-27+1)/$NU$10,$NN$10/$NT$10)),0)</f>
        <v/>
      </c>
      <c r="AF10" s="228">
        <f>IF(AND(28&gt;=$NR$10,28&lt;=$NS$10),IF($NP$10="Single_Point",IF(28=$NR$10,$NN$10,0),IF($NP$10="Bell_Curve",$NN$10*(28-$NR$10+1)*($NS$10-28+1)/$NU$10,$NN$10/$NT$10)),0)</f>
        <v/>
      </c>
      <c r="AG10" s="228">
        <f>IF(AND(29&gt;=$NR$10,29&lt;=$NS$10),IF($NP$10="Single_Point",IF(29=$NR$10,$NN$10,0),IF($NP$10="Bell_Curve",$NN$10*(29-$NR$10+1)*($NS$10-29+1)/$NU$10,$NN$10/$NT$10)),0)</f>
        <v/>
      </c>
      <c r="AH10" s="228">
        <f>IF(AND(30&gt;=$NR$10,30&lt;=$NS$10),IF($NP$10="Single_Point",IF(30=$NR$10,$NN$10,0),IF($NP$10="Bell_Curve",$NN$10*(30-$NR$10+1)*($NS$10-30+1)/$NU$10,$NN$10/$NT$10)),0)</f>
        <v/>
      </c>
      <c r="AI10" s="228">
        <f>IF(AND(31&gt;=$NR$10,31&lt;=$NS$10),IF($NP$10="Single_Point",IF(31=$NR$10,$NN$10,0),IF($NP$10="Bell_Curve",$NN$10*(31-$NR$10+1)*($NS$10-31+1)/$NU$10,$NN$10/$NT$10)),0)</f>
        <v/>
      </c>
      <c r="AJ10" s="228">
        <f>IF(AND(32&gt;=$NR$10,32&lt;=$NS$10),IF($NP$10="Single_Point",IF(32=$NR$10,$NN$10,0),IF($NP$10="Bell_Curve",$NN$10*(32-$NR$10+1)*($NS$10-32+1)/$NU$10,$NN$10/$NT$10)),0)</f>
        <v/>
      </c>
      <c r="AK10" s="228">
        <f>IF(AND(33&gt;=$NR$10,33&lt;=$NS$10),IF($NP$10="Single_Point",IF(33=$NR$10,$NN$10,0),IF($NP$10="Bell_Curve",$NN$10*(33-$NR$10+1)*($NS$10-33+1)/$NU$10,$NN$10/$NT$10)),0)</f>
        <v/>
      </c>
      <c r="AL10" s="228">
        <f>IF(AND(34&gt;=$NR$10,34&lt;=$NS$10),IF($NP$10="Single_Point",IF(34=$NR$10,$NN$10,0),IF($NP$10="Bell_Curve",$NN$10*(34-$NR$10+1)*($NS$10-34+1)/$NU$10,$NN$10/$NT$10)),0)</f>
        <v/>
      </c>
      <c r="AM10" s="228">
        <f>IF(AND(35&gt;=$NR$10,35&lt;=$NS$10),IF($NP$10="Single_Point",IF(35=$NR$10,$NN$10,0),IF($NP$10="Bell_Curve",$NN$10*(35-$NR$10+1)*($NS$10-35+1)/$NU$10,$NN$10/$NT$10)),0)</f>
        <v/>
      </c>
      <c r="AN10" s="228">
        <f>IF(AND(36&gt;=$NR$10,36&lt;=$NS$10),IF($NP$10="Single_Point",IF(36=$NR$10,$NN$10,0),IF($NP$10="Bell_Curve",$NN$10*(36-$NR$10+1)*($NS$10-36+1)/$NU$10,$NN$10/$NT$10)),0)</f>
        <v/>
      </c>
      <c r="AO10" s="228">
        <f>IF(AND(37&gt;=$NR$10,37&lt;=$NS$10),IF($NP$10="Single_Point",IF(37=$NR$10,$NN$10,0),IF($NP$10="Bell_Curve",$NN$10*(37-$NR$10+1)*($NS$10-37+1)/$NU$10,$NN$10/$NT$10)),0)</f>
        <v/>
      </c>
      <c r="AP10" s="228">
        <f>IF(AND(38&gt;=$NR$10,38&lt;=$NS$10),IF($NP$10="Single_Point",IF(38=$NR$10,$NN$10,0),IF($NP$10="Bell_Curve",$NN$10*(38-$NR$10+1)*($NS$10-38+1)/$NU$10,$NN$10/$NT$10)),0)</f>
        <v/>
      </c>
      <c r="AQ10" s="228">
        <f>IF(AND(39&gt;=$NR$10,39&lt;=$NS$10),IF($NP$10="Single_Point",IF(39=$NR$10,$NN$10,0),IF($NP$10="Bell_Curve",$NN$10*(39-$NR$10+1)*($NS$10-39+1)/$NU$10,$NN$10/$NT$10)),0)</f>
        <v/>
      </c>
      <c r="AR10" s="228">
        <f>IF(AND(40&gt;=$NR$10,40&lt;=$NS$10),IF($NP$10="Single_Point",IF(40=$NR$10,$NN$10,0),IF($NP$10="Bell_Curve",$NN$10*(40-$NR$10+1)*($NS$10-40+1)/$NU$10,$NN$10/$NT$10)),0)</f>
        <v/>
      </c>
      <c r="AS10" s="228">
        <f>IF(AND(41&gt;=$NR$10,41&lt;=$NS$10),IF($NP$10="Single_Point",IF(41=$NR$10,$NN$10,0),IF($NP$10="Bell_Curve",$NN$10*(41-$NR$10+1)*($NS$10-41+1)/$NU$10,$NN$10/$NT$10)),0)</f>
        <v/>
      </c>
      <c r="AT10" s="228">
        <f>IF(AND(42&gt;=$NR$10,42&lt;=$NS$10),IF($NP$10="Single_Point",IF(42=$NR$10,$NN$10,0),IF($NP$10="Bell_Curve",$NN$10*(42-$NR$10+1)*($NS$10-42+1)/$NU$10,$NN$10/$NT$10)),0)</f>
        <v/>
      </c>
      <c r="AU10" s="228">
        <f>IF(AND(43&gt;=$NR$10,43&lt;=$NS$10),IF($NP$10="Single_Point",IF(43=$NR$10,$NN$10,0),IF($NP$10="Bell_Curve",$NN$10*(43-$NR$10+1)*($NS$10-43+1)/$NU$10,$NN$10/$NT$10)),0)</f>
        <v/>
      </c>
      <c r="AV10" s="228">
        <f>IF(AND(44&gt;=$NR$10,44&lt;=$NS$10),IF($NP$10="Single_Point",IF(44=$NR$10,$NN$10,0),IF($NP$10="Bell_Curve",$NN$10*(44-$NR$10+1)*($NS$10-44+1)/$NU$10,$NN$10/$NT$10)),0)</f>
        <v/>
      </c>
      <c r="AW10" s="228">
        <f>IF(AND(45&gt;=$NR$10,45&lt;=$NS$10),IF($NP$10="Single_Point",IF(45=$NR$10,$NN$10,0),IF($NP$10="Bell_Curve",$NN$10*(45-$NR$10+1)*($NS$10-45+1)/$NU$10,$NN$10/$NT$10)),0)</f>
        <v/>
      </c>
      <c r="AX10" s="228">
        <f>IF(AND(46&gt;=$NR$10,46&lt;=$NS$10),IF($NP$10="Single_Point",IF(46=$NR$10,$NN$10,0),IF($NP$10="Bell_Curve",$NN$10*(46-$NR$10+1)*($NS$10-46+1)/$NU$10,$NN$10/$NT$10)),0)</f>
        <v/>
      </c>
      <c r="AY10" s="228">
        <f>IF(AND(47&gt;=$NR$10,47&lt;=$NS$10),IF($NP$10="Single_Point",IF(47=$NR$10,$NN$10,0),IF($NP$10="Bell_Curve",$NN$10*(47-$NR$10+1)*($NS$10-47+1)/$NU$10,$NN$10/$NT$10)),0)</f>
        <v/>
      </c>
      <c r="AZ10" s="228">
        <f>IF(AND(48&gt;=$NR$10,48&lt;=$NS$10),IF($NP$10="Single_Point",IF(48=$NR$10,$NN$10,0),IF($NP$10="Bell_Curve",$NN$10*(48-$NR$10+1)*($NS$10-48+1)/$NU$10,$NN$10/$NT$10)),0)</f>
        <v/>
      </c>
      <c r="BA10" s="228">
        <f>IF(AND(49&gt;=$NR$10,49&lt;=$NS$10),IF($NP$10="Single_Point",IF(49=$NR$10,$NN$10,0),IF($NP$10="Bell_Curve",$NN$10*(49-$NR$10+1)*($NS$10-49+1)/$NU$10,$NN$10/$NT$10)),0)</f>
        <v/>
      </c>
      <c r="BB10" s="228">
        <f>IF(AND(50&gt;=$NR$10,50&lt;=$NS$10),IF($NP$10="Single_Point",IF(50=$NR$10,$NN$10,0),IF($NP$10="Bell_Curve",$NN$10*(50-$NR$10+1)*($NS$10-50+1)/$NU$10,$NN$10/$NT$10)),0)</f>
        <v/>
      </c>
      <c r="BC10" s="228">
        <f>IF(AND(51&gt;=$NR$10,51&lt;=$NS$10),IF($NP$10="Single_Point",IF(51=$NR$10,$NN$10,0),IF($NP$10="Bell_Curve",$NN$10*(51-$NR$10+1)*($NS$10-51+1)/$NU$10,$NN$10/$NT$10)),0)</f>
        <v/>
      </c>
      <c r="BD10" s="228">
        <f>IF(AND(52&gt;=$NR$10,52&lt;=$NS$10),IF($NP$10="Single_Point",IF(52=$NR$10,$NN$10,0),IF($NP$10="Bell_Curve",$NN$10*(52-$NR$10+1)*($NS$10-52+1)/$NU$10,$NN$10/$NT$10)),0)</f>
        <v/>
      </c>
      <c r="BE10" s="228">
        <f>IF(AND(53&gt;=$NR$10,53&lt;=$NS$10),IF($NP$10="Single_Point",IF(53=$NR$10,$NN$10,0),IF($NP$10="Bell_Curve",$NN$10*(53-$NR$10+1)*($NS$10-53+1)/$NU$10,$NN$10/$NT$10)),0)</f>
        <v/>
      </c>
      <c r="BF10" s="228">
        <f>IF(AND(54&gt;=$NR$10,54&lt;=$NS$10),IF($NP$10="Single_Point",IF(54=$NR$10,$NN$10,0),IF($NP$10="Bell_Curve",$NN$10*(54-$NR$10+1)*($NS$10-54+1)/$NU$10,$NN$10/$NT$10)),0)</f>
        <v/>
      </c>
      <c r="BG10" s="228">
        <f>IF(AND(55&gt;=$NR$10,55&lt;=$NS$10),IF($NP$10="Single_Point",IF(55=$NR$10,$NN$10,0),IF($NP$10="Bell_Curve",$NN$10*(55-$NR$10+1)*($NS$10-55+1)/$NU$10,$NN$10/$NT$10)),0)</f>
        <v/>
      </c>
      <c r="BH10" s="228">
        <f>IF(AND(56&gt;=$NR$10,56&lt;=$NS$10),IF($NP$10="Single_Point",IF(56=$NR$10,$NN$10,0),IF($NP$10="Bell_Curve",$NN$10*(56-$NR$10+1)*($NS$10-56+1)/$NU$10,$NN$10/$NT$10)),0)</f>
        <v/>
      </c>
      <c r="BI10" s="228">
        <f>IF(AND(57&gt;=$NR$10,57&lt;=$NS$10),IF($NP$10="Single_Point",IF(57=$NR$10,$NN$10,0),IF($NP$10="Bell_Curve",$NN$10*(57-$NR$10+1)*($NS$10-57+1)/$NU$10,$NN$10/$NT$10)),0)</f>
        <v/>
      </c>
      <c r="BJ10" s="228">
        <f>IF(AND(58&gt;=$NR$10,58&lt;=$NS$10),IF($NP$10="Single_Point",IF(58=$NR$10,$NN$10,0),IF($NP$10="Bell_Curve",$NN$10*(58-$NR$10+1)*($NS$10-58+1)/$NU$10,$NN$10/$NT$10)),0)</f>
        <v/>
      </c>
      <c r="BK10" s="228">
        <f>IF(AND(59&gt;=$NR$10,59&lt;=$NS$10),IF($NP$10="Single_Point",IF(59=$NR$10,$NN$10,0),IF($NP$10="Bell_Curve",$NN$10*(59-$NR$10+1)*($NS$10-59+1)/$NU$10,$NN$10/$NT$10)),0)</f>
        <v/>
      </c>
      <c r="BL10" s="228">
        <f>IF(AND(60&gt;=$NR$10,60&lt;=$NS$10),IF($NP$10="Single_Point",IF(60=$NR$10,$NN$10,0),IF($NP$10="Bell_Curve",$NN$10*(60-$NR$10+1)*($NS$10-60+1)/$NU$10,$NN$10/$NT$10)),0)</f>
        <v/>
      </c>
      <c r="BM10" s="228">
        <f>IF(AND(61&gt;=$NR$10,61&lt;=$NS$10),IF($NP$10="Single_Point",IF(61=$NR$10,$NN$10,0),IF($NP$10="Bell_Curve",$NN$10*(61-$NR$10+1)*($NS$10-61+1)/$NU$10,$NN$10/$NT$10)),0)</f>
        <v/>
      </c>
      <c r="BN10" s="228">
        <f>IF(AND(62&gt;=$NR$10,62&lt;=$NS$10),IF($NP$10="Single_Point",IF(62=$NR$10,$NN$10,0),IF($NP$10="Bell_Curve",$NN$10*(62-$NR$10+1)*($NS$10-62+1)/$NU$10,$NN$10/$NT$10)),0)</f>
        <v/>
      </c>
      <c r="BO10" s="228">
        <f>IF(AND(63&gt;=$NR$10,63&lt;=$NS$10),IF($NP$10="Single_Point",IF(63=$NR$10,$NN$10,0),IF($NP$10="Bell_Curve",$NN$10*(63-$NR$10+1)*($NS$10-63+1)/$NU$10,$NN$10/$NT$10)),0)</f>
        <v/>
      </c>
      <c r="BP10" s="228">
        <f>IF(AND(64&gt;=$NR$10,64&lt;=$NS$10),IF($NP$10="Single_Point",IF(64=$NR$10,$NN$10,0),IF($NP$10="Bell_Curve",$NN$10*(64-$NR$10+1)*($NS$10-64+1)/$NU$10,$NN$10/$NT$10)),0)</f>
        <v/>
      </c>
      <c r="BQ10" s="228">
        <f>IF(AND(65&gt;=$NR$10,65&lt;=$NS$10),IF($NP$10="Single_Point",IF(65=$NR$10,$NN$10,0),IF($NP$10="Bell_Curve",$NN$10*(65-$NR$10+1)*($NS$10-65+1)/$NU$10,$NN$10/$NT$10)),0)</f>
        <v/>
      </c>
      <c r="BR10" s="228">
        <f>IF(AND(66&gt;=$NR$10,66&lt;=$NS$10),IF($NP$10="Single_Point",IF(66=$NR$10,$NN$10,0),IF($NP$10="Bell_Curve",$NN$10*(66-$NR$10+1)*($NS$10-66+1)/$NU$10,$NN$10/$NT$10)),0)</f>
        <v/>
      </c>
      <c r="BS10" s="228">
        <f>IF(AND(67&gt;=$NR$10,67&lt;=$NS$10),IF($NP$10="Single_Point",IF(67=$NR$10,$NN$10,0),IF($NP$10="Bell_Curve",$NN$10*(67-$NR$10+1)*($NS$10-67+1)/$NU$10,$NN$10/$NT$10)),0)</f>
        <v/>
      </c>
      <c r="BT10" s="228">
        <f>IF(AND(68&gt;=$NR$10,68&lt;=$NS$10),IF($NP$10="Single_Point",IF(68=$NR$10,$NN$10,0),IF($NP$10="Bell_Curve",$NN$10*(68-$NR$10+1)*($NS$10-68+1)/$NU$10,$NN$10/$NT$10)),0)</f>
        <v/>
      </c>
      <c r="BU10" s="228">
        <f>IF(AND(69&gt;=$NR$10,69&lt;=$NS$10),IF($NP$10="Single_Point",IF(69=$NR$10,$NN$10,0),IF($NP$10="Bell_Curve",$NN$10*(69-$NR$10+1)*($NS$10-69+1)/$NU$10,$NN$10/$NT$10)),0)</f>
        <v/>
      </c>
      <c r="BV10" s="228">
        <f>IF(AND(70&gt;=$NR$10,70&lt;=$NS$10),IF($NP$10="Single_Point",IF(70=$NR$10,$NN$10,0),IF($NP$10="Bell_Curve",$NN$10*(70-$NR$10+1)*($NS$10-70+1)/$NU$10,$NN$10/$NT$10)),0)</f>
        <v/>
      </c>
      <c r="BW10" s="228">
        <f>IF(AND(71&gt;=$NR$10,71&lt;=$NS$10),IF($NP$10="Single_Point",IF(71=$NR$10,$NN$10,0),IF($NP$10="Bell_Curve",$NN$10*(71-$NR$10+1)*($NS$10-71+1)/$NU$10,$NN$10/$NT$10)),0)</f>
        <v/>
      </c>
      <c r="BX10" s="228">
        <f>IF(AND(72&gt;=$NR$10,72&lt;=$NS$10),IF($NP$10="Single_Point",IF(72=$NR$10,$NN$10,0),IF($NP$10="Bell_Curve",$NN$10*(72-$NR$10+1)*($NS$10-72+1)/$NU$10,$NN$10/$NT$10)),0)</f>
        <v/>
      </c>
      <c r="BY10" s="228">
        <f>IF(AND(73&gt;=$NR$10,73&lt;=$NS$10),IF($NP$10="Single_Point",IF(73=$NR$10,$NN$10,0),IF($NP$10="Bell_Curve",$NN$10*(73-$NR$10+1)*($NS$10-73+1)/$NU$10,$NN$10/$NT$10)),0)</f>
        <v/>
      </c>
      <c r="BZ10" s="228">
        <f>IF(AND(74&gt;=$NR$10,74&lt;=$NS$10),IF($NP$10="Single_Point",IF(74=$NR$10,$NN$10,0),IF($NP$10="Bell_Curve",$NN$10*(74-$NR$10+1)*($NS$10-74+1)/$NU$10,$NN$10/$NT$10)),0)</f>
        <v/>
      </c>
      <c r="CA10" s="228">
        <f>IF(AND(75&gt;=$NR$10,75&lt;=$NS$10),IF($NP$10="Single_Point",IF(75=$NR$10,$NN$10,0),IF($NP$10="Bell_Curve",$NN$10*(75-$NR$10+1)*($NS$10-75+1)/$NU$10,$NN$10/$NT$10)),0)</f>
        <v/>
      </c>
      <c r="CB10" s="228">
        <f>IF(AND(76&gt;=$NR$10,76&lt;=$NS$10),IF($NP$10="Single_Point",IF(76=$NR$10,$NN$10,0),IF($NP$10="Bell_Curve",$NN$10*(76-$NR$10+1)*($NS$10-76+1)/$NU$10,$NN$10/$NT$10)),0)</f>
        <v/>
      </c>
      <c r="CC10" s="228">
        <f>IF(AND(77&gt;=$NR$10,77&lt;=$NS$10),IF($NP$10="Single_Point",IF(77=$NR$10,$NN$10,0),IF($NP$10="Bell_Curve",$NN$10*(77-$NR$10+1)*($NS$10-77+1)/$NU$10,$NN$10/$NT$10)),0)</f>
        <v/>
      </c>
      <c r="CD10" s="228">
        <f>IF(AND(78&gt;=$NR$10,78&lt;=$NS$10),IF($NP$10="Single_Point",IF(78=$NR$10,$NN$10,0),IF($NP$10="Bell_Curve",$NN$10*(78-$NR$10+1)*($NS$10-78+1)/$NU$10,$NN$10/$NT$10)),0)</f>
        <v/>
      </c>
      <c r="CE10" s="228">
        <f>IF(AND(79&gt;=$NR$10,79&lt;=$NS$10),IF($NP$10="Single_Point",IF(79=$NR$10,$NN$10,0),IF($NP$10="Bell_Curve",$NN$10*(79-$NR$10+1)*($NS$10-79+1)/$NU$10,$NN$10/$NT$10)),0)</f>
        <v/>
      </c>
      <c r="CF10" s="228">
        <f>IF(AND(80&gt;=$NR$10,80&lt;=$NS$10),IF($NP$10="Single_Point",IF(80=$NR$10,$NN$10,0),IF($NP$10="Bell_Curve",$NN$10*(80-$NR$10+1)*($NS$10-80+1)/$NU$10,$NN$10/$NT$10)),0)</f>
        <v/>
      </c>
      <c r="CG10" s="228">
        <f>IF(AND(81&gt;=$NR$10,81&lt;=$NS$10),IF($NP$10="Single_Point",IF(81=$NR$10,$NN$10,0),IF($NP$10="Bell_Curve",$NN$10*(81-$NR$10+1)*($NS$10-81+1)/$NU$10,$NN$10/$NT$10)),0)</f>
        <v/>
      </c>
      <c r="CH10" s="228">
        <f>IF(AND(82&gt;=$NR$10,82&lt;=$NS$10),IF($NP$10="Single_Point",IF(82=$NR$10,$NN$10,0),IF($NP$10="Bell_Curve",$NN$10*(82-$NR$10+1)*($NS$10-82+1)/$NU$10,$NN$10/$NT$10)),0)</f>
        <v/>
      </c>
      <c r="CI10" s="228">
        <f>IF(AND(83&gt;=$NR$10,83&lt;=$NS$10),IF($NP$10="Single_Point",IF(83=$NR$10,$NN$10,0),IF($NP$10="Bell_Curve",$NN$10*(83-$NR$10+1)*($NS$10-83+1)/$NU$10,$NN$10/$NT$10)),0)</f>
        <v/>
      </c>
      <c r="CJ10" s="228">
        <f>IF(AND(84&gt;=$NR$10,84&lt;=$NS$10),IF($NP$10="Single_Point",IF(84=$NR$10,$NN$10,0),IF($NP$10="Bell_Curve",$NN$10*(84-$NR$10+1)*($NS$10-84+1)/$NU$10,$NN$10/$NT$10)),0)</f>
        <v/>
      </c>
      <c r="CK10" s="228">
        <f>IF(AND(85&gt;=$NR$10,85&lt;=$NS$10),IF($NP$10="Single_Point",IF(85=$NR$10,$NN$10,0),IF($NP$10="Bell_Curve",$NN$10*(85-$NR$10+1)*($NS$10-85+1)/$NU$10,$NN$10/$NT$10)),0)</f>
        <v/>
      </c>
      <c r="CL10" s="228">
        <f>IF(AND(86&gt;=$NR$10,86&lt;=$NS$10),IF($NP$10="Single_Point",IF(86=$NR$10,$NN$10,0),IF($NP$10="Bell_Curve",$NN$10*(86-$NR$10+1)*($NS$10-86+1)/$NU$10,$NN$10/$NT$10)),0)</f>
        <v/>
      </c>
      <c r="CM10" s="228">
        <f>IF(AND(87&gt;=$NR$10,87&lt;=$NS$10),IF($NP$10="Single_Point",IF(87=$NR$10,$NN$10,0),IF($NP$10="Bell_Curve",$NN$10*(87-$NR$10+1)*($NS$10-87+1)/$NU$10,$NN$10/$NT$10)),0)</f>
        <v/>
      </c>
      <c r="CN10" s="228">
        <f>IF(AND(88&gt;=$NR$10,88&lt;=$NS$10),IF($NP$10="Single_Point",IF(88=$NR$10,$NN$10,0),IF($NP$10="Bell_Curve",$NN$10*(88-$NR$10+1)*($NS$10-88+1)/$NU$10,$NN$10/$NT$10)),0)</f>
        <v/>
      </c>
      <c r="CO10" s="228">
        <f>IF(AND(89&gt;=$NR$10,89&lt;=$NS$10),IF($NP$10="Single_Point",IF(89=$NR$10,$NN$10,0),IF($NP$10="Bell_Curve",$NN$10*(89-$NR$10+1)*($NS$10-89+1)/$NU$10,$NN$10/$NT$10)),0)</f>
        <v/>
      </c>
      <c r="CP10" s="228">
        <f>IF(AND(90&gt;=$NR$10,90&lt;=$NS$10),IF($NP$10="Single_Point",IF(90=$NR$10,$NN$10,0),IF($NP$10="Bell_Curve",$NN$10*(90-$NR$10+1)*($NS$10-90+1)/$NU$10,$NN$10/$NT$10)),0)</f>
        <v/>
      </c>
      <c r="CQ10" s="228">
        <f>IF(AND(91&gt;=$NR$10,91&lt;=$NS$10),IF($NP$10="Single_Point",IF(91=$NR$10,$NN$10,0),IF($NP$10="Bell_Curve",$NN$10*(91-$NR$10+1)*($NS$10-91+1)/$NU$10,$NN$10/$NT$10)),0)</f>
        <v/>
      </c>
      <c r="CR10" s="228">
        <f>IF(AND(92&gt;=$NR$10,92&lt;=$NS$10),IF($NP$10="Single_Point",IF(92=$NR$10,$NN$10,0),IF($NP$10="Bell_Curve",$NN$10*(92-$NR$10+1)*($NS$10-92+1)/$NU$10,$NN$10/$NT$10)),0)</f>
        <v/>
      </c>
      <c r="CS10" s="228">
        <f>IF(AND(93&gt;=$NR$10,93&lt;=$NS$10),IF($NP$10="Single_Point",IF(93=$NR$10,$NN$10,0),IF($NP$10="Bell_Curve",$NN$10*(93-$NR$10+1)*($NS$10-93+1)/$NU$10,$NN$10/$NT$10)),0)</f>
        <v/>
      </c>
      <c r="CT10" s="228">
        <f>IF(AND(94&gt;=$NR$10,94&lt;=$NS$10),IF($NP$10="Single_Point",IF(94=$NR$10,$NN$10,0),IF($NP$10="Bell_Curve",$NN$10*(94-$NR$10+1)*($NS$10-94+1)/$NU$10,$NN$10/$NT$10)),0)</f>
        <v/>
      </c>
      <c r="CU10" s="228">
        <f>IF(AND(95&gt;=$NR$10,95&lt;=$NS$10),IF($NP$10="Single_Point",IF(95=$NR$10,$NN$10,0),IF($NP$10="Bell_Curve",$NN$10*(95-$NR$10+1)*($NS$10-95+1)/$NU$10,$NN$10/$NT$10)),0)</f>
        <v/>
      </c>
      <c r="CV10" s="228">
        <f>IF(AND(96&gt;=$NR$10,96&lt;=$NS$10),IF($NP$10="Single_Point",IF(96=$NR$10,$NN$10,0),IF($NP$10="Bell_Curve",$NN$10*(96-$NR$10+1)*($NS$10-96+1)/$NU$10,$NN$10/$NT$10)),0)</f>
        <v/>
      </c>
      <c r="CW10" s="228">
        <f>IF(AND(97&gt;=$NR$10,97&lt;=$NS$10),IF($NP$10="Single_Point",IF(97=$NR$10,$NN$10,0),IF($NP$10="Bell_Curve",$NN$10*(97-$NR$10+1)*($NS$10-97+1)/$NU$10,$NN$10/$NT$10)),0)</f>
        <v/>
      </c>
      <c r="CX10" s="228">
        <f>IF(AND(98&gt;=$NR$10,98&lt;=$NS$10),IF($NP$10="Single_Point",IF(98=$NR$10,$NN$10,0),IF($NP$10="Bell_Curve",$NN$10*(98-$NR$10+1)*($NS$10-98+1)/$NU$10,$NN$10/$NT$10)),0)</f>
        <v/>
      </c>
      <c r="CY10" s="228">
        <f>IF(AND(99&gt;=$NR$10,99&lt;=$NS$10),IF($NP$10="Single_Point",IF(99=$NR$10,$NN$10,0),IF($NP$10="Bell_Curve",$NN$10*(99-$NR$10+1)*($NS$10-99+1)/$NU$10,$NN$10/$NT$10)),0)</f>
        <v/>
      </c>
      <c r="CZ10" s="228">
        <f>IF(AND(100&gt;=$NR$10,100&lt;=$NS$10),IF($NP$10="Single_Point",IF(100=$NR$10,$NN$10,0),IF($NP$10="Bell_Curve",$NN$10*(100-$NR$10+1)*($NS$10-100+1)/$NU$10,$NN$10/$NT$10)),0)</f>
        <v/>
      </c>
      <c r="DA10" s="228">
        <f>IF(AND(101&gt;=$NR$10,101&lt;=$NS$10),IF($NP$10="Single_Point",IF(101=$NR$10,$NN$10,0),IF($NP$10="Bell_Curve",$NN$10*(101-$NR$10+1)*($NS$10-101+1)/$NU$10,$NN$10/$NT$10)),0)</f>
        <v/>
      </c>
      <c r="DB10" s="228">
        <f>IF(AND(102&gt;=$NR$10,102&lt;=$NS$10),IF($NP$10="Single_Point",IF(102=$NR$10,$NN$10,0),IF($NP$10="Bell_Curve",$NN$10*(102-$NR$10+1)*($NS$10-102+1)/$NU$10,$NN$10/$NT$10)),0)</f>
        <v/>
      </c>
      <c r="DC10" s="228">
        <f>IF(AND(103&gt;=$NR$10,103&lt;=$NS$10),IF($NP$10="Single_Point",IF(103=$NR$10,$NN$10,0),IF($NP$10="Bell_Curve",$NN$10*(103-$NR$10+1)*($NS$10-103+1)/$NU$10,$NN$10/$NT$10)),0)</f>
        <v/>
      </c>
      <c r="DD10" s="228">
        <f>IF(AND(104&gt;=$NR$10,104&lt;=$NS$10),IF($NP$10="Single_Point",IF(104=$NR$10,$NN$10,0),IF($NP$10="Bell_Curve",$NN$10*(104-$NR$10+1)*($NS$10-104+1)/$NU$10,$NN$10/$NT$10)),0)</f>
        <v/>
      </c>
      <c r="DE10" s="228">
        <f>IF(AND(105&gt;=$NR$10,105&lt;=$NS$10),IF($NP$10="Single_Point",IF(105=$NR$10,$NN$10,0),IF($NP$10="Bell_Curve",$NN$10*(105-$NR$10+1)*($NS$10-105+1)/$NU$10,$NN$10/$NT$10)),0)</f>
        <v/>
      </c>
      <c r="DF10" s="228">
        <f>IF(AND(106&gt;=$NR$10,106&lt;=$NS$10),IF($NP$10="Single_Point",IF(106=$NR$10,$NN$10,0),IF($NP$10="Bell_Curve",$NN$10*(106-$NR$10+1)*($NS$10-106+1)/$NU$10,$NN$10/$NT$10)),0)</f>
        <v/>
      </c>
      <c r="DG10" s="228">
        <f>IF(AND(107&gt;=$NR$10,107&lt;=$NS$10),IF($NP$10="Single_Point",IF(107=$NR$10,$NN$10,0),IF($NP$10="Bell_Curve",$NN$10*(107-$NR$10+1)*($NS$10-107+1)/$NU$10,$NN$10/$NT$10)),0)</f>
        <v/>
      </c>
      <c r="DH10" s="228">
        <f>IF(AND(108&gt;=$NR$10,108&lt;=$NS$10),IF($NP$10="Single_Point",IF(108=$NR$10,$NN$10,0),IF($NP$10="Bell_Curve",$NN$10*(108-$NR$10+1)*($NS$10-108+1)/$NU$10,$NN$10/$NT$10)),0)</f>
        <v/>
      </c>
      <c r="DI10" s="228">
        <f>IF(AND(109&gt;=$NR$10,109&lt;=$NS$10),IF($NP$10="Single_Point",IF(109=$NR$10,$NN$10,0),IF($NP$10="Bell_Curve",$NN$10*(109-$NR$10+1)*($NS$10-109+1)/$NU$10,$NN$10/$NT$10)),0)</f>
        <v/>
      </c>
      <c r="DJ10" s="228">
        <f>IF(AND(110&gt;=$NR$10,110&lt;=$NS$10),IF($NP$10="Single_Point",IF(110=$NR$10,$NN$10,0),IF($NP$10="Bell_Curve",$NN$10*(110-$NR$10+1)*($NS$10-110+1)/$NU$10,$NN$10/$NT$10)),0)</f>
        <v/>
      </c>
      <c r="DK10" s="228">
        <f>IF(AND(111&gt;=$NR$10,111&lt;=$NS$10),IF($NP$10="Single_Point",IF(111=$NR$10,$NN$10,0),IF($NP$10="Bell_Curve",$NN$10*(111-$NR$10+1)*($NS$10-111+1)/$NU$10,$NN$10/$NT$10)),0)</f>
        <v/>
      </c>
      <c r="DL10" s="228">
        <f>IF(AND(112&gt;=$NR$10,112&lt;=$NS$10),IF($NP$10="Single_Point",IF(112=$NR$10,$NN$10,0),IF($NP$10="Bell_Curve",$NN$10*(112-$NR$10+1)*($NS$10-112+1)/$NU$10,$NN$10/$NT$10)),0)</f>
        <v/>
      </c>
      <c r="DM10" s="228">
        <f>IF(AND(113&gt;=$NR$10,113&lt;=$NS$10),IF($NP$10="Single_Point",IF(113=$NR$10,$NN$10,0),IF($NP$10="Bell_Curve",$NN$10*(113-$NR$10+1)*($NS$10-113+1)/$NU$10,$NN$10/$NT$10)),0)</f>
        <v/>
      </c>
      <c r="DN10" s="228">
        <f>IF(AND(114&gt;=$NR$10,114&lt;=$NS$10),IF($NP$10="Single_Point",IF(114=$NR$10,$NN$10,0),IF($NP$10="Bell_Curve",$NN$10*(114-$NR$10+1)*($NS$10-114+1)/$NU$10,$NN$10/$NT$10)),0)</f>
        <v/>
      </c>
      <c r="DO10" s="228">
        <f>IF(AND(115&gt;=$NR$10,115&lt;=$NS$10),IF($NP$10="Single_Point",IF(115=$NR$10,$NN$10,0),IF($NP$10="Bell_Curve",$NN$10*(115-$NR$10+1)*($NS$10-115+1)/$NU$10,$NN$10/$NT$10)),0)</f>
        <v/>
      </c>
      <c r="DP10" s="228">
        <f>IF(AND(116&gt;=$NR$10,116&lt;=$NS$10),IF($NP$10="Single_Point",IF(116=$NR$10,$NN$10,0),IF($NP$10="Bell_Curve",$NN$10*(116-$NR$10+1)*($NS$10-116+1)/$NU$10,$NN$10/$NT$10)),0)</f>
        <v/>
      </c>
      <c r="DQ10" s="228">
        <f>IF(AND(117&gt;=$NR$10,117&lt;=$NS$10),IF($NP$10="Single_Point",IF(117=$NR$10,$NN$10,0),IF($NP$10="Bell_Curve",$NN$10*(117-$NR$10+1)*($NS$10-117+1)/$NU$10,$NN$10/$NT$10)),0)</f>
        <v/>
      </c>
      <c r="DR10" s="228">
        <f>IF(AND(118&gt;=$NR$10,118&lt;=$NS$10),IF($NP$10="Single_Point",IF(118=$NR$10,$NN$10,0),IF($NP$10="Bell_Curve",$NN$10*(118-$NR$10+1)*($NS$10-118+1)/$NU$10,$NN$10/$NT$10)),0)</f>
        <v/>
      </c>
      <c r="DS10" s="228">
        <f>IF(AND(119&gt;=$NR$10,119&lt;=$NS$10),IF($NP$10="Single_Point",IF(119=$NR$10,$NN$10,0),IF($NP$10="Bell_Curve",$NN$10*(119-$NR$10+1)*($NS$10-119+1)/$NU$10,$NN$10/$NT$10)),0)</f>
        <v/>
      </c>
      <c r="DT10" s="228">
        <f>IF(AND(120&gt;=$NR$10,120&lt;=$NS$10),IF($NP$10="Single_Point",IF(120=$NR$10,$NN$10,0),IF($NP$10="Bell_Curve",$NN$10*(120-$NR$10+1)*($NS$10-120+1)/$NU$10,$NN$10/$NT$10)),0)</f>
        <v/>
      </c>
      <c r="DU10" s="228">
        <f>IF(AND(121&gt;=$NR$10,121&lt;=$NS$10),IF($NP$10="Single_Point",IF(121=$NR$10,$NN$10,0),IF($NP$10="Bell_Curve",$NN$10*(121-$NR$10+1)*($NS$10-121+1)/$NU$10,$NN$10/$NT$10)),0)</f>
        <v/>
      </c>
      <c r="DV10" s="228">
        <f>IF(AND(122&gt;=$NR$10,122&lt;=$NS$10),IF($NP$10="Single_Point",IF(122=$NR$10,$NN$10,0),IF($NP$10="Bell_Curve",$NN$10*(122-$NR$10+1)*($NS$10-122+1)/$NU$10,$NN$10/$NT$10)),0)</f>
        <v/>
      </c>
      <c r="DW10" s="228">
        <f>IF(AND(123&gt;=$NR$10,123&lt;=$NS$10),IF($NP$10="Single_Point",IF(123=$NR$10,$NN$10,0),IF($NP$10="Bell_Curve",$NN$10*(123-$NR$10+1)*($NS$10-123+1)/$NU$10,$NN$10/$NT$10)),0)</f>
        <v/>
      </c>
      <c r="DX10" s="228">
        <f>IF(AND(124&gt;=$NR$10,124&lt;=$NS$10),IF($NP$10="Single_Point",IF(124=$NR$10,$NN$10,0),IF($NP$10="Bell_Curve",$NN$10*(124-$NR$10+1)*($NS$10-124+1)/$NU$10,$NN$10/$NT$10)),0)</f>
        <v/>
      </c>
      <c r="DY10" s="228">
        <f>IF(AND(125&gt;=$NR$10,125&lt;=$NS$10),IF($NP$10="Single_Point",IF(125=$NR$10,$NN$10,0),IF($NP$10="Bell_Curve",$NN$10*(125-$NR$10+1)*($NS$10-125+1)/$NU$10,$NN$10/$NT$10)),0)</f>
        <v/>
      </c>
      <c r="DZ10" s="228">
        <f>IF(AND(126&gt;=$NR$10,126&lt;=$NS$10),IF($NP$10="Single_Point",IF(126=$NR$10,$NN$10,0),IF($NP$10="Bell_Curve",$NN$10*(126-$NR$10+1)*($NS$10-126+1)/$NU$10,$NN$10/$NT$10)),0)</f>
        <v/>
      </c>
      <c r="EA10" s="228">
        <f>IF(AND(127&gt;=$NR$10,127&lt;=$NS$10),IF($NP$10="Single_Point",IF(127=$NR$10,$NN$10,0),IF($NP$10="Bell_Curve",$NN$10*(127-$NR$10+1)*($NS$10-127+1)/$NU$10,$NN$10/$NT$10)),0)</f>
        <v/>
      </c>
      <c r="EB10" s="228">
        <f>IF(AND(128&gt;=$NR$10,128&lt;=$NS$10),IF($NP$10="Single_Point",IF(128=$NR$10,$NN$10,0),IF($NP$10="Bell_Curve",$NN$10*(128-$NR$10+1)*($NS$10-128+1)/$NU$10,$NN$10/$NT$10)),0)</f>
        <v/>
      </c>
      <c r="EC10" s="228">
        <f>IF(AND(129&gt;=$NR$10,129&lt;=$NS$10),IF($NP$10="Single_Point",IF(129=$NR$10,$NN$10,0),IF($NP$10="Bell_Curve",$NN$10*(129-$NR$10+1)*($NS$10-129+1)/$NU$10,$NN$10/$NT$10)),0)</f>
        <v/>
      </c>
      <c r="ED10" s="228">
        <f>IF(AND(130&gt;=$NR$10,130&lt;=$NS$10),IF($NP$10="Single_Point",IF(130=$NR$10,$NN$10,0),IF($NP$10="Bell_Curve",$NN$10*(130-$NR$10+1)*($NS$10-130+1)/$NU$10,$NN$10/$NT$10)),0)</f>
        <v/>
      </c>
      <c r="EE10" s="228">
        <f>IF(AND(131&gt;=$NR$10,131&lt;=$NS$10),IF($NP$10="Single_Point",IF(131=$NR$10,$NN$10,0),IF($NP$10="Bell_Curve",$NN$10*(131-$NR$10+1)*($NS$10-131+1)/$NU$10,$NN$10/$NT$10)),0)</f>
        <v/>
      </c>
      <c r="EF10" s="228">
        <f>IF(AND(132&gt;=$NR$10,132&lt;=$NS$10),IF($NP$10="Single_Point",IF(132=$NR$10,$NN$10,0),IF($NP$10="Bell_Curve",$NN$10*(132-$NR$10+1)*($NS$10-132+1)/$NU$10,$NN$10/$NT$10)),0)</f>
        <v/>
      </c>
      <c r="EG10" s="228">
        <f>IF(AND(133&gt;=$NR$10,133&lt;=$NS$10),IF($NP$10="Single_Point",IF(133=$NR$10,$NN$10,0),IF($NP$10="Bell_Curve",$NN$10*(133-$NR$10+1)*($NS$10-133+1)/$NU$10,$NN$10/$NT$10)),0)</f>
        <v/>
      </c>
      <c r="EH10" s="228">
        <f>IF(AND(134&gt;=$NR$10,134&lt;=$NS$10),IF($NP$10="Single_Point",IF(134=$NR$10,$NN$10,0),IF($NP$10="Bell_Curve",$NN$10*(134-$NR$10+1)*($NS$10-134+1)/$NU$10,$NN$10/$NT$10)),0)</f>
        <v/>
      </c>
      <c r="EI10" s="228">
        <f>IF(AND(135&gt;=$NR$10,135&lt;=$NS$10),IF($NP$10="Single_Point",IF(135=$NR$10,$NN$10,0),IF($NP$10="Bell_Curve",$NN$10*(135-$NR$10+1)*($NS$10-135+1)/$NU$10,$NN$10/$NT$10)),0)</f>
        <v/>
      </c>
      <c r="EJ10" s="228">
        <f>IF(AND(136&gt;=$NR$10,136&lt;=$NS$10),IF($NP$10="Single_Point",IF(136=$NR$10,$NN$10,0),IF($NP$10="Bell_Curve",$NN$10*(136-$NR$10+1)*($NS$10-136+1)/$NU$10,$NN$10/$NT$10)),0)</f>
        <v/>
      </c>
      <c r="EK10" s="228">
        <f>IF(AND(137&gt;=$NR$10,137&lt;=$NS$10),IF($NP$10="Single_Point",IF(137=$NR$10,$NN$10,0),IF($NP$10="Bell_Curve",$NN$10*(137-$NR$10+1)*($NS$10-137+1)/$NU$10,$NN$10/$NT$10)),0)</f>
        <v/>
      </c>
      <c r="EL10" s="228">
        <f>IF(AND(138&gt;=$NR$10,138&lt;=$NS$10),IF($NP$10="Single_Point",IF(138=$NR$10,$NN$10,0),IF($NP$10="Bell_Curve",$NN$10*(138-$NR$10+1)*($NS$10-138+1)/$NU$10,$NN$10/$NT$10)),0)</f>
        <v/>
      </c>
      <c r="EM10" s="228">
        <f>IF(AND(139&gt;=$NR$10,139&lt;=$NS$10),IF($NP$10="Single_Point",IF(139=$NR$10,$NN$10,0),IF($NP$10="Bell_Curve",$NN$10*(139-$NR$10+1)*($NS$10-139+1)/$NU$10,$NN$10/$NT$10)),0)</f>
        <v/>
      </c>
      <c r="EN10" s="228">
        <f>IF(AND(140&gt;=$NR$10,140&lt;=$NS$10),IF($NP$10="Single_Point",IF(140=$NR$10,$NN$10,0),IF($NP$10="Bell_Curve",$NN$10*(140-$NR$10+1)*($NS$10-140+1)/$NU$10,$NN$10/$NT$10)),0)</f>
        <v/>
      </c>
      <c r="EO10" s="228">
        <f>IF(AND(141&gt;=$NR$10,141&lt;=$NS$10),IF($NP$10="Single_Point",IF(141=$NR$10,$NN$10,0),IF($NP$10="Bell_Curve",$NN$10*(141-$NR$10+1)*($NS$10-141+1)/$NU$10,$NN$10/$NT$10)),0)</f>
        <v/>
      </c>
      <c r="EP10" s="228">
        <f>IF(AND(142&gt;=$NR$10,142&lt;=$NS$10),IF($NP$10="Single_Point",IF(142=$NR$10,$NN$10,0),IF($NP$10="Bell_Curve",$NN$10*(142-$NR$10+1)*($NS$10-142+1)/$NU$10,$NN$10/$NT$10)),0)</f>
        <v/>
      </c>
      <c r="EQ10" s="228">
        <f>IF(AND(143&gt;=$NR$10,143&lt;=$NS$10),IF($NP$10="Single_Point",IF(143=$NR$10,$NN$10,0),IF($NP$10="Bell_Curve",$NN$10*(143-$NR$10+1)*($NS$10-143+1)/$NU$10,$NN$10/$NT$10)),0)</f>
        <v/>
      </c>
      <c r="ER10" s="228">
        <f>IF(AND(144&gt;=$NR$10,144&lt;=$NS$10),IF($NP$10="Single_Point",IF(144=$NR$10,$NN$10,0),IF($NP$10="Bell_Curve",$NN$10*(144-$NR$10+1)*($NS$10-144+1)/$NU$10,$NN$10/$NT$10)),0)</f>
        <v/>
      </c>
      <c r="ES10" s="228">
        <f>IF(AND(145&gt;=$NR$10,145&lt;=$NS$10),IF($NP$10="Single_Point",IF(145=$NR$10,$NN$10,0),IF($NP$10="Bell_Curve",$NN$10*(145-$NR$10+1)*($NS$10-145+1)/$NU$10,$NN$10/$NT$10)),0)</f>
        <v/>
      </c>
      <c r="ET10" s="228">
        <f>IF(AND(146&gt;=$NR$10,146&lt;=$NS$10),IF($NP$10="Single_Point",IF(146=$NR$10,$NN$10,0),IF($NP$10="Bell_Curve",$NN$10*(146-$NR$10+1)*($NS$10-146+1)/$NU$10,$NN$10/$NT$10)),0)</f>
        <v/>
      </c>
      <c r="EU10" s="228">
        <f>IF(AND(147&gt;=$NR$10,147&lt;=$NS$10),IF($NP$10="Single_Point",IF(147=$NR$10,$NN$10,0),IF($NP$10="Bell_Curve",$NN$10*(147-$NR$10+1)*($NS$10-147+1)/$NU$10,$NN$10/$NT$10)),0)</f>
        <v/>
      </c>
      <c r="EV10" s="228">
        <f>IF(AND(148&gt;=$NR$10,148&lt;=$NS$10),IF($NP$10="Single_Point",IF(148=$NR$10,$NN$10,0),IF($NP$10="Bell_Curve",$NN$10*(148-$NR$10+1)*($NS$10-148+1)/$NU$10,$NN$10/$NT$10)),0)</f>
        <v/>
      </c>
      <c r="EW10" s="228">
        <f>IF(AND(149&gt;=$NR$10,149&lt;=$NS$10),IF($NP$10="Single_Point",IF(149=$NR$10,$NN$10,0),IF($NP$10="Bell_Curve",$NN$10*(149-$NR$10+1)*($NS$10-149+1)/$NU$10,$NN$10/$NT$10)),0)</f>
        <v/>
      </c>
      <c r="EX10" s="228">
        <f>IF(AND(150&gt;=$NR$10,150&lt;=$NS$10),IF($NP$10="Single_Point",IF(150=$NR$10,$NN$10,0),IF($NP$10="Bell_Curve",$NN$10*(150-$NR$10+1)*($NS$10-150+1)/$NU$10,$NN$10/$NT$10)),0)</f>
        <v/>
      </c>
      <c r="EY10" s="228">
        <f>IF(AND(151&gt;=$NR$10,151&lt;=$NS$10),IF($NP$10="Single_Point",IF(151=$NR$10,$NN$10,0),IF($NP$10="Bell_Curve",$NN$10*(151-$NR$10+1)*($NS$10-151+1)/$NU$10,$NN$10/$NT$10)),0)</f>
        <v/>
      </c>
      <c r="EZ10" s="228">
        <f>IF(AND(152&gt;=$NR$10,152&lt;=$NS$10),IF($NP$10="Single_Point",IF(152=$NR$10,$NN$10,0),IF($NP$10="Bell_Curve",$NN$10*(152-$NR$10+1)*($NS$10-152+1)/$NU$10,$NN$10/$NT$10)),0)</f>
        <v/>
      </c>
      <c r="FA10" s="228">
        <f>IF(AND(153&gt;=$NR$10,153&lt;=$NS$10),IF($NP$10="Single_Point",IF(153=$NR$10,$NN$10,0),IF($NP$10="Bell_Curve",$NN$10*(153-$NR$10+1)*($NS$10-153+1)/$NU$10,$NN$10/$NT$10)),0)</f>
        <v/>
      </c>
      <c r="FB10" s="228">
        <f>IF(AND(154&gt;=$NR$10,154&lt;=$NS$10),IF($NP$10="Single_Point",IF(154=$NR$10,$NN$10,0),IF($NP$10="Bell_Curve",$NN$10*(154-$NR$10+1)*($NS$10-154+1)/$NU$10,$NN$10/$NT$10)),0)</f>
        <v/>
      </c>
      <c r="FC10" s="228">
        <f>IF(AND(155&gt;=$NR$10,155&lt;=$NS$10),IF($NP$10="Single_Point",IF(155=$NR$10,$NN$10,0),IF($NP$10="Bell_Curve",$NN$10*(155-$NR$10+1)*($NS$10-155+1)/$NU$10,$NN$10/$NT$10)),0)</f>
        <v/>
      </c>
      <c r="FD10" s="228">
        <f>IF(AND(156&gt;=$NR$10,156&lt;=$NS$10),IF($NP$10="Single_Point",IF(156=$NR$10,$NN$10,0),IF($NP$10="Bell_Curve",$NN$10*(156-$NR$10+1)*($NS$10-156+1)/$NU$10,$NN$10/$NT$10)),0)</f>
        <v/>
      </c>
      <c r="FE10" s="228">
        <f>IF(AND(157&gt;=$NR$10,157&lt;=$NS$10),IF($NP$10="Single_Point",IF(157=$NR$10,$NN$10,0),IF($NP$10="Bell_Curve",$NN$10*(157-$NR$10+1)*($NS$10-157+1)/$NU$10,$NN$10/$NT$10)),0)</f>
        <v/>
      </c>
      <c r="FF10" s="228">
        <f>IF(AND(158&gt;=$NR$10,158&lt;=$NS$10),IF($NP$10="Single_Point",IF(158=$NR$10,$NN$10,0),IF($NP$10="Bell_Curve",$NN$10*(158-$NR$10+1)*($NS$10-158+1)/$NU$10,$NN$10/$NT$10)),0)</f>
        <v/>
      </c>
      <c r="FG10" s="228">
        <f>IF(AND(159&gt;=$NR$10,159&lt;=$NS$10),IF($NP$10="Single_Point",IF(159=$NR$10,$NN$10,0),IF($NP$10="Bell_Curve",$NN$10*(159-$NR$10+1)*($NS$10-159+1)/$NU$10,$NN$10/$NT$10)),0)</f>
        <v/>
      </c>
      <c r="FH10" s="228">
        <f>IF(AND(160&gt;=$NR$10,160&lt;=$NS$10),IF($NP$10="Single_Point",IF(160=$NR$10,$NN$10,0),IF($NP$10="Bell_Curve",$NN$10*(160-$NR$10+1)*($NS$10-160+1)/$NU$10,$NN$10/$NT$10)),0)</f>
        <v/>
      </c>
      <c r="FI10" s="228">
        <f>IF(AND(161&gt;=$NR$10,161&lt;=$NS$10),IF($NP$10="Single_Point",IF(161=$NR$10,$NN$10,0),IF($NP$10="Bell_Curve",$NN$10*(161-$NR$10+1)*($NS$10-161+1)/$NU$10,$NN$10/$NT$10)),0)</f>
        <v/>
      </c>
      <c r="FJ10" s="228">
        <f>IF(AND(162&gt;=$NR$10,162&lt;=$NS$10),IF($NP$10="Single_Point",IF(162=$NR$10,$NN$10,0),IF($NP$10="Bell_Curve",$NN$10*(162-$NR$10+1)*($NS$10-162+1)/$NU$10,$NN$10/$NT$10)),0)</f>
        <v/>
      </c>
      <c r="FK10" s="228">
        <f>IF(AND(163&gt;=$NR$10,163&lt;=$NS$10),IF($NP$10="Single_Point",IF(163=$NR$10,$NN$10,0),IF($NP$10="Bell_Curve",$NN$10*(163-$NR$10+1)*($NS$10-163+1)/$NU$10,$NN$10/$NT$10)),0)</f>
        <v/>
      </c>
      <c r="FL10" s="228">
        <f>IF(AND(164&gt;=$NR$10,164&lt;=$NS$10),IF($NP$10="Single_Point",IF(164=$NR$10,$NN$10,0),IF($NP$10="Bell_Curve",$NN$10*(164-$NR$10+1)*($NS$10-164+1)/$NU$10,$NN$10/$NT$10)),0)</f>
        <v/>
      </c>
      <c r="FM10" s="228">
        <f>IF(AND(165&gt;=$NR$10,165&lt;=$NS$10),IF($NP$10="Single_Point",IF(165=$NR$10,$NN$10,0),IF($NP$10="Bell_Curve",$NN$10*(165-$NR$10+1)*($NS$10-165+1)/$NU$10,$NN$10/$NT$10)),0)</f>
        <v/>
      </c>
      <c r="FN10" s="228">
        <f>IF(AND(166&gt;=$NR$10,166&lt;=$NS$10),IF($NP$10="Single_Point",IF(166=$NR$10,$NN$10,0),IF($NP$10="Bell_Curve",$NN$10*(166-$NR$10+1)*($NS$10-166+1)/$NU$10,$NN$10/$NT$10)),0)</f>
        <v/>
      </c>
      <c r="FO10" s="228">
        <f>IF(AND(167&gt;=$NR$10,167&lt;=$NS$10),IF($NP$10="Single_Point",IF(167=$NR$10,$NN$10,0),IF($NP$10="Bell_Curve",$NN$10*(167-$NR$10+1)*($NS$10-167+1)/$NU$10,$NN$10/$NT$10)),0)</f>
        <v/>
      </c>
      <c r="FP10" s="228">
        <f>IF(AND(168&gt;=$NR$10,168&lt;=$NS$10),IF($NP$10="Single_Point",IF(168=$NR$10,$NN$10,0),IF($NP$10="Bell_Curve",$NN$10*(168-$NR$10+1)*($NS$10-168+1)/$NU$10,$NN$10/$NT$10)),0)</f>
        <v/>
      </c>
      <c r="FQ10" s="228">
        <f>IF(AND(169&gt;=$NR$10,169&lt;=$NS$10),IF($NP$10="Single_Point",IF(169=$NR$10,$NN$10,0),IF($NP$10="Bell_Curve",$NN$10*(169-$NR$10+1)*($NS$10-169+1)/$NU$10,$NN$10/$NT$10)),0)</f>
        <v/>
      </c>
      <c r="FR10" s="228">
        <f>IF(AND(170&gt;=$NR$10,170&lt;=$NS$10),IF($NP$10="Single_Point",IF(170=$NR$10,$NN$10,0),IF($NP$10="Bell_Curve",$NN$10*(170-$NR$10+1)*($NS$10-170+1)/$NU$10,$NN$10/$NT$10)),0)</f>
        <v/>
      </c>
      <c r="FS10" s="228">
        <f>IF(AND(171&gt;=$NR$10,171&lt;=$NS$10),IF($NP$10="Single_Point",IF(171=$NR$10,$NN$10,0),IF($NP$10="Bell_Curve",$NN$10*(171-$NR$10+1)*($NS$10-171+1)/$NU$10,$NN$10/$NT$10)),0)</f>
        <v/>
      </c>
      <c r="FT10" s="228">
        <f>IF(AND(172&gt;=$NR$10,172&lt;=$NS$10),IF($NP$10="Single_Point",IF(172=$NR$10,$NN$10,0),IF($NP$10="Bell_Curve",$NN$10*(172-$NR$10+1)*($NS$10-172+1)/$NU$10,$NN$10/$NT$10)),0)</f>
        <v/>
      </c>
      <c r="FU10" s="228">
        <f>IF(AND(173&gt;=$NR$10,173&lt;=$NS$10),IF($NP$10="Single_Point",IF(173=$NR$10,$NN$10,0),IF($NP$10="Bell_Curve",$NN$10*(173-$NR$10+1)*($NS$10-173+1)/$NU$10,$NN$10/$NT$10)),0)</f>
        <v/>
      </c>
      <c r="FV10" s="228">
        <f>IF(AND(174&gt;=$NR$10,174&lt;=$NS$10),IF($NP$10="Single_Point",IF(174=$NR$10,$NN$10,0),IF($NP$10="Bell_Curve",$NN$10*(174-$NR$10+1)*($NS$10-174+1)/$NU$10,$NN$10/$NT$10)),0)</f>
        <v/>
      </c>
      <c r="FW10" s="228">
        <f>IF(AND(175&gt;=$NR$10,175&lt;=$NS$10),IF($NP$10="Single_Point",IF(175=$NR$10,$NN$10,0),IF($NP$10="Bell_Curve",$NN$10*(175-$NR$10+1)*($NS$10-175+1)/$NU$10,$NN$10/$NT$10)),0)</f>
        <v/>
      </c>
      <c r="FX10" s="228">
        <f>IF(AND(176&gt;=$NR$10,176&lt;=$NS$10),IF($NP$10="Single_Point",IF(176=$NR$10,$NN$10,0),IF($NP$10="Bell_Curve",$NN$10*(176-$NR$10+1)*($NS$10-176+1)/$NU$10,$NN$10/$NT$10)),0)</f>
        <v/>
      </c>
      <c r="FY10" s="228">
        <f>IF(AND(177&gt;=$NR$10,177&lt;=$NS$10),IF($NP$10="Single_Point",IF(177=$NR$10,$NN$10,0),IF($NP$10="Bell_Curve",$NN$10*(177-$NR$10+1)*($NS$10-177+1)/$NU$10,$NN$10/$NT$10)),0)</f>
        <v/>
      </c>
      <c r="FZ10" s="228">
        <f>IF(AND(178&gt;=$NR$10,178&lt;=$NS$10),IF($NP$10="Single_Point",IF(178=$NR$10,$NN$10,0),IF($NP$10="Bell_Curve",$NN$10*(178-$NR$10+1)*($NS$10-178+1)/$NU$10,$NN$10/$NT$10)),0)</f>
        <v/>
      </c>
      <c r="GA10" s="228">
        <f>IF(AND(179&gt;=$NR$10,179&lt;=$NS$10),IF($NP$10="Single_Point",IF(179=$NR$10,$NN$10,0),IF($NP$10="Bell_Curve",$NN$10*(179-$NR$10+1)*($NS$10-179+1)/$NU$10,$NN$10/$NT$10)),0)</f>
        <v/>
      </c>
      <c r="GB10" s="228">
        <f>IF(AND(180&gt;=$NR$10,180&lt;=$NS$10),IF($NP$10="Single_Point",IF(180=$NR$10,$NN$10,0),IF($NP$10="Bell_Curve",$NN$10*(180-$NR$10+1)*($NS$10-180+1)/$NU$10,$NN$10/$NT$10)),0)</f>
        <v/>
      </c>
      <c r="GC10" s="228">
        <f>IF(AND(181&gt;=$NR$10,181&lt;=$NS$10),IF($NP$10="Single_Point",IF(181=$NR$10,$NN$10,0),IF($NP$10="Bell_Curve",$NN$10*(181-$NR$10+1)*($NS$10-181+1)/$NU$10,$NN$10/$NT$10)),0)</f>
        <v/>
      </c>
      <c r="GD10" s="228">
        <f>IF(AND(182&gt;=$NR$10,182&lt;=$NS$10),IF($NP$10="Single_Point",IF(182=$NR$10,$NN$10,0),IF($NP$10="Bell_Curve",$NN$10*(182-$NR$10+1)*($NS$10-182+1)/$NU$10,$NN$10/$NT$10)),0)</f>
        <v/>
      </c>
      <c r="GE10" s="228">
        <f>IF(AND(183&gt;=$NR$10,183&lt;=$NS$10),IF($NP$10="Single_Point",IF(183=$NR$10,$NN$10,0),IF($NP$10="Bell_Curve",$NN$10*(183-$NR$10+1)*($NS$10-183+1)/$NU$10,$NN$10/$NT$10)),0)</f>
        <v/>
      </c>
      <c r="GF10" s="228">
        <f>IF(AND(184&gt;=$NR$10,184&lt;=$NS$10),IF($NP$10="Single_Point",IF(184=$NR$10,$NN$10,0),IF($NP$10="Bell_Curve",$NN$10*(184-$NR$10+1)*($NS$10-184+1)/$NU$10,$NN$10/$NT$10)),0)</f>
        <v/>
      </c>
      <c r="GG10" s="228">
        <f>IF(AND(185&gt;=$NR$10,185&lt;=$NS$10),IF($NP$10="Single_Point",IF(185=$NR$10,$NN$10,0),IF($NP$10="Bell_Curve",$NN$10*(185-$NR$10+1)*($NS$10-185+1)/$NU$10,$NN$10/$NT$10)),0)</f>
        <v/>
      </c>
      <c r="GH10" s="228">
        <f>IF(AND(186&gt;=$NR$10,186&lt;=$NS$10),IF($NP$10="Single_Point",IF(186=$NR$10,$NN$10,0),IF($NP$10="Bell_Curve",$NN$10*(186-$NR$10+1)*($NS$10-186+1)/$NU$10,$NN$10/$NT$10)),0)</f>
        <v/>
      </c>
      <c r="GI10" s="228">
        <f>IF(AND(187&gt;=$NR$10,187&lt;=$NS$10),IF($NP$10="Single_Point",IF(187=$NR$10,$NN$10,0),IF($NP$10="Bell_Curve",$NN$10*(187-$NR$10+1)*($NS$10-187+1)/$NU$10,$NN$10/$NT$10)),0)</f>
        <v/>
      </c>
      <c r="GJ10" s="228">
        <f>IF(AND(188&gt;=$NR$10,188&lt;=$NS$10),IF($NP$10="Single_Point",IF(188=$NR$10,$NN$10,0),IF($NP$10="Bell_Curve",$NN$10*(188-$NR$10+1)*($NS$10-188+1)/$NU$10,$NN$10/$NT$10)),0)</f>
        <v/>
      </c>
      <c r="GK10" s="228">
        <f>IF(AND(189&gt;=$NR$10,189&lt;=$NS$10),IF($NP$10="Single_Point",IF(189=$NR$10,$NN$10,0),IF($NP$10="Bell_Curve",$NN$10*(189-$NR$10+1)*($NS$10-189+1)/$NU$10,$NN$10/$NT$10)),0)</f>
        <v/>
      </c>
      <c r="GL10" s="228">
        <f>IF(AND(190&gt;=$NR$10,190&lt;=$NS$10),IF($NP$10="Single_Point",IF(190=$NR$10,$NN$10,0),IF($NP$10="Bell_Curve",$NN$10*(190-$NR$10+1)*($NS$10-190+1)/$NU$10,$NN$10/$NT$10)),0)</f>
        <v/>
      </c>
      <c r="GM10" s="228">
        <f>IF(AND(191&gt;=$NR$10,191&lt;=$NS$10),IF($NP$10="Single_Point",IF(191=$NR$10,$NN$10,0),IF($NP$10="Bell_Curve",$NN$10*(191-$NR$10+1)*($NS$10-191+1)/$NU$10,$NN$10/$NT$10)),0)</f>
        <v/>
      </c>
      <c r="GN10" s="228">
        <f>IF(AND(192&gt;=$NR$10,192&lt;=$NS$10),IF($NP$10="Single_Point",IF(192=$NR$10,$NN$10,0),IF($NP$10="Bell_Curve",$NN$10*(192-$NR$10+1)*($NS$10-192+1)/$NU$10,$NN$10/$NT$10)),0)</f>
        <v/>
      </c>
      <c r="GO10" s="228">
        <f>IF(AND(193&gt;=$NR$10,193&lt;=$NS$10),IF($NP$10="Single_Point",IF(193=$NR$10,$NN$10,0),IF($NP$10="Bell_Curve",$NN$10*(193-$NR$10+1)*($NS$10-193+1)/$NU$10,$NN$10/$NT$10)),0)</f>
        <v/>
      </c>
      <c r="GP10" s="228">
        <f>IF(AND(194&gt;=$NR$10,194&lt;=$NS$10),IF($NP$10="Single_Point",IF(194=$NR$10,$NN$10,0),IF($NP$10="Bell_Curve",$NN$10*(194-$NR$10+1)*($NS$10-194+1)/$NU$10,$NN$10/$NT$10)),0)</f>
        <v/>
      </c>
      <c r="GQ10" s="228">
        <f>IF(AND(195&gt;=$NR$10,195&lt;=$NS$10),IF($NP$10="Single_Point",IF(195=$NR$10,$NN$10,0),IF($NP$10="Bell_Curve",$NN$10*(195-$NR$10+1)*($NS$10-195+1)/$NU$10,$NN$10/$NT$10)),0)</f>
        <v/>
      </c>
      <c r="GR10" s="228">
        <f>IF(AND(196&gt;=$NR$10,196&lt;=$NS$10),IF($NP$10="Single_Point",IF(196=$NR$10,$NN$10,0),IF($NP$10="Bell_Curve",$NN$10*(196-$NR$10+1)*($NS$10-196+1)/$NU$10,$NN$10/$NT$10)),0)</f>
        <v/>
      </c>
      <c r="GS10" s="228">
        <f>IF(AND(197&gt;=$NR$10,197&lt;=$NS$10),IF($NP$10="Single_Point",IF(197=$NR$10,$NN$10,0),IF($NP$10="Bell_Curve",$NN$10*(197-$NR$10+1)*($NS$10-197+1)/$NU$10,$NN$10/$NT$10)),0)</f>
        <v/>
      </c>
      <c r="GT10" s="228">
        <f>IF(AND(198&gt;=$NR$10,198&lt;=$NS$10),IF($NP$10="Single_Point",IF(198=$NR$10,$NN$10,0),IF($NP$10="Bell_Curve",$NN$10*(198-$NR$10+1)*($NS$10-198+1)/$NU$10,$NN$10/$NT$10)),0)</f>
        <v/>
      </c>
      <c r="GU10" s="228">
        <f>IF(AND(199&gt;=$NR$10,199&lt;=$NS$10),IF($NP$10="Single_Point",IF(199=$NR$10,$NN$10,0),IF($NP$10="Bell_Curve",$NN$10*(199-$NR$10+1)*($NS$10-199+1)/$NU$10,$NN$10/$NT$10)),0)</f>
        <v/>
      </c>
      <c r="GV10" s="228">
        <f>IF(AND(200&gt;=$NR$10,200&lt;=$NS$10),IF($NP$10="Single_Point",IF(200=$NR$10,$NN$10,0),IF($NP$10="Bell_Curve",$NN$10*(200-$NR$10+1)*($NS$10-200+1)/$NU$10,$NN$10/$NT$10)),0)</f>
        <v/>
      </c>
      <c r="GW10" s="228">
        <f>IF(AND(201&gt;=$NR$10,201&lt;=$NS$10),IF($NP$10="Single_Point",IF(201=$NR$10,$NN$10,0),IF($NP$10="Bell_Curve",$NN$10*(201-$NR$10+1)*($NS$10-201+1)/$NU$10,$NN$10/$NT$10)),0)</f>
        <v/>
      </c>
      <c r="GX10" s="228">
        <f>IF(AND(202&gt;=$NR$10,202&lt;=$NS$10),IF($NP$10="Single_Point",IF(202=$NR$10,$NN$10,0),IF($NP$10="Bell_Curve",$NN$10*(202-$NR$10+1)*($NS$10-202+1)/$NU$10,$NN$10/$NT$10)),0)</f>
        <v/>
      </c>
      <c r="GY10" s="228">
        <f>IF(AND(203&gt;=$NR$10,203&lt;=$NS$10),IF($NP$10="Single_Point",IF(203=$NR$10,$NN$10,0),IF($NP$10="Bell_Curve",$NN$10*(203-$NR$10+1)*($NS$10-203+1)/$NU$10,$NN$10/$NT$10)),0)</f>
        <v/>
      </c>
      <c r="GZ10" s="228">
        <f>IF(AND(204&gt;=$NR$10,204&lt;=$NS$10),IF($NP$10="Single_Point",IF(204=$NR$10,$NN$10,0),IF($NP$10="Bell_Curve",$NN$10*(204-$NR$10+1)*($NS$10-204+1)/$NU$10,$NN$10/$NT$10)),0)</f>
        <v/>
      </c>
      <c r="HA10" s="228">
        <f>IF(AND(205&gt;=$NR$10,205&lt;=$NS$10),IF($NP$10="Single_Point",IF(205=$NR$10,$NN$10,0),IF($NP$10="Bell_Curve",$NN$10*(205-$NR$10+1)*($NS$10-205+1)/$NU$10,$NN$10/$NT$10)),0)</f>
        <v/>
      </c>
      <c r="HB10" s="228">
        <f>IF(AND(206&gt;=$NR$10,206&lt;=$NS$10),IF($NP$10="Single_Point",IF(206=$NR$10,$NN$10,0),IF($NP$10="Bell_Curve",$NN$10*(206-$NR$10+1)*($NS$10-206+1)/$NU$10,$NN$10/$NT$10)),0)</f>
        <v/>
      </c>
      <c r="HC10" s="228">
        <f>IF(AND(207&gt;=$NR$10,207&lt;=$NS$10),IF($NP$10="Single_Point",IF(207=$NR$10,$NN$10,0),IF($NP$10="Bell_Curve",$NN$10*(207-$NR$10+1)*($NS$10-207+1)/$NU$10,$NN$10/$NT$10)),0)</f>
        <v/>
      </c>
      <c r="HD10" s="228">
        <f>IF(AND(208&gt;=$NR$10,208&lt;=$NS$10),IF($NP$10="Single_Point",IF(208=$NR$10,$NN$10,0),IF($NP$10="Bell_Curve",$NN$10*(208-$NR$10+1)*($NS$10-208+1)/$NU$10,$NN$10/$NT$10)),0)</f>
        <v/>
      </c>
      <c r="HE10" s="228">
        <f>IF(AND(209&gt;=$NR$10,209&lt;=$NS$10),IF($NP$10="Single_Point",IF(209=$NR$10,$NN$10,0),IF($NP$10="Bell_Curve",$NN$10*(209-$NR$10+1)*($NS$10-209+1)/$NU$10,$NN$10/$NT$10)),0)</f>
        <v/>
      </c>
      <c r="HF10" s="228">
        <f>IF(AND(210&gt;=$NR$10,210&lt;=$NS$10),IF($NP$10="Single_Point",IF(210=$NR$10,$NN$10,0),IF($NP$10="Bell_Curve",$NN$10*(210-$NR$10+1)*($NS$10-210+1)/$NU$10,$NN$10/$NT$10)),0)</f>
        <v/>
      </c>
      <c r="HG10" s="228">
        <f>IF(AND(211&gt;=$NR$10,211&lt;=$NS$10),IF($NP$10="Single_Point",IF(211=$NR$10,$NN$10,0),IF($NP$10="Bell_Curve",$NN$10*(211-$NR$10+1)*($NS$10-211+1)/$NU$10,$NN$10/$NT$10)),0)</f>
        <v/>
      </c>
      <c r="HH10" s="228">
        <f>IF(AND(212&gt;=$NR$10,212&lt;=$NS$10),IF($NP$10="Single_Point",IF(212=$NR$10,$NN$10,0),IF($NP$10="Bell_Curve",$NN$10*(212-$NR$10+1)*($NS$10-212+1)/$NU$10,$NN$10/$NT$10)),0)</f>
        <v/>
      </c>
      <c r="HI10" s="228">
        <f>IF(AND(213&gt;=$NR$10,213&lt;=$NS$10),IF($NP$10="Single_Point",IF(213=$NR$10,$NN$10,0),IF($NP$10="Bell_Curve",$NN$10*(213-$NR$10+1)*($NS$10-213+1)/$NU$10,$NN$10/$NT$10)),0)</f>
        <v/>
      </c>
      <c r="HJ10" s="228">
        <f>IF(AND(214&gt;=$NR$10,214&lt;=$NS$10),IF($NP$10="Single_Point",IF(214=$NR$10,$NN$10,0),IF($NP$10="Bell_Curve",$NN$10*(214-$NR$10+1)*($NS$10-214+1)/$NU$10,$NN$10/$NT$10)),0)</f>
        <v/>
      </c>
      <c r="HK10" s="228">
        <f>IF(AND(215&gt;=$NR$10,215&lt;=$NS$10),IF($NP$10="Single_Point",IF(215=$NR$10,$NN$10,0),IF($NP$10="Bell_Curve",$NN$10*(215-$NR$10+1)*($NS$10-215+1)/$NU$10,$NN$10/$NT$10)),0)</f>
        <v/>
      </c>
      <c r="HL10" s="228">
        <f>IF(AND(216&gt;=$NR$10,216&lt;=$NS$10),IF($NP$10="Single_Point",IF(216=$NR$10,$NN$10,0),IF($NP$10="Bell_Curve",$NN$10*(216-$NR$10+1)*($NS$10-216+1)/$NU$10,$NN$10/$NT$10)),0)</f>
        <v/>
      </c>
      <c r="HM10" s="228">
        <f>IF(AND(217&gt;=$NR$10,217&lt;=$NS$10),IF($NP$10="Single_Point",IF(217=$NR$10,$NN$10,0),IF($NP$10="Bell_Curve",$NN$10*(217-$NR$10+1)*($NS$10-217+1)/$NU$10,$NN$10/$NT$10)),0)</f>
        <v/>
      </c>
      <c r="HN10" s="228">
        <f>IF(AND(218&gt;=$NR$10,218&lt;=$NS$10),IF($NP$10="Single_Point",IF(218=$NR$10,$NN$10,0),IF($NP$10="Bell_Curve",$NN$10*(218-$NR$10+1)*($NS$10-218+1)/$NU$10,$NN$10/$NT$10)),0)</f>
        <v/>
      </c>
      <c r="HO10" s="228">
        <f>IF(AND(219&gt;=$NR$10,219&lt;=$NS$10),IF($NP$10="Single_Point",IF(219=$NR$10,$NN$10,0),IF($NP$10="Bell_Curve",$NN$10*(219-$NR$10+1)*($NS$10-219+1)/$NU$10,$NN$10/$NT$10)),0)</f>
        <v/>
      </c>
      <c r="HP10" s="228">
        <f>IF(AND(220&gt;=$NR$10,220&lt;=$NS$10),IF($NP$10="Single_Point",IF(220=$NR$10,$NN$10,0),IF($NP$10="Bell_Curve",$NN$10*(220-$NR$10+1)*($NS$10-220+1)/$NU$10,$NN$10/$NT$10)),0)</f>
        <v/>
      </c>
      <c r="HQ10" s="228">
        <f>IF(AND(221&gt;=$NR$10,221&lt;=$NS$10),IF($NP$10="Single_Point",IF(221=$NR$10,$NN$10,0),IF($NP$10="Bell_Curve",$NN$10*(221-$NR$10+1)*($NS$10-221+1)/$NU$10,$NN$10/$NT$10)),0)</f>
        <v/>
      </c>
      <c r="HR10" s="228">
        <f>IF(AND(222&gt;=$NR$10,222&lt;=$NS$10),IF($NP$10="Single_Point",IF(222=$NR$10,$NN$10,0),IF($NP$10="Bell_Curve",$NN$10*(222-$NR$10+1)*($NS$10-222+1)/$NU$10,$NN$10/$NT$10)),0)</f>
        <v/>
      </c>
      <c r="HS10" s="228">
        <f>IF(AND(223&gt;=$NR$10,223&lt;=$NS$10),IF($NP$10="Single_Point",IF(223=$NR$10,$NN$10,0),IF($NP$10="Bell_Curve",$NN$10*(223-$NR$10+1)*($NS$10-223+1)/$NU$10,$NN$10/$NT$10)),0)</f>
        <v/>
      </c>
      <c r="HT10" s="228">
        <f>IF(AND(224&gt;=$NR$10,224&lt;=$NS$10),IF($NP$10="Single_Point",IF(224=$NR$10,$NN$10,0),IF($NP$10="Bell_Curve",$NN$10*(224-$NR$10+1)*($NS$10-224+1)/$NU$10,$NN$10/$NT$10)),0)</f>
        <v/>
      </c>
      <c r="HU10" s="228">
        <f>IF(AND(225&gt;=$NR$10,225&lt;=$NS$10),IF($NP$10="Single_Point",IF(225=$NR$10,$NN$10,0),IF($NP$10="Bell_Curve",$NN$10*(225-$NR$10+1)*($NS$10-225+1)/$NU$10,$NN$10/$NT$10)),0)</f>
        <v/>
      </c>
      <c r="HV10" s="228">
        <f>IF(AND(226&gt;=$NR$10,226&lt;=$NS$10),IF($NP$10="Single_Point",IF(226=$NR$10,$NN$10,0),IF($NP$10="Bell_Curve",$NN$10*(226-$NR$10+1)*($NS$10-226+1)/$NU$10,$NN$10/$NT$10)),0)</f>
        <v/>
      </c>
      <c r="HW10" s="228">
        <f>IF(AND(227&gt;=$NR$10,227&lt;=$NS$10),IF($NP$10="Single_Point",IF(227=$NR$10,$NN$10,0),IF($NP$10="Bell_Curve",$NN$10*(227-$NR$10+1)*($NS$10-227+1)/$NU$10,$NN$10/$NT$10)),0)</f>
        <v/>
      </c>
      <c r="HX10" s="228">
        <f>IF(AND(228&gt;=$NR$10,228&lt;=$NS$10),IF($NP$10="Single_Point",IF(228=$NR$10,$NN$10,0),IF($NP$10="Bell_Curve",$NN$10*(228-$NR$10+1)*($NS$10-228+1)/$NU$10,$NN$10/$NT$10)),0)</f>
        <v/>
      </c>
      <c r="HY10" s="228">
        <f>IF(AND(229&gt;=$NR$10,229&lt;=$NS$10),IF($NP$10="Single_Point",IF(229=$NR$10,$NN$10,0),IF($NP$10="Bell_Curve",$NN$10*(229-$NR$10+1)*($NS$10-229+1)/$NU$10,$NN$10/$NT$10)),0)</f>
        <v/>
      </c>
      <c r="HZ10" s="228">
        <f>IF(AND(230&gt;=$NR$10,230&lt;=$NS$10),IF($NP$10="Single_Point",IF(230=$NR$10,$NN$10,0),IF($NP$10="Bell_Curve",$NN$10*(230-$NR$10+1)*($NS$10-230+1)/$NU$10,$NN$10/$NT$10)),0)</f>
        <v/>
      </c>
      <c r="IA10" s="228">
        <f>IF(AND(231&gt;=$NR$10,231&lt;=$NS$10),IF($NP$10="Single_Point",IF(231=$NR$10,$NN$10,0),IF($NP$10="Bell_Curve",$NN$10*(231-$NR$10+1)*($NS$10-231+1)/$NU$10,$NN$10/$NT$10)),0)</f>
        <v/>
      </c>
      <c r="IB10" s="228">
        <f>IF(AND(232&gt;=$NR$10,232&lt;=$NS$10),IF($NP$10="Single_Point",IF(232=$NR$10,$NN$10,0),IF($NP$10="Bell_Curve",$NN$10*(232-$NR$10+1)*($NS$10-232+1)/$NU$10,$NN$10/$NT$10)),0)</f>
        <v/>
      </c>
      <c r="IC10" s="228">
        <f>IF(AND(233&gt;=$NR$10,233&lt;=$NS$10),IF($NP$10="Single_Point",IF(233=$NR$10,$NN$10,0),IF($NP$10="Bell_Curve",$NN$10*(233-$NR$10+1)*($NS$10-233+1)/$NU$10,$NN$10/$NT$10)),0)</f>
        <v/>
      </c>
      <c r="ID10" s="228">
        <f>IF(AND(234&gt;=$NR$10,234&lt;=$NS$10),IF($NP$10="Single_Point",IF(234=$NR$10,$NN$10,0),IF($NP$10="Bell_Curve",$NN$10*(234-$NR$10+1)*($NS$10-234+1)/$NU$10,$NN$10/$NT$10)),0)</f>
        <v/>
      </c>
      <c r="IE10" s="228">
        <f>IF(AND(235&gt;=$NR$10,235&lt;=$NS$10),IF($NP$10="Single_Point",IF(235=$NR$10,$NN$10,0),IF($NP$10="Bell_Curve",$NN$10*(235-$NR$10+1)*($NS$10-235+1)/$NU$10,$NN$10/$NT$10)),0)</f>
        <v/>
      </c>
      <c r="IF10" s="228">
        <f>IF(AND(236&gt;=$NR$10,236&lt;=$NS$10),IF($NP$10="Single_Point",IF(236=$NR$10,$NN$10,0),IF($NP$10="Bell_Curve",$NN$10*(236-$NR$10+1)*($NS$10-236+1)/$NU$10,$NN$10/$NT$10)),0)</f>
        <v/>
      </c>
      <c r="IG10" s="228">
        <f>IF(AND(237&gt;=$NR$10,237&lt;=$NS$10),IF($NP$10="Single_Point",IF(237=$NR$10,$NN$10,0),IF($NP$10="Bell_Curve",$NN$10*(237-$NR$10+1)*($NS$10-237+1)/$NU$10,$NN$10/$NT$10)),0)</f>
        <v/>
      </c>
      <c r="IH10" s="228">
        <f>IF(AND(238&gt;=$NR$10,238&lt;=$NS$10),IF($NP$10="Single_Point",IF(238=$NR$10,$NN$10,0),IF($NP$10="Bell_Curve",$NN$10*(238-$NR$10+1)*($NS$10-238+1)/$NU$10,$NN$10/$NT$10)),0)</f>
        <v/>
      </c>
      <c r="II10" s="228">
        <f>IF(AND(239&gt;=$NR$10,239&lt;=$NS$10),IF($NP$10="Single_Point",IF(239=$NR$10,$NN$10,0),IF($NP$10="Bell_Curve",$NN$10*(239-$NR$10+1)*($NS$10-239+1)/$NU$10,$NN$10/$NT$10)),0)</f>
        <v/>
      </c>
      <c r="IJ10" s="228">
        <f>IF(AND(240&gt;=$NR$10,240&lt;=$NS$10),IF($NP$10="Single_Point",IF(240=$NR$10,$NN$10,0),IF($NP$10="Bell_Curve",$NN$10*(240-$NR$10+1)*($NS$10-240+1)/$NU$10,$NN$10/$NT$10)),0)</f>
        <v/>
      </c>
      <c r="IK10" s="228">
        <f>IF(AND(241&gt;=$NR$10,241&lt;=$NS$10),IF($NP$10="Single_Point",IF(241=$NR$10,$NN$10,0),IF($NP$10="Bell_Curve",$NN$10*(241-$NR$10+1)*($NS$10-241+1)/$NU$10,$NN$10/$NT$10)),0)</f>
        <v/>
      </c>
      <c r="IL10" s="228">
        <f>IF(AND(242&gt;=$NR$10,242&lt;=$NS$10),IF($NP$10="Single_Point",IF(242=$NR$10,$NN$10,0),IF($NP$10="Bell_Curve",$NN$10*(242-$NR$10+1)*($NS$10-242+1)/$NU$10,$NN$10/$NT$10)),0)</f>
        <v/>
      </c>
      <c r="IM10" s="228">
        <f>IF(AND(243&gt;=$NR$10,243&lt;=$NS$10),IF($NP$10="Single_Point",IF(243=$NR$10,$NN$10,0),IF($NP$10="Bell_Curve",$NN$10*(243-$NR$10+1)*($NS$10-243+1)/$NU$10,$NN$10/$NT$10)),0)</f>
        <v/>
      </c>
      <c r="IN10" s="228">
        <f>IF(AND(244&gt;=$NR$10,244&lt;=$NS$10),IF($NP$10="Single_Point",IF(244=$NR$10,$NN$10,0),IF($NP$10="Bell_Curve",$NN$10*(244-$NR$10+1)*($NS$10-244+1)/$NU$10,$NN$10/$NT$10)),0)</f>
        <v/>
      </c>
      <c r="IO10" s="228">
        <f>IF(AND(245&gt;=$NR$10,245&lt;=$NS$10),IF($NP$10="Single_Point",IF(245=$NR$10,$NN$10,0),IF($NP$10="Bell_Curve",$NN$10*(245-$NR$10+1)*($NS$10-245+1)/$NU$10,$NN$10/$NT$10)),0)</f>
        <v/>
      </c>
      <c r="IP10" s="228">
        <f>IF(AND(246&gt;=$NR$10,246&lt;=$NS$10),IF($NP$10="Single_Point",IF(246=$NR$10,$NN$10,0),IF($NP$10="Bell_Curve",$NN$10*(246-$NR$10+1)*($NS$10-246+1)/$NU$10,$NN$10/$NT$10)),0)</f>
        <v/>
      </c>
      <c r="IQ10" s="228">
        <f>IF(AND(247&gt;=$NR$10,247&lt;=$NS$10),IF($NP$10="Single_Point",IF(247=$NR$10,$NN$10,0),IF($NP$10="Bell_Curve",$NN$10*(247-$NR$10+1)*($NS$10-247+1)/$NU$10,$NN$10/$NT$10)),0)</f>
        <v/>
      </c>
      <c r="IR10" s="228">
        <f>IF(AND(248&gt;=$NR$10,248&lt;=$NS$10),IF($NP$10="Single_Point",IF(248=$NR$10,$NN$10,0),IF($NP$10="Bell_Curve",$NN$10*(248-$NR$10+1)*($NS$10-248+1)/$NU$10,$NN$10/$NT$10)),0)</f>
        <v/>
      </c>
      <c r="IS10" s="228">
        <f>IF(AND(249&gt;=$NR$10,249&lt;=$NS$10),IF($NP$10="Single_Point",IF(249=$NR$10,$NN$10,0),IF($NP$10="Bell_Curve",$NN$10*(249-$NR$10+1)*($NS$10-249+1)/$NU$10,$NN$10/$NT$10)),0)</f>
        <v/>
      </c>
      <c r="IT10" s="228">
        <f>IF(AND(250&gt;=$NR$10,250&lt;=$NS$10),IF($NP$10="Single_Point",IF(250=$NR$10,$NN$10,0),IF($NP$10="Bell_Curve",$NN$10*(250-$NR$10+1)*($NS$10-250+1)/$NU$10,$NN$10/$NT$10)),0)</f>
        <v/>
      </c>
      <c r="IU10" s="228">
        <f>IF(AND(251&gt;=$NR$10,251&lt;=$NS$10),IF($NP$10="Single_Point",IF(251=$NR$10,$NN$10,0),IF($NP$10="Bell_Curve",$NN$10*(251-$NR$10+1)*($NS$10-251+1)/$NU$10,$NN$10/$NT$10)),0)</f>
        <v/>
      </c>
      <c r="IV10" s="228">
        <f>IF(AND(252&gt;=$NR$10,252&lt;=$NS$10),IF($NP$10="Single_Point",IF(252=$NR$10,$NN$10,0),IF($NP$10="Bell_Curve",$NN$10*(252-$NR$10+1)*($NS$10-252+1)/$NU$10,$NN$10/$NT$10)),0)</f>
        <v/>
      </c>
      <c r="IW10" s="228">
        <f>IF(AND(253&gt;=$NR$10,253&lt;=$NS$10),IF($NP$10="Single_Point",IF(253=$NR$10,$NN$10,0),IF($NP$10="Bell_Curve",$NN$10*(253-$NR$10+1)*($NS$10-253+1)/$NU$10,$NN$10/$NT$10)),0)</f>
        <v/>
      </c>
      <c r="IX10" s="228">
        <f>IF(AND(254&gt;=$NR$10,254&lt;=$NS$10),IF($NP$10="Single_Point",IF(254=$NR$10,$NN$10,0),IF($NP$10="Bell_Curve",$NN$10*(254-$NR$10+1)*($NS$10-254+1)/$NU$10,$NN$10/$NT$10)),0)</f>
        <v/>
      </c>
      <c r="IY10" s="228">
        <f>IF(AND(255&gt;=$NR$10,255&lt;=$NS$10),IF($NP$10="Single_Point",IF(255=$NR$10,$NN$10,0),IF($NP$10="Bell_Curve",$NN$10*(255-$NR$10+1)*($NS$10-255+1)/$NU$10,$NN$10/$NT$10)),0)</f>
        <v/>
      </c>
      <c r="IZ10" s="228">
        <f>IF(AND(256&gt;=$NR$10,256&lt;=$NS$10),IF($NP$10="Single_Point",IF(256=$NR$10,$NN$10,0),IF($NP$10="Bell_Curve",$NN$10*(256-$NR$10+1)*($NS$10-256+1)/$NU$10,$NN$10/$NT$10)),0)</f>
        <v/>
      </c>
      <c r="JA10" s="228">
        <f>IF(AND(257&gt;=$NR$10,257&lt;=$NS$10),IF($NP$10="Single_Point",IF(257=$NR$10,$NN$10,0),IF($NP$10="Bell_Curve",$NN$10*(257-$NR$10+1)*($NS$10-257+1)/$NU$10,$NN$10/$NT$10)),0)</f>
        <v/>
      </c>
      <c r="JB10" s="228">
        <f>IF(AND(258&gt;=$NR$10,258&lt;=$NS$10),IF($NP$10="Single_Point",IF(258=$NR$10,$NN$10,0),IF($NP$10="Bell_Curve",$NN$10*(258-$NR$10+1)*($NS$10-258+1)/$NU$10,$NN$10/$NT$10)),0)</f>
        <v/>
      </c>
      <c r="JC10" s="228">
        <f>IF(AND(259&gt;=$NR$10,259&lt;=$NS$10),IF($NP$10="Single_Point",IF(259=$NR$10,$NN$10,0),IF($NP$10="Bell_Curve",$NN$10*(259-$NR$10+1)*($NS$10-259+1)/$NU$10,$NN$10/$NT$10)),0)</f>
        <v/>
      </c>
      <c r="JD10" s="228">
        <f>IF(AND(260&gt;=$NR$10,260&lt;=$NS$10),IF($NP$10="Single_Point",IF(260=$NR$10,$NN$10,0),IF($NP$10="Bell_Curve",$NN$10*(260-$NR$10+1)*($NS$10-260+1)/$NU$10,$NN$10/$NT$10)),0)</f>
        <v/>
      </c>
      <c r="JE10" s="228">
        <f>IF(AND(261&gt;=$NR$10,261&lt;=$NS$10),IF($NP$10="Single_Point",IF(261=$NR$10,$NN$10,0),IF($NP$10="Bell_Curve",$NN$10*(261-$NR$10+1)*($NS$10-261+1)/$NU$10,$NN$10/$NT$10)),0)</f>
        <v/>
      </c>
      <c r="JF10" s="228">
        <f>IF(AND(262&gt;=$NR$10,262&lt;=$NS$10),IF($NP$10="Single_Point",IF(262=$NR$10,$NN$10,0),IF($NP$10="Bell_Curve",$NN$10*(262-$NR$10+1)*($NS$10-262+1)/$NU$10,$NN$10/$NT$10)),0)</f>
        <v/>
      </c>
      <c r="JG10" s="228">
        <f>IF(AND(263&gt;=$NR$10,263&lt;=$NS$10),IF($NP$10="Single_Point",IF(263=$NR$10,$NN$10,0),IF($NP$10="Bell_Curve",$NN$10*(263-$NR$10+1)*($NS$10-263+1)/$NU$10,$NN$10/$NT$10)),0)</f>
        <v/>
      </c>
      <c r="JH10" s="228">
        <f>IF(AND(264&gt;=$NR$10,264&lt;=$NS$10),IF($NP$10="Single_Point",IF(264=$NR$10,$NN$10,0),IF($NP$10="Bell_Curve",$NN$10*(264-$NR$10+1)*($NS$10-264+1)/$NU$10,$NN$10/$NT$10)),0)</f>
        <v/>
      </c>
      <c r="JI10" s="228">
        <f>IF(AND(265&gt;=$NR$10,265&lt;=$NS$10),IF($NP$10="Single_Point",IF(265=$NR$10,$NN$10,0),IF($NP$10="Bell_Curve",$NN$10*(265-$NR$10+1)*($NS$10-265+1)/$NU$10,$NN$10/$NT$10)),0)</f>
        <v/>
      </c>
      <c r="JJ10" s="228">
        <f>IF(AND(266&gt;=$NR$10,266&lt;=$NS$10),IF($NP$10="Single_Point",IF(266=$NR$10,$NN$10,0),IF($NP$10="Bell_Curve",$NN$10*(266-$NR$10+1)*($NS$10-266+1)/$NU$10,$NN$10/$NT$10)),0)</f>
        <v/>
      </c>
      <c r="JK10" s="228">
        <f>IF(AND(267&gt;=$NR$10,267&lt;=$NS$10),IF($NP$10="Single_Point",IF(267=$NR$10,$NN$10,0),IF($NP$10="Bell_Curve",$NN$10*(267-$NR$10+1)*($NS$10-267+1)/$NU$10,$NN$10/$NT$10)),0)</f>
        <v/>
      </c>
      <c r="JL10" s="228">
        <f>IF(AND(268&gt;=$NR$10,268&lt;=$NS$10),IF($NP$10="Single_Point",IF(268=$NR$10,$NN$10,0),IF($NP$10="Bell_Curve",$NN$10*(268-$NR$10+1)*($NS$10-268+1)/$NU$10,$NN$10/$NT$10)),0)</f>
        <v/>
      </c>
      <c r="JM10" s="228">
        <f>IF(AND(269&gt;=$NR$10,269&lt;=$NS$10),IF($NP$10="Single_Point",IF(269=$NR$10,$NN$10,0),IF($NP$10="Bell_Curve",$NN$10*(269-$NR$10+1)*($NS$10-269+1)/$NU$10,$NN$10/$NT$10)),0)</f>
        <v/>
      </c>
      <c r="JN10" s="228">
        <f>IF(AND(270&gt;=$NR$10,270&lt;=$NS$10),IF($NP$10="Single_Point",IF(270=$NR$10,$NN$10,0),IF($NP$10="Bell_Curve",$NN$10*(270-$NR$10+1)*($NS$10-270+1)/$NU$10,$NN$10/$NT$10)),0)</f>
        <v/>
      </c>
      <c r="JO10" s="228">
        <f>IF(AND(271&gt;=$NR$10,271&lt;=$NS$10),IF($NP$10="Single_Point",IF(271=$NR$10,$NN$10,0),IF($NP$10="Bell_Curve",$NN$10*(271-$NR$10+1)*($NS$10-271+1)/$NU$10,$NN$10/$NT$10)),0)</f>
        <v/>
      </c>
      <c r="JP10" s="228">
        <f>IF(AND(272&gt;=$NR$10,272&lt;=$NS$10),IF($NP$10="Single_Point",IF(272=$NR$10,$NN$10,0),IF($NP$10="Bell_Curve",$NN$10*(272-$NR$10+1)*($NS$10-272+1)/$NU$10,$NN$10/$NT$10)),0)</f>
        <v/>
      </c>
      <c r="JQ10" s="228">
        <f>IF(AND(273&gt;=$NR$10,273&lt;=$NS$10),IF($NP$10="Single_Point",IF(273=$NR$10,$NN$10,0),IF($NP$10="Bell_Curve",$NN$10*(273-$NR$10+1)*($NS$10-273+1)/$NU$10,$NN$10/$NT$10)),0)</f>
        <v/>
      </c>
      <c r="JR10" s="228">
        <f>IF(AND(274&gt;=$NR$10,274&lt;=$NS$10),IF($NP$10="Single_Point",IF(274=$NR$10,$NN$10,0),IF($NP$10="Bell_Curve",$NN$10*(274-$NR$10+1)*($NS$10-274+1)/$NU$10,$NN$10/$NT$10)),0)</f>
        <v/>
      </c>
      <c r="JS10" s="228">
        <f>IF(AND(275&gt;=$NR$10,275&lt;=$NS$10),IF($NP$10="Single_Point",IF(275=$NR$10,$NN$10,0),IF($NP$10="Bell_Curve",$NN$10*(275-$NR$10+1)*($NS$10-275+1)/$NU$10,$NN$10/$NT$10)),0)</f>
        <v/>
      </c>
      <c r="JT10" s="228">
        <f>IF(AND(276&gt;=$NR$10,276&lt;=$NS$10),IF($NP$10="Single_Point",IF(276=$NR$10,$NN$10,0),IF($NP$10="Bell_Curve",$NN$10*(276-$NR$10+1)*($NS$10-276+1)/$NU$10,$NN$10/$NT$10)),0)</f>
        <v/>
      </c>
      <c r="JU10" s="228">
        <f>IF(AND(277&gt;=$NR$10,277&lt;=$NS$10),IF($NP$10="Single_Point",IF(277=$NR$10,$NN$10,0),IF($NP$10="Bell_Curve",$NN$10*(277-$NR$10+1)*($NS$10-277+1)/$NU$10,$NN$10/$NT$10)),0)</f>
        <v/>
      </c>
      <c r="JV10" s="228">
        <f>IF(AND(278&gt;=$NR$10,278&lt;=$NS$10),IF($NP$10="Single_Point",IF(278=$NR$10,$NN$10,0),IF($NP$10="Bell_Curve",$NN$10*(278-$NR$10+1)*($NS$10-278+1)/$NU$10,$NN$10/$NT$10)),0)</f>
        <v/>
      </c>
      <c r="JW10" s="228">
        <f>IF(AND(279&gt;=$NR$10,279&lt;=$NS$10),IF($NP$10="Single_Point",IF(279=$NR$10,$NN$10,0),IF($NP$10="Bell_Curve",$NN$10*(279-$NR$10+1)*($NS$10-279+1)/$NU$10,$NN$10/$NT$10)),0)</f>
        <v/>
      </c>
      <c r="JX10" s="228">
        <f>IF(AND(280&gt;=$NR$10,280&lt;=$NS$10),IF($NP$10="Single_Point",IF(280=$NR$10,$NN$10,0),IF($NP$10="Bell_Curve",$NN$10*(280-$NR$10+1)*($NS$10-280+1)/$NU$10,$NN$10/$NT$10)),0)</f>
        <v/>
      </c>
      <c r="JY10" s="228">
        <f>IF(AND(281&gt;=$NR$10,281&lt;=$NS$10),IF($NP$10="Single_Point",IF(281=$NR$10,$NN$10,0),IF($NP$10="Bell_Curve",$NN$10*(281-$NR$10+1)*($NS$10-281+1)/$NU$10,$NN$10/$NT$10)),0)</f>
        <v/>
      </c>
      <c r="JZ10" s="228">
        <f>IF(AND(282&gt;=$NR$10,282&lt;=$NS$10),IF($NP$10="Single_Point",IF(282=$NR$10,$NN$10,0),IF($NP$10="Bell_Curve",$NN$10*(282-$NR$10+1)*($NS$10-282+1)/$NU$10,$NN$10/$NT$10)),0)</f>
        <v/>
      </c>
      <c r="KA10" s="228">
        <f>IF(AND(283&gt;=$NR$10,283&lt;=$NS$10),IF($NP$10="Single_Point",IF(283=$NR$10,$NN$10,0),IF($NP$10="Bell_Curve",$NN$10*(283-$NR$10+1)*($NS$10-283+1)/$NU$10,$NN$10/$NT$10)),0)</f>
        <v/>
      </c>
      <c r="KB10" s="228">
        <f>IF(AND(284&gt;=$NR$10,284&lt;=$NS$10),IF($NP$10="Single_Point",IF(284=$NR$10,$NN$10,0),IF($NP$10="Bell_Curve",$NN$10*(284-$NR$10+1)*($NS$10-284+1)/$NU$10,$NN$10/$NT$10)),0)</f>
        <v/>
      </c>
      <c r="KC10" s="228">
        <f>IF(AND(285&gt;=$NR$10,285&lt;=$NS$10),IF($NP$10="Single_Point",IF(285=$NR$10,$NN$10,0),IF($NP$10="Bell_Curve",$NN$10*(285-$NR$10+1)*($NS$10-285+1)/$NU$10,$NN$10/$NT$10)),0)</f>
        <v/>
      </c>
      <c r="KD10" s="228">
        <f>IF(AND(286&gt;=$NR$10,286&lt;=$NS$10),IF($NP$10="Single_Point",IF(286=$NR$10,$NN$10,0),IF($NP$10="Bell_Curve",$NN$10*(286-$NR$10+1)*($NS$10-286+1)/$NU$10,$NN$10/$NT$10)),0)</f>
        <v/>
      </c>
      <c r="KE10" s="228">
        <f>IF(AND(287&gt;=$NR$10,287&lt;=$NS$10),IF($NP$10="Single_Point",IF(287=$NR$10,$NN$10,0),IF($NP$10="Bell_Curve",$NN$10*(287-$NR$10+1)*($NS$10-287+1)/$NU$10,$NN$10/$NT$10)),0)</f>
        <v/>
      </c>
      <c r="KF10" s="228">
        <f>IF(AND(288&gt;=$NR$10,288&lt;=$NS$10),IF($NP$10="Single_Point",IF(288=$NR$10,$NN$10,0),IF($NP$10="Bell_Curve",$NN$10*(288-$NR$10+1)*($NS$10-288+1)/$NU$10,$NN$10/$NT$10)),0)</f>
        <v/>
      </c>
      <c r="KG10" s="228">
        <f>IF(AND(289&gt;=$NR$10,289&lt;=$NS$10),IF($NP$10="Single_Point",IF(289=$NR$10,$NN$10,0),IF($NP$10="Bell_Curve",$NN$10*(289-$NR$10+1)*($NS$10-289+1)/$NU$10,$NN$10/$NT$10)),0)</f>
        <v/>
      </c>
      <c r="KH10" s="228">
        <f>IF(AND(290&gt;=$NR$10,290&lt;=$NS$10),IF($NP$10="Single_Point",IF(290=$NR$10,$NN$10,0),IF($NP$10="Bell_Curve",$NN$10*(290-$NR$10+1)*($NS$10-290+1)/$NU$10,$NN$10/$NT$10)),0)</f>
        <v/>
      </c>
      <c r="KI10" s="228">
        <f>IF(AND(291&gt;=$NR$10,291&lt;=$NS$10),IF($NP$10="Single_Point",IF(291=$NR$10,$NN$10,0),IF($NP$10="Bell_Curve",$NN$10*(291-$NR$10+1)*($NS$10-291+1)/$NU$10,$NN$10/$NT$10)),0)</f>
        <v/>
      </c>
      <c r="KJ10" s="228">
        <f>IF(AND(292&gt;=$NR$10,292&lt;=$NS$10),IF($NP$10="Single_Point",IF(292=$NR$10,$NN$10,0),IF($NP$10="Bell_Curve",$NN$10*(292-$NR$10+1)*($NS$10-292+1)/$NU$10,$NN$10/$NT$10)),0)</f>
        <v/>
      </c>
      <c r="KK10" s="228">
        <f>IF(AND(293&gt;=$NR$10,293&lt;=$NS$10),IF($NP$10="Single_Point",IF(293=$NR$10,$NN$10,0),IF($NP$10="Bell_Curve",$NN$10*(293-$NR$10+1)*($NS$10-293+1)/$NU$10,$NN$10/$NT$10)),0)</f>
        <v/>
      </c>
      <c r="KL10" s="228">
        <f>IF(AND(294&gt;=$NR$10,294&lt;=$NS$10),IF($NP$10="Single_Point",IF(294=$NR$10,$NN$10,0),IF($NP$10="Bell_Curve",$NN$10*(294-$NR$10+1)*($NS$10-294+1)/$NU$10,$NN$10/$NT$10)),0)</f>
        <v/>
      </c>
      <c r="KM10" s="228">
        <f>IF(AND(295&gt;=$NR$10,295&lt;=$NS$10),IF($NP$10="Single_Point",IF(295=$NR$10,$NN$10,0),IF($NP$10="Bell_Curve",$NN$10*(295-$NR$10+1)*($NS$10-295+1)/$NU$10,$NN$10/$NT$10)),0)</f>
        <v/>
      </c>
      <c r="KN10" s="228">
        <f>IF(AND(296&gt;=$NR$10,296&lt;=$NS$10),IF($NP$10="Single_Point",IF(296=$NR$10,$NN$10,0),IF($NP$10="Bell_Curve",$NN$10*(296-$NR$10+1)*($NS$10-296+1)/$NU$10,$NN$10/$NT$10)),0)</f>
        <v/>
      </c>
      <c r="KO10" s="228">
        <f>IF(AND(297&gt;=$NR$10,297&lt;=$NS$10),IF($NP$10="Single_Point",IF(297=$NR$10,$NN$10,0),IF($NP$10="Bell_Curve",$NN$10*(297-$NR$10+1)*($NS$10-297+1)/$NU$10,$NN$10/$NT$10)),0)</f>
        <v/>
      </c>
      <c r="KP10" s="228">
        <f>IF(AND(298&gt;=$NR$10,298&lt;=$NS$10),IF($NP$10="Single_Point",IF(298=$NR$10,$NN$10,0),IF($NP$10="Bell_Curve",$NN$10*(298-$NR$10+1)*($NS$10-298+1)/$NU$10,$NN$10/$NT$10)),0)</f>
        <v/>
      </c>
      <c r="KQ10" s="228">
        <f>IF(AND(299&gt;=$NR$10,299&lt;=$NS$10),IF($NP$10="Single_Point",IF(299=$NR$10,$NN$10,0),IF($NP$10="Bell_Curve",$NN$10*(299-$NR$10+1)*($NS$10-299+1)/$NU$10,$NN$10/$NT$10)),0)</f>
        <v/>
      </c>
      <c r="KR10" s="228">
        <f>IF(AND(300&gt;=$NR$10,300&lt;=$NS$10),IF($NP$10="Single_Point",IF(300=$NR$10,$NN$10,0),IF($NP$10="Bell_Curve",$NN$10*(300-$NR$10+1)*($NS$10-300+1)/$NU$10,$NN$10/$NT$10)),0)</f>
        <v/>
      </c>
      <c r="KS10" s="228">
        <f>IF(AND(301&gt;=$NR$10,301&lt;=$NS$10),IF($NP$10="Single_Point",IF(301=$NR$10,$NN$10,0),IF($NP$10="Bell_Curve",$NN$10*(301-$NR$10+1)*($NS$10-301+1)/$NU$10,$NN$10/$NT$10)),0)</f>
        <v/>
      </c>
      <c r="KT10" s="228">
        <f>IF(AND(302&gt;=$NR$10,302&lt;=$NS$10),IF($NP$10="Single_Point",IF(302=$NR$10,$NN$10,0),IF($NP$10="Bell_Curve",$NN$10*(302-$NR$10+1)*($NS$10-302+1)/$NU$10,$NN$10/$NT$10)),0)</f>
        <v/>
      </c>
      <c r="KU10" s="228">
        <f>IF(AND(303&gt;=$NR$10,303&lt;=$NS$10),IF($NP$10="Single_Point",IF(303=$NR$10,$NN$10,0),IF($NP$10="Bell_Curve",$NN$10*(303-$NR$10+1)*($NS$10-303+1)/$NU$10,$NN$10/$NT$10)),0)</f>
        <v/>
      </c>
      <c r="KV10" s="228">
        <f>IF(AND(304&gt;=$NR$10,304&lt;=$NS$10),IF($NP$10="Single_Point",IF(304=$NR$10,$NN$10,0),IF($NP$10="Bell_Curve",$NN$10*(304-$NR$10+1)*($NS$10-304+1)/$NU$10,$NN$10/$NT$10)),0)</f>
        <v/>
      </c>
      <c r="KW10" s="228">
        <f>IF(AND(305&gt;=$NR$10,305&lt;=$NS$10),IF($NP$10="Single_Point",IF(305=$NR$10,$NN$10,0),IF($NP$10="Bell_Curve",$NN$10*(305-$NR$10+1)*($NS$10-305+1)/$NU$10,$NN$10/$NT$10)),0)</f>
        <v/>
      </c>
      <c r="KX10" s="228">
        <f>IF(AND(306&gt;=$NR$10,306&lt;=$NS$10),IF($NP$10="Single_Point",IF(306=$NR$10,$NN$10,0),IF($NP$10="Bell_Curve",$NN$10*(306-$NR$10+1)*($NS$10-306+1)/$NU$10,$NN$10/$NT$10)),0)</f>
        <v/>
      </c>
      <c r="KY10" s="228">
        <f>IF(AND(307&gt;=$NR$10,307&lt;=$NS$10),IF($NP$10="Single_Point",IF(307=$NR$10,$NN$10,0),IF($NP$10="Bell_Curve",$NN$10*(307-$NR$10+1)*($NS$10-307+1)/$NU$10,$NN$10/$NT$10)),0)</f>
        <v/>
      </c>
      <c r="KZ10" s="228">
        <f>IF(AND(308&gt;=$NR$10,308&lt;=$NS$10),IF($NP$10="Single_Point",IF(308=$NR$10,$NN$10,0),IF($NP$10="Bell_Curve",$NN$10*(308-$NR$10+1)*($NS$10-308+1)/$NU$10,$NN$10/$NT$10)),0)</f>
        <v/>
      </c>
      <c r="LA10" s="228">
        <f>IF(AND(309&gt;=$NR$10,309&lt;=$NS$10),IF($NP$10="Single_Point",IF(309=$NR$10,$NN$10,0),IF($NP$10="Bell_Curve",$NN$10*(309-$NR$10+1)*($NS$10-309+1)/$NU$10,$NN$10/$NT$10)),0)</f>
        <v/>
      </c>
      <c r="LB10" s="228">
        <f>IF(AND(310&gt;=$NR$10,310&lt;=$NS$10),IF($NP$10="Single_Point",IF(310=$NR$10,$NN$10,0),IF($NP$10="Bell_Curve",$NN$10*(310-$NR$10+1)*($NS$10-310+1)/$NU$10,$NN$10/$NT$10)),0)</f>
        <v/>
      </c>
      <c r="LC10" s="228">
        <f>IF(AND(311&gt;=$NR$10,311&lt;=$NS$10),IF($NP$10="Single_Point",IF(311=$NR$10,$NN$10,0),IF($NP$10="Bell_Curve",$NN$10*(311-$NR$10+1)*($NS$10-311+1)/$NU$10,$NN$10/$NT$10)),0)</f>
        <v/>
      </c>
      <c r="LD10" s="228">
        <f>IF(AND(312&gt;=$NR$10,312&lt;=$NS$10),IF($NP$10="Single_Point",IF(312=$NR$10,$NN$10,0),IF($NP$10="Bell_Curve",$NN$10*(312-$NR$10+1)*($NS$10-312+1)/$NU$10,$NN$10/$NT$10)),0)</f>
        <v/>
      </c>
      <c r="LE10" s="228">
        <f>IF(AND(313&gt;=$NR$10,313&lt;=$NS$10),IF($NP$10="Single_Point",IF(313=$NR$10,$NN$10,0),IF($NP$10="Bell_Curve",$NN$10*(313-$NR$10+1)*($NS$10-313+1)/$NU$10,$NN$10/$NT$10)),0)</f>
        <v/>
      </c>
      <c r="LF10" s="228">
        <f>IF(AND(314&gt;=$NR$10,314&lt;=$NS$10),IF($NP$10="Single_Point",IF(314=$NR$10,$NN$10,0),IF($NP$10="Bell_Curve",$NN$10*(314-$NR$10+1)*($NS$10-314+1)/$NU$10,$NN$10/$NT$10)),0)</f>
        <v/>
      </c>
      <c r="LG10" s="228">
        <f>IF(AND(315&gt;=$NR$10,315&lt;=$NS$10),IF($NP$10="Single_Point",IF(315=$NR$10,$NN$10,0),IF($NP$10="Bell_Curve",$NN$10*(315-$NR$10+1)*($NS$10-315+1)/$NU$10,$NN$10/$NT$10)),0)</f>
        <v/>
      </c>
      <c r="LH10" s="228">
        <f>IF(AND(316&gt;=$NR$10,316&lt;=$NS$10),IF($NP$10="Single_Point",IF(316=$NR$10,$NN$10,0),IF($NP$10="Bell_Curve",$NN$10*(316-$NR$10+1)*($NS$10-316+1)/$NU$10,$NN$10/$NT$10)),0)</f>
        <v/>
      </c>
      <c r="LI10" s="228">
        <f>IF(AND(317&gt;=$NR$10,317&lt;=$NS$10),IF($NP$10="Single_Point",IF(317=$NR$10,$NN$10,0),IF($NP$10="Bell_Curve",$NN$10*(317-$NR$10+1)*($NS$10-317+1)/$NU$10,$NN$10/$NT$10)),0)</f>
        <v/>
      </c>
      <c r="LJ10" s="228">
        <f>IF(AND(318&gt;=$NR$10,318&lt;=$NS$10),IF($NP$10="Single_Point",IF(318=$NR$10,$NN$10,0),IF($NP$10="Bell_Curve",$NN$10*(318-$NR$10+1)*($NS$10-318+1)/$NU$10,$NN$10/$NT$10)),0)</f>
        <v/>
      </c>
      <c r="LK10" s="228">
        <f>IF(AND(319&gt;=$NR$10,319&lt;=$NS$10),IF($NP$10="Single_Point",IF(319=$NR$10,$NN$10,0),IF($NP$10="Bell_Curve",$NN$10*(319-$NR$10+1)*($NS$10-319+1)/$NU$10,$NN$10/$NT$10)),0)</f>
        <v/>
      </c>
      <c r="LL10" s="228">
        <f>IF(AND(320&gt;=$NR$10,320&lt;=$NS$10),IF($NP$10="Single_Point",IF(320=$NR$10,$NN$10,0),IF($NP$10="Bell_Curve",$NN$10*(320-$NR$10+1)*($NS$10-320+1)/$NU$10,$NN$10/$NT$10)),0)</f>
        <v/>
      </c>
      <c r="LM10" s="228">
        <f>IF(AND(321&gt;=$NR$10,321&lt;=$NS$10),IF($NP$10="Single_Point",IF(321=$NR$10,$NN$10,0),IF($NP$10="Bell_Curve",$NN$10*(321-$NR$10+1)*($NS$10-321+1)/$NU$10,$NN$10/$NT$10)),0)</f>
        <v/>
      </c>
      <c r="LN10" s="228">
        <f>IF(AND(322&gt;=$NR$10,322&lt;=$NS$10),IF($NP$10="Single_Point",IF(322=$NR$10,$NN$10,0),IF($NP$10="Bell_Curve",$NN$10*(322-$NR$10+1)*($NS$10-322+1)/$NU$10,$NN$10/$NT$10)),0)</f>
        <v/>
      </c>
      <c r="LO10" s="228">
        <f>IF(AND(323&gt;=$NR$10,323&lt;=$NS$10),IF($NP$10="Single_Point",IF(323=$NR$10,$NN$10,0),IF($NP$10="Bell_Curve",$NN$10*(323-$NR$10+1)*($NS$10-323+1)/$NU$10,$NN$10/$NT$10)),0)</f>
        <v/>
      </c>
      <c r="LP10" s="228">
        <f>IF(AND(324&gt;=$NR$10,324&lt;=$NS$10),IF($NP$10="Single_Point",IF(324=$NR$10,$NN$10,0),IF($NP$10="Bell_Curve",$NN$10*(324-$NR$10+1)*($NS$10-324+1)/$NU$10,$NN$10/$NT$10)),0)</f>
        <v/>
      </c>
      <c r="LQ10" s="228">
        <f>IF(AND(325&gt;=$NR$10,325&lt;=$NS$10),IF($NP$10="Single_Point",IF(325=$NR$10,$NN$10,0),IF($NP$10="Bell_Curve",$NN$10*(325-$NR$10+1)*($NS$10-325+1)/$NU$10,$NN$10/$NT$10)),0)</f>
        <v/>
      </c>
      <c r="LR10" s="228">
        <f>IF(AND(326&gt;=$NR$10,326&lt;=$NS$10),IF($NP$10="Single_Point",IF(326=$NR$10,$NN$10,0),IF($NP$10="Bell_Curve",$NN$10*(326-$NR$10+1)*($NS$10-326+1)/$NU$10,$NN$10/$NT$10)),0)</f>
        <v/>
      </c>
      <c r="LS10" s="228">
        <f>IF(AND(327&gt;=$NR$10,327&lt;=$NS$10),IF($NP$10="Single_Point",IF(327=$NR$10,$NN$10,0),IF($NP$10="Bell_Curve",$NN$10*(327-$NR$10+1)*($NS$10-327+1)/$NU$10,$NN$10/$NT$10)),0)</f>
        <v/>
      </c>
      <c r="LT10" s="228">
        <f>IF(AND(328&gt;=$NR$10,328&lt;=$NS$10),IF($NP$10="Single_Point",IF(328=$NR$10,$NN$10,0),IF($NP$10="Bell_Curve",$NN$10*(328-$NR$10+1)*($NS$10-328+1)/$NU$10,$NN$10/$NT$10)),0)</f>
        <v/>
      </c>
      <c r="LU10" s="228">
        <f>IF(AND(329&gt;=$NR$10,329&lt;=$NS$10),IF($NP$10="Single_Point",IF(329=$NR$10,$NN$10,0),IF($NP$10="Bell_Curve",$NN$10*(329-$NR$10+1)*($NS$10-329+1)/$NU$10,$NN$10/$NT$10)),0)</f>
        <v/>
      </c>
      <c r="LV10" s="228">
        <f>IF(AND(330&gt;=$NR$10,330&lt;=$NS$10),IF($NP$10="Single_Point",IF(330=$NR$10,$NN$10,0),IF($NP$10="Bell_Curve",$NN$10*(330-$NR$10+1)*($NS$10-330+1)/$NU$10,$NN$10/$NT$10)),0)</f>
        <v/>
      </c>
      <c r="LW10" s="228">
        <f>IF(AND(331&gt;=$NR$10,331&lt;=$NS$10),IF($NP$10="Single_Point",IF(331=$NR$10,$NN$10,0),IF($NP$10="Bell_Curve",$NN$10*(331-$NR$10+1)*($NS$10-331+1)/$NU$10,$NN$10/$NT$10)),0)</f>
        <v/>
      </c>
      <c r="LX10" s="228">
        <f>IF(AND(332&gt;=$NR$10,332&lt;=$NS$10),IF($NP$10="Single_Point",IF(332=$NR$10,$NN$10,0),IF($NP$10="Bell_Curve",$NN$10*(332-$NR$10+1)*($NS$10-332+1)/$NU$10,$NN$10/$NT$10)),0)</f>
        <v/>
      </c>
      <c r="LY10" s="228">
        <f>IF(AND(333&gt;=$NR$10,333&lt;=$NS$10),IF($NP$10="Single_Point",IF(333=$NR$10,$NN$10,0),IF($NP$10="Bell_Curve",$NN$10*(333-$NR$10+1)*($NS$10-333+1)/$NU$10,$NN$10/$NT$10)),0)</f>
        <v/>
      </c>
      <c r="LZ10" s="228">
        <f>IF(AND(334&gt;=$NR$10,334&lt;=$NS$10),IF($NP$10="Single_Point",IF(334=$NR$10,$NN$10,0),IF($NP$10="Bell_Curve",$NN$10*(334-$NR$10+1)*($NS$10-334+1)/$NU$10,$NN$10/$NT$10)),0)</f>
        <v/>
      </c>
      <c r="MA10" s="228">
        <f>IF(AND(335&gt;=$NR$10,335&lt;=$NS$10),IF($NP$10="Single_Point",IF(335=$NR$10,$NN$10,0),IF($NP$10="Bell_Curve",$NN$10*(335-$NR$10+1)*($NS$10-335+1)/$NU$10,$NN$10/$NT$10)),0)</f>
        <v/>
      </c>
      <c r="MB10" s="228">
        <f>IF(AND(336&gt;=$NR$10,336&lt;=$NS$10),IF($NP$10="Single_Point",IF(336=$NR$10,$NN$10,0),IF($NP$10="Bell_Curve",$NN$10*(336-$NR$10+1)*($NS$10-336+1)/$NU$10,$NN$10/$NT$10)),0)</f>
        <v/>
      </c>
      <c r="MC10" s="228">
        <f>IF(AND(337&gt;=$NR$10,337&lt;=$NS$10),IF($NP$10="Single_Point",IF(337=$NR$10,$NN$10,0),IF($NP$10="Bell_Curve",$NN$10*(337-$NR$10+1)*($NS$10-337+1)/$NU$10,$NN$10/$NT$10)),0)</f>
        <v/>
      </c>
      <c r="MD10" s="228">
        <f>IF(AND(338&gt;=$NR$10,338&lt;=$NS$10),IF($NP$10="Single_Point",IF(338=$NR$10,$NN$10,0),IF($NP$10="Bell_Curve",$NN$10*(338-$NR$10+1)*($NS$10-338+1)/$NU$10,$NN$10/$NT$10)),0)</f>
        <v/>
      </c>
      <c r="ME10" s="228">
        <f>IF(AND(339&gt;=$NR$10,339&lt;=$NS$10),IF($NP$10="Single_Point",IF(339=$NR$10,$NN$10,0),IF($NP$10="Bell_Curve",$NN$10*(339-$NR$10+1)*($NS$10-339+1)/$NU$10,$NN$10/$NT$10)),0)</f>
        <v/>
      </c>
      <c r="MF10" s="228">
        <f>IF(AND(340&gt;=$NR$10,340&lt;=$NS$10),IF($NP$10="Single_Point",IF(340=$NR$10,$NN$10,0),IF($NP$10="Bell_Curve",$NN$10*(340-$NR$10+1)*($NS$10-340+1)/$NU$10,$NN$10/$NT$10)),0)</f>
        <v/>
      </c>
      <c r="MG10" s="228">
        <f>IF(AND(341&gt;=$NR$10,341&lt;=$NS$10),IF($NP$10="Single_Point",IF(341=$NR$10,$NN$10,0),IF($NP$10="Bell_Curve",$NN$10*(341-$NR$10+1)*($NS$10-341+1)/$NU$10,$NN$10/$NT$10)),0)</f>
        <v/>
      </c>
      <c r="MH10" s="228">
        <f>IF(AND(342&gt;=$NR$10,342&lt;=$NS$10),IF($NP$10="Single_Point",IF(342=$NR$10,$NN$10,0),IF($NP$10="Bell_Curve",$NN$10*(342-$NR$10+1)*($NS$10-342+1)/$NU$10,$NN$10/$NT$10)),0)</f>
        <v/>
      </c>
      <c r="MI10" s="228">
        <f>IF(AND(343&gt;=$NR$10,343&lt;=$NS$10),IF($NP$10="Single_Point",IF(343=$NR$10,$NN$10,0),IF($NP$10="Bell_Curve",$NN$10*(343-$NR$10+1)*($NS$10-343+1)/$NU$10,$NN$10/$NT$10)),0)</f>
        <v/>
      </c>
      <c r="MJ10" s="228">
        <f>IF(AND(344&gt;=$NR$10,344&lt;=$NS$10),IF($NP$10="Single_Point",IF(344=$NR$10,$NN$10,0),IF($NP$10="Bell_Curve",$NN$10*(344-$NR$10+1)*($NS$10-344+1)/$NU$10,$NN$10/$NT$10)),0)</f>
        <v/>
      </c>
      <c r="MK10" s="228">
        <f>IF(AND(345&gt;=$NR$10,345&lt;=$NS$10),IF($NP$10="Single_Point",IF(345=$NR$10,$NN$10,0),IF($NP$10="Bell_Curve",$NN$10*(345-$NR$10+1)*($NS$10-345+1)/$NU$10,$NN$10/$NT$10)),0)</f>
        <v/>
      </c>
      <c r="ML10" s="228">
        <f>IF(AND(346&gt;=$NR$10,346&lt;=$NS$10),IF($NP$10="Single_Point",IF(346=$NR$10,$NN$10,0),IF($NP$10="Bell_Curve",$NN$10*(346-$NR$10+1)*($NS$10-346+1)/$NU$10,$NN$10/$NT$10)),0)</f>
        <v/>
      </c>
      <c r="MM10" s="228">
        <f>IF(AND(347&gt;=$NR$10,347&lt;=$NS$10),IF($NP$10="Single_Point",IF(347=$NR$10,$NN$10,0),IF($NP$10="Bell_Curve",$NN$10*(347-$NR$10+1)*($NS$10-347+1)/$NU$10,$NN$10/$NT$10)),0)</f>
        <v/>
      </c>
      <c r="MN10" s="228">
        <f>IF(AND(348&gt;=$NR$10,348&lt;=$NS$10),IF($NP$10="Single_Point",IF(348=$NR$10,$NN$10,0),IF($NP$10="Bell_Curve",$NN$10*(348-$NR$10+1)*($NS$10-348+1)/$NU$10,$NN$10/$NT$10)),0)</f>
        <v/>
      </c>
      <c r="MO10" s="228">
        <f>IF(AND(349&gt;=$NR$10,349&lt;=$NS$10),IF($NP$10="Single_Point",IF(349=$NR$10,$NN$10,0),IF($NP$10="Bell_Curve",$NN$10*(349-$NR$10+1)*($NS$10-349+1)/$NU$10,$NN$10/$NT$10)),0)</f>
        <v/>
      </c>
      <c r="MP10" s="228">
        <f>IF(AND(350&gt;=$NR$10,350&lt;=$NS$10),IF($NP$10="Single_Point",IF(350=$NR$10,$NN$10,0),IF($NP$10="Bell_Curve",$NN$10*(350-$NR$10+1)*($NS$10-350+1)/$NU$10,$NN$10/$NT$10)),0)</f>
        <v/>
      </c>
      <c r="MQ10" s="228">
        <f>IF(AND(351&gt;=$NR$10,351&lt;=$NS$10),IF($NP$10="Single_Point",IF(351=$NR$10,$NN$10,0),IF($NP$10="Bell_Curve",$NN$10*(351-$NR$10+1)*($NS$10-351+1)/$NU$10,$NN$10/$NT$10)),0)</f>
        <v/>
      </c>
      <c r="MR10" s="228">
        <f>IF(AND(352&gt;=$NR$10,352&lt;=$NS$10),IF($NP$10="Single_Point",IF(352=$NR$10,$NN$10,0),IF($NP$10="Bell_Curve",$NN$10*(352-$NR$10+1)*($NS$10-352+1)/$NU$10,$NN$10/$NT$10)),0)</f>
        <v/>
      </c>
      <c r="MS10" s="228">
        <f>IF(AND(353&gt;=$NR$10,353&lt;=$NS$10),IF($NP$10="Single_Point",IF(353=$NR$10,$NN$10,0),IF($NP$10="Bell_Curve",$NN$10*(353-$NR$10+1)*($NS$10-353+1)/$NU$10,$NN$10/$NT$10)),0)</f>
        <v/>
      </c>
      <c r="MT10" s="228">
        <f>IF(AND(354&gt;=$NR$10,354&lt;=$NS$10),IF($NP$10="Single_Point",IF(354=$NR$10,$NN$10,0),IF($NP$10="Bell_Curve",$NN$10*(354-$NR$10+1)*($NS$10-354+1)/$NU$10,$NN$10/$NT$10)),0)</f>
        <v/>
      </c>
      <c r="MU10" s="228">
        <f>IF(AND(355&gt;=$NR$10,355&lt;=$NS$10),IF($NP$10="Single_Point",IF(355=$NR$10,$NN$10,0),IF($NP$10="Bell_Curve",$NN$10*(355-$NR$10+1)*($NS$10-355+1)/$NU$10,$NN$10/$NT$10)),0)</f>
        <v/>
      </c>
      <c r="MV10" s="228">
        <f>IF(AND(356&gt;=$NR$10,356&lt;=$NS$10),IF($NP$10="Single_Point",IF(356=$NR$10,$NN$10,0),IF($NP$10="Bell_Curve",$NN$10*(356-$NR$10+1)*($NS$10-356+1)/$NU$10,$NN$10/$NT$10)),0)</f>
        <v/>
      </c>
      <c r="MW10" s="228">
        <f>IF(AND(357&gt;=$NR$10,357&lt;=$NS$10),IF($NP$10="Single_Point",IF(357=$NR$10,$NN$10,0),IF($NP$10="Bell_Curve",$NN$10*(357-$NR$10+1)*($NS$10-357+1)/$NU$10,$NN$10/$NT$10)),0)</f>
        <v/>
      </c>
      <c r="MX10" s="228">
        <f>IF(AND(358&gt;=$NR$10,358&lt;=$NS$10),IF($NP$10="Single_Point",IF(358=$NR$10,$NN$10,0),IF($NP$10="Bell_Curve",$NN$10*(358-$NR$10+1)*($NS$10-358+1)/$NU$10,$NN$10/$NT$10)),0)</f>
        <v/>
      </c>
      <c r="MY10" s="228">
        <f>IF(AND(359&gt;=$NR$10,359&lt;=$NS$10),IF($NP$10="Single_Point",IF(359=$NR$10,$NN$10,0),IF($NP$10="Bell_Curve",$NN$10*(359-$NR$10+1)*($NS$10-359+1)/$NU$10,$NN$10/$NT$10)),0)</f>
        <v/>
      </c>
      <c r="MZ10" s="228">
        <f>IF(AND(360&gt;=$NR$10,360&lt;=$NS$10),IF($NP$10="Single_Point",IF(360=$NR$10,$NN$10,0),IF($NP$10="Bell_Curve",$NN$10*(360-$NR$10+1)*($NS$10-360+1)/$NU$10,$NN$10/$NT$10)),0)</f>
        <v/>
      </c>
      <c r="NA10" s="228">
        <f>IF(AND(361&gt;=$NR$10,361&lt;=$NS$10),IF($NP$10="Single_Point",IF(361=$NR$10,$NN$10,0),IF($NP$10="Bell_Curve",$NN$10*(361-$NR$10+1)*($NS$10-361+1)/$NU$10,$NN$10/$NT$10)),0)</f>
        <v/>
      </c>
      <c r="NB10" s="228">
        <f>IF(AND(362&gt;=$NR$10,362&lt;=$NS$10),IF($NP$10="Single_Point",IF(362=$NR$10,$NN$10,0),IF($NP$10="Bell_Curve",$NN$10*(362-$NR$10+1)*($NS$10-362+1)/$NU$10,$NN$10/$NT$10)),0)</f>
        <v/>
      </c>
      <c r="NC10" s="228">
        <f>IF(AND(363&gt;=$NR$10,363&lt;=$NS$10),IF($NP$10="Single_Point",IF(363=$NR$10,$NN$10,0),IF($NP$10="Bell_Curve",$NN$10*(363-$NR$10+1)*($NS$10-363+1)/$NU$10,$NN$10/$NT$10)),0)</f>
        <v/>
      </c>
      <c r="ND10" s="228">
        <f>IF(AND(364&gt;=$NR$10,364&lt;=$NS$10),IF($NP$10="Single_Point",IF(364=$NR$10,$NN$10,0),IF($NP$10="Bell_Curve",$NN$10*(364-$NR$10+1)*($NS$10-364+1)/$NU$10,$NN$10/$NT$10)),0)</f>
        <v/>
      </c>
      <c r="NE10" s="228">
        <f>IF(AND(365&gt;=$NR$10,365&lt;=$NS$10),IF($NP$10="Single_Point",IF(365=$NR$10,$NN$10,0),IF($NP$10="Bell_Curve",$NN$10*(365-$NR$10+1)*($NS$10-365+1)/$NU$10,$NN$10/$NT$10)),0)</f>
        <v/>
      </c>
      <c r="NF10" s="228">
        <f>IF(AND(366&gt;=$NR$10,366&lt;=$NS$10),IF($NP$10="Single_Point",IF(366=$NR$10,$NN$10,0),IF($NP$10="Bell_Curve",$NN$10*(366-$NR$10+1)*($NS$10-366+1)/$NU$10,$NN$10/$NT$10)),0)</f>
        <v/>
      </c>
      <c r="NG10" s="228">
        <f>IF(AND(367&gt;=$NR$10,367&lt;=$NS$10),IF($NP$10="Single_Point",IF(367=$NR$10,$NN$10,0),IF($NP$10="Bell_Curve",$NN$10*(367-$NR$10+1)*($NS$10-367+1)/$NU$10,$NN$10/$NT$10)),0)</f>
        <v/>
      </c>
      <c r="NH10" s="228">
        <f>IF(AND(368&gt;=$NR$10,368&lt;=$NS$10),IF($NP$10="Single_Point",IF(368=$NR$10,$NN$10,0),IF($NP$10="Bell_Curve",$NN$10*(368-$NR$10+1)*($NS$10-368+1)/$NU$10,$NN$10/$NT$10)),0)</f>
        <v/>
      </c>
      <c r="NI10" s="228">
        <f>IF(AND(369&gt;=$NR$10,369&lt;=$NS$10),IF($NP$10="Single_Point",IF(369=$NR$10,$NN$10,0),IF($NP$10="Bell_Curve",$NN$10*(369-$NR$10+1)*($NS$10-369+1)/$NU$10,$NN$10/$NT$10)),0)</f>
        <v/>
      </c>
      <c r="NJ10" s="228">
        <f>IF(AND(370&gt;=$NR$10,370&lt;=$NS$10),IF($NP$10="Single_Point",IF(370=$NR$10,$NN$10,0),IF($NP$10="Bell_Curve",$NN$10*(370-$NR$10+1)*($NS$10-370+1)/$NU$10,$NN$10/$NT$10)),0)</f>
        <v/>
      </c>
      <c r="NK10" s="228">
        <f>IF(AND(371&gt;=$NR$10,371&lt;=$NS$10),IF($NP$10="Single_Point",IF(371=$NR$10,$NN$10,0),IF($NP$10="Bell_Curve",$NN$10*(371-$NR$10+1)*($NS$10-371+1)/$NU$10,$NN$10/$NT$10)),0)</f>
        <v/>
      </c>
      <c r="NL10" s="247">
        <f>IF(AND(372&gt;=$NR$10,372&lt;=$NS$10),IF($NP$10="Single_Point",IF(372=$NR$10,$NN$10,0),IF($NP$10="Bell_Curve",$NN$10*(372-$NR$10+1)*($NS$10-372+1)/$NU$10,$NN$10/$NT$10)),0)</f>
        <v/>
      </c>
      <c r="NN10" s="218">
        <f>Budget!J9</f>
        <v/>
      </c>
      <c r="NO10" s="144">
        <f>Budget!G9</f>
        <v/>
      </c>
      <c r="NP10" s="144">
        <f>Budget!H9</f>
        <v/>
      </c>
      <c r="NQ10" s="85">
        <f>Budget!I9</f>
        <v/>
      </c>
      <c r="NR10" s="248">
        <f>MAX(1,MIN(372,INDEX(MilestoneStart,MATCH(NO10,MilestoneNames,0))+NQ10))</f>
        <v/>
      </c>
      <c r="NS10" s="248">
        <f>MAX(NR10,MIN(372,INDEX(MilestoneEnd,MATCH(NO10,MilestoneNames,0))+NQ10))</f>
        <v/>
      </c>
      <c r="NT10" s="85">
        <f>NS10-NR10+1</f>
        <v/>
      </c>
      <c r="NU10" s="85">
        <f>NT10*(NT10+1)*(NT10+2)/6</f>
        <v/>
      </c>
    </row>
    <row r="11">
      <c r="B11" s="36" t="inlineStr">
        <is>
          <t>Consultants</t>
        </is>
      </c>
      <c r="D11" s="246">
        <f>SUM(E11:NL11)</f>
        <v/>
      </c>
      <c r="E11" s="228">
        <f>IF(AND(1&gt;=$NR$11,1&lt;=$NS$11),IF($NP$11="Single_Point",IF(1=$NR$11,$NN$11,0),IF($NP$11="Bell_Curve",$NN$11*(1-$NR$11+1)*($NS$11-1+1)/$NU$11,$NN$11/$NT$11)),0)</f>
        <v/>
      </c>
      <c r="F11" s="228">
        <f>IF(AND(2&gt;=$NR$11,2&lt;=$NS$11),IF($NP$11="Single_Point",IF(2=$NR$11,$NN$11,0),IF($NP$11="Bell_Curve",$NN$11*(2-$NR$11+1)*($NS$11-2+1)/$NU$11,$NN$11/$NT$11)),0)</f>
        <v/>
      </c>
      <c r="G11" s="228">
        <f>IF(AND(3&gt;=$NR$11,3&lt;=$NS$11),IF($NP$11="Single_Point",IF(3=$NR$11,$NN$11,0),IF($NP$11="Bell_Curve",$NN$11*(3-$NR$11+1)*($NS$11-3+1)/$NU$11,$NN$11/$NT$11)),0)</f>
        <v/>
      </c>
      <c r="H11" s="228">
        <f>IF(AND(4&gt;=$NR$11,4&lt;=$NS$11),IF($NP$11="Single_Point",IF(4=$NR$11,$NN$11,0),IF($NP$11="Bell_Curve",$NN$11*(4-$NR$11+1)*($NS$11-4+1)/$NU$11,$NN$11/$NT$11)),0)</f>
        <v/>
      </c>
      <c r="I11" s="228">
        <f>IF(AND(5&gt;=$NR$11,5&lt;=$NS$11),IF($NP$11="Single_Point",IF(5=$NR$11,$NN$11,0),IF($NP$11="Bell_Curve",$NN$11*(5-$NR$11+1)*($NS$11-5+1)/$NU$11,$NN$11/$NT$11)),0)</f>
        <v/>
      </c>
      <c r="J11" s="228">
        <f>IF(AND(6&gt;=$NR$11,6&lt;=$NS$11),IF($NP$11="Single_Point",IF(6=$NR$11,$NN$11,0),IF($NP$11="Bell_Curve",$NN$11*(6-$NR$11+1)*($NS$11-6+1)/$NU$11,$NN$11/$NT$11)),0)</f>
        <v/>
      </c>
      <c r="K11" s="228">
        <f>IF(AND(7&gt;=$NR$11,7&lt;=$NS$11),IF($NP$11="Single_Point",IF(7=$NR$11,$NN$11,0),IF($NP$11="Bell_Curve",$NN$11*(7-$NR$11+1)*($NS$11-7+1)/$NU$11,$NN$11/$NT$11)),0)</f>
        <v/>
      </c>
      <c r="L11" s="228">
        <f>IF(AND(8&gt;=$NR$11,8&lt;=$NS$11),IF($NP$11="Single_Point",IF(8=$NR$11,$NN$11,0),IF($NP$11="Bell_Curve",$NN$11*(8-$NR$11+1)*($NS$11-8+1)/$NU$11,$NN$11/$NT$11)),0)</f>
        <v/>
      </c>
      <c r="M11" s="228">
        <f>IF(AND(9&gt;=$NR$11,9&lt;=$NS$11),IF($NP$11="Single_Point",IF(9=$NR$11,$NN$11,0),IF($NP$11="Bell_Curve",$NN$11*(9-$NR$11+1)*($NS$11-9+1)/$NU$11,$NN$11/$NT$11)),0)</f>
        <v/>
      </c>
      <c r="N11" s="228">
        <f>IF(AND(10&gt;=$NR$11,10&lt;=$NS$11),IF($NP$11="Single_Point",IF(10=$NR$11,$NN$11,0),IF($NP$11="Bell_Curve",$NN$11*(10-$NR$11+1)*($NS$11-10+1)/$NU$11,$NN$11/$NT$11)),0)</f>
        <v/>
      </c>
      <c r="O11" s="228">
        <f>IF(AND(11&gt;=$NR$11,11&lt;=$NS$11),IF($NP$11="Single_Point",IF(11=$NR$11,$NN$11,0),IF($NP$11="Bell_Curve",$NN$11*(11-$NR$11+1)*($NS$11-11+1)/$NU$11,$NN$11/$NT$11)),0)</f>
        <v/>
      </c>
      <c r="P11" s="228">
        <f>IF(AND(12&gt;=$NR$11,12&lt;=$NS$11),IF($NP$11="Single_Point",IF(12=$NR$11,$NN$11,0),IF($NP$11="Bell_Curve",$NN$11*(12-$NR$11+1)*($NS$11-12+1)/$NU$11,$NN$11/$NT$11)),0)</f>
        <v/>
      </c>
      <c r="Q11" s="228">
        <f>IF(AND(13&gt;=$NR$11,13&lt;=$NS$11),IF($NP$11="Single_Point",IF(13=$NR$11,$NN$11,0),IF($NP$11="Bell_Curve",$NN$11*(13-$NR$11+1)*($NS$11-13+1)/$NU$11,$NN$11/$NT$11)),0)</f>
        <v/>
      </c>
      <c r="R11" s="228">
        <f>IF(AND(14&gt;=$NR$11,14&lt;=$NS$11),IF($NP$11="Single_Point",IF(14=$NR$11,$NN$11,0),IF($NP$11="Bell_Curve",$NN$11*(14-$NR$11+1)*($NS$11-14+1)/$NU$11,$NN$11/$NT$11)),0)</f>
        <v/>
      </c>
      <c r="S11" s="228">
        <f>IF(AND(15&gt;=$NR$11,15&lt;=$NS$11),IF($NP$11="Single_Point",IF(15=$NR$11,$NN$11,0),IF($NP$11="Bell_Curve",$NN$11*(15-$NR$11+1)*($NS$11-15+1)/$NU$11,$NN$11/$NT$11)),0)</f>
        <v/>
      </c>
      <c r="T11" s="228">
        <f>IF(AND(16&gt;=$NR$11,16&lt;=$NS$11),IF($NP$11="Single_Point",IF(16=$NR$11,$NN$11,0),IF($NP$11="Bell_Curve",$NN$11*(16-$NR$11+1)*($NS$11-16+1)/$NU$11,$NN$11/$NT$11)),0)</f>
        <v/>
      </c>
      <c r="U11" s="228">
        <f>IF(AND(17&gt;=$NR$11,17&lt;=$NS$11),IF($NP$11="Single_Point",IF(17=$NR$11,$NN$11,0),IF($NP$11="Bell_Curve",$NN$11*(17-$NR$11+1)*($NS$11-17+1)/$NU$11,$NN$11/$NT$11)),0)</f>
        <v/>
      </c>
      <c r="V11" s="228">
        <f>IF(AND(18&gt;=$NR$11,18&lt;=$NS$11),IF($NP$11="Single_Point",IF(18=$NR$11,$NN$11,0),IF($NP$11="Bell_Curve",$NN$11*(18-$NR$11+1)*($NS$11-18+1)/$NU$11,$NN$11/$NT$11)),0)</f>
        <v/>
      </c>
      <c r="W11" s="228">
        <f>IF(AND(19&gt;=$NR$11,19&lt;=$NS$11),IF($NP$11="Single_Point",IF(19=$NR$11,$NN$11,0),IF($NP$11="Bell_Curve",$NN$11*(19-$NR$11+1)*($NS$11-19+1)/$NU$11,$NN$11/$NT$11)),0)</f>
        <v/>
      </c>
      <c r="X11" s="228">
        <f>IF(AND(20&gt;=$NR$11,20&lt;=$NS$11),IF($NP$11="Single_Point",IF(20=$NR$11,$NN$11,0),IF($NP$11="Bell_Curve",$NN$11*(20-$NR$11+1)*($NS$11-20+1)/$NU$11,$NN$11/$NT$11)),0)</f>
        <v/>
      </c>
      <c r="Y11" s="228">
        <f>IF(AND(21&gt;=$NR$11,21&lt;=$NS$11),IF($NP$11="Single_Point",IF(21=$NR$11,$NN$11,0),IF($NP$11="Bell_Curve",$NN$11*(21-$NR$11+1)*($NS$11-21+1)/$NU$11,$NN$11/$NT$11)),0)</f>
        <v/>
      </c>
      <c r="Z11" s="228">
        <f>IF(AND(22&gt;=$NR$11,22&lt;=$NS$11),IF($NP$11="Single_Point",IF(22=$NR$11,$NN$11,0),IF($NP$11="Bell_Curve",$NN$11*(22-$NR$11+1)*($NS$11-22+1)/$NU$11,$NN$11/$NT$11)),0)</f>
        <v/>
      </c>
      <c r="AA11" s="228">
        <f>IF(AND(23&gt;=$NR$11,23&lt;=$NS$11),IF($NP$11="Single_Point",IF(23=$NR$11,$NN$11,0),IF($NP$11="Bell_Curve",$NN$11*(23-$NR$11+1)*($NS$11-23+1)/$NU$11,$NN$11/$NT$11)),0)</f>
        <v/>
      </c>
      <c r="AB11" s="228">
        <f>IF(AND(24&gt;=$NR$11,24&lt;=$NS$11),IF($NP$11="Single_Point",IF(24=$NR$11,$NN$11,0),IF($NP$11="Bell_Curve",$NN$11*(24-$NR$11+1)*($NS$11-24+1)/$NU$11,$NN$11/$NT$11)),0)</f>
        <v/>
      </c>
      <c r="AC11" s="228">
        <f>IF(AND(25&gt;=$NR$11,25&lt;=$NS$11),IF($NP$11="Single_Point",IF(25=$NR$11,$NN$11,0),IF($NP$11="Bell_Curve",$NN$11*(25-$NR$11+1)*($NS$11-25+1)/$NU$11,$NN$11/$NT$11)),0)</f>
        <v/>
      </c>
      <c r="AD11" s="228">
        <f>IF(AND(26&gt;=$NR$11,26&lt;=$NS$11),IF($NP$11="Single_Point",IF(26=$NR$11,$NN$11,0),IF($NP$11="Bell_Curve",$NN$11*(26-$NR$11+1)*($NS$11-26+1)/$NU$11,$NN$11/$NT$11)),0)</f>
        <v/>
      </c>
      <c r="AE11" s="228">
        <f>IF(AND(27&gt;=$NR$11,27&lt;=$NS$11),IF($NP$11="Single_Point",IF(27=$NR$11,$NN$11,0),IF($NP$11="Bell_Curve",$NN$11*(27-$NR$11+1)*($NS$11-27+1)/$NU$11,$NN$11/$NT$11)),0)</f>
        <v/>
      </c>
      <c r="AF11" s="228">
        <f>IF(AND(28&gt;=$NR$11,28&lt;=$NS$11),IF($NP$11="Single_Point",IF(28=$NR$11,$NN$11,0),IF($NP$11="Bell_Curve",$NN$11*(28-$NR$11+1)*($NS$11-28+1)/$NU$11,$NN$11/$NT$11)),0)</f>
        <v/>
      </c>
      <c r="AG11" s="228">
        <f>IF(AND(29&gt;=$NR$11,29&lt;=$NS$11),IF($NP$11="Single_Point",IF(29=$NR$11,$NN$11,0),IF($NP$11="Bell_Curve",$NN$11*(29-$NR$11+1)*($NS$11-29+1)/$NU$11,$NN$11/$NT$11)),0)</f>
        <v/>
      </c>
      <c r="AH11" s="228">
        <f>IF(AND(30&gt;=$NR$11,30&lt;=$NS$11),IF($NP$11="Single_Point",IF(30=$NR$11,$NN$11,0),IF($NP$11="Bell_Curve",$NN$11*(30-$NR$11+1)*($NS$11-30+1)/$NU$11,$NN$11/$NT$11)),0)</f>
        <v/>
      </c>
      <c r="AI11" s="228">
        <f>IF(AND(31&gt;=$NR$11,31&lt;=$NS$11),IF($NP$11="Single_Point",IF(31=$NR$11,$NN$11,0),IF($NP$11="Bell_Curve",$NN$11*(31-$NR$11+1)*($NS$11-31+1)/$NU$11,$NN$11/$NT$11)),0)</f>
        <v/>
      </c>
      <c r="AJ11" s="228">
        <f>IF(AND(32&gt;=$NR$11,32&lt;=$NS$11),IF($NP$11="Single_Point",IF(32=$NR$11,$NN$11,0),IF($NP$11="Bell_Curve",$NN$11*(32-$NR$11+1)*($NS$11-32+1)/$NU$11,$NN$11/$NT$11)),0)</f>
        <v/>
      </c>
      <c r="AK11" s="228">
        <f>IF(AND(33&gt;=$NR$11,33&lt;=$NS$11),IF($NP$11="Single_Point",IF(33=$NR$11,$NN$11,0),IF($NP$11="Bell_Curve",$NN$11*(33-$NR$11+1)*($NS$11-33+1)/$NU$11,$NN$11/$NT$11)),0)</f>
        <v/>
      </c>
      <c r="AL11" s="228">
        <f>IF(AND(34&gt;=$NR$11,34&lt;=$NS$11),IF($NP$11="Single_Point",IF(34=$NR$11,$NN$11,0),IF($NP$11="Bell_Curve",$NN$11*(34-$NR$11+1)*($NS$11-34+1)/$NU$11,$NN$11/$NT$11)),0)</f>
        <v/>
      </c>
      <c r="AM11" s="228">
        <f>IF(AND(35&gt;=$NR$11,35&lt;=$NS$11),IF($NP$11="Single_Point",IF(35=$NR$11,$NN$11,0),IF($NP$11="Bell_Curve",$NN$11*(35-$NR$11+1)*($NS$11-35+1)/$NU$11,$NN$11/$NT$11)),0)</f>
        <v/>
      </c>
      <c r="AN11" s="228">
        <f>IF(AND(36&gt;=$NR$11,36&lt;=$NS$11),IF($NP$11="Single_Point",IF(36=$NR$11,$NN$11,0),IF($NP$11="Bell_Curve",$NN$11*(36-$NR$11+1)*($NS$11-36+1)/$NU$11,$NN$11/$NT$11)),0)</f>
        <v/>
      </c>
      <c r="AO11" s="228">
        <f>IF(AND(37&gt;=$NR$11,37&lt;=$NS$11),IF($NP$11="Single_Point",IF(37=$NR$11,$NN$11,0),IF($NP$11="Bell_Curve",$NN$11*(37-$NR$11+1)*($NS$11-37+1)/$NU$11,$NN$11/$NT$11)),0)</f>
        <v/>
      </c>
      <c r="AP11" s="228">
        <f>IF(AND(38&gt;=$NR$11,38&lt;=$NS$11),IF($NP$11="Single_Point",IF(38=$NR$11,$NN$11,0),IF($NP$11="Bell_Curve",$NN$11*(38-$NR$11+1)*($NS$11-38+1)/$NU$11,$NN$11/$NT$11)),0)</f>
        <v/>
      </c>
      <c r="AQ11" s="228">
        <f>IF(AND(39&gt;=$NR$11,39&lt;=$NS$11),IF($NP$11="Single_Point",IF(39=$NR$11,$NN$11,0),IF($NP$11="Bell_Curve",$NN$11*(39-$NR$11+1)*($NS$11-39+1)/$NU$11,$NN$11/$NT$11)),0)</f>
        <v/>
      </c>
      <c r="AR11" s="228">
        <f>IF(AND(40&gt;=$NR$11,40&lt;=$NS$11),IF($NP$11="Single_Point",IF(40=$NR$11,$NN$11,0),IF($NP$11="Bell_Curve",$NN$11*(40-$NR$11+1)*($NS$11-40+1)/$NU$11,$NN$11/$NT$11)),0)</f>
        <v/>
      </c>
      <c r="AS11" s="228">
        <f>IF(AND(41&gt;=$NR$11,41&lt;=$NS$11),IF($NP$11="Single_Point",IF(41=$NR$11,$NN$11,0),IF($NP$11="Bell_Curve",$NN$11*(41-$NR$11+1)*($NS$11-41+1)/$NU$11,$NN$11/$NT$11)),0)</f>
        <v/>
      </c>
      <c r="AT11" s="228">
        <f>IF(AND(42&gt;=$NR$11,42&lt;=$NS$11),IF($NP$11="Single_Point",IF(42=$NR$11,$NN$11,0),IF($NP$11="Bell_Curve",$NN$11*(42-$NR$11+1)*($NS$11-42+1)/$NU$11,$NN$11/$NT$11)),0)</f>
        <v/>
      </c>
      <c r="AU11" s="228">
        <f>IF(AND(43&gt;=$NR$11,43&lt;=$NS$11),IF($NP$11="Single_Point",IF(43=$NR$11,$NN$11,0),IF($NP$11="Bell_Curve",$NN$11*(43-$NR$11+1)*($NS$11-43+1)/$NU$11,$NN$11/$NT$11)),0)</f>
        <v/>
      </c>
      <c r="AV11" s="228">
        <f>IF(AND(44&gt;=$NR$11,44&lt;=$NS$11),IF($NP$11="Single_Point",IF(44=$NR$11,$NN$11,0),IF($NP$11="Bell_Curve",$NN$11*(44-$NR$11+1)*($NS$11-44+1)/$NU$11,$NN$11/$NT$11)),0)</f>
        <v/>
      </c>
      <c r="AW11" s="228">
        <f>IF(AND(45&gt;=$NR$11,45&lt;=$NS$11),IF($NP$11="Single_Point",IF(45=$NR$11,$NN$11,0),IF($NP$11="Bell_Curve",$NN$11*(45-$NR$11+1)*($NS$11-45+1)/$NU$11,$NN$11/$NT$11)),0)</f>
        <v/>
      </c>
      <c r="AX11" s="228">
        <f>IF(AND(46&gt;=$NR$11,46&lt;=$NS$11),IF($NP$11="Single_Point",IF(46=$NR$11,$NN$11,0),IF($NP$11="Bell_Curve",$NN$11*(46-$NR$11+1)*($NS$11-46+1)/$NU$11,$NN$11/$NT$11)),0)</f>
        <v/>
      </c>
      <c r="AY11" s="228">
        <f>IF(AND(47&gt;=$NR$11,47&lt;=$NS$11),IF($NP$11="Single_Point",IF(47=$NR$11,$NN$11,0),IF($NP$11="Bell_Curve",$NN$11*(47-$NR$11+1)*($NS$11-47+1)/$NU$11,$NN$11/$NT$11)),0)</f>
        <v/>
      </c>
      <c r="AZ11" s="228">
        <f>IF(AND(48&gt;=$NR$11,48&lt;=$NS$11),IF($NP$11="Single_Point",IF(48=$NR$11,$NN$11,0),IF($NP$11="Bell_Curve",$NN$11*(48-$NR$11+1)*($NS$11-48+1)/$NU$11,$NN$11/$NT$11)),0)</f>
        <v/>
      </c>
      <c r="BA11" s="228">
        <f>IF(AND(49&gt;=$NR$11,49&lt;=$NS$11),IF($NP$11="Single_Point",IF(49=$NR$11,$NN$11,0),IF($NP$11="Bell_Curve",$NN$11*(49-$NR$11+1)*($NS$11-49+1)/$NU$11,$NN$11/$NT$11)),0)</f>
        <v/>
      </c>
      <c r="BB11" s="228">
        <f>IF(AND(50&gt;=$NR$11,50&lt;=$NS$11),IF($NP$11="Single_Point",IF(50=$NR$11,$NN$11,0),IF($NP$11="Bell_Curve",$NN$11*(50-$NR$11+1)*($NS$11-50+1)/$NU$11,$NN$11/$NT$11)),0)</f>
        <v/>
      </c>
      <c r="BC11" s="228">
        <f>IF(AND(51&gt;=$NR$11,51&lt;=$NS$11),IF($NP$11="Single_Point",IF(51=$NR$11,$NN$11,0),IF($NP$11="Bell_Curve",$NN$11*(51-$NR$11+1)*($NS$11-51+1)/$NU$11,$NN$11/$NT$11)),0)</f>
        <v/>
      </c>
      <c r="BD11" s="228">
        <f>IF(AND(52&gt;=$NR$11,52&lt;=$NS$11),IF($NP$11="Single_Point",IF(52=$NR$11,$NN$11,0),IF($NP$11="Bell_Curve",$NN$11*(52-$NR$11+1)*($NS$11-52+1)/$NU$11,$NN$11/$NT$11)),0)</f>
        <v/>
      </c>
      <c r="BE11" s="228">
        <f>IF(AND(53&gt;=$NR$11,53&lt;=$NS$11),IF($NP$11="Single_Point",IF(53=$NR$11,$NN$11,0),IF($NP$11="Bell_Curve",$NN$11*(53-$NR$11+1)*($NS$11-53+1)/$NU$11,$NN$11/$NT$11)),0)</f>
        <v/>
      </c>
      <c r="BF11" s="228">
        <f>IF(AND(54&gt;=$NR$11,54&lt;=$NS$11),IF($NP$11="Single_Point",IF(54=$NR$11,$NN$11,0),IF($NP$11="Bell_Curve",$NN$11*(54-$NR$11+1)*($NS$11-54+1)/$NU$11,$NN$11/$NT$11)),0)</f>
        <v/>
      </c>
      <c r="BG11" s="228">
        <f>IF(AND(55&gt;=$NR$11,55&lt;=$NS$11),IF($NP$11="Single_Point",IF(55=$NR$11,$NN$11,0),IF($NP$11="Bell_Curve",$NN$11*(55-$NR$11+1)*($NS$11-55+1)/$NU$11,$NN$11/$NT$11)),0)</f>
        <v/>
      </c>
      <c r="BH11" s="228">
        <f>IF(AND(56&gt;=$NR$11,56&lt;=$NS$11),IF($NP$11="Single_Point",IF(56=$NR$11,$NN$11,0),IF($NP$11="Bell_Curve",$NN$11*(56-$NR$11+1)*($NS$11-56+1)/$NU$11,$NN$11/$NT$11)),0)</f>
        <v/>
      </c>
      <c r="BI11" s="228">
        <f>IF(AND(57&gt;=$NR$11,57&lt;=$NS$11),IF($NP$11="Single_Point",IF(57=$NR$11,$NN$11,0),IF($NP$11="Bell_Curve",$NN$11*(57-$NR$11+1)*($NS$11-57+1)/$NU$11,$NN$11/$NT$11)),0)</f>
        <v/>
      </c>
      <c r="BJ11" s="228">
        <f>IF(AND(58&gt;=$NR$11,58&lt;=$NS$11),IF($NP$11="Single_Point",IF(58=$NR$11,$NN$11,0),IF($NP$11="Bell_Curve",$NN$11*(58-$NR$11+1)*($NS$11-58+1)/$NU$11,$NN$11/$NT$11)),0)</f>
        <v/>
      </c>
      <c r="BK11" s="228">
        <f>IF(AND(59&gt;=$NR$11,59&lt;=$NS$11),IF($NP$11="Single_Point",IF(59=$NR$11,$NN$11,0),IF($NP$11="Bell_Curve",$NN$11*(59-$NR$11+1)*($NS$11-59+1)/$NU$11,$NN$11/$NT$11)),0)</f>
        <v/>
      </c>
      <c r="BL11" s="228">
        <f>IF(AND(60&gt;=$NR$11,60&lt;=$NS$11),IF($NP$11="Single_Point",IF(60=$NR$11,$NN$11,0),IF($NP$11="Bell_Curve",$NN$11*(60-$NR$11+1)*($NS$11-60+1)/$NU$11,$NN$11/$NT$11)),0)</f>
        <v/>
      </c>
      <c r="BM11" s="228">
        <f>IF(AND(61&gt;=$NR$11,61&lt;=$NS$11),IF($NP$11="Single_Point",IF(61=$NR$11,$NN$11,0),IF($NP$11="Bell_Curve",$NN$11*(61-$NR$11+1)*($NS$11-61+1)/$NU$11,$NN$11/$NT$11)),0)</f>
        <v/>
      </c>
      <c r="BN11" s="228">
        <f>IF(AND(62&gt;=$NR$11,62&lt;=$NS$11),IF($NP$11="Single_Point",IF(62=$NR$11,$NN$11,0),IF($NP$11="Bell_Curve",$NN$11*(62-$NR$11+1)*($NS$11-62+1)/$NU$11,$NN$11/$NT$11)),0)</f>
        <v/>
      </c>
      <c r="BO11" s="228">
        <f>IF(AND(63&gt;=$NR$11,63&lt;=$NS$11),IF($NP$11="Single_Point",IF(63=$NR$11,$NN$11,0),IF($NP$11="Bell_Curve",$NN$11*(63-$NR$11+1)*($NS$11-63+1)/$NU$11,$NN$11/$NT$11)),0)</f>
        <v/>
      </c>
      <c r="BP11" s="228">
        <f>IF(AND(64&gt;=$NR$11,64&lt;=$NS$11),IF($NP$11="Single_Point",IF(64=$NR$11,$NN$11,0),IF($NP$11="Bell_Curve",$NN$11*(64-$NR$11+1)*($NS$11-64+1)/$NU$11,$NN$11/$NT$11)),0)</f>
        <v/>
      </c>
      <c r="BQ11" s="228">
        <f>IF(AND(65&gt;=$NR$11,65&lt;=$NS$11),IF($NP$11="Single_Point",IF(65=$NR$11,$NN$11,0),IF($NP$11="Bell_Curve",$NN$11*(65-$NR$11+1)*($NS$11-65+1)/$NU$11,$NN$11/$NT$11)),0)</f>
        <v/>
      </c>
      <c r="BR11" s="228">
        <f>IF(AND(66&gt;=$NR$11,66&lt;=$NS$11),IF($NP$11="Single_Point",IF(66=$NR$11,$NN$11,0),IF($NP$11="Bell_Curve",$NN$11*(66-$NR$11+1)*($NS$11-66+1)/$NU$11,$NN$11/$NT$11)),0)</f>
        <v/>
      </c>
      <c r="BS11" s="228">
        <f>IF(AND(67&gt;=$NR$11,67&lt;=$NS$11),IF($NP$11="Single_Point",IF(67=$NR$11,$NN$11,0),IF($NP$11="Bell_Curve",$NN$11*(67-$NR$11+1)*($NS$11-67+1)/$NU$11,$NN$11/$NT$11)),0)</f>
        <v/>
      </c>
      <c r="BT11" s="228">
        <f>IF(AND(68&gt;=$NR$11,68&lt;=$NS$11),IF($NP$11="Single_Point",IF(68=$NR$11,$NN$11,0),IF($NP$11="Bell_Curve",$NN$11*(68-$NR$11+1)*($NS$11-68+1)/$NU$11,$NN$11/$NT$11)),0)</f>
        <v/>
      </c>
      <c r="BU11" s="228">
        <f>IF(AND(69&gt;=$NR$11,69&lt;=$NS$11),IF($NP$11="Single_Point",IF(69=$NR$11,$NN$11,0),IF($NP$11="Bell_Curve",$NN$11*(69-$NR$11+1)*($NS$11-69+1)/$NU$11,$NN$11/$NT$11)),0)</f>
        <v/>
      </c>
      <c r="BV11" s="228">
        <f>IF(AND(70&gt;=$NR$11,70&lt;=$NS$11),IF($NP$11="Single_Point",IF(70=$NR$11,$NN$11,0),IF($NP$11="Bell_Curve",$NN$11*(70-$NR$11+1)*($NS$11-70+1)/$NU$11,$NN$11/$NT$11)),0)</f>
        <v/>
      </c>
      <c r="BW11" s="228">
        <f>IF(AND(71&gt;=$NR$11,71&lt;=$NS$11),IF($NP$11="Single_Point",IF(71=$NR$11,$NN$11,0),IF($NP$11="Bell_Curve",$NN$11*(71-$NR$11+1)*($NS$11-71+1)/$NU$11,$NN$11/$NT$11)),0)</f>
        <v/>
      </c>
      <c r="BX11" s="228">
        <f>IF(AND(72&gt;=$NR$11,72&lt;=$NS$11),IF($NP$11="Single_Point",IF(72=$NR$11,$NN$11,0),IF($NP$11="Bell_Curve",$NN$11*(72-$NR$11+1)*($NS$11-72+1)/$NU$11,$NN$11/$NT$11)),0)</f>
        <v/>
      </c>
      <c r="BY11" s="228">
        <f>IF(AND(73&gt;=$NR$11,73&lt;=$NS$11),IF($NP$11="Single_Point",IF(73=$NR$11,$NN$11,0),IF($NP$11="Bell_Curve",$NN$11*(73-$NR$11+1)*($NS$11-73+1)/$NU$11,$NN$11/$NT$11)),0)</f>
        <v/>
      </c>
      <c r="BZ11" s="228">
        <f>IF(AND(74&gt;=$NR$11,74&lt;=$NS$11),IF($NP$11="Single_Point",IF(74=$NR$11,$NN$11,0),IF($NP$11="Bell_Curve",$NN$11*(74-$NR$11+1)*($NS$11-74+1)/$NU$11,$NN$11/$NT$11)),0)</f>
        <v/>
      </c>
      <c r="CA11" s="228">
        <f>IF(AND(75&gt;=$NR$11,75&lt;=$NS$11),IF($NP$11="Single_Point",IF(75=$NR$11,$NN$11,0),IF($NP$11="Bell_Curve",$NN$11*(75-$NR$11+1)*($NS$11-75+1)/$NU$11,$NN$11/$NT$11)),0)</f>
        <v/>
      </c>
      <c r="CB11" s="228">
        <f>IF(AND(76&gt;=$NR$11,76&lt;=$NS$11),IF($NP$11="Single_Point",IF(76=$NR$11,$NN$11,0),IF($NP$11="Bell_Curve",$NN$11*(76-$NR$11+1)*($NS$11-76+1)/$NU$11,$NN$11/$NT$11)),0)</f>
        <v/>
      </c>
      <c r="CC11" s="228">
        <f>IF(AND(77&gt;=$NR$11,77&lt;=$NS$11),IF($NP$11="Single_Point",IF(77=$NR$11,$NN$11,0),IF($NP$11="Bell_Curve",$NN$11*(77-$NR$11+1)*($NS$11-77+1)/$NU$11,$NN$11/$NT$11)),0)</f>
        <v/>
      </c>
      <c r="CD11" s="228">
        <f>IF(AND(78&gt;=$NR$11,78&lt;=$NS$11),IF($NP$11="Single_Point",IF(78=$NR$11,$NN$11,0),IF($NP$11="Bell_Curve",$NN$11*(78-$NR$11+1)*($NS$11-78+1)/$NU$11,$NN$11/$NT$11)),0)</f>
        <v/>
      </c>
      <c r="CE11" s="228">
        <f>IF(AND(79&gt;=$NR$11,79&lt;=$NS$11),IF($NP$11="Single_Point",IF(79=$NR$11,$NN$11,0),IF($NP$11="Bell_Curve",$NN$11*(79-$NR$11+1)*($NS$11-79+1)/$NU$11,$NN$11/$NT$11)),0)</f>
        <v/>
      </c>
      <c r="CF11" s="228">
        <f>IF(AND(80&gt;=$NR$11,80&lt;=$NS$11),IF($NP$11="Single_Point",IF(80=$NR$11,$NN$11,0),IF($NP$11="Bell_Curve",$NN$11*(80-$NR$11+1)*($NS$11-80+1)/$NU$11,$NN$11/$NT$11)),0)</f>
        <v/>
      </c>
      <c r="CG11" s="228">
        <f>IF(AND(81&gt;=$NR$11,81&lt;=$NS$11),IF($NP$11="Single_Point",IF(81=$NR$11,$NN$11,0),IF($NP$11="Bell_Curve",$NN$11*(81-$NR$11+1)*($NS$11-81+1)/$NU$11,$NN$11/$NT$11)),0)</f>
        <v/>
      </c>
      <c r="CH11" s="228">
        <f>IF(AND(82&gt;=$NR$11,82&lt;=$NS$11),IF($NP$11="Single_Point",IF(82=$NR$11,$NN$11,0),IF($NP$11="Bell_Curve",$NN$11*(82-$NR$11+1)*($NS$11-82+1)/$NU$11,$NN$11/$NT$11)),0)</f>
        <v/>
      </c>
      <c r="CI11" s="228">
        <f>IF(AND(83&gt;=$NR$11,83&lt;=$NS$11),IF($NP$11="Single_Point",IF(83=$NR$11,$NN$11,0),IF($NP$11="Bell_Curve",$NN$11*(83-$NR$11+1)*($NS$11-83+1)/$NU$11,$NN$11/$NT$11)),0)</f>
        <v/>
      </c>
      <c r="CJ11" s="228">
        <f>IF(AND(84&gt;=$NR$11,84&lt;=$NS$11),IF($NP$11="Single_Point",IF(84=$NR$11,$NN$11,0),IF($NP$11="Bell_Curve",$NN$11*(84-$NR$11+1)*($NS$11-84+1)/$NU$11,$NN$11/$NT$11)),0)</f>
        <v/>
      </c>
      <c r="CK11" s="228">
        <f>IF(AND(85&gt;=$NR$11,85&lt;=$NS$11),IF($NP$11="Single_Point",IF(85=$NR$11,$NN$11,0),IF($NP$11="Bell_Curve",$NN$11*(85-$NR$11+1)*($NS$11-85+1)/$NU$11,$NN$11/$NT$11)),0)</f>
        <v/>
      </c>
      <c r="CL11" s="228">
        <f>IF(AND(86&gt;=$NR$11,86&lt;=$NS$11),IF($NP$11="Single_Point",IF(86=$NR$11,$NN$11,0),IF($NP$11="Bell_Curve",$NN$11*(86-$NR$11+1)*($NS$11-86+1)/$NU$11,$NN$11/$NT$11)),0)</f>
        <v/>
      </c>
      <c r="CM11" s="228">
        <f>IF(AND(87&gt;=$NR$11,87&lt;=$NS$11),IF($NP$11="Single_Point",IF(87=$NR$11,$NN$11,0),IF($NP$11="Bell_Curve",$NN$11*(87-$NR$11+1)*($NS$11-87+1)/$NU$11,$NN$11/$NT$11)),0)</f>
        <v/>
      </c>
      <c r="CN11" s="228">
        <f>IF(AND(88&gt;=$NR$11,88&lt;=$NS$11),IF($NP$11="Single_Point",IF(88=$NR$11,$NN$11,0),IF($NP$11="Bell_Curve",$NN$11*(88-$NR$11+1)*($NS$11-88+1)/$NU$11,$NN$11/$NT$11)),0)</f>
        <v/>
      </c>
      <c r="CO11" s="228">
        <f>IF(AND(89&gt;=$NR$11,89&lt;=$NS$11),IF($NP$11="Single_Point",IF(89=$NR$11,$NN$11,0),IF($NP$11="Bell_Curve",$NN$11*(89-$NR$11+1)*($NS$11-89+1)/$NU$11,$NN$11/$NT$11)),0)</f>
        <v/>
      </c>
      <c r="CP11" s="228">
        <f>IF(AND(90&gt;=$NR$11,90&lt;=$NS$11),IF($NP$11="Single_Point",IF(90=$NR$11,$NN$11,0),IF($NP$11="Bell_Curve",$NN$11*(90-$NR$11+1)*($NS$11-90+1)/$NU$11,$NN$11/$NT$11)),0)</f>
        <v/>
      </c>
      <c r="CQ11" s="228">
        <f>IF(AND(91&gt;=$NR$11,91&lt;=$NS$11),IF($NP$11="Single_Point",IF(91=$NR$11,$NN$11,0),IF($NP$11="Bell_Curve",$NN$11*(91-$NR$11+1)*($NS$11-91+1)/$NU$11,$NN$11/$NT$11)),0)</f>
        <v/>
      </c>
      <c r="CR11" s="228">
        <f>IF(AND(92&gt;=$NR$11,92&lt;=$NS$11),IF($NP$11="Single_Point",IF(92=$NR$11,$NN$11,0),IF($NP$11="Bell_Curve",$NN$11*(92-$NR$11+1)*($NS$11-92+1)/$NU$11,$NN$11/$NT$11)),0)</f>
        <v/>
      </c>
      <c r="CS11" s="228">
        <f>IF(AND(93&gt;=$NR$11,93&lt;=$NS$11),IF($NP$11="Single_Point",IF(93=$NR$11,$NN$11,0),IF($NP$11="Bell_Curve",$NN$11*(93-$NR$11+1)*($NS$11-93+1)/$NU$11,$NN$11/$NT$11)),0)</f>
        <v/>
      </c>
      <c r="CT11" s="228">
        <f>IF(AND(94&gt;=$NR$11,94&lt;=$NS$11),IF($NP$11="Single_Point",IF(94=$NR$11,$NN$11,0),IF($NP$11="Bell_Curve",$NN$11*(94-$NR$11+1)*($NS$11-94+1)/$NU$11,$NN$11/$NT$11)),0)</f>
        <v/>
      </c>
      <c r="CU11" s="228">
        <f>IF(AND(95&gt;=$NR$11,95&lt;=$NS$11),IF($NP$11="Single_Point",IF(95=$NR$11,$NN$11,0),IF($NP$11="Bell_Curve",$NN$11*(95-$NR$11+1)*($NS$11-95+1)/$NU$11,$NN$11/$NT$11)),0)</f>
        <v/>
      </c>
      <c r="CV11" s="228">
        <f>IF(AND(96&gt;=$NR$11,96&lt;=$NS$11),IF($NP$11="Single_Point",IF(96=$NR$11,$NN$11,0),IF($NP$11="Bell_Curve",$NN$11*(96-$NR$11+1)*($NS$11-96+1)/$NU$11,$NN$11/$NT$11)),0)</f>
        <v/>
      </c>
      <c r="CW11" s="228">
        <f>IF(AND(97&gt;=$NR$11,97&lt;=$NS$11),IF($NP$11="Single_Point",IF(97=$NR$11,$NN$11,0),IF($NP$11="Bell_Curve",$NN$11*(97-$NR$11+1)*($NS$11-97+1)/$NU$11,$NN$11/$NT$11)),0)</f>
        <v/>
      </c>
      <c r="CX11" s="228">
        <f>IF(AND(98&gt;=$NR$11,98&lt;=$NS$11),IF($NP$11="Single_Point",IF(98=$NR$11,$NN$11,0),IF($NP$11="Bell_Curve",$NN$11*(98-$NR$11+1)*($NS$11-98+1)/$NU$11,$NN$11/$NT$11)),0)</f>
        <v/>
      </c>
      <c r="CY11" s="228">
        <f>IF(AND(99&gt;=$NR$11,99&lt;=$NS$11),IF($NP$11="Single_Point",IF(99=$NR$11,$NN$11,0),IF($NP$11="Bell_Curve",$NN$11*(99-$NR$11+1)*($NS$11-99+1)/$NU$11,$NN$11/$NT$11)),0)</f>
        <v/>
      </c>
      <c r="CZ11" s="228">
        <f>IF(AND(100&gt;=$NR$11,100&lt;=$NS$11),IF($NP$11="Single_Point",IF(100=$NR$11,$NN$11,0),IF($NP$11="Bell_Curve",$NN$11*(100-$NR$11+1)*($NS$11-100+1)/$NU$11,$NN$11/$NT$11)),0)</f>
        <v/>
      </c>
      <c r="DA11" s="228">
        <f>IF(AND(101&gt;=$NR$11,101&lt;=$NS$11),IF($NP$11="Single_Point",IF(101=$NR$11,$NN$11,0),IF($NP$11="Bell_Curve",$NN$11*(101-$NR$11+1)*($NS$11-101+1)/$NU$11,$NN$11/$NT$11)),0)</f>
        <v/>
      </c>
      <c r="DB11" s="228">
        <f>IF(AND(102&gt;=$NR$11,102&lt;=$NS$11),IF($NP$11="Single_Point",IF(102=$NR$11,$NN$11,0),IF($NP$11="Bell_Curve",$NN$11*(102-$NR$11+1)*($NS$11-102+1)/$NU$11,$NN$11/$NT$11)),0)</f>
        <v/>
      </c>
      <c r="DC11" s="228">
        <f>IF(AND(103&gt;=$NR$11,103&lt;=$NS$11),IF($NP$11="Single_Point",IF(103=$NR$11,$NN$11,0),IF($NP$11="Bell_Curve",$NN$11*(103-$NR$11+1)*($NS$11-103+1)/$NU$11,$NN$11/$NT$11)),0)</f>
        <v/>
      </c>
      <c r="DD11" s="228">
        <f>IF(AND(104&gt;=$NR$11,104&lt;=$NS$11),IF($NP$11="Single_Point",IF(104=$NR$11,$NN$11,0),IF($NP$11="Bell_Curve",$NN$11*(104-$NR$11+1)*($NS$11-104+1)/$NU$11,$NN$11/$NT$11)),0)</f>
        <v/>
      </c>
      <c r="DE11" s="228">
        <f>IF(AND(105&gt;=$NR$11,105&lt;=$NS$11),IF($NP$11="Single_Point",IF(105=$NR$11,$NN$11,0),IF($NP$11="Bell_Curve",$NN$11*(105-$NR$11+1)*($NS$11-105+1)/$NU$11,$NN$11/$NT$11)),0)</f>
        <v/>
      </c>
      <c r="DF11" s="228">
        <f>IF(AND(106&gt;=$NR$11,106&lt;=$NS$11),IF($NP$11="Single_Point",IF(106=$NR$11,$NN$11,0),IF($NP$11="Bell_Curve",$NN$11*(106-$NR$11+1)*($NS$11-106+1)/$NU$11,$NN$11/$NT$11)),0)</f>
        <v/>
      </c>
      <c r="DG11" s="228">
        <f>IF(AND(107&gt;=$NR$11,107&lt;=$NS$11),IF($NP$11="Single_Point",IF(107=$NR$11,$NN$11,0),IF($NP$11="Bell_Curve",$NN$11*(107-$NR$11+1)*($NS$11-107+1)/$NU$11,$NN$11/$NT$11)),0)</f>
        <v/>
      </c>
      <c r="DH11" s="228">
        <f>IF(AND(108&gt;=$NR$11,108&lt;=$NS$11),IF($NP$11="Single_Point",IF(108=$NR$11,$NN$11,0),IF($NP$11="Bell_Curve",$NN$11*(108-$NR$11+1)*($NS$11-108+1)/$NU$11,$NN$11/$NT$11)),0)</f>
        <v/>
      </c>
      <c r="DI11" s="228">
        <f>IF(AND(109&gt;=$NR$11,109&lt;=$NS$11),IF($NP$11="Single_Point",IF(109=$NR$11,$NN$11,0),IF($NP$11="Bell_Curve",$NN$11*(109-$NR$11+1)*($NS$11-109+1)/$NU$11,$NN$11/$NT$11)),0)</f>
        <v/>
      </c>
      <c r="DJ11" s="228">
        <f>IF(AND(110&gt;=$NR$11,110&lt;=$NS$11),IF($NP$11="Single_Point",IF(110=$NR$11,$NN$11,0),IF($NP$11="Bell_Curve",$NN$11*(110-$NR$11+1)*($NS$11-110+1)/$NU$11,$NN$11/$NT$11)),0)</f>
        <v/>
      </c>
      <c r="DK11" s="228">
        <f>IF(AND(111&gt;=$NR$11,111&lt;=$NS$11),IF($NP$11="Single_Point",IF(111=$NR$11,$NN$11,0),IF($NP$11="Bell_Curve",$NN$11*(111-$NR$11+1)*($NS$11-111+1)/$NU$11,$NN$11/$NT$11)),0)</f>
        <v/>
      </c>
      <c r="DL11" s="228">
        <f>IF(AND(112&gt;=$NR$11,112&lt;=$NS$11),IF($NP$11="Single_Point",IF(112=$NR$11,$NN$11,0),IF($NP$11="Bell_Curve",$NN$11*(112-$NR$11+1)*($NS$11-112+1)/$NU$11,$NN$11/$NT$11)),0)</f>
        <v/>
      </c>
      <c r="DM11" s="228">
        <f>IF(AND(113&gt;=$NR$11,113&lt;=$NS$11),IF($NP$11="Single_Point",IF(113=$NR$11,$NN$11,0),IF($NP$11="Bell_Curve",$NN$11*(113-$NR$11+1)*($NS$11-113+1)/$NU$11,$NN$11/$NT$11)),0)</f>
        <v/>
      </c>
      <c r="DN11" s="228">
        <f>IF(AND(114&gt;=$NR$11,114&lt;=$NS$11),IF($NP$11="Single_Point",IF(114=$NR$11,$NN$11,0),IF($NP$11="Bell_Curve",$NN$11*(114-$NR$11+1)*($NS$11-114+1)/$NU$11,$NN$11/$NT$11)),0)</f>
        <v/>
      </c>
      <c r="DO11" s="228">
        <f>IF(AND(115&gt;=$NR$11,115&lt;=$NS$11),IF($NP$11="Single_Point",IF(115=$NR$11,$NN$11,0),IF($NP$11="Bell_Curve",$NN$11*(115-$NR$11+1)*($NS$11-115+1)/$NU$11,$NN$11/$NT$11)),0)</f>
        <v/>
      </c>
      <c r="DP11" s="228">
        <f>IF(AND(116&gt;=$NR$11,116&lt;=$NS$11),IF($NP$11="Single_Point",IF(116=$NR$11,$NN$11,0),IF($NP$11="Bell_Curve",$NN$11*(116-$NR$11+1)*($NS$11-116+1)/$NU$11,$NN$11/$NT$11)),0)</f>
        <v/>
      </c>
      <c r="DQ11" s="228">
        <f>IF(AND(117&gt;=$NR$11,117&lt;=$NS$11),IF($NP$11="Single_Point",IF(117=$NR$11,$NN$11,0),IF($NP$11="Bell_Curve",$NN$11*(117-$NR$11+1)*($NS$11-117+1)/$NU$11,$NN$11/$NT$11)),0)</f>
        <v/>
      </c>
      <c r="DR11" s="228">
        <f>IF(AND(118&gt;=$NR$11,118&lt;=$NS$11),IF($NP$11="Single_Point",IF(118=$NR$11,$NN$11,0),IF($NP$11="Bell_Curve",$NN$11*(118-$NR$11+1)*($NS$11-118+1)/$NU$11,$NN$11/$NT$11)),0)</f>
        <v/>
      </c>
      <c r="DS11" s="228">
        <f>IF(AND(119&gt;=$NR$11,119&lt;=$NS$11),IF($NP$11="Single_Point",IF(119=$NR$11,$NN$11,0),IF($NP$11="Bell_Curve",$NN$11*(119-$NR$11+1)*($NS$11-119+1)/$NU$11,$NN$11/$NT$11)),0)</f>
        <v/>
      </c>
      <c r="DT11" s="228">
        <f>IF(AND(120&gt;=$NR$11,120&lt;=$NS$11),IF($NP$11="Single_Point",IF(120=$NR$11,$NN$11,0),IF($NP$11="Bell_Curve",$NN$11*(120-$NR$11+1)*($NS$11-120+1)/$NU$11,$NN$11/$NT$11)),0)</f>
        <v/>
      </c>
      <c r="DU11" s="228">
        <f>IF(AND(121&gt;=$NR$11,121&lt;=$NS$11),IF($NP$11="Single_Point",IF(121=$NR$11,$NN$11,0),IF($NP$11="Bell_Curve",$NN$11*(121-$NR$11+1)*($NS$11-121+1)/$NU$11,$NN$11/$NT$11)),0)</f>
        <v/>
      </c>
      <c r="DV11" s="228">
        <f>IF(AND(122&gt;=$NR$11,122&lt;=$NS$11),IF($NP$11="Single_Point",IF(122=$NR$11,$NN$11,0),IF($NP$11="Bell_Curve",$NN$11*(122-$NR$11+1)*($NS$11-122+1)/$NU$11,$NN$11/$NT$11)),0)</f>
        <v/>
      </c>
      <c r="DW11" s="228">
        <f>IF(AND(123&gt;=$NR$11,123&lt;=$NS$11),IF($NP$11="Single_Point",IF(123=$NR$11,$NN$11,0),IF($NP$11="Bell_Curve",$NN$11*(123-$NR$11+1)*($NS$11-123+1)/$NU$11,$NN$11/$NT$11)),0)</f>
        <v/>
      </c>
      <c r="DX11" s="228">
        <f>IF(AND(124&gt;=$NR$11,124&lt;=$NS$11),IF($NP$11="Single_Point",IF(124=$NR$11,$NN$11,0),IF($NP$11="Bell_Curve",$NN$11*(124-$NR$11+1)*($NS$11-124+1)/$NU$11,$NN$11/$NT$11)),0)</f>
        <v/>
      </c>
      <c r="DY11" s="228">
        <f>IF(AND(125&gt;=$NR$11,125&lt;=$NS$11),IF($NP$11="Single_Point",IF(125=$NR$11,$NN$11,0),IF($NP$11="Bell_Curve",$NN$11*(125-$NR$11+1)*($NS$11-125+1)/$NU$11,$NN$11/$NT$11)),0)</f>
        <v/>
      </c>
      <c r="DZ11" s="228">
        <f>IF(AND(126&gt;=$NR$11,126&lt;=$NS$11),IF($NP$11="Single_Point",IF(126=$NR$11,$NN$11,0),IF($NP$11="Bell_Curve",$NN$11*(126-$NR$11+1)*($NS$11-126+1)/$NU$11,$NN$11/$NT$11)),0)</f>
        <v/>
      </c>
      <c r="EA11" s="228">
        <f>IF(AND(127&gt;=$NR$11,127&lt;=$NS$11),IF($NP$11="Single_Point",IF(127=$NR$11,$NN$11,0),IF($NP$11="Bell_Curve",$NN$11*(127-$NR$11+1)*($NS$11-127+1)/$NU$11,$NN$11/$NT$11)),0)</f>
        <v/>
      </c>
      <c r="EB11" s="228">
        <f>IF(AND(128&gt;=$NR$11,128&lt;=$NS$11),IF($NP$11="Single_Point",IF(128=$NR$11,$NN$11,0),IF($NP$11="Bell_Curve",$NN$11*(128-$NR$11+1)*($NS$11-128+1)/$NU$11,$NN$11/$NT$11)),0)</f>
        <v/>
      </c>
      <c r="EC11" s="228">
        <f>IF(AND(129&gt;=$NR$11,129&lt;=$NS$11),IF($NP$11="Single_Point",IF(129=$NR$11,$NN$11,0),IF($NP$11="Bell_Curve",$NN$11*(129-$NR$11+1)*($NS$11-129+1)/$NU$11,$NN$11/$NT$11)),0)</f>
        <v/>
      </c>
      <c r="ED11" s="228">
        <f>IF(AND(130&gt;=$NR$11,130&lt;=$NS$11),IF($NP$11="Single_Point",IF(130=$NR$11,$NN$11,0),IF($NP$11="Bell_Curve",$NN$11*(130-$NR$11+1)*($NS$11-130+1)/$NU$11,$NN$11/$NT$11)),0)</f>
        <v/>
      </c>
      <c r="EE11" s="228">
        <f>IF(AND(131&gt;=$NR$11,131&lt;=$NS$11),IF($NP$11="Single_Point",IF(131=$NR$11,$NN$11,0),IF($NP$11="Bell_Curve",$NN$11*(131-$NR$11+1)*($NS$11-131+1)/$NU$11,$NN$11/$NT$11)),0)</f>
        <v/>
      </c>
      <c r="EF11" s="228">
        <f>IF(AND(132&gt;=$NR$11,132&lt;=$NS$11),IF($NP$11="Single_Point",IF(132=$NR$11,$NN$11,0),IF($NP$11="Bell_Curve",$NN$11*(132-$NR$11+1)*($NS$11-132+1)/$NU$11,$NN$11/$NT$11)),0)</f>
        <v/>
      </c>
      <c r="EG11" s="228">
        <f>IF(AND(133&gt;=$NR$11,133&lt;=$NS$11),IF($NP$11="Single_Point",IF(133=$NR$11,$NN$11,0),IF($NP$11="Bell_Curve",$NN$11*(133-$NR$11+1)*($NS$11-133+1)/$NU$11,$NN$11/$NT$11)),0)</f>
        <v/>
      </c>
      <c r="EH11" s="228">
        <f>IF(AND(134&gt;=$NR$11,134&lt;=$NS$11),IF($NP$11="Single_Point",IF(134=$NR$11,$NN$11,0),IF($NP$11="Bell_Curve",$NN$11*(134-$NR$11+1)*($NS$11-134+1)/$NU$11,$NN$11/$NT$11)),0)</f>
        <v/>
      </c>
      <c r="EI11" s="228">
        <f>IF(AND(135&gt;=$NR$11,135&lt;=$NS$11),IF($NP$11="Single_Point",IF(135=$NR$11,$NN$11,0),IF($NP$11="Bell_Curve",$NN$11*(135-$NR$11+1)*($NS$11-135+1)/$NU$11,$NN$11/$NT$11)),0)</f>
        <v/>
      </c>
      <c r="EJ11" s="228">
        <f>IF(AND(136&gt;=$NR$11,136&lt;=$NS$11),IF($NP$11="Single_Point",IF(136=$NR$11,$NN$11,0),IF($NP$11="Bell_Curve",$NN$11*(136-$NR$11+1)*($NS$11-136+1)/$NU$11,$NN$11/$NT$11)),0)</f>
        <v/>
      </c>
      <c r="EK11" s="228">
        <f>IF(AND(137&gt;=$NR$11,137&lt;=$NS$11),IF($NP$11="Single_Point",IF(137=$NR$11,$NN$11,0),IF($NP$11="Bell_Curve",$NN$11*(137-$NR$11+1)*($NS$11-137+1)/$NU$11,$NN$11/$NT$11)),0)</f>
        <v/>
      </c>
      <c r="EL11" s="228">
        <f>IF(AND(138&gt;=$NR$11,138&lt;=$NS$11),IF($NP$11="Single_Point",IF(138=$NR$11,$NN$11,0),IF($NP$11="Bell_Curve",$NN$11*(138-$NR$11+1)*($NS$11-138+1)/$NU$11,$NN$11/$NT$11)),0)</f>
        <v/>
      </c>
      <c r="EM11" s="228">
        <f>IF(AND(139&gt;=$NR$11,139&lt;=$NS$11),IF($NP$11="Single_Point",IF(139=$NR$11,$NN$11,0),IF($NP$11="Bell_Curve",$NN$11*(139-$NR$11+1)*($NS$11-139+1)/$NU$11,$NN$11/$NT$11)),0)</f>
        <v/>
      </c>
      <c r="EN11" s="228">
        <f>IF(AND(140&gt;=$NR$11,140&lt;=$NS$11),IF($NP$11="Single_Point",IF(140=$NR$11,$NN$11,0),IF($NP$11="Bell_Curve",$NN$11*(140-$NR$11+1)*($NS$11-140+1)/$NU$11,$NN$11/$NT$11)),0)</f>
        <v/>
      </c>
      <c r="EO11" s="228">
        <f>IF(AND(141&gt;=$NR$11,141&lt;=$NS$11),IF($NP$11="Single_Point",IF(141=$NR$11,$NN$11,0),IF($NP$11="Bell_Curve",$NN$11*(141-$NR$11+1)*($NS$11-141+1)/$NU$11,$NN$11/$NT$11)),0)</f>
        <v/>
      </c>
      <c r="EP11" s="228">
        <f>IF(AND(142&gt;=$NR$11,142&lt;=$NS$11),IF($NP$11="Single_Point",IF(142=$NR$11,$NN$11,0),IF($NP$11="Bell_Curve",$NN$11*(142-$NR$11+1)*($NS$11-142+1)/$NU$11,$NN$11/$NT$11)),0)</f>
        <v/>
      </c>
      <c r="EQ11" s="228">
        <f>IF(AND(143&gt;=$NR$11,143&lt;=$NS$11),IF($NP$11="Single_Point",IF(143=$NR$11,$NN$11,0),IF($NP$11="Bell_Curve",$NN$11*(143-$NR$11+1)*($NS$11-143+1)/$NU$11,$NN$11/$NT$11)),0)</f>
        <v/>
      </c>
      <c r="ER11" s="228">
        <f>IF(AND(144&gt;=$NR$11,144&lt;=$NS$11),IF($NP$11="Single_Point",IF(144=$NR$11,$NN$11,0),IF($NP$11="Bell_Curve",$NN$11*(144-$NR$11+1)*($NS$11-144+1)/$NU$11,$NN$11/$NT$11)),0)</f>
        <v/>
      </c>
      <c r="ES11" s="228">
        <f>IF(AND(145&gt;=$NR$11,145&lt;=$NS$11),IF($NP$11="Single_Point",IF(145=$NR$11,$NN$11,0),IF($NP$11="Bell_Curve",$NN$11*(145-$NR$11+1)*($NS$11-145+1)/$NU$11,$NN$11/$NT$11)),0)</f>
        <v/>
      </c>
      <c r="ET11" s="228">
        <f>IF(AND(146&gt;=$NR$11,146&lt;=$NS$11),IF($NP$11="Single_Point",IF(146=$NR$11,$NN$11,0),IF($NP$11="Bell_Curve",$NN$11*(146-$NR$11+1)*($NS$11-146+1)/$NU$11,$NN$11/$NT$11)),0)</f>
        <v/>
      </c>
      <c r="EU11" s="228">
        <f>IF(AND(147&gt;=$NR$11,147&lt;=$NS$11),IF($NP$11="Single_Point",IF(147=$NR$11,$NN$11,0),IF($NP$11="Bell_Curve",$NN$11*(147-$NR$11+1)*($NS$11-147+1)/$NU$11,$NN$11/$NT$11)),0)</f>
        <v/>
      </c>
      <c r="EV11" s="228">
        <f>IF(AND(148&gt;=$NR$11,148&lt;=$NS$11),IF($NP$11="Single_Point",IF(148=$NR$11,$NN$11,0),IF($NP$11="Bell_Curve",$NN$11*(148-$NR$11+1)*($NS$11-148+1)/$NU$11,$NN$11/$NT$11)),0)</f>
        <v/>
      </c>
      <c r="EW11" s="228">
        <f>IF(AND(149&gt;=$NR$11,149&lt;=$NS$11),IF($NP$11="Single_Point",IF(149=$NR$11,$NN$11,0),IF($NP$11="Bell_Curve",$NN$11*(149-$NR$11+1)*($NS$11-149+1)/$NU$11,$NN$11/$NT$11)),0)</f>
        <v/>
      </c>
      <c r="EX11" s="228">
        <f>IF(AND(150&gt;=$NR$11,150&lt;=$NS$11),IF($NP$11="Single_Point",IF(150=$NR$11,$NN$11,0),IF($NP$11="Bell_Curve",$NN$11*(150-$NR$11+1)*($NS$11-150+1)/$NU$11,$NN$11/$NT$11)),0)</f>
        <v/>
      </c>
      <c r="EY11" s="228">
        <f>IF(AND(151&gt;=$NR$11,151&lt;=$NS$11),IF($NP$11="Single_Point",IF(151=$NR$11,$NN$11,0),IF($NP$11="Bell_Curve",$NN$11*(151-$NR$11+1)*($NS$11-151+1)/$NU$11,$NN$11/$NT$11)),0)</f>
        <v/>
      </c>
      <c r="EZ11" s="228">
        <f>IF(AND(152&gt;=$NR$11,152&lt;=$NS$11),IF($NP$11="Single_Point",IF(152=$NR$11,$NN$11,0),IF($NP$11="Bell_Curve",$NN$11*(152-$NR$11+1)*($NS$11-152+1)/$NU$11,$NN$11/$NT$11)),0)</f>
        <v/>
      </c>
      <c r="FA11" s="228">
        <f>IF(AND(153&gt;=$NR$11,153&lt;=$NS$11),IF($NP$11="Single_Point",IF(153=$NR$11,$NN$11,0),IF($NP$11="Bell_Curve",$NN$11*(153-$NR$11+1)*($NS$11-153+1)/$NU$11,$NN$11/$NT$11)),0)</f>
        <v/>
      </c>
      <c r="FB11" s="228">
        <f>IF(AND(154&gt;=$NR$11,154&lt;=$NS$11),IF($NP$11="Single_Point",IF(154=$NR$11,$NN$11,0),IF($NP$11="Bell_Curve",$NN$11*(154-$NR$11+1)*($NS$11-154+1)/$NU$11,$NN$11/$NT$11)),0)</f>
        <v/>
      </c>
      <c r="FC11" s="228">
        <f>IF(AND(155&gt;=$NR$11,155&lt;=$NS$11),IF($NP$11="Single_Point",IF(155=$NR$11,$NN$11,0),IF($NP$11="Bell_Curve",$NN$11*(155-$NR$11+1)*($NS$11-155+1)/$NU$11,$NN$11/$NT$11)),0)</f>
        <v/>
      </c>
      <c r="FD11" s="228">
        <f>IF(AND(156&gt;=$NR$11,156&lt;=$NS$11),IF($NP$11="Single_Point",IF(156=$NR$11,$NN$11,0),IF($NP$11="Bell_Curve",$NN$11*(156-$NR$11+1)*($NS$11-156+1)/$NU$11,$NN$11/$NT$11)),0)</f>
        <v/>
      </c>
      <c r="FE11" s="228">
        <f>IF(AND(157&gt;=$NR$11,157&lt;=$NS$11),IF($NP$11="Single_Point",IF(157=$NR$11,$NN$11,0),IF($NP$11="Bell_Curve",$NN$11*(157-$NR$11+1)*($NS$11-157+1)/$NU$11,$NN$11/$NT$11)),0)</f>
        <v/>
      </c>
      <c r="FF11" s="228">
        <f>IF(AND(158&gt;=$NR$11,158&lt;=$NS$11),IF($NP$11="Single_Point",IF(158=$NR$11,$NN$11,0),IF($NP$11="Bell_Curve",$NN$11*(158-$NR$11+1)*($NS$11-158+1)/$NU$11,$NN$11/$NT$11)),0)</f>
        <v/>
      </c>
      <c r="FG11" s="228">
        <f>IF(AND(159&gt;=$NR$11,159&lt;=$NS$11),IF($NP$11="Single_Point",IF(159=$NR$11,$NN$11,0),IF($NP$11="Bell_Curve",$NN$11*(159-$NR$11+1)*($NS$11-159+1)/$NU$11,$NN$11/$NT$11)),0)</f>
        <v/>
      </c>
      <c r="FH11" s="228">
        <f>IF(AND(160&gt;=$NR$11,160&lt;=$NS$11),IF($NP$11="Single_Point",IF(160=$NR$11,$NN$11,0),IF($NP$11="Bell_Curve",$NN$11*(160-$NR$11+1)*($NS$11-160+1)/$NU$11,$NN$11/$NT$11)),0)</f>
        <v/>
      </c>
      <c r="FI11" s="228">
        <f>IF(AND(161&gt;=$NR$11,161&lt;=$NS$11),IF($NP$11="Single_Point",IF(161=$NR$11,$NN$11,0),IF($NP$11="Bell_Curve",$NN$11*(161-$NR$11+1)*($NS$11-161+1)/$NU$11,$NN$11/$NT$11)),0)</f>
        <v/>
      </c>
      <c r="FJ11" s="228">
        <f>IF(AND(162&gt;=$NR$11,162&lt;=$NS$11),IF($NP$11="Single_Point",IF(162=$NR$11,$NN$11,0),IF($NP$11="Bell_Curve",$NN$11*(162-$NR$11+1)*($NS$11-162+1)/$NU$11,$NN$11/$NT$11)),0)</f>
        <v/>
      </c>
      <c r="FK11" s="228">
        <f>IF(AND(163&gt;=$NR$11,163&lt;=$NS$11),IF($NP$11="Single_Point",IF(163=$NR$11,$NN$11,0),IF($NP$11="Bell_Curve",$NN$11*(163-$NR$11+1)*($NS$11-163+1)/$NU$11,$NN$11/$NT$11)),0)</f>
        <v/>
      </c>
      <c r="FL11" s="228">
        <f>IF(AND(164&gt;=$NR$11,164&lt;=$NS$11),IF($NP$11="Single_Point",IF(164=$NR$11,$NN$11,0),IF($NP$11="Bell_Curve",$NN$11*(164-$NR$11+1)*($NS$11-164+1)/$NU$11,$NN$11/$NT$11)),0)</f>
        <v/>
      </c>
      <c r="FM11" s="228">
        <f>IF(AND(165&gt;=$NR$11,165&lt;=$NS$11),IF($NP$11="Single_Point",IF(165=$NR$11,$NN$11,0),IF($NP$11="Bell_Curve",$NN$11*(165-$NR$11+1)*($NS$11-165+1)/$NU$11,$NN$11/$NT$11)),0)</f>
        <v/>
      </c>
      <c r="FN11" s="228">
        <f>IF(AND(166&gt;=$NR$11,166&lt;=$NS$11),IF($NP$11="Single_Point",IF(166=$NR$11,$NN$11,0),IF($NP$11="Bell_Curve",$NN$11*(166-$NR$11+1)*($NS$11-166+1)/$NU$11,$NN$11/$NT$11)),0)</f>
        <v/>
      </c>
      <c r="FO11" s="228">
        <f>IF(AND(167&gt;=$NR$11,167&lt;=$NS$11),IF($NP$11="Single_Point",IF(167=$NR$11,$NN$11,0),IF($NP$11="Bell_Curve",$NN$11*(167-$NR$11+1)*($NS$11-167+1)/$NU$11,$NN$11/$NT$11)),0)</f>
        <v/>
      </c>
      <c r="FP11" s="228">
        <f>IF(AND(168&gt;=$NR$11,168&lt;=$NS$11),IF($NP$11="Single_Point",IF(168=$NR$11,$NN$11,0),IF($NP$11="Bell_Curve",$NN$11*(168-$NR$11+1)*($NS$11-168+1)/$NU$11,$NN$11/$NT$11)),0)</f>
        <v/>
      </c>
      <c r="FQ11" s="228">
        <f>IF(AND(169&gt;=$NR$11,169&lt;=$NS$11),IF($NP$11="Single_Point",IF(169=$NR$11,$NN$11,0),IF($NP$11="Bell_Curve",$NN$11*(169-$NR$11+1)*($NS$11-169+1)/$NU$11,$NN$11/$NT$11)),0)</f>
        <v/>
      </c>
      <c r="FR11" s="228">
        <f>IF(AND(170&gt;=$NR$11,170&lt;=$NS$11),IF($NP$11="Single_Point",IF(170=$NR$11,$NN$11,0),IF($NP$11="Bell_Curve",$NN$11*(170-$NR$11+1)*($NS$11-170+1)/$NU$11,$NN$11/$NT$11)),0)</f>
        <v/>
      </c>
      <c r="FS11" s="228">
        <f>IF(AND(171&gt;=$NR$11,171&lt;=$NS$11),IF($NP$11="Single_Point",IF(171=$NR$11,$NN$11,0),IF($NP$11="Bell_Curve",$NN$11*(171-$NR$11+1)*($NS$11-171+1)/$NU$11,$NN$11/$NT$11)),0)</f>
        <v/>
      </c>
      <c r="FT11" s="228">
        <f>IF(AND(172&gt;=$NR$11,172&lt;=$NS$11),IF($NP$11="Single_Point",IF(172=$NR$11,$NN$11,0),IF($NP$11="Bell_Curve",$NN$11*(172-$NR$11+1)*($NS$11-172+1)/$NU$11,$NN$11/$NT$11)),0)</f>
        <v/>
      </c>
      <c r="FU11" s="228">
        <f>IF(AND(173&gt;=$NR$11,173&lt;=$NS$11),IF($NP$11="Single_Point",IF(173=$NR$11,$NN$11,0),IF($NP$11="Bell_Curve",$NN$11*(173-$NR$11+1)*($NS$11-173+1)/$NU$11,$NN$11/$NT$11)),0)</f>
        <v/>
      </c>
      <c r="FV11" s="228">
        <f>IF(AND(174&gt;=$NR$11,174&lt;=$NS$11),IF($NP$11="Single_Point",IF(174=$NR$11,$NN$11,0),IF($NP$11="Bell_Curve",$NN$11*(174-$NR$11+1)*($NS$11-174+1)/$NU$11,$NN$11/$NT$11)),0)</f>
        <v/>
      </c>
      <c r="FW11" s="228">
        <f>IF(AND(175&gt;=$NR$11,175&lt;=$NS$11),IF($NP$11="Single_Point",IF(175=$NR$11,$NN$11,0),IF($NP$11="Bell_Curve",$NN$11*(175-$NR$11+1)*($NS$11-175+1)/$NU$11,$NN$11/$NT$11)),0)</f>
        <v/>
      </c>
      <c r="FX11" s="228">
        <f>IF(AND(176&gt;=$NR$11,176&lt;=$NS$11),IF($NP$11="Single_Point",IF(176=$NR$11,$NN$11,0),IF($NP$11="Bell_Curve",$NN$11*(176-$NR$11+1)*($NS$11-176+1)/$NU$11,$NN$11/$NT$11)),0)</f>
        <v/>
      </c>
      <c r="FY11" s="228">
        <f>IF(AND(177&gt;=$NR$11,177&lt;=$NS$11),IF($NP$11="Single_Point",IF(177=$NR$11,$NN$11,0),IF($NP$11="Bell_Curve",$NN$11*(177-$NR$11+1)*($NS$11-177+1)/$NU$11,$NN$11/$NT$11)),0)</f>
        <v/>
      </c>
      <c r="FZ11" s="228">
        <f>IF(AND(178&gt;=$NR$11,178&lt;=$NS$11),IF($NP$11="Single_Point",IF(178=$NR$11,$NN$11,0),IF($NP$11="Bell_Curve",$NN$11*(178-$NR$11+1)*($NS$11-178+1)/$NU$11,$NN$11/$NT$11)),0)</f>
        <v/>
      </c>
      <c r="GA11" s="228">
        <f>IF(AND(179&gt;=$NR$11,179&lt;=$NS$11),IF($NP$11="Single_Point",IF(179=$NR$11,$NN$11,0),IF($NP$11="Bell_Curve",$NN$11*(179-$NR$11+1)*($NS$11-179+1)/$NU$11,$NN$11/$NT$11)),0)</f>
        <v/>
      </c>
      <c r="GB11" s="228">
        <f>IF(AND(180&gt;=$NR$11,180&lt;=$NS$11),IF($NP$11="Single_Point",IF(180=$NR$11,$NN$11,0),IF($NP$11="Bell_Curve",$NN$11*(180-$NR$11+1)*($NS$11-180+1)/$NU$11,$NN$11/$NT$11)),0)</f>
        <v/>
      </c>
      <c r="GC11" s="228">
        <f>IF(AND(181&gt;=$NR$11,181&lt;=$NS$11),IF($NP$11="Single_Point",IF(181=$NR$11,$NN$11,0),IF($NP$11="Bell_Curve",$NN$11*(181-$NR$11+1)*($NS$11-181+1)/$NU$11,$NN$11/$NT$11)),0)</f>
        <v/>
      </c>
      <c r="GD11" s="228">
        <f>IF(AND(182&gt;=$NR$11,182&lt;=$NS$11),IF($NP$11="Single_Point",IF(182=$NR$11,$NN$11,0),IF($NP$11="Bell_Curve",$NN$11*(182-$NR$11+1)*($NS$11-182+1)/$NU$11,$NN$11/$NT$11)),0)</f>
        <v/>
      </c>
      <c r="GE11" s="228">
        <f>IF(AND(183&gt;=$NR$11,183&lt;=$NS$11),IF($NP$11="Single_Point",IF(183=$NR$11,$NN$11,0),IF($NP$11="Bell_Curve",$NN$11*(183-$NR$11+1)*($NS$11-183+1)/$NU$11,$NN$11/$NT$11)),0)</f>
        <v/>
      </c>
      <c r="GF11" s="228">
        <f>IF(AND(184&gt;=$NR$11,184&lt;=$NS$11),IF($NP$11="Single_Point",IF(184=$NR$11,$NN$11,0),IF($NP$11="Bell_Curve",$NN$11*(184-$NR$11+1)*($NS$11-184+1)/$NU$11,$NN$11/$NT$11)),0)</f>
        <v/>
      </c>
      <c r="GG11" s="228">
        <f>IF(AND(185&gt;=$NR$11,185&lt;=$NS$11),IF($NP$11="Single_Point",IF(185=$NR$11,$NN$11,0),IF($NP$11="Bell_Curve",$NN$11*(185-$NR$11+1)*($NS$11-185+1)/$NU$11,$NN$11/$NT$11)),0)</f>
        <v/>
      </c>
      <c r="GH11" s="228">
        <f>IF(AND(186&gt;=$NR$11,186&lt;=$NS$11),IF($NP$11="Single_Point",IF(186=$NR$11,$NN$11,0),IF($NP$11="Bell_Curve",$NN$11*(186-$NR$11+1)*($NS$11-186+1)/$NU$11,$NN$11/$NT$11)),0)</f>
        <v/>
      </c>
      <c r="GI11" s="228">
        <f>IF(AND(187&gt;=$NR$11,187&lt;=$NS$11),IF($NP$11="Single_Point",IF(187=$NR$11,$NN$11,0),IF($NP$11="Bell_Curve",$NN$11*(187-$NR$11+1)*($NS$11-187+1)/$NU$11,$NN$11/$NT$11)),0)</f>
        <v/>
      </c>
      <c r="GJ11" s="228">
        <f>IF(AND(188&gt;=$NR$11,188&lt;=$NS$11),IF($NP$11="Single_Point",IF(188=$NR$11,$NN$11,0),IF($NP$11="Bell_Curve",$NN$11*(188-$NR$11+1)*($NS$11-188+1)/$NU$11,$NN$11/$NT$11)),0)</f>
        <v/>
      </c>
      <c r="GK11" s="228">
        <f>IF(AND(189&gt;=$NR$11,189&lt;=$NS$11),IF($NP$11="Single_Point",IF(189=$NR$11,$NN$11,0),IF($NP$11="Bell_Curve",$NN$11*(189-$NR$11+1)*($NS$11-189+1)/$NU$11,$NN$11/$NT$11)),0)</f>
        <v/>
      </c>
      <c r="GL11" s="228">
        <f>IF(AND(190&gt;=$NR$11,190&lt;=$NS$11),IF($NP$11="Single_Point",IF(190=$NR$11,$NN$11,0),IF($NP$11="Bell_Curve",$NN$11*(190-$NR$11+1)*($NS$11-190+1)/$NU$11,$NN$11/$NT$11)),0)</f>
        <v/>
      </c>
      <c r="GM11" s="228">
        <f>IF(AND(191&gt;=$NR$11,191&lt;=$NS$11),IF($NP$11="Single_Point",IF(191=$NR$11,$NN$11,0),IF($NP$11="Bell_Curve",$NN$11*(191-$NR$11+1)*($NS$11-191+1)/$NU$11,$NN$11/$NT$11)),0)</f>
        <v/>
      </c>
      <c r="GN11" s="228">
        <f>IF(AND(192&gt;=$NR$11,192&lt;=$NS$11),IF($NP$11="Single_Point",IF(192=$NR$11,$NN$11,0),IF($NP$11="Bell_Curve",$NN$11*(192-$NR$11+1)*($NS$11-192+1)/$NU$11,$NN$11/$NT$11)),0)</f>
        <v/>
      </c>
      <c r="GO11" s="228">
        <f>IF(AND(193&gt;=$NR$11,193&lt;=$NS$11),IF($NP$11="Single_Point",IF(193=$NR$11,$NN$11,0),IF($NP$11="Bell_Curve",$NN$11*(193-$NR$11+1)*($NS$11-193+1)/$NU$11,$NN$11/$NT$11)),0)</f>
        <v/>
      </c>
      <c r="GP11" s="228">
        <f>IF(AND(194&gt;=$NR$11,194&lt;=$NS$11),IF($NP$11="Single_Point",IF(194=$NR$11,$NN$11,0),IF($NP$11="Bell_Curve",$NN$11*(194-$NR$11+1)*($NS$11-194+1)/$NU$11,$NN$11/$NT$11)),0)</f>
        <v/>
      </c>
      <c r="GQ11" s="228">
        <f>IF(AND(195&gt;=$NR$11,195&lt;=$NS$11),IF($NP$11="Single_Point",IF(195=$NR$11,$NN$11,0),IF($NP$11="Bell_Curve",$NN$11*(195-$NR$11+1)*($NS$11-195+1)/$NU$11,$NN$11/$NT$11)),0)</f>
        <v/>
      </c>
      <c r="GR11" s="228">
        <f>IF(AND(196&gt;=$NR$11,196&lt;=$NS$11),IF($NP$11="Single_Point",IF(196=$NR$11,$NN$11,0),IF($NP$11="Bell_Curve",$NN$11*(196-$NR$11+1)*($NS$11-196+1)/$NU$11,$NN$11/$NT$11)),0)</f>
        <v/>
      </c>
      <c r="GS11" s="228">
        <f>IF(AND(197&gt;=$NR$11,197&lt;=$NS$11),IF($NP$11="Single_Point",IF(197=$NR$11,$NN$11,0),IF($NP$11="Bell_Curve",$NN$11*(197-$NR$11+1)*($NS$11-197+1)/$NU$11,$NN$11/$NT$11)),0)</f>
        <v/>
      </c>
      <c r="GT11" s="228">
        <f>IF(AND(198&gt;=$NR$11,198&lt;=$NS$11),IF($NP$11="Single_Point",IF(198=$NR$11,$NN$11,0),IF($NP$11="Bell_Curve",$NN$11*(198-$NR$11+1)*($NS$11-198+1)/$NU$11,$NN$11/$NT$11)),0)</f>
        <v/>
      </c>
      <c r="GU11" s="228">
        <f>IF(AND(199&gt;=$NR$11,199&lt;=$NS$11),IF($NP$11="Single_Point",IF(199=$NR$11,$NN$11,0),IF($NP$11="Bell_Curve",$NN$11*(199-$NR$11+1)*($NS$11-199+1)/$NU$11,$NN$11/$NT$11)),0)</f>
        <v/>
      </c>
      <c r="GV11" s="228">
        <f>IF(AND(200&gt;=$NR$11,200&lt;=$NS$11),IF($NP$11="Single_Point",IF(200=$NR$11,$NN$11,0),IF($NP$11="Bell_Curve",$NN$11*(200-$NR$11+1)*($NS$11-200+1)/$NU$11,$NN$11/$NT$11)),0)</f>
        <v/>
      </c>
      <c r="GW11" s="228">
        <f>IF(AND(201&gt;=$NR$11,201&lt;=$NS$11),IF($NP$11="Single_Point",IF(201=$NR$11,$NN$11,0),IF($NP$11="Bell_Curve",$NN$11*(201-$NR$11+1)*($NS$11-201+1)/$NU$11,$NN$11/$NT$11)),0)</f>
        <v/>
      </c>
      <c r="GX11" s="228">
        <f>IF(AND(202&gt;=$NR$11,202&lt;=$NS$11),IF($NP$11="Single_Point",IF(202=$NR$11,$NN$11,0),IF($NP$11="Bell_Curve",$NN$11*(202-$NR$11+1)*($NS$11-202+1)/$NU$11,$NN$11/$NT$11)),0)</f>
        <v/>
      </c>
      <c r="GY11" s="228">
        <f>IF(AND(203&gt;=$NR$11,203&lt;=$NS$11),IF($NP$11="Single_Point",IF(203=$NR$11,$NN$11,0),IF($NP$11="Bell_Curve",$NN$11*(203-$NR$11+1)*($NS$11-203+1)/$NU$11,$NN$11/$NT$11)),0)</f>
        <v/>
      </c>
      <c r="GZ11" s="228">
        <f>IF(AND(204&gt;=$NR$11,204&lt;=$NS$11),IF($NP$11="Single_Point",IF(204=$NR$11,$NN$11,0),IF($NP$11="Bell_Curve",$NN$11*(204-$NR$11+1)*($NS$11-204+1)/$NU$11,$NN$11/$NT$11)),0)</f>
        <v/>
      </c>
      <c r="HA11" s="228">
        <f>IF(AND(205&gt;=$NR$11,205&lt;=$NS$11),IF($NP$11="Single_Point",IF(205=$NR$11,$NN$11,0),IF($NP$11="Bell_Curve",$NN$11*(205-$NR$11+1)*($NS$11-205+1)/$NU$11,$NN$11/$NT$11)),0)</f>
        <v/>
      </c>
      <c r="HB11" s="228">
        <f>IF(AND(206&gt;=$NR$11,206&lt;=$NS$11),IF($NP$11="Single_Point",IF(206=$NR$11,$NN$11,0),IF($NP$11="Bell_Curve",$NN$11*(206-$NR$11+1)*($NS$11-206+1)/$NU$11,$NN$11/$NT$11)),0)</f>
        <v/>
      </c>
      <c r="HC11" s="228">
        <f>IF(AND(207&gt;=$NR$11,207&lt;=$NS$11),IF($NP$11="Single_Point",IF(207=$NR$11,$NN$11,0),IF($NP$11="Bell_Curve",$NN$11*(207-$NR$11+1)*($NS$11-207+1)/$NU$11,$NN$11/$NT$11)),0)</f>
        <v/>
      </c>
      <c r="HD11" s="228">
        <f>IF(AND(208&gt;=$NR$11,208&lt;=$NS$11),IF($NP$11="Single_Point",IF(208=$NR$11,$NN$11,0),IF($NP$11="Bell_Curve",$NN$11*(208-$NR$11+1)*($NS$11-208+1)/$NU$11,$NN$11/$NT$11)),0)</f>
        <v/>
      </c>
      <c r="HE11" s="228">
        <f>IF(AND(209&gt;=$NR$11,209&lt;=$NS$11),IF($NP$11="Single_Point",IF(209=$NR$11,$NN$11,0),IF($NP$11="Bell_Curve",$NN$11*(209-$NR$11+1)*($NS$11-209+1)/$NU$11,$NN$11/$NT$11)),0)</f>
        <v/>
      </c>
      <c r="HF11" s="228">
        <f>IF(AND(210&gt;=$NR$11,210&lt;=$NS$11),IF($NP$11="Single_Point",IF(210=$NR$11,$NN$11,0),IF($NP$11="Bell_Curve",$NN$11*(210-$NR$11+1)*($NS$11-210+1)/$NU$11,$NN$11/$NT$11)),0)</f>
        <v/>
      </c>
      <c r="HG11" s="228">
        <f>IF(AND(211&gt;=$NR$11,211&lt;=$NS$11),IF($NP$11="Single_Point",IF(211=$NR$11,$NN$11,0),IF($NP$11="Bell_Curve",$NN$11*(211-$NR$11+1)*($NS$11-211+1)/$NU$11,$NN$11/$NT$11)),0)</f>
        <v/>
      </c>
      <c r="HH11" s="228">
        <f>IF(AND(212&gt;=$NR$11,212&lt;=$NS$11),IF($NP$11="Single_Point",IF(212=$NR$11,$NN$11,0),IF($NP$11="Bell_Curve",$NN$11*(212-$NR$11+1)*($NS$11-212+1)/$NU$11,$NN$11/$NT$11)),0)</f>
        <v/>
      </c>
      <c r="HI11" s="228">
        <f>IF(AND(213&gt;=$NR$11,213&lt;=$NS$11),IF($NP$11="Single_Point",IF(213=$NR$11,$NN$11,0),IF($NP$11="Bell_Curve",$NN$11*(213-$NR$11+1)*($NS$11-213+1)/$NU$11,$NN$11/$NT$11)),0)</f>
        <v/>
      </c>
      <c r="HJ11" s="228">
        <f>IF(AND(214&gt;=$NR$11,214&lt;=$NS$11),IF($NP$11="Single_Point",IF(214=$NR$11,$NN$11,0),IF($NP$11="Bell_Curve",$NN$11*(214-$NR$11+1)*($NS$11-214+1)/$NU$11,$NN$11/$NT$11)),0)</f>
        <v/>
      </c>
      <c r="HK11" s="228">
        <f>IF(AND(215&gt;=$NR$11,215&lt;=$NS$11),IF($NP$11="Single_Point",IF(215=$NR$11,$NN$11,0),IF($NP$11="Bell_Curve",$NN$11*(215-$NR$11+1)*($NS$11-215+1)/$NU$11,$NN$11/$NT$11)),0)</f>
        <v/>
      </c>
      <c r="HL11" s="228">
        <f>IF(AND(216&gt;=$NR$11,216&lt;=$NS$11),IF($NP$11="Single_Point",IF(216=$NR$11,$NN$11,0),IF($NP$11="Bell_Curve",$NN$11*(216-$NR$11+1)*($NS$11-216+1)/$NU$11,$NN$11/$NT$11)),0)</f>
        <v/>
      </c>
      <c r="HM11" s="228">
        <f>IF(AND(217&gt;=$NR$11,217&lt;=$NS$11),IF($NP$11="Single_Point",IF(217=$NR$11,$NN$11,0),IF($NP$11="Bell_Curve",$NN$11*(217-$NR$11+1)*($NS$11-217+1)/$NU$11,$NN$11/$NT$11)),0)</f>
        <v/>
      </c>
      <c r="HN11" s="228">
        <f>IF(AND(218&gt;=$NR$11,218&lt;=$NS$11),IF($NP$11="Single_Point",IF(218=$NR$11,$NN$11,0),IF($NP$11="Bell_Curve",$NN$11*(218-$NR$11+1)*($NS$11-218+1)/$NU$11,$NN$11/$NT$11)),0)</f>
        <v/>
      </c>
      <c r="HO11" s="228">
        <f>IF(AND(219&gt;=$NR$11,219&lt;=$NS$11),IF($NP$11="Single_Point",IF(219=$NR$11,$NN$11,0),IF($NP$11="Bell_Curve",$NN$11*(219-$NR$11+1)*($NS$11-219+1)/$NU$11,$NN$11/$NT$11)),0)</f>
        <v/>
      </c>
      <c r="HP11" s="228">
        <f>IF(AND(220&gt;=$NR$11,220&lt;=$NS$11),IF($NP$11="Single_Point",IF(220=$NR$11,$NN$11,0),IF($NP$11="Bell_Curve",$NN$11*(220-$NR$11+1)*($NS$11-220+1)/$NU$11,$NN$11/$NT$11)),0)</f>
        <v/>
      </c>
      <c r="HQ11" s="228">
        <f>IF(AND(221&gt;=$NR$11,221&lt;=$NS$11),IF($NP$11="Single_Point",IF(221=$NR$11,$NN$11,0),IF($NP$11="Bell_Curve",$NN$11*(221-$NR$11+1)*($NS$11-221+1)/$NU$11,$NN$11/$NT$11)),0)</f>
        <v/>
      </c>
      <c r="HR11" s="228">
        <f>IF(AND(222&gt;=$NR$11,222&lt;=$NS$11),IF($NP$11="Single_Point",IF(222=$NR$11,$NN$11,0),IF($NP$11="Bell_Curve",$NN$11*(222-$NR$11+1)*($NS$11-222+1)/$NU$11,$NN$11/$NT$11)),0)</f>
        <v/>
      </c>
      <c r="HS11" s="228">
        <f>IF(AND(223&gt;=$NR$11,223&lt;=$NS$11),IF($NP$11="Single_Point",IF(223=$NR$11,$NN$11,0),IF($NP$11="Bell_Curve",$NN$11*(223-$NR$11+1)*($NS$11-223+1)/$NU$11,$NN$11/$NT$11)),0)</f>
        <v/>
      </c>
      <c r="HT11" s="228">
        <f>IF(AND(224&gt;=$NR$11,224&lt;=$NS$11),IF($NP$11="Single_Point",IF(224=$NR$11,$NN$11,0),IF($NP$11="Bell_Curve",$NN$11*(224-$NR$11+1)*($NS$11-224+1)/$NU$11,$NN$11/$NT$11)),0)</f>
        <v/>
      </c>
      <c r="HU11" s="228">
        <f>IF(AND(225&gt;=$NR$11,225&lt;=$NS$11),IF($NP$11="Single_Point",IF(225=$NR$11,$NN$11,0),IF($NP$11="Bell_Curve",$NN$11*(225-$NR$11+1)*($NS$11-225+1)/$NU$11,$NN$11/$NT$11)),0)</f>
        <v/>
      </c>
      <c r="HV11" s="228">
        <f>IF(AND(226&gt;=$NR$11,226&lt;=$NS$11),IF($NP$11="Single_Point",IF(226=$NR$11,$NN$11,0),IF($NP$11="Bell_Curve",$NN$11*(226-$NR$11+1)*($NS$11-226+1)/$NU$11,$NN$11/$NT$11)),0)</f>
        <v/>
      </c>
      <c r="HW11" s="228">
        <f>IF(AND(227&gt;=$NR$11,227&lt;=$NS$11),IF($NP$11="Single_Point",IF(227=$NR$11,$NN$11,0),IF($NP$11="Bell_Curve",$NN$11*(227-$NR$11+1)*($NS$11-227+1)/$NU$11,$NN$11/$NT$11)),0)</f>
        <v/>
      </c>
      <c r="HX11" s="228">
        <f>IF(AND(228&gt;=$NR$11,228&lt;=$NS$11),IF($NP$11="Single_Point",IF(228=$NR$11,$NN$11,0),IF($NP$11="Bell_Curve",$NN$11*(228-$NR$11+1)*($NS$11-228+1)/$NU$11,$NN$11/$NT$11)),0)</f>
        <v/>
      </c>
      <c r="HY11" s="228">
        <f>IF(AND(229&gt;=$NR$11,229&lt;=$NS$11),IF($NP$11="Single_Point",IF(229=$NR$11,$NN$11,0),IF($NP$11="Bell_Curve",$NN$11*(229-$NR$11+1)*($NS$11-229+1)/$NU$11,$NN$11/$NT$11)),0)</f>
        <v/>
      </c>
      <c r="HZ11" s="228">
        <f>IF(AND(230&gt;=$NR$11,230&lt;=$NS$11),IF($NP$11="Single_Point",IF(230=$NR$11,$NN$11,0),IF($NP$11="Bell_Curve",$NN$11*(230-$NR$11+1)*($NS$11-230+1)/$NU$11,$NN$11/$NT$11)),0)</f>
        <v/>
      </c>
      <c r="IA11" s="228">
        <f>IF(AND(231&gt;=$NR$11,231&lt;=$NS$11),IF($NP$11="Single_Point",IF(231=$NR$11,$NN$11,0),IF($NP$11="Bell_Curve",$NN$11*(231-$NR$11+1)*($NS$11-231+1)/$NU$11,$NN$11/$NT$11)),0)</f>
        <v/>
      </c>
      <c r="IB11" s="228">
        <f>IF(AND(232&gt;=$NR$11,232&lt;=$NS$11),IF($NP$11="Single_Point",IF(232=$NR$11,$NN$11,0),IF($NP$11="Bell_Curve",$NN$11*(232-$NR$11+1)*($NS$11-232+1)/$NU$11,$NN$11/$NT$11)),0)</f>
        <v/>
      </c>
      <c r="IC11" s="228">
        <f>IF(AND(233&gt;=$NR$11,233&lt;=$NS$11),IF($NP$11="Single_Point",IF(233=$NR$11,$NN$11,0),IF($NP$11="Bell_Curve",$NN$11*(233-$NR$11+1)*($NS$11-233+1)/$NU$11,$NN$11/$NT$11)),0)</f>
        <v/>
      </c>
      <c r="ID11" s="228">
        <f>IF(AND(234&gt;=$NR$11,234&lt;=$NS$11),IF($NP$11="Single_Point",IF(234=$NR$11,$NN$11,0),IF($NP$11="Bell_Curve",$NN$11*(234-$NR$11+1)*($NS$11-234+1)/$NU$11,$NN$11/$NT$11)),0)</f>
        <v/>
      </c>
      <c r="IE11" s="228">
        <f>IF(AND(235&gt;=$NR$11,235&lt;=$NS$11),IF($NP$11="Single_Point",IF(235=$NR$11,$NN$11,0),IF($NP$11="Bell_Curve",$NN$11*(235-$NR$11+1)*($NS$11-235+1)/$NU$11,$NN$11/$NT$11)),0)</f>
        <v/>
      </c>
      <c r="IF11" s="228">
        <f>IF(AND(236&gt;=$NR$11,236&lt;=$NS$11),IF($NP$11="Single_Point",IF(236=$NR$11,$NN$11,0),IF($NP$11="Bell_Curve",$NN$11*(236-$NR$11+1)*($NS$11-236+1)/$NU$11,$NN$11/$NT$11)),0)</f>
        <v/>
      </c>
      <c r="IG11" s="228">
        <f>IF(AND(237&gt;=$NR$11,237&lt;=$NS$11),IF($NP$11="Single_Point",IF(237=$NR$11,$NN$11,0),IF($NP$11="Bell_Curve",$NN$11*(237-$NR$11+1)*($NS$11-237+1)/$NU$11,$NN$11/$NT$11)),0)</f>
        <v/>
      </c>
      <c r="IH11" s="228">
        <f>IF(AND(238&gt;=$NR$11,238&lt;=$NS$11),IF($NP$11="Single_Point",IF(238=$NR$11,$NN$11,0),IF($NP$11="Bell_Curve",$NN$11*(238-$NR$11+1)*($NS$11-238+1)/$NU$11,$NN$11/$NT$11)),0)</f>
        <v/>
      </c>
      <c r="II11" s="228">
        <f>IF(AND(239&gt;=$NR$11,239&lt;=$NS$11),IF($NP$11="Single_Point",IF(239=$NR$11,$NN$11,0),IF($NP$11="Bell_Curve",$NN$11*(239-$NR$11+1)*($NS$11-239+1)/$NU$11,$NN$11/$NT$11)),0)</f>
        <v/>
      </c>
      <c r="IJ11" s="228">
        <f>IF(AND(240&gt;=$NR$11,240&lt;=$NS$11),IF($NP$11="Single_Point",IF(240=$NR$11,$NN$11,0),IF($NP$11="Bell_Curve",$NN$11*(240-$NR$11+1)*($NS$11-240+1)/$NU$11,$NN$11/$NT$11)),0)</f>
        <v/>
      </c>
      <c r="IK11" s="228">
        <f>IF(AND(241&gt;=$NR$11,241&lt;=$NS$11),IF($NP$11="Single_Point",IF(241=$NR$11,$NN$11,0),IF($NP$11="Bell_Curve",$NN$11*(241-$NR$11+1)*($NS$11-241+1)/$NU$11,$NN$11/$NT$11)),0)</f>
        <v/>
      </c>
      <c r="IL11" s="228">
        <f>IF(AND(242&gt;=$NR$11,242&lt;=$NS$11),IF($NP$11="Single_Point",IF(242=$NR$11,$NN$11,0),IF($NP$11="Bell_Curve",$NN$11*(242-$NR$11+1)*($NS$11-242+1)/$NU$11,$NN$11/$NT$11)),0)</f>
        <v/>
      </c>
      <c r="IM11" s="228">
        <f>IF(AND(243&gt;=$NR$11,243&lt;=$NS$11),IF($NP$11="Single_Point",IF(243=$NR$11,$NN$11,0),IF($NP$11="Bell_Curve",$NN$11*(243-$NR$11+1)*($NS$11-243+1)/$NU$11,$NN$11/$NT$11)),0)</f>
        <v/>
      </c>
      <c r="IN11" s="228">
        <f>IF(AND(244&gt;=$NR$11,244&lt;=$NS$11),IF($NP$11="Single_Point",IF(244=$NR$11,$NN$11,0),IF($NP$11="Bell_Curve",$NN$11*(244-$NR$11+1)*($NS$11-244+1)/$NU$11,$NN$11/$NT$11)),0)</f>
        <v/>
      </c>
      <c r="IO11" s="228">
        <f>IF(AND(245&gt;=$NR$11,245&lt;=$NS$11),IF($NP$11="Single_Point",IF(245=$NR$11,$NN$11,0),IF($NP$11="Bell_Curve",$NN$11*(245-$NR$11+1)*($NS$11-245+1)/$NU$11,$NN$11/$NT$11)),0)</f>
        <v/>
      </c>
      <c r="IP11" s="228">
        <f>IF(AND(246&gt;=$NR$11,246&lt;=$NS$11),IF($NP$11="Single_Point",IF(246=$NR$11,$NN$11,0),IF($NP$11="Bell_Curve",$NN$11*(246-$NR$11+1)*($NS$11-246+1)/$NU$11,$NN$11/$NT$11)),0)</f>
        <v/>
      </c>
      <c r="IQ11" s="228">
        <f>IF(AND(247&gt;=$NR$11,247&lt;=$NS$11),IF($NP$11="Single_Point",IF(247=$NR$11,$NN$11,0),IF($NP$11="Bell_Curve",$NN$11*(247-$NR$11+1)*($NS$11-247+1)/$NU$11,$NN$11/$NT$11)),0)</f>
        <v/>
      </c>
      <c r="IR11" s="228">
        <f>IF(AND(248&gt;=$NR$11,248&lt;=$NS$11),IF($NP$11="Single_Point",IF(248=$NR$11,$NN$11,0),IF($NP$11="Bell_Curve",$NN$11*(248-$NR$11+1)*($NS$11-248+1)/$NU$11,$NN$11/$NT$11)),0)</f>
        <v/>
      </c>
      <c r="IS11" s="228">
        <f>IF(AND(249&gt;=$NR$11,249&lt;=$NS$11),IF($NP$11="Single_Point",IF(249=$NR$11,$NN$11,0),IF($NP$11="Bell_Curve",$NN$11*(249-$NR$11+1)*($NS$11-249+1)/$NU$11,$NN$11/$NT$11)),0)</f>
        <v/>
      </c>
      <c r="IT11" s="228">
        <f>IF(AND(250&gt;=$NR$11,250&lt;=$NS$11),IF($NP$11="Single_Point",IF(250=$NR$11,$NN$11,0),IF($NP$11="Bell_Curve",$NN$11*(250-$NR$11+1)*($NS$11-250+1)/$NU$11,$NN$11/$NT$11)),0)</f>
        <v/>
      </c>
      <c r="IU11" s="228">
        <f>IF(AND(251&gt;=$NR$11,251&lt;=$NS$11),IF($NP$11="Single_Point",IF(251=$NR$11,$NN$11,0),IF($NP$11="Bell_Curve",$NN$11*(251-$NR$11+1)*($NS$11-251+1)/$NU$11,$NN$11/$NT$11)),0)</f>
        <v/>
      </c>
      <c r="IV11" s="228">
        <f>IF(AND(252&gt;=$NR$11,252&lt;=$NS$11),IF($NP$11="Single_Point",IF(252=$NR$11,$NN$11,0),IF($NP$11="Bell_Curve",$NN$11*(252-$NR$11+1)*($NS$11-252+1)/$NU$11,$NN$11/$NT$11)),0)</f>
        <v/>
      </c>
      <c r="IW11" s="228">
        <f>IF(AND(253&gt;=$NR$11,253&lt;=$NS$11),IF($NP$11="Single_Point",IF(253=$NR$11,$NN$11,0),IF($NP$11="Bell_Curve",$NN$11*(253-$NR$11+1)*($NS$11-253+1)/$NU$11,$NN$11/$NT$11)),0)</f>
        <v/>
      </c>
      <c r="IX11" s="228">
        <f>IF(AND(254&gt;=$NR$11,254&lt;=$NS$11),IF($NP$11="Single_Point",IF(254=$NR$11,$NN$11,0),IF($NP$11="Bell_Curve",$NN$11*(254-$NR$11+1)*($NS$11-254+1)/$NU$11,$NN$11/$NT$11)),0)</f>
        <v/>
      </c>
      <c r="IY11" s="228">
        <f>IF(AND(255&gt;=$NR$11,255&lt;=$NS$11),IF($NP$11="Single_Point",IF(255=$NR$11,$NN$11,0),IF($NP$11="Bell_Curve",$NN$11*(255-$NR$11+1)*($NS$11-255+1)/$NU$11,$NN$11/$NT$11)),0)</f>
        <v/>
      </c>
      <c r="IZ11" s="228">
        <f>IF(AND(256&gt;=$NR$11,256&lt;=$NS$11),IF($NP$11="Single_Point",IF(256=$NR$11,$NN$11,0),IF($NP$11="Bell_Curve",$NN$11*(256-$NR$11+1)*($NS$11-256+1)/$NU$11,$NN$11/$NT$11)),0)</f>
        <v/>
      </c>
      <c r="JA11" s="228">
        <f>IF(AND(257&gt;=$NR$11,257&lt;=$NS$11),IF($NP$11="Single_Point",IF(257=$NR$11,$NN$11,0),IF($NP$11="Bell_Curve",$NN$11*(257-$NR$11+1)*($NS$11-257+1)/$NU$11,$NN$11/$NT$11)),0)</f>
        <v/>
      </c>
      <c r="JB11" s="228">
        <f>IF(AND(258&gt;=$NR$11,258&lt;=$NS$11),IF($NP$11="Single_Point",IF(258=$NR$11,$NN$11,0),IF($NP$11="Bell_Curve",$NN$11*(258-$NR$11+1)*($NS$11-258+1)/$NU$11,$NN$11/$NT$11)),0)</f>
        <v/>
      </c>
      <c r="JC11" s="228">
        <f>IF(AND(259&gt;=$NR$11,259&lt;=$NS$11),IF($NP$11="Single_Point",IF(259=$NR$11,$NN$11,0),IF($NP$11="Bell_Curve",$NN$11*(259-$NR$11+1)*($NS$11-259+1)/$NU$11,$NN$11/$NT$11)),0)</f>
        <v/>
      </c>
      <c r="JD11" s="228">
        <f>IF(AND(260&gt;=$NR$11,260&lt;=$NS$11),IF($NP$11="Single_Point",IF(260=$NR$11,$NN$11,0),IF($NP$11="Bell_Curve",$NN$11*(260-$NR$11+1)*($NS$11-260+1)/$NU$11,$NN$11/$NT$11)),0)</f>
        <v/>
      </c>
      <c r="JE11" s="228">
        <f>IF(AND(261&gt;=$NR$11,261&lt;=$NS$11),IF($NP$11="Single_Point",IF(261=$NR$11,$NN$11,0),IF($NP$11="Bell_Curve",$NN$11*(261-$NR$11+1)*($NS$11-261+1)/$NU$11,$NN$11/$NT$11)),0)</f>
        <v/>
      </c>
      <c r="JF11" s="228">
        <f>IF(AND(262&gt;=$NR$11,262&lt;=$NS$11),IF($NP$11="Single_Point",IF(262=$NR$11,$NN$11,0),IF($NP$11="Bell_Curve",$NN$11*(262-$NR$11+1)*($NS$11-262+1)/$NU$11,$NN$11/$NT$11)),0)</f>
        <v/>
      </c>
      <c r="JG11" s="228">
        <f>IF(AND(263&gt;=$NR$11,263&lt;=$NS$11),IF($NP$11="Single_Point",IF(263=$NR$11,$NN$11,0),IF($NP$11="Bell_Curve",$NN$11*(263-$NR$11+1)*($NS$11-263+1)/$NU$11,$NN$11/$NT$11)),0)</f>
        <v/>
      </c>
      <c r="JH11" s="228">
        <f>IF(AND(264&gt;=$NR$11,264&lt;=$NS$11),IF($NP$11="Single_Point",IF(264=$NR$11,$NN$11,0),IF($NP$11="Bell_Curve",$NN$11*(264-$NR$11+1)*($NS$11-264+1)/$NU$11,$NN$11/$NT$11)),0)</f>
        <v/>
      </c>
      <c r="JI11" s="228">
        <f>IF(AND(265&gt;=$NR$11,265&lt;=$NS$11),IF($NP$11="Single_Point",IF(265=$NR$11,$NN$11,0),IF($NP$11="Bell_Curve",$NN$11*(265-$NR$11+1)*($NS$11-265+1)/$NU$11,$NN$11/$NT$11)),0)</f>
        <v/>
      </c>
      <c r="JJ11" s="228">
        <f>IF(AND(266&gt;=$NR$11,266&lt;=$NS$11),IF($NP$11="Single_Point",IF(266=$NR$11,$NN$11,0),IF($NP$11="Bell_Curve",$NN$11*(266-$NR$11+1)*($NS$11-266+1)/$NU$11,$NN$11/$NT$11)),0)</f>
        <v/>
      </c>
      <c r="JK11" s="228">
        <f>IF(AND(267&gt;=$NR$11,267&lt;=$NS$11),IF($NP$11="Single_Point",IF(267=$NR$11,$NN$11,0),IF($NP$11="Bell_Curve",$NN$11*(267-$NR$11+1)*($NS$11-267+1)/$NU$11,$NN$11/$NT$11)),0)</f>
        <v/>
      </c>
      <c r="JL11" s="228">
        <f>IF(AND(268&gt;=$NR$11,268&lt;=$NS$11),IF($NP$11="Single_Point",IF(268=$NR$11,$NN$11,0),IF($NP$11="Bell_Curve",$NN$11*(268-$NR$11+1)*($NS$11-268+1)/$NU$11,$NN$11/$NT$11)),0)</f>
        <v/>
      </c>
      <c r="JM11" s="228">
        <f>IF(AND(269&gt;=$NR$11,269&lt;=$NS$11),IF($NP$11="Single_Point",IF(269=$NR$11,$NN$11,0),IF($NP$11="Bell_Curve",$NN$11*(269-$NR$11+1)*($NS$11-269+1)/$NU$11,$NN$11/$NT$11)),0)</f>
        <v/>
      </c>
      <c r="JN11" s="228">
        <f>IF(AND(270&gt;=$NR$11,270&lt;=$NS$11),IF($NP$11="Single_Point",IF(270=$NR$11,$NN$11,0),IF($NP$11="Bell_Curve",$NN$11*(270-$NR$11+1)*($NS$11-270+1)/$NU$11,$NN$11/$NT$11)),0)</f>
        <v/>
      </c>
      <c r="JO11" s="228">
        <f>IF(AND(271&gt;=$NR$11,271&lt;=$NS$11),IF($NP$11="Single_Point",IF(271=$NR$11,$NN$11,0),IF($NP$11="Bell_Curve",$NN$11*(271-$NR$11+1)*($NS$11-271+1)/$NU$11,$NN$11/$NT$11)),0)</f>
        <v/>
      </c>
      <c r="JP11" s="228">
        <f>IF(AND(272&gt;=$NR$11,272&lt;=$NS$11),IF($NP$11="Single_Point",IF(272=$NR$11,$NN$11,0),IF($NP$11="Bell_Curve",$NN$11*(272-$NR$11+1)*($NS$11-272+1)/$NU$11,$NN$11/$NT$11)),0)</f>
        <v/>
      </c>
      <c r="JQ11" s="228">
        <f>IF(AND(273&gt;=$NR$11,273&lt;=$NS$11),IF($NP$11="Single_Point",IF(273=$NR$11,$NN$11,0),IF($NP$11="Bell_Curve",$NN$11*(273-$NR$11+1)*($NS$11-273+1)/$NU$11,$NN$11/$NT$11)),0)</f>
        <v/>
      </c>
      <c r="JR11" s="228">
        <f>IF(AND(274&gt;=$NR$11,274&lt;=$NS$11),IF($NP$11="Single_Point",IF(274=$NR$11,$NN$11,0),IF($NP$11="Bell_Curve",$NN$11*(274-$NR$11+1)*($NS$11-274+1)/$NU$11,$NN$11/$NT$11)),0)</f>
        <v/>
      </c>
      <c r="JS11" s="228">
        <f>IF(AND(275&gt;=$NR$11,275&lt;=$NS$11),IF($NP$11="Single_Point",IF(275=$NR$11,$NN$11,0),IF($NP$11="Bell_Curve",$NN$11*(275-$NR$11+1)*($NS$11-275+1)/$NU$11,$NN$11/$NT$11)),0)</f>
        <v/>
      </c>
      <c r="JT11" s="228">
        <f>IF(AND(276&gt;=$NR$11,276&lt;=$NS$11),IF($NP$11="Single_Point",IF(276=$NR$11,$NN$11,0),IF($NP$11="Bell_Curve",$NN$11*(276-$NR$11+1)*($NS$11-276+1)/$NU$11,$NN$11/$NT$11)),0)</f>
        <v/>
      </c>
      <c r="JU11" s="228">
        <f>IF(AND(277&gt;=$NR$11,277&lt;=$NS$11),IF($NP$11="Single_Point",IF(277=$NR$11,$NN$11,0),IF($NP$11="Bell_Curve",$NN$11*(277-$NR$11+1)*($NS$11-277+1)/$NU$11,$NN$11/$NT$11)),0)</f>
        <v/>
      </c>
      <c r="JV11" s="228">
        <f>IF(AND(278&gt;=$NR$11,278&lt;=$NS$11),IF($NP$11="Single_Point",IF(278=$NR$11,$NN$11,0),IF($NP$11="Bell_Curve",$NN$11*(278-$NR$11+1)*($NS$11-278+1)/$NU$11,$NN$11/$NT$11)),0)</f>
        <v/>
      </c>
      <c r="JW11" s="228">
        <f>IF(AND(279&gt;=$NR$11,279&lt;=$NS$11),IF($NP$11="Single_Point",IF(279=$NR$11,$NN$11,0),IF($NP$11="Bell_Curve",$NN$11*(279-$NR$11+1)*($NS$11-279+1)/$NU$11,$NN$11/$NT$11)),0)</f>
        <v/>
      </c>
      <c r="JX11" s="228">
        <f>IF(AND(280&gt;=$NR$11,280&lt;=$NS$11),IF($NP$11="Single_Point",IF(280=$NR$11,$NN$11,0),IF($NP$11="Bell_Curve",$NN$11*(280-$NR$11+1)*($NS$11-280+1)/$NU$11,$NN$11/$NT$11)),0)</f>
        <v/>
      </c>
      <c r="JY11" s="228">
        <f>IF(AND(281&gt;=$NR$11,281&lt;=$NS$11),IF($NP$11="Single_Point",IF(281=$NR$11,$NN$11,0),IF($NP$11="Bell_Curve",$NN$11*(281-$NR$11+1)*($NS$11-281+1)/$NU$11,$NN$11/$NT$11)),0)</f>
        <v/>
      </c>
      <c r="JZ11" s="228">
        <f>IF(AND(282&gt;=$NR$11,282&lt;=$NS$11),IF($NP$11="Single_Point",IF(282=$NR$11,$NN$11,0),IF($NP$11="Bell_Curve",$NN$11*(282-$NR$11+1)*($NS$11-282+1)/$NU$11,$NN$11/$NT$11)),0)</f>
        <v/>
      </c>
      <c r="KA11" s="228">
        <f>IF(AND(283&gt;=$NR$11,283&lt;=$NS$11),IF($NP$11="Single_Point",IF(283=$NR$11,$NN$11,0),IF($NP$11="Bell_Curve",$NN$11*(283-$NR$11+1)*($NS$11-283+1)/$NU$11,$NN$11/$NT$11)),0)</f>
        <v/>
      </c>
      <c r="KB11" s="228">
        <f>IF(AND(284&gt;=$NR$11,284&lt;=$NS$11),IF($NP$11="Single_Point",IF(284=$NR$11,$NN$11,0),IF($NP$11="Bell_Curve",$NN$11*(284-$NR$11+1)*($NS$11-284+1)/$NU$11,$NN$11/$NT$11)),0)</f>
        <v/>
      </c>
      <c r="KC11" s="228">
        <f>IF(AND(285&gt;=$NR$11,285&lt;=$NS$11),IF($NP$11="Single_Point",IF(285=$NR$11,$NN$11,0),IF($NP$11="Bell_Curve",$NN$11*(285-$NR$11+1)*($NS$11-285+1)/$NU$11,$NN$11/$NT$11)),0)</f>
        <v/>
      </c>
      <c r="KD11" s="228">
        <f>IF(AND(286&gt;=$NR$11,286&lt;=$NS$11),IF($NP$11="Single_Point",IF(286=$NR$11,$NN$11,0),IF($NP$11="Bell_Curve",$NN$11*(286-$NR$11+1)*($NS$11-286+1)/$NU$11,$NN$11/$NT$11)),0)</f>
        <v/>
      </c>
      <c r="KE11" s="228">
        <f>IF(AND(287&gt;=$NR$11,287&lt;=$NS$11),IF($NP$11="Single_Point",IF(287=$NR$11,$NN$11,0),IF($NP$11="Bell_Curve",$NN$11*(287-$NR$11+1)*($NS$11-287+1)/$NU$11,$NN$11/$NT$11)),0)</f>
        <v/>
      </c>
      <c r="KF11" s="228">
        <f>IF(AND(288&gt;=$NR$11,288&lt;=$NS$11),IF($NP$11="Single_Point",IF(288=$NR$11,$NN$11,0),IF($NP$11="Bell_Curve",$NN$11*(288-$NR$11+1)*($NS$11-288+1)/$NU$11,$NN$11/$NT$11)),0)</f>
        <v/>
      </c>
      <c r="KG11" s="228">
        <f>IF(AND(289&gt;=$NR$11,289&lt;=$NS$11),IF($NP$11="Single_Point",IF(289=$NR$11,$NN$11,0),IF($NP$11="Bell_Curve",$NN$11*(289-$NR$11+1)*($NS$11-289+1)/$NU$11,$NN$11/$NT$11)),0)</f>
        <v/>
      </c>
      <c r="KH11" s="228">
        <f>IF(AND(290&gt;=$NR$11,290&lt;=$NS$11),IF($NP$11="Single_Point",IF(290=$NR$11,$NN$11,0),IF($NP$11="Bell_Curve",$NN$11*(290-$NR$11+1)*($NS$11-290+1)/$NU$11,$NN$11/$NT$11)),0)</f>
        <v/>
      </c>
      <c r="KI11" s="228">
        <f>IF(AND(291&gt;=$NR$11,291&lt;=$NS$11),IF($NP$11="Single_Point",IF(291=$NR$11,$NN$11,0),IF($NP$11="Bell_Curve",$NN$11*(291-$NR$11+1)*($NS$11-291+1)/$NU$11,$NN$11/$NT$11)),0)</f>
        <v/>
      </c>
      <c r="KJ11" s="228">
        <f>IF(AND(292&gt;=$NR$11,292&lt;=$NS$11),IF($NP$11="Single_Point",IF(292=$NR$11,$NN$11,0),IF($NP$11="Bell_Curve",$NN$11*(292-$NR$11+1)*($NS$11-292+1)/$NU$11,$NN$11/$NT$11)),0)</f>
        <v/>
      </c>
      <c r="KK11" s="228">
        <f>IF(AND(293&gt;=$NR$11,293&lt;=$NS$11),IF($NP$11="Single_Point",IF(293=$NR$11,$NN$11,0),IF($NP$11="Bell_Curve",$NN$11*(293-$NR$11+1)*($NS$11-293+1)/$NU$11,$NN$11/$NT$11)),0)</f>
        <v/>
      </c>
      <c r="KL11" s="228">
        <f>IF(AND(294&gt;=$NR$11,294&lt;=$NS$11),IF($NP$11="Single_Point",IF(294=$NR$11,$NN$11,0),IF($NP$11="Bell_Curve",$NN$11*(294-$NR$11+1)*($NS$11-294+1)/$NU$11,$NN$11/$NT$11)),0)</f>
        <v/>
      </c>
      <c r="KM11" s="228">
        <f>IF(AND(295&gt;=$NR$11,295&lt;=$NS$11),IF($NP$11="Single_Point",IF(295=$NR$11,$NN$11,0),IF($NP$11="Bell_Curve",$NN$11*(295-$NR$11+1)*($NS$11-295+1)/$NU$11,$NN$11/$NT$11)),0)</f>
        <v/>
      </c>
      <c r="KN11" s="228">
        <f>IF(AND(296&gt;=$NR$11,296&lt;=$NS$11),IF($NP$11="Single_Point",IF(296=$NR$11,$NN$11,0),IF($NP$11="Bell_Curve",$NN$11*(296-$NR$11+1)*($NS$11-296+1)/$NU$11,$NN$11/$NT$11)),0)</f>
        <v/>
      </c>
      <c r="KO11" s="228">
        <f>IF(AND(297&gt;=$NR$11,297&lt;=$NS$11),IF($NP$11="Single_Point",IF(297=$NR$11,$NN$11,0),IF($NP$11="Bell_Curve",$NN$11*(297-$NR$11+1)*($NS$11-297+1)/$NU$11,$NN$11/$NT$11)),0)</f>
        <v/>
      </c>
      <c r="KP11" s="228">
        <f>IF(AND(298&gt;=$NR$11,298&lt;=$NS$11),IF($NP$11="Single_Point",IF(298=$NR$11,$NN$11,0),IF($NP$11="Bell_Curve",$NN$11*(298-$NR$11+1)*($NS$11-298+1)/$NU$11,$NN$11/$NT$11)),0)</f>
        <v/>
      </c>
      <c r="KQ11" s="228">
        <f>IF(AND(299&gt;=$NR$11,299&lt;=$NS$11),IF($NP$11="Single_Point",IF(299=$NR$11,$NN$11,0),IF($NP$11="Bell_Curve",$NN$11*(299-$NR$11+1)*($NS$11-299+1)/$NU$11,$NN$11/$NT$11)),0)</f>
        <v/>
      </c>
      <c r="KR11" s="228">
        <f>IF(AND(300&gt;=$NR$11,300&lt;=$NS$11),IF($NP$11="Single_Point",IF(300=$NR$11,$NN$11,0),IF($NP$11="Bell_Curve",$NN$11*(300-$NR$11+1)*($NS$11-300+1)/$NU$11,$NN$11/$NT$11)),0)</f>
        <v/>
      </c>
      <c r="KS11" s="228">
        <f>IF(AND(301&gt;=$NR$11,301&lt;=$NS$11),IF($NP$11="Single_Point",IF(301=$NR$11,$NN$11,0),IF($NP$11="Bell_Curve",$NN$11*(301-$NR$11+1)*($NS$11-301+1)/$NU$11,$NN$11/$NT$11)),0)</f>
        <v/>
      </c>
      <c r="KT11" s="228">
        <f>IF(AND(302&gt;=$NR$11,302&lt;=$NS$11),IF($NP$11="Single_Point",IF(302=$NR$11,$NN$11,0),IF($NP$11="Bell_Curve",$NN$11*(302-$NR$11+1)*($NS$11-302+1)/$NU$11,$NN$11/$NT$11)),0)</f>
        <v/>
      </c>
      <c r="KU11" s="228">
        <f>IF(AND(303&gt;=$NR$11,303&lt;=$NS$11),IF($NP$11="Single_Point",IF(303=$NR$11,$NN$11,0),IF($NP$11="Bell_Curve",$NN$11*(303-$NR$11+1)*($NS$11-303+1)/$NU$11,$NN$11/$NT$11)),0)</f>
        <v/>
      </c>
      <c r="KV11" s="228">
        <f>IF(AND(304&gt;=$NR$11,304&lt;=$NS$11),IF($NP$11="Single_Point",IF(304=$NR$11,$NN$11,0),IF($NP$11="Bell_Curve",$NN$11*(304-$NR$11+1)*($NS$11-304+1)/$NU$11,$NN$11/$NT$11)),0)</f>
        <v/>
      </c>
      <c r="KW11" s="228">
        <f>IF(AND(305&gt;=$NR$11,305&lt;=$NS$11),IF($NP$11="Single_Point",IF(305=$NR$11,$NN$11,0),IF($NP$11="Bell_Curve",$NN$11*(305-$NR$11+1)*($NS$11-305+1)/$NU$11,$NN$11/$NT$11)),0)</f>
        <v/>
      </c>
      <c r="KX11" s="228">
        <f>IF(AND(306&gt;=$NR$11,306&lt;=$NS$11),IF($NP$11="Single_Point",IF(306=$NR$11,$NN$11,0),IF($NP$11="Bell_Curve",$NN$11*(306-$NR$11+1)*($NS$11-306+1)/$NU$11,$NN$11/$NT$11)),0)</f>
        <v/>
      </c>
      <c r="KY11" s="228">
        <f>IF(AND(307&gt;=$NR$11,307&lt;=$NS$11),IF($NP$11="Single_Point",IF(307=$NR$11,$NN$11,0),IF($NP$11="Bell_Curve",$NN$11*(307-$NR$11+1)*($NS$11-307+1)/$NU$11,$NN$11/$NT$11)),0)</f>
        <v/>
      </c>
      <c r="KZ11" s="228">
        <f>IF(AND(308&gt;=$NR$11,308&lt;=$NS$11),IF($NP$11="Single_Point",IF(308=$NR$11,$NN$11,0),IF($NP$11="Bell_Curve",$NN$11*(308-$NR$11+1)*($NS$11-308+1)/$NU$11,$NN$11/$NT$11)),0)</f>
        <v/>
      </c>
      <c r="LA11" s="228">
        <f>IF(AND(309&gt;=$NR$11,309&lt;=$NS$11),IF($NP$11="Single_Point",IF(309=$NR$11,$NN$11,0),IF($NP$11="Bell_Curve",$NN$11*(309-$NR$11+1)*($NS$11-309+1)/$NU$11,$NN$11/$NT$11)),0)</f>
        <v/>
      </c>
      <c r="LB11" s="228">
        <f>IF(AND(310&gt;=$NR$11,310&lt;=$NS$11),IF($NP$11="Single_Point",IF(310=$NR$11,$NN$11,0),IF($NP$11="Bell_Curve",$NN$11*(310-$NR$11+1)*($NS$11-310+1)/$NU$11,$NN$11/$NT$11)),0)</f>
        <v/>
      </c>
      <c r="LC11" s="228">
        <f>IF(AND(311&gt;=$NR$11,311&lt;=$NS$11),IF($NP$11="Single_Point",IF(311=$NR$11,$NN$11,0),IF($NP$11="Bell_Curve",$NN$11*(311-$NR$11+1)*($NS$11-311+1)/$NU$11,$NN$11/$NT$11)),0)</f>
        <v/>
      </c>
      <c r="LD11" s="228">
        <f>IF(AND(312&gt;=$NR$11,312&lt;=$NS$11),IF($NP$11="Single_Point",IF(312=$NR$11,$NN$11,0),IF($NP$11="Bell_Curve",$NN$11*(312-$NR$11+1)*($NS$11-312+1)/$NU$11,$NN$11/$NT$11)),0)</f>
        <v/>
      </c>
      <c r="LE11" s="228">
        <f>IF(AND(313&gt;=$NR$11,313&lt;=$NS$11),IF($NP$11="Single_Point",IF(313=$NR$11,$NN$11,0),IF($NP$11="Bell_Curve",$NN$11*(313-$NR$11+1)*($NS$11-313+1)/$NU$11,$NN$11/$NT$11)),0)</f>
        <v/>
      </c>
      <c r="LF11" s="228">
        <f>IF(AND(314&gt;=$NR$11,314&lt;=$NS$11),IF($NP$11="Single_Point",IF(314=$NR$11,$NN$11,0),IF($NP$11="Bell_Curve",$NN$11*(314-$NR$11+1)*($NS$11-314+1)/$NU$11,$NN$11/$NT$11)),0)</f>
        <v/>
      </c>
      <c r="LG11" s="228">
        <f>IF(AND(315&gt;=$NR$11,315&lt;=$NS$11),IF($NP$11="Single_Point",IF(315=$NR$11,$NN$11,0),IF($NP$11="Bell_Curve",$NN$11*(315-$NR$11+1)*($NS$11-315+1)/$NU$11,$NN$11/$NT$11)),0)</f>
        <v/>
      </c>
      <c r="LH11" s="228">
        <f>IF(AND(316&gt;=$NR$11,316&lt;=$NS$11),IF($NP$11="Single_Point",IF(316=$NR$11,$NN$11,0),IF($NP$11="Bell_Curve",$NN$11*(316-$NR$11+1)*($NS$11-316+1)/$NU$11,$NN$11/$NT$11)),0)</f>
        <v/>
      </c>
      <c r="LI11" s="228">
        <f>IF(AND(317&gt;=$NR$11,317&lt;=$NS$11),IF($NP$11="Single_Point",IF(317=$NR$11,$NN$11,0),IF($NP$11="Bell_Curve",$NN$11*(317-$NR$11+1)*($NS$11-317+1)/$NU$11,$NN$11/$NT$11)),0)</f>
        <v/>
      </c>
      <c r="LJ11" s="228">
        <f>IF(AND(318&gt;=$NR$11,318&lt;=$NS$11),IF($NP$11="Single_Point",IF(318=$NR$11,$NN$11,0),IF($NP$11="Bell_Curve",$NN$11*(318-$NR$11+1)*($NS$11-318+1)/$NU$11,$NN$11/$NT$11)),0)</f>
        <v/>
      </c>
      <c r="LK11" s="228">
        <f>IF(AND(319&gt;=$NR$11,319&lt;=$NS$11),IF($NP$11="Single_Point",IF(319=$NR$11,$NN$11,0),IF($NP$11="Bell_Curve",$NN$11*(319-$NR$11+1)*($NS$11-319+1)/$NU$11,$NN$11/$NT$11)),0)</f>
        <v/>
      </c>
      <c r="LL11" s="228">
        <f>IF(AND(320&gt;=$NR$11,320&lt;=$NS$11),IF($NP$11="Single_Point",IF(320=$NR$11,$NN$11,0),IF($NP$11="Bell_Curve",$NN$11*(320-$NR$11+1)*($NS$11-320+1)/$NU$11,$NN$11/$NT$11)),0)</f>
        <v/>
      </c>
      <c r="LM11" s="228">
        <f>IF(AND(321&gt;=$NR$11,321&lt;=$NS$11),IF($NP$11="Single_Point",IF(321=$NR$11,$NN$11,0),IF($NP$11="Bell_Curve",$NN$11*(321-$NR$11+1)*($NS$11-321+1)/$NU$11,$NN$11/$NT$11)),0)</f>
        <v/>
      </c>
      <c r="LN11" s="228">
        <f>IF(AND(322&gt;=$NR$11,322&lt;=$NS$11),IF($NP$11="Single_Point",IF(322=$NR$11,$NN$11,0),IF($NP$11="Bell_Curve",$NN$11*(322-$NR$11+1)*($NS$11-322+1)/$NU$11,$NN$11/$NT$11)),0)</f>
        <v/>
      </c>
      <c r="LO11" s="228">
        <f>IF(AND(323&gt;=$NR$11,323&lt;=$NS$11),IF($NP$11="Single_Point",IF(323=$NR$11,$NN$11,0),IF($NP$11="Bell_Curve",$NN$11*(323-$NR$11+1)*($NS$11-323+1)/$NU$11,$NN$11/$NT$11)),0)</f>
        <v/>
      </c>
      <c r="LP11" s="228">
        <f>IF(AND(324&gt;=$NR$11,324&lt;=$NS$11),IF($NP$11="Single_Point",IF(324=$NR$11,$NN$11,0),IF($NP$11="Bell_Curve",$NN$11*(324-$NR$11+1)*($NS$11-324+1)/$NU$11,$NN$11/$NT$11)),0)</f>
        <v/>
      </c>
      <c r="LQ11" s="228">
        <f>IF(AND(325&gt;=$NR$11,325&lt;=$NS$11),IF($NP$11="Single_Point",IF(325=$NR$11,$NN$11,0),IF($NP$11="Bell_Curve",$NN$11*(325-$NR$11+1)*($NS$11-325+1)/$NU$11,$NN$11/$NT$11)),0)</f>
        <v/>
      </c>
      <c r="LR11" s="228">
        <f>IF(AND(326&gt;=$NR$11,326&lt;=$NS$11),IF($NP$11="Single_Point",IF(326=$NR$11,$NN$11,0),IF($NP$11="Bell_Curve",$NN$11*(326-$NR$11+1)*($NS$11-326+1)/$NU$11,$NN$11/$NT$11)),0)</f>
        <v/>
      </c>
      <c r="LS11" s="228">
        <f>IF(AND(327&gt;=$NR$11,327&lt;=$NS$11),IF($NP$11="Single_Point",IF(327=$NR$11,$NN$11,0),IF($NP$11="Bell_Curve",$NN$11*(327-$NR$11+1)*($NS$11-327+1)/$NU$11,$NN$11/$NT$11)),0)</f>
        <v/>
      </c>
      <c r="LT11" s="228">
        <f>IF(AND(328&gt;=$NR$11,328&lt;=$NS$11),IF($NP$11="Single_Point",IF(328=$NR$11,$NN$11,0),IF($NP$11="Bell_Curve",$NN$11*(328-$NR$11+1)*($NS$11-328+1)/$NU$11,$NN$11/$NT$11)),0)</f>
        <v/>
      </c>
      <c r="LU11" s="228">
        <f>IF(AND(329&gt;=$NR$11,329&lt;=$NS$11),IF($NP$11="Single_Point",IF(329=$NR$11,$NN$11,0),IF($NP$11="Bell_Curve",$NN$11*(329-$NR$11+1)*($NS$11-329+1)/$NU$11,$NN$11/$NT$11)),0)</f>
        <v/>
      </c>
      <c r="LV11" s="228">
        <f>IF(AND(330&gt;=$NR$11,330&lt;=$NS$11),IF($NP$11="Single_Point",IF(330=$NR$11,$NN$11,0),IF($NP$11="Bell_Curve",$NN$11*(330-$NR$11+1)*($NS$11-330+1)/$NU$11,$NN$11/$NT$11)),0)</f>
        <v/>
      </c>
      <c r="LW11" s="228">
        <f>IF(AND(331&gt;=$NR$11,331&lt;=$NS$11),IF($NP$11="Single_Point",IF(331=$NR$11,$NN$11,0),IF($NP$11="Bell_Curve",$NN$11*(331-$NR$11+1)*($NS$11-331+1)/$NU$11,$NN$11/$NT$11)),0)</f>
        <v/>
      </c>
      <c r="LX11" s="228">
        <f>IF(AND(332&gt;=$NR$11,332&lt;=$NS$11),IF($NP$11="Single_Point",IF(332=$NR$11,$NN$11,0),IF($NP$11="Bell_Curve",$NN$11*(332-$NR$11+1)*($NS$11-332+1)/$NU$11,$NN$11/$NT$11)),0)</f>
        <v/>
      </c>
      <c r="LY11" s="228">
        <f>IF(AND(333&gt;=$NR$11,333&lt;=$NS$11),IF($NP$11="Single_Point",IF(333=$NR$11,$NN$11,0),IF($NP$11="Bell_Curve",$NN$11*(333-$NR$11+1)*($NS$11-333+1)/$NU$11,$NN$11/$NT$11)),0)</f>
        <v/>
      </c>
      <c r="LZ11" s="228">
        <f>IF(AND(334&gt;=$NR$11,334&lt;=$NS$11),IF($NP$11="Single_Point",IF(334=$NR$11,$NN$11,0),IF($NP$11="Bell_Curve",$NN$11*(334-$NR$11+1)*($NS$11-334+1)/$NU$11,$NN$11/$NT$11)),0)</f>
        <v/>
      </c>
      <c r="MA11" s="228">
        <f>IF(AND(335&gt;=$NR$11,335&lt;=$NS$11),IF($NP$11="Single_Point",IF(335=$NR$11,$NN$11,0),IF($NP$11="Bell_Curve",$NN$11*(335-$NR$11+1)*($NS$11-335+1)/$NU$11,$NN$11/$NT$11)),0)</f>
        <v/>
      </c>
      <c r="MB11" s="228">
        <f>IF(AND(336&gt;=$NR$11,336&lt;=$NS$11),IF($NP$11="Single_Point",IF(336=$NR$11,$NN$11,0),IF($NP$11="Bell_Curve",$NN$11*(336-$NR$11+1)*($NS$11-336+1)/$NU$11,$NN$11/$NT$11)),0)</f>
        <v/>
      </c>
      <c r="MC11" s="228">
        <f>IF(AND(337&gt;=$NR$11,337&lt;=$NS$11),IF($NP$11="Single_Point",IF(337=$NR$11,$NN$11,0),IF($NP$11="Bell_Curve",$NN$11*(337-$NR$11+1)*($NS$11-337+1)/$NU$11,$NN$11/$NT$11)),0)</f>
        <v/>
      </c>
      <c r="MD11" s="228">
        <f>IF(AND(338&gt;=$NR$11,338&lt;=$NS$11),IF($NP$11="Single_Point",IF(338=$NR$11,$NN$11,0),IF($NP$11="Bell_Curve",$NN$11*(338-$NR$11+1)*($NS$11-338+1)/$NU$11,$NN$11/$NT$11)),0)</f>
        <v/>
      </c>
      <c r="ME11" s="228">
        <f>IF(AND(339&gt;=$NR$11,339&lt;=$NS$11),IF($NP$11="Single_Point",IF(339=$NR$11,$NN$11,0),IF($NP$11="Bell_Curve",$NN$11*(339-$NR$11+1)*($NS$11-339+1)/$NU$11,$NN$11/$NT$11)),0)</f>
        <v/>
      </c>
      <c r="MF11" s="228">
        <f>IF(AND(340&gt;=$NR$11,340&lt;=$NS$11),IF($NP$11="Single_Point",IF(340=$NR$11,$NN$11,0),IF($NP$11="Bell_Curve",$NN$11*(340-$NR$11+1)*($NS$11-340+1)/$NU$11,$NN$11/$NT$11)),0)</f>
        <v/>
      </c>
      <c r="MG11" s="228">
        <f>IF(AND(341&gt;=$NR$11,341&lt;=$NS$11),IF($NP$11="Single_Point",IF(341=$NR$11,$NN$11,0),IF($NP$11="Bell_Curve",$NN$11*(341-$NR$11+1)*($NS$11-341+1)/$NU$11,$NN$11/$NT$11)),0)</f>
        <v/>
      </c>
      <c r="MH11" s="228">
        <f>IF(AND(342&gt;=$NR$11,342&lt;=$NS$11),IF($NP$11="Single_Point",IF(342=$NR$11,$NN$11,0),IF($NP$11="Bell_Curve",$NN$11*(342-$NR$11+1)*($NS$11-342+1)/$NU$11,$NN$11/$NT$11)),0)</f>
        <v/>
      </c>
      <c r="MI11" s="228">
        <f>IF(AND(343&gt;=$NR$11,343&lt;=$NS$11),IF($NP$11="Single_Point",IF(343=$NR$11,$NN$11,0),IF($NP$11="Bell_Curve",$NN$11*(343-$NR$11+1)*($NS$11-343+1)/$NU$11,$NN$11/$NT$11)),0)</f>
        <v/>
      </c>
      <c r="MJ11" s="228">
        <f>IF(AND(344&gt;=$NR$11,344&lt;=$NS$11),IF($NP$11="Single_Point",IF(344=$NR$11,$NN$11,0),IF($NP$11="Bell_Curve",$NN$11*(344-$NR$11+1)*($NS$11-344+1)/$NU$11,$NN$11/$NT$11)),0)</f>
        <v/>
      </c>
      <c r="MK11" s="228">
        <f>IF(AND(345&gt;=$NR$11,345&lt;=$NS$11),IF($NP$11="Single_Point",IF(345=$NR$11,$NN$11,0),IF($NP$11="Bell_Curve",$NN$11*(345-$NR$11+1)*($NS$11-345+1)/$NU$11,$NN$11/$NT$11)),0)</f>
        <v/>
      </c>
      <c r="ML11" s="228">
        <f>IF(AND(346&gt;=$NR$11,346&lt;=$NS$11),IF($NP$11="Single_Point",IF(346=$NR$11,$NN$11,0),IF($NP$11="Bell_Curve",$NN$11*(346-$NR$11+1)*($NS$11-346+1)/$NU$11,$NN$11/$NT$11)),0)</f>
        <v/>
      </c>
      <c r="MM11" s="228">
        <f>IF(AND(347&gt;=$NR$11,347&lt;=$NS$11),IF($NP$11="Single_Point",IF(347=$NR$11,$NN$11,0),IF($NP$11="Bell_Curve",$NN$11*(347-$NR$11+1)*($NS$11-347+1)/$NU$11,$NN$11/$NT$11)),0)</f>
        <v/>
      </c>
      <c r="MN11" s="228">
        <f>IF(AND(348&gt;=$NR$11,348&lt;=$NS$11),IF($NP$11="Single_Point",IF(348=$NR$11,$NN$11,0),IF($NP$11="Bell_Curve",$NN$11*(348-$NR$11+1)*($NS$11-348+1)/$NU$11,$NN$11/$NT$11)),0)</f>
        <v/>
      </c>
      <c r="MO11" s="228">
        <f>IF(AND(349&gt;=$NR$11,349&lt;=$NS$11),IF($NP$11="Single_Point",IF(349=$NR$11,$NN$11,0),IF($NP$11="Bell_Curve",$NN$11*(349-$NR$11+1)*($NS$11-349+1)/$NU$11,$NN$11/$NT$11)),0)</f>
        <v/>
      </c>
      <c r="MP11" s="228">
        <f>IF(AND(350&gt;=$NR$11,350&lt;=$NS$11),IF($NP$11="Single_Point",IF(350=$NR$11,$NN$11,0),IF($NP$11="Bell_Curve",$NN$11*(350-$NR$11+1)*($NS$11-350+1)/$NU$11,$NN$11/$NT$11)),0)</f>
        <v/>
      </c>
      <c r="MQ11" s="228">
        <f>IF(AND(351&gt;=$NR$11,351&lt;=$NS$11),IF($NP$11="Single_Point",IF(351=$NR$11,$NN$11,0),IF($NP$11="Bell_Curve",$NN$11*(351-$NR$11+1)*($NS$11-351+1)/$NU$11,$NN$11/$NT$11)),0)</f>
        <v/>
      </c>
      <c r="MR11" s="228">
        <f>IF(AND(352&gt;=$NR$11,352&lt;=$NS$11),IF($NP$11="Single_Point",IF(352=$NR$11,$NN$11,0),IF($NP$11="Bell_Curve",$NN$11*(352-$NR$11+1)*($NS$11-352+1)/$NU$11,$NN$11/$NT$11)),0)</f>
        <v/>
      </c>
      <c r="MS11" s="228">
        <f>IF(AND(353&gt;=$NR$11,353&lt;=$NS$11),IF($NP$11="Single_Point",IF(353=$NR$11,$NN$11,0),IF($NP$11="Bell_Curve",$NN$11*(353-$NR$11+1)*($NS$11-353+1)/$NU$11,$NN$11/$NT$11)),0)</f>
        <v/>
      </c>
      <c r="MT11" s="228">
        <f>IF(AND(354&gt;=$NR$11,354&lt;=$NS$11),IF($NP$11="Single_Point",IF(354=$NR$11,$NN$11,0),IF($NP$11="Bell_Curve",$NN$11*(354-$NR$11+1)*($NS$11-354+1)/$NU$11,$NN$11/$NT$11)),0)</f>
        <v/>
      </c>
      <c r="MU11" s="228">
        <f>IF(AND(355&gt;=$NR$11,355&lt;=$NS$11),IF($NP$11="Single_Point",IF(355=$NR$11,$NN$11,0),IF($NP$11="Bell_Curve",$NN$11*(355-$NR$11+1)*($NS$11-355+1)/$NU$11,$NN$11/$NT$11)),0)</f>
        <v/>
      </c>
      <c r="MV11" s="228">
        <f>IF(AND(356&gt;=$NR$11,356&lt;=$NS$11),IF($NP$11="Single_Point",IF(356=$NR$11,$NN$11,0),IF($NP$11="Bell_Curve",$NN$11*(356-$NR$11+1)*($NS$11-356+1)/$NU$11,$NN$11/$NT$11)),0)</f>
        <v/>
      </c>
      <c r="MW11" s="228">
        <f>IF(AND(357&gt;=$NR$11,357&lt;=$NS$11),IF($NP$11="Single_Point",IF(357=$NR$11,$NN$11,0),IF($NP$11="Bell_Curve",$NN$11*(357-$NR$11+1)*($NS$11-357+1)/$NU$11,$NN$11/$NT$11)),0)</f>
        <v/>
      </c>
      <c r="MX11" s="228">
        <f>IF(AND(358&gt;=$NR$11,358&lt;=$NS$11),IF($NP$11="Single_Point",IF(358=$NR$11,$NN$11,0),IF($NP$11="Bell_Curve",$NN$11*(358-$NR$11+1)*($NS$11-358+1)/$NU$11,$NN$11/$NT$11)),0)</f>
        <v/>
      </c>
      <c r="MY11" s="228">
        <f>IF(AND(359&gt;=$NR$11,359&lt;=$NS$11),IF($NP$11="Single_Point",IF(359=$NR$11,$NN$11,0),IF($NP$11="Bell_Curve",$NN$11*(359-$NR$11+1)*($NS$11-359+1)/$NU$11,$NN$11/$NT$11)),0)</f>
        <v/>
      </c>
      <c r="MZ11" s="228">
        <f>IF(AND(360&gt;=$NR$11,360&lt;=$NS$11),IF($NP$11="Single_Point",IF(360=$NR$11,$NN$11,0),IF($NP$11="Bell_Curve",$NN$11*(360-$NR$11+1)*($NS$11-360+1)/$NU$11,$NN$11/$NT$11)),0)</f>
        <v/>
      </c>
      <c r="NA11" s="228">
        <f>IF(AND(361&gt;=$NR$11,361&lt;=$NS$11),IF($NP$11="Single_Point",IF(361=$NR$11,$NN$11,0),IF($NP$11="Bell_Curve",$NN$11*(361-$NR$11+1)*($NS$11-361+1)/$NU$11,$NN$11/$NT$11)),0)</f>
        <v/>
      </c>
      <c r="NB11" s="228">
        <f>IF(AND(362&gt;=$NR$11,362&lt;=$NS$11),IF($NP$11="Single_Point",IF(362=$NR$11,$NN$11,0),IF($NP$11="Bell_Curve",$NN$11*(362-$NR$11+1)*($NS$11-362+1)/$NU$11,$NN$11/$NT$11)),0)</f>
        <v/>
      </c>
      <c r="NC11" s="228">
        <f>IF(AND(363&gt;=$NR$11,363&lt;=$NS$11),IF($NP$11="Single_Point",IF(363=$NR$11,$NN$11,0),IF($NP$11="Bell_Curve",$NN$11*(363-$NR$11+1)*($NS$11-363+1)/$NU$11,$NN$11/$NT$11)),0)</f>
        <v/>
      </c>
      <c r="ND11" s="228">
        <f>IF(AND(364&gt;=$NR$11,364&lt;=$NS$11),IF($NP$11="Single_Point",IF(364=$NR$11,$NN$11,0),IF($NP$11="Bell_Curve",$NN$11*(364-$NR$11+1)*($NS$11-364+1)/$NU$11,$NN$11/$NT$11)),0)</f>
        <v/>
      </c>
      <c r="NE11" s="228">
        <f>IF(AND(365&gt;=$NR$11,365&lt;=$NS$11),IF($NP$11="Single_Point",IF(365=$NR$11,$NN$11,0),IF($NP$11="Bell_Curve",$NN$11*(365-$NR$11+1)*($NS$11-365+1)/$NU$11,$NN$11/$NT$11)),0)</f>
        <v/>
      </c>
      <c r="NF11" s="228">
        <f>IF(AND(366&gt;=$NR$11,366&lt;=$NS$11),IF($NP$11="Single_Point",IF(366=$NR$11,$NN$11,0),IF($NP$11="Bell_Curve",$NN$11*(366-$NR$11+1)*($NS$11-366+1)/$NU$11,$NN$11/$NT$11)),0)</f>
        <v/>
      </c>
      <c r="NG11" s="228">
        <f>IF(AND(367&gt;=$NR$11,367&lt;=$NS$11),IF($NP$11="Single_Point",IF(367=$NR$11,$NN$11,0),IF($NP$11="Bell_Curve",$NN$11*(367-$NR$11+1)*($NS$11-367+1)/$NU$11,$NN$11/$NT$11)),0)</f>
        <v/>
      </c>
      <c r="NH11" s="228">
        <f>IF(AND(368&gt;=$NR$11,368&lt;=$NS$11),IF($NP$11="Single_Point",IF(368=$NR$11,$NN$11,0),IF($NP$11="Bell_Curve",$NN$11*(368-$NR$11+1)*($NS$11-368+1)/$NU$11,$NN$11/$NT$11)),0)</f>
        <v/>
      </c>
      <c r="NI11" s="228">
        <f>IF(AND(369&gt;=$NR$11,369&lt;=$NS$11),IF($NP$11="Single_Point",IF(369=$NR$11,$NN$11,0),IF($NP$11="Bell_Curve",$NN$11*(369-$NR$11+1)*($NS$11-369+1)/$NU$11,$NN$11/$NT$11)),0)</f>
        <v/>
      </c>
      <c r="NJ11" s="228">
        <f>IF(AND(370&gt;=$NR$11,370&lt;=$NS$11),IF($NP$11="Single_Point",IF(370=$NR$11,$NN$11,0),IF($NP$11="Bell_Curve",$NN$11*(370-$NR$11+1)*($NS$11-370+1)/$NU$11,$NN$11/$NT$11)),0)</f>
        <v/>
      </c>
      <c r="NK11" s="228">
        <f>IF(AND(371&gt;=$NR$11,371&lt;=$NS$11),IF($NP$11="Single_Point",IF(371=$NR$11,$NN$11,0),IF($NP$11="Bell_Curve",$NN$11*(371-$NR$11+1)*($NS$11-371+1)/$NU$11,$NN$11/$NT$11)),0)</f>
        <v/>
      </c>
      <c r="NL11" s="247">
        <f>IF(AND(372&gt;=$NR$11,372&lt;=$NS$11),IF($NP$11="Single_Point",IF(372=$NR$11,$NN$11,0),IF($NP$11="Bell_Curve",$NN$11*(372-$NR$11+1)*($NS$11-372+1)/$NU$11,$NN$11/$NT$11)),0)</f>
        <v/>
      </c>
      <c r="NN11" s="218">
        <f>Budget!J10</f>
        <v/>
      </c>
      <c r="NO11" s="144">
        <f>Budget!G10</f>
        <v/>
      </c>
      <c r="NP11" s="144">
        <f>Budget!H10</f>
        <v/>
      </c>
      <c r="NQ11" s="85">
        <f>Budget!I10</f>
        <v/>
      </c>
      <c r="NR11" s="248">
        <f>MAX(1,MIN(372,INDEX(MilestoneStart,MATCH(NO11,MilestoneNames,0))+NQ11))</f>
        <v/>
      </c>
      <c r="NS11" s="248">
        <f>MAX(NR11,MIN(372,INDEX(MilestoneEnd,MATCH(NO11,MilestoneNames,0))+NQ11))</f>
        <v/>
      </c>
      <c r="NT11" s="85">
        <f>NS11-NR11+1</f>
        <v/>
      </c>
      <c r="NU11" s="85">
        <f>NT11*(NT11+1)*(NT11+2)/6</f>
        <v/>
      </c>
    </row>
    <row r="12">
      <c r="B12" s="36" t="inlineStr">
        <is>
          <t>Legal &amp; Org.</t>
        </is>
      </c>
      <c r="D12" s="246">
        <f>SUM(E12:NL12)</f>
        <v/>
      </c>
      <c r="E12" s="228">
        <f>IF(AND(1&gt;=$NR$12,1&lt;=$NS$12),IF($NP$12="Single_Point",IF(1=$NR$12,$NN$12,0),IF($NP$12="Bell_Curve",$NN$12*(1-$NR$12+1)*($NS$12-1+1)/$NU$12,$NN$12/$NT$12)),0)</f>
        <v/>
      </c>
      <c r="F12" s="228">
        <f>IF(AND(2&gt;=$NR$12,2&lt;=$NS$12),IF($NP$12="Single_Point",IF(2=$NR$12,$NN$12,0),IF($NP$12="Bell_Curve",$NN$12*(2-$NR$12+1)*($NS$12-2+1)/$NU$12,$NN$12/$NT$12)),0)</f>
        <v/>
      </c>
      <c r="G12" s="228">
        <f>IF(AND(3&gt;=$NR$12,3&lt;=$NS$12),IF($NP$12="Single_Point",IF(3=$NR$12,$NN$12,0),IF($NP$12="Bell_Curve",$NN$12*(3-$NR$12+1)*($NS$12-3+1)/$NU$12,$NN$12/$NT$12)),0)</f>
        <v/>
      </c>
      <c r="H12" s="228">
        <f>IF(AND(4&gt;=$NR$12,4&lt;=$NS$12),IF($NP$12="Single_Point",IF(4=$NR$12,$NN$12,0),IF($NP$12="Bell_Curve",$NN$12*(4-$NR$12+1)*($NS$12-4+1)/$NU$12,$NN$12/$NT$12)),0)</f>
        <v/>
      </c>
      <c r="I12" s="228">
        <f>IF(AND(5&gt;=$NR$12,5&lt;=$NS$12),IF($NP$12="Single_Point",IF(5=$NR$12,$NN$12,0),IF($NP$12="Bell_Curve",$NN$12*(5-$NR$12+1)*($NS$12-5+1)/$NU$12,$NN$12/$NT$12)),0)</f>
        <v/>
      </c>
      <c r="J12" s="228">
        <f>IF(AND(6&gt;=$NR$12,6&lt;=$NS$12),IF($NP$12="Single_Point",IF(6=$NR$12,$NN$12,0),IF($NP$12="Bell_Curve",$NN$12*(6-$NR$12+1)*($NS$12-6+1)/$NU$12,$NN$12/$NT$12)),0)</f>
        <v/>
      </c>
      <c r="K12" s="228">
        <f>IF(AND(7&gt;=$NR$12,7&lt;=$NS$12),IF($NP$12="Single_Point",IF(7=$NR$12,$NN$12,0),IF($NP$12="Bell_Curve",$NN$12*(7-$NR$12+1)*($NS$12-7+1)/$NU$12,$NN$12/$NT$12)),0)</f>
        <v/>
      </c>
      <c r="L12" s="228">
        <f>IF(AND(8&gt;=$NR$12,8&lt;=$NS$12),IF($NP$12="Single_Point",IF(8=$NR$12,$NN$12,0),IF($NP$12="Bell_Curve",$NN$12*(8-$NR$12+1)*($NS$12-8+1)/$NU$12,$NN$12/$NT$12)),0)</f>
        <v/>
      </c>
      <c r="M12" s="228">
        <f>IF(AND(9&gt;=$NR$12,9&lt;=$NS$12),IF($NP$12="Single_Point",IF(9=$NR$12,$NN$12,0),IF($NP$12="Bell_Curve",$NN$12*(9-$NR$12+1)*($NS$12-9+1)/$NU$12,$NN$12/$NT$12)),0)</f>
        <v/>
      </c>
      <c r="N12" s="228">
        <f>IF(AND(10&gt;=$NR$12,10&lt;=$NS$12),IF($NP$12="Single_Point",IF(10=$NR$12,$NN$12,0),IF($NP$12="Bell_Curve",$NN$12*(10-$NR$12+1)*($NS$12-10+1)/$NU$12,$NN$12/$NT$12)),0)</f>
        <v/>
      </c>
      <c r="O12" s="228">
        <f>IF(AND(11&gt;=$NR$12,11&lt;=$NS$12),IF($NP$12="Single_Point",IF(11=$NR$12,$NN$12,0),IF($NP$12="Bell_Curve",$NN$12*(11-$NR$12+1)*($NS$12-11+1)/$NU$12,$NN$12/$NT$12)),0)</f>
        <v/>
      </c>
      <c r="P12" s="228">
        <f>IF(AND(12&gt;=$NR$12,12&lt;=$NS$12),IF($NP$12="Single_Point",IF(12=$NR$12,$NN$12,0),IF($NP$12="Bell_Curve",$NN$12*(12-$NR$12+1)*($NS$12-12+1)/$NU$12,$NN$12/$NT$12)),0)</f>
        <v/>
      </c>
      <c r="Q12" s="228">
        <f>IF(AND(13&gt;=$NR$12,13&lt;=$NS$12),IF($NP$12="Single_Point",IF(13=$NR$12,$NN$12,0),IF($NP$12="Bell_Curve",$NN$12*(13-$NR$12+1)*($NS$12-13+1)/$NU$12,$NN$12/$NT$12)),0)</f>
        <v/>
      </c>
      <c r="R12" s="228">
        <f>IF(AND(14&gt;=$NR$12,14&lt;=$NS$12),IF($NP$12="Single_Point",IF(14=$NR$12,$NN$12,0),IF($NP$12="Bell_Curve",$NN$12*(14-$NR$12+1)*($NS$12-14+1)/$NU$12,$NN$12/$NT$12)),0)</f>
        <v/>
      </c>
      <c r="S12" s="228">
        <f>IF(AND(15&gt;=$NR$12,15&lt;=$NS$12),IF($NP$12="Single_Point",IF(15=$NR$12,$NN$12,0),IF($NP$12="Bell_Curve",$NN$12*(15-$NR$12+1)*($NS$12-15+1)/$NU$12,$NN$12/$NT$12)),0)</f>
        <v/>
      </c>
      <c r="T12" s="228">
        <f>IF(AND(16&gt;=$NR$12,16&lt;=$NS$12),IF($NP$12="Single_Point",IF(16=$NR$12,$NN$12,0),IF($NP$12="Bell_Curve",$NN$12*(16-$NR$12+1)*($NS$12-16+1)/$NU$12,$NN$12/$NT$12)),0)</f>
        <v/>
      </c>
      <c r="U12" s="228">
        <f>IF(AND(17&gt;=$NR$12,17&lt;=$NS$12),IF($NP$12="Single_Point",IF(17=$NR$12,$NN$12,0),IF($NP$12="Bell_Curve",$NN$12*(17-$NR$12+1)*($NS$12-17+1)/$NU$12,$NN$12/$NT$12)),0)</f>
        <v/>
      </c>
      <c r="V12" s="228">
        <f>IF(AND(18&gt;=$NR$12,18&lt;=$NS$12),IF($NP$12="Single_Point",IF(18=$NR$12,$NN$12,0),IF($NP$12="Bell_Curve",$NN$12*(18-$NR$12+1)*($NS$12-18+1)/$NU$12,$NN$12/$NT$12)),0)</f>
        <v/>
      </c>
      <c r="W12" s="228">
        <f>IF(AND(19&gt;=$NR$12,19&lt;=$NS$12),IF($NP$12="Single_Point",IF(19=$NR$12,$NN$12,0),IF($NP$12="Bell_Curve",$NN$12*(19-$NR$12+1)*($NS$12-19+1)/$NU$12,$NN$12/$NT$12)),0)</f>
        <v/>
      </c>
      <c r="X12" s="228">
        <f>IF(AND(20&gt;=$NR$12,20&lt;=$NS$12),IF($NP$12="Single_Point",IF(20=$NR$12,$NN$12,0),IF($NP$12="Bell_Curve",$NN$12*(20-$NR$12+1)*($NS$12-20+1)/$NU$12,$NN$12/$NT$12)),0)</f>
        <v/>
      </c>
      <c r="Y12" s="228">
        <f>IF(AND(21&gt;=$NR$12,21&lt;=$NS$12),IF($NP$12="Single_Point",IF(21=$NR$12,$NN$12,0),IF($NP$12="Bell_Curve",$NN$12*(21-$NR$12+1)*($NS$12-21+1)/$NU$12,$NN$12/$NT$12)),0)</f>
        <v/>
      </c>
      <c r="Z12" s="228">
        <f>IF(AND(22&gt;=$NR$12,22&lt;=$NS$12),IF($NP$12="Single_Point",IF(22=$NR$12,$NN$12,0),IF($NP$12="Bell_Curve",$NN$12*(22-$NR$12+1)*($NS$12-22+1)/$NU$12,$NN$12/$NT$12)),0)</f>
        <v/>
      </c>
      <c r="AA12" s="228">
        <f>IF(AND(23&gt;=$NR$12,23&lt;=$NS$12),IF($NP$12="Single_Point",IF(23=$NR$12,$NN$12,0),IF($NP$12="Bell_Curve",$NN$12*(23-$NR$12+1)*($NS$12-23+1)/$NU$12,$NN$12/$NT$12)),0)</f>
        <v/>
      </c>
      <c r="AB12" s="228">
        <f>IF(AND(24&gt;=$NR$12,24&lt;=$NS$12),IF($NP$12="Single_Point",IF(24=$NR$12,$NN$12,0),IF($NP$12="Bell_Curve",$NN$12*(24-$NR$12+1)*($NS$12-24+1)/$NU$12,$NN$12/$NT$12)),0)</f>
        <v/>
      </c>
      <c r="AC12" s="228">
        <f>IF(AND(25&gt;=$NR$12,25&lt;=$NS$12),IF($NP$12="Single_Point",IF(25=$NR$12,$NN$12,0),IF($NP$12="Bell_Curve",$NN$12*(25-$NR$12+1)*($NS$12-25+1)/$NU$12,$NN$12/$NT$12)),0)</f>
        <v/>
      </c>
      <c r="AD12" s="228">
        <f>IF(AND(26&gt;=$NR$12,26&lt;=$NS$12),IF($NP$12="Single_Point",IF(26=$NR$12,$NN$12,0),IF($NP$12="Bell_Curve",$NN$12*(26-$NR$12+1)*($NS$12-26+1)/$NU$12,$NN$12/$NT$12)),0)</f>
        <v/>
      </c>
      <c r="AE12" s="228">
        <f>IF(AND(27&gt;=$NR$12,27&lt;=$NS$12),IF($NP$12="Single_Point",IF(27=$NR$12,$NN$12,0),IF($NP$12="Bell_Curve",$NN$12*(27-$NR$12+1)*($NS$12-27+1)/$NU$12,$NN$12/$NT$12)),0)</f>
        <v/>
      </c>
      <c r="AF12" s="228">
        <f>IF(AND(28&gt;=$NR$12,28&lt;=$NS$12),IF($NP$12="Single_Point",IF(28=$NR$12,$NN$12,0),IF($NP$12="Bell_Curve",$NN$12*(28-$NR$12+1)*($NS$12-28+1)/$NU$12,$NN$12/$NT$12)),0)</f>
        <v/>
      </c>
      <c r="AG12" s="228">
        <f>IF(AND(29&gt;=$NR$12,29&lt;=$NS$12),IF($NP$12="Single_Point",IF(29=$NR$12,$NN$12,0),IF($NP$12="Bell_Curve",$NN$12*(29-$NR$12+1)*($NS$12-29+1)/$NU$12,$NN$12/$NT$12)),0)</f>
        <v/>
      </c>
      <c r="AH12" s="228">
        <f>IF(AND(30&gt;=$NR$12,30&lt;=$NS$12),IF($NP$12="Single_Point",IF(30=$NR$12,$NN$12,0),IF($NP$12="Bell_Curve",$NN$12*(30-$NR$12+1)*($NS$12-30+1)/$NU$12,$NN$12/$NT$12)),0)</f>
        <v/>
      </c>
      <c r="AI12" s="228">
        <f>IF(AND(31&gt;=$NR$12,31&lt;=$NS$12),IF($NP$12="Single_Point",IF(31=$NR$12,$NN$12,0),IF($NP$12="Bell_Curve",$NN$12*(31-$NR$12+1)*($NS$12-31+1)/$NU$12,$NN$12/$NT$12)),0)</f>
        <v/>
      </c>
      <c r="AJ12" s="228">
        <f>IF(AND(32&gt;=$NR$12,32&lt;=$NS$12),IF($NP$12="Single_Point",IF(32=$NR$12,$NN$12,0),IF($NP$12="Bell_Curve",$NN$12*(32-$NR$12+1)*($NS$12-32+1)/$NU$12,$NN$12/$NT$12)),0)</f>
        <v/>
      </c>
      <c r="AK12" s="228">
        <f>IF(AND(33&gt;=$NR$12,33&lt;=$NS$12),IF($NP$12="Single_Point",IF(33=$NR$12,$NN$12,0),IF($NP$12="Bell_Curve",$NN$12*(33-$NR$12+1)*($NS$12-33+1)/$NU$12,$NN$12/$NT$12)),0)</f>
        <v/>
      </c>
      <c r="AL12" s="228">
        <f>IF(AND(34&gt;=$NR$12,34&lt;=$NS$12),IF($NP$12="Single_Point",IF(34=$NR$12,$NN$12,0),IF($NP$12="Bell_Curve",$NN$12*(34-$NR$12+1)*($NS$12-34+1)/$NU$12,$NN$12/$NT$12)),0)</f>
        <v/>
      </c>
      <c r="AM12" s="228">
        <f>IF(AND(35&gt;=$NR$12,35&lt;=$NS$12),IF($NP$12="Single_Point",IF(35=$NR$12,$NN$12,0),IF($NP$12="Bell_Curve",$NN$12*(35-$NR$12+1)*($NS$12-35+1)/$NU$12,$NN$12/$NT$12)),0)</f>
        <v/>
      </c>
      <c r="AN12" s="228">
        <f>IF(AND(36&gt;=$NR$12,36&lt;=$NS$12),IF($NP$12="Single_Point",IF(36=$NR$12,$NN$12,0),IF($NP$12="Bell_Curve",$NN$12*(36-$NR$12+1)*($NS$12-36+1)/$NU$12,$NN$12/$NT$12)),0)</f>
        <v/>
      </c>
      <c r="AO12" s="228">
        <f>IF(AND(37&gt;=$NR$12,37&lt;=$NS$12),IF($NP$12="Single_Point",IF(37=$NR$12,$NN$12,0),IF($NP$12="Bell_Curve",$NN$12*(37-$NR$12+1)*($NS$12-37+1)/$NU$12,$NN$12/$NT$12)),0)</f>
        <v/>
      </c>
      <c r="AP12" s="228">
        <f>IF(AND(38&gt;=$NR$12,38&lt;=$NS$12),IF($NP$12="Single_Point",IF(38=$NR$12,$NN$12,0),IF($NP$12="Bell_Curve",$NN$12*(38-$NR$12+1)*($NS$12-38+1)/$NU$12,$NN$12/$NT$12)),0)</f>
        <v/>
      </c>
      <c r="AQ12" s="228">
        <f>IF(AND(39&gt;=$NR$12,39&lt;=$NS$12),IF($NP$12="Single_Point",IF(39=$NR$12,$NN$12,0),IF($NP$12="Bell_Curve",$NN$12*(39-$NR$12+1)*($NS$12-39+1)/$NU$12,$NN$12/$NT$12)),0)</f>
        <v/>
      </c>
      <c r="AR12" s="228">
        <f>IF(AND(40&gt;=$NR$12,40&lt;=$NS$12),IF($NP$12="Single_Point",IF(40=$NR$12,$NN$12,0),IF($NP$12="Bell_Curve",$NN$12*(40-$NR$12+1)*($NS$12-40+1)/$NU$12,$NN$12/$NT$12)),0)</f>
        <v/>
      </c>
      <c r="AS12" s="228">
        <f>IF(AND(41&gt;=$NR$12,41&lt;=$NS$12),IF($NP$12="Single_Point",IF(41=$NR$12,$NN$12,0),IF($NP$12="Bell_Curve",$NN$12*(41-$NR$12+1)*($NS$12-41+1)/$NU$12,$NN$12/$NT$12)),0)</f>
        <v/>
      </c>
      <c r="AT12" s="228">
        <f>IF(AND(42&gt;=$NR$12,42&lt;=$NS$12),IF($NP$12="Single_Point",IF(42=$NR$12,$NN$12,0),IF($NP$12="Bell_Curve",$NN$12*(42-$NR$12+1)*($NS$12-42+1)/$NU$12,$NN$12/$NT$12)),0)</f>
        <v/>
      </c>
      <c r="AU12" s="228">
        <f>IF(AND(43&gt;=$NR$12,43&lt;=$NS$12),IF($NP$12="Single_Point",IF(43=$NR$12,$NN$12,0),IF($NP$12="Bell_Curve",$NN$12*(43-$NR$12+1)*($NS$12-43+1)/$NU$12,$NN$12/$NT$12)),0)</f>
        <v/>
      </c>
      <c r="AV12" s="228">
        <f>IF(AND(44&gt;=$NR$12,44&lt;=$NS$12),IF($NP$12="Single_Point",IF(44=$NR$12,$NN$12,0),IF($NP$12="Bell_Curve",$NN$12*(44-$NR$12+1)*($NS$12-44+1)/$NU$12,$NN$12/$NT$12)),0)</f>
        <v/>
      </c>
      <c r="AW12" s="228">
        <f>IF(AND(45&gt;=$NR$12,45&lt;=$NS$12),IF($NP$12="Single_Point",IF(45=$NR$12,$NN$12,0),IF($NP$12="Bell_Curve",$NN$12*(45-$NR$12+1)*($NS$12-45+1)/$NU$12,$NN$12/$NT$12)),0)</f>
        <v/>
      </c>
      <c r="AX12" s="228">
        <f>IF(AND(46&gt;=$NR$12,46&lt;=$NS$12),IF($NP$12="Single_Point",IF(46=$NR$12,$NN$12,0),IF($NP$12="Bell_Curve",$NN$12*(46-$NR$12+1)*($NS$12-46+1)/$NU$12,$NN$12/$NT$12)),0)</f>
        <v/>
      </c>
      <c r="AY12" s="228">
        <f>IF(AND(47&gt;=$NR$12,47&lt;=$NS$12),IF($NP$12="Single_Point",IF(47=$NR$12,$NN$12,0),IF($NP$12="Bell_Curve",$NN$12*(47-$NR$12+1)*($NS$12-47+1)/$NU$12,$NN$12/$NT$12)),0)</f>
        <v/>
      </c>
      <c r="AZ12" s="228">
        <f>IF(AND(48&gt;=$NR$12,48&lt;=$NS$12),IF($NP$12="Single_Point",IF(48=$NR$12,$NN$12,0),IF($NP$12="Bell_Curve",$NN$12*(48-$NR$12+1)*($NS$12-48+1)/$NU$12,$NN$12/$NT$12)),0)</f>
        <v/>
      </c>
      <c r="BA12" s="228">
        <f>IF(AND(49&gt;=$NR$12,49&lt;=$NS$12),IF($NP$12="Single_Point",IF(49=$NR$12,$NN$12,0),IF($NP$12="Bell_Curve",$NN$12*(49-$NR$12+1)*($NS$12-49+1)/$NU$12,$NN$12/$NT$12)),0)</f>
        <v/>
      </c>
      <c r="BB12" s="228">
        <f>IF(AND(50&gt;=$NR$12,50&lt;=$NS$12),IF($NP$12="Single_Point",IF(50=$NR$12,$NN$12,0),IF($NP$12="Bell_Curve",$NN$12*(50-$NR$12+1)*($NS$12-50+1)/$NU$12,$NN$12/$NT$12)),0)</f>
        <v/>
      </c>
      <c r="BC12" s="228">
        <f>IF(AND(51&gt;=$NR$12,51&lt;=$NS$12),IF($NP$12="Single_Point",IF(51=$NR$12,$NN$12,0),IF($NP$12="Bell_Curve",$NN$12*(51-$NR$12+1)*($NS$12-51+1)/$NU$12,$NN$12/$NT$12)),0)</f>
        <v/>
      </c>
      <c r="BD12" s="228">
        <f>IF(AND(52&gt;=$NR$12,52&lt;=$NS$12),IF($NP$12="Single_Point",IF(52=$NR$12,$NN$12,0),IF($NP$12="Bell_Curve",$NN$12*(52-$NR$12+1)*($NS$12-52+1)/$NU$12,$NN$12/$NT$12)),0)</f>
        <v/>
      </c>
      <c r="BE12" s="228">
        <f>IF(AND(53&gt;=$NR$12,53&lt;=$NS$12),IF($NP$12="Single_Point",IF(53=$NR$12,$NN$12,0),IF($NP$12="Bell_Curve",$NN$12*(53-$NR$12+1)*($NS$12-53+1)/$NU$12,$NN$12/$NT$12)),0)</f>
        <v/>
      </c>
      <c r="BF12" s="228">
        <f>IF(AND(54&gt;=$NR$12,54&lt;=$NS$12),IF($NP$12="Single_Point",IF(54=$NR$12,$NN$12,0),IF($NP$12="Bell_Curve",$NN$12*(54-$NR$12+1)*($NS$12-54+1)/$NU$12,$NN$12/$NT$12)),0)</f>
        <v/>
      </c>
      <c r="BG12" s="228">
        <f>IF(AND(55&gt;=$NR$12,55&lt;=$NS$12),IF($NP$12="Single_Point",IF(55=$NR$12,$NN$12,0),IF($NP$12="Bell_Curve",$NN$12*(55-$NR$12+1)*($NS$12-55+1)/$NU$12,$NN$12/$NT$12)),0)</f>
        <v/>
      </c>
      <c r="BH12" s="228">
        <f>IF(AND(56&gt;=$NR$12,56&lt;=$NS$12),IF($NP$12="Single_Point",IF(56=$NR$12,$NN$12,0),IF($NP$12="Bell_Curve",$NN$12*(56-$NR$12+1)*($NS$12-56+1)/$NU$12,$NN$12/$NT$12)),0)</f>
        <v/>
      </c>
      <c r="BI12" s="228">
        <f>IF(AND(57&gt;=$NR$12,57&lt;=$NS$12),IF($NP$12="Single_Point",IF(57=$NR$12,$NN$12,0),IF($NP$12="Bell_Curve",$NN$12*(57-$NR$12+1)*($NS$12-57+1)/$NU$12,$NN$12/$NT$12)),0)</f>
        <v/>
      </c>
      <c r="BJ12" s="228">
        <f>IF(AND(58&gt;=$NR$12,58&lt;=$NS$12),IF($NP$12="Single_Point",IF(58=$NR$12,$NN$12,0),IF($NP$12="Bell_Curve",$NN$12*(58-$NR$12+1)*($NS$12-58+1)/$NU$12,$NN$12/$NT$12)),0)</f>
        <v/>
      </c>
      <c r="BK12" s="228">
        <f>IF(AND(59&gt;=$NR$12,59&lt;=$NS$12),IF($NP$12="Single_Point",IF(59=$NR$12,$NN$12,0),IF($NP$12="Bell_Curve",$NN$12*(59-$NR$12+1)*($NS$12-59+1)/$NU$12,$NN$12/$NT$12)),0)</f>
        <v/>
      </c>
      <c r="BL12" s="228">
        <f>IF(AND(60&gt;=$NR$12,60&lt;=$NS$12),IF($NP$12="Single_Point",IF(60=$NR$12,$NN$12,0),IF($NP$12="Bell_Curve",$NN$12*(60-$NR$12+1)*($NS$12-60+1)/$NU$12,$NN$12/$NT$12)),0)</f>
        <v/>
      </c>
      <c r="BM12" s="228">
        <f>IF(AND(61&gt;=$NR$12,61&lt;=$NS$12),IF($NP$12="Single_Point",IF(61=$NR$12,$NN$12,0),IF($NP$12="Bell_Curve",$NN$12*(61-$NR$12+1)*($NS$12-61+1)/$NU$12,$NN$12/$NT$12)),0)</f>
        <v/>
      </c>
      <c r="BN12" s="228">
        <f>IF(AND(62&gt;=$NR$12,62&lt;=$NS$12),IF($NP$12="Single_Point",IF(62=$NR$12,$NN$12,0),IF($NP$12="Bell_Curve",$NN$12*(62-$NR$12+1)*($NS$12-62+1)/$NU$12,$NN$12/$NT$12)),0)</f>
        <v/>
      </c>
      <c r="BO12" s="228">
        <f>IF(AND(63&gt;=$NR$12,63&lt;=$NS$12),IF($NP$12="Single_Point",IF(63=$NR$12,$NN$12,0),IF($NP$12="Bell_Curve",$NN$12*(63-$NR$12+1)*($NS$12-63+1)/$NU$12,$NN$12/$NT$12)),0)</f>
        <v/>
      </c>
      <c r="BP12" s="228">
        <f>IF(AND(64&gt;=$NR$12,64&lt;=$NS$12),IF($NP$12="Single_Point",IF(64=$NR$12,$NN$12,0),IF($NP$12="Bell_Curve",$NN$12*(64-$NR$12+1)*($NS$12-64+1)/$NU$12,$NN$12/$NT$12)),0)</f>
        <v/>
      </c>
      <c r="BQ12" s="228">
        <f>IF(AND(65&gt;=$NR$12,65&lt;=$NS$12),IF($NP$12="Single_Point",IF(65=$NR$12,$NN$12,0),IF($NP$12="Bell_Curve",$NN$12*(65-$NR$12+1)*($NS$12-65+1)/$NU$12,$NN$12/$NT$12)),0)</f>
        <v/>
      </c>
      <c r="BR12" s="228">
        <f>IF(AND(66&gt;=$NR$12,66&lt;=$NS$12),IF($NP$12="Single_Point",IF(66=$NR$12,$NN$12,0),IF($NP$12="Bell_Curve",$NN$12*(66-$NR$12+1)*($NS$12-66+1)/$NU$12,$NN$12/$NT$12)),0)</f>
        <v/>
      </c>
      <c r="BS12" s="228">
        <f>IF(AND(67&gt;=$NR$12,67&lt;=$NS$12),IF($NP$12="Single_Point",IF(67=$NR$12,$NN$12,0),IF($NP$12="Bell_Curve",$NN$12*(67-$NR$12+1)*($NS$12-67+1)/$NU$12,$NN$12/$NT$12)),0)</f>
        <v/>
      </c>
      <c r="BT12" s="228">
        <f>IF(AND(68&gt;=$NR$12,68&lt;=$NS$12),IF($NP$12="Single_Point",IF(68=$NR$12,$NN$12,0),IF($NP$12="Bell_Curve",$NN$12*(68-$NR$12+1)*($NS$12-68+1)/$NU$12,$NN$12/$NT$12)),0)</f>
        <v/>
      </c>
      <c r="BU12" s="228">
        <f>IF(AND(69&gt;=$NR$12,69&lt;=$NS$12),IF($NP$12="Single_Point",IF(69=$NR$12,$NN$12,0),IF($NP$12="Bell_Curve",$NN$12*(69-$NR$12+1)*($NS$12-69+1)/$NU$12,$NN$12/$NT$12)),0)</f>
        <v/>
      </c>
      <c r="BV12" s="228">
        <f>IF(AND(70&gt;=$NR$12,70&lt;=$NS$12),IF($NP$12="Single_Point",IF(70=$NR$12,$NN$12,0),IF($NP$12="Bell_Curve",$NN$12*(70-$NR$12+1)*($NS$12-70+1)/$NU$12,$NN$12/$NT$12)),0)</f>
        <v/>
      </c>
      <c r="BW12" s="228">
        <f>IF(AND(71&gt;=$NR$12,71&lt;=$NS$12),IF($NP$12="Single_Point",IF(71=$NR$12,$NN$12,0),IF($NP$12="Bell_Curve",$NN$12*(71-$NR$12+1)*($NS$12-71+1)/$NU$12,$NN$12/$NT$12)),0)</f>
        <v/>
      </c>
      <c r="BX12" s="228">
        <f>IF(AND(72&gt;=$NR$12,72&lt;=$NS$12),IF($NP$12="Single_Point",IF(72=$NR$12,$NN$12,0),IF($NP$12="Bell_Curve",$NN$12*(72-$NR$12+1)*($NS$12-72+1)/$NU$12,$NN$12/$NT$12)),0)</f>
        <v/>
      </c>
      <c r="BY12" s="228">
        <f>IF(AND(73&gt;=$NR$12,73&lt;=$NS$12),IF($NP$12="Single_Point",IF(73=$NR$12,$NN$12,0),IF($NP$12="Bell_Curve",$NN$12*(73-$NR$12+1)*($NS$12-73+1)/$NU$12,$NN$12/$NT$12)),0)</f>
        <v/>
      </c>
      <c r="BZ12" s="228">
        <f>IF(AND(74&gt;=$NR$12,74&lt;=$NS$12),IF($NP$12="Single_Point",IF(74=$NR$12,$NN$12,0),IF($NP$12="Bell_Curve",$NN$12*(74-$NR$12+1)*($NS$12-74+1)/$NU$12,$NN$12/$NT$12)),0)</f>
        <v/>
      </c>
      <c r="CA12" s="228">
        <f>IF(AND(75&gt;=$NR$12,75&lt;=$NS$12),IF($NP$12="Single_Point",IF(75=$NR$12,$NN$12,0),IF($NP$12="Bell_Curve",$NN$12*(75-$NR$12+1)*($NS$12-75+1)/$NU$12,$NN$12/$NT$12)),0)</f>
        <v/>
      </c>
      <c r="CB12" s="228">
        <f>IF(AND(76&gt;=$NR$12,76&lt;=$NS$12),IF($NP$12="Single_Point",IF(76=$NR$12,$NN$12,0),IF($NP$12="Bell_Curve",$NN$12*(76-$NR$12+1)*($NS$12-76+1)/$NU$12,$NN$12/$NT$12)),0)</f>
        <v/>
      </c>
      <c r="CC12" s="228">
        <f>IF(AND(77&gt;=$NR$12,77&lt;=$NS$12),IF($NP$12="Single_Point",IF(77=$NR$12,$NN$12,0),IF($NP$12="Bell_Curve",$NN$12*(77-$NR$12+1)*($NS$12-77+1)/$NU$12,$NN$12/$NT$12)),0)</f>
        <v/>
      </c>
      <c r="CD12" s="228">
        <f>IF(AND(78&gt;=$NR$12,78&lt;=$NS$12),IF($NP$12="Single_Point",IF(78=$NR$12,$NN$12,0),IF($NP$12="Bell_Curve",$NN$12*(78-$NR$12+1)*($NS$12-78+1)/$NU$12,$NN$12/$NT$12)),0)</f>
        <v/>
      </c>
      <c r="CE12" s="228">
        <f>IF(AND(79&gt;=$NR$12,79&lt;=$NS$12),IF($NP$12="Single_Point",IF(79=$NR$12,$NN$12,0),IF($NP$12="Bell_Curve",$NN$12*(79-$NR$12+1)*($NS$12-79+1)/$NU$12,$NN$12/$NT$12)),0)</f>
        <v/>
      </c>
      <c r="CF12" s="228">
        <f>IF(AND(80&gt;=$NR$12,80&lt;=$NS$12),IF($NP$12="Single_Point",IF(80=$NR$12,$NN$12,0),IF($NP$12="Bell_Curve",$NN$12*(80-$NR$12+1)*($NS$12-80+1)/$NU$12,$NN$12/$NT$12)),0)</f>
        <v/>
      </c>
      <c r="CG12" s="228">
        <f>IF(AND(81&gt;=$NR$12,81&lt;=$NS$12),IF($NP$12="Single_Point",IF(81=$NR$12,$NN$12,0),IF($NP$12="Bell_Curve",$NN$12*(81-$NR$12+1)*($NS$12-81+1)/$NU$12,$NN$12/$NT$12)),0)</f>
        <v/>
      </c>
      <c r="CH12" s="228">
        <f>IF(AND(82&gt;=$NR$12,82&lt;=$NS$12),IF($NP$12="Single_Point",IF(82=$NR$12,$NN$12,0),IF($NP$12="Bell_Curve",$NN$12*(82-$NR$12+1)*($NS$12-82+1)/$NU$12,$NN$12/$NT$12)),0)</f>
        <v/>
      </c>
      <c r="CI12" s="228">
        <f>IF(AND(83&gt;=$NR$12,83&lt;=$NS$12),IF($NP$12="Single_Point",IF(83=$NR$12,$NN$12,0),IF($NP$12="Bell_Curve",$NN$12*(83-$NR$12+1)*($NS$12-83+1)/$NU$12,$NN$12/$NT$12)),0)</f>
        <v/>
      </c>
      <c r="CJ12" s="228">
        <f>IF(AND(84&gt;=$NR$12,84&lt;=$NS$12),IF($NP$12="Single_Point",IF(84=$NR$12,$NN$12,0),IF($NP$12="Bell_Curve",$NN$12*(84-$NR$12+1)*($NS$12-84+1)/$NU$12,$NN$12/$NT$12)),0)</f>
        <v/>
      </c>
      <c r="CK12" s="228">
        <f>IF(AND(85&gt;=$NR$12,85&lt;=$NS$12),IF($NP$12="Single_Point",IF(85=$NR$12,$NN$12,0),IF($NP$12="Bell_Curve",$NN$12*(85-$NR$12+1)*($NS$12-85+1)/$NU$12,$NN$12/$NT$12)),0)</f>
        <v/>
      </c>
      <c r="CL12" s="228">
        <f>IF(AND(86&gt;=$NR$12,86&lt;=$NS$12),IF($NP$12="Single_Point",IF(86=$NR$12,$NN$12,0),IF($NP$12="Bell_Curve",$NN$12*(86-$NR$12+1)*($NS$12-86+1)/$NU$12,$NN$12/$NT$12)),0)</f>
        <v/>
      </c>
      <c r="CM12" s="228">
        <f>IF(AND(87&gt;=$NR$12,87&lt;=$NS$12),IF($NP$12="Single_Point",IF(87=$NR$12,$NN$12,0),IF($NP$12="Bell_Curve",$NN$12*(87-$NR$12+1)*($NS$12-87+1)/$NU$12,$NN$12/$NT$12)),0)</f>
        <v/>
      </c>
      <c r="CN12" s="228">
        <f>IF(AND(88&gt;=$NR$12,88&lt;=$NS$12),IF($NP$12="Single_Point",IF(88=$NR$12,$NN$12,0),IF($NP$12="Bell_Curve",$NN$12*(88-$NR$12+1)*($NS$12-88+1)/$NU$12,$NN$12/$NT$12)),0)</f>
        <v/>
      </c>
      <c r="CO12" s="228">
        <f>IF(AND(89&gt;=$NR$12,89&lt;=$NS$12),IF($NP$12="Single_Point",IF(89=$NR$12,$NN$12,0),IF($NP$12="Bell_Curve",$NN$12*(89-$NR$12+1)*($NS$12-89+1)/$NU$12,$NN$12/$NT$12)),0)</f>
        <v/>
      </c>
      <c r="CP12" s="228">
        <f>IF(AND(90&gt;=$NR$12,90&lt;=$NS$12),IF($NP$12="Single_Point",IF(90=$NR$12,$NN$12,0),IF($NP$12="Bell_Curve",$NN$12*(90-$NR$12+1)*($NS$12-90+1)/$NU$12,$NN$12/$NT$12)),0)</f>
        <v/>
      </c>
      <c r="CQ12" s="228">
        <f>IF(AND(91&gt;=$NR$12,91&lt;=$NS$12),IF($NP$12="Single_Point",IF(91=$NR$12,$NN$12,0),IF($NP$12="Bell_Curve",$NN$12*(91-$NR$12+1)*($NS$12-91+1)/$NU$12,$NN$12/$NT$12)),0)</f>
        <v/>
      </c>
      <c r="CR12" s="228">
        <f>IF(AND(92&gt;=$NR$12,92&lt;=$NS$12),IF($NP$12="Single_Point",IF(92=$NR$12,$NN$12,0),IF($NP$12="Bell_Curve",$NN$12*(92-$NR$12+1)*($NS$12-92+1)/$NU$12,$NN$12/$NT$12)),0)</f>
        <v/>
      </c>
      <c r="CS12" s="228">
        <f>IF(AND(93&gt;=$NR$12,93&lt;=$NS$12),IF($NP$12="Single_Point",IF(93=$NR$12,$NN$12,0),IF($NP$12="Bell_Curve",$NN$12*(93-$NR$12+1)*($NS$12-93+1)/$NU$12,$NN$12/$NT$12)),0)</f>
        <v/>
      </c>
      <c r="CT12" s="228">
        <f>IF(AND(94&gt;=$NR$12,94&lt;=$NS$12),IF($NP$12="Single_Point",IF(94=$NR$12,$NN$12,0),IF($NP$12="Bell_Curve",$NN$12*(94-$NR$12+1)*($NS$12-94+1)/$NU$12,$NN$12/$NT$12)),0)</f>
        <v/>
      </c>
      <c r="CU12" s="228">
        <f>IF(AND(95&gt;=$NR$12,95&lt;=$NS$12),IF($NP$12="Single_Point",IF(95=$NR$12,$NN$12,0),IF($NP$12="Bell_Curve",$NN$12*(95-$NR$12+1)*($NS$12-95+1)/$NU$12,$NN$12/$NT$12)),0)</f>
        <v/>
      </c>
      <c r="CV12" s="228">
        <f>IF(AND(96&gt;=$NR$12,96&lt;=$NS$12),IF($NP$12="Single_Point",IF(96=$NR$12,$NN$12,0),IF($NP$12="Bell_Curve",$NN$12*(96-$NR$12+1)*($NS$12-96+1)/$NU$12,$NN$12/$NT$12)),0)</f>
        <v/>
      </c>
      <c r="CW12" s="228">
        <f>IF(AND(97&gt;=$NR$12,97&lt;=$NS$12),IF($NP$12="Single_Point",IF(97=$NR$12,$NN$12,0),IF($NP$12="Bell_Curve",$NN$12*(97-$NR$12+1)*($NS$12-97+1)/$NU$12,$NN$12/$NT$12)),0)</f>
        <v/>
      </c>
      <c r="CX12" s="228">
        <f>IF(AND(98&gt;=$NR$12,98&lt;=$NS$12),IF($NP$12="Single_Point",IF(98=$NR$12,$NN$12,0),IF($NP$12="Bell_Curve",$NN$12*(98-$NR$12+1)*($NS$12-98+1)/$NU$12,$NN$12/$NT$12)),0)</f>
        <v/>
      </c>
      <c r="CY12" s="228">
        <f>IF(AND(99&gt;=$NR$12,99&lt;=$NS$12),IF($NP$12="Single_Point",IF(99=$NR$12,$NN$12,0),IF($NP$12="Bell_Curve",$NN$12*(99-$NR$12+1)*($NS$12-99+1)/$NU$12,$NN$12/$NT$12)),0)</f>
        <v/>
      </c>
      <c r="CZ12" s="228">
        <f>IF(AND(100&gt;=$NR$12,100&lt;=$NS$12),IF($NP$12="Single_Point",IF(100=$NR$12,$NN$12,0),IF($NP$12="Bell_Curve",$NN$12*(100-$NR$12+1)*($NS$12-100+1)/$NU$12,$NN$12/$NT$12)),0)</f>
        <v/>
      </c>
      <c r="DA12" s="228">
        <f>IF(AND(101&gt;=$NR$12,101&lt;=$NS$12),IF($NP$12="Single_Point",IF(101=$NR$12,$NN$12,0),IF($NP$12="Bell_Curve",$NN$12*(101-$NR$12+1)*($NS$12-101+1)/$NU$12,$NN$12/$NT$12)),0)</f>
        <v/>
      </c>
      <c r="DB12" s="228">
        <f>IF(AND(102&gt;=$NR$12,102&lt;=$NS$12),IF($NP$12="Single_Point",IF(102=$NR$12,$NN$12,0),IF($NP$12="Bell_Curve",$NN$12*(102-$NR$12+1)*($NS$12-102+1)/$NU$12,$NN$12/$NT$12)),0)</f>
        <v/>
      </c>
      <c r="DC12" s="228">
        <f>IF(AND(103&gt;=$NR$12,103&lt;=$NS$12),IF($NP$12="Single_Point",IF(103=$NR$12,$NN$12,0),IF($NP$12="Bell_Curve",$NN$12*(103-$NR$12+1)*($NS$12-103+1)/$NU$12,$NN$12/$NT$12)),0)</f>
        <v/>
      </c>
      <c r="DD12" s="228">
        <f>IF(AND(104&gt;=$NR$12,104&lt;=$NS$12),IF($NP$12="Single_Point",IF(104=$NR$12,$NN$12,0),IF($NP$12="Bell_Curve",$NN$12*(104-$NR$12+1)*($NS$12-104+1)/$NU$12,$NN$12/$NT$12)),0)</f>
        <v/>
      </c>
      <c r="DE12" s="228">
        <f>IF(AND(105&gt;=$NR$12,105&lt;=$NS$12),IF($NP$12="Single_Point",IF(105=$NR$12,$NN$12,0),IF($NP$12="Bell_Curve",$NN$12*(105-$NR$12+1)*($NS$12-105+1)/$NU$12,$NN$12/$NT$12)),0)</f>
        <v/>
      </c>
      <c r="DF12" s="228">
        <f>IF(AND(106&gt;=$NR$12,106&lt;=$NS$12),IF($NP$12="Single_Point",IF(106=$NR$12,$NN$12,0),IF($NP$12="Bell_Curve",$NN$12*(106-$NR$12+1)*($NS$12-106+1)/$NU$12,$NN$12/$NT$12)),0)</f>
        <v/>
      </c>
      <c r="DG12" s="228">
        <f>IF(AND(107&gt;=$NR$12,107&lt;=$NS$12),IF($NP$12="Single_Point",IF(107=$NR$12,$NN$12,0),IF($NP$12="Bell_Curve",$NN$12*(107-$NR$12+1)*($NS$12-107+1)/$NU$12,$NN$12/$NT$12)),0)</f>
        <v/>
      </c>
      <c r="DH12" s="228">
        <f>IF(AND(108&gt;=$NR$12,108&lt;=$NS$12),IF($NP$12="Single_Point",IF(108=$NR$12,$NN$12,0),IF($NP$12="Bell_Curve",$NN$12*(108-$NR$12+1)*($NS$12-108+1)/$NU$12,$NN$12/$NT$12)),0)</f>
        <v/>
      </c>
      <c r="DI12" s="228">
        <f>IF(AND(109&gt;=$NR$12,109&lt;=$NS$12),IF($NP$12="Single_Point",IF(109=$NR$12,$NN$12,0),IF($NP$12="Bell_Curve",$NN$12*(109-$NR$12+1)*($NS$12-109+1)/$NU$12,$NN$12/$NT$12)),0)</f>
        <v/>
      </c>
      <c r="DJ12" s="228">
        <f>IF(AND(110&gt;=$NR$12,110&lt;=$NS$12),IF($NP$12="Single_Point",IF(110=$NR$12,$NN$12,0),IF($NP$12="Bell_Curve",$NN$12*(110-$NR$12+1)*($NS$12-110+1)/$NU$12,$NN$12/$NT$12)),0)</f>
        <v/>
      </c>
      <c r="DK12" s="228">
        <f>IF(AND(111&gt;=$NR$12,111&lt;=$NS$12),IF($NP$12="Single_Point",IF(111=$NR$12,$NN$12,0),IF($NP$12="Bell_Curve",$NN$12*(111-$NR$12+1)*($NS$12-111+1)/$NU$12,$NN$12/$NT$12)),0)</f>
        <v/>
      </c>
      <c r="DL12" s="228">
        <f>IF(AND(112&gt;=$NR$12,112&lt;=$NS$12),IF($NP$12="Single_Point",IF(112=$NR$12,$NN$12,0),IF($NP$12="Bell_Curve",$NN$12*(112-$NR$12+1)*($NS$12-112+1)/$NU$12,$NN$12/$NT$12)),0)</f>
        <v/>
      </c>
      <c r="DM12" s="228">
        <f>IF(AND(113&gt;=$NR$12,113&lt;=$NS$12),IF($NP$12="Single_Point",IF(113=$NR$12,$NN$12,0),IF($NP$12="Bell_Curve",$NN$12*(113-$NR$12+1)*($NS$12-113+1)/$NU$12,$NN$12/$NT$12)),0)</f>
        <v/>
      </c>
      <c r="DN12" s="228">
        <f>IF(AND(114&gt;=$NR$12,114&lt;=$NS$12),IF($NP$12="Single_Point",IF(114=$NR$12,$NN$12,0),IF($NP$12="Bell_Curve",$NN$12*(114-$NR$12+1)*($NS$12-114+1)/$NU$12,$NN$12/$NT$12)),0)</f>
        <v/>
      </c>
      <c r="DO12" s="228">
        <f>IF(AND(115&gt;=$NR$12,115&lt;=$NS$12),IF($NP$12="Single_Point",IF(115=$NR$12,$NN$12,0),IF($NP$12="Bell_Curve",$NN$12*(115-$NR$12+1)*($NS$12-115+1)/$NU$12,$NN$12/$NT$12)),0)</f>
        <v/>
      </c>
      <c r="DP12" s="228">
        <f>IF(AND(116&gt;=$NR$12,116&lt;=$NS$12),IF($NP$12="Single_Point",IF(116=$NR$12,$NN$12,0),IF($NP$12="Bell_Curve",$NN$12*(116-$NR$12+1)*($NS$12-116+1)/$NU$12,$NN$12/$NT$12)),0)</f>
        <v/>
      </c>
      <c r="DQ12" s="228">
        <f>IF(AND(117&gt;=$NR$12,117&lt;=$NS$12),IF($NP$12="Single_Point",IF(117=$NR$12,$NN$12,0),IF($NP$12="Bell_Curve",$NN$12*(117-$NR$12+1)*($NS$12-117+1)/$NU$12,$NN$12/$NT$12)),0)</f>
        <v/>
      </c>
      <c r="DR12" s="228">
        <f>IF(AND(118&gt;=$NR$12,118&lt;=$NS$12),IF($NP$12="Single_Point",IF(118=$NR$12,$NN$12,0),IF($NP$12="Bell_Curve",$NN$12*(118-$NR$12+1)*($NS$12-118+1)/$NU$12,$NN$12/$NT$12)),0)</f>
        <v/>
      </c>
      <c r="DS12" s="228">
        <f>IF(AND(119&gt;=$NR$12,119&lt;=$NS$12),IF($NP$12="Single_Point",IF(119=$NR$12,$NN$12,0),IF($NP$12="Bell_Curve",$NN$12*(119-$NR$12+1)*($NS$12-119+1)/$NU$12,$NN$12/$NT$12)),0)</f>
        <v/>
      </c>
      <c r="DT12" s="228">
        <f>IF(AND(120&gt;=$NR$12,120&lt;=$NS$12),IF($NP$12="Single_Point",IF(120=$NR$12,$NN$12,0),IF($NP$12="Bell_Curve",$NN$12*(120-$NR$12+1)*($NS$12-120+1)/$NU$12,$NN$12/$NT$12)),0)</f>
        <v/>
      </c>
      <c r="DU12" s="228">
        <f>IF(AND(121&gt;=$NR$12,121&lt;=$NS$12),IF($NP$12="Single_Point",IF(121=$NR$12,$NN$12,0),IF($NP$12="Bell_Curve",$NN$12*(121-$NR$12+1)*($NS$12-121+1)/$NU$12,$NN$12/$NT$12)),0)</f>
        <v/>
      </c>
      <c r="DV12" s="228">
        <f>IF(AND(122&gt;=$NR$12,122&lt;=$NS$12),IF($NP$12="Single_Point",IF(122=$NR$12,$NN$12,0),IF($NP$12="Bell_Curve",$NN$12*(122-$NR$12+1)*($NS$12-122+1)/$NU$12,$NN$12/$NT$12)),0)</f>
        <v/>
      </c>
      <c r="DW12" s="228">
        <f>IF(AND(123&gt;=$NR$12,123&lt;=$NS$12),IF($NP$12="Single_Point",IF(123=$NR$12,$NN$12,0),IF($NP$12="Bell_Curve",$NN$12*(123-$NR$12+1)*($NS$12-123+1)/$NU$12,$NN$12/$NT$12)),0)</f>
        <v/>
      </c>
      <c r="DX12" s="228">
        <f>IF(AND(124&gt;=$NR$12,124&lt;=$NS$12),IF($NP$12="Single_Point",IF(124=$NR$12,$NN$12,0),IF($NP$12="Bell_Curve",$NN$12*(124-$NR$12+1)*($NS$12-124+1)/$NU$12,$NN$12/$NT$12)),0)</f>
        <v/>
      </c>
      <c r="DY12" s="228">
        <f>IF(AND(125&gt;=$NR$12,125&lt;=$NS$12),IF($NP$12="Single_Point",IF(125=$NR$12,$NN$12,0),IF($NP$12="Bell_Curve",$NN$12*(125-$NR$12+1)*($NS$12-125+1)/$NU$12,$NN$12/$NT$12)),0)</f>
        <v/>
      </c>
      <c r="DZ12" s="228">
        <f>IF(AND(126&gt;=$NR$12,126&lt;=$NS$12),IF($NP$12="Single_Point",IF(126=$NR$12,$NN$12,0),IF($NP$12="Bell_Curve",$NN$12*(126-$NR$12+1)*($NS$12-126+1)/$NU$12,$NN$12/$NT$12)),0)</f>
        <v/>
      </c>
      <c r="EA12" s="228">
        <f>IF(AND(127&gt;=$NR$12,127&lt;=$NS$12),IF($NP$12="Single_Point",IF(127=$NR$12,$NN$12,0),IF($NP$12="Bell_Curve",$NN$12*(127-$NR$12+1)*($NS$12-127+1)/$NU$12,$NN$12/$NT$12)),0)</f>
        <v/>
      </c>
      <c r="EB12" s="228">
        <f>IF(AND(128&gt;=$NR$12,128&lt;=$NS$12),IF($NP$12="Single_Point",IF(128=$NR$12,$NN$12,0),IF($NP$12="Bell_Curve",$NN$12*(128-$NR$12+1)*($NS$12-128+1)/$NU$12,$NN$12/$NT$12)),0)</f>
        <v/>
      </c>
      <c r="EC12" s="228">
        <f>IF(AND(129&gt;=$NR$12,129&lt;=$NS$12),IF($NP$12="Single_Point",IF(129=$NR$12,$NN$12,0),IF($NP$12="Bell_Curve",$NN$12*(129-$NR$12+1)*($NS$12-129+1)/$NU$12,$NN$12/$NT$12)),0)</f>
        <v/>
      </c>
      <c r="ED12" s="228">
        <f>IF(AND(130&gt;=$NR$12,130&lt;=$NS$12),IF($NP$12="Single_Point",IF(130=$NR$12,$NN$12,0),IF($NP$12="Bell_Curve",$NN$12*(130-$NR$12+1)*($NS$12-130+1)/$NU$12,$NN$12/$NT$12)),0)</f>
        <v/>
      </c>
      <c r="EE12" s="228">
        <f>IF(AND(131&gt;=$NR$12,131&lt;=$NS$12),IF($NP$12="Single_Point",IF(131=$NR$12,$NN$12,0),IF($NP$12="Bell_Curve",$NN$12*(131-$NR$12+1)*($NS$12-131+1)/$NU$12,$NN$12/$NT$12)),0)</f>
        <v/>
      </c>
      <c r="EF12" s="228">
        <f>IF(AND(132&gt;=$NR$12,132&lt;=$NS$12),IF($NP$12="Single_Point",IF(132=$NR$12,$NN$12,0),IF($NP$12="Bell_Curve",$NN$12*(132-$NR$12+1)*($NS$12-132+1)/$NU$12,$NN$12/$NT$12)),0)</f>
        <v/>
      </c>
      <c r="EG12" s="228">
        <f>IF(AND(133&gt;=$NR$12,133&lt;=$NS$12),IF($NP$12="Single_Point",IF(133=$NR$12,$NN$12,0),IF($NP$12="Bell_Curve",$NN$12*(133-$NR$12+1)*($NS$12-133+1)/$NU$12,$NN$12/$NT$12)),0)</f>
        <v/>
      </c>
      <c r="EH12" s="228">
        <f>IF(AND(134&gt;=$NR$12,134&lt;=$NS$12),IF($NP$12="Single_Point",IF(134=$NR$12,$NN$12,0),IF($NP$12="Bell_Curve",$NN$12*(134-$NR$12+1)*($NS$12-134+1)/$NU$12,$NN$12/$NT$12)),0)</f>
        <v/>
      </c>
      <c r="EI12" s="228">
        <f>IF(AND(135&gt;=$NR$12,135&lt;=$NS$12),IF($NP$12="Single_Point",IF(135=$NR$12,$NN$12,0),IF($NP$12="Bell_Curve",$NN$12*(135-$NR$12+1)*($NS$12-135+1)/$NU$12,$NN$12/$NT$12)),0)</f>
        <v/>
      </c>
      <c r="EJ12" s="228">
        <f>IF(AND(136&gt;=$NR$12,136&lt;=$NS$12),IF($NP$12="Single_Point",IF(136=$NR$12,$NN$12,0),IF($NP$12="Bell_Curve",$NN$12*(136-$NR$12+1)*($NS$12-136+1)/$NU$12,$NN$12/$NT$12)),0)</f>
        <v/>
      </c>
      <c r="EK12" s="228">
        <f>IF(AND(137&gt;=$NR$12,137&lt;=$NS$12),IF($NP$12="Single_Point",IF(137=$NR$12,$NN$12,0),IF($NP$12="Bell_Curve",$NN$12*(137-$NR$12+1)*($NS$12-137+1)/$NU$12,$NN$12/$NT$12)),0)</f>
        <v/>
      </c>
      <c r="EL12" s="228">
        <f>IF(AND(138&gt;=$NR$12,138&lt;=$NS$12),IF($NP$12="Single_Point",IF(138=$NR$12,$NN$12,0),IF($NP$12="Bell_Curve",$NN$12*(138-$NR$12+1)*($NS$12-138+1)/$NU$12,$NN$12/$NT$12)),0)</f>
        <v/>
      </c>
      <c r="EM12" s="228">
        <f>IF(AND(139&gt;=$NR$12,139&lt;=$NS$12),IF($NP$12="Single_Point",IF(139=$NR$12,$NN$12,0),IF($NP$12="Bell_Curve",$NN$12*(139-$NR$12+1)*($NS$12-139+1)/$NU$12,$NN$12/$NT$12)),0)</f>
        <v/>
      </c>
      <c r="EN12" s="228">
        <f>IF(AND(140&gt;=$NR$12,140&lt;=$NS$12),IF($NP$12="Single_Point",IF(140=$NR$12,$NN$12,0),IF($NP$12="Bell_Curve",$NN$12*(140-$NR$12+1)*($NS$12-140+1)/$NU$12,$NN$12/$NT$12)),0)</f>
        <v/>
      </c>
      <c r="EO12" s="228">
        <f>IF(AND(141&gt;=$NR$12,141&lt;=$NS$12),IF($NP$12="Single_Point",IF(141=$NR$12,$NN$12,0),IF($NP$12="Bell_Curve",$NN$12*(141-$NR$12+1)*($NS$12-141+1)/$NU$12,$NN$12/$NT$12)),0)</f>
        <v/>
      </c>
      <c r="EP12" s="228">
        <f>IF(AND(142&gt;=$NR$12,142&lt;=$NS$12),IF($NP$12="Single_Point",IF(142=$NR$12,$NN$12,0),IF($NP$12="Bell_Curve",$NN$12*(142-$NR$12+1)*($NS$12-142+1)/$NU$12,$NN$12/$NT$12)),0)</f>
        <v/>
      </c>
      <c r="EQ12" s="228">
        <f>IF(AND(143&gt;=$NR$12,143&lt;=$NS$12),IF($NP$12="Single_Point",IF(143=$NR$12,$NN$12,0),IF($NP$12="Bell_Curve",$NN$12*(143-$NR$12+1)*($NS$12-143+1)/$NU$12,$NN$12/$NT$12)),0)</f>
        <v/>
      </c>
      <c r="ER12" s="228">
        <f>IF(AND(144&gt;=$NR$12,144&lt;=$NS$12),IF($NP$12="Single_Point",IF(144=$NR$12,$NN$12,0),IF($NP$12="Bell_Curve",$NN$12*(144-$NR$12+1)*($NS$12-144+1)/$NU$12,$NN$12/$NT$12)),0)</f>
        <v/>
      </c>
      <c r="ES12" s="228">
        <f>IF(AND(145&gt;=$NR$12,145&lt;=$NS$12),IF($NP$12="Single_Point",IF(145=$NR$12,$NN$12,0),IF($NP$12="Bell_Curve",$NN$12*(145-$NR$12+1)*($NS$12-145+1)/$NU$12,$NN$12/$NT$12)),0)</f>
        <v/>
      </c>
      <c r="ET12" s="228">
        <f>IF(AND(146&gt;=$NR$12,146&lt;=$NS$12),IF($NP$12="Single_Point",IF(146=$NR$12,$NN$12,0),IF($NP$12="Bell_Curve",$NN$12*(146-$NR$12+1)*($NS$12-146+1)/$NU$12,$NN$12/$NT$12)),0)</f>
        <v/>
      </c>
      <c r="EU12" s="228">
        <f>IF(AND(147&gt;=$NR$12,147&lt;=$NS$12),IF($NP$12="Single_Point",IF(147=$NR$12,$NN$12,0),IF($NP$12="Bell_Curve",$NN$12*(147-$NR$12+1)*($NS$12-147+1)/$NU$12,$NN$12/$NT$12)),0)</f>
        <v/>
      </c>
      <c r="EV12" s="228">
        <f>IF(AND(148&gt;=$NR$12,148&lt;=$NS$12),IF($NP$12="Single_Point",IF(148=$NR$12,$NN$12,0),IF($NP$12="Bell_Curve",$NN$12*(148-$NR$12+1)*($NS$12-148+1)/$NU$12,$NN$12/$NT$12)),0)</f>
        <v/>
      </c>
      <c r="EW12" s="228">
        <f>IF(AND(149&gt;=$NR$12,149&lt;=$NS$12),IF($NP$12="Single_Point",IF(149=$NR$12,$NN$12,0),IF($NP$12="Bell_Curve",$NN$12*(149-$NR$12+1)*($NS$12-149+1)/$NU$12,$NN$12/$NT$12)),0)</f>
        <v/>
      </c>
      <c r="EX12" s="228">
        <f>IF(AND(150&gt;=$NR$12,150&lt;=$NS$12),IF($NP$12="Single_Point",IF(150=$NR$12,$NN$12,0),IF($NP$12="Bell_Curve",$NN$12*(150-$NR$12+1)*($NS$12-150+1)/$NU$12,$NN$12/$NT$12)),0)</f>
        <v/>
      </c>
      <c r="EY12" s="228">
        <f>IF(AND(151&gt;=$NR$12,151&lt;=$NS$12),IF($NP$12="Single_Point",IF(151=$NR$12,$NN$12,0),IF($NP$12="Bell_Curve",$NN$12*(151-$NR$12+1)*($NS$12-151+1)/$NU$12,$NN$12/$NT$12)),0)</f>
        <v/>
      </c>
      <c r="EZ12" s="228">
        <f>IF(AND(152&gt;=$NR$12,152&lt;=$NS$12),IF($NP$12="Single_Point",IF(152=$NR$12,$NN$12,0),IF($NP$12="Bell_Curve",$NN$12*(152-$NR$12+1)*($NS$12-152+1)/$NU$12,$NN$12/$NT$12)),0)</f>
        <v/>
      </c>
      <c r="FA12" s="228">
        <f>IF(AND(153&gt;=$NR$12,153&lt;=$NS$12),IF($NP$12="Single_Point",IF(153=$NR$12,$NN$12,0),IF($NP$12="Bell_Curve",$NN$12*(153-$NR$12+1)*($NS$12-153+1)/$NU$12,$NN$12/$NT$12)),0)</f>
        <v/>
      </c>
      <c r="FB12" s="228">
        <f>IF(AND(154&gt;=$NR$12,154&lt;=$NS$12),IF($NP$12="Single_Point",IF(154=$NR$12,$NN$12,0),IF($NP$12="Bell_Curve",$NN$12*(154-$NR$12+1)*($NS$12-154+1)/$NU$12,$NN$12/$NT$12)),0)</f>
        <v/>
      </c>
      <c r="FC12" s="228">
        <f>IF(AND(155&gt;=$NR$12,155&lt;=$NS$12),IF($NP$12="Single_Point",IF(155=$NR$12,$NN$12,0),IF($NP$12="Bell_Curve",$NN$12*(155-$NR$12+1)*($NS$12-155+1)/$NU$12,$NN$12/$NT$12)),0)</f>
        <v/>
      </c>
      <c r="FD12" s="228">
        <f>IF(AND(156&gt;=$NR$12,156&lt;=$NS$12),IF($NP$12="Single_Point",IF(156=$NR$12,$NN$12,0),IF($NP$12="Bell_Curve",$NN$12*(156-$NR$12+1)*($NS$12-156+1)/$NU$12,$NN$12/$NT$12)),0)</f>
        <v/>
      </c>
      <c r="FE12" s="228">
        <f>IF(AND(157&gt;=$NR$12,157&lt;=$NS$12),IF($NP$12="Single_Point",IF(157=$NR$12,$NN$12,0),IF($NP$12="Bell_Curve",$NN$12*(157-$NR$12+1)*($NS$12-157+1)/$NU$12,$NN$12/$NT$12)),0)</f>
        <v/>
      </c>
      <c r="FF12" s="228">
        <f>IF(AND(158&gt;=$NR$12,158&lt;=$NS$12),IF($NP$12="Single_Point",IF(158=$NR$12,$NN$12,0),IF($NP$12="Bell_Curve",$NN$12*(158-$NR$12+1)*($NS$12-158+1)/$NU$12,$NN$12/$NT$12)),0)</f>
        <v/>
      </c>
      <c r="FG12" s="228">
        <f>IF(AND(159&gt;=$NR$12,159&lt;=$NS$12),IF($NP$12="Single_Point",IF(159=$NR$12,$NN$12,0),IF($NP$12="Bell_Curve",$NN$12*(159-$NR$12+1)*($NS$12-159+1)/$NU$12,$NN$12/$NT$12)),0)</f>
        <v/>
      </c>
      <c r="FH12" s="228">
        <f>IF(AND(160&gt;=$NR$12,160&lt;=$NS$12),IF($NP$12="Single_Point",IF(160=$NR$12,$NN$12,0),IF($NP$12="Bell_Curve",$NN$12*(160-$NR$12+1)*($NS$12-160+1)/$NU$12,$NN$12/$NT$12)),0)</f>
        <v/>
      </c>
      <c r="FI12" s="228">
        <f>IF(AND(161&gt;=$NR$12,161&lt;=$NS$12),IF($NP$12="Single_Point",IF(161=$NR$12,$NN$12,0),IF($NP$12="Bell_Curve",$NN$12*(161-$NR$12+1)*($NS$12-161+1)/$NU$12,$NN$12/$NT$12)),0)</f>
        <v/>
      </c>
      <c r="FJ12" s="228">
        <f>IF(AND(162&gt;=$NR$12,162&lt;=$NS$12),IF($NP$12="Single_Point",IF(162=$NR$12,$NN$12,0),IF($NP$12="Bell_Curve",$NN$12*(162-$NR$12+1)*($NS$12-162+1)/$NU$12,$NN$12/$NT$12)),0)</f>
        <v/>
      </c>
      <c r="FK12" s="228">
        <f>IF(AND(163&gt;=$NR$12,163&lt;=$NS$12),IF($NP$12="Single_Point",IF(163=$NR$12,$NN$12,0),IF($NP$12="Bell_Curve",$NN$12*(163-$NR$12+1)*($NS$12-163+1)/$NU$12,$NN$12/$NT$12)),0)</f>
        <v/>
      </c>
      <c r="FL12" s="228">
        <f>IF(AND(164&gt;=$NR$12,164&lt;=$NS$12),IF($NP$12="Single_Point",IF(164=$NR$12,$NN$12,0),IF($NP$12="Bell_Curve",$NN$12*(164-$NR$12+1)*($NS$12-164+1)/$NU$12,$NN$12/$NT$12)),0)</f>
        <v/>
      </c>
      <c r="FM12" s="228">
        <f>IF(AND(165&gt;=$NR$12,165&lt;=$NS$12),IF($NP$12="Single_Point",IF(165=$NR$12,$NN$12,0),IF($NP$12="Bell_Curve",$NN$12*(165-$NR$12+1)*($NS$12-165+1)/$NU$12,$NN$12/$NT$12)),0)</f>
        <v/>
      </c>
      <c r="FN12" s="228">
        <f>IF(AND(166&gt;=$NR$12,166&lt;=$NS$12),IF($NP$12="Single_Point",IF(166=$NR$12,$NN$12,0),IF($NP$12="Bell_Curve",$NN$12*(166-$NR$12+1)*($NS$12-166+1)/$NU$12,$NN$12/$NT$12)),0)</f>
        <v/>
      </c>
      <c r="FO12" s="228">
        <f>IF(AND(167&gt;=$NR$12,167&lt;=$NS$12),IF($NP$12="Single_Point",IF(167=$NR$12,$NN$12,0),IF($NP$12="Bell_Curve",$NN$12*(167-$NR$12+1)*($NS$12-167+1)/$NU$12,$NN$12/$NT$12)),0)</f>
        <v/>
      </c>
      <c r="FP12" s="228">
        <f>IF(AND(168&gt;=$NR$12,168&lt;=$NS$12),IF($NP$12="Single_Point",IF(168=$NR$12,$NN$12,0),IF($NP$12="Bell_Curve",$NN$12*(168-$NR$12+1)*($NS$12-168+1)/$NU$12,$NN$12/$NT$12)),0)</f>
        <v/>
      </c>
      <c r="FQ12" s="228">
        <f>IF(AND(169&gt;=$NR$12,169&lt;=$NS$12),IF($NP$12="Single_Point",IF(169=$NR$12,$NN$12,0),IF($NP$12="Bell_Curve",$NN$12*(169-$NR$12+1)*($NS$12-169+1)/$NU$12,$NN$12/$NT$12)),0)</f>
        <v/>
      </c>
      <c r="FR12" s="228">
        <f>IF(AND(170&gt;=$NR$12,170&lt;=$NS$12),IF($NP$12="Single_Point",IF(170=$NR$12,$NN$12,0),IF($NP$12="Bell_Curve",$NN$12*(170-$NR$12+1)*($NS$12-170+1)/$NU$12,$NN$12/$NT$12)),0)</f>
        <v/>
      </c>
      <c r="FS12" s="228">
        <f>IF(AND(171&gt;=$NR$12,171&lt;=$NS$12),IF($NP$12="Single_Point",IF(171=$NR$12,$NN$12,0),IF($NP$12="Bell_Curve",$NN$12*(171-$NR$12+1)*($NS$12-171+1)/$NU$12,$NN$12/$NT$12)),0)</f>
        <v/>
      </c>
      <c r="FT12" s="228">
        <f>IF(AND(172&gt;=$NR$12,172&lt;=$NS$12),IF($NP$12="Single_Point",IF(172=$NR$12,$NN$12,0),IF($NP$12="Bell_Curve",$NN$12*(172-$NR$12+1)*($NS$12-172+1)/$NU$12,$NN$12/$NT$12)),0)</f>
        <v/>
      </c>
      <c r="FU12" s="228">
        <f>IF(AND(173&gt;=$NR$12,173&lt;=$NS$12),IF($NP$12="Single_Point",IF(173=$NR$12,$NN$12,0),IF($NP$12="Bell_Curve",$NN$12*(173-$NR$12+1)*($NS$12-173+1)/$NU$12,$NN$12/$NT$12)),0)</f>
        <v/>
      </c>
      <c r="FV12" s="228">
        <f>IF(AND(174&gt;=$NR$12,174&lt;=$NS$12),IF($NP$12="Single_Point",IF(174=$NR$12,$NN$12,0),IF($NP$12="Bell_Curve",$NN$12*(174-$NR$12+1)*($NS$12-174+1)/$NU$12,$NN$12/$NT$12)),0)</f>
        <v/>
      </c>
      <c r="FW12" s="228">
        <f>IF(AND(175&gt;=$NR$12,175&lt;=$NS$12),IF($NP$12="Single_Point",IF(175=$NR$12,$NN$12,0),IF($NP$12="Bell_Curve",$NN$12*(175-$NR$12+1)*($NS$12-175+1)/$NU$12,$NN$12/$NT$12)),0)</f>
        <v/>
      </c>
      <c r="FX12" s="228">
        <f>IF(AND(176&gt;=$NR$12,176&lt;=$NS$12),IF($NP$12="Single_Point",IF(176=$NR$12,$NN$12,0),IF($NP$12="Bell_Curve",$NN$12*(176-$NR$12+1)*($NS$12-176+1)/$NU$12,$NN$12/$NT$12)),0)</f>
        <v/>
      </c>
      <c r="FY12" s="228">
        <f>IF(AND(177&gt;=$NR$12,177&lt;=$NS$12),IF($NP$12="Single_Point",IF(177=$NR$12,$NN$12,0),IF($NP$12="Bell_Curve",$NN$12*(177-$NR$12+1)*($NS$12-177+1)/$NU$12,$NN$12/$NT$12)),0)</f>
        <v/>
      </c>
      <c r="FZ12" s="228">
        <f>IF(AND(178&gt;=$NR$12,178&lt;=$NS$12),IF($NP$12="Single_Point",IF(178=$NR$12,$NN$12,0),IF($NP$12="Bell_Curve",$NN$12*(178-$NR$12+1)*($NS$12-178+1)/$NU$12,$NN$12/$NT$12)),0)</f>
        <v/>
      </c>
      <c r="GA12" s="228">
        <f>IF(AND(179&gt;=$NR$12,179&lt;=$NS$12),IF($NP$12="Single_Point",IF(179=$NR$12,$NN$12,0),IF($NP$12="Bell_Curve",$NN$12*(179-$NR$12+1)*($NS$12-179+1)/$NU$12,$NN$12/$NT$12)),0)</f>
        <v/>
      </c>
      <c r="GB12" s="228">
        <f>IF(AND(180&gt;=$NR$12,180&lt;=$NS$12),IF($NP$12="Single_Point",IF(180=$NR$12,$NN$12,0),IF($NP$12="Bell_Curve",$NN$12*(180-$NR$12+1)*($NS$12-180+1)/$NU$12,$NN$12/$NT$12)),0)</f>
        <v/>
      </c>
      <c r="GC12" s="228">
        <f>IF(AND(181&gt;=$NR$12,181&lt;=$NS$12),IF($NP$12="Single_Point",IF(181=$NR$12,$NN$12,0),IF($NP$12="Bell_Curve",$NN$12*(181-$NR$12+1)*($NS$12-181+1)/$NU$12,$NN$12/$NT$12)),0)</f>
        <v/>
      </c>
      <c r="GD12" s="228">
        <f>IF(AND(182&gt;=$NR$12,182&lt;=$NS$12),IF($NP$12="Single_Point",IF(182=$NR$12,$NN$12,0),IF($NP$12="Bell_Curve",$NN$12*(182-$NR$12+1)*($NS$12-182+1)/$NU$12,$NN$12/$NT$12)),0)</f>
        <v/>
      </c>
      <c r="GE12" s="228">
        <f>IF(AND(183&gt;=$NR$12,183&lt;=$NS$12),IF($NP$12="Single_Point",IF(183=$NR$12,$NN$12,0),IF($NP$12="Bell_Curve",$NN$12*(183-$NR$12+1)*($NS$12-183+1)/$NU$12,$NN$12/$NT$12)),0)</f>
        <v/>
      </c>
      <c r="GF12" s="228">
        <f>IF(AND(184&gt;=$NR$12,184&lt;=$NS$12),IF($NP$12="Single_Point",IF(184=$NR$12,$NN$12,0),IF($NP$12="Bell_Curve",$NN$12*(184-$NR$12+1)*($NS$12-184+1)/$NU$12,$NN$12/$NT$12)),0)</f>
        <v/>
      </c>
      <c r="GG12" s="228">
        <f>IF(AND(185&gt;=$NR$12,185&lt;=$NS$12),IF($NP$12="Single_Point",IF(185=$NR$12,$NN$12,0),IF($NP$12="Bell_Curve",$NN$12*(185-$NR$12+1)*($NS$12-185+1)/$NU$12,$NN$12/$NT$12)),0)</f>
        <v/>
      </c>
      <c r="GH12" s="228">
        <f>IF(AND(186&gt;=$NR$12,186&lt;=$NS$12),IF($NP$12="Single_Point",IF(186=$NR$12,$NN$12,0),IF($NP$12="Bell_Curve",$NN$12*(186-$NR$12+1)*($NS$12-186+1)/$NU$12,$NN$12/$NT$12)),0)</f>
        <v/>
      </c>
      <c r="GI12" s="228">
        <f>IF(AND(187&gt;=$NR$12,187&lt;=$NS$12),IF($NP$12="Single_Point",IF(187=$NR$12,$NN$12,0),IF($NP$12="Bell_Curve",$NN$12*(187-$NR$12+1)*($NS$12-187+1)/$NU$12,$NN$12/$NT$12)),0)</f>
        <v/>
      </c>
      <c r="GJ12" s="228">
        <f>IF(AND(188&gt;=$NR$12,188&lt;=$NS$12),IF($NP$12="Single_Point",IF(188=$NR$12,$NN$12,0),IF($NP$12="Bell_Curve",$NN$12*(188-$NR$12+1)*($NS$12-188+1)/$NU$12,$NN$12/$NT$12)),0)</f>
        <v/>
      </c>
      <c r="GK12" s="228">
        <f>IF(AND(189&gt;=$NR$12,189&lt;=$NS$12),IF($NP$12="Single_Point",IF(189=$NR$12,$NN$12,0),IF($NP$12="Bell_Curve",$NN$12*(189-$NR$12+1)*($NS$12-189+1)/$NU$12,$NN$12/$NT$12)),0)</f>
        <v/>
      </c>
      <c r="GL12" s="228">
        <f>IF(AND(190&gt;=$NR$12,190&lt;=$NS$12),IF($NP$12="Single_Point",IF(190=$NR$12,$NN$12,0),IF($NP$12="Bell_Curve",$NN$12*(190-$NR$12+1)*($NS$12-190+1)/$NU$12,$NN$12/$NT$12)),0)</f>
        <v/>
      </c>
      <c r="GM12" s="228">
        <f>IF(AND(191&gt;=$NR$12,191&lt;=$NS$12),IF($NP$12="Single_Point",IF(191=$NR$12,$NN$12,0),IF($NP$12="Bell_Curve",$NN$12*(191-$NR$12+1)*($NS$12-191+1)/$NU$12,$NN$12/$NT$12)),0)</f>
        <v/>
      </c>
      <c r="GN12" s="228">
        <f>IF(AND(192&gt;=$NR$12,192&lt;=$NS$12),IF($NP$12="Single_Point",IF(192=$NR$12,$NN$12,0),IF($NP$12="Bell_Curve",$NN$12*(192-$NR$12+1)*($NS$12-192+1)/$NU$12,$NN$12/$NT$12)),0)</f>
        <v/>
      </c>
      <c r="GO12" s="228">
        <f>IF(AND(193&gt;=$NR$12,193&lt;=$NS$12),IF($NP$12="Single_Point",IF(193=$NR$12,$NN$12,0),IF($NP$12="Bell_Curve",$NN$12*(193-$NR$12+1)*($NS$12-193+1)/$NU$12,$NN$12/$NT$12)),0)</f>
        <v/>
      </c>
      <c r="GP12" s="228">
        <f>IF(AND(194&gt;=$NR$12,194&lt;=$NS$12),IF($NP$12="Single_Point",IF(194=$NR$12,$NN$12,0),IF($NP$12="Bell_Curve",$NN$12*(194-$NR$12+1)*($NS$12-194+1)/$NU$12,$NN$12/$NT$12)),0)</f>
        <v/>
      </c>
      <c r="GQ12" s="228">
        <f>IF(AND(195&gt;=$NR$12,195&lt;=$NS$12),IF($NP$12="Single_Point",IF(195=$NR$12,$NN$12,0),IF($NP$12="Bell_Curve",$NN$12*(195-$NR$12+1)*($NS$12-195+1)/$NU$12,$NN$12/$NT$12)),0)</f>
        <v/>
      </c>
      <c r="GR12" s="228">
        <f>IF(AND(196&gt;=$NR$12,196&lt;=$NS$12),IF($NP$12="Single_Point",IF(196=$NR$12,$NN$12,0),IF($NP$12="Bell_Curve",$NN$12*(196-$NR$12+1)*($NS$12-196+1)/$NU$12,$NN$12/$NT$12)),0)</f>
        <v/>
      </c>
      <c r="GS12" s="228">
        <f>IF(AND(197&gt;=$NR$12,197&lt;=$NS$12),IF($NP$12="Single_Point",IF(197=$NR$12,$NN$12,0),IF($NP$12="Bell_Curve",$NN$12*(197-$NR$12+1)*($NS$12-197+1)/$NU$12,$NN$12/$NT$12)),0)</f>
        <v/>
      </c>
      <c r="GT12" s="228">
        <f>IF(AND(198&gt;=$NR$12,198&lt;=$NS$12),IF($NP$12="Single_Point",IF(198=$NR$12,$NN$12,0),IF($NP$12="Bell_Curve",$NN$12*(198-$NR$12+1)*($NS$12-198+1)/$NU$12,$NN$12/$NT$12)),0)</f>
        <v/>
      </c>
      <c r="GU12" s="228">
        <f>IF(AND(199&gt;=$NR$12,199&lt;=$NS$12),IF($NP$12="Single_Point",IF(199=$NR$12,$NN$12,0),IF($NP$12="Bell_Curve",$NN$12*(199-$NR$12+1)*($NS$12-199+1)/$NU$12,$NN$12/$NT$12)),0)</f>
        <v/>
      </c>
      <c r="GV12" s="228">
        <f>IF(AND(200&gt;=$NR$12,200&lt;=$NS$12),IF($NP$12="Single_Point",IF(200=$NR$12,$NN$12,0),IF($NP$12="Bell_Curve",$NN$12*(200-$NR$12+1)*($NS$12-200+1)/$NU$12,$NN$12/$NT$12)),0)</f>
        <v/>
      </c>
      <c r="GW12" s="228">
        <f>IF(AND(201&gt;=$NR$12,201&lt;=$NS$12),IF($NP$12="Single_Point",IF(201=$NR$12,$NN$12,0),IF($NP$12="Bell_Curve",$NN$12*(201-$NR$12+1)*($NS$12-201+1)/$NU$12,$NN$12/$NT$12)),0)</f>
        <v/>
      </c>
      <c r="GX12" s="228">
        <f>IF(AND(202&gt;=$NR$12,202&lt;=$NS$12),IF($NP$12="Single_Point",IF(202=$NR$12,$NN$12,0),IF($NP$12="Bell_Curve",$NN$12*(202-$NR$12+1)*($NS$12-202+1)/$NU$12,$NN$12/$NT$12)),0)</f>
        <v/>
      </c>
      <c r="GY12" s="228">
        <f>IF(AND(203&gt;=$NR$12,203&lt;=$NS$12),IF($NP$12="Single_Point",IF(203=$NR$12,$NN$12,0),IF($NP$12="Bell_Curve",$NN$12*(203-$NR$12+1)*($NS$12-203+1)/$NU$12,$NN$12/$NT$12)),0)</f>
        <v/>
      </c>
      <c r="GZ12" s="228">
        <f>IF(AND(204&gt;=$NR$12,204&lt;=$NS$12),IF($NP$12="Single_Point",IF(204=$NR$12,$NN$12,0),IF($NP$12="Bell_Curve",$NN$12*(204-$NR$12+1)*($NS$12-204+1)/$NU$12,$NN$12/$NT$12)),0)</f>
        <v/>
      </c>
      <c r="HA12" s="228">
        <f>IF(AND(205&gt;=$NR$12,205&lt;=$NS$12),IF($NP$12="Single_Point",IF(205=$NR$12,$NN$12,0),IF($NP$12="Bell_Curve",$NN$12*(205-$NR$12+1)*($NS$12-205+1)/$NU$12,$NN$12/$NT$12)),0)</f>
        <v/>
      </c>
      <c r="HB12" s="228">
        <f>IF(AND(206&gt;=$NR$12,206&lt;=$NS$12),IF($NP$12="Single_Point",IF(206=$NR$12,$NN$12,0),IF($NP$12="Bell_Curve",$NN$12*(206-$NR$12+1)*($NS$12-206+1)/$NU$12,$NN$12/$NT$12)),0)</f>
        <v/>
      </c>
      <c r="HC12" s="228">
        <f>IF(AND(207&gt;=$NR$12,207&lt;=$NS$12),IF($NP$12="Single_Point",IF(207=$NR$12,$NN$12,0),IF($NP$12="Bell_Curve",$NN$12*(207-$NR$12+1)*($NS$12-207+1)/$NU$12,$NN$12/$NT$12)),0)</f>
        <v/>
      </c>
      <c r="HD12" s="228">
        <f>IF(AND(208&gt;=$NR$12,208&lt;=$NS$12),IF($NP$12="Single_Point",IF(208=$NR$12,$NN$12,0),IF($NP$12="Bell_Curve",$NN$12*(208-$NR$12+1)*($NS$12-208+1)/$NU$12,$NN$12/$NT$12)),0)</f>
        <v/>
      </c>
      <c r="HE12" s="228">
        <f>IF(AND(209&gt;=$NR$12,209&lt;=$NS$12),IF($NP$12="Single_Point",IF(209=$NR$12,$NN$12,0),IF($NP$12="Bell_Curve",$NN$12*(209-$NR$12+1)*($NS$12-209+1)/$NU$12,$NN$12/$NT$12)),0)</f>
        <v/>
      </c>
      <c r="HF12" s="228">
        <f>IF(AND(210&gt;=$NR$12,210&lt;=$NS$12),IF($NP$12="Single_Point",IF(210=$NR$12,$NN$12,0),IF($NP$12="Bell_Curve",$NN$12*(210-$NR$12+1)*($NS$12-210+1)/$NU$12,$NN$12/$NT$12)),0)</f>
        <v/>
      </c>
      <c r="HG12" s="228">
        <f>IF(AND(211&gt;=$NR$12,211&lt;=$NS$12),IF($NP$12="Single_Point",IF(211=$NR$12,$NN$12,0),IF($NP$12="Bell_Curve",$NN$12*(211-$NR$12+1)*($NS$12-211+1)/$NU$12,$NN$12/$NT$12)),0)</f>
        <v/>
      </c>
      <c r="HH12" s="228">
        <f>IF(AND(212&gt;=$NR$12,212&lt;=$NS$12),IF($NP$12="Single_Point",IF(212=$NR$12,$NN$12,0),IF($NP$12="Bell_Curve",$NN$12*(212-$NR$12+1)*($NS$12-212+1)/$NU$12,$NN$12/$NT$12)),0)</f>
        <v/>
      </c>
      <c r="HI12" s="228">
        <f>IF(AND(213&gt;=$NR$12,213&lt;=$NS$12),IF($NP$12="Single_Point",IF(213=$NR$12,$NN$12,0),IF($NP$12="Bell_Curve",$NN$12*(213-$NR$12+1)*($NS$12-213+1)/$NU$12,$NN$12/$NT$12)),0)</f>
        <v/>
      </c>
      <c r="HJ12" s="228">
        <f>IF(AND(214&gt;=$NR$12,214&lt;=$NS$12),IF($NP$12="Single_Point",IF(214=$NR$12,$NN$12,0),IF($NP$12="Bell_Curve",$NN$12*(214-$NR$12+1)*($NS$12-214+1)/$NU$12,$NN$12/$NT$12)),0)</f>
        <v/>
      </c>
      <c r="HK12" s="228">
        <f>IF(AND(215&gt;=$NR$12,215&lt;=$NS$12),IF($NP$12="Single_Point",IF(215=$NR$12,$NN$12,0),IF($NP$12="Bell_Curve",$NN$12*(215-$NR$12+1)*($NS$12-215+1)/$NU$12,$NN$12/$NT$12)),0)</f>
        <v/>
      </c>
      <c r="HL12" s="228">
        <f>IF(AND(216&gt;=$NR$12,216&lt;=$NS$12),IF($NP$12="Single_Point",IF(216=$NR$12,$NN$12,0),IF($NP$12="Bell_Curve",$NN$12*(216-$NR$12+1)*($NS$12-216+1)/$NU$12,$NN$12/$NT$12)),0)</f>
        <v/>
      </c>
      <c r="HM12" s="228">
        <f>IF(AND(217&gt;=$NR$12,217&lt;=$NS$12),IF($NP$12="Single_Point",IF(217=$NR$12,$NN$12,0),IF($NP$12="Bell_Curve",$NN$12*(217-$NR$12+1)*($NS$12-217+1)/$NU$12,$NN$12/$NT$12)),0)</f>
        <v/>
      </c>
      <c r="HN12" s="228">
        <f>IF(AND(218&gt;=$NR$12,218&lt;=$NS$12),IF($NP$12="Single_Point",IF(218=$NR$12,$NN$12,0),IF($NP$12="Bell_Curve",$NN$12*(218-$NR$12+1)*($NS$12-218+1)/$NU$12,$NN$12/$NT$12)),0)</f>
        <v/>
      </c>
      <c r="HO12" s="228">
        <f>IF(AND(219&gt;=$NR$12,219&lt;=$NS$12),IF($NP$12="Single_Point",IF(219=$NR$12,$NN$12,0),IF($NP$12="Bell_Curve",$NN$12*(219-$NR$12+1)*($NS$12-219+1)/$NU$12,$NN$12/$NT$12)),0)</f>
        <v/>
      </c>
      <c r="HP12" s="228">
        <f>IF(AND(220&gt;=$NR$12,220&lt;=$NS$12),IF($NP$12="Single_Point",IF(220=$NR$12,$NN$12,0),IF($NP$12="Bell_Curve",$NN$12*(220-$NR$12+1)*($NS$12-220+1)/$NU$12,$NN$12/$NT$12)),0)</f>
        <v/>
      </c>
      <c r="HQ12" s="228">
        <f>IF(AND(221&gt;=$NR$12,221&lt;=$NS$12),IF($NP$12="Single_Point",IF(221=$NR$12,$NN$12,0),IF($NP$12="Bell_Curve",$NN$12*(221-$NR$12+1)*($NS$12-221+1)/$NU$12,$NN$12/$NT$12)),0)</f>
        <v/>
      </c>
      <c r="HR12" s="228">
        <f>IF(AND(222&gt;=$NR$12,222&lt;=$NS$12),IF($NP$12="Single_Point",IF(222=$NR$12,$NN$12,0),IF($NP$12="Bell_Curve",$NN$12*(222-$NR$12+1)*($NS$12-222+1)/$NU$12,$NN$12/$NT$12)),0)</f>
        <v/>
      </c>
      <c r="HS12" s="228">
        <f>IF(AND(223&gt;=$NR$12,223&lt;=$NS$12),IF($NP$12="Single_Point",IF(223=$NR$12,$NN$12,0),IF($NP$12="Bell_Curve",$NN$12*(223-$NR$12+1)*($NS$12-223+1)/$NU$12,$NN$12/$NT$12)),0)</f>
        <v/>
      </c>
      <c r="HT12" s="228">
        <f>IF(AND(224&gt;=$NR$12,224&lt;=$NS$12),IF($NP$12="Single_Point",IF(224=$NR$12,$NN$12,0),IF($NP$12="Bell_Curve",$NN$12*(224-$NR$12+1)*($NS$12-224+1)/$NU$12,$NN$12/$NT$12)),0)</f>
        <v/>
      </c>
      <c r="HU12" s="228">
        <f>IF(AND(225&gt;=$NR$12,225&lt;=$NS$12),IF($NP$12="Single_Point",IF(225=$NR$12,$NN$12,0),IF($NP$12="Bell_Curve",$NN$12*(225-$NR$12+1)*($NS$12-225+1)/$NU$12,$NN$12/$NT$12)),0)</f>
        <v/>
      </c>
      <c r="HV12" s="228">
        <f>IF(AND(226&gt;=$NR$12,226&lt;=$NS$12),IF($NP$12="Single_Point",IF(226=$NR$12,$NN$12,0),IF($NP$12="Bell_Curve",$NN$12*(226-$NR$12+1)*($NS$12-226+1)/$NU$12,$NN$12/$NT$12)),0)</f>
        <v/>
      </c>
      <c r="HW12" s="228">
        <f>IF(AND(227&gt;=$NR$12,227&lt;=$NS$12),IF($NP$12="Single_Point",IF(227=$NR$12,$NN$12,0),IF($NP$12="Bell_Curve",$NN$12*(227-$NR$12+1)*($NS$12-227+1)/$NU$12,$NN$12/$NT$12)),0)</f>
        <v/>
      </c>
      <c r="HX12" s="228">
        <f>IF(AND(228&gt;=$NR$12,228&lt;=$NS$12),IF($NP$12="Single_Point",IF(228=$NR$12,$NN$12,0),IF($NP$12="Bell_Curve",$NN$12*(228-$NR$12+1)*($NS$12-228+1)/$NU$12,$NN$12/$NT$12)),0)</f>
        <v/>
      </c>
      <c r="HY12" s="228">
        <f>IF(AND(229&gt;=$NR$12,229&lt;=$NS$12),IF($NP$12="Single_Point",IF(229=$NR$12,$NN$12,0),IF($NP$12="Bell_Curve",$NN$12*(229-$NR$12+1)*($NS$12-229+1)/$NU$12,$NN$12/$NT$12)),0)</f>
        <v/>
      </c>
      <c r="HZ12" s="228">
        <f>IF(AND(230&gt;=$NR$12,230&lt;=$NS$12),IF($NP$12="Single_Point",IF(230=$NR$12,$NN$12,0),IF($NP$12="Bell_Curve",$NN$12*(230-$NR$12+1)*($NS$12-230+1)/$NU$12,$NN$12/$NT$12)),0)</f>
        <v/>
      </c>
      <c r="IA12" s="228">
        <f>IF(AND(231&gt;=$NR$12,231&lt;=$NS$12),IF($NP$12="Single_Point",IF(231=$NR$12,$NN$12,0),IF($NP$12="Bell_Curve",$NN$12*(231-$NR$12+1)*($NS$12-231+1)/$NU$12,$NN$12/$NT$12)),0)</f>
        <v/>
      </c>
      <c r="IB12" s="228">
        <f>IF(AND(232&gt;=$NR$12,232&lt;=$NS$12),IF($NP$12="Single_Point",IF(232=$NR$12,$NN$12,0),IF($NP$12="Bell_Curve",$NN$12*(232-$NR$12+1)*($NS$12-232+1)/$NU$12,$NN$12/$NT$12)),0)</f>
        <v/>
      </c>
      <c r="IC12" s="228">
        <f>IF(AND(233&gt;=$NR$12,233&lt;=$NS$12),IF($NP$12="Single_Point",IF(233=$NR$12,$NN$12,0),IF($NP$12="Bell_Curve",$NN$12*(233-$NR$12+1)*($NS$12-233+1)/$NU$12,$NN$12/$NT$12)),0)</f>
        <v/>
      </c>
      <c r="ID12" s="228">
        <f>IF(AND(234&gt;=$NR$12,234&lt;=$NS$12),IF($NP$12="Single_Point",IF(234=$NR$12,$NN$12,0),IF($NP$12="Bell_Curve",$NN$12*(234-$NR$12+1)*($NS$12-234+1)/$NU$12,$NN$12/$NT$12)),0)</f>
        <v/>
      </c>
      <c r="IE12" s="228">
        <f>IF(AND(235&gt;=$NR$12,235&lt;=$NS$12),IF($NP$12="Single_Point",IF(235=$NR$12,$NN$12,0),IF($NP$12="Bell_Curve",$NN$12*(235-$NR$12+1)*($NS$12-235+1)/$NU$12,$NN$12/$NT$12)),0)</f>
        <v/>
      </c>
      <c r="IF12" s="228">
        <f>IF(AND(236&gt;=$NR$12,236&lt;=$NS$12),IF($NP$12="Single_Point",IF(236=$NR$12,$NN$12,0),IF($NP$12="Bell_Curve",$NN$12*(236-$NR$12+1)*($NS$12-236+1)/$NU$12,$NN$12/$NT$12)),0)</f>
        <v/>
      </c>
      <c r="IG12" s="228">
        <f>IF(AND(237&gt;=$NR$12,237&lt;=$NS$12),IF($NP$12="Single_Point",IF(237=$NR$12,$NN$12,0),IF($NP$12="Bell_Curve",$NN$12*(237-$NR$12+1)*($NS$12-237+1)/$NU$12,$NN$12/$NT$12)),0)</f>
        <v/>
      </c>
      <c r="IH12" s="228">
        <f>IF(AND(238&gt;=$NR$12,238&lt;=$NS$12),IF($NP$12="Single_Point",IF(238=$NR$12,$NN$12,0),IF($NP$12="Bell_Curve",$NN$12*(238-$NR$12+1)*($NS$12-238+1)/$NU$12,$NN$12/$NT$12)),0)</f>
        <v/>
      </c>
      <c r="II12" s="228">
        <f>IF(AND(239&gt;=$NR$12,239&lt;=$NS$12),IF($NP$12="Single_Point",IF(239=$NR$12,$NN$12,0),IF($NP$12="Bell_Curve",$NN$12*(239-$NR$12+1)*($NS$12-239+1)/$NU$12,$NN$12/$NT$12)),0)</f>
        <v/>
      </c>
      <c r="IJ12" s="228">
        <f>IF(AND(240&gt;=$NR$12,240&lt;=$NS$12),IF($NP$12="Single_Point",IF(240=$NR$12,$NN$12,0),IF($NP$12="Bell_Curve",$NN$12*(240-$NR$12+1)*($NS$12-240+1)/$NU$12,$NN$12/$NT$12)),0)</f>
        <v/>
      </c>
      <c r="IK12" s="228">
        <f>IF(AND(241&gt;=$NR$12,241&lt;=$NS$12),IF($NP$12="Single_Point",IF(241=$NR$12,$NN$12,0),IF($NP$12="Bell_Curve",$NN$12*(241-$NR$12+1)*($NS$12-241+1)/$NU$12,$NN$12/$NT$12)),0)</f>
        <v/>
      </c>
      <c r="IL12" s="228">
        <f>IF(AND(242&gt;=$NR$12,242&lt;=$NS$12),IF($NP$12="Single_Point",IF(242=$NR$12,$NN$12,0),IF($NP$12="Bell_Curve",$NN$12*(242-$NR$12+1)*($NS$12-242+1)/$NU$12,$NN$12/$NT$12)),0)</f>
        <v/>
      </c>
      <c r="IM12" s="228">
        <f>IF(AND(243&gt;=$NR$12,243&lt;=$NS$12),IF($NP$12="Single_Point",IF(243=$NR$12,$NN$12,0),IF($NP$12="Bell_Curve",$NN$12*(243-$NR$12+1)*($NS$12-243+1)/$NU$12,$NN$12/$NT$12)),0)</f>
        <v/>
      </c>
      <c r="IN12" s="228">
        <f>IF(AND(244&gt;=$NR$12,244&lt;=$NS$12),IF($NP$12="Single_Point",IF(244=$NR$12,$NN$12,0),IF($NP$12="Bell_Curve",$NN$12*(244-$NR$12+1)*($NS$12-244+1)/$NU$12,$NN$12/$NT$12)),0)</f>
        <v/>
      </c>
      <c r="IO12" s="228">
        <f>IF(AND(245&gt;=$NR$12,245&lt;=$NS$12),IF($NP$12="Single_Point",IF(245=$NR$12,$NN$12,0),IF($NP$12="Bell_Curve",$NN$12*(245-$NR$12+1)*($NS$12-245+1)/$NU$12,$NN$12/$NT$12)),0)</f>
        <v/>
      </c>
      <c r="IP12" s="228">
        <f>IF(AND(246&gt;=$NR$12,246&lt;=$NS$12),IF($NP$12="Single_Point",IF(246=$NR$12,$NN$12,0),IF($NP$12="Bell_Curve",$NN$12*(246-$NR$12+1)*($NS$12-246+1)/$NU$12,$NN$12/$NT$12)),0)</f>
        <v/>
      </c>
      <c r="IQ12" s="228">
        <f>IF(AND(247&gt;=$NR$12,247&lt;=$NS$12),IF($NP$12="Single_Point",IF(247=$NR$12,$NN$12,0),IF($NP$12="Bell_Curve",$NN$12*(247-$NR$12+1)*($NS$12-247+1)/$NU$12,$NN$12/$NT$12)),0)</f>
        <v/>
      </c>
      <c r="IR12" s="228">
        <f>IF(AND(248&gt;=$NR$12,248&lt;=$NS$12),IF($NP$12="Single_Point",IF(248=$NR$12,$NN$12,0),IF($NP$12="Bell_Curve",$NN$12*(248-$NR$12+1)*($NS$12-248+1)/$NU$12,$NN$12/$NT$12)),0)</f>
        <v/>
      </c>
      <c r="IS12" s="228">
        <f>IF(AND(249&gt;=$NR$12,249&lt;=$NS$12),IF($NP$12="Single_Point",IF(249=$NR$12,$NN$12,0),IF($NP$12="Bell_Curve",$NN$12*(249-$NR$12+1)*($NS$12-249+1)/$NU$12,$NN$12/$NT$12)),0)</f>
        <v/>
      </c>
      <c r="IT12" s="228">
        <f>IF(AND(250&gt;=$NR$12,250&lt;=$NS$12),IF($NP$12="Single_Point",IF(250=$NR$12,$NN$12,0),IF($NP$12="Bell_Curve",$NN$12*(250-$NR$12+1)*($NS$12-250+1)/$NU$12,$NN$12/$NT$12)),0)</f>
        <v/>
      </c>
      <c r="IU12" s="228">
        <f>IF(AND(251&gt;=$NR$12,251&lt;=$NS$12),IF($NP$12="Single_Point",IF(251=$NR$12,$NN$12,0),IF($NP$12="Bell_Curve",$NN$12*(251-$NR$12+1)*($NS$12-251+1)/$NU$12,$NN$12/$NT$12)),0)</f>
        <v/>
      </c>
      <c r="IV12" s="228">
        <f>IF(AND(252&gt;=$NR$12,252&lt;=$NS$12),IF($NP$12="Single_Point",IF(252=$NR$12,$NN$12,0),IF($NP$12="Bell_Curve",$NN$12*(252-$NR$12+1)*($NS$12-252+1)/$NU$12,$NN$12/$NT$12)),0)</f>
        <v/>
      </c>
      <c r="IW12" s="228">
        <f>IF(AND(253&gt;=$NR$12,253&lt;=$NS$12),IF($NP$12="Single_Point",IF(253=$NR$12,$NN$12,0),IF($NP$12="Bell_Curve",$NN$12*(253-$NR$12+1)*($NS$12-253+1)/$NU$12,$NN$12/$NT$12)),0)</f>
        <v/>
      </c>
      <c r="IX12" s="228">
        <f>IF(AND(254&gt;=$NR$12,254&lt;=$NS$12),IF($NP$12="Single_Point",IF(254=$NR$12,$NN$12,0),IF($NP$12="Bell_Curve",$NN$12*(254-$NR$12+1)*($NS$12-254+1)/$NU$12,$NN$12/$NT$12)),0)</f>
        <v/>
      </c>
      <c r="IY12" s="228">
        <f>IF(AND(255&gt;=$NR$12,255&lt;=$NS$12),IF($NP$12="Single_Point",IF(255=$NR$12,$NN$12,0),IF($NP$12="Bell_Curve",$NN$12*(255-$NR$12+1)*($NS$12-255+1)/$NU$12,$NN$12/$NT$12)),0)</f>
        <v/>
      </c>
      <c r="IZ12" s="228">
        <f>IF(AND(256&gt;=$NR$12,256&lt;=$NS$12),IF($NP$12="Single_Point",IF(256=$NR$12,$NN$12,0),IF($NP$12="Bell_Curve",$NN$12*(256-$NR$12+1)*($NS$12-256+1)/$NU$12,$NN$12/$NT$12)),0)</f>
        <v/>
      </c>
      <c r="JA12" s="228">
        <f>IF(AND(257&gt;=$NR$12,257&lt;=$NS$12),IF($NP$12="Single_Point",IF(257=$NR$12,$NN$12,0),IF($NP$12="Bell_Curve",$NN$12*(257-$NR$12+1)*($NS$12-257+1)/$NU$12,$NN$12/$NT$12)),0)</f>
        <v/>
      </c>
      <c r="JB12" s="228">
        <f>IF(AND(258&gt;=$NR$12,258&lt;=$NS$12),IF($NP$12="Single_Point",IF(258=$NR$12,$NN$12,0),IF($NP$12="Bell_Curve",$NN$12*(258-$NR$12+1)*($NS$12-258+1)/$NU$12,$NN$12/$NT$12)),0)</f>
        <v/>
      </c>
      <c r="JC12" s="228">
        <f>IF(AND(259&gt;=$NR$12,259&lt;=$NS$12),IF($NP$12="Single_Point",IF(259=$NR$12,$NN$12,0),IF($NP$12="Bell_Curve",$NN$12*(259-$NR$12+1)*($NS$12-259+1)/$NU$12,$NN$12/$NT$12)),0)</f>
        <v/>
      </c>
      <c r="JD12" s="228">
        <f>IF(AND(260&gt;=$NR$12,260&lt;=$NS$12),IF($NP$12="Single_Point",IF(260=$NR$12,$NN$12,0),IF($NP$12="Bell_Curve",$NN$12*(260-$NR$12+1)*($NS$12-260+1)/$NU$12,$NN$12/$NT$12)),0)</f>
        <v/>
      </c>
      <c r="JE12" s="228">
        <f>IF(AND(261&gt;=$NR$12,261&lt;=$NS$12),IF($NP$12="Single_Point",IF(261=$NR$12,$NN$12,0),IF($NP$12="Bell_Curve",$NN$12*(261-$NR$12+1)*($NS$12-261+1)/$NU$12,$NN$12/$NT$12)),0)</f>
        <v/>
      </c>
      <c r="JF12" s="228">
        <f>IF(AND(262&gt;=$NR$12,262&lt;=$NS$12),IF($NP$12="Single_Point",IF(262=$NR$12,$NN$12,0),IF($NP$12="Bell_Curve",$NN$12*(262-$NR$12+1)*($NS$12-262+1)/$NU$12,$NN$12/$NT$12)),0)</f>
        <v/>
      </c>
      <c r="JG12" s="228">
        <f>IF(AND(263&gt;=$NR$12,263&lt;=$NS$12),IF($NP$12="Single_Point",IF(263=$NR$12,$NN$12,0),IF($NP$12="Bell_Curve",$NN$12*(263-$NR$12+1)*($NS$12-263+1)/$NU$12,$NN$12/$NT$12)),0)</f>
        <v/>
      </c>
      <c r="JH12" s="228">
        <f>IF(AND(264&gt;=$NR$12,264&lt;=$NS$12),IF($NP$12="Single_Point",IF(264=$NR$12,$NN$12,0),IF($NP$12="Bell_Curve",$NN$12*(264-$NR$12+1)*($NS$12-264+1)/$NU$12,$NN$12/$NT$12)),0)</f>
        <v/>
      </c>
      <c r="JI12" s="228">
        <f>IF(AND(265&gt;=$NR$12,265&lt;=$NS$12),IF($NP$12="Single_Point",IF(265=$NR$12,$NN$12,0),IF($NP$12="Bell_Curve",$NN$12*(265-$NR$12+1)*($NS$12-265+1)/$NU$12,$NN$12/$NT$12)),0)</f>
        <v/>
      </c>
      <c r="JJ12" s="228">
        <f>IF(AND(266&gt;=$NR$12,266&lt;=$NS$12),IF($NP$12="Single_Point",IF(266=$NR$12,$NN$12,0),IF($NP$12="Bell_Curve",$NN$12*(266-$NR$12+1)*($NS$12-266+1)/$NU$12,$NN$12/$NT$12)),0)</f>
        <v/>
      </c>
      <c r="JK12" s="228">
        <f>IF(AND(267&gt;=$NR$12,267&lt;=$NS$12),IF($NP$12="Single_Point",IF(267=$NR$12,$NN$12,0),IF($NP$12="Bell_Curve",$NN$12*(267-$NR$12+1)*($NS$12-267+1)/$NU$12,$NN$12/$NT$12)),0)</f>
        <v/>
      </c>
      <c r="JL12" s="228">
        <f>IF(AND(268&gt;=$NR$12,268&lt;=$NS$12),IF($NP$12="Single_Point",IF(268=$NR$12,$NN$12,0),IF($NP$12="Bell_Curve",$NN$12*(268-$NR$12+1)*($NS$12-268+1)/$NU$12,$NN$12/$NT$12)),0)</f>
        <v/>
      </c>
      <c r="JM12" s="228">
        <f>IF(AND(269&gt;=$NR$12,269&lt;=$NS$12),IF($NP$12="Single_Point",IF(269=$NR$12,$NN$12,0),IF($NP$12="Bell_Curve",$NN$12*(269-$NR$12+1)*($NS$12-269+1)/$NU$12,$NN$12/$NT$12)),0)</f>
        <v/>
      </c>
      <c r="JN12" s="228">
        <f>IF(AND(270&gt;=$NR$12,270&lt;=$NS$12),IF($NP$12="Single_Point",IF(270=$NR$12,$NN$12,0),IF($NP$12="Bell_Curve",$NN$12*(270-$NR$12+1)*($NS$12-270+1)/$NU$12,$NN$12/$NT$12)),0)</f>
        <v/>
      </c>
      <c r="JO12" s="228">
        <f>IF(AND(271&gt;=$NR$12,271&lt;=$NS$12),IF($NP$12="Single_Point",IF(271=$NR$12,$NN$12,0),IF($NP$12="Bell_Curve",$NN$12*(271-$NR$12+1)*($NS$12-271+1)/$NU$12,$NN$12/$NT$12)),0)</f>
        <v/>
      </c>
      <c r="JP12" s="228">
        <f>IF(AND(272&gt;=$NR$12,272&lt;=$NS$12),IF($NP$12="Single_Point",IF(272=$NR$12,$NN$12,0),IF($NP$12="Bell_Curve",$NN$12*(272-$NR$12+1)*($NS$12-272+1)/$NU$12,$NN$12/$NT$12)),0)</f>
        <v/>
      </c>
      <c r="JQ12" s="228">
        <f>IF(AND(273&gt;=$NR$12,273&lt;=$NS$12),IF($NP$12="Single_Point",IF(273=$NR$12,$NN$12,0),IF($NP$12="Bell_Curve",$NN$12*(273-$NR$12+1)*($NS$12-273+1)/$NU$12,$NN$12/$NT$12)),0)</f>
        <v/>
      </c>
      <c r="JR12" s="228">
        <f>IF(AND(274&gt;=$NR$12,274&lt;=$NS$12),IF($NP$12="Single_Point",IF(274=$NR$12,$NN$12,0),IF($NP$12="Bell_Curve",$NN$12*(274-$NR$12+1)*($NS$12-274+1)/$NU$12,$NN$12/$NT$12)),0)</f>
        <v/>
      </c>
      <c r="JS12" s="228">
        <f>IF(AND(275&gt;=$NR$12,275&lt;=$NS$12),IF($NP$12="Single_Point",IF(275=$NR$12,$NN$12,0),IF($NP$12="Bell_Curve",$NN$12*(275-$NR$12+1)*($NS$12-275+1)/$NU$12,$NN$12/$NT$12)),0)</f>
        <v/>
      </c>
      <c r="JT12" s="228">
        <f>IF(AND(276&gt;=$NR$12,276&lt;=$NS$12),IF($NP$12="Single_Point",IF(276=$NR$12,$NN$12,0),IF($NP$12="Bell_Curve",$NN$12*(276-$NR$12+1)*($NS$12-276+1)/$NU$12,$NN$12/$NT$12)),0)</f>
        <v/>
      </c>
      <c r="JU12" s="228">
        <f>IF(AND(277&gt;=$NR$12,277&lt;=$NS$12),IF($NP$12="Single_Point",IF(277=$NR$12,$NN$12,0),IF($NP$12="Bell_Curve",$NN$12*(277-$NR$12+1)*($NS$12-277+1)/$NU$12,$NN$12/$NT$12)),0)</f>
        <v/>
      </c>
      <c r="JV12" s="228">
        <f>IF(AND(278&gt;=$NR$12,278&lt;=$NS$12),IF($NP$12="Single_Point",IF(278=$NR$12,$NN$12,0),IF($NP$12="Bell_Curve",$NN$12*(278-$NR$12+1)*($NS$12-278+1)/$NU$12,$NN$12/$NT$12)),0)</f>
        <v/>
      </c>
      <c r="JW12" s="228">
        <f>IF(AND(279&gt;=$NR$12,279&lt;=$NS$12),IF($NP$12="Single_Point",IF(279=$NR$12,$NN$12,0),IF($NP$12="Bell_Curve",$NN$12*(279-$NR$12+1)*($NS$12-279+1)/$NU$12,$NN$12/$NT$12)),0)</f>
        <v/>
      </c>
      <c r="JX12" s="228">
        <f>IF(AND(280&gt;=$NR$12,280&lt;=$NS$12),IF($NP$12="Single_Point",IF(280=$NR$12,$NN$12,0),IF($NP$12="Bell_Curve",$NN$12*(280-$NR$12+1)*($NS$12-280+1)/$NU$12,$NN$12/$NT$12)),0)</f>
        <v/>
      </c>
      <c r="JY12" s="228">
        <f>IF(AND(281&gt;=$NR$12,281&lt;=$NS$12),IF($NP$12="Single_Point",IF(281=$NR$12,$NN$12,0),IF($NP$12="Bell_Curve",$NN$12*(281-$NR$12+1)*($NS$12-281+1)/$NU$12,$NN$12/$NT$12)),0)</f>
        <v/>
      </c>
      <c r="JZ12" s="228">
        <f>IF(AND(282&gt;=$NR$12,282&lt;=$NS$12),IF($NP$12="Single_Point",IF(282=$NR$12,$NN$12,0),IF($NP$12="Bell_Curve",$NN$12*(282-$NR$12+1)*($NS$12-282+1)/$NU$12,$NN$12/$NT$12)),0)</f>
        <v/>
      </c>
      <c r="KA12" s="228">
        <f>IF(AND(283&gt;=$NR$12,283&lt;=$NS$12),IF($NP$12="Single_Point",IF(283=$NR$12,$NN$12,0),IF($NP$12="Bell_Curve",$NN$12*(283-$NR$12+1)*($NS$12-283+1)/$NU$12,$NN$12/$NT$12)),0)</f>
        <v/>
      </c>
      <c r="KB12" s="228">
        <f>IF(AND(284&gt;=$NR$12,284&lt;=$NS$12),IF($NP$12="Single_Point",IF(284=$NR$12,$NN$12,0),IF($NP$12="Bell_Curve",$NN$12*(284-$NR$12+1)*($NS$12-284+1)/$NU$12,$NN$12/$NT$12)),0)</f>
        <v/>
      </c>
      <c r="KC12" s="228">
        <f>IF(AND(285&gt;=$NR$12,285&lt;=$NS$12),IF($NP$12="Single_Point",IF(285=$NR$12,$NN$12,0),IF($NP$12="Bell_Curve",$NN$12*(285-$NR$12+1)*($NS$12-285+1)/$NU$12,$NN$12/$NT$12)),0)</f>
        <v/>
      </c>
      <c r="KD12" s="228">
        <f>IF(AND(286&gt;=$NR$12,286&lt;=$NS$12),IF($NP$12="Single_Point",IF(286=$NR$12,$NN$12,0),IF($NP$12="Bell_Curve",$NN$12*(286-$NR$12+1)*($NS$12-286+1)/$NU$12,$NN$12/$NT$12)),0)</f>
        <v/>
      </c>
      <c r="KE12" s="228">
        <f>IF(AND(287&gt;=$NR$12,287&lt;=$NS$12),IF($NP$12="Single_Point",IF(287=$NR$12,$NN$12,0),IF($NP$12="Bell_Curve",$NN$12*(287-$NR$12+1)*($NS$12-287+1)/$NU$12,$NN$12/$NT$12)),0)</f>
        <v/>
      </c>
      <c r="KF12" s="228">
        <f>IF(AND(288&gt;=$NR$12,288&lt;=$NS$12),IF($NP$12="Single_Point",IF(288=$NR$12,$NN$12,0),IF($NP$12="Bell_Curve",$NN$12*(288-$NR$12+1)*($NS$12-288+1)/$NU$12,$NN$12/$NT$12)),0)</f>
        <v/>
      </c>
      <c r="KG12" s="228">
        <f>IF(AND(289&gt;=$NR$12,289&lt;=$NS$12),IF($NP$12="Single_Point",IF(289=$NR$12,$NN$12,0),IF($NP$12="Bell_Curve",$NN$12*(289-$NR$12+1)*($NS$12-289+1)/$NU$12,$NN$12/$NT$12)),0)</f>
        <v/>
      </c>
      <c r="KH12" s="228">
        <f>IF(AND(290&gt;=$NR$12,290&lt;=$NS$12),IF($NP$12="Single_Point",IF(290=$NR$12,$NN$12,0),IF($NP$12="Bell_Curve",$NN$12*(290-$NR$12+1)*($NS$12-290+1)/$NU$12,$NN$12/$NT$12)),0)</f>
        <v/>
      </c>
      <c r="KI12" s="228">
        <f>IF(AND(291&gt;=$NR$12,291&lt;=$NS$12),IF($NP$12="Single_Point",IF(291=$NR$12,$NN$12,0),IF($NP$12="Bell_Curve",$NN$12*(291-$NR$12+1)*($NS$12-291+1)/$NU$12,$NN$12/$NT$12)),0)</f>
        <v/>
      </c>
      <c r="KJ12" s="228">
        <f>IF(AND(292&gt;=$NR$12,292&lt;=$NS$12),IF($NP$12="Single_Point",IF(292=$NR$12,$NN$12,0),IF($NP$12="Bell_Curve",$NN$12*(292-$NR$12+1)*($NS$12-292+1)/$NU$12,$NN$12/$NT$12)),0)</f>
        <v/>
      </c>
      <c r="KK12" s="228">
        <f>IF(AND(293&gt;=$NR$12,293&lt;=$NS$12),IF($NP$12="Single_Point",IF(293=$NR$12,$NN$12,0),IF($NP$12="Bell_Curve",$NN$12*(293-$NR$12+1)*($NS$12-293+1)/$NU$12,$NN$12/$NT$12)),0)</f>
        <v/>
      </c>
      <c r="KL12" s="228">
        <f>IF(AND(294&gt;=$NR$12,294&lt;=$NS$12),IF($NP$12="Single_Point",IF(294=$NR$12,$NN$12,0),IF($NP$12="Bell_Curve",$NN$12*(294-$NR$12+1)*($NS$12-294+1)/$NU$12,$NN$12/$NT$12)),0)</f>
        <v/>
      </c>
      <c r="KM12" s="228">
        <f>IF(AND(295&gt;=$NR$12,295&lt;=$NS$12),IF($NP$12="Single_Point",IF(295=$NR$12,$NN$12,0),IF($NP$12="Bell_Curve",$NN$12*(295-$NR$12+1)*($NS$12-295+1)/$NU$12,$NN$12/$NT$12)),0)</f>
        <v/>
      </c>
      <c r="KN12" s="228">
        <f>IF(AND(296&gt;=$NR$12,296&lt;=$NS$12),IF($NP$12="Single_Point",IF(296=$NR$12,$NN$12,0),IF($NP$12="Bell_Curve",$NN$12*(296-$NR$12+1)*($NS$12-296+1)/$NU$12,$NN$12/$NT$12)),0)</f>
        <v/>
      </c>
      <c r="KO12" s="228">
        <f>IF(AND(297&gt;=$NR$12,297&lt;=$NS$12),IF($NP$12="Single_Point",IF(297=$NR$12,$NN$12,0),IF($NP$12="Bell_Curve",$NN$12*(297-$NR$12+1)*($NS$12-297+1)/$NU$12,$NN$12/$NT$12)),0)</f>
        <v/>
      </c>
      <c r="KP12" s="228">
        <f>IF(AND(298&gt;=$NR$12,298&lt;=$NS$12),IF($NP$12="Single_Point",IF(298=$NR$12,$NN$12,0),IF($NP$12="Bell_Curve",$NN$12*(298-$NR$12+1)*($NS$12-298+1)/$NU$12,$NN$12/$NT$12)),0)</f>
        <v/>
      </c>
      <c r="KQ12" s="228">
        <f>IF(AND(299&gt;=$NR$12,299&lt;=$NS$12),IF($NP$12="Single_Point",IF(299=$NR$12,$NN$12,0),IF($NP$12="Bell_Curve",$NN$12*(299-$NR$12+1)*($NS$12-299+1)/$NU$12,$NN$12/$NT$12)),0)</f>
        <v/>
      </c>
      <c r="KR12" s="228">
        <f>IF(AND(300&gt;=$NR$12,300&lt;=$NS$12),IF($NP$12="Single_Point",IF(300=$NR$12,$NN$12,0),IF($NP$12="Bell_Curve",$NN$12*(300-$NR$12+1)*($NS$12-300+1)/$NU$12,$NN$12/$NT$12)),0)</f>
        <v/>
      </c>
      <c r="KS12" s="228">
        <f>IF(AND(301&gt;=$NR$12,301&lt;=$NS$12),IF($NP$12="Single_Point",IF(301=$NR$12,$NN$12,0),IF($NP$12="Bell_Curve",$NN$12*(301-$NR$12+1)*($NS$12-301+1)/$NU$12,$NN$12/$NT$12)),0)</f>
        <v/>
      </c>
      <c r="KT12" s="228">
        <f>IF(AND(302&gt;=$NR$12,302&lt;=$NS$12),IF($NP$12="Single_Point",IF(302=$NR$12,$NN$12,0),IF($NP$12="Bell_Curve",$NN$12*(302-$NR$12+1)*($NS$12-302+1)/$NU$12,$NN$12/$NT$12)),0)</f>
        <v/>
      </c>
      <c r="KU12" s="228">
        <f>IF(AND(303&gt;=$NR$12,303&lt;=$NS$12),IF($NP$12="Single_Point",IF(303=$NR$12,$NN$12,0),IF($NP$12="Bell_Curve",$NN$12*(303-$NR$12+1)*($NS$12-303+1)/$NU$12,$NN$12/$NT$12)),0)</f>
        <v/>
      </c>
      <c r="KV12" s="228">
        <f>IF(AND(304&gt;=$NR$12,304&lt;=$NS$12),IF($NP$12="Single_Point",IF(304=$NR$12,$NN$12,0),IF($NP$12="Bell_Curve",$NN$12*(304-$NR$12+1)*($NS$12-304+1)/$NU$12,$NN$12/$NT$12)),0)</f>
        <v/>
      </c>
      <c r="KW12" s="228">
        <f>IF(AND(305&gt;=$NR$12,305&lt;=$NS$12),IF($NP$12="Single_Point",IF(305=$NR$12,$NN$12,0),IF($NP$12="Bell_Curve",$NN$12*(305-$NR$12+1)*($NS$12-305+1)/$NU$12,$NN$12/$NT$12)),0)</f>
        <v/>
      </c>
      <c r="KX12" s="228">
        <f>IF(AND(306&gt;=$NR$12,306&lt;=$NS$12),IF($NP$12="Single_Point",IF(306=$NR$12,$NN$12,0),IF($NP$12="Bell_Curve",$NN$12*(306-$NR$12+1)*($NS$12-306+1)/$NU$12,$NN$12/$NT$12)),0)</f>
        <v/>
      </c>
      <c r="KY12" s="228">
        <f>IF(AND(307&gt;=$NR$12,307&lt;=$NS$12),IF($NP$12="Single_Point",IF(307=$NR$12,$NN$12,0),IF($NP$12="Bell_Curve",$NN$12*(307-$NR$12+1)*($NS$12-307+1)/$NU$12,$NN$12/$NT$12)),0)</f>
        <v/>
      </c>
      <c r="KZ12" s="228">
        <f>IF(AND(308&gt;=$NR$12,308&lt;=$NS$12),IF($NP$12="Single_Point",IF(308=$NR$12,$NN$12,0),IF($NP$12="Bell_Curve",$NN$12*(308-$NR$12+1)*($NS$12-308+1)/$NU$12,$NN$12/$NT$12)),0)</f>
        <v/>
      </c>
      <c r="LA12" s="228">
        <f>IF(AND(309&gt;=$NR$12,309&lt;=$NS$12),IF($NP$12="Single_Point",IF(309=$NR$12,$NN$12,0),IF($NP$12="Bell_Curve",$NN$12*(309-$NR$12+1)*($NS$12-309+1)/$NU$12,$NN$12/$NT$12)),0)</f>
        <v/>
      </c>
      <c r="LB12" s="228">
        <f>IF(AND(310&gt;=$NR$12,310&lt;=$NS$12),IF($NP$12="Single_Point",IF(310=$NR$12,$NN$12,0),IF($NP$12="Bell_Curve",$NN$12*(310-$NR$12+1)*($NS$12-310+1)/$NU$12,$NN$12/$NT$12)),0)</f>
        <v/>
      </c>
      <c r="LC12" s="228">
        <f>IF(AND(311&gt;=$NR$12,311&lt;=$NS$12),IF($NP$12="Single_Point",IF(311=$NR$12,$NN$12,0),IF($NP$12="Bell_Curve",$NN$12*(311-$NR$12+1)*($NS$12-311+1)/$NU$12,$NN$12/$NT$12)),0)</f>
        <v/>
      </c>
      <c r="LD12" s="228">
        <f>IF(AND(312&gt;=$NR$12,312&lt;=$NS$12),IF($NP$12="Single_Point",IF(312=$NR$12,$NN$12,0),IF($NP$12="Bell_Curve",$NN$12*(312-$NR$12+1)*($NS$12-312+1)/$NU$12,$NN$12/$NT$12)),0)</f>
        <v/>
      </c>
      <c r="LE12" s="228">
        <f>IF(AND(313&gt;=$NR$12,313&lt;=$NS$12),IF($NP$12="Single_Point",IF(313=$NR$12,$NN$12,0),IF($NP$12="Bell_Curve",$NN$12*(313-$NR$12+1)*($NS$12-313+1)/$NU$12,$NN$12/$NT$12)),0)</f>
        <v/>
      </c>
      <c r="LF12" s="228">
        <f>IF(AND(314&gt;=$NR$12,314&lt;=$NS$12),IF($NP$12="Single_Point",IF(314=$NR$12,$NN$12,0),IF($NP$12="Bell_Curve",$NN$12*(314-$NR$12+1)*($NS$12-314+1)/$NU$12,$NN$12/$NT$12)),0)</f>
        <v/>
      </c>
      <c r="LG12" s="228">
        <f>IF(AND(315&gt;=$NR$12,315&lt;=$NS$12),IF($NP$12="Single_Point",IF(315=$NR$12,$NN$12,0),IF($NP$12="Bell_Curve",$NN$12*(315-$NR$12+1)*($NS$12-315+1)/$NU$12,$NN$12/$NT$12)),0)</f>
        <v/>
      </c>
      <c r="LH12" s="228">
        <f>IF(AND(316&gt;=$NR$12,316&lt;=$NS$12),IF($NP$12="Single_Point",IF(316=$NR$12,$NN$12,0),IF($NP$12="Bell_Curve",$NN$12*(316-$NR$12+1)*($NS$12-316+1)/$NU$12,$NN$12/$NT$12)),0)</f>
        <v/>
      </c>
      <c r="LI12" s="228">
        <f>IF(AND(317&gt;=$NR$12,317&lt;=$NS$12),IF($NP$12="Single_Point",IF(317=$NR$12,$NN$12,0),IF($NP$12="Bell_Curve",$NN$12*(317-$NR$12+1)*($NS$12-317+1)/$NU$12,$NN$12/$NT$12)),0)</f>
        <v/>
      </c>
      <c r="LJ12" s="228">
        <f>IF(AND(318&gt;=$NR$12,318&lt;=$NS$12),IF($NP$12="Single_Point",IF(318=$NR$12,$NN$12,0),IF($NP$12="Bell_Curve",$NN$12*(318-$NR$12+1)*($NS$12-318+1)/$NU$12,$NN$12/$NT$12)),0)</f>
        <v/>
      </c>
      <c r="LK12" s="228">
        <f>IF(AND(319&gt;=$NR$12,319&lt;=$NS$12),IF($NP$12="Single_Point",IF(319=$NR$12,$NN$12,0),IF($NP$12="Bell_Curve",$NN$12*(319-$NR$12+1)*($NS$12-319+1)/$NU$12,$NN$12/$NT$12)),0)</f>
        <v/>
      </c>
      <c r="LL12" s="228">
        <f>IF(AND(320&gt;=$NR$12,320&lt;=$NS$12),IF($NP$12="Single_Point",IF(320=$NR$12,$NN$12,0),IF($NP$12="Bell_Curve",$NN$12*(320-$NR$12+1)*($NS$12-320+1)/$NU$12,$NN$12/$NT$12)),0)</f>
        <v/>
      </c>
      <c r="LM12" s="228">
        <f>IF(AND(321&gt;=$NR$12,321&lt;=$NS$12),IF($NP$12="Single_Point",IF(321=$NR$12,$NN$12,0),IF($NP$12="Bell_Curve",$NN$12*(321-$NR$12+1)*($NS$12-321+1)/$NU$12,$NN$12/$NT$12)),0)</f>
        <v/>
      </c>
      <c r="LN12" s="228">
        <f>IF(AND(322&gt;=$NR$12,322&lt;=$NS$12),IF($NP$12="Single_Point",IF(322=$NR$12,$NN$12,0),IF($NP$12="Bell_Curve",$NN$12*(322-$NR$12+1)*($NS$12-322+1)/$NU$12,$NN$12/$NT$12)),0)</f>
        <v/>
      </c>
      <c r="LO12" s="228">
        <f>IF(AND(323&gt;=$NR$12,323&lt;=$NS$12),IF($NP$12="Single_Point",IF(323=$NR$12,$NN$12,0),IF($NP$12="Bell_Curve",$NN$12*(323-$NR$12+1)*($NS$12-323+1)/$NU$12,$NN$12/$NT$12)),0)</f>
        <v/>
      </c>
      <c r="LP12" s="228">
        <f>IF(AND(324&gt;=$NR$12,324&lt;=$NS$12),IF($NP$12="Single_Point",IF(324=$NR$12,$NN$12,0),IF($NP$12="Bell_Curve",$NN$12*(324-$NR$12+1)*($NS$12-324+1)/$NU$12,$NN$12/$NT$12)),0)</f>
        <v/>
      </c>
      <c r="LQ12" s="228">
        <f>IF(AND(325&gt;=$NR$12,325&lt;=$NS$12),IF($NP$12="Single_Point",IF(325=$NR$12,$NN$12,0),IF($NP$12="Bell_Curve",$NN$12*(325-$NR$12+1)*($NS$12-325+1)/$NU$12,$NN$12/$NT$12)),0)</f>
        <v/>
      </c>
      <c r="LR12" s="228">
        <f>IF(AND(326&gt;=$NR$12,326&lt;=$NS$12),IF($NP$12="Single_Point",IF(326=$NR$12,$NN$12,0),IF($NP$12="Bell_Curve",$NN$12*(326-$NR$12+1)*($NS$12-326+1)/$NU$12,$NN$12/$NT$12)),0)</f>
        <v/>
      </c>
      <c r="LS12" s="228">
        <f>IF(AND(327&gt;=$NR$12,327&lt;=$NS$12),IF($NP$12="Single_Point",IF(327=$NR$12,$NN$12,0),IF($NP$12="Bell_Curve",$NN$12*(327-$NR$12+1)*($NS$12-327+1)/$NU$12,$NN$12/$NT$12)),0)</f>
        <v/>
      </c>
      <c r="LT12" s="228">
        <f>IF(AND(328&gt;=$NR$12,328&lt;=$NS$12),IF($NP$12="Single_Point",IF(328=$NR$12,$NN$12,0),IF($NP$12="Bell_Curve",$NN$12*(328-$NR$12+1)*($NS$12-328+1)/$NU$12,$NN$12/$NT$12)),0)</f>
        <v/>
      </c>
      <c r="LU12" s="228">
        <f>IF(AND(329&gt;=$NR$12,329&lt;=$NS$12),IF($NP$12="Single_Point",IF(329=$NR$12,$NN$12,0),IF($NP$12="Bell_Curve",$NN$12*(329-$NR$12+1)*($NS$12-329+1)/$NU$12,$NN$12/$NT$12)),0)</f>
        <v/>
      </c>
      <c r="LV12" s="228">
        <f>IF(AND(330&gt;=$NR$12,330&lt;=$NS$12),IF($NP$12="Single_Point",IF(330=$NR$12,$NN$12,0),IF($NP$12="Bell_Curve",$NN$12*(330-$NR$12+1)*($NS$12-330+1)/$NU$12,$NN$12/$NT$12)),0)</f>
        <v/>
      </c>
      <c r="LW12" s="228">
        <f>IF(AND(331&gt;=$NR$12,331&lt;=$NS$12),IF($NP$12="Single_Point",IF(331=$NR$12,$NN$12,0),IF($NP$12="Bell_Curve",$NN$12*(331-$NR$12+1)*($NS$12-331+1)/$NU$12,$NN$12/$NT$12)),0)</f>
        <v/>
      </c>
      <c r="LX12" s="228">
        <f>IF(AND(332&gt;=$NR$12,332&lt;=$NS$12),IF($NP$12="Single_Point",IF(332=$NR$12,$NN$12,0),IF($NP$12="Bell_Curve",$NN$12*(332-$NR$12+1)*($NS$12-332+1)/$NU$12,$NN$12/$NT$12)),0)</f>
        <v/>
      </c>
      <c r="LY12" s="228">
        <f>IF(AND(333&gt;=$NR$12,333&lt;=$NS$12),IF($NP$12="Single_Point",IF(333=$NR$12,$NN$12,0),IF($NP$12="Bell_Curve",$NN$12*(333-$NR$12+1)*($NS$12-333+1)/$NU$12,$NN$12/$NT$12)),0)</f>
        <v/>
      </c>
      <c r="LZ12" s="228">
        <f>IF(AND(334&gt;=$NR$12,334&lt;=$NS$12),IF($NP$12="Single_Point",IF(334=$NR$12,$NN$12,0),IF($NP$12="Bell_Curve",$NN$12*(334-$NR$12+1)*($NS$12-334+1)/$NU$12,$NN$12/$NT$12)),0)</f>
        <v/>
      </c>
      <c r="MA12" s="228">
        <f>IF(AND(335&gt;=$NR$12,335&lt;=$NS$12),IF($NP$12="Single_Point",IF(335=$NR$12,$NN$12,0),IF($NP$12="Bell_Curve",$NN$12*(335-$NR$12+1)*($NS$12-335+1)/$NU$12,$NN$12/$NT$12)),0)</f>
        <v/>
      </c>
      <c r="MB12" s="228">
        <f>IF(AND(336&gt;=$NR$12,336&lt;=$NS$12),IF($NP$12="Single_Point",IF(336=$NR$12,$NN$12,0),IF($NP$12="Bell_Curve",$NN$12*(336-$NR$12+1)*($NS$12-336+1)/$NU$12,$NN$12/$NT$12)),0)</f>
        <v/>
      </c>
      <c r="MC12" s="228">
        <f>IF(AND(337&gt;=$NR$12,337&lt;=$NS$12),IF($NP$12="Single_Point",IF(337=$NR$12,$NN$12,0),IF($NP$12="Bell_Curve",$NN$12*(337-$NR$12+1)*($NS$12-337+1)/$NU$12,$NN$12/$NT$12)),0)</f>
        <v/>
      </c>
      <c r="MD12" s="228">
        <f>IF(AND(338&gt;=$NR$12,338&lt;=$NS$12),IF($NP$12="Single_Point",IF(338=$NR$12,$NN$12,0),IF($NP$12="Bell_Curve",$NN$12*(338-$NR$12+1)*($NS$12-338+1)/$NU$12,$NN$12/$NT$12)),0)</f>
        <v/>
      </c>
      <c r="ME12" s="228">
        <f>IF(AND(339&gt;=$NR$12,339&lt;=$NS$12),IF($NP$12="Single_Point",IF(339=$NR$12,$NN$12,0),IF($NP$12="Bell_Curve",$NN$12*(339-$NR$12+1)*($NS$12-339+1)/$NU$12,$NN$12/$NT$12)),0)</f>
        <v/>
      </c>
      <c r="MF12" s="228">
        <f>IF(AND(340&gt;=$NR$12,340&lt;=$NS$12),IF($NP$12="Single_Point",IF(340=$NR$12,$NN$12,0),IF($NP$12="Bell_Curve",$NN$12*(340-$NR$12+1)*($NS$12-340+1)/$NU$12,$NN$12/$NT$12)),0)</f>
        <v/>
      </c>
      <c r="MG12" s="228">
        <f>IF(AND(341&gt;=$NR$12,341&lt;=$NS$12),IF($NP$12="Single_Point",IF(341=$NR$12,$NN$12,0),IF($NP$12="Bell_Curve",$NN$12*(341-$NR$12+1)*($NS$12-341+1)/$NU$12,$NN$12/$NT$12)),0)</f>
        <v/>
      </c>
      <c r="MH12" s="228">
        <f>IF(AND(342&gt;=$NR$12,342&lt;=$NS$12),IF($NP$12="Single_Point",IF(342=$NR$12,$NN$12,0),IF($NP$12="Bell_Curve",$NN$12*(342-$NR$12+1)*($NS$12-342+1)/$NU$12,$NN$12/$NT$12)),0)</f>
        <v/>
      </c>
      <c r="MI12" s="228">
        <f>IF(AND(343&gt;=$NR$12,343&lt;=$NS$12),IF($NP$12="Single_Point",IF(343=$NR$12,$NN$12,0),IF($NP$12="Bell_Curve",$NN$12*(343-$NR$12+1)*($NS$12-343+1)/$NU$12,$NN$12/$NT$12)),0)</f>
        <v/>
      </c>
      <c r="MJ12" s="228">
        <f>IF(AND(344&gt;=$NR$12,344&lt;=$NS$12),IF($NP$12="Single_Point",IF(344=$NR$12,$NN$12,0),IF($NP$12="Bell_Curve",$NN$12*(344-$NR$12+1)*($NS$12-344+1)/$NU$12,$NN$12/$NT$12)),0)</f>
        <v/>
      </c>
      <c r="MK12" s="228">
        <f>IF(AND(345&gt;=$NR$12,345&lt;=$NS$12),IF($NP$12="Single_Point",IF(345=$NR$12,$NN$12,0),IF($NP$12="Bell_Curve",$NN$12*(345-$NR$12+1)*($NS$12-345+1)/$NU$12,$NN$12/$NT$12)),0)</f>
        <v/>
      </c>
      <c r="ML12" s="228">
        <f>IF(AND(346&gt;=$NR$12,346&lt;=$NS$12),IF($NP$12="Single_Point",IF(346=$NR$12,$NN$12,0),IF($NP$12="Bell_Curve",$NN$12*(346-$NR$12+1)*($NS$12-346+1)/$NU$12,$NN$12/$NT$12)),0)</f>
        <v/>
      </c>
      <c r="MM12" s="228">
        <f>IF(AND(347&gt;=$NR$12,347&lt;=$NS$12),IF($NP$12="Single_Point",IF(347=$NR$12,$NN$12,0),IF($NP$12="Bell_Curve",$NN$12*(347-$NR$12+1)*($NS$12-347+1)/$NU$12,$NN$12/$NT$12)),0)</f>
        <v/>
      </c>
      <c r="MN12" s="228">
        <f>IF(AND(348&gt;=$NR$12,348&lt;=$NS$12),IF($NP$12="Single_Point",IF(348=$NR$12,$NN$12,0),IF($NP$12="Bell_Curve",$NN$12*(348-$NR$12+1)*($NS$12-348+1)/$NU$12,$NN$12/$NT$12)),0)</f>
        <v/>
      </c>
      <c r="MO12" s="228">
        <f>IF(AND(349&gt;=$NR$12,349&lt;=$NS$12),IF($NP$12="Single_Point",IF(349=$NR$12,$NN$12,0),IF($NP$12="Bell_Curve",$NN$12*(349-$NR$12+1)*($NS$12-349+1)/$NU$12,$NN$12/$NT$12)),0)</f>
        <v/>
      </c>
      <c r="MP12" s="228">
        <f>IF(AND(350&gt;=$NR$12,350&lt;=$NS$12),IF($NP$12="Single_Point",IF(350=$NR$12,$NN$12,0),IF($NP$12="Bell_Curve",$NN$12*(350-$NR$12+1)*($NS$12-350+1)/$NU$12,$NN$12/$NT$12)),0)</f>
        <v/>
      </c>
      <c r="MQ12" s="228">
        <f>IF(AND(351&gt;=$NR$12,351&lt;=$NS$12),IF($NP$12="Single_Point",IF(351=$NR$12,$NN$12,0),IF($NP$12="Bell_Curve",$NN$12*(351-$NR$12+1)*($NS$12-351+1)/$NU$12,$NN$12/$NT$12)),0)</f>
        <v/>
      </c>
      <c r="MR12" s="228">
        <f>IF(AND(352&gt;=$NR$12,352&lt;=$NS$12),IF($NP$12="Single_Point",IF(352=$NR$12,$NN$12,0),IF($NP$12="Bell_Curve",$NN$12*(352-$NR$12+1)*($NS$12-352+1)/$NU$12,$NN$12/$NT$12)),0)</f>
        <v/>
      </c>
      <c r="MS12" s="228">
        <f>IF(AND(353&gt;=$NR$12,353&lt;=$NS$12),IF($NP$12="Single_Point",IF(353=$NR$12,$NN$12,0),IF($NP$12="Bell_Curve",$NN$12*(353-$NR$12+1)*($NS$12-353+1)/$NU$12,$NN$12/$NT$12)),0)</f>
        <v/>
      </c>
      <c r="MT12" s="228">
        <f>IF(AND(354&gt;=$NR$12,354&lt;=$NS$12),IF($NP$12="Single_Point",IF(354=$NR$12,$NN$12,0),IF($NP$12="Bell_Curve",$NN$12*(354-$NR$12+1)*($NS$12-354+1)/$NU$12,$NN$12/$NT$12)),0)</f>
        <v/>
      </c>
      <c r="MU12" s="228">
        <f>IF(AND(355&gt;=$NR$12,355&lt;=$NS$12),IF($NP$12="Single_Point",IF(355=$NR$12,$NN$12,0),IF($NP$12="Bell_Curve",$NN$12*(355-$NR$12+1)*($NS$12-355+1)/$NU$12,$NN$12/$NT$12)),0)</f>
        <v/>
      </c>
      <c r="MV12" s="228">
        <f>IF(AND(356&gt;=$NR$12,356&lt;=$NS$12),IF($NP$12="Single_Point",IF(356=$NR$12,$NN$12,0),IF($NP$12="Bell_Curve",$NN$12*(356-$NR$12+1)*($NS$12-356+1)/$NU$12,$NN$12/$NT$12)),0)</f>
        <v/>
      </c>
      <c r="MW12" s="228">
        <f>IF(AND(357&gt;=$NR$12,357&lt;=$NS$12),IF($NP$12="Single_Point",IF(357=$NR$12,$NN$12,0),IF($NP$12="Bell_Curve",$NN$12*(357-$NR$12+1)*($NS$12-357+1)/$NU$12,$NN$12/$NT$12)),0)</f>
        <v/>
      </c>
      <c r="MX12" s="228">
        <f>IF(AND(358&gt;=$NR$12,358&lt;=$NS$12),IF($NP$12="Single_Point",IF(358=$NR$12,$NN$12,0),IF($NP$12="Bell_Curve",$NN$12*(358-$NR$12+1)*($NS$12-358+1)/$NU$12,$NN$12/$NT$12)),0)</f>
        <v/>
      </c>
      <c r="MY12" s="228">
        <f>IF(AND(359&gt;=$NR$12,359&lt;=$NS$12),IF($NP$12="Single_Point",IF(359=$NR$12,$NN$12,0),IF($NP$12="Bell_Curve",$NN$12*(359-$NR$12+1)*($NS$12-359+1)/$NU$12,$NN$12/$NT$12)),0)</f>
        <v/>
      </c>
      <c r="MZ12" s="228">
        <f>IF(AND(360&gt;=$NR$12,360&lt;=$NS$12),IF($NP$12="Single_Point",IF(360=$NR$12,$NN$12,0),IF($NP$12="Bell_Curve",$NN$12*(360-$NR$12+1)*($NS$12-360+1)/$NU$12,$NN$12/$NT$12)),0)</f>
        <v/>
      </c>
      <c r="NA12" s="228">
        <f>IF(AND(361&gt;=$NR$12,361&lt;=$NS$12),IF($NP$12="Single_Point",IF(361=$NR$12,$NN$12,0),IF($NP$12="Bell_Curve",$NN$12*(361-$NR$12+1)*($NS$12-361+1)/$NU$12,$NN$12/$NT$12)),0)</f>
        <v/>
      </c>
      <c r="NB12" s="228">
        <f>IF(AND(362&gt;=$NR$12,362&lt;=$NS$12),IF($NP$12="Single_Point",IF(362=$NR$12,$NN$12,0),IF($NP$12="Bell_Curve",$NN$12*(362-$NR$12+1)*($NS$12-362+1)/$NU$12,$NN$12/$NT$12)),0)</f>
        <v/>
      </c>
      <c r="NC12" s="228">
        <f>IF(AND(363&gt;=$NR$12,363&lt;=$NS$12),IF($NP$12="Single_Point",IF(363=$NR$12,$NN$12,0),IF($NP$12="Bell_Curve",$NN$12*(363-$NR$12+1)*($NS$12-363+1)/$NU$12,$NN$12/$NT$12)),0)</f>
        <v/>
      </c>
      <c r="ND12" s="228">
        <f>IF(AND(364&gt;=$NR$12,364&lt;=$NS$12),IF($NP$12="Single_Point",IF(364=$NR$12,$NN$12,0),IF($NP$12="Bell_Curve",$NN$12*(364-$NR$12+1)*($NS$12-364+1)/$NU$12,$NN$12/$NT$12)),0)</f>
        <v/>
      </c>
      <c r="NE12" s="228">
        <f>IF(AND(365&gt;=$NR$12,365&lt;=$NS$12),IF($NP$12="Single_Point",IF(365=$NR$12,$NN$12,0),IF($NP$12="Bell_Curve",$NN$12*(365-$NR$12+1)*($NS$12-365+1)/$NU$12,$NN$12/$NT$12)),0)</f>
        <v/>
      </c>
      <c r="NF12" s="228">
        <f>IF(AND(366&gt;=$NR$12,366&lt;=$NS$12),IF($NP$12="Single_Point",IF(366=$NR$12,$NN$12,0),IF($NP$12="Bell_Curve",$NN$12*(366-$NR$12+1)*($NS$12-366+1)/$NU$12,$NN$12/$NT$12)),0)</f>
        <v/>
      </c>
      <c r="NG12" s="228">
        <f>IF(AND(367&gt;=$NR$12,367&lt;=$NS$12),IF($NP$12="Single_Point",IF(367=$NR$12,$NN$12,0),IF($NP$12="Bell_Curve",$NN$12*(367-$NR$12+1)*($NS$12-367+1)/$NU$12,$NN$12/$NT$12)),0)</f>
        <v/>
      </c>
      <c r="NH12" s="228">
        <f>IF(AND(368&gt;=$NR$12,368&lt;=$NS$12),IF($NP$12="Single_Point",IF(368=$NR$12,$NN$12,0),IF($NP$12="Bell_Curve",$NN$12*(368-$NR$12+1)*($NS$12-368+1)/$NU$12,$NN$12/$NT$12)),0)</f>
        <v/>
      </c>
      <c r="NI12" s="228">
        <f>IF(AND(369&gt;=$NR$12,369&lt;=$NS$12),IF($NP$12="Single_Point",IF(369=$NR$12,$NN$12,0),IF($NP$12="Bell_Curve",$NN$12*(369-$NR$12+1)*($NS$12-369+1)/$NU$12,$NN$12/$NT$12)),0)</f>
        <v/>
      </c>
      <c r="NJ12" s="228">
        <f>IF(AND(370&gt;=$NR$12,370&lt;=$NS$12),IF($NP$12="Single_Point",IF(370=$NR$12,$NN$12,0),IF($NP$12="Bell_Curve",$NN$12*(370-$NR$12+1)*($NS$12-370+1)/$NU$12,$NN$12/$NT$12)),0)</f>
        <v/>
      </c>
      <c r="NK12" s="228">
        <f>IF(AND(371&gt;=$NR$12,371&lt;=$NS$12),IF($NP$12="Single_Point",IF(371=$NR$12,$NN$12,0),IF($NP$12="Bell_Curve",$NN$12*(371-$NR$12+1)*($NS$12-371+1)/$NU$12,$NN$12/$NT$12)),0)</f>
        <v/>
      </c>
      <c r="NL12" s="247">
        <f>IF(AND(372&gt;=$NR$12,372&lt;=$NS$12),IF($NP$12="Single_Point",IF(372=$NR$12,$NN$12,0),IF($NP$12="Bell_Curve",$NN$12*(372-$NR$12+1)*($NS$12-372+1)/$NU$12,$NN$12/$NT$12)),0)</f>
        <v/>
      </c>
      <c r="NN12" s="218">
        <f>Budget!J11</f>
        <v/>
      </c>
      <c r="NO12" s="144">
        <f>Budget!G11</f>
        <v/>
      </c>
      <c r="NP12" s="144">
        <f>Budget!H11</f>
        <v/>
      </c>
      <c r="NQ12" s="85">
        <f>Budget!I11</f>
        <v/>
      </c>
      <c r="NR12" s="248">
        <f>MAX(1,MIN(372,INDEX(MilestoneStart,MATCH(NO12,MilestoneNames,0))+NQ12))</f>
        <v/>
      </c>
      <c r="NS12" s="248">
        <f>MAX(NR12,MIN(372,INDEX(MilestoneEnd,MATCH(NO12,MilestoneNames,0))+NQ12))</f>
        <v/>
      </c>
      <c r="NT12" s="85">
        <f>NS12-NR12+1</f>
        <v/>
      </c>
      <c r="NU12" s="85">
        <f>NT12*(NT12+1)*(NT12+2)/6</f>
        <v/>
      </c>
    </row>
    <row r="13">
      <c r="B13" s="36" t="inlineStr">
        <is>
          <t>Marketing &amp; Lease-Up</t>
        </is>
      </c>
      <c r="D13" s="246">
        <f>SUM(E13:NL13)</f>
        <v/>
      </c>
      <c r="E13" s="228">
        <f>IF(AND(1&gt;=$NR$13,1&lt;=$NS$13),IF($NP$13="Single_Point",IF(1=$NR$13,$NN$13,0),IF($NP$13="Bell_Curve",$NN$13*(1-$NR$13+1)*($NS$13-1+1)/$NU$13,$NN$13/$NT$13)),0)</f>
        <v/>
      </c>
      <c r="F13" s="228">
        <f>IF(AND(2&gt;=$NR$13,2&lt;=$NS$13),IF($NP$13="Single_Point",IF(2=$NR$13,$NN$13,0),IF($NP$13="Bell_Curve",$NN$13*(2-$NR$13+1)*($NS$13-2+1)/$NU$13,$NN$13/$NT$13)),0)</f>
        <v/>
      </c>
      <c r="G13" s="228">
        <f>IF(AND(3&gt;=$NR$13,3&lt;=$NS$13),IF($NP$13="Single_Point",IF(3=$NR$13,$NN$13,0),IF($NP$13="Bell_Curve",$NN$13*(3-$NR$13+1)*($NS$13-3+1)/$NU$13,$NN$13/$NT$13)),0)</f>
        <v/>
      </c>
      <c r="H13" s="228">
        <f>IF(AND(4&gt;=$NR$13,4&lt;=$NS$13),IF($NP$13="Single_Point",IF(4=$NR$13,$NN$13,0),IF($NP$13="Bell_Curve",$NN$13*(4-$NR$13+1)*($NS$13-4+1)/$NU$13,$NN$13/$NT$13)),0)</f>
        <v/>
      </c>
      <c r="I13" s="228">
        <f>IF(AND(5&gt;=$NR$13,5&lt;=$NS$13),IF($NP$13="Single_Point",IF(5=$NR$13,$NN$13,0),IF($NP$13="Bell_Curve",$NN$13*(5-$NR$13+1)*($NS$13-5+1)/$NU$13,$NN$13/$NT$13)),0)</f>
        <v/>
      </c>
      <c r="J13" s="228">
        <f>IF(AND(6&gt;=$NR$13,6&lt;=$NS$13),IF($NP$13="Single_Point",IF(6=$NR$13,$NN$13,0),IF($NP$13="Bell_Curve",$NN$13*(6-$NR$13+1)*($NS$13-6+1)/$NU$13,$NN$13/$NT$13)),0)</f>
        <v/>
      </c>
      <c r="K13" s="228">
        <f>IF(AND(7&gt;=$NR$13,7&lt;=$NS$13),IF($NP$13="Single_Point",IF(7=$NR$13,$NN$13,0),IF($NP$13="Bell_Curve",$NN$13*(7-$NR$13+1)*($NS$13-7+1)/$NU$13,$NN$13/$NT$13)),0)</f>
        <v/>
      </c>
      <c r="L13" s="228">
        <f>IF(AND(8&gt;=$NR$13,8&lt;=$NS$13),IF($NP$13="Single_Point",IF(8=$NR$13,$NN$13,0),IF($NP$13="Bell_Curve",$NN$13*(8-$NR$13+1)*($NS$13-8+1)/$NU$13,$NN$13/$NT$13)),0)</f>
        <v/>
      </c>
      <c r="M13" s="228">
        <f>IF(AND(9&gt;=$NR$13,9&lt;=$NS$13),IF($NP$13="Single_Point",IF(9=$NR$13,$NN$13,0),IF($NP$13="Bell_Curve",$NN$13*(9-$NR$13+1)*($NS$13-9+1)/$NU$13,$NN$13/$NT$13)),0)</f>
        <v/>
      </c>
      <c r="N13" s="228">
        <f>IF(AND(10&gt;=$NR$13,10&lt;=$NS$13),IF($NP$13="Single_Point",IF(10=$NR$13,$NN$13,0),IF($NP$13="Bell_Curve",$NN$13*(10-$NR$13+1)*($NS$13-10+1)/$NU$13,$NN$13/$NT$13)),0)</f>
        <v/>
      </c>
      <c r="O13" s="228">
        <f>IF(AND(11&gt;=$NR$13,11&lt;=$NS$13),IF($NP$13="Single_Point",IF(11=$NR$13,$NN$13,0),IF($NP$13="Bell_Curve",$NN$13*(11-$NR$13+1)*($NS$13-11+1)/$NU$13,$NN$13/$NT$13)),0)</f>
        <v/>
      </c>
      <c r="P13" s="228">
        <f>IF(AND(12&gt;=$NR$13,12&lt;=$NS$13),IF($NP$13="Single_Point",IF(12=$NR$13,$NN$13,0),IF($NP$13="Bell_Curve",$NN$13*(12-$NR$13+1)*($NS$13-12+1)/$NU$13,$NN$13/$NT$13)),0)</f>
        <v/>
      </c>
      <c r="Q13" s="228">
        <f>IF(AND(13&gt;=$NR$13,13&lt;=$NS$13),IF($NP$13="Single_Point",IF(13=$NR$13,$NN$13,0),IF($NP$13="Bell_Curve",$NN$13*(13-$NR$13+1)*($NS$13-13+1)/$NU$13,$NN$13/$NT$13)),0)</f>
        <v/>
      </c>
      <c r="R13" s="228">
        <f>IF(AND(14&gt;=$NR$13,14&lt;=$NS$13),IF($NP$13="Single_Point",IF(14=$NR$13,$NN$13,0),IF($NP$13="Bell_Curve",$NN$13*(14-$NR$13+1)*($NS$13-14+1)/$NU$13,$NN$13/$NT$13)),0)</f>
        <v/>
      </c>
      <c r="S13" s="228">
        <f>IF(AND(15&gt;=$NR$13,15&lt;=$NS$13),IF($NP$13="Single_Point",IF(15=$NR$13,$NN$13,0),IF($NP$13="Bell_Curve",$NN$13*(15-$NR$13+1)*($NS$13-15+1)/$NU$13,$NN$13/$NT$13)),0)</f>
        <v/>
      </c>
      <c r="T13" s="228">
        <f>IF(AND(16&gt;=$NR$13,16&lt;=$NS$13),IF($NP$13="Single_Point",IF(16=$NR$13,$NN$13,0),IF($NP$13="Bell_Curve",$NN$13*(16-$NR$13+1)*($NS$13-16+1)/$NU$13,$NN$13/$NT$13)),0)</f>
        <v/>
      </c>
      <c r="U13" s="228">
        <f>IF(AND(17&gt;=$NR$13,17&lt;=$NS$13),IF($NP$13="Single_Point",IF(17=$NR$13,$NN$13,0),IF($NP$13="Bell_Curve",$NN$13*(17-$NR$13+1)*($NS$13-17+1)/$NU$13,$NN$13/$NT$13)),0)</f>
        <v/>
      </c>
      <c r="V13" s="228">
        <f>IF(AND(18&gt;=$NR$13,18&lt;=$NS$13),IF($NP$13="Single_Point",IF(18=$NR$13,$NN$13,0),IF($NP$13="Bell_Curve",$NN$13*(18-$NR$13+1)*($NS$13-18+1)/$NU$13,$NN$13/$NT$13)),0)</f>
        <v/>
      </c>
      <c r="W13" s="228">
        <f>IF(AND(19&gt;=$NR$13,19&lt;=$NS$13),IF($NP$13="Single_Point",IF(19=$NR$13,$NN$13,0),IF($NP$13="Bell_Curve",$NN$13*(19-$NR$13+1)*($NS$13-19+1)/$NU$13,$NN$13/$NT$13)),0)</f>
        <v/>
      </c>
      <c r="X13" s="228">
        <f>IF(AND(20&gt;=$NR$13,20&lt;=$NS$13),IF($NP$13="Single_Point",IF(20=$NR$13,$NN$13,0),IF($NP$13="Bell_Curve",$NN$13*(20-$NR$13+1)*($NS$13-20+1)/$NU$13,$NN$13/$NT$13)),0)</f>
        <v/>
      </c>
      <c r="Y13" s="228">
        <f>IF(AND(21&gt;=$NR$13,21&lt;=$NS$13),IF($NP$13="Single_Point",IF(21=$NR$13,$NN$13,0),IF($NP$13="Bell_Curve",$NN$13*(21-$NR$13+1)*($NS$13-21+1)/$NU$13,$NN$13/$NT$13)),0)</f>
        <v/>
      </c>
      <c r="Z13" s="228">
        <f>IF(AND(22&gt;=$NR$13,22&lt;=$NS$13),IF($NP$13="Single_Point",IF(22=$NR$13,$NN$13,0),IF($NP$13="Bell_Curve",$NN$13*(22-$NR$13+1)*($NS$13-22+1)/$NU$13,$NN$13/$NT$13)),0)</f>
        <v/>
      </c>
      <c r="AA13" s="228">
        <f>IF(AND(23&gt;=$NR$13,23&lt;=$NS$13),IF($NP$13="Single_Point",IF(23=$NR$13,$NN$13,0),IF($NP$13="Bell_Curve",$NN$13*(23-$NR$13+1)*($NS$13-23+1)/$NU$13,$NN$13/$NT$13)),0)</f>
        <v/>
      </c>
      <c r="AB13" s="228">
        <f>IF(AND(24&gt;=$NR$13,24&lt;=$NS$13),IF($NP$13="Single_Point",IF(24=$NR$13,$NN$13,0),IF($NP$13="Bell_Curve",$NN$13*(24-$NR$13+1)*($NS$13-24+1)/$NU$13,$NN$13/$NT$13)),0)</f>
        <v/>
      </c>
      <c r="AC13" s="228">
        <f>IF(AND(25&gt;=$NR$13,25&lt;=$NS$13),IF($NP$13="Single_Point",IF(25=$NR$13,$NN$13,0),IF($NP$13="Bell_Curve",$NN$13*(25-$NR$13+1)*($NS$13-25+1)/$NU$13,$NN$13/$NT$13)),0)</f>
        <v/>
      </c>
      <c r="AD13" s="228">
        <f>IF(AND(26&gt;=$NR$13,26&lt;=$NS$13),IF($NP$13="Single_Point",IF(26=$NR$13,$NN$13,0),IF($NP$13="Bell_Curve",$NN$13*(26-$NR$13+1)*($NS$13-26+1)/$NU$13,$NN$13/$NT$13)),0)</f>
        <v/>
      </c>
      <c r="AE13" s="228">
        <f>IF(AND(27&gt;=$NR$13,27&lt;=$NS$13),IF($NP$13="Single_Point",IF(27=$NR$13,$NN$13,0),IF($NP$13="Bell_Curve",$NN$13*(27-$NR$13+1)*($NS$13-27+1)/$NU$13,$NN$13/$NT$13)),0)</f>
        <v/>
      </c>
      <c r="AF13" s="228">
        <f>IF(AND(28&gt;=$NR$13,28&lt;=$NS$13),IF($NP$13="Single_Point",IF(28=$NR$13,$NN$13,0),IF($NP$13="Bell_Curve",$NN$13*(28-$NR$13+1)*($NS$13-28+1)/$NU$13,$NN$13/$NT$13)),0)</f>
        <v/>
      </c>
      <c r="AG13" s="228">
        <f>IF(AND(29&gt;=$NR$13,29&lt;=$NS$13),IF($NP$13="Single_Point",IF(29=$NR$13,$NN$13,0),IF($NP$13="Bell_Curve",$NN$13*(29-$NR$13+1)*($NS$13-29+1)/$NU$13,$NN$13/$NT$13)),0)</f>
        <v/>
      </c>
      <c r="AH13" s="228">
        <f>IF(AND(30&gt;=$NR$13,30&lt;=$NS$13),IF($NP$13="Single_Point",IF(30=$NR$13,$NN$13,0),IF($NP$13="Bell_Curve",$NN$13*(30-$NR$13+1)*($NS$13-30+1)/$NU$13,$NN$13/$NT$13)),0)</f>
        <v/>
      </c>
      <c r="AI13" s="228">
        <f>IF(AND(31&gt;=$NR$13,31&lt;=$NS$13),IF($NP$13="Single_Point",IF(31=$NR$13,$NN$13,0),IF($NP$13="Bell_Curve",$NN$13*(31-$NR$13+1)*($NS$13-31+1)/$NU$13,$NN$13/$NT$13)),0)</f>
        <v/>
      </c>
      <c r="AJ13" s="228">
        <f>IF(AND(32&gt;=$NR$13,32&lt;=$NS$13),IF($NP$13="Single_Point",IF(32=$NR$13,$NN$13,0),IF($NP$13="Bell_Curve",$NN$13*(32-$NR$13+1)*($NS$13-32+1)/$NU$13,$NN$13/$NT$13)),0)</f>
        <v/>
      </c>
      <c r="AK13" s="228">
        <f>IF(AND(33&gt;=$NR$13,33&lt;=$NS$13),IF($NP$13="Single_Point",IF(33=$NR$13,$NN$13,0),IF($NP$13="Bell_Curve",$NN$13*(33-$NR$13+1)*($NS$13-33+1)/$NU$13,$NN$13/$NT$13)),0)</f>
        <v/>
      </c>
      <c r="AL13" s="228">
        <f>IF(AND(34&gt;=$NR$13,34&lt;=$NS$13),IF($NP$13="Single_Point",IF(34=$NR$13,$NN$13,0),IF($NP$13="Bell_Curve",$NN$13*(34-$NR$13+1)*($NS$13-34+1)/$NU$13,$NN$13/$NT$13)),0)</f>
        <v/>
      </c>
      <c r="AM13" s="228">
        <f>IF(AND(35&gt;=$NR$13,35&lt;=$NS$13),IF($NP$13="Single_Point",IF(35=$NR$13,$NN$13,0),IF($NP$13="Bell_Curve",$NN$13*(35-$NR$13+1)*($NS$13-35+1)/$NU$13,$NN$13/$NT$13)),0)</f>
        <v/>
      </c>
      <c r="AN13" s="228">
        <f>IF(AND(36&gt;=$NR$13,36&lt;=$NS$13),IF($NP$13="Single_Point",IF(36=$NR$13,$NN$13,0),IF($NP$13="Bell_Curve",$NN$13*(36-$NR$13+1)*($NS$13-36+1)/$NU$13,$NN$13/$NT$13)),0)</f>
        <v/>
      </c>
      <c r="AO13" s="228">
        <f>IF(AND(37&gt;=$NR$13,37&lt;=$NS$13),IF($NP$13="Single_Point",IF(37=$NR$13,$NN$13,0),IF($NP$13="Bell_Curve",$NN$13*(37-$NR$13+1)*($NS$13-37+1)/$NU$13,$NN$13/$NT$13)),0)</f>
        <v/>
      </c>
      <c r="AP13" s="228">
        <f>IF(AND(38&gt;=$NR$13,38&lt;=$NS$13),IF($NP$13="Single_Point",IF(38=$NR$13,$NN$13,0),IF($NP$13="Bell_Curve",$NN$13*(38-$NR$13+1)*($NS$13-38+1)/$NU$13,$NN$13/$NT$13)),0)</f>
        <v/>
      </c>
      <c r="AQ13" s="228">
        <f>IF(AND(39&gt;=$NR$13,39&lt;=$NS$13),IF($NP$13="Single_Point",IF(39=$NR$13,$NN$13,0),IF($NP$13="Bell_Curve",$NN$13*(39-$NR$13+1)*($NS$13-39+1)/$NU$13,$NN$13/$NT$13)),0)</f>
        <v/>
      </c>
      <c r="AR13" s="228">
        <f>IF(AND(40&gt;=$NR$13,40&lt;=$NS$13),IF($NP$13="Single_Point",IF(40=$NR$13,$NN$13,0),IF($NP$13="Bell_Curve",$NN$13*(40-$NR$13+1)*($NS$13-40+1)/$NU$13,$NN$13/$NT$13)),0)</f>
        <v/>
      </c>
      <c r="AS13" s="228">
        <f>IF(AND(41&gt;=$NR$13,41&lt;=$NS$13),IF($NP$13="Single_Point",IF(41=$NR$13,$NN$13,0),IF($NP$13="Bell_Curve",$NN$13*(41-$NR$13+1)*($NS$13-41+1)/$NU$13,$NN$13/$NT$13)),0)</f>
        <v/>
      </c>
      <c r="AT13" s="228">
        <f>IF(AND(42&gt;=$NR$13,42&lt;=$NS$13),IF($NP$13="Single_Point",IF(42=$NR$13,$NN$13,0),IF($NP$13="Bell_Curve",$NN$13*(42-$NR$13+1)*($NS$13-42+1)/$NU$13,$NN$13/$NT$13)),0)</f>
        <v/>
      </c>
      <c r="AU13" s="228">
        <f>IF(AND(43&gt;=$NR$13,43&lt;=$NS$13),IF($NP$13="Single_Point",IF(43=$NR$13,$NN$13,0),IF($NP$13="Bell_Curve",$NN$13*(43-$NR$13+1)*($NS$13-43+1)/$NU$13,$NN$13/$NT$13)),0)</f>
        <v/>
      </c>
      <c r="AV13" s="228">
        <f>IF(AND(44&gt;=$NR$13,44&lt;=$NS$13),IF($NP$13="Single_Point",IF(44=$NR$13,$NN$13,0),IF($NP$13="Bell_Curve",$NN$13*(44-$NR$13+1)*($NS$13-44+1)/$NU$13,$NN$13/$NT$13)),0)</f>
        <v/>
      </c>
      <c r="AW13" s="228">
        <f>IF(AND(45&gt;=$NR$13,45&lt;=$NS$13),IF($NP$13="Single_Point",IF(45=$NR$13,$NN$13,0),IF($NP$13="Bell_Curve",$NN$13*(45-$NR$13+1)*($NS$13-45+1)/$NU$13,$NN$13/$NT$13)),0)</f>
        <v/>
      </c>
      <c r="AX13" s="228">
        <f>IF(AND(46&gt;=$NR$13,46&lt;=$NS$13),IF($NP$13="Single_Point",IF(46=$NR$13,$NN$13,0),IF($NP$13="Bell_Curve",$NN$13*(46-$NR$13+1)*($NS$13-46+1)/$NU$13,$NN$13/$NT$13)),0)</f>
        <v/>
      </c>
      <c r="AY13" s="228">
        <f>IF(AND(47&gt;=$NR$13,47&lt;=$NS$13),IF($NP$13="Single_Point",IF(47=$NR$13,$NN$13,0),IF($NP$13="Bell_Curve",$NN$13*(47-$NR$13+1)*($NS$13-47+1)/$NU$13,$NN$13/$NT$13)),0)</f>
        <v/>
      </c>
      <c r="AZ13" s="228">
        <f>IF(AND(48&gt;=$NR$13,48&lt;=$NS$13),IF($NP$13="Single_Point",IF(48=$NR$13,$NN$13,0),IF($NP$13="Bell_Curve",$NN$13*(48-$NR$13+1)*($NS$13-48+1)/$NU$13,$NN$13/$NT$13)),0)</f>
        <v/>
      </c>
      <c r="BA13" s="228">
        <f>IF(AND(49&gt;=$NR$13,49&lt;=$NS$13),IF($NP$13="Single_Point",IF(49=$NR$13,$NN$13,0),IF($NP$13="Bell_Curve",$NN$13*(49-$NR$13+1)*($NS$13-49+1)/$NU$13,$NN$13/$NT$13)),0)</f>
        <v/>
      </c>
      <c r="BB13" s="228">
        <f>IF(AND(50&gt;=$NR$13,50&lt;=$NS$13),IF($NP$13="Single_Point",IF(50=$NR$13,$NN$13,0),IF($NP$13="Bell_Curve",$NN$13*(50-$NR$13+1)*($NS$13-50+1)/$NU$13,$NN$13/$NT$13)),0)</f>
        <v/>
      </c>
      <c r="BC13" s="228">
        <f>IF(AND(51&gt;=$NR$13,51&lt;=$NS$13),IF($NP$13="Single_Point",IF(51=$NR$13,$NN$13,0),IF($NP$13="Bell_Curve",$NN$13*(51-$NR$13+1)*($NS$13-51+1)/$NU$13,$NN$13/$NT$13)),0)</f>
        <v/>
      </c>
      <c r="BD13" s="228">
        <f>IF(AND(52&gt;=$NR$13,52&lt;=$NS$13),IF($NP$13="Single_Point",IF(52=$NR$13,$NN$13,0),IF($NP$13="Bell_Curve",$NN$13*(52-$NR$13+1)*($NS$13-52+1)/$NU$13,$NN$13/$NT$13)),0)</f>
        <v/>
      </c>
      <c r="BE13" s="228">
        <f>IF(AND(53&gt;=$NR$13,53&lt;=$NS$13),IF($NP$13="Single_Point",IF(53=$NR$13,$NN$13,0),IF($NP$13="Bell_Curve",$NN$13*(53-$NR$13+1)*($NS$13-53+1)/$NU$13,$NN$13/$NT$13)),0)</f>
        <v/>
      </c>
      <c r="BF13" s="228">
        <f>IF(AND(54&gt;=$NR$13,54&lt;=$NS$13),IF($NP$13="Single_Point",IF(54=$NR$13,$NN$13,0),IF($NP$13="Bell_Curve",$NN$13*(54-$NR$13+1)*($NS$13-54+1)/$NU$13,$NN$13/$NT$13)),0)</f>
        <v/>
      </c>
      <c r="BG13" s="228">
        <f>IF(AND(55&gt;=$NR$13,55&lt;=$NS$13),IF($NP$13="Single_Point",IF(55=$NR$13,$NN$13,0),IF($NP$13="Bell_Curve",$NN$13*(55-$NR$13+1)*($NS$13-55+1)/$NU$13,$NN$13/$NT$13)),0)</f>
        <v/>
      </c>
      <c r="BH13" s="228">
        <f>IF(AND(56&gt;=$NR$13,56&lt;=$NS$13),IF($NP$13="Single_Point",IF(56=$NR$13,$NN$13,0),IF($NP$13="Bell_Curve",$NN$13*(56-$NR$13+1)*($NS$13-56+1)/$NU$13,$NN$13/$NT$13)),0)</f>
        <v/>
      </c>
      <c r="BI13" s="228">
        <f>IF(AND(57&gt;=$NR$13,57&lt;=$NS$13),IF($NP$13="Single_Point",IF(57=$NR$13,$NN$13,0),IF($NP$13="Bell_Curve",$NN$13*(57-$NR$13+1)*($NS$13-57+1)/$NU$13,$NN$13/$NT$13)),0)</f>
        <v/>
      </c>
      <c r="BJ13" s="228">
        <f>IF(AND(58&gt;=$NR$13,58&lt;=$NS$13),IF($NP$13="Single_Point",IF(58=$NR$13,$NN$13,0),IF($NP$13="Bell_Curve",$NN$13*(58-$NR$13+1)*($NS$13-58+1)/$NU$13,$NN$13/$NT$13)),0)</f>
        <v/>
      </c>
      <c r="BK13" s="228">
        <f>IF(AND(59&gt;=$NR$13,59&lt;=$NS$13),IF($NP$13="Single_Point",IF(59=$NR$13,$NN$13,0),IF($NP$13="Bell_Curve",$NN$13*(59-$NR$13+1)*($NS$13-59+1)/$NU$13,$NN$13/$NT$13)),0)</f>
        <v/>
      </c>
      <c r="BL13" s="228">
        <f>IF(AND(60&gt;=$NR$13,60&lt;=$NS$13),IF($NP$13="Single_Point",IF(60=$NR$13,$NN$13,0),IF($NP$13="Bell_Curve",$NN$13*(60-$NR$13+1)*($NS$13-60+1)/$NU$13,$NN$13/$NT$13)),0)</f>
        <v/>
      </c>
      <c r="BM13" s="228">
        <f>IF(AND(61&gt;=$NR$13,61&lt;=$NS$13),IF($NP$13="Single_Point",IF(61=$NR$13,$NN$13,0),IF($NP$13="Bell_Curve",$NN$13*(61-$NR$13+1)*($NS$13-61+1)/$NU$13,$NN$13/$NT$13)),0)</f>
        <v/>
      </c>
      <c r="BN13" s="228">
        <f>IF(AND(62&gt;=$NR$13,62&lt;=$NS$13),IF($NP$13="Single_Point",IF(62=$NR$13,$NN$13,0),IF($NP$13="Bell_Curve",$NN$13*(62-$NR$13+1)*($NS$13-62+1)/$NU$13,$NN$13/$NT$13)),0)</f>
        <v/>
      </c>
      <c r="BO13" s="228">
        <f>IF(AND(63&gt;=$NR$13,63&lt;=$NS$13),IF($NP$13="Single_Point",IF(63=$NR$13,$NN$13,0),IF($NP$13="Bell_Curve",$NN$13*(63-$NR$13+1)*($NS$13-63+1)/$NU$13,$NN$13/$NT$13)),0)</f>
        <v/>
      </c>
      <c r="BP13" s="228">
        <f>IF(AND(64&gt;=$NR$13,64&lt;=$NS$13),IF($NP$13="Single_Point",IF(64=$NR$13,$NN$13,0),IF($NP$13="Bell_Curve",$NN$13*(64-$NR$13+1)*($NS$13-64+1)/$NU$13,$NN$13/$NT$13)),0)</f>
        <v/>
      </c>
      <c r="BQ13" s="228">
        <f>IF(AND(65&gt;=$NR$13,65&lt;=$NS$13),IF($NP$13="Single_Point",IF(65=$NR$13,$NN$13,0),IF($NP$13="Bell_Curve",$NN$13*(65-$NR$13+1)*($NS$13-65+1)/$NU$13,$NN$13/$NT$13)),0)</f>
        <v/>
      </c>
      <c r="BR13" s="228">
        <f>IF(AND(66&gt;=$NR$13,66&lt;=$NS$13),IF($NP$13="Single_Point",IF(66=$NR$13,$NN$13,0),IF($NP$13="Bell_Curve",$NN$13*(66-$NR$13+1)*($NS$13-66+1)/$NU$13,$NN$13/$NT$13)),0)</f>
        <v/>
      </c>
      <c r="BS13" s="228">
        <f>IF(AND(67&gt;=$NR$13,67&lt;=$NS$13),IF($NP$13="Single_Point",IF(67=$NR$13,$NN$13,0),IF($NP$13="Bell_Curve",$NN$13*(67-$NR$13+1)*($NS$13-67+1)/$NU$13,$NN$13/$NT$13)),0)</f>
        <v/>
      </c>
      <c r="BT13" s="228">
        <f>IF(AND(68&gt;=$NR$13,68&lt;=$NS$13),IF($NP$13="Single_Point",IF(68=$NR$13,$NN$13,0),IF($NP$13="Bell_Curve",$NN$13*(68-$NR$13+1)*($NS$13-68+1)/$NU$13,$NN$13/$NT$13)),0)</f>
        <v/>
      </c>
      <c r="BU13" s="228">
        <f>IF(AND(69&gt;=$NR$13,69&lt;=$NS$13),IF($NP$13="Single_Point",IF(69=$NR$13,$NN$13,0),IF($NP$13="Bell_Curve",$NN$13*(69-$NR$13+1)*($NS$13-69+1)/$NU$13,$NN$13/$NT$13)),0)</f>
        <v/>
      </c>
      <c r="BV13" s="228">
        <f>IF(AND(70&gt;=$NR$13,70&lt;=$NS$13),IF($NP$13="Single_Point",IF(70=$NR$13,$NN$13,0),IF($NP$13="Bell_Curve",$NN$13*(70-$NR$13+1)*($NS$13-70+1)/$NU$13,$NN$13/$NT$13)),0)</f>
        <v/>
      </c>
      <c r="BW13" s="228">
        <f>IF(AND(71&gt;=$NR$13,71&lt;=$NS$13),IF($NP$13="Single_Point",IF(71=$NR$13,$NN$13,0),IF($NP$13="Bell_Curve",$NN$13*(71-$NR$13+1)*($NS$13-71+1)/$NU$13,$NN$13/$NT$13)),0)</f>
        <v/>
      </c>
      <c r="BX13" s="228">
        <f>IF(AND(72&gt;=$NR$13,72&lt;=$NS$13),IF($NP$13="Single_Point",IF(72=$NR$13,$NN$13,0),IF($NP$13="Bell_Curve",$NN$13*(72-$NR$13+1)*($NS$13-72+1)/$NU$13,$NN$13/$NT$13)),0)</f>
        <v/>
      </c>
      <c r="BY13" s="228">
        <f>IF(AND(73&gt;=$NR$13,73&lt;=$NS$13),IF($NP$13="Single_Point",IF(73=$NR$13,$NN$13,0),IF($NP$13="Bell_Curve",$NN$13*(73-$NR$13+1)*($NS$13-73+1)/$NU$13,$NN$13/$NT$13)),0)</f>
        <v/>
      </c>
      <c r="BZ13" s="228">
        <f>IF(AND(74&gt;=$NR$13,74&lt;=$NS$13),IF($NP$13="Single_Point",IF(74=$NR$13,$NN$13,0),IF($NP$13="Bell_Curve",$NN$13*(74-$NR$13+1)*($NS$13-74+1)/$NU$13,$NN$13/$NT$13)),0)</f>
        <v/>
      </c>
      <c r="CA13" s="228">
        <f>IF(AND(75&gt;=$NR$13,75&lt;=$NS$13),IF($NP$13="Single_Point",IF(75=$NR$13,$NN$13,0),IF($NP$13="Bell_Curve",$NN$13*(75-$NR$13+1)*($NS$13-75+1)/$NU$13,$NN$13/$NT$13)),0)</f>
        <v/>
      </c>
      <c r="CB13" s="228">
        <f>IF(AND(76&gt;=$NR$13,76&lt;=$NS$13),IF($NP$13="Single_Point",IF(76=$NR$13,$NN$13,0),IF($NP$13="Bell_Curve",$NN$13*(76-$NR$13+1)*($NS$13-76+1)/$NU$13,$NN$13/$NT$13)),0)</f>
        <v/>
      </c>
      <c r="CC13" s="228">
        <f>IF(AND(77&gt;=$NR$13,77&lt;=$NS$13),IF($NP$13="Single_Point",IF(77=$NR$13,$NN$13,0),IF($NP$13="Bell_Curve",$NN$13*(77-$NR$13+1)*($NS$13-77+1)/$NU$13,$NN$13/$NT$13)),0)</f>
        <v/>
      </c>
      <c r="CD13" s="228">
        <f>IF(AND(78&gt;=$NR$13,78&lt;=$NS$13),IF($NP$13="Single_Point",IF(78=$NR$13,$NN$13,0),IF($NP$13="Bell_Curve",$NN$13*(78-$NR$13+1)*($NS$13-78+1)/$NU$13,$NN$13/$NT$13)),0)</f>
        <v/>
      </c>
      <c r="CE13" s="228">
        <f>IF(AND(79&gt;=$NR$13,79&lt;=$NS$13),IF($NP$13="Single_Point",IF(79=$NR$13,$NN$13,0),IF($NP$13="Bell_Curve",$NN$13*(79-$NR$13+1)*($NS$13-79+1)/$NU$13,$NN$13/$NT$13)),0)</f>
        <v/>
      </c>
      <c r="CF13" s="228">
        <f>IF(AND(80&gt;=$NR$13,80&lt;=$NS$13),IF($NP$13="Single_Point",IF(80=$NR$13,$NN$13,0),IF($NP$13="Bell_Curve",$NN$13*(80-$NR$13+1)*($NS$13-80+1)/$NU$13,$NN$13/$NT$13)),0)</f>
        <v/>
      </c>
      <c r="CG13" s="228">
        <f>IF(AND(81&gt;=$NR$13,81&lt;=$NS$13),IF($NP$13="Single_Point",IF(81=$NR$13,$NN$13,0),IF($NP$13="Bell_Curve",$NN$13*(81-$NR$13+1)*($NS$13-81+1)/$NU$13,$NN$13/$NT$13)),0)</f>
        <v/>
      </c>
      <c r="CH13" s="228">
        <f>IF(AND(82&gt;=$NR$13,82&lt;=$NS$13),IF($NP$13="Single_Point",IF(82=$NR$13,$NN$13,0),IF($NP$13="Bell_Curve",$NN$13*(82-$NR$13+1)*($NS$13-82+1)/$NU$13,$NN$13/$NT$13)),0)</f>
        <v/>
      </c>
      <c r="CI13" s="228">
        <f>IF(AND(83&gt;=$NR$13,83&lt;=$NS$13),IF($NP$13="Single_Point",IF(83=$NR$13,$NN$13,0),IF($NP$13="Bell_Curve",$NN$13*(83-$NR$13+1)*($NS$13-83+1)/$NU$13,$NN$13/$NT$13)),0)</f>
        <v/>
      </c>
      <c r="CJ13" s="228">
        <f>IF(AND(84&gt;=$NR$13,84&lt;=$NS$13),IF($NP$13="Single_Point",IF(84=$NR$13,$NN$13,0),IF($NP$13="Bell_Curve",$NN$13*(84-$NR$13+1)*($NS$13-84+1)/$NU$13,$NN$13/$NT$13)),0)</f>
        <v/>
      </c>
      <c r="CK13" s="228">
        <f>IF(AND(85&gt;=$NR$13,85&lt;=$NS$13),IF($NP$13="Single_Point",IF(85=$NR$13,$NN$13,0),IF($NP$13="Bell_Curve",$NN$13*(85-$NR$13+1)*($NS$13-85+1)/$NU$13,$NN$13/$NT$13)),0)</f>
        <v/>
      </c>
      <c r="CL13" s="228">
        <f>IF(AND(86&gt;=$NR$13,86&lt;=$NS$13),IF($NP$13="Single_Point",IF(86=$NR$13,$NN$13,0),IF($NP$13="Bell_Curve",$NN$13*(86-$NR$13+1)*($NS$13-86+1)/$NU$13,$NN$13/$NT$13)),0)</f>
        <v/>
      </c>
      <c r="CM13" s="228">
        <f>IF(AND(87&gt;=$NR$13,87&lt;=$NS$13),IF($NP$13="Single_Point",IF(87=$NR$13,$NN$13,0),IF($NP$13="Bell_Curve",$NN$13*(87-$NR$13+1)*($NS$13-87+1)/$NU$13,$NN$13/$NT$13)),0)</f>
        <v/>
      </c>
      <c r="CN13" s="228">
        <f>IF(AND(88&gt;=$NR$13,88&lt;=$NS$13),IF($NP$13="Single_Point",IF(88=$NR$13,$NN$13,0),IF($NP$13="Bell_Curve",$NN$13*(88-$NR$13+1)*($NS$13-88+1)/$NU$13,$NN$13/$NT$13)),0)</f>
        <v/>
      </c>
      <c r="CO13" s="228">
        <f>IF(AND(89&gt;=$NR$13,89&lt;=$NS$13),IF($NP$13="Single_Point",IF(89=$NR$13,$NN$13,0),IF($NP$13="Bell_Curve",$NN$13*(89-$NR$13+1)*($NS$13-89+1)/$NU$13,$NN$13/$NT$13)),0)</f>
        <v/>
      </c>
      <c r="CP13" s="228">
        <f>IF(AND(90&gt;=$NR$13,90&lt;=$NS$13),IF($NP$13="Single_Point",IF(90=$NR$13,$NN$13,0),IF($NP$13="Bell_Curve",$NN$13*(90-$NR$13+1)*($NS$13-90+1)/$NU$13,$NN$13/$NT$13)),0)</f>
        <v/>
      </c>
      <c r="CQ13" s="228">
        <f>IF(AND(91&gt;=$NR$13,91&lt;=$NS$13),IF($NP$13="Single_Point",IF(91=$NR$13,$NN$13,0),IF($NP$13="Bell_Curve",$NN$13*(91-$NR$13+1)*($NS$13-91+1)/$NU$13,$NN$13/$NT$13)),0)</f>
        <v/>
      </c>
      <c r="CR13" s="228">
        <f>IF(AND(92&gt;=$NR$13,92&lt;=$NS$13),IF($NP$13="Single_Point",IF(92=$NR$13,$NN$13,0),IF($NP$13="Bell_Curve",$NN$13*(92-$NR$13+1)*($NS$13-92+1)/$NU$13,$NN$13/$NT$13)),0)</f>
        <v/>
      </c>
      <c r="CS13" s="228">
        <f>IF(AND(93&gt;=$NR$13,93&lt;=$NS$13),IF($NP$13="Single_Point",IF(93=$NR$13,$NN$13,0),IF($NP$13="Bell_Curve",$NN$13*(93-$NR$13+1)*($NS$13-93+1)/$NU$13,$NN$13/$NT$13)),0)</f>
        <v/>
      </c>
      <c r="CT13" s="228">
        <f>IF(AND(94&gt;=$NR$13,94&lt;=$NS$13),IF($NP$13="Single_Point",IF(94=$NR$13,$NN$13,0),IF($NP$13="Bell_Curve",$NN$13*(94-$NR$13+1)*($NS$13-94+1)/$NU$13,$NN$13/$NT$13)),0)</f>
        <v/>
      </c>
      <c r="CU13" s="228">
        <f>IF(AND(95&gt;=$NR$13,95&lt;=$NS$13),IF($NP$13="Single_Point",IF(95=$NR$13,$NN$13,0),IF($NP$13="Bell_Curve",$NN$13*(95-$NR$13+1)*($NS$13-95+1)/$NU$13,$NN$13/$NT$13)),0)</f>
        <v/>
      </c>
      <c r="CV13" s="228">
        <f>IF(AND(96&gt;=$NR$13,96&lt;=$NS$13),IF($NP$13="Single_Point",IF(96=$NR$13,$NN$13,0),IF($NP$13="Bell_Curve",$NN$13*(96-$NR$13+1)*($NS$13-96+1)/$NU$13,$NN$13/$NT$13)),0)</f>
        <v/>
      </c>
      <c r="CW13" s="228">
        <f>IF(AND(97&gt;=$NR$13,97&lt;=$NS$13),IF($NP$13="Single_Point",IF(97=$NR$13,$NN$13,0),IF($NP$13="Bell_Curve",$NN$13*(97-$NR$13+1)*($NS$13-97+1)/$NU$13,$NN$13/$NT$13)),0)</f>
        <v/>
      </c>
      <c r="CX13" s="228">
        <f>IF(AND(98&gt;=$NR$13,98&lt;=$NS$13),IF($NP$13="Single_Point",IF(98=$NR$13,$NN$13,0),IF($NP$13="Bell_Curve",$NN$13*(98-$NR$13+1)*($NS$13-98+1)/$NU$13,$NN$13/$NT$13)),0)</f>
        <v/>
      </c>
      <c r="CY13" s="228">
        <f>IF(AND(99&gt;=$NR$13,99&lt;=$NS$13),IF($NP$13="Single_Point",IF(99=$NR$13,$NN$13,0),IF($NP$13="Bell_Curve",$NN$13*(99-$NR$13+1)*($NS$13-99+1)/$NU$13,$NN$13/$NT$13)),0)</f>
        <v/>
      </c>
      <c r="CZ13" s="228">
        <f>IF(AND(100&gt;=$NR$13,100&lt;=$NS$13),IF($NP$13="Single_Point",IF(100=$NR$13,$NN$13,0),IF($NP$13="Bell_Curve",$NN$13*(100-$NR$13+1)*($NS$13-100+1)/$NU$13,$NN$13/$NT$13)),0)</f>
        <v/>
      </c>
      <c r="DA13" s="228">
        <f>IF(AND(101&gt;=$NR$13,101&lt;=$NS$13),IF($NP$13="Single_Point",IF(101=$NR$13,$NN$13,0),IF($NP$13="Bell_Curve",$NN$13*(101-$NR$13+1)*($NS$13-101+1)/$NU$13,$NN$13/$NT$13)),0)</f>
        <v/>
      </c>
      <c r="DB13" s="228">
        <f>IF(AND(102&gt;=$NR$13,102&lt;=$NS$13),IF($NP$13="Single_Point",IF(102=$NR$13,$NN$13,0),IF($NP$13="Bell_Curve",$NN$13*(102-$NR$13+1)*($NS$13-102+1)/$NU$13,$NN$13/$NT$13)),0)</f>
        <v/>
      </c>
      <c r="DC13" s="228">
        <f>IF(AND(103&gt;=$NR$13,103&lt;=$NS$13),IF($NP$13="Single_Point",IF(103=$NR$13,$NN$13,0),IF($NP$13="Bell_Curve",$NN$13*(103-$NR$13+1)*($NS$13-103+1)/$NU$13,$NN$13/$NT$13)),0)</f>
        <v/>
      </c>
      <c r="DD13" s="228">
        <f>IF(AND(104&gt;=$NR$13,104&lt;=$NS$13),IF($NP$13="Single_Point",IF(104=$NR$13,$NN$13,0),IF($NP$13="Bell_Curve",$NN$13*(104-$NR$13+1)*($NS$13-104+1)/$NU$13,$NN$13/$NT$13)),0)</f>
        <v/>
      </c>
      <c r="DE13" s="228">
        <f>IF(AND(105&gt;=$NR$13,105&lt;=$NS$13),IF($NP$13="Single_Point",IF(105=$NR$13,$NN$13,0),IF($NP$13="Bell_Curve",$NN$13*(105-$NR$13+1)*($NS$13-105+1)/$NU$13,$NN$13/$NT$13)),0)</f>
        <v/>
      </c>
      <c r="DF13" s="228">
        <f>IF(AND(106&gt;=$NR$13,106&lt;=$NS$13),IF($NP$13="Single_Point",IF(106=$NR$13,$NN$13,0),IF($NP$13="Bell_Curve",$NN$13*(106-$NR$13+1)*($NS$13-106+1)/$NU$13,$NN$13/$NT$13)),0)</f>
        <v/>
      </c>
      <c r="DG13" s="228">
        <f>IF(AND(107&gt;=$NR$13,107&lt;=$NS$13),IF($NP$13="Single_Point",IF(107=$NR$13,$NN$13,0),IF($NP$13="Bell_Curve",$NN$13*(107-$NR$13+1)*($NS$13-107+1)/$NU$13,$NN$13/$NT$13)),0)</f>
        <v/>
      </c>
      <c r="DH13" s="228">
        <f>IF(AND(108&gt;=$NR$13,108&lt;=$NS$13),IF($NP$13="Single_Point",IF(108=$NR$13,$NN$13,0),IF($NP$13="Bell_Curve",$NN$13*(108-$NR$13+1)*($NS$13-108+1)/$NU$13,$NN$13/$NT$13)),0)</f>
        <v/>
      </c>
      <c r="DI13" s="228">
        <f>IF(AND(109&gt;=$NR$13,109&lt;=$NS$13),IF($NP$13="Single_Point",IF(109=$NR$13,$NN$13,0),IF($NP$13="Bell_Curve",$NN$13*(109-$NR$13+1)*($NS$13-109+1)/$NU$13,$NN$13/$NT$13)),0)</f>
        <v/>
      </c>
      <c r="DJ13" s="228">
        <f>IF(AND(110&gt;=$NR$13,110&lt;=$NS$13),IF($NP$13="Single_Point",IF(110=$NR$13,$NN$13,0),IF($NP$13="Bell_Curve",$NN$13*(110-$NR$13+1)*($NS$13-110+1)/$NU$13,$NN$13/$NT$13)),0)</f>
        <v/>
      </c>
      <c r="DK13" s="228">
        <f>IF(AND(111&gt;=$NR$13,111&lt;=$NS$13),IF($NP$13="Single_Point",IF(111=$NR$13,$NN$13,0),IF($NP$13="Bell_Curve",$NN$13*(111-$NR$13+1)*($NS$13-111+1)/$NU$13,$NN$13/$NT$13)),0)</f>
        <v/>
      </c>
      <c r="DL13" s="228">
        <f>IF(AND(112&gt;=$NR$13,112&lt;=$NS$13),IF($NP$13="Single_Point",IF(112=$NR$13,$NN$13,0),IF($NP$13="Bell_Curve",$NN$13*(112-$NR$13+1)*($NS$13-112+1)/$NU$13,$NN$13/$NT$13)),0)</f>
        <v/>
      </c>
      <c r="DM13" s="228">
        <f>IF(AND(113&gt;=$NR$13,113&lt;=$NS$13),IF($NP$13="Single_Point",IF(113=$NR$13,$NN$13,0),IF($NP$13="Bell_Curve",$NN$13*(113-$NR$13+1)*($NS$13-113+1)/$NU$13,$NN$13/$NT$13)),0)</f>
        <v/>
      </c>
      <c r="DN13" s="228">
        <f>IF(AND(114&gt;=$NR$13,114&lt;=$NS$13),IF($NP$13="Single_Point",IF(114=$NR$13,$NN$13,0),IF($NP$13="Bell_Curve",$NN$13*(114-$NR$13+1)*($NS$13-114+1)/$NU$13,$NN$13/$NT$13)),0)</f>
        <v/>
      </c>
      <c r="DO13" s="228">
        <f>IF(AND(115&gt;=$NR$13,115&lt;=$NS$13),IF($NP$13="Single_Point",IF(115=$NR$13,$NN$13,0),IF($NP$13="Bell_Curve",$NN$13*(115-$NR$13+1)*($NS$13-115+1)/$NU$13,$NN$13/$NT$13)),0)</f>
        <v/>
      </c>
      <c r="DP13" s="228">
        <f>IF(AND(116&gt;=$NR$13,116&lt;=$NS$13),IF($NP$13="Single_Point",IF(116=$NR$13,$NN$13,0),IF($NP$13="Bell_Curve",$NN$13*(116-$NR$13+1)*($NS$13-116+1)/$NU$13,$NN$13/$NT$13)),0)</f>
        <v/>
      </c>
      <c r="DQ13" s="228">
        <f>IF(AND(117&gt;=$NR$13,117&lt;=$NS$13),IF($NP$13="Single_Point",IF(117=$NR$13,$NN$13,0),IF($NP$13="Bell_Curve",$NN$13*(117-$NR$13+1)*($NS$13-117+1)/$NU$13,$NN$13/$NT$13)),0)</f>
        <v/>
      </c>
      <c r="DR13" s="228">
        <f>IF(AND(118&gt;=$NR$13,118&lt;=$NS$13),IF($NP$13="Single_Point",IF(118=$NR$13,$NN$13,0),IF($NP$13="Bell_Curve",$NN$13*(118-$NR$13+1)*($NS$13-118+1)/$NU$13,$NN$13/$NT$13)),0)</f>
        <v/>
      </c>
      <c r="DS13" s="228">
        <f>IF(AND(119&gt;=$NR$13,119&lt;=$NS$13),IF($NP$13="Single_Point",IF(119=$NR$13,$NN$13,0),IF($NP$13="Bell_Curve",$NN$13*(119-$NR$13+1)*($NS$13-119+1)/$NU$13,$NN$13/$NT$13)),0)</f>
        <v/>
      </c>
      <c r="DT13" s="228">
        <f>IF(AND(120&gt;=$NR$13,120&lt;=$NS$13),IF($NP$13="Single_Point",IF(120=$NR$13,$NN$13,0),IF($NP$13="Bell_Curve",$NN$13*(120-$NR$13+1)*($NS$13-120+1)/$NU$13,$NN$13/$NT$13)),0)</f>
        <v/>
      </c>
      <c r="DU13" s="228">
        <f>IF(AND(121&gt;=$NR$13,121&lt;=$NS$13),IF($NP$13="Single_Point",IF(121=$NR$13,$NN$13,0),IF($NP$13="Bell_Curve",$NN$13*(121-$NR$13+1)*($NS$13-121+1)/$NU$13,$NN$13/$NT$13)),0)</f>
        <v/>
      </c>
      <c r="DV13" s="228">
        <f>IF(AND(122&gt;=$NR$13,122&lt;=$NS$13),IF($NP$13="Single_Point",IF(122=$NR$13,$NN$13,0),IF($NP$13="Bell_Curve",$NN$13*(122-$NR$13+1)*($NS$13-122+1)/$NU$13,$NN$13/$NT$13)),0)</f>
        <v/>
      </c>
      <c r="DW13" s="228">
        <f>IF(AND(123&gt;=$NR$13,123&lt;=$NS$13),IF($NP$13="Single_Point",IF(123=$NR$13,$NN$13,0),IF($NP$13="Bell_Curve",$NN$13*(123-$NR$13+1)*($NS$13-123+1)/$NU$13,$NN$13/$NT$13)),0)</f>
        <v/>
      </c>
      <c r="DX13" s="228">
        <f>IF(AND(124&gt;=$NR$13,124&lt;=$NS$13),IF($NP$13="Single_Point",IF(124=$NR$13,$NN$13,0),IF($NP$13="Bell_Curve",$NN$13*(124-$NR$13+1)*($NS$13-124+1)/$NU$13,$NN$13/$NT$13)),0)</f>
        <v/>
      </c>
      <c r="DY13" s="228">
        <f>IF(AND(125&gt;=$NR$13,125&lt;=$NS$13),IF($NP$13="Single_Point",IF(125=$NR$13,$NN$13,0),IF($NP$13="Bell_Curve",$NN$13*(125-$NR$13+1)*($NS$13-125+1)/$NU$13,$NN$13/$NT$13)),0)</f>
        <v/>
      </c>
      <c r="DZ13" s="228">
        <f>IF(AND(126&gt;=$NR$13,126&lt;=$NS$13),IF($NP$13="Single_Point",IF(126=$NR$13,$NN$13,0),IF($NP$13="Bell_Curve",$NN$13*(126-$NR$13+1)*($NS$13-126+1)/$NU$13,$NN$13/$NT$13)),0)</f>
        <v/>
      </c>
      <c r="EA13" s="228">
        <f>IF(AND(127&gt;=$NR$13,127&lt;=$NS$13),IF($NP$13="Single_Point",IF(127=$NR$13,$NN$13,0),IF($NP$13="Bell_Curve",$NN$13*(127-$NR$13+1)*($NS$13-127+1)/$NU$13,$NN$13/$NT$13)),0)</f>
        <v/>
      </c>
      <c r="EB13" s="228">
        <f>IF(AND(128&gt;=$NR$13,128&lt;=$NS$13),IF($NP$13="Single_Point",IF(128=$NR$13,$NN$13,0),IF($NP$13="Bell_Curve",$NN$13*(128-$NR$13+1)*($NS$13-128+1)/$NU$13,$NN$13/$NT$13)),0)</f>
        <v/>
      </c>
      <c r="EC13" s="228">
        <f>IF(AND(129&gt;=$NR$13,129&lt;=$NS$13),IF($NP$13="Single_Point",IF(129=$NR$13,$NN$13,0),IF($NP$13="Bell_Curve",$NN$13*(129-$NR$13+1)*($NS$13-129+1)/$NU$13,$NN$13/$NT$13)),0)</f>
        <v/>
      </c>
      <c r="ED13" s="228">
        <f>IF(AND(130&gt;=$NR$13,130&lt;=$NS$13),IF($NP$13="Single_Point",IF(130=$NR$13,$NN$13,0),IF($NP$13="Bell_Curve",$NN$13*(130-$NR$13+1)*($NS$13-130+1)/$NU$13,$NN$13/$NT$13)),0)</f>
        <v/>
      </c>
      <c r="EE13" s="228">
        <f>IF(AND(131&gt;=$NR$13,131&lt;=$NS$13),IF($NP$13="Single_Point",IF(131=$NR$13,$NN$13,0),IF($NP$13="Bell_Curve",$NN$13*(131-$NR$13+1)*($NS$13-131+1)/$NU$13,$NN$13/$NT$13)),0)</f>
        <v/>
      </c>
      <c r="EF13" s="228">
        <f>IF(AND(132&gt;=$NR$13,132&lt;=$NS$13),IF($NP$13="Single_Point",IF(132=$NR$13,$NN$13,0),IF($NP$13="Bell_Curve",$NN$13*(132-$NR$13+1)*($NS$13-132+1)/$NU$13,$NN$13/$NT$13)),0)</f>
        <v/>
      </c>
      <c r="EG13" s="228">
        <f>IF(AND(133&gt;=$NR$13,133&lt;=$NS$13),IF($NP$13="Single_Point",IF(133=$NR$13,$NN$13,0),IF($NP$13="Bell_Curve",$NN$13*(133-$NR$13+1)*($NS$13-133+1)/$NU$13,$NN$13/$NT$13)),0)</f>
        <v/>
      </c>
      <c r="EH13" s="228">
        <f>IF(AND(134&gt;=$NR$13,134&lt;=$NS$13),IF($NP$13="Single_Point",IF(134=$NR$13,$NN$13,0),IF($NP$13="Bell_Curve",$NN$13*(134-$NR$13+1)*($NS$13-134+1)/$NU$13,$NN$13/$NT$13)),0)</f>
        <v/>
      </c>
      <c r="EI13" s="228">
        <f>IF(AND(135&gt;=$NR$13,135&lt;=$NS$13),IF($NP$13="Single_Point",IF(135=$NR$13,$NN$13,0),IF($NP$13="Bell_Curve",$NN$13*(135-$NR$13+1)*($NS$13-135+1)/$NU$13,$NN$13/$NT$13)),0)</f>
        <v/>
      </c>
      <c r="EJ13" s="228">
        <f>IF(AND(136&gt;=$NR$13,136&lt;=$NS$13),IF($NP$13="Single_Point",IF(136=$NR$13,$NN$13,0),IF($NP$13="Bell_Curve",$NN$13*(136-$NR$13+1)*($NS$13-136+1)/$NU$13,$NN$13/$NT$13)),0)</f>
        <v/>
      </c>
      <c r="EK13" s="228">
        <f>IF(AND(137&gt;=$NR$13,137&lt;=$NS$13),IF($NP$13="Single_Point",IF(137=$NR$13,$NN$13,0),IF($NP$13="Bell_Curve",$NN$13*(137-$NR$13+1)*($NS$13-137+1)/$NU$13,$NN$13/$NT$13)),0)</f>
        <v/>
      </c>
      <c r="EL13" s="228">
        <f>IF(AND(138&gt;=$NR$13,138&lt;=$NS$13),IF($NP$13="Single_Point",IF(138=$NR$13,$NN$13,0),IF($NP$13="Bell_Curve",$NN$13*(138-$NR$13+1)*($NS$13-138+1)/$NU$13,$NN$13/$NT$13)),0)</f>
        <v/>
      </c>
      <c r="EM13" s="228">
        <f>IF(AND(139&gt;=$NR$13,139&lt;=$NS$13),IF($NP$13="Single_Point",IF(139=$NR$13,$NN$13,0),IF($NP$13="Bell_Curve",$NN$13*(139-$NR$13+1)*($NS$13-139+1)/$NU$13,$NN$13/$NT$13)),0)</f>
        <v/>
      </c>
      <c r="EN13" s="228">
        <f>IF(AND(140&gt;=$NR$13,140&lt;=$NS$13),IF($NP$13="Single_Point",IF(140=$NR$13,$NN$13,0),IF($NP$13="Bell_Curve",$NN$13*(140-$NR$13+1)*($NS$13-140+1)/$NU$13,$NN$13/$NT$13)),0)</f>
        <v/>
      </c>
      <c r="EO13" s="228">
        <f>IF(AND(141&gt;=$NR$13,141&lt;=$NS$13),IF($NP$13="Single_Point",IF(141=$NR$13,$NN$13,0),IF($NP$13="Bell_Curve",$NN$13*(141-$NR$13+1)*($NS$13-141+1)/$NU$13,$NN$13/$NT$13)),0)</f>
        <v/>
      </c>
      <c r="EP13" s="228">
        <f>IF(AND(142&gt;=$NR$13,142&lt;=$NS$13),IF($NP$13="Single_Point",IF(142=$NR$13,$NN$13,0),IF($NP$13="Bell_Curve",$NN$13*(142-$NR$13+1)*($NS$13-142+1)/$NU$13,$NN$13/$NT$13)),0)</f>
        <v/>
      </c>
      <c r="EQ13" s="228">
        <f>IF(AND(143&gt;=$NR$13,143&lt;=$NS$13),IF($NP$13="Single_Point",IF(143=$NR$13,$NN$13,0),IF($NP$13="Bell_Curve",$NN$13*(143-$NR$13+1)*($NS$13-143+1)/$NU$13,$NN$13/$NT$13)),0)</f>
        <v/>
      </c>
      <c r="ER13" s="228">
        <f>IF(AND(144&gt;=$NR$13,144&lt;=$NS$13),IF($NP$13="Single_Point",IF(144=$NR$13,$NN$13,0),IF($NP$13="Bell_Curve",$NN$13*(144-$NR$13+1)*($NS$13-144+1)/$NU$13,$NN$13/$NT$13)),0)</f>
        <v/>
      </c>
      <c r="ES13" s="228">
        <f>IF(AND(145&gt;=$NR$13,145&lt;=$NS$13),IF($NP$13="Single_Point",IF(145=$NR$13,$NN$13,0),IF($NP$13="Bell_Curve",$NN$13*(145-$NR$13+1)*($NS$13-145+1)/$NU$13,$NN$13/$NT$13)),0)</f>
        <v/>
      </c>
      <c r="ET13" s="228">
        <f>IF(AND(146&gt;=$NR$13,146&lt;=$NS$13),IF($NP$13="Single_Point",IF(146=$NR$13,$NN$13,0),IF($NP$13="Bell_Curve",$NN$13*(146-$NR$13+1)*($NS$13-146+1)/$NU$13,$NN$13/$NT$13)),0)</f>
        <v/>
      </c>
      <c r="EU13" s="228">
        <f>IF(AND(147&gt;=$NR$13,147&lt;=$NS$13),IF($NP$13="Single_Point",IF(147=$NR$13,$NN$13,0),IF($NP$13="Bell_Curve",$NN$13*(147-$NR$13+1)*($NS$13-147+1)/$NU$13,$NN$13/$NT$13)),0)</f>
        <v/>
      </c>
      <c r="EV13" s="228">
        <f>IF(AND(148&gt;=$NR$13,148&lt;=$NS$13),IF($NP$13="Single_Point",IF(148=$NR$13,$NN$13,0),IF($NP$13="Bell_Curve",$NN$13*(148-$NR$13+1)*($NS$13-148+1)/$NU$13,$NN$13/$NT$13)),0)</f>
        <v/>
      </c>
      <c r="EW13" s="228">
        <f>IF(AND(149&gt;=$NR$13,149&lt;=$NS$13),IF($NP$13="Single_Point",IF(149=$NR$13,$NN$13,0),IF($NP$13="Bell_Curve",$NN$13*(149-$NR$13+1)*($NS$13-149+1)/$NU$13,$NN$13/$NT$13)),0)</f>
        <v/>
      </c>
      <c r="EX13" s="228">
        <f>IF(AND(150&gt;=$NR$13,150&lt;=$NS$13),IF($NP$13="Single_Point",IF(150=$NR$13,$NN$13,0),IF($NP$13="Bell_Curve",$NN$13*(150-$NR$13+1)*($NS$13-150+1)/$NU$13,$NN$13/$NT$13)),0)</f>
        <v/>
      </c>
      <c r="EY13" s="228">
        <f>IF(AND(151&gt;=$NR$13,151&lt;=$NS$13),IF($NP$13="Single_Point",IF(151=$NR$13,$NN$13,0),IF($NP$13="Bell_Curve",$NN$13*(151-$NR$13+1)*($NS$13-151+1)/$NU$13,$NN$13/$NT$13)),0)</f>
        <v/>
      </c>
      <c r="EZ13" s="228">
        <f>IF(AND(152&gt;=$NR$13,152&lt;=$NS$13),IF($NP$13="Single_Point",IF(152=$NR$13,$NN$13,0),IF($NP$13="Bell_Curve",$NN$13*(152-$NR$13+1)*($NS$13-152+1)/$NU$13,$NN$13/$NT$13)),0)</f>
        <v/>
      </c>
      <c r="FA13" s="228">
        <f>IF(AND(153&gt;=$NR$13,153&lt;=$NS$13),IF($NP$13="Single_Point",IF(153=$NR$13,$NN$13,0),IF($NP$13="Bell_Curve",$NN$13*(153-$NR$13+1)*($NS$13-153+1)/$NU$13,$NN$13/$NT$13)),0)</f>
        <v/>
      </c>
      <c r="FB13" s="228">
        <f>IF(AND(154&gt;=$NR$13,154&lt;=$NS$13),IF($NP$13="Single_Point",IF(154=$NR$13,$NN$13,0),IF($NP$13="Bell_Curve",$NN$13*(154-$NR$13+1)*($NS$13-154+1)/$NU$13,$NN$13/$NT$13)),0)</f>
        <v/>
      </c>
      <c r="FC13" s="228">
        <f>IF(AND(155&gt;=$NR$13,155&lt;=$NS$13),IF($NP$13="Single_Point",IF(155=$NR$13,$NN$13,0),IF($NP$13="Bell_Curve",$NN$13*(155-$NR$13+1)*($NS$13-155+1)/$NU$13,$NN$13/$NT$13)),0)</f>
        <v/>
      </c>
      <c r="FD13" s="228">
        <f>IF(AND(156&gt;=$NR$13,156&lt;=$NS$13),IF($NP$13="Single_Point",IF(156=$NR$13,$NN$13,0),IF($NP$13="Bell_Curve",$NN$13*(156-$NR$13+1)*($NS$13-156+1)/$NU$13,$NN$13/$NT$13)),0)</f>
        <v/>
      </c>
      <c r="FE13" s="228">
        <f>IF(AND(157&gt;=$NR$13,157&lt;=$NS$13),IF($NP$13="Single_Point",IF(157=$NR$13,$NN$13,0),IF($NP$13="Bell_Curve",$NN$13*(157-$NR$13+1)*($NS$13-157+1)/$NU$13,$NN$13/$NT$13)),0)</f>
        <v/>
      </c>
      <c r="FF13" s="228">
        <f>IF(AND(158&gt;=$NR$13,158&lt;=$NS$13),IF($NP$13="Single_Point",IF(158=$NR$13,$NN$13,0),IF($NP$13="Bell_Curve",$NN$13*(158-$NR$13+1)*($NS$13-158+1)/$NU$13,$NN$13/$NT$13)),0)</f>
        <v/>
      </c>
      <c r="FG13" s="228">
        <f>IF(AND(159&gt;=$NR$13,159&lt;=$NS$13),IF($NP$13="Single_Point",IF(159=$NR$13,$NN$13,0),IF($NP$13="Bell_Curve",$NN$13*(159-$NR$13+1)*($NS$13-159+1)/$NU$13,$NN$13/$NT$13)),0)</f>
        <v/>
      </c>
      <c r="FH13" s="228">
        <f>IF(AND(160&gt;=$NR$13,160&lt;=$NS$13),IF($NP$13="Single_Point",IF(160=$NR$13,$NN$13,0),IF($NP$13="Bell_Curve",$NN$13*(160-$NR$13+1)*($NS$13-160+1)/$NU$13,$NN$13/$NT$13)),0)</f>
        <v/>
      </c>
      <c r="FI13" s="228">
        <f>IF(AND(161&gt;=$NR$13,161&lt;=$NS$13),IF($NP$13="Single_Point",IF(161=$NR$13,$NN$13,0),IF($NP$13="Bell_Curve",$NN$13*(161-$NR$13+1)*($NS$13-161+1)/$NU$13,$NN$13/$NT$13)),0)</f>
        <v/>
      </c>
      <c r="FJ13" s="228">
        <f>IF(AND(162&gt;=$NR$13,162&lt;=$NS$13),IF($NP$13="Single_Point",IF(162=$NR$13,$NN$13,0),IF($NP$13="Bell_Curve",$NN$13*(162-$NR$13+1)*($NS$13-162+1)/$NU$13,$NN$13/$NT$13)),0)</f>
        <v/>
      </c>
      <c r="FK13" s="228">
        <f>IF(AND(163&gt;=$NR$13,163&lt;=$NS$13),IF($NP$13="Single_Point",IF(163=$NR$13,$NN$13,0),IF($NP$13="Bell_Curve",$NN$13*(163-$NR$13+1)*($NS$13-163+1)/$NU$13,$NN$13/$NT$13)),0)</f>
        <v/>
      </c>
      <c r="FL13" s="228">
        <f>IF(AND(164&gt;=$NR$13,164&lt;=$NS$13),IF($NP$13="Single_Point",IF(164=$NR$13,$NN$13,0),IF($NP$13="Bell_Curve",$NN$13*(164-$NR$13+1)*($NS$13-164+1)/$NU$13,$NN$13/$NT$13)),0)</f>
        <v/>
      </c>
      <c r="FM13" s="228">
        <f>IF(AND(165&gt;=$NR$13,165&lt;=$NS$13),IF($NP$13="Single_Point",IF(165=$NR$13,$NN$13,0),IF($NP$13="Bell_Curve",$NN$13*(165-$NR$13+1)*($NS$13-165+1)/$NU$13,$NN$13/$NT$13)),0)</f>
        <v/>
      </c>
      <c r="FN13" s="228">
        <f>IF(AND(166&gt;=$NR$13,166&lt;=$NS$13),IF($NP$13="Single_Point",IF(166=$NR$13,$NN$13,0),IF($NP$13="Bell_Curve",$NN$13*(166-$NR$13+1)*($NS$13-166+1)/$NU$13,$NN$13/$NT$13)),0)</f>
        <v/>
      </c>
      <c r="FO13" s="228">
        <f>IF(AND(167&gt;=$NR$13,167&lt;=$NS$13),IF($NP$13="Single_Point",IF(167=$NR$13,$NN$13,0),IF($NP$13="Bell_Curve",$NN$13*(167-$NR$13+1)*($NS$13-167+1)/$NU$13,$NN$13/$NT$13)),0)</f>
        <v/>
      </c>
      <c r="FP13" s="228">
        <f>IF(AND(168&gt;=$NR$13,168&lt;=$NS$13),IF($NP$13="Single_Point",IF(168=$NR$13,$NN$13,0),IF($NP$13="Bell_Curve",$NN$13*(168-$NR$13+1)*($NS$13-168+1)/$NU$13,$NN$13/$NT$13)),0)</f>
        <v/>
      </c>
      <c r="FQ13" s="228">
        <f>IF(AND(169&gt;=$NR$13,169&lt;=$NS$13),IF($NP$13="Single_Point",IF(169=$NR$13,$NN$13,0),IF($NP$13="Bell_Curve",$NN$13*(169-$NR$13+1)*($NS$13-169+1)/$NU$13,$NN$13/$NT$13)),0)</f>
        <v/>
      </c>
      <c r="FR13" s="228">
        <f>IF(AND(170&gt;=$NR$13,170&lt;=$NS$13),IF($NP$13="Single_Point",IF(170=$NR$13,$NN$13,0),IF($NP$13="Bell_Curve",$NN$13*(170-$NR$13+1)*($NS$13-170+1)/$NU$13,$NN$13/$NT$13)),0)</f>
        <v/>
      </c>
      <c r="FS13" s="228">
        <f>IF(AND(171&gt;=$NR$13,171&lt;=$NS$13),IF($NP$13="Single_Point",IF(171=$NR$13,$NN$13,0),IF($NP$13="Bell_Curve",$NN$13*(171-$NR$13+1)*($NS$13-171+1)/$NU$13,$NN$13/$NT$13)),0)</f>
        <v/>
      </c>
      <c r="FT13" s="228">
        <f>IF(AND(172&gt;=$NR$13,172&lt;=$NS$13),IF($NP$13="Single_Point",IF(172=$NR$13,$NN$13,0),IF($NP$13="Bell_Curve",$NN$13*(172-$NR$13+1)*($NS$13-172+1)/$NU$13,$NN$13/$NT$13)),0)</f>
        <v/>
      </c>
      <c r="FU13" s="228">
        <f>IF(AND(173&gt;=$NR$13,173&lt;=$NS$13),IF($NP$13="Single_Point",IF(173=$NR$13,$NN$13,0),IF($NP$13="Bell_Curve",$NN$13*(173-$NR$13+1)*($NS$13-173+1)/$NU$13,$NN$13/$NT$13)),0)</f>
        <v/>
      </c>
      <c r="FV13" s="228">
        <f>IF(AND(174&gt;=$NR$13,174&lt;=$NS$13),IF($NP$13="Single_Point",IF(174=$NR$13,$NN$13,0),IF($NP$13="Bell_Curve",$NN$13*(174-$NR$13+1)*($NS$13-174+1)/$NU$13,$NN$13/$NT$13)),0)</f>
        <v/>
      </c>
      <c r="FW13" s="228">
        <f>IF(AND(175&gt;=$NR$13,175&lt;=$NS$13),IF($NP$13="Single_Point",IF(175=$NR$13,$NN$13,0),IF($NP$13="Bell_Curve",$NN$13*(175-$NR$13+1)*($NS$13-175+1)/$NU$13,$NN$13/$NT$13)),0)</f>
        <v/>
      </c>
      <c r="FX13" s="228">
        <f>IF(AND(176&gt;=$NR$13,176&lt;=$NS$13),IF($NP$13="Single_Point",IF(176=$NR$13,$NN$13,0),IF($NP$13="Bell_Curve",$NN$13*(176-$NR$13+1)*($NS$13-176+1)/$NU$13,$NN$13/$NT$13)),0)</f>
        <v/>
      </c>
      <c r="FY13" s="228">
        <f>IF(AND(177&gt;=$NR$13,177&lt;=$NS$13),IF($NP$13="Single_Point",IF(177=$NR$13,$NN$13,0),IF($NP$13="Bell_Curve",$NN$13*(177-$NR$13+1)*($NS$13-177+1)/$NU$13,$NN$13/$NT$13)),0)</f>
        <v/>
      </c>
      <c r="FZ13" s="228">
        <f>IF(AND(178&gt;=$NR$13,178&lt;=$NS$13),IF($NP$13="Single_Point",IF(178=$NR$13,$NN$13,0),IF($NP$13="Bell_Curve",$NN$13*(178-$NR$13+1)*($NS$13-178+1)/$NU$13,$NN$13/$NT$13)),0)</f>
        <v/>
      </c>
      <c r="GA13" s="228">
        <f>IF(AND(179&gt;=$NR$13,179&lt;=$NS$13),IF($NP$13="Single_Point",IF(179=$NR$13,$NN$13,0),IF($NP$13="Bell_Curve",$NN$13*(179-$NR$13+1)*($NS$13-179+1)/$NU$13,$NN$13/$NT$13)),0)</f>
        <v/>
      </c>
      <c r="GB13" s="228">
        <f>IF(AND(180&gt;=$NR$13,180&lt;=$NS$13),IF($NP$13="Single_Point",IF(180=$NR$13,$NN$13,0),IF($NP$13="Bell_Curve",$NN$13*(180-$NR$13+1)*($NS$13-180+1)/$NU$13,$NN$13/$NT$13)),0)</f>
        <v/>
      </c>
      <c r="GC13" s="228">
        <f>IF(AND(181&gt;=$NR$13,181&lt;=$NS$13),IF($NP$13="Single_Point",IF(181=$NR$13,$NN$13,0),IF($NP$13="Bell_Curve",$NN$13*(181-$NR$13+1)*($NS$13-181+1)/$NU$13,$NN$13/$NT$13)),0)</f>
        <v/>
      </c>
      <c r="GD13" s="228">
        <f>IF(AND(182&gt;=$NR$13,182&lt;=$NS$13),IF($NP$13="Single_Point",IF(182=$NR$13,$NN$13,0),IF($NP$13="Bell_Curve",$NN$13*(182-$NR$13+1)*($NS$13-182+1)/$NU$13,$NN$13/$NT$13)),0)</f>
        <v/>
      </c>
      <c r="GE13" s="228">
        <f>IF(AND(183&gt;=$NR$13,183&lt;=$NS$13),IF($NP$13="Single_Point",IF(183=$NR$13,$NN$13,0),IF($NP$13="Bell_Curve",$NN$13*(183-$NR$13+1)*($NS$13-183+1)/$NU$13,$NN$13/$NT$13)),0)</f>
        <v/>
      </c>
      <c r="GF13" s="228">
        <f>IF(AND(184&gt;=$NR$13,184&lt;=$NS$13),IF($NP$13="Single_Point",IF(184=$NR$13,$NN$13,0),IF($NP$13="Bell_Curve",$NN$13*(184-$NR$13+1)*($NS$13-184+1)/$NU$13,$NN$13/$NT$13)),0)</f>
        <v/>
      </c>
      <c r="GG13" s="228">
        <f>IF(AND(185&gt;=$NR$13,185&lt;=$NS$13),IF($NP$13="Single_Point",IF(185=$NR$13,$NN$13,0),IF($NP$13="Bell_Curve",$NN$13*(185-$NR$13+1)*($NS$13-185+1)/$NU$13,$NN$13/$NT$13)),0)</f>
        <v/>
      </c>
      <c r="GH13" s="228">
        <f>IF(AND(186&gt;=$NR$13,186&lt;=$NS$13),IF($NP$13="Single_Point",IF(186=$NR$13,$NN$13,0),IF($NP$13="Bell_Curve",$NN$13*(186-$NR$13+1)*($NS$13-186+1)/$NU$13,$NN$13/$NT$13)),0)</f>
        <v/>
      </c>
      <c r="GI13" s="228">
        <f>IF(AND(187&gt;=$NR$13,187&lt;=$NS$13),IF($NP$13="Single_Point",IF(187=$NR$13,$NN$13,0),IF($NP$13="Bell_Curve",$NN$13*(187-$NR$13+1)*($NS$13-187+1)/$NU$13,$NN$13/$NT$13)),0)</f>
        <v/>
      </c>
      <c r="GJ13" s="228">
        <f>IF(AND(188&gt;=$NR$13,188&lt;=$NS$13),IF($NP$13="Single_Point",IF(188=$NR$13,$NN$13,0),IF($NP$13="Bell_Curve",$NN$13*(188-$NR$13+1)*($NS$13-188+1)/$NU$13,$NN$13/$NT$13)),0)</f>
        <v/>
      </c>
      <c r="GK13" s="228">
        <f>IF(AND(189&gt;=$NR$13,189&lt;=$NS$13),IF($NP$13="Single_Point",IF(189=$NR$13,$NN$13,0),IF($NP$13="Bell_Curve",$NN$13*(189-$NR$13+1)*($NS$13-189+1)/$NU$13,$NN$13/$NT$13)),0)</f>
        <v/>
      </c>
      <c r="GL13" s="228">
        <f>IF(AND(190&gt;=$NR$13,190&lt;=$NS$13),IF($NP$13="Single_Point",IF(190=$NR$13,$NN$13,0),IF($NP$13="Bell_Curve",$NN$13*(190-$NR$13+1)*($NS$13-190+1)/$NU$13,$NN$13/$NT$13)),0)</f>
        <v/>
      </c>
      <c r="GM13" s="228">
        <f>IF(AND(191&gt;=$NR$13,191&lt;=$NS$13),IF($NP$13="Single_Point",IF(191=$NR$13,$NN$13,0),IF($NP$13="Bell_Curve",$NN$13*(191-$NR$13+1)*($NS$13-191+1)/$NU$13,$NN$13/$NT$13)),0)</f>
        <v/>
      </c>
      <c r="GN13" s="228">
        <f>IF(AND(192&gt;=$NR$13,192&lt;=$NS$13),IF($NP$13="Single_Point",IF(192=$NR$13,$NN$13,0),IF($NP$13="Bell_Curve",$NN$13*(192-$NR$13+1)*($NS$13-192+1)/$NU$13,$NN$13/$NT$13)),0)</f>
        <v/>
      </c>
      <c r="GO13" s="228">
        <f>IF(AND(193&gt;=$NR$13,193&lt;=$NS$13),IF($NP$13="Single_Point",IF(193=$NR$13,$NN$13,0),IF($NP$13="Bell_Curve",$NN$13*(193-$NR$13+1)*($NS$13-193+1)/$NU$13,$NN$13/$NT$13)),0)</f>
        <v/>
      </c>
      <c r="GP13" s="228">
        <f>IF(AND(194&gt;=$NR$13,194&lt;=$NS$13),IF($NP$13="Single_Point",IF(194=$NR$13,$NN$13,0),IF($NP$13="Bell_Curve",$NN$13*(194-$NR$13+1)*($NS$13-194+1)/$NU$13,$NN$13/$NT$13)),0)</f>
        <v/>
      </c>
      <c r="GQ13" s="228">
        <f>IF(AND(195&gt;=$NR$13,195&lt;=$NS$13),IF($NP$13="Single_Point",IF(195=$NR$13,$NN$13,0),IF($NP$13="Bell_Curve",$NN$13*(195-$NR$13+1)*($NS$13-195+1)/$NU$13,$NN$13/$NT$13)),0)</f>
        <v/>
      </c>
      <c r="GR13" s="228">
        <f>IF(AND(196&gt;=$NR$13,196&lt;=$NS$13),IF($NP$13="Single_Point",IF(196=$NR$13,$NN$13,0),IF($NP$13="Bell_Curve",$NN$13*(196-$NR$13+1)*($NS$13-196+1)/$NU$13,$NN$13/$NT$13)),0)</f>
        <v/>
      </c>
      <c r="GS13" s="228">
        <f>IF(AND(197&gt;=$NR$13,197&lt;=$NS$13),IF($NP$13="Single_Point",IF(197=$NR$13,$NN$13,0),IF($NP$13="Bell_Curve",$NN$13*(197-$NR$13+1)*($NS$13-197+1)/$NU$13,$NN$13/$NT$13)),0)</f>
        <v/>
      </c>
      <c r="GT13" s="228">
        <f>IF(AND(198&gt;=$NR$13,198&lt;=$NS$13),IF($NP$13="Single_Point",IF(198=$NR$13,$NN$13,0),IF($NP$13="Bell_Curve",$NN$13*(198-$NR$13+1)*($NS$13-198+1)/$NU$13,$NN$13/$NT$13)),0)</f>
        <v/>
      </c>
      <c r="GU13" s="228">
        <f>IF(AND(199&gt;=$NR$13,199&lt;=$NS$13),IF($NP$13="Single_Point",IF(199=$NR$13,$NN$13,0),IF($NP$13="Bell_Curve",$NN$13*(199-$NR$13+1)*($NS$13-199+1)/$NU$13,$NN$13/$NT$13)),0)</f>
        <v/>
      </c>
      <c r="GV13" s="228">
        <f>IF(AND(200&gt;=$NR$13,200&lt;=$NS$13),IF($NP$13="Single_Point",IF(200=$NR$13,$NN$13,0),IF($NP$13="Bell_Curve",$NN$13*(200-$NR$13+1)*($NS$13-200+1)/$NU$13,$NN$13/$NT$13)),0)</f>
        <v/>
      </c>
      <c r="GW13" s="228">
        <f>IF(AND(201&gt;=$NR$13,201&lt;=$NS$13),IF($NP$13="Single_Point",IF(201=$NR$13,$NN$13,0),IF($NP$13="Bell_Curve",$NN$13*(201-$NR$13+1)*($NS$13-201+1)/$NU$13,$NN$13/$NT$13)),0)</f>
        <v/>
      </c>
      <c r="GX13" s="228">
        <f>IF(AND(202&gt;=$NR$13,202&lt;=$NS$13),IF($NP$13="Single_Point",IF(202=$NR$13,$NN$13,0),IF($NP$13="Bell_Curve",$NN$13*(202-$NR$13+1)*($NS$13-202+1)/$NU$13,$NN$13/$NT$13)),0)</f>
        <v/>
      </c>
      <c r="GY13" s="228">
        <f>IF(AND(203&gt;=$NR$13,203&lt;=$NS$13),IF($NP$13="Single_Point",IF(203=$NR$13,$NN$13,0),IF($NP$13="Bell_Curve",$NN$13*(203-$NR$13+1)*($NS$13-203+1)/$NU$13,$NN$13/$NT$13)),0)</f>
        <v/>
      </c>
      <c r="GZ13" s="228">
        <f>IF(AND(204&gt;=$NR$13,204&lt;=$NS$13),IF($NP$13="Single_Point",IF(204=$NR$13,$NN$13,0),IF($NP$13="Bell_Curve",$NN$13*(204-$NR$13+1)*($NS$13-204+1)/$NU$13,$NN$13/$NT$13)),0)</f>
        <v/>
      </c>
      <c r="HA13" s="228">
        <f>IF(AND(205&gt;=$NR$13,205&lt;=$NS$13),IF($NP$13="Single_Point",IF(205=$NR$13,$NN$13,0),IF($NP$13="Bell_Curve",$NN$13*(205-$NR$13+1)*($NS$13-205+1)/$NU$13,$NN$13/$NT$13)),0)</f>
        <v/>
      </c>
      <c r="HB13" s="228">
        <f>IF(AND(206&gt;=$NR$13,206&lt;=$NS$13),IF($NP$13="Single_Point",IF(206=$NR$13,$NN$13,0),IF($NP$13="Bell_Curve",$NN$13*(206-$NR$13+1)*($NS$13-206+1)/$NU$13,$NN$13/$NT$13)),0)</f>
        <v/>
      </c>
      <c r="HC13" s="228">
        <f>IF(AND(207&gt;=$NR$13,207&lt;=$NS$13),IF($NP$13="Single_Point",IF(207=$NR$13,$NN$13,0),IF($NP$13="Bell_Curve",$NN$13*(207-$NR$13+1)*($NS$13-207+1)/$NU$13,$NN$13/$NT$13)),0)</f>
        <v/>
      </c>
      <c r="HD13" s="228">
        <f>IF(AND(208&gt;=$NR$13,208&lt;=$NS$13),IF($NP$13="Single_Point",IF(208=$NR$13,$NN$13,0),IF($NP$13="Bell_Curve",$NN$13*(208-$NR$13+1)*($NS$13-208+1)/$NU$13,$NN$13/$NT$13)),0)</f>
        <v/>
      </c>
      <c r="HE13" s="228">
        <f>IF(AND(209&gt;=$NR$13,209&lt;=$NS$13),IF($NP$13="Single_Point",IF(209=$NR$13,$NN$13,0),IF($NP$13="Bell_Curve",$NN$13*(209-$NR$13+1)*($NS$13-209+1)/$NU$13,$NN$13/$NT$13)),0)</f>
        <v/>
      </c>
      <c r="HF13" s="228">
        <f>IF(AND(210&gt;=$NR$13,210&lt;=$NS$13),IF($NP$13="Single_Point",IF(210=$NR$13,$NN$13,0),IF($NP$13="Bell_Curve",$NN$13*(210-$NR$13+1)*($NS$13-210+1)/$NU$13,$NN$13/$NT$13)),0)</f>
        <v/>
      </c>
      <c r="HG13" s="228">
        <f>IF(AND(211&gt;=$NR$13,211&lt;=$NS$13),IF($NP$13="Single_Point",IF(211=$NR$13,$NN$13,0),IF($NP$13="Bell_Curve",$NN$13*(211-$NR$13+1)*($NS$13-211+1)/$NU$13,$NN$13/$NT$13)),0)</f>
        <v/>
      </c>
      <c r="HH13" s="228">
        <f>IF(AND(212&gt;=$NR$13,212&lt;=$NS$13),IF($NP$13="Single_Point",IF(212=$NR$13,$NN$13,0),IF($NP$13="Bell_Curve",$NN$13*(212-$NR$13+1)*($NS$13-212+1)/$NU$13,$NN$13/$NT$13)),0)</f>
        <v/>
      </c>
      <c r="HI13" s="228">
        <f>IF(AND(213&gt;=$NR$13,213&lt;=$NS$13),IF($NP$13="Single_Point",IF(213=$NR$13,$NN$13,0),IF($NP$13="Bell_Curve",$NN$13*(213-$NR$13+1)*($NS$13-213+1)/$NU$13,$NN$13/$NT$13)),0)</f>
        <v/>
      </c>
      <c r="HJ13" s="228">
        <f>IF(AND(214&gt;=$NR$13,214&lt;=$NS$13),IF($NP$13="Single_Point",IF(214=$NR$13,$NN$13,0),IF($NP$13="Bell_Curve",$NN$13*(214-$NR$13+1)*($NS$13-214+1)/$NU$13,$NN$13/$NT$13)),0)</f>
        <v/>
      </c>
      <c r="HK13" s="228">
        <f>IF(AND(215&gt;=$NR$13,215&lt;=$NS$13),IF($NP$13="Single_Point",IF(215=$NR$13,$NN$13,0),IF($NP$13="Bell_Curve",$NN$13*(215-$NR$13+1)*($NS$13-215+1)/$NU$13,$NN$13/$NT$13)),0)</f>
        <v/>
      </c>
      <c r="HL13" s="228">
        <f>IF(AND(216&gt;=$NR$13,216&lt;=$NS$13),IF($NP$13="Single_Point",IF(216=$NR$13,$NN$13,0),IF($NP$13="Bell_Curve",$NN$13*(216-$NR$13+1)*($NS$13-216+1)/$NU$13,$NN$13/$NT$13)),0)</f>
        <v/>
      </c>
      <c r="HM13" s="228">
        <f>IF(AND(217&gt;=$NR$13,217&lt;=$NS$13),IF($NP$13="Single_Point",IF(217=$NR$13,$NN$13,0),IF($NP$13="Bell_Curve",$NN$13*(217-$NR$13+1)*($NS$13-217+1)/$NU$13,$NN$13/$NT$13)),0)</f>
        <v/>
      </c>
      <c r="HN13" s="228">
        <f>IF(AND(218&gt;=$NR$13,218&lt;=$NS$13),IF($NP$13="Single_Point",IF(218=$NR$13,$NN$13,0),IF($NP$13="Bell_Curve",$NN$13*(218-$NR$13+1)*($NS$13-218+1)/$NU$13,$NN$13/$NT$13)),0)</f>
        <v/>
      </c>
      <c r="HO13" s="228">
        <f>IF(AND(219&gt;=$NR$13,219&lt;=$NS$13),IF($NP$13="Single_Point",IF(219=$NR$13,$NN$13,0),IF($NP$13="Bell_Curve",$NN$13*(219-$NR$13+1)*($NS$13-219+1)/$NU$13,$NN$13/$NT$13)),0)</f>
        <v/>
      </c>
      <c r="HP13" s="228">
        <f>IF(AND(220&gt;=$NR$13,220&lt;=$NS$13),IF($NP$13="Single_Point",IF(220=$NR$13,$NN$13,0),IF($NP$13="Bell_Curve",$NN$13*(220-$NR$13+1)*($NS$13-220+1)/$NU$13,$NN$13/$NT$13)),0)</f>
        <v/>
      </c>
      <c r="HQ13" s="228">
        <f>IF(AND(221&gt;=$NR$13,221&lt;=$NS$13),IF($NP$13="Single_Point",IF(221=$NR$13,$NN$13,0),IF($NP$13="Bell_Curve",$NN$13*(221-$NR$13+1)*($NS$13-221+1)/$NU$13,$NN$13/$NT$13)),0)</f>
        <v/>
      </c>
      <c r="HR13" s="228">
        <f>IF(AND(222&gt;=$NR$13,222&lt;=$NS$13),IF($NP$13="Single_Point",IF(222=$NR$13,$NN$13,0),IF($NP$13="Bell_Curve",$NN$13*(222-$NR$13+1)*($NS$13-222+1)/$NU$13,$NN$13/$NT$13)),0)</f>
        <v/>
      </c>
      <c r="HS13" s="228">
        <f>IF(AND(223&gt;=$NR$13,223&lt;=$NS$13),IF($NP$13="Single_Point",IF(223=$NR$13,$NN$13,0),IF($NP$13="Bell_Curve",$NN$13*(223-$NR$13+1)*($NS$13-223+1)/$NU$13,$NN$13/$NT$13)),0)</f>
        <v/>
      </c>
      <c r="HT13" s="228">
        <f>IF(AND(224&gt;=$NR$13,224&lt;=$NS$13),IF($NP$13="Single_Point",IF(224=$NR$13,$NN$13,0),IF($NP$13="Bell_Curve",$NN$13*(224-$NR$13+1)*($NS$13-224+1)/$NU$13,$NN$13/$NT$13)),0)</f>
        <v/>
      </c>
      <c r="HU13" s="228">
        <f>IF(AND(225&gt;=$NR$13,225&lt;=$NS$13),IF($NP$13="Single_Point",IF(225=$NR$13,$NN$13,0),IF($NP$13="Bell_Curve",$NN$13*(225-$NR$13+1)*($NS$13-225+1)/$NU$13,$NN$13/$NT$13)),0)</f>
        <v/>
      </c>
      <c r="HV13" s="228">
        <f>IF(AND(226&gt;=$NR$13,226&lt;=$NS$13),IF($NP$13="Single_Point",IF(226=$NR$13,$NN$13,0),IF($NP$13="Bell_Curve",$NN$13*(226-$NR$13+1)*($NS$13-226+1)/$NU$13,$NN$13/$NT$13)),0)</f>
        <v/>
      </c>
      <c r="HW13" s="228">
        <f>IF(AND(227&gt;=$NR$13,227&lt;=$NS$13),IF($NP$13="Single_Point",IF(227=$NR$13,$NN$13,0),IF($NP$13="Bell_Curve",$NN$13*(227-$NR$13+1)*($NS$13-227+1)/$NU$13,$NN$13/$NT$13)),0)</f>
        <v/>
      </c>
      <c r="HX13" s="228">
        <f>IF(AND(228&gt;=$NR$13,228&lt;=$NS$13),IF($NP$13="Single_Point",IF(228=$NR$13,$NN$13,0),IF($NP$13="Bell_Curve",$NN$13*(228-$NR$13+1)*($NS$13-228+1)/$NU$13,$NN$13/$NT$13)),0)</f>
        <v/>
      </c>
      <c r="HY13" s="228">
        <f>IF(AND(229&gt;=$NR$13,229&lt;=$NS$13),IF($NP$13="Single_Point",IF(229=$NR$13,$NN$13,0),IF($NP$13="Bell_Curve",$NN$13*(229-$NR$13+1)*($NS$13-229+1)/$NU$13,$NN$13/$NT$13)),0)</f>
        <v/>
      </c>
      <c r="HZ13" s="228">
        <f>IF(AND(230&gt;=$NR$13,230&lt;=$NS$13),IF($NP$13="Single_Point",IF(230=$NR$13,$NN$13,0),IF($NP$13="Bell_Curve",$NN$13*(230-$NR$13+1)*($NS$13-230+1)/$NU$13,$NN$13/$NT$13)),0)</f>
        <v/>
      </c>
      <c r="IA13" s="228">
        <f>IF(AND(231&gt;=$NR$13,231&lt;=$NS$13),IF($NP$13="Single_Point",IF(231=$NR$13,$NN$13,0),IF($NP$13="Bell_Curve",$NN$13*(231-$NR$13+1)*($NS$13-231+1)/$NU$13,$NN$13/$NT$13)),0)</f>
        <v/>
      </c>
      <c r="IB13" s="228">
        <f>IF(AND(232&gt;=$NR$13,232&lt;=$NS$13),IF($NP$13="Single_Point",IF(232=$NR$13,$NN$13,0),IF($NP$13="Bell_Curve",$NN$13*(232-$NR$13+1)*($NS$13-232+1)/$NU$13,$NN$13/$NT$13)),0)</f>
        <v/>
      </c>
      <c r="IC13" s="228">
        <f>IF(AND(233&gt;=$NR$13,233&lt;=$NS$13),IF($NP$13="Single_Point",IF(233=$NR$13,$NN$13,0),IF($NP$13="Bell_Curve",$NN$13*(233-$NR$13+1)*($NS$13-233+1)/$NU$13,$NN$13/$NT$13)),0)</f>
        <v/>
      </c>
      <c r="ID13" s="228">
        <f>IF(AND(234&gt;=$NR$13,234&lt;=$NS$13),IF($NP$13="Single_Point",IF(234=$NR$13,$NN$13,0),IF($NP$13="Bell_Curve",$NN$13*(234-$NR$13+1)*($NS$13-234+1)/$NU$13,$NN$13/$NT$13)),0)</f>
        <v/>
      </c>
      <c r="IE13" s="228">
        <f>IF(AND(235&gt;=$NR$13,235&lt;=$NS$13),IF($NP$13="Single_Point",IF(235=$NR$13,$NN$13,0),IF($NP$13="Bell_Curve",$NN$13*(235-$NR$13+1)*($NS$13-235+1)/$NU$13,$NN$13/$NT$13)),0)</f>
        <v/>
      </c>
      <c r="IF13" s="228">
        <f>IF(AND(236&gt;=$NR$13,236&lt;=$NS$13),IF($NP$13="Single_Point",IF(236=$NR$13,$NN$13,0),IF($NP$13="Bell_Curve",$NN$13*(236-$NR$13+1)*($NS$13-236+1)/$NU$13,$NN$13/$NT$13)),0)</f>
        <v/>
      </c>
      <c r="IG13" s="228">
        <f>IF(AND(237&gt;=$NR$13,237&lt;=$NS$13),IF($NP$13="Single_Point",IF(237=$NR$13,$NN$13,0),IF($NP$13="Bell_Curve",$NN$13*(237-$NR$13+1)*($NS$13-237+1)/$NU$13,$NN$13/$NT$13)),0)</f>
        <v/>
      </c>
      <c r="IH13" s="228">
        <f>IF(AND(238&gt;=$NR$13,238&lt;=$NS$13),IF($NP$13="Single_Point",IF(238=$NR$13,$NN$13,0),IF($NP$13="Bell_Curve",$NN$13*(238-$NR$13+1)*($NS$13-238+1)/$NU$13,$NN$13/$NT$13)),0)</f>
        <v/>
      </c>
      <c r="II13" s="228">
        <f>IF(AND(239&gt;=$NR$13,239&lt;=$NS$13),IF($NP$13="Single_Point",IF(239=$NR$13,$NN$13,0),IF($NP$13="Bell_Curve",$NN$13*(239-$NR$13+1)*($NS$13-239+1)/$NU$13,$NN$13/$NT$13)),0)</f>
        <v/>
      </c>
      <c r="IJ13" s="228">
        <f>IF(AND(240&gt;=$NR$13,240&lt;=$NS$13),IF($NP$13="Single_Point",IF(240=$NR$13,$NN$13,0),IF($NP$13="Bell_Curve",$NN$13*(240-$NR$13+1)*($NS$13-240+1)/$NU$13,$NN$13/$NT$13)),0)</f>
        <v/>
      </c>
      <c r="IK13" s="228">
        <f>IF(AND(241&gt;=$NR$13,241&lt;=$NS$13),IF($NP$13="Single_Point",IF(241=$NR$13,$NN$13,0),IF($NP$13="Bell_Curve",$NN$13*(241-$NR$13+1)*($NS$13-241+1)/$NU$13,$NN$13/$NT$13)),0)</f>
        <v/>
      </c>
      <c r="IL13" s="228">
        <f>IF(AND(242&gt;=$NR$13,242&lt;=$NS$13),IF($NP$13="Single_Point",IF(242=$NR$13,$NN$13,0),IF($NP$13="Bell_Curve",$NN$13*(242-$NR$13+1)*($NS$13-242+1)/$NU$13,$NN$13/$NT$13)),0)</f>
        <v/>
      </c>
      <c r="IM13" s="228">
        <f>IF(AND(243&gt;=$NR$13,243&lt;=$NS$13),IF($NP$13="Single_Point",IF(243=$NR$13,$NN$13,0),IF($NP$13="Bell_Curve",$NN$13*(243-$NR$13+1)*($NS$13-243+1)/$NU$13,$NN$13/$NT$13)),0)</f>
        <v/>
      </c>
      <c r="IN13" s="228">
        <f>IF(AND(244&gt;=$NR$13,244&lt;=$NS$13),IF($NP$13="Single_Point",IF(244=$NR$13,$NN$13,0),IF($NP$13="Bell_Curve",$NN$13*(244-$NR$13+1)*($NS$13-244+1)/$NU$13,$NN$13/$NT$13)),0)</f>
        <v/>
      </c>
      <c r="IO13" s="228">
        <f>IF(AND(245&gt;=$NR$13,245&lt;=$NS$13),IF($NP$13="Single_Point",IF(245=$NR$13,$NN$13,0),IF($NP$13="Bell_Curve",$NN$13*(245-$NR$13+1)*($NS$13-245+1)/$NU$13,$NN$13/$NT$13)),0)</f>
        <v/>
      </c>
      <c r="IP13" s="228">
        <f>IF(AND(246&gt;=$NR$13,246&lt;=$NS$13),IF($NP$13="Single_Point",IF(246=$NR$13,$NN$13,0),IF($NP$13="Bell_Curve",$NN$13*(246-$NR$13+1)*($NS$13-246+1)/$NU$13,$NN$13/$NT$13)),0)</f>
        <v/>
      </c>
      <c r="IQ13" s="228">
        <f>IF(AND(247&gt;=$NR$13,247&lt;=$NS$13),IF($NP$13="Single_Point",IF(247=$NR$13,$NN$13,0),IF($NP$13="Bell_Curve",$NN$13*(247-$NR$13+1)*($NS$13-247+1)/$NU$13,$NN$13/$NT$13)),0)</f>
        <v/>
      </c>
      <c r="IR13" s="228">
        <f>IF(AND(248&gt;=$NR$13,248&lt;=$NS$13),IF($NP$13="Single_Point",IF(248=$NR$13,$NN$13,0),IF($NP$13="Bell_Curve",$NN$13*(248-$NR$13+1)*($NS$13-248+1)/$NU$13,$NN$13/$NT$13)),0)</f>
        <v/>
      </c>
      <c r="IS13" s="228">
        <f>IF(AND(249&gt;=$NR$13,249&lt;=$NS$13),IF($NP$13="Single_Point",IF(249=$NR$13,$NN$13,0),IF($NP$13="Bell_Curve",$NN$13*(249-$NR$13+1)*($NS$13-249+1)/$NU$13,$NN$13/$NT$13)),0)</f>
        <v/>
      </c>
      <c r="IT13" s="228">
        <f>IF(AND(250&gt;=$NR$13,250&lt;=$NS$13),IF($NP$13="Single_Point",IF(250=$NR$13,$NN$13,0),IF($NP$13="Bell_Curve",$NN$13*(250-$NR$13+1)*($NS$13-250+1)/$NU$13,$NN$13/$NT$13)),0)</f>
        <v/>
      </c>
      <c r="IU13" s="228">
        <f>IF(AND(251&gt;=$NR$13,251&lt;=$NS$13),IF($NP$13="Single_Point",IF(251=$NR$13,$NN$13,0),IF($NP$13="Bell_Curve",$NN$13*(251-$NR$13+1)*($NS$13-251+1)/$NU$13,$NN$13/$NT$13)),0)</f>
        <v/>
      </c>
      <c r="IV13" s="228">
        <f>IF(AND(252&gt;=$NR$13,252&lt;=$NS$13),IF($NP$13="Single_Point",IF(252=$NR$13,$NN$13,0),IF($NP$13="Bell_Curve",$NN$13*(252-$NR$13+1)*($NS$13-252+1)/$NU$13,$NN$13/$NT$13)),0)</f>
        <v/>
      </c>
      <c r="IW13" s="228">
        <f>IF(AND(253&gt;=$NR$13,253&lt;=$NS$13),IF($NP$13="Single_Point",IF(253=$NR$13,$NN$13,0),IF($NP$13="Bell_Curve",$NN$13*(253-$NR$13+1)*($NS$13-253+1)/$NU$13,$NN$13/$NT$13)),0)</f>
        <v/>
      </c>
      <c r="IX13" s="228">
        <f>IF(AND(254&gt;=$NR$13,254&lt;=$NS$13),IF($NP$13="Single_Point",IF(254=$NR$13,$NN$13,0),IF($NP$13="Bell_Curve",$NN$13*(254-$NR$13+1)*($NS$13-254+1)/$NU$13,$NN$13/$NT$13)),0)</f>
        <v/>
      </c>
      <c r="IY13" s="228">
        <f>IF(AND(255&gt;=$NR$13,255&lt;=$NS$13),IF($NP$13="Single_Point",IF(255=$NR$13,$NN$13,0),IF($NP$13="Bell_Curve",$NN$13*(255-$NR$13+1)*($NS$13-255+1)/$NU$13,$NN$13/$NT$13)),0)</f>
        <v/>
      </c>
      <c r="IZ13" s="228">
        <f>IF(AND(256&gt;=$NR$13,256&lt;=$NS$13),IF($NP$13="Single_Point",IF(256=$NR$13,$NN$13,0),IF($NP$13="Bell_Curve",$NN$13*(256-$NR$13+1)*($NS$13-256+1)/$NU$13,$NN$13/$NT$13)),0)</f>
        <v/>
      </c>
      <c r="JA13" s="228">
        <f>IF(AND(257&gt;=$NR$13,257&lt;=$NS$13),IF($NP$13="Single_Point",IF(257=$NR$13,$NN$13,0),IF($NP$13="Bell_Curve",$NN$13*(257-$NR$13+1)*($NS$13-257+1)/$NU$13,$NN$13/$NT$13)),0)</f>
        <v/>
      </c>
      <c r="JB13" s="228">
        <f>IF(AND(258&gt;=$NR$13,258&lt;=$NS$13),IF($NP$13="Single_Point",IF(258=$NR$13,$NN$13,0),IF($NP$13="Bell_Curve",$NN$13*(258-$NR$13+1)*($NS$13-258+1)/$NU$13,$NN$13/$NT$13)),0)</f>
        <v/>
      </c>
      <c r="JC13" s="228">
        <f>IF(AND(259&gt;=$NR$13,259&lt;=$NS$13),IF($NP$13="Single_Point",IF(259=$NR$13,$NN$13,0),IF($NP$13="Bell_Curve",$NN$13*(259-$NR$13+1)*($NS$13-259+1)/$NU$13,$NN$13/$NT$13)),0)</f>
        <v/>
      </c>
      <c r="JD13" s="228">
        <f>IF(AND(260&gt;=$NR$13,260&lt;=$NS$13),IF($NP$13="Single_Point",IF(260=$NR$13,$NN$13,0),IF($NP$13="Bell_Curve",$NN$13*(260-$NR$13+1)*($NS$13-260+1)/$NU$13,$NN$13/$NT$13)),0)</f>
        <v/>
      </c>
      <c r="JE13" s="228">
        <f>IF(AND(261&gt;=$NR$13,261&lt;=$NS$13),IF($NP$13="Single_Point",IF(261=$NR$13,$NN$13,0),IF($NP$13="Bell_Curve",$NN$13*(261-$NR$13+1)*($NS$13-261+1)/$NU$13,$NN$13/$NT$13)),0)</f>
        <v/>
      </c>
      <c r="JF13" s="228">
        <f>IF(AND(262&gt;=$NR$13,262&lt;=$NS$13),IF($NP$13="Single_Point",IF(262=$NR$13,$NN$13,0),IF($NP$13="Bell_Curve",$NN$13*(262-$NR$13+1)*($NS$13-262+1)/$NU$13,$NN$13/$NT$13)),0)</f>
        <v/>
      </c>
      <c r="JG13" s="228">
        <f>IF(AND(263&gt;=$NR$13,263&lt;=$NS$13),IF($NP$13="Single_Point",IF(263=$NR$13,$NN$13,0),IF($NP$13="Bell_Curve",$NN$13*(263-$NR$13+1)*($NS$13-263+1)/$NU$13,$NN$13/$NT$13)),0)</f>
        <v/>
      </c>
      <c r="JH13" s="228">
        <f>IF(AND(264&gt;=$NR$13,264&lt;=$NS$13),IF($NP$13="Single_Point",IF(264=$NR$13,$NN$13,0),IF($NP$13="Bell_Curve",$NN$13*(264-$NR$13+1)*($NS$13-264+1)/$NU$13,$NN$13/$NT$13)),0)</f>
        <v/>
      </c>
      <c r="JI13" s="228">
        <f>IF(AND(265&gt;=$NR$13,265&lt;=$NS$13),IF($NP$13="Single_Point",IF(265=$NR$13,$NN$13,0),IF($NP$13="Bell_Curve",$NN$13*(265-$NR$13+1)*($NS$13-265+1)/$NU$13,$NN$13/$NT$13)),0)</f>
        <v/>
      </c>
      <c r="JJ13" s="228">
        <f>IF(AND(266&gt;=$NR$13,266&lt;=$NS$13),IF($NP$13="Single_Point",IF(266=$NR$13,$NN$13,0),IF($NP$13="Bell_Curve",$NN$13*(266-$NR$13+1)*($NS$13-266+1)/$NU$13,$NN$13/$NT$13)),0)</f>
        <v/>
      </c>
      <c r="JK13" s="228">
        <f>IF(AND(267&gt;=$NR$13,267&lt;=$NS$13),IF($NP$13="Single_Point",IF(267=$NR$13,$NN$13,0),IF($NP$13="Bell_Curve",$NN$13*(267-$NR$13+1)*($NS$13-267+1)/$NU$13,$NN$13/$NT$13)),0)</f>
        <v/>
      </c>
      <c r="JL13" s="228">
        <f>IF(AND(268&gt;=$NR$13,268&lt;=$NS$13),IF($NP$13="Single_Point",IF(268=$NR$13,$NN$13,0),IF($NP$13="Bell_Curve",$NN$13*(268-$NR$13+1)*($NS$13-268+1)/$NU$13,$NN$13/$NT$13)),0)</f>
        <v/>
      </c>
      <c r="JM13" s="228">
        <f>IF(AND(269&gt;=$NR$13,269&lt;=$NS$13),IF($NP$13="Single_Point",IF(269=$NR$13,$NN$13,0),IF($NP$13="Bell_Curve",$NN$13*(269-$NR$13+1)*($NS$13-269+1)/$NU$13,$NN$13/$NT$13)),0)</f>
        <v/>
      </c>
      <c r="JN13" s="228">
        <f>IF(AND(270&gt;=$NR$13,270&lt;=$NS$13),IF($NP$13="Single_Point",IF(270=$NR$13,$NN$13,0),IF($NP$13="Bell_Curve",$NN$13*(270-$NR$13+1)*($NS$13-270+1)/$NU$13,$NN$13/$NT$13)),0)</f>
        <v/>
      </c>
      <c r="JO13" s="228">
        <f>IF(AND(271&gt;=$NR$13,271&lt;=$NS$13),IF($NP$13="Single_Point",IF(271=$NR$13,$NN$13,0),IF($NP$13="Bell_Curve",$NN$13*(271-$NR$13+1)*($NS$13-271+1)/$NU$13,$NN$13/$NT$13)),0)</f>
        <v/>
      </c>
      <c r="JP13" s="228">
        <f>IF(AND(272&gt;=$NR$13,272&lt;=$NS$13),IF($NP$13="Single_Point",IF(272=$NR$13,$NN$13,0),IF($NP$13="Bell_Curve",$NN$13*(272-$NR$13+1)*($NS$13-272+1)/$NU$13,$NN$13/$NT$13)),0)</f>
        <v/>
      </c>
      <c r="JQ13" s="228">
        <f>IF(AND(273&gt;=$NR$13,273&lt;=$NS$13),IF($NP$13="Single_Point",IF(273=$NR$13,$NN$13,0),IF($NP$13="Bell_Curve",$NN$13*(273-$NR$13+1)*($NS$13-273+1)/$NU$13,$NN$13/$NT$13)),0)</f>
        <v/>
      </c>
      <c r="JR13" s="228">
        <f>IF(AND(274&gt;=$NR$13,274&lt;=$NS$13),IF($NP$13="Single_Point",IF(274=$NR$13,$NN$13,0),IF($NP$13="Bell_Curve",$NN$13*(274-$NR$13+1)*($NS$13-274+1)/$NU$13,$NN$13/$NT$13)),0)</f>
        <v/>
      </c>
      <c r="JS13" s="228">
        <f>IF(AND(275&gt;=$NR$13,275&lt;=$NS$13),IF($NP$13="Single_Point",IF(275=$NR$13,$NN$13,0),IF($NP$13="Bell_Curve",$NN$13*(275-$NR$13+1)*($NS$13-275+1)/$NU$13,$NN$13/$NT$13)),0)</f>
        <v/>
      </c>
      <c r="JT13" s="228">
        <f>IF(AND(276&gt;=$NR$13,276&lt;=$NS$13),IF($NP$13="Single_Point",IF(276=$NR$13,$NN$13,0),IF($NP$13="Bell_Curve",$NN$13*(276-$NR$13+1)*($NS$13-276+1)/$NU$13,$NN$13/$NT$13)),0)</f>
        <v/>
      </c>
      <c r="JU13" s="228">
        <f>IF(AND(277&gt;=$NR$13,277&lt;=$NS$13),IF($NP$13="Single_Point",IF(277=$NR$13,$NN$13,0),IF($NP$13="Bell_Curve",$NN$13*(277-$NR$13+1)*($NS$13-277+1)/$NU$13,$NN$13/$NT$13)),0)</f>
        <v/>
      </c>
      <c r="JV13" s="228">
        <f>IF(AND(278&gt;=$NR$13,278&lt;=$NS$13),IF($NP$13="Single_Point",IF(278=$NR$13,$NN$13,0),IF($NP$13="Bell_Curve",$NN$13*(278-$NR$13+1)*($NS$13-278+1)/$NU$13,$NN$13/$NT$13)),0)</f>
        <v/>
      </c>
      <c r="JW13" s="228">
        <f>IF(AND(279&gt;=$NR$13,279&lt;=$NS$13),IF($NP$13="Single_Point",IF(279=$NR$13,$NN$13,0),IF($NP$13="Bell_Curve",$NN$13*(279-$NR$13+1)*($NS$13-279+1)/$NU$13,$NN$13/$NT$13)),0)</f>
        <v/>
      </c>
      <c r="JX13" s="228">
        <f>IF(AND(280&gt;=$NR$13,280&lt;=$NS$13),IF($NP$13="Single_Point",IF(280=$NR$13,$NN$13,0),IF($NP$13="Bell_Curve",$NN$13*(280-$NR$13+1)*($NS$13-280+1)/$NU$13,$NN$13/$NT$13)),0)</f>
        <v/>
      </c>
      <c r="JY13" s="228">
        <f>IF(AND(281&gt;=$NR$13,281&lt;=$NS$13),IF($NP$13="Single_Point",IF(281=$NR$13,$NN$13,0),IF($NP$13="Bell_Curve",$NN$13*(281-$NR$13+1)*($NS$13-281+1)/$NU$13,$NN$13/$NT$13)),0)</f>
        <v/>
      </c>
      <c r="JZ13" s="228">
        <f>IF(AND(282&gt;=$NR$13,282&lt;=$NS$13),IF($NP$13="Single_Point",IF(282=$NR$13,$NN$13,0),IF($NP$13="Bell_Curve",$NN$13*(282-$NR$13+1)*($NS$13-282+1)/$NU$13,$NN$13/$NT$13)),0)</f>
        <v/>
      </c>
      <c r="KA13" s="228">
        <f>IF(AND(283&gt;=$NR$13,283&lt;=$NS$13),IF($NP$13="Single_Point",IF(283=$NR$13,$NN$13,0),IF($NP$13="Bell_Curve",$NN$13*(283-$NR$13+1)*($NS$13-283+1)/$NU$13,$NN$13/$NT$13)),0)</f>
        <v/>
      </c>
      <c r="KB13" s="228">
        <f>IF(AND(284&gt;=$NR$13,284&lt;=$NS$13),IF($NP$13="Single_Point",IF(284=$NR$13,$NN$13,0),IF($NP$13="Bell_Curve",$NN$13*(284-$NR$13+1)*($NS$13-284+1)/$NU$13,$NN$13/$NT$13)),0)</f>
        <v/>
      </c>
      <c r="KC13" s="228">
        <f>IF(AND(285&gt;=$NR$13,285&lt;=$NS$13),IF($NP$13="Single_Point",IF(285=$NR$13,$NN$13,0),IF($NP$13="Bell_Curve",$NN$13*(285-$NR$13+1)*($NS$13-285+1)/$NU$13,$NN$13/$NT$13)),0)</f>
        <v/>
      </c>
      <c r="KD13" s="228">
        <f>IF(AND(286&gt;=$NR$13,286&lt;=$NS$13),IF($NP$13="Single_Point",IF(286=$NR$13,$NN$13,0),IF($NP$13="Bell_Curve",$NN$13*(286-$NR$13+1)*($NS$13-286+1)/$NU$13,$NN$13/$NT$13)),0)</f>
        <v/>
      </c>
      <c r="KE13" s="228">
        <f>IF(AND(287&gt;=$NR$13,287&lt;=$NS$13),IF($NP$13="Single_Point",IF(287=$NR$13,$NN$13,0),IF($NP$13="Bell_Curve",$NN$13*(287-$NR$13+1)*($NS$13-287+1)/$NU$13,$NN$13/$NT$13)),0)</f>
        <v/>
      </c>
      <c r="KF13" s="228">
        <f>IF(AND(288&gt;=$NR$13,288&lt;=$NS$13),IF($NP$13="Single_Point",IF(288=$NR$13,$NN$13,0),IF($NP$13="Bell_Curve",$NN$13*(288-$NR$13+1)*($NS$13-288+1)/$NU$13,$NN$13/$NT$13)),0)</f>
        <v/>
      </c>
      <c r="KG13" s="228">
        <f>IF(AND(289&gt;=$NR$13,289&lt;=$NS$13),IF($NP$13="Single_Point",IF(289=$NR$13,$NN$13,0),IF($NP$13="Bell_Curve",$NN$13*(289-$NR$13+1)*($NS$13-289+1)/$NU$13,$NN$13/$NT$13)),0)</f>
        <v/>
      </c>
      <c r="KH13" s="228">
        <f>IF(AND(290&gt;=$NR$13,290&lt;=$NS$13),IF($NP$13="Single_Point",IF(290=$NR$13,$NN$13,0),IF($NP$13="Bell_Curve",$NN$13*(290-$NR$13+1)*($NS$13-290+1)/$NU$13,$NN$13/$NT$13)),0)</f>
        <v/>
      </c>
      <c r="KI13" s="228">
        <f>IF(AND(291&gt;=$NR$13,291&lt;=$NS$13),IF($NP$13="Single_Point",IF(291=$NR$13,$NN$13,0),IF($NP$13="Bell_Curve",$NN$13*(291-$NR$13+1)*($NS$13-291+1)/$NU$13,$NN$13/$NT$13)),0)</f>
        <v/>
      </c>
      <c r="KJ13" s="228">
        <f>IF(AND(292&gt;=$NR$13,292&lt;=$NS$13),IF($NP$13="Single_Point",IF(292=$NR$13,$NN$13,0),IF($NP$13="Bell_Curve",$NN$13*(292-$NR$13+1)*($NS$13-292+1)/$NU$13,$NN$13/$NT$13)),0)</f>
        <v/>
      </c>
      <c r="KK13" s="228">
        <f>IF(AND(293&gt;=$NR$13,293&lt;=$NS$13),IF($NP$13="Single_Point",IF(293=$NR$13,$NN$13,0),IF($NP$13="Bell_Curve",$NN$13*(293-$NR$13+1)*($NS$13-293+1)/$NU$13,$NN$13/$NT$13)),0)</f>
        <v/>
      </c>
      <c r="KL13" s="228">
        <f>IF(AND(294&gt;=$NR$13,294&lt;=$NS$13),IF($NP$13="Single_Point",IF(294=$NR$13,$NN$13,0),IF($NP$13="Bell_Curve",$NN$13*(294-$NR$13+1)*($NS$13-294+1)/$NU$13,$NN$13/$NT$13)),0)</f>
        <v/>
      </c>
      <c r="KM13" s="228">
        <f>IF(AND(295&gt;=$NR$13,295&lt;=$NS$13),IF($NP$13="Single_Point",IF(295=$NR$13,$NN$13,0),IF($NP$13="Bell_Curve",$NN$13*(295-$NR$13+1)*($NS$13-295+1)/$NU$13,$NN$13/$NT$13)),0)</f>
        <v/>
      </c>
      <c r="KN13" s="228">
        <f>IF(AND(296&gt;=$NR$13,296&lt;=$NS$13),IF($NP$13="Single_Point",IF(296=$NR$13,$NN$13,0),IF($NP$13="Bell_Curve",$NN$13*(296-$NR$13+1)*($NS$13-296+1)/$NU$13,$NN$13/$NT$13)),0)</f>
        <v/>
      </c>
      <c r="KO13" s="228">
        <f>IF(AND(297&gt;=$NR$13,297&lt;=$NS$13),IF($NP$13="Single_Point",IF(297=$NR$13,$NN$13,0),IF($NP$13="Bell_Curve",$NN$13*(297-$NR$13+1)*($NS$13-297+1)/$NU$13,$NN$13/$NT$13)),0)</f>
        <v/>
      </c>
      <c r="KP13" s="228">
        <f>IF(AND(298&gt;=$NR$13,298&lt;=$NS$13),IF($NP$13="Single_Point",IF(298=$NR$13,$NN$13,0),IF($NP$13="Bell_Curve",$NN$13*(298-$NR$13+1)*($NS$13-298+1)/$NU$13,$NN$13/$NT$13)),0)</f>
        <v/>
      </c>
      <c r="KQ13" s="228">
        <f>IF(AND(299&gt;=$NR$13,299&lt;=$NS$13),IF($NP$13="Single_Point",IF(299=$NR$13,$NN$13,0),IF($NP$13="Bell_Curve",$NN$13*(299-$NR$13+1)*($NS$13-299+1)/$NU$13,$NN$13/$NT$13)),0)</f>
        <v/>
      </c>
      <c r="KR13" s="228">
        <f>IF(AND(300&gt;=$NR$13,300&lt;=$NS$13),IF($NP$13="Single_Point",IF(300=$NR$13,$NN$13,0),IF($NP$13="Bell_Curve",$NN$13*(300-$NR$13+1)*($NS$13-300+1)/$NU$13,$NN$13/$NT$13)),0)</f>
        <v/>
      </c>
      <c r="KS13" s="228">
        <f>IF(AND(301&gt;=$NR$13,301&lt;=$NS$13),IF($NP$13="Single_Point",IF(301=$NR$13,$NN$13,0),IF($NP$13="Bell_Curve",$NN$13*(301-$NR$13+1)*($NS$13-301+1)/$NU$13,$NN$13/$NT$13)),0)</f>
        <v/>
      </c>
      <c r="KT13" s="228">
        <f>IF(AND(302&gt;=$NR$13,302&lt;=$NS$13),IF($NP$13="Single_Point",IF(302=$NR$13,$NN$13,0),IF($NP$13="Bell_Curve",$NN$13*(302-$NR$13+1)*($NS$13-302+1)/$NU$13,$NN$13/$NT$13)),0)</f>
        <v/>
      </c>
      <c r="KU13" s="228">
        <f>IF(AND(303&gt;=$NR$13,303&lt;=$NS$13),IF($NP$13="Single_Point",IF(303=$NR$13,$NN$13,0),IF($NP$13="Bell_Curve",$NN$13*(303-$NR$13+1)*($NS$13-303+1)/$NU$13,$NN$13/$NT$13)),0)</f>
        <v/>
      </c>
      <c r="KV13" s="228">
        <f>IF(AND(304&gt;=$NR$13,304&lt;=$NS$13),IF($NP$13="Single_Point",IF(304=$NR$13,$NN$13,0),IF($NP$13="Bell_Curve",$NN$13*(304-$NR$13+1)*($NS$13-304+1)/$NU$13,$NN$13/$NT$13)),0)</f>
        <v/>
      </c>
      <c r="KW13" s="228">
        <f>IF(AND(305&gt;=$NR$13,305&lt;=$NS$13),IF($NP$13="Single_Point",IF(305=$NR$13,$NN$13,0),IF($NP$13="Bell_Curve",$NN$13*(305-$NR$13+1)*($NS$13-305+1)/$NU$13,$NN$13/$NT$13)),0)</f>
        <v/>
      </c>
      <c r="KX13" s="228">
        <f>IF(AND(306&gt;=$NR$13,306&lt;=$NS$13),IF($NP$13="Single_Point",IF(306=$NR$13,$NN$13,0),IF($NP$13="Bell_Curve",$NN$13*(306-$NR$13+1)*($NS$13-306+1)/$NU$13,$NN$13/$NT$13)),0)</f>
        <v/>
      </c>
      <c r="KY13" s="228">
        <f>IF(AND(307&gt;=$NR$13,307&lt;=$NS$13),IF($NP$13="Single_Point",IF(307=$NR$13,$NN$13,0),IF($NP$13="Bell_Curve",$NN$13*(307-$NR$13+1)*($NS$13-307+1)/$NU$13,$NN$13/$NT$13)),0)</f>
        <v/>
      </c>
      <c r="KZ13" s="228">
        <f>IF(AND(308&gt;=$NR$13,308&lt;=$NS$13),IF($NP$13="Single_Point",IF(308=$NR$13,$NN$13,0),IF($NP$13="Bell_Curve",$NN$13*(308-$NR$13+1)*($NS$13-308+1)/$NU$13,$NN$13/$NT$13)),0)</f>
        <v/>
      </c>
      <c r="LA13" s="228">
        <f>IF(AND(309&gt;=$NR$13,309&lt;=$NS$13),IF($NP$13="Single_Point",IF(309=$NR$13,$NN$13,0),IF($NP$13="Bell_Curve",$NN$13*(309-$NR$13+1)*($NS$13-309+1)/$NU$13,$NN$13/$NT$13)),0)</f>
        <v/>
      </c>
      <c r="LB13" s="228">
        <f>IF(AND(310&gt;=$NR$13,310&lt;=$NS$13),IF($NP$13="Single_Point",IF(310=$NR$13,$NN$13,0),IF($NP$13="Bell_Curve",$NN$13*(310-$NR$13+1)*($NS$13-310+1)/$NU$13,$NN$13/$NT$13)),0)</f>
        <v/>
      </c>
      <c r="LC13" s="228">
        <f>IF(AND(311&gt;=$NR$13,311&lt;=$NS$13),IF($NP$13="Single_Point",IF(311=$NR$13,$NN$13,0),IF($NP$13="Bell_Curve",$NN$13*(311-$NR$13+1)*($NS$13-311+1)/$NU$13,$NN$13/$NT$13)),0)</f>
        <v/>
      </c>
      <c r="LD13" s="228">
        <f>IF(AND(312&gt;=$NR$13,312&lt;=$NS$13),IF($NP$13="Single_Point",IF(312=$NR$13,$NN$13,0),IF($NP$13="Bell_Curve",$NN$13*(312-$NR$13+1)*($NS$13-312+1)/$NU$13,$NN$13/$NT$13)),0)</f>
        <v/>
      </c>
      <c r="LE13" s="228">
        <f>IF(AND(313&gt;=$NR$13,313&lt;=$NS$13),IF($NP$13="Single_Point",IF(313=$NR$13,$NN$13,0),IF($NP$13="Bell_Curve",$NN$13*(313-$NR$13+1)*($NS$13-313+1)/$NU$13,$NN$13/$NT$13)),0)</f>
        <v/>
      </c>
      <c r="LF13" s="228">
        <f>IF(AND(314&gt;=$NR$13,314&lt;=$NS$13),IF($NP$13="Single_Point",IF(314=$NR$13,$NN$13,0),IF($NP$13="Bell_Curve",$NN$13*(314-$NR$13+1)*($NS$13-314+1)/$NU$13,$NN$13/$NT$13)),0)</f>
        <v/>
      </c>
      <c r="LG13" s="228">
        <f>IF(AND(315&gt;=$NR$13,315&lt;=$NS$13),IF($NP$13="Single_Point",IF(315=$NR$13,$NN$13,0),IF($NP$13="Bell_Curve",$NN$13*(315-$NR$13+1)*($NS$13-315+1)/$NU$13,$NN$13/$NT$13)),0)</f>
        <v/>
      </c>
      <c r="LH13" s="228">
        <f>IF(AND(316&gt;=$NR$13,316&lt;=$NS$13),IF($NP$13="Single_Point",IF(316=$NR$13,$NN$13,0),IF($NP$13="Bell_Curve",$NN$13*(316-$NR$13+1)*($NS$13-316+1)/$NU$13,$NN$13/$NT$13)),0)</f>
        <v/>
      </c>
      <c r="LI13" s="228">
        <f>IF(AND(317&gt;=$NR$13,317&lt;=$NS$13),IF($NP$13="Single_Point",IF(317=$NR$13,$NN$13,0),IF($NP$13="Bell_Curve",$NN$13*(317-$NR$13+1)*($NS$13-317+1)/$NU$13,$NN$13/$NT$13)),0)</f>
        <v/>
      </c>
      <c r="LJ13" s="228">
        <f>IF(AND(318&gt;=$NR$13,318&lt;=$NS$13),IF($NP$13="Single_Point",IF(318=$NR$13,$NN$13,0),IF($NP$13="Bell_Curve",$NN$13*(318-$NR$13+1)*($NS$13-318+1)/$NU$13,$NN$13/$NT$13)),0)</f>
        <v/>
      </c>
      <c r="LK13" s="228">
        <f>IF(AND(319&gt;=$NR$13,319&lt;=$NS$13),IF($NP$13="Single_Point",IF(319=$NR$13,$NN$13,0),IF($NP$13="Bell_Curve",$NN$13*(319-$NR$13+1)*($NS$13-319+1)/$NU$13,$NN$13/$NT$13)),0)</f>
        <v/>
      </c>
      <c r="LL13" s="228">
        <f>IF(AND(320&gt;=$NR$13,320&lt;=$NS$13),IF($NP$13="Single_Point",IF(320=$NR$13,$NN$13,0),IF($NP$13="Bell_Curve",$NN$13*(320-$NR$13+1)*($NS$13-320+1)/$NU$13,$NN$13/$NT$13)),0)</f>
        <v/>
      </c>
      <c r="LM13" s="228">
        <f>IF(AND(321&gt;=$NR$13,321&lt;=$NS$13),IF($NP$13="Single_Point",IF(321=$NR$13,$NN$13,0),IF($NP$13="Bell_Curve",$NN$13*(321-$NR$13+1)*($NS$13-321+1)/$NU$13,$NN$13/$NT$13)),0)</f>
        <v/>
      </c>
      <c r="LN13" s="228">
        <f>IF(AND(322&gt;=$NR$13,322&lt;=$NS$13),IF($NP$13="Single_Point",IF(322=$NR$13,$NN$13,0),IF($NP$13="Bell_Curve",$NN$13*(322-$NR$13+1)*($NS$13-322+1)/$NU$13,$NN$13/$NT$13)),0)</f>
        <v/>
      </c>
      <c r="LO13" s="228">
        <f>IF(AND(323&gt;=$NR$13,323&lt;=$NS$13),IF($NP$13="Single_Point",IF(323=$NR$13,$NN$13,0),IF($NP$13="Bell_Curve",$NN$13*(323-$NR$13+1)*($NS$13-323+1)/$NU$13,$NN$13/$NT$13)),0)</f>
        <v/>
      </c>
      <c r="LP13" s="228">
        <f>IF(AND(324&gt;=$NR$13,324&lt;=$NS$13),IF($NP$13="Single_Point",IF(324=$NR$13,$NN$13,0),IF($NP$13="Bell_Curve",$NN$13*(324-$NR$13+1)*($NS$13-324+1)/$NU$13,$NN$13/$NT$13)),0)</f>
        <v/>
      </c>
      <c r="LQ13" s="228">
        <f>IF(AND(325&gt;=$NR$13,325&lt;=$NS$13),IF($NP$13="Single_Point",IF(325=$NR$13,$NN$13,0),IF($NP$13="Bell_Curve",$NN$13*(325-$NR$13+1)*($NS$13-325+1)/$NU$13,$NN$13/$NT$13)),0)</f>
        <v/>
      </c>
      <c r="LR13" s="228">
        <f>IF(AND(326&gt;=$NR$13,326&lt;=$NS$13),IF($NP$13="Single_Point",IF(326=$NR$13,$NN$13,0),IF($NP$13="Bell_Curve",$NN$13*(326-$NR$13+1)*($NS$13-326+1)/$NU$13,$NN$13/$NT$13)),0)</f>
        <v/>
      </c>
      <c r="LS13" s="228">
        <f>IF(AND(327&gt;=$NR$13,327&lt;=$NS$13),IF($NP$13="Single_Point",IF(327=$NR$13,$NN$13,0),IF($NP$13="Bell_Curve",$NN$13*(327-$NR$13+1)*($NS$13-327+1)/$NU$13,$NN$13/$NT$13)),0)</f>
        <v/>
      </c>
      <c r="LT13" s="228">
        <f>IF(AND(328&gt;=$NR$13,328&lt;=$NS$13),IF($NP$13="Single_Point",IF(328=$NR$13,$NN$13,0),IF($NP$13="Bell_Curve",$NN$13*(328-$NR$13+1)*($NS$13-328+1)/$NU$13,$NN$13/$NT$13)),0)</f>
        <v/>
      </c>
      <c r="LU13" s="228">
        <f>IF(AND(329&gt;=$NR$13,329&lt;=$NS$13),IF($NP$13="Single_Point",IF(329=$NR$13,$NN$13,0),IF($NP$13="Bell_Curve",$NN$13*(329-$NR$13+1)*($NS$13-329+1)/$NU$13,$NN$13/$NT$13)),0)</f>
        <v/>
      </c>
      <c r="LV13" s="228">
        <f>IF(AND(330&gt;=$NR$13,330&lt;=$NS$13),IF($NP$13="Single_Point",IF(330=$NR$13,$NN$13,0),IF($NP$13="Bell_Curve",$NN$13*(330-$NR$13+1)*($NS$13-330+1)/$NU$13,$NN$13/$NT$13)),0)</f>
        <v/>
      </c>
      <c r="LW13" s="228">
        <f>IF(AND(331&gt;=$NR$13,331&lt;=$NS$13),IF($NP$13="Single_Point",IF(331=$NR$13,$NN$13,0),IF($NP$13="Bell_Curve",$NN$13*(331-$NR$13+1)*($NS$13-331+1)/$NU$13,$NN$13/$NT$13)),0)</f>
        <v/>
      </c>
      <c r="LX13" s="228">
        <f>IF(AND(332&gt;=$NR$13,332&lt;=$NS$13),IF($NP$13="Single_Point",IF(332=$NR$13,$NN$13,0),IF($NP$13="Bell_Curve",$NN$13*(332-$NR$13+1)*($NS$13-332+1)/$NU$13,$NN$13/$NT$13)),0)</f>
        <v/>
      </c>
      <c r="LY13" s="228">
        <f>IF(AND(333&gt;=$NR$13,333&lt;=$NS$13),IF($NP$13="Single_Point",IF(333=$NR$13,$NN$13,0),IF($NP$13="Bell_Curve",$NN$13*(333-$NR$13+1)*($NS$13-333+1)/$NU$13,$NN$13/$NT$13)),0)</f>
        <v/>
      </c>
      <c r="LZ13" s="228">
        <f>IF(AND(334&gt;=$NR$13,334&lt;=$NS$13),IF($NP$13="Single_Point",IF(334=$NR$13,$NN$13,0),IF($NP$13="Bell_Curve",$NN$13*(334-$NR$13+1)*($NS$13-334+1)/$NU$13,$NN$13/$NT$13)),0)</f>
        <v/>
      </c>
      <c r="MA13" s="228">
        <f>IF(AND(335&gt;=$NR$13,335&lt;=$NS$13),IF($NP$13="Single_Point",IF(335=$NR$13,$NN$13,0),IF($NP$13="Bell_Curve",$NN$13*(335-$NR$13+1)*($NS$13-335+1)/$NU$13,$NN$13/$NT$13)),0)</f>
        <v/>
      </c>
      <c r="MB13" s="228">
        <f>IF(AND(336&gt;=$NR$13,336&lt;=$NS$13),IF($NP$13="Single_Point",IF(336=$NR$13,$NN$13,0),IF($NP$13="Bell_Curve",$NN$13*(336-$NR$13+1)*($NS$13-336+1)/$NU$13,$NN$13/$NT$13)),0)</f>
        <v/>
      </c>
      <c r="MC13" s="228">
        <f>IF(AND(337&gt;=$NR$13,337&lt;=$NS$13),IF($NP$13="Single_Point",IF(337=$NR$13,$NN$13,0),IF($NP$13="Bell_Curve",$NN$13*(337-$NR$13+1)*($NS$13-337+1)/$NU$13,$NN$13/$NT$13)),0)</f>
        <v/>
      </c>
      <c r="MD13" s="228">
        <f>IF(AND(338&gt;=$NR$13,338&lt;=$NS$13),IF($NP$13="Single_Point",IF(338=$NR$13,$NN$13,0),IF($NP$13="Bell_Curve",$NN$13*(338-$NR$13+1)*($NS$13-338+1)/$NU$13,$NN$13/$NT$13)),0)</f>
        <v/>
      </c>
      <c r="ME13" s="228">
        <f>IF(AND(339&gt;=$NR$13,339&lt;=$NS$13),IF($NP$13="Single_Point",IF(339=$NR$13,$NN$13,0),IF($NP$13="Bell_Curve",$NN$13*(339-$NR$13+1)*($NS$13-339+1)/$NU$13,$NN$13/$NT$13)),0)</f>
        <v/>
      </c>
      <c r="MF13" s="228">
        <f>IF(AND(340&gt;=$NR$13,340&lt;=$NS$13),IF($NP$13="Single_Point",IF(340=$NR$13,$NN$13,0),IF($NP$13="Bell_Curve",$NN$13*(340-$NR$13+1)*($NS$13-340+1)/$NU$13,$NN$13/$NT$13)),0)</f>
        <v/>
      </c>
      <c r="MG13" s="228">
        <f>IF(AND(341&gt;=$NR$13,341&lt;=$NS$13),IF($NP$13="Single_Point",IF(341=$NR$13,$NN$13,0),IF($NP$13="Bell_Curve",$NN$13*(341-$NR$13+1)*($NS$13-341+1)/$NU$13,$NN$13/$NT$13)),0)</f>
        <v/>
      </c>
      <c r="MH13" s="228">
        <f>IF(AND(342&gt;=$NR$13,342&lt;=$NS$13),IF($NP$13="Single_Point",IF(342=$NR$13,$NN$13,0),IF($NP$13="Bell_Curve",$NN$13*(342-$NR$13+1)*($NS$13-342+1)/$NU$13,$NN$13/$NT$13)),0)</f>
        <v/>
      </c>
      <c r="MI13" s="228">
        <f>IF(AND(343&gt;=$NR$13,343&lt;=$NS$13),IF($NP$13="Single_Point",IF(343=$NR$13,$NN$13,0),IF($NP$13="Bell_Curve",$NN$13*(343-$NR$13+1)*($NS$13-343+1)/$NU$13,$NN$13/$NT$13)),0)</f>
        <v/>
      </c>
      <c r="MJ13" s="228">
        <f>IF(AND(344&gt;=$NR$13,344&lt;=$NS$13),IF($NP$13="Single_Point",IF(344=$NR$13,$NN$13,0),IF($NP$13="Bell_Curve",$NN$13*(344-$NR$13+1)*($NS$13-344+1)/$NU$13,$NN$13/$NT$13)),0)</f>
        <v/>
      </c>
      <c r="MK13" s="228">
        <f>IF(AND(345&gt;=$NR$13,345&lt;=$NS$13),IF($NP$13="Single_Point",IF(345=$NR$13,$NN$13,0),IF($NP$13="Bell_Curve",$NN$13*(345-$NR$13+1)*($NS$13-345+1)/$NU$13,$NN$13/$NT$13)),0)</f>
        <v/>
      </c>
      <c r="ML13" s="228">
        <f>IF(AND(346&gt;=$NR$13,346&lt;=$NS$13),IF($NP$13="Single_Point",IF(346=$NR$13,$NN$13,0),IF($NP$13="Bell_Curve",$NN$13*(346-$NR$13+1)*($NS$13-346+1)/$NU$13,$NN$13/$NT$13)),0)</f>
        <v/>
      </c>
      <c r="MM13" s="228">
        <f>IF(AND(347&gt;=$NR$13,347&lt;=$NS$13),IF($NP$13="Single_Point",IF(347=$NR$13,$NN$13,0),IF($NP$13="Bell_Curve",$NN$13*(347-$NR$13+1)*($NS$13-347+1)/$NU$13,$NN$13/$NT$13)),0)</f>
        <v/>
      </c>
      <c r="MN13" s="228">
        <f>IF(AND(348&gt;=$NR$13,348&lt;=$NS$13),IF($NP$13="Single_Point",IF(348=$NR$13,$NN$13,0),IF($NP$13="Bell_Curve",$NN$13*(348-$NR$13+1)*($NS$13-348+1)/$NU$13,$NN$13/$NT$13)),0)</f>
        <v/>
      </c>
      <c r="MO13" s="228">
        <f>IF(AND(349&gt;=$NR$13,349&lt;=$NS$13),IF($NP$13="Single_Point",IF(349=$NR$13,$NN$13,0),IF($NP$13="Bell_Curve",$NN$13*(349-$NR$13+1)*($NS$13-349+1)/$NU$13,$NN$13/$NT$13)),0)</f>
        <v/>
      </c>
      <c r="MP13" s="228">
        <f>IF(AND(350&gt;=$NR$13,350&lt;=$NS$13),IF($NP$13="Single_Point",IF(350=$NR$13,$NN$13,0),IF($NP$13="Bell_Curve",$NN$13*(350-$NR$13+1)*($NS$13-350+1)/$NU$13,$NN$13/$NT$13)),0)</f>
        <v/>
      </c>
      <c r="MQ13" s="228">
        <f>IF(AND(351&gt;=$NR$13,351&lt;=$NS$13),IF($NP$13="Single_Point",IF(351=$NR$13,$NN$13,0),IF($NP$13="Bell_Curve",$NN$13*(351-$NR$13+1)*($NS$13-351+1)/$NU$13,$NN$13/$NT$13)),0)</f>
        <v/>
      </c>
      <c r="MR13" s="228">
        <f>IF(AND(352&gt;=$NR$13,352&lt;=$NS$13),IF($NP$13="Single_Point",IF(352=$NR$13,$NN$13,0),IF($NP$13="Bell_Curve",$NN$13*(352-$NR$13+1)*($NS$13-352+1)/$NU$13,$NN$13/$NT$13)),0)</f>
        <v/>
      </c>
      <c r="MS13" s="228">
        <f>IF(AND(353&gt;=$NR$13,353&lt;=$NS$13),IF($NP$13="Single_Point",IF(353=$NR$13,$NN$13,0),IF($NP$13="Bell_Curve",$NN$13*(353-$NR$13+1)*($NS$13-353+1)/$NU$13,$NN$13/$NT$13)),0)</f>
        <v/>
      </c>
      <c r="MT13" s="228">
        <f>IF(AND(354&gt;=$NR$13,354&lt;=$NS$13),IF($NP$13="Single_Point",IF(354=$NR$13,$NN$13,0),IF($NP$13="Bell_Curve",$NN$13*(354-$NR$13+1)*($NS$13-354+1)/$NU$13,$NN$13/$NT$13)),0)</f>
        <v/>
      </c>
      <c r="MU13" s="228">
        <f>IF(AND(355&gt;=$NR$13,355&lt;=$NS$13),IF($NP$13="Single_Point",IF(355=$NR$13,$NN$13,0),IF($NP$13="Bell_Curve",$NN$13*(355-$NR$13+1)*($NS$13-355+1)/$NU$13,$NN$13/$NT$13)),0)</f>
        <v/>
      </c>
      <c r="MV13" s="228">
        <f>IF(AND(356&gt;=$NR$13,356&lt;=$NS$13),IF($NP$13="Single_Point",IF(356=$NR$13,$NN$13,0),IF($NP$13="Bell_Curve",$NN$13*(356-$NR$13+1)*($NS$13-356+1)/$NU$13,$NN$13/$NT$13)),0)</f>
        <v/>
      </c>
      <c r="MW13" s="228">
        <f>IF(AND(357&gt;=$NR$13,357&lt;=$NS$13),IF($NP$13="Single_Point",IF(357=$NR$13,$NN$13,0),IF($NP$13="Bell_Curve",$NN$13*(357-$NR$13+1)*($NS$13-357+1)/$NU$13,$NN$13/$NT$13)),0)</f>
        <v/>
      </c>
      <c r="MX13" s="228">
        <f>IF(AND(358&gt;=$NR$13,358&lt;=$NS$13),IF($NP$13="Single_Point",IF(358=$NR$13,$NN$13,0),IF($NP$13="Bell_Curve",$NN$13*(358-$NR$13+1)*($NS$13-358+1)/$NU$13,$NN$13/$NT$13)),0)</f>
        <v/>
      </c>
      <c r="MY13" s="228">
        <f>IF(AND(359&gt;=$NR$13,359&lt;=$NS$13),IF($NP$13="Single_Point",IF(359=$NR$13,$NN$13,0),IF($NP$13="Bell_Curve",$NN$13*(359-$NR$13+1)*($NS$13-359+1)/$NU$13,$NN$13/$NT$13)),0)</f>
        <v/>
      </c>
      <c r="MZ13" s="228">
        <f>IF(AND(360&gt;=$NR$13,360&lt;=$NS$13),IF($NP$13="Single_Point",IF(360=$NR$13,$NN$13,0),IF($NP$13="Bell_Curve",$NN$13*(360-$NR$13+1)*($NS$13-360+1)/$NU$13,$NN$13/$NT$13)),0)</f>
        <v/>
      </c>
      <c r="NA13" s="228">
        <f>IF(AND(361&gt;=$NR$13,361&lt;=$NS$13),IF($NP$13="Single_Point",IF(361=$NR$13,$NN$13,0),IF($NP$13="Bell_Curve",$NN$13*(361-$NR$13+1)*($NS$13-361+1)/$NU$13,$NN$13/$NT$13)),0)</f>
        <v/>
      </c>
      <c r="NB13" s="228">
        <f>IF(AND(362&gt;=$NR$13,362&lt;=$NS$13),IF($NP$13="Single_Point",IF(362=$NR$13,$NN$13,0),IF($NP$13="Bell_Curve",$NN$13*(362-$NR$13+1)*($NS$13-362+1)/$NU$13,$NN$13/$NT$13)),0)</f>
        <v/>
      </c>
      <c r="NC13" s="228">
        <f>IF(AND(363&gt;=$NR$13,363&lt;=$NS$13),IF($NP$13="Single_Point",IF(363=$NR$13,$NN$13,0),IF($NP$13="Bell_Curve",$NN$13*(363-$NR$13+1)*($NS$13-363+1)/$NU$13,$NN$13/$NT$13)),0)</f>
        <v/>
      </c>
      <c r="ND13" s="228">
        <f>IF(AND(364&gt;=$NR$13,364&lt;=$NS$13),IF($NP$13="Single_Point",IF(364=$NR$13,$NN$13,0),IF($NP$13="Bell_Curve",$NN$13*(364-$NR$13+1)*($NS$13-364+1)/$NU$13,$NN$13/$NT$13)),0)</f>
        <v/>
      </c>
      <c r="NE13" s="228">
        <f>IF(AND(365&gt;=$NR$13,365&lt;=$NS$13),IF($NP$13="Single_Point",IF(365=$NR$13,$NN$13,0),IF($NP$13="Bell_Curve",$NN$13*(365-$NR$13+1)*($NS$13-365+1)/$NU$13,$NN$13/$NT$13)),0)</f>
        <v/>
      </c>
      <c r="NF13" s="228">
        <f>IF(AND(366&gt;=$NR$13,366&lt;=$NS$13),IF($NP$13="Single_Point",IF(366=$NR$13,$NN$13,0),IF($NP$13="Bell_Curve",$NN$13*(366-$NR$13+1)*($NS$13-366+1)/$NU$13,$NN$13/$NT$13)),0)</f>
        <v/>
      </c>
      <c r="NG13" s="228">
        <f>IF(AND(367&gt;=$NR$13,367&lt;=$NS$13),IF($NP$13="Single_Point",IF(367=$NR$13,$NN$13,0),IF($NP$13="Bell_Curve",$NN$13*(367-$NR$13+1)*($NS$13-367+1)/$NU$13,$NN$13/$NT$13)),0)</f>
        <v/>
      </c>
      <c r="NH13" s="228">
        <f>IF(AND(368&gt;=$NR$13,368&lt;=$NS$13),IF($NP$13="Single_Point",IF(368=$NR$13,$NN$13,0),IF($NP$13="Bell_Curve",$NN$13*(368-$NR$13+1)*($NS$13-368+1)/$NU$13,$NN$13/$NT$13)),0)</f>
        <v/>
      </c>
      <c r="NI13" s="228">
        <f>IF(AND(369&gt;=$NR$13,369&lt;=$NS$13),IF($NP$13="Single_Point",IF(369=$NR$13,$NN$13,0),IF($NP$13="Bell_Curve",$NN$13*(369-$NR$13+1)*($NS$13-369+1)/$NU$13,$NN$13/$NT$13)),0)</f>
        <v/>
      </c>
      <c r="NJ13" s="228">
        <f>IF(AND(370&gt;=$NR$13,370&lt;=$NS$13),IF($NP$13="Single_Point",IF(370=$NR$13,$NN$13,0),IF($NP$13="Bell_Curve",$NN$13*(370-$NR$13+1)*($NS$13-370+1)/$NU$13,$NN$13/$NT$13)),0)</f>
        <v/>
      </c>
      <c r="NK13" s="228">
        <f>IF(AND(371&gt;=$NR$13,371&lt;=$NS$13),IF($NP$13="Single_Point",IF(371=$NR$13,$NN$13,0),IF($NP$13="Bell_Curve",$NN$13*(371-$NR$13+1)*($NS$13-371+1)/$NU$13,$NN$13/$NT$13)),0)</f>
        <v/>
      </c>
      <c r="NL13" s="247">
        <f>IF(AND(372&gt;=$NR$13,372&lt;=$NS$13),IF($NP$13="Single_Point",IF(372=$NR$13,$NN$13,0),IF($NP$13="Bell_Curve",$NN$13*(372-$NR$13+1)*($NS$13-372+1)/$NU$13,$NN$13/$NT$13)),0)</f>
        <v/>
      </c>
      <c r="NN13" s="218">
        <f>Budget!J12</f>
        <v/>
      </c>
      <c r="NO13" s="144">
        <f>Budget!G12</f>
        <v/>
      </c>
      <c r="NP13" s="144">
        <f>Budget!H12</f>
        <v/>
      </c>
      <c r="NQ13" s="85">
        <f>Budget!I12</f>
        <v/>
      </c>
      <c r="NR13" s="248">
        <f>MAX(1,MIN(372,INDEX(MilestoneStart,MATCH(NO13,MilestoneNames,0))+NQ13))</f>
        <v/>
      </c>
      <c r="NS13" s="248">
        <f>MAX(NR13,MIN(372,INDEX(MilestoneEnd,MATCH(NO13,MilestoneNames,0))+NQ13))</f>
        <v/>
      </c>
      <c r="NT13" s="85">
        <f>NS13-NR13+1</f>
        <v/>
      </c>
      <c r="NU13" s="85">
        <f>NT13*(NT13+1)*(NT13+2)/6</f>
        <v/>
      </c>
    </row>
    <row r="14">
      <c r="B14" s="36" t="inlineStr">
        <is>
          <t>Insurance (Dev)</t>
        </is>
      </c>
      <c r="D14" s="246">
        <f>SUM(E14:NL14)</f>
        <v/>
      </c>
      <c r="E14" s="228">
        <f>IF(AND(1&gt;=$NR$14,1&lt;=$NS$14),IF($NP$14="Single_Point",IF(1=$NR$14,$NN$14,0),IF($NP$14="Bell_Curve",$NN$14*(1-$NR$14+1)*($NS$14-1+1)/$NU$14,$NN$14/$NT$14)),0)</f>
        <v/>
      </c>
      <c r="F14" s="228">
        <f>IF(AND(2&gt;=$NR$14,2&lt;=$NS$14),IF($NP$14="Single_Point",IF(2=$NR$14,$NN$14,0),IF($NP$14="Bell_Curve",$NN$14*(2-$NR$14+1)*($NS$14-2+1)/$NU$14,$NN$14/$NT$14)),0)</f>
        <v/>
      </c>
      <c r="G14" s="228">
        <f>IF(AND(3&gt;=$NR$14,3&lt;=$NS$14),IF($NP$14="Single_Point",IF(3=$NR$14,$NN$14,0),IF($NP$14="Bell_Curve",$NN$14*(3-$NR$14+1)*($NS$14-3+1)/$NU$14,$NN$14/$NT$14)),0)</f>
        <v/>
      </c>
      <c r="H14" s="228">
        <f>IF(AND(4&gt;=$NR$14,4&lt;=$NS$14),IF($NP$14="Single_Point",IF(4=$NR$14,$NN$14,0),IF($NP$14="Bell_Curve",$NN$14*(4-$NR$14+1)*($NS$14-4+1)/$NU$14,$NN$14/$NT$14)),0)</f>
        <v/>
      </c>
      <c r="I14" s="228">
        <f>IF(AND(5&gt;=$NR$14,5&lt;=$NS$14),IF($NP$14="Single_Point",IF(5=$NR$14,$NN$14,0),IF($NP$14="Bell_Curve",$NN$14*(5-$NR$14+1)*($NS$14-5+1)/$NU$14,$NN$14/$NT$14)),0)</f>
        <v/>
      </c>
      <c r="J14" s="228">
        <f>IF(AND(6&gt;=$NR$14,6&lt;=$NS$14),IF($NP$14="Single_Point",IF(6=$NR$14,$NN$14,0),IF($NP$14="Bell_Curve",$NN$14*(6-$NR$14+1)*($NS$14-6+1)/$NU$14,$NN$14/$NT$14)),0)</f>
        <v/>
      </c>
      <c r="K14" s="228">
        <f>IF(AND(7&gt;=$NR$14,7&lt;=$NS$14),IF($NP$14="Single_Point",IF(7=$NR$14,$NN$14,0),IF($NP$14="Bell_Curve",$NN$14*(7-$NR$14+1)*($NS$14-7+1)/$NU$14,$NN$14/$NT$14)),0)</f>
        <v/>
      </c>
      <c r="L14" s="228">
        <f>IF(AND(8&gt;=$NR$14,8&lt;=$NS$14),IF($NP$14="Single_Point",IF(8=$NR$14,$NN$14,0),IF($NP$14="Bell_Curve",$NN$14*(8-$NR$14+1)*($NS$14-8+1)/$NU$14,$NN$14/$NT$14)),0)</f>
        <v/>
      </c>
      <c r="M14" s="228">
        <f>IF(AND(9&gt;=$NR$14,9&lt;=$NS$14),IF($NP$14="Single_Point",IF(9=$NR$14,$NN$14,0),IF($NP$14="Bell_Curve",$NN$14*(9-$NR$14+1)*($NS$14-9+1)/$NU$14,$NN$14/$NT$14)),0)</f>
        <v/>
      </c>
      <c r="N14" s="228">
        <f>IF(AND(10&gt;=$NR$14,10&lt;=$NS$14),IF($NP$14="Single_Point",IF(10=$NR$14,$NN$14,0),IF($NP$14="Bell_Curve",$NN$14*(10-$NR$14+1)*($NS$14-10+1)/$NU$14,$NN$14/$NT$14)),0)</f>
        <v/>
      </c>
      <c r="O14" s="228">
        <f>IF(AND(11&gt;=$NR$14,11&lt;=$NS$14),IF($NP$14="Single_Point",IF(11=$NR$14,$NN$14,0),IF($NP$14="Bell_Curve",$NN$14*(11-$NR$14+1)*($NS$14-11+1)/$NU$14,$NN$14/$NT$14)),0)</f>
        <v/>
      </c>
      <c r="P14" s="228">
        <f>IF(AND(12&gt;=$NR$14,12&lt;=$NS$14),IF($NP$14="Single_Point",IF(12=$NR$14,$NN$14,0),IF($NP$14="Bell_Curve",$NN$14*(12-$NR$14+1)*($NS$14-12+1)/$NU$14,$NN$14/$NT$14)),0)</f>
        <v/>
      </c>
      <c r="Q14" s="228">
        <f>IF(AND(13&gt;=$NR$14,13&lt;=$NS$14),IF($NP$14="Single_Point",IF(13=$NR$14,$NN$14,0),IF($NP$14="Bell_Curve",$NN$14*(13-$NR$14+1)*($NS$14-13+1)/$NU$14,$NN$14/$NT$14)),0)</f>
        <v/>
      </c>
      <c r="R14" s="228">
        <f>IF(AND(14&gt;=$NR$14,14&lt;=$NS$14),IF($NP$14="Single_Point",IF(14=$NR$14,$NN$14,0),IF($NP$14="Bell_Curve",$NN$14*(14-$NR$14+1)*($NS$14-14+1)/$NU$14,$NN$14/$NT$14)),0)</f>
        <v/>
      </c>
      <c r="S14" s="228">
        <f>IF(AND(15&gt;=$NR$14,15&lt;=$NS$14),IF($NP$14="Single_Point",IF(15=$NR$14,$NN$14,0),IF($NP$14="Bell_Curve",$NN$14*(15-$NR$14+1)*($NS$14-15+1)/$NU$14,$NN$14/$NT$14)),0)</f>
        <v/>
      </c>
      <c r="T14" s="228">
        <f>IF(AND(16&gt;=$NR$14,16&lt;=$NS$14),IF($NP$14="Single_Point",IF(16=$NR$14,$NN$14,0),IF($NP$14="Bell_Curve",$NN$14*(16-$NR$14+1)*($NS$14-16+1)/$NU$14,$NN$14/$NT$14)),0)</f>
        <v/>
      </c>
      <c r="U14" s="228">
        <f>IF(AND(17&gt;=$NR$14,17&lt;=$NS$14),IF($NP$14="Single_Point",IF(17=$NR$14,$NN$14,0),IF($NP$14="Bell_Curve",$NN$14*(17-$NR$14+1)*($NS$14-17+1)/$NU$14,$NN$14/$NT$14)),0)</f>
        <v/>
      </c>
      <c r="V14" s="228">
        <f>IF(AND(18&gt;=$NR$14,18&lt;=$NS$14),IF($NP$14="Single_Point",IF(18=$NR$14,$NN$14,0),IF($NP$14="Bell_Curve",$NN$14*(18-$NR$14+1)*($NS$14-18+1)/$NU$14,$NN$14/$NT$14)),0)</f>
        <v/>
      </c>
      <c r="W14" s="228">
        <f>IF(AND(19&gt;=$NR$14,19&lt;=$NS$14),IF($NP$14="Single_Point",IF(19=$NR$14,$NN$14,0),IF($NP$14="Bell_Curve",$NN$14*(19-$NR$14+1)*($NS$14-19+1)/$NU$14,$NN$14/$NT$14)),0)</f>
        <v/>
      </c>
      <c r="X14" s="228">
        <f>IF(AND(20&gt;=$NR$14,20&lt;=$NS$14),IF($NP$14="Single_Point",IF(20=$NR$14,$NN$14,0),IF($NP$14="Bell_Curve",$NN$14*(20-$NR$14+1)*($NS$14-20+1)/$NU$14,$NN$14/$NT$14)),0)</f>
        <v/>
      </c>
      <c r="Y14" s="228">
        <f>IF(AND(21&gt;=$NR$14,21&lt;=$NS$14),IF($NP$14="Single_Point",IF(21=$NR$14,$NN$14,0),IF($NP$14="Bell_Curve",$NN$14*(21-$NR$14+1)*($NS$14-21+1)/$NU$14,$NN$14/$NT$14)),0)</f>
        <v/>
      </c>
      <c r="Z14" s="228">
        <f>IF(AND(22&gt;=$NR$14,22&lt;=$NS$14),IF($NP$14="Single_Point",IF(22=$NR$14,$NN$14,0),IF($NP$14="Bell_Curve",$NN$14*(22-$NR$14+1)*($NS$14-22+1)/$NU$14,$NN$14/$NT$14)),0)</f>
        <v/>
      </c>
      <c r="AA14" s="228">
        <f>IF(AND(23&gt;=$NR$14,23&lt;=$NS$14),IF($NP$14="Single_Point",IF(23=$NR$14,$NN$14,0),IF($NP$14="Bell_Curve",$NN$14*(23-$NR$14+1)*($NS$14-23+1)/$NU$14,$NN$14/$NT$14)),0)</f>
        <v/>
      </c>
      <c r="AB14" s="228">
        <f>IF(AND(24&gt;=$NR$14,24&lt;=$NS$14),IF($NP$14="Single_Point",IF(24=$NR$14,$NN$14,0),IF($NP$14="Bell_Curve",$NN$14*(24-$NR$14+1)*($NS$14-24+1)/$NU$14,$NN$14/$NT$14)),0)</f>
        <v/>
      </c>
      <c r="AC14" s="228">
        <f>IF(AND(25&gt;=$NR$14,25&lt;=$NS$14),IF($NP$14="Single_Point",IF(25=$NR$14,$NN$14,0),IF($NP$14="Bell_Curve",$NN$14*(25-$NR$14+1)*($NS$14-25+1)/$NU$14,$NN$14/$NT$14)),0)</f>
        <v/>
      </c>
      <c r="AD14" s="228">
        <f>IF(AND(26&gt;=$NR$14,26&lt;=$NS$14),IF($NP$14="Single_Point",IF(26=$NR$14,$NN$14,0),IF($NP$14="Bell_Curve",$NN$14*(26-$NR$14+1)*($NS$14-26+1)/$NU$14,$NN$14/$NT$14)),0)</f>
        <v/>
      </c>
      <c r="AE14" s="228">
        <f>IF(AND(27&gt;=$NR$14,27&lt;=$NS$14),IF($NP$14="Single_Point",IF(27=$NR$14,$NN$14,0),IF($NP$14="Bell_Curve",$NN$14*(27-$NR$14+1)*($NS$14-27+1)/$NU$14,$NN$14/$NT$14)),0)</f>
        <v/>
      </c>
      <c r="AF14" s="228">
        <f>IF(AND(28&gt;=$NR$14,28&lt;=$NS$14),IF($NP$14="Single_Point",IF(28=$NR$14,$NN$14,0),IF($NP$14="Bell_Curve",$NN$14*(28-$NR$14+1)*($NS$14-28+1)/$NU$14,$NN$14/$NT$14)),0)</f>
        <v/>
      </c>
      <c r="AG14" s="228">
        <f>IF(AND(29&gt;=$NR$14,29&lt;=$NS$14),IF($NP$14="Single_Point",IF(29=$NR$14,$NN$14,0),IF($NP$14="Bell_Curve",$NN$14*(29-$NR$14+1)*($NS$14-29+1)/$NU$14,$NN$14/$NT$14)),0)</f>
        <v/>
      </c>
      <c r="AH14" s="228">
        <f>IF(AND(30&gt;=$NR$14,30&lt;=$NS$14),IF($NP$14="Single_Point",IF(30=$NR$14,$NN$14,0),IF($NP$14="Bell_Curve",$NN$14*(30-$NR$14+1)*($NS$14-30+1)/$NU$14,$NN$14/$NT$14)),0)</f>
        <v/>
      </c>
      <c r="AI14" s="228">
        <f>IF(AND(31&gt;=$NR$14,31&lt;=$NS$14),IF($NP$14="Single_Point",IF(31=$NR$14,$NN$14,0),IF($NP$14="Bell_Curve",$NN$14*(31-$NR$14+1)*($NS$14-31+1)/$NU$14,$NN$14/$NT$14)),0)</f>
        <v/>
      </c>
      <c r="AJ14" s="228">
        <f>IF(AND(32&gt;=$NR$14,32&lt;=$NS$14),IF($NP$14="Single_Point",IF(32=$NR$14,$NN$14,0),IF($NP$14="Bell_Curve",$NN$14*(32-$NR$14+1)*($NS$14-32+1)/$NU$14,$NN$14/$NT$14)),0)</f>
        <v/>
      </c>
      <c r="AK14" s="228">
        <f>IF(AND(33&gt;=$NR$14,33&lt;=$NS$14),IF($NP$14="Single_Point",IF(33=$NR$14,$NN$14,0),IF($NP$14="Bell_Curve",$NN$14*(33-$NR$14+1)*($NS$14-33+1)/$NU$14,$NN$14/$NT$14)),0)</f>
        <v/>
      </c>
      <c r="AL14" s="228">
        <f>IF(AND(34&gt;=$NR$14,34&lt;=$NS$14),IF($NP$14="Single_Point",IF(34=$NR$14,$NN$14,0),IF($NP$14="Bell_Curve",$NN$14*(34-$NR$14+1)*($NS$14-34+1)/$NU$14,$NN$14/$NT$14)),0)</f>
        <v/>
      </c>
      <c r="AM14" s="228">
        <f>IF(AND(35&gt;=$NR$14,35&lt;=$NS$14),IF($NP$14="Single_Point",IF(35=$NR$14,$NN$14,0),IF($NP$14="Bell_Curve",$NN$14*(35-$NR$14+1)*($NS$14-35+1)/$NU$14,$NN$14/$NT$14)),0)</f>
        <v/>
      </c>
      <c r="AN14" s="228">
        <f>IF(AND(36&gt;=$NR$14,36&lt;=$NS$14),IF($NP$14="Single_Point",IF(36=$NR$14,$NN$14,0),IF($NP$14="Bell_Curve",$NN$14*(36-$NR$14+1)*($NS$14-36+1)/$NU$14,$NN$14/$NT$14)),0)</f>
        <v/>
      </c>
      <c r="AO14" s="228">
        <f>IF(AND(37&gt;=$NR$14,37&lt;=$NS$14),IF($NP$14="Single_Point",IF(37=$NR$14,$NN$14,0),IF($NP$14="Bell_Curve",$NN$14*(37-$NR$14+1)*($NS$14-37+1)/$NU$14,$NN$14/$NT$14)),0)</f>
        <v/>
      </c>
      <c r="AP14" s="228">
        <f>IF(AND(38&gt;=$NR$14,38&lt;=$NS$14),IF($NP$14="Single_Point",IF(38=$NR$14,$NN$14,0),IF($NP$14="Bell_Curve",$NN$14*(38-$NR$14+1)*($NS$14-38+1)/$NU$14,$NN$14/$NT$14)),0)</f>
        <v/>
      </c>
      <c r="AQ14" s="228">
        <f>IF(AND(39&gt;=$NR$14,39&lt;=$NS$14),IF($NP$14="Single_Point",IF(39=$NR$14,$NN$14,0),IF($NP$14="Bell_Curve",$NN$14*(39-$NR$14+1)*($NS$14-39+1)/$NU$14,$NN$14/$NT$14)),0)</f>
        <v/>
      </c>
      <c r="AR14" s="228">
        <f>IF(AND(40&gt;=$NR$14,40&lt;=$NS$14),IF($NP$14="Single_Point",IF(40=$NR$14,$NN$14,0),IF($NP$14="Bell_Curve",$NN$14*(40-$NR$14+1)*($NS$14-40+1)/$NU$14,$NN$14/$NT$14)),0)</f>
        <v/>
      </c>
      <c r="AS14" s="228">
        <f>IF(AND(41&gt;=$NR$14,41&lt;=$NS$14),IF($NP$14="Single_Point",IF(41=$NR$14,$NN$14,0),IF($NP$14="Bell_Curve",$NN$14*(41-$NR$14+1)*($NS$14-41+1)/$NU$14,$NN$14/$NT$14)),0)</f>
        <v/>
      </c>
      <c r="AT14" s="228">
        <f>IF(AND(42&gt;=$NR$14,42&lt;=$NS$14),IF($NP$14="Single_Point",IF(42=$NR$14,$NN$14,0),IF($NP$14="Bell_Curve",$NN$14*(42-$NR$14+1)*($NS$14-42+1)/$NU$14,$NN$14/$NT$14)),0)</f>
        <v/>
      </c>
      <c r="AU14" s="228">
        <f>IF(AND(43&gt;=$NR$14,43&lt;=$NS$14),IF($NP$14="Single_Point",IF(43=$NR$14,$NN$14,0),IF($NP$14="Bell_Curve",$NN$14*(43-$NR$14+1)*($NS$14-43+1)/$NU$14,$NN$14/$NT$14)),0)</f>
        <v/>
      </c>
      <c r="AV14" s="228">
        <f>IF(AND(44&gt;=$NR$14,44&lt;=$NS$14),IF($NP$14="Single_Point",IF(44=$NR$14,$NN$14,0),IF($NP$14="Bell_Curve",$NN$14*(44-$NR$14+1)*($NS$14-44+1)/$NU$14,$NN$14/$NT$14)),0)</f>
        <v/>
      </c>
      <c r="AW14" s="228">
        <f>IF(AND(45&gt;=$NR$14,45&lt;=$NS$14),IF($NP$14="Single_Point",IF(45=$NR$14,$NN$14,0),IF($NP$14="Bell_Curve",$NN$14*(45-$NR$14+1)*($NS$14-45+1)/$NU$14,$NN$14/$NT$14)),0)</f>
        <v/>
      </c>
      <c r="AX14" s="228">
        <f>IF(AND(46&gt;=$NR$14,46&lt;=$NS$14),IF($NP$14="Single_Point",IF(46=$NR$14,$NN$14,0),IF($NP$14="Bell_Curve",$NN$14*(46-$NR$14+1)*($NS$14-46+1)/$NU$14,$NN$14/$NT$14)),0)</f>
        <v/>
      </c>
      <c r="AY14" s="228">
        <f>IF(AND(47&gt;=$NR$14,47&lt;=$NS$14),IF($NP$14="Single_Point",IF(47=$NR$14,$NN$14,0),IF($NP$14="Bell_Curve",$NN$14*(47-$NR$14+1)*($NS$14-47+1)/$NU$14,$NN$14/$NT$14)),0)</f>
        <v/>
      </c>
      <c r="AZ14" s="228">
        <f>IF(AND(48&gt;=$NR$14,48&lt;=$NS$14),IF($NP$14="Single_Point",IF(48=$NR$14,$NN$14,0),IF($NP$14="Bell_Curve",$NN$14*(48-$NR$14+1)*($NS$14-48+1)/$NU$14,$NN$14/$NT$14)),0)</f>
        <v/>
      </c>
      <c r="BA14" s="228">
        <f>IF(AND(49&gt;=$NR$14,49&lt;=$NS$14),IF($NP$14="Single_Point",IF(49=$NR$14,$NN$14,0),IF($NP$14="Bell_Curve",$NN$14*(49-$NR$14+1)*($NS$14-49+1)/$NU$14,$NN$14/$NT$14)),0)</f>
        <v/>
      </c>
      <c r="BB14" s="228">
        <f>IF(AND(50&gt;=$NR$14,50&lt;=$NS$14),IF($NP$14="Single_Point",IF(50=$NR$14,$NN$14,0),IF($NP$14="Bell_Curve",$NN$14*(50-$NR$14+1)*($NS$14-50+1)/$NU$14,$NN$14/$NT$14)),0)</f>
        <v/>
      </c>
      <c r="BC14" s="228">
        <f>IF(AND(51&gt;=$NR$14,51&lt;=$NS$14),IF($NP$14="Single_Point",IF(51=$NR$14,$NN$14,0),IF($NP$14="Bell_Curve",$NN$14*(51-$NR$14+1)*($NS$14-51+1)/$NU$14,$NN$14/$NT$14)),0)</f>
        <v/>
      </c>
      <c r="BD14" s="228">
        <f>IF(AND(52&gt;=$NR$14,52&lt;=$NS$14),IF($NP$14="Single_Point",IF(52=$NR$14,$NN$14,0),IF($NP$14="Bell_Curve",$NN$14*(52-$NR$14+1)*($NS$14-52+1)/$NU$14,$NN$14/$NT$14)),0)</f>
        <v/>
      </c>
      <c r="BE14" s="228">
        <f>IF(AND(53&gt;=$NR$14,53&lt;=$NS$14),IF($NP$14="Single_Point",IF(53=$NR$14,$NN$14,0),IF($NP$14="Bell_Curve",$NN$14*(53-$NR$14+1)*($NS$14-53+1)/$NU$14,$NN$14/$NT$14)),0)</f>
        <v/>
      </c>
      <c r="BF14" s="228">
        <f>IF(AND(54&gt;=$NR$14,54&lt;=$NS$14),IF($NP$14="Single_Point",IF(54=$NR$14,$NN$14,0),IF($NP$14="Bell_Curve",$NN$14*(54-$NR$14+1)*($NS$14-54+1)/$NU$14,$NN$14/$NT$14)),0)</f>
        <v/>
      </c>
      <c r="BG14" s="228">
        <f>IF(AND(55&gt;=$NR$14,55&lt;=$NS$14),IF($NP$14="Single_Point",IF(55=$NR$14,$NN$14,0),IF($NP$14="Bell_Curve",$NN$14*(55-$NR$14+1)*($NS$14-55+1)/$NU$14,$NN$14/$NT$14)),0)</f>
        <v/>
      </c>
      <c r="BH14" s="228">
        <f>IF(AND(56&gt;=$NR$14,56&lt;=$NS$14),IF($NP$14="Single_Point",IF(56=$NR$14,$NN$14,0),IF($NP$14="Bell_Curve",$NN$14*(56-$NR$14+1)*($NS$14-56+1)/$NU$14,$NN$14/$NT$14)),0)</f>
        <v/>
      </c>
      <c r="BI14" s="228">
        <f>IF(AND(57&gt;=$NR$14,57&lt;=$NS$14),IF($NP$14="Single_Point",IF(57=$NR$14,$NN$14,0),IF($NP$14="Bell_Curve",$NN$14*(57-$NR$14+1)*($NS$14-57+1)/$NU$14,$NN$14/$NT$14)),0)</f>
        <v/>
      </c>
      <c r="BJ14" s="228">
        <f>IF(AND(58&gt;=$NR$14,58&lt;=$NS$14),IF($NP$14="Single_Point",IF(58=$NR$14,$NN$14,0),IF($NP$14="Bell_Curve",$NN$14*(58-$NR$14+1)*($NS$14-58+1)/$NU$14,$NN$14/$NT$14)),0)</f>
        <v/>
      </c>
      <c r="BK14" s="228">
        <f>IF(AND(59&gt;=$NR$14,59&lt;=$NS$14),IF($NP$14="Single_Point",IF(59=$NR$14,$NN$14,0),IF($NP$14="Bell_Curve",$NN$14*(59-$NR$14+1)*($NS$14-59+1)/$NU$14,$NN$14/$NT$14)),0)</f>
        <v/>
      </c>
      <c r="BL14" s="228">
        <f>IF(AND(60&gt;=$NR$14,60&lt;=$NS$14),IF($NP$14="Single_Point",IF(60=$NR$14,$NN$14,0),IF($NP$14="Bell_Curve",$NN$14*(60-$NR$14+1)*($NS$14-60+1)/$NU$14,$NN$14/$NT$14)),0)</f>
        <v/>
      </c>
      <c r="BM14" s="228">
        <f>IF(AND(61&gt;=$NR$14,61&lt;=$NS$14),IF($NP$14="Single_Point",IF(61=$NR$14,$NN$14,0),IF($NP$14="Bell_Curve",$NN$14*(61-$NR$14+1)*($NS$14-61+1)/$NU$14,$NN$14/$NT$14)),0)</f>
        <v/>
      </c>
      <c r="BN14" s="228">
        <f>IF(AND(62&gt;=$NR$14,62&lt;=$NS$14),IF($NP$14="Single_Point",IF(62=$NR$14,$NN$14,0),IF($NP$14="Bell_Curve",$NN$14*(62-$NR$14+1)*($NS$14-62+1)/$NU$14,$NN$14/$NT$14)),0)</f>
        <v/>
      </c>
      <c r="BO14" s="228">
        <f>IF(AND(63&gt;=$NR$14,63&lt;=$NS$14),IF($NP$14="Single_Point",IF(63=$NR$14,$NN$14,0),IF($NP$14="Bell_Curve",$NN$14*(63-$NR$14+1)*($NS$14-63+1)/$NU$14,$NN$14/$NT$14)),0)</f>
        <v/>
      </c>
      <c r="BP14" s="228">
        <f>IF(AND(64&gt;=$NR$14,64&lt;=$NS$14),IF($NP$14="Single_Point",IF(64=$NR$14,$NN$14,0),IF($NP$14="Bell_Curve",$NN$14*(64-$NR$14+1)*($NS$14-64+1)/$NU$14,$NN$14/$NT$14)),0)</f>
        <v/>
      </c>
      <c r="BQ14" s="228">
        <f>IF(AND(65&gt;=$NR$14,65&lt;=$NS$14),IF($NP$14="Single_Point",IF(65=$NR$14,$NN$14,0),IF($NP$14="Bell_Curve",$NN$14*(65-$NR$14+1)*($NS$14-65+1)/$NU$14,$NN$14/$NT$14)),0)</f>
        <v/>
      </c>
      <c r="BR14" s="228">
        <f>IF(AND(66&gt;=$NR$14,66&lt;=$NS$14),IF($NP$14="Single_Point",IF(66=$NR$14,$NN$14,0),IF($NP$14="Bell_Curve",$NN$14*(66-$NR$14+1)*($NS$14-66+1)/$NU$14,$NN$14/$NT$14)),0)</f>
        <v/>
      </c>
      <c r="BS14" s="228">
        <f>IF(AND(67&gt;=$NR$14,67&lt;=$NS$14),IF($NP$14="Single_Point",IF(67=$NR$14,$NN$14,0),IF($NP$14="Bell_Curve",$NN$14*(67-$NR$14+1)*($NS$14-67+1)/$NU$14,$NN$14/$NT$14)),0)</f>
        <v/>
      </c>
      <c r="BT14" s="228">
        <f>IF(AND(68&gt;=$NR$14,68&lt;=$NS$14),IF($NP$14="Single_Point",IF(68=$NR$14,$NN$14,0),IF($NP$14="Bell_Curve",$NN$14*(68-$NR$14+1)*($NS$14-68+1)/$NU$14,$NN$14/$NT$14)),0)</f>
        <v/>
      </c>
      <c r="BU14" s="228">
        <f>IF(AND(69&gt;=$NR$14,69&lt;=$NS$14),IF($NP$14="Single_Point",IF(69=$NR$14,$NN$14,0),IF($NP$14="Bell_Curve",$NN$14*(69-$NR$14+1)*($NS$14-69+1)/$NU$14,$NN$14/$NT$14)),0)</f>
        <v/>
      </c>
      <c r="BV14" s="228">
        <f>IF(AND(70&gt;=$NR$14,70&lt;=$NS$14),IF($NP$14="Single_Point",IF(70=$NR$14,$NN$14,0),IF($NP$14="Bell_Curve",$NN$14*(70-$NR$14+1)*($NS$14-70+1)/$NU$14,$NN$14/$NT$14)),0)</f>
        <v/>
      </c>
      <c r="BW14" s="228">
        <f>IF(AND(71&gt;=$NR$14,71&lt;=$NS$14),IF($NP$14="Single_Point",IF(71=$NR$14,$NN$14,0),IF($NP$14="Bell_Curve",$NN$14*(71-$NR$14+1)*($NS$14-71+1)/$NU$14,$NN$14/$NT$14)),0)</f>
        <v/>
      </c>
      <c r="BX14" s="228">
        <f>IF(AND(72&gt;=$NR$14,72&lt;=$NS$14),IF($NP$14="Single_Point",IF(72=$NR$14,$NN$14,0),IF($NP$14="Bell_Curve",$NN$14*(72-$NR$14+1)*($NS$14-72+1)/$NU$14,$NN$14/$NT$14)),0)</f>
        <v/>
      </c>
      <c r="BY14" s="228">
        <f>IF(AND(73&gt;=$NR$14,73&lt;=$NS$14),IF($NP$14="Single_Point",IF(73=$NR$14,$NN$14,0),IF($NP$14="Bell_Curve",$NN$14*(73-$NR$14+1)*($NS$14-73+1)/$NU$14,$NN$14/$NT$14)),0)</f>
        <v/>
      </c>
      <c r="BZ14" s="228">
        <f>IF(AND(74&gt;=$NR$14,74&lt;=$NS$14),IF($NP$14="Single_Point",IF(74=$NR$14,$NN$14,0),IF($NP$14="Bell_Curve",$NN$14*(74-$NR$14+1)*($NS$14-74+1)/$NU$14,$NN$14/$NT$14)),0)</f>
        <v/>
      </c>
      <c r="CA14" s="228">
        <f>IF(AND(75&gt;=$NR$14,75&lt;=$NS$14),IF($NP$14="Single_Point",IF(75=$NR$14,$NN$14,0),IF($NP$14="Bell_Curve",$NN$14*(75-$NR$14+1)*($NS$14-75+1)/$NU$14,$NN$14/$NT$14)),0)</f>
        <v/>
      </c>
      <c r="CB14" s="228">
        <f>IF(AND(76&gt;=$NR$14,76&lt;=$NS$14),IF($NP$14="Single_Point",IF(76=$NR$14,$NN$14,0),IF($NP$14="Bell_Curve",$NN$14*(76-$NR$14+1)*($NS$14-76+1)/$NU$14,$NN$14/$NT$14)),0)</f>
        <v/>
      </c>
      <c r="CC14" s="228">
        <f>IF(AND(77&gt;=$NR$14,77&lt;=$NS$14),IF($NP$14="Single_Point",IF(77=$NR$14,$NN$14,0),IF($NP$14="Bell_Curve",$NN$14*(77-$NR$14+1)*($NS$14-77+1)/$NU$14,$NN$14/$NT$14)),0)</f>
        <v/>
      </c>
      <c r="CD14" s="228">
        <f>IF(AND(78&gt;=$NR$14,78&lt;=$NS$14),IF($NP$14="Single_Point",IF(78=$NR$14,$NN$14,0),IF($NP$14="Bell_Curve",$NN$14*(78-$NR$14+1)*($NS$14-78+1)/$NU$14,$NN$14/$NT$14)),0)</f>
        <v/>
      </c>
      <c r="CE14" s="228">
        <f>IF(AND(79&gt;=$NR$14,79&lt;=$NS$14),IF($NP$14="Single_Point",IF(79=$NR$14,$NN$14,0),IF($NP$14="Bell_Curve",$NN$14*(79-$NR$14+1)*($NS$14-79+1)/$NU$14,$NN$14/$NT$14)),0)</f>
        <v/>
      </c>
      <c r="CF14" s="228">
        <f>IF(AND(80&gt;=$NR$14,80&lt;=$NS$14),IF($NP$14="Single_Point",IF(80=$NR$14,$NN$14,0),IF($NP$14="Bell_Curve",$NN$14*(80-$NR$14+1)*($NS$14-80+1)/$NU$14,$NN$14/$NT$14)),0)</f>
        <v/>
      </c>
      <c r="CG14" s="228">
        <f>IF(AND(81&gt;=$NR$14,81&lt;=$NS$14),IF($NP$14="Single_Point",IF(81=$NR$14,$NN$14,0),IF($NP$14="Bell_Curve",$NN$14*(81-$NR$14+1)*($NS$14-81+1)/$NU$14,$NN$14/$NT$14)),0)</f>
        <v/>
      </c>
      <c r="CH14" s="228">
        <f>IF(AND(82&gt;=$NR$14,82&lt;=$NS$14),IF($NP$14="Single_Point",IF(82=$NR$14,$NN$14,0),IF($NP$14="Bell_Curve",$NN$14*(82-$NR$14+1)*($NS$14-82+1)/$NU$14,$NN$14/$NT$14)),0)</f>
        <v/>
      </c>
      <c r="CI14" s="228">
        <f>IF(AND(83&gt;=$NR$14,83&lt;=$NS$14),IF($NP$14="Single_Point",IF(83=$NR$14,$NN$14,0),IF($NP$14="Bell_Curve",$NN$14*(83-$NR$14+1)*($NS$14-83+1)/$NU$14,$NN$14/$NT$14)),0)</f>
        <v/>
      </c>
      <c r="CJ14" s="228">
        <f>IF(AND(84&gt;=$NR$14,84&lt;=$NS$14),IF($NP$14="Single_Point",IF(84=$NR$14,$NN$14,0),IF($NP$14="Bell_Curve",$NN$14*(84-$NR$14+1)*($NS$14-84+1)/$NU$14,$NN$14/$NT$14)),0)</f>
        <v/>
      </c>
      <c r="CK14" s="228">
        <f>IF(AND(85&gt;=$NR$14,85&lt;=$NS$14),IF($NP$14="Single_Point",IF(85=$NR$14,$NN$14,0),IF($NP$14="Bell_Curve",$NN$14*(85-$NR$14+1)*($NS$14-85+1)/$NU$14,$NN$14/$NT$14)),0)</f>
        <v/>
      </c>
      <c r="CL14" s="228">
        <f>IF(AND(86&gt;=$NR$14,86&lt;=$NS$14),IF($NP$14="Single_Point",IF(86=$NR$14,$NN$14,0),IF($NP$14="Bell_Curve",$NN$14*(86-$NR$14+1)*($NS$14-86+1)/$NU$14,$NN$14/$NT$14)),0)</f>
        <v/>
      </c>
      <c r="CM14" s="228">
        <f>IF(AND(87&gt;=$NR$14,87&lt;=$NS$14),IF($NP$14="Single_Point",IF(87=$NR$14,$NN$14,0),IF($NP$14="Bell_Curve",$NN$14*(87-$NR$14+1)*($NS$14-87+1)/$NU$14,$NN$14/$NT$14)),0)</f>
        <v/>
      </c>
      <c r="CN14" s="228">
        <f>IF(AND(88&gt;=$NR$14,88&lt;=$NS$14),IF($NP$14="Single_Point",IF(88=$NR$14,$NN$14,0),IF($NP$14="Bell_Curve",$NN$14*(88-$NR$14+1)*($NS$14-88+1)/$NU$14,$NN$14/$NT$14)),0)</f>
        <v/>
      </c>
      <c r="CO14" s="228">
        <f>IF(AND(89&gt;=$NR$14,89&lt;=$NS$14),IF($NP$14="Single_Point",IF(89=$NR$14,$NN$14,0),IF($NP$14="Bell_Curve",$NN$14*(89-$NR$14+1)*($NS$14-89+1)/$NU$14,$NN$14/$NT$14)),0)</f>
        <v/>
      </c>
      <c r="CP14" s="228">
        <f>IF(AND(90&gt;=$NR$14,90&lt;=$NS$14),IF($NP$14="Single_Point",IF(90=$NR$14,$NN$14,0),IF($NP$14="Bell_Curve",$NN$14*(90-$NR$14+1)*($NS$14-90+1)/$NU$14,$NN$14/$NT$14)),0)</f>
        <v/>
      </c>
      <c r="CQ14" s="228">
        <f>IF(AND(91&gt;=$NR$14,91&lt;=$NS$14),IF($NP$14="Single_Point",IF(91=$NR$14,$NN$14,0),IF($NP$14="Bell_Curve",$NN$14*(91-$NR$14+1)*($NS$14-91+1)/$NU$14,$NN$14/$NT$14)),0)</f>
        <v/>
      </c>
      <c r="CR14" s="228">
        <f>IF(AND(92&gt;=$NR$14,92&lt;=$NS$14),IF($NP$14="Single_Point",IF(92=$NR$14,$NN$14,0),IF($NP$14="Bell_Curve",$NN$14*(92-$NR$14+1)*($NS$14-92+1)/$NU$14,$NN$14/$NT$14)),0)</f>
        <v/>
      </c>
      <c r="CS14" s="228">
        <f>IF(AND(93&gt;=$NR$14,93&lt;=$NS$14),IF($NP$14="Single_Point",IF(93=$NR$14,$NN$14,0),IF($NP$14="Bell_Curve",$NN$14*(93-$NR$14+1)*($NS$14-93+1)/$NU$14,$NN$14/$NT$14)),0)</f>
        <v/>
      </c>
      <c r="CT14" s="228">
        <f>IF(AND(94&gt;=$NR$14,94&lt;=$NS$14),IF($NP$14="Single_Point",IF(94=$NR$14,$NN$14,0),IF($NP$14="Bell_Curve",$NN$14*(94-$NR$14+1)*($NS$14-94+1)/$NU$14,$NN$14/$NT$14)),0)</f>
        <v/>
      </c>
      <c r="CU14" s="228">
        <f>IF(AND(95&gt;=$NR$14,95&lt;=$NS$14),IF($NP$14="Single_Point",IF(95=$NR$14,$NN$14,0),IF($NP$14="Bell_Curve",$NN$14*(95-$NR$14+1)*($NS$14-95+1)/$NU$14,$NN$14/$NT$14)),0)</f>
        <v/>
      </c>
      <c r="CV14" s="228">
        <f>IF(AND(96&gt;=$NR$14,96&lt;=$NS$14),IF($NP$14="Single_Point",IF(96=$NR$14,$NN$14,0),IF($NP$14="Bell_Curve",$NN$14*(96-$NR$14+1)*($NS$14-96+1)/$NU$14,$NN$14/$NT$14)),0)</f>
        <v/>
      </c>
      <c r="CW14" s="228">
        <f>IF(AND(97&gt;=$NR$14,97&lt;=$NS$14),IF($NP$14="Single_Point",IF(97=$NR$14,$NN$14,0),IF($NP$14="Bell_Curve",$NN$14*(97-$NR$14+1)*($NS$14-97+1)/$NU$14,$NN$14/$NT$14)),0)</f>
        <v/>
      </c>
      <c r="CX14" s="228">
        <f>IF(AND(98&gt;=$NR$14,98&lt;=$NS$14),IF($NP$14="Single_Point",IF(98=$NR$14,$NN$14,0),IF($NP$14="Bell_Curve",$NN$14*(98-$NR$14+1)*($NS$14-98+1)/$NU$14,$NN$14/$NT$14)),0)</f>
        <v/>
      </c>
      <c r="CY14" s="228">
        <f>IF(AND(99&gt;=$NR$14,99&lt;=$NS$14),IF($NP$14="Single_Point",IF(99=$NR$14,$NN$14,0),IF($NP$14="Bell_Curve",$NN$14*(99-$NR$14+1)*($NS$14-99+1)/$NU$14,$NN$14/$NT$14)),0)</f>
        <v/>
      </c>
      <c r="CZ14" s="228">
        <f>IF(AND(100&gt;=$NR$14,100&lt;=$NS$14),IF($NP$14="Single_Point",IF(100=$NR$14,$NN$14,0),IF($NP$14="Bell_Curve",$NN$14*(100-$NR$14+1)*($NS$14-100+1)/$NU$14,$NN$14/$NT$14)),0)</f>
        <v/>
      </c>
      <c r="DA14" s="228">
        <f>IF(AND(101&gt;=$NR$14,101&lt;=$NS$14),IF($NP$14="Single_Point",IF(101=$NR$14,$NN$14,0),IF($NP$14="Bell_Curve",$NN$14*(101-$NR$14+1)*($NS$14-101+1)/$NU$14,$NN$14/$NT$14)),0)</f>
        <v/>
      </c>
      <c r="DB14" s="228">
        <f>IF(AND(102&gt;=$NR$14,102&lt;=$NS$14),IF($NP$14="Single_Point",IF(102=$NR$14,$NN$14,0),IF($NP$14="Bell_Curve",$NN$14*(102-$NR$14+1)*($NS$14-102+1)/$NU$14,$NN$14/$NT$14)),0)</f>
        <v/>
      </c>
      <c r="DC14" s="228">
        <f>IF(AND(103&gt;=$NR$14,103&lt;=$NS$14),IF($NP$14="Single_Point",IF(103=$NR$14,$NN$14,0),IF($NP$14="Bell_Curve",$NN$14*(103-$NR$14+1)*($NS$14-103+1)/$NU$14,$NN$14/$NT$14)),0)</f>
        <v/>
      </c>
      <c r="DD14" s="228">
        <f>IF(AND(104&gt;=$NR$14,104&lt;=$NS$14),IF($NP$14="Single_Point",IF(104=$NR$14,$NN$14,0),IF($NP$14="Bell_Curve",$NN$14*(104-$NR$14+1)*($NS$14-104+1)/$NU$14,$NN$14/$NT$14)),0)</f>
        <v/>
      </c>
      <c r="DE14" s="228">
        <f>IF(AND(105&gt;=$NR$14,105&lt;=$NS$14),IF($NP$14="Single_Point",IF(105=$NR$14,$NN$14,0),IF($NP$14="Bell_Curve",$NN$14*(105-$NR$14+1)*($NS$14-105+1)/$NU$14,$NN$14/$NT$14)),0)</f>
        <v/>
      </c>
      <c r="DF14" s="228">
        <f>IF(AND(106&gt;=$NR$14,106&lt;=$NS$14),IF($NP$14="Single_Point",IF(106=$NR$14,$NN$14,0),IF($NP$14="Bell_Curve",$NN$14*(106-$NR$14+1)*($NS$14-106+1)/$NU$14,$NN$14/$NT$14)),0)</f>
        <v/>
      </c>
      <c r="DG14" s="228">
        <f>IF(AND(107&gt;=$NR$14,107&lt;=$NS$14),IF($NP$14="Single_Point",IF(107=$NR$14,$NN$14,0),IF($NP$14="Bell_Curve",$NN$14*(107-$NR$14+1)*($NS$14-107+1)/$NU$14,$NN$14/$NT$14)),0)</f>
        <v/>
      </c>
      <c r="DH14" s="228">
        <f>IF(AND(108&gt;=$NR$14,108&lt;=$NS$14),IF($NP$14="Single_Point",IF(108=$NR$14,$NN$14,0),IF($NP$14="Bell_Curve",$NN$14*(108-$NR$14+1)*($NS$14-108+1)/$NU$14,$NN$14/$NT$14)),0)</f>
        <v/>
      </c>
      <c r="DI14" s="228">
        <f>IF(AND(109&gt;=$NR$14,109&lt;=$NS$14),IF($NP$14="Single_Point",IF(109=$NR$14,$NN$14,0),IF($NP$14="Bell_Curve",$NN$14*(109-$NR$14+1)*($NS$14-109+1)/$NU$14,$NN$14/$NT$14)),0)</f>
        <v/>
      </c>
      <c r="DJ14" s="228">
        <f>IF(AND(110&gt;=$NR$14,110&lt;=$NS$14),IF($NP$14="Single_Point",IF(110=$NR$14,$NN$14,0),IF($NP$14="Bell_Curve",$NN$14*(110-$NR$14+1)*($NS$14-110+1)/$NU$14,$NN$14/$NT$14)),0)</f>
        <v/>
      </c>
      <c r="DK14" s="228">
        <f>IF(AND(111&gt;=$NR$14,111&lt;=$NS$14),IF($NP$14="Single_Point",IF(111=$NR$14,$NN$14,0),IF($NP$14="Bell_Curve",$NN$14*(111-$NR$14+1)*($NS$14-111+1)/$NU$14,$NN$14/$NT$14)),0)</f>
        <v/>
      </c>
      <c r="DL14" s="228">
        <f>IF(AND(112&gt;=$NR$14,112&lt;=$NS$14),IF($NP$14="Single_Point",IF(112=$NR$14,$NN$14,0),IF($NP$14="Bell_Curve",$NN$14*(112-$NR$14+1)*($NS$14-112+1)/$NU$14,$NN$14/$NT$14)),0)</f>
        <v/>
      </c>
      <c r="DM14" s="228">
        <f>IF(AND(113&gt;=$NR$14,113&lt;=$NS$14),IF($NP$14="Single_Point",IF(113=$NR$14,$NN$14,0),IF($NP$14="Bell_Curve",$NN$14*(113-$NR$14+1)*($NS$14-113+1)/$NU$14,$NN$14/$NT$14)),0)</f>
        <v/>
      </c>
      <c r="DN14" s="228">
        <f>IF(AND(114&gt;=$NR$14,114&lt;=$NS$14),IF($NP$14="Single_Point",IF(114=$NR$14,$NN$14,0),IF($NP$14="Bell_Curve",$NN$14*(114-$NR$14+1)*($NS$14-114+1)/$NU$14,$NN$14/$NT$14)),0)</f>
        <v/>
      </c>
      <c r="DO14" s="228">
        <f>IF(AND(115&gt;=$NR$14,115&lt;=$NS$14),IF($NP$14="Single_Point",IF(115=$NR$14,$NN$14,0),IF($NP$14="Bell_Curve",$NN$14*(115-$NR$14+1)*($NS$14-115+1)/$NU$14,$NN$14/$NT$14)),0)</f>
        <v/>
      </c>
      <c r="DP14" s="228">
        <f>IF(AND(116&gt;=$NR$14,116&lt;=$NS$14),IF($NP$14="Single_Point",IF(116=$NR$14,$NN$14,0),IF($NP$14="Bell_Curve",$NN$14*(116-$NR$14+1)*($NS$14-116+1)/$NU$14,$NN$14/$NT$14)),0)</f>
        <v/>
      </c>
      <c r="DQ14" s="228">
        <f>IF(AND(117&gt;=$NR$14,117&lt;=$NS$14),IF($NP$14="Single_Point",IF(117=$NR$14,$NN$14,0),IF($NP$14="Bell_Curve",$NN$14*(117-$NR$14+1)*($NS$14-117+1)/$NU$14,$NN$14/$NT$14)),0)</f>
        <v/>
      </c>
      <c r="DR14" s="228">
        <f>IF(AND(118&gt;=$NR$14,118&lt;=$NS$14),IF($NP$14="Single_Point",IF(118=$NR$14,$NN$14,0),IF($NP$14="Bell_Curve",$NN$14*(118-$NR$14+1)*($NS$14-118+1)/$NU$14,$NN$14/$NT$14)),0)</f>
        <v/>
      </c>
      <c r="DS14" s="228">
        <f>IF(AND(119&gt;=$NR$14,119&lt;=$NS$14),IF($NP$14="Single_Point",IF(119=$NR$14,$NN$14,0),IF($NP$14="Bell_Curve",$NN$14*(119-$NR$14+1)*($NS$14-119+1)/$NU$14,$NN$14/$NT$14)),0)</f>
        <v/>
      </c>
      <c r="DT14" s="228">
        <f>IF(AND(120&gt;=$NR$14,120&lt;=$NS$14),IF($NP$14="Single_Point",IF(120=$NR$14,$NN$14,0),IF($NP$14="Bell_Curve",$NN$14*(120-$NR$14+1)*($NS$14-120+1)/$NU$14,$NN$14/$NT$14)),0)</f>
        <v/>
      </c>
      <c r="DU14" s="228">
        <f>IF(AND(121&gt;=$NR$14,121&lt;=$NS$14),IF($NP$14="Single_Point",IF(121=$NR$14,$NN$14,0),IF($NP$14="Bell_Curve",$NN$14*(121-$NR$14+1)*($NS$14-121+1)/$NU$14,$NN$14/$NT$14)),0)</f>
        <v/>
      </c>
      <c r="DV14" s="228">
        <f>IF(AND(122&gt;=$NR$14,122&lt;=$NS$14),IF($NP$14="Single_Point",IF(122=$NR$14,$NN$14,0),IF($NP$14="Bell_Curve",$NN$14*(122-$NR$14+1)*($NS$14-122+1)/$NU$14,$NN$14/$NT$14)),0)</f>
        <v/>
      </c>
      <c r="DW14" s="228">
        <f>IF(AND(123&gt;=$NR$14,123&lt;=$NS$14),IF($NP$14="Single_Point",IF(123=$NR$14,$NN$14,0),IF($NP$14="Bell_Curve",$NN$14*(123-$NR$14+1)*($NS$14-123+1)/$NU$14,$NN$14/$NT$14)),0)</f>
        <v/>
      </c>
      <c r="DX14" s="228">
        <f>IF(AND(124&gt;=$NR$14,124&lt;=$NS$14),IF($NP$14="Single_Point",IF(124=$NR$14,$NN$14,0),IF($NP$14="Bell_Curve",$NN$14*(124-$NR$14+1)*($NS$14-124+1)/$NU$14,$NN$14/$NT$14)),0)</f>
        <v/>
      </c>
      <c r="DY14" s="228">
        <f>IF(AND(125&gt;=$NR$14,125&lt;=$NS$14),IF($NP$14="Single_Point",IF(125=$NR$14,$NN$14,0),IF($NP$14="Bell_Curve",$NN$14*(125-$NR$14+1)*($NS$14-125+1)/$NU$14,$NN$14/$NT$14)),0)</f>
        <v/>
      </c>
      <c r="DZ14" s="228">
        <f>IF(AND(126&gt;=$NR$14,126&lt;=$NS$14),IF($NP$14="Single_Point",IF(126=$NR$14,$NN$14,0),IF($NP$14="Bell_Curve",$NN$14*(126-$NR$14+1)*($NS$14-126+1)/$NU$14,$NN$14/$NT$14)),0)</f>
        <v/>
      </c>
      <c r="EA14" s="228">
        <f>IF(AND(127&gt;=$NR$14,127&lt;=$NS$14),IF($NP$14="Single_Point",IF(127=$NR$14,$NN$14,0),IF($NP$14="Bell_Curve",$NN$14*(127-$NR$14+1)*($NS$14-127+1)/$NU$14,$NN$14/$NT$14)),0)</f>
        <v/>
      </c>
      <c r="EB14" s="228">
        <f>IF(AND(128&gt;=$NR$14,128&lt;=$NS$14),IF($NP$14="Single_Point",IF(128=$NR$14,$NN$14,0),IF($NP$14="Bell_Curve",$NN$14*(128-$NR$14+1)*($NS$14-128+1)/$NU$14,$NN$14/$NT$14)),0)</f>
        <v/>
      </c>
      <c r="EC14" s="228">
        <f>IF(AND(129&gt;=$NR$14,129&lt;=$NS$14),IF($NP$14="Single_Point",IF(129=$NR$14,$NN$14,0),IF($NP$14="Bell_Curve",$NN$14*(129-$NR$14+1)*($NS$14-129+1)/$NU$14,$NN$14/$NT$14)),0)</f>
        <v/>
      </c>
      <c r="ED14" s="228">
        <f>IF(AND(130&gt;=$NR$14,130&lt;=$NS$14),IF($NP$14="Single_Point",IF(130=$NR$14,$NN$14,0),IF($NP$14="Bell_Curve",$NN$14*(130-$NR$14+1)*($NS$14-130+1)/$NU$14,$NN$14/$NT$14)),0)</f>
        <v/>
      </c>
      <c r="EE14" s="228">
        <f>IF(AND(131&gt;=$NR$14,131&lt;=$NS$14),IF($NP$14="Single_Point",IF(131=$NR$14,$NN$14,0),IF($NP$14="Bell_Curve",$NN$14*(131-$NR$14+1)*($NS$14-131+1)/$NU$14,$NN$14/$NT$14)),0)</f>
        <v/>
      </c>
      <c r="EF14" s="228">
        <f>IF(AND(132&gt;=$NR$14,132&lt;=$NS$14),IF($NP$14="Single_Point",IF(132=$NR$14,$NN$14,0),IF($NP$14="Bell_Curve",$NN$14*(132-$NR$14+1)*($NS$14-132+1)/$NU$14,$NN$14/$NT$14)),0)</f>
        <v/>
      </c>
      <c r="EG14" s="228">
        <f>IF(AND(133&gt;=$NR$14,133&lt;=$NS$14),IF($NP$14="Single_Point",IF(133=$NR$14,$NN$14,0),IF($NP$14="Bell_Curve",$NN$14*(133-$NR$14+1)*($NS$14-133+1)/$NU$14,$NN$14/$NT$14)),0)</f>
        <v/>
      </c>
      <c r="EH14" s="228">
        <f>IF(AND(134&gt;=$NR$14,134&lt;=$NS$14),IF($NP$14="Single_Point",IF(134=$NR$14,$NN$14,0),IF($NP$14="Bell_Curve",$NN$14*(134-$NR$14+1)*($NS$14-134+1)/$NU$14,$NN$14/$NT$14)),0)</f>
        <v/>
      </c>
      <c r="EI14" s="228">
        <f>IF(AND(135&gt;=$NR$14,135&lt;=$NS$14),IF($NP$14="Single_Point",IF(135=$NR$14,$NN$14,0),IF($NP$14="Bell_Curve",$NN$14*(135-$NR$14+1)*($NS$14-135+1)/$NU$14,$NN$14/$NT$14)),0)</f>
        <v/>
      </c>
      <c r="EJ14" s="228">
        <f>IF(AND(136&gt;=$NR$14,136&lt;=$NS$14),IF($NP$14="Single_Point",IF(136=$NR$14,$NN$14,0),IF($NP$14="Bell_Curve",$NN$14*(136-$NR$14+1)*($NS$14-136+1)/$NU$14,$NN$14/$NT$14)),0)</f>
        <v/>
      </c>
      <c r="EK14" s="228">
        <f>IF(AND(137&gt;=$NR$14,137&lt;=$NS$14),IF($NP$14="Single_Point",IF(137=$NR$14,$NN$14,0),IF($NP$14="Bell_Curve",$NN$14*(137-$NR$14+1)*($NS$14-137+1)/$NU$14,$NN$14/$NT$14)),0)</f>
        <v/>
      </c>
      <c r="EL14" s="228">
        <f>IF(AND(138&gt;=$NR$14,138&lt;=$NS$14),IF($NP$14="Single_Point",IF(138=$NR$14,$NN$14,0),IF($NP$14="Bell_Curve",$NN$14*(138-$NR$14+1)*($NS$14-138+1)/$NU$14,$NN$14/$NT$14)),0)</f>
        <v/>
      </c>
      <c r="EM14" s="228">
        <f>IF(AND(139&gt;=$NR$14,139&lt;=$NS$14),IF($NP$14="Single_Point",IF(139=$NR$14,$NN$14,0),IF($NP$14="Bell_Curve",$NN$14*(139-$NR$14+1)*($NS$14-139+1)/$NU$14,$NN$14/$NT$14)),0)</f>
        <v/>
      </c>
      <c r="EN14" s="228">
        <f>IF(AND(140&gt;=$NR$14,140&lt;=$NS$14),IF($NP$14="Single_Point",IF(140=$NR$14,$NN$14,0),IF($NP$14="Bell_Curve",$NN$14*(140-$NR$14+1)*($NS$14-140+1)/$NU$14,$NN$14/$NT$14)),0)</f>
        <v/>
      </c>
      <c r="EO14" s="228">
        <f>IF(AND(141&gt;=$NR$14,141&lt;=$NS$14),IF($NP$14="Single_Point",IF(141=$NR$14,$NN$14,0),IF($NP$14="Bell_Curve",$NN$14*(141-$NR$14+1)*($NS$14-141+1)/$NU$14,$NN$14/$NT$14)),0)</f>
        <v/>
      </c>
      <c r="EP14" s="228">
        <f>IF(AND(142&gt;=$NR$14,142&lt;=$NS$14),IF($NP$14="Single_Point",IF(142=$NR$14,$NN$14,0),IF($NP$14="Bell_Curve",$NN$14*(142-$NR$14+1)*($NS$14-142+1)/$NU$14,$NN$14/$NT$14)),0)</f>
        <v/>
      </c>
      <c r="EQ14" s="228">
        <f>IF(AND(143&gt;=$NR$14,143&lt;=$NS$14),IF($NP$14="Single_Point",IF(143=$NR$14,$NN$14,0),IF($NP$14="Bell_Curve",$NN$14*(143-$NR$14+1)*($NS$14-143+1)/$NU$14,$NN$14/$NT$14)),0)</f>
        <v/>
      </c>
      <c r="ER14" s="228">
        <f>IF(AND(144&gt;=$NR$14,144&lt;=$NS$14),IF($NP$14="Single_Point",IF(144=$NR$14,$NN$14,0),IF($NP$14="Bell_Curve",$NN$14*(144-$NR$14+1)*($NS$14-144+1)/$NU$14,$NN$14/$NT$14)),0)</f>
        <v/>
      </c>
      <c r="ES14" s="228">
        <f>IF(AND(145&gt;=$NR$14,145&lt;=$NS$14),IF($NP$14="Single_Point",IF(145=$NR$14,$NN$14,0),IF($NP$14="Bell_Curve",$NN$14*(145-$NR$14+1)*($NS$14-145+1)/$NU$14,$NN$14/$NT$14)),0)</f>
        <v/>
      </c>
      <c r="ET14" s="228">
        <f>IF(AND(146&gt;=$NR$14,146&lt;=$NS$14),IF($NP$14="Single_Point",IF(146=$NR$14,$NN$14,0),IF($NP$14="Bell_Curve",$NN$14*(146-$NR$14+1)*($NS$14-146+1)/$NU$14,$NN$14/$NT$14)),0)</f>
        <v/>
      </c>
      <c r="EU14" s="228">
        <f>IF(AND(147&gt;=$NR$14,147&lt;=$NS$14),IF($NP$14="Single_Point",IF(147=$NR$14,$NN$14,0),IF($NP$14="Bell_Curve",$NN$14*(147-$NR$14+1)*($NS$14-147+1)/$NU$14,$NN$14/$NT$14)),0)</f>
        <v/>
      </c>
      <c r="EV14" s="228">
        <f>IF(AND(148&gt;=$NR$14,148&lt;=$NS$14),IF($NP$14="Single_Point",IF(148=$NR$14,$NN$14,0),IF($NP$14="Bell_Curve",$NN$14*(148-$NR$14+1)*($NS$14-148+1)/$NU$14,$NN$14/$NT$14)),0)</f>
        <v/>
      </c>
      <c r="EW14" s="228">
        <f>IF(AND(149&gt;=$NR$14,149&lt;=$NS$14),IF($NP$14="Single_Point",IF(149=$NR$14,$NN$14,0),IF($NP$14="Bell_Curve",$NN$14*(149-$NR$14+1)*($NS$14-149+1)/$NU$14,$NN$14/$NT$14)),0)</f>
        <v/>
      </c>
      <c r="EX14" s="228">
        <f>IF(AND(150&gt;=$NR$14,150&lt;=$NS$14),IF($NP$14="Single_Point",IF(150=$NR$14,$NN$14,0),IF($NP$14="Bell_Curve",$NN$14*(150-$NR$14+1)*($NS$14-150+1)/$NU$14,$NN$14/$NT$14)),0)</f>
        <v/>
      </c>
      <c r="EY14" s="228">
        <f>IF(AND(151&gt;=$NR$14,151&lt;=$NS$14),IF($NP$14="Single_Point",IF(151=$NR$14,$NN$14,0),IF($NP$14="Bell_Curve",$NN$14*(151-$NR$14+1)*($NS$14-151+1)/$NU$14,$NN$14/$NT$14)),0)</f>
        <v/>
      </c>
      <c r="EZ14" s="228">
        <f>IF(AND(152&gt;=$NR$14,152&lt;=$NS$14),IF($NP$14="Single_Point",IF(152=$NR$14,$NN$14,0),IF($NP$14="Bell_Curve",$NN$14*(152-$NR$14+1)*($NS$14-152+1)/$NU$14,$NN$14/$NT$14)),0)</f>
        <v/>
      </c>
      <c r="FA14" s="228">
        <f>IF(AND(153&gt;=$NR$14,153&lt;=$NS$14),IF($NP$14="Single_Point",IF(153=$NR$14,$NN$14,0),IF($NP$14="Bell_Curve",$NN$14*(153-$NR$14+1)*($NS$14-153+1)/$NU$14,$NN$14/$NT$14)),0)</f>
        <v/>
      </c>
      <c r="FB14" s="228">
        <f>IF(AND(154&gt;=$NR$14,154&lt;=$NS$14),IF($NP$14="Single_Point",IF(154=$NR$14,$NN$14,0),IF($NP$14="Bell_Curve",$NN$14*(154-$NR$14+1)*($NS$14-154+1)/$NU$14,$NN$14/$NT$14)),0)</f>
        <v/>
      </c>
      <c r="FC14" s="228">
        <f>IF(AND(155&gt;=$NR$14,155&lt;=$NS$14),IF($NP$14="Single_Point",IF(155=$NR$14,$NN$14,0),IF($NP$14="Bell_Curve",$NN$14*(155-$NR$14+1)*($NS$14-155+1)/$NU$14,$NN$14/$NT$14)),0)</f>
        <v/>
      </c>
      <c r="FD14" s="228">
        <f>IF(AND(156&gt;=$NR$14,156&lt;=$NS$14),IF($NP$14="Single_Point",IF(156=$NR$14,$NN$14,0),IF($NP$14="Bell_Curve",$NN$14*(156-$NR$14+1)*($NS$14-156+1)/$NU$14,$NN$14/$NT$14)),0)</f>
        <v/>
      </c>
      <c r="FE14" s="228">
        <f>IF(AND(157&gt;=$NR$14,157&lt;=$NS$14),IF($NP$14="Single_Point",IF(157=$NR$14,$NN$14,0),IF($NP$14="Bell_Curve",$NN$14*(157-$NR$14+1)*($NS$14-157+1)/$NU$14,$NN$14/$NT$14)),0)</f>
        <v/>
      </c>
      <c r="FF14" s="228">
        <f>IF(AND(158&gt;=$NR$14,158&lt;=$NS$14),IF($NP$14="Single_Point",IF(158=$NR$14,$NN$14,0),IF($NP$14="Bell_Curve",$NN$14*(158-$NR$14+1)*($NS$14-158+1)/$NU$14,$NN$14/$NT$14)),0)</f>
        <v/>
      </c>
      <c r="FG14" s="228">
        <f>IF(AND(159&gt;=$NR$14,159&lt;=$NS$14),IF($NP$14="Single_Point",IF(159=$NR$14,$NN$14,0),IF($NP$14="Bell_Curve",$NN$14*(159-$NR$14+1)*($NS$14-159+1)/$NU$14,$NN$14/$NT$14)),0)</f>
        <v/>
      </c>
      <c r="FH14" s="228">
        <f>IF(AND(160&gt;=$NR$14,160&lt;=$NS$14),IF($NP$14="Single_Point",IF(160=$NR$14,$NN$14,0),IF($NP$14="Bell_Curve",$NN$14*(160-$NR$14+1)*($NS$14-160+1)/$NU$14,$NN$14/$NT$14)),0)</f>
        <v/>
      </c>
      <c r="FI14" s="228">
        <f>IF(AND(161&gt;=$NR$14,161&lt;=$NS$14),IF($NP$14="Single_Point",IF(161=$NR$14,$NN$14,0),IF($NP$14="Bell_Curve",$NN$14*(161-$NR$14+1)*($NS$14-161+1)/$NU$14,$NN$14/$NT$14)),0)</f>
        <v/>
      </c>
      <c r="FJ14" s="228">
        <f>IF(AND(162&gt;=$NR$14,162&lt;=$NS$14),IF($NP$14="Single_Point",IF(162=$NR$14,$NN$14,0),IF($NP$14="Bell_Curve",$NN$14*(162-$NR$14+1)*($NS$14-162+1)/$NU$14,$NN$14/$NT$14)),0)</f>
        <v/>
      </c>
      <c r="FK14" s="228">
        <f>IF(AND(163&gt;=$NR$14,163&lt;=$NS$14),IF($NP$14="Single_Point",IF(163=$NR$14,$NN$14,0),IF($NP$14="Bell_Curve",$NN$14*(163-$NR$14+1)*($NS$14-163+1)/$NU$14,$NN$14/$NT$14)),0)</f>
        <v/>
      </c>
      <c r="FL14" s="228">
        <f>IF(AND(164&gt;=$NR$14,164&lt;=$NS$14),IF($NP$14="Single_Point",IF(164=$NR$14,$NN$14,0),IF($NP$14="Bell_Curve",$NN$14*(164-$NR$14+1)*($NS$14-164+1)/$NU$14,$NN$14/$NT$14)),0)</f>
        <v/>
      </c>
      <c r="FM14" s="228">
        <f>IF(AND(165&gt;=$NR$14,165&lt;=$NS$14),IF($NP$14="Single_Point",IF(165=$NR$14,$NN$14,0),IF($NP$14="Bell_Curve",$NN$14*(165-$NR$14+1)*($NS$14-165+1)/$NU$14,$NN$14/$NT$14)),0)</f>
        <v/>
      </c>
      <c r="FN14" s="228">
        <f>IF(AND(166&gt;=$NR$14,166&lt;=$NS$14),IF($NP$14="Single_Point",IF(166=$NR$14,$NN$14,0),IF($NP$14="Bell_Curve",$NN$14*(166-$NR$14+1)*($NS$14-166+1)/$NU$14,$NN$14/$NT$14)),0)</f>
        <v/>
      </c>
      <c r="FO14" s="228">
        <f>IF(AND(167&gt;=$NR$14,167&lt;=$NS$14),IF($NP$14="Single_Point",IF(167=$NR$14,$NN$14,0),IF($NP$14="Bell_Curve",$NN$14*(167-$NR$14+1)*($NS$14-167+1)/$NU$14,$NN$14/$NT$14)),0)</f>
        <v/>
      </c>
      <c r="FP14" s="228">
        <f>IF(AND(168&gt;=$NR$14,168&lt;=$NS$14),IF($NP$14="Single_Point",IF(168=$NR$14,$NN$14,0),IF($NP$14="Bell_Curve",$NN$14*(168-$NR$14+1)*($NS$14-168+1)/$NU$14,$NN$14/$NT$14)),0)</f>
        <v/>
      </c>
      <c r="FQ14" s="228">
        <f>IF(AND(169&gt;=$NR$14,169&lt;=$NS$14),IF($NP$14="Single_Point",IF(169=$NR$14,$NN$14,0),IF($NP$14="Bell_Curve",$NN$14*(169-$NR$14+1)*($NS$14-169+1)/$NU$14,$NN$14/$NT$14)),0)</f>
        <v/>
      </c>
      <c r="FR14" s="228">
        <f>IF(AND(170&gt;=$NR$14,170&lt;=$NS$14),IF($NP$14="Single_Point",IF(170=$NR$14,$NN$14,0),IF($NP$14="Bell_Curve",$NN$14*(170-$NR$14+1)*($NS$14-170+1)/$NU$14,$NN$14/$NT$14)),0)</f>
        <v/>
      </c>
      <c r="FS14" s="228">
        <f>IF(AND(171&gt;=$NR$14,171&lt;=$NS$14),IF($NP$14="Single_Point",IF(171=$NR$14,$NN$14,0),IF($NP$14="Bell_Curve",$NN$14*(171-$NR$14+1)*($NS$14-171+1)/$NU$14,$NN$14/$NT$14)),0)</f>
        <v/>
      </c>
      <c r="FT14" s="228">
        <f>IF(AND(172&gt;=$NR$14,172&lt;=$NS$14),IF($NP$14="Single_Point",IF(172=$NR$14,$NN$14,0),IF($NP$14="Bell_Curve",$NN$14*(172-$NR$14+1)*($NS$14-172+1)/$NU$14,$NN$14/$NT$14)),0)</f>
        <v/>
      </c>
      <c r="FU14" s="228">
        <f>IF(AND(173&gt;=$NR$14,173&lt;=$NS$14),IF($NP$14="Single_Point",IF(173=$NR$14,$NN$14,0),IF($NP$14="Bell_Curve",$NN$14*(173-$NR$14+1)*($NS$14-173+1)/$NU$14,$NN$14/$NT$14)),0)</f>
        <v/>
      </c>
      <c r="FV14" s="228">
        <f>IF(AND(174&gt;=$NR$14,174&lt;=$NS$14),IF($NP$14="Single_Point",IF(174=$NR$14,$NN$14,0),IF($NP$14="Bell_Curve",$NN$14*(174-$NR$14+1)*($NS$14-174+1)/$NU$14,$NN$14/$NT$14)),0)</f>
        <v/>
      </c>
      <c r="FW14" s="228">
        <f>IF(AND(175&gt;=$NR$14,175&lt;=$NS$14),IF($NP$14="Single_Point",IF(175=$NR$14,$NN$14,0),IF($NP$14="Bell_Curve",$NN$14*(175-$NR$14+1)*($NS$14-175+1)/$NU$14,$NN$14/$NT$14)),0)</f>
        <v/>
      </c>
      <c r="FX14" s="228">
        <f>IF(AND(176&gt;=$NR$14,176&lt;=$NS$14),IF($NP$14="Single_Point",IF(176=$NR$14,$NN$14,0),IF($NP$14="Bell_Curve",$NN$14*(176-$NR$14+1)*($NS$14-176+1)/$NU$14,$NN$14/$NT$14)),0)</f>
        <v/>
      </c>
      <c r="FY14" s="228">
        <f>IF(AND(177&gt;=$NR$14,177&lt;=$NS$14),IF($NP$14="Single_Point",IF(177=$NR$14,$NN$14,0),IF($NP$14="Bell_Curve",$NN$14*(177-$NR$14+1)*($NS$14-177+1)/$NU$14,$NN$14/$NT$14)),0)</f>
        <v/>
      </c>
      <c r="FZ14" s="228">
        <f>IF(AND(178&gt;=$NR$14,178&lt;=$NS$14),IF($NP$14="Single_Point",IF(178=$NR$14,$NN$14,0),IF($NP$14="Bell_Curve",$NN$14*(178-$NR$14+1)*($NS$14-178+1)/$NU$14,$NN$14/$NT$14)),0)</f>
        <v/>
      </c>
      <c r="GA14" s="228">
        <f>IF(AND(179&gt;=$NR$14,179&lt;=$NS$14),IF($NP$14="Single_Point",IF(179=$NR$14,$NN$14,0),IF($NP$14="Bell_Curve",$NN$14*(179-$NR$14+1)*($NS$14-179+1)/$NU$14,$NN$14/$NT$14)),0)</f>
        <v/>
      </c>
      <c r="GB14" s="228">
        <f>IF(AND(180&gt;=$NR$14,180&lt;=$NS$14),IF($NP$14="Single_Point",IF(180=$NR$14,$NN$14,0),IF($NP$14="Bell_Curve",$NN$14*(180-$NR$14+1)*($NS$14-180+1)/$NU$14,$NN$14/$NT$14)),0)</f>
        <v/>
      </c>
      <c r="GC14" s="228">
        <f>IF(AND(181&gt;=$NR$14,181&lt;=$NS$14),IF($NP$14="Single_Point",IF(181=$NR$14,$NN$14,0),IF($NP$14="Bell_Curve",$NN$14*(181-$NR$14+1)*($NS$14-181+1)/$NU$14,$NN$14/$NT$14)),0)</f>
        <v/>
      </c>
      <c r="GD14" s="228">
        <f>IF(AND(182&gt;=$NR$14,182&lt;=$NS$14),IF($NP$14="Single_Point",IF(182=$NR$14,$NN$14,0),IF($NP$14="Bell_Curve",$NN$14*(182-$NR$14+1)*($NS$14-182+1)/$NU$14,$NN$14/$NT$14)),0)</f>
        <v/>
      </c>
      <c r="GE14" s="228">
        <f>IF(AND(183&gt;=$NR$14,183&lt;=$NS$14),IF($NP$14="Single_Point",IF(183=$NR$14,$NN$14,0),IF($NP$14="Bell_Curve",$NN$14*(183-$NR$14+1)*($NS$14-183+1)/$NU$14,$NN$14/$NT$14)),0)</f>
        <v/>
      </c>
      <c r="GF14" s="228">
        <f>IF(AND(184&gt;=$NR$14,184&lt;=$NS$14),IF($NP$14="Single_Point",IF(184=$NR$14,$NN$14,0),IF($NP$14="Bell_Curve",$NN$14*(184-$NR$14+1)*($NS$14-184+1)/$NU$14,$NN$14/$NT$14)),0)</f>
        <v/>
      </c>
      <c r="GG14" s="228">
        <f>IF(AND(185&gt;=$NR$14,185&lt;=$NS$14),IF($NP$14="Single_Point",IF(185=$NR$14,$NN$14,0),IF($NP$14="Bell_Curve",$NN$14*(185-$NR$14+1)*($NS$14-185+1)/$NU$14,$NN$14/$NT$14)),0)</f>
        <v/>
      </c>
      <c r="GH14" s="228">
        <f>IF(AND(186&gt;=$NR$14,186&lt;=$NS$14),IF($NP$14="Single_Point",IF(186=$NR$14,$NN$14,0),IF($NP$14="Bell_Curve",$NN$14*(186-$NR$14+1)*($NS$14-186+1)/$NU$14,$NN$14/$NT$14)),0)</f>
        <v/>
      </c>
      <c r="GI14" s="228">
        <f>IF(AND(187&gt;=$NR$14,187&lt;=$NS$14),IF($NP$14="Single_Point",IF(187=$NR$14,$NN$14,0),IF($NP$14="Bell_Curve",$NN$14*(187-$NR$14+1)*($NS$14-187+1)/$NU$14,$NN$14/$NT$14)),0)</f>
        <v/>
      </c>
      <c r="GJ14" s="228">
        <f>IF(AND(188&gt;=$NR$14,188&lt;=$NS$14),IF($NP$14="Single_Point",IF(188=$NR$14,$NN$14,0),IF($NP$14="Bell_Curve",$NN$14*(188-$NR$14+1)*($NS$14-188+1)/$NU$14,$NN$14/$NT$14)),0)</f>
        <v/>
      </c>
      <c r="GK14" s="228">
        <f>IF(AND(189&gt;=$NR$14,189&lt;=$NS$14),IF($NP$14="Single_Point",IF(189=$NR$14,$NN$14,0),IF($NP$14="Bell_Curve",$NN$14*(189-$NR$14+1)*($NS$14-189+1)/$NU$14,$NN$14/$NT$14)),0)</f>
        <v/>
      </c>
      <c r="GL14" s="228">
        <f>IF(AND(190&gt;=$NR$14,190&lt;=$NS$14),IF($NP$14="Single_Point",IF(190=$NR$14,$NN$14,0),IF($NP$14="Bell_Curve",$NN$14*(190-$NR$14+1)*($NS$14-190+1)/$NU$14,$NN$14/$NT$14)),0)</f>
        <v/>
      </c>
      <c r="GM14" s="228">
        <f>IF(AND(191&gt;=$NR$14,191&lt;=$NS$14),IF($NP$14="Single_Point",IF(191=$NR$14,$NN$14,0),IF($NP$14="Bell_Curve",$NN$14*(191-$NR$14+1)*($NS$14-191+1)/$NU$14,$NN$14/$NT$14)),0)</f>
        <v/>
      </c>
      <c r="GN14" s="228">
        <f>IF(AND(192&gt;=$NR$14,192&lt;=$NS$14),IF($NP$14="Single_Point",IF(192=$NR$14,$NN$14,0),IF($NP$14="Bell_Curve",$NN$14*(192-$NR$14+1)*($NS$14-192+1)/$NU$14,$NN$14/$NT$14)),0)</f>
        <v/>
      </c>
      <c r="GO14" s="228">
        <f>IF(AND(193&gt;=$NR$14,193&lt;=$NS$14),IF($NP$14="Single_Point",IF(193=$NR$14,$NN$14,0),IF($NP$14="Bell_Curve",$NN$14*(193-$NR$14+1)*($NS$14-193+1)/$NU$14,$NN$14/$NT$14)),0)</f>
        <v/>
      </c>
      <c r="GP14" s="228">
        <f>IF(AND(194&gt;=$NR$14,194&lt;=$NS$14),IF($NP$14="Single_Point",IF(194=$NR$14,$NN$14,0),IF($NP$14="Bell_Curve",$NN$14*(194-$NR$14+1)*($NS$14-194+1)/$NU$14,$NN$14/$NT$14)),0)</f>
        <v/>
      </c>
      <c r="GQ14" s="228">
        <f>IF(AND(195&gt;=$NR$14,195&lt;=$NS$14),IF($NP$14="Single_Point",IF(195=$NR$14,$NN$14,0),IF($NP$14="Bell_Curve",$NN$14*(195-$NR$14+1)*($NS$14-195+1)/$NU$14,$NN$14/$NT$14)),0)</f>
        <v/>
      </c>
      <c r="GR14" s="228">
        <f>IF(AND(196&gt;=$NR$14,196&lt;=$NS$14),IF($NP$14="Single_Point",IF(196=$NR$14,$NN$14,0),IF($NP$14="Bell_Curve",$NN$14*(196-$NR$14+1)*($NS$14-196+1)/$NU$14,$NN$14/$NT$14)),0)</f>
        <v/>
      </c>
      <c r="GS14" s="228">
        <f>IF(AND(197&gt;=$NR$14,197&lt;=$NS$14),IF($NP$14="Single_Point",IF(197=$NR$14,$NN$14,0),IF($NP$14="Bell_Curve",$NN$14*(197-$NR$14+1)*($NS$14-197+1)/$NU$14,$NN$14/$NT$14)),0)</f>
        <v/>
      </c>
      <c r="GT14" s="228">
        <f>IF(AND(198&gt;=$NR$14,198&lt;=$NS$14),IF($NP$14="Single_Point",IF(198=$NR$14,$NN$14,0),IF($NP$14="Bell_Curve",$NN$14*(198-$NR$14+1)*($NS$14-198+1)/$NU$14,$NN$14/$NT$14)),0)</f>
        <v/>
      </c>
      <c r="GU14" s="228">
        <f>IF(AND(199&gt;=$NR$14,199&lt;=$NS$14),IF($NP$14="Single_Point",IF(199=$NR$14,$NN$14,0),IF($NP$14="Bell_Curve",$NN$14*(199-$NR$14+1)*($NS$14-199+1)/$NU$14,$NN$14/$NT$14)),0)</f>
        <v/>
      </c>
      <c r="GV14" s="228">
        <f>IF(AND(200&gt;=$NR$14,200&lt;=$NS$14),IF($NP$14="Single_Point",IF(200=$NR$14,$NN$14,0),IF($NP$14="Bell_Curve",$NN$14*(200-$NR$14+1)*($NS$14-200+1)/$NU$14,$NN$14/$NT$14)),0)</f>
        <v/>
      </c>
      <c r="GW14" s="228">
        <f>IF(AND(201&gt;=$NR$14,201&lt;=$NS$14),IF($NP$14="Single_Point",IF(201=$NR$14,$NN$14,0),IF($NP$14="Bell_Curve",$NN$14*(201-$NR$14+1)*($NS$14-201+1)/$NU$14,$NN$14/$NT$14)),0)</f>
        <v/>
      </c>
      <c r="GX14" s="228">
        <f>IF(AND(202&gt;=$NR$14,202&lt;=$NS$14),IF($NP$14="Single_Point",IF(202=$NR$14,$NN$14,0),IF($NP$14="Bell_Curve",$NN$14*(202-$NR$14+1)*($NS$14-202+1)/$NU$14,$NN$14/$NT$14)),0)</f>
        <v/>
      </c>
      <c r="GY14" s="228">
        <f>IF(AND(203&gt;=$NR$14,203&lt;=$NS$14),IF($NP$14="Single_Point",IF(203=$NR$14,$NN$14,0),IF($NP$14="Bell_Curve",$NN$14*(203-$NR$14+1)*($NS$14-203+1)/$NU$14,$NN$14/$NT$14)),0)</f>
        <v/>
      </c>
      <c r="GZ14" s="228">
        <f>IF(AND(204&gt;=$NR$14,204&lt;=$NS$14),IF($NP$14="Single_Point",IF(204=$NR$14,$NN$14,0),IF($NP$14="Bell_Curve",$NN$14*(204-$NR$14+1)*($NS$14-204+1)/$NU$14,$NN$14/$NT$14)),0)</f>
        <v/>
      </c>
      <c r="HA14" s="228">
        <f>IF(AND(205&gt;=$NR$14,205&lt;=$NS$14),IF($NP$14="Single_Point",IF(205=$NR$14,$NN$14,0),IF($NP$14="Bell_Curve",$NN$14*(205-$NR$14+1)*($NS$14-205+1)/$NU$14,$NN$14/$NT$14)),0)</f>
        <v/>
      </c>
      <c r="HB14" s="228">
        <f>IF(AND(206&gt;=$NR$14,206&lt;=$NS$14),IF($NP$14="Single_Point",IF(206=$NR$14,$NN$14,0),IF($NP$14="Bell_Curve",$NN$14*(206-$NR$14+1)*($NS$14-206+1)/$NU$14,$NN$14/$NT$14)),0)</f>
        <v/>
      </c>
      <c r="HC14" s="228">
        <f>IF(AND(207&gt;=$NR$14,207&lt;=$NS$14),IF($NP$14="Single_Point",IF(207=$NR$14,$NN$14,0),IF($NP$14="Bell_Curve",$NN$14*(207-$NR$14+1)*($NS$14-207+1)/$NU$14,$NN$14/$NT$14)),0)</f>
        <v/>
      </c>
      <c r="HD14" s="228">
        <f>IF(AND(208&gt;=$NR$14,208&lt;=$NS$14),IF($NP$14="Single_Point",IF(208=$NR$14,$NN$14,0),IF($NP$14="Bell_Curve",$NN$14*(208-$NR$14+1)*($NS$14-208+1)/$NU$14,$NN$14/$NT$14)),0)</f>
        <v/>
      </c>
      <c r="HE14" s="228">
        <f>IF(AND(209&gt;=$NR$14,209&lt;=$NS$14),IF($NP$14="Single_Point",IF(209=$NR$14,$NN$14,0),IF($NP$14="Bell_Curve",$NN$14*(209-$NR$14+1)*($NS$14-209+1)/$NU$14,$NN$14/$NT$14)),0)</f>
        <v/>
      </c>
      <c r="HF14" s="228">
        <f>IF(AND(210&gt;=$NR$14,210&lt;=$NS$14),IF($NP$14="Single_Point",IF(210=$NR$14,$NN$14,0),IF($NP$14="Bell_Curve",$NN$14*(210-$NR$14+1)*($NS$14-210+1)/$NU$14,$NN$14/$NT$14)),0)</f>
        <v/>
      </c>
      <c r="HG14" s="228">
        <f>IF(AND(211&gt;=$NR$14,211&lt;=$NS$14),IF($NP$14="Single_Point",IF(211=$NR$14,$NN$14,0),IF($NP$14="Bell_Curve",$NN$14*(211-$NR$14+1)*($NS$14-211+1)/$NU$14,$NN$14/$NT$14)),0)</f>
        <v/>
      </c>
      <c r="HH14" s="228">
        <f>IF(AND(212&gt;=$NR$14,212&lt;=$NS$14),IF($NP$14="Single_Point",IF(212=$NR$14,$NN$14,0),IF($NP$14="Bell_Curve",$NN$14*(212-$NR$14+1)*($NS$14-212+1)/$NU$14,$NN$14/$NT$14)),0)</f>
        <v/>
      </c>
      <c r="HI14" s="228">
        <f>IF(AND(213&gt;=$NR$14,213&lt;=$NS$14),IF($NP$14="Single_Point",IF(213=$NR$14,$NN$14,0),IF($NP$14="Bell_Curve",$NN$14*(213-$NR$14+1)*($NS$14-213+1)/$NU$14,$NN$14/$NT$14)),0)</f>
        <v/>
      </c>
      <c r="HJ14" s="228">
        <f>IF(AND(214&gt;=$NR$14,214&lt;=$NS$14),IF($NP$14="Single_Point",IF(214=$NR$14,$NN$14,0),IF($NP$14="Bell_Curve",$NN$14*(214-$NR$14+1)*($NS$14-214+1)/$NU$14,$NN$14/$NT$14)),0)</f>
        <v/>
      </c>
      <c r="HK14" s="228">
        <f>IF(AND(215&gt;=$NR$14,215&lt;=$NS$14),IF($NP$14="Single_Point",IF(215=$NR$14,$NN$14,0),IF($NP$14="Bell_Curve",$NN$14*(215-$NR$14+1)*($NS$14-215+1)/$NU$14,$NN$14/$NT$14)),0)</f>
        <v/>
      </c>
      <c r="HL14" s="228">
        <f>IF(AND(216&gt;=$NR$14,216&lt;=$NS$14),IF($NP$14="Single_Point",IF(216=$NR$14,$NN$14,0),IF($NP$14="Bell_Curve",$NN$14*(216-$NR$14+1)*($NS$14-216+1)/$NU$14,$NN$14/$NT$14)),0)</f>
        <v/>
      </c>
      <c r="HM14" s="228">
        <f>IF(AND(217&gt;=$NR$14,217&lt;=$NS$14),IF($NP$14="Single_Point",IF(217=$NR$14,$NN$14,0),IF($NP$14="Bell_Curve",$NN$14*(217-$NR$14+1)*($NS$14-217+1)/$NU$14,$NN$14/$NT$14)),0)</f>
        <v/>
      </c>
      <c r="HN14" s="228">
        <f>IF(AND(218&gt;=$NR$14,218&lt;=$NS$14),IF($NP$14="Single_Point",IF(218=$NR$14,$NN$14,0),IF($NP$14="Bell_Curve",$NN$14*(218-$NR$14+1)*($NS$14-218+1)/$NU$14,$NN$14/$NT$14)),0)</f>
        <v/>
      </c>
      <c r="HO14" s="228">
        <f>IF(AND(219&gt;=$NR$14,219&lt;=$NS$14),IF($NP$14="Single_Point",IF(219=$NR$14,$NN$14,0),IF($NP$14="Bell_Curve",$NN$14*(219-$NR$14+1)*($NS$14-219+1)/$NU$14,$NN$14/$NT$14)),0)</f>
        <v/>
      </c>
      <c r="HP14" s="228">
        <f>IF(AND(220&gt;=$NR$14,220&lt;=$NS$14),IF($NP$14="Single_Point",IF(220=$NR$14,$NN$14,0),IF($NP$14="Bell_Curve",$NN$14*(220-$NR$14+1)*($NS$14-220+1)/$NU$14,$NN$14/$NT$14)),0)</f>
        <v/>
      </c>
      <c r="HQ14" s="228">
        <f>IF(AND(221&gt;=$NR$14,221&lt;=$NS$14),IF($NP$14="Single_Point",IF(221=$NR$14,$NN$14,0),IF($NP$14="Bell_Curve",$NN$14*(221-$NR$14+1)*($NS$14-221+1)/$NU$14,$NN$14/$NT$14)),0)</f>
        <v/>
      </c>
      <c r="HR14" s="228">
        <f>IF(AND(222&gt;=$NR$14,222&lt;=$NS$14),IF($NP$14="Single_Point",IF(222=$NR$14,$NN$14,0),IF($NP$14="Bell_Curve",$NN$14*(222-$NR$14+1)*($NS$14-222+1)/$NU$14,$NN$14/$NT$14)),0)</f>
        <v/>
      </c>
      <c r="HS14" s="228">
        <f>IF(AND(223&gt;=$NR$14,223&lt;=$NS$14),IF($NP$14="Single_Point",IF(223=$NR$14,$NN$14,0),IF($NP$14="Bell_Curve",$NN$14*(223-$NR$14+1)*($NS$14-223+1)/$NU$14,$NN$14/$NT$14)),0)</f>
        <v/>
      </c>
      <c r="HT14" s="228">
        <f>IF(AND(224&gt;=$NR$14,224&lt;=$NS$14),IF($NP$14="Single_Point",IF(224=$NR$14,$NN$14,0),IF($NP$14="Bell_Curve",$NN$14*(224-$NR$14+1)*($NS$14-224+1)/$NU$14,$NN$14/$NT$14)),0)</f>
        <v/>
      </c>
      <c r="HU14" s="228">
        <f>IF(AND(225&gt;=$NR$14,225&lt;=$NS$14),IF($NP$14="Single_Point",IF(225=$NR$14,$NN$14,0),IF($NP$14="Bell_Curve",$NN$14*(225-$NR$14+1)*($NS$14-225+1)/$NU$14,$NN$14/$NT$14)),0)</f>
        <v/>
      </c>
      <c r="HV14" s="228">
        <f>IF(AND(226&gt;=$NR$14,226&lt;=$NS$14),IF($NP$14="Single_Point",IF(226=$NR$14,$NN$14,0),IF($NP$14="Bell_Curve",$NN$14*(226-$NR$14+1)*($NS$14-226+1)/$NU$14,$NN$14/$NT$14)),0)</f>
        <v/>
      </c>
      <c r="HW14" s="228">
        <f>IF(AND(227&gt;=$NR$14,227&lt;=$NS$14),IF($NP$14="Single_Point",IF(227=$NR$14,$NN$14,0),IF($NP$14="Bell_Curve",$NN$14*(227-$NR$14+1)*($NS$14-227+1)/$NU$14,$NN$14/$NT$14)),0)</f>
        <v/>
      </c>
      <c r="HX14" s="228">
        <f>IF(AND(228&gt;=$NR$14,228&lt;=$NS$14),IF($NP$14="Single_Point",IF(228=$NR$14,$NN$14,0),IF($NP$14="Bell_Curve",$NN$14*(228-$NR$14+1)*($NS$14-228+1)/$NU$14,$NN$14/$NT$14)),0)</f>
        <v/>
      </c>
      <c r="HY14" s="228">
        <f>IF(AND(229&gt;=$NR$14,229&lt;=$NS$14),IF($NP$14="Single_Point",IF(229=$NR$14,$NN$14,0),IF($NP$14="Bell_Curve",$NN$14*(229-$NR$14+1)*($NS$14-229+1)/$NU$14,$NN$14/$NT$14)),0)</f>
        <v/>
      </c>
      <c r="HZ14" s="228">
        <f>IF(AND(230&gt;=$NR$14,230&lt;=$NS$14),IF($NP$14="Single_Point",IF(230=$NR$14,$NN$14,0),IF($NP$14="Bell_Curve",$NN$14*(230-$NR$14+1)*($NS$14-230+1)/$NU$14,$NN$14/$NT$14)),0)</f>
        <v/>
      </c>
      <c r="IA14" s="228">
        <f>IF(AND(231&gt;=$NR$14,231&lt;=$NS$14),IF($NP$14="Single_Point",IF(231=$NR$14,$NN$14,0),IF($NP$14="Bell_Curve",$NN$14*(231-$NR$14+1)*($NS$14-231+1)/$NU$14,$NN$14/$NT$14)),0)</f>
        <v/>
      </c>
      <c r="IB14" s="228">
        <f>IF(AND(232&gt;=$NR$14,232&lt;=$NS$14),IF($NP$14="Single_Point",IF(232=$NR$14,$NN$14,0),IF($NP$14="Bell_Curve",$NN$14*(232-$NR$14+1)*($NS$14-232+1)/$NU$14,$NN$14/$NT$14)),0)</f>
        <v/>
      </c>
      <c r="IC14" s="228">
        <f>IF(AND(233&gt;=$NR$14,233&lt;=$NS$14),IF($NP$14="Single_Point",IF(233=$NR$14,$NN$14,0),IF($NP$14="Bell_Curve",$NN$14*(233-$NR$14+1)*($NS$14-233+1)/$NU$14,$NN$14/$NT$14)),0)</f>
        <v/>
      </c>
      <c r="ID14" s="228">
        <f>IF(AND(234&gt;=$NR$14,234&lt;=$NS$14),IF($NP$14="Single_Point",IF(234=$NR$14,$NN$14,0),IF($NP$14="Bell_Curve",$NN$14*(234-$NR$14+1)*($NS$14-234+1)/$NU$14,$NN$14/$NT$14)),0)</f>
        <v/>
      </c>
      <c r="IE14" s="228">
        <f>IF(AND(235&gt;=$NR$14,235&lt;=$NS$14),IF($NP$14="Single_Point",IF(235=$NR$14,$NN$14,0),IF($NP$14="Bell_Curve",$NN$14*(235-$NR$14+1)*($NS$14-235+1)/$NU$14,$NN$14/$NT$14)),0)</f>
        <v/>
      </c>
      <c r="IF14" s="228">
        <f>IF(AND(236&gt;=$NR$14,236&lt;=$NS$14),IF($NP$14="Single_Point",IF(236=$NR$14,$NN$14,0),IF($NP$14="Bell_Curve",$NN$14*(236-$NR$14+1)*($NS$14-236+1)/$NU$14,$NN$14/$NT$14)),0)</f>
        <v/>
      </c>
      <c r="IG14" s="228">
        <f>IF(AND(237&gt;=$NR$14,237&lt;=$NS$14),IF($NP$14="Single_Point",IF(237=$NR$14,$NN$14,0),IF($NP$14="Bell_Curve",$NN$14*(237-$NR$14+1)*($NS$14-237+1)/$NU$14,$NN$14/$NT$14)),0)</f>
        <v/>
      </c>
      <c r="IH14" s="228">
        <f>IF(AND(238&gt;=$NR$14,238&lt;=$NS$14),IF($NP$14="Single_Point",IF(238=$NR$14,$NN$14,0),IF($NP$14="Bell_Curve",$NN$14*(238-$NR$14+1)*($NS$14-238+1)/$NU$14,$NN$14/$NT$14)),0)</f>
        <v/>
      </c>
      <c r="II14" s="228">
        <f>IF(AND(239&gt;=$NR$14,239&lt;=$NS$14),IF($NP$14="Single_Point",IF(239=$NR$14,$NN$14,0),IF($NP$14="Bell_Curve",$NN$14*(239-$NR$14+1)*($NS$14-239+1)/$NU$14,$NN$14/$NT$14)),0)</f>
        <v/>
      </c>
      <c r="IJ14" s="228">
        <f>IF(AND(240&gt;=$NR$14,240&lt;=$NS$14),IF($NP$14="Single_Point",IF(240=$NR$14,$NN$14,0),IF($NP$14="Bell_Curve",$NN$14*(240-$NR$14+1)*($NS$14-240+1)/$NU$14,$NN$14/$NT$14)),0)</f>
        <v/>
      </c>
      <c r="IK14" s="228">
        <f>IF(AND(241&gt;=$NR$14,241&lt;=$NS$14),IF($NP$14="Single_Point",IF(241=$NR$14,$NN$14,0),IF($NP$14="Bell_Curve",$NN$14*(241-$NR$14+1)*($NS$14-241+1)/$NU$14,$NN$14/$NT$14)),0)</f>
        <v/>
      </c>
      <c r="IL14" s="228">
        <f>IF(AND(242&gt;=$NR$14,242&lt;=$NS$14),IF($NP$14="Single_Point",IF(242=$NR$14,$NN$14,0),IF($NP$14="Bell_Curve",$NN$14*(242-$NR$14+1)*($NS$14-242+1)/$NU$14,$NN$14/$NT$14)),0)</f>
        <v/>
      </c>
      <c r="IM14" s="228">
        <f>IF(AND(243&gt;=$NR$14,243&lt;=$NS$14),IF($NP$14="Single_Point",IF(243=$NR$14,$NN$14,0),IF($NP$14="Bell_Curve",$NN$14*(243-$NR$14+1)*($NS$14-243+1)/$NU$14,$NN$14/$NT$14)),0)</f>
        <v/>
      </c>
      <c r="IN14" s="228">
        <f>IF(AND(244&gt;=$NR$14,244&lt;=$NS$14),IF($NP$14="Single_Point",IF(244=$NR$14,$NN$14,0),IF($NP$14="Bell_Curve",$NN$14*(244-$NR$14+1)*($NS$14-244+1)/$NU$14,$NN$14/$NT$14)),0)</f>
        <v/>
      </c>
      <c r="IO14" s="228">
        <f>IF(AND(245&gt;=$NR$14,245&lt;=$NS$14),IF($NP$14="Single_Point",IF(245=$NR$14,$NN$14,0),IF($NP$14="Bell_Curve",$NN$14*(245-$NR$14+1)*($NS$14-245+1)/$NU$14,$NN$14/$NT$14)),0)</f>
        <v/>
      </c>
      <c r="IP14" s="228">
        <f>IF(AND(246&gt;=$NR$14,246&lt;=$NS$14),IF($NP$14="Single_Point",IF(246=$NR$14,$NN$14,0),IF($NP$14="Bell_Curve",$NN$14*(246-$NR$14+1)*($NS$14-246+1)/$NU$14,$NN$14/$NT$14)),0)</f>
        <v/>
      </c>
      <c r="IQ14" s="228">
        <f>IF(AND(247&gt;=$NR$14,247&lt;=$NS$14),IF($NP$14="Single_Point",IF(247=$NR$14,$NN$14,0),IF($NP$14="Bell_Curve",$NN$14*(247-$NR$14+1)*($NS$14-247+1)/$NU$14,$NN$14/$NT$14)),0)</f>
        <v/>
      </c>
      <c r="IR14" s="228">
        <f>IF(AND(248&gt;=$NR$14,248&lt;=$NS$14),IF($NP$14="Single_Point",IF(248=$NR$14,$NN$14,0),IF($NP$14="Bell_Curve",$NN$14*(248-$NR$14+1)*($NS$14-248+1)/$NU$14,$NN$14/$NT$14)),0)</f>
        <v/>
      </c>
      <c r="IS14" s="228">
        <f>IF(AND(249&gt;=$NR$14,249&lt;=$NS$14),IF($NP$14="Single_Point",IF(249=$NR$14,$NN$14,0),IF($NP$14="Bell_Curve",$NN$14*(249-$NR$14+1)*($NS$14-249+1)/$NU$14,$NN$14/$NT$14)),0)</f>
        <v/>
      </c>
      <c r="IT14" s="228">
        <f>IF(AND(250&gt;=$NR$14,250&lt;=$NS$14),IF($NP$14="Single_Point",IF(250=$NR$14,$NN$14,0),IF($NP$14="Bell_Curve",$NN$14*(250-$NR$14+1)*($NS$14-250+1)/$NU$14,$NN$14/$NT$14)),0)</f>
        <v/>
      </c>
      <c r="IU14" s="228">
        <f>IF(AND(251&gt;=$NR$14,251&lt;=$NS$14),IF($NP$14="Single_Point",IF(251=$NR$14,$NN$14,0),IF($NP$14="Bell_Curve",$NN$14*(251-$NR$14+1)*($NS$14-251+1)/$NU$14,$NN$14/$NT$14)),0)</f>
        <v/>
      </c>
      <c r="IV14" s="228">
        <f>IF(AND(252&gt;=$NR$14,252&lt;=$NS$14),IF($NP$14="Single_Point",IF(252=$NR$14,$NN$14,0),IF($NP$14="Bell_Curve",$NN$14*(252-$NR$14+1)*($NS$14-252+1)/$NU$14,$NN$14/$NT$14)),0)</f>
        <v/>
      </c>
      <c r="IW14" s="228">
        <f>IF(AND(253&gt;=$NR$14,253&lt;=$NS$14),IF($NP$14="Single_Point",IF(253=$NR$14,$NN$14,0),IF($NP$14="Bell_Curve",$NN$14*(253-$NR$14+1)*($NS$14-253+1)/$NU$14,$NN$14/$NT$14)),0)</f>
        <v/>
      </c>
      <c r="IX14" s="228">
        <f>IF(AND(254&gt;=$NR$14,254&lt;=$NS$14),IF($NP$14="Single_Point",IF(254=$NR$14,$NN$14,0),IF($NP$14="Bell_Curve",$NN$14*(254-$NR$14+1)*($NS$14-254+1)/$NU$14,$NN$14/$NT$14)),0)</f>
        <v/>
      </c>
      <c r="IY14" s="228">
        <f>IF(AND(255&gt;=$NR$14,255&lt;=$NS$14),IF($NP$14="Single_Point",IF(255=$NR$14,$NN$14,0),IF($NP$14="Bell_Curve",$NN$14*(255-$NR$14+1)*($NS$14-255+1)/$NU$14,$NN$14/$NT$14)),0)</f>
        <v/>
      </c>
      <c r="IZ14" s="228">
        <f>IF(AND(256&gt;=$NR$14,256&lt;=$NS$14),IF($NP$14="Single_Point",IF(256=$NR$14,$NN$14,0),IF($NP$14="Bell_Curve",$NN$14*(256-$NR$14+1)*($NS$14-256+1)/$NU$14,$NN$14/$NT$14)),0)</f>
        <v/>
      </c>
      <c r="JA14" s="228">
        <f>IF(AND(257&gt;=$NR$14,257&lt;=$NS$14),IF($NP$14="Single_Point",IF(257=$NR$14,$NN$14,0),IF($NP$14="Bell_Curve",$NN$14*(257-$NR$14+1)*($NS$14-257+1)/$NU$14,$NN$14/$NT$14)),0)</f>
        <v/>
      </c>
      <c r="JB14" s="228">
        <f>IF(AND(258&gt;=$NR$14,258&lt;=$NS$14),IF($NP$14="Single_Point",IF(258=$NR$14,$NN$14,0),IF($NP$14="Bell_Curve",$NN$14*(258-$NR$14+1)*($NS$14-258+1)/$NU$14,$NN$14/$NT$14)),0)</f>
        <v/>
      </c>
      <c r="JC14" s="228">
        <f>IF(AND(259&gt;=$NR$14,259&lt;=$NS$14),IF($NP$14="Single_Point",IF(259=$NR$14,$NN$14,0),IF($NP$14="Bell_Curve",$NN$14*(259-$NR$14+1)*($NS$14-259+1)/$NU$14,$NN$14/$NT$14)),0)</f>
        <v/>
      </c>
      <c r="JD14" s="228">
        <f>IF(AND(260&gt;=$NR$14,260&lt;=$NS$14),IF($NP$14="Single_Point",IF(260=$NR$14,$NN$14,0),IF($NP$14="Bell_Curve",$NN$14*(260-$NR$14+1)*($NS$14-260+1)/$NU$14,$NN$14/$NT$14)),0)</f>
        <v/>
      </c>
      <c r="JE14" s="228">
        <f>IF(AND(261&gt;=$NR$14,261&lt;=$NS$14),IF($NP$14="Single_Point",IF(261=$NR$14,$NN$14,0),IF($NP$14="Bell_Curve",$NN$14*(261-$NR$14+1)*($NS$14-261+1)/$NU$14,$NN$14/$NT$14)),0)</f>
        <v/>
      </c>
      <c r="JF14" s="228">
        <f>IF(AND(262&gt;=$NR$14,262&lt;=$NS$14),IF($NP$14="Single_Point",IF(262=$NR$14,$NN$14,0),IF($NP$14="Bell_Curve",$NN$14*(262-$NR$14+1)*($NS$14-262+1)/$NU$14,$NN$14/$NT$14)),0)</f>
        <v/>
      </c>
      <c r="JG14" s="228">
        <f>IF(AND(263&gt;=$NR$14,263&lt;=$NS$14),IF($NP$14="Single_Point",IF(263=$NR$14,$NN$14,0),IF($NP$14="Bell_Curve",$NN$14*(263-$NR$14+1)*($NS$14-263+1)/$NU$14,$NN$14/$NT$14)),0)</f>
        <v/>
      </c>
      <c r="JH14" s="228">
        <f>IF(AND(264&gt;=$NR$14,264&lt;=$NS$14),IF($NP$14="Single_Point",IF(264=$NR$14,$NN$14,0),IF($NP$14="Bell_Curve",$NN$14*(264-$NR$14+1)*($NS$14-264+1)/$NU$14,$NN$14/$NT$14)),0)</f>
        <v/>
      </c>
      <c r="JI14" s="228">
        <f>IF(AND(265&gt;=$NR$14,265&lt;=$NS$14),IF($NP$14="Single_Point",IF(265=$NR$14,$NN$14,0),IF($NP$14="Bell_Curve",$NN$14*(265-$NR$14+1)*($NS$14-265+1)/$NU$14,$NN$14/$NT$14)),0)</f>
        <v/>
      </c>
      <c r="JJ14" s="228">
        <f>IF(AND(266&gt;=$NR$14,266&lt;=$NS$14),IF($NP$14="Single_Point",IF(266=$NR$14,$NN$14,0),IF($NP$14="Bell_Curve",$NN$14*(266-$NR$14+1)*($NS$14-266+1)/$NU$14,$NN$14/$NT$14)),0)</f>
        <v/>
      </c>
      <c r="JK14" s="228">
        <f>IF(AND(267&gt;=$NR$14,267&lt;=$NS$14),IF($NP$14="Single_Point",IF(267=$NR$14,$NN$14,0),IF($NP$14="Bell_Curve",$NN$14*(267-$NR$14+1)*($NS$14-267+1)/$NU$14,$NN$14/$NT$14)),0)</f>
        <v/>
      </c>
      <c r="JL14" s="228">
        <f>IF(AND(268&gt;=$NR$14,268&lt;=$NS$14),IF($NP$14="Single_Point",IF(268=$NR$14,$NN$14,0),IF($NP$14="Bell_Curve",$NN$14*(268-$NR$14+1)*($NS$14-268+1)/$NU$14,$NN$14/$NT$14)),0)</f>
        <v/>
      </c>
      <c r="JM14" s="228">
        <f>IF(AND(269&gt;=$NR$14,269&lt;=$NS$14),IF($NP$14="Single_Point",IF(269=$NR$14,$NN$14,0),IF($NP$14="Bell_Curve",$NN$14*(269-$NR$14+1)*($NS$14-269+1)/$NU$14,$NN$14/$NT$14)),0)</f>
        <v/>
      </c>
      <c r="JN14" s="228">
        <f>IF(AND(270&gt;=$NR$14,270&lt;=$NS$14),IF($NP$14="Single_Point",IF(270=$NR$14,$NN$14,0),IF($NP$14="Bell_Curve",$NN$14*(270-$NR$14+1)*($NS$14-270+1)/$NU$14,$NN$14/$NT$14)),0)</f>
        <v/>
      </c>
      <c r="JO14" s="228">
        <f>IF(AND(271&gt;=$NR$14,271&lt;=$NS$14),IF($NP$14="Single_Point",IF(271=$NR$14,$NN$14,0),IF($NP$14="Bell_Curve",$NN$14*(271-$NR$14+1)*($NS$14-271+1)/$NU$14,$NN$14/$NT$14)),0)</f>
        <v/>
      </c>
      <c r="JP14" s="228">
        <f>IF(AND(272&gt;=$NR$14,272&lt;=$NS$14),IF($NP$14="Single_Point",IF(272=$NR$14,$NN$14,0),IF($NP$14="Bell_Curve",$NN$14*(272-$NR$14+1)*($NS$14-272+1)/$NU$14,$NN$14/$NT$14)),0)</f>
        <v/>
      </c>
      <c r="JQ14" s="228">
        <f>IF(AND(273&gt;=$NR$14,273&lt;=$NS$14),IF($NP$14="Single_Point",IF(273=$NR$14,$NN$14,0),IF($NP$14="Bell_Curve",$NN$14*(273-$NR$14+1)*($NS$14-273+1)/$NU$14,$NN$14/$NT$14)),0)</f>
        <v/>
      </c>
      <c r="JR14" s="228">
        <f>IF(AND(274&gt;=$NR$14,274&lt;=$NS$14),IF($NP$14="Single_Point",IF(274=$NR$14,$NN$14,0),IF($NP$14="Bell_Curve",$NN$14*(274-$NR$14+1)*($NS$14-274+1)/$NU$14,$NN$14/$NT$14)),0)</f>
        <v/>
      </c>
      <c r="JS14" s="228">
        <f>IF(AND(275&gt;=$NR$14,275&lt;=$NS$14),IF($NP$14="Single_Point",IF(275=$NR$14,$NN$14,0),IF($NP$14="Bell_Curve",$NN$14*(275-$NR$14+1)*($NS$14-275+1)/$NU$14,$NN$14/$NT$14)),0)</f>
        <v/>
      </c>
      <c r="JT14" s="228">
        <f>IF(AND(276&gt;=$NR$14,276&lt;=$NS$14),IF($NP$14="Single_Point",IF(276=$NR$14,$NN$14,0),IF($NP$14="Bell_Curve",$NN$14*(276-$NR$14+1)*($NS$14-276+1)/$NU$14,$NN$14/$NT$14)),0)</f>
        <v/>
      </c>
      <c r="JU14" s="228">
        <f>IF(AND(277&gt;=$NR$14,277&lt;=$NS$14),IF($NP$14="Single_Point",IF(277=$NR$14,$NN$14,0),IF($NP$14="Bell_Curve",$NN$14*(277-$NR$14+1)*($NS$14-277+1)/$NU$14,$NN$14/$NT$14)),0)</f>
        <v/>
      </c>
      <c r="JV14" s="228">
        <f>IF(AND(278&gt;=$NR$14,278&lt;=$NS$14),IF($NP$14="Single_Point",IF(278=$NR$14,$NN$14,0),IF($NP$14="Bell_Curve",$NN$14*(278-$NR$14+1)*($NS$14-278+1)/$NU$14,$NN$14/$NT$14)),0)</f>
        <v/>
      </c>
      <c r="JW14" s="228">
        <f>IF(AND(279&gt;=$NR$14,279&lt;=$NS$14),IF($NP$14="Single_Point",IF(279=$NR$14,$NN$14,0),IF($NP$14="Bell_Curve",$NN$14*(279-$NR$14+1)*($NS$14-279+1)/$NU$14,$NN$14/$NT$14)),0)</f>
        <v/>
      </c>
      <c r="JX14" s="228">
        <f>IF(AND(280&gt;=$NR$14,280&lt;=$NS$14),IF($NP$14="Single_Point",IF(280=$NR$14,$NN$14,0),IF($NP$14="Bell_Curve",$NN$14*(280-$NR$14+1)*($NS$14-280+1)/$NU$14,$NN$14/$NT$14)),0)</f>
        <v/>
      </c>
      <c r="JY14" s="228">
        <f>IF(AND(281&gt;=$NR$14,281&lt;=$NS$14),IF($NP$14="Single_Point",IF(281=$NR$14,$NN$14,0),IF($NP$14="Bell_Curve",$NN$14*(281-$NR$14+1)*($NS$14-281+1)/$NU$14,$NN$14/$NT$14)),0)</f>
        <v/>
      </c>
      <c r="JZ14" s="228">
        <f>IF(AND(282&gt;=$NR$14,282&lt;=$NS$14),IF($NP$14="Single_Point",IF(282=$NR$14,$NN$14,0),IF($NP$14="Bell_Curve",$NN$14*(282-$NR$14+1)*($NS$14-282+1)/$NU$14,$NN$14/$NT$14)),0)</f>
        <v/>
      </c>
      <c r="KA14" s="228">
        <f>IF(AND(283&gt;=$NR$14,283&lt;=$NS$14),IF($NP$14="Single_Point",IF(283=$NR$14,$NN$14,0),IF($NP$14="Bell_Curve",$NN$14*(283-$NR$14+1)*($NS$14-283+1)/$NU$14,$NN$14/$NT$14)),0)</f>
        <v/>
      </c>
      <c r="KB14" s="228">
        <f>IF(AND(284&gt;=$NR$14,284&lt;=$NS$14),IF($NP$14="Single_Point",IF(284=$NR$14,$NN$14,0),IF($NP$14="Bell_Curve",$NN$14*(284-$NR$14+1)*($NS$14-284+1)/$NU$14,$NN$14/$NT$14)),0)</f>
        <v/>
      </c>
      <c r="KC14" s="228">
        <f>IF(AND(285&gt;=$NR$14,285&lt;=$NS$14),IF($NP$14="Single_Point",IF(285=$NR$14,$NN$14,0),IF($NP$14="Bell_Curve",$NN$14*(285-$NR$14+1)*($NS$14-285+1)/$NU$14,$NN$14/$NT$14)),0)</f>
        <v/>
      </c>
      <c r="KD14" s="228">
        <f>IF(AND(286&gt;=$NR$14,286&lt;=$NS$14),IF($NP$14="Single_Point",IF(286=$NR$14,$NN$14,0),IF($NP$14="Bell_Curve",$NN$14*(286-$NR$14+1)*($NS$14-286+1)/$NU$14,$NN$14/$NT$14)),0)</f>
        <v/>
      </c>
      <c r="KE14" s="228">
        <f>IF(AND(287&gt;=$NR$14,287&lt;=$NS$14),IF($NP$14="Single_Point",IF(287=$NR$14,$NN$14,0),IF($NP$14="Bell_Curve",$NN$14*(287-$NR$14+1)*($NS$14-287+1)/$NU$14,$NN$14/$NT$14)),0)</f>
        <v/>
      </c>
      <c r="KF14" s="228">
        <f>IF(AND(288&gt;=$NR$14,288&lt;=$NS$14),IF($NP$14="Single_Point",IF(288=$NR$14,$NN$14,0),IF($NP$14="Bell_Curve",$NN$14*(288-$NR$14+1)*($NS$14-288+1)/$NU$14,$NN$14/$NT$14)),0)</f>
        <v/>
      </c>
      <c r="KG14" s="228">
        <f>IF(AND(289&gt;=$NR$14,289&lt;=$NS$14),IF($NP$14="Single_Point",IF(289=$NR$14,$NN$14,0),IF($NP$14="Bell_Curve",$NN$14*(289-$NR$14+1)*($NS$14-289+1)/$NU$14,$NN$14/$NT$14)),0)</f>
        <v/>
      </c>
      <c r="KH14" s="228">
        <f>IF(AND(290&gt;=$NR$14,290&lt;=$NS$14),IF($NP$14="Single_Point",IF(290=$NR$14,$NN$14,0),IF($NP$14="Bell_Curve",$NN$14*(290-$NR$14+1)*($NS$14-290+1)/$NU$14,$NN$14/$NT$14)),0)</f>
        <v/>
      </c>
      <c r="KI14" s="228">
        <f>IF(AND(291&gt;=$NR$14,291&lt;=$NS$14),IF($NP$14="Single_Point",IF(291=$NR$14,$NN$14,0),IF($NP$14="Bell_Curve",$NN$14*(291-$NR$14+1)*($NS$14-291+1)/$NU$14,$NN$14/$NT$14)),0)</f>
        <v/>
      </c>
      <c r="KJ14" s="228">
        <f>IF(AND(292&gt;=$NR$14,292&lt;=$NS$14),IF($NP$14="Single_Point",IF(292=$NR$14,$NN$14,0),IF($NP$14="Bell_Curve",$NN$14*(292-$NR$14+1)*($NS$14-292+1)/$NU$14,$NN$14/$NT$14)),0)</f>
        <v/>
      </c>
      <c r="KK14" s="228">
        <f>IF(AND(293&gt;=$NR$14,293&lt;=$NS$14),IF($NP$14="Single_Point",IF(293=$NR$14,$NN$14,0),IF($NP$14="Bell_Curve",$NN$14*(293-$NR$14+1)*($NS$14-293+1)/$NU$14,$NN$14/$NT$14)),0)</f>
        <v/>
      </c>
      <c r="KL14" s="228">
        <f>IF(AND(294&gt;=$NR$14,294&lt;=$NS$14),IF($NP$14="Single_Point",IF(294=$NR$14,$NN$14,0),IF($NP$14="Bell_Curve",$NN$14*(294-$NR$14+1)*($NS$14-294+1)/$NU$14,$NN$14/$NT$14)),0)</f>
        <v/>
      </c>
      <c r="KM14" s="228">
        <f>IF(AND(295&gt;=$NR$14,295&lt;=$NS$14),IF($NP$14="Single_Point",IF(295=$NR$14,$NN$14,0),IF($NP$14="Bell_Curve",$NN$14*(295-$NR$14+1)*($NS$14-295+1)/$NU$14,$NN$14/$NT$14)),0)</f>
        <v/>
      </c>
      <c r="KN14" s="228">
        <f>IF(AND(296&gt;=$NR$14,296&lt;=$NS$14),IF($NP$14="Single_Point",IF(296=$NR$14,$NN$14,0),IF($NP$14="Bell_Curve",$NN$14*(296-$NR$14+1)*($NS$14-296+1)/$NU$14,$NN$14/$NT$14)),0)</f>
        <v/>
      </c>
      <c r="KO14" s="228">
        <f>IF(AND(297&gt;=$NR$14,297&lt;=$NS$14),IF($NP$14="Single_Point",IF(297=$NR$14,$NN$14,0),IF($NP$14="Bell_Curve",$NN$14*(297-$NR$14+1)*($NS$14-297+1)/$NU$14,$NN$14/$NT$14)),0)</f>
        <v/>
      </c>
      <c r="KP14" s="228">
        <f>IF(AND(298&gt;=$NR$14,298&lt;=$NS$14),IF($NP$14="Single_Point",IF(298=$NR$14,$NN$14,0),IF($NP$14="Bell_Curve",$NN$14*(298-$NR$14+1)*($NS$14-298+1)/$NU$14,$NN$14/$NT$14)),0)</f>
        <v/>
      </c>
      <c r="KQ14" s="228">
        <f>IF(AND(299&gt;=$NR$14,299&lt;=$NS$14),IF($NP$14="Single_Point",IF(299=$NR$14,$NN$14,0),IF($NP$14="Bell_Curve",$NN$14*(299-$NR$14+1)*($NS$14-299+1)/$NU$14,$NN$14/$NT$14)),0)</f>
        <v/>
      </c>
      <c r="KR14" s="228">
        <f>IF(AND(300&gt;=$NR$14,300&lt;=$NS$14),IF($NP$14="Single_Point",IF(300=$NR$14,$NN$14,0),IF($NP$14="Bell_Curve",$NN$14*(300-$NR$14+1)*($NS$14-300+1)/$NU$14,$NN$14/$NT$14)),0)</f>
        <v/>
      </c>
      <c r="KS14" s="228">
        <f>IF(AND(301&gt;=$NR$14,301&lt;=$NS$14),IF($NP$14="Single_Point",IF(301=$NR$14,$NN$14,0),IF($NP$14="Bell_Curve",$NN$14*(301-$NR$14+1)*($NS$14-301+1)/$NU$14,$NN$14/$NT$14)),0)</f>
        <v/>
      </c>
      <c r="KT14" s="228">
        <f>IF(AND(302&gt;=$NR$14,302&lt;=$NS$14),IF($NP$14="Single_Point",IF(302=$NR$14,$NN$14,0),IF($NP$14="Bell_Curve",$NN$14*(302-$NR$14+1)*($NS$14-302+1)/$NU$14,$NN$14/$NT$14)),0)</f>
        <v/>
      </c>
      <c r="KU14" s="228">
        <f>IF(AND(303&gt;=$NR$14,303&lt;=$NS$14),IF($NP$14="Single_Point",IF(303=$NR$14,$NN$14,0),IF($NP$14="Bell_Curve",$NN$14*(303-$NR$14+1)*($NS$14-303+1)/$NU$14,$NN$14/$NT$14)),0)</f>
        <v/>
      </c>
      <c r="KV14" s="228">
        <f>IF(AND(304&gt;=$NR$14,304&lt;=$NS$14),IF($NP$14="Single_Point",IF(304=$NR$14,$NN$14,0),IF($NP$14="Bell_Curve",$NN$14*(304-$NR$14+1)*($NS$14-304+1)/$NU$14,$NN$14/$NT$14)),0)</f>
        <v/>
      </c>
      <c r="KW14" s="228">
        <f>IF(AND(305&gt;=$NR$14,305&lt;=$NS$14),IF($NP$14="Single_Point",IF(305=$NR$14,$NN$14,0),IF($NP$14="Bell_Curve",$NN$14*(305-$NR$14+1)*($NS$14-305+1)/$NU$14,$NN$14/$NT$14)),0)</f>
        <v/>
      </c>
      <c r="KX14" s="228">
        <f>IF(AND(306&gt;=$NR$14,306&lt;=$NS$14),IF($NP$14="Single_Point",IF(306=$NR$14,$NN$14,0),IF($NP$14="Bell_Curve",$NN$14*(306-$NR$14+1)*($NS$14-306+1)/$NU$14,$NN$14/$NT$14)),0)</f>
        <v/>
      </c>
      <c r="KY14" s="228">
        <f>IF(AND(307&gt;=$NR$14,307&lt;=$NS$14),IF($NP$14="Single_Point",IF(307=$NR$14,$NN$14,0),IF($NP$14="Bell_Curve",$NN$14*(307-$NR$14+1)*($NS$14-307+1)/$NU$14,$NN$14/$NT$14)),0)</f>
        <v/>
      </c>
      <c r="KZ14" s="228">
        <f>IF(AND(308&gt;=$NR$14,308&lt;=$NS$14),IF($NP$14="Single_Point",IF(308=$NR$14,$NN$14,0),IF($NP$14="Bell_Curve",$NN$14*(308-$NR$14+1)*($NS$14-308+1)/$NU$14,$NN$14/$NT$14)),0)</f>
        <v/>
      </c>
      <c r="LA14" s="228">
        <f>IF(AND(309&gt;=$NR$14,309&lt;=$NS$14),IF($NP$14="Single_Point",IF(309=$NR$14,$NN$14,0),IF($NP$14="Bell_Curve",$NN$14*(309-$NR$14+1)*($NS$14-309+1)/$NU$14,$NN$14/$NT$14)),0)</f>
        <v/>
      </c>
      <c r="LB14" s="228">
        <f>IF(AND(310&gt;=$NR$14,310&lt;=$NS$14),IF($NP$14="Single_Point",IF(310=$NR$14,$NN$14,0),IF($NP$14="Bell_Curve",$NN$14*(310-$NR$14+1)*($NS$14-310+1)/$NU$14,$NN$14/$NT$14)),0)</f>
        <v/>
      </c>
      <c r="LC14" s="228">
        <f>IF(AND(311&gt;=$NR$14,311&lt;=$NS$14),IF($NP$14="Single_Point",IF(311=$NR$14,$NN$14,0),IF($NP$14="Bell_Curve",$NN$14*(311-$NR$14+1)*($NS$14-311+1)/$NU$14,$NN$14/$NT$14)),0)</f>
        <v/>
      </c>
      <c r="LD14" s="228">
        <f>IF(AND(312&gt;=$NR$14,312&lt;=$NS$14),IF($NP$14="Single_Point",IF(312=$NR$14,$NN$14,0),IF($NP$14="Bell_Curve",$NN$14*(312-$NR$14+1)*($NS$14-312+1)/$NU$14,$NN$14/$NT$14)),0)</f>
        <v/>
      </c>
      <c r="LE14" s="228">
        <f>IF(AND(313&gt;=$NR$14,313&lt;=$NS$14),IF($NP$14="Single_Point",IF(313=$NR$14,$NN$14,0),IF($NP$14="Bell_Curve",$NN$14*(313-$NR$14+1)*($NS$14-313+1)/$NU$14,$NN$14/$NT$14)),0)</f>
        <v/>
      </c>
      <c r="LF14" s="228">
        <f>IF(AND(314&gt;=$NR$14,314&lt;=$NS$14),IF($NP$14="Single_Point",IF(314=$NR$14,$NN$14,0),IF($NP$14="Bell_Curve",$NN$14*(314-$NR$14+1)*($NS$14-314+1)/$NU$14,$NN$14/$NT$14)),0)</f>
        <v/>
      </c>
      <c r="LG14" s="228">
        <f>IF(AND(315&gt;=$NR$14,315&lt;=$NS$14),IF($NP$14="Single_Point",IF(315=$NR$14,$NN$14,0),IF($NP$14="Bell_Curve",$NN$14*(315-$NR$14+1)*($NS$14-315+1)/$NU$14,$NN$14/$NT$14)),0)</f>
        <v/>
      </c>
      <c r="LH14" s="228">
        <f>IF(AND(316&gt;=$NR$14,316&lt;=$NS$14),IF($NP$14="Single_Point",IF(316=$NR$14,$NN$14,0),IF($NP$14="Bell_Curve",$NN$14*(316-$NR$14+1)*($NS$14-316+1)/$NU$14,$NN$14/$NT$14)),0)</f>
        <v/>
      </c>
      <c r="LI14" s="228">
        <f>IF(AND(317&gt;=$NR$14,317&lt;=$NS$14),IF($NP$14="Single_Point",IF(317=$NR$14,$NN$14,0),IF($NP$14="Bell_Curve",$NN$14*(317-$NR$14+1)*($NS$14-317+1)/$NU$14,$NN$14/$NT$14)),0)</f>
        <v/>
      </c>
      <c r="LJ14" s="228">
        <f>IF(AND(318&gt;=$NR$14,318&lt;=$NS$14),IF($NP$14="Single_Point",IF(318=$NR$14,$NN$14,0),IF($NP$14="Bell_Curve",$NN$14*(318-$NR$14+1)*($NS$14-318+1)/$NU$14,$NN$14/$NT$14)),0)</f>
        <v/>
      </c>
      <c r="LK14" s="228">
        <f>IF(AND(319&gt;=$NR$14,319&lt;=$NS$14),IF($NP$14="Single_Point",IF(319=$NR$14,$NN$14,0),IF($NP$14="Bell_Curve",$NN$14*(319-$NR$14+1)*($NS$14-319+1)/$NU$14,$NN$14/$NT$14)),0)</f>
        <v/>
      </c>
      <c r="LL14" s="228">
        <f>IF(AND(320&gt;=$NR$14,320&lt;=$NS$14),IF($NP$14="Single_Point",IF(320=$NR$14,$NN$14,0),IF($NP$14="Bell_Curve",$NN$14*(320-$NR$14+1)*($NS$14-320+1)/$NU$14,$NN$14/$NT$14)),0)</f>
        <v/>
      </c>
      <c r="LM14" s="228">
        <f>IF(AND(321&gt;=$NR$14,321&lt;=$NS$14),IF($NP$14="Single_Point",IF(321=$NR$14,$NN$14,0),IF($NP$14="Bell_Curve",$NN$14*(321-$NR$14+1)*($NS$14-321+1)/$NU$14,$NN$14/$NT$14)),0)</f>
        <v/>
      </c>
      <c r="LN14" s="228">
        <f>IF(AND(322&gt;=$NR$14,322&lt;=$NS$14),IF($NP$14="Single_Point",IF(322=$NR$14,$NN$14,0),IF($NP$14="Bell_Curve",$NN$14*(322-$NR$14+1)*($NS$14-322+1)/$NU$14,$NN$14/$NT$14)),0)</f>
        <v/>
      </c>
      <c r="LO14" s="228">
        <f>IF(AND(323&gt;=$NR$14,323&lt;=$NS$14),IF($NP$14="Single_Point",IF(323=$NR$14,$NN$14,0),IF($NP$14="Bell_Curve",$NN$14*(323-$NR$14+1)*($NS$14-323+1)/$NU$14,$NN$14/$NT$14)),0)</f>
        <v/>
      </c>
      <c r="LP14" s="228">
        <f>IF(AND(324&gt;=$NR$14,324&lt;=$NS$14),IF($NP$14="Single_Point",IF(324=$NR$14,$NN$14,0),IF($NP$14="Bell_Curve",$NN$14*(324-$NR$14+1)*($NS$14-324+1)/$NU$14,$NN$14/$NT$14)),0)</f>
        <v/>
      </c>
      <c r="LQ14" s="228">
        <f>IF(AND(325&gt;=$NR$14,325&lt;=$NS$14),IF($NP$14="Single_Point",IF(325=$NR$14,$NN$14,0),IF($NP$14="Bell_Curve",$NN$14*(325-$NR$14+1)*($NS$14-325+1)/$NU$14,$NN$14/$NT$14)),0)</f>
        <v/>
      </c>
      <c r="LR14" s="228">
        <f>IF(AND(326&gt;=$NR$14,326&lt;=$NS$14),IF($NP$14="Single_Point",IF(326=$NR$14,$NN$14,0),IF($NP$14="Bell_Curve",$NN$14*(326-$NR$14+1)*($NS$14-326+1)/$NU$14,$NN$14/$NT$14)),0)</f>
        <v/>
      </c>
      <c r="LS14" s="228">
        <f>IF(AND(327&gt;=$NR$14,327&lt;=$NS$14),IF($NP$14="Single_Point",IF(327=$NR$14,$NN$14,0),IF($NP$14="Bell_Curve",$NN$14*(327-$NR$14+1)*($NS$14-327+1)/$NU$14,$NN$14/$NT$14)),0)</f>
        <v/>
      </c>
      <c r="LT14" s="228">
        <f>IF(AND(328&gt;=$NR$14,328&lt;=$NS$14),IF($NP$14="Single_Point",IF(328=$NR$14,$NN$14,0),IF($NP$14="Bell_Curve",$NN$14*(328-$NR$14+1)*($NS$14-328+1)/$NU$14,$NN$14/$NT$14)),0)</f>
        <v/>
      </c>
      <c r="LU14" s="228">
        <f>IF(AND(329&gt;=$NR$14,329&lt;=$NS$14),IF($NP$14="Single_Point",IF(329=$NR$14,$NN$14,0),IF($NP$14="Bell_Curve",$NN$14*(329-$NR$14+1)*($NS$14-329+1)/$NU$14,$NN$14/$NT$14)),0)</f>
        <v/>
      </c>
      <c r="LV14" s="228">
        <f>IF(AND(330&gt;=$NR$14,330&lt;=$NS$14),IF($NP$14="Single_Point",IF(330=$NR$14,$NN$14,0),IF($NP$14="Bell_Curve",$NN$14*(330-$NR$14+1)*($NS$14-330+1)/$NU$14,$NN$14/$NT$14)),0)</f>
        <v/>
      </c>
      <c r="LW14" s="228">
        <f>IF(AND(331&gt;=$NR$14,331&lt;=$NS$14),IF($NP$14="Single_Point",IF(331=$NR$14,$NN$14,0),IF($NP$14="Bell_Curve",$NN$14*(331-$NR$14+1)*($NS$14-331+1)/$NU$14,$NN$14/$NT$14)),0)</f>
        <v/>
      </c>
      <c r="LX14" s="228">
        <f>IF(AND(332&gt;=$NR$14,332&lt;=$NS$14),IF($NP$14="Single_Point",IF(332=$NR$14,$NN$14,0),IF($NP$14="Bell_Curve",$NN$14*(332-$NR$14+1)*($NS$14-332+1)/$NU$14,$NN$14/$NT$14)),0)</f>
        <v/>
      </c>
      <c r="LY14" s="228">
        <f>IF(AND(333&gt;=$NR$14,333&lt;=$NS$14),IF($NP$14="Single_Point",IF(333=$NR$14,$NN$14,0),IF($NP$14="Bell_Curve",$NN$14*(333-$NR$14+1)*($NS$14-333+1)/$NU$14,$NN$14/$NT$14)),0)</f>
        <v/>
      </c>
      <c r="LZ14" s="228">
        <f>IF(AND(334&gt;=$NR$14,334&lt;=$NS$14),IF($NP$14="Single_Point",IF(334=$NR$14,$NN$14,0),IF($NP$14="Bell_Curve",$NN$14*(334-$NR$14+1)*($NS$14-334+1)/$NU$14,$NN$14/$NT$14)),0)</f>
        <v/>
      </c>
      <c r="MA14" s="228">
        <f>IF(AND(335&gt;=$NR$14,335&lt;=$NS$14),IF($NP$14="Single_Point",IF(335=$NR$14,$NN$14,0),IF($NP$14="Bell_Curve",$NN$14*(335-$NR$14+1)*($NS$14-335+1)/$NU$14,$NN$14/$NT$14)),0)</f>
        <v/>
      </c>
      <c r="MB14" s="228">
        <f>IF(AND(336&gt;=$NR$14,336&lt;=$NS$14),IF($NP$14="Single_Point",IF(336=$NR$14,$NN$14,0),IF($NP$14="Bell_Curve",$NN$14*(336-$NR$14+1)*($NS$14-336+1)/$NU$14,$NN$14/$NT$14)),0)</f>
        <v/>
      </c>
      <c r="MC14" s="228">
        <f>IF(AND(337&gt;=$NR$14,337&lt;=$NS$14),IF($NP$14="Single_Point",IF(337=$NR$14,$NN$14,0),IF($NP$14="Bell_Curve",$NN$14*(337-$NR$14+1)*($NS$14-337+1)/$NU$14,$NN$14/$NT$14)),0)</f>
        <v/>
      </c>
      <c r="MD14" s="228">
        <f>IF(AND(338&gt;=$NR$14,338&lt;=$NS$14),IF($NP$14="Single_Point",IF(338=$NR$14,$NN$14,0),IF($NP$14="Bell_Curve",$NN$14*(338-$NR$14+1)*($NS$14-338+1)/$NU$14,$NN$14/$NT$14)),0)</f>
        <v/>
      </c>
      <c r="ME14" s="228">
        <f>IF(AND(339&gt;=$NR$14,339&lt;=$NS$14),IF($NP$14="Single_Point",IF(339=$NR$14,$NN$14,0),IF($NP$14="Bell_Curve",$NN$14*(339-$NR$14+1)*($NS$14-339+1)/$NU$14,$NN$14/$NT$14)),0)</f>
        <v/>
      </c>
      <c r="MF14" s="228">
        <f>IF(AND(340&gt;=$NR$14,340&lt;=$NS$14),IF($NP$14="Single_Point",IF(340=$NR$14,$NN$14,0),IF($NP$14="Bell_Curve",$NN$14*(340-$NR$14+1)*($NS$14-340+1)/$NU$14,$NN$14/$NT$14)),0)</f>
        <v/>
      </c>
      <c r="MG14" s="228">
        <f>IF(AND(341&gt;=$NR$14,341&lt;=$NS$14),IF($NP$14="Single_Point",IF(341=$NR$14,$NN$14,0),IF($NP$14="Bell_Curve",$NN$14*(341-$NR$14+1)*($NS$14-341+1)/$NU$14,$NN$14/$NT$14)),0)</f>
        <v/>
      </c>
      <c r="MH14" s="228">
        <f>IF(AND(342&gt;=$NR$14,342&lt;=$NS$14),IF($NP$14="Single_Point",IF(342=$NR$14,$NN$14,0),IF($NP$14="Bell_Curve",$NN$14*(342-$NR$14+1)*($NS$14-342+1)/$NU$14,$NN$14/$NT$14)),0)</f>
        <v/>
      </c>
      <c r="MI14" s="228">
        <f>IF(AND(343&gt;=$NR$14,343&lt;=$NS$14),IF($NP$14="Single_Point",IF(343=$NR$14,$NN$14,0),IF($NP$14="Bell_Curve",$NN$14*(343-$NR$14+1)*($NS$14-343+1)/$NU$14,$NN$14/$NT$14)),0)</f>
        <v/>
      </c>
      <c r="MJ14" s="228">
        <f>IF(AND(344&gt;=$NR$14,344&lt;=$NS$14),IF($NP$14="Single_Point",IF(344=$NR$14,$NN$14,0),IF($NP$14="Bell_Curve",$NN$14*(344-$NR$14+1)*($NS$14-344+1)/$NU$14,$NN$14/$NT$14)),0)</f>
        <v/>
      </c>
      <c r="MK14" s="228">
        <f>IF(AND(345&gt;=$NR$14,345&lt;=$NS$14),IF($NP$14="Single_Point",IF(345=$NR$14,$NN$14,0),IF($NP$14="Bell_Curve",$NN$14*(345-$NR$14+1)*($NS$14-345+1)/$NU$14,$NN$14/$NT$14)),0)</f>
        <v/>
      </c>
      <c r="ML14" s="228">
        <f>IF(AND(346&gt;=$NR$14,346&lt;=$NS$14),IF($NP$14="Single_Point",IF(346=$NR$14,$NN$14,0),IF($NP$14="Bell_Curve",$NN$14*(346-$NR$14+1)*($NS$14-346+1)/$NU$14,$NN$14/$NT$14)),0)</f>
        <v/>
      </c>
      <c r="MM14" s="228">
        <f>IF(AND(347&gt;=$NR$14,347&lt;=$NS$14),IF($NP$14="Single_Point",IF(347=$NR$14,$NN$14,0),IF($NP$14="Bell_Curve",$NN$14*(347-$NR$14+1)*($NS$14-347+1)/$NU$14,$NN$14/$NT$14)),0)</f>
        <v/>
      </c>
      <c r="MN14" s="228">
        <f>IF(AND(348&gt;=$NR$14,348&lt;=$NS$14),IF($NP$14="Single_Point",IF(348=$NR$14,$NN$14,0),IF($NP$14="Bell_Curve",$NN$14*(348-$NR$14+1)*($NS$14-348+1)/$NU$14,$NN$14/$NT$14)),0)</f>
        <v/>
      </c>
      <c r="MO14" s="228">
        <f>IF(AND(349&gt;=$NR$14,349&lt;=$NS$14),IF($NP$14="Single_Point",IF(349=$NR$14,$NN$14,0),IF($NP$14="Bell_Curve",$NN$14*(349-$NR$14+1)*($NS$14-349+1)/$NU$14,$NN$14/$NT$14)),0)</f>
        <v/>
      </c>
      <c r="MP14" s="228">
        <f>IF(AND(350&gt;=$NR$14,350&lt;=$NS$14),IF($NP$14="Single_Point",IF(350=$NR$14,$NN$14,0),IF($NP$14="Bell_Curve",$NN$14*(350-$NR$14+1)*($NS$14-350+1)/$NU$14,$NN$14/$NT$14)),0)</f>
        <v/>
      </c>
      <c r="MQ14" s="228">
        <f>IF(AND(351&gt;=$NR$14,351&lt;=$NS$14),IF($NP$14="Single_Point",IF(351=$NR$14,$NN$14,0),IF($NP$14="Bell_Curve",$NN$14*(351-$NR$14+1)*($NS$14-351+1)/$NU$14,$NN$14/$NT$14)),0)</f>
        <v/>
      </c>
      <c r="MR14" s="228">
        <f>IF(AND(352&gt;=$NR$14,352&lt;=$NS$14),IF($NP$14="Single_Point",IF(352=$NR$14,$NN$14,0),IF($NP$14="Bell_Curve",$NN$14*(352-$NR$14+1)*($NS$14-352+1)/$NU$14,$NN$14/$NT$14)),0)</f>
        <v/>
      </c>
      <c r="MS14" s="228">
        <f>IF(AND(353&gt;=$NR$14,353&lt;=$NS$14),IF($NP$14="Single_Point",IF(353=$NR$14,$NN$14,0),IF($NP$14="Bell_Curve",$NN$14*(353-$NR$14+1)*($NS$14-353+1)/$NU$14,$NN$14/$NT$14)),0)</f>
        <v/>
      </c>
      <c r="MT14" s="228">
        <f>IF(AND(354&gt;=$NR$14,354&lt;=$NS$14),IF($NP$14="Single_Point",IF(354=$NR$14,$NN$14,0),IF($NP$14="Bell_Curve",$NN$14*(354-$NR$14+1)*($NS$14-354+1)/$NU$14,$NN$14/$NT$14)),0)</f>
        <v/>
      </c>
      <c r="MU14" s="228">
        <f>IF(AND(355&gt;=$NR$14,355&lt;=$NS$14),IF($NP$14="Single_Point",IF(355=$NR$14,$NN$14,0),IF($NP$14="Bell_Curve",$NN$14*(355-$NR$14+1)*($NS$14-355+1)/$NU$14,$NN$14/$NT$14)),0)</f>
        <v/>
      </c>
      <c r="MV14" s="228">
        <f>IF(AND(356&gt;=$NR$14,356&lt;=$NS$14),IF($NP$14="Single_Point",IF(356=$NR$14,$NN$14,0),IF($NP$14="Bell_Curve",$NN$14*(356-$NR$14+1)*($NS$14-356+1)/$NU$14,$NN$14/$NT$14)),0)</f>
        <v/>
      </c>
      <c r="MW14" s="228">
        <f>IF(AND(357&gt;=$NR$14,357&lt;=$NS$14),IF($NP$14="Single_Point",IF(357=$NR$14,$NN$14,0),IF($NP$14="Bell_Curve",$NN$14*(357-$NR$14+1)*($NS$14-357+1)/$NU$14,$NN$14/$NT$14)),0)</f>
        <v/>
      </c>
      <c r="MX14" s="228">
        <f>IF(AND(358&gt;=$NR$14,358&lt;=$NS$14),IF($NP$14="Single_Point",IF(358=$NR$14,$NN$14,0),IF($NP$14="Bell_Curve",$NN$14*(358-$NR$14+1)*($NS$14-358+1)/$NU$14,$NN$14/$NT$14)),0)</f>
        <v/>
      </c>
      <c r="MY14" s="228">
        <f>IF(AND(359&gt;=$NR$14,359&lt;=$NS$14),IF($NP$14="Single_Point",IF(359=$NR$14,$NN$14,0),IF($NP$14="Bell_Curve",$NN$14*(359-$NR$14+1)*($NS$14-359+1)/$NU$14,$NN$14/$NT$14)),0)</f>
        <v/>
      </c>
      <c r="MZ14" s="228">
        <f>IF(AND(360&gt;=$NR$14,360&lt;=$NS$14),IF($NP$14="Single_Point",IF(360=$NR$14,$NN$14,0),IF($NP$14="Bell_Curve",$NN$14*(360-$NR$14+1)*($NS$14-360+1)/$NU$14,$NN$14/$NT$14)),0)</f>
        <v/>
      </c>
      <c r="NA14" s="228">
        <f>IF(AND(361&gt;=$NR$14,361&lt;=$NS$14),IF($NP$14="Single_Point",IF(361=$NR$14,$NN$14,0),IF($NP$14="Bell_Curve",$NN$14*(361-$NR$14+1)*($NS$14-361+1)/$NU$14,$NN$14/$NT$14)),0)</f>
        <v/>
      </c>
      <c r="NB14" s="228">
        <f>IF(AND(362&gt;=$NR$14,362&lt;=$NS$14),IF($NP$14="Single_Point",IF(362=$NR$14,$NN$14,0),IF($NP$14="Bell_Curve",$NN$14*(362-$NR$14+1)*($NS$14-362+1)/$NU$14,$NN$14/$NT$14)),0)</f>
        <v/>
      </c>
      <c r="NC14" s="228">
        <f>IF(AND(363&gt;=$NR$14,363&lt;=$NS$14),IF($NP$14="Single_Point",IF(363=$NR$14,$NN$14,0),IF($NP$14="Bell_Curve",$NN$14*(363-$NR$14+1)*($NS$14-363+1)/$NU$14,$NN$14/$NT$14)),0)</f>
        <v/>
      </c>
      <c r="ND14" s="228">
        <f>IF(AND(364&gt;=$NR$14,364&lt;=$NS$14),IF($NP$14="Single_Point",IF(364=$NR$14,$NN$14,0),IF($NP$14="Bell_Curve",$NN$14*(364-$NR$14+1)*($NS$14-364+1)/$NU$14,$NN$14/$NT$14)),0)</f>
        <v/>
      </c>
      <c r="NE14" s="228">
        <f>IF(AND(365&gt;=$NR$14,365&lt;=$NS$14),IF($NP$14="Single_Point",IF(365=$NR$14,$NN$14,0),IF($NP$14="Bell_Curve",$NN$14*(365-$NR$14+1)*($NS$14-365+1)/$NU$14,$NN$14/$NT$14)),0)</f>
        <v/>
      </c>
      <c r="NF14" s="228">
        <f>IF(AND(366&gt;=$NR$14,366&lt;=$NS$14),IF($NP$14="Single_Point",IF(366=$NR$14,$NN$14,0),IF($NP$14="Bell_Curve",$NN$14*(366-$NR$14+1)*($NS$14-366+1)/$NU$14,$NN$14/$NT$14)),0)</f>
        <v/>
      </c>
      <c r="NG14" s="228">
        <f>IF(AND(367&gt;=$NR$14,367&lt;=$NS$14),IF($NP$14="Single_Point",IF(367=$NR$14,$NN$14,0),IF($NP$14="Bell_Curve",$NN$14*(367-$NR$14+1)*($NS$14-367+1)/$NU$14,$NN$14/$NT$14)),0)</f>
        <v/>
      </c>
      <c r="NH14" s="228">
        <f>IF(AND(368&gt;=$NR$14,368&lt;=$NS$14),IF($NP$14="Single_Point",IF(368=$NR$14,$NN$14,0),IF($NP$14="Bell_Curve",$NN$14*(368-$NR$14+1)*($NS$14-368+1)/$NU$14,$NN$14/$NT$14)),0)</f>
        <v/>
      </c>
      <c r="NI14" s="228">
        <f>IF(AND(369&gt;=$NR$14,369&lt;=$NS$14),IF($NP$14="Single_Point",IF(369=$NR$14,$NN$14,0),IF($NP$14="Bell_Curve",$NN$14*(369-$NR$14+1)*($NS$14-369+1)/$NU$14,$NN$14/$NT$14)),0)</f>
        <v/>
      </c>
      <c r="NJ14" s="228">
        <f>IF(AND(370&gt;=$NR$14,370&lt;=$NS$14),IF($NP$14="Single_Point",IF(370=$NR$14,$NN$14,0),IF($NP$14="Bell_Curve",$NN$14*(370-$NR$14+1)*($NS$14-370+1)/$NU$14,$NN$14/$NT$14)),0)</f>
        <v/>
      </c>
      <c r="NK14" s="228">
        <f>IF(AND(371&gt;=$NR$14,371&lt;=$NS$14),IF($NP$14="Single_Point",IF(371=$NR$14,$NN$14,0),IF($NP$14="Bell_Curve",$NN$14*(371-$NR$14+1)*($NS$14-371+1)/$NU$14,$NN$14/$NT$14)),0)</f>
        <v/>
      </c>
      <c r="NL14" s="247">
        <f>IF(AND(372&gt;=$NR$14,372&lt;=$NS$14),IF($NP$14="Single_Point",IF(372=$NR$14,$NN$14,0),IF($NP$14="Bell_Curve",$NN$14*(372-$NR$14+1)*($NS$14-372+1)/$NU$14,$NN$14/$NT$14)),0)</f>
        <v/>
      </c>
      <c r="NN14" s="218">
        <f>Budget!J13</f>
        <v/>
      </c>
      <c r="NO14" s="144">
        <f>Budget!G13</f>
        <v/>
      </c>
      <c r="NP14" s="144">
        <f>Budget!H13</f>
        <v/>
      </c>
      <c r="NQ14" s="85">
        <f>Budget!I13</f>
        <v/>
      </c>
      <c r="NR14" s="248">
        <f>MAX(1,MIN(372,INDEX(MilestoneStart,MATCH(NO14,MilestoneNames,0))+NQ14))</f>
        <v/>
      </c>
      <c r="NS14" s="248">
        <f>MAX(NR14,MIN(372,INDEX(MilestoneEnd,MATCH(NO14,MilestoneNames,0))+NQ14))</f>
        <v/>
      </c>
      <c r="NT14" s="85">
        <f>NS14-NR14+1</f>
        <v/>
      </c>
      <c r="NU14" s="85">
        <f>NT14*(NT14+1)*(NT14+2)/6</f>
        <v/>
      </c>
    </row>
    <row r="15">
      <c r="B15" s="36" t="inlineStr">
        <is>
          <t>GC Contract (Hard)</t>
        </is>
      </c>
      <c r="D15" s="246">
        <f>SUM(E15:NL15)</f>
        <v/>
      </c>
      <c r="E15" s="228">
        <f>IF(AND(1&gt;=$NR$15,1&lt;=$NS$15),IF($NP$15="Single_Point",IF(1=$NR$15,$NN$15,0),IF($NP$15="Bell_Curve",$NN$15*(1-$NR$15+1)*($NS$15-1+1)/$NU$15,$NN$15/$NT$15)),0)</f>
        <v/>
      </c>
      <c r="F15" s="228">
        <f>IF(AND(2&gt;=$NR$15,2&lt;=$NS$15),IF($NP$15="Single_Point",IF(2=$NR$15,$NN$15,0),IF($NP$15="Bell_Curve",$NN$15*(2-$NR$15+1)*($NS$15-2+1)/$NU$15,$NN$15/$NT$15)),0)</f>
        <v/>
      </c>
      <c r="G15" s="228">
        <f>IF(AND(3&gt;=$NR$15,3&lt;=$NS$15),IF($NP$15="Single_Point",IF(3=$NR$15,$NN$15,0),IF($NP$15="Bell_Curve",$NN$15*(3-$NR$15+1)*($NS$15-3+1)/$NU$15,$NN$15/$NT$15)),0)</f>
        <v/>
      </c>
      <c r="H15" s="228">
        <f>IF(AND(4&gt;=$NR$15,4&lt;=$NS$15),IF($NP$15="Single_Point",IF(4=$NR$15,$NN$15,0),IF($NP$15="Bell_Curve",$NN$15*(4-$NR$15+1)*($NS$15-4+1)/$NU$15,$NN$15/$NT$15)),0)</f>
        <v/>
      </c>
      <c r="I15" s="228">
        <f>IF(AND(5&gt;=$NR$15,5&lt;=$NS$15),IF($NP$15="Single_Point",IF(5=$NR$15,$NN$15,0),IF($NP$15="Bell_Curve",$NN$15*(5-$NR$15+1)*($NS$15-5+1)/$NU$15,$NN$15/$NT$15)),0)</f>
        <v/>
      </c>
      <c r="J15" s="228">
        <f>IF(AND(6&gt;=$NR$15,6&lt;=$NS$15),IF($NP$15="Single_Point",IF(6=$NR$15,$NN$15,0),IF($NP$15="Bell_Curve",$NN$15*(6-$NR$15+1)*($NS$15-6+1)/$NU$15,$NN$15/$NT$15)),0)</f>
        <v/>
      </c>
      <c r="K15" s="228">
        <f>IF(AND(7&gt;=$NR$15,7&lt;=$NS$15),IF($NP$15="Single_Point",IF(7=$NR$15,$NN$15,0),IF($NP$15="Bell_Curve",$NN$15*(7-$NR$15+1)*($NS$15-7+1)/$NU$15,$NN$15/$NT$15)),0)</f>
        <v/>
      </c>
      <c r="L15" s="228">
        <f>IF(AND(8&gt;=$NR$15,8&lt;=$NS$15),IF($NP$15="Single_Point",IF(8=$NR$15,$NN$15,0),IF($NP$15="Bell_Curve",$NN$15*(8-$NR$15+1)*($NS$15-8+1)/$NU$15,$NN$15/$NT$15)),0)</f>
        <v/>
      </c>
      <c r="M15" s="228">
        <f>IF(AND(9&gt;=$NR$15,9&lt;=$NS$15),IF($NP$15="Single_Point",IF(9=$NR$15,$NN$15,0),IF($NP$15="Bell_Curve",$NN$15*(9-$NR$15+1)*($NS$15-9+1)/$NU$15,$NN$15/$NT$15)),0)</f>
        <v/>
      </c>
      <c r="N15" s="228">
        <f>IF(AND(10&gt;=$NR$15,10&lt;=$NS$15),IF($NP$15="Single_Point",IF(10=$NR$15,$NN$15,0),IF($NP$15="Bell_Curve",$NN$15*(10-$NR$15+1)*($NS$15-10+1)/$NU$15,$NN$15/$NT$15)),0)</f>
        <v/>
      </c>
      <c r="O15" s="228">
        <f>IF(AND(11&gt;=$NR$15,11&lt;=$NS$15),IF($NP$15="Single_Point",IF(11=$NR$15,$NN$15,0),IF($NP$15="Bell_Curve",$NN$15*(11-$NR$15+1)*($NS$15-11+1)/$NU$15,$NN$15/$NT$15)),0)</f>
        <v/>
      </c>
      <c r="P15" s="228">
        <f>IF(AND(12&gt;=$NR$15,12&lt;=$NS$15),IF($NP$15="Single_Point",IF(12=$NR$15,$NN$15,0),IF($NP$15="Bell_Curve",$NN$15*(12-$NR$15+1)*($NS$15-12+1)/$NU$15,$NN$15/$NT$15)),0)</f>
        <v/>
      </c>
      <c r="Q15" s="228">
        <f>IF(AND(13&gt;=$NR$15,13&lt;=$NS$15),IF($NP$15="Single_Point",IF(13=$NR$15,$NN$15,0),IF($NP$15="Bell_Curve",$NN$15*(13-$NR$15+1)*($NS$15-13+1)/$NU$15,$NN$15/$NT$15)),0)</f>
        <v/>
      </c>
      <c r="R15" s="228">
        <f>IF(AND(14&gt;=$NR$15,14&lt;=$NS$15),IF($NP$15="Single_Point",IF(14=$NR$15,$NN$15,0),IF($NP$15="Bell_Curve",$NN$15*(14-$NR$15+1)*($NS$15-14+1)/$NU$15,$NN$15/$NT$15)),0)</f>
        <v/>
      </c>
      <c r="S15" s="228">
        <f>IF(AND(15&gt;=$NR$15,15&lt;=$NS$15),IF($NP$15="Single_Point",IF(15=$NR$15,$NN$15,0),IF($NP$15="Bell_Curve",$NN$15*(15-$NR$15+1)*($NS$15-15+1)/$NU$15,$NN$15/$NT$15)),0)</f>
        <v/>
      </c>
      <c r="T15" s="228">
        <f>IF(AND(16&gt;=$NR$15,16&lt;=$NS$15),IF($NP$15="Single_Point",IF(16=$NR$15,$NN$15,0),IF($NP$15="Bell_Curve",$NN$15*(16-$NR$15+1)*($NS$15-16+1)/$NU$15,$NN$15/$NT$15)),0)</f>
        <v/>
      </c>
      <c r="U15" s="228">
        <f>IF(AND(17&gt;=$NR$15,17&lt;=$NS$15),IF($NP$15="Single_Point",IF(17=$NR$15,$NN$15,0),IF($NP$15="Bell_Curve",$NN$15*(17-$NR$15+1)*($NS$15-17+1)/$NU$15,$NN$15/$NT$15)),0)</f>
        <v/>
      </c>
      <c r="V15" s="228">
        <f>IF(AND(18&gt;=$NR$15,18&lt;=$NS$15),IF($NP$15="Single_Point",IF(18=$NR$15,$NN$15,0),IF($NP$15="Bell_Curve",$NN$15*(18-$NR$15+1)*($NS$15-18+1)/$NU$15,$NN$15/$NT$15)),0)</f>
        <v/>
      </c>
      <c r="W15" s="228">
        <f>IF(AND(19&gt;=$NR$15,19&lt;=$NS$15),IF($NP$15="Single_Point",IF(19=$NR$15,$NN$15,0),IF($NP$15="Bell_Curve",$NN$15*(19-$NR$15+1)*($NS$15-19+1)/$NU$15,$NN$15/$NT$15)),0)</f>
        <v/>
      </c>
      <c r="X15" s="228">
        <f>IF(AND(20&gt;=$NR$15,20&lt;=$NS$15),IF($NP$15="Single_Point",IF(20=$NR$15,$NN$15,0),IF($NP$15="Bell_Curve",$NN$15*(20-$NR$15+1)*($NS$15-20+1)/$NU$15,$NN$15/$NT$15)),0)</f>
        <v/>
      </c>
      <c r="Y15" s="228">
        <f>IF(AND(21&gt;=$NR$15,21&lt;=$NS$15),IF($NP$15="Single_Point",IF(21=$NR$15,$NN$15,0),IF($NP$15="Bell_Curve",$NN$15*(21-$NR$15+1)*($NS$15-21+1)/$NU$15,$NN$15/$NT$15)),0)</f>
        <v/>
      </c>
      <c r="Z15" s="228">
        <f>IF(AND(22&gt;=$NR$15,22&lt;=$NS$15),IF($NP$15="Single_Point",IF(22=$NR$15,$NN$15,0),IF($NP$15="Bell_Curve",$NN$15*(22-$NR$15+1)*($NS$15-22+1)/$NU$15,$NN$15/$NT$15)),0)</f>
        <v/>
      </c>
      <c r="AA15" s="228">
        <f>IF(AND(23&gt;=$NR$15,23&lt;=$NS$15),IF($NP$15="Single_Point",IF(23=$NR$15,$NN$15,0),IF($NP$15="Bell_Curve",$NN$15*(23-$NR$15+1)*($NS$15-23+1)/$NU$15,$NN$15/$NT$15)),0)</f>
        <v/>
      </c>
      <c r="AB15" s="228">
        <f>IF(AND(24&gt;=$NR$15,24&lt;=$NS$15),IF($NP$15="Single_Point",IF(24=$NR$15,$NN$15,0),IF($NP$15="Bell_Curve",$NN$15*(24-$NR$15+1)*($NS$15-24+1)/$NU$15,$NN$15/$NT$15)),0)</f>
        <v/>
      </c>
      <c r="AC15" s="228">
        <f>IF(AND(25&gt;=$NR$15,25&lt;=$NS$15),IF($NP$15="Single_Point",IF(25=$NR$15,$NN$15,0),IF($NP$15="Bell_Curve",$NN$15*(25-$NR$15+1)*($NS$15-25+1)/$NU$15,$NN$15/$NT$15)),0)</f>
        <v/>
      </c>
      <c r="AD15" s="228">
        <f>IF(AND(26&gt;=$NR$15,26&lt;=$NS$15),IF($NP$15="Single_Point",IF(26=$NR$15,$NN$15,0),IF($NP$15="Bell_Curve",$NN$15*(26-$NR$15+1)*($NS$15-26+1)/$NU$15,$NN$15/$NT$15)),0)</f>
        <v/>
      </c>
      <c r="AE15" s="228">
        <f>IF(AND(27&gt;=$NR$15,27&lt;=$NS$15),IF($NP$15="Single_Point",IF(27=$NR$15,$NN$15,0),IF($NP$15="Bell_Curve",$NN$15*(27-$NR$15+1)*($NS$15-27+1)/$NU$15,$NN$15/$NT$15)),0)</f>
        <v/>
      </c>
      <c r="AF15" s="228">
        <f>IF(AND(28&gt;=$NR$15,28&lt;=$NS$15),IF($NP$15="Single_Point",IF(28=$NR$15,$NN$15,0),IF($NP$15="Bell_Curve",$NN$15*(28-$NR$15+1)*($NS$15-28+1)/$NU$15,$NN$15/$NT$15)),0)</f>
        <v/>
      </c>
      <c r="AG15" s="228">
        <f>IF(AND(29&gt;=$NR$15,29&lt;=$NS$15),IF($NP$15="Single_Point",IF(29=$NR$15,$NN$15,0),IF($NP$15="Bell_Curve",$NN$15*(29-$NR$15+1)*($NS$15-29+1)/$NU$15,$NN$15/$NT$15)),0)</f>
        <v/>
      </c>
      <c r="AH15" s="228">
        <f>IF(AND(30&gt;=$NR$15,30&lt;=$NS$15),IF($NP$15="Single_Point",IF(30=$NR$15,$NN$15,0),IF($NP$15="Bell_Curve",$NN$15*(30-$NR$15+1)*($NS$15-30+1)/$NU$15,$NN$15/$NT$15)),0)</f>
        <v/>
      </c>
      <c r="AI15" s="228">
        <f>IF(AND(31&gt;=$NR$15,31&lt;=$NS$15),IF($NP$15="Single_Point",IF(31=$NR$15,$NN$15,0),IF($NP$15="Bell_Curve",$NN$15*(31-$NR$15+1)*($NS$15-31+1)/$NU$15,$NN$15/$NT$15)),0)</f>
        <v/>
      </c>
      <c r="AJ15" s="228">
        <f>IF(AND(32&gt;=$NR$15,32&lt;=$NS$15),IF($NP$15="Single_Point",IF(32=$NR$15,$NN$15,0),IF($NP$15="Bell_Curve",$NN$15*(32-$NR$15+1)*($NS$15-32+1)/$NU$15,$NN$15/$NT$15)),0)</f>
        <v/>
      </c>
      <c r="AK15" s="228">
        <f>IF(AND(33&gt;=$NR$15,33&lt;=$NS$15),IF($NP$15="Single_Point",IF(33=$NR$15,$NN$15,0),IF($NP$15="Bell_Curve",$NN$15*(33-$NR$15+1)*($NS$15-33+1)/$NU$15,$NN$15/$NT$15)),0)</f>
        <v/>
      </c>
      <c r="AL15" s="228">
        <f>IF(AND(34&gt;=$NR$15,34&lt;=$NS$15),IF($NP$15="Single_Point",IF(34=$NR$15,$NN$15,0),IF($NP$15="Bell_Curve",$NN$15*(34-$NR$15+1)*($NS$15-34+1)/$NU$15,$NN$15/$NT$15)),0)</f>
        <v/>
      </c>
      <c r="AM15" s="228">
        <f>IF(AND(35&gt;=$NR$15,35&lt;=$NS$15),IF($NP$15="Single_Point",IF(35=$NR$15,$NN$15,0),IF($NP$15="Bell_Curve",$NN$15*(35-$NR$15+1)*($NS$15-35+1)/$NU$15,$NN$15/$NT$15)),0)</f>
        <v/>
      </c>
      <c r="AN15" s="228">
        <f>IF(AND(36&gt;=$NR$15,36&lt;=$NS$15),IF($NP$15="Single_Point",IF(36=$NR$15,$NN$15,0),IF($NP$15="Bell_Curve",$NN$15*(36-$NR$15+1)*($NS$15-36+1)/$NU$15,$NN$15/$NT$15)),0)</f>
        <v/>
      </c>
      <c r="AO15" s="228">
        <f>IF(AND(37&gt;=$NR$15,37&lt;=$NS$15),IF($NP$15="Single_Point",IF(37=$NR$15,$NN$15,0),IF($NP$15="Bell_Curve",$NN$15*(37-$NR$15+1)*($NS$15-37+1)/$NU$15,$NN$15/$NT$15)),0)</f>
        <v/>
      </c>
      <c r="AP15" s="228">
        <f>IF(AND(38&gt;=$NR$15,38&lt;=$NS$15),IF($NP$15="Single_Point",IF(38=$NR$15,$NN$15,0),IF($NP$15="Bell_Curve",$NN$15*(38-$NR$15+1)*($NS$15-38+1)/$NU$15,$NN$15/$NT$15)),0)</f>
        <v/>
      </c>
      <c r="AQ15" s="228">
        <f>IF(AND(39&gt;=$NR$15,39&lt;=$NS$15),IF($NP$15="Single_Point",IF(39=$NR$15,$NN$15,0),IF($NP$15="Bell_Curve",$NN$15*(39-$NR$15+1)*($NS$15-39+1)/$NU$15,$NN$15/$NT$15)),0)</f>
        <v/>
      </c>
      <c r="AR15" s="228">
        <f>IF(AND(40&gt;=$NR$15,40&lt;=$NS$15),IF($NP$15="Single_Point",IF(40=$NR$15,$NN$15,0),IF($NP$15="Bell_Curve",$NN$15*(40-$NR$15+1)*($NS$15-40+1)/$NU$15,$NN$15/$NT$15)),0)</f>
        <v/>
      </c>
      <c r="AS15" s="228">
        <f>IF(AND(41&gt;=$NR$15,41&lt;=$NS$15),IF($NP$15="Single_Point",IF(41=$NR$15,$NN$15,0),IF($NP$15="Bell_Curve",$NN$15*(41-$NR$15+1)*($NS$15-41+1)/$NU$15,$NN$15/$NT$15)),0)</f>
        <v/>
      </c>
      <c r="AT15" s="228">
        <f>IF(AND(42&gt;=$NR$15,42&lt;=$NS$15),IF($NP$15="Single_Point",IF(42=$NR$15,$NN$15,0),IF($NP$15="Bell_Curve",$NN$15*(42-$NR$15+1)*($NS$15-42+1)/$NU$15,$NN$15/$NT$15)),0)</f>
        <v/>
      </c>
      <c r="AU15" s="228">
        <f>IF(AND(43&gt;=$NR$15,43&lt;=$NS$15),IF($NP$15="Single_Point",IF(43=$NR$15,$NN$15,0),IF($NP$15="Bell_Curve",$NN$15*(43-$NR$15+1)*($NS$15-43+1)/$NU$15,$NN$15/$NT$15)),0)</f>
        <v/>
      </c>
      <c r="AV15" s="228">
        <f>IF(AND(44&gt;=$NR$15,44&lt;=$NS$15),IF($NP$15="Single_Point",IF(44=$NR$15,$NN$15,0),IF($NP$15="Bell_Curve",$NN$15*(44-$NR$15+1)*($NS$15-44+1)/$NU$15,$NN$15/$NT$15)),0)</f>
        <v/>
      </c>
      <c r="AW15" s="228">
        <f>IF(AND(45&gt;=$NR$15,45&lt;=$NS$15),IF($NP$15="Single_Point",IF(45=$NR$15,$NN$15,0),IF($NP$15="Bell_Curve",$NN$15*(45-$NR$15+1)*($NS$15-45+1)/$NU$15,$NN$15/$NT$15)),0)</f>
        <v/>
      </c>
      <c r="AX15" s="228">
        <f>IF(AND(46&gt;=$NR$15,46&lt;=$NS$15),IF($NP$15="Single_Point",IF(46=$NR$15,$NN$15,0),IF($NP$15="Bell_Curve",$NN$15*(46-$NR$15+1)*($NS$15-46+1)/$NU$15,$NN$15/$NT$15)),0)</f>
        <v/>
      </c>
      <c r="AY15" s="228">
        <f>IF(AND(47&gt;=$NR$15,47&lt;=$NS$15),IF($NP$15="Single_Point",IF(47=$NR$15,$NN$15,0),IF($NP$15="Bell_Curve",$NN$15*(47-$NR$15+1)*($NS$15-47+1)/$NU$15,$NN$15/$NT$15)),0)</f>
        <v/>
      </c>
      <c r="AZ15" s="228">
        <f>IF(AND(48&gt;=$NR$15,48&lt;=$NS$15),IF($NP$15="Single_Point",IF(48=$NR$15,$NN$15,0),IF($NP$15="Bell_Curve",$NN$15*(48-$NR$15+1)*($NS$15-48+1)/$NU$15,$NN$15/$NT$15)),0)</f>
        <v/>
      </c>
      <c r="BA15" s="228">
        <f>IF(AND(49&gt;=$NR$15,49&lt;=$NS$15),IF($NP$15="Single_Point",IF(49=$NR$15,$NN$15,0),IF($NP$15="Bell_Curve",$NN$15*(49-$NR$15+1)*($NS$15-49+1)/$NU$15,$NN$15/$NT$15)),0)</f>
        <v/>
      </c>
      <c r="BB15" s="228">
        <f>IF(AND(50&gt;=$NR$15,50&lt;=$NS$15),IF($NP$15="Single_Point",IF(50=$NR$15,$NN$15,0),IF($NP$15="Bell_Curve",$NN$15*(50-$NR$15+1)*($NS$15-50+1)/$NU$15,$NN$15/$NT$15)),0)</f>
        <v/>
      </c>
      <c r="BC15" s="228">
        <f>IF(AND(51&gt;=$NR$15,51&lt;=$NS$15),IF($NP$15="Single_Point",IF(51=$NR$15,$NN$15,0),IF($NP$15="Bell_Curve",$NN$15*(51-$NR$15+1)*($NS$15-51+1)/$NU$15,$NN$15/$NT$15)),0)</f>
        <v/>
      </c>
      <c r="BD15" s="228">
        <f>IF(AND(52&gt;=$NR$15,52&lt;=$NS$15),IF($NP$15="Single_Point",IF(52=$NR$15,$NN$15,0),IF($NP$15="Bell_Curve",$NN$15*(52-$NR$15+1)*($NS$15-52+1)/$NU$15,$NN$15/$NT$15)),0)</f>
        <v/>
      </c>
      <c r="BE15" s="228">
        <f>IF(AND(53&gt;=$NR$15,53&lt;=$NS$15),IF($NP$15="Single_Point",IF(53=$NR$15,$NN$15,0),IF($NP$15="Bell_Curve",$NN$15*(53-$NR$15+1)*($NS$15-53+1)/$NU$15,$NN$15/$NT$15)),0)</f>
        <v/>
      </c>
      <c r="BF15" s="228">
        <f>IF(AND(54&gt;=$NR$15,54&lt;=$NS$15),IF($NP$15="Single_Point",IF(54=$NR$15,$NN$15,0),IF($NP$15="Bell_Curve",$NN$15*(54-$NR$15+1)*($NS$15-54+1)/$NU$15,$NN$15/$NT$15)),0)</f>
        <v/>
      </c>
      <c r="BG15" s="228">
        <f>IF(AND(55&gt;=$NR$15,55&lt;=$NS$15),IF($NP$15="Single_Point",IF(55=$NR$15,$NN$15,0),IF($NP$15="Bell_Curve",$NN$15*(55-$NR$15+1)*($NS$15-55+1)/$NU$15,$NN$15/$NT$15)),0)</f>
        <v/>
      </c>
      <c r="BH15" s="228">
        <f>IF(AND(56&gt;=$NR$15,56&lt;=$NS$15),IF($NP$15="Single_Point",IF(56=$NR$15,$NN$15,0),IF($NP$15="Bell_Curve",$NN$15*(56-$NR$15+1)*($NS$15-56+1)/$NU$15,$NN$15/$NT$15)),0)</f>
        <v/>
      </c>
      <c r="BI15" s="228">
        <f>IF(AND(57&gt;=$NR$15,57&lt;=$NS$15),IF($NP$15="Single_Point",IF(57=$NR$15,$NN$15,0),IF($NP$15="Bell_Curve",$NN$15*(57-$NR$15+1)*($NS$15-57+1)/$NU$15,$NN$15/$NT$15)),0)</f>
        <v/>
      </c>
      <c r="BJ15" s="228">
        <f>IF(AND(58&gt;=$NR$15,58&lt;=$NS$15),IF($NP$15="Single_Point",IF(58=$NR$15,$NN$15,0),IF($NP$15="Bell_Curve",$NN$15*(58-$NR$15+1)*($NS$15-58+1)/$NU$15,$NN$15/$NT$15)),0)</f>
        <v/>
      </c>
      <c r="BK15" s="228">
        <f>IF(AND(59&gt;=$NR$15,59&lt;=$NS$15),IF($NP$15="Single_Point",IF(59=$NR$15,$NN$15,0),IF($NP$15="Bell_Curve",$NN$15*(59-$NR$15+1)*($NS$15-59+1)/$NU$15,$NN$15/$NT$15)),0)</f>
        <v/>
      </c>
      <c r="BL15" s="228">
        <f>IF(AND(60&gt;=$NR$15,60&lt;=$NS$15),IF($NP$15="Single_Point",IF(60=$NR$15,$NN$15,0),IF($NP$15="Bell_Curve",$NN$15*(60-$NR$15+1)*($NS$15-60+1)/$NU$15,$NN$15/$NT$15)),0)</f>
        <v/>
      </c>
      <c r="BM15" s="228">
        <f>IF(AND(61&gt;=$NR$15,61&lt;=$NS$15),IF($NP$15="Single_Point",IF(61=$NR$15,$NN$15,0),IF($NP$15="Bell_Curve",$NN$15*(61-$NR$15+1)*($NS$15-61+1)/$NU$15,$NN$15/$NT$15)),0)</f>
        <v/>
      </c>
      <c r="BN15" s="228">
        <f>IF(AND(62&gt;=$NR$15,62&lt;=$NS$15),IF($NP$15="Single_Point",IF(62=$NR$15,$NN$15,0),IF($NP$15="Bell_Curve",$NN$15*(62-$NR$15+1)*($NS$15-62+1)/$NU$15,$NN$15/$NT$15)),0)</f>
        <v/>
      </c>
      <c r="BO15" s="228">
        <f>IF(AND(63&gt;=$NR$15,63&lt;=$NS$15),IF($NP$15="Single_Point",IF(63=$NR$15,$NN$15,0),IF($NP$15="Bell_Curve",$NN$15*(63-$NR$15+1)*($NS$15-63+1)/$NU$15,$NN$15/$NT$15)),0)</f>
        <v/>
      </c>
      <c r="BP15" s="228">
        <f>IF(AND(64&gt;=$NR$15,64&lt;=$NS$15),IF($NP$15="Single_Point",IF(64=$NR$15,$NN$15,0),IF($NP$15="Bell_Curve",$NN$15*(64-$NR$15+1)*($NS$15-64+1)/$NU$15,$NN$15/$NT$15)),0)</f>
        <v/>
      </c>
      <c r="BQ15" s="228">
        <f>IF(AND(65&gt;=$NR$15,65&lt;=$NS$15),IF($NP$15="Single_Point",IF(65=$NR$15,$NN$15,0),IF($NP$15="Bell_Curve",$NN$15*(65-$NR$15+1)*($NS$15-65+1)/$NU$15,$NN$15/$NT$15)),0)</f>
        <v/>
      </c>
      <c r="BR15" s="228">
        <f>IF(AND(66&gt;=$NR$15,66&lt;=$NS$15),IF($NP$15="Single_Point",IF(66=$NR$15,$NN$15,0),IF($NP$15="Bell_Curve",$NN$15*(66-$NR$15+1)*($NS$15-66+1)/$NU$15,$NN$15/$NT$15)),0)</f>
        <v/>
      </c>
      <c r="BS15" s="228">
        <f>IF(AND(67&gt;=$NR$15,67&lt;=$NS$15),IF($NP$15="Single_Point",IF(67=$NR$15,$NN$15,0),IF($NP$15="Bell_Curve",$NN$15*(67-$NR$15+1)*($NS$15-67+1)/$NU$15,$NN$15/$NT$15)),0)</f>
        <v/>
      </c>
      <c r="BT15" s="228">
        <f>IF(AND(68&gt;=$NR$15,68&lt;=$NS$15),IF($NP$15="Single_Point",IF(68=$NR$15,$NN$15,0),IF($NP$15="Bell_Curve",$NN$15*(68-$NR$15+1)*($NS$15-68+1)/$NU$15,$NN$15/$NT$15)),0)</f>
        <v/>
      </c>
      <c r="BU15" s="228">
        <f>IF(AND(69&gt;=$NR$15,69&lt;=$NS$15),IF($NP$15="Single_Point",IF(69=$NR$15,$NN$15,0),IF($NP$15="Bell_Curve",$NN$15*(69-$NR$15+1)*($NS$15-69+1)/$NU$15,$NN$15/$NT$15)),0)</f>
        <v/>
      </c>
      <c r="BV15" s="228">
        <f>IF(AND(70&gt;=$NR$15,70&lt;=$NS$15),IF($NP$15="Single_Point",IF(70=$NR$15,$NN$15,0),IF($NP$15="Bell_Curve",$NN$15*(70-$NR$15+1)*($NS$15-70+1)/$NU$15,$NN$15/$NT$15)),0)</f>
        <v/>
      </c>
      <c r="BW15" s="228">
        <f>IF(AND(71&gt;=$NR$15,71&lt;=$NS$15),IF($NP$15="Single_Point",IF(71=$NR$15,$NN$15,0),IF($NP$15="Bell_Curve",$NN$15*(71-$NR$15+1)*($NS$15-71+1)/$NU$15,$NN$15/$NT$15)),0)</f>
        <v/>
      </c>
      <c r="BX15" s="228">
        <f>IF(AND(72&gt;=$NR$15,72&lt;=$NS$15),IF($NP$15="Single_Point",IF(72=$NR$15,$NN$15,0),IF($NP$15="Bell_Curve",$NN$15*(72-$NR$15+1)*($NS$15-72+1)/$NU$15,$NN$15/$NT$15)),0)</f>
        <v/>
      </c>
      <c r="BY15" s="228">
        <f>IF(AND(73&gt;=$NR$15,73&lt;=$NS$15),IF($NP$15="Single_Point",IF(73=$NR$15,$NN$15,0),IF($NP$15="Bell_Curve",$NN$15*(73-$NR$15+1)*($NS$15-73+1)/$NU$15,$NN$15/$NT$15)),0)</f>
        <v/>
      </c>
      <c r="BZ15" s="228">
        <f>IF(AND(74&gt;=$NR$15,74&lt;=$NS$15),IF($NP$15="Single_Point",IF(74=$NR$15,$NN$15,0),IF($NP$15="Bell_Curve",$NN$15*(74-$NR$15+1)*($NS$15-74+1)/$NU$15,$NN$15/$NT$15)),0)</f>
        <v/>
      </c>
      <c r="CA15" s="228">
        <f>IF(AND(75&gt;=$NR$15,75&lt;=$NS$15),IF($NP$15="Single_Point",IF(75=$NR$15,$NN$15,0),IF($NP$15="Bell_Curve",$NN$15*(75-$NR$15+1)*($NS$15-75+1)/$NU$15,$NN$15/$NT$15)),0)</f>
        <v/>
      </c>
      <c r="CB15" s="228">
        <f>IF(AND(76&gt;=$NR$15,76&lt;=$NS$15),IF($NP$15="Single_Point",IF(76=$NR$15,$NN$15,0),IF($NP$15="Bell_Curve",$NN$15*(76-$NR$15+1)*($NS$15-76+1)/$NU$15,$NN$15/$NT$15)),0)</f>
        <v/>
      </c>
      <c r="CC15" s="228">
        <f>IF(AND(77&gt;=$NR$15,77&lt;=$NS$15),IF($NP$15="Single_Point",IF(77=$NR$15,$NN$15,0),IF($NP$15="Bell_Curve",$NN$15*(77-$NR$15+1)*($NS$15-77+1)/$NU$15,$NN$15/$NT$15)),0)</f>
        <v/>
      </c>
      <c r="CD15" s="228">
        <f>IF(AND(78&gt;=$NR$15,78&lt;=$NS$15),IF($NP$15="Single_Point",IF(78=$NR$15,$NN$15,0),IF($NP$15="Bell_Curve",$NN$15*(78-$NR$15+1)*($NS$15-78+1)/$NU$15,$NN$15/$NT$15)),0)</f>
        <v/>
      </c>
      <c r="CE15" s="228">
        <f>IF(AND(79&gt;=$NR$15,79&lt;=$NS$15),IF($NP$15="Single_Point",IF(79=$NR$15,$NN$15,0),IF($NP$15="Bell_Curve",$NN$15*(79-$NR$15+1)*($NS$15-79+1)/$NU$15,$NN$15/$NT$15)),0)</f>
        <v/>
      </c>
      <c r="CF15" s="228">
        <f>IF(AND(80&gt;=$NR$15,80&lt;=$NS$15),IF($NP$15="Single_Point",IF(80=$NR$15,$NN$15,0),IF($NP$15="Bell_Curve",$NN$15*(80-$NR$15+1)*($NS$15-80+1)/$NU$15,$NN$15/$NT$15)),0)</f>
        <v/>
      </c>
      <c r="CG15" s="228">
        <f>IF(AND(81&gt;=$NR$15,81&lt;=$NS$15),IF($NP$15="Single_Point",IF(81=$NR$15,$NN$15,0),IF($NP$15="Bell_Curve",$NN$15*(81-$NR$15+1)*($NS$15-81+1)/$NU$15,$NN$15/$NT$15)),0)</f>
        <v/>
      </c>
      <c r="CH15" s="228">
        <f>IF(AND(82&gt;=$NR$15,82&lt;=$NS$15),IF($NP$15="Single_Point",IF(82=$NR$15,$NN$15,0),IF($NP$15="Bell_Curve",$NN$15*(82-$NR$15+1)*($NS$15-82+1)/$NU$15,$NN$15/$NT$15)),0)</f>
        <v/>
      </c>
      <c r="CI15" s="228">
        <f>IF(AND(83&gt;=$NR$15,83&lt;=$NS$15),IF($NP$15="Single_Point",IF(83=$NR$15,$NN$15,0),IF($NP$15="Bell_Curve",$NN$15*(83-$NR$15+1)*($NS$15-83+1)/$NU$15,$NN$15/$NT$15)),0)</f>
        <v/>
      </c>
      <c r="CJ15" s="228">
        <f>IF(AND(84&gt;=$NR$15,84&lt;=$NS$15),IF($NP$15="Single_Point",IF(84=$NR$15,$NN$15,0),IF($NP$15="Bell_Curve",$NN$15*(84-$NR$15+1)*($NS$15-84+1)/$NU$15,$NN$15/$NT$15)),0)</f>
        <v/>
      </c>
      <c r="CK15" s="228">
        <f>IF(AND(85&gt;=$NR$15,85&lt;=$NS$15),IF($NP$15="Single_Point",IF(85=$NR$15,$NN$15,0),IF($NP$15="Bell_Curve",$NN$15*(85-$NR$15+1)*($NS$15-85+1)/$NU$15,$NN$15/$NT$15)),0)</f>
        <v/>
      </c>
      <c r="CL15" s="228">
        <f>IF(AND(86&gt;=$NR$15,86&lt;=$NS$15),IF($NP$15="Single_Point",IF(86=$NR$15,$NN$15,0),IF($NP$15="Bell_Curve",$NN$15*(86-$NR$15+1)*($NS$15-86+1)/$NU$15,$NN$15/$NT$15)),0)</f>
        <v/>
      </c>
      <c r="CM15" s="228">
        <f>IF(AND(87&gt;=$NR$15,87&lt;=$NS$15),IF($NP$15="Single_Point",IF(87=$NR$15,$NN$15,0),IF($NP$15="Bell_Curve",$NN$15*(87-$NR$15+1)*($NS$15-87+1)/$NU$15,$NN$15/$NT$15)),0)</f>
        <v/>
      </c>
      <c r="CN15" s="228">
        <f>IF(AND(88&gt;=$NR$15,88&lt;=$NS$15),IF($NP$15="Single_Point",IF(88=$NR$15,$NN$15,0),IF($NP$15="Bell_Curve",$NN$15*(88-$NR$15+1)*($NS$15-88+1)/$NU$15,$NN$15/$NT$15)),0)</f>
        <v/>
      </c>
      <c r="CO15" s="228">
        <f>IF(AND(89&gt;=$NR$15,89&lt;=$NS$15),IF($NP$15="Single_Point",IF(89=$NR$15,$NN$15,0),IF($NP$15="Bell_Curve",$NN$15*(89-$NR$15+1)*($NS$15-89+1)/$NU$15,$NN$15/$NT$15)),0)</f>
        <v/>
      </c>
      <c r="CP15" s="228">
        <f>IF(AND(90&gt;=$NR$15,90&lt;=$NS$15),IF($NP$15="Single_Point",IF(90=$NR$15,$NN$15,0),IF($NP$15="Bell_Curve",$NN$15*(90-$NR$15+1)*($NS$15-90+1)/$NU$15,$NN$15/$NT$15)),0)</f>
        <v/>
      </c>
      <c r="CQ15" s="228">
        <f>IF(AND(91&gt;=$NR$15,91&lt;=$NS$15),IF($NP$15="Single_Point",IF(91=$NR$15,$NN$15,0),IF($NP$15="Bell_Curve",$NN$15*(91-$NR$15+1)*($NS$15-91+1)/$NU$15,$NN$15/$NT$15)),0)</f>
        <v/>
      </c>
      <c r="CR15" s="228">
        <f>IF(AND(92&gt;=$NR$15,92&lt;=$NS$15),IF($NP$15="Single_Point",IF(92=$NR$15,$NN$15,0),IF($NP$15="Bell_Curve",$NN$15*(92-$NR$15+1)*($NS$15-92+1)/$NU$15,$NN$15/$NT$15)),0)</f>
        <v/>
      </c>
      <c r="CS15" s="228">
        <f>IF(AND(93&gt;=$NR$15,93&lt;=$NS$15),IF($NP$15="Single_Point",IF(93=$NR$15,$NN$15,0),IF($NP$15="Bell_Curve",$NN$15*(93-$NR$15+1)*($NS$15-93+1)/$NU$15,$NN$15/$NT$15)),0)</f>
        <v/>
      </c>
      <c r="CT15" s="228">
        <f>IF(AND(94&gt;=$NR$15,94&lt;=$NS$15),IF($NP$15="Single_Point",IF(94=$NR$15,$NN$15,0),IF($NP$15="Bell_Curve",$NN$15*(94-$NR$15+1)*($NS$15-94+1)/$NU$15,$NN$15/$NT$15)),0)</f>
        <v/>
      </c>
      <c r="CU15" s="228">
        <f>IF(AND(95&gt;=$NR$15,95&lt;=$NS$15),IF($NP$15="Single_Point",IF(95=$NR$15,$NN$15,0),IF($NP$15="Bell_Curve",$NN$15*(95-$NR$15+1)*($NS$15-95+1)/$NU$15,$NN$15/$NT$15)),0)</f>
        <v/>
      </c>
      <c r="CV15" s="228">
        <f>IF(AND(96&gt;=$NR$15,96&lt;=$NS$15),IF($NP$15="Single_Point",IF(96=$NR$15,$NN$15,0),IF($NP$15="Bell_Curve",$NN$15*(96-$NR$15+1)*($NS$15-96+1)/$NU$15,$NN$15/$NT$15)),0)</f>
        <v/>
      </c>
      <c r="CW15" s="228">
        <f>IF(AND(97&gt;=$NR$15,97&lt;=$NS$15),IF($NP$15="Single_Point",IF(97=$NR$15,$NN$15,0),IF($NP$15="Bell_Curve",$NN$15*(97-$NR$15+1)*($NS$15-97+1)/$NU$15,$NN$15/$NT$15)),0)</f>
        <v/>
      </c>
      <c r="CX15" s="228">
        <f>IF(AND(98&gt;=$NR$15,98&lt;=$NS$15),IF($NP$15="Single_Point",IF(98=$NR$15,$NN$15,0),IF($NP$15="Bell_Curve",$NN$15*(98-$NR$15+1)*($NS$15-98+1)/$NU$15,$NN$15/$NT$15)),0)</f>
        <v/>
      </c>
      <c r="CY15" s="228">
        <f>IF(AND(99&gt;=$NR$15,99&lt;=$NS$15),IF($NP$15="Single_Point",IF(99=$NR$15,$NN$15,0),IF($NP$15="Bell_Curve",$NN$15*(99-$NR$15+1)*($NS$15-99+1)/$NU$15,$NN$15/$NT$15)),0)</f>
        <v/>
      </c>
      <c r="CZ15" s="228">
        <f>IF(AND(100&gt;=$NR$15,100&lt;=$NS$15),IF($NP$15="Single_Point",IF(100=$NR$15,$NN$15,0),IF($NP$15="Bell_Curve",$NN$15*(100-$NR$15+1)*($NS$15-100+1)/$NU$15,$NN$15/$NT$15)),0)</f>
        <v/>
      </c>
      <c r="DA15" s="228">
        <f>IF(AND(101&gt;=$NR$15,101&lt;=$NS$15),IF($NP$15="Single_Point",IF(101=$NR$15,$NN$15,0),IF($NP$15="Bell_Curve",$NN$15*(101-$NR$15+1)*($NS$15-101+1)/$NU$15,$NN$15/$NT$15)),0)</f>
        <v/>
      </c>
      <c r="DB15" s="228">
        <f>IF(AND(102&gt;=$NR$15,102&lt;=$NS$15),IF($NP$15="Single_Point",IF(102=$NR$15,$NN$15,0),IF($NP$15="Bell_Curve",$NN$15*(102-$NR$15+1)*($NS$15-102+1)/$NU$15,$NN$15/$NT$15)),0)</f>
        <v/>
      </c>
      <c r="DC15" s="228">
        <f>IF(AND(103&gt;=$NR$15,103&lt;=$NS$15),IF($NP$15="Single_Point",IF(103=$NR$15,$NN$15,0),IF($NP$15="Bell_Curve",$NN$15*(103-$NR$15+1)*($NS$15-103+1)/$NU$15,$NN$15/$NT$15)),0)</f>
        <v/>
      </c>
      <c r="DD15" s="228">
        <f>IF(AND(104&gt;=$NR$15,104&lt;=$NS$15),IF($NP$15="Single_Point",IF(104=$NR$15,$NN$15,0),IF($NP$15="Bell_Curve",$NN$15*(104-$NR$15+1)*($NS$15-104+1)/$NU$15,$NN$15/$NT$15)),0)</f>
        <v/>
      </c>
      <c r="DE15" s="228">
        <f>IF(AND(105&gt;=$NR$15,105&lt;=$NS$15),IF($NP$15="Single_Point",IF(105=$NR$15,$NN$15,0),IF($NP$15="Bell_Curve",$NN$15*(105-$NR$15+1)*($NS$15-105+1)/$NU$15,$NN$15/$NT$15)),0)</f>
        <v/>
      </c>
      <c r="DF15" s="228">
        <f>IF(AND(106&gt;=$NR$15,106&lt;=$NS$15),IF($NP$15="Single_Point",IF(106=$NR$15,$NN$15,0),IF($NP$15="Bell_Curve",$NN$15*(106-$NR$15+1)*($NS$15-106+1)/$NU$15,$NN$15/$NT$15)),0)</f>
        <v/>
      </c>
      <c r="DG15" s="228">
        <f>IF(AND(107&gt;=$NR$15,107&lt;=$NS$15),IF($NP$15="Single_Point",IF(107=$NR$15,$NN$15,0),IF($NP$15="Bell_Curve",$NN$15*(107-$NR$15+1)*($NS$15-107+1)/$NU$15,$NN$15/$NT$15)),0)</f>
        <v/>
      </c>
      <c r="DH15" s="228">
        <f>IF(AND(108&gt;=$NR$15,108&lt;=$NS$15),IF($NP$15="Single_Point",IF(108=$NR$15,$NN$15,0),IF($NP$15="Bell_Curve",$NN$15*(108-$NR$15+1)*($NS$15-108+1)/$NU$15,$NN$15/$NT$15)),0)</f>
        <v/>
      </c>
      <c r="DI15" s="228">
        <f>IF(AND(109&gt;=$NR$15,109&lt;=$NS$15),IF($NP$15="Single_Point",IF(109=$NR$15,$NN$15,0),IF($NP$15="Bell_Curve",$NN$15*(109-$NR$15+1)*($NS$15-109+1)/$NU$15,$NN$15/$NT$15)),0)</f>
        <v/>
      </c>
      <c r="DJ15" s="228">
        <f>IF(AND(110&gt;=$NR$15,110&lt;=$NS$15),IF($NP$15="Single_Point",IF(110=$NR$15,$NN$15,0),IF($NP$15="Bell_Curve",$NN$15*(110-$NR$15+1)*($NS$15-110+1)/$NU$15,$NN$15/$NT$15)),0)</f>
        <v/>
      </c>
      <c r="DK15" s="228">
        <f>IF(AND(111&gt;=$NR$15,111&lt;=$NS$15),IF($NP$15="Single_Point",IF(111=$NR$15,$NN$15,0),IF($NP$15="Bell_Curve",$NN$15*(111-$NR$15+1)*($NS$15-111+1)/$NU$15,$NN$15/$NT$15)),0)</f>
        <v/>
      </c>
      <c r="DL15" s="228">
        <f>IF(AND(112&gt;=$NR$15,112&lt;=$NS$15),IF($NP$15="Single_Point",IF(112=$NR$15,$NN$15,0),IF($NP$15="Bell_Curve",$NN$15*(112-$NR$15+1)*($NS$15-112+1)/$NU$15,$NN$15/$NT$15)),0)</f>
        <v/>
      </c>
      <c r="DM15" s="228">
        <f>IF(AND(113&gt;=$NR$15,113&lt;=$NS$15),IF($NP$15="Single_Point",IF(113=$NR$15,$NN$15,0),IF($NP$15="Bell_Curve",$NN$15*(113-$NR$15+1)*($NS$15-113+1)/$NU$15,$NN$15/$NT$15)),0)</f>
        <v/>
      </c>
      <c r="DN15" s="228">
        <f>IF(AND(114&gt;=$NR$15,114&lt;=$NS$15),IF($NP$15="Single_Point",IF(114=$NR$15,$NN$15,0),IF($NP$15="Bell_Curve",$NN$15*(114-$NR$15+1)*($NS$15-114+1)/$NU$15,$NN$15/$NT$15)),0)</f>
        <v/>
      </c>
      <c r="DO15" s="228">
        <f>IF(AND(115&gt;=$NR$15,115&lt;=$NS$15),IF($NP$15="Single_Point",IF(115=$NR$15,$NN$15,0),IF($NP$15="Bell_Curve",$NN$15*(115-$NR$15+1)*($NS$15-115+1)/$NU$15,$NN$15/$NT$15)),0)</f>
        <v/>
      </c>
      <c r="DP15" s="228">
        <f>IF(AND(116&gt;=$NR$15,116&lt;=$NS$15),IF($NP$15="Single_Point",IF(116=$NR$15,$NN$15,0),IF($NP$15="Bell_Curve",$NN$15*(116-$NR$15+1)*($NS$15-116+1)/$NU$15,$NN$15/$NT$15)),0)</f>
        <v/>
      </c>
      <c r="DQ15" s="228">
        <f>IF(AND(117&gt;=$NR$15,117&lt;=$NS$15),IF($NP$15="Single_Point",IF(117=$NR$15,$NN$15,0),IF($NP$15="Bell_Curve",$NN$15*(117-$NR$15+1)*($NS$15-117+1)/$NU$15,$NN$15/$NT$15)),0)</f>
        <v/>
      </c>
      <c r="DR15" s="228">
        <f>IF(AND(118&gt;=$NR$15,118&lt;=$NS$15),IF($NP$15="Single_Point",IF(118=$NR$15,$NN$15,0),IF($NP$15="Bell_Curve",$NN$15*(118-$NR$15+1)*($NS$15-118+1)/$NU$15,$NN$15/$NT$15)),0)</f>
        <v/>
      </c>
      <c r="DS15" s="228">
        <f>IF(AND(119&gt;=$NR$15,119&lt;=$NS$15),IF($NP$15="Single_Point",IF(119=$NR$15,$NN$15,0),IF($NP$15="Bell_Curve",$NN$15*(119-$NR$15+1)*($NS$15-119+1)/$NU$15,$NN$15/$NT$15)),0)</f>
        <v/>
      </c>
      <c r="DT15" s="228">
        <f>IF(AND(120&gt;=$NR$15,120&lt;=$NS$15),IF($NP$15="Single_Point",IF(120=$NR$15,$NN$15,0),IF($NP$15="Bell_Curve",$NN$15*(120-$NR$15+1)*($NS$15-120+1)/$NU$15,$NN$15/$NT$15)),0)</f>
        <v/>
      </c>
      <c r="DU15" s="228">
        <f>IF(AND(121&gt;=$NR$15,121&lt;=$NS$15),IF($NP$15="Single_Point",IF(121=$NR$15,$NN$15,0),IF($NP$15="Bell_Curve",$NN$15*(121-$NR$15+1)*($NS$15-121+1)/$NU$15,$NN$15/$NT$15)),0)</f>
        <v/>
      </c>
      <c r="DV15" s="228">
        <f>IF(AND(122&gt;=$NR$15,122&lt;=$NS$15),IF($NP$15="Single_Point",IF(122=$NR$15,$NN$15,0),IF($NP$15="Bell_Curve",$NN$15*(122-$NR$15+1)*($NS$15-122+1)/$NU$15,$NN$15/$NT$15)),0)</f>
        <v/>
      </c>
      <c r="DW15" s="228">
        <f>IF(AND(123&gt;=$NR$15,123&lt;=$NS$15),IF($NP$15="Single_Point",IF(123=$NR$15,$NN$15,0),IF($NP$15="Bell_Curve",$NN$15*(123-$NR$15+1)*($NS$15-123+1)/$NU$15,$NN$15/$NT$15)),0)</f>
        <v/>
      </c>
      <c r="DX15" s="228">
        <f>IF(AND(124&gt;=$NR$15,124&lt;=$NS$15),IF($NP$15="Single_Point",IF(124=$NR$15,$NN$15,0),IF($NP$15="Bell_Curve",$NN$15*(124-$NR$15+1)*($NS$15-124+1)/$NU$15,$NN$15/$NT$15)),0)</f>
        <v/>
      </c>
      <c r="DY15" s="228">
        <f>IF(AND(125&gt;=$NR$15,125&lt;=$NS$15),IF($NP$15="Single_Point",IF(125=$NR$15,$NN$15,0),IF($NP$15="Bell_Curve",$NN$15*(125-$NR$15+1)*($NS$15-125+1)/$NU$15,$NN$15/$NT$15)),0)</f>
        <v/>
      </c>
      <c r="DZ15" s="228">
        <f>IF(AND(126&gt;=$NR$15,126&lt;=$NS$15),IF($NP$15="Single_Point",IF(126=$NR$15,$NN$15,0),IF($NP$15="Bell_Curve",$NN$15*(126-$NR$15+1)*($NS$15-126+1)/$NU$15,$NN$15/$NT$15)),0)</f>
        <v/>
      </c>
      <c r="EA15" s="228">
        <f>IF(AND(127&gt;=$NR$15,127&lt;=$NS$15),IF($NP$15="Single_Point",IF(127=$NR$15,$NN$15,0),IF($NP$15="Bell_Curve",$NN$15*(127-$NR$15+1)*($NS$15-127+1)/$NU$15,$NN$15/$NT$15)),0)</f>
        <v/>
      </c>
      <c r="EB15" s="228">
        <f>IF(AND(128&gt;=$NR$15,128&lt;=$NS$15),IF($NP$15="Single_Point",IF(128=$NR$15,$NN$15,0),IF($NP$15="Bell_Curve",$NN$15*(128-$NR$15+1)*($NS$15-128+1)/$NU$15,$NN$15/$NT$15)),0)</f>
        <v/>
      </c>
      <c r="EC15" s="228">
        <f>IF(AND(129&gt;=$NR$15,129&lt;=$NS$15),IF($NP$15="Single_Point",IF(129=$NR$15,$NN$15,0),IF($NP$15="Bell_Curve",$NN$15*(129-$NR$15+1)*($NS$15-129+1)/$NU$15,$NN$15/$NT$15)),0)</f>
        <v/>
      </c>
      <c r="ED15" s="228">
        <f>IF(AND(130&gt;=$NR$15,130&lt;=$NS$15),IF($NP$15="Single_Point",IF(130=$NR$15,$NN$15,0),IF($NP$15="Bell_Curve",$NN$15*(130-$NR$15+1)*($NS$15-130+1)/$NU$15,$NN$15/$NT$15)),0)</f>
        <v/>
      </c>
      <c r="EE15" s="228">
        <f>IF(AND(131&gt;=$NR$15,131&lt;=$NS$15),IF($NP$15="Single_Point",IF(131=$NR$15,$NN$15,0),IF($NP$15="Bell_Curve",$NN$15*(131-$NR$15+1)*($NS$15-131+1)/$NU$15,$NN$15/$NT$15)),0)</f>
        <v/>
      </c>
      <c r="EF15" s="228">
        <f>IF(AND(132&gt;=$NR$15,132&lt;=$NS$15),IF($NP$15="Single_Point",IF(132=$NR$15,$NN$15,0),IF($NP$15="Bell_Curve",$NN$15*(132-$NR$15+1)*($NS$15-132+1)/$NU$15,$NN$15/$NT$15)),0)</f>
        <v/>
      </c>
      <c r="EG15" s="228">
        <f>IF(AND(133&gt;=$NR$15,133&lt;=$NS$15),IF($NP$15="Single_Point",IF(133=$NR$15,$NN$15,0),IF($NP$15="Bell_Curve",$NN$15*(133-$NR$15+1)*($NS$15-133+1)/$NU$15,$NN$15/$NT$15)),0)</f>
        <v/>
      </c>
      <c r="EH15" s="228">
        <f>IF(AND(134&gt;=$NR$15,134&lt;=$NS$15),IF($NP$15="Single_Point",IF(134=$NR$15,$NN$15,0),IF($NP$15="Bell_Curve",$NN$15*(134-$NR$15+1)*($NS$15-134+1)/$NU$15,$NN$15/$NT$15)),0)</f>
        <v/>
      </c>
      <c r="EI15" s="228">
        <f>IF(AND(135&gt;=$NR$15,135&lt;=$NS$15),IF($NP$15="Single_Point",IF(135=$NR$15,$NN$15,0),IF($NP$15="Bell_Curve",$NN$15*(135-$NR$15+1)*($NS$15-135+1)/$NU$15,$NN$15/$NT$15)),0)</f>
        <v/>
      </c>
      <c r="EJ15" s="228">
        <f>IF(AND(136&gt;=$NR$15,136&lt;=$NS$15),IF($NP$15="Single_Point",IF(136=$NR$15,$NN$15,0),IF($NP$15="Bell_Curve",$NN$15*(136-$NR$15+1)*($NS$15-136+1)/$NU$15,$NN$15/$NT$15)),0)</f>
        <v/>
      </c>
      <c r="EK15" s="228">
        <f>IF(AND(137&gt;=$NR$15,137&lt;=$NS$15),IF($NP$15="Single_Point",IF(137=$NR$15,$NN$15,0),IF($NP$15="Bell_Curve",$NN$15*(137-$NR$15+1)*($NS$15-137+1)/$NU$15,$NN$15/$NT$15)),0)</f>
        <v/>
      </c>
      <c r="EL15" s="228">
        <f>IF(AND(138&gt;=$NR$15,138&lt;=$NS$15),IF($NP$15="Single_Point",IF(138=$NR$15,$NN$15,0),IF($NP$15="Bell_Curve",$NN$15*(138-$NR$15+1)*($NS$15-138+1)/$NU$15,$NN$15/$NT$15)),0)</f>
        <v/>
      </c>
      <c r="EM15" s="228">
        <f>IF(AND(139&gt;=$NR$15,139&lt;=$NS$15),IF($NP$15="Single_Point",IF(139=$NR$15,$NN$15,0),IF($NP$15="Bell_Curve",$NN$15*(139-$NR$15+1)*($NS$15-139+1)/$NU$15,$NN$15/$NT$15)),0)</f>
        <v/>
      </c>
      <c r="EN15" s="228">
        <f>IF(AND(140&gt;=$NR$15,140&lt;=$NS$15),IF($NP$15="Single_Point",IF(140=$NR$15,$NN$15,0),IF($NP$15="Bell_Curve",$NN$15*(140-$NR$15+1)*($NS$15-140+1)/$NU$15,$NN$15/$NT$15)),0)</f>
        <v/>
      </c>
      <c r="EO15" s="228">
        <f>IF(AND(141&gt;=$NR$15,141&lt;=$NS$15),IF($NP$15="Single_Point",IF(141=$NR$15,$NN$15,0),IF($NP$15="Bell_Curve",$NN$15*(141-$NR$15+1)*($NS$15-141+1)/$NU$15,$NN$15/$NT$15)),0)</f>
        <v/>
      </c>
      <c r="EP15" s="228">
        <f>IF(AND(142&gt;=$NR$15,142&lt;=$NS$15),IF($NP$15="Single_Point",IF(142=$NR$15,$NN$15,0),IF($NP$15="Bell_Curve",$NN$15*(142-$NR$15+1)*($NS$15-142+1)/$NU$15,$NN$15/$NT$15)),0)</f>
        <v/>
      </c>
      <c r="EQ15" s="228">
        <f>IF(AND(143&gt;=$NR$15,143&lt;=$NS$15),IF($NP$15="Single_Point",IF(143=$NR$15,$NN$15,0),IF($NP$15="Bell_Curve",$NN$15*(143-$NR$15+1)*($NS$15-143+1)/$NU$15,$NN$15/$NT$15)),0)</f>
        <v/>
      </c>
      <c r="ER15" s="228">
        <f>IF(AND(144&gt;=$NR$15,144&lt;=$NS$15),IF($NP$15="Single_Point",IF(144=$NR$15,$NN$15,0),IF($NP$15="Bell_Curve",$NN$15*(144-$NR$15+1)*($NS$15-144+1)/$NU$15,$NN$15/$NT$15)),0)</f>
        <v/>
      </c>
      <c r="ES15" s="228">
        <f>IF(AND(145&gt;=$NR$15,145&lt;=$NS$15),IF($NP$15="Single_Point",IF(145=$NR$15,$NN$15,0),IF($NP$15="Bell_Curve",$NN$15*(145-$NR$15+1)*($NS$15-145+1)/$NU$15,$NN$15/$NT$15)),0)</f>
        <v/>
      </c>
      <c r="ET15" s="228">
        <f>IF(AND(146&gt;=$NR$15,146&lt;=$NS$15),IF($NP$15="Single_Point",IF(146=$NR$15,$NN$15,0),IF($NP$15="Bell_Curve",$NN$15*(146-$NR$15+1)*($NS$15-146+1)/$NU$15,$NN$15/$NT$15)),0)</f>
        <v/>
      </c>
      <c r="EU15" s="228">
        <f>IF(AND(147&gt;=$NR$15,147&lt;=$NS$15),IF($NP$15="Single_Point",IF(147=$NR$15,$NN$15,0),IF($NP$15="Bell_Curve",$NN$15*(147-$NR$15+1)*($NS$15-147+1)/$NU$15,$NN$15/$NT$15)),0)</f>
        <v/>
      </c>
      <c r="EV15" s="228">
        <f>IF(AND(148&gt;=$NR$15,148&lt;=$NS$15),IF($NP$15="Single_Point",IF(148=$NR$15,$NN$15,0),IF($NP$15="Bell_Curve",$NN$15*(148-$NR$15+1)*($NS$15-148+1)/$NU$15,$NN$15/$NT$15)),0)</f>
        <v/>
      </c>
      <c r="EW15" s="228">
        <f>IF(AND(149&gt;=$NR$15,149&lt;=$NS$15),IF($NP$15="Single_Point",IF(149=$NR$15,$NN$15,0),IF($NP$15="Bell_Curve",$NN$15*(149-$NR$15+1)*($NS$15-149+1)/$NU$15,$NN$15/$NT$15)),0)</f>
        <v/>
      </c>
      <c r="EX15" s="228">
        <f>IF(AND(150&gt;=$NR$15,150&lt;=$NS$15),IF($NP$15="Single_Point",IF(150=$NR$15,$NN$15,0),IF($NP$15="Bell_Curve",$NN$15*(150-$NR$15+1)*($NS$15-150+1)/$NU$15,$NN$15/$NT$15)),0)</f>
        <v/>
      </c>
      <c r="EY15" s="228">
        <f>IF(AND(151&gt;=$NR$15,151&lt;=$NS$15),IF($NP$15="Single_Point",IF(151=$NR$15,$NN$15,0),IF($NP$15="Bell_Curve",$NN$15*(151-$NR$15+1)*($NS$15-151+1)/$NU$15,$NN$15/$NT$15)),0)</f>
        <v/>
      </c>
      <c r="EZ15" s="228">
        <f>IF(AND(152&gt;=$NR$15,152&lt;=$NS$15),IF($NP$15="Single_Point",IF(152=$NR$15,$NN$15,0),IF($NP$15="Bell_Curve",$NN$15*(152-$NR$15+1)*($NS$15-152+1)/$NU$15,$NN$15/$NT$15)),0)</f>
        <v/>
      </c>
      <c r="FA15" s="228">
        <f>IF(AND(153&gt;=$NR$15,153&lt;=$NS$15),IF($NP$15="Single_Point",IF(153=$NR$15,$NN$15,0),IF($NP$15="Bell_Curve",$NN$15*(153-$NR$15+1)*($NS$15-153+1)/$NU$15,$NN$15/$NT$15)),0)</f>
        <v/>
      </c>
      <c r="FB15" s="228">
        <f>IF(AND(154&gt;=$NR$15,154&lt;=$NS$15),IF($NP$15="Single_Point",IF(154=$NR$15,$NN$15,0),IF($NP$15="Bell_Curve",$NN$15*(154-$NR$15+1)*($NS$15-154+1)/$NU$15,$NN$15/$NT$15)),0)</f>
        <v/>
      </c>
      <c r="FC15" s="228">
        <f>IF(AND(155&gt;=$NR$15,155&lt;=$NS$15),IF($NP$15="Single_Point",IF(155=$NR$15,$NN$15,0),IF($NP$15="Bell_Curve",$NN$15*(155-$NR$15+1)*($NS$15-155+1)/$NU$15,$NN$15/$NT$15)),0)</f>
        <v/>
      </c>
      <c r="FD15" s="228">
        <f>IF(AND(156&gt;=$NR$15,156&lt;=$NS$15),IF($NP$15="Single_Point",IF(156=$NR$15,$NN$15,0),IF($NP$15="Bell_Curve",$NN$15*(156-$NR$15+1)*($NS$15-156+1)/$NU$15,$NN$15/$NT$15)),0)</f>
        <v/>
      </c>
      <c r="FE15" s="228">
        <f>IF(AND(157&gt;=$NR$15,157&lt;=$NS$15),IF($NP$15="Single_Point",IF(157=$NR$15,$NN$15,0),IF($NP$15="Bell_Curve",$NN$15*(157-$NR$15+1)*($NS$15-157+1)/$NU$15,$NN$15/$NT$15)),0)</f>
        <v/>
      </c>
      <c r="FF15" s="228">
        <f>IF(AND(158&gt;=$NR$15,158&lt;=$NS$15),IF($NP$15="Single_Point",IF(158=$NR$15,$NN$15,0),IF($NP$15="Bell_Curve",$NN$15*(158-$NR$15+1)*($NS$15-158+1)/$NU$15,$NN$15/$NT$15)),0)</f>
        <v/>
      </c>
      <c r="FG15" s="228">
        <f>IF(AND(159&gt;=$NR$15,159&lt;=$NS$15),IF($NP$15="Single_Point",IF(159=$NR$15,$NN$15,0),IF($NP$15="Bell_Curve",$NN$15*(159-$NR$15+1)*($NS$15-159+1)/$NU$15,$NN$15/$NT$15)),0)</f>
        <v/>
      </c>
      <c r="FH15" s="228">
        <f>IF(AND(160&gt;=$NR$15,160&lt;=$NS$15),IF($NP$15="Single_Point",IF(160=$NR$15,$NN$15,0),IF($NP$15="Bell_Curve",$NN$15*(160-$NR$15+1)*($NS$15-160+1)/$NU$15,$NN$15/$NT$15)),0)</f>
        <v/>
      </c>
      <c r="FI15" s="228">
        <f>IF(AND(161&gt;=$NR$15,161&lt;=$NS$15),IF($NP$15="Single_Point",IF(161=$NR$15,$NN$15,0),IF($NP$15="Bell_Curve",$NN$15*(161-$NR$15+1)*($NS$15-161+1)/$NU$15,$NN$15/$NT$15)),0)</f>
        <v/>
      </c>
      <c r="FJ15" s="228">
        <f>IF(AND(162&gt;=$NR$15,162&lt;=$NS$15),IF($NP$15="Single_Point",IF(162=$NR$15,$NN$15,0),IF($NP$15="Bell_Curve",$NN$15*(162-$NR$15+1)*($NS$15-162+1)/$NU$15,$NN$15/$NT$15)),0)</f>
        <v/>
      </c>
      <c r="FK15" s="228">
        <f>IF(AND(163&gt;=$NR$15,163&lt;=$NS$15),IF($NP$15="Single_Point",IF(163=$NR$15,$NN$15,0),IF($NP$15="Bell_Curve",$NN$15*(163-$NR$15+1)*($NS$15-163+1)/$NU$15,$NN$15/$NT$15)),0)</f>
        <v/>
      </c>
      <c r="FL15" s="228">
        <f>IF(AND(164&gt;=$NR$15,164&lt;=$NS$15),IF($NP$15="Single_Point",IF(164=$NR$15,$NN$15,0),IF($NP$15="Bell_Curve",$NN$15*(164-$NR$15+1)*($NS$15-164+1)/$NU$15,$NN$15/$NT$15)),0)</f>
        <v/>
      </c>
      <c r="FM15" s="228">
        <f>IF(AND(165&gt;=$NR$15,165&lt;=$NS$15),IF($NP$15="Single_Point",IF(165=$NR$15,$NN$15,0),IF($NP$15="Bell_Curve",$NN$15*(165-$NR$15+1)*($NS$15-165+1)/$NU$15,$NN$15/$NT$15)),0)</f>
        <v/>
      </c>
      <c r="FN15" s="228">
        <f>IF(AND(166&gt;=$NR$15,166&lt;=$NS$15),IF($NP$15="Single_Point",IF(166=$NR$15,$NN$15,0),IF($NP$15="Bell_Curve",$NN$15*(166-$NR$15+1)*($NS$15-166+1)/$NU$15,$NN$15/$NT$15)),0)</f>
        <v/>
      </c>
      <c r="FO15" s="228">
        <f>IF(AND(167&gt;=$NR$15,167&lt;=$NS$15),IF($NP$15="Single_Point",IF(167=$NR$15,$NN$15,0),IF($NP$15="Bell_Curve",$NN$15*(167-$NR$15+1)*($NS$15-167+1)/$NU$15,$NN$15/$NT$15)),0)</f>
        <v/>
      </c>
      <c r="FP15" s="228">
        <f>IF(AND(168&gt;=$NR$15,168&lt;=$NS$15),IF($NP$15="Single_Point",IF(168=$NR$15,$NN$15,0),IF($NP$15="Bell_Curve",$NN$15*(168-$NR$15+1)*($NS$15-168+1)/$NU$15,$NN$15/$NT$15)),0)</f>
        <v/>
      </c>
      <c r="FQ15" s="228">
        <f>IF(AND(169&gt;=$NR$15,169&lt;=$NS$15),IF($NP$15="Single_Point",IF(169=$NR$15,$NN$15,0),IF($NP$15="Bell_Curve",$NN$15*(169-$NR$15+1)*($NS$15-169+1)/$NU$15,$NN$15/$NT$15)),0)</f>
        <v/>
      </c>
      <c r="FR15" s="228">
        <f>IF(AND(170&gt;=$NR$15,170&lt;=$NS$15),IF($NP$15="Single_Point",IF(170=$NR$15,$NN$15,0),IF($NP$15="Bell_Curve",$NN$15*(170-$NR$15+1)*($NS$15-170+1)/$NU$15,$NN$15/$NT$15)),0)</f>
        <v/>
      </c>
      <c r="FS15" s="228">
        <f>IF(AND(171&gt;=$NR$15,171&lt;=$NS$15),IF($NP$15="Single_Point",IF(171=$NR$15,$NN$15,0),IF($NP$15="Bell_Curve",$NN$15*(171-$NR$15+1)*($NS$15-171+1)/$NU$15,$NN$15/$NT$15)),0)</f>
        <v/>
      </c>
      <c r="FT15" s="228">
        <f>IF(AND(172&gt;=$NR$15,172&lt;=$NS$15),IF($NP$15="Single_Point",IF(172=$NR$15,$NN$15,0),IF($NP$15="Bell_Curve",$NN$15*(172-$NR$15+1)*($NS$15-172+1)/$NU$15,$NN$15/$NT$15)),0)</f>
        <v/>
      </c>
      <c r="FU15" s="228">
        <f>IF(AND(173&gt;=$NR$15,173&lt;=$NS$15),IF($NP$15="Single_Point",IF(173=$NR$15,$NN$15,0),IF($NP$15="Bell_Curve",$NN$15*(173-$NR$15+1)*($NS$15-173+1)/$NU$15,$NN$15/$NT$15)),0)</f>
        <v/>
      </c>
      <c r="FV15" s="228">
        <f>IF(AND(174&gt;=$NR$15,174&lt;=$NS$15),IF($NP$15="Single_Point",IF(174=$NR$15,$NN$15,0),IF($NP$15="Bell_Curve",$NN$15*(174-$NR$15+1)*($NS$15-174+1)/$NU$15,$NN$15/$NT$15)),0)</f>
        <v/>
      </c>
      <c r="FW15" s="228">
        <f>IF(AND(175&gt;=$NR$15,175&lt;=$NS$15),IF($NP$15="Single_Point",IF(175=$NR$15,$NN$15,0),IF($NP$15="Bell_Curve",$NN$15*(175-$NR$15+1)*($NS$15-175+1)/$NU$15,$NN$15/$NT$15)),0)</f>
        <v/>
      </c>
      <c r="FX15" s="228">
        <f>IF(AND(176&gt;=$NR$15,176&lt;=$NS$15),IF($NP$15="Single_Point",IF(176=$NR$15,$NN$15,0),IF($NP$15="Bell_Curve",$NN$15*(176-$NR$15+1)*($NS$15-176+1)/$NU$15,$NN$15/$NT$15)),0)</f>
        <v/>
      </c>
      <c r="FY15" s="228">
        <f>IF(AND(177&gt;=$NR$15,177&lt;=$NS$15),IF($NP$15="Single_Point",IF(177=$NR$15,$NN$15,0),IF($NP$15="Bell_Curve",$NN$15*(177-$NR$15+1)*($NS$15-177+1)/$NU$15,$NN$15/$NT$15)),0)</f>
        <v/>
      </c>
      <c r="FZ15" s="228">
        <f>IF(AND(178&gt;=$NR$15,178&lt;=$NS$15),IF($NP$15="Single_Point",IF(178=$NR$15,$NN$15,0),IF($NP$15="Bell_Curve",$NN$15*(178-$NR$15+1)*($NS$15-178+1)/$NU$15,$NN$15/$NT$15)),0)</f>
        <v/>
      </c>
      <c r="GA15" s="228">
        <f>IF(AND(179&gt;=$NR$15,179&lt;=$NS$15),IF($NP$15="Single_Point",IF(179=$NR$15,$NN$15,0),IF($NP$15="Bell_Curve",$NN$15*(179-$NR$15+1)*($NS$15-179+1)/$NU$15,$NN$15/$NT$15)),0)</f>
        <v/>
      </c>
      <c r="GB15" s="228">
        <f>IF(AND(180&gt;=$NR$15,180&lt;=$NS$15),IF($NP$15="Single_Point",IF(180=$NR$15,$NN$15,0),IF($NP$15="Bell_Curve",$NN$15*(180-$NR$15+1)*($NS$15-180+1)/$NU$15,$NN$15/$NT$15)),0)</f>
        <v/>
      </c>
      <c r="GC15" s="228">
        <f>IF(AND(181&gt;=$NR$15,181&lt;=$NS$15),IF($NP$15="Single_Point",IF(181=$NR$15,$NN$15,0),IF($NP$15="Bell_Curve",$NN$15*(181-$NR$15+1)*($NS$15-181+1)/$NU$15,$NN$15/$NT$15)),0)</f>
        <v/>
      </c>
      <c r="GD15" s="228">
        <f>IF(AND(182&gt;=$NR$15,182&lt;=$NS$15),IF($NP$15="Single_Point",IF(182=$NR$15,$NN$15,0),IF($NP$15="Bell_Curve",$NN$15*(182-$NR$15+1)*($NS$15-182+1)/$NU$15,$NN$15/$NT$15)),0)</f>
        <v/>
      </c>
      <c r="GE15" s="228">
        <f>IF(AND(183&gt;=$NR$15,183&lt;=$NS$15),IF($NP$15="Single_Point",IF(183=$NR$15,$NN$15,0),IF($NP$15="Bell_Curve",$NN$15*(183-$NR$15+1)*($NS$15-183+1)/$NU$15,$NN$15/$NT$15)),0)</f>
        <v/>
      </c>
      <c r="GF15" s="228">
        <f>IF(AND(184&gt;=$NR$15,184&lt;=$NS$15),IF($NP$15="Single_Point",IF(184=$NR$15,$NN$15,0),IF($NP$15="Bell_Curve",$NN$15*(184-$NR$15+1)*($NS$15-184+1)/$NU$15,$NN$15/$NT$15)),0)</f>
        <v/>
      </c>
      <c r="GG15" s="228">
        <f>IF(AND(185&gt;=$NR$15,185&lt;=$NS$15),IF($NP$15="Single_Point",IF(185=$NR$15,$NN$15,0),IF($NP$15="Bell_Curve",$NN$15*(185-$NR$15+1)*($NS$15-185+1)/$NU$15,$NN$15/$NT$15)),0)</f>
        <v/>
      </c>
      <c r="GH15" s="228">
        <f>IF(AND(186&gt;=$NR$15,186&lt;=$NS$15),IF($NP$15="Single_Point",IF(186=$NR$15,$NN$15,0),IF($NP$15="Bell_Curve",$NN$15*(186-$NR$15+1)*($NS$15-186+1)/$NU$15,$NN$15/$NT$15)),0)</f>
        <v/>
      </c>
      <c r="GI15" s="228">
        <f>IF(AND(187&gt;=$NR$15,187&lt;=$NS$15),IF($NP$15="Single_Point",IF(187=$NR$15,$NN$15,0),IF($NP$15="Bell_Curve",$NN$15*(187-$NR$15+1)*($NS$15-187+1)/$NU$15,$NN$15/$NT$15)),0)</f>
        <v/>
      </c>
      <c r="GJ15" s="228">
        <f>IF(AND(188&gt;=$NR$15,188&lt;=$NS$15),IF($NP$15="Single_Point",IF(188=$NR$15,$NN$15,0),IF($NP$15="Bell_Curve",$NN$15*(188-$NR$15+1)*($NS$15-188+1)/$NU$15,$NN$15/$NT$15)),0)</f>
        <v/>
      </c>
      <c r="GK15" s="228">
        <f>IF(AND(189&gt;=$NR$15,189&lt;=$NS$15),IF($NP$15="Single_Point",IF(189=$NR$15,$NN$15,0),IF($NP$15="Bell_Curve",$NN$15*(189-$NR$15+1)*($NS$15-189+1)/$NU$15,$NN$15/$NT$15)),0)</f>
        <v/>
      </c>
      <c r="GL15" s="228">
        <f>IF(AND(190&gt;=$NR$15,190&lt;=$NS$15),IF($NP$15="Single_Point",IF(190=$NR$15,$NN$15,0),IF($NP$15="Bell_Curve",$NN$15*(190-$NR$15+1)*($NS$15-190+1)/$NU$15,$NN$15/$NT$15)),0)</f>
        <v/>
      </c>
      <c r="GM15" s="228">
        <f>IF(AND(191&gt;=$NR$15,191&lt;=$NS$15),IF($NP$15="Single_Point",IF(191=$NR$15,$NN$15,0),IF($NP$15="Bell_Curve",$NN$15*(191-$NR$15+1)*($NS$15-191+1)/$NU$15,$NN$15/$NT$15)),0)</f>
        <v/>
      </c>
      <c r="GN15" s="228">
        <f>IF(AND(192&gt;=$NR$15,192&lt;=$NS$15),IF($NP$15="Single_Point",IF(192=$NR$15,$NN$15,0),IF($NP$15="Bell_Curve",$NN$15*(192-$NR$15+1)*($NS$15-192+1)/$NU$15,$NN$15/$NT$15)),0)</f>
        <v/>
      </c>
      <c r="GO15" s="228">
        <f>IF(AND(193&gt;=$NR$15,193&lt;=$NS$15),IF($NP$15="Single_Point",IF(193=$NR$15,$NN$15,0),IF($NP$15="Bell_Curve",$NN$15*(193-$NR$15+1)*($NS$15-193+1)/$NU$15,$NN$15/$NT$15)),0)</f>
        <v/>
      </c>
      <c r="GP15" s="228">
        <f>IF(AND(194&gt;=$NR$15,194&lt;=$NS$15),IF($NP$15="Single_Point",IF(194=$NR$15,$NN$15,0),IF($NP$15="Bell_Curve",$NN$15*(194-$NR$15+1)*($NS$15-194+1)/$NU$15,$NN$15/$NT$15)),0)</f>
        <v/>
      </c>
      <c r="GQ15" s="228">
        <f>IF(AND(195&gt;=$NR$15,195&lt;=$NS$15),IF($NP$15="Single_Point",IF(195=$NR$15,$NN$15,0),IF($NP$15="Bell_Curve",$NN$15*(195-$NR$15+1)*($NS$15-195+1)/$NU$15,$NN$15/$NT$15)),0)</f>
        <v/>
      </c>
      <c r="GR15" s="228">
        <f>IF(AND(196&gt;=$NR$15,196&lt;=$NS$15),IF($NP$15="Single_Point",IF(196=$NR$15,$NN$15,0),IF($NP$15="Bell_Curve",$NN$15*(196-$NR$15+1)*($NS$15-196+1)/$NU$15,$NN$15/$NT$15)),0)</f>
        <v/>
      </c>
      <c r="GS15" s="228">
        <f>IF(AND(197&gt;=$NR$15,197&lt;=$NS$15),IF($NP$15="Single_Point",IF(197=$NR$15,$NN$15,0),IF($NP$15="Bell_Curve",$NN$15*(197-$NR$15+1)*($NS$15-197+1)/$NU$15,$NN$15/$NT$15)),0)</f>
        <v/>
      </c>
      <c r="GT15" s="228">
        <f>IF(AND(198&gt;=$NR$15,198&lt;=$NS$15),IF($NP$15="Single_Point",IF(198=$NR$15,$NN$15,0),IF($NP$15="Bell_Curve",$NN$15*(198-$NR$15+1)*($NS$15-198+1)/$NU$15,$NN$15/$NT$15)),0)</f>
        <v/>
      </c>
      <c r="GU15" s="228">
        <f>IF(AND(199&gt;=$NR$15,199&lt;=$NS$15),IF($NP$15="Single_Point",IF(199=$NR$15,$NN$15,0),IF($NP$15="Bell_Curve",$NN$15*(199-$NR$15+1)*($NS$15-199+1)/$NU$15,$NN$15/$NT$15)),0)</f>
        <v/>
      </c>
      <c r="GV15" s="228">
        <f>IF(AND(200&gt;=$NR$15,200&lt;=$NS$15),IF($NP$15="Single_Point",IF(200=$NR$15,$NN$15,0),IF($NP$15="Bell_Curve",$NN$15*(200-$NR$15+1)*($NS$15-200+1)/$NU$15,$NN$15/$NT$15)),0)</f>
        <v/>
      </c>
      <c r="GW15" s="228">
        <f>IF(AND(201&gt;=$NR$15,201&lt;=$NS$15),IF($NP$15="Single_Point",IF(201=$NR$15,$NN$15,0),IF($NP$15="Bell_Curve",$NN$15*(201-$NR$15+1)*($NS$15-201+1)/$NU$15,$NN$15/$NT$15)),0)</f>
        <v/>
      </c>
      <c r="GX15" s="228">
        <f>IF(AND(202&gt;=$NR$15,202&lt;=$NS$15),IF($NP$15="Single_Point",IF(202=$NR$15,$NN$15,0),IF($NP$15="Bell_Curve",$NN$15*(202-$NR$15+1)*($NS$15-202+1)/$NU$15,$NN$15/$NT$15)),0)</f>
        <v/>
      </c>
      <c r="GY15" s="228">
        <f>IF(AND(203&gt;=$NR$15,203&lt;=$NS$15),IF($NP$15="Single_Point",IF(203=$NR$15,$NN$15,0),IF($NP$15="Bell_Curve",$NN$15*(203-$NR$15+1)*($NS$15-203+1)/$NU$15,$NN$15/$NT$15)),0)</f>
        <v/>
      </c>
      <c r="GZ15" s="228">
        <f>IF(AND(204&gt;=$NR$15,204&lt;=$NS$15),IF($NP$15="Single_Point",IF(204=$NR$15,$NN$15,0),IF($NP$15="Bell_Curve",$NN$15*(204-$NR$15+1)*($NS$15-204+1)/$NU$15,$NN$15/$NT$15)),0)</f>
        <v/>
      </c>
      <c r="HA15" s="228">
        <f>IF(AND(205&gt;=$NR$15,205&lt;=$NS$15),IF($NP$15="Single_Point",IF(205=$NR$15,$NN$15,0),IF($NP$15="Bell_Curve",$NN$15*(205-$NR$15+1)*($NS$15-205+1)/$NU$15,$NN$15/$NT$15)),0)</f>
        <v/>
      </c>
      <c r="HB15" s="228">
        <f>IF(AND(206&gt;=$NR$15,206&lt;=$NS$15),IF($NP$15="Single_Point",IF(206=$NR$15,$NN$15,0),IF($NP$15="Bell_Curve",$NN$15*(206-$NR$15+1)*($NS$15-206+1)/$NU$15,$NN$15/$NT$15)),0)</f>
        <v/>
      </c>
      <c r="HC15" s="228">
        <f>IF(AND(207&gt;=$NR$15,207&lt;=$NS$15),IF($NP$15="Single_Point",IF(207=$NR$15,$NN$15,0),IF($NP$15="Bell_Curve",$NN$15*(207-$NR$15+1)*($NS$15-207+1)/$NU$15,$NN$15/$NT$15)),0)</f>
        <v/>
      </c>
      <c r="HD15" s="228">
        <f>IF(AND(208&gt;=$NR$15,208&lt;=$NS$15),IF($NP$15="Single_Point",IF(208=$NR$15,$NN$15,0),IF($NP$15="Bell_Curve",$NN$15*(208-$NR$15+1)*($NS$15-208+1)/$NU$15,$NN$15/$NT$15)),0)</f>
        <v/>
      </c>
      <c r="HE15" s="228">
        <f>IF(AND(209&gt;=$NR$15,209&lt;=$NS$15),IF($NP$15="Single_Point",IF(209=$NR$15,$NN$15,0),IF($NP$15="Bell_Curve",$NN$15*(209-$NR$15+1)*($NS$15-209+1)/$NU$15,$NN$15/$NT$15)),0)</f>
        <v/>
      </c>
      <c r="HF15" s="228">
        <f>IF(AND(210&gt;=$NR$15,210&lt;=$NS$15),IF($NP$15="Single_Point",IF(210=$NR$15,$NN$15,0),IF($NP$15="Bell_Curve",$NN$15*(210-$NR$15+1)*($NS$15-210+1)/$NU$15,$NN$15/$NT$15)),0)</f>
        <v/>
      </c>
      <c r="HG15" s="228">
        <f>IF(AND(211&gt;=$NR$15,211&lt;=$NS$15),IF($NP$15="Single_Point",IF(211=$NR$15,$NN$15,0),IF($NP$15="Bell_Curve",$NN$15*(211-$NR$15+1)*($NS$15-211+1)/$NU$15,$NN$15/$NT$15)),0)</f>
        <v/>
      </c>
      <c r="HH15" s="228">
        <f>IF(AND(212&gt;=$NR$15,212&lt;=$NS$15),IF($NP$15="Single_Point",IF(212=$NR$15,$NN$15,0),IF($NP$15="Bell_Curve",$NN$15*(212-$NR$15+1)*($NS$15-212+1)/$NU$15,$NN$15/$NT$15)),0)</f>
        <v/>
      </c>
      <c r="HI15" s="228">
        <f>IF(AND(213&gt;=$NR$15,213&lt;=$NS$15),IF($NP$15="Single_Point",IF(213=$NR$15,$NN$15,0),IF($NP$15="Bell_Curve",$NN$15*(213-$NR$15+1)*($NS$15-213+1)/$NU$15,$NN$15/$NT$15)),0)</f>
        <v/>
      </c>
      <c r="HJ15" s="228">
        <f>IF(AND(214&gt;=$NR$15,214&lt;=$NS$15),IF($NP$15="Single_Point",IF(214=$NR$15,$NN$15,0),IF($NP$15="Bell_Curve",$NN$15*(214-$NR$15+1)*($NS$15-214+1)/$NU$15,$NN$15/$NT$15)),0)</f>
        <v/>
      </c>
      <c r="HK15" s="228">
        <f>IF(AND(215&gt;=$NR$15,215&lt;=$NS$15),IF($NP$15="Single_Point",IF(215=$NR$15,$NN$15,0),IF($NP$15="Bell_Curve",$NN$15*(215-$NR$15+1)*($NS$15-215+1)/$NU$15,$NN$15/$NT$15)),0)</f>
        <v/>
      </c>
      <c r="HL15" s="228">
        <f>IF(AND(216&gt;=$NR$15,216&lt;=$NS$15),IF($NP$15="Single_Point",IF(216=$NR$15,$NN$15,0),IF($NP$15="Bell_Curve",$NN$15*(216-$NR$15+1)*($NS$15-216+1)/$NU$15,$NN$15/$NT$15)),0)</f>
        <v/>
      </c>
      <c r="HM15" s="228">
        <f>IF(AND(217&gt;=$NR$15,217&lt;=$NS$15),IF($NP$15="Single_Point",IF(217=$NR$15,$NN$15,0),IF($NP$15="Bell_Curve",$NN$15*(217-$NR$15+1)*($NS$15-217+1)/$NU$15,$NN$15/$NT$15)),0)</f>
        <v/>
      </c>
      <c r="HN15" s="228">
        <f>IF(AND(218&gt;=$NR$15,218&lt;=$NS$15),IF($NP$15="Single_Point",IF(218=$NR$15,$NN$15,0),IF($NP$15="Bell_Curve",$NN$15*(218-$NR$15+1)*($NS$15-218+1)/$NU$15,$NN$15/$NT$15)),0)</f>
        <v/>
      </c>
      <c r="HO15" s="228">
        <f>IF(AND(219&gt;=$NR$15,219&lt;=$NS$15),IF($NP$15="Single_Point",IF(219=$NR$15,$NN$15,0),IF($NP$15="Bell_Curve",$NN$15*(219-$NR$15+1)*($NS$15-219+1)/$NU$15,$NN$15/$NT$15)),0)</f>
        <v/>
      </c>
      <c r="HP15" s="228">
        <f>IF(AND(220&gt;=$NR$15,220&lt;=$NS$15),IF($NP$15="Single_Point",IF(220=$NR$15,$NN$15,0),IF($NP$15="Bell_Curve",$NN$15*(220-$NR$15+1)*($NS$15-220+1)/$NU$15,$NN$15/$NT$15)),0)</f>
        <v/>
      </c>
      <c r="HQ15" s="228">
        <f>IF(AND(221&gt;=$NR$15,221&lt;=$NS$15),IF($NP$15="Single_Point",IF(221=$NR$15,$NN$15,0),IF($NP$15="Bell_Curve",$NN$15*(221-$NR$15+1)*($NS$15-221+1)/$NU$15,$NN$15/$NT$15)),0)</f>
        <v/>
      </c>
      <c r="HR15" s="228">
        <f>IF(AND(222&gt;=$NR$15,222&lt;=$NS$15),IF($NP$15="Single_Point",IF(222=$NR$15,$NN$15,0),IF($NP$15="Bell_Curve",$NN$15*(222-$NR$15+1)*($NS$15-222+1)/$NU$15,$NN$15/$NT$15)),0)</f>
        <v/>
      </c>
      <c r="HS15" s="228">
        <f>IF(AND(223&gt;=$NR$15,223&lt;=$NS$15),IF($NP$15="Single_Point",IF(223=$NR$15,$NN$15,0),IF($NP$15="Bell_Curve",$NN$15*(223-$NR$15+1)*($NS$15-223+1)/$NU$15,$NN$15/$NT$15)),0)</f>
        <v/>
      </c>
      <c r="HT15" s="228">
        <f>IF(AND(224&gt;=$NR$15,224&lt;=$NS$15),IF($NP$15="Single_Point",IF(224=$NR$15,$NN$15,0),IF($NP$15="Bell_Curve",$NN$15*(224-$NR$15+1)*($NS$15-224+1)/$NU$15,$NN$15/$NT$15)),0)</f>
        <v/>
      </c>
      <c r="HU15" s="228">
        <f>IF(AND(225&gt;=$NR$15,225&lt;=$NS$15),IF($NP$15="Single_Point",IF(225=$NR$15,$NN$15,0),IF($NP$15="Bell_Curve",$NN$15*(225-$NR$15+1)*($NS$15-225+1)/$NU$15,$NN$15/$NT$15)),0)</f>
        <v/>
      </c>
      <c r="HV15" s="228">
        <f>IF(AND(226&gt;=$NR$15,226&lt;=$NS$15),IF($NP$15="Single_Point",IF(226=$NR$15,$NN$15,0),IF($NP$15="Bell_Curve",$NN$15*(226-$NR$15+1)*($NS$15-226+1)/$NU$15,$NN$15/$NT$15)),0)</f>
        <v/>
      </c>
      <c r="HW15" s="228">
        <f>IF(AND(227&gt;=$NR$15,227&lt;=$NS$15),IF($NP$15="Single_Point",IF(227=$NR$15,$NN$15,0),IF($NP$15="Bell_Curve",$NN$15*(227-$NR$15+1)*($NS$15-227+1)/$NU$15,$NN$15/$NT$15)),0)</f>
        <v/>
      </c>
      <c r="HX15" s="228">
        <f>IF(AND(228&gt;=$NR$15,228&lt;=$NS$15),IF($NP$15="Single_Point",IF(228=$NR$15,$NN$15,0),IF($NP$15="Bell_Curve",$NN$15*(228-$NR$15+1)*($NS$15-228+1)/$NU$15,$NN$15/$NT$15)),0)</f>
        <v/>
      </c>
      <c r="HY15" s="228">
        <f>IF(AND(229&gt;=$NR$15,229&lt;=$NS$15),IF($NP$15="Single_Point",IF(229=$NR$15,$NN$15,0),IF($NP$15="Bell_Curve",$NN$15*(229-$NR$15+1)*($NS$15-229+1)/$NU$15,$NN$15/$NT$15)),0)</f>
        <v/>
      </c>
      <c r="HZ15" s="228">
        <f>IF(AND(230&gt;=$NR$15,230&lt;=$NS$15),IF($NP$15="Single_Point",IF(230=$NR$15,$NN$15,0),IF($NP$15="Bell_Curve",$NN$15*(230-$NR$15+1)*($NS$15-230+1)/$NU$15,$NN$15/$NT$15)),0)</f>
        <v/>
      </c>
      <c r="IA15" s="228">
        <f>IF(AND(231&gt;=$NR$15,231&lt;=$NS$15),IF($NP$15="Single_Point",IF(231=$NR$15,$NN$15,0),IF($NP$15="Bell_Curve",$NN$15*(231-$NR$15+1)*($NS$15-231+1)/$NU$15,$NN$15/$NT$15)),0)</f>
        <v/>
      </c>
      <c r="IB15" s="228">
        <f>IF(AND(232&gt;=$NR$15,232&lt;=$NS$15),IF($NP$15="Single_Point",IF(232=$NR$15,$NN$15,0),IF($NP$15="Bell_Curve",$NN$15*(232-$NR$15+1)*($NS$15-232+1)/$NU$15,$NN$15/$NT$15)),0)</f>
        <v/>
      </c>
      <c r="IC15" s="228">
        <f>IF(AND(233&gt;=$NR$15,233&lt;=$NS$15),IF($NP$15="Single_Point",IF(233=$NR$15,$NN$15,0),IF($NP$15="Bell_Curve",$NN$15*(233-$NR$15+1)*($NS$15-233+1)/$NU$15,$NN$15/$NT$15)),0)</f>
        <v/>
      </c>
      <c r="ID15" s="228">
        <f>IF(AND(234&gt;=$NR$15,234&lt;=$NS$15),IF($NP$15="Single_Point",IF(234=$NR$15,$NN$15,0),IF($NP$15="Bell_Curve",$NN$15*(234-$NR$15+1)*($NS$15-234+1)/$NU$15,$NN$15/$NT$15)),0)</f>
        <v/>
      </c>
      <c r="IE15" s="228">
        <f>IF(AND(235&gt;=$NR$15,235&lt;=$NS$15),IF($NP$15="Single_Point",IF(235=$NR$15,$NN$15,0),IF($NP$15="Bell_Curve",$NN$15*(235-$NR$15+1)*($NS$15-235+1)/$NU$15,$NN$15/$NT$15)),0)</f>
        <v/>
      </c>
      <c r="IF15" s="228">
        <f>IF(AND(236&gt;=$NR$15,236&lt;=$NS$15),IF($NP$15="Single_Point",IF(236=$NR$15,$NN$15,0),IF($NP$15="Bell_Curve",$NN$15*(236-$NR$15+1)*($NS$15-236+1)/$NU$15,$NN$15/$NT$15)),0)</f>
        <v/>
      </c>
      <c r="IG15" s="228">
        <f>IF(AND(237&gt;=$NR$15,237&lt;=$NS$15),IF($NP$15="Single_Point",IF(237=$NR$15,$NN$15,0),IF($NP$15="Bell_Curve",$NN$15*(237-$NR$15+1)*($NS$15-237+1)/$NU$15,$NN$15/$NT$15)),0)</f>
        <v/>
      </c>
      <c r="IH15" s="228">
        <f>IF(AND(238&gt;=$NR$15,238&lt;=$NS$15),IF($NP$15="Single_Point",IF(238=$NR$15,$NN$15,0),IF($NP$15="Bell_Curve",$NN$15*(238-$NR$15+1)*($NS$15-238+1)/$NU$15,$NN$15/$NT$15)),0)</f>
        <v/>
      </c>
      <c r="II15" s="228">
        <f>IF(AND(239&gt;=$NR$15,239&lt;=$NS$15),IF($NP$15="Single_Point",IF(239=$NR$15,$NN$15,0),IF($NP$15="Bell_Curve",$NN$15*(239-$NR$15+1)*($NS$15-239+1)/$NU$15,$NN$15/$NT$15)),0)</f>
        <v/>
      </c>
      <c r="IJ15" s="228">
        <f>IF(AND(240&gt;=$NR$15,240&lt;=$NS$15),IF($NP$15="Single_Point",IF(240=$NR$15,$NN$15,0),IF($NP$15="Bell_Curve",$NN$15*(240-$NR$15+1)*($NS$15-240+1)/$NU$15,$NN$15/$NT$15)),0)</f>
        <v/>
      </c>
      <c r="IK15" s="228">
        <f>IF(AND(241&gt;=$NR$15,241&lt;=$NS$15),IF($NP$15="Single_Point",IF(241=$NR$15,$NN$15,0),IF($NP$15="Bell_Curve",$NN$15*(241-$NR$15+1)*($NS$15-241+1)/$NU$15,$NN$15/$NT$15)),0)</f>
        <v/>
      </c>
      <c r="IL15" s="228">
        <f>IF(AND(242&gt;=$NR$15,242&lt;=$NS$15),IF($NP$15="Single_Point",IF(242=$NR$15,$NN$15,0),IF($NP$15="Bell_Curve",$NN$15*(242-$NR$15+1)*($NS$15-242+1)/$NU$15,$NN$15/$NT$15)),0)</f>
        <v/>
      </c>
      <c r="IM15" s="228">
        <f>IF(AND(243&gt;=$NR$15,243&lt;=$NS$15),IF($NP$15="Single_Point",IF(243=$NR$15,$NN$15,0),IF($NP$15="Bell_Curve",$NN$15*(243-$NR$15+1)*($NS$15-243+1)/$NU$15,$NN$15/$NT$15)),0)</f>
        <v/>
      </c>
      <c r="IN15" s="228">
        <f>IF(AND(244&gt;=$NR$15,244&lt;=$NS$15),IF($NP$15="Single_Point",IF(244=$NR$15,$NN$15,0),IF($NP$15="Bell_Curve",$NN$15*(244-$NR$15+1)*($NS$15-244+1)/$NU$15,$NN$15/$NT$15)),0)</f>
        <v/>
      </c>
      <c r="IO15" s="228">
        <f>IF(AND(245&gt;=$NR$15,245&lt;=$NS$15),IF($NP$15="Single_Point",IF(245=$NR$15,$NN$15,0),IF($NP$15="Bell_Curve",$NN$15*(245-$NR$15+1)*($NS$15-245+1)/$NU$15,$NN$15/$NT$15)),0)</f>
        <v/>
      </c>
      <c r="IP15" s="228">
        <f>IF(AND(246&gt;=$NR$15,246&lt;=$NS$15),IF($NP$15="Single_Point",IF(246=$NR$15,$NN$15,0),IF($NP$15="Bell_Curve",$NN$15*(246-$NR$15+1)*($NS$15-246+1)/$NU$15,$NN$15/$NT$15)),0)</f>
        <v/>
      </c>
      <c r="IQ15" s="228">
        <f>IF(AND(247&gt;=$NR$15,247&lt;=$NS$15),IF($NP$15="Single_Point",IF(247=$NR$15,$NN$15,0),IF($NP$15="Bell_Curve",$NN$15*(247-$NR$15+1)*($NS$15-247+1)/$NU$15,$NN$15/$NT$15)),0)</f>
        <v/>
      </c>
      <c r="IR15" s="228">
        <f>IF(AND(248&gt;=$NR$15,248&lt;=$NS$15),IF($NP$15="Single_Point",IF(248=$NR$15,$NN$15,0),IF($NP$15="Bell_Curve",$NN$15*(248-$NR$15+1)*($NS$15-248+1)/$NU$15,$NN$15/$NT$15)),0)</f>
        <v/>
      </c>
      <c r="IS15" s="228">
        <f>IF(AND(249&gt;=$NR$15,249&lt;=$NS$15),IF($NP$15="Single_Point",IF(249=$NR$15,$NN$15,0),IF($NP$15="Bell_Curve",$NN$15*(249-$NR$15+1)*($NS$15-249+1)/$NU$15,$NN$15/$NT$15)),0)</f>
        <v/>
      </c>
      <c r="IT15" s="228">
        <f>IF(AND(250&gt;=$NR$15,250&lt;=$NS$15),IF($NP$15="Single_Point",IF(250=$NR$15,$NN$15,0),IF($NP$15="Bell_Curve",$NN$15*(250-$NR$15+1)*($NS$15-250+1)/$NU$15,$NN$15/$NT$15)),0)</f>
        <v/>
      </c>
      <c r="IU15" s="228">
        <f>IF(AND(251&gt;=$NR$15,251&lt;=$NS$15),IF($NP$15="Single_Point",IF(251=$NR$15,$NN$15,0),IF($NP$15="Bell_Curve",$NN$15*(251-$NR$15+1)*($NS$15-251+1)/$NU$15,$NN$15/$NT$15)),0)</f>
        <v/>
      </c>
      <c r="IV15" s="228">
        <f>IF(AND(252&gt;=$NR$15,252&lt;=$NS$15),IF($NP$15="Single_Point",IF(252=$NR$15,$NN$15,0),IF($NP$15="Bell_Curve",$NN$15*(252-$NR$15+1)*($NS$15-252+1)/$NU$15,$NN$15/$NT$15)),0)</f>
        <v/>
      </c>
      <c r="IW15" s="228">
        <f>IF(AND(253&gt;=$NR$15,253&lt;=$NS$15),IF($NP$15="Single_Point",IF(253=$NR$15,$NN$15,0),IF($NP$15="Bell_Curve",$NN$15*(253-$NR$15+1)*($NS$15-253+1)/$NU$15,$NN$15/$NT$15)),0)</f>
        <v/>
      </c>
      <c r="IX15" s="228">
        <f>IF(AND(254&gt;=$NR$15,254&lt;=$NS$15),IF($NP$15="Single_Point",IF(254=$NR$15,$NN$15,0),IF($NP$15="Bell_Curve",$NN$15*(254-$NR$15+1)*($NS$15-254+1)/$NU$15,$NN$15/$NT$15)),0)</f>
        <v/>
      </c>
      <c r="IY15" s="228">
        <f>IF(AND(255&gt;=$NR$15,255&lt;=$NS$15),IF($NP$15="Single_Point",IF(255=$NR$15,$NN$15,0),IF($NP$15="Bell_Curve",$NN$15*(255-$NR$15+1)*($NS$15-255+1)/$NU$15,$NN$15/$NT$15)),0)</f>
        <v/>
      </c>
      <c r="IZ15" s="228">
        <f>IF(AND(256&gt;=$NR$15,256&lt;=$NS$15),IF($NP$15="Single_Point",IF(256=$NR$15,$NN$15,0),IF($NP$15="Bell_Curve",$NN$15*(256-$NR$15+1)*($NS$15-256+1)/$NU$15,$NN$15/$NT$15)),0)</f>
        <v/>
      </c>
      <c r="JA15" s="228">
        <f>IF(AND(257&gt;=$NR$15,257&lt;=$NS$15),IF($NP$15="Single_Point",IF(257=$NR$15,$NN$15,0),IF($NP$15="Bell_Curve",$NN$15*(257-$NR$15+1)*($NS$15-257+1)/$NU$15,$NN$15/$NT$15)),0)</f>
        <v/>
      </c>
      <c r="JB15" s="228">
        <f>IF(AND(258&gt;=$NR$15,258&lt;=$NS$15),IF($NP$15="Single_Point",IF(258=$NR$15,$NN$15,0),IF($NP$15="Bell_Curve",$NN$15*(258-$NR$15+1)*($NS$15-258+1)/$NU$15,$NN$15/$NT$15)),0)</f>
        <v/>
      </c>
      <c r="JC15" s="228">
        <f>IF(AND(259&gt;=$NR$15,259&lt;=$NS$15),IF($NP$15="Single_Point",IF(259=$NR$15,$NN$15,0),IF($NP$15="Bell_Curve",$NN$15*(259-$NR$15+1)*($NS$15-259+1)/$NU$15,$NN$15/$NT$15)),0)</f>
        <v/>
      </c>
      <c r="JD15" s="228">
        <f>IF(AND(260&gt;=$NR$15,260&lt;=$NS$15),IF($NP$15="Single_Point",IF(260=$NR$15,$NN$15,0),IF($NP$15="Bell_Curve",$NN$15*(260-$NR$15+1)*($NS$15-260+1)/$NU$15,$NN$15/$NT$15)),0)</f>
        <v/>
      </c>
      <c r="JE15" s="228">
        <f>IF(AND(261&gt;=$NR$15,261&lt;=$NS$15),IF($NP$15="Single_Point",IF(261=$NR$15,$NN$15,0),IF($NP$15="Bell_Curve",$NN$15*(261-$NR$15+1)*($NS$15-261+1)/$NU$15,$NN$15/$NT$15)),0)</f>
        <v/>
      </c>
      <c r="JF15" s="228">
        <f>IF(AND(262&gt;=$NR$15,262&lt;=$NS$15),IF($NP$15="Single_Point",IF(262=$NR$15,$NN$15,0),IF($NP$15="Bell_Curve",$NN$15*(262-$NR$15+1)*($NS$15-262+1)/$NU$15,$NN$15/$NT$15)),0)</f>
        <v/>
      </c>
      <c r="JG15" s="228">
        <f>IF(AND(263&gt;=$NR$15,263&lt;=$NS$15),IF($NP$15="Single_Point",IF(263=$NR$15,$NN$15,0),IF($NP$15="Bell_Curve",$NN$15*(263-$NR$15+1)*($NS$15-263+1)/$NU$15,$NN$15/$NT$15)),0)</f>
        <v/>
      </c>
      <c r="JH15" s="228">
        <f>IF(AND(264&gt;=$NR$15,264&lt;=$NS$15),IF($NP$15="Single_Point",IF(264=$NR$15,$NN$15,0),IF($NP$15="Bell_Curve",$NN$15*(264-$NR$15+1)*($NS$15-264+1)/$NU$15,$NN$15/$NT$15)),0)</f>
        <v/>
      </c>
      <c r="JI15" s="228">
        <f>IF(AND(265&gt;=$NR$15,265&lt;=$NS$15),IF($NP$15="Single_Point",IF(265=$NR$15,$NN$15,0),IF($NP$15="Bell_Curve",$NN$15*(265-$NR$15+1)*($NS$15-265+1)/$NU$15,$NN$15/$NT$15)),0)</f>
        <v/>
      </c>
      <c r="JJ15" s="228">
        <f>IF(AND(266&gt;=$NR$15,266&lt;=$NS$15),IF($NP$15="Single_Point",IF(266=$NR$15,$NN$15,0),IF($NP$15="Bell_Curve",$NN$15*(266-$NR$15+1)*($NS$15-266+1)/$NU$15,$NN$15/$NT$15)),0)</f>
        <v/>
      </c>
      <c r="JK15" s="228">
        <f>IF(AND(267&gt;=$NR$15,267&lt;=$NS$15),IF($NP$15="Single_Point",IF(267=$NR$15,$NN$15,0),IF($NP$15="Bell_Curve",$NN$15*(267-$NR$15+1)*($NS$15-267+1)/$NU$15,$NN$15/$NT$15)),0)</f>
        <v/>
      </c>
      <c r="JL15" s="228">
        <f>IF(AND(268&gt;=$NR$15,268&lt;=$NS$15),IF($NP$15="Single_Point",IF(268=$NR$15,$NN$15,0),IF($NP$15="Bell_Curve",$NN$15*(268-$NR$15+1)*($NS$15-268+1)/$NU$15,$NN$15/$NT$15)),0)</f>
        <v/>
      </c>
      <c r="JM15" s="228">
        <f>IF(AND(269&gt;=$NR$15,269&lt;=$NS$15),IF($NP$15="Single_Point",IF(269=$NR$15,$NN$15,0),IF($NP$15="Bell_Curve",$NN$15*(269-$NR$15+1)*($NS$15-269+1)/$NU$15,$NN$15/$NT$15)),0)</f>
        <v/>
      </c>
      <c r="JN15" s="228">
        <f>IF(AND(270&gt;=$NR$15,270&lt;=$NS$15),IF($NP$15="Single_Point",IF(270=$NR$15,$NN$15,0),IF($NP$15="Bell_Curve",$NN$15*(270-$NR$15+1)*($NS$15-270+1)/$NU$15,$NN$15/$NT$15)),0)</f>
        <v/>
      </c>
      <c r="JO15" s="228">
        <f>IF(AND(271&gt;=$NR$15,271&lt;=$NS$15),IF($NP$15="Single_Point",IF(271=$NR$15,$NN$15,0),IF($NP$15="Bell_Curve",$NN$15*(271-$NR$15+1)*($NS$15-271+1)/$NU$15,$NN$15/$NT$15)),0)</f>
        <v/>
      </c>
      <c r="JP15" s="228">
        <f>IF(AND(272&gt;=$NR$15,272&lt;=$NS$15),IF($NP$15="Single_Point",IF(272=$NR$15,$NN$15,0),IF($NP$15="Bell_Curve",$NN$15*(272-$NR$15+1)*($NS$15-272+1)/$NU$15,$NN$15/$NT$15)),0)</f>
        <v/>
      </c>
      <c r="JQ15" s="228">
        <f>IF(AND(273&gt;=$NR$15,273&lt;=$NS$15),IF($NP$15="Single_Point",IF(273=$NR$15,$NN$15,0),IF($NP$15="Bell_Curve",$NN$15*(273-$NR$15+1)*($NS$15-273+1)/$NU$15,$NN$15/$NT$15)),0)</f>
        <v/>
      </c>
      <c r="JR15" s="228">
        <f>IF(AND(274&gt;=$NR$15,274&lt;=$NS$15),IF($NP$15="Single_Point",IF(274=$NR$15,$NN$15,0),IF($NP$15="Bell_Curve",$NN$15*(274-$NR$15+1)*($NS$15-274+1)/$NU$15,$NN$15/$NT$15)),0)</f>
        <v/>
      </c>
      <c r="JS15" s="228">
        <f>IF(AND(275&gt;=$NR$15,275&lt;=$NS$15),IF($NP$15="Single_Point",IF(275=$NR$15,$NN$15,0),IF($NP$15="Bell_Curve",$NN$15*(275-$NR$15+1)*($NS$15-275+1)/$NU$15,$NN$15/$NT$15)),0)</f>
        <v/>
      </c>
      <c r="JT15" s="228">
        <f>IF(AND(276&gt;=$NR$15,276&lt;=$NS$15),IF($NP$15="Single_Point",IF(276=$NR$15,$NN$15,0),IF($NP$15="Bell_Curve",$NN$15*(276-$NR$15+1)*($NS$15-276+1)/$NU$15,$NN$15/$NT$15)),0)</f>
        <v/>
      </c>
      <c r="JU15" s="228">
        <f>IF(AND(277&gt;=$NR$15,277&lt;=$NS$15),IF($NP$15="Single_Point",IF(277=$NR$15,$NN$15,0),IF($NP$15="Bell_Curve",$NN$15*(277-$NR$15+1)*($NS$15-277+1)/$NU$15,$NN$15/$NT$15)),0)</f>
        <v/>
      </c>
      <c r="JV15" s="228">
        <f>IF(AND(278&gt;=$NR$15,278&lt;=$NS$15),IF($NP$15="Single_Point",IF(278=$NR$15,$NN$15,0),IF($NP$15="Bell_Curve",$NN$15*(278-$NR$15+1)*($NS$15-278+1)/$NU$15,$NN$15/$NT$15)),0)</f>
        <v/>
      </c>
      <c r="JW15" s="228">
        <f>IF(AND(279&gt;=$NR$15,279&lt;=$NS$15),IF($NP$15="Single_Point",IF(279=$NR$15,$NN$15,0),IF($NP$15="Bell_Curve",$NN$15*(279-$NR$15+1)*($NS$15-279+1)/$NU$15,$NN$15/$NT$15)),0)</f>
        <v/>
      </c>
      <c r="JX15" s="228">
        <f>IF(AND(280&gt;=$NR$15,280&lt;=$NS$15),IF($NP$15="Single_Point",IF(280=$NR$15,$NN$15,0),IF($NP$15="Bell_Curve",$NN$15*(280-$NR$15+1)*($NS$15-280+1)/$NU$15,$NN$15/$NT$15)),0)</f>
        <v/>
      </c>
      <c r="JY15" s="228">
        <f>IF(AND(281&gt;=$NR$15,281&lt;=$NS$15),IF($NP$15="Single_Point",IF(281=$NR$15,$NN$15,0),IF($NP$15="Bell_Curve",$NN$15*(281-$NR$15+1)*($NS$15-281+1)/$NU$15,$NN$15/$NT$15)),0)</f>
        <v/>
      </c>
      <c r="JZ15" s="228">
        <f>IF(AND(282&gt;=$NR$15,282&lt;=$NS$15),IF($NP$15="Single_Point",IF(282=$NR$15,$NN$15,0),IF($NP$15="Bell_Curve",$NN$15*(282-$NR$15+1)*($NS$15-282+1)/$NU$15,$NN$15/$NT$15)),0)</f>
        <v/>
      </c>
      <c r="KA15" s="228">
        <f>IF(AND(283&gt;=$NR$15,283&lt;=$NS$15),IF($NP$15="Single_Point",IF(283=$NR$15,$NN$15,0),IF($NP$15="Bell_Curve",$NN$15*(283-$NR$15+1)*($NS$15-283+1)/$NU$15,$NN$15/$NT$15)),0)</f>
        <v/>
      </c>
      <c r="KB15" s="228">
        <f>IF(AND(284&gt;=$NR$15,284&lt;=$NS$15),IF($NP$15="Single_Point",IF(284=$NR$15,$NN$15,0),IF($NP$15="Bell_Curve",$NN$15*(284-$NR$15+1)*($NS$15-284+1)/$NU$15,$NN$15/$NT$15)),0)</f>
        <v/>
      </c>
      <c r="KC15" s="228">
        <f>IF(AND(285&gt;=$NR$15,285&lt;=$NS$15),IF($NP$15="Single_Point",IF(285=$NR$15,$NN$15,0),IF($NP$15="Bell_Curve",$NN$15*(285-$NR$15+1)*($NS$15-285+1)/$NU$15,$NN$15/$NT$15)),0)</f>
        <v/>
      </c>
      <c r="KD15" s="228">
        <f>IF(AND(286&gt;=$NR$15,286&lt;=$NS$15),IF($NP$15="Single_Point",IF(286=$NR$15,$NN$15,0),IF($NP$15="Bell_Curve",$NN$15*(286-$NR$15+1)*($NS$15-286+1)/$NU$15,$NN$15/$NT$15)),0)</f>
        <v/>
      </c>
      <c r="KE15" s="228">
        <f>IF(AND(287&gt;=$NR$15,287&lt;=$NS$15),IF($NP$15="Single_Point",IF(287=$NR$15,$NN$15,0),IF($NP$15="Bell_Curve",$NN$15*(287-$NR$15+1)*($NS$15-287+1)/$NU$15,$NN$15/$NT$15)),0)</f>
        <v/>
      </c>
      <c r="KF15" s="228">
        <f>IF(AND(288&gt;=$NR$15,288&lt;=$NS$15),IF($NP$15="Single_Point",IF(288=$NR$15,$NN$15,0),IF($NP$15="Bell_Curve",$NN$15*(288-$NR$15+1)*($NS$15-288+1)/$NU$15,$NN$15/$NT$15)),0)</f>
        <v/>
      </c>
      <c r="KG15" s="228">
        <f>IF(AND(289&gt;=$NR$15,289&lt;=$NS$15),IF($NP$15="Single_Point",IF(289=$NR$15,$NN$15,0),IF($NP$15="Bell_Curve",$NN$15*(289-$NR$15+1)*($NS$15-289+1)/$NU$15,$NN$15/$NT$15)),0)</f>
        <v/>
      </c>
      <c r="KH15" s="228">
        <f>IF(AND(290&gt;=$NR$15,290&lt;=$NS$15),IF($NP$15="Single_Point",IF(290=$NR$15,$NN$15,0),IF($NP$15="Bell_Curve",$NN$15*(290-$NR$15+1)*($NS$15-290+1)/$NU$15,$NN$15/$NT$15)),0)</f>
        <v/>
      </c>
      <c r="KI15" s="228">
        <f>IF(AND(291&gt;=$NR$15,291&lt;=$NS$15),IF($NP$15="Single_Point",IF(291=$NR$15,$NN$15,0),IF($NP$15="Bell_Curve",$NN$15*(291-$NR$15+1)*($NS$15-291+1)/$NU$15,$NN$15/$NT$15)),0)</f>
        <v/>
      </c>
      <c r="KJ15" s="228">
        <f>IF(AND(292&gt;=$NR$15,292&lt;=$NS$15),IF($NP$15="Single_Point",IF(292=$NR$15,$NN$15,0),IF($NP$15="Bell_Curve",$NN$15*(292-$NR$15+1)*($NS$15-292+1)/$NU$15,$NN$15/$NT$15)),0)</f>
        <v/>
      </c>
      <c r="KK15" s="228">
        <f>IF(AND(293&gt;=$NR$15,293&lt;=$NS$15),IF($NP$15="Single_Point",IF(293=$NR$15,$NN$15,0),IF($NP$15="Bell_Curve",$NN$15*(293-$NR$15+1)*($NS$15-293+1)/$NU$15,$NN$15/$NT$15)),0)</f>
        <v/>
      </c>
      <c r="KL15" s="228">
        <f>IF(AND(294&gt;=$NR$15,294&lt;=$NS$15),IF($NP$15="Single_Point",IF(294=$NR$15,$NN$15,0),IF($NP$15="Bell_Curve",$NN$15*(294-$NR$15+1)*($NS$15-294+1)/$NU$15,$NN$15/$NT$15)),0)</f>
        <v/>
      </c>
      <c r="KM15" s="228">
        <f>IF(AND(295&gt;=$NR$15,295&lt;=$NS$15),IF($NP$15="Single_Point",IF(295=$NR$15,$NN$15,0),IF($NP$15="Bell_Curve",$NN$15*(295-$NR$15+1)*($NS$15-295+1)/$NU$15,$NN$15/$NT$15)),0)</f>
        <v/>
      </c>
      <c r="KN15" s="228">
        <f>IF(AND(296&gt;=$NR$15,296&lt;=$NS$15),IF($NP$15="Single_Point",IF(296=$NR$15,$NN$15,0),IF($NP$15="Bell_Curve",$NN$15*(296-$NR$15+1)*($NS$15-296+1)/$NU$15,$NN$15/$NT$15)),0)</f>
        <v/>
      </c>
      <c r="KO15" s="228">
        <f>IF(AND(297&gt;=$NR$15,297&lt;=$NS$15),IF($NP$15="Single_Point",IF(297=$NR$15,$NN$15,0),IF($NP$15="Bell_Curve",$NN$15*(297-$NR$15+1)*($NS$15-297+1)/$NU$15,$NN$15/$NT$15)),0)</f>
        <v/>
      </c>
      <c r="KP15" s="228">
        <f>IF(AND(298&gt;=$NR$15,298&lt;=$NS$15),IF($NP$15="Single_Point",IF(298=$NR$15,$NN$15,0),IF($NP$15="Bell_Curve",$NN$15*(298-$NR$15+1)*($NS$15-298+1)/$NU$15,$NN$15/$NT$15)),0)</f>
        <v/>
      </c>
      <c r="KQ15" s="228">
        <f>IF(AND(299&gt;=$NR$15,299&lt;=$NS$15),IF($NP$15="Single_Point",IF(299=$NR$15,$NN$15,0),IF($NP$15="Bell_Curve",$NN$15*(299-$NR$15+1)*($NS$15-299+1)/$NU$15,$NN$15/$NT$15)),0)</f>
        <v/>
      </c>
      <c r="KR15" s="228">
        <f>IF(AND(300&gt;=$NR$15,300&lt;=$NS$15),IF($NP$15="Single_Point",IF(300=$NR$15,$NN$15,0),IF($NP$15="Bell_Curve",$NN$15*(300-$NR$15+1)*($NS$15-300+1)/$NU$15,$NN$15/$NT$15)),0)</f>
        <v/>
      </c>
      <c r="KS15" s="228">
        <f>IF(AND(301&gt;=$NR$15,301&lt;=$NS$15),IF($NP$15="Single_Point",IF(301=$NR$15,$NN$15,0),IF($NP$15="Bell_Curve",$NN$15*(301-$NR$15+1)*($NS$15-301+1)/$NU$15,$NN$15/$NT$15)),0)</f>
        <v/>
      </c>
      <c r="KT15" s="228">
        <f>IF(AND(302&gt;=$NR$15,302&lt;=$NS$15),IF($NP$15="Single_Point",IF(302=$NR$15,$NN$15,0),IF($NP$15="Bell_Curve",$NN$15*(302-$NR$15+1)*($NS$15-302+1)/$NU$15,$NN$15/$NT$15)),0)</f>
        <v/>
      </c>
      <c r="KU15" s="228">
        <f>IF(AND(303&gt;=$NR$15,303&lt;=$NS$15),IF($NP$15="Single_Point",IF(303=$NR$15,$NN$15,0),IF($NP$15="Bell_Curve",$NN$15*(303-$NR$15+1)*($NS$15-303+1)/$NU$15,$NN$15/$NT$15)),0)</f>
        <v/>
      </c>
      <c r="KV15" s="228">
        <f>IF(AND(304&gt;=$NR$15,304&lt;=$NS$15),IF($NP$15="Single_Point",IF(304=$NR$15,$NN$15,0),IF($NP$15="Bell_Curve",$NN$15*(304-$NR$15+1)*($NS$15-304+1)/$NU$15,$NN$15/$NT$15)),0)</f>
        <v/>
      </c>
      <c r="KW15" s="228">
        <f>IF(AND(305&gt;=$NR$15,305&lt;=$NS$15),IF($NP$15="Single_Point",IF(305=$NR$15,$NN$15,0),IF($NP$15="Bell_Curve",$NN$15*(305-$NR$15+1)*($NS$15-305+1)/$NU$15,$NN$15/$NT$15)),0)</f>
        <v/>
      </c>
      <c r="KX15" s="228">
        <f>IF(AND(306&gt;=$NR$15,306&lt;=$NS$15),IF($NP$15="Single_Point",IF(306=$NR$15,$NN$15,0),IF($NP$15="Bell_Curve",$NN$15*(306-$NR$15+1)*($NS$15-306+1)/$NU$15,$NN$15/$NT$15)),0)</f>
        <v/>
      </c>
      <c r="KY15" s="228">
        <f>IF(AND(307&gt;=$NR$15,307&lt;=$NS$15),IF($NP$15="Single_Point",IF(307=$NR$15,$NN$15,0),IF($NP$15="Bell_Curve",$NN$15*(307-$NR$15+1)*($NS$15-307+1)/$NU$15,$NN$15/$NT$15)),0)</f>
        <v/>
      </c>
      <c r="KZ15" s="228">
        <f>IF(AND(308&gt;=$NR$15,308&lt;=$NS$15),IF($NP$15="Single_Point",IF(308=$NR$15,$NN$15,0),IF($NP$15="Bell_Curve",$NN$15*(308-$NR$15+1)*($NS$15-308+1)/$NU$15,$NN$15/$NT$15)),0)</f>
        <v/>
      </c>
      <c r="LA15" s="228">
        <f>IF(AND(309&gt;=$NR$15,309&lt;=$NS$15),IF($NP$15="Single_Point",IF(309=$NR$15,$NN$15,0),IF($NP$15="Bell_Curve",$NN$15*(309-$NR$15+1)*($NS$15-309+1)/$NU$15,$NN$15/$NT$15)),0)</f>
        <v/>
      </c>
      <c r="LB15" s="228">
        <f>IF(AND(310&gt;=$NR$15,310&lt;=$NS$15),IF($NP$15="Single_Point",IF(310=$NR$15,$NN$15,0),IF($NP$15="Bell_Curve",$NN$15*(310-$NR$15+1)*($NS$15-310+1)/$NU$15,$NN$15/$NT$15)),0)</f>
        <v/>
      </c>
      <c r="LC15" s="228">
        <f>IF(AND(311&gt;=$NR$15,311&lt;=$NS$15),IF($NP$15="Single_Point",IF(311=$NR$15,$NN$15,0),IF($NP$15="Bell_Curve",$NN$15*(311-$NR$15+1)*($NS$15-311+1)/$NU$15,$NN$15/$NT$15)),0)</f>
        <v/>
      </c>
      <c r="LD15" s="228">
        <f>IF(AND(312&gt;=$NR$15,312&lt;=$NS$15),IF($NP$15="Single_Point",IF(312=$NR$15,$NN$15,0),IF($NP$15="Bell_Curve",$NN$15*(312-$NR$15+1)*($NS$15-312+1)/$NU$15,$NN$15/$NT$15)),0)</f>
        <v/>
      </c>
      <c r="LE15" s="228">
        <f>IF(AND(313&gt;=$NR$15,313&lt;=$NS$15),IF($NP$15="Single_Point",IF(313=$NR$15,$NN$15,0),IF($NP$15="Bell_Curve",$NN$15*(313-$NR$15+1)*($NS$15-313+1)/$NU$15,$NN$15/$NT$15)),0)</f>
        <v/>
      </c>
      <c r="LF15" s="228">
        <f>IF(AND(314&gt;=$NR$15,314&lt;=$NS$15),IF($NP$15="Single_Point",IF(314=$NR$15,$NN$15,0),IF($NP$15="Bell_Curve",$NN$15*(314-$NR$15+1)*($NS$15-314+1)/$NU$15,$NN$15/$NT$15)),0)</f>
        <v/>
      </c>
      <c r="LG15" s="228">
        <f>IF(AND(315&gt;=$NR$15,315&lt;=$NS$15),IF($NP$15="Single_Point",IF(315=$NR$15,$NN$15,0),IF($NP$15="Bell_Curve",$NN$15*(315-$NR$15+1)*($NS$15-315+1)/$NU$15,$NN$15/$NT$15)),0)</f>
        <v/>
      </c>
      <c r="LH15" s="228">
        <f>IF(AND(316&gt;=$NR$15,316&lt;=$NS$15),IF($NP$15="Single_Point",IF(316=$NR$15,$NN$15,0),IF($NP$15="Bell_Curve",$NN$15*(316-$NR$15+1)*($NS$15-316+1)/$NU$15,$NN$15/$NT$15)),0)</f>
        <v/>
      </c>
      <c r="LI15" s="228">
        <f>IF(AND(317&gt;=$NR$15,317&lt;=$NS$15),IF($NP$15="Single_Point",IF(317=$NR$15,$NN$15,0),IF($NP$15="Bell_Curve",$NN$15*(317-$NR$15+1)*($NS$15-317+1)/$NU$15,$NN$15/$NT$15)),0)</f>
        <v/>
      </c>
      <c r="LJ15" s="228">
        <f>IF(AND(318&gt;=$NR$15,318&lt;=$NS$15),IF($NP$15="Single_Point",IF(318=$NR$15,$NN$15,0),IF($NP$15="Bell_Curve",$NN$15*(318-$NR$15+1)*($NS$15-318+1)/$NU$15,$NN$15/$NT$15)),0)</f>
        <v/>
      </c>
      <c r="LK15" s="228">
        <f>IF(AND(319&gt;=$NR$15,319&lt;=$NS$15),IF($NP$15="Single_Point",IF(319=$NR$15,$NN$15,0),IF($NP$15="Bell_Curve",$NN$15*(319-$NR$15+1)*($NS$15-319+1)/$NU$15,$NN$15/$NT$15)),0)</f>
        <v/>
      </c>
      <c r="LL15" s="228">
        <f>IF(AND(320&gt;=$NR$15,320&lt;=$NS$15),IF($NP$15="Single_Point",IF(320=$NR$15,$NN$15,0),IF($NP$15="Bell_Curve",$NN$15*(320-$NR$15+1)*($NS$15-320+1)/$NU$15,$NN$15/$NT$15)),0)</f>
        <v/>
      </c>
      <c r="LM15" s="228">
        <f>IF(AND(321&gt;=$NR$15,321&lt;=$NS$15),IF($NP$15="Single_Point",IF(321=$NR$15,$NN$15,0),IF($NP$15="Bell_Curve",$NN$15*(321-$NR$15+1)*($NS$15-321+1)/$NU$15,$NN$15/$NT$15)),0)</f>
        <v/>
      </c>
      <c r="LN15" s="228">
        <f>IF(AND(322&gt;=$NR$15,322&lt;=$NS$15),IF($NP$15="Single_Point",IF(322=$NR$15,$NN$15,0),IF($NP$15="Bell_Curve",$NN$15*(322-$NR$15+1)*($NS$15-322+1)/$NU$15,$NN$15/$NT$15)),0)</f>
        <v/>
      </c>
      <c r="LO15" s="228">
        <f>IF(AND(323&gt;=$NR$15,323&lt;=$NS$15),IF($NP$15="Single_Point",IF(323=$NR$15,$NN$15,0),IF($NP$15="Bell_Curve",$NN$15*(323-$NR$15+1)*($NS$15-323+1)/$NU$15,$NN$15/$NT$15)),0)</f>
        <v/>
      </c>
      <c r="LP15" s="228">
        <f>IF(AND(324&gt;=$NR$15,324&lt;=$NS$15),IF($NP$15="Single_Point",IF(324=$NR$15,$NN$15,0),IF($NP$15="Bell_Curve",$NN$15*(324-$NR$15+1)*($NS$15-324+1)/$NU$15,$NN$15/$NT$15)),0)</f>
        <v/>
      </c>
      <c r="LQ15" s="228">
        <f>IF(AND(325&gt;=$NR$15,325&lt;=$NS$15),IF($NP$15="Single_Point",IF(325=$NR$15,$NN$15,0),IF($NP$15="Bell_Curve",$NN$15*(325-$NR$15+1)*($NS$15-325+1)/$NU$15,$NN$15/$NT$15)),0)</f>
        <v/>
      </c>
      <c r="LR15" s="228">
        <f>IF(AND(326&gt;=$NR$15,326&lt;=$NS$15),IF($NP$15="Single_Point",IF(326=$NR$15,$NN$15,0),IF($NP$15="Bell_Curve",$NN$15*(326-$NR$15+1)*($NS$15-326+1)/$NU$15,$NN$15/$NT$15)),0)</f>
        <v/>
      </c>
      <c r="LS15" s="228">
        <f>IF(AND(327&gt;=$NR$15,327&lt;=$NS$15),IF($NP$15="Single_Point",IF(327=$NR$15,$NN$15,0),IF($NP$15="Bell_Curve",$NN$15*(327-$NR$15+1)*($NS$15-327+1)/$NU$15,$NN$15/$NT$15)),0)</f>
        <v/>
      </c>
      <c r="LT15" s="228">
        <f>IF(AND(328&gt;=$NR$15,328&lt;=$NS$15),IF($NP$15="Single_Point",IF(328=$NR$15,$NN$15,0),IF($NP$15="Bell_Curve",$NN$15*(328-$NR$15+1)*($NS$15-328+1)/$NU$15,$NN$15/$NT$15)),0)</f>
        <v/>
      </c>
      <c r="LU15" s="228">
        <f>IF(AND(329&gt;=$NR$15,329&lt;=$NS$15),IF($NP$15="Single_Point",IF(329=$NR$15,$NN$15,0),IF($NP$15="Bell_Curve",$NN$15*(329-$NR$15+1)*($NS$15-329+1)/$NU$15,$NN$15/$NT$15)),0)</f>
        <v/>
      </c>
      <c r="LV15" s="228">
        <f>IF(AND(330&gt;=$NR$15,330&lt;=$NS$15),IF($NP$15="Single_Point",IF(330=$NR$15,$NN$15,0),IF($NP$15="Bell_Curve",$NN$15*(330-$NR$15+1)*($NS$15-330+1)/$NU$15,$NN$15/$NT$15)),0)</f>
        <v/>
      </c>
      <c r="LW15" s="228">
        <f>IF(AND(331&gt;=$NR$15,331&lt;=$NS$15),IF($NP$15="Single_Point",IF(331=$NR$15,$NN$15,0),IF($NP$15="Bell_Curve",$NN$15*(331-$NR$15+1)*($NS$15-331+1)/$NU$15,$NN$15/$NT$15)),0)</f>
        <v/>
      </c>
      <c r="LX15" s="228">
        <f>IF(AND(332&gt;=$NR$15,332&lt;=$NS$15),IF($NP$15="Single_Point",IF(332=$NR$15,$NN$15,0),IF($NP$15="Bell_Curve",$NN$15*(332-$NR$15+1)*($NS$15-332+1)/$NU$15,$NN$15/$NT$15)),0)</f>
        <v/>
      </c>
      <c r="LY15" s="228">
        <f>IF(AND(333&gt;=$NR$15,333&lt;=$NS$15),IF($NP$15="Single_Point",IF(333=$NR$15,$NN$15,0),IF($NP$15="Bell_Curve",$NN$15*(333-$NR$15+1)*($NS$15-333+1)/$NU$15,$NN$15/$NT$15)),0)</f>
        <v/>
      </c>
      <c r="LZ15" s="228">
        <f>IF(AND(334&gt;=$NR$15,334&lt;=$NS$15),IF($NP$15="Single_Point",IF(334=$NR$15,$NN$15,0),IF($NP$15="Bell_Curve",$NN$15*(334-$NR$15+1)*($NS$15-334+1)/$NU$15,$NN$15/$NT$15)),0)</f>
        <v/>
      </c>
      <c r="MA15" s="228">
        <f>IF(AND(335&gt;=$NR$15,335&lt;=$NS$15),IF($NP$15="Single_Point",IF(335=$NR$15,$NN$15,0),IF($NP$15="Bell_Curve",$NN$15*(335-$NR$15+1)*($NS$15-335+1)/$NU$15,$NN$15/$NT$15)),0)</f>
        <v/>
      </c>
      <c r="MB15" s="228">
        <f>IF(AND(336&gt;=$NR$15,336&lt;=$NS$15),IF($NP$15="Single_Point",IF(336=$NR$15,$NN$15,0),IF($NP$15="Bell_Curve",$NN$15*(336-$NR$15+1)*($NS$15-336+1)/$NU$15,$NN$15/$NT$15)),0)</f>
        <v/>
      </c>
      <c r="MC15" s="228">
        <f>IF(AND(337&gt;=$NR$15,337&lt;=$NS$15),IF($NP$15="Single_Point",IF(337=$NR$15,$NN$15,0),IF($NP$15="Bell_Curve",$NN$15*(337-$NR$15+1)*($NS$15-337+1)/$NU$15,$NN$15/$NT$15)),0)</f>
        <v/>
      </c>
      <c r="MD15" s="228">
        <f>IF(AND(338&gt;=$NR$15,338&lt;=$NS$15),IF($NP$15="Single_Point",IF(338=$NR$15,$NN$15,0),IF($NP$15="Bell_Curve",$NN$15*(338-$NR$15+1)*($NS$15-338+1)/$NU$15,$NN$15/$NT$15)),0)</f>
        <v/>
      </c>
      <c r="ME15" s="228">
        <f>IF(AND(339&gt;=$NR$15,339&lt;=$NS$15),IF($NP$15="Single_Point",IF(339=$NR$15,$NN$15,0),IF($NP$15="Bell_Curve",$NN$15*(339-$NR$15+1)*($NS$15-339+1)/$NU$15,$NN$15/$NT$15)),0)</f>
        <v/>
      </c>
      <c r="MF15" s="228">
        <f>IF(AND(340&gt;=$NR$15,340&lt;=$NS$15),IF($NP$15="Single_Point",IF(340=$NR$15,$NN$15,0),IF($NP$15="Bell_Curve",$NN$15*(340-$NR$15+1)*($NS$15-340+1)/$NU$15,$NN$15/$NT$15)),0)</f>
        <v/>
      </c>
      <c r="MG15" s="228">
        <f>IF(AND(341&gt;=$NR$15,341&lt;=$NS$15),IF($NP$15="Single_Point",IF(341=$NR$15,$NN$15,0),IF($NP$15="Bell_Curve",$NN$15*(341-$NR$15+1)*($NS$15-341+1)/$NU$15,$NN$15/$NT$15)),0)</f>
        <v/>
      </c>
      <c r="MH15" s="228">
        <f>IF(AND(342&gt;=$NR$15,342&lt;=$NS$15),IF($NP$15="Single_Point",IF(342=$NR$15,$NN$15,0),IF($NP$15="Bell_Curve",$NN$15*(342-$NR$15+1)*($NS$15-342+1)/$NU$15,$NN$15/$NT$15)),0)</f>
        <v/>
      </c>
      <c r="MI15" s="228">
        <f>IF(AND(343&gt;=$NR$15,343&lt;=$NS$15),IF($NP$15="Single_Point",IF(343=$NR$15,$NN$15,0),IF($NP$15="Bell_Curve",$NN$15*(343-$NR$15+1)*($NS$15-343+1)/$NU$15,$NN$15/$NT$15)),0)</f>
        <v/>
      </c>
      <c r="MJ15" s="228">
        <f>IF(AND(344&gt;=$NR$15,344&lt;=$NS$15),IF($NP$15="Single_Point",IF(344=$NR$15,$NN$15,0),IF($NP$15="Bell_Curve",$NN$15*(344-$NR$15+1)*($NS$15-344+1)/$NU$15,$NN$15/$NT$15)),0)</f>
        <v/>
      </c>
      <c r="MK15" s="228">
        <f>IF(AND(345&gt;=$NR$15,345&lt;=$NS$15),IF($NP$15="Single_Point",IF(345=$NR$15,$NN$15,0),IF($NP$15="Bell_Curve",$NN$15*(345-$NR$15+1)*($NS$15-345+1)/$NU$15,$NN$15/$NT$15)),0)</f>
        <v/>
      </c>
      <c r="ML15" s="228">
        <f>IF(AND(346&gt;=$NR$15,346&lt;=$NS$15),IF($NP$15="Single_Point",IF(346=$NR$15,$NN$15,0),IF($NP$15="Bell_Curve",$NN$15*(346-$NR$15+1)*($NS$15-346+1)/$NU$15,$NN$15/$NT$15)),0)</f>
        <v/>
      </c>
      <c r="MM15" s="228">
        <f>IF(AND(347&gt;=$NR$15,347&lt;=$NS$15),IF($NP$15="Single_Point",IF(347=$NR$15,$NN$15,0),IF($NP$15="Bell_Curve",$NN$15*(347-$NR$15+1)*($NS$15-347+1)/$NU$15,$NN$15/$NT$15)),0)</f>
        <v/>
      </c>
      <c r="MN15" s="228">
        <f>IF(AND(348&gt;=$NR$15,348&lt;=$NS$15),IF($NP$15="Single_Point",IF(348=$NR$15,$NN$15,0),IF($NP$15="Bell_Curve",$NN$15*(348-$NR$15+1)*($NS$15-348+1)/$NU$15,$NN$15/$NT$15)),0)</f>
        <v/>
      </c>
      <c r="MO15" s="228">
        <f>IF(AND(349&gt;=$NR$15,349&lt;=$NS$15),IF($NP$15="Single_Point",IF(349=$NR$15,$NN$15,0),IF($NP$15="Bell_Curve",$NN$15*(349-$NR$15+1)*($NS$15-349+1)/$NU$15,$NN$15/$NT$15)),0)</f>
        <v/>
      </c>
      <c r="MP15" s="228">
        <f>IF(AND(350&gt;=$NR$15,350&lt;=$NS$15),IF($NP$15="Single_Point",IF(350=$NR$15,$NN$15,0),IF($NP$15="Bell_Curve",$NN$15*(350-$NR$15+1)*($NS$15-350+1)/$NU$15,$NN$15/$NT$15)),0)</f>
        <v/>
      </c>
      <c r="MQ15" s="228">
        <f>IF(AND(351&gt;=$NR$15,351&lt;=$NS$15),IF($NP$15="Single_Point",IF(351=$NR$15,$NN$15,0),IF($NP$15="Bell_Curve",$NN$15*(351-$NR$15+1)*($NS$15-351+1)/$NU$15,$NN$15/$NT$15)),0)</f>
        <v/>
      </c>
      <c r="MR15" s="228">
        <f>IF(AND(352&gt;=$NR$15,352&lt;=$NS$15),IF($NP$15="Single_Point",IF(352=$NR$15,$NN$15,0),IF($NP$15="Bell_Curve",$NN$15*(352-$NR$15+1)*($NS$15-352+1)/$NU$15,$NN$15/$NT$15)),0)</f>
        <v/>
      </c>
      <c r="MS15" s="228">
        <f>IF(AND(353&gt;=$NR$15,353&lt;=$NS$15),IF($NP$15="Single_Point",IF(353=$NR$15,$NN$15,0),IF($NP$15="Bell_Curve",$NN$15*(353-$NR$15+1)*($NS$15-353+1)/$NU$15,$NN$15/$NT$15)),0)</f>
        <v/>
      </c>
      <c r="MT15" s="228">
        <f>IF(AND(354&gt;=$NR$15,354&lt;=$NS$15),IF($NP$15="Single_Point",IF(354=$NR$15,$NN$15,0),IF($NP$15="Bell_Curve",$NN$15*(354-$NR$15+1)*($NS$15-354+1)/$NU$15,$NN$15/$NT$15)),0)</f>
        <v/>
      </c>
      <c r="MU15" s="228">
        <f>IF(AND(355&gt;=$NR$15,355&lt;=$NS$15),IF($NP$15="Single_Point",IF(355=$NR$15,$NN$15,0),IF($NP$15="Bell_Curve",$NN$15*(355-$NR$15+1)*($NS$15-355+1)/$NU$15,$NN$15/$NT$15)),0)</f>
        <v/>
      </c>
      <c r="MV15" s="228">
        <f>IF(AND(356&gt;=$NR$15,356&lt;=$NS$15),IF($NP$15="Single_Point",IF(356=$NR$15,$NN$15,0),IF($NP$15="Bell_Curve",$NN$15*(356-$NR$15+1)*($NS$15-356+1)/$NU$15,$NN$15/$NT$15)),0)</f>
        <v/>
      </c>
      <c r="MW15" s="228">
        <f>IF(AND(357&gt;=$NR$15,357&lt;=$NS$15),IF($NP$15="Single_Point",IF(357=$NR$15,$NN$15,0),IF($NP$15="Bell_Curve",$NN$15*(357-$NR$15+1)*($NS$15-357+1)/$NU$15,$NN$15/$NT$15)),0)</f>
        <v/>
      </c>
      <c r="MX15" s="228">
        <f>IF(AND(358&gt;=$NR$15,358&lt;=$NS$15),IF($NP$15="Single_Point",IF(358=$NR$15,$NN$15,0),IF($NP$15="Bell_Curve",$NN$15*(358-$NR$15+1)*($NS$15-358+1)/$NU$15,$NN$15/$NT$15)),0)</f>
        <v/>
      </c>
      <c r="MY15" s="228">
        <f>IF(AND(359&gt;=$NR$15,359&lt;=$NS$15),IF($NP$15="Single_Point",IF(359=$NR$15,$NN$15,0),IF($NP$15="Bell_Curve",$NN$15*(359-$NR$15+1)*($NS$15-359+1)/$NU$15,$NN$15/$NT$15)),0)</f>
        <v/>
      </c>
      <c r="MZ15" s="228">
        <f>IF(AND(360&gt;=$NR$15,360&lt;=$NS$15),IF($NP$15="Single_Point",IF(360=$NR$15,$NN$15,0),IF($NP$15="Bell_Curve",$NN$15*(360-$NR$15+1)*($NS$15-360+1)/$NU$15,$NN$15/$NT$15)),0)</f>
        <v/>
      </c>
      <c r="NA15" s="228">
        <f>IF(AND(361&gt;=$NR$15,361&lt;=$NS$15),IF($NP$15="Single_Point",IF(361=$NR$15,$NN$15,0),IF($NP$15="Bell_Curve",$NN$15*(361-$NR$15+1)*($NS$15-361+1)/$NU$15,$NN$15/$NT$15)),0)</f>
        <v/>
      </c>
      <c r="NB15" s="228">
        <f>IF(AND(362&gt;=$NR$15,362&lt;=$NS$15),IF($NP$15="Single_Point",IF(362=$NR$15,$NN$15,0),IF($NP$15="Bell_Curve",$NN$15*(362-$NR$15+1)*($NS$15-362+1)/$NU$15,$NN$15/$NT$15)),0)</f>
        <v/>
      </c>
      <c r="NC15" s="228">
        <f>IF(AND(363&gt;=$NR$15,363&lt;=$NS$15),IF($NP$15="Single_Point",IF(363=$NR$15,$NN$15,0),IF($NP$15="Bell_Curve",$NN$15*(363-$NR$15+1)*($NS$15-363+1)/$NU$15,$NN$15/$NT$15)),0)</f>
        <v/>
      </c>
      <c r="ND15" s="228">
        <f>IF(AND(364&gt;=$NR$15,364&lt;=$NS$15),IF($NP$15="Single_Point",IF(364=$NR$15,$NN$15,0),IF($NP$15="Bell_Curve",$NN$15*(364-$NR$15+1)*($NS$15-364+1)/$NU$15,$NN$15/$NT$15)),0)</f>
        <v/>
      </c>
      <c r="NE15" s="228">
        <f>IF(AND(365&gt;=$NR$15,365&lt;=$NS$15),IF($NP$15="Single_Point",IF(365=$NR$15,$NN$15,0),IF($NP$15="Bell_Curve",$NN$15*(365-$NR$15+1)*($NS$15-365+1)/$NU$15,$NN$15/$NT$15)),0)</f>
        <v/>
      </c>
      <c r="NF15" s="228">
        <f>IF(AND(366&gt;=$NR$15,366&lt;=$NS$15),IF($NP$15="Single_Point",IF(366=$NR$15,$NN$15,0),IF($NP$15="Bell_Curve",$NN$15*(366-$NR$15+1)*($NS$15-366+1)/$NU$15,$NN$15/$NT$15)),0)</f>
        <v/>
      </c>
      <c r="NG15" s="228">
        <f>IF(AND(367&gt;=$NR$15,367&lt;=$NS$15),IF($NP$15="Single_Point",IF(367=$NR$15,$NN$15,0),IF($NP$15="Bell_Curve",$NN$15*(367-$NR$15+1)*($NS$15-367+1)/$NU$15,$NN$15/$NT$15)),0)</f>
        <v/>
      </c>
      <c r="NH15" s="228">
        <f>IF(AND(368&gt;=$NR$15,368&lt;=$NS$15),IF($NP$15="Single_Point",IF(368=$NR$15,$NN$15,0),IF($NP$15="Bell_Curve",$NN$15*(368-$NR$15+1)*($NS$15-368+1)/$NU$15,$NN$15/$NT$15)),0)</f>
        <v/>
      </c>
      <c r="NI15" s="228">
        <f>IF(AND(369&gt;=$NR$15,369&lt;=$NS$15),IF($NP$15="Single_Point",IF(369=$NR$15,$NN$15,0),IF($NP$15="Bell_Curve",$NN$15*(369-$NR$15+1)*($NS$15-369+1)/$NU$15,$NN$15/$NT$15)),0)</f>
        <v/>
      </c>
      <c r="NJ15" s="228">
        <f>IF(AND(370&gt;=$NR$15,370&lt;=$NS$15),IF($NP$15="Single_Point",IF(370=$NR$15,$NN$15,0),IF($NP$15="Bell_Curve",$NN$15*(370-$NR$15+1)*($NS$15-370+1)/$NU$15,$NN$15/$NT$15)),0)</f>
        <v/>
      </c>
      <c r="NK15" s="228">
        <f>IF(AND(371&gt;=$NR$15,371&lt;=$NS$15),IF($NP$15="Single_Point",IF(371=$NR$15,$NN$15,0),IF($NP$15="Bell_Curve",$NN$15*(371-$NR$15+1)*($NS$15-371+1)/$NU$15,$NN$15/$NT$15)),0)</f>
        <v/>
      </c>
      <c r="NL15" s="247">
        <f>IF(AND(372&gt;=$NR$15,372&lt;=$NS$15),IF($NP$15="Single_Point",IF(372=$NR$15,$NN$15,0),IF($NP$15="Bell_Curve",$NN$15*(372-$NR$15+1)*($NS$15-372+1)/$NU$15,$NN$15/$NT$15)),0)</f>
        <v/>
      </c>
      <c r="NN15" s="218">
        <f>Budget!J14</f>
        <v/>
      </c>
      <c r="NO15" s="144">
        <f>Budget!G14</f>
        <v/>
      </c>
      <c r="NP15" s="144">
        <f>Budget!H14</f>
        <v/>
      </c>
      <c r="NQ15" s="85">
        <f>Budget!I14</f>
        <v/>
      </c>
      <c r="NR15" s="248">
        <f>MAX(1,MIN(372,INDEX(MilestoneStart,MATCH(NO15,MilestoneNames,0))+NQ15))</f>
        <v/>
      </c>
      <c r="NS15" s="248">
        <f>MAX(NR15,MIN(372,INDEX(MilestoneEnd,MATCH(NO15,MilestoneNames,0))+NQ15))</f>
        <v/>
      </c>
      <c r="NT15" s="85">
        <f>NS15-NR15+1</f>
        <v/>
      </c>
      <c r="NU15" s="85">
        <f>NT15*(NT15+1)*(NT15+2)/6</f>
        <v/>
      </c>
    </row>
    <row r="16">
      <c r="B16" s="36" t="inlineStr">
        <is>
          <t>Off-Site Improvements</t>
        </is>
      </c>
      <c r="D16" s="246">
        <f>SUM(E16:NL16)</f>
        <v/>
      </c>
      <c r="E16" s="228">
        <f>IF(AND(1&gt;=$NR$16,1&lt;=$NS$16),IF($NP$16="Single_Point",IF(1=$NR$16,$NN$16,0),IF($NP$16="Bell_Curve",$NN$16*(1-$NR$16+1)*($NS$16-1+1)/$NU$16,$NN$16/$NT$16)),0)</f>
        <v/>
      </c>
      <c r="F16" s="228">
        <f>IF(AND(2&gt;=$NR$16,2&lt;=$NS$16),IF($NP$16="Single_Point",IF(2=$NR$16,$NN$16,0),IF($NP$16="Bell_Curve",$NN$16*(2-$NR$16+1)*($NS$16-2+1)/$NU$16,$NN$16/$NT$16)),0)</f>
        <v/>
      </c>
      <c r="G16" s="228">
        <f>IF(AND(3&gt;=$NR$16,3&lt;=$NS$16),IF($NP$16="Single_Point",IF(3=$NR$16,$NN$16,0),IF($NP$16="Bell_Curve",$NN$16*(3-$NR$16+1)*($NS$16-3+1)/$NU$16,$NN$16/$NT$16)),0)</f>
        <v/>
      </c>
      <c r="H16" s="228">
        <f>IF(AND(4&gt;=$NR$16,4&lt;=$NS$16),IF($NP$16="Single_Point",IF(4=$NR$16,$NN$16,0),IF($NP$16="Bell_Curve",$NN$16*(4-$NR$16+1)*($NS$16-4+1)/$NU$16,$NN$16/$NT$16)),0)</f>
        <v/>
      </c>
      <c r="I16" s="228">
        <f>IF(AND(5&gt;=$NR$16,5&lt;=$NS$16),IF($NP$16="Single_Point",IF(5=$NR$16,$NN$16,0),IF($NP$16="Bell_Curve",$NN$16*(5-$NR$16+1)*($NS$16-5+1)/$NU$16,$NN$16/$NT$16)),0)</f>
        <v/>
      </c>
      <c r="J16" s="228">
        <f>IF(AND(6&gt;=$NR$16,6&lt;=$NS$16),IF($NP$16="Single_Point",IF(6=$NR$16,$NN$16,0),IF($NP$16="Bell_Curve",$NN$16*(6-$NR$16+1)*($NS$16-6+1)/$NU$16,$NN$16/$NT$16)),0)</f>
        <v/>
      </c>
      <c r="K16" s="228">
        <f>IF(AND(7&gt;=$NR$16,7&lt;=$NS$16),IF($NP$16="Single_Point",IF(7=$NR$16,$NN$16,0),IF($NP$16="Bell_Curve",$NN$16*(7-$NR$16+1)*($NS$16-7+1)/$NU$16,$NN$16/$NT$16)),0)</f>
        <v/>
      </c>
      <c r="L16" s="228">
        <f>IF(AND(8&gt;=$NR$16,8&lt;=$NS$16),IF($NP$16="Single_Point",IF(8=$NR$16,$NN$16,0),IF($NP$16="Bell_Curve",$NN$16*(8-$NR$16+1)*($NS$16-8+1)/$NU$16,$NN$16/$NT$16)),0)</f>
        <v/>
      </c>
      <c r="M16" s="228">
        <f>IF(AND(9&gt;=$NR$16,9&lt;=$NS$16),IF($NP$16="Single_Point",IF(9=$NR$16,$NN$16,0),IF($NP$16="Bell_Curve",$NN$16*(9-$NR$16+1)*($NS$16-9+1)/$NU$16,$NN$16/$NT$16)),0)</f>
        <v/>
      </c>
      <c r="N16" s="228">
        <f>IF(AND(10&gt;=$NR$16,10&lt;=$NS$16),IF($NP$16="Single_Point",IF(10=$NR$16,$NN$16,0),IF($NP$16="Bell_Curve",$NN$16*(10-$NR$16+1)*($NS$16-10+1)/$NU$16,$NN$16/$NT$16)),0)</f>
        <v/>
      </c>
      <c r="O16" s="228">
        <f>IF(AND(11&gt;=$NR$16,11&lt;=$NS$16),IF($NP$16="Single_Point",IF(11=$NR$16,$NN$16,0),IF($NP$16="Bell_Curve",$NN$16*(11-$NR$16+1)*($NS$16-11+1)/$NU$16,$NN$16/$NT$16)),0)</f>
        <v/>
      </c>
      <c r="P16" s="228">
        <f>IF(AND(12&gt;=$NR$16,12&lt;=$NS$16),IF($NP$16="Single_Point",IF(12=$NR$16,$NN$16,0),IF($NP$16="Bell_Curve",$NN$16*(12-$NR$16+1)*($NS$16-12+1)/$NU$16,$NN$16/$NT$16)),0)</f>
        <v/>
      </c>
      <c r="Q16" s="228">
        <f>IF(AND(13&gt;=$NR$16,13&lt;=$NS$16),IF($NP$16="Single_Point",IF(13=$NR$16,$NN$16,0),IF($NP$16="Bell_Curve",$NN$16*(13-$NR$16+1)*($NS$16-13+1)/$NU$16,$NN$16/$NT$16)),0)</f>
        <v/>
      </c>
      <c r="R16" s="228">
        <f>IF(AND(14&gt;=$NR$16,14&lt;=$NS$16),IF($NP$16="Single_Point",IF(14=$NR$16,$NN$16,0),IF($NP$16="Bell_Curve",$NN$16*(14-$NR$16+1)*($NS$16-14+1)/$NU$16,$NN$16/$NT$16)),0)</f>
        <v/>
      </c>
      <c r="S16" s="228">
        <f>IF(AND(15&gt;=$NR$16,15&lt;=$NS$16),IF($NP$16="Single_Point",IF(15=$NR$16,$NN$16,0),IF($NP$16="Bell_Curve",$NN$16*(15-$NR$16+1)*($NS$16-15+1)/$NU$16,$NN$16/$NT$16)),0)</f>
        <v/>
      </c>
      <c r="T16" s="228">
        <f>IF(AND(16&gt;=$NR$16,16&lt;=$NS$16),IF($NP$16="Single_Point",IF(16=$NR$16,$NN$16,0),IF($NP$16="Bell_Curve",$NN$16*(16-$NR$16+1)*($NS$16-16+1)/$NU$16,$NN$16/$NT$16)),0)</f>
        <v/>
      </c>
      <c r="U16" s="228">
        <f>IF(AND(17&gt;=$NR$16,17&lt;=$NS$16),IF($NP$16="Single_Point",IF(17=$NR$16,$NN$16,0),IF($NP$16="Bell_Curve",$NN$16*(17-$NR$16+1)*($NS$16-17+1)/$NU$16,$NN$16/$NT$16)),0)</f>
        <v/>
      </c>
      <c r="V16" s="228">
        <f>IF(AND(18&gt;=$NR$16,18&lt;=$NS$16),IF($NP$16="Single_Point",IF(18=$NR$16,$NN$16,0),IF($NP$16="Bell_Curve",$NN$16*(18-$NR$16+1)*($NS$16-18+1)/$NU$16,$NN$16/$NT$16)),0)</f>
        <v/>
      </c>
      <c r="W16" s="228">
        <f>IF(AND(19&gt;=$NR$16,19&lt;=$NS$16),IF($NP$16="Single_Point",IF(19=$NR$16,$NN$16,0),IF($NP$16="Bell_Curve",$NN$16*(19-$NR$16+1)*($NS$16-19+1)/$NU$16,$NN$16/$NT$16)),0)</f>
        <v/>
      </c>
      <c r="X16" s="228">
        <f>IF(AND(20&gt;=$NR$16,20&lt;=$NS$16),IF($NP$16="Single_Point",IF(20=$NR$16,$NN$16,0),IF($NP$16="Bell_Curve",$NN$16*(20-$NR$16+1)*($NS$16-20+1)/$NU$16,$NN$16/$NT$16)),0)</f>
        <v/>
      </c>
      <c r="Y16" s="228">
        <f>IF(AND(21&gt;=$NR$16,21&lt;=$NS$16),IF($NP$16="Single_Point",IF(21=$NR$16,$NN$16,0),IF($NP$16="Bell_Curve",$NN$16*(21-$NR$16+1)*($NS$16-21+1)/$NU$16,$NN$16/$NT$16)),0)</f>
        <v/>
      </c>
      <c r="Z16" s="228">
        <f>IF(AND(22&gt;=$NR$16,22&lt;=$NS$16),IF($NP$16="Single_Point",IF(22=$NR$16,$NN$16,0),IF($NP$16="Bell_Curve",$NN$16*(22-$NR$16+1)*($NS$16-22+1)/$NU$16,$NN$16/$NT$16)),0)</f>
        <v/>
      </c>
      <c r="AA16" s="228">
        <f>IF(AND(23&gt;=$NR$16,23&lt;=$NS$16),IF($NP$16="Single_Point",IF(23=$NR$16,$NN$16,0),IF($NP$16="Bell_Curve",$NN$16*(23-$NR$16+1)*($NS$16-23+1)/$NU$16,$NN$16/$NT$16)),0)</f>
        <v/>
      </c>
      <c r="AB16" s="228">
        <f>IF(AND(24&gt;=$NR$16,24&lt;=$NS$16),IF($NP$16="Single_Point",IF(24=$NR$16,$NN$16,0),IF($NP$16="Bell_Curve",$NN$16*(24-$NR$16+1)*($NS$16-24+1)/$NU$16,$NN$16/$NT$16)),0)</f>
        <v/>
      </c>
      <c r="AC16" s="228">
        <f>IF(AND(25&gt;=$NR$16,25&lt;=$NS$16),IF($NP$16="Single_Point",IF(25=$NR$16,$NN$16,0),IF($NP$16="Bell_Curve",$NN$16*(25-$NR$16+1)*($NS$16-25+1)/$NU$16,$NN$16/$NT$16)),0)</f>
        <v/>
      </c>
      <c r="AD16" s="228">
        <f>IF(AND(26&gt;=$NR$16,26&lt;=$NS$16),IF($NP$16="Single_Point",IF(26=$NR$16,$NN$16,0),IF($NP$16="Bell_Curve",$NN$16*(26-$NR$16+1)*($NS$16-26+1)/$NU$16,$NN$16/$NT$16)),0)</f>
        <v/>
      </c>
      <c r="AE16" s="228">
        <f>IF(AND(27&gt;=$NR$16,27&lt;=$NS$16),IF($NP$16="Single_Point",IF(27=$NR$16,$NN$16,0),IF($NP$16="Bell_Curve",$NN$16*(27-$NR$16+1)*($NS$16-27+1)/$NU$16,$NN$16/$NT$16)),0)</f>
        <v/>
      </c>
      <c r="AF16" s="228">
        <f>IF(AND(28&gt;=$NR$16,28&lt;=$NS$16),IF($NP$16="Single_Point",IF(28=$NR$16,$NN$16,0),IF($NP$16="Bell_Curve",$NN$16*(28-$NR$16+1)*($NS$16-28+1)/$NU$16,$NN$16/$NT$16)),0)</f>
        <v/>
      </c>
      <c r="AG16" s="228">
        <f>IF(AND(29&gt;=$NR$16,29&lt;=$NS$16),IF($NP$16="Single_Point",IF(29=$NR$16,$NN$16,0),IF($NP$16="Bell_Curve",$NN$16*(29-$NR$16+1)*($NS$16-29+1)/$NU$16,$NN$16/$NT$16)),0)</f>
        <v/>
      </c>
      <c r="AH16" s="228">
        <f>IF(AND(30&gt;=$NR$16,30&lt;=$NS$16),IF($NP$16="Single_Point",IF(30=$NR$16,$NN$16,0),IF($NP$16="Bell_Curve",$NN$16*(30-$NR$16+1)*($NS$16-30+1)/$NU$16,$NN$16/$NT$16)),0)</f>
        <v/>
      </c>
      <c r="AI16" s="228">
        <f>IF(AND(31&gt;=$NR$16,31&lt;=$NS$16),IF($NP$16="Single_Point",IF(31=$NR$16,$NN$16,0),IF($NP$16="Bell_Curve",$NN$16*(31-$NR$16+1)*($NS$16-31+1)/$NU$16,$NN$16/$NT$16)),0)</f>
        <v/>
      </c>
      <c r="AJ16" s="228">
        <f>IF(AND(32&gt;=$NR$16,32&lt;=$NS$16),IF($NP$16="Single_Point",IF(32=$NR$16,$NN$16,0),IF($NP$16="Bell_Curve",$NN$16*(32-$NR$16+1)*($NS$16-32+1)/$NU$16,$NN$16/$NT$16)),0)</f>
        <v/>
      </c>
      <c r="AK16" s="228">
        <f>IF(AND(33&gt;=$NR$16,33&lt;=$NS$16),IF($NP$16="Single_Point",IF(33=$NR$16,$NN$16,0),IF($NP$16="Bell_Curve",$NN$16*(33-$NR$16+1)*($NS$16-33+1)/$NU$16,$NN$16/$NT$16)),0)</f>
        <v/>
      </c>
      <c r="AL16" s="228">
        <f>IF(AND(34&gt;=$NR$16,34&lt;=$NS$16),IF($NP$16="Single_Point",IF(34=$NR$16,$NN$16,0),IF($NP$16="Bell_Curve",$NN$16*(34-$NR$16+1)*($NS$16-34+1)/$NU$16,$NN$16/$NT$16)),0)</f>
        <v/>
      </c>
      <c r="AM16" s="228">
        <f>IF(AND(35&gt;=$NR$16,35&lt;=$NS$16),IF($NP$16="Single_Point",IF(35=$NR$16,$NN$16,0),IF($NP$16="Bell_Curve",$NN$16*(35-$NR$16+1)*($NS$16-35+1)/$NU$16,$NN$16/$NT$16)),0)</f>
        <v/>
      </c>
      <c r="AN16" s="228">
        <f>IF(AND(36&gt;=$NR$16,36&lt;=$NS$16),IF($NP$16="Single_Point",IF(36=$NR$16,$NN$16,0),IF($NP$16="Bell_Curve",$NN$16*(36-$NR$16+1)*($NS$16-36+1)/$NU$16,$NN$16/$NT$16)),0)</f>
        <v/>
      </c>
      <c r="AO16" s="228">
        <f>IF(AND(37&gt;=$NR$16,37&lt;=$NS$16),IF($NP$16="Single_Point",IF(37=$NR$16,$NN$16,0),IF($NP$16="Bell_Curve",$NN$16*(37-$NR$16+1)*($NS$16-37+1)/$NU$16,$NN$16/$NT$16)),0)</f>
        <v/>
      </c>
      <c r="AP16" s="228">
        <f>IF(AND(38&gt;=$NR$16,38&lt;=$NS$16),IF($NP$16="Single_Point",IF(38=$NR$16,$NN$16,0),IF($NP$16="Bell_Curve",$NN$16*(38-$NR$16+1)*($NS$16-38+1)/$NU$16,$NN$16/$NT$16)),0)</f>
        <v/>
      </c>
      <c r="AQ16" s="228">
        <f>IF(AND(39&gt;=$NR$16,39&lt;=$NS$16),IF($NP$16="Single_Point",IF(39=$NR$16,$NN$16,0),IF($NP$16="Bell_Curve",$NN$16*(39-$NR$16+1)*($NS$16-39+1)/$NU$16,$NN$16/$NT$16)),0)</f>
        <v/>
      </c>
      <c r="AR16" s="228">
        <f>IF(AND(40&gt;=$NR$16,40&lt;=$NS$16),IF($NP$16="Single_Point",IF(40=$NR$16,$NN$16,0),IF($NP$16="Bell_Curve",$NN$16*(40-$NR$16+1)*($NS$16-40+1)/$NU$16,$NN$16/$NT$16)),0)</f>
        <v/>
      </c>
      <c r="AS16" s="228">
        <f>IF(AND(41&gt;=$NR$16,41&lt;=$NS$16),IF($NP$16="Single_Point",IF(41=$NR$16,$NN$16,0),IF($NP$16="Bell_Curve",$NN$16*(41-$NR$16+1)*($NS$16-41+1)/$NU$16,$NN$16/$NT$16)),0)</f>
        <v/>
      </c>
      <c r="AT16" s="228">
        <f>IF(AND(42&gt;=$NR$16,42&lt;=$NS$16),IF($NP$16="Single_Point",IF(42=$NR$16,$NN$16,0),IF($NP$16="Bell_Curve",$NN$16*(42-$NR$16+1)*($NS$16-42+1)/$NU$16,$NN$16/$NT$16)),0)</f>
        <v/>
      </c>
      <c r="AU16" s="228">
        <f>IF(AND(43&gt;=$NR$16,43&lt;=$NS$16),IF($NP$16="Single_Point",IF(43=$NR$16,$NN$16,0),IF($NP$16="Bell_Curve",$NN$16*(43-$NR$16+1)*($NS$16-43+1)/$NU$16,$NN$16/$NT$16)),0)</f>
        <v/>
      </c>
      <c r="AV16" s="228">
        <f>IF(AND(44&gt;=$NR$16,44&lt;=$NS$16),IF($NP$16="Single_Point",IF(44=$NR$16,$NN$16,0),IF($NP$16="Bell_Curve",$NN$16*(44-$NR$16+1)*($NS$16-44+1)/$NU$16,$NN$16/$NT$16)),0)</f>
        <v/>
      </c>
      <c r="AW16" s="228">
        <f>IF(AND(45&gt;=$NR$16,45&lt;=$NS$16),IF($NP$16="Single_Point",IF(45=$NR$16,$NN$16,0),IF($NP$16="Bell_Curve",$NN$16*(45-$NR$16+1)*($NS$16-45+1)/$NU$16,$NN$16/$NT$16)),0)</f>
        <v/>
      </c>
      <c r="AX16" s="228">
        <f>IF(AND(46&gt;=$NR$16,46&lt;=$NS$16),IF($NP$16="Single_Point",IF(46=$NR$16,$NN$16,0),IF($NP$16="Bell_Curve",$NN$16*(46-$NR$16+1)*($NS$16-46+1)/$NU$16,$NN$16/$NT$16)),0)</f>
        <v/>
      </c>
      <c r="AY16" s="228">
        <f>IF(AND(47&gt;=$NR$16,47&lt;=$NS$16),IF($NP$16="Single_Point",IF(47=$NR$16,$NN$16,0),IF($NP$16="Bell_Curve",$NN$16*(47-$NR$16+1)*($NS$16-47+1)/$NU$16,$NN$16/$NT$16)),0)</f>
        <v/>
      </c>
      <c r="AZ16" s="228">
        <f>IF(AND(48&gt;=$NR$16,48&lt;=$NS$16),IF($NP$16="Single_Point",IF(48=$NR$16,$NN$16,0),IF($NP$16="Bell_Curve",$NN$16*(48-$NR$16+1)*($NS$16-48+1)/$NU$16,$NN$16/$NT$16)),0)</f>
        <v/>
      </c>
      <c r="BA16" s="228">
        <f>IF(AND(49&gt;=$NR$16,49&lt;=$NS$16),IF($NP$16="Single_Point",IF(49=$NR$16,$NN$16,0),IF($NP$16="Bell_Curve",$NN$16*(49-$NR$16+1)*($NS$16-49+1)/$NU$16,$NN$16/$NT$16)),0)</f>
        <v/>
      </c>
      <c r="BB16" s="228">
        <f>IF(AND(50&gt;=$NR$16,50&lt;=$NS$16),IF($NP$16="Single_Point",IF(50=$NR$16,$NN$16,0),IF($NP$16="Bell_Curve",$NN$16*(50-$NR$16+1)*($NS$16-50+1)/$NU$16,$NN$16/$NT$16)),0)</f>
        <v/>
      </c>
      <c r="BC16" s="228">
        <f>IF(AND(51&gt;=$NR$16,51&lt;=$NS$16),IF($NP$16="Single_Point",IF(51=$NR$16,$NN$16,0),IF($NP$16="Bell_Curve",$NN$16*(51-$NR$16+1)*($NS$16-51+1)/$NU$16,$NN$16/$NT$16)),0)</f>
        <v/>
      </c>
      <c r="BD16" s="228">
        <f>IF(AND(52&gt;=$NR$16,52&lt;=$NS$16),IF($NP$16="Single_Point",IF(52=$NR$16,$NN$16,0),IF($NP$16="Bell_Curve",$NN$16*(52-$NR$16+1)*($NS$16-52+1)/$NU$16,$NN$16/$NT$16)),0)</f>
        <v/>
      </c>
      <c r="BE16" s="228">
        <f>IF(AND(53&gt;=$NR$16,53&lt;=$NS$16),IF($NP$16="Single_Point",IF(53=$NR$16,$NN$16,0),IF($NP$16="Bell_Curve",$NN$16*(53-$NR$16+1)*($NS$16-53+1)/$NU$16,$NN$16/$NT$16)),0)</f>
        <v/>
      </c>
      <c r="BF16" s="228">
        <f>IF(AND(54&gt;=$NR$16,54&lt;=$NS$16),IF($NP$16="Single_Point",IF(54=$NR$16,$NN$16,0),IF($NP$16="Bell_Curve",$NN$16*(54-$NR$16+1)*($NS$16-54+1)/$NU$16,$NN$16/$NT$16)),0)</f>
        <v/>
      </c>
      <c r="BG16" s="228">
        <f>IF(AND(55&gt;=$NR$16,55&lt;=$NS$16),IF($NP$16="Single_Point",IF(55=$NR$16,$NN$16,0),IF($NP$16="Bell_Curve",$NN$16*(55-$NR$16+1)*($NS$16-55+1)/$NU$16,$NN$16/$NT$16)),0)</f>
        <v/>
      </c>
      <c r="BH16" s="228">
        <f>IF(AND(56&gt;=$NR$16,56&lt;=$NS$16),IF($NP$16="Single_Point",IF(56=$NR$16,$NN$16,0),IF($NP$16="Bell_Curve",$NN$16*(56-$NR$16+1)*($NS$16-56+1)/$NU$16,$NN$16/$NT$16)),0)</f>
        <v/>
      </c>
      <c r="BI16" s="228">
        <f>IF(AND(57&gt;=$NR$16,57&lt;=$NS$16),IF($NP$16="Single_Point",IF(57=$NR$16,$NN$16,0),IF($NP$16="Bell_Curve",$NN$16*(57-$NR$16+1)*($NS$16-57+1)/$NU$16,$NN$16/$NT$16)),0)</f>
        <v/>
      </c>
      <c r="BJ16" s="228">
        <f>IF(AND(58&gt;=$NR$16,58&lt;=$NS$16),IF($NP$16="Single_Point",IF(58=$NR$16,$NN$16,0),IF($NP$16="Bell_Curve",$NN$16*(58-$NR$16+1)*($NS$16-58+1)/$NU$16,$NN$16/$NT$16)),0)</f>
        <v/>
      </c>
      <c r="BK16" s="228">
        <f>IF(AND(59&gt;=$NR$16,59&lt;=$NS$16),IF($NP$16="Single_Point",IF(59=$NR$16,$NN$16,0),IF($NP$16="Bell_Curve",$NN$16*(59-$NR$16+1)*($NS$16-59+1)/$NU$16,$NN$16/$NT$16)),0)</f>
        <v/>
      </c>
      <c r="BL16" s="228">
        <f>IF(AND(60&gt;=$NR$16,60&lt;=$NS$16),IF($NP$16="Single_Point",IF(60=$NR$16,$NN$16,0),IF($NP$16="Bell_Curve",$NN$16*(60-$NR$16+1)*($NS$16-60+1)/$NU$16,$NN$16/$NT$16)),0)</f>
        <v/>
      </c>
      <c r="BM16" s="228">
        <f>IF(AND(61&gt;=$NR$16,61&lt;=$NS$16),IF($NP$16="Single_Point",IF(61=$NR$16,$NN$16,0),IF($NP$16="Bell_Curve",$NN$16*(61-$NR$16+1)*($NS$16-61+1)/$NU$16,$NN$16/$NT$16)),0)</f>
        <v/>
      </c>
      <c r="BN16" s="228">
        <f>IF(AND(62&gt;=$NR$16,62&lt;=$NS$16),IF($NP$16="Single_Point",IF(62=$NR$16,$NN$16,0),IF($NP$16="Bell_Curve",$NN$16*(62-$NR$16+1)*($NS$16-62+1)/$NU$16,$NN$16/$NT$16)),0)</f>
        <v/>
      </c>
      <c r="BO16" s="228">
        <f>IF(AND(63&gt;=$NR$16,63&lt;=$NS$16),IF($NP$16="Single_Point",IF(63=$NR$16,$NN$16,0),IF($NP$16="Bell_Curve",$NN$16*(63-$NR$16+1)*($NS$16-63+1)/$NU$16,$NN$16/$NT$16)),0)</f>
        <v/>
      </c>
      <c r="BP16" s="228">
        <f>IF(AND(64&gt;=$NR$16,64&lt;=$NS$16),IF($NP$16="Single_Point",IF(64=$NR$16,$NN$16,0),IF($NP$16="Bell_Curve",$NN$16*(64-$NR$16+1)*($NS$16-64+1)/$NU$16,$NN$16/$NT$16)),0)</f>
        <v/>
      </c>
      <c r="BQ16" s="228">
        <f>IF(AND(65&gt;=$NR$16,65&lt;=$NS$16),IF($NP$16="Single_Point",IF(65=$NR$16,$NN$16,0),IF($NP$16="Bell_Curve",$NN$16*(65-$NR$16+1)*($NS$16-65+1)/$NU$16,$NN$16/$NT$16)),0)</f>
        <v/>
      </c>
      <c r="BR16" s="228">
        <f>IF(AND(66&gt;=$NR$16,66&lt;=$NS$16),IF($NP$16="Single_Point",IF(66=$NR$16,$NN$16,0),IF($NP$16="Bell_Curve",$NN$16*(66-$NR$16+1)*($NS$16-66+1)/$NU$16,$NN$16/$NT$16)),0)</f>
        <v/>
      </c>
      <c r="BS16" s="228">
        <f>IF(AND(67&gt;=$NR$16,67&lt;=$NS$16),IF($NP$16="Single_Point",IF(67=$NR$16,$NN$16,0),IF($NP$16="Bell_Curve",$NN$16*(67-$NR$16+1)*($NS$16-67+1)/$NU$16,$NN$16/$NT$16)),0)</f>
        <v/>
      </c>
      <c r="BT16" s="228">
        <f>IF(AND(68&gt;=$NR$16,68&lt;=$NS$16),IF($NP$16="Single_Point",IF(68=$NR$16,$NN$16,0),IF($NP$16="Bell_Curve",$NN$16*(68-$NR$16+1)*($NS$16-68+1)/$NU$16,$NN$16/$NT$16)),0)</f>
        <v/>
      </c>
      <c r="BU16" s="228">
        <f>IF(AND(69&gt;=$NR$16,69&lt;=$NS$16),IF($NP$16="Single_Point",IF(69=$NR$16,$NN$16,0),IF($NP$16="Bell_Curve",$NN$16*(69-$NR$16+1)*($NS$16-69+1)/$NU$16,$NN$16/$NT$16)),0)</f>
        <v/>
      </c>
      <c r="BV16" s="228">
        <f>IF(AND(70&gt;=$NR$16,70&lt;=$NS$16),IF($NP$16="Single_Point",IF(70=$NR$16,$NN$16,0),IF($NP$16="Bell_Curve",$NN$16*(70-$NR$16+1)*($NS$16-70+1)/$NU$16,$NN$16/$NT$16)),0)</f>
        <v/>
      </c>
      <c r="BW16" s="228">
        <f>IF(AND(71&gt;=$NR$16,71&lt;=$NS$16),IF($NP$16="Single_Point",IF(71=$NR$16,$NN$16,0),IF($NP$16="Bell_Curve",$NN$16*(71-$NR$16+1)*($NS$16-71+1)/$NU$16,$NN$16/$NT$16)),0)</f>
        <v/>
      </c>
      <c r="BX16" s="228">
        <f>IF(AND(72&gt;=$NR$16,72&lt;=$NS$16),IF($NP$16="Single_Point",IF(72=$NR$16,$NN$16,0),IF($NP$16="Bell_Curve",$NN$16*(72-$NR$16+1)*($NS$16-72+1)/$NU$16,$NN$16/$NT$16)),0)</f>
        <v/>
      </c>
      <c r="BY16" s="228">
        <f>IF(AND(73&gt;=$NR$16,73&lt;=$NS$16),IF($NP$16="Single_Point",IF(73=$NR$16,$NN$16,0),IF($NP$16="Bell_Curve",$NN$16*(73-$NR$16+1)*($NS$16-73+1)/$NU$16,$NN$16/$NT$16)),0)</f>
        <v/>
      </c>
      <c r="BZ16" s="228">
        <f>IF(AND(74&gt;=$NR$16,74&lt;=$NS$16),IF($NP$16="Single_Point",IF(74=$NR$16,$NN$16,0),IF($NP$16="Bell_Curve",$NN$16*(74-$NR$16+1)*($NS$16-74+1)/$NU$16,$NN$16/$NT$16)),0)</f>
        <v/>
      </c>
      <c r="CA16" s="228">
        <f>IF(AND(75&gt;=$NR$16,75&lt;=$NS$16),IF($NP$16="Single_Point",IF(75=$NR$16,$NN$16,0),IF($NP$16="Bell_Curve",$NN$16*(75-$NR$16+1)*($NS$16-75+1)/$NU$16,$NN$16/$NT$16)),0)</f>
        <v/>
      </c>
      <c r="CB16" s="228">
        <f>IF(AND(76&gt;=$NR$16,76&lt;=$NS$16),IF($NP$16="Single_Point",IF(76=$NR$16,$NN$16,0),IF($NP$16="Bell_Curve",$NN$16*(76-$NR$16+1)*($NS$16-76+1)/$NU$16,$NN$16/$NT$16)),0)</f>
        <v/>
      </c>
      <c r="CC16" s="228">
        <f>IF(AND(77&gt;=$NR$16,77&lt;=$NS$16),IF($NP$16="Single_Point",IF(77=$NR$16,$NN$16,0),IF($NP$16="Bell_Curve",$NN$16*(77-$NR$16+1)*($NS$16-77+1)/$NU$16,$NN$16/$NT$16)),0)</f>
        <v/>
      </c>
      <c r="CD16" s="228">
        <f>IF(AND(78&gt;=$NR$16,78&lt;=$NS$16),IF($NP$16="Single_Point",IF(78=$NR$16,$NN$16,0),IF($NP$16="Bell_Curve",$NN$16*(78-$NR$16+1)*($NS$16-78+1)/$NU$16,$NN$16/$NT$16)),0)</f>
        <v/>
      </c>
      <c r="CE16" s="228">
        <f>IF(AND(79&gt;=$NR$16,79&lt;=$NS$16),IF($NP$16="Single_Point",IF(79=$NR$16,$NN$16,0),IF($NP$16="Bell_Curve",$NN$16*(79-$NR$16+1)*($NS$16-79+1)/$NU$16,$NN$16/$NT$16)),0)</f>
        <v/>
      </c>
      <c r="CF16" s="228">
        <f>IF(AND(80&gt;=$NR$16,80&lt;=$NS$16),IF($NP$16="Single_Point",IF(80=$NR$16,$NN$16,0),IF($NP$16="Bell_Curve",$NN$16*(80-$NR$16+1)*($NS$16-80+1)/$NU$16,$NN$16/$NT$16)),0)</f>
        <v/>
      </c>
      <c r="CG16" s="228">
        <f>IF(AND(81&gt;=$NR$16,81&lt;=$NS$16),IF($NP$16="Single_Point",IF(81=$NR$16,$NN$16,0),IF($NP$16="Bell_Curve",$NN$16*(81-$NR$16+1)*($NS$16-81+1)/$NU$16,$NN$16/$NT$16)),0)</f>
        <v/>
      </c>
      <c r="CH16" s="228">
        <f>IF(AND(82&gt;=$NR$16,82&lt;=$NS$16),IF($NP$16="Single_Point",IF(82=$NR$16,$NN$16,0),IF($NP$16="Bell_Curve",$NN$16*(82-$NR$16+1)*($NS$16-82+1)/$NU$16,$NN$16/$NT$16)),0)</f>
        <v/>
      </c>
      <c r="CI16" s="228">
        <f>IF(AND(83&gt;=$NR$16,83&lt;=$NS$16),IF($NP$16="Single_Point",IF(83=$NR$16,$NN$16,0),IF($NP$16="Bell_Curve",$NN$16*(83-$NR$16+1)*($NS$16-83+1)/$NU$16,$NN$16/$NT$16)),0)</f>
        <v/>
      </c>
      <c r="CJ16" s="228">
        <f>IF(AND(84&gt;=$NR$16,84&lt;=$NS$16),IF($NP$16="Single_Point",IF(84=$NR$16,$NN$16,0),IF($NP$16="Bell_Curve",$NN$16*(84-$NR$16+1)*($NS$16-84+1)/$NU$16,$NN$16/$NT$16)),0)</f>
        <v/>
      </c>
      <c r="CK16" s="228">
        <f>IF(AND(85&gt;=$NR$16,85&lt;=$NS$16),IF($NP$16="Single_Point",IF(85=$NR$16,$NN$16,0),IF($NP$16="Bell_Curve",$NN$16*(85-$NR$16+1)*($NS$16-85+1)/$NU$16,$NN$16/$NT$16)),0)</f>
        <v/>
      </c>
      <c r="CL16" s="228">
        <f>IF(AND(86&gt;=$NR$16,86&lt;=$NS$16),IF($NP$16="Single_Point",IF(86=$NR$16,$NN$16,0),IF($NP$16="Bell_Curve",$NN$16*(86-$NR$16+1)*($NS$16-86+1)/$NU$16,$NN$16/$NT$16)),0)</f>
        <v/>
      </c>
      <c r="CM16" s="228">
        <f>IF(AND(87&gt;=$NR$16,87&lt;=$NS$16),IF($NP$16="Single_Point",IF(87=$NR$16,$NN$16,0),IF($NP$16="Bell_Curve",$NN$16*(87-$NR$16+1)*($NS$16-87+1)/$NU$16,$NN$16/$NT$16)),0)</f>
        <v/>
      </c>
      <c r="CN16" s="228">
        <f>IF(AND(88&gt;=$NR$16,88&lt;=$NS$16),IF($NP$16="Single_Point",IF(88=$NR$16,$NN$16,0),IF($NP$16="Bell_Curve",$NN$16*(88-$NR$16+1)*($NS$16-88+1)/$NU$16,$NN$16/$NT$16)),0)</f>
        <v/>
      </c>
      <c r="CO16" s="228">
        <f>IF(AND(89&gt;=$NR$16,89&lt;=$NS$16),IF($NP$16="Single_Point",IF(89=$NR$16,$NN$16,0),IF($NP$16="Bell_Curve",$NN$16*(89-$NR$16+1)*($NS$16-89+1)/$NU$16,$NN$16/$NT$16)),0)</f>
        <v/>
      </c>
      <c r="CP16" s="228">
        <f>IF(AND(90&gt;=$NR$16,90&lt;=$NS$16),IF($NP$16="Single_Point",IF(90=$NR$16,$NN$16,0),IF($NP$16="Bell_Curve",$NN$16*(90-$NR$16+1)*($NS$16-90+1)/$NU$16,$NN$16/$NT$16)),0)</f>
        <v/>
      </c>
      <c r="CQ16" s="228">
        <f>IF(AND(91&gt;=$NR$16,91&lt;=$NS$16),IF($NP$16="Single_Point",IF(91=$NR$16,$NN$16,0),IF($NP$16="Bell_Curve",$NN$16*(91-$NR$16+1)*($NS$16-91+1)/$NU$16,$NN$16/$NT$16)),0)</f>
        <v/>
      </c>
      <c r="CR16" s="228">
        <f>IF(AND(92&gt;=$NR$16,92&lt;=$NS$16),IF($NP$16="Single_Point",IF(92=$NR$16,$NN$16,0),IF($NP$16="Bell_Curve",$NN$16*(92-$NR$16+1)*($NS$16-92+1)/$NU$16,$NN$16/$NT$16)),0)</f>
        <v/>
      </c>
      <c r="CS16" s="228">
        <f>IF(AND(93&gt;=$NR$16,93&lt;=$NS$16),IF($NP$16="Single_Point",IF(93=$NR$16,$NN$16,0),IF($NP$16="Bell_Curve",$NN$16*(93-$NR$16+1)*($NS$16-93+1)/$NU$16,$NN$16/$NT$16)),0)</f>
        <v/>
      </c>
      <c r="CT16" s="228">
        <f>IF(AND(94&gt;=$NR$16,94&lt;=$NS$16),IF($NP$16="Single_Point",IF(94=$NR$16,$NN$16,0),IF($NP$16="Bell_Curve",$NN$16*(94-$NR$16+1)*($NS$16-94+1)/$NU$16,$NN$16/$NT$16)),0)</f>
        <v/>
      </c>
      <c r="CU16" s="228">
        <f>IF(AND(95&gt;=$NR$16,95&lt;=$NS$16),IF($NP$16="Single_Point",IF(95=$NR$16,$NN$16,0),IF($NP$16="Bell_Curve",$NN$16*(95-$NR$16+1)*($NS$16-95+1)/$NU$16,$NN$16/$NT$16)),0)</f>
        <v/>
      </c>
      <c r="CV16" s="228">
        <f>IF(AND(96&gt;=$NR$16,96&lt;=$NS$16),IF($NP$16="Single_Point",IF(96=$NR$16,$NN$16,0),IF($NP$16="Bell_Curve",$NN$16*(96-$NR$16+1)*($NS$16-96+1)/$NU$16,$NN$16/$NT$16)),0)</f>
        <v/>
      </c>
      <c r="CW16" s="228">
        <f>IF(AND(97&gt;=$NR$16,97&lt;=$NS$16),IF($NP$16="Single_Point",IF(97=$NR$16,$NN$16,0),IF($NP$16="Bell_Curve",$NN$16*(97-$NR$16+1)*($NS$16-97+1)/$NU$16,$NN$16/$NT$16)),0)</f>
        <v/>
      </c>
      <c r="CX16" s="228">
        <f>IF(AND(98&gt;=$NR$16,98&lt;=$NS$16),IF($NP$16="Single_Point",IF(98=$NR$16,$NN$16,0),IF($NP$16="Bell_Curve",$NN$16*(98-$NR$16+1)*($NS$16-98+1)/$NU$16,$NN$16/$NT$16)),0)</f>
        <v/>
      </c>
      <c r="CY16" s="228">
        <f>IF(AND(99&gt;=$NR$16,99&lt;=$NS$16),IF($NP$16="Single_Point",IF(99=$NR$16,$NN$16,0),IF($NP$16="Bell_Curve",$NN$16*(99-$NR$16+1)*($NS$16-99+1)/$NU$16,$NN$16/$NT$16)),0)</f>
        <v/>
      </c>
      <c r="CZ16" s="228">
        <f>IF(AND(100&gt;=$NR$16,100&lt;=$NS$16),IF($NP$16="Single_Point",IF(100=$NR$16,$NN$16,0),IF($NP$16="Bell_Curve",$NN$16*(100-$NR$16+1)*($NS$16-100+1)/$NU$16,$NN$16/$NT$16)),0)</f>
        <v/>
      </c>
      <c r="DA16" s="228">
        <f>IF(AND(101&gt;=$NR$16,101&lt;=$NS$16),IF($NP$16="Single_Point",IF(101=$NR$16,$NN$16,0),IF($NP$16="Bell_Curve",$NN$16*(101-$NR$16+1)*($NS$16-101+1)/$NU$16,$NN$16/$NT$16)),0)</f>
        <v/>
      </c>
      <c r="DB16" s="228">
        <f>IF(AND(102&gt;=$NR$16,102&lt;=$NS$16),IF($NP$16="Single_Point",IF(102=$NR$16,$NN$16,0),IF($NP$16="Bell_Curve",$NN$16*(102-$NR$16+1)*($NS$16-102+1)/$NU$16,$NN$16/$NT$16)),0)</f>
        <v/>
      </c>
      <c r="DC16" s="228">
        <f>IF(AND(103&gt;=$NR$16,103&lt;=$NS$16),IF($NP$16="Single_Point",IF(103=$NR$16,$NN$16,0),IF($NP$16="Bell_Curve",$NN$16*(103-$NR$16+1)*($NS$16-103+1)/$NU$16,$NN$16/$NT$16)),0)</f>
        <v/>
      </c>
      <c r="DD16" s="228">
        <f>IF(AND(104&gt;=$NR$16,104&lt;=$NS$16),IF($NP$16="Single_Point",IF(104=$NR$16,$NN$16,0),IF($NP$16="Bell_Curve",$NN$16*(104-$NR$16+1)*($NS$16-104+1)/$NU$16,$NN$16/$NT$16)),0)</f>
        <v/>
      </c>
      <c r="DE16" s="228">
        <f>IF(AND(105&gt;=$NR$16,105&lt;=$NS$16),IF($NP$16="Single_Point",IF(105=$NR$16,$NN$16,0),IF($NP$16="Bell_Curve",$NN$16*(105-$NR$16+1)*($NS$16-105+1)/$NU$16,$NN$16/$NT$16)),0)</f>
        <v/>
      </c>
      <c r="DF16" s="228">
        <f>IF(AND(106&gt;=$NR$16,106&lt;=$NS$16),IF($NP$16="Single_Point",IF(106=$NR$16,$NN$16,0),IF($NP$16="Bell_Curve",$NN$16*(106-$NR$16+1)*($NS$16-106+1)/$NU$16,$NN$16/$NT$16)),0)</f>
        <v/>
      </c>
      <c r="DG16" s="228">
        <f>IF(AND(107&gt;=$NR$16,107&lt;=$NS$16),IF($NP$16="Single_Point",IF(107=$NR$16,$NN$16,0),IF($NP$16="Bell_Curve",$NN$16*(107-$NR$16+1)*($NS$16-107+1)/$NU$16,$NN$16/$NT$16)),0)</f>
        <v/>
      </c>
      <c r="DH16" s="228">
        <f>IF(AND(108&gt;=$NR$16,108&lt;=$NS$16),IF($NP$16="Single_Point",IF(108=$NR$16,$NN$16,0),IF($NP$16="Bell_Curve",$NN$16*(108-$NR$16+1)*($NS$16-108+1)/$NU$16,$NN$16/$NT$16)),0)</f>
        <v/>
      </c>
      <c r="DI16" s="228">
        <f>IF(AND(109&gt;=$NR$16,109&lt;=$NS$16),IF($NP$16="Single_Point",IF(109=$NR$16,$NN$16,0),IF($NP$16="Bell_Curve",$NN$16*(109-$NR$16+1)*($NS$16-109+1)/$NU$16,$NN$16/$NT$16)),0)</f>
        <v/>
      </c>
      <c r="DJ16" s="228">
        <f>IF(AND(110&gt;=$NR$16,110&lt;=$NS$16),IF($NP$16="Single_Point",IF(110=$NR$16,$NN$16,0),IF($NP$16="Bell_Curve",$NN$16*(110-$NR$16+1)*($NS$16-110+1)/$NU$16,$NN$16/$NT$16)),0)</f>
        <v/>
      </c>
      <c r="DK16" s="228">
        <f>IF(AND(111&gt;=$NR$16,111&lt;=$NS$16),IF($NP$16="Single_Point",IF(111=$NR$16,$NN$16,0),IF($NP$16="Bell_Curve",$NN$16*(111-$NR$16+1)*($NS$16-111+1)/$NU$16,$NN$16/$NT$16)),0)</f>
        <v/>
      </c>
      <c r="DL16" s="228">
        <f>IF(AND(112&gt;=$NR$16,112&lt;=$NS$16),IF($NP$16="Single_Point",IF(112=$NR$16,$NN$16,0),IF($NP$16="Bell_Curve",$NN$16*(112-$NR$16+1)*($NS$16-112+1)/$NU$16,$NN$16/$NT$16)),0)</f>
        <v/>
      </c>
      <c r="DM16" s="228">
        <f>IF(AND(113&gt;=$NR$16,113&lt;=$NS$16),IF($NP$16="Single_Point",IF(113=$NR$16,$NN$16,0),IF($NP$16="Bell_Curve",$NN$16*(113-$NR$16+1)*($NS$16-113+1)/$NU$16,$NN$16/$NT$16)),0)</f>
        <v/>
      </c>
      <c r="DN16" s="228">
        <f>IF(AND(114&gt;=$NR$16,114&lt;=$NS$16),IF($NP$16="Single_Point",IF(114=$NR$16,$NN$16,0),IF($NP$16="Bell_Curve",$NN$16*(114-$NR$16+1)*($NS$16-114+1)/$NU$16,$NN$16/$NT$16)),0)</f>
        <v/>
      </c>
      <c r="DO16" s="228">
        <f>IF(AND(115&gt;=$NR$16,115&lt;=$NS$16),IF($NP$16="Single_Point",IF(115=$NR$16,$NN$16,0),IF($NP$16="Bell_Curve",$NN$16*(115-$NR$16+1)*($NS$16-115+1)/$NU$16,$NN$16/$NT$16)),0)</f>
        <v/>
      </c>
      <c r="DP16" s="228">
        <f>IF(AND(116&gt;=$NR$16,116&lt;=$NS$16),IF($NP$16="Single_Point",IF(116=$NR$16,$NN$16,0),IF($NP$16="Bell_Curve",$NN$16*(116-$NR$16+1)*($NS$16-116+1)/$NU$16,$NN$16/$NT$16)),0)</f>
        <v/>
      </c>
      <c r="DQ16" s="228">
        <f>IF(AND(117&gt;=$NR$16,117&lt;=$NS$16),IF($NP$16="Single_Point",IF(117=$NR$16,$NN$16,0),IF($NP$16="Bell_Curve",$NN$16*(117-$NR$16+1)*($NS$16-117+1)/$NU$16,$NN$16/$NT$16)),0)</f>
        <v/>
      </c>
      <c r="DR16" s="228">
        <f>IF(AND(118&gt;=$NR$16,118&lt;=$NS$16),IF($NP$16="Single_Point",IF(118=$NR$16,$NN$16,0),IF($NP$16="Bell_Curve",$NN$16*(118-$NR$16+1)*($NS$16-118+1)/$NU$16,$NN$16/$NT$16)),0)</f>
        <v/>
      </c>
      <c r="DS16" s="228">
        <f>IF(AND(119&gt;=$NR$16,119&lt;=$NS$16),IF($NP$16="Single_Point",IF(119=$NR$16,$NN$16,0),IF($NP$16="Bell_Curve",$NN$16*(119-$NR$16+1)*($NS$16-119+1)/$NU$16,$NN$16/$NT$16)),0)</f>
        <v/>
      </c>
      <c r="DT16" s="228">
        <f>IF(AND(120&gt;=$NR$16,120&lt;=$NS$16),IF($NP$16="Single_Point",IF(120=$NR$16,$NN$16,0),IF($NP$16="Bell_Curve",$NN$16*(120-$NR$16+1)*($NS$16-120+1)/$NU$16,$NN$16/$NT$16)),0)</f>
        <v/>
      </c>
      <c r="DU16" s="228">
        <f>IF(AND(121&gt;=$NR$16,121&lt;=$NS$16),IF($NP$16="Single_Point",IF(121=$NR$16,$NN$16,0),IF($NP$16="Bell_Curve",$NN$16*(121-$NR$16+1)*($NS$16-121+1)/$NU$16,$NN$16/$NT$16)),0)</f>
        <v/>
      </c>
      <c r="DV16" s="228">
        <f>IF(AND(122&gt;=$NR$16,122&lt;=$NS$16),IF($NP$16="Single_Point",IF(122=$NR$16,$NN$16,0),IF($NP$16="Bell_Curve",$NN$16*(122-$NR$16+1)*($NS$16-122+1)/$NU$16,$NN$16/$NT$16)),0)</f>
        <v/>
      </c>
      <c r="DW16" s="228">
        <f>IF(AND(123&gt;=$NR$16,123&lt;=$NS$16),IF($NP$16="Single_Point",IF(123=$NR$16,$NN$16,0),IF($NP$16="Bell_Curve",$NN$16*(123-$NR$16+1)*($NS$16-123+1)/$NU$16,$NN$16/$NT$16)),0)</f>
        <v/>
      </c>
      <c r="DX16" s="228">
        <f>IF(AND(124&gt;=$NR$16,124&lt;=$NS$16),IF($NP$16="Single_Point",IF(124=$NR$16,$NN$16,0),IF($NP$16="Bell_Curve",$NN$16*(124-$NR$16+1)*($NS$16-124+1)/$NU$16,$NN$16/$NT$16)),0)</f>
        <v/>
      </c>
      <c r="DY16" s="228">
        <f>IF(AND(125&gt;=$NR$16,125&lt;=$NS$16),IF($NP$16="Single_Point",IF(125=$NR$16,$NN$16,0),IF($NP$16="Bell_Curve",$NN$16*(125-$NR$16+1)*($NS$16-125+1)/$NU$16,$NN$16/$NT$16)),0)</f>
        <v/>
      </c>
      <c r="DZ16" s="228">
        <f>IF(AND(126&gt;=$NR$16,126&lt;=$NS$16),IF($NP$16="Single_Point",IF(126=$NR$16,$NN$16,0),IF($NP$16="Bell_Curve",$NN$16*(126-$NR$16+1)*($NS$16-126+1)/$NU$16,$NN$16/$NT$16)),0)</f>
        <v/>
      </c>
      <c r="EA16" s="228">
        <f>IF(AND(127&gt;=$NR$16,127&lt;=$NS$16),IF($NP$16="Single_Point",IF(127=$NR$16,$NN$16,0),IF($NP$16="Bell_Curve",$NN$16*(127-$NR$16+1)*($NS$16-127+1)/$NU$16,$NN$16/$NT$16)),0)</f>
        <v/>
      </c>
      <c r="EB16" s="228">
        <f>IF(AND(128&gt;=$NR$16,128&lt;=$NS$16),IF($NP$16="Single_Point",IF(128=$NR$16,$NN$16,0),IF($NP$16="Bell_Curve",$NN$16*(128-$NR$16+1)*($NS$16-128+1)/$NU$16,$NN$16/$NT$16)),0)</f>
        <v/>
      </c>
      <c r="EC16" s="228">
        <f>IF(AND(129&gt;=$NR$16,129&lt;=$NS$16),IF($NP$16="Single_Point",IF(129=$NR$16,$NN$16,0),IF($NP$16="Bell_Curve",$NN$16*(129-$NR$16+1)*($NS$16-129+1)/$NU$16,$NN$16/$NT$16)),0)</f>
        <v/>
      </c>
      <c r="ED16" s="228">
        <f>IF(AND(130&gt;=$NR$16,130&lt;=$NS$16),IF($NP$16="Single_Point",IF(130=$NR$16,$NN$16,0),IF($NP$16="Bell_Curve",$NN$16*(130-$NR$16+1)*($NS$16-130+1)/$NU$16,$NN$16/$NT$16)),0)</f>
        <v/>
      </c>
      <c r="EE16" s="228">
        <f>IF(AND(131&gt;=$NR$16,131&lt;=$NS$16),IF($NP$16="Single_Point",IF(131=$NR$16,$NN$16,0),IF($NP$16="Bell_Curve",$NN$16*(131-$NR$16+1)*($NS$16-131+1)/$NU$16,$NN$16/$NT$16)),0)</f>
        <v/>
      </c>
      <c r="EF16" s="228">
        <f>IF(AND(132&gt;=$NR$16,132&lt;=$NS$16),IF($NP$16="Single_Point",IF(132=$NR$16,$NN$16,0),IF($NP$16="Bell_Curve",$NN$16*(132-$NR$16+1)*($NS$16-132+1)/$NU$16,$NN$16/$NT$16)),0)</f>
        <v/>
      </c>
      <c r="EG16" s="228">
        <f>IF(AND(133&gt;=$NR$16,133&lt;=$NS$16),IF($NP$16="Single_Point",IF(133=$NR$16,$NN$16,0),IF($NP$16="Bell_Curve",$NN$16*(133-$NR$16+1)*($NS$16-133+1)/$NU$16,$NN$16/$NT$16)),0)</f>
        <v/>
      </c>
      <c r="EH16" s="228">
        <f>IF(AND(134&gt;=$NR$16,134&lt;=$NS$16),IF($NP$16="Single_Point",IF(134=$NR$16,$NN$16,0),IF($NP$16="Bell_Curve",$NN$16*(134-$NR$16+1)*($NS$16-134+1)/$NU$16,$NN$16/$NT$16)),0)</f>
        <v/>
      </c>
      <c r="EI16" s="228">
        <f>IF(AND(135&gt;=$NR$16,135&lt;=$NS$16),IF($NP$16="Single_Point",IF(135=$NR$16,$NN$16,0),IF($NP$16="Bell_Curve",$NN$16*(135-$NR$16+1)*($NS$16-135+1)/$NU$16,$NN$16/$NT$16)),0)</f>
        <v/>
      </c>
      <c r="EJ16" s="228">
        <f>IF(AND(136&gt;=$NR$16,136&lt;=$NS$16),IF($NP$16="Single_Point",IF(136=$NR$16,$NN$16,0),IF($NP$16="Bell_Curve",$NN$16*(136-$NR$16+1)*($NS$16-136+1)/$NU$16,$NN$16/$NT$16)),0)</f>
        <v/>
      </c>
      <c r="EK16" s="228">
        <f>IF(AND(137&gt;=$NR$16,137&lt;=$NS$16),IF($NP$16="Single_Point",IF(137=$NR$16,$NN$16,0),IF($NP$16="Bell_Curve",$NN$16*(137-$NR$16+1)*($NS$16-137+1)/$NU$16,$NN$16/$NT$16)),0)</f>
        <v/>
      </c>
      <c r="EL16" s="228">
        <f>IF(AND(138&gt;=$NR$16,138&lt;=$NS$16),IF($NP$16="Single_Point",IF(138=$NR$16,$NN$16,0),IF($NP$16="Bell_Curve",$NN$16*(138-$NR$16+1)*($NS$16-138+1)/$NU$16,$NN$16/$NT$16)),0)</f>
        <v/>
      </c>
      <c r="EM16" s="228">
        <f>IF(AND(139&gt;=$NR$16,139&lt;=$NS$16),IF($NP$16="Single_Point",IF(139=$NR$16,$NN$16,0),IF($NP$16="Bell_Curve",$NN$16*(139-$NR$16+1)*($NS$16-139+1)/$NU$16,$NN$16/$NT$16)),0)</f>
        <v/>
      </c>
      <c r="EN16" s="228">
        <f>IF(AND(140&gt;=$NR$16,140&lt;=$NS$16),IF($NP$16="Single_Point",IF(140=$NR$16,$NN$16,0),IF($NP$16="Bell_Curve",$NN$16*(140-$NR$16+1)*($NS$16-140+1)/$NU$16,$NN$16/$NT$16)),0)</f>
        <v/>
      </c>
      <c r="EO16" s="228">
        <f>IF(AND(141&gt;=$NR$16,141&lt;=$NS$16),IF($NP$16="Single_Point",IF(141=$NR$16,$NN$16,0),IF($NP$16="Bell_Curve",$NN$16*(141-$NR$16+1)*($NS$16-141+1)/$NU$16,$NN$16/$NT$16)),0)</f>
        <v/>
      </c>
      <c r="EP16" s="228">
        <f>IF(AND(142&gt;=$NR$16,142&lt;=$NS$16),IF($NP$16="Single_Point",IF(142=$NR$16,$NN$16,0),IF($NP$16="Bell_Curve",$NN$16*(142-$NR$16+1)*($NS$16-142+1)/$NU$16,$NN$16/$NT$16)),0)</f>
        <v/>
      </c>
      <c r="EQ16" s="228">
        <f>IF(AND(143&gt;=$NR$16,143&lt;=$NS$16),IF($NP$16="Single_Point",IF(143=$NR$16,$NN$16,0),IF($NP$16="Bell_Curve",$NN$16*(143-$NR$16+1)*($NS$16-143+1)/$NU$16,$NN$16/$NT$16)),0)</f>
        <v/>
      </c>
      <c r="ER16" s="228">
        <f>IF(AND(144&gt;=$NR$16,144&lt;=$NS$16),IF($NP$16="Single_Point",IF(144=$NR$16,$NN$16,0),IF($NP$16="Bell_Curve",$NN$16*(144-$NR$16+1)*($NS$16-144+1)/$NU$16,$NN$16/$NT$16)),0)</f>
        <v/>
      </c>
      <c r="ES16" s="228">
        <f>IF(AND(145&gt;=$NR$16,145&lt;=$NS$16),IF($NP$16="Single_Point",IF(145=$NR$16,$NN$16,0),IF($NP$16="Bell_Curve",$NN$16*(145-$NR$16+1)*($NS$16-145+1)/$NU$16,$NN$16/$NT$16)),0)</f>
        <v/>
      </c>
      <c r="ET16" s="228">
        <f>IF(AND(146&gt;=$NR$16,146&lt;=$NS$16),IF($NP$16="Single_Point",IF(146=$NR$16,$NN$16,0),IF($NP$16="Bell_Curve",$NN$16*(146-$NR$16+1)*($NS$16-146+1)/$NU$16,$NN$16/$NT$16)),0)</f>
        <v/>
      </c>
      <c r="EU16" s="228">
        <f>IF(AND(147&gt;=$NR$16,147&lt;=$NS$16),IF($NP$16="Single_Point",IF(147=$NR$16,$NN$16,0),IF($NP$16="Bell_Curve",$NN$16*(147-$NR$16+1)*($NS$16-147+1)/$NU$16,$NN$16/$NT$16)),0)</f>
        <v/>
      </c>
      <c r="EV16" s="228">
        <f>IF(AND(148&gt;=$NR$16,148&lt;=$NS$16),IF($NP$16="Single_Point",IF(148=$NR$16,$NN$16,0),IF($NP$16="Bell_Curve",$NN$16*(148-$NR$16+1)*($NS$16-148+1)/$NU$16,$NN$16/$NT$16)),0)</f>
        <v/>
      </c>
      <c r="EW16" s="228">
        <f>IF(AND(149&gt;=$NR$16,149&lt;=$NS$16),IF($NP$16="Single_Point",IF(149=$NR$16,$NN$16,0),IF($NP$16="Bell_Curve",$NN$16*(149-$NR$16+1)*($NS$16-149+1)/$NU$16,$NN$16/$NT$16)),0)</f>
        <v/>
      </c>
      <c r="EX16" s="228">
        <f>IF(AND(150&gt;=$NR$16,150&lt;=$NS$16),IF($NP$16="Single_Point",IF(150=$NR$16,$NN$16,0),IF($NP$16="Bell_Curve",$NN$16*(150-$NR$16+1)*($NS$16-150+1)/$NU$16,$NN$16/$NT$16)),0)</f>
        <v/>
      </c>
      <c r="EY16" s="228">
        <f>IF(AND(151&gt;=$NR$16,151&lt;=$NS$16),IF($NP$16="Single_Point",IF(151=$NR$16,$NN$16,0),IF($NP$16="Bell_Curve",$NN$16*(151-$NR$16+1)*($NS$16-151+1)/$NU$16,$NN$16/$NT$16)),0)</f>
        <v/>
      </c>
      <c r="EZ16" s="228">
        <f>IF(AND(152&gt;=$NR$16,152&lt;=$NS$16),IF($NP$16="Single_Point",IF(152=$NR$16,$NN$16,0),IF($NP$16="Bell_Curve",$NN$16*(152-$NR$16+1)*($NS$16-152+1)/$NU$16,$NN$16/$NT$16)),0)</f>
        <v/>
      </c>
      <c r="FA16" s="228">
        <f>IF(AND(153&gt;=$NR$16,153&lt;=$NS$16),IF($NP$16="Single_Point",IF(153=$NR$16,$NN$16,0),IF($NP$16="Bell_Curve",$NN$16*(153-$NR$16+1)*($NS$16-153+1)/$NU$16,$NN$16/$NT$16)),0)</f>
        <v/>
      </c>
      <c r="FB16" s="228">
        <f>IF(AND(154&gt;=$NR$16,154&lt;=$NS$16),IF($NP$16="Single_Point",IF(154=$NR$16,$NN$16,0),IF($NP$16="Bell_Curve",$NN$16*(154-$NR$16+1)*($NS$16-154+1)/$NU$16,$NN$16/$NT$16)),0)</f>
        <v/>
      </c>
      <c r="FC16" s="228">
        <f>IF(AND(155&gt;=$NR$16,155&lt;=$NS$16),IF($NP$16="Single_Point",IF(155=$NR$16,$NN$16,0),IF($NP$16="Bell_Curve",$NN$16*(155-$NR$16+1)*($NS$16-155+1)/$NU$16,$NN$16/$NT$16)),0)</f>
        <v/>
      </c>
      <c r="FD16" s="228">
        <f>IF(AND(156&gt;=$NR$16,156&lt;=$NS$16),IF($NP$16="Single_Point",IF(156=$NR$16,$NN$16,0),IF($NP$16="Bell_Curve",$NN$16*(156-$NR$16+1)*($NS$16-156+1)/$NU$16,$NN$16/$NT$16)),0)</f>
        <v/>
      </c>
      <c r="FE16" s="228">
        <f>IF(AND(157&gt;=$NR$16,157&lt;=$NS$16),IF($NP$16="Single_Point",IF(157=$NR$16,$NN$16,0),IF($NP$16="Bell_Curve",$NN$16*(157-$NR$16+1)*($NS$16-157+1)/$NU$16,$NN$16/$NT$16)),0)</f>
        <v/>
      </c>
      <c r="FF16" s="228">
        <f>IF(AND(158&gt;=$NR$16,158&lt;=$NS$16),IF($NP$16="Single_Point",IF(158=$NR$16,$NN$16,0),IF($NP$16="Bell_Curve",$NN$16*(158-$NR$16+1)*($NS$16-158+1)/$NU$16,$NN$16/$NT$16)),0)</f>
        <v/>
      </c>
      <c r="FG16" s="228">
        <f>IF(AND(159&gt;=$NR$16,159&lt;=$NS$16),IF($NP$16="Single_Point",IF(159=$NR$16,$NN$16,0),IF($NP$16="Bell_Curve",$NN$16*(159-$NR$16+1)*($NS$16-159+1)/$NU$16,$NN$16/$NT$16)),0)</f>
        <v/>
      </c>
      <c r="FH16" s="228">
        <f>IF(AND(160&gt;=$NR$16,160&lt;=$NS$16),IF($NP$16="Single_Point",IF(160=$NR$16,$NN$16,0),IF($NP$16="Bell_Curve",$NN$16*(160-$NR$16+1)*($NS$16-160+1)/$NU$16,$NN$16/$NT$16)),0)</f>
        <v/>
      </c>
      <c r="FI16" s="228">
        <f>IF(AND(161&gt;=$NR$16,161&lt;=$NS$16),IF($NP$16="Single_Point",IF(161=$NR$16,$NN$16,0),IF($NP$16="Bell_Curve",$NN$16*(161-$NR$16+1)*($NS$16-161+1)/$NU$16,$NN$16/$NT$16)),0)</f>
        <v/>
      </c>
      <c r="FJ16" s="228">
        <f>IF(AND(162&gt;=$NR$16,162&lt;=$NS$16),IF($NP$16="Single_Point",IF(162=$NR$16,$NN$16,0),IF($NP$16="Bell_Curve",$NN$16*(162-$NR$16+1)*($NS$16-162+1)/$NU$16,$NN$16/$NT$16)),0)</f>
        <v/>
      </c>
      <c r="FK16" s="228">
        <f>IF(AND(163&gt;=$NR$16,163&lt;=$NS$16),IF($NP$16="Single_Point",IF(163=$NR$16,$NN$16,0),IF($NP$16="Bell_Curve",$NN$16*(163-$NR$16+1)*($NS$16-163+1)/$NU$16,$NN$16/$NT$16)),0)</f>
        <v/>
      </c>
      <c r="FL16" s="228">
        <f>IF(AND(164&gt;=$NR$16,164&lt;=$NS$16),IF($NP$16="Single_Point",IF(164=$NR$16,$NN$16,0),IF($NP$16="Bell_Curve",$NN$16*(164-$NR$16+1)*($NS$16-164+1)/$NU$16,$NN$16/$NT$16)),0)</f>
        <v/>
      </c>
      <c r="FM16" s="228">
        <f>IF(AND(165&gt;=$NR$16,165&lt;=$NS$16),IF($NP$16="Single_Point",IF(165=$NR$16,$NN$16,0),IF($NP$16="Bell_Curve",$NN$16*(165-$NR$16+1)*($NS$16-165+1)/$NU$16,$NN$16/$NT$16)),0)</f>
        <v/>
      </c>
      <c r="FN16" s="228">
        <f>IF(AND(166&gt;=$NR$16,166&lt;=$NS$16),IF($NP$16="Single_Point",IF(166=$NR$16,$NN$16,0),IF($NP$16="Bell_Curve",$NN$16*(166-$NR$16+1)*($NS$16-166+1)/$NU$16,$NN$16/$NT$16)),0)</f>
        <v/>
      </c>
      <c r="FO16" s="228">
        <f>IF(AND(167&gt;=$NR$16,167&lt;=$NS$16),IF($NP$16="Single_Point",IF(167=$NR$16,$NN$16,0),IF($NP$16="Bell_Curve",$NN$16*(167-$NR$16+1)*($NS$16-167+1)/$NU$16,$NN$16/$NT$16)),0)</f>
        <v/>
      </c>
      <c r="FP16" s="228">
        <f>IF(AND(168&gt;=$NR$16,168&lt;=$NS$16),IF($NP$16="Single_Point",IF(168=$NR$16,$NN$16,0),IF($NP$16="Bell_Curve",$NN$16*(168-$NR$16+1)*($NS$16-168+1)/$NU$16,$NN$16/$NT$16)),0)</f>
        <v/>
      </c>
      <c r="FQ16" s="228">
        <f>IF(AND(169&gt;=$NR$16,169&lt;=$NS$16),IF($NP$16="Single_Point",IF(169=$NR$16,$NN$16,0),IF($NP$16="Bell_Curve",$NN$16*(169-$NR$16+1)*($NS$16-169+1)/$NU$16,$NN$16/$NT$16)),0)</f>
        <v/>
      </c>
      <c r="FR16" s="228">
        <f>IF(AND(170&gt;=$NR$16,170&lt;=$NS$16),IF($NP$16="Single_Point",IF(170=$NR$16,$NN$16,0),IF($NP$16="Bell_Curve",$NN$16*(170-$NR$16+1)*($NS$16-170+1)/$NU$16,$NN$16/$NT$16)),0)</f>
        <v/>
      </c>
      <c r="FS16" s="228">
        <f>IF(AND(171&gt;=$NR$16,171&lt;=$NS$16),IF($NP$16="Single_Point",IF(171=$NR$16,$NN$16,0),IF($NP$16="Bell_Curve",$NN$16*(171-$NR$16+1)*($NS$16-171+1)/$NU$16,$NN$16/$NT$16)),0)</f>
        <v/>
      </c>
      <c r="FT16" s="228">
        <f>IF(AND(172&gt;=$NR$16,172&lt;=$NS$16),IF($NP$16="Single_Point",IF(172=$NR$16,$NN$16,0),IF($NP$16="Bell_Curve",$NN$16*(172-$NR$16+1)*($NS$16-172+1)/$NU$16,$NN$16/$NT$16)),0)</f>
        <v/>
      </c>
      <c r="FU16" s="228">
        <f>IF(AND(173&gt;=$NR$16,173&lt;=$NS$16),IF($NP$16="Single_Point",IF(173=$NR$16,$NN$16,0),IF($NP$16="Bell_Curve",$NN$16*(173-$NR$16+1)*($NS$16-173+1)/$NU$16,$NN$16/$NT$16)),0)</f>
        <v/>
      </c>
      <c r="FV16" s="228">
        <f>IF(AND(174&gt;=$NR$16,174&lt;=$NS$16),IF($NP$16="Single_Point",IF(174=$NR$16,$NN$16,0),IF($NP$16="Bell_Curve",$NN$16*(174-$NR$16+1)*($NS$16-174+1)/$NU$16,$NN$16/$NT$16)),0)</f>
        <v/>
      </c>
      <c r="FW16" s="228">
        <f>IF(AND(175&gt;=$NR$16,175&lt;=$NS$16),IF($NP$16="Single_Point",IF(175=$NR$16,$NN$16,0),IF($NP$16="Bell_Curve",$NN$16*(175-$NR$16+1)*($NS$16-175+1)/$NU$16,$NN$16/$NT$16)),0)</f>
        <v/>
      </c>
      <c r="FX16" s="228">
        <f>IF(AND(176&gt;=$NR$16,176&lt;=$NS$16),IF($NP$16="Single_Point",IF(176=$NR$16,$NN$16,0),IF($NP$16="Bell_Curve",$NN$16*(176-$NR$16+1)*($NS$16-176+1)/$NU$16,$NN$16/$NT$16)),0)</f>
        <v/>
      </c>
      <c r="FY16" s="228">
        <f>IF(AND(177&gt;=$NR$16,177&lt;=$NS$16),IF($NP$16="Single_Point",IF(177=$NR$16,$NN$16,0),IF($NP$16="Bell_Curve",$NN$16*(177-$NR$16+1)*($NS$16-177+1)/$NU$16,$NN$16/$NT$16)),0)</f>
        <v/>
      </c>
      <c r="FZ16" s="228">
        <f>IF(AND(178&gt;=$NR$16,178&lt;=$NS$16),IF($NP$16="Single_Point",IF(178=$NR$16,$NN$16,0),IF($NP$16="Bell_Curve",$NN$16*(178-$NR$16+1)*($NS$16-178+1)/$NU$16,$NN$16/$NT$16)),0)</f>
        <v/>
      </c>
      <c r="GA16" s="228">
        <f>IF(AND(179&gt;=$NR$16,179&lt;=$NS$16),IF($NP$16="Single_Point",IF(179=$NR$16,$NN$16,0),IF($NP$16="Bell_Curve",$NN$16*(179-$NR$16+1)*($NS$16-179+1)/$NU$16,$NN$16/$NT$16)),0)</f>
        <v/>
      </c>
      <c r="GB16" s="228">
        <f>IF(AND(180&gt;=$NR$16,180&lt;=$NS$16),IF($NP$16="Single_Point",IF(180=$NR$16,$NN$16,0),IF($NP$16="Bell_Curve",$NN$16*(180-$NR$16+1)*($NS$16-180+1)/$NU$16,$NN$16/$NT$16)),0)</f>
        <v/>
      </c>
      <c r="GC16" s="228">
        <f>IF(AND(181&gt;=$NR$16,181&lt;=$NS$16),IF($NP$16="Single_Point",IF(181=$NR$16,$NN$16,0),IF($NP$16="Bell_Curve",$NN$16*(181-$NR$16+1)*($NS$16-181+1)/$NU$16,$NN$16/$NT$16)),0)</f>
        <v/>
      </c>
      <c r="GD16" s="228">
        <f>IF(AND(182&gt;=$NR$16,182&lt;=$NS$16),IF($NP$16="Single_Point",IF(182=$NR$16,$NN$16,0),IF($NP$16="Bell_Curve",$NN$16*(182-$NR$16+1)*($NS$16-182+1)/$NU$16,$NN$16/$NT$16)),0)</f>
        <v/>
      </c>
      <c r="GE16" s="228">
        <f>IF(AND(183&gt;=$NR$16,183&lt;=$NS$16),IF($NP$16="Single_Point",IF(183=$NR$16,$NN$16,0),IF($NP$16="Bell_Curve",$NN$16*(183-$NR$16+1)*($NS$16-183+1)/$NU$16,$NN$16/$NT$16)),0)</f>
        <v/>
      </c>
      <c r="GF16" s="228">
        <f>IF(AND(184&gt;=$NR$16,184&lt;=$NS$16),IF($NP$16="Single_Point",IF(184=$NR$16,$NN$16,0),IF($NP$16="Bell_Curve",$NN$16*(184-$NR$16+1)*($NS$16-184+1)/$NU$16,$NN$16/$NT$16)),0)</f>
        <v/>
      </c>
      <c r="GG16" s="228">
        <f>IF(AND(185&gt;=$NR$16,185&lt;=$NS$16),IF($NP$16="Single_Point",IF(185=$NR$16,$NN$16,0),IF($NP$16="Bell_Curve",$NN$16*(185-$NR$16+1)*($NS$16-185+1)/$NU$16,$NN$16/$NT$16)),0)</f>
        <v/>
      </c>
      <c r="GH16" s="228">
        <f>IF(AND(186&gt;=$NR$16,186&lt;=$NS$16),IF($NP$16="Single_Point",IF(186=$NR$16,$NN$16,0),IF($NP$16="Bell_Curve",$NN$16*(186-$NR$16+1)*($NS$16-186+1)/$NU$16,$NN$16/$NT$16)),0)</f>
        <v/>
      </c>
      <c r="GI16" s="228">
        <f>IF(AND(187&gt;=$NR$16,187&lt;=$NS$16),IF($NP$16="Single_Point",IF(187=$NR$16,$NN$16,0),IF($NP$16="Bell_Curve",$NN$16*(187-$NR$16+1)*($NS$16-187+1)/$NU$16,$NN$16/$NT$16)),0)</f>
        <v/>
      </c>
      <c r="GJ16" s="228">
        <f>IF(AND(188&gt;=$NR$16,188&lt;=$NS$16),IF($NP$16="Single_Point",IF(188=$NR$16,$NN$16,0),IF($NP$16="Bell_Curve",$NN$16*(188-$NR$16+1)*($NS$16-188+1)/$NU$16,$NN$16/$NT$16)),0)</f>
        <v/>
      </c>
      <c r="GK16" s="228">
        <f>IF(AND(189&gt;=$NR$16,189&lt;=$NS$16),IF($NP$16="Single_Point",IF(189=$NR$16,$NN$16,0),IF($NP$16="Bell_Curve",$NN$16*(189-$NR$16+1)*($NS$16-189+1)/$NU$16,$NN$16/$NT$16)),0)</f>
        <v/>
      </c>
      <c r="GL16" s="228">
        <f>IF(AND(190&gt;=$NR$16,190&lt;=$NS$16),IF($NP$16="Single_Point",IF(190=$NR$16,$NN$16,0),IF($NP$16="Bell_Curve",$NN$16*(190-$NR$16+1)*($NS$16-190+1)/$NU$16,$NN$16/$NT$16)),0)</f>
        <v/>
      </c>
      <c r="GM16" s="228">
        <f>IF(AND(191&gt;=$NR$16,191&lt;=$NS$16),IF($NP$16="Single_Point",IF(191=$NR$16,$NN$16,0),IF($NP$16="Bell_Curve",$NN$16*(191-$NR$16+1)*($NS$16-191+1)/$NU$16,$NN$16/$NT$16)),0)</f>
        <v/>
      </c>
      <c r="GN16" s="228">
        <f>IF(AND(192&gt;=$NR$16,192&lt;=$NS$16),IF($NP$16="Single_Point",IF(192=$NR$16,$NN$16,0),IF($NP$16="Bell_Curve",$NN$16*(192-$NR$16+1)*($NS$16-192+1)/$NU$16,$NN$16/$NT$16)),0)</f>
        <v/>
      </c>
      <c r="GO16" s="228">
        <f>IF(AND(193&gt;=$NR$16,193&lt;=$NS$16),IF($NP$16="Single_Point",IF(193=$NR$16,$NN$16,0),IF($NP$16="Bell_Curve",$NN$16*(193-$NR$16+1)*($NS$16-193+1)/$NU$16,$NN$16/$NT$16)),0)</f>
        <v/>
      </c>
      <c r="GP16" s="228">
        <f>IF(AND(194&gt;=$NR$16,194&lt;=$NS$16),IF($NP$16="Single_Point",IF(194=$NR$16,$NN$16,0),IF($NP$16="Bell_Curve",$NN$16*(194-$NR$16+1)*($NS$16-194+1)/$NU$16,$NN$16/$NT$16)),0)</f>
        <v/>
      </c>
      <c r="GQ16" s="228">
        <f>IF(AND(195&gt;=$NR$16,195&lt;=$NS$16),IF($NP$16="Single_Point",IF(195=$NR$16,$NN$16,0),IF($NP$16="Bell_Curve",$NN$16*(195-$NR$16+1)*($NS$16-195+1)/$NU$16,$NN$16/$NT$16)),0)</f>
        <v/>
      </c>
      <c r="GR16" s="228">
        <f>IF(AND(196&gt;=$NR$16,196&lt;=$NS$16),IF($NP$16="Single_Point",IF(196=$NR$16,$NN$16,0),IF($NP$16="Bell_Curve",$NN$16*(196-$NR$16+1)*($NS$16-196+1)/$NU$16,$NN$16/$NT$16)),0)</f>
        <v/>
      </c>
      <c r="GS16" s="228">
        <f>IF(AND(197&gt;=$NR$16,197&lt;=$NS$16),IF($NP$16="Single_Point",IF(197=$NR$16,$NN$16,0),IF($NP$16="Bell_Curve",$NN$16*(197-$NR$16+1)*($NS$16-197+1)/$NU$16,$NN$16/$NT$16)),0)</f>
        <v/>
      </c>
      <c r="GT16" s="228">
        <f>IF(AND(198&gt;=$NR$16,198&lt;=$NS$16),IF($NP$16="Single_Point",IF(198=$NR$16,$NN$16,0),IF($NP$16="Bell_Curve",$NN$16*(198-$NR$16+1)*($NS$16-198+1)/$NU$16,$NN$16/$NT$16)),0)</f>
        <v/>
      </c>
      <c r="GU16" s="228">
        <f>IF(AND(199&gt;=$NR$16,199&lt;=$NS$16),IF($NP$16="Single_Point",IF(199=$NR$16,$NN$16,0),IF($NP$16="Bell_Curve",$NN$16*(199-$NR$16+1)*($NS$16-199+1)/$NU$16,$NN$16/$NT$16)),0)</f>
        <v/>
      </c>
      <c r="GV16" s="228">
        <f>IF(AND(200&gt;=$NR$16,200&lt;=$NS$16),IF($NP$16="Single_Point",IF(200=$NR$16,$NN$16,0),IF($NP$16="Bell_Curve",$NN$16*(200-$NR$16+1)*($NS$16-200+1)/$NU$16,$NN$16/$NT$16)),0)</f>
        <v/>
      </c>
      <c r="GW16" s="228">
        <f>IF(AND(201&gt;=$NR$16,201&lt;=$NS$16),IF($NP$16="Single_Point",IF(201=$NR$16,$NN$16,0),IF($NP$16="Bell_Curve",$NN$16*(201-$NR$16+1)*($NS$16-201+1)/$NU$16,$NN$16/$NT$16)),0)</f>
        <v/>
      </c>
      <c r="GX16" s="228">
        <f>IF(AND(202&gt;=$NR$16,202&lt;=$NS$16),IF($NP$16="Single_Point",IF(202=$NR$16,$NN$16,0),IF($NP$16="Bell_Curve",$NN$16*(202-$NR$16+1)*($NS$16-202+1)/$NU$16,$NN$16/$NT$16)),0)</f>
        <v/>
      </c>
      <c r="GY16" s="228">
        <f>IF(AND(203&gt;=$NR$16,203&lt;=$NS$16),IF($NP$16="Single_Point",IF(203=$NR$16,$NN$16,0),IF($NP$16="Bell_Curve",$NN$16*(203-$NR$16+1)*($NS$16-203+1)/$NU$16,$NN$16/$NT$16)),0)</f>
        <v/>
      </c>
      <c r="GZ16" s="228">
        <f>IF(AND(204&gt;=$NR$16,204&lt;=$NS$16),IF($NP$16="Single_Point",IF(204=$NR$16,$NN$16,0),IF($NP$16="Bell_Curve",$NN$16*(204-$NR$16+1)*($NS$16-204+1)/$NU$16,$NN$16/$NT$16)),0)</f>
        <v/>
      </c>
      <c r="HA16" s="228">
        <f>IF(AND(205&gt;=$NR$16,205&lt;=$NS$16),IF($NP$16="Single_Point",IF(205=$NR$16,$NN$16,0),IF($NP$16="Bell_Curve",$NN$16*(205-$NR$16+1)*($NS$16-205+1)/$NU$16,$NN$16/$NT$16)),0)</f>
        <v/>
      </c>
      <c r="HB16" s="228">
        <f>IF(AND(206&gt;=$NR$16,206&lt;=$NS$16),IF($NP$16="Single_Point",IF(206=$NR$16,$NN$16,0),IF($NP$16="Bell_Curve",$NN$16*(206-$NR$16+1)*($NS$16-206+1)/$NU$16,$NN$16/$NT$16)),0)</f>
        <v/>
      </c>
      <c r="HC16" s="228">
        <f>IF(AND(207&gt;=$NR$16,207&lt;=$NS$16),IF($NP$16="Single_Point",IF(207=$NR$16,$NN$16,0),IF($NP$16="Bell_Curve",$NN$16*(207-$NR$16+1)*($NS$16-207+1)/$NU$16,$NN$16/$NT$16)),0)</f>
        <v/>
      </c>
      <c r="HD16" s="228">
        <f>IF(AND(208&gt;=$NR$16,208&lt;=$NS$16),IF($NP$16="Single_Point",IF(208=$NR$16,$NN$16,0),IF($NP$16="Bell_Curve",$NN$16*(208-$NR$16+1)*($NS$16-208+1)/$NU$16,$NN$16/$NT$16)),0)</f>
        <v/>
      </c>
      <c r="HE16" s="228">
        <f>IF(AND(209&gt;=$NR$16,209&lt;=$NS$16),IF($NP$16="Single_Point",IF(209=$NR$16,$NN$16,0),IF($NP$16="Bell_Curve",$NN$16*(209-$NR$16+1)*($NS$16-209+1)/$NU$16,$NN$16/$NT$16)),0)</f>
        <v/>
      </c>
      <c r="HF16" s="228">
        <f>IF(AND(210&gt;=$NR$16,210&lt;=$NS$16),IF($NP$16="Single_Point",IF(210=$NR$16,$NN$16,0),IF($NP$16="Bell_Curve",$NN$16*(210-$NR$16+1)*($NS$16-210+1)/$NU$16,$NN$16/$NT$16)),0)</f>
        <v/>
      </c>
      <c r="HG16" s="228">
        <f>IF(AND(211&gt;=$NR$16,211&lt;=$NS$16),IF($NP$16="Single_Point",IF(211=$NR$16,$NN$16,0),IF($NP$16="Bell_Curve",$NN$16*(211-$NR$16+1)*($NS$16-211+1)/$NU$16,$NN$16/$NT$16)),0)</f>
        <v/>
      </c>
      <c r="HH16" s="228">
        <f>IF(AND(212&gt;=$NR$16,212&lt;=$NS$16),IF($NP$16="Single_Point",IF(212=$NR$16,$NN$16,0),IF($NP$16="Bell_Curve",$NN$16*(212-$NR$16+1)*($NS$16-212+1)/$NU$16,$NN$16/$NT$16)),0)</f>
        <v/>
      </c>
      <c r="HI16" s="228">
        <f>IF(AND(213&gt;=$NR$16,213&lt;=$NS$16),IF($NP$16="Single_Point",IF(213=$NR$16,$NN$16,0),IF($NP$16="Bell_Curve",$NN$16*(213-$NR$16+1)*($NS$16-213+1)/$NU$16,$NN$16/$NT$16)),0)</f>
        <v/>
      </c>
      <c r="HJ16" s="228">
        <f>IF(AND(214&gt;=$NR$16,214&lt;=$NS$16),IF($NP$16="Single_Point",IF(214=$NR$16,$NN$16,0),IF($NP$16="Bell_Curve",$NN$16*(214-$NR$16+1)*($NS$16-214+1)/$NU$16,$NN$16/$NT$16)),0)</f>
        <v/>
      </c>
      <c r="HK16" s="228">
        <f>IF(AND(215&gt;=$NR$16,215&lt;=$NS$16),IF($NP$16="Single_Point",IF(215=$NR$16,$NN$16,0),IF($NP$16="Bell_Curve",$NN$16*(215-$NR$16+1)*($NS$16-215+1)/$NU$16,$NN$16/$NT$16)),0)</f>
        <v/>
      </c>
      <c r="HL16" s="228">
        <f>IF(AND(216&gt;=$NR$16,216&lt;=$NS$16),IF($NP$16="Single_Point",IF(216=$NR$16,$NN$16,0),IF($NP$16="Bell_Curve",$NN$16*(216-$NR$16+1)*($NS$16-216+1)/$NU$16,$NN$16/$NT$16)),0)</f>
        <v/>
      </c>
      <c r="HM16" s="228">
        <f>IF(AND(217&gt;=$NR$16,217&lt;=$NS$16),IF($NP$16="Single_Point",IF(217=$NR$16,$NN$16,0),IF($NP$16="Bell_Curve",$NN$16*(217-$NR$16+1)*($NS$16-217+1)/$NU$16,$NN$16/$NT$16)),0)</f>
        <v/>
      </c>
      <c r="HN16" s="228">
        <f>IF(AND(218&gt;=$NR$16,218&lt;=$NS$16),IF($NP$16="Single_Point",IF(218=$NR$16,$NN$16,0),IF($NP$16="Bell_Curve",$NN$16*(218-$NR$16+1)*($NS$16-218+1)/$NU$16,$NN$16/$NT$16)),0)</f>
        <v/>
      </c>
      <c r="HO16" s="228">
        <f>IF(AND(219&gt;=$NR$16,219&lt;=$NS$16),IF($NP$16="Single_Point",IF(219=$NR$16,$NN$16,0),IF($NP$16="Bell_Curve",$NN$16*(219-$NR$16+1)*($NS$16-219+1)/$NU$16,$NN$16/$NT$16)),0)</f>
        <v/>
      </c>
      <c r="HP16" s="228">
        <f>IF(AND(220&gt;=$NR$16,220&lt;=$NS$16),IF($NP$16="Single_Point",IF(220=$NR$16,$NN$16,0),IF($NP$16="Bell_Curve",$NN$16*(220-$NR$16+1)*($NS$16-220+1)/$NU$16,$NN$16/$NT$16)),0)</f>
        <v/>
      </c>
      <c r="HQ16" s="228">
        <f>IF(AND(221&gt;=$NR$16,221&lt;=$NS$16),IF($NP$16="Single_Point",IF(221=$NR$16,$NN$16,0),IF($NP$16="Bell_Curve",$NN$16*(221-$NR$16+1)*($NS$16-221+1)/$NU$16,$NN$16/$NT$16)),0)</f>
        <v/>
      </c>
      <c r="HR16" s="228">
        <f>IF(AND(222&gt;=$NR$16,222&lt;=$NS$16),IF($NP$16="Single_Point",IF(222=$NR$16,$NN$16,0),IF($NP$16="Bell_Curve",$NN$16*(222-$NR$16+1)*($NS$16-222+1)/$NU$16,$NN$16/$NT$16)),0)</f>
        <v/>
      </c>
      <c r="HS16" s="228">
        <f>IF(AND(223&gt;=$NR$16,223&lt;=$NS$16),IF($NP$16="Single_Point",IF(223=$NR$16,$NN$16,0),IF($NP$16="Bell_Curve",$NN$16*(223-$NR$16+1)*($NS$16-223+1)/$NU$16,$NN$16/$NT$16)),0)</f>
        <v/>
      </c>
      <c r="HT16" s="228">
        <f>IF(AND(224&gt;=$NR$16,224&lt;=$NS$16),IF($NP$16="Single_Point",IF(224=$NR$16,$NN$16,0),IF($NP$16="Bell_Curve",$NN$16*(224-$NR$16+1)*($NS$16-224+1)/$NU$16,$NN$16/$NT$16)),0)</f>
        <v/>
      </c>
      <c r="HU16" s="228">
        <f>IF(AND(225&gt;=$NR$16,225&lt;=$NS$16),IF($NP$16="Single_Point",IF(225=$NR$16,$NN$16,0),IF($NP$16="Bell_Curve",$NN$16*(225-$NR$16+1)*($NS$16-225+1)/$NU$16,$NN$16/$NT$16)),0)</f>
        <v/>
      </c>
      <c r="HV16" s="228">
        <f>IF(AND(226&gt;=$NR$16,226&lt;=$NS$16),IF($NP$16="Single_Point",IF(226=$NR$16,$NN$16,0),IF($NP$16="Bell_Curve",$NN$16*(226-$NR$16+1)*($NS$16-226+1)/$NU$16,$NN$16/$NT$16)),0)</f>
        <v/>
      </c>
      <c r="HW16" s="228">
        <f>IF(AND(227&gt;=$NR$16,227&lt;=$NS$16),IF($NP$16="Single_Point",IF(227=$NR$16,$NN$16,0),IF($NP$16="Bell_Curve",$NN$16*(227-$NR$16+1)*($NS$16-227+1)/$NU$16,$NN$16/$NT$16)),0)</f>
        <v/>
      </c>
      <c r="HX16" s="228">
        <f>IF(AND(228&gt;=$NR$16,228&lt;=$NS$16),IF($NP$16="Single_Point",IF(228=$NR$16,$NN$16,0),IF($NP$16="Bell_Curve",$NN$16*(228-$NR$16+1)*($NS$16-228+1)/$NU$16,$NN$16/$NT$16)),0)</f>
        <v/>
      </c>
      <c r="HY16" s="228">
        <f>IF(AND(229&gt;=$NR$16,229&lt;=$NS$16),IF($NP$16="Single_Point",IF(229=$NR$16,$NN$16,0),IF($NP$16="Bell_Curve",$NN$16*(229-$NR$16+1)*($NS$16-229+1)/$NU$16,$NN$16/$NT$16)),0)</f>
        <v/>
      </c>
      <c r="HZ16" s="228">
        <f>IF(AND(230&gt;=$NR$16,230&lt;=$NS$16),IF($NP$16="Single_Point",IF(230=$NR$16,$NN$16,0),IF($NP$16="Bell_Curve",$NN$16*(230-$NR$16+1)*($NS$16-230+1)/$NU$16,$NN$16/$NT$16)),0)</f>
        <v/>
      </c>
      <c r="IA16" s="228">
        <f>IF(AND(231&gt;=$NR$16,231&lt;=$NS$16),IF($NP$16="Single_Point",IF(231=$NR$16,$NN$16,0),IF($NP$16="Bell_Curve",$NN$16*(231-$NR$16+1)*($NS$16-231+1)/$NU$16,$NN$16/$NT$16)),0)</f>
        <v/>
      </c>
      <c r="IB16" s="228">
        <f>IF(AND(232&gt;=$NR$16,232&lt;=$NS$16),IF($NP$16="Single_Point",IF(232=$NR$16,$NN$16,0),IF($NP$16="Bell_Curve",$NN$16*(232-$NR$16+1)*($NS$16-232+1)/$NU$16,$NN$16/$NT$16)),0)</f>
        <v/>
      </c>
      <c r="IC16" s="228">
        <f>IF(AND(233&gt;=$NR$16,233&lt;=$NS$16),IF($NP$16="Single_Point",IF(233=$NR$16,$NN$16,0),IF($NP$16="Bell_Curve",$NN$16*(233-$NR$16+1)*($NS$16-233+1)/$NU$16,$NN$16/$NT$16)),0)</f>
        <v/>
      </c>
      <c r="ID16" s="228">
        <f>IF(AND(234&gt;=$NR$16,234&lt;=$NS$16),IF($NP$16="Single_Point",IF(234=$NR$16,$NN$16,0),IF($NP$16="Bell_Curve",$NN$16*(234-$NR$16+1)*($NS$16-234+1)/$NU$16,$NN$16/$NT$16)),0)</f>
        <v/>
      </c>
      <c r="IE16" s="228">
        <f>IF(AND(235&gt;=$NR$16,235&lt;=$NS$16),IF($NP$16="Single_Point",IF(235=$NR$16,$NN$16,0),IF($NP$16="Bell_Curve",$NN$16*(235-$NR$16+1)*($NS$16-235+1)/$NU$16,$NN$16/$NT$16)),0)</f>
        <v/>
      </c>
      <c r="IF16" s="228">
        <f>IF(AND(236&gt;=$NR$16,236&lt;=$NS$16),IF($NP$16="Single_Point",IF(236=$NR$16,$NN$16,0),IF($NP$16="Bell_Curve",$NN$16*(236-$NR$16+1)*($NS$16-236+1)/$NU$16,$NN$16/$NT$16)),0)</f>
        <v/>
      </c>
      <c r="IG16" s="228">
        <f>IF(AND(237&gt;=$NR$16,237&lt;=$NS$16),IF($NP$16="Single_Point",IF(237=$NR$16,$NN$16,0),IF($NP$16="Bell_Curve",$NN$16*(237-$NR$16+1)*($NS$16-237+1)/$NU$16,$NN$16/$NT$16)),0)</f>
        <v/>
      </c>
      <c r="IH16" s="228">
        <f>IF(AND(238&gt;=$NR$16,238&lt;=$NS$16),IF($NP$16="Single_Point",IF(238=$NR$16,$NN$16,0),IF($NP$16="Bell_Curve",$NN$16*(238-$NR$16+1)*($NS$16-238+1)/$NU$16,$NN$16/$NT$16)),0)</f>
        <v/>
      </c>
      <c r="II16" s="228">
        <f>IF(AND(239&gt;=$NR$16,239&lt;=$NS$16),IF($NP$16="Single_Point",IF(239=$NR$16,$NN$16,0),IF($NP$16="Bell_Curve",$NN$16*(239-$NR$16+1)*($NS$16-239+1)/$NU$16,$NN$16/$NT$16)),0)</f>
        <v/>
      </c>
      <c r="IJ16" s="228">
        <f>IF(AND(240&gt;=$NR$16,240&lt;=$NS$16),IF($NP$16="Single_Point",IF(240=$NR$16,$NN$16,0),IF($NP$16="Bell_Curve",$NN$16*(240-$NR$16+1)*($NS$16-240+1)/$NU$16,$NN$16/$NT$16)),0)</f>
        <v/>
      </c>
      <c r="IK16" s="228">
        <f>IF(AND(241&gt;=$NR$16,241&lt;=$NS$16),IF($NP$16="Single_Point",IF(241=$NR$16,$NN$16,0),IF($NP$16="Bell_Curve",$NN$16*(241-$NR$16+1)*($NS$16-241+1)/$NU$16,$NN$16/$NT$16)),0)</f>
        <v/>
      </c>
      <c r="IL16" s="228">
        <f>IF(AND(242&gt;=$NR$16,242&lt;=$NS$16),IF($NP$16="Single_Point",IF(242=$NR$16,$NN$16,0),IF($NP$16="Bell_Curve",$NN$16*(242-$NR$16+1)*($NS$16-242+1)/$NU$16,$NN$16/$NT$16)),0)</f>
        <v/>
      </c>
      <c r="IM16" s="228">
        <f>IF(AND(243&gt;=$NR$16,243&lt;=$NS$16),IF($NP$16="Single_Point",IF(243=$NR$16,$NN$16,0),IF($NP$16="Bell_Curve",$NN$16*(243-$NR$16+1)*($NS$16-243+1)/$NU$16,$NN$16/$NT$16)),0)</f>
        <v/>
      </c>
      <c r="IN16" s="228">
        <f>IF(AND(244&gt;=$NR$16,244&lt;=$NS$16),IF($NP$16="Single_Point",IF(244=$NR$16,$NN$16,0),IF($NP$16="Bell_Curve",$NN$16*(244-$NR$16+1)*($NS$16-244+1)/$NU$16,$NN$16/$NT$16)),0)</f>
        <v/>
      </c>
      <c r="IO16" s="228">
        <f>IF(AND(245&gt;=$NR$16,245&lt;=$NS$16),IF($NP$16="Single_Point",IF(245=$NR$16,$NN$16,0),IF($NP$16="Bell_Curve",$NN$16*(245-$NR$16+1)*($NS$16-245+1)/$NU$16,$NN$16/$NT$16)),0)</f>
        <v/>
      </c>
      <c r="IP16" s="228">
        <f>IF(AND(246&gt;=$NR$16,246&lt;=$NS$16),IF($NP$16="Single_Point",IF(246=$NR$16,$NN$16,0),IF($NP$16="Bell_Curve",$NN$16*(246-$NR$16+1)*($NS$16-246+1)/$NU$16,$NN$16/$NT$16)),0)</f>
        <v/>
      </c>
      <c r="IQ16" s="228">
        <f>IF(AND(247&gt;=$NR$16,247&lt;=$NS$16),IF($NP$16="Single_Point",IF(247=$NR$16,$NN$16,0),IF($NP$16="Bell_Curve",$NN$16*(247-$NR$16+1)*($NS$16-247+1)/$NU$16,$NN$16/$NT$16)),0)</f>
        <v/>
      </c>
      <c r="IR16" s="228">
        <f>IF(AND(248&gt;=$NR$16,248&lt;=$NS$16),IF($NP$16="Single_Point",IF(248=$NR$16,$NN$16,0),IF($NP$16="Bell_Curve",$NN$16*(248-$NR$16+1)*($NS$16-248+1)/$NU$16,$NN$16/$NT$16)),0)</f>
        <v/>
      </c>
      <c r="IS16" s="228">
        <f>IF(AND(249&gt;=$NR$16,249&lt;=$NS$16),IF($NP$16="Single_Point",IF(249=$NR$16,$NN$16,0),IF($NP$16="Bell_Curve",$NN$16*(249-$NR$16+1)*($NS$16-249+1)/$NU$16,$NN$16/$NT$16)),0)</f>
        <v/>
      </c>
      <c r="IT16" s="228">
        <f>IF(AND(250&gt;=$NR$16,250&lt;=$NS$16),IF($NP$16="Single_Point",IF(250=$NR$16,$NN$16,0),IF($NP$16="Bell_Curve",$NN$16*(250-$NR$16+1)*($NS$16-250+1)/$NU$16,$NN$16/$NT$16)),0)</f>
        <v/>
      </c>
      <c r="IU16" s="228">
        <f>IF(AND(251&gt;=$NR$16,251&lt;=$NS$16),IF($NP$16="Single_Point",IF(251=$NR$16,$NN$16,0),IF($NP$16="Bell_Curve",$NN$16*(251-$NR$16+1)*($NS$16-251+1)/$NU$16,$NN$16/$NT$16)),0)</f>
        <v/>
      </c>
      <c r="IV16" s="228">
        <f>IF(AND(252&gt;=$NR$16,252&lt;=$NS$16),IF($NP$16="Single_Point",IF(252=$NR$16,$NN$16,0),IF($NP$16="Bell_Curve",$NN$16*(252-$NR$16+1)*($NS$16-252+1)/$NU$16,$NN$16/$NT$16)),0)</f>
        <v/>
      </c>
      <c r="IW16" s="228">
        <f>IF(AND(253&gt;=$NR$16,253&lt;=$NS$16),IF($NP$16="Single_Point",IF(253=$NR$16,$NN$16,0),IF($NP$16="Bell_Curve",$NN$16*(253-$NR$16+1)*($NS$16-253+1)/$NU$16,$NN$16/$NT$16)),0)</f>
        <v/>
      </c>
      <c r="IX16" s="228">
        <f>IF(AND(254&gt;=$NR$16,254&lt;=$NS$16),IF($NP$16="Single_Point",IF(254=$NR$16,$NN$16,0),IF($NP$16="Bell_Curve",$NN$16*(254-$NR$16+1)*($NS$16-254+1)/$NU$16,$NN$16/$NT$16)),0)</f>
        <v/>
      </c>
      <c r="IY16" s="228">
        <f>IF(AND(255&gt;=$NR$16,255&lt;=$NS$16),IF($NP$16="Single_Point",IF(255=$NR$16,$NN$16,0),IF($NP$16="Bell_Curve",$NN$16*(255-$NR$16+1)*($NS$16-255+1)/$NU$16,$NN$16/$NT$16)),0)</f>
        <v/>
      </c>
      <c r="IZ16" s="228">
        <f>IF(AND(256&gt;=$NR$16,256&lt;=$NS$16),IF($NP$16="Single_Point",IF(256=$NR$16,$NN$16,0),IF($NP$16="Bell_Curve",$NN$16*(256-$NR$16+1)*($NS$16-256+1)/$NU$16,$NN$16/$NT$16)),0)</f>
        <v/>
      </c>
      <c r="JA16" s="228">
        <f>IF(AND(257&gt;=$NR$16,257&lt;=$NS$16),IF($NP$16="Single_Point",IF(257=$NR$16,$NN$16,0),IF($NP$16="Bell_Curve",$NN$16*(257-$NR$16+1)*($NS$16-257+1)/$NU$16,$NN$16/$NT$16)),0)</f>
        <v/>
      </c>
      <c r="JB16" s="228">
        <f>IF(AND(258&gt;=$NR$16,258&lt;=$NS$16),IF($NP$16="Single_Point",IF(258=$NR$16,$NN$16,0),IF($NP$16="Bell_Curve",$NN$16*(258-$NR$16+1)*($NS$16-258+1)/$NU$16,$NN$16/$NT$16)),0)</f>
        <v/>
      </c>
      <c r="JC16" s="228">
        <f>IF(AND(259&gt;=$NR$16,259&lt;=$NS$16),IF($NP$16="Single_Point",IF(259=$NR$16,$NN$16,0),IF($NP$16="Bell_Curve",$NN$16*(259-$NR$16+1)*($NS$16-259+1)/$NU$16,$NN$16/$NT$16)),0)</f>
        <v/>
      </c>
      <c r="JD16" s="228">
        <f>IF(AND(260&gt;=$NR$16,260&lt;=$NS$16),IF($NP$16="Single_Point",IF(260=$NR$16,$NN$16,0),IF($NP$16="Bell_Curve",$NN$16*(260-$NR$16+1)*($NS$16-260+1)/$NU$16,$NN$16/$NT$16)),0)</f>
        <v/>
      </c>
      <c r="JE16" s="228">
        <f>IF(AND(261&gt;=$NR$16,261&lt;=$NS$16),IF($NP$16="Single_Point",IF(261=$NR$16,$NN$16,0),IF($NP$16="Bell_Curve",$NN$16*(261-$NR$16+1)*($NS$16-261+1)/$NU$16,$NN$16/$NT$16)),0)</f>
        <v/>
      </c>
      <c r="JF16" s="228">
        <f>IF(AND(262&gt;=$NR$16,262&lt;=$NS$16),IF($NP$16="Single_Point",IF(262=$NR$16,$NN$16,0),IF($NP$16="Bell_Curve",$NN$16*(262-$NR$16+1)*($NS$16-262+1)/$NU$16,$NN$16/$NT$16)),0)</f>
        <v/>
      </c>
      <c r="JG16" s="228">
        <f>IF(AND(263&gt;=$NR$16,263&lt;=$NS$16),IF($NP$16="Single_Point",IF(263=$NR$16,$NN$16,0),IF($NP$16="Bell_Curve",$NN$16*(263-$NR$16+1)*($NS$16-263+1)/$NU$16,$NN$16/$NT$16)),0)</f>
        <v/>
      </c>
      <c r="JH16" s="228">
        <f>IF(AND(264&gt;=$NR$16,264&lt;=$NS$16),IF($NP$16="Single_Point",IF(264=$NR$16,$NN$16,0),IF($NP$16="Bell_Curve",$NN$16*(264-$NR$16+1)*($NS$16-264+1)/$NU$16,$NN$16/$NT$16)),0)</f>
        <v/>
      </c>
      <c r="JI16" s="228">
        <f>IF(AND(265&gt;=$NR$16,265&lt;=$NS$16),IF($NP$16="Single_Point",IF(265=$NR$16,$NN$16,0),IF($NP$16="Bell_Curve",$NN$16*(265-$NR$16+1)*($NS$16-265+1)/$NU$16,$NN$16/$NT$16)),0)</f>
        <v/>
      </c>
      <c r="JJ16" s="228">
        <f>IF(AND(266&gt;=$NR$16,266&lt;=$NS$16),IF($NP$16="Single_Point",IF(266=$NR$16,$NN$16,0),IF($NP$16="Bell_Curve",$NN$16*(266-$NR$16+1)*($NS$16-266+1)/$NU$16,$NN$16/$NT$16)),0)</f>
        <v/>
      </c>
      <c r="JK16" s="228">
        <f>IF(AND(267&gt;=$NR$16,267&lt;=$NS$16),IF($NP$16="Single_Point",IF(267=$NR$16,$NN$16,0),IF($NP$16="Bell_Curve",$NN$16*(267-$NR$16+1)*($NS$16-267+1)/$NU$16,$NN$16/$NT$16)),0)</f>
        <v/>
      </c>
      <c r="JL16" s="228">
        <f>IF(AND(268&gt;=$NR$16,268&lt;=$NS$16),IF($NP$16="Single_Point",IF(268=$NR$16,$NN$16,0),IF($NP$16="Bell_Curve",$NN$16*(268-$NR$16+1)*($NS$16-268+1)/$NU$16,$NN$16/$NT$16)),0)</f>
        <v/>
      </c>
      <c r="JM16" s="228">
        <f>IF(AND(269&gt;=$NR$16,269&lt;=$NS$16),IF($NP$16="Single_Point",IF(269=$NR$16,$NN$16,0),IF($NP$16="Bell_Curve",$NN$16*(269-$NR$16+1)*($NS$16-269+1)/$NU$16,$NN$16/$NT$16)),0)</f>
        <v/>
      </c>
      <c r="JN16" s="228">
        <f>IF(AND(270&gt;=$NR$16,270&lt;=$NS$16),IF($NP$16="Single_Point",IF(270=$NR$16,$NN$16,0),IF($NP$16="Bell_Curve",$NN$16*(270-$NR$16+1)*($NS$16-270+1)/$NU$16,$NN$16/$NT$16)),0)</f>
        <v/>
      </c>
      <c r="JO16" s="228">
        <f>IF(AND(271&gt;=$NR$16,271&lt;=$NS$16),IF($NP$16="Single_Point",IF(271=$NR$16,$NN$16,0),IF($NP$16="Bell_Curve",$NN$16*(271-$NR$16+1)*($NS$16-271+1)/$NU$16,$NN$16/$NT$16)),0)</f>
        <v/>
      </c>
      <c r="JP16" s="228">
        <f>IF(AND(272&gt;=$NR$16,272&lt;=$NS$16),IF($NP$16="Single_Point",IF(272=$NR$16,$NN$16,0),IF($NP$16="Bell_Curve",$NN$16*(272-$NR$16+1)*($NS$16-272+1)/$NU$16,$NN$16/$NT$16)),0)</f>
        <v/>
      </c>
      <c r="JQ16" s="228">
        <f>IF(AND(273&gt;=$NR$16,273&lt;=$NS$16),IF($NP$16="Single_Point",IF(273=$NR$16,$NN$16,0),IF($NP$16="Bell_Curve",$NN$16*(273-$NR$16+1)*($NS$16-273+1)/$NU$16,$NN$16/$NT$16)),0)</f>
        <v/>
      </c>
      <c r="JR16" s="228">
        <f>IF(AND(274&gt;=$NR$16,274&lt;=$NS$16),IF($NP$16="Single_Point",IF(274=$NR$16,$NN$16,0),IF($NP$16="Bell_Curve",$NN$16*(274-$NR$16+1)*($NS$16-274+1)/$NU$16,$NN$16/$NT$16)),0)</f>
        <v/>
      </c>
      <c r="JS16" s="228">
        <f>IF(AND(275&gt;=$NR$16,275&lt;=$NS$16),IF($NP$16="Single_Point",IF(275=$NR$16,$NN$16,0),IF($NP$16="Bell_Curve",$NN$16*(275-$NR$16+1)*($NS$16-275+1)/$NU$16,$NN$16/$NT$16)),0)</f>
        <v/>
      </c>
      <c r="JT16" s="228">
        <f>IF(AND(276&gt;=$NR$16,276&lt;=$NS$16),IF($NP$16="Single_Point",IF(276=$NR$16,$NN$16,0),IF($NP$16="Bell_Curve",$NN$16*(276-$NR$16+1)*($NS$16-276+1)/$NU$16,$NN$16/$NT$16)),0)</f>
        <v/>
      </c>
      <c r="JU16" s="228">
        <f>IF(AND(277&gt;=$NR$16,277&lt;=$NS$16),IF($NP$16="Single_Point",IF(277=$NR$16,$NN$16,0),IF($NP$16="Bell_Curve",$NN$16*(277-$NR$16+1)*($NS$16-277+1)/$NU$16,$NN$16/$NT$16)),0)</f>
        <v/>
      </c>
      <c r="JV16" s="228">
        <f>IF(AND(278&gt;=$NR$16,278&lt;=$NS$16),IF($NP$16="Single_Point",IF(278=$NR$16,$NN$16,0),IF($NP$16="Bell_Curve",$NN$16*(278-$NR$16+1)*($NS$16-278+1)/$NU$16,$NN$16/$NT$16)),0)</f>
        <v/>
      </c>
      <c r="JW16" s="228">
        <f>IF(AND(279&gt;=$NR$16,279&lt;=$NS$16),IF($NP$16="Single_Point",IF(279=$NR$16,$NN$16,0),IF($NP$16="Bell_Curve",$NN$16*(279-$NR$16+1)*($NS$16-279+1)/$NU$16,$NN$16/$NT$16)),0)</f>
        <v/>
      </c>
      <c r="JX16" s="228">
        <f>IF(AND(280&gt;=$NR$16,280&lt;=$NS$16),IF($NP$16="Single_Point",IF(280=$NR$16,$NN$16,0),IF($NP$16="Bell_Curve",$NN$16*(280-$NR$16+1)*($NS$16-280+1)/$NU$16,$NN$16/$NT$16)),0)</f>
        <v/>
      </c>
      <c r="JY16" s="228">
        <f>IF(AND(281&gt;=$NR$16,281&lt;=$NS$16),IF($NP$16="Single_Point",IF(281=$NR$16,$NN$16,0),IF($NP$16="Bell_Curve",$NN$16*(281-$NR$16+1)*($NS$16-281+1)/$NU$16,$NN$16/$NT$16)),0)</f>
        <v/>
      </c>
      <c r="JZ16" s="228">
        <f>IF(AND(282&gt;=$NR$16,282&lt;=$NS$16),IF($NP$16="Single_Point",IF(282=$NR$16,$NN$16,0),IF($NP$16="Bell_Curve",$NN$16*(282-$NR$16+1)*($NS$16-282+1)/$NU$16,$NN$16/$NT$16)),0)</f>
        <v/>
      </c>
      <c r="KA16" s="228">
        <f>IF(AND(283&gt;=$NR$16,283&lt;=$NS$16),IF($NP$16="Single_Point",IF(283=$NR$16,$NN$16,0),IF($NP$16="Bell_Curve",$NN$16*(283-$NR$16+1)*($NS$16-283+1)/$NU$16,$NN$16/$NT$16)),0)</f>
        <v/>
      </c>
      <c r="KB16" s="228">
        <f>IF(AND(284&gt;=$NR$16,284&lt;=$NS$16),IF($NP$16="Single_Point",IF(284=$NR$16,$NN$16,0),IF($NP$16="Bell_Curve",$NN$16*(284-$NR$16+1)*($NS$16-284+1)/$NU$16,$NN$16/$NT$16)),0)</f>
        <v/>
      </c>
      <c r="KC16" s="228">
        <f>IF(AND(285&gt;=$NR$16,285&lt;=$NS$16),IF($NP$16="Single_Point",IF(285=$NR$16,$NN$16,0),IF($NP$16="Bell_Curve",$NN$16*(285-$NR$16+1)*($NS$16-285+1)/$NU$16,$NN$16/$NT$16)),0)</f>
        <v/>
      </c>
      <c r="KD16" s="228">
        <f>IF(AND(286&gt;=$NR$16,286&lt;=$NS$16),IF($NP$16="Single_Point",IF(286=$NR$16,$NN$16,0),IF($NP$16="Bell_Curve",$NN$16*(286-$NR$16+1)*($NS$16-286+1)/$NU$16,$NN$16/$NT$16)),0)</f>
        <v/>
      </c>
      <c r="KE16" s="228">
        <f>IF(AND(287&gt;=$NR$16,287&lt;=$NS$16),IF($NP$16="Single_Point",IF(287=$NR$16,$NN$16,0),IF($NP$16="Bell_Curve",$NN$16*(287-$NR$16+1)*($NS$16-287+1)/$NU$16,$NN$16/$NT$16)),0)</f>
        <v/>
      </c>
      <c r="KF16" s="228">
        <f>IF(AND(288&gt;=$NR$16,288&lt;=$NS$16),IF($NP$16="Single_Point",IF(288=$NR$16,$NN$16,0),IF($NP$16="Bell_Curve",$NN$16*(288-$NR$16+1)*($NS$16-288+1)/$NU$16,$NN$16/$NT$16)),0)</f>
        <v/>
      </c>
      <c r="KG16" s="228">
        <f>IF(AND(289&gt;=$NR$16,289&lt;=$NS$16),IF($NP$16="Single_Point",IF(289=$NR$16,$NN$16,0),IF($NP$16="Bell_Curve",$NN$16*(289-$NR$16+1)*($NS$16-289+1)/$NU$16,$NN$16/$NT$16)),0)</f>
        <v/>
      </c>
      <c r="KH16" s="228">
        <f>IF(AND(290&gt;=$NR$16,290&lt;=$NS$16),IF($NP$16="Single_Point",IF(290=$NR$16,$NN$16,0),IF($NP$16="Bell_Curve",$NN$16*(290-$NR$16+1)*($NS$16-290+1)/$NU$16,$NN$16/$NT$16)),0)</f>
        <v/>
      </c>
      <c r="KI16" s="228">
        <f>IF(AND(291&gt;=$NR$16,291&lt;=$NS$16),IF($NP$16="Single_Point",IF(291=$NR$16,$NN$16,0),IF($NP$16="Bell_Curve",$NN$16*(291-$NR$16+1)*($NS$16-291+1)/$NU$16,$NN$16/$NT$16)),0)</f>
        <v/>
      </c>
      <c r="KJ16" s="228">
        <f>IF(AND(292&gt;=$NR$16,292&lt;=$NS$16),IF($NP$16="Single_Point",IF(292=$NR$16,$NN$16,0),IF($NP$16="Bell_Curve",$NN$16*(292-$NR$16+1)*($NS$16-292+1)/$NU$16,$NN$16/$NT$16)),0)</f>
        <v/>
      </c>
      <c r="KK16" s="228">
        <f>IF(AND(293&gt;=$NR$16,293&lt;=$NS$16),IF($NP$16="Single_Point",IF(293=$NR$16,$NN$16,0),IF($NP$16="Bell_Curve",$NN$16*(293-$NR$16+1)*($NS$16-293+1)/$NU$16,$NN$16/$NT$16)),0)</f>
        <v/>
      </c>
      <c r="KL16" s="228">
        <f>IF(AND(294&gt;=$NR$16,294&lt;=$NS$16),IF($NP$16="Single_Point",IF(294=$NR$16,$NN$16,0),IF($NP$16="Bell_Curve",$NN$16*(294-$NR$16+1)*($NS$16-294+1)/$NU$16,$NN$16/$NT$16)),0)</f>
        <v/>
      </c>
      <c r="KM16" s="228">
        <f>IF(AND(295&gt;=$NR$16,295&lt;=$NS$16),IF($NP$16="Single_Point",IF(295=$NR$16,$NN$16,0),IF($NP$16="Bell_Curve",$NN$16*(295-$NR$16+1)*($NS$16-295+1)/$NU$16,$NN$16/$NT$16)),0)</f>
        <v/>
      </c>
      <c r="KN16" s="228">
        <f>IF(AND(296&gt;=$NR$16,296&lt;=$NS$16),IF($NP$16="Single_Point",IF(296=$NR$16,$NN$16,0),IF($NP$16="Bell_Curve",$NN$16*(296-$NR$16+1)*($NS$16-296+1)/$NU$16,$NN$16/$NT$16)),0)</f>
        <v/>
      </c>
      <c r="KO16" s="228">
        <f>IF(AND(297&gt;=$NR$16,297&lt;=$NS$16),IF($NP$16="Single_Point",IF(297=$NR$16,$NN$16,0),IF($NP$16="Bell_Curve",$NN$16*(297-$NR$16+1)*($NS$16-297+1)/$NU$16,$NN$16/$NT$16)),0)</f>
        <v/>
      </c>
      <c r="KP16" s="228">
        <f>IF(AND(298&gt;=$NR$16,298&lt;=$NS$16),IF($NP$16="Single_Point",IF(298=$NR$16,$NN$16,0),IF($NP$16="Bell_Curve",$NN$16*(298-$NR$16+1)*($NS$16-298+1)/$NU$16,$NN$16/$NT$16)),0)</f>
        <v/>
      </c>
      <c r="KQ16" s="228">
        <f>IF(AND(299&gt;=$NR$16,299&lt;=$NS$16),IF($NP$16="Single_Point",IF(299=$NR$16,$NN$16,0),IF($NP$16="Bell_Curve",$NN$16*(299-$NR$16+1)*($NS$16-299+1)/$NU$16,$NN$16/$NT$16)),0)</f>
        <v/>
      </c>
      <c r="KR16" s="228">
        <f>IF(AND(300&gt;=$NR$16,300&lt;=$NS$16),IF($NP$16="Single_Point",IF(300=$NR$16,$NN$16,0),IF($NP$16="Bell_Curve",$NN$16*(300-$NR$16+1)*($NS$16-300+1)/$NU$16,$NN$16/$NT$16)),0)</f>
        <v/>
      </c>
      <c r="KS16" s="228">
        <f>IF(AND(301&gt;=$NR$16,301&lt;=$NS$16),IF($NP$16="Single_Point",IF(301=$NR$16,$NN$16,0),IF($NP$16="Bell_Curve",$NN$16*(301-$NR$16+1)*($NS$16-301+1)/$NU$16,$NN$16/$NT$16)),0)</f>
        <v/>
      </c>
      <c r="KT16" s="228">
        <f>IF(AND(302&gt;=$NR$16,302&lt;=$NS$16),IF($NP$16="Single_Point",IF(302=$NR$16,$NN$16,0),IF($NP$16="Bell_Curve",$NN$16*(302-$NR$16+1)*($NS$16-302+1)/$NU$16,$NN$16/$NT$16)),0)</f>
        <v/>
      </c>
      <c r="KU16" s="228">
        <f>IF(AND(303&gt;=$NR$16,303&lt;=$NS$16),IF($NP$16="Single_Point",IF(303=$NR$16,$NN$16,0),IF($NP$16="Bell_Curve",$NN$16*(303-$NR$16+1)*($NS$16-303+1)/$NU$16,$NN$16/$NT$16)),0)</f>
        <v/>
      </c>
      <c r="KV16" s="228">
        <f>IF(AND(304&gt;=$NR$16,304&lt;=$NS$16),IF($NP$16="Single_Point",IF(304=$NR$16,$NN$16,0),IF($NP$16="Bell_Curve",$NN$16*(304-$NR$16+1)*($NS$16-304+1)/$NU$16,$NN$16/$NT$16)),0)</f>
        <v/>
      </c>
      <c r="KW16" s="228">
        <f>IF(AND(305&gt;=$NR$16,305&lt;=$NS$16),IF($NP$16="Single_Point",IF(305=$NR$16,$NN$16,0),IF($NP$16="Bell_Curve",$NN$16*(305-$NR$16+1)*($NS$16-305+1)/$NU$16,$NN$16/$NT$16)),0)</f>
        <v/>
      </c>
      <c r="KX16" s="228">
        <f>IF(AND(306&gt;=$NR$16,306&lt;=$NS$16),IF($NP$16="Single_Point",IF(306=$NR$16,$NN$16,0),IF($NP$16="Bell_Curve",$NN$16*(306-$NR$16+1)*($NS$16-306+1)/$NU$16,$NN$16/$NT$16)),0)</f>
        <v/>
      </c>
      <c r="KY16" s="228">
        <f>IF(AND(307&gt;=$NR$16,307&lt;=$NS$16),IF($NP$16="Single_Point",IF(307=$NR$16,$NN$16,0),IF($NP$16="Bell_Curve",$NN$16*(307-$NR$16+1)*($NS$16-307+1)/$NU$16,$NN$16/$NT$16)),0)</f>
        <v/>
      </c>
      <c r="KZ16" s="228">
        <f>IF(AND(308&gt;=$NR$16,308&lt;=$NS$16),IF($NP$16="Single_Point",IF(308=$NR$16,$NN$16,0),IF($NP$16="Bell_Curve",$NN$16*(308-$NR$16+1)*($NS$16-308+1)/$NU$16,$NN$16/$NT$16)),0)</f>
        <v/>
      </c>
      <c r="LA16" s="228">
        <f>IF(AND(309&gt;=$NR$16,309&lt;=$NS$16),IF($NP$16="Single_Point",IF(309=$NR$16,$NN$16,0),IF($NP$16="Bell_Curve",$NN$16*(309-$NR$16+1)*($NS$16-309+1)/$NU$16,$NN$16/$NT$16)),0)</f>
        <v/>
      </c>
      <c r="LB16" s="228">
        <f>IF(AND(310&gt;=$NR$16,310&lt;=$NS$16),IF($NP$16="Single_Point",IF(310=$NR$16,$NN$16,0),IF($NP$16="Bell_Curve",$NN$16*(310-$NR$16+1)*($NS$16-310+1)/$NU$16,$NN$16/$NT$16)),0)</f>
        <v/>
      </c>
      <c r="LC16" s="228">
        <f>IF(AND(311&gt;=$NR$16,311&lt;=$NS$16),IF($NP$16="Single_Point",IF(311=$NR$16,$NN$16,0),IF($NP$16="Bell_Curve",$NN$16*(311-$NR$16+1)*($NS$16-311+1)/$NU$16,$NN$16/$NT$16)),0)</f>
        <v/>
      </c>
      <c r="LD16" s="228">
        <f>IF(AND(312&gt;=$NR$16,312&lt;=$NS$16),IF($NP$16="Single_Point",IF(312=$NR$16,$NN$16,0),IF($NP$16="Bell_Curve",$NN$16*(312-$NR$16+1)*($NS$16-312+1)/$NU$16,$NN$16/$NT$16)),0)</f>
        <v/>
      </c>
      <c r="LE16" s="228">
        <f>IF(AND(313&gt;=$NR$16,313&lt;=$NS$16),IF($NP$16="Single_Point",IF(313=$NR$16,$NN$16,0),IF($NP$16="Bell_Curve",$NN$16*(313-$NR$16+1)*($NS$16-313+1)/$NU$16,$NN$16/$NT$16)),0)</f>
        <v/>
      </c>
      <c r="LF16" s="228">
        <f>IF(AND(314&gt;=$NR$16,314&lt;=$NS$16),IF($NP$16="Single_Point",IF(314=$NR$16,$NN$16,0),IF($NP$16="Bell_Curve",$NN$16*(314-$NR$16+1)*($NS$16-314+1)/$NU$16,$NN$16/$NT$16)),0)</f>
        <v/>
      </c>
      <c r="LG16" s="228">
        <f>IF(AND(315&gt;=$NR$16,315&lt;=$NS$16),IF($NP$16="Single_Point",IF(315=$NR$16,$NN$16,0),IF($NP$16="Bell_Curve",$NN$16*(315-$NR$16+1)*($NS$16-315+1)/$NU$16,$NN$16/$NT$16)),0)</f>
        <v/>
      </c>
      <c r="LH16" s="228">
        <f>IF(AND(316&gt;=$NR$16,316&lt;=$NS$16),IF($NP$16="Single_Point",IF(316=$NR$16,$NN$16,0),IF($NP$16="Bell_Curve",$NN$16*(316-$NR$16+1)*($NS$16-316+1)/$NU$16,$NN$16/$NT$16)),0)</f>
        <v/>
      </c>
      <c r="LI16" s="228">
        <f>IF(AND(317&gt;=$NR$16,317&lt;=$NS$16),IF($NP$16="Single_Point",IF(317=$NR$16,$NN$16,0),IF($NP$16="Bell_Curve",$NN$16*(317-$NR$16+1)*($NS$16-317+1)/$NU$16,$NN$16/$NT$16)),0)</f>
        <v/>
      </c>
      <c r="LJ16" s="228">
        <f>IF(AND(318&gt;=$NR$16,318&lt;=$NS$16),IF($NP$16="Single_Point",IF(318=$NR$16,$NN$16,0),IF($NP$16="Bell_Curve",$NN$16*(318-$NR$16+1)*($NS$16-318+1)/$NU$16,$NN$16/$NT$16)),0)</f>
        <v/>
      </c>
      <c r="LK16" s="228">
        <f>IF(AND(319&gt;=$NR$16,319&lt;=$NS$16),IF($NP$16="Single_Point",IF(319=$NR$16,$NN$16,0),IF($NP$16="Bell_Curve",$NN$16*(319-$NR$16+1)*($NS$16-319+1)/$NU$16,$NN$16/$NT$16)),0)</f>
        <v/>
      </c>
      <c r="LL16" s="228">
        <f>IF(AND(320&gt;=$NR$16,320&lt;=$NS$16),IF($NP$16="Single_Point",IF(320=$NR$16,$NN$16,0),IF($NP$16="Bell_Curve",$NN$16*(320-$NR$16+1)*($NS$16-320+1)/$NU$16,$NN$16/$NT$16)),0)</f>
        <v/>
      </c>
      <c r="LM16" s="228">
        <f>IF(AND(321&gt;=$NR$16,321&lt;=$NS$16),IF($NP$16="Single_Point",IF(321=$NR$16,$NN$16,0),IF($NP$16="Bell_Curve",$NN$16*(321-$NR$16+1)*($NS$16-321+1)/$NU$16,$NN$16/$NT$16)),0)</f>
        <v/>
      </c>
      <c r="LN16" s="228">
        <f>IF(AND(322&gt;=$NR$16,322&lt;=$NS$16),IF($NP$16="Single_Point",IF(322=$NR$16,$NN$16,0),IF($NP$16="Bell_Curve",$NN$16*(322-$NR$16+1)*($NS$16-322+1)/$NU$16,$NN$16/$NT$16)),0)</f>
        <v/>
      </c>
      <c r="LO16" s="228">
        <f>IF(AND(323&gt;=$NR$16,323&lt;=$NS$16),IF($NP$16="Single_Point",IF(323=$NR$16,$NN$16,0),IF($NP$16="Bell_Curve",$NN$16*(323-$NR$16+1)*($NS$16-323+1)/$NU$16,$NN$16/$NT$16)),0)</f>
        <v/>
      </c>
      <c r="LP16" s="228">
        <f>IF(AND(324&gt;=$NR$16,324&lt;=$NS$16),IF($NP$16="Single_Point",IF(324=$NR$16,$NN$16,0),IF($NP$16="Bell_Curve",$NN$16*(324-$NR$16+1)*($NS$16-324+1)/$NU$16,$NN$16/$NT$16)),0)</f>
        <v/>
      </c>
      <c r="LQ16" s="228">
        <f>IF(AND(325&gt;=$NR$16,325&lt;=$NS$16),IF($NP$16="Single_Point",IF(325=$NR$16,$NN$16,0),IF($NP$16="Bell_Curve",$NN$16*(325-$NR$16+1)*($NS$16-325+1)/$NU$16,$NN$16/$NT$16)),0)</f>
        <v/>
      </c>
      <c r="LR16" s="228">
        <f>IF(AND(326&gt;=$NR$16,326&lt;=$NS$16),IF($NP$16="Single_Point",IF(326=$NR$16,$NN$16,0),IF($NP$16="Bell_Curve",$NN$16*(326-$NR$16+1)*($NS$16-326+1)/$NU$16,$NN$16/$NT$16)),0)</f>
        <v/>
      </c>
      <c r="LS16" s="228">
        <f>IF(AND(327&gt;=$NR$16,327&lt;=$NS$16),IF($NP$16="Single_Point",IF(327=$NR$16,$NN$16,0),IF($NP$16="Bell_Curve",$NN$16*(327-$NR$16+1)*($NS$16-327+1)/$NU$16,$NN$16/$NT$16)),0)</f>
        <v/>
      </c>
      <c r="LT16" s="228">
        <f>IF(AND(328&gt;=$NR$16,328&lt;=$NS$16),IF($NP$16="Single_Point",IF(328=$NR$16,$NN$16,0),IF($NP$16="Bell_Curve",$NN$16*(328-$NR$16+1)*($NS$16-328+1)/$NU$16,$NN$16/$NT$16)),0)</f>
        <v/>
      </c>
      <c r="LU16" s="228">
        <f>IF(AND(329&gt;=$NR$16,329&lt;=$NS$16),IF($NP$16="Single_Point",IF(329=$NR$16,$NN$16,0),IF($NP$16="Bell_Curve",$NN$16*(329-$NR$16+1)*($NS$16-329+1)/$NU$16,$NN$16/$NT$16)),0)</f>
        <v/>
      </c>
      <c r="LV16" s="228">
        <f>IF(AND(330&gt;=$NR$16,330&lt;=$NS$16),IF($NP$16="Single_Point",IF(330=$NR$16,$NN$16,0),IF($NP$16="Bell_Curve",$NN$16*(330-$NR$16+1)*($NS$16-330+1)/$NU$16,$NN$16/$NT$16)),0)</f>
        <v/>
      </c>
      <c r="LW16" s="228">
        <f>IF(AND(331&gt;=$NR$16,331&lt;=$NS$16),IF($NP$16="Single_Point",IF(331=$NR$16,$NN$16,0),IF($NP$16="Bell_Curve",$NN$16*(331-$NR$16+1)*($NS$16-331+1)/$NU$16,$NN$16/$NT$16)),0)</f>
        <v/>
      </c>
      <c r="LX16" s="228">
        <f>IF(AND(332&gt;=$NR$16,332&lt;=$NS$16),IF($NP$16="Single_Point",IF(332=$NR$16,$NN$16,0),IF($NP$16="Bell_Curve",$NN$16*(332-$NR$16+1)*($NS$16-332+1)/$NU$16,$NN$16/$NT$16)),0)</f>
        <v/>
      </c>
      <c r="LY16" s="228">
        <f>IF(AND(333&gt;=$NR$16,333&lt;=$NS$16),IF($NP$16="Single_Point",IF(333=$NR$16,$NN$16,0),IF($NP$16="Bell_Curve",$NN$16*(333-$NR$16+1)*($NS$16-333+1)/$NU$16,$NN$16/$NT$16)),0)</f>
        <v/>
      </c>
      <c r="LZ16" s="228">
        <f>IF(AND(334&gt;=$NR$16,334&lt;=$NS$16),IF($NP$16="Single_Point",IF(334=$NR$16,$NN$16,0),IF($NP$16="Bell_Curve",$NN$16*(334-$NR$16+1)*($NS$16-334+1)/$NU$16,$NN$16/$NT$16)),0)</f>
        <v/>
      </c>
      <c r="MA16" s="228">
        <f>IF(AND(335&gt;=$NR$16,335&lt;=$NS$16),IF($NP$16="Single_Point",IF(335=$NR$16,$NN$16,0),IF($NP$16="Bell_Curve",$NN$16*(335-$NR$16+1)*($NS$16-335+1)/$NU$16,$NN$16/$NT$16)),0)</f>
        <v/>
      </c>
      <c r="MB16" s="228">
        <f>IF(AND(336&gt;=$NR$16,336&lt;=$NS$16),IF($NP$16="Single_Point",IF(336=$NR$16,$NN$16,0),IF($NP$16="Bell_Curve",$NN$16*(336-$NR$16+1)*($NS$16-336+1)/$NU$16,$NN$16/$NT$16)),0)</f>
        <v/>
      </c>
      <c r="MC16" s="228">
        <f>IF(AND(337&gt;=$NR$16,337&lt;=$NS$16),IF($NP$16="Single_Point",IF(337=$NR$16,$NN$16,0),IF($NP$16="Bell_Curve",$NN$16*(337-$NR$16+1)*($NS$16-337+1)/$NU$16,$NN$16/$NT$16)),0)</f>
        <v/>
      </c>
      <c r="MD16" s="228">
        <f>IF(AND(338&gt;=$NR$16,338&lt;=$NS$16),IF($NP$16="Single_Point",IF(338=$NR$16,$NN$16,0),IF($NP$16="Bell_Curve",$NN$16*(338-$NR$16+1)*($NS$16-338+1)/$NU$16,$NN$16/$NT$16)),0)</f>
        <v/>
      </c>
      <c r="ME16" s="228">
        <f>IF(AND(339&gt;=$NR$16,339&lt;=$NS$16),IF($NP$16="Single_Point",IF(339=$NR$16,$NN$16,0),IF($NP$16="Bell_Curve",$NN$16*(339-$NR$16+1)*($NS$16-339+1)/$NU$16,$NN$16/$NT$16)),0)</f>
        <v/>
      </c>
      <c r="MF16" s="228">
        <f>IF(AND(340&gt;=$NR$16,340&lt;=$NS$16),IF($NP$16="Single_Point",IF(340=$NR$16,$NN$16,0),IF($NP$16="Bell_Curve",$NN$16*(340-$NR$16+1)*($NS$16-340+1)/$NU$16,$NN$16/$NT$16)),0)</f>
        <v/>
      </c>
      <c r="MG16" s="228">
        <f>IF(AND(341&gt;=$NR$16,341&lt;=$NS$16),IF($NP$16="Single_Point",IF(341=$NR$16,$NN$16,0),IF($NP$16="Bell_Curve",$NN$16*(341-$NR$16+1)*($NS$16-341+1)/$NU$16,$NN$16/$NT$16)),0)</f>
        <v/>
      </c>
      <c r="MH16" s="228">
        <f>IF(AND(342&gt;=$NR$16,342&lt;=$NS$16),IF($NP$16="Single_Point",IF(342=$NR$16,$NN$16,0),IF($NP$16="Bell_Curve",$NN$16*(342-$NR$16+1)*($NS$16-342+1)/$NU$16,$NN$16/$NT$16)),0)</f>
        <v/>
      </c>
      <c r="MI16" s="228">
        <f>IF(AND(343&gt;=$NR$16,343&lt;=$NS$16),IF($NP$16="Single_Point",IF(343=$NR$16,$NN$16,0),IF($NP$16="Bell_Curve",$NN$16*(343-$NR$16+1)*($NS$16-343+1)/$NU$16,$NN$16/$NT$16)),0)</f>
        <v/>
      </c>
      <c r="MJ16" s="228">
        <f>IF(AND(344&gt;=$NR$16,344&lt;=$NS$16),IF($NP$16="Single_Point",IF(344=$NR$16,$NN$16,0),IF($NP$16="Bell_Curve",$NN$16*(344-$NR$16+1)*($NS$16-344+1)/$NU$16,$NN$16/$NT$16)),0)</f>
        <v/>
      </c>
      <c r="MK16" s="228">
        <f>IF(AND(345&gt;=$NR$16,345&lt;=$NS$16),IF($NP$16="Single_Point",IF(345=$NR$16,$NN$16,0),IF($NP$16="Bell_Curve",$NN$16*(345-$NR$16+1)*($NS$16-345+1)/$NU$16,$NN$16/$NT$16)),0)</f>
        <v/>
      </c>
      <c r="ML16" s="228">
        <f>IF(AND(346&gt;=$NR$16,346&lt;=$NS$16),IF($NP$16="Single_Point",IF(346=$NR$16,$NN$16,0),IF($NP$16="Bell_Curve",$NN$16*(346-$NR$16+1)*($NS$16-346+1)/$NU$16,$NN$16/$NT$16)),0)</f>
        <v/>
      </c>
      <c r="MM16" s="228">
        <f>IF(AND(347&gt;=$NR$16,347&lt;=$NS$16),IF($NP$16="Single_Point",IF(347=$NR$16,$NN$16,0),IF($NP$16="Bell_Curve",$NN$16*(347-$NR$16+1)*($NS$16-347+1)/$NU$16,$NN$16/$NT$16)),0)</f>
        <v/>
      </c>
      <c r="MN16" s="228">
        <f>IF(AND(348&gt;=$NR$16,348&lt;=$NS$16),IF($NP$16="Single_Point",IF(348=$NR$16,$NN$16,0),IF($NP$16="Bell_Curve",$NN$16*(348-$NR$16+1)*($NS$16-348+1)/$NU$16,$NN$16/$NT$16)),0)</f>
        <v/>
      </c>
      <c r="MO16" s="228">
        <f>IF(AND(349&gt;=$NR$16,349&lt;=$NS$16),IF($NP$16="Single_Point",IF(349=$NR$16,$NN$16,0),IF($NP$16="Bell_Curve",$NN$16*(349-$NR$16+1)*($NS$16-349+1)/$NU$16,$NN$16/$NT$16)),0)</f>
        <v/>
      </c>
      <c r="MP16" s="228">
        <f>IF(AND(350&gt;=$NR$16,350&lt;=$NS$16),IF($NP$16="Single_Point",IF(350=$NR$16,$NN$16,0),IF($NP$16="Bell_Curve",$NN$16*(350-$NR$16+1)*($NS$16-350+1)/$NU$16,$NN$16/$NT$16)),0)</f>
        <v/>
      </c>
      <c r="MQ16" s="228">
        <f>IF(AND(351&gt;=$NR$16,351&lt;=$NS$16),IF($NP$16="Single_Point",IF(351=$NR$16,$NN$16,0),IF($NP$16="Bell_Curve",$NN$16*(351-$NR$16+1)*($NS$16-351+1)/$NU$16,$NN$16/$NT$16)),0)</f>
        <v/>
      </c>
      <c r="MR16" s="228">
        <f>IF(AND(352&gt;=$NR$16,352&lt;=$NS$16),IF($NP$16="Single_Point",IF(352=$NR$16,$NN$16,0),IF($NP$16="Bell_Curve",$NN$16*(352-$NR$16+1)*($NS$16-352+1)/$NU$16,$NN$16/$NT$16)),0)</f>
        <v/>
      </c>
      <c r="MS16" s="228">
        <f>IF(AND(353&gt;=$NR$16,353&lt;=$NS$16),IF($NP$16="Single_Point",IF(353=$NR$16,$NN$16,0),IF($NP$16="Bell_Curve",$NN$16*(353-$NR$16+1)*($NS$16-353+1)/$NU$16,$NN$16/$NT$16)),0)</f>
        <v/>
      </c>
      <c r="MT16" s="228">
        <f>IF(AND(354&gt;=$NR$16,354&lt;=$NS$16),IF($NP$16="Single_Point",IF(354=$NR$16,$NN$16,0),IF($NP$16="Bell_Curve",$NN$16*(354-$NR$16+1)*($NS$16-354+1)/$NU$16,$NN$16/$NT$16)),0)</f>
        <v/>
      </c>
      <c r="MU16" s="228">
        <f>IF(AND(355&gt;=$NR$16,355&lt;=$NS$16),IF($NP$16="Single_Point",IF(355=$NR$16,$NN$16,0),IF($NP$16="Bell_Curve",$NN$16*(355-$NR$16+1)*($NS$16-355+1)/$NU$16,$NN$16/$NT$16)),0)</f>
        <v/>
      </c>
      <c r="MV16" s="228">
        <f>IF(AND(356&gt;=$NR$16,356&lt;=$NS$16),IF($NP$16="Single_Point",IF(356=$NR$16,$NN$16,0),IF($NP$16="Bell_Curve",$NN$16*(356-$NR$16+1)*($NS$16-356+1)/$NU$16,$NN$16/$NT$16)),0)</f>
        <v/>
      </c>
      <c r="MW16" s="228">
        <f>IF(AND(357&gt;=$NR$16,357&lt;=$NS$16),IF($NP$16="Single_Point",IF(357=$NR$16,$NN$16,0),IF($NP$16="Bell_Curve",$NN$16*(357-$NR$16+1)*($NS$16-357+1)/$NU$16,$NN$16/$NT$16)),0)</f>
        <v/>
      </c>
      <c r="MX16" s="228">
        <f>IF(AND(358&gt;=$NR$16,358&lt;=$NS$16),IF($NP$16="Single_Point",IF(358=$NR$16,$NN$16,0),IF($NP$16="Bell_Curve",$NN$16*(358-$NR$16+1)*($NS$16-358+1)/$NU$16,$NN$16/$NT$16)),0)</f>
        <v/>
      </c>
      <c r="MY16" s="228">
        <f>IF(AND(359&gt;=$NR$16,359&lt;=$NS$16),IF($NP$16="Single_Point",IF(359=$NR$16,$NN$16,0),IF($NP$16="Bell_Curve",$NN$16*(359-$NR$16+1)*($NS$16-359+1)/$NU$16,$NN$16/$NT$16)),0)</f>
        <v/>
      </c>
      <c r="MZ16" s="228">
        <f>IF(AND(360&gt;=$NR$16,360&lt;=$NS$16),IF($NP$16="Single_Point",IF(360=$NR$16,$NN$16,0),IF($NP$16="Bell_Curve",$NN$16*(360-$NR$16+1)*($NS$16-360+1)/$NU$16,$NN$16/$NT$16)),0)</f>
        <v/>
      </c>
      <c r="NA16" s="228">
        <f>IF(AND(361&gt;=$NR$16,361&lt;=$NS$16),IF($NP$16="Single_Point",IF(361=$NR$16,$NN$16,0),IF($NP$16="Bell_Curve",$NN$16*(361-$NR$16+1)*($NS$16-361+1)/$NU$16,$NN$16/$NT$16)),0)</f>
        <v/>
      </c>
      <c r="NB16" s="228">
        <f>IF(AND(362&gt;=$NR$16,362&lt;=$NS$16),IF($NP$16="Single_Point",IF(362=$NR$16,$NN$16,0),IF($NP$16="Bell_Curve",$NN$16*(362-$NR$16+1)*($NS$16-362+1)/$NU$16,$NN$16/$NT$16)),0)</f>
        <v/>
      </c>
      <c r="NC16" s="228">
        <f>IF(AND(363&gt;=$NR$16,363&lt;=$NS$16),IF($NP$16="Single_Point",IF(363=$NR$16,$NN$16,0),IF($NP$16="Bell_Curve",$NN$16*(363-$NR$16+1)*($NS$16-363+1)/$NU$16,$NN$16/$NT$16)),0)</f>
        <v/>
      </c>
      <c r="ND16" s="228">
        <f>IF(AND(364&gt;=$NR$16,364&lt;=$NS$16),IF($NP$16="Single_Point",IF(364=$NR$16,$NN$16,0),IF($NP$16="Bell_Curve",$NN$16*(364-$NR$16+1)*($NS$16-364+1)/$NU$16,$NN$16/$NT$16)),0)</f>
        <v/>
      </c>
      <c r="NE16" s="228">
        <f>IF(AND(365&gt;=$NR$16,365&lt;=$NS$16),IF($NP$16="Single_Point",IF(365=$NR$16,$NN$16,0),IF($NP$16="Bell_Curve",$NN$16*(365-$NR$16+1)*($NS$16-365+1)/$NU$16,$NN$16/$NT$16)),0)</f>
        <v/>
      </c>
      <c r="NF16" s="228">
        <f>IF(AND(366&gt;=$NR$16,366&lt;=$NS$16),IF($NP$16="Single_Point",IF(366=$NR$16,$NN$16,0),IF($NP$16="Bell_Curve",$NN$16*(366-$NR$16+1)*($NS$16-366+1)/$NU$16,$NN$16/$NT$16)),0)</f>
        <v/>
      </c>
      <c r="NG16" s="228">
        <f>IF(AND(367&gt;=$NR$16,367&lt;=$NS$16),IF($NP$16="Single_Point",IF(367=$NR$16,$NN$16,0),IF($NP$16="Bell_Curve",$NN$16*(367-$NR$16+1)*($NS$16-367+1)/$NU$16,$NN$16/$NT$16)),0)</f>
        <v/>
      </c>
      <c r="NH16" s="228">
        <f>IF(AND(368&gt;=$NR$16,368&lt;=$NS$16),IF($NP$16="Single_Point",IF(368=$NR$16,$NN$16,0),IF($NP$16="Bell_Curve",$NN$16*(368-$NR$16+1)*($NS$16-368+1)/$NU$16,$NN$16/$NT$16)),0)</f>
        <v/>
      </c>
      <c r="NI16" s="228">
        <f>IF(AND(369&gt;=$NR$16,369&lt;=$NS$16),IF($NP$16="Single_Point",IF(369=$NR$16,$NN$16,0),IF($NP$16="Bell_Curve",$NN$16*(369-$NR$16+1)*($NS$16-369+1)/$NU$16,$NN$16/$NT$16)),0)</f>
        <v/>
      </c>
      <c r="NJ16" s="228">
        <f>IF(AND(370&gt;=$NR$16,370&lt;=$NS$16),IF($NP$16="Single_Point",IF(370=$NR$16,$NN$16,0),IF($NP$16="Bell_Curve",$NN$16*(370-$NR$16+1)*($NS$16-370+1)/$NU$16,$NN$16/$NT$16)),0)</f>
        <v/>
      </c>
      <c r="NK16" s="228">
        <f>IF(AND(371&gt;=$NR$16,371&lt;=$NS$16),IF($NP$16="Single_Point",IF(371=$NR$16,$NN$16,0),IF($NP$16="Bell_Curve",$NN$16*(371-$NR$16+1)*($NS$16-371+1)/$NU$16,$NN$16/$NT$16)),0)</f>
        <v/>
      </c>
      <c r="NL16" s="247">
        <f>IF(AND(372&gt;=$NR$16,372&lt;=$NS$16),IF($NP$16="Single_Point",IF(372=$NR$16,$NN$16,0),IF($NP$16="Bell_Curve",$NN$16*(372-$NR$16+1)*($NS$16-372+1)/$NU$16,$NN$16/$NT$16)),0)</f>
        <v/>
      </c>
      <c r="NN16" s="218">
        <f>Budget!J15</f>
        <v/>
      </c>
      <c r="NO16" s="144">
        <f>Budget!G15</f>
        <v/>
      </c>
      <c r="NP16" s="144">
        <f>Budget!H15</f>
        <v/>
      </c>
      <c r="NQ16" s="85">
        <f>Budget!I15</f>
        <v/>
      </c>
      <c r="NR16" s="248">
        <f>MAX(1,MIN(372,INDEX(MilestoneStart,MATCH(NO16,MilestoneNames,0))+NQ16))</f>
        <v/>
      </c>
      <c r="NS16" s="248">
        <f>MAX(NR16,MIN(372,INDEX(MilestoneEnd,MATCH(NO16,MilestoneNames,0))+NQ16))</f>
        <v/>
      </c>
      <c r="NT16" s="85">
        <f>NS16-NR16+1</f>
        <v/>
      </c>
      <c r="NU16" s="85">
        <f>NT16*(NT16+1)*(NT16+2)/6</f>
        <v/>
      </c>
    </row>
    <row r="17">
      <c r="B17" s="36" t="inlineStr">
        <is>
          <t>Utilities &amp; Hookups</t>
        </is>
      </c>
      <c r="D17" s="246">
        <f>SUM(E17:NL17)</f>
        <v/>
      </c>
      <c r="E17" s="228">
        <f>IF(AND(1&gt;=$NR$17,1&lt;=$NS$17),IF($NP$17="Single_Point",IF(1=$NR$17,$NN$17,0),IF($NP$17="Bell_Curve",$NN$17*(1-$NR$17+1)*($NS$17-1+1)/$NU$17,$NN$17/$NT$17)),0)</f>
        <v/>
      </c>
      <c r="F17" s="228">
        <f>IF(AND(2&gt;=$NR$17,2&lt;=$NS$17),IF($NP$17="Single_Point",IF(2=$NR$17,$NN$17,0),IF($NP$17="Bell_Curve",$NN$17*(2-$NR$17+1)*($NS$17-2+1)/$NU$17,$NN$17/$NT$17)),0)</f>
        <v/>
      </c>
      <c r="G17" s="228">
        <f>IF(AND(3&gt;=$NR$17,3&lt;=$NS$17),IF($NP$17="Single_Point",IF(3=$NR$17,$NN$17,0),IF($NP$17="Bell_Curve",$NN$17*(3-$NR$17+1)*($NS$17-3+1)/$NU$17,$NN$17/$NT$17)),0)</f>
        <v/>
      </c>
      <c r="H17" s="228">
        <f>IF(AND(4&gt;=$NR$17,4&lt;=$NS$17),IF($NP$17="Single_Point",IF(4=$NR$17,$NN$17,0),IF($NP$17="Bell_Curve",$NN$17*(4-$NR$17+1)*($NS$17-4+1)/$NU$17,$NN$17/$NT$17)),0)</f>
        <v/>
      </c>
      <c r="I17" s="228">
        <f>IF(AND(5&gt;=$NR$17,5&lt;=$NS$17),IF($NP$17="Single_Point",IF(5=$NR$17,$NN$17,0),IF($NP$17="Bell_Curve",$NN$17*(5-$NR$17+1)*($NS$17-5+1)/$NU$17,$NN$17/$NT$17)),0)</f>
        <v/>
      </c>
      <c r="J17" s="228">
        <f>IF(AND(6&gt;=$NR$17,6&lt;=$NS$17),IF($NP$17="Single_Point",IF(6=$NR$17,$NN$17,0),IF($NP$17="Bell_Curve",$NN$17*(6-$NR$17+1)*($NS$17-6+1)/$NU$17,$NN$17/$NT$17)),0)</f>
        <v/>
      </c>
      <c r="K17" s="228">
        <f>IF(AND(7&gt;=$NR$17,7&lt;=$NS$17),IF($NP$17="Single_Point",IF(7=$NR$17,$NN$17,0),IF($NP$17="Bell_Curve",$NN$17*(7-$NR$17+1)*($NS$17-7+1)/$NU$17,$NN$17/$NT$17)),0)</f>
        <v/>
      </c>
      <c r="L17" s="228">
        <f>IF(AND(8&gt;=$NR$17,8&lt;=$NS$17),IF($NP$17="Single_Point",IF(8=$NR$17,$NN$17,0),IF($NP$17="Bell_Curve",$NN$17*(8-$NR$17+1)*($NS$17-8+1)/$NU$17,$NN$17/$NT$17)),0)</f>
        <v/>
      </c>
      <c r="M17" s="228">
        <f>IF(AND(9&gt;=$NR$17,9&lt;=$NS$17),IF($NP$17="Single_Point",IF(9=$NR$17,$NN$17,0),IF($NP$17="Bell_Curve",$NN$17*(9-$NR$17+1)*($NS$17-9+1)/$NU$17,$NN$17/$NT$17)),0)</f>
        <v/>
      </c>
      <c r="N17" s="228">
        <f>IF(AND(10&gt;=$NR$17,10&lt;=$NS$17),IF($NP$17="Single_Point",IF(10=$NR$17,$NN$17,0),IF($NP$17="Bell_Curve",$NN$17*(10-$NR$17+1)*($NS$17-10+1)/$NU$17,$NN$17/$NT$17)),0)</f>
        <v/>
      </c>
      <c r="O17" s="228">
        <f>IF(AND(11&gt;=$NR$17,11&lt;=$NS$17),IF($NP$17="Single_Point",IF(11=$NR$17,$NN$17,0),IF($NP$17="Bell_Curve",$NN$17*(11-$NR$17+1)*($NS$17-11+1)/$NU$17,$NN$17/$NT$17)),0)</f>
        <v/>
      </c>
      <c r="P17" s="228">
        <f>IF(AND(12&gt;=$NR$17,12&lt;=$NS$17),IF($NP$17="Single_Point",IF(12=$NR$17,$NN$17,0),IF($NP$17="Bell_Curve",$NN$17*(12-$NR$17+1)*($NS$17-12+1)/$NU$17,$NN$17/$NT$17)),0)</f>
        <v/>
      </c>
      <c r="Q17" s="228">
        <f>IF(AND(13&gt;=$NR$17,13&lt;=$NS$17),IF($NP$17="Single_Point",IF(13=$NR$17,$NN$17,0),IF($NP$17="Bell_Curve",$NN$17*(13-$NR$17+1)*($NS$17-13+1)/$NU$17,$NN$17/$NT$17)),0)</f>
        <v/>
      </c>
      <c r="R17" s="228">
        <f>IF(AND(14&gt;=$NR$17,14&lt;=$NS$17),IF($NP$17="Single_Point",IF(14=$NR$17,$NN$17,0),IF($NP$17="Bell_Curve",$NN$17*(14-$NR$17+1)*($NS$17-14+1)/$NU$17,$NN$17/$NT$17)),0)</f>
        <v/>
      </c>
      <c r="S17" s="228">
        <f>IF(AND(15&gt;=$NR$17,15&lt;=$NS$17),IF($NP$17="Single_Point",IF(15=$NR$17,$NN$17,0),IF($NP$17="Bell_Curve",$NN$17*(15-$NR$17+1)*($NS$17-15+1)/$NU$17,$NN$17/$NT$17)),0)</f>
        <v/>
      </c>
      <c r="T17" s="228">
        <f>IF(AND(16&gt;=$NR$17,16&lt;=$NS$17),IF($NP$17="Single_Point",IF(16=$NR$17,$NN$17,0),IF($NP$17="Bell_Curve",$NN$17*(16-$NR$17+1)*($NS$17-16+1)/$NU$17,$NN$17/$NT$17)),0)</f>
        <v/>
      </c>
      <c r="U17" s="228">
        <f>IF(AND(17&gt;=$NR$17,17&lt;=$NS$17),IF($NP$17="Single_Point",IF(17=$NR$17,$NN$17,0),IF($NP$17="Bell_Curve",$NN$17*(17-$NR$17+1)*($NS$17-17+1)/$NU$17,$NN$17/$NT$17)),0)</f>
        <v/>
      </c>
      <c r="V17" s="228">
        <f>IF(AND(18&gt;=$NR$17,18&lt;=$NS$17),IF($NP$17="Single_Point",IF(18=$NR$17,$NN$17,0),IF($NP$17="Bell_Curve",$NN$17*(18-$NR$17+1)*($NS$17-18+1)/$NU$17,$NN$17/$NT$17)),0)</f>
        <v/>
      </c>
      <c r="W17" s="228">
        <f>IF(AND(19&gt;=$NR$17,19&lt;=$NS$17),IF($NP$17="Single_Point",IF(19=$NR$17,$NN$17,0),IF($NP$17="Bell_Curve",$NN$17*(19-$NR$17+1)*($NS$17-19+1)/$NU$17,$NN$17/$NT$17)),0)</f>
        <v/>
      </c>
      <c r="X17" s="228">
        <f>IF(AND(20&gt;=$NR$17,20&lt;=$NS$17),IF($NP$17="Single_Point",IF(20=$NR$17,$NN$17,0),IF($NP$17="Bell_Curve",$NN$17*(20-$NR$17+1)*($NS$17-20+1)/$NU$17,$NN$17/$NT$17)),0)</f>
        <v/>
      </c>
      <c r="Y17" s="228">
        <f>IF(AND(21&gt;=$NR$17,21&lt;=$NS$17),IF($NP$17="Single_Point",IF(21=$NR$17,$NN$17,0),IF($NP$17="Bell_Curve",$NN$17*(21-$NR$17+1)*($NS$17-21+1)/$NU$17,$NN$17/$NT$17)),0)</f>
        <v/>
      </c>
      <c r="Z17" s="228">
        <f>IF(AND(22&gt;=$NR$17,22&lt;=$NS$17),IF($NP$17="Single_Point",IF(22=$NR$17,$NN$17,0),IF($NP$17="Bell_Curve",$NN$17*(22-$NR$17+1)*($NS$17-22+1)/$NU$17,$NN$17/$NT$17)),0)</f>
        <v/>
      </c>
      <c r="AA17" s="228">
        <f>IF(AND(23&gt;=$NR$17,23&lt;=$NS$17),IF($NP$17="Single_Point",IF(23=$NR$17,$NN$17,0),IF($NP$17="Bell_Curve",$NN$17*(23-$NR$17+1)*($NS$17-23+1)/$NU$17,$NN$17/$NT$17)),0)</f>
        <v/>
      </c>
      <c r="AB17" s="228">
        <f>IF(AND(24&gt;=$NR$17,24&lt;=$NS$17),IF($NP$17="Single_Point",IF(24=$NR$17,$NN$17,0),IF($NP$17="Bell_Curve",$NN$17*(24-$NR$17+1)*($NS$17-24+1)/$NU$17,$NN$17/$NT$17)),0)</f>
        <v/>
      </c>
      <c r="AC17" s="228">
        <f>IF(AND(25&gt;=$NR$17,25&lt;=$NS$17),IF($NP$17="Single_Point",IF(25=$NR$17,$NN$17,0),IF($NP$17="Bell_Curve",$NN$17*(25-$NR$17+1)*($NS$17-25+1)/$NU$17,$NN$17/$NT$17)),0)</f>
        <v/>
      </c>
      <c r="AD17" s="228">
        <f>IF(AND(26&gt;=$NR$17,26&lt;=$NS$17),IF($NP$17="Single_Point",IF(26=$NR$17,$NN$17,0),IF($NP$17="Bell_Curve",$NN$17*(26-$NR$17+1)*($NS$17-26+1)/$NU$17,$NN$17/$NT$17)),0)</f>
        <v/>
      </c>
      <c r="AE17" s="228">
        <f>IF(AND(27&gt;=$NR$17,27&lt;=$NS$17),IF($NP$17="Single_Point",IF(27=$NR$17,$NN$17,0),IF($NP$17="Bell_Curve",$NN$17*(27-$NR$17+1)*($NS$17-27+1)/$NU$17,$NN$17/$NT$17)),0)</f>
        <v/>
      </c>
      <c r="AF17" s="228">
        <f>IF(AND(28&gt;=$NR$17,28&lt;=$NS$17),IF($NP$17="Single_Point",IF(28=$NR$17,$NN$17,0),IF($NP$17="Bell_Curve",$NN$17*(28-$NR$17+1)*($NS$17-28+1)/$NU$17,$NN$17/$NT$17)),0)</f>
        <v/>
      </c>
      <c r="AG17" s="228">
        <f>IF(AND(29&gt;=$NR$17,29&lt;=$NS$17),IF($NP$17="Single_Point",IF(29=$NR$17,$NN$17,0),IF($NP$17="Bell_Curve",$NN$17*(29-$NR$17+1)*($NS$17-29+1)/$NU$17,$NN$17/$NT$17)),0)</f>
        <v/>
      </c>
      <c r="AH17" s="228">
        <f>IF(AND(30&gt;=$NR$17,30&lt;=$NS$17),IF($NP$17="Single_Point",IF(30=$NR$17,$NN$17,0),IF($NP$17="Bell_Curve",$NN$17*(30-$NR$17+1)*($NS$17-30+1)/$NU$17,$NN$17/$NT$17)),0)</f>
        <v/>
      </c>
      <c r="AI17" s="228">
        <f>IF(AND(31&gt;=$NR$17,31&lt;=$NS$17),IF($NP$17="Single_Point",IF(31=$NR$17,$NN$17,0),IF($NP$17="Bell_Curve",$NN$17*(31-$NR$17+1)*($NS$17-31+1)/$NU$17,$NN$17/$NT$17)),0)</f>
        <v/>
      </c>
      <c r="AJ17" s="228">
        <f>IF(AND(32&gt;=$NR$17,32&lt;=$NS$17),IF($NP$17="Single_Point",IF(32=$NR$17,$NN$17,0),IF($NP$17="Bell_Curve",$NN$17*(32-$NR$17+1)*($NS$17-32+1)/$NU$17,$NN$17/$NT$17)),0)</f>
        <v/>
      </c>
      <c r="AK17" s="228">
        <f>IF(AND(33&gt;=$NR$17,33&lt;=$NS$17),IF($NP$17="Single_Point",IF(33=$NR$17,$NN$17,0),IF($NP$17="Bell_Curve",$NN$17*(33-$NR$17+1)*($NS$17-33+1)/$NU$17,$NN$17/$NT$17)),0)</f>
        <v/>
      </c>
      <c r="AL17" s="228">
        <f>IF(AND(34&gt;=$NR$17,34&lt;=$NS$17),IF($NP$17="Single_Point",IF(34=$NR$17,$NN$17,0),IF($NP$17="Bell_Curve",$NN$17*(34-$NR$17+1)*($NS$17-34+1)/$NU$17,$NN$17/$NT$17)),0)</f>
        <v/>
      </c>
      <c r="AM17" s="228">
        <f>IF(AND(35&gt;=$NR$17,35&lt;=$NS$17),IF($NP$17="Single_Point",IF(35=$NR$17,$NN$17,0),IF($NP$17="Bell_Curve",$NN$17*(35-$NR$17+1)*($NS$17-35+1)/$NU$17,$NN$17/$NT$17)),0)</f>
        <v/>
      </c>
      <c r="AN17" s="228">
        <f>IF(AND(36&gt;=$NR$17,36&lt;=$NS$17),IF($NP$17="Single_Point",IF(36=$NR$17,$NN$17,0),IF($NP$17="Bell_Curve",$NN$17*(36-$NR$17+1)*($NS$17-36+1)/$NU$17,$NN$17/$NT$17)),0)</f>
        <v/>
      </c>
      <c r="AO17" s="228">
        <f>IF(AND(37&gt;=$NR$17,37&lt;=$NS$17),IF($NP$17="Single_Point",IF(37=$NR$17,$NN$17,0),IF($NP$17="Bell_Curve",$NN$17*(37-$NR$17+1)*($NS$17-37+1)/$NU$17,$NN$17/$NT$17)),0)</f>
        <v/>
      </c>
      <c r="AP17" s="228">
        <f>IF(AND(38&gt;=$NR$17,38&lt;=$NS$17),IF($NP$17="Single_Point",IF(38=$NR$17,$NN$17,0),IF($NP$17="Bell_Curve",$NN$17*(38-$NR$17+1)*($NS$17-38+1)/$NU$17,$NN$17/$NT$17)),0)</f>
        <v/>
      </c>
      <c r="AQ17" s="228">
        <f>IF(AND(39&gt;=$NR$17,39&lt;=$NS$17),IF($NP$17="Single_Point",IF(39=$NR$17,$NN$17,0),IF($NP$17="Bell_Curve",$NN$17*(39-$NR$17+1)*($NS$17-39+1)/$NU$17,$NN$17/$NT$17)),0)</f>
        <v/>
      </c>
      <c r="AR17" s="228">
        <f>IF(AND(40&gt;=$NR$17,40&lt;=$NS$17),IF($NP$17="Single_Point",IF(40=$NR$17,$NN$17,0),IF($NP$17="Bell_Curve",$NN$17*(40-$NR$17+1)*($NS$17-40+1)/$NU$17,$NN$17/$NT$17)),0)</f>
        <v/>
      </c>
      <c r="AS17" s="228">
        <f>IF(AND(41&gt;=$NR$17,41&lt;=$NS$17),IF($NP$17="Single_Point",IF(41=$NR$17,$NN$17,0),IF($NP$17="Bell_Curve",$NN$17*(41-$NR$17+1)*($NS$17-41+1)/$NU$17,$NN$17/$NT$17)),0)</f>
        <v/>
      </c>
      <c r="AT17" s="228">
        <f>IF(AND(42&gt;=$NR$17,42&lt;=$NS$17),IF($NP$17="Single_Point",IF(42=$NR$17,$NN$17,0),IF($NP$17="Bell_Curve",$NN$17*(42-$NR$17+1)*($NS$17-42+1)/$NU$17,$NN$17/$NT$17)),0)</f>
        <v/>
      </c>
      <c r="AU17" s="228">
        <f>IF(AND(43&gt;=$NR$17,43&lt;=$NS$17),IF($NP$17="Single_Point",IF(43=$NR$17,$NN$17,0),IF($NP$17="Bell_Curve",$NN$17*(43-$NR$17+1)*($NS$17-43+1)/$NU$17,$NN$17/$NT$17)),0)</f>
        <v/>
      </c>
      <c r="AV17" s="228">
        <f>IF(AND(44&gt;=$NR$17,44&lt;=$NS$17),IF($NP$17="Single_Point",IF(44=$NR$17,$NN$17,0),IF($NP$17="Bell_Curve",$NN$17*(44-$NR$17+1)*($NS$17-44+1)/$NU$17,$NN$17/$NT$17)),0)</f>
        <v/>
      </c>
      <c r="AW17" s="228">
        <f>IF(AND(45&gt;=$NR$17,45&lt;=$NS$17),IF($NP$17="Single_Point",IF(45=$NR$17,$NN$17,0),IF($NP$17="Bell_Curve",$NN$17*(45-$NR$17+1)*($NS$17-45+1)/$NU$17,$NN$17/$NT$17)),0)</f>
        <v/>
      </c>
      <c r="AX17" s="228">
        <f>IF(AND(46&gt;=$NR$17,46&lt;=$NS$17),IF($NP$17="Single_Point",IF(46=$NR$17,$NN$17,0),IF($NP$17="Bell_Curve",$NN$17*(46-$NR$17+1)*($NS$17-46+1)/$NU$17,$NN$17/$NT$17)),0)</f>
        <v/>
      </c>
      <c r="AY17" s="228">
        <f>IF(AND(47&gt;=$NR$17,47&lt;=$NS$17),IF($NP$17="Single_Point",IF(47=$NR$17,$NN$17,0),IF($NP$17="Bell_Curve",$NN$17*(47-$NR$17+1)*($NS$17-47+1)/$NU$17,$NN$17/$NT$17)),0)</f>
        <v/>
      </c>
      <c r="AZ17" s="228">
        <f>IF(AND(48&gt;=$NR$17,48&lt;=$NS$17),IF($NP$17="Single_Point",IF(48=$NR$17,$NN$17,0),IF($NP$17="Bell_Curve",$NN$17*(48-$NR$17+1)*($NS$17-48+1)/$NU$17,$NN$17/$NT$17)),0)</f>
        <v/>
      </c>
      <c r="BA17" s="228">
        <f>IF(AND(49&gt;=$NR$17,49&lt;=$NS$17),IF($NP$17="Single_Point",IF(49=$NR$17,$NN$17,0),IF($NP$17="Bell_Curve",$NN$17*(49-$NR$17+1)*($NS$17-49+1)/$NU$17,$NN$17/$NT$17)),0)</f>
        <v/>
      </c>
      <c r="BB17" s="228">
        <f>IF(AND(50&gt;=$NR$17,50&lt;=$NS$17),IF($NP$17="Single_Point",IF(50=$NR$17,$NN$17,0),IF($NP$17="Bell_Curve",$NN$17*(50-$NR$17+1)*($NS$17-50+1)/$NU$17,$NN$17/$NT$17)),0)</f>
        <v/>
      </c>
      <c r="BC17" s="228">
        <f>IF(AND(51&gt;=$NR$17,51&lt;=$NS$17),IF($NP$17="Single_Point",IF(51=$NR$17,$NN$17,0),IF($NP$17="Bell_Curve",$NN$17*(51-$NR$17+1)*($NS$17-51+1)/$NU$17,$NN$17/$NT$17)),0)</f>
        <v/>
      </c>
      <c r="BD17" s="228">
        <f>IF(AND(52&gt;=$NR$17,52&lt;=$NS$17),IF($NP$17="Single_Point",IF(52=$NR$17,$NN$17,0),IF($NP$17="Bell_Curve",$NN$17*(52-$NR$17+1)*($NS$17-52+1)/$NU$17,$NN$17/$NT$17)),0)</f>
        <v/>
      </c>
      <c r="BE17" s="228">
        <f>IF(AND(53&gt;=$NR$17,53&lt;=$NS$17),IF($NP$17="Single_Point",IF(53=$NR$17,$NN$17,0),IF($NP$17="Bell_Curve",$NN$17*(53-$NR$17+1)*($NS$17-53+1)/$NU$17,$NN$17/$NT$17)),0)</f>
        <v/>
      </c>
      <c r="BF17" s="228">
        <f>IF(AND(54&gt;=$NR$17,54&lt;=$NS$17),IF($NP$17="Single_Point",IF(54=$NR$17,$NN$17,0),IF($NP$17="Bell_Curve",$NN$17*(54-$NR$17+1)*($NS$17-54+1)/$NU$17,$NN$17/$NT$17)),0)</f>
        <v/>
      </c>
      <c r="BG17" s="228">
        <f>IF(AND(55&gt;=$NR$17,55&lt;=$NS$17),IF($NP$17="Single_Point",IF(55=$NR$17,$NN$17,0),IF($NP$17="Bell_Curve",$NN$17*(55-$NR$17+1)*($NS$17-55+1)/$NU$17,$NN$17/$NT$17)),0)</f>
        <v/>
      </c>
      <c r="BH17" s="228">
        <f>IF(AND(56&gt;=$NR$17,56&lt;=$NS$17),IF($NP$17="Single_Point",IF(56=$NR$17,$NN$17,0),IF($NP$17="Bell_Curve",$NN$17*(56-$NR$17+1)*($NS$17-56+1)/$NU$17,$NN$17/$NT$17)),0)</f>
        <v/>
      </c>
      <c r="BI17" s="228">
        <f>IF(AND(57&gt;=$NR$17,57&lt;=$NS$17),IF($NP$17="Single_Point",IF(57=$NR$17,$NN$17,0),IF($NP$17="Bell_Curve",$NN$17*(57-$NR$17+1)*($NS$17-57+1)/$NU$17,$NN$17/$NT$17)),0)</f>
        <v/>
      </c>
      <c r="BJ17" s="228">
        <f>IF(AND(58&gt;=$NR$17,58&lt;=$NS$17),IF($NP$17="Single_Point",IF(58=$NR$17,$NN$17,0),IF($NP$17="Bell_Curve",$NN$17*(58-$NR$17+1)*($NS$17-58+1)/$NU$17,$NN$17/$NT$17)),0)</f>
        <v/>
      </c>
      <c r="BK17" s="228">
        <f>IF(AND(59&gt;=$NR$17,59&lt;=$NS$17),IF($NP$17="Single_Point",IF(59=$NR$17,$NN$17,0),IF($NP$17="Bell_Curve",$NN$17*(59-$NR$17+1)*($NS$17-59+1)/$NU$17,$NN$17/$NT$17)),0)</f>
        <v/>
      </c>
      <c r="BL17" s="228">
        <f>IF(AND(60&gt;=$NR$17,60&lt;=$NS$17),IF($NP$17="Single_Point",IF(60=$NR$17,$NN$17,0),IF($NP$17="Bell_Curve",$NN$17*(60-$NR$17+1)*($NS$17-60+1)/$NU$17,$NN$17/$NT$17)),0)</f>
        <v/>
      </c>
      <c r="BM17" s="228">
        <f>IF(AND(61&gt;=$NR$17,61&lt;=$NS$17),IF($NP$17="Single_Point",IF(61=$NR$17,$NN$17,0),IF($NP$17="Bell_Curve",$NN$17*(61-$NR$17+1)*($NS$17-61+1)/$NU$17,$NN$17/$NT$17)),0)</f>
        <v/>
      </c>
      <c r="BN17" s="228">
        <f>IF(AND(62&gt;=$NR$17,62&lt;=$NS$17),IF($NP$17="Single_Point",IF(62=$NR$17,$NN$17,0),IF($NP$17="Bell_Curve",$NN$17*(62-$NR$17+1)*($NS$17-62+1)/$NU$17,$NN$17/$NT$17)),0)</f>
        <v/>
      </c>
      <c r="BO17" s="228">
        <f>IF(AND(63&gt;=$NR$17,63&lt;=$NS$17),IF($NP$17="Single_Point",IF(63=$NR$17,$NN$17,0),IF($NP$17="Bell_Curve",$NN$17*(63-$NR$17+1)*($NS$17-63+1)/$NU$17,$NN$17/$NT$17)),0)</f>
        <v/>
      </c>
      <c r="BP17" s="228">
        <f>IF(AND(64&gt;=$NR$17,64&lt;=$NS$17),IF($NP$17="Single_Point",IF(64=$NR$17,$NN$17,0),IF($NP$17="Bell_Curve",$NN$17*(64-$NR$17+1)*($NS$17-64+1)/$NU$17,$NN$17/$NT$17)),0)</f>
        <v/>
      </c>
      <c r="BQ17" s="228">
        <f>IF(AND(65&gt;=$NR$17,65&lt;=$NS$17),IF($NP$17="Single_Point",IF(65=$NR$17,$NN$17,0),IF($NP$17="Bell_Curve",$NN$17*(65-$NR$17+1)*($NS$17-65+1)/$NU$17,$NN$17/$NT$17)),0)</f>
        <v/>
      </c>
      <c r="BR17" s="228">
        <f>IF(AND(66&gt;=$NR$17,66&lt;=$NS$17),IF($NP$17="Single_Point",IF(66=$NR$17,$NN$17,0),IF($NP$17="Bell_Curve",$NN$17*(66-$NR$17+1)*($NS$17-66+1)/$NU$17,$NN$17/$NT$17)),0)</f>
        <v/>
      </c>
      <c r="BS17" s="228">
        <f>IF(AND(67&gt;=$NR$17,67&lt;=$NS$17),IF($NP$17="Single_Point",IF(67=$NR$17,$NN$17,0),IF($NP$17="Bell_Curve",$NN$17*(67-$NR$17+1)*($NS$17-67+1)/$NU$17,$NN$17/$NT$17)),0)</f>
        <v/>
      </c>
      <c r="BT17" s="228">
        <f>IF(AND(68&gt;=$NR$17,68&lt;=$NS$17),IF($NP$17="Single_Point",IF(68=$NR$17,$NN$17,0),IF($NP$17="Bell_Curve",$NN$17*(68-$NR$17+1)*($NS$17-68+1)/$NU$17,$NN$17/$NT$17)),0)</f>
        <v/>
      </c>
      <c r="BU17" s="228">
        <f>IF(AND(69&gt;=$NR$17,69&lt;=$NS$17),IF($NP$17="Single_Point",IF(69=$NR$17,$NN$17,0),IF($NP$17="Bell_Curve",$NN$17*(69-$NR$17+1)*($NS$17-69+1)/$NU$17,$NN$17/$NT$17)),0)</f>
        <v/>
      </c>
      <c r="BV17" s="228">
        <f>IF(AND(70&gt;=$NR$17,70&lt;=$NS$17),IF($NP$17="Single_Point",IF(70=$NR$17,$NN$17,0),IF($NP$17="Bell_Curve",$NN$17*(70-$NR$17+1)*($NS$17-70+1)/$NU$17,$NN$17/$NT$17)),0)</f>
        <v/>
      </c>
      <c r="BW17" s="228">
        <f>IF(AND(71&gt;=$NR$17,71&lt;=$NS$17),IF($NP$17="Single_Point",IF(71=$NR$17,$NN$17,0),IF($NP$17="Bell_Curve",$NN$17*(71-$NR$17+1)*($NS$17-71+1)/$NU$17,$NN$17/$NT$17)),0)</f>
        <v/>
      </c>
      <c r="BX17" s="228">
        <f>IF(AND(72&gt;=$NR$17,72&lt;=$NS$17),IF($NP$17="Single_Point",IF(72=$NR$17,$NN$17,0),IF($NP$17="Bell_Curve",$NN$17*(72-$NR$17+1)*($NS$17-72+1)/$NU$17,$NN$17/$NT$17)),0)</f>
        <v/>
      </c>
      <c r="BY17" s="228">
        <f>IF(AND(73&gt;=$NR$17,73&lt;=$NS$17),IF($NP$17="Single_Point",IF(73=$NR$17,$NN$17,0),IF($NP$17="Bell_Curve",$NN$17*(73-$NR$17+1)*($NS$17-73+1)/$NU$17,$NN$17/$NT$17)),0)</f>
        <v/>
      </c>
      <c r="BZ17" s="228">
        <f>IF(AND(74&gt;=$NR$17,74&lt;=$NS$17),IF($NP$17="Single_Point",IF(74=$NR$17,$NN$17,0),IF($NP$17="Bell_Curve",$NN$17*(74-$NR$17+1)*($NS$17-74+1)/$NU$17,$NN$17/$NT$17)),0)</f>
        <v/>
      </c>
      <c r="CA17" s="228">
        <f>IF(AND(75&gt;=$NR$17,75&lt;=$NS$17),IF($NP$17="Single_Point",IF(75=$NR$17,$NN$17,0),IF($NP$17="Bell_Curve",$NN$17*(75-$NR$17+1)*($NS$17-75+1)/$NU$17,$NN$17/$NT$17)),0)</f>
        <v/>
      </c>
      <c r="CB17" s="228">
        <f>IF(AND(76&gt;=$NR$17,76&lt;=$NS$17),IF($NP$17="Single_Point",IF(76=$NR$17,$NN$17,0),IF($NP$17="Bell_Curve",$NN$17*(76-$NR$17+1)*($NS$17-76+1)/$NU$17,$NN$17/$NT$17)),0)</f>
        <v/>
      </c>
      <c r="CC17" s="228">
        <f>IF(AND(77&gt;=$NR$17,77&lt;=$NS$17),IF($NP$17="Single_Point",IF(77=$NR$17,$NN$17,0),IF($NP$17="Bell_Curve",$NN$17*(77-$NR$17+1)*($NS$17-77+1)/$NU$17,$NN$17/$NT$17)),0)</f>
        <v/>
      </c>
      <c r="CD17" s="228">
        <f>IF(AND(78&gt;=$NR$17,78&lt;=$NS$17),IF($NP$17="Single_Point",IF(78=$NR$17,$NN$17,0),IF($NP$17="Bell_Curve",$NN$17*(78-$NR$17+1)*($NS$17-78+1)/$NU$17,$NN$17/$NT$17)),0)</f>
        <v/>
      </c>
      <c r="CE17" s="228">
        <f>IF(AND(79&gt;=$NR$17,79&lt;=$NS$17),IF($NP$17="Single_Point",IF(79=$NR$17,$NN$17,0),IF($NP$17="Bell_Curve",$NN$17*(79-$NR$17+1)*($NS$17-79+1)/$NU$17,$NN$17/$NT$17)),0)</f>
        <v/>
      </c>
      <c r="CF17" s="228">
        <f>IF(AND(80&gt;=$NR$17,80&lt;=$NS$17),IF($NP$17="Single_Point",IF(80=$NR$17,$NN$17,0),IF($NP$17="Bell_Curve",$NN$17*(80-$NR$17+1)*($NS$17-80+1)/$NU$17,$NN$17/$NT$17)),0)</f>
        <v/>
      </c>
      <c r="CG17" s="228">
        <f>IF(AND(81&gt;=$NR$17,81&lt;=$NS$17),IF($NP$17="Single_Point",IF(81=$NR$17,$NN$17,0),IF($NP$17="Bell_Curve",$NN$17*(81-$NR$17+1)*($NS$17-81+1)/$NU$17,$NN$17/$NT$17)),0)</f>
        <v/>
      </c>
      <c r="CH17" s="228">
        <f>IF(AND(82&gt;=$NR$17,82&lt;=$NS$17),IF($NP$17="Single_Point",IF(82=$NR$17,$NN$17,0),IF($NP$17="Bell_Curve",$NN$17*(82-$NR$17+1)*($NS$17-82+1)/$NU$17,$NN$17/$NT$17)),0)</f>
        <v/>
      </c>
      <c r="CI17" s="228">
        <f>IF(AND(83&gt;=$NR$17,83&lt;=$NS$17),IF($NP$17="Single_Point",IF(83=$NR$17,$NN$17,0),IF($NP$17="Bell_Curve",$NN$17*(83-$NR$17+1)*($NS$17-83+1)/$NU$17,$NN$17/$NT$17)),0)</f>
        <v/>
      </c>
      <c r="CJ17" s="228">
        <f>IF(AND(84&gt;=$NR$17,84&lt;=$NS$17),IF($NP$17="Single_Point",IF(84=$NR$17,$NN$17,0),IF($NP$17="Bell_Curve",$NN$17*(84-$NR$17+1)*($NS$17-84+1)/$NU$17,$NN$17/$NT$17)),0)</f>
        <v/>
      </c>
      <c r="CK17" s="228">
        <f>IF(AND(85&gt;=$NR$17,85&lt;=$NS$17),IF($NP$17="Single_Point",IF(85=$NR$17,$NN$17,0),IF($NP$17="Bell_Curve",$NN$17*(85-$NR$17+1)*($NS$17-85+1)/$NU$17,$NN$17/$NT$17)),0)</f>
        <v/>
      </c>
      <c r="CL17" s="228">
        <f>IF(AND(86&gt;=$NR$17,86&lt;=$NS$17),IF($NP$17="Single_Point",IF(86=$NR$17,$NN$17,0),IF($NP$17="Bell_Curve",$NN$17*(86-$NR$17+1)*($NS$17-86+1)/$NU$17,$NN$17/$NT$17)),0)</f>
        <v/>
      </c>
      <c r="CM17" s="228">
        <f>IF(AND(87&gt;=$NR$17,87&lt;=$NS$17),IF($NP$17="Single_Point",IF(87=$NR$17,$NN$17,0),IF($NP$17="Bell_Curve",$NN$17*(87-$NR$17+1)*($NS$17-87+1)/$NU$17,$NN$17/$NT$17)),0)</f>
        <v/>
      </c>
      <c r="CN17" s="228">
        <f>IF(AND(88&gt;=$NR$17,88&lt;=$NS$17),IF($NP$17="Single_Point",IF(88=$NR$17,$NN$17,0),IF($NP$17="Bell_Curve",$NN$17*(88-$NR$17+1)*($NS$17-88+1)/$NU$17,$NN$17/$NT$17)),0)</f>
        <v/>
      </c>
      <c r="CO17" s="228">
        <f>IF(AND(89&gt;=$NR$17,89&lt;=$NS$17),IF($NP$17="Single_Point",IF(89=$NR$17,$NN$17,0),IF($NP$17="Bell_Curve",$NN$17*(89-$NR$17+1)*($NS$17-89+1)/$NU$17,$NN$17/$NT$17)),0)</f>
        <v/>
      </c>
      <c r="CP17" s="228">
        <f>IF(AND(90&gt;=$NR$17,90&lt;=$NS$17),IF($NP$17="Single_Point",IF(90=$NR$17,$NN$17,0),IF($NP$17="Bell_Curve",$NN$17*(90-$NR$17+1)*($NS$17-90+1)/$NU$17,$NN$17/$NT$17)),0)</f>
        <v/>
      </c>
      <c r="CQ17" s="228">
        <f>IF(AND(91&gt;=$NR$17,91&lt;=$NS$17),IF($NP$17="Single_Point",IF(91=$NR$17,$NN$17,0),IF($NP$17="Bell_Curve",$NN$17*(91-$NR$17+1)*($NS$17-91+1)/$NU$17,$NN$17/$NT$17)),0)</f>
        <v/>
      </c>
      <c r="CR17" s="228">
        <f>IF(AND(92&gt;=$NR$17,92&lt;=$NS$17),IF($NP$17="Single_Point",IF(92=$NR$17,$NN$17,0),IF($NP$17="Bell_Curve",$NN$17*(92-$NR$17+1)*($NS$17-92+1)/$NU$17,$NN$17/$NT$17)),0)</f>
        <v/>
      </c>
      <c r="CS17" s="228">
        <f>IF(AND(93&gt;=$NR$17,93&lt;=$NS$17),IF($NP$17="Single_Point",IF(93=$NR$17,$NN$17,0),IF($NP$17="Bell_Curve",$NN$17*(93-$NR$17+1)*($NS$17-93+1)/$NU$17,$NN$17/$NT$17)),0)</f>
        <v/>
      </c>
      <c r="CT17" s="228">
        <f>IF(AND(94&gt;=$NR$17,94&lt;=$NS$17),IF($NP$17="Single_Point",IF(94=$NR$17,$NN$17,0),IF($NP$17="Bell_Curve",$NN$17*(94-$NR$17+1)*($NS$17-94+1)/$NU$17,$NN$17/$NT$17)),0)</f>
        <v/>
      </c>
      <c r="CU17" s="228">
        <f>IF(AND(95&gt;=$NR$17,95&lt;=$NS$17),IF($NP$17="Single_Point",IF(95=$NR$17,$NN$17,0),IF($NP$17="Bell_Curve",$NN$17*(95-$NR$17+1)*($NS$17-95+1)/$NU$17,$NN$17/$NT$17)),0)</f>
        <v/>
      </c>
      <c r="CV17" s="228">
        <f>IF(AND(96&gt;=$NR$17,96&lt;=$NS$17),IF($NP$17="Single_Point",IF(96=$NR$17,$NN$17,0),IF($NP$17="Bell_Curve",$NN$17*(96-$NR$17+1)*($NS$17-96+1)/$NU$17,$NN$17/$NT$17)),0)</f>
        <v/>
      </c>
      <c r="CW17" s="228">
        <f>IF(AND(97&gt;=$NR$17,97&lt;=$NS$17),IF($NP$17="Single_Point",IF(97=$NR$17,$NN$17,0),IF($NP$17="Bell_Curve",$NN$17*(97-$NR$17+1)*($NS$17-97+1)/$NU$17,$NN$17/$NT$17)),0)</f>
        <v/>
      </c>
      <c r="CX17" s="228">
        <f>IF(AND(98&gt;=$NR$17,98&lt;=$NS$17),IF($NP$17="Single_Point",IF(98=$NR$17,$NN$17,0),IF($NP$17="Bell_Curve",$NN$17*(98-$NR$17+1)*($NS$17-98+1)/$NU$17,$NN$17/$NT$17)),0)</f>
        <v/>
      </c>
      <c r="CY17" s="228">
        <f>IF(AND(99&gt;=$NR$17,99&lt;=$NS$17),IF($NP$17="Single_Point",IF(99=$NR$17,$NN$17,0),IF($NP$17="Bell_Curve",$NN$17*(99-$NR$17+1)*($NS$17-99+1)/$NU$17,$NN$17/$NT$17)),0)</f>
        <v/>
      </c>
      <c r="CZ17" s="228">
        <f>IF(AND(100&gt;=$NR$17,100&lt;=$NS$17),IF($NP$17="Single_Point",IF(100=$NR$17,$NN$17,0),IF($NP$17="Bell_Curve",$NN$17*(100-$NR$17+1)*($NS$17-100+1)/$NU$17,$NN$17/$NT$17)),0)</f>
        <v/>
      </c>
      <c r="DA17" s="228">
        <f>IF(AND(101&gt;=$NR$17,101&lt;=$NS$17),IF($NP$17="Single_Point",IF(101=$NR$17,$NN$17,0),IF($NP$17="Bell_Curve",$NN$17*(101-$NR$17+1)*($NS$17-101+1)/$NU$17,$NN$17/$NT$17)),0)</f>
        <v/>
      </c>
      <c r="DB17" s="228">
        <f>IF(AND(102&gt;=$NR$17,102&lt;=$NS$17),IF($NP$17="Single_Point",IF(102=$NR$17,$NN$17,0),IF($NP$17="Bell_Curve",$NN$17*(102-$NR$17+1)*($NS$17-102+1)/$NU$17,$NN$17/$NT$17)),0)</f>
        <v/>
      </c>
      <c r="DC17" s="228">
        <f>IF(AND(103&gt;=$NR$17,103&lt;=$NS$17),IF($NP$17="Single_Point",IF(103=$NR$17,$NN$17,0),IF($NP$17="Bell_Curve",$NN$17*(103-$NR$17+1)*($NS$17-103+1)/$NU$17,$NN$17/$NT$17)),0)</f>
        <v/>
      </c>
      <c r="DD17" s="228">
        <f>IF(AND(104&gt;=$NR$17,104&lt;=$NS$17),IF($NP$17="Single_Point",IF(104=$NR$17,$NN$17,0),IF($NP$17="Bell_Curve",$NN$17*(104-$NR$17+1)*($NS$17-104+1)/$NU$17,$NN$17/$NT$17)),0)</f>
        <v/>
      </c>
      <c r="DE17" s="228">
        <f>IF(AND(105&gt;=$NR$17,105&lt;=$NS$17),IF($NP$17="Single_Point",IF(105=$NR$17,$NN$17,0),IF($NP$17="Bell_Curve",$NN$17*(105-$NR$17+1)*($NS$17-105+1)/$NU$17,$NN$17/$NT$17)),0)</f>
        <v/>
      </c>
      <c r="DF17" s="228">
        <f>IF(AND(106&gt;=$NR$17,106&lt;=$NS$17),IF($NP$17="Single_Point",IF(106=$NR$17,$NN$17,0),IF($NP$17="Bell_Curve",$NN$17*(106-$NR$17+1)*($NS$17-106+1)/$NU$17,$NN$17/$NT$17)),0)</f>
        <v/>
      </c>
      <c r="DG17" s="228">
        <f>IF(AND(107&gt;=$NR$17,107&lt;=$NS$17),IF($NP$17="Single_Point",IF(107=$NR$17,$NN$17,0),IF($NP$17="Bell_Curve",$NN$17*(107-$NR$17+1)*($NS$17-107+1)/$NU$17,$NN$17/$NT$17)),0)</f>
        <v/>
      </c>
      <c r="DH17" s="228">
        <f>IF(AND(108&gt;=$NR$17,108&lt;=$NS$17),IF($NP$17="Single_Point",IF(108=$NR$17,$NN$17,0),IF($NP$17="Bell_Curve",$NN$17*(108-$NR$17+1)*($NS$17-108+1)/$NU$17,$NN$17/$NT$17)),0)</f>
        <v/>
      </c>
      <c r="DI17" s="228">
        <f>IF(AND(109&gt;=$NR$17,109&lt;=$NS$17),IF($NP$17="Single_Point",IF(109=$NR$17,$NN$17,0),IF($NP$17="Bell_Curve",$NN$17*(109-$NR$17+1)*($NS$17-109+1)/$NU$17,$NN$17/$NT$17)),0)</f>
        <v/>
      </c>
      <c r="DJ17" s="228">
        <f>IF(AND(110&gt;=$NR$17,110&lt;=$NS$17),IF($NP$17="Single_Point",IF(110=$NR$17,$NN$17,0),IF($NP$17="Bell_Curve",$NN$17*(110-$NR$17+1)*($NS$17-110+1)/$NU$17,$NN$17/$NT$17)),0)</f>
        <v/>
      </c>
      <c r="DK17" s="228">
        <f>IF(AND(111&gt;=$NR$17,111&lt;=$NS$17),IF($NP$17="Single_Point",IF(111=$NR$17,$NN$17,0),IF($NP$17="Bell_Curve",$NN$17*(111-$NR$17+1)*($NS$17-111+1)/$NU$17,$NN$17/$NT$17)),0)</f>
        <v/>
      </c>
      <c r="DL17" s="228">
        <f>IF(AND(112&gt;=$NR$17,112&lt;=$NS$17),IF($NP$17="Single_Point",IF(112=$NR$17,$NN$17,0),IF($NP$17="Bell_Curve",$NN$17*(112-$NR$17+1)*($NS$17-112+1)/$NU$17,$NN$17/$NT$17)),0)</f>
        <v/>
      </c>
      <c r="DM17" s="228">
        <f>IF(AND(113&gt;=$NR$17,113&lt;=$NS$17),IF($NP$17="Single_Point",IF(113=$NR$17,$NN$17,0),IF($NP$17="Bell_Curve",$NN$17*(113-$NR$17+1)*($NS$17-113+1)/$NU$17,$NN$17/$NT$17)),0)</f>
        <v/>
      </c>
      <c r="DN17" s="228">
        <f>IF(AND(114&gt;=$NR$17,114&lt;=$NS$17),IF($NP$17="Single_Point",IF(114=$NR$17,$NN$17,0),IF($NP$17="Bell_Curve",$NN$17*(114-$NR$17+1)*($NS$17-114+1)/$NU$17,$NN$17/$NT$17)),0)</f>
        <v/>
      </c>
      <c r="DO17" s="228">
        <f>IF(AND(115&gt;=$NR$17,115&lt;=$NS$17),IF($NP$17="Single_Point",IF(115=$NR$17,$NN$17,0),IF($NP$17="Bell_Curve",$NN$17*(115-$NR$17+1)*($NS$17-115+1)/$NU$17,$NN$17/$NT$17)),0)</f>
        <v/>
      </c>
      <c r="DP17" s="228">
        <f>IF(AND(116&gt;=$NR$17,116&lt;=$NS$17),IF($NP$17="Single_Point",IF(116=$NR$17,$NN$17,0),IF($NP$17="Bell_Curve",$NN$17*(116-$NR$17+1)*($NS$17-116+1)/$NU$17,$NN$17/$NT$17)),0)</f>
        <v/>
      </c>
      <c r="DQ17" s="228">
        <f>IF(AND(117&gt;=$NR$17,117&lt;=$NS$17),IF($NP$17="Single_Point",IF(117=$NR$17,$NN$17,0),IF($NP$17="Bell_Curve",$NN$17*(117-$NR$17+1)*($NS$17-117+1)/$NU$17,$NN$17/$NT$17)),0)</f>
        <v/>
      </c>
      <c r="DR17" s="228">
        <f>IF(AND(118&gt;=$NR$17,118&lt;=$NS$17),IF($NP$17="Single_Point",IF(118=$NR$17,$NN$17,0),IF($NP$17="Bell_Curve",$NN$17*(118-$NR$17+1)*($NS$17-118+1)/$NU$17,$NN$17/$NT$17)),0)</f>
        <v/>
      </c>
      <c r="DS17" s="228">
        <f>IF(AND(119&gt;=$NR$17,119&lt;=$NS$17),IF($NP$17="Single_Point",IF(119=$NR$17,$NN$17,0),IF($NP$17="Bell_Curve",$NN$17*(119-$NR$17+1)*($NS$17-119+1)/$NU$17,$NN$17/$NT$17)),0)</f>
        <v/>
      </c>
      <c r="DT17" s="228">
        <f>IF(AND(120&gt;=$NR$17,120&lt;=$NS$17),IF($NP$17="Single_Point",IF(120=$NR$17,$NN$17,0),IF($NP$17="Bell_Curve",$NN$17*(120-$NR$17+1)*($NS$17-120+1)/$NU$17,$NN$17/$NT$17)),0)</f>
        <v/>
      </c>
      <c r="DU17" s="228">
        <f>IF(AND(121&gt;=$NR$17,121&lt;=$NS$17),IF($NP$17="Single_Point",IF(121=$NR$17,$NN$17,0),IF($NP$17="Bell_Curve",$NN$17*(121-$NR$17+1)*($NS$17-121+1)/$NU$17,$NN$17/$NT$17)),0)</f>
        <v/>
      </c>
      <c r="DV17" s="228">
        <f>IF(AND(122&gt;=$NR$17,122&lt;=$NS$17),IF($NP$17="Single_Point",IF(122=$NR$17,$NN$17,0),IF($NP$17="Bell_Curve",$NN$17*(122-$NR$17+1)*($NS$17-122+1)/$NU$17,$NN$17/$NT$17)),0)</f>
        <v/>
      </c>
      <c r="DW17" s="228">
        <f>IF(AND(123&gt;=$NR$17,123&lt;=$NS$17),IF($NP$17="Single_Point",IF(123=$NR$17,$NN$17,0),IF($NP$17="Bell_Curve",$NN$17*(123-$NR$17+1)*($NS$17-123+1)/$NU$17,$NN$17/$NT$17)),0)</f>
        <v/>
      </c>
      <c r="DX17" s="228">
        <f>IF(AND(124&gt;=$NR$17,124&lt;=$NS$17),IF($NP$17="Single_Point",IF(124=$NR$17,$NN$17,0),IF($NP$17="Bell_Curve",$NN$17*(124-$NR$17+1)*($NS$17-124+1)/$NU$17,$NN$17/$NT$17)),0)</f>
        <v/>
      </c>
      <c r="DY17" s="228">
        <f>IF(AND(125&gt;=$NR$17,125&lt;=$NS$17),IF($NP$17="Single_Point",IF(125=$NR$17,$NN$17,0),IF($NP$17="Bell_Curve",$NN$17*(125-$NR$17+1)*($NS$17-125+1)/$NU$17,$NN$17/$NT$17)),0)</f>
        <v/>
      </c>
      <c r="DZ17" s="228">
        <f>IF(AND(126&gt;=$NR$17,126&lt;=$NS$17),IF($NP$17="Single_Point",IF(126=$NR$17,$NN$17,0),IF($NP$17="Bell_Curve",$NN$17*(126-$NR$17+1)*($NS$17-126+1)/$NU$17,$NN$17/$NT$17)),0)</f>
        <v/>
      </c>
      <c r="EA17" s="228">
        <f>IF(AND(127&gt;=$NR$17,127&lt;=$NS$17),IF($NP$17="Single_Point",IF(127=$NR$17,$NN$17,0),IF($NP$17="Bell_Curve",$NN$17*(127-$NR$17+1)*($NS$17-127+1)/$NU$17,$NN$17/$NT$17)),0)</f>
        <v/>
      </c>
      <c r="EB17" s="228">
        <f>IF(AND(128&gt;=$NR$17,128&lt;=$NS$17),IF($NP$17="Single_Point",IF(128=$NR$17,$NN$17,0),IF($NP$17="Bell_Curve",$NN$17*(128-$NR$17+1)*($NS$17-128+1)/$NU$17,$NN$17/$NT$17)),0)</f>
        <v/>
      </c>
      <c r="EC17" s="228">
        <f>IF(AND(129&gt;=$NR$17,129&lt;=$NS$17),IF($NP$17="Single_Point",IF(129=$NR$17,$NN$17,0),IF($NP$17="Bell_Curve",$NN$17*(129-$NR$17+1)*($NS$17-129+1)/$NU$17,$NN$17/$NT$17)),0)</f>
        <v/>
      </c>
      <c r="ED17" s="228">
        <f>IF(AND(130&gt;=$NR$17,130&lt;=$NS$17),IF($NP$17="Single_Point",IF(130=$NR$17,$NN$17,0),IF($NP$17="Bell_Curve",$NN$17*(130-$NR$17+1)*($NS$17-130+1)/$NU$17,$NN$17/$NT$17)),0)</f>
        <v/>
      </c>
      <c r="EE17" s="228">
        <f>IF(AND(131&gt;=$NR$17,131&lt;=$NS$17),IF($NP$17="Single_Point",IF(131=$NR$17,$NN$17,0),IF($NP$17="Bell_Curve",$NN$17*(131-$NR$17+1)*($NS$17-131+1)/$NU$17,$NN$17/$NT$17)),0)</f>
        <v/>
      </c>
      <c r="EF17" s="228">
        <f>IF(AND(132&gt;=$NR$17,132&lt;=$NS$17),IF($NP$17="Single_Point",IF(132=$NR$17,$NN$17,0),IF($NP$17="Bell_Curve",$NN$17*(132-$NR$17+1)*($NS$17-132+1)/$NU$17,$NN$17/$NT$17)),0)</f>
        <v/>
      </c>
      <c r="EG17" s="228">
        <f>IF(AND(133&gt;=$NR$17,133&lt;=$NS$17),IF($NP$17="Single_Point",IF(133=$NR$17,$NN$17,0),IF($NP$17="Bell_Curve",$NN$17*(133-$NR$17+1)*($NS$17-133+1)/$NU$17,$NN$17/$NT$17)),0)</f>
        <v/>
      </c>
      <c r="EH17" s="228">
        <f>IF(AND(134&gt;=$NR$17,134&lt;=$NS$17),IF($NP$17="Single_Point",IF(134=$NR$17,$NN$17,0),IF($NP$17="Bell_Curve",$NN$17*(134-$NR$17+1)*($NS$17-134+1)/$NU$17,$NN$17/$NT$17)),0)</f>
        <v/>
      </c>
      <c r="EI17" s="228">
        <f>IF(AND(135&gt;=$NR$17,135&lt;=$NS$17),IF($NP$17="Single_Point",IF(135=$NR$17,$NN$17,0),IF($NP$17="Bell_Curve",$NN$17*(135-$NR$17+1)*($NS$17-135+1)/$NU$17,$NN$17/$NT$17)),0)</f>
        <v/>
      </c>
      <c r="EJ17" s="228">
        <f>IF(AND(136&gt;=$NR$17,136&lt;=$NS$17),IF($NP$17="Single_Point",IF(136=$NR$17,$NN$17,0),IF($NP$17="Bell_Curve",$NN$17*(136-$NR$17+1)*($NS$17-136+1)/$NU$17,$NN$17/$NT$17)),0)</f>
        <v/>
      </c>
      <c r="EK17" s="228">
        <f>IF(AND(137&gt;=$NR$17,137&lt;=$NS$17),IF($NP$17="Single_Point",IF(137=$NR$17,$NN$17,0),IF($NP$17="Bell_Curve",$NN$17*(137-$NR$17+1)*($NS$17-137+1)/$NU$17,$NN$17/$NT$17)),0)</f>
        <v/>
      </c>
      <c r="EL17" s="228">
        <f>IF(AND(138&gt;=$NR$17,138&lt;=$NS$17),IF($NP$17="Single_Point",IF(138=$NR$17,$NN$17,0),IF($NP$17="Bell_Curve",$NN$17*(138-$NR$17+1)*($NS$17-138+1)/$NU$17,$NN$17/$NT$17)),0)</f>
        <v/>
      </c>
      <c r="EM17" s="228">
        <f>IF(AND(139&gt;=$NR$17,139&lt;=$NS$17),IF($NP$17="Single_Point",IF(139=$NR$17,$NN$17,0),IF($NP$17="Bell_Curve",$NN$17*(139-$NR$17+1)*($NS$17-139+1)/$NU$17,$NN$17/$NT$17)),0)</f>
        <v/>
      </c>
      <c r="EN17" s="228">
        <f>IF(AND(140&gt;=$NR$17,140&lt;=$NS$17),IF($NP$17="Single_Point",IF(140=$NR$17,$NN$17,0),IF($NP$17="Bell_Curve",$NN$17*(140-$NR$17+1)*($NS$17-140+1)/$NU$17,$NN$17/$NT$17)),0)</f>
        <v/>
      </c>
      <c r="EO17" s="228">
        <f>IF(AND(141&gt;=$NR$17,141&lt;=$NS$17),IF($NP$17="Single_Point",IF(141=$NR$17,$NN$17,0),IF($NP$17="Bell_Curve",$NN$17*(141-$NR$17+1)*($NS$17-141+1)/$NU$17,$NN$17/$NT$17)),0)</f>
        <v/>
      </c>
      <c r="EP17" s="228">
        <f>IF(AND(142&gt;=$NR$17,142&lt;=$NS$17),IF($NP$17="Single_Point",IF(142=$NR$17,$NN$17,0),IF($NP$17="Bell_Curve",$NN$17*(142-$NR$17+1)*($NS$17-142+1)/$NU$17,$NN$17/$NT$17)),0)</f>
        <v/>
      </c>
      <c r="EQ17" s="228">
        <f>IF(AND(143&gt;=$NR$17,143&lt;=$NS$17),IF($NP$17="Single_Point",IF(143=$NR$17,$NN$17,0),IF($NP$17="Bell_Curve",$NN$17*(143-$NR$17+1)*($NS$17-143+1)/$NU$17,$NN$17/$NT$17)),0)</f>
        <v/>
      </c>
      <c r="ER17" s="228">
        <f>IF(AND(144&gt;=$NR$17,144&lt;=$NS$17),IF($NP$17="Single_Point",IF(144=$NR$17,$NN$17,0),IF($NP$17="Bell_Curve",$NN$17*(144-$NR$17+1)*($NS$17-144+1)/$NU$17,$NN$17/$NT$17)),0)</f>
        <v/>
      </c>
      <c r="ES17" s="228">
        <f>IF(AND(145&gt;=$NR$17,145&lt;=$NS$17),IF($NP$17="Single_Point",IF(145=$NR$17,$NN$17,0),IF($NP$17="Bell_Curve",$NN$17*(145-$NR$17+1)*($NS$17-145+1)/$NU$17,$NN$17/$NT$17)),0)</f>
        <v/>
      </c>
      <c r="ET17" s="228">
        <f>IF(AND(146&gt;=$NR$17,146&lt;=$NS$17),IF($NP$17="Single_Point",IF(146=$NR$17,$NN$17,0),IF($NP$17="Bell_Curve",$NN$17*(146-$NR$17+1)*($NS$17-146+1)/$NU$17,$NN$17/$NT$17)),0)</f>
        <v/>
      </c>
      <c r="EU17" s="228">
        <f>IF(AND(147&gt;=$NR$17,147&lt;=$NS$17),IF($NP$17="Single_Point",IF(147=$NR$17,$NN$17,0),IF($NP$17="Bell_Curve",$NN$17*(147-$NR$17+1)*($NS$17-147+1)/$NU$17,$NN$17/$NT$17)),0)</f>
        <v/>
      </c>
      <c r="EV17" s="228">
        <f>IF(AND(148&gt;=$NR$17,148&lt;=$NS$17),IF($NP$17="Single_Point",IF(148=$NR$17,$NN$17,0),IF($NP$17="Bell_Curve",$NN$17*(148-$NR$17+1)*($NS$17-148+1)/$NU$17,$NN$17/$NT$17)),0)</f>
        <v/>
      </c>
      <c r="EW17" s="228">
        <f>IF(AND(149&gt;=$NR$17,149&lt;=$NS$17),IF($NP$17="Single_Point",IF(149=$NR$17,$NN$17,0),IF($NP$17="Bell_Curve",$NN$17*(149-$NR$17+1)*($NS$17-149+1)/$NU$17,$NN$17/$NT$17)),0)</f>
        <v/>
      </c>
      <c r="EX17" s="228">
        <f>IF(AND(150&gt;=$NR$17,150&lt;=$NS$17),IF($NP$17="Single_Point",IF(150=$NR$17,$NN$17,0),IF($NP$17="Bell_Curve",$NN$17*(150-$NR$17+1)*($NS$17-150+1)/$NU$17,$NN$17/$NT$17)),0)</f>
        <v/>
      </c>
      <c r="EY17" s="228">
        <f>IF(AND(151&gt;=$NR$17,151&lt;=$NS$17),IF($NP$17="Single_Point",IF(151=$NR$17,$NN$17,0),IF($NP$17="Bell_Curve",$NN$17*(151-$NR$17+1)*($NS$17-151+1)/$NU$17,$NN$17/$NT$17)),0)</f>
        <v/>
      </c>
      <c r="EZ17" s="228">
        <f>IF(AND(152&gt;=$NR$17,152&lt;=$NS$17),IF($NP$17="Single_Point",IF(152=$NR$17,$NN$17,0),IF($NP$17="Bell_Curve",$NN$17*(152-$NR$17+1)*($NS$17-152+1)/$NU$17,$NN$17/$NT$17)),0)</f>
        <v/>
      </c>
      <c r="FA17" s="228">
        <f>IF(AND(153&gt;=$NR$17,153&lt;=$NS$17),IF($NP$17="Single_Point",IF(153=$NR$17,$NN$17,0),IF($NP$17="Bell_Curve",$NN$17*(153-$NR$17+1)*($NS$17-153+1)/$NU$17,$NN$17/$NT$17)),0)</f>
        <v/>
      </c>
      <c r="FB17" s="228">
        <f>IF(AND(154&gt;=$NR$17,154&lt;=$NS$17),IF($NP$17="Single_Point",IF(154=$NR$17,$NN$17,0),IF($NP$17="Bell_Curve",$NN$17*(154-$NR$17+1)*($NS$17-154+1)/$NU$17,$NN$17/$NT$17)),0)</f>
        <v/>
      </c>
      <c r="FC17" s="228">
        <f>IF(AND(155&gt;=$NR$17,155&lt;=$NS$17),IF($NP$17="Single_Point",IF(155=$NR$17,$NN$17,0),IF($NP$17="Bell_Curve",$NN$17*(155-$NR$17+1)*($NS$17-155+1)/$NU$17,$NN$17/$NT$17)),0)</f>
        <v/>
      </c>
      <c r="FD17" s="228">
        <f>IF(AND(156&gt;=$NR$17,156&lt;=$NS$17),IF($NP$17="Single_Point",IF(156=$NR$17,$NN$17,0),IF($NP$17="Bell_Curve",$NN$17*(156-$NR$17+1)*($NS$17-156+1)/$NU$17,$NN$17/$NT$17)),0)</f>
        <v/>
      </c>
      <c r="FE17" s="228">
        <f>IF(AND(157&gt;=$NR$17,157&lt;=$NS$17),IF($NP$17="Single_Point",IF(157=$NR$17,$NN$17,0),IF($NP$17="Bell_Curve",$NN$17*(157-$NR$17+1)*($NS$17-157+1)/$NU$17,$NN$17/$NT$17)),0)</f>
        <v/>
      </c>
      <c r="FF17" s="228">
        <f>IF(AND(158&gt;=$NR$17,158&lt;=$NS$17),IF($NP$17="Single_Point",IF(158=$NR$17,$NN$17,0),IF($NP$17="Bell_Curve",$NN$17*(158-$NR$17+1)*($NS$17-158+1)/$NU$17,$NN$17/$NT$17)),0)</f>
        <v/>
      </c>
      <c r="FG17" s="228">
        <f>IF(AND(159&gt;=$NR$17,159&lt;=$NS$17),IF($NP$17="Single_Point",IF(159=$NR$17,$NN$17,0),IF($NP$17="Bell_Curve",$NN$17*(159-$NR$17+1)*($NS$17-159+1)/$NU$17,$NN$17/$NT$17)),0)</f>
        <v/>
      </c>
      <c r="FH17" s="228">
        <f>IF(AND(160&gt;=$NR$17,160&lt;=$NS$17),IF($NP$17="Single_Point",IF(160=$NR$17,$NN$17,0),IF($NP$17="Bell_Curve",$NN$17*(160-$NR$17+1)*($NS$17-160+1)/$NU$17,$NN$17/$NT$17)),0)</f>
        <v/>
      </c>
      <c r="FI17" s="228">
        <f>IF(AND(161&gt;=$NR$17,161&lt;=$NS$17),IF($NP$17="Single_Point",IF(161=$NR$17,$NN$17,0),IF($NP$17="Bell_Curve",$NN$17*(161-$NR$17+1)*($NS$17-161+1)/$NU$17,$NN$17/$NT$17)),0)</f>
        <v/>
      </c>
      <c r="FJ17" s="228">
        <f>IF(AND(162&gt;=$NR$17,162&lt;=$NS$17),IF($NP$17="Single_Point",IF(162=$NR$17,$NN$17,0),IF($NP$17="Bell_Curve",$NN$17*(162-$NR$17+1)*($NS$17-162+1)/$NU$17,$NN$17/$NT$17)),0)</f>
        <v/>
      </c>
      <c r="FK17" s="228">
        <f>IF(AND(163&gt;=$NR$17,163&lt;=$NS$17),IF($NP$17="Single_Point",IF(163=$NR$17,$NN$17,0),IF($NP$17="Bell_Curve",$NN$17*(163-$NR$17+1)*($NS$17-163+1)/$NU$17,$NN$17/$NT$17)),0)</f>
        <v/>
      </c>
      <c r="FL17" s="228">
        <f>IF(AND(164&gt;=$NR$17,164&lt;=$NS$17),IF($NP$17="Single_Point",IF(164=$NR$17,$NN$17,0),IF($NP$17="Bell_Curve",$NN$17*(164-$NR$17+1)*($NS$17-164+1)/$NU$17,$NN$17/$NT$17)),0)</f>
        <v/>
      </c>
      <c r="FM17" s="228">
        <f>IF(AND(165&gt;=$NR$17,165&lt;=$NS$17),IF($NP$17="Single_Point",IF(165=$NR$17,$NN$17,0),IF($NP$17="Bell_Curve",$NN$17*(165-$NR$17+1)*($NS$17-165+1)/$NU$17,$NN$17/$NT$17)),0)</f>
        <v/>
      </c>
      <c r="FN17" s="228">
        <f>IF(AND(166&gt;=$NR$17,166&lt;=$NS$17),IF($NP$17="Single_Point",IF(166=$NR$17,$NN$17,0),IF($NP$17="Bell_Curve",$NN$17*(166-$NR$17+1)*($NS$17-166+1)/$NU$17,$NN$17/$NT$17)),0)</f>
        <v/>
      </c>
      <c r="FO17" s="228">
        <f>IF(AND(167&gt;=$NR$17,167&lt;=$NS$17),IF($NP$17="Single_Point",IF(167=$NR$17,$NN$17,0),IF($NP$17="Bell_Curve",$NN$17*(167-$NR$17+1)*($NS$17-167+1)/$NU$17,$NN$17/$NT$17)),0)</f>
        <v/>
      </c>
      <c r="FP17" s="228">
        <f>IF(AND(168&gt;=$NR$17,168&lt;=$NS$17),IF($NP$17="Single_Point",IF(168=$NR$17,$NN$17,0),IF($NP$17="Bell_Curve",$NN$17*(168-$NR$17+1)*($NS$17-168+1)/$NU$17,$NN$17/$NT$17)),0)</f>
        <v/>
      </c>
      <c r="FQ17" s="228">
        <f>IF(AND(169&gt;=$NR$17,169&lt;=$NS$17),IF($NP$17="Single_Point",IF(169=$NR$17,$NN$17,0),IF($NP$17="Bell_Curve",$NN$17*(169-$NR$17+1)*($NS$17-169+1)/$NU$17,$NN$17/$NT$17)),0)</f>
        <v/>
      </c>
      <c r="FR17" s="228">
        <f>IF(AND(170&gt;=$NR$17,170&lt;=$NS$17),IF($NP$17="Single_Point",IF(170=$NR$17,$NN$17,0),IF($NP$17="Bell_Curve",$NN$17*(170-$NR$17+1)*($NS$17-170+1)/$NU$17,$NN$17/$NT$17)),0)</f>
        <v/>
      </c>
      <c r="FS17" s="228">
        <f>IF(AND(171&gt;=$NR$17,171&lt;=$NS$17),IF($NP$17="Single_Point",IF(171=$NR$17,$NN$17,0),IF($NP$17="Bell_Curve",$NN$17*(171-$NR$17+1)*($NS$17-171+1)/$NU$17,$NN$17/$NT$17)),0)</f>
        <v/>
      </c>
      <c r="FT17" s="228">
        <f>IF(AND(172&gt;=$NR$17,172&lt;=$NS$17),IF($NP$17="Single_Point",IF(172=$NR$17,$NN$17,0),IF($NP$17="Bell_Curve",$NN$17*(172-$NR$17+1)*($NS$17-172+1)/$NU$17,$NN$17/$NT$17)),0)</f>
        <v/>
      </c>
      <c r="FU17" s="228">
        <f>IF(AND(173&gt;=$NR$17,173&lt;=$NS$17),IF($NP$17="Single_Point",IF(173=$NR$17,$NN$17,0),IF($NP$17="Bell_Curve",$NN$17*(173-$NR$17+1)*($NS$17-173+1)/$NU$17,$NN$17/$NT$17)),0)</f>
        <v/>
      </c>
      <c r="FV17" s="228">
        <f>IF(AND(174&gt;=$NR$17,174&lt;=$NS$17),IF($NP$17="Single_Point",IF(174=$NR$17,$NN$17,0),IF($NP$17="Bell_Curve",$NN$17*(174-$NR$17+1)*($NS$17-174+1)/$NU$17,$NN$17/$NT$17)),0)</f>
        <v/>
      </c>
      <c r="FW17" s="228">
        <f>IF(AND(175&gt;=$NR$17,175&lt;=$NS$17),IF($NP$17="Single_Point",IF(175=$NR$17,$NN$17,0),IF($NP$17="Bell_Curve",$NN$17*(175-$NR$17+1)*($NS$17-175+1)/$NU$17,$NN$17/$NT$17)),0)</f>
        <v/>
      </c>
      <c r="FX17" s="228">
        <f>IF(AND(176&gt;=$NR$17,176&lt;=$NS$17),IF($NP$17="Single_Point",IF(176=$NR$17,$NN$17,0),IF($NP$17="Bell_Curve",$NN$17*(176-$NR$17+1)*($NS$17-176+1)/$NU$17,$NN$17/$NT$17)),0)</f>
        <v/>
      </c>
      <c r="FY17" s="228">
        <f>IF(AND(177&gt;=$NR$17,177&lt;=$NS$17),IF($NP$17="Single_Point",IF(177=$NR$17,$NN$17,0),IF($NP$17="Bell_Curve",$NN$17*(177-$NR$17+1)*($NS$17-177+1)/$NU$17,$NN$17/$NT$17)),0)</f>
        <v/>
      </c>
      <c r="FZ17" s="228">
        <f>IF(AND(178&gt;=$NR$17,178&lt;=$NS$17),IF($NP$17="Single_Point",IF(178=$NR$17,$NN$17,0),IF($NP$17="Bell_Curve",$NN$17*(178-$NR$17+1)*($NS$17-178+1)/$NU$17,$NN$17/$NT$17)),0)</f>
        <v/>
      </c>
      <c r="GA17" s="228">
        <f>IF(AND(179&gt;=$NR$17,179&lt;=$NS$17),IF($NP$17="Single_Point",IF(179=$NR$17,$NN$17,0),IF($NP$17="Bell_Curve",$NN$17*(179-$NR$17+1)*($NS$17-179+1)/$NU$17,$NN$17/$NT$17)),0)</f>
        <v/>
      </c>
      <c r="GB17" s="228">
        <f>IF(AND(180&gt;=$NR$17,180&lt;=$NS$17),IF($NP$17="Single_Point",IF(180=$NR$17,$NN$17,0),IF($NP$17="Bell_Curve",$NN$17*(180-$NR$17+1)*($NS$17-180+1)/$NU$17,$NN$17/$NT$17)),0)</f>
        <v/>
      </c>
      <c r="GC17" s="228">
        <f>IF(AND(181&gt;=$NR$17,181&lt;=$NS$17),IF($NP$17="Single_Point",IF(181=$NR$17,$NN$17,0),IF($NP$17="Bell_Curve",$NN$17*(181-$NR$17+1)*($NS$17-181+1)/$NU$17,$NN$17/$NT$17)),0)</f>
        <v/>
      </c>
      <c r="GD17" s="228">
        <f>IF(AND(182&gt;=$NR$17,182&lt;=$NS$17),IF($NP$17="Single_Point",IF(182=$NR$17,$NN$17,0),IF($NP$17="Bell_Curve",$NN$17*(182-$NR$17+1)*($NS$17-182+1)/$NU$17,$NN$17/$NT$17)),0)</f>
        <v/>
      </c>
      <c r="GE17" s="228">
        <f>IF(AND(183&gt;=$NR$17,183&lt;=$NS$17),IF($NP$17="Single_Point",IF(183=$NR$17,$NN$17,0),IF($NP$17="Bell_Curve",$NN$17*(183-$NR$17+1)*($NS$17-183+1)/$NU$17,$NN$17/$NT$17)),0)</f>
        <v/>
      </c>
      <c r="GF17" s="228">
        <f>IF(AND(184&gt;=$NR$17,184&lt;=$NS$17),IF($NP$17="Single_Point",IF(184=$NR$17,$NN$17,0),IF($NP$17="Bell_Curve",$NN$17*(184-$NR$17+1)*($NS$17-184+1)/$NU$17,$NN$17/$NT$17)),0)</f>
        <v/>
      </c>
      <c r="GG17" s="228">
        <f>IF(AND(185&gt;=$NR$17,185&lt;=$NS$17),IF($NP$17="Single_Point",IF(185=$NR$17,$NN$17,0),IF($NP$17="Bell_Curve",$NN$17*(185-$NR$17+1)*($NS$17-185+1)/$NU$17,$NN$17/$NT$17)),0)</f>
        <v/>
      </c>
      <c r="GH17" s="228">
        <f>IF(AND(186&gt;=$NR$17,186&lt;=$NS$17),IF($NP$17="Single_Point",IF(186=$NR$17,$NN$17,0),IF($NP$17="Bell_Curve",$NN$17*(186-$NR$17+1)*($NS$17-186+1)/$NU$17,$NN$17/$NT$17)),0)</f>
        <v/>
      </c>
      <c r="GI17" s="228">
        <f>IF(AND(187&gt;=$NR$17,187&lt;=$NS$17),IF($NP$17="Single_Point",IF(187=$NR$17,$NN$17,0),IF($NP$17="Bell_Curve",$NN$17*(187-$NR$17+1)*($NS$17-187+1)/$NU$17,$NN$17/$NT$17)),0)</f>
        <v/>
      </c>
      <c r="GJ17" s="228">
        <f>IF(AND(188&gt;=$NR$17,188&lt;=$NS$17),IF($NP$17="Single_Point",IF(188=$NR$17,$NN$17,0),IF($NP$17="Bell_Curve",$NN$17*(188-$NR$17+1)*($NS$17-188+1)/$NU$17,$NN$17/$NT$17)),0)</f>
        <v/>
      </c>
      <c r="GK17" s="228">
        <f>IF(AND(189&gt;=$NR$17,189&lt;=$NS$17),IF($NP$17="Single_Point",IF(189=$NR$17,$NN$17,0),IF($NP$17="Bell_Curve",$NN$17*(189-$NR$17+1)*($NS$17-189+1)/$NU$17,$NN$17/$NT$17)),0)</f>
        <v/>
      </c>
      <c r="GL17" s="228">
        <f>IF(AND(190&gt;=$NR$17,190&lt;=$NS$17),IF($NP$17="Single_Point",IF(190=$NR$17,$NN$17,0),IF($NP$17="Bell_Curve",$NN$17*(190-$NR$17+1)*($NS$17-190+1)/$NU$17,$NN$17/$NT$17)),0)</f>
        <v/>
      </c>
      <c r="GM17" s="228">
        <f>IF(AND(191&gt;=$NR$17,191&lt;=$NS$17),IF($NP$17="Single_Point",IF(191=$NR$17,$NN$17,0),IF($NP$17="Bell_Curve",$NN$17*(191-$NR$17+1)*($NS$17-191+1)/$NU$17,$NN$17/$NT$17)),0)</f>
        <v/>
      </c>
      <c r="GN17" s="228">
        <f>IF(AND(192&gt;=$NR$17,192&lt;=$NS$17),IF($NP$17="Single_Point",IF(192=$NR$17,$NN$17,0),IF($NP$17="Bell_Curve",$NN$17*(192-$NR$17+1)*($NS$17-192+1)/$NU$17,$NN$17/$NT$17)),0)</f>
        <v/>
      </c>
      <c r="GO17" s="228">
        <f>IF(AND(193&gt;=$NR$17,193&lt;=$NS$17),IF($NP$17="Single_Point",IF(193=$NR$17,$NN$17,0),IF($NP$17="Bell_Curve",$NN$17*(193-$NR$17+1)*($NS$17-193+1)/$NU$17,$NN$17/$NT$17)),0)</f>
        <v/>
      </c>
      <c r="GP17" s="228">
        <f>IF(AND(194&gt;=$NR$17,194&lt;=$NS$17),IF($NP$17="Single_Point",IF(194=$NR$17,$NN$17,0),IF($NP$17="Bell_Curve",$NN$17*(194-$NR$17+1)*($NS$17-194+1)/$NU$17,$NN$17/$NT$17)),0)</f>
        <v/>
      </c>
      <c r="GQ17" s="228">
        <f>IF(AND(195&gt;=$NR$17,195&lt;=$NS$17),IF($NP$17="Single_Point",IF(195=$NR$17,$NN$17,0),IF($NP$17="Bell_Curve",$NN$17*(195-$NR$17+1)*($NS$17-195+1)/$NU$17,$NN$17/$NT$17)),0)</f>
        <v/>
      </c>
      <c r="GR17" s="228">
        <f>IF(AND(196&gt;=$NR$17,196&lt;=$NS$17),IF($NP$17="Single_Point",IF(196=$NR$17,$NN$17,0),IF($NP$17="Bell_Curve",$NN$17*(196-$NR$17+1)*($NS$17-196+1)/$NU$17,$NN$17/$NT$17)),0)</f>
        <v/>
      </c>
      <c r="GS17" s="228">
        <f>IF(AND(197&gt;=$NR$17,197&lt;=$NS$17),IF($NP$17="Single_Point",IF(197=$NR$17,$NN$17,0),IF($NP$17="Bell_Curve",$NN$17*(197-$NR$17+1)*($NS$17-197+1)/$NU$17,$NN$17/$NT$17)),0)</f>
        <v/>
      </c>
      <c r="GT17" s="228">
        <f>IF(AND(198&gt;=$NR$17,198&lt;=$NS$17),IF($NP$17="Single_Point",IF(198=$NR$17,$NN$17,0),IF($NP$17="Bell_Curve",$NN$17*(198-$NR$17+1)*($NS$17-198+1)/$NU$17,$NN$17/$NT$17)),0)</f>
        <v/>
      </c>
      <c r="GU17" s="228">
        <f>IF(AND(199&gt;=$NR$17,199&lt;=$NS$17),IF($NP$17="Single_Point",IF(199=$NR$17,$NN$17,0),IF($NP$17="Bell_Curve",$NN$17*(199-$NR$17+1)*($NS$17-199+1)/$NU$17,$NN$17/$NT$17)),0)</f>
        <v/>
      </c>
      <c r="GV17" s="228">
        <f>IF(AND(200&gt;=$NR$17,200&lt;=$NS$17),IF($NP$17="Single_Point",IF(200=$NR$17,$NN$17,0),IF($NP$17="Bell_Curve",$NN$17*(200-$NR$17+1)*($NS$17-200+1)/$NU$17,$NN$17/$NT$17)),0)</f>
        <v/>
      </c>
      <c r="GW17" s="228">
        <f>IF(AND(201&gt;=$NR$17,201&lt;=$NS$17),IF($NP$17="Single_Point",IF(201=$NR$17,$NN$17,0),IF($NP$17="Bell_Curve",$NN$17*(201-$NR$17+1)*($NS$17-201+1)/$NU$17,$NN$17/$NT$17)),0)</f>
        <v/>
      </c>
      <c r="GX17" s="228">
        <f>IF(AND(202&gt;=$NR$17,202&lt;=$NS$17),IF($NP$17="Single_Point",IF(202=$NR$17,$NN$17,0),IF($NP$17="Bell_Curve",$NN$17*(202-$NR$17+1)*($NS$17-202+1)/$NU$17,$NN$17/$NT$17)),0)</f>
        <v/>
      </c>
      <c r="GY17" s="228">
        <f>IF(AND(203&gt;=$NR$17,203&lt;=$NS$17),IF($NP$17="Single_Point",IF(203=$NR$17,$NN$17,0),IF($NP$17="Bell_Curve",$NN$17*(203-$NR$17+1)*($NS$17-203+1)/$NU$17,$NN$17/$NT$17)),0)</f>
        <v/>
      </c>
      <c r="GZ17" s="228">
        <f>IF(AND(204&gt;=$NR$17,204&lt;=$NS$17),IF($NP$17="Single_Point",IF(204=$NR$17,$NN$17,0),IF($NP$17="Bell_Curve",$NN$17*(204-$NR$17+1)*($NS$17-204+1)/$NU$17,$NN$17/$NT$17)),0)</f>
        <v/>
      </c>
      <c r="HA17" s="228">
        <f>IF(AND(205&gt;=$NR$17,205&lt;=$NS$17),IF($NP$17="Single_Point",IF(205=$NR$17,$NN$17,0),IF($NP$17="Bell_Curve",$NN$17*(205-$NR$17+1)*($NS$17-205+1)/$NU$17,$NN$17/$NT$17)),0)</f>
        <v/>
      </c>
      <c r="HB17" s="228">
        <f>IF(AND(206&gt;=$NR$17,206&lt;=$NS$17),IF($NP$17="Single_Point",IF(206=$NR$17,$NN$17,0),IF($NP$17="Bell_Curve",$NN$17*(206-$NR$17+1)*($NS$17-206+1)/$NU$17,$NN$17/$NT$17)),0)</f>
        <v/>
      </c>
      <c r="HC17" s="228">
        <f>IF(AND(207&gt;=$NR$17,207&lt;=$NS$17),IF($NP$17="Single_Point",IF(207=$NR$17,$NN$17,0),IF($NP$17="Bell_Curve",$NN$17*(207-$NR$17+1)*($NS$17-207+1)/$NU$17,$NN$17/$NT$17)),0)</f>
        <v/>
      </c>
      <c r="HD17" s="228">
        <f>IF(AND(208&gt;=$NR$17,208&lt;=$NS$17),IF($NP$17="Single_Point",IF(208=$NR$17,$NN$17,0),IF($NP$17="Bell_Curve",$NN$17*(208-$NR$17+1)*($NS$17-208+1)/$NU$17,$NN$17/$NT$17)),0)</f>
        <v/>
      </c>
      <c r="HE17" s="228">
        <f>IF(AND(209&gt;=$NR$17,209&lt;=$NS$17),IF($NP$17="Single_Point",IF(209=$NR$17,$NN$17,0),IF($NP$17="Bell_Curve",$NN$17*(209-$NR$17+1)*($NS$17-209+1)/$NU$17,$NN$17/$NT$17)),0)</f>
        <v/>
      </c>
      <c r="HF17" s="228">
        <f>IF(AND(210&gt;=$NR$17,210&lt;=$NS$17),IF($NP$17="Single_Point",IF(210=$NR$17,$NN$17,0),IF($NP$17="Bell_Curve",$NN$17*(210-$NR$17+1)*($NS$17-210+1)/$NU$17,$NN$17/$NT$17)),0)</f>
        <v/>
      </c>
      <c r="HG17" s="228">
        <f>IF(AND(211&gt;=$NR$17,211&lt;=$NS$17),IF($NP$17="Single_Point",IF(211=$NR$17,$NN$17,0),IF($NP$17="Bell_Curve",$NN$17*(211-$NR$17+1)*($NS$17-211+1)/$NU$17,$NN$17/$NT$17)),0)</f>
        <v/>
      </c>
      <c r="HH17" s="228">
        <f>IF(AND(212&gt;=$NR$17,212&lt;=$NS$17),IF($NP$17="Single_Point",IF(212=$NR$17,$NN$17,0),IF($NP$17="Bell_Curve",$NN$17*(212-$NR$17+1)*($NS$17-212+1)/$NU$17,$NN$17/$NT$17)),0)</f>
        <v/>
      </c>
      <c r="HI17" s="228">
        <f>IF(AND(213&gt;=$NR$17,213&lt;=$NS$17),IF($NP$17="Single_Point",IF(213=$NR$17,$NN$17,0),IF($NP$17="Bell_Curve",$NN$17*(213-$NR$17+1)*($NS$17-213+1)/$NU$17,$NN$17/$NT$17)),0)</f>
        <v/>
      </c>
      <c r="HJ17" s="228">
        <f>IF(AND(214&gt;=$NR$17,214&lt;=$NS$17),IF($NP$17="Single_Point",IF(214=$NR$17,$NN$17,0),IF($NP$17="Bell_Curve",$NN$17*(214-$NR$17+1)*($NS$17-214+1)/$NU$17,$NN$17/$NT$17)),0)</f>
        <v/>
      </c>
      <c r="HK17" s="228">
        <f>IF(AND(215&gt;=$NR$17,215&lt;=$NS$17),IF($NP$17="Single_Point",IF(215=$NR$17,$NN$17,0),IF($NP$17="Bell_Curve",$NN$17*(215-$NR$17+1)*($NS$17-215+1)/$NU$17,$NN$17/$NT$17)),0)</f>
        <v/>
      </c>
      <c r="HL17" s="228">
        <f>IF(AND(216&gt;=$NR$17,216&lt;=$NS$17),IF($NP$17="Single_Point",IF(216=$NR$17,$NN$17,0),IF($NP$17="Bell_Curve",$NN$17*(216-$NR$17+1)*($NS$17-216+1)/$NU$17,$NN$17/$NT$17)),0)</f>
        <v/>
      </c>
      <c r="HM17" s="228">
        <f>IF(AND(217&gt;=$NR$17,217&lt;=$NS$17),IF($NP$17="Single_Point",IF(217=$NR$17,$NN$17,0),IF($NP$17="Bell_Curve",$NN$17*(217-$NR$17+1)*($NS$17-217+1)/$NU$17,$NN$17/$NT$17)),0)</f>
        <v/>
      </c>
      <c r="HN17" s="228">
        <f>IF(AND(218&gt;=$NR$17,218&lt;=$NS$17),IF($NP$17="Single_Point",IF(218=$NR$17,$NN$17,0),IF($NP$17="Bell_Curve",$NN$17*(218-$NR$17+1)*($NS$17-218+1)/$NU$17,$NN$17/$NT$17)),0)</f>
        <v/>
      </c>
      <c r="HO17" s="228">
        <f>IF(AND(219&gt;=$NR$17,219&lt;=$NS$17),IF($NP$17="Single_Point",IF(219=$NR$17,$NN$17,0),IF($NP$17="Bell_Curve",$NN$17*(219-$NR$17+1)*($NS$17-219+1)/$NU$17,$NN$17/$NT$17)),0)</f>
        <v/>
      </c>
      <c r="HP17" s="228">
        <f>IF(AND(220&gt;=$NR$17,220&lt;=$NS$17),IF($NP$17="Single_Point",IF(220=$NR$17,$NN$17,0),IF($NP$17="Bell_Curve",$NN$17*(220-$NR$17+1)*($NS$17-220+1)/$NU$17,$NN$17/$NT$17)),0)</f>
        <v/>
      </c>
      <c r="HQ17" s="228">
        <f>IF(AND(221&gt;=$NR$17,221&lt;=$NS$17),IF($NP$17="Single_Point",IF(221=$NR$17,$NN$17,0),IF($NP$17="Bell_Curve",$NN$17*(221-$NR$17+1)*($NS$17-221+1)/$NU$17,$NN$17/$NT$17)),0)</f>
        <v/>
      </c>
      <c r="HR17" s="228">
        <f>IF(AND(222&gt;=$NR$17,222&lt;=$NS$17),IF($NP$17="Single_Point",IF(222=$NR$17,$NN$17,0),IF($NP$17="Bell_Curve",$NN$17*(222-$NR$17+1)*($NS$17-222+1)/$NU$17,$NN$17/$NT$17)),0)</f>
        <v/>
      </c>
      <c r="HS17" s="228">
        <f>IF(AND(223&gt;=$NR$17,223&lt;=$NS$17),IF($NP$17="Single_Point",IF(223=$NR$17,$NN$17,0),IF($NP$17="Bell_Curve",$NN$17*(223-$NR$17+1)*($NS$17-223+1)/$NU$17,$NN$17/$NT$17)),0)</f>
        <v/>
      </c>
      <c r="HT17" s="228">
        <f>IF(AND(224&gt;=$NR$17,224&lt;=$NS$17),IF($NP$17="Single_Point",IF(224=$NR$17,$NN$17,0),IF($NP$17="Bell_Curve",$NN$17*(224-$NR$17+1)*($NS$17-224+1)/$NU$17,$NN$17/$NT$17)),0)</f>
        <v/>
      </c>
      <c r="HU17" s="228">
        <f>IF(AND(225&gt;=$NR$17,225&lt;=$NS$17),IF($NP$17="Single_Point",IF(225=$NR$17,$NN$17,0),IF($NP$17="Bell_Curve",$NN$17*(225-$NR$17+1)*($NS$17-225+1)/$NU$17,$NN$17/$NT$17)),0)</f>
        <v/>
      </c>
      <c r="HV17" s="228">
        <f>IF(AND(226&gt;=$NR$17,226&lt;=$NS$17),IF($NP$17="Single_Point",IF(226=$NR$17,$NN$17,0),IF($NP$17="Bell_Curve",$NN$17*(226-$NR$17+1)*($NS$17-226+1)/$NU$17,$NN$17/$NT$17)),0)</f>
        <v/>
      </c>
      <c r="HW17" s="228">
        <f>IF(AND(227&gt;=$NR$17,227&lt;=$NS$17),IF($NP$17="Single_Point",IF(227=$NR$17,$NN$17,0),IF($NP$17="Bell_Curve",$NN$17*(227-$NR$17+1)*($NS$17-227+1)/$NU$17,$NN$17/$NT$17)),0)</f>
        <v/>
      </c>
      <c r="HX17" s="228">
        <f>IF(AND(228&gt;=$NR$17,228&lt;=$NS$17),IF($NP$17="Single_Point",IF(228=$NR$17,$NN$17,0),IF($NP$17="Bell_Curve",$NN$17*(228-$NR$17+1)*($NS$17-228+1)/$NU$17,$NN$17/$NT$17)),0)</f>
        <v/>
      </c>
      <c r="HY17" s="228">
        <f>IF(AND(229&gt;=$NR$17,229&lt;=$NS$17),IF($NP$17="Single_Point",IF(229=$NR$17,$NN$17,0),IF($NP$17="Bell_Curve",$NN$17*(229-$NR$17+1)*($NS$17-229+1)/$NU$17,$NN$17/$NT$17)),0)</f>
        <v/>
      </c>
      <c r="HZ17" s="228">
        <f>IF(AND(230&gt;=$NR$17,230&lt;=$NS$17),IF($NP$17="Single_Point",IF(230=$NR$17,$NN$17,0),IF($NP$17="Bell_Curve",$NN$17*(230-$NR$17+1)*($NS$17-230+1)/$NU$17,$NN$17/$NT$17)),0)</f>
        <v/>
      </c>
      <c r="IA17" s="228">
        <f>IF(AND(231&gt;=$NR$17,231&lt;=$NS$17),IF($NP$17="Single_Point",IF(231=$NR$17,$NN$17,0),IF($NP$17="Bell_Curve",$NN$17*(231-$NR$17+1)*($NS$17-231+1)/$NU$17,$NN$17/$NT$17)),0)</f>
        <v/>
      </c>
      <c r="IB17" s="228">
        <f>IF(AND(232&gt;=$NR$17,232&lt;=$NS$17),IF($NP$17="Single_Point",IF(232=$NR$17,$NN$17,0),IF($NP$17="Bell_Curve",$NN$17*(232-$NR$17+1)*($NS$17-232+1)/$NU$17,$NN$17/$NT$17)),0)</f>
        <v/>
      </c>
      <c r="IC17" s="228">
        <f>IF(AND(233&gt;=$NR$17,233&lt;=$NS$17),IF($NP$17="Single_Point",IF(233=$NR$17,$NN$17,0),IF($NP$17="Bell_Curve",$NN$17*(233-$NR$17+1)*($NS$17-233+1)/$NU$17,$NN$17/$NT$17)),0)</f>
        <v/>
      </c>
      <c r="ID17" s="228">
        <f>IF(AND(234&gt;=$NR$17,234&lt;=$NS$17),IF($NP$17="Single_Point",IF(234=$NR$17,$NN$17,0),IF($NP$17="Bell_Curve",$NN$17*(234-$NR$17+1)*($NS$17-234+1)/$NU$17,$NN$17/$NT$17)),0)</f>
        <v/>
      </c>
      <c r="IE17" s="228">
        <f>IF(AND(235&gt;=$NR$17,235&lt;=$NS$17),IF($NP$17="Single_Point",IF(235=$NR$17,$NN$17,0),IF($NP$17="Bell_Curve",$NN$17*(235-$NR$17+1)*($NS$17-235+1)/$NU$17,$NN$17/$NT$17)),0)</f>
        <v/>
      </c>
      <c r="IF17" s="228">
        <f>IF(AND(236&gt;=$NR$17,236&lt;=$NS$17),IF($NP$17="Single_Point",IF(236=$NR$17,$NN$17,0),IF($NP$17="Bell_Curve",$NN$17*(236-$NR$17+1)*($NS$17-236+1)/$NU$17,$NN$17/$NT$17)),0)</f>
        <v/>
      </c>
      <c r="IG17" s="228">
        <f>IF(AND(237&gt;=$NR$17,237&lt;=$NS$17),IF($NP$17="Single_Point",IF(237=$NR$17,$NN$17,0),IF($NP$17="Bell_Curve",$NN$17*(237-$NR$17+1)*($NS$17-237+1)/$NU$17,$NN$17/$NT$17)),0)</f>
        <v/>
      </c>
      <c r="IH17" s="228">
        <f>IF(AND(238&gt;=$NR$17,238&lt;=$NS$17),IF($NP$17="Single_Point",IF(238=$NR$17,$NN$17,0),IF($NP$17="Bell_Curve",$NN$17*(238-$NR$17+1)*($NS$17-238+1)/$NU$17,$NN$17/$NT$17)),0)</f>
        <v/>
      </c>
      <c r="II17" s="228">
        <f>IF(AND(239&gt;=$NR$17,239&lt;=$NS$17),IF($NP$17="Single_Point",IF(239=$NR$17,$NN$17,0),IF($NP$17="Bell_Curve",$NN$17*(239-$NR$17+1)*($NS$17-239+1)/$NU$17,$NN$17/$NT$17)),0)</f>
        <v/>
      </c>
      <c r="IJ17" s="228">
        <f>IF(AND(240&gt;=$NR$17,240&lt;=$NS$17),IF($NP$17="Single_Point",IF(240=$NR$17,$NN$17,0),IF($NP$17="Bell_Curve",$NN$17*(240-$NR$17+1)*($NS$17-240+1)/$NU$17,$NN$17/$NT$17)),0)</f>
        <v/>
      </c>
      <c r="IK17" s="228">
        <f>IF(AND(241&gt;=$NR$17,241&lt;=$NS$17),IF($NP$17="Single_Point",IF(241=$NR$17,$NN$17,0),IF($NP$17="Bell_Curve",$NN$17*(241-$NR$17+1)*($NS$17-241+1)/$NU$17,$NN$17/$NT$17)),0)</f>
        <v/>
      </c>
      <c r="IL17" s="228">
        <f>IF(AND(242&gt;=$NR$17,242&lt;=$NS$17),IF($NP$17="Single_Point",IF(242=$NR$17,$NN$17,0),IF($NP$17="Bell_Curve",$NN$17*(242-$NR$17+1)*($NS$17-242+1)/$NU$17,$NN$17/$NT$17)),0)</f>
        <v/>
      </c>
      <c r="IM17" s="228">
        <f>IF(AND(243&gt;=$NR$17,243&lt;=$NS$17),IF($NP$17="Single_Point",IF(243=$NR$17,$NN$17,0),IF($NP$17="Bell_Curve",$NN$17*(243-$NR$17+1)*($NS$17-243+1)/$NU$17,$NN$17/$NT$17)),0)</f>
        <v/>
      </c>
      <c r="IN17" s="228">
        <f>IF(AND(244&gt;=$NR$17,244&lt;=$NS$17),IF($NP$17="Single_Point",IF(244=$NR$17,$NN$17,0),IF($NP$17="Bell_Curve",$NN$17*(244-$NR$17+1)*($NS$17-244+1)/$NU$17,$NN$17/$NT$17)),0)</f>
        <v/>
      </c>
      <c r="IO17" s="228">
        <f>IF(AND(245&gt;=$NR$17,245&lt;=$NS$17),IF($NP$17="Single_Point",IF(245=$NR$17,$NN$17,0),IF($NP$17="Bell_Curve",$NN$17*(245-$NR$17+1)*($NS$17-245+1)/$NU$17,$NN$17/$NT$17)),0)</f>
        <v/>
      </c>
      <c r="IP17" s="228">
        <f>IF(AND(246&gt;=$NR$17,246&lt;=$NS$17),IF($NP$17="Single_Point",IF(246=$NR$17,$NN$17,0),IF($NP$17="Bell_Curve",$NN$17*(246-$NR$17+1)*($NS$17-246+1)/$NU$17,$NN$17/$NT$17)),0)</f>
        <v/>
      </c>
      <c r="IQ17" s="228">
        <f>IF(AND(247&gt;=$NR$17,247&lt;=$NS$17),IF($NP$17="Single_Point",IF(247=$NR$17,$NN$17,0),IF($NP$17="Bell_Curve",$NN$17*(247-$NR$17+1)*($NS$17-247+1)/$NU$17,$NN$17/$NT$17)),0)</f>
        <v/>
      </c>
      <c r="IR17" s="228">
        <f>IF(AND(248&gt;=$NR$17,248&lt;=$NS$17),IF($NP$17="Single_Point",IF(248=$NR$17,$NN$17,0),IF($NP$17="Bell_Curve",$NN$17*(248-$NR$17+1)*($NS$17-248+1)/$NU$17,$NN$17/$NT$17)),0)</f>
        <v/>
      </c>
      <c r="IS17" s="228">
        <f>IF(AND(249&gt;=$NR$17,249&lt;=$NS$17),IF($NP$17="Single_Point",IF(249=$NR$17,$NN$17,0),IF($NP$17="Bell_Curve",$NN$17*(249-$NR$17+1)*($NS$17-249+1)/$NU$17,$NN$17/$NT$17)),0)</f>
        <v/>
      </c>
      <c r="IT17" s="228">
        <f>IF(AND(250&gt;=$NR$17,250&lt;=$NS$17),IF($NP$17="Single_Point",IF(250=$NR$17,$NN$17,0),IF($NP$17="Bell_Curve",$NN$17*(250-$NR$17+1)*($NS$17-250+1)/$NU$17,$NN$17/$NT$17)),0)</f>
        <v/>
      </c>
      <c r="IU17" s="228">
        <f>IF(AND(251&gt;=$NR$17,251&lt;=$NS$17),IF($NP$17="Single_Point",IF(251=$NR$17,$NN$17,0),IF($NP$17="Bell_Curve",$NN$17*(251-$NR$17+1)*($NS$17-251+1)/$NU$17,$NN$17/$NT$17)),0)</f>
        <v/>
      </c>
      <c r="IV17" s="228">
        <f>IF(AND(252&gt;=$NR$17,252&lt;=$NS$17),IF($NP$17="Single_Point",IF(252=$NR$17,$NN$17,0),IF($NP$17="Bell_Curve",$NN$17*(252-$NR$17+1)*($NS$17-252+1)/$NU$17,$NN$17/$NT$17)),0)</f>
        <v/>
      </c>
      <c r="IW17" s="228">
        <f>IF(AND(253&gt;=$NR$17,253&lt;=$NS$17),IF($NP$17="Single_Point",IF(253=$NR$17,$NN$17,0),IF($NP$17="Bell_Curve",$NN$17*(253-$NR$17+1)*($NS$17-253+1)/$NU$17,$NN$17/$NT$17)),0)</f>
        <v/>
      </c>
      <c r="IX17" s="228">
        <f>IF(AND(254&gt;=$NR$17,254&lt;=$NS$17),IF($NP$17="Single_Point",IF(254=$NR$17,$NN$17,0),IF($NP$17="Bell_Curve",$NN$17*(254-$NR$17+1)*($NS$17-254+1)/$NU$17,$NN$17/$NT$17)),0)</f>
        <v/>
      </c>
      <c r="IY17" s="228">
        <f>IF(AND(255&gt;=$NR$17,255&lt;=$NS$17),IF($NP$17="Single_Point",IF(255=$NR$17,$NN$17,0),IF($NP$17="Bell_Curve",$NN$17*(255-$NR$17+1)*($NS$17-255+1)/$NU$17,$NN$17/$NT$17)),0)</f>
        <v/>
      </c>
      <c r="IZ17" s="228">
        <f>IF(AND(256&gt;=$NR$17,256&lt;=$NS$17),IF($NP$17="Single_Point",IF(256=$NR$17,$NN$17,0),IF($NP$17="Bell_Curve",$NN$17*(256-$NR$17+1)*($NS$17-256+1)/$NU$17,$NN$17/$NT$17)),0)</f>
        <v/>
      </c>
      <c r="JA17" s="228">
        <f>IF(AND(257&gt;=$NR$17,257&lt;=$NS$17),IF($NP$17="Single_Point",IF(257=$NR$17,$NN$17,0),IF($NP$17="Bell_Curve",$NN$17*(257-$NR$17+1)*($NS$17-257+1)/$NU$17,$NN$17/$NT$17)),0)</f>
        <v/>
      </c>
      <c r="JB17" s="228">
        <f>IF(AND(258&gt;=$NR$17,258&lt;=$NS$17),IF($NP$17="Single_Point",IF(258=$NR$17,$NN$17,0),IF($NP$17="Bell_Curve",$NN$17*(258-$NR$17+1)*($NS$17-258+1)/$NU$17,$NN$17/$NT$17)),0)</f>
        <v/>
      </c>
      <c r="JC17" s="228">
        <f>IF(AND(259&gt;=$NR$17,259&lt;=$NS$17),IF($NP$17="Single_Point",IF(259=$NR$17,$NN$17,0),IF($NP$17="Bell_Curve",$NN$17*(259-$NR$17+1)*($NS$17-259+1)/$NU$17,$NN$17/$NT$17)),0)</f>
        <v/>
      </c>
      <c r="JD17" s="228">
        <f>IF(AND(260&gt;=$NR$17,260&lt;=$NS$17),IF($NP$17="Single_Point",IF(260=$NR$17,$NN$17,0),IF($NP$17="Bell_Curve",$NN$17*(260-$NR$17+1)*($NS$17-260+1)/$NU$17,$NN$17/$NT$17)),0)</f>
        <v/>
      </c>
      <c r="JE17" s="228">
        <f>IF(AND(261&gt;=$NR$17,261&lt;=$NS$17),IF($NP$17="Single_Point",IF(261=$NR$17,$NN$17,0),IF($NP$17="Bell_Curve",$NN$17*(261-$NR$17+1)*($NS$17-261+1)/$NU$17,$NN$17/$NT$17)),0)</f>
        <v/>
      </c>
      <c r="JF17" s="228">
        <f>IF(AND(262&gt;=$NR$17,262&lt;=$NS$17),IF($NP$17="Single_Point",IF(262=$NR$17,$NN$17,0),IF($NP$17="Bell_Curve",$NN$17*(262-$NR$17+1)*($NS$17-262+1)/$NU$17,$NN$17/$NT$17)),0)</f>
        <v/>
      </c>
      <c r="JG17" s="228">
        <f>IF(AND(263&gt;=$NR$17,263&lt;=$NS$17),IF($NP$17="Single_Point",IF(263=$NR$17,$NN$17,0),IF($NP$17="Bell_Curve",$NN$17*(263-$NR$17+1)*($NS$17-263+1)/$NU$17,$NN$17/$NT$17)),0)</f>
        <v/>
      </c>
      <c r="JH17" s="228">
        <f>IF(AND(264&gt;=$NR$17,264&lt;=$NS$17),IF($NP$17="Single_Point",IF(264=$NR$17,$NN$17,0),IF($NP$17="Bell_Curve",$NN$17*(264-$NR$17+1)*($NS$17-264+1)/$NU$17,$NN$17/$NT$17)),0)</f>
        <v/>
      </c>
      <c r="JI17" s="228">
        <f>IF(AND(265&gt;=$NR$17,265&lt;=$NS$17),IF($NP$17="Single_Point",IF(265=$NR$17,$NN$17,0),IF($NP$17="Bell_Curve",$NN$17*(265-$NR$17+1)*($NS$17-265+1)/$NU$17,$NN$17/$NT$17)),0)</f>
        <v/>
      </c>
      <c r="JJ17" s="228">
        <f>IF(AND(266&gt;=$NR$17,266&lt;=$NS$17),IF($NP$17="Single_Point",IF(266=$NR$17,$NN$17,0),IF($NP$17="Bell_Curve",$NN$17*(266-$NR$17+1)*($NS$17-266+1)/$NU$17,$NN$17/$NT$17)),0)</f>
        <v/>
      </c>
      <c r="JK17" s="228">
        <f>IF(AND(267&gt;=$NR$17,267&lt;=$NS$17),IF($NP$17="Single_Point",IF(267=$NR$17,$NN$17,0),IF($NP$17="Bell_Curve",$NN$17*(267-$NR$17+1)*($NS$17-267+1)/$NU$17,$NN$17/$NT$17)),0)</f>
        <v/>
      </c>
      <c r="JL17" s="228">
        <f>IF(AND(268&gt;=$NR$17,268&lt;=$NS$17),IF($NP$17="Single_Point",IF(268=$NR$17,$NN$17,0),IF($NP$17="Bell_Curve",$NN$17*(268-$NR$17+1)*($NS$17-268+1)/$NU$17,$NN$17/$NT$17)),0)</f>
        <v/>
      </c>
      <c r="JM17" s="228">
        <f>IF(AND(269&gt;=$NR$17,269&lt;=$NS$17),IF($NP$17="Single_Point",IF(269=$NR$17,$NN$17,0),IF($NP$17="Bell_Curve",$NN$17*(269-$NR$17+1)*($NS$17-269+1)/$NU$17,$NN$17/$NT$17)),0)</f>
        <v/>
      </c>
      <c r="JN17" s="228">
        <f>IF(AND(270&gt;=$NR$17,270&lt;=$NS$17),IF($NP$17="Single_Point",IF(270=$NR$17,$NN$17,0),IF($NP$17="Bell_Curve",$NN$17*(270-$NR$17+1)*($NS$17-270+1)/$NU$17,$NN$17/$NT$17)),0)</f>
        <v/>
      </c>
      <c r="JO17" s="228">
        <f>IF(AND(271&gt;=$NR$17,271&lt;=$NS$17),IF($NP$17="Single_Point",IF(271=$NR$17,$NN$17,0),IF($NP$17="Bell_Curve",$NN$17*(271-$NR$17+1)*($NS$17-271+1)/$NU$17,$NN$17/$NT$17)),0)</f>
        <v/>
      </c>
      <c r="JP17" s="228">
        <f>IF(AND(272&gt;=$NR$17,272&lt;=$NS$17),IF($NP$17="Single_Point",IF(272=$NR$17,$NN$17,0),IF($NP$17="Bell_Curve",$NN$17*(272-$NR$17+1)*($NS$17-272+1)/$NU$17,$NN$17/$NT$17)),0)</f>
        <v/>
      </c>
      <c r="JQ17" s="228">
        <f>IF(AND(273&gt;=$NR$17,273&lt;=$NS$17),IF($NP$17="Single_Point",IF(273=$NR$17,$NN$17,0),IF($NP$17="Bell_Curve",$NN$17*(273-$NR$17+1)*($NS$17-273+1)/$NU$17,$NN$17/$NT$17)),0)</f>
        <v/>
      </c>
      <c r="JR17" s="228">
        <f>IF(AND(274&gt;=$NR$17,274&lt;=$NS$17),IF($NP$17="Single_Point",IF(274=$NR$17,$NN$17,0),IF($NP$17="Bell_Curve",$NN$17*(274-$NR$17+1)*($NS$17-274+1)/$NU$17,$NN$17/$NT$17)),0)</f>
        <v/>
      </c>
      <c r="JS17" s="228">
        <f>IF(AND(275&gt;=$NR$17,275&lt;=$NS$17),IF($NP$17="Single_Point",IF(275=$NR$17,$NN$17,0),IF($NP$17="Bell_Curve",$NN$17*(275-$NR$17+1)*($NS$17-275+1)/$NU$17,$NN$17/$NT$17)),0)</f>
        <v/>
      </c>
      <c r="JT17" s="228">
        <f>IF(AND(276&gt;=$NR$17,276&lt;=$NS$17),IF($NP$17="Single_Point",IF(276=$NR$17,$NN$17,0),IF($NP$17="Bell_Curve",$NN$17*(276-$NR$17+1)*($NS$17-276+1)/$NU$17,$NN$17/$NT$17)),0)</f>
        <v/>
      </c>
      <c r="JU17" s="228">
        <f>IF(AND(277&gt;=$NR$17,277&lt;=$NS$17),IF($NP$17="Single_Point",IF(277=$NR$17,$NN$17,0),IF($NP$17="Bell_Curve",$NN$17*(277-$NR$17+1)*($NS$17-277+1)/$NU$17,$NN$17/$NT$17)),0)</f>
        <v/>
      </c>
      <c r="JV17" s="228">
        <f>IF(AND(278&gt;=$NR$17,278&lt;=$NS$17),IF($NP$17="Single_Point",IF(278=$NR$17,$NN$17,0),IF($NP$17="Bell_Curve",$NN$17*(278-$NR$17+1)*($NS$17-278+1)/$NU$17,$NN$17/$NT$17)),0)</f>
        <v/>
      </c>
      <c r="JW17" s="228">
        <f>IF(AND(279&gt;=$NR$17,279&lt;=$NS$17),IF($NP$17="Single_Point",IF(279=$NR$17,$NN$17,0),IF($NP$17="Bell_Curve",$NN$17*(279-$NR$17+1)*($NS$17-279+1)/$NU$17,$NN$17/$NT$17)),0)</f>
        <v/>
      </c>
      <c r="JX17" s="228">
        <f>IF(AND(280&gt;=$NR$17,280&lt;=$NS$17),IF($NP$17="Single_Point",IF(280=$NR$17,$NN$17,0),IF($NP$17="Bell_Curve",$NN$17*(280-$NR$17+1)*($NS$17-280+1)/$NU$17,$NN$17/$NT$17)),0)</f>
        <v/>
      </c>
      <c r="JY17" s="228">
        <f>IF(AND(281&gt;=$NR$17,281&lt;=$NS$17),IF($NP$17="Single_Point",IF(281=$NR$17,$NN$17,0),IF($NP$17="Bell_Curve",$NN$17*(281-$NR$17+1)*($NS$17-281+1)/$NU$17,$NN$17/$NT$17)),0)</f>
        <v/>
      </c>
      <c r="JZ17" s="228">
        <f>IF(AND(282&gt;=$NR$17,282&lt;=$NS$17),IF($NP$17="Single_Point",IF(282=$NR$17,$NN$17,0),IF($NP$17="Bell_Curve",$NN$17*(282-$NR$17+1)*($NS$17-282+1)/$NU$17,$NN$17/$NT$17)),0)</f>
        <v/>
      </c>
      <c r="KA17" s="228">
        <f>IF(AND(283&gt;=$NR$17,283&lt;=$NS$17),IF($NP$17="Single_Point",IF(283=$NR$17,$NN$17,0),IF($NP$17="Bell_Curve",$NN$17*(283-$NR$17+1)*($NS$17-283+1)/$NU$17,$NN$17/$NT$17)),0)</f>
        <v/>
      </c>
      <c r="KB17" s="228">
        <f>IF(AND(284&gt;=$NR$17,284&lt;=$NS$17),IF($NP$17="Single_Point",IF(284=$NR$17,$NN$17,0),IF($NP$17="Bell_Curve",$NN$17*(284-$NR$17+1)*($NS$17-284+1)/$NU$17,$NN$17/$NT$17)),0)</f>
        <v/>
      </c>
      <c r="KC17" s="228">
        <f>IF(AND(285&gt;=$NR$17,285&lt;=$NS$17),IF($NP$17="Single_Point",IF(285=$NR$17,$NN$17,0),IF($NP$17="Bell_Curve",$NN$17*(285-$NR$17+1)*($NS$17-285+1)/$NU$17,$NN$17/$NT$17)),0)</f>
        <v/>
      </c>
      <c r="KD17" s="228">
        <f>IF(AND(286&gt;=$NR$17,286&lt;=$NS$17),IF($NP$17="Single_Point",IF(286=$NR$17,$NN$17,0),IF($NP$17="Bell_Curve",$NN$17*(286-$NR$17+1)*($NS$17-286+1)/$NU$17,$NN$17/$NT$17)),0)</f>
        <v/>
      </c>
      <c r="KE17" s="228">
        <f>IF(AND(287&gt;=$NR$17,287&lt;=$NS$17),IF($NP$17="Single_Point",IF(287=$NR$17,$NN$17,0),IF($NP$17="Bell_Curve",$NN$17*(287-$NR$17+1)*($NS$17-287+1)/$NU$17,$NN$17/$NT$17)),0)</f>
        <v/>
      </c>
      <c r="KF17" s="228">
        <f>IF(AND(288&gt;=$NR$17,288&lt;=$NS$17),IF($NP$17="Single_Point",IF(288=$NR$17,$NN$17,0),IF($NP$17="Bell_Curve",$NN$17*(288-$NR$17+1)*($NS$17-288+1)/$NU$17,$NN$17/$NT$17)),0)</f>
        <v/>
      </c>
      <c r="KG17" s="228">
        <f>IF(AND(289&gt;=$NR$17,289&lt;=$NS$17),IF($NP$17="Single_Point",IF(289=$NR$17,$NN$17,0),IF($NP$17="Bell_Curve",$NN$17*(289-$NR$17+1)*($NS$17-289+1)/$NU$17,$NN$17/$NT$17)),0)</f>
        <v/>
      </c>
      <c r="KH17" s="228">
        <f>IF(AND(290&gt;=$NR$17,290&lt;=$NS$17),IF($NP$17="Single_Point",IF(290=$NR$17,$NN$17,0),IF($NP$17="Bell_Curve",$NN$17*(290-$NR$17+1)*($NS$17-290+1)/$NU$17,$NN$17/$NT$17)),0)</f>
        <v/>
      </c>
      <c r="KI17" s="228">
        <f>IF(AND(291&gt;=$NR$17,291&lt;=$NS$17),IF($NP$17="Single_Point",IF(291=$NR$17,$NN$17,0),IF($NP$17="Bell_Curve",$NN$17*(291-$NR$17+1)*($NS$17-291+1)/$NU$17,$NN$17/$NT$17)),0)</f>
        <v/>
      </c>
      <c r="KJ17" s="228">
        <f>IF(AND(292&gt;=$NR$17,292&lt;=$NS$17),IF($NP$17="Single_Point",IF(292=$NR$17,$NN$17,0),IF($NP$17="Bell_Curve",$NN$17*(292-$NR$17+1)*($NS$17-292+1)/$NU$17,$NN$17/$NT$17)),0)</f>
        <v/>
      </c>
      <c r="KK17" s="228">
        <f>IF(AND(293&gt;=$NR$17,293&lt;=$NS$17),IF($NP$17="Single_Point",IF(293=$NR$17,$NN$17,0),IF($NP$17="Bell_Curve",$NN$17*(293-$NR$17+1)*($NS$17-293+1)/$NU$17,$NN$17/$NT$17)),0)</f>
        <v/>
      </c>
      <c r="KL17" s="228">
        <f>IF(AND(294&gt;=$NR$17,294&lt;=$NS$17),IF($NP$17="Single_Point",IF(294=$NR$17,$NN$17,0),IF($NP$17="Bell_Curve",$NN$17*(294-$NR$17+1)*($NS$17-294+1)/$NU$17,$NN$17/$NT$17)),0)</f>
        <v/>
      </c>
      <c r="KM17" s="228">
        <f>IF(AND(295&gt;=$NR$17,295&lt;=$NS$17),IF($NP$17="Single_Point",IF(295=$NR$17,$NN$17,0),IF($NP$17="Bell_Curve",$NN$17*(295-$NR$17+1)*($NS$17-295+1)/$NU$17,$NN$17/$NT$17)),0)</f>
        <v/>
      </c>
      <c r="KN17" s="228">
        <f>IF(AND(296&gt;=$NR$17,296&lt;=$NS$17),IF($NP$17="Single_Point",IF(296=$NR$17,$NN$17,0),IF($NP$17="Bell_Curve",$NN$17*(296-$NR$17+1)*($NS$17-296+1)/$NU$17,$NN$17/$NT$17)),0)</f>
        <v/>
      </c>
      <c r="KO17" s="228">
        <f>IF(AND(297&gt;=$NR$17,297&lt;=$NS$17),IF($NP$17="Single_Point",IF(297=$NR$17,$NN$17,0),IF($NP$17="Bell_Curve",$NN$17*(297-$NR$17+1)*($NS$17-297+1)/$NU$17,$NN$17/$NT$17)),0)</f>
        <v/>
      </c>
      <c r="KP17" s="228">
        <f>IF(AND(298&gt;=$NR$17,298&lt;=$NS$17),IF($NP$17="Single_Point",IF(298=$NR$17,$NN$17,0),IF($NP$17="Bell_Curve",$NN$17*(298-$NR$17+1)*($NS$17-298+1)/$NU$17,$NN$17/$NT$17)),0)</f>
        <v/>
      </c>
      <c r="KQ17" s="228">
        <f>IF(AND(299&gt;=$NR$17,299&lt;=$NS$17),IF($NP$17="Single_Point",IF(299=$NR$17,$NN$17,0),IF($NP$17="Bell_Curve",$NN$17*(299-$NR$17+1)*($NS$17-299+1)/$NU$17,$NN$17/$NT$17)),0)</f>
        <v/>
      </c>
      <c r="KR17" s="228">
        <f>IF(AND(300&gt;=$NR$17,300&lt;=$NS$17),IF($NP$17="Single_Point",IF(300=$NR$17,$NN$17,0),IF($NP$17="Bell_Curve",$NN$17*(300-$NR$17+1)*($NS$17-300+1)/$NU$17,$NN$17/$NT$17)),0)</f>
        <v/>
      </c>
      <c r="KS17" s="228">
        <f>IF(AND(301&gt;=$NR$17,301&lt;=$NS$17),IF($NP$17="Single_Point",IF(301=$NR$17,$NN$17,0),IF($NP$17="Bell_Curve",$NN$17*(301-$NR$17+1)*($NS$17-301+1)/$NU$17,$NN$17/$NT$17)),0)</f>
        <v/>
      </c>
      <c r="KT17" s="228">
        <f>IF(AND(302&gt;=$NR$17,302&lt;=$NS$17),IF($NP$17="Single_Point",IF(302=$NR$17,$NN$17,0),IF($NP$17="Bell_Curve",$NN$17*(302-$NR$17+1)*($NS$17-302+1)/$NU$17,$NN$17/$NT$17)),0)</f>
        <v/>
      </c>
      <c r="KU17" s="228">
        <f>IF(AND(303&gt;=$NR$17,303&lt;=$NS$17),IF($NP$17="Single_Point",IF(303=$NR$17,$NN$17,0),IF($NP$17="Bell_Curve",$NN$17*(303-$NR$17+1)*($NS$17-303+1)/$NU$17,$NN$17/$NT$17)),0)</f>
        <v/>
      </c>
      <c r="KV17" s="228">
        <f>IF(AND(304&gt;=$NR$17,304&lt;=$NS$17),IF($NP$17="Single_Point",IF(304=$NR$17,$NN$17,0),IF($NP$17="Bell_Curve",$NN$17*(304-$NR$17+1)*($NS$17-304+1)/$NU$17,$NN$17/$NT$17)),0)</f>
        <v/>
      </c>
      <c r="KW17" s="228">
        <f>IF(AND(305&gt;=$NR$17,305&lt;=$NS$17),IF($NP$17="Single_Point",IF(305=$NR$17,$NN$17,0),IF($NP$17="Bell_Curve",$NN$17*(305-$NR$17+1)*($NS$17-305+1)/$NU$17,$NN$17/$NT$17)),0)</f>
        <v/>
      </c>
      <c r="KX17" s="228">
        <f>IF(AND(306&gt;=$NR$17,306&lt;=$NS$17),IF($NP$17="Single_Point",IF(306=$NR$17,$NN$17,0),IF($NP$17="Bell_Curve",$NN$17*(306-$NR$17+1)*($NS$17-306+1)/$NU$17,$NN$17/$NT$17)),0)</f>
        <v/>
      </c>
      <c r="KY17" s="228">
        <f>IF(AND(307&gt;=$NR$17,307&lt;=$NS$17),IF($NP$17="Single_Point",IF(307=$NR$17,$NN$17,0),IF($NP$17="Bell_Curve",$NN$17*(307-$NR$17+1)*($NS$17-307+1)/$NU$17,$NN$17/$NT$17)),0)</f>
        <v/>
      </c>
      <c r="KZ17" s="228">
        <f>IF(AND(308&gt;=$NR$17,308&lt;=$NS$17),IF($NP$17="Single_Point",IF(308=$NR$17,$NN$17,0),IF($NP$17="Bell_Curve",$NN$17*(308-$NR$17+1)*($NS$17-308+1)/$NU$17,$NN$17/$NT$17)),0)</f>
        <v/>
      </c>
      <c r="LA17" s="228">
        <f>IF(AND(309&gt;=$NR$17,309&lt;=$NS$17),IF($NP$17="Single_Point",IF(309=$NR$17,$NN$17,0),IF($NP$17="Bell_Curve",$NN$17*(309-$NR$17+1)*($NS$17-309+1)/$NU$17,$NN$17/$NT$17)),0)</f>
        <v/>
      </c>
      <c r="LB17" s="228">
        <f>IF(AND(310&gt;=$NR$17,310&lt;=$NS$17),IF($NP$17="Single_Point",IF(310=$NR$17,$NN$17,0),IF($NP$17="Bell_Curve",$NN$17*(310-$NR$17+1)*($NS$17-310+1)/$NU$17,$NN$17/$NT$17)),0)</f>
        <v/>
      </c>
      <c r="LC17" s="228">
        <f>IF(AND(311&gt;=$NR$17,311&lt;=$NS$17),IF($NP$17="Single_Point",IF(311=$NR$17,$NN$17,0),IF($NP$17="Bell_Curve",$NN$17*(311-$NR$17+1)*($NS$17-311+1)/$NU$17,$NN$17/$NT$17)),0)</f>
        <v/>
      </c>
      <c r="LD17" s="228">
        <f>IF(AND(312&gt;=$NR$17,312&lt;=$NS$17),IF($NP$17="Single_Point",IF(312=$NR$17,$NN$17,0),IF($NP$17="Bell_Curve",$NN$17*(312-$NR$17+1)*($NS$17-312+1)/$NU$17,$NN$17/$NT$17)),0)</f>
        <v/>
      </c>
      <c r="LE17" s="228">
        <f>IF(AND(313&gt;=$NR$17,313&lt;=$NS$17),IF($NP$17="Single_Point",IF(313=$NR$17,$NN$17,0),IF($NP$17="Bell_Curve",$NN$17*(313-$NR$17+1)*($NS$17-313+1)/$NU$17,$NN$17/$NT$17)),0)</f>
        <v/>
      </c>
      <c r="LF17" s="228">
        <f>IF(AND(314&gt;=$NR$17,314&lt;=$NS$17),IF($NP$17="Single_Point",IF(314=$NR$17,$NN$17,0),IF($NP$17="Bell_Curve",$NN$17*(314-$NR$17+1)*($NS$17-314+1)/$NU$17,$NN$17/$NT$17)),0)</f>
        <v/>
      </c>
      <c r="LG17" s="228">
        <f>IF(AND(315&gt;=$NR$17,315&lt;=$NS$17),IF($NP$17="Single_Point",IF(315=$NR$17,$NN$17,0),IF($NP$17="Bell_Curve",$NN$17*(315-$NR$17+1)*($NS$17-315+1)/$NU$17,$NN$17/$NT$17)),0)</f>
        <v/>
      </c>
      <c r="LH17" s="228">
        <f>IF(AND(316&gt;=$NR$17,316&lt;=$NS$17),IF($NP$17="Single_Point",IF(316=$NR$17,$NN$17,0),IF($NP$17="Bell_Curve",$NN$17*(316-$NR$17+1)*($NS$17-316+1)/$NU$17,$NN$17/$NT$17)),0)</f>
        <v/>
      </c>
      <c r="LI17" s="228">
        <f>IF(AND(317&gt;=$NR$17,317&lt;=$NS$17),IF($NP$17="Single_Point",IF(317=$NR$17,$NN$17,0),IF($NP$17="Bell_Curve",$NN$17*(317-$NR$17+1)*($NS$17-317+1)/$NU$17,$NN$17/$NT$17)),0)</f>
        <v/>
      </c>
      <c r="LJ17" s="228">
        <f>IF(AND(318&gt;=$NR$17,318&lt;=$NS$17),IF($NP$17="Single_Point",IF(318=$NR$17,$NN$17,0),IF($NP$17="Bell_Curve",$NN$17*(318-$NR$17+1)*($NS$17-318+1)/$NU$17,$NN$17/$NT$17)),0)</f>
        <v/>
      </c>
      <c r="LK17" s="228">
        <f>IF(AND(319&gt;=$NR$17,319&lt;=$NS$17),IF($NP$17="Single_Point",IF(319=$NR$17,$NN$17,0),IF($NP$17="Bell_Curve",$NN$17*(319-$NR$17+1)*($NS$17-319+1)/$NU$17,$NN$17/$NT$17)),0)</f>
        <v/>
      </c>
      <c r="LL17" s="228">
        <f>IF(AND(320&gt;=$NR$17,320&lt;=$NS$17),IF($NP$17="Single_Point",IF(320=$NR$17,$NN$17,0),IF($NP$17="Bell_Curve",$NN$17*(320-$NR$17+1)*($NS$17-320+1)/$NU$17,$NN$17/$NT$17)),0)</f>
        <v/>
      </c>
      <c r="LM17" s="228">
        <f>IF(AND(321&gt;=$NR$17,321&lt;=$NS$17),IF($NP$17="Single_Point",IF(321=$NR$17,$NN$17,0),IF($NP$17="Bell_Curve",$NN$17*(321-$NR$17+1)*($NS$17-321+1)/$NU$17,$NN$17/$NT$17)),0)</f>
        <v/>
      </c>
      <c r="LN17" s="228">
        <f>IF(AND(322&gt;=$NR$17,322&lt;=$NS$17),IF($NP$17="Single_Point",IF(322=$NR$17,$NN$17,0),IF($NP$17="Bell_Curve",$NN$17*(322-$NR$17+1)*($NS$17-322+1)/$NU$17,$NN$17/$NT$17)),0)</f>
        <v/>
      </c>
      <c r="LO17" s="228">
        <f>IF(AND(323&gt;=$NR$17,323&lt;=$NS$17),IF($NP$17="Single_Point",IF(323=$NR$17,$NN$17,0),IF($NP$17="Bell_Curve",$NN$17*(323-$NR$17+1)*($NS$17-323+1)/$NU$17,$NN$17/$NT$17)),0)</f>
        <v/>
      </c>
      <c r="LP17" s="228">
        <f>IF(AND(324&gt;=$NR$17,324&lt;=$NS$17),IF($NP$17="Single_Point",IF(324=$NR$17,$NN$17,0),IF($NP$17="Bell_Curve",$NN$17*(324-$NR$17+1)*($NS$17-324+1)/$NU$17,$NN$17/$NT$17)),0)</f>
        <v/>
      </c>
      <c r="LQ17" s="228">
        <f>IF(AND(325&gt;=$NR$17,325&lt;=$NS$17),IF($NP$17="Single_Point",IF(325=$NR$17,$NN$17,0),IF($NP$17="Bell_Curve",$NN$17*(325-$NR$17+1)*($NS$17-325+1)/$NU$17,$NN$17/$NT$17)),0)</f>
        <v/>
      </c>
      <c r="LR17" s="228">
        <f>IF(AND(326&gt;=$NR$17,326&lt;=$NS$17),IF($NP$17="Single_Point",IF(326=$NR$17,$NN$17,0),IF($NP$17="Bell_Curve",$NN$17*(326-$NR$17+1)*($NS$17-326+1)/$NU$17,$NN$17/$NT$17)),0)</f>
        <v/>
      </c>
      <c r="LS17" s="228">
        <f>IF(AND(327&gt;=$NR$17,327&lt;=$NS$17),IF($NP$17="Single_Point",IF(327=$NR$17,$NN$17,0),IF($NP$17="Bell_Curve",$NN$17*(327-$NR$17+1)*($NS$17-327+1)/$NU$17,$NN$17/$NT$17)),0)</f>
        <v/>
      </c>
      <c r="LT17" s="228">
        <f>IF(AND(328&gt;=$NR$17,328&lt;=$NS$17),IF($NP$17="Single_Point",IF(328=$NR$17,$NN$17,0),IF($NP$17="Bell_Curve",$NN$17*(328-$NR$17+1)*($NS$17-328+1)/$NU$17,$NN$17/$NT$17)),0)</f>
        <v/>
      </c>
      <c r="LU17" s="228">
        <f>IF(AND(329&gt;=$NR$17,329&lt;=$NS$17),IF($NP$17="Single_Point",IF(329=$NR$17,$NN$17,0),IF($NP$17="Bell_Curve",$NN$17*(329-$NR$17+1)*($NS$17-329+1)/$NU$17,$NN$17/$NT$17)),0)</f>
        <v/>
      </c>
      <c r="LV17" s="228">
        <f>IF(AND(330&gt;=$NR$17,330&lt;=$NS$17),IF($NP$17="Single_Point",IF(330=$NR$17,$NN$17,0),IF($NP$17="Bell_Curve",$NN$17*(330-$NR$17+1)*($NS$17-330+1)/$NU$17,$NN$17/$NT$17)),0)</f>
        <v/>
      </c>
      <c r="LW17" s="228">
        <f>IF(AND(331&gt;=$NR$17,331&lt;=$NS$17),IF($NP$17="Single_Point",IF(331=$NR$17,$NN$17,0),IF($NP$17="Bell_Curve",$NN$17*(331-$NR$17+1)*($NS$17-331+1)/$NU$17,$NN$17/$NT$17)),0)</f>
        <v/>
      </c>
      <c r="LX17" s="228">
        <f>IF(AND(332&gt;=$NR$17,332&lt;=$NS$17),IF($NP$17="Single_Point",IF(332=$NR$17,$NN$17,0),IF($NP$17="Bell_Curve",$NN$17*(332-$NR$17+1)*($NS$17-332+1)/$NU$17,$NN$17/$NT$17)),0)</f>
        <v/>
      </c>
      <c r="LY17" s="228">
        <f>IF(AND(333&gt;=$NR$17,333&lt;=$NS$17),IF($NP$17="Single_Point",IF(333=$NR$17,$NN$17,0),IF($NP$17="Bell_Curve",$NN$17*(333-$NR$17+1)*($NS$17-333+1)/$NU$17,$NN$17/$NT$17)),0)</f>
        <v/>
      </c>
      <c r="LZ17" s="228">
        <f>IF(AND(334&gt;=$NR$17,334&lt;=$NS$17),IF($NP$17="Single_Point",IF(334=$NR$17,$NN$17,0),IF($NP$17="Bell_Curve",$NN$17*(334-$NR$17+1)*($NS$17-334+1)/$NU$17,$NN$17/$NT$17)),0)</f>
        <v/>
      </c>
      <c r="MA17" s="228">
        <f>IF(AND(335&gt;=$NR$17,335&lt;=$NS$17),IF($NP$17="Single_Point",IF(335=$NR$17,$NN$17,0),IF($NP$17="Bell_Curve",$NN$17*(335-$NR$17+1)*($NS$17-335+1)/$NU$17,$NN$17/$NT$17)),0)</f>
        <v/>
      </c>
      <c r="MB17" s="228">
        <f>IF(AND(336&gt;=$NR$17,336&lt;=$NS$17),IF($NP$17="Single_Point",IF(336=$NR$17,$NN$17,0),IF($NP$17="Bell_Curve",$NN$17*(336-$NR$17+1)*($NS$17-336+1)/$NU$17,$NN$17/$NT$17)),0)</f>
        <v/>
      </c>
      <c r="MC17" s="228">
        <f>IF(AND(337&gt;=$NR$17,337&lt;=$NS$17),IF($NP$17="Single_Point",IF(337=$NR$17,$NN$17,0),IF($NP$17="Bell_Curve",$NN$17*(337-$NR$17+1)*($NS$17-337+1)/$NU$17,$NN$17/$NT$17)),0)</f>
        <v/>
      </c>
      <c r="MD17" s="228">
        <f>IF(AND(338&gt;=$NR$17,338&lt;=$NS$17),IF($NP$17="Single_Point",IF(338=$NR$17,$NN$17,0),IF($NP$17="Bell_Curve",$NN$17*(338-$NR$17+1)*($NS$17-338+1)/$NU$17,$NN$17/$NT$17)),0)</f>
        <v/>
      </c>
      <c r="ME17" s="228">
        <f>IF(AND(339&gt;=$NR$17,339&lt;=$NS$17),IF($NP$17="Single_Point",IF(339=$NR$17,$NN$17,0),IF($NP$17="Bell_Curve",$NN$17*(339-$NR$17+1)*($NS$17-339+1)/$NU$17,$NN$17/$NT$17)),0)</f>
        <v/>
      </c>
      <c r="MF17" s="228">
        <f>IF(AND(340&gt;=$NR$17,340&lt;=$NS$17),IF($NP$17="Single_Point",IF(340=$NR$17,$NN$17,0),IF($NP$17="Bell_Curve",$NN$17*(340-$NR$17+1)*($NS$17-340+1)/$NU$17,$NN$17/$NT$17)),0)</f>
        <v/>
      </c>
      <c r="MG17" s="228">
        <f>IF(AND(341&gt;=$NR$17,341&lt;=$NS$17),IF($NP$17="Single_Point",IF(341=$NR$17,$NN$17,0),IF($NP$17="Bell_Curve",$NN$17*(341-$NR$17+1)*($NS$17-341+1)/$NU$17,$NN$17/$NT$17)),0)</f>
        <v/>
      </c>
      <c r="MH17" s="228">
        <f>IF(AND(342&gt;=$NR$17,342&lt;=$NS$17),IF($NP$17="Single_Point",IF(342=$NR$17,$NN$17,0),IF($NP$17="Bell_Curve",$NN$17*(342-$NR$17+1)*($NS$17-342+1)/$NU$17,$NN$17/$NT$17)),0)</f>
        <v/>
      </c>
      <c r="MI17" s="228">
        <f>IF(AND(343&gt;=$NR$17,343&lt;=$NS$17),IF($NP$17="Single_Point",IF(343=$NR$17,$NN$17,0),IF($NP$17="Bell_Curve",$NN$17*(343-$NR$17+1)*($NS$17-343+1)/$NU$17,$NN$17/$NT$17)),0)</f>
        <v/>
      </c>
      <c r="MJ17" s="228">
        <f>IF(AND(344&gt;=$NR$17,344&lt;=$NS$17),IF($NP$17="Single_Point",IF(344=$NR$17,$NN$17,0),IF($NP$17="Bell_Curve",$NN$17*(344-$NR$17+1)*($NS$17-344+1)/$NU$17,$NN$17/$NT$17)),0)</f>
        <v/>
      </c>
      <c r="MK17" s="228">
        <f>IF(AND(345&gt;=$NR$17,345&lt;=$NS$17),IF($NP$17="Single_Point",IF(345=$NR$17,$NN$17,0),IF($NP$17="Bell_Curve",$NN$17*(345-$NR$17+1)*($NS$17-345+1)/$NU$17,$NN$17/$NT$17)),0)</f>
        <v/>
      </c>
      <c r="ML17" s="228">
        <f>IF(AND(346&gt;=$NR$17,346&lt;=$NS$17),IF($NP$17="Single_Point",IF(346=$NR$17,$NN$17,0),IF($NP$17="Bell_Curve",$NN$17*(346-$NR$17+1)*($NS$17-346+1)/$NU$17,$NN$17/$NT$17)),0)</f>
        <v/>
      </c>
      <c r="MM17" s="228">
        <f>IF(AND(347&gt;=$NR$17,347&lt;=$NS$17),IF($NP$17="Single_Point",IF(347=$NR$17,$NN$17,0),IF($NP$17="Bell_Curve",$NN$17*(347-$NR$17+1)*($NS$17-347+1)/$NU$17,$NN$17/$NT$17)),0)</f>
        <v/>
      </c>
      <c r="MN17" s="228">
        <f>IF(AND(348&gt;=$NR$17,348&lt;=$NS$17),IF($NP$17="Single_Point",IF(348=$NR$17,$NN$17,0),IF($NP$17="Bell_Curve",$NN$17*(348-$NR$17+1)*($NS$17-348+1)/$NU$17,$NN$17/$NT$17)),0)</f>
        <v/>
      </c>
      <c r="MO17" s="228">
        <f>IF(AND(349&gt;=$NR$17,349&lt;=$NS$17),IF($NP$17="Single_Point",IF(349=$NR$17,$NN$17,0),IF($NP$17="Bell_Curve",$NN$17*(349-$NR$17+1)*($NS$17-349+1)/$NU$17,$NN$17/$NT$17)),0)</f>
        <v/>
      </c>
      <c r="MP17" s="228">
        <f>IF(AND(350&gt;=$NR$17,350&lt;=$NS$17),IF($NP$17="Single_Point",IF(350=$NR$17,$NN$17,0),IF($NP$17="Bell_Curve",$NN$17*(350-$NR$17+1)*($NS$17-350+1)/$NU$17,$NN$17/$NT$17)),0)</f>
        <v/>
      </c>
      <c r="MQ17" s="228">
        <f>IF(AND(351&gt;=$NR$17,351&lt;=$NS$17),IF($NP$17="Single_Point",IF(351=$NR$17,$NN$17,0),IF($NP$17="Bell_Curve",$NN$17*(351-$NR$17+1)*($NS$17-351+1)/$NU$17,$NN$17/$NT$17)),0)</f>
        <v/>
      </c>
      <c r="MR17" s="228">
        <f>IF(AND(352&gt;=$NR$17,352&lt;=$NS$17),IF($NP$17="Single_Point",IF(352=$NR$17,$NN$17,0),IF($NP$17="Bell_Curve",$NN$17*(352-$NR$17+1)*($NS$17-352+1)/$NU$17,$NN$17/$NT$17)),0)</f>
        <v/>
      </c>
      <c r="MS17" s="228">
        <f>IF(AND(353&gt;=$NR$17,353&lt;=$NS$17),IF($NP$17="Single_Point",IF(353=$NR$17,$NN$17,0),IF($NP$17="Bell_Curve",$NN$17*(353-$NR$17+1)*($NS$17-353+1)/$NU$17,$NN$17/$NT$17)),0)</f>
        <v/>
      </c>
      <c r="MT17" s="228">
        <f>IF(AND(354&gt;=$NR$17,354&lt;=$NS$17),IF($NP$17="Single_Point",IF(354=$NR$17,$NN$17,0),IF($NP$17="Bell_Curve",$NN$17*(354-$NR$17+1)*($NS$17-354+1)/$NU$17,$NN$17/$NT$17)),0)</f>
        <v/>
      </c>
      <c r="MU17" s="228">
        <f>IF(AND(355&gt;=$NR$17,355&lt;=$NS$17),IF($NP$17="Single_Point",IF(355=$NR$17,$NN$17,0),IF($NP$17="Bell_Curve",$NN$17*(355-$NR$17+1)*($NS$17-355+1)/$NU$17,$NN$17/$NT$17)),0)</f>
        <v/>
      </c>
      <c r="MV17" s="228">
        <f>IF(AND(356&gt;=$NR$17,356&lt;=$NS$17),IF($NP$17="Single_Point",IF(356=$NR$17,$NN$17,0),IF($NP$17="Bell_Curve",$NN$17*(356-$NR$17+1)*($NS$17-356+1)/$NU$17,$NN$17/$NT$17)),0)</f>
        <v/>
      </c>
      <c r="MW17" s="228">
        <f>IF(AND(357&gt;=$NR$17,357&lt;=$NS$17),IF($NP$17="Single_Point",IF(357=$NR$17,$NN$17,0),IF($NP$17="Bell_Curve",$NN$17*(357-$NR$17+1)*($NS$17-357+1)/$NU$17,$NN$17/$NT$17)),0)</f>
        <v/>
      </c>
      <c r="MX17" s="228">
        <f>IF(AND(358&gt;=$NR$17,358&lt;=$NS$17),IF($NP$17="Single_Point",IF(358=$NR$17,$NN$17,0),IF($NP$17="Bell_Curve",$NN$17*(358-$NR$17+1)*($NS$17-358+1)/$NU$17,$NN$17/$NT$17)),0)</f>
        <v/>
      </c>
      <c r="MY17" s="228">
        <f>IF(AND(359&gt;=$NR$17,359&lt;=$NS$17),IF($NP$17="Single_Point",IF(359=$NR$17,$NN$17,0),IF($NP$17="Bell_Curve",$NN$17*(359-$NR$17+1)*($NS$17-359+1)/$NU$17,$NN$17/$NT$17)),0)</f>
        <v/>
      </c>
      <c r="MZ17" s="228">
        <f>IF(AND(360&gt;=$NR$17,360&lt;=$NS$17),IF($NP$17="Single_Point",IF(360=$NR$17,$NN$17,0),IF($NP$17="Bell_Curve",$NN$17*(360-$NR$17+1)*($NS$17-360+1)/$NU$17,$NN$17/$NT$17)),0)</f>
        <v/>
      </c>
      <c r="NA17" s="228">
        <f>IF(AND(361&gt;=$NR$17,361&lt;=$NS$17),IF($NP$17="Single_Point",IF(361=$NR$17,$NN$17,0),IF($NP$17="Bell_Curve",$NN$17*(361-$NR$17+1)*($NS$17-361+1)/$NU$17,$NN$17/$NT$17)),0)</f>
        <v/>
      </c>
      <c r="NB17" s="228">
        <f>IF(AND(362&gt;=$NR$17,362&lt;=$NS$17),IF($NP$17="Single_Point",IF(362=$NR$17,$NN$17,0),IF($NP$17="Bell_Curve",$NN$17*(362-$NR$17+1)*($NS$17-362+1)/$NU$17,$NN$17/$NT$17)),0)</f>
        <v/>
      </c>
      <c r="NC17" s="228">
        <f>IF(AND(363&gt;=$NR$17,363&lt;=$NS$17),IF($NP$17="Single_Point",IF(363=$NR$17,$NN$17,0),IF($NP$17="Bell_Curve",$NN$17*(363-$NR$17+1)*($NS$17-363+1)/$NU$17,$NN$17/$NT$17)),0)</f>
        <v/>
      </c>
      <c r="ND17" s="228">
        <f>IF(AND(364&gt;=$NR$17,364&lt;=$NS$17),IF($NP$17="Single_Point",IF(364=$NR$17,$NN$17,0),IF($NP$17="Bell_Curve",$NN$17*(364-$NR$17+1)*($NS$17-364+1)/$NU$17,$NN$17/$NT$17)),0)</f>
        <v/>
      </c>
      <c r="NE17" s="228">
        <f>IF(AND(365&gt;=$NR$17,365&lt;=$NS$17),IF($NP$17="Single_Point",IF(365=$NR$17,$NN$17,0),IF($NP$17="Bell_Curve",$NN$17*(365-$NR$17+1)*($NS$17-365+1)/$NU$17,$NN$17/$NT$17)),0)</f>
        <v/>
      </c>
      <c r="NF17" s="228">
        <f>IF(AND(366&gt;=$NR$17,366&lt;=$NS$17),IF($NP$17="Single_Point",IF(366=$NR$17,$NN$17,0),IF($NP$17="Bell_Curve",$NN$17*(366-$NR$17+1)*($NS$17-366+1)/$NU$17,$NN$17/$NT$17)),0)</f>
        <v/>
      </c>
      <c r="NG17" s="228">
        <f>IF(AND(367&gt;=$NR$17,367&lt;=$NS$17),IF($NP$17="Single_Point",IF(367=$NR$17,$NN$17,0),IF($NP$17="Bell_Curve",$NN$17*(367-$NR$17+1)*($NS$17-367+1)/$NU$17,$NN$17/$NT$17)),0)</f>
        <v/>
      </c>
      <c r="NH17" s="228">
        <f>IF(AND(368&gt;=$NR$17,368&lt;=$NS$17),IF($NP$17="Single_Point",IF(368=$NR$17,$NN$17,0),IF($NP$17="Bell_Curve",$NN$17*(368-$NR$17+1)*($NS$17-368+1)/$NU$17,$NN$17/$NT$17)),0)</f>
        <v/>
      </c>
      <c r="NI17" s="228">
        <f>IF(AND(369&gt;=$NR$17,369&lt;=$NS$17),IF($NP$17="Single_Point",IF(369=$NR$17,$NN$17,0),IF($NP$17="Bell_Curve",$NN$17*(369-$NR$17+1)*($NS$17-369+1)/$NU$17,$NN$17/$NT$17)),0)</f>
        <v/>
      </c>
      <c r="NJ17" s="228">
        <f>IF(AND(370&gt;=$NR$17,370&lt;=$NS$17),IF($NP$17="Single_Point",IF(370=$NR$17,$NN$17,0),IF($NP$17="Bell_Curve",$NN$17*(370-$NR$17+1)*($NS$17-370+1)/$NU$17,$NN$17/$NT$17)),0)</f>
        <v/>
      </c>
      <c r="NK17" s="228">
        <f>IF(AND(371&gt;=$NR$17,371&lt;=$NS$17),IF($NP$17="Single_Point",IF(371=$NR$17,$NN$17,0),IF($NP$17="Bell_Curve",$NN$17*(371-$NR$17+1)*($NS$17-371+1)/$NU$17,$NN$17/$NT$17)),0)</f>
        <v/>
      </c>
      <c r="NL17" s="247">
        <f>IF(AND(372&gt;=$NR$17,372&lt;=$NS$17),IF($NP$17="Single_Point",IF(372=$NR$17,$NN$17,0),IF($NP$17="Bell_Curve",$NN$17*(372-$NR$17+1)*($NS$17-372+1)/$NU$17,$NN$17/$NT$17)),0)</f>
        <v/>
      </c>
      <c r="NN17" s="218">
        <f>Budget!J16</f>
        <v/>
      </c>
      <c r="NO17" s="144">
        <f>Budget!G16</f>
        <v/>
      </c>
      <c r="NP17" s="144">
        <f>Budget!H16</f>
        <v/>
      </c>
      <c r="NQ17" s="85">
        <f>Budget!I16</f>
        <v/>
      </c>
      <c r="NR17" s="248">
        <f>MAX(1,MIN(372,INDEX(MilestoneStart,MATCH(NO17,MilestoneNames,0))+NQ17))</f>
        <v/>
      </c>
      <c r="NS17" s="248">
        <f>MAX(NR17,MIN(372,INDEX(MilestoneEnd,MATCH(NO17,MilestoneNames,0))+NQ17))</f>
        <v/>
      </c>
      <c r="NT17" s="85">
        <f>NS17-NR17+1</f>
        <v/>
      </c>
      <c r="NU17" s="85">
        <f>NT17*(NT17+1)*(NT17+2)/6</f>
        <v/>
      </c>
    </row>
    <row r="18">
      <c r="B18" s="36" t="inlineStr">
        <is>
          <t>Builder's Risk</t>
        </is>
      </c>
      <c r="D18" s="246">
        <f>SUM(E18:NL18)</f>
        <v/>
      </c>
      <c r="E18" s="228">
        <f>IF(AND(1&gt;=$NR$18,1&lt;=$NS$18),IF($NP$18="Single_Point",IF(1=$NR$18,$NN$18,0),IF($NP$18="Bell_Curve",$NN$18*(1-$NR$18+1)*($NS$18-1+1)/$NU$18,$NN$18/$NT$18)),0)</f>
        <v/>
      </c>
      <c r="F18" s="228">
        <f>IF(AND(2&gt;=$NR$18,2&lt;=$NS$18),IF($NP$18="Single_Point",IF(2=$NR$18,$NN$18,0),IF($NP$18="Bell_Curve",$NN$18*(2-$NR$18+1)*($NS$18-2+1)/$NU$18,$NN$18/$NT$18)),0)</f>
        <v/>
      </c>
      <c r="G18" s="228">
        <f>IF(AND(3&gt;=$NR$18,3&lt;=$NS$18),IF($NP$18="Single_Point",IF(3=$NR$18,$NN$18,0),IF($NP$18="Bell_Curve",$NN$18*(3-$NR$18+1)*($NS$18-3+1)/$NU$18,$NN$18/$NT$18)),0)</f>
        <v/>
      </c>
      <c r="H18" s="228">
        <f>IF(AND(4&gt;=$NR$18,4&lt;=$NS$18),IF($NP$18="Single_Point",IF(4=$NR$18,$NN$18,0),IF($NP$18="Bell_Curve",$NN$18*(4-$NR$18+1)*($NS$18-4+1)/$NU$18,$NN$18/$NT$18)),0)</f>
        <v/>
      </c>
      <c r="I18" s="228">
        <f>IF(AND(5&gt;=$NR$18,5&lt;=$NS$18),IF($NP$18="Single_Point",IF(5=$NR$18,$NN$18,0),IF($NP$18="Bell_Curve",$NN$18*(5-$NR$18+1)*($NS$18-5+1)/$NU$18,$NN$18/$NT$18)),0)</f>
        <v/>
      </c>
      <c r="J18" s="228">
        <f>IF(AND(6&gt;=$NR$18,6&lt;=$NS$18),IF($NP$18="Single_Point",IF(6=$NR$18,$NN$18,0),IF($NP$18="Bell_Curve",$NN$18*(6-$NR$18+1)*($NS$18-6+1)/$NU$18,$NN$18/$NT$18)),0)</f>
        <v/>
      </c>
      <c r="K18" s="228">
        <f>IF(AND(7&gt;=$NR$18,7&lt;=$NS$18),IF($NP$18="Single_Point",IF(7=$NR$18,$NN$18,0),IF($NP$18="Bell_Curve",$NN$18*(7-$NR$18+1)*($NS$18-7+1)/$NU$18,$NN$18/$NT$18)),0)</f>
        <v/>
      </c>
      <c r="L18" s="228">
        <f>IF(AND(8&gt;=$NR$18,8&lt;=$NS$18),IF($NP$18="Single_Point",IF(8=$NR$18,$NN$18,0),IF($NP$18="Bell_Curve",$NN$18*(8-$NR$18+1)*($NS$18-8+1)/$NU$18,$NN$18/$NT$18)),0)</f>
        <v/>
      </c>
      <c r="M18" s="228">
        <f>IF(AND(9&gt;=$NR$18,9&lt;=$NS$18),IF($NP$18="Single_Point",IF(9=$NR$18,$NN$18,0),IF($NP$18="Bell_Curve",$NN$18*(9-$NR$18+1)*($NS$18-9+1)/$NU$18,$NN$18/$NT$18)),0)</f>
        <v/>
      </c>
      <c r="N18" s="228">
        <f>IF(AND(10&gt;=$NR$18,10&lt;=$NS$18),IF($NP$18="Single_Point",IF(10=$NR$18,$NN$18,0),IF($NP$18="Bell_Curve",$NN$18*(10-$NR$18+1)*($NS$18-10+1)/$NU$18,$NN$18/$NT$18)),0)</f>
        <v/>
      </c>
      <c r="O18" s="228">
        <f>IF(AND(11&gt;=$NR$18,11&lt;=$NS$18),IF($NP$18="Single_Point",IF(11=$NR$18,$NN$18,0),IF($NP$18="Bell_Curve",$NN$18*(11-$NR$18+1)*($NS$18-11+1)/$NU$18,$NN$18/$NT$18)),0)</f>
        <v/>
      </c>
      <c r="P18" s="228">
        <f>IF(AND(12&gt;=$NR$18,12&lt;=$NS$18),IF($NP$18="Single_Point",IF(12=$NR$18,$NN$18,0),IF($NP$18="Bell_Curve",$NN$18*(12-$NR$18+1)*($NS$18-12+1)/$NU$18,$NN$18/$NT$18)),0)</f>
        <v/>
      </c>
      <c r="Q18" s="228">
        <f>IF(AND(13&gt;=$NR$18,13&lt;=$NS$18),IF($NP$18="Single_Point",IF(13=$NR$18,$NN$18,0),IF($NP$18="Bell_Curve",$NN$18*(13-$NR$18+1)*($NS$18-13+1)/$NU$18,$NN$18/$NT$18)),0)</f>
        <v/>
      </c>
      <c r="R18" s="228">
        <f>IF(AND(14&gt;=$NR$18,14&lt;=$NS$18),IF($NP$18="Single_Point",IF(14=$NR$18,$NN$18,0),IF($NP$18="Bell_Curve",$NN$18*(14-$NR$18+1)*($NS$18-14+1)/$NU$18,$NN$18/$NT$18)),0)</f>
        <v/>
      </c>
      <c r="S18" s="228">
        <f>IF(AND(15&gt;=$NR$18,15&lt;=$NS$18),IF($NP$18="Single_Point",IF(15=$NR$18,$NN$18,0),IF($NP$18="Bell_Curve",$NN$18*(15-$NR$18+1)*($NS$18-15+1)/$NU$18,$NN$18/$NT$18)),0)</f>
        <v/>
      </c>
      <c r="T18" s="228">
        <f>IF(AND(16&gt;=$NR$18,16&lt;=$NS$18),IF($NP$18="Single_Point",IF(16=$NR$18,$NN$18,0),IF($NP$18="Bell_Curve",$NN$18*(16-$NR$18+1)*($NS$18-16+1)/$NU$18,$NN$18/$NT$18)),0)</f>
        <v/>
      </c>
      <c r="U18" s="228">
        <f>IF(AND(17&gt;=$NR$18,17&lt;=$NS$18),IF($NP$18="Single_Point",IF(17=$NR$18,$NN$18,0),IF($NP$18="Bell_Curve",$NN$18*(17-$NR$18+1)*($NS$18-17+1)/$NU$18,$NN$18/$NT$18)),0)</f>
        <v/>
      </c>
      <c r="V18" s="228">
        <f>IF(AND(18&gt;=$NR$18,18&lt;=$NS$18),IF($NP$18="Single_Point",IF(18=$NR$18,$NN$18,0),IF($NP$18="Bell_Curve",$NN$18*(18-$NR$18+1)*($NS$18-18+1)/$NU$18,$NN$18/$NT$18)),0)</f>
        <v/>
      </c>
      <c r="W18" s="228">
        <f>IF(AND(19&gt;=$NR$18,19&lt;=$NS$18),IF($NP$18="Single_Point",IF(19=$NR$18,$NN$18,0),IF($NP$18="Bell_Curve",$NN$18*(19-$NR$18+1)*($NS$18-19+1)/$NU$18,$NN$18/$NT$18)),0)</f>
        <v/>
      </c>
      <c r="X18" s="228">
        <f>IF(AND(20&gt;=$NR$18,20&lt;=$NS$18),IF($NP$18="Single_Point",IF(20=$NR$18,$NN$18,0),IF($NP$18="Bell_Curve",$NN$18*(20-$NR$18+1)*($NS$18-20+1)/$NU$18,$NN$18/$NT$18)),0)</f>
        <v/>
      </c>
      <c r="Y18" s="228">
        <f>IF(AND(21&gt;=$NR$18,21&lt;=$NS$18),IF($NP$18="Single_Point",IF(21=$NR$18,$NN$18,0),IF($NP$18="Bell_Curve",$NN$18*(21-$NR$18+1)*($NS$18-21+1)/$NU$18,$NN$18/$NT$18)),0)</f>
        <v/>
      </c>
      <c r="Z18" s="228">
        <f>IF(AND(22&gt;=$NR$18,22&lt;=$NS$18),IF($NP$18="Single_Point",IF(22=$NR$18,$NN$18,0),IF($NP$18="Bell_Curve",$NN$18*(22-$NR$18+1)*($NS$18-22+1)/$NU$18,$NN$18/$NT$18)),0)</f>
        <v/>
      </c>
      <c r="AA18" s="228">
        <f>IF(AND(23&gt;=$NR$18,23&lt;=$NS$18),IF($NP$18="Single_Point",IF(23=$NR$18,$NN$18,0),IF($NP$18="Bell_Curve",$NN$18*(23-$NR$18+1)*($NS$18-23+1)/$NU$18,$NN$18/$NT$18)),0)</f>
        <v/>
      </c>
      <c r="AB18" s="228">
        <f>IF(AND(24&gt;=$NR$18,24&lt;=$NS$18),IF($NP$18="Single_Point",IF(24=$NR$18,$NN$18,0),IF($NP$18="Bell_Curve",$NN$18*(24-$NR$18+1)*($NS$18-24+1)/$NU$18,$NN$18/$NT$18)),0)</f>
        <v/>
      </c>
      <c r="AC18" s="228">
        <f>IF(AND(25&gt;=$NR$18,25&lt;=$NS$18),IF($NP$18="Single_Point",IF(25=$NR$18,$NN$18,0),IF($NP$18="Bell_Curve",$NN$18*(25-$NR$18+1)*($NS$18-25+1)/$NU$18,$NN$18/$NT$18)),0)</f>
        <v/>
      </c>
      <c r="AD18" s="228">
        <f>IF(AND(26&gt;=$NR$18,26&lt;=$NS$18),IF($NP$18="Single_Point",IF(26=$NR$18,$NN$18,0),IF($NP$18="Bell_Curve",$NN$18*(26-$NR$18+1)*($NS$18-26+1)/$NU$18,$NN$18/$NT$18)),0)</f>
        <v/>
      </c>
      <c r="AE18" s="228">
        <f>IF(AND(27&gt;=$NR$18,27&lt;=$NS$18),IF($NP$18="Single_Point",IF(27=$NR$18,$NN$18,0),IF($NP$18="Bell_Curve",$NN$18*(27-$NR$18+1)*($NS$18-27+1)/$NU$18,$NN$18/$NT$18)),0)</f>
        <v/>
      </c>
      <c r="AF18" s="228">
        <f>IF(AND(28&gt;=$NR$18,28&lt;=$NS$18),IF($NP$18="Single_Point",IF(28=$NR$18,$NN$18,0),IF($NP$18="Bell_Curve",$NN$18*(28-$NR$18+1)*($NS$18-28+1)/$NU$18,$NN$18/$NT$18)),0)</f>
        <v/>
      </c>
      <c r="AG18" s="228">
        <f>IF(AND(29&gt;=$NR$18,29&lt;=$NS$18),IF($NP$18="Single_Point",IF(29=$NR$18,$NN$18,0),IF($NP$18="Bell_Curve",$NN$18*(29-$NR$18+1)*($NS$18-29+1)/$NU$18,$NN$18/$NT$18)),0)</f>
        <v/>
      </c>
      <c r="AH18" s="228">
        <f>IF(AND(30&gt;=$NR$18,30&lt;=$NS$18),IF($NP$18="Single_Point",IF(30=$NR$18,$NN$18,0),IF($NP$18="Bell_Curve",$NN$18*(30-$NR$18+1)*($NS$18-30+1)/$NU$18,$NN$18/$NT$18)),0)</f>
        <v/>
      </c>
      <c r="AI18" s="228">
        <f>IF(AND(31&gt;=$NR$18,31&lt;=$NS$18),IF($NP$18="Single_Point",IF(31=$NR$18,$NN$18,0),IF($NP$18="Bell_Curve",$NN$18*(31-$NR$18+1)*($NS$18-31+1)/$NU$18,$NN$18/$NT$18)),0)</f>
        <v/>
      </c>
      <c r="AJ18" s="228">
        <f>IF(AND(32&gt;=$NR$18,32&lt;=$NS$18),IF($NP$18="Single_Point",IF(32=$NR$18,$NN$18,0),IF($NP$18="Bell_Curve",$NN$18*(32-$NR$18+1)*($NS$18-32+1)/$NU$18,$NN$18/$NT$18)),0)</f>
        <v/>
      </c>
      <c r="AK18" s="228">
        <f>IF(AND(33&gt;=$NR$18,33&lt;=$NS$18),IF($NP$18="Single_Point",IF(33=$NR$18,$NN$18,0),IF($NP$18="Bell_Curve",$NN$18*(33-$NR$18+1)*($NS$18-33+1)/$NU$18,$NN$18/$NT$18)),0)</f>
        <v/>
      </c>
      <c r="AL18" s="228">
        <f>IF(AND(34&gt;=$NR$18,34&lt;=$NS$18),IF($NP$18="Single_Point",IF(34=$NR$18,$NN$18,0),IF($NP$18="Bell_Curve",$NN$18*(34-$NR$18+1)*($NS$18-34+1)/$NU$18,$NN$18/$NT$18)),0)</f>
        <v/>
      </c>
      <c r="AM18" s="228">
        <f>IF(AND(35&gt;=$NR$18,35&lt;=$NS$18),IF($NP$18="Single_Point",IF(35=$NR$18,$NN$18,0),IF($NP$18="Bell_Curve",$NN$18*(35-$NR$18+1)*($NS$18-35+1)/$NU$18,$NN$18/$NT$18)),0)</f>
        <v/>
      </c>
      <c r="AN18" s="228">
        <f>IF(AND(36&gt;=$NR$18,36&lt;=$NS$18),IF($NP$18="Single_Point",IF(36=$NR$18,$NN$18,0),IF($NP$18="Bell_Curve",$NN$18*(36-$NR$18+1)*($NS$18-36+1)/$NU$18,$NN$18/$NT$18)),0)</f>
        <v/>
      </c>
      <c r="AO18" s="228">
        <f>IF(AND(37&gt;=$NR$18,37&lt;=$NS$18),IF($NP$18="Single_Point",IF(37=$NR$18,$NN$18,0),IF($NP$18="Bell_Curve",$NN$18*(37-$NR$18+1)*($NS$18-37+1)/$NU$18,$NN$18/$NT$18)),0)</f>
        <v/>
      </c>
      <c r="AP18" s="228">
        <f>IF(AND(38&gt;=$NR$18,38&lt;=$NS$18),IF($NP$18="Single_Point",IF(38=$NR$18,$NN$18,0),IF($NP$18="Bell_Curve",$NN$18*(38-$NR$18+1)*($NS$18-38+1)/$NU$18,$NN$18/$NT$18)),0)</f>
        <v/>
      </c>
      <c r="AQ18" s="228">
        <f>IF(AND(39&gt;=$NR$18,39&lt;=$NS$18),IF($NP$18="Single_Point",IF(39=$NR$18,$NN$18,0),IF($NP$18="Bell_Curve",$NN$18*(39-$NR$18+1)*($NS$18-39+1)/$NU$18,$NN$18/$NT$18)),0)</f>
        <v/>
      </c>
      <c r="AR18" s="228">
        <f>IF(AND(40&gt;=$NR$18,40&lt;=$NS$18),IF($NP$18="Single_Point",IF(40=$NR$18,$NN$18,0),IF($NP$18="Bell_Curve",$NN$18*(40-$NR$18+1)*($NS$18-40+1)/$NU$18,$NN$18/$NT$18)),0)</f>
        <v/>
      </c>
      <c r="AS18" s="228">
        <f>IF(AND(41&gt;=$NR$18,41&lt;=$NS$18),IF($NP$18="Single_Point",IF(41=$NR$18,$NN$18,0),IF($NP$18="Bell_Curve",$NN$18*(41-$NR$18+1)*($NS$18-41+1)/$NU$18,$NN$18/$NT$18)),0)</f>
        <v/>
      </c>
      <c r="AT18" s="228">
        <f>IF(AND(42&gt;=$NR$18,42&lt;=$NS$18),IF($NP$18="Single_Point",IF(42=$NR$18,$NN$18,0),IF($NP$18="Bell_Curve",$NN$18*(42-$NR$18+1)*($NS$18-42+1)/$NU$18,$NN$18/$NT$18)),0)</f>
        <v/>
      </c>
      <c r="AU18" s="228">
        <f>IF(AND(43&gt;=$NR$18,43&lt;=$NS$18),IF($NP$18="Single_Point",IF(43=$NR$18,$NN$18,0),IF($NP$18="Bell_Curve",$NN$18*(43-$NR$18+1)*($NS$18-43+1)/$NU$18,$NN$18/$NT$18)),0)</f>
        <v/>
      </c>
      <c r="AV18" s="228">
        <f>IF(AND(44&gt;=$NR$18,44&lt;=$NS$18),IF($NP$18="Single_Point",IF(44=$NR$18,$NN$18,0),IF($NP$18="Bell_Curve",$NN$18*(44-$NR$18+1)*($NS$18-44+1)/$NU$18,$NN$18/$NT$18)),0)</f>
        <v/>
      </c>
      <c r="AW18" s="228">
        <f>IF(AND(45&gt;=$NR$18,45&lt;=$NS$18),IF($NP$18="Single_Point",IF(45=$NR$18,$NN$18,0),IF($NP$18="Bell_Curve",$NN$18*(45-$NR$18+1)*($NS$18-45+1)/$NU$18,$NN$18/$NT$18)),0)</f>
        <v/>
      </c>
      <c r="AX18" s="228">
        <f>IF(AND(46&gt;=$NR$18,46&lt;=$NS$18),IF($NP$18="Single_Point",IF(46=$NR$18,$NN$18,0),IF($NP$18="Bell_Curve",$NN$18*(46-$NR$18+1)*($NS$18-46+1)/$NU$18,$NN$18/$NT$18)),0)</f>
        <v/>
      </c>
      <c r="AY18" s="228">
        <f>IF(AND(47&gt;=$NR$18,47&lt;=$NS$18),IF($NP$18="Single_Point",IF(47=$NR$18,$NN$18,0),IF($NP$18="Bell_Curve",$NN$18*(47-$NR$18+1)*($NS$18-47+1)/$NU$18,$NN$18/$NT$18)),0)</f>
        <v/>
      </c>
      <c r="AZ18" s="228">
        <f>IF(AND(48&gt;=$NR$18,48&lt;=$NS$18),IF($NP$18="Single_Point",IF(48=$NR$18,$NN$18,0),IF($NP$18="Bell_Curve",$NN$18*(48-$NR$18+1)*($NS$18-48+1)/$NU$18,$NN$18/$NT$18)),0)</f>
        <v/>
      </c>
      <c r="BA18" s="228">
        <f>IF(AND(49&gt;=$NR$18,49&lt;=$NS$18),IF($NP$18="Single_Point",IF(49=$NR$18,$NN$18,0),IF($NP$18="Bell_Curve",$NN$18*(49-$NR$18+1)*($NS$18-49+1)/$NU$18,$NN$18/$NT$18)),0)</f>
        <v/>
      </c>
      <c r="BB18" s="228">
        <f>IF(AND(50&gt;=$NR$18,50&lt;=$NS$18),IF($NP$18="Single_Point",IF(50=$NR$18,$NN$18,0),IF($NP$18="Bell_Curve",$NN$18*(50-$NR$18+1)*($NS$18-50+1)/$NU$18,$NN$18/$NT$18)),0)</f>
        <v/>
      </c>
      <c r="BC18" s="228">
        <f>IF(AND(51&gt;=$NR$18,51&lt;=$NS$18),IF($NP$18="Single_Point",IF(51=$NR$18,$NN$18,0),IF($NP$18="Bell_Curve",$NN$18*(51-$NR$18+1)*($NS$18-51+1)/$NU$18,$NN$18/$NT$18)),0)</f>
        <v/>
      </c>
      <c r="BD18" s="228">
        <f>IF(AND(52&gt;=$NR$18,52&lt;=$NS$18),IF($NP$18="Single_Point",IF(52=$NR$18,$NN$18,0),IF($NP$18="Bell_Curve",$NN$18*(52-$NR$18+1)*($NS$18-52+1)/$NU$18,$NN$18/$NT$18)),0)</f>
        <v/>
      </c>
      <c r="BE18" s="228">
        <f>IF(AND(53&gt;=$NR$18,53&lt;=$NS$18),IF($NP$18="Single_Point",IF(53=$NR$18,$NN$18,0),IF($NP$18="Bell_Curve",$NN$18*(53-$NR$18+1)*($NS$18-53+1)/$NU$18,$NN$18/$NT$18)),0)</f>
        <v/>
      </c>
      <c r="BF18" s="228">
        <f>IF(AND(54&gt;=$NR$18,54&lt;=$NS$18),IF($NP$18="Single_Point",IF(54=$NR$18,$NN$18,0),IF($NP$18="Bell_Curve",$NN$18*(54-$NR$18+1)*($NS$18-54+1)/$NU$18,$NN$18/$NT$18)),0)</f>
        <v/>
      </c>
      <c r="BG18" s="228">
        <f>IF(AND(55&gt;=$NR$18,55&lt;=$NS$18),IF($NP$18="Single_Point",IF(55=$NR$18,$NN$18,0),IF($NP$18="Bell_Curve",$NN$18*(55-$NR$18+1)*($NS$18-55+1)/$NU$18,$NN$18/$NT$18)),0)</f>
        <v/>
      </c>
      <c r="BH18" s="228">
        <f>IF(AND(56&gt;=$NR$18,56&lt;=$NS$18),IF($NP$18="Single_Point",IF(56=$NR$18,$NN$18,0),IF($NP$18="Bell_Curve",$NN$18*(56-$NR$18+1)*($NS$18-56+1)/$NU$18,$NN$18/$NT$18)),0)</f>
        <v/>
      </c>
      <c r="BI18" s="228">
        <f>IF(AND(57&gt;=$NR$18,57&lt;=$NS$18),IF($NP$18="Single_Point",IF(57=$NR$18,$NN$18,0),IF($NP$18="Bell_Curve",$NN$18*(57-$NR$18+1)*($NS$18-57+1)/$NU$18,$NN$18/$NT$18)),0)</f>
        <v/>
      </c>
      <c r="BJ18" s="228">
        <f>IF(AND(58&gt;=$NR$18,58&lt;=$NS$18),IF($NP$18="Single_Point",IF(58=$NR$18,$NN$18,0),IF($NP$18="Bell_Curve",$NN$18*(58-$NR$18+1)*($NS$18-58+1)/$NU$18,$NN$18/$NT$18)),0)</f>
        <v/>
      </c>
      <c r="BK18" s="228">
        <f>IF(AND(59&gt;=$NR$18,59&lt;=$NS$18),IF($NP$18="Single_Point",IF(59=$NR$18,$NN$18,0),IF($NP$18="Bell_Curve",$NN$18*(59-$NR$18+1)*($NS$18-59+1)/$NU$18,$NN$18/$NT$18)),0)</f>
        <v/>
      </c>
      <c r="BL18" s="228">
        <f>IF(AND(60&gt;=$NR$18,60&lt;=$NS$18),IF($NP$18="Single_Point",IF(60=$NR$18,$NN$18,0),IF($NP$18="Bell_Curve",$NN$18*(60-$NR$18+1)*($NS$18-60+1)/$NU$18,$NN$18/$NT$18)),0)</f>
        <v/>
      </c>
      <c r="BM18" s="228">
        <f>IF(AND(61&gt;=$NR$18,61&lt;=$NS$18),IF($NP$18="Single_Point",IF(61=$NR$18,$NN$18,0),IF($NP$18="Bell_Curve",$NN$18*(61-$NR$18+1)*($NS$18-61+1)/$NU$18,$NN$18/$NT$18)),0)</f>
        <v/>
      </c>
      <c r="BN18" s="228">
        <f>IF(AND(62&gt;=$NR$18,62&lt;=$NS$18),IF($NP$18="Single_Point",IF(62=$NR$18,$NN$18,0),IF($NP$18="Bell_Curve",$NN$18*(62-$NR$18+1)*($NS$18-62+1)/$NU$18,$NN$18/$NT$18)),0)</f>
        <v/>
      </c>
      <c r="BO18" s="228">
        <f>IF(AND(63&gt;=$NR$18,63&lt;=$NS$18),IF($NP$18="Single_Point",IF(63=$NR$18,$NN$18,0),IF($NP$18="Bell_Curve",$NN$18*(63-$NR$18+1)*($NS$18-63+1)/$NU$18,$NN$18/$NT$18)),0)</f>
        <v/>
      </c>
      <c r="BP18" s="228">
        <f>IF(AND(64&gt;=$NR$18,64&lt;=$NS$18),IF($NP$18="Single_Point",IF(64=$NR$18,$NN$18,0),IF($NP$18="Bell_Curve",$NN$18*(64-$NR$18+1)*($NS$18-64+1)/$NU$18,$NN$18/$NT$18)),0)</f>
        <v/>
      </c>
      <c r="BQ18" s="228">
        <f>IF(AND(65&gt;=$NR$18,65&lt;=$NS$18),IF($NP$18="Single_Point",IF(65=$NR$18,$NN$18,0),IF($NP$18="Bell_Curve",$NN$18*(65-$NR$18+1)*($NS$18-65+1)/$NU$18,$NN$18/$NT$18)),0)</f>
        <v/>
      </c>
      <c r="BR18" s="228">
        <f>IF(AND(66&gt;=$NR$18,66&lt;=$NS$18),IF($NP$18="Single_Point",IF(66=$NR$18,$NN$18,0),IF($NP$18="Bell_Curve",$NN$18*(66-$NR$18+1)*($NS$18-66+1)/$NU$18,$NN$18/$NT$18)),0)</f>
        <v/>
      </c>
      <c r="BS18" s="228">
        <f>IF(AND(67&gt;=$NR$18,67&lt;=$NS$18),IF($NP$18="Single_Point",IF(67=$NR$18,$NN$18,0),IF($NP$18="Bell_Curve",$NN$18*(67-$NR$18+1)*($NS$18-67+1)/$NU$18,$NN$18/$NT$18)),0)</f>
        <v/>
      </c>
      <c r="BT18" s="228">
        <f>IF(AND(68&gt;=$NR$18,68&lt;=$NS$18),IF($NP$18="Single_Point",IF(68=$NR$18,$NN$18,0),IF($NP$18="Bell_Curve",$NN$18*(68-$NR$18+1)*($NS$18-68+1)/$NU$18,$NN$18/$NT$18)),0)</f>
        <v/>
      </c>
      <c r="BU18" s="228">
        <f>IF(AND(69&gt;=$NR$18,69&lt;=$NS$18),IF($NP$18="Single_Point",IF(69=$NR$18,$NN$18,0),IF($NP$18="Bell_Curve",$NN$18*(69-$NR$18+1)*($NS$18-69+1)/$NU$18,$NN$18/$NT$18)),0)</f>
        <v/>
      </c>
      <c r="BV18" s="228">
        <f>IF(AND(70&gt;=$NR$18,70&lt;=$NS$18),IF($NP$18="Single_Point",IF(70=$NR$18,$NN$18,0),IF($NP$18="Bell_Curve",$NN$18*(70-$NR$18+1)*($NS$18-70+1)/$NU$18,$NN$18/$NT$18)),0)</f>
        <v/>
      </c>
      <c r="BW18" s="228">
        <f>IF(AND(71&gt;=$NR$18,71&lt;=$NS$18),IF($NP$18="Single_Point",IF(71=$NR$18,$NN$18,0),IF($NP$18="Bell_Curve",$NN$18*(71-$NR$18+1)*($NS$18-71+1)/$NU$18,$NN$18/$NT$18)),0)</f>
        <v/>
      </c>
      <c r="BX18" s="228">
        <f>IF(AND(72&gt;=$NR$18,72&lt;=$NS$18),IF($NP$18="Single_Point",IF(72=$NR$18,$NN$18,0),IF($NP$18="Bell_Curve",$NN$18*(72-$NR$18+1)*($NS$18-72+1)/$NU$18,$NN$18/$NT$18)),0)</f>
        <v/>
      </c>
      <c r="BY18" s="228">
        <f>IF(AND(73&gt;=$NR$18,73&lt;=$NS$18),IF($NP$18="Single_Point",IF(73=$NR$18,$NN$18,0),IF($NP$18="Bell_Curve",$NN$18*(73-$NR$18+1)*($NS$18-73+1)/$NU$18,$NN$18/$NT$18)),0)</f>
        <v/>
      </c>
      <c r="BZ18" s="228">
        <f>IF(AND(74&gt;=$NR$18,74&lt;=$NS$18),IF($NP$18="Single_Point",IF(74=$NR$18,$NN$18,0),IF($NP$18="Bell_Curve",$NN$18*(74-$NR$18+1)*($NS$18-74+1)/$NU$18,$NN$18/$NT$18)),0)</f>
        <v/>
      </c>
      <c r="CA18" s="228">
        <f>IF(AND(75&gt;=$NR$18,75&lt;=$NS$18),IF($NP$18="Single_Point",IF(75=$NR$18,$NN$18,0),IF($NP$18="Bell_Curve",$NN$18*(75-$NR$18+1)*($NS$18-75+1)/$NU$18,$NN$18/$NT$18)),0)</f>
        <v/>
      </c>
      <c r="CB18" s="228">
        <f>IF(AND(76&gt;=$NR$18,76&lt;=$NS$18),IF($NP$18="Single_Point",IF(76=$NR$18,$NN$18,0),IF($NP$18="Bell_Curve",$NN$18*(76-$NR$18+1)*($NS$18-76+1)/$NU$18,$NN$18/$NT$18)),0)</f>
        <v/>
      </c>
      <c r="CC18" s="228">
        <f>IF(AND(77&gt;=$NR$18,77&lt;=$NS$18),IF($NP$18="Single_Point",IF(77=$NR$18,$NN$18,0),IF($NP$18="Bell_Curve",$NN$18*(77-$NR$18+1)*($NS$18-77+1)/$NU$18,$NN$18/$NT$18)),0)</f>
        <v/>
      </c>
      <c r="CD18" s="228">
        <f>IF(AND(78&gt;=$NR$18,78&lt;=$NS$18),IF($NP$18="Single_Point",IF(78=$NR$18,$NN$18,0),IF($NP$18="Bell_Curve",$NN$18*(78-$NR$18+1)*($NS$18-78+1)/$NU$18,$NN$18/$NT$18)),0)</f>
        <v/>
      </c>
      <c r="CE18" s="228">
        <f>IF(AND(79&gt;=$NR$18,79&lt;=$NS$18),IF($NP$18="Single_Point",IF(79=$NR$18,$NN$18,0),IF($NP$18="Bell_Curve",$NN$18*(79-$NR$18+1)*($NS$18-79+1)/$NU$18,$NN$18/$NT$18)),0)</f>
        <v/>
      </c>
      <c r="CF18" s="228">
        <f>IF(AND(80&gt;=$NR$18,80&lt;=$NS$18),IF($NP$18="Single_Point",IF(80=$NR$18,$NN$18,0),IF($NP$18="Bell_Curve",$NN$18*(80-$NR$18+1)*($NS$18-80+1)/$NU$18,$NN$18/$NT$18)),0)</f>
        <v/>
      </c>
      <c r="CG18" s="228">
        <f>IF(AND(81&gt;=$NR$18,81&lt;=$NS$18),IF($NP$18="Single_Point",IF(81=$NR$18,$NN$18,0),IF($NP$18="Bell_Curve",$NN$18*(81-$NR$18+1)*($NS$18-81+1)/$NU$18,$NN$18/$NT$18)),0)</f>
        <v/>
      </c>
      <c r="CH18" s="228">
        <f>IF(AND(82&gt;=$NR$18,82&lt;=$NS$18),IF($NP$18="Single_Point",IF(82=$NR$18,$NN$18,0),IF($NP$18="Bell_Curve",$NN$18*(82-$NR$18+1)*($NS$18-82+1)/$NU$18,$NN$18/$NT$18)),0)</f>
        <v/>
      </c>
      <c r="CI18" s="228">
        <f>IF(AND(83&gt;=$NR$18,83&lt;=$NS$18),IF($NP$18="Single_Point",IF(83=$NR$18,$NN$18,0),IF($NP$18="Bell_Curve",$NN$18*(83-$NR$18+1)*($NS$18-83+1)/$NU$18,$NN$18/$NT$18)),0)</f>
        <v/>
      </c>
      <c r="CJ18" s="228">
        <f>IF(AND(84&gt;=$NR$18,84&lt;=$NS$18),IF($NP$18="Single_Point",IF(84=$NR$18,$NN$18,0),IF($NP$18="Bell_Curve",$NN$18*(84-$NR$18+1)*($NS$18-84+1)/$NU$18,$NN$18/$NT$18)),0)</f>
        <v/>
      </c>
      <c r="CK18" s="228">
        <f>IF(AND(85&gt;=$NR$18,85&lt;=$NS$18),IF($NP$18="Single_Point",IF(85=$NR$18,$NN$18,0),IF($NP$18="Bell_Curve",$NN$18*(85-$NR$18+1)*($NS$18-85+1)/$NU$18,$NN$18/$NT$18)),0)</f>
        <v/>
      </c>
      <c r="CL18" s="228">
        <f>IF(AND(86&gt;=$NR$18,86&lt;=$NS$18),IF($NP$18="Single_Point",IF(86=$NR$18,$NN$18,0),IF($NP$18="Bell_Curve",$NN$18*(86-$NR$18+1)*($NS$18-86+1)/$NU$18,$NN$18/$NT$18)),0)</f>
        <v/>
      </c>
      <c r="CM18" s="228">
        <f>IF(AND(87&gt;=$NR$18,87&lt;=$NS$18),IF($NP$18="Single_Point",IF(87=$NR$18,$NN$18,0),IF($NP$18="Bell_Curve",$NN$18*(87-$NR$18+1)*($NS$18-87+1)/$NU$18,$NN$18/$NT$18)),0)</f>
        <v/>
      </c>
      <c r="CN18" s="228">
        <f>IF(AND(88&gt;=$NR$18,88&lt;=$NS$18),IF($NP$18="Single_Point",IF(88=$NR$18,$NN$18,0),IF($NP$18="Bell_Curve",$NN$18*(88-$NR$18+1)*($NS$18-88+1)/$NU$18,$NN$18/$NT$18)),0)</f>
        <v/>
      </c>
      <c r="CO18" s="228">
        <f>IF(AND(89&gt;=$NR$18,89&lt;=$NS$18),IF($NP$18="Single_Point",IF(89=$NR$18,$NN$18,0),IF($NP$18="Bell_Curve",$NN$18*(89-$NR$18+1)*($NS$18-89+1)/$NU$18,$NN$18/$NT$18)),0)</f>
        <v/>
      </c>
      <c r="CP18" s="228">
        <f>IF(AND(90&gt;=$NR$18,90&lt;=$NS$18),IF($NP$18="Single_Point",IF(90=$NR$18,$NN$18,0),IF($NP$18="Bell_Curve",$NN$18*(90-$NR$18+1)*($NS$18-90+1)/$NU$18,$NN$18/$NT$18)),0)</f>
        <v/>
      </c>
      <c r="CQ18" s="228">
        <f>IF(AND(91&gt;=$NR$18,91&lt;=$NS$18),IF($NP$18="Single_Point",IF(91=$NR$18,$NN$18,0),IF($NP$18="Bell_Curve",$NN$18*(91-$NR$18+1)*($NS$18-91+1)/$NU$18,$NN$18/$NT$18)),0)</f>
        <v/>
      </c>
      <c r="CR18" s="228">
        <f>IF(AND(92&gt;=$NR$18,92&lt;=$NS$18),IF($NP$18="Single_Point",IF(92=$NR$18,$NN$18,0),IF($NP$18="Bell_Curve",$NN$18*(92-$NR$18+1)*($NS$18-92+1)/$NU$18,$NN$18/$NT$18)),0)</f>
        <v/>
      </c>
      <c r="CS18" s="228">
        <f>IF(AND(93&gt;=$NR$18,93&lt;=$NS$18),IF($NP$18="Single_Point",IF(93=$NR$18,$NN$18,0),IF($NP$18="Bell_Curve",$NN$18*(93-$NR$18+1)*($NS$18-93+1)/$NU$18,$NN$18/$NT$18)),0)</f>
        <v/>
      </c>
      <c r="CT18" s="228">
        <f>IF(AND(94&gt;=$NR$18,94&lt;=$NS$18),IF($NP$18="Single_Point",IF(94=$NR$18,$NN$18,0),IF($NP$18="Bell_Curve",$NN$18*(94-$NR$18+1)*($NS$18-94+1)/$NU$18,$NN$18/$NT$18)),0)</f>
        <v/>
      </c>
      <c r="CU18" s="228">
        <f>IF(AND(95&gt;=$NR$18,95&lt;=$NS$18),IF($NP$18="Single_Point",IF(95=$NR$18,$NN$18,0),IF($NP$18="Bell_Curve",$NN$18*(95-$NR$18+1)*($NS$18-95+1)/$NU$18,$NN$18/$NT$18)),0)</f>
        <v/>
      </c>
      <c r="CV18" s="228">
        <f>IF(AND(96&gt;=$NR$18,96&lt;=$NS$18),IF($NP$18="Single_Point",IF(96=$NR$18,$NN$18,0),IF($NP$18="Bell_Curve",$NN$18*(96-$NR$18+1)*($NS$18-96+1)/$NU$18,$NN$18/$NT$18)),0)</f>
        <v/>
      </c>
      <c r="CW18" s="228">
        <f>IF(AND(97&gt;=$NR$18,97&lt;=$NS$18),IF($NP$18="Single_Point",IF(97=$NR$18,$NN$18,0),IF($NP$18="Bell_Curve",$NN$18*(97-$NR$18+1)*($NS$18-97+1)/$NU$18,$NN$18/$NT$18)),0)</f>
        <v/>
      </c>
      <c r="CX18" s="228">
        <f>IF(AND(98&gt;=$NR$18,98&lt;=$NS$18),IF($NP$18="Single_Point",IF(98=$NR$18,$NN$18,0),IF($NP$18="Bell_Curve",$NN$18*(98-$NR$18+1)*($NS$18-98+1)/$NU$18,$NN$18/$NT$18)),0)</f>
        <v/>
      </c>
      <c r="CY18" s="228">
        <f>IF(AND(99&gt;=$NR$18,99&lt;=$NS$18),IF($NP$18="Single_Point",IF(99=$NR$18,$NN$18,0),IF($NP$18="Bell_Curve",$NN$18*(99-$NR$18+1)*($NS$18-99+1)/$NU$18,$NN$18/$NT$18)),0)</f>
        <v/>
      </c>
      <c r="CZ18" s="228">
        <f>IF(AND(100&gt;=$NR$18,100&lt;=$NS$18),IF($NP$18="Single_Point",IF(100=$NR$18,$NN$18,0),IF($NP$18="Bell_Curve",$NN$18*(100-$NR$18+1)*($NS$18-100+1)/$NU$18,$NN$18/$NT$18)),0)</f>
        <v/>
      </c>
      <c r="DA18" s="228">
        <f>IF(AND(101&gt;=$NR$18,101&lt;=$NS$18),IF($NP$18="Single_Point",IF(101=$NR$18,$NN$18,0),IF($NP$18="Bell_Curve",$NN$18*(101-$NR$18+1)*($NS$18-101+1)/$NU$18,$NN$18/$NT$18)),0)</f>
        <v/>
      </c>
      <c r="DB18" s="228">
        <f>IF(AND(102&gt;=$NR$18,102&lt;=$NS$18),IF($NP$18="Single_Point",IF(102=$NR$18,$NN$18,0),IF($NP$18="Bell_Curve",$NN$18*(102-$NR$18+1)*($NS$18-102+1)/$NU$18,$NN$18/$NT$18)),0)</f>
        <v/>
      </c>
      <c r="DC18" s="228">
        <f>IF(AND(103&gt;=$NR$18,103&lt;=$NS$18),IF($NP$18="Single_Point",IF(103=$NR$18,$NN$18,0),IF($NP$18="Bell_Curve",$NN$18*(103-$NR$18+1)*($NS$18-103+1)/$NU$18,$NN$18/$NT$18)),0)</f>
        <v/>
      </c>
      <c r="DD18" s="228">
        <f>IF(AND(104&gt;=$NR$18,104&lt;=$NS$18),IF($NP$18="Single_Point",IF(104=$NR$18,$NN$18,0),IF($NP$18="Bell_Curve",$NN$18*(104-$NR$18+1)*($NS$18-104+1)/$NU$18,$NN$18/$NT$18)),0)</f>
        <v/>
      </c>
      <c r="DE18" s="228">
        <f>IF(AND(105&gt;=$NR$18,105&lt;=$NS$18),IF($NP$18="Single_Point",IF(105=$NR$18,$NN$18,0),IF($NP$18="Bell_Curve",$NN$18*(105-$NR$18+1)*($NS$18-105+1)/$NU$18,$NN$18/$NT$18)),0)</f>
        <v/>
      </c>
      <c r="DF18" s="228">
        <f>IF(AND(106&gt;=$NR$18,106&lt;=$NS$18),IF($NP$18="Single_Point",IF(106=$NR$18,$NN$18,0),IF($NP$18="Bell_Curve",$NN$18*(106-$NR$18+1)*($NS$18-106+1)/$NU$18,$NN$18/$NT$18)),0)</f>
        <v/>
      </c>
      <c r="DG18" s="228">
        <f>IF(AND(107&gt;=$NR$18,107&lt;=$NS$18),IF($NP$18="Single_Point",IF(107=$NR$18,$NN$18,0),IF($NP$18="Bell_Curve",$NN$18*(107-$NR$18+1)*($NS$18-107+1)/$NU$18,$NN$18/$NT$18)),0)</f>
        <v/>
      </c>
      <c r="DH18" s="228">
        <f>IF(AND(108&gt;=$NR$18,108&lt;=$NS$18),IF($NP$18="Single_Point",IF(108=$NR$18,$NN$18,0),IF($NP$18="Bell_Curve",$NN$18*(108-$NR$18+1)*($NS$18-108+1)/$NU$18,$NN$18/$NT$18)),0)</f>
        <v/>
      </c>
      <c r="DI18" s="228">
        <f>IF(AND(109&gt;=$NR$18,109&lt;=$NS$18),IF($NP$18="Single_Point",IF(109=$NR$18,$NN$18,0),IF($NP$18="Bell_Curve",$NN$18*(109-$NR$18+1)*($NS$18-109+1)/$NU$18,$NN$18/$NT$18)),0)</f>
        <v/>
      </c>
      <c r="DJ18" s="228">
        <f>IF(AND(110&gt;=$NR$18,110&lt;=$NS$18),IF($NP$18="Single_Point",IF(110=$NR$18,$NN$18,0),IF($NP$18="Bell_Curve",$NN$18*(110-$NR$18+1)*($NS$18-110+1)/$NU$18,$NN$18/$NT$18)),0)</f>
        <v/>
      </c>
      <c r="DK18" s="228">
        <f>IF(AND(111&gt;=$NR$18,111&lt;=$NS$18),IF($NP$18="Single_Point",IF(111=$NR$18,$NN$18,0),IF($NP$18="Bell_Curve",$NN$18*(111-$NR$18+1)*($NS$18-111+1)/$NU$18,$NN$18/$NT$18)),0)</f>
        <v/>
      </c>
      <c r="DL18" s="228">
        <f>IF(AND(112&gt;=$NR$18,112&lt;=$NS$18),IF($NP$18="Single_Point",IF(112=$NR$18,$NN$18,0),IF($NP$18="Bell_Curve",$NN$18*(112-$NR$18+1)*($NS$18-112+1)/$NU$18,$NN$18/$NT$18)),0)</f>
        <v/>
      </c>
      <c r="DM18" s="228">
        <f>IF(AND(113&gt;=$NR$18,113&lt;=$NS$18),IF($NP$18="Single_Point",IF(113=$NR$18,$NN$18,0),IF($NP$18="Bell_Curve",$NN$18*(113-$NR$18+1)*($NS$18-113+1)/$NU$18,$NN$18/$NT$18)),0)</f>
        <v/>
      </c>
      <c r="DN18" s="228">
        <f>IF(AND(114&gt;=$NR$18,114&lt;=$NS$18),IF($NP$18="Single_Point",IF(114=$NR$18,$NN$18,0),IF($NP$18="Bell_Curve",$NN$18*(114-$NR$18+1)*($NS$18-114+1)/$NU$18,$NN$18/$NT$18)),0)</f>
        <v/>
      </c>
      <c r="DO18" s="228">
        <f>IF(AND(115&gt;=$NR$18,115&lt;=$NS$18),IF($NP$18="Single_Point",IF(115=$NR$18,$NN$18,0),IF($NP$18="Bell_Curve",$NN$18*(115-$NR$18+1)*($NS$18-115+1)/$NU$18,$NN$18/$NT$18)),0)</f>
        <v/>
      </c>
      <c r="DP18" s="228">
        <f>IF(AND(116&gt;=$NR$18,116&lt;=$NS$18),IF($NP$18="Single_Point",IF(116=$NR$18,$NN$18,0),IF($NP$18="Bell_Curve",$NN$18*(116-$NR$18+1)*($NS$18-116+1)/$NU$18,$NN$18/$NT$18)),0)</f>
        <v/>
      </c>
      <c r="DQ18" s="228">
        <f>IF(AND(117&gt;=$NR$18,117&lt;=$NS$18),IF($NP$18="Single_Point",IF(117=$NR$18,$NN$18,0),IF($NP$18="Bell_Curve",$NN$18*(117-$NR$18+1)*($NS$18-117+1)/$NU$18,$NN$18/$NT$18)),0)</f>
        <v/>
      </c>
      <c r="DR18" s="228">
        <f>IF(AND(118&gt;=$NR$18,118&lt;=$NS$18),IF($NP$18="Single_Point",IF(118=$NR$18,$NN$18,0),IF($NP$18="Bell_Curve",$NN$18*(118-$NR$18+1)*($NS$18-118+1)/$NU$18,$NN$18/$NT$18)),0)</f>
        <v/>
      </c>
      <c r="DS18" s="228">
        <f>IF(AND(119&gt;=$NR$18,119&lt;=$NS$18),IF($NP$18="Single_Point",IF(119=$NR$18,$NN$18,0),IF($NP$18="Bell_Curve",$NN$18*(119-$NR$18+1)*($NS$18-119+1)/$NU$18,$NN$18/$NT$18)),0)</f>
        <v/>
      </c>
      <c r="DT18" s="228">
        <f>IF(AND(120&gt;=$NR$18,120&lt;=$NS$18),IF($NP$18="Single_Point",IF(120=$NR$18,$NN$18,0),IF($NP$18="Bell_Curve",$NN$18*(120-$NR$18+1)*($NS$18-120+1)/$NU$18,$NN$18/$NT$18)),0)</f>
        <v/>
      </c>
      <c r="DU18" s="228">
        <f>IF(AND(121&gt;=$NR$18,121&lt;=$NS$18),IF($NP$18="Single_Point",IF(121=$NR$18,$NN$18,0),IF($NP$18="Bell_Curve",$NN$18*(121-$NR$18+1)*($NS$18-121+1)/$NU$18,$NN$18/$NT$18)),0)</f>
        <v/>
      </c>
      <c r="DV18" s="228">
        <f>IF(AND(122&gt;=$NR$18,122&lt;=$NS$18),IF($NP$18="Single_Point",IF(122=$NR$18,$NN$18,0),IF($NP$18="Bell_Curve",$NN$18*(122-$NR$18+1)*($NS$18-122+1)/$NU$18,$NN$18/$NT$18)),0)</f>
        <v/>
      </c>
      <c r="DW18" s="228">
        <f>IF(AND(123&gt;=$NR$18,123&lt;=$NS$18),IF($NP$18="Single_Point",IF(123=$NR$18,$NN$18,0),IF($NP$18="Bell_Curve",$NN$18*(123-$NR$18+1)*($NS$18-123+1)/$NU$18,$NN$18/$NT$18)),0)</f>
        <v/>
      </c>
      <c r="DX18" s="228">
        <f>IF(AND(124&gt;=$NR$18,124&lt;=$NS$18),IF($NP$18="Single_Point",IF(124=$NR$18,$NN$18,0),IF($NP$18="Bell_Curve",$NN$18*(124-$NR$18+1)*($NS$18-124+1)/$NU$18,$NN$18/$NT$18)),0)</f>
        <v/>
      </c>
      <c r="DY18" s="228">
        <f>IF(AND(125&gt;=$NR$18,125&lt;=$NS$18),IF($NP$18="Single_Point",IF(125=$NR$18,$NN$18,0),IF($NP$18="Bell_Curve",$NN$18*(125-$NR$18+1)*($NS$18-125+1)/$NU$18,$NN$18/$NT$18)),0)</f>
        <v/>
      </c>
      <c r="DZ18" s="228">
        <f>IF(AND(126&gt;=$NR$18,126&lt;=$NS$18),IF($NP$18="Single_Point",IF(126=$NR$18,$NN$18,0),IF($NP$18="Bell_Curve",$NN$18*(126-$NR$18+1)*($NS$18-126+1)/$NU$18,$NN$18/$NT$18)),0)</f>
        <v/>
      </c>
      <c r="EA18" s="228">
        <f>IF(AND(127&gt;=$NR$18,127&lt;=$NS$18),IF($NP$18="Single_Point",IF(127=$NR$18,$NN$18,0),IF($NP$18="Bell_Curve",$NN$18*(127-$NR$18+1)*($NS$18-127+1)/$NU$18,$NN$18/$NT$18)),0)</f>
        <v/>
      </c>
      <c r="EB18" s="228">
        <f>IF(AND(128&gt;=$NR$18,128&lt;=$NS$18),IF($NP$18="Single_Point",IF(128=$NR$18,$NN$18,0),IF($NP$18="Bell_Curve",$NN$18*(128-$NR$18+1)*($NS$18-128+1)/$NU$18,$NN$18/$NT$18)),0)</f>
        <v/>
      </c>
      <c r="EC18" s="228">
        <f>IF(AND(129&gt;=$NR$18,129&lt;=$NS$18),IF($NP$18="Single_Point",IF(129=$NR$18,$NN$18,0),IF($NP$18="Bell_Curve",$NN$18*(129-$NR$18+1)*($NS$18-129+1)/$NU$18,$NN$18/$NT$18)),0)</f>
        <v/>
      </c>
      <c r="ED18" s="228">
        <f>IF(AND(130&gt;=$NR$18,130&lt;=$NS$18),IF($NP$18="Single_Point",IF(130=$NR$18,$NN$18,0),IF($NP$18="Bell_Curve",$NN$18*(130-$NR$18+1)*($NS$18-130+1)/$NU$18,$NN$18/$NT$18)),0)</f>
        <v/>
      </c>
      <c r="EE18" s="228">
        <f>IF(AND(131&gt;=$NR$18,131&lt;=$NS$18),IF($NP$18="Single_Point",IF(131=$NR$18,$NN$18,0),IF($NP$18="Bell_Curve",$NN$18*(131-$NR$18+1)*($NS$18-131+1)/$NU$18,$NN$18/$NT$18)),0)</f>
        <v/>
      </c>
      <c r="EF18" s="228">
        <f>IF(AND(132&gt;=$NR$18,132&lt;=$NS$18),IF($NP$18="Single_Point",IF(132=$NR$18,$NN$18,0),IF($NP$18="Bell_Curve",$NN$18*(132-$NR$18+1)*($NS$18-132+1)/$NU$18,$NN$18/$NT$18)),0)</f>
        <v/>
      </c>
      <c r="EG18" s="228">
        <f>IF(AND(133&gt;=$NR$18,133&lt;=$NS$18),IF($NP$18="Single_Point",IF(133=$NR$18,$NN$18,0),IF($NP$18="Bell_Curve",$NN$18*(133-$NR$18+1)*($NS$18-133+1)/$NU$18,$NN$18/$NT$18)),0)</f>
        <v/>
      </c>
      <c r="EH18" s="228">
        <f>IF(AND(134&gt;=$NR$18,134&lt;=$NS$18),IF($NP$18="Single_Point",IF(134=$NR$18,$NN$18,0),IF($NP$18="Bell_Curve",$NN$18*(134-$NR$18+1)*($NS$18-134+1)/$NU$18,$NN$18/$NT$18)),0)</f>
        <v/>
      </c>
      <c r="EI18" s="228">
        <f>IF(AND(135&gt;=$NR$18,135&lt;=$NS$18),IF($NP$18="Single_Point",IF(135=$NR$18,$NN$18,0),IF($NP$18="Bell_Curve",$NN$18*(135-$NR$18+1)*($NS$18-135+1)/$NU$18,$NN$18/$NT$18)),0)</f>
        <v/>
      </c>
      <c r="EJ18" s="228">
        <f>IF(AND(136&gt;=$NR$18,136&lt;=$NS$18),IF($NP$18="Single_Point",IF(136=$NR$18,$NN$18,0),IF($NP$18="Bell_Curve",$NN$18*(136-$NR$18+1)*($NS$18-136+1)/$NU$18,$NN$18/$NT$18)),0)</f>
        <v/>
      </c>
      <c r="EK18" s="228">
        <f>IF(AND(137&gt;=$NR$18,137&lt;=$NS$18),IF($NP$18="Single_Point",IF(137=$NR$18,$NN$18,0),IF($NP$18="Bell_Curve",$NN$18*(137-$NR$18+1)*($NS$18-137+1)/$NU$18,$NN$18/$NT$18)),0)</f>
        <v/>
      </c>
      <c r="EL18" s="228">
        <f>IF(AND(138&gt;=$NR$18,138&lt;=$NS$18),IF($NP$18="Single_Point",IF(138=$NR$18,$NN$18,0),IF($NP$18="Bell_Curve",$NN$18*(138-$NR$18+1)*($NS$18-138+1)/$NU$18,$NN$18/$NT$18)),0)</f>
        <v/>
      </c>
      <c r="EM18" s="228">
        <f>IF(AND(139&gt;=$NR$18,139&lt;=$NS$18),IF($NP$18="Single_Point",IF(139=$NR$18,$NN$18,0),IF($NP$18="Bell_Curve",$NN$18*(139-$NR$18+1)*($NS$18-139+1)/$NU$18,$NN$18/$NT$18)),0)</f>
        <v/>
      </c>
      <c r="EN18" s="228">
        <f>IF(AND(140&gt;=$NR$18,140&lt;=$NS$18),IF($NP$18="Single_Point",IF(140=$NR$18,$NN$18,0),IF($NP$18="Bell_Curve",$NN$18*(140-$NR$18+1)*($NS$18-140+1)/$NU$18,$NN$18/$NT$18)),0)</f>
        <v/>
      </c>
      <c r="EO18" s="228">
        <f>IF(AND(141&gt;=$NR$18,141&lt;=$NS$18),IF($NP$18="Single_Point",IF(141=$NR$18,$NN$18,0),IF($NP$18="Bell_Curve",$NN$18*(141-$NR$18+1)*($NS$18-141+1)/$NU$18,$NN$18/$NT$18)),0)</f>
        <v/>
      </c>
      <c r="EP18" s="228">
        <f>IF(AND(142&gt;=$NR$18,142&lt;=$NS$18),IF($NP$18="Single_Point",IF(142=$NR$18,$NN$18,0),IF($NP$18="Bell_Curve",$NN$18*(142-$NR$18+1)*($NS$18-142+1)/$NU$18,$NN$18/$NT$18)),0)</f>
        <v/>
      </c>
      <c r="EQ18" s="228">
        <f>IF(AND(143&gt;=$NR$18,143&lt;=$NS$18),IF($NP$18="Single_Point",IF(143=$NR$18,$NN$18,0),IF($NP$18="Bell_Curve",$NN$18*(143-$NR$18+1)*($NS$18-143+1)/$NU$18,$NN$18/$NT$18)),0)</f>
        <v/>
      </c>
      <c r="ER18" s="228">
        <f>IF(AND(144&gt;=$NR$18,144&lt;=$NS$18),IF($NP$18="Single_Point",IF(144=$NR$18,$NN$18,0),IF($NP$18="Bell_Curve",$NN$18*(144-$NR$18+1)*($NS$18-144+1)/$NU$18,$NN$18/$NT$18)),0)</f>
        <v/>
      </c>
      <c r="ES18" s="228">
        <f>IF(AND(145&gt;=$NR$18,145&lt;=$NS$18),IF($NP$18="Single_Point",IF(145=$NR$18,$NN$18,0),IF($NP$18="Bell_Curve",$NN$18*(145-$NR$18+1)*($NS$18-145+1)/$NU$18,$NN$18/$NT$18)),0)</f>
        <v/>
      </c>
      <c r="ET18" s="228">
        <f>IF(AND(146&gt;=$NR$18,146&lt;=$NS$18),IF($NP$18="Single_Point",IF(146=$NR$18,$NN$18,0),IF($NP$18="Bell_Curve",$NN$18*(146-$NR$18+1)*($NS$18-146+1)/$NU$18,$NN$18/$NT$18)),0)</f>
        <v/>
      </c>
      <c r="EU18" s="228">
        <f>IF(AND(147&gt;=$NR$18,147&lt;=$NS$18),IF($NP$18="Single_Point",IF(147=$NR$18,$NN$18,0),IF($NP$18="Bell_Curve",$NN$18*(147-$NR$18+1)*($NS$18-147+1)/$NU$18,$NN$18/$NT$18)),0)</f>
        <v/>
      </c>
      <c r="EV18" s="228">
        <f>IF(AND(148&gt;=$NR$18,148&lt;=$NS$18),IF($NP$18="Single_Point",IF(148=$NR$18,$NN$18,0),IF($NP$18="Bell_Curve",$NN$18*(148-$NR$18+1)*($NS$18-148+1)/$NU$18,$NN$18/$NT$18)),0)</f>
        <v/>
      </c>
      <c r="EW18" s="228">
        <f>IF(AND(149&gt;=$NR$18,149&lt;=$NS$18),IF($NP$18="Single_Point",IF(149=$NR$18,$NN$18,0),IF($NP$18="Bell_Curve",$NN$18*(149-$NR$18+1)*($NS$18-149+1)/$NU$18,$NN$18/$NT$18)),0)</f>
        <v/>
      </c>
      <c r="EX18" s="228">
        <f>IF(AND(150&gt;=$NR$18,150&lt;=$NS$18),IF($NP$18="Single_Point",IF(150=$NR$18,$NN$18,0),IF($NP$18="Bell_Curve",$NN$18*(150-$NR$18+1)*($NS$18-150+1)/$NU$18,$NN$18/$NT$18)),0)</f>
        <v/>
      </c>
      <c r="EY18" s="228">
        <f>IF(AND(151&gt;=$NR$18,151&lt;=$NS$18),IF($NP$18="Single_Point",IF(151=$NR$18,$NN$18,0),IF($NP$18="Bell_Curve",$NN$18*(151-$NR$18+1)*($NS$18-151+1)/$NU$18,$NN$18/$NT$18)),0)</f>
        <v/>
      </c>
      <c r="EZ18" s="228">
        <f>IF(AND(152&gt;=$NR$18,152&lt;=$NS$18),IF($NP$18="Single_Point",IF(152=$NR$18,$NN$18,0),IF($NP$18="Bell_Curve",$NN$18*(152-$NR$18+1)*($NS$18-152+1)/$NU$18,$NN$18/$NT$18)),0)</f>
        <v/>
      </c>
      <c r="FA18" s="228">
        <f>IF(AND(153&gt;=$NR$18,153&lt;=$NS$18),IF($NP$18="Single_Point",IF(153=$NR$18,$NN$18,0),IF($NP$18="Bell_Curve",$NN$18*(153-$NR$18+1)*($NS$18-153+1)/$NU$18,$NN$18/$NT$18)),0)</f>
        <v/>
      </c>
      <c r="FB18" s="228">
        <f>IF(AND(154&gt;=$NR$18,154&lt;=$NS$18),IF($NP$18="Single_Point",IF(154=$NR$18,$NN$18,0),IF($NP$18="Bell_Curve",$NN$18*(154-$NR$18+1)*($NS$18-154+1)/$NU$18,$NN$18/$NT$18)),0)</f>
        <v/>
      </c>
      <c r="FC18" s="228">
        <f>IF(AND(155&gt;=$NR$18,155&lt;=$NS$18),IF($NP$18="Single_Point",IF(155=$NR$18,$NN$18,0),IF($NP$18="Bell_Curve",$NN$18*(155-$NR$18+1)*($NS$18-155+1)/$NU$18,$NN$18/$NT$18)),0)</f>
        <v/>
      </c>
      <c r="FD18" s="228">
        <f>IF(AND(156&gt;=$NR$18,156&lt;=$NS$18),IF($NP$18="Single_Point",IF(156=$NR$18,$NN$18,0),IF($NP$18="Bell_Curve",$NN$18*(156-$NR$18+1)*($NS$18-156+1)/$NU$18,$NN$18/$NT$18)),0)</f>
        <v/>
      </c>
      <c r="FE18" s="228">
        <f>IF(AND(157&gt;=$NR$18,157&lt;=$NS$18),IF($NP$18="Single_Point",IF(157=$NR$18,$NN$18,0),IF($NP$18="Bell_Curve",$NN$18*(157-$NR$18+1)*($NS$18-157+1)/$NU$18,$NN$18/$NT$18)),0)</f>
        <v/>
      </c>
      <c r="FF18" s="228">
        <f>IF(AND(158&gt;=$NR$18,158&lt;=$NS$18),IF($NP$18="Single_Point",IF(158=$NR$18,$NN$18,0),IF($NP$18="Bell_Curve",$NN$18*(158-$NR$18+1)*($NS$18-158+1)/$NU$18,$NN$18/$NT$18)),0)</f>
        <v/>
      </c>
      <c r="FG18" s="228">
        <f>IF(AND(159&gt;=$NR$18,159&lt;=$NS$18),IF($NP$18="Single_Point",IF(159=$NR$18,$NN$18,0),IF($NP$18="Bell_Curve",$NN$18*(159-$NR$18+1)*($NS$18-159+1)/$NU$18,$NN$18/$NT$18)),0)</f>
        <v/>
      </c>
      <c r="FH18" s="228">
        <f>IF(AND(160&gt;=$NR$18,160&lt;=$NS$18),IF($NP$18="Single_Point",IF(160=$NR$18,$NN$18,0),IF($NP$18="Bell_Curve",$NN$18*(160-$NR$18+1)*($NS$18-160+1)/$NU$18,$NN$18/$NT$18)),0)</f>
        <v/>
      </c>
      <c r="FI18" s="228">
        <f>IF(AND(161&gt;=$NR$18,161&lt;=$NS$18),IF($NP$18="Single_Point",IF(161=$NR$18,$NN$18,0),IF($NP$18="Bell_Curve",$NN$18*(161-$NR$18+1)*($NS$18-161+1)/$NU$18,$NN$18/$NT$18)),0)</f>
        <v/>
      </c>
      <c r="FJ18" s="228">
        <f>IF(AND(162&gt;=$NR$18,162&lt;=$NS$18),IF($NP$18="Single_Point",IF(162=$NR$18,$NN$18,0),IF($NP$18="Bell_Curve",$NN$18*(162-$NR$18+1)*($NS$18-162+1)/$NU$18,$NN$18/$NT$18)),0)</f>
        <v/>
      </c>
      <c r="FK18" s="228">
        <f>IF(AND(163&gt;=$NR$18,163&lt;=$NS$18),IF($NP$18="Single_Point",IF(163=$NR$18,$NN$18,0),IF($NP$18="Bell_Curve",$NN$18*(163-$NR$18+1)*($NS$18-163+1)/$NU$18,$NN$18/$NT$18)),0)</f>
        <v/>
      </c>
      <c r="FL18" s="228">
        <f>IF(AND(164&gt;=$NR$18,164&lt;=$NS$18),IF($NP$18="Single_Point",IF(164=$NR$18,$NN$18,0),IF($NP$18="Bell_Curve",$NN$18*(164-$NR$18+1)*($NS$18-164+1)/$NU$18,$NN$18/$NT$18)),0)</f>
        <v/>
      </c>
      <c r="FM18" s="228">
        <f>IF(AND(165&gt;=$NR$18,165&lt;=$NS$18),IF($NP$18="Single_Point",IF(165=$NR$18,$NN$18,0),IF($NP$18="Bell_Curve",$NN$18*(165-$NR$18+1)*($NS$18-165+1)/$NU$18,$NN$18/$NT$18)),0)</f>
        <v/>
      </c>
      <c r="FN18" s="228">
        <f>IF(AND(166&gt;=$NR$18,166&lt;=$NS$18),IF($NP$18="Single_Point",IF(166=$NR$18,$NN$18,0),IF($NP$18="Bell_Curve",$NN$18*(166-$NR$18+1)*($NS$18-166+1)/$NU$18,$NN$18/$NT$18)),0)</f>
        <v/>
      </c>
      <c r="FO18" s="228">
        <f>IF(AND(167&gt;=$NR$18,167&lt;=$NS$18),IF($NP$18="Single_Point",IF(167=$NR$18,$NN$18,0),IF($NP$18="Bell_Curve",$NN$18*(167-$NR$18+1)*($NS$18-167+1)/$NU$18,$NN$18/$NT$18)),0)</f>
        <v/>
      </c>
      <c r="FP18" s="228">
        <f>IF(AND(168&gt;=$NR$18,168&lt;=$NS$18),IF($NP$18="Single_Point",IF(168=$NR$18,$NN$18,0),IF($NP$18="Bell_Curve",$NN$18*(168-$NR$18+1)*($NS$18-168+1)/$NU$18,$NN$18/$NT$18)),0)</f>
        <v/>
      </c>
      <c r="FQ18" s="228">
        <f>IF(AND(169&gt;=$NR$18,169&lt;=$NS$18),IF($NP$18="Single_Point",IF(169=$NR$18,$NN$18,0),IF($NP$18="Bell_Curve",$NN$18*(169-$NR$18+1)*($NS$18-169+1)/$NU$18,$NN$18/$NT$18)),0)</f>
        <v/>
      </c>
      <c r="FR18" s="228">
        <f>IF(AND(170&gt;=$NR$18,170&lt;=$NS$18),IF($NP$18="Single_Point",IF(170=$NR$18,$NN$18,0),IF($NP$18="Bell_Curve",$NN$18*(170-$NR$18+1)*($NS$18-170+1)/$NU$18,$NN$18/$NT$18)),0)</f>
        <v/>
      </c>
      <c r="FS18" s="228">
        <f>IF(AND(171&gt;=$NR$18,171&lt;=$NS$18),IF($NP$18="Single_Point",IF(171=$NR$18,$NN$18,0),IF($NP$18="Bell_Curve",$NN$18*(171-$NR$18+1)*($NS$18-171+1)/$NU$18,$NN$18/$NT$18)),0)</f>
        <v/>
      </c>
      <c r="FT18" s="228">
        <f>IF(AND(172&gt;=$NR$18,172&lt;=$NS$18),IF($NP$18="Single_Point",IF(172=$NR$18,$NN$18,0),IF($NP$18="Bell_Curve",$NN$18*(172-$NR$18+1)*($NS$18-172+1)/$NU$18,$NN$18/$NT$18)),0)</f>
        <v/>
      </c>
      <c r="FU18" s="228">
        <f>IF(AND(173&gt;=$NR$18,173&lt;=$NS$18),IF($NP$18="Single_Point",IF(173=$NR$18,$NN$18,0),IF($NP$18="Bell_Curve",$NN$18*(173-$NR$18+1)*($NS$18-173+1)/$NU$18,$NN$18/$NT$18)),0)</f>
        <v/>
      </c>
      <c r="FV18" s="228">
        <f>IF(AND(174&gt;=$NR$18,174&lt;=$NS$18),IF($NP$18="Single_Point",IF(174=$NR$18,$NN$18,0),IF($NP$18="Bell_Curve",$NN$18*(174-$NR$18+1)*($NS$18-174+1)/$NU$18,$NN$18/$NT$18)),0)</f>
        <v/>
      </c>
      <c r="FW18" s="228">
        <f>IF(AND(175&gt;=$NR$18,175&lt;=$NS$18),IF($NP$18="Single_Point",IF(175=$NR$18,$NN$18,0),IF($NP$18="Bell_Curve",$NN$18*(175-$NR$18+1)*($NS$18-175+1)/$NU$18,$NN$18/$NT$18)),0)</f>
        <v/>
      </c>
      <c r="FX18" s="228">
        <f>IF(AND(176&gt;=$NR$18,176&lt;=$NS$18),IF($NP$18="Single_Point",IF(176=$NR$18,$NN$18,0),IF($NP$18="Bell_Curve",$NN$18*(176-$NR$18+1)*($NS$18-176+1)/$NU$18,$NN$18/$NT$18)),0)</f>
        <v/>
      </c>
      <c r="FY18" s="228">
        <f>IF(AND(177&gt;=$NR$18,177&lt;=$NS$18),IF($NP$18="Single_Point",IF(177=$NR$18,$NN$18,0),IF($NP$18="Bell_Curve",$NN$18*(177-$NR$18+1)*($NS$18-177+1)/$NU$18,$NN$18/$NT$18)),0)</f>
        <v/>
      </c>
      <c r="FZ18" s="228">
        <f>IF(AND(178&gt;=$NR$18,178&lt;=$NS$18),IF($NP$18="Single_Point",IF(178=$NR$18,$NN$18,0),IF($NP$18="Bell_Curve",$NN$18*(178-$NR$18+1)*($NS$18-178+1)/$NU$18,$NN$18/$NT$18)),0)</f>
        <v/>
      </c>
      <c r="GA18" s="228">
        <f>IF(AND(179&gt;=$NR$18,179&lt;=$NS$18),IF($NP$18="Single_Point",IF(179=$NR$18,$NN$18,0),IF($NP$18="Bell_Curve",$NN$18*(179-$NR$18+1)*($NS$18-179+1)/$NU$18,$NN$18/$NT$18)),0)</f>
        <v/>
      </c>
      <c r="GB18" s="228">
        <f>IF(AND(180&gt;=$NR$18,180&lt;=$NS$18),IF($NP$18="Single_Point",IF(180=$NR$18,$NN$18,0),IF($NP$18="Bell_Curve",$NN$18*(180-$NR$18+1)*($NS$18-180+1)/$NU$18,$NN$18/$NT$18)),0)</f>
        <v/>
      </c>
      <c r="GC18" s="228">
        <f>IF(AND(181&gt;=$NR$18,181&lt;=$NS$18),IF($NP$18="Single_Point",IF(181=$NR$18,$NN$18,0),IF($NP$18="Bell_Curve",$NN$18*(181-$NR$18+1)*($NS$18-181+1)/$NU$18,$NN$18/$NT$18)),0)</f>
        <v/>
      </c>
      <c r="GD18" s="228">
        <f>IF(AND(182&gt;=$NR$18,182&lt;=$NS$18),IF($NP$18="Single_Point",IF(182=$NR$18,$NN$18,0),IF($NP$18="Bell_Curve",$NN$18*(182-$NR$18+1)*($NS$18-182+1)/$NU$18,$NN$18/$NT$18)),0)</f>
        <v/>
      </c>
      <c r="GE18" s="228">
        <f>IF(AND(183&gt;=$NR$18,183&lt;=$NS$18),IF($NP$18="Single_Point",IF(183=$NR$18,$NN$18,0),IF($NP$18="Bell_Curve",$NN$18*(183-$NR$18+1)*($NS$18-183+1)/$NU$18,$NN$18/$NT$18)),0)</f>
        <v/>
      </c>
      <c r="GF18" s="228">
        <f>IF(AND(184&gt;=$NR$18,184&lt;=$NS$18),IF($NP$18="Single_Point",IF(184=$NR$18,$NN$18,0),IF($NP$18="Bell_Curve",$NN$18*(184-$NR$18+1)*($NS$18-184+1)/$NU$18,$NN$18/$NT$18)),0)</f>
        <v/>
      </c>
      <c r="GG18" s="228">
        <f>IF(AND(185&gt;=$NR$18,185&lt;=$NS$18),IF($NP$18="Single_Point",IF(185=$NR$18,$NN$18,0),IF($NP$18="Bell_Curve",$NN$18*(185-$NR$18+1)*($NS$18-185+1)/$NU$18,$NN$18/$NT$18)),0)</f>
        <v/>
      </c>
      <c r="GH18" s="228">
        <f>IF(AND(186&gt;=$NR$18,186&lt;=$NS$18),IF($NP$18="Single_Point",IF(186=$NR$18,$NN$18,0),IF($NP$18="Bell_Curve",$NN$18*(186-$NR$18+1)*($NS$18-186+1)/$NU$18,$NN$18/$NT$18)),0)</f>
        <v/>
      </c>
      <c r="GI18" s="228">
        <f>IF(AND(187&gt;=$NR$18,187&lt;=$NS$18),IF($NP$18="Single_Point",IF(187=$NR$18,$NN$18,0),IF($NP$18="Bell_Curve",$NN$18*(187-$NR$18+1)*($NS$18-187+1)/$NU$18,$NN$18/$NT$18)),0)</f>
        <v/>
      </c>
      <c r="GJ18" s="228">
        <f>IF(AND(188&gt;=$NR$18,188&lt;=$NS$18),IF($NP$18="Single_Point",IF(188=$NR$18,$NN$18,0),IF($NP$18="Bell_Curve",$NN$18*(188-$NR$18+1)*($NS$18-188+1)/$NU$18,$NN$18/$NT$18)),0)</f>
        <v/>
      </c>
      <c r="GK18" s="228">
        <f>IF(AND(189&gt;=$NR$18,189&lt;=$NS$18),IF($NP$18="Single_Point",IF(189=$NR$18,$NN$18,0),IF($NP$18="Bell_Curve",$NN$18*(189-$NR$18+1)*($NS$18-189+1)/$NU$18,$NN$18/$NT$18)),0)</f>
        <v/>
      </c>
      <c r="GL18" s="228">
        <f>IF(AND(190&gt;=$NR$18,190&lt;=$NS$18),IF($NP$18="Single_Point",IF(190=$NR$18,$NN$18,0),IF($NP$18="Bell_Curve",$NN$18*(190-$NR$18+1)*($NS$18-190+1)/$NU$18,$NN$18/$NT$18)),0)</f>
        <v/>
      </c>
      <c r="GM18" s="228">
        <f>IF(AND(191&gt;=$NR$18,191&lt;=$NS$18),IF($NP$18="Single_Point",IF(191=$NR$18,$NN$18,0),IF($NP$18="Bell_Curve",$NN$18*(191-$NR$18+1)*($NS$18-191+1)/$NU$18,$NN$18/$NT$18)),0)</f>
        <v/>
      </c>
      <c r="GN18" s="228">
        <f>IF(AND(192&gt;=$NR$18,192&lt;=$NS$18),IF($NP$18="Single_Point",IF(192=$NR$18,$NN$18,0),IF($NP$18="Bell_Curve",$NN$18*(192-$NR$18+1)*($NS$18-192+1)/$NU$18,$NN$18/$NT$18)),0)</f>
        <v/>
      </c>
      <c r="GO18" s="228">
        <f>IF(AND(193&gt;=$NR$18,193&lt;=$NS$18),IF($NP$18="Single_Point",IF(193=$NR$18,$NN$18,0),IF($NP$18="Bell_Curve",$NN$18*(193-$NR$18+1)*($NS$18-193+1)/$NU$18,$NN$18/$NT$18)),0)</f>
        <v/>
      </c>
      <c r="GP18" s="228">
        <f>IF(AND(194&gt;=$NR$18,194&lt;=$NS$18),IF($NP$18="Single_Point",IF(194=$NR$18,$NN$18,0),IF($NP$18="Bell_Curve",$NN$18*(194-$NR$18+1)*($NS$18-194+1)/$NU$18,$NN$18/$NT$18)),0)</f>
        <v/>
      </c>
      <c r="GQ18" s="228">
        <f>IF(AND(195&gt;=$NR$18,195&lt;=$NS$18),IF($NP$18="Single_Point",IF(195=$NR$18,$NN$18,0),IF($NP$18="Bell_Curve",$NN$18*(195-$NR$18+1)*($NS$18-195+1)/$NU$18,$NN$18/$NT$18)),0)</f>
        <v/>
      </c>
      <c r="GR18" s="228">
        <f>IF(AND(196&gt;=$NR$18,196&lt;=$NS$18),IF($NP$18="Single_Point",IF(196=$NR$18,$NN$18,0),IF($NP$18="Bell_Curve",$NN$18*(196-$NR$18+1)*($NS$18-196+1)/$NU$18,$NN$18/$NT$18)),0)</f>
        <v/>
      </c>
      <c r="GS18" s="228">
        <f>IF(AND(197&gt;=$NR$18,197&lt;=$NS$18),IF($NP$18="Single_Point",IF(197=$NR$18,$NN$18,0),IF($NP$18="Bell_Curve",$NN$18*(197-$NR$18+1)*($NS$18-197+1)/$NU$18,$NN$18/$NT$18)),0)</f>
        <v/>
      </c>
      <c r="GT18" s="228">
        <f>IF(AND(198&gt;=$NR$18,198&lt;=$NS$18),IF($NP$18="Single_Point",IF(198=$NR$18,$NN$18,0),IF($NP$18="Bell_Curve",$NN$18*(198-$NR$18+1)*($NS$18-198+1)/$NU$18,$NN$18/$NT$18)),0)</f>
        <v/>
      </c>
      <c r="GU18" s="228">
        <f>IF(AND(199&gt;=$NR$18,199&lt;=$NS$18),IF($NP$18="Single_Point",IF(199=$NR$18,$NN$18,0),IF($NP$18="Bell_Curve",$NN$18*(199-$NR$18+1)*($NS$18-199+1)/$NU$18,$NN$18/$NT$18)),0)</f>
        <v/>
      </c>
      <c r="GV18" s="228">
        <f>IF(AND(200&gt;=$NR$18,200&lt;=$NS$18),IF($NP$18="Single_Point",IF(200=$NR$18,$NN$18,0),IF($NP$18="Bell_Curve",$NN$18*(200-$NR$18+1)*($NS$18-200+1)/$NU$18,$NN$18/$NT$18)),0)</f>
        <v/>
      </c>
      <c r="GW18" s="228">
        <f>IF(AND(201&gt;=$NR$18,201&lt;=$NS$18),IF($NP$18="Single_Point",IF(201=$NR$18,$NN$18,0),IF($NP$18="Bell_Curve",$NN$18*(201-$NR$18+1)*($NS$18-201+1)/$NU$18,$NN$18/$NT$18)),0)</f>
        <v/>
      </c>
      <c r="GX18" s="228">
        <f>IF(AND(202&gt;=$NR$18,202&lt;=$NS$18),IF($NP$18="Single_Point",IF(202=$NR$18,$NN$18,0),IF($NP$18="Bell_Curve",$NN$18*(202-$NR$18+1)*($NS$18-202+1)/$NU$18,$NN$18/$NT$18)),0)</f>
        <v/>
      </c>
      <c r="GY18" s="228">
        <f>IF(AND(203&gt;=$NR$18,203&lt;=$NS$18),IF($NP$18="Single_Point",IF(203=$NR$18,$NN$18,0),IF($NP$18="Bell_Curve",$NN$18*(203-$NR$18+1)*($NS$18-203+1)/$NU$18,$NN$18/$NT$18)),0)</f>
        <v/>
      </c>
      <c r="GZ18" s="228">
        <f>IF(AND(204&gt;=$NR$18,204&lt;=$NS$18),IF($NP$18="Single_Point",IF(204=$NR$18,$NN$18,0),IF($NP$18="Bell_Curve",$NN$18*(204-$NR$18+1)*($NS$18-204+1)/$NU$18,$NN$18/$NT$18)),0)</f>
        <v/>
      </c>
      <c r="HA18" s="228">
        <f>IF(AND(205&gt;=$NR$18,205&lt;=$NS$18),IF($NP$18="Single_Point",IF(205=$NR$18,$NN$18,0),IF($NP$18="Bell_Curve",$NN$18*(205-$NR$18+1)*($NS$18-205+1)/$NU$18,$NN$18/$NT$18)),0)</f>
        <v/>
      </c>
      <c r="HB18" s="228">
        <f>IF(AND(206&gt;=$NR$18,206&lt;=$NS$18),IF($NP$18="Single_Point",IF(206=$NR$18,$NN$18,0),IF($NP$18="Bell_Curve",$NN$18*(206-$NR$18+1)*($NS$18-206+1)/$NU$18,$NN$18/$NT$18)),0)</f>
        <v/>
      </c>
      <c r="HC18" s="228">
        <f>IF(AND(207&gt;=$NR$18,207&lt;=$NS$18),IF($NP$18="Single_Point",IF(207=$NR$18,$NN$18,0),IF($NP$18="Bell_Curve",$NN$18*(207-$NR$18+1)*($NS$18-207+1)/$NU$18,$NN$18/$NT$18)),0)</f>
        <v/>
      </c>
      <c r="HD18" s="228">
        <f>IF(AND(208&gt;=$NR$18,208&lt;=$NS$18),IF($NP$18="Single_Point",IF(208=$NR$18,$NN$18,0),IF($NP$18="Bell_Curve",$NN$18*(208-$NR$18+1)*($NS$18-208+1)/$NU$18,$NN$18/$NT$18)),0)</f>
        <v/>
      </c>
      <c r="HE18" s="228">
        <f>IF(AND(209&gt;=$NR$18,209&lt;=$NS$18),IF($NP$18="Single_Point",IF(209=$NR$18,$NN$18,0),IF($NP$18="Bell_Curve",$NN$18*(209-$NR$18+1)*($NS$18-209+1)/$NU$18,$NN$18/$NT$18)),0)</f>
        <v/>
      </c>
      <c r="HF18" s="228">
        <f>IF(AND(210&gt;=$NR$18,210&lt;=$NS$18),IF($NP$18="Single_Point",IF(210=$NR$18,$NN$18,0),IF($NP$18="Bell_Curve",$NN$18*(210-$NR$18+1)*($NS$18-210+1)/$NU$18,$NN$18/$NT$18)),0)</f>
        <v/>
      </c>
      <c r="HG18" s="228">
        <f>IF(AND(211&gt;=$NR$18,211&lt;=$NS$18),IF($NP$18="Single_Point",IF(211=$NR$18,$NN$18,0),IF($NP$18="Bell_Curve",$NN$18*(211-$NR$18+1)*($NS$18-211+1)/$NU$18,$NN$18/$NT$18)),0)</f>
        <v/>
      </c>
      <c r="HH18" s="228">
        <f>IF(AND(212&gt;=$NR$18,212&lt;=$NS$18),IF($NP$18="Single_Point",IF(212=$NR$18,$NN$18,0),IF($NP$18="Bell_Curve",$NN$18*(212-$NR$18+1)*($NS$18-212+1)/$NU$18,$NN$18/$NT$18)),0)</f>
        <v/>
      </c>
      <c r="HI18" s="228">
        <f>IF(AND(213&gt;=$NR$18,213&lt;=$NS$18),IF($NP$18="Single_Point",IF(213=$NR$18,$NN$18,0),IF($NP$18="Bell_Curve",$NN$18*(213-$NR$18+1)*($NS$18-213+1)/$NU$18,$NN$18/$NT$18)),0)</f>
        <v/>
      </c>
      <c r="HJ18" s="228">
        <f>IF(AND(214&gt;=$NR$18,214&lt;=$NS$18),IF($NP$18="Single_Point",IF(214=$NR$18,$NN$18,0),IF($NP$18="Bell_Curve",$NN$18*(214-$NR$18+1)*($NS$18-214+1)/$NU$18,$NN$18/$NT$18)),0)</f>
        <v/>
      </c>
      <c r="HK18" s="228">
        <f>IF(AND(215&gt;=$NR$18,215&lt;=$NS$18),IF($NP$18="Single_Point",IF(215=$NR$18,$NN$18,0),IF($NP$18="Bell_Curve",$NN$18*(215-$NR$18+1)*($NS$18-215+1)/$NU$18,$NN$18/$NT$18)),0)</f>
        <v/>
      </c>
      <c r="HL18" s="228">
        <f>IF(AND(216&gt;=$NR$18,216&lt;=$NS$18),IF($NP$18="Single_Point",IF(216=$NR$18,$NN$18,0),IF($NP$18="Bell_Curve",$NN$18*(216-$NR$18+1)*($NS$18-216+1)/$NU$18,$NN$18/$NT$18)),0)</f>
        <v/>
      </c>
      <c r="HM18" s="228">
        <f>IF(AND(217&gt;=$NR$18,217&lt;=$NS$18),IF($NP$18="Single_Point",IF(217=$NR$18,$NN$18,0),IF($NP$18="Bell_Curve",$NN$18*(217-$NR$18+1)*($NS$18-217+1)/$NU$18,$NN$18/$NT$18)),0)</f>
        <v/>
      </c>
      <c r="HN18" s="228">
        <f>IF(AND(218&gt;=$NR$18,218&lt;=$NS$18),IF($NP$18="Single_Point",IF(218=$NR$18,$NN$18,0),IF($NP$18="Bell_Curve",$NN$18*(218-$NR$18+1)*($NS$18-218+1)/$NU$18,$NN$18/$NT$18)),0)</f>
        <v/>
      </c>
      <c r="HO18" s="228">
        <f>IF(AND(219&gt;=$NR$18,219&lt;=$NS$18),IF($NP$18="Single_Point",IF(219=$NR$18,$NN$18,0),IF($NP$18="Bell_Curve",$NN$18*(219-$NR$18+1)*($NS$18-219+1)/$NU$18,$NN$18/$NT$18)),0)</f>
        <v/>
      </c>
      <c r="HP18" s="228">
        <f>IF(AND(220&gt;=$NR$18,220&lt;=$NS$18),IF($NP$18="Single_Point",IF(220=$NR$18,$NN$18,0),IF($NP$18="Bell_Curve",$NN$18*(220-$NR$18+1)*($NS$18-220+1)/$NU$18,$NN$18/$NT$18)),0)</f>
        <v/>
      </c>
      <c r="HQ18" s="228">
        <f>IF(AND(221&gt;=$NR$18,221&lt;=$NS$18),IF($NP$18="Single_Point",IF(221=$NR$18,$NN$18,0),IF($NP$18="Bell_Curve",$NN$18*(221-$NR$18+1)*($NS$18-221+1)/$NU$18,$NN$18/$NT$18)),0)</f>
        <v/>
      </c>
      <c r="HR18" s="228">
        <f>IF(AND(222&gt;=$NR$18,222&lt;=$NS$18),IF($NP$18="Single_Point",IF(222=$NR$18,$NN$18,0),IF($NP$18="Bell_Curve",$NN$18*(222-$NR$18+1)*($NS$18-222+1)/$NU$18,$NN$18/$NT$18)),0)</f>
        <v/>
      </c>
      <c r="HS18" s="228">
        <f>IF(AND(223&gt;=$NR$18,223&lt;=$NS$18),IF($NP$18="Single_Point",IF(223=$NR$18,$NN$18,0),IF($NP$18="Bell_Curve",$NN$18*(223-$NR$18+1)*($NS$18-223+1)/$NU$18,$NN$18/$NT$18)),0)</f>
        <v/>
      </c>
      <c r="HT18" s="228">
        <f>IF(AND(224&gt;=$NR$18,224&lt;=$NS$18),IF($NP$18="Single_Point",IF(224=$NR$18,$NN$18,0),IF($NP$18="Bell_Curve",$NN$18*(224-$NR$18+1)*($NS$18-224+1)/$NU$18,$NN$18/$NT$18)),0)</f>
        <v/>
      </c>
      <c r="HU18" s="228">
        <f>IF(AND(225&gt;=$NR$18,225&lt;=$NS$18),IF($NP$18="Single_Point",IF(225=$NR$18,$NN$18,0),IF($NP$18="Bell_Curve",$NN$18*(225-$NR$18+1)*($NS$18-225+1)/$NU$18,$NN$18/$NT$18)),0)</f>
        <v/>
      </c>
      <c r="HV18" s="228">
        <f>IF(AND(226&gt;=$NR$18,226&lt;=$NS$18),IF($NP$18="Single_Point",IF(226=$NR$18,$NN$18,0),IF($NP$18="Bell_Curve",$NN$18*(226-$NR$18+1)*($NS$18-226+1)/$NU$18,$NN$18/$NT$18)),0)</f>
        <v/>
      </c>
      <c r="HW18" s="228">
        <f>IF(AND(227&gt;=$NR$18,227&lt;=$NS$18),IF($NP$18="Single_Point",IF(227=$NR$18,$NN$18,0),IF($NP$18="Bell_Curve",$NN$18*(227-$NR$18+1)*($NS$18-227+1)/$NU$18,$NN$18/$NT$18)),0)</f>
        <v/>
      </c>
      <c r="HX18" s="228">
        <f>IF(AND(228&gt;=$NR$18,228&lt;=$NS$18),IF($NP$18="Single_Point",IF(228=$NR$18,$NN$18,0),IF($NP$18="Bell_Curve",$NN$18*(228-$NR$18+1)*($NS$18-228+1)/$NU$18,$NN$18/$NT$18)),0)</f>
        <v/>
      </c>
      <c r="HY18" s="228">
        <f>IF(AND(229&gt;=$NR$18,229&lt;=$NS$18),IF($NP$18="Single_Point",IF(229=$NR$18,$NN$18,0),IF($NP$18="Bell_Curve",$NN$18*(229-$NR$18+1)*($NS$18-229+1)/$NU$18,$NN$18/$NT$18)),0)</f>
        <v/>
      </c>
      <c r="HZ18" s="228">
        <f>IF(AND(230&gt;=$NR$18,230&lt;=$NS$18),IF($NP$18="Single_Point",IF(230=$NR$18,$NN$18,0),IF($NP$18="Bell_Curve",$NN$18*(230-$NR$18+1)*($NS$18-230+1)/$NU$18,$NN$18/$NT$18)),0)</f>
        <v/>
      </c>
      <c r="IA18" s="228">
        <f>IF(AND(231&gt;=$NR$18,231&lt;=$NS$18),IF($NP$18="Single_Point",IF(231=$NR$18,$NN$18,0),IF($NP$18="Bell_Curve",$NN$18*(231-$NR$18+1)*($NS$18-231+1)/$NU$18,$NN$18/$NT$18)),0)</f>
        <v/>
      </c>
      <c r="IB18" s="228">
        <f>IF(AND(232&gt;=$NR$18,232&lt;=$NS$18),IF($NP$18="Single_Point",IF(232=$NR$18,$NN$18,0),IF($NP$18="Bell_Curve",$NN$18*(232-$NR$18+1)*($NS$18-232+1)/$NU$18,$NN$18/$NT$18)),0)</f>
        <v/>
      </c>
      <c r="IC18" s="228">
        <f>IF(AND(233&gt;=$NR$18,233&lt;=$NS$18),IF($NP$18="Single_Point",IF(233=$NR$18,$NN$18,0),IF($NP$18="Bell_Curve",$NN$18*(233-$NR$18+1)*($NS$18-233+1)/$NU$18,$NN$18/$NT$18)),0)</f>
        <v/>
      </c>
      <c r="ID18" s="228">
        <f>IF(AND(234&gt;=$NR$18,234&lt;=$NS$18),IF($NP$18="Single_Point",IF(234=$NR$18,$NN$18,0),IF($NP$18="Bell_Curve",$NN$18*(234-$NR$18+1)*($NS$18-234+1)/$NU$18,$NN$18/$NT$18)),0)</f>
        <v/>
      </c>
      <c r="IE18" s="228">
        <f>IF(AND(235&gt;=$NR$18,235&lt;=$NS$18),IF($NP$18="Single_Point",IF(235=$NR$18,$NN$18,0),IF($NP$18="Bell_Curve",$NN$18*(235-$NR$18+1)*($NS$18-235+1)/$NU$18,$NN$18/$NT$18)),0)</f>
        <v/>
      </c>
      <c r="IF18" s="228">
        <f>IF(AND(236&gt;=$NR$18,236&lt;=$NS$18),IF($NP$18="Single_Point",IF(236=$NR$18,$NN$18,0),IF($NP$18="Bell_Curve",$NN$18*(236-$NR$18+1)*($NS$18-236+1)/$NU$18,$NN$18/$NT$18)),0)</f>
        <v/>
      </c>
      <c r="IG18" s="228">
        <f>IF(AND(237&gt;=$NR$18,237&lt;=$NS$18),IF($NP$18="Single_Point",IF(237=$NR$18,$NN$18,0),IF($NP$18="Bell_Curve",$NN$18*(237-$NR$18+1)*($NS$18-237+1)/$NU$18,$NN$18/$NT$18)),0)</f>
        <v/>
      </c>
      <c r="IH18" s="228">
        <f>IF(AND(238&gt;=$NR$18,238&lt;=$NS$18),IF($NP$18="Single_Point",IF(238=$NR$18,$NN$18,0),IF($NP$18="Bell_Curve",$NN$18*(238-$NR$18+1)*($NS$18-238+1)/$NU$18,$NN$18/$NT$18)),0)</f>
        <v/>
      </c>
      <c r="II18" s="228">
        <f>IF(AND(239&gt;=$NR$18,239&lt;=$NS$18),IF($NP$18="Single_Point",IF(239=$NR$18,$NN$18,0),IF($NP$18="Bell_Curve",$NN$18*(239-$NR$18+1)*($NS$18-239+1)/$NU$18,$NN$18/$NT$18)),0)</f>
        <v/>
      </c>
      <c r="IJ18" s="228">
        <f>IF(AND(240&gt;=$NR$18,240&lt;=$NS$18),IF($NP$18="Single_Point",IF(240=$NR$18,$NN$18,0),IF($NP$18="Bell_Curve",$NN$18*(240-$NR$18+1)*($NS$18-240+1)/$NU$18,$NN$18/$NT$18)),0)</f>
        <v/>
      </c>
      <c r="IK18" s="228">
        <f>IF(AND(241&gt;=$NR$18,241&lt;=$NS$18),IF($NP$18="Single_Point",IF(241=$NR$18,$NN$18,0),IF($NP$18="Bell_Curve",$NN$18*(241-$NR$18+1)*($NS$18-241+1)/$NU$18,$NN$18/$NT$18)),0)</f>
        <v/>
      </c>
      <c r="IL18" s="228">
        <f>IF(AND(242&gt;=$NR$18,242&lt;=$NS$18),IF($NP$18="Single_Point",IF(242=$NR$18,$NN$18,0),IF($NP$18="Bell_Curve",$NN$18*(242-$NR$18+1)*($NS$18-242+1)/$NU$18,$NN$18/$NT$18)),0)</f>
        <v/>
      </c>
      <c r="IM18" s="228">
        <f>IF(AND(243&gt;=$NR$18,243&lt;=$NS$18),IF($NP$18="Single_Point",IF(243=$NR$18,$NN$18,0),IF($NP$18="Bell_Curve",$NN$18*(243-$NR$18+1)*($NS$18-243+1)/$NU$18,$NN$18/$NT$18)),0)</f>
        <v/>
      </c>
      <c r="IN18" s="228">
        <f>IF(AND(244&gt;=$NR$18,244&lt;=$NS$18),IF($NP$18="Single_Point",IF(244=$NR$18,$NN$18,0),IF($NP$18="Bell_Curve",$NN$18*(244-$NR$18+1)*($NS$18-244+1)/$NU$18,$NN$18/$NT$18)),0)</f>
        <v/>
      </c>
      <c r="IO18" s="228">
        <f>IF(AND(245&gt;=$NR$18,245&lt;=$NS$18),IF($NP$18="Single_Point",IF(245=$NR$18,$NN$18,0),IF($NP$18="Bell_Curve",$NN$18*(245-$NR$18+1)*($NS$18-245+1)/$NU$18,$NN$18/$NT$18)),0)</f>
        <v/>
      </c>
      <c r="IP18" s="228">
        <f>IF(AND(246&gt;=$NR$18,246&lt;=$NS$18),IF($NP$18="Single_Point",IF(246=$NR$18,$NN$18,0),IF($NP$18="Bell_Curve",$NN$18*(246-$NR$18+1)*($NS$18-246+1)/$NU$18,$NN$18/$NT$18)),0)</f>
        <v/>
      </c>
      <c r="IQ18" s="228">
        <f>IF(AND(247&gt;=$NR$18,247&lt;=$NS$18),IF($NP$18="Single_Point",IF(247=$NR$18,$NN$18,0),IF($NP$18="Bell_Curve",$NN$18*(247-$NR$18+1)*($NS$18-247+1)/$NU$18,$NN$18/$NT$18)),0)</f>
        <v/>
      </c>
      <c r="IR18" s="228">
        <f>IF(AND(248&gt;=$NR$18,248&lt;=$NS$18),IF($NP$18="Single_Point",IF(248=$NR$18,$NN$18,0),IF($NP$18="Bell_Curve",$NN$18*(248-$NR$18+1)*($NS$18-248+1)/$NU$18,$NN$18/$NT$18)),0)</f>
        <v/>
      </c>
      <c r="IS18" s="228">
        <f>IF(AND(249&gt;=$NR$18,249&lt;=$NS$18),IF($NP$18="Single_Point",IF(249=$NR$18,$NN$18,0),IF($NP$18="Bell_Curve",$NN$18*(249-$NR$18+1)*($NS$18-249+1)/$NU$18,$NN$18/$NT$18)),0)</f>
        <v/>
      </c>
      <c r="IT18" s="228">
        <f>IF(AND(250&gt;=$NR$18,250&lt;=$NS$18),IF($NP$18="Single_Point",IF(250=$NR$18,$NN$18,0),IF($NP$18="Bell_Curve",$NN$18*(250-$NR$18+1)*($NS$18-250+1)/$NU$18,$NN$18/$NT$18)),0)</f>
        <v/>
      </c>
      <c r="IU18" s="228">
        <f>IF(AND(251&gt;=$NR$18,251&lt;=$NS$18),IF($NP$18="Single_Point",IF(251=$NR$18,$NN$18,0),IF($NP$18="Bell_Curve",$NN$18*(251-$NR$18+1)*($NS$18-251+1)/$NU$18,$NN$18/$NT$18)),0)</f>
        <v/>
      </c>
      <c r="IV18" s="228">
        <f>IF(AND(252&gt;=$NR$18,252&lt;=$NS$18),IF($NP$18="Single_Point",IF(252=$NR$18,$NN$18,0),IF($NP$18="Bell_Curve",$NN$18*(252-$NR$18+1)*($NS$18-252+1)/$NU$18,$NN$18/$NT$18)),0)</f>
        <v/>
      </c>
      <c r="IW18" s="228">
        <f>IF(AND(253&gt;=$NR$18,253&lt;=$NS$18),IF($NP$18="Single_Point",IF(253=$NR$18,$NN$18,0),IF($NP$18="Bell_Curve",$NN$18*(253-$NR$18+1)*($NS$18-253+1)/$NU$18,$NN$18/$NT$18)),0)</f>
        <v/>
      </c>
      <c r="IX18" s="228">
        <f>IF(AND(254&gt;=$NR$18,254&lt;=$NS$18),IF($NP$18="Single_Point",IF(254=$NR$18,$NN$18,0),IF($NP$18="Bell_Curve",$NN$18*(254-$NR$18+1)*($NS$18-254+1)/$NU$18,$NN$18/$NT$18)),0)</f>
        <v/>
      </c>
      <c r="IY18" s="228">
        <f>IF(AND(255&gt;=$NR$18,255&lt;=$NS$18),IF($NP$18="Single_Point",IF(255=$NR$18,$NN$18,0),IF($NP$18="Bell_Curve",$NN$18*(255-$NR$18+1)*($NS$18-255+1)/$NU$18,$NN$18/$NT$18)),0)</f>
        <v/>
      </c>
      <c r="IZ18" s="228">
        <f>IF(AND(256&gt;=$NR$18,256&lt;=$NS$18),IF($NP$18="Single_Point",IF(256=$NR$18,$NN$18,0),IF($NP$18="Bell_Curve",$NN$18*(256-$NR$18+1)*($NS$18-256+1)/$NU$18,$NN$18/$NT$18)),0)</f>
        <v/>
      </c>
      <c r="JA18" s="228">
        <f>IF(AND(257&gt;=$NR$18,257&lt;=$NS$18),IF($NP$18="Single_Point",IF(257=$NR$18,$NN$18,0),IF($NP$18="Bell_Curve",$NN$18*(257-$NR$18+1)*($NS$18-257+1)/$NU$18,$NN$18/$NT$18)),0)</f>
        <v/>
      </c>
      <c r="JB18" s="228">
        <f>IF(AND(258&gt;=$NR$18,258&lt;=$NS$18),IF($NP$18="Single_Point",IF(258=$NR$18,$NN$18,0),IF($NP$18="Bell_Curve",$NN$18*(258-$NR$18+1)*($NS$18-258+1)/$NU$18,$NN$18/$NT$18)),0)</f>
        <v/>
      </c>
      <c r="JC18" s="228">
        <f>IF(AND(259&gt;=$NR$18,259&lt;=$NS$18),IF($NP$18="Single_Point",IF(259=$NR$18,$NN$18,0),IF($NP$18="Bell_Curve",$NN$18*(259-$NR$18+1)*($NS$18-259+1)/$NU$18,$NN$18/$NT$18)),0)</f>
        <v/>
      </c>
      <c r="JD18" s="228">
        <f>IF(AND(260&gt;=$NR$18,260&lt;=$NS$18),IF($NP$18="Single_Point",IF(260=$NR$18,$NN$18,0),IF($NP$18="Bell_Curve",$NN$18*(260-$NR$18+1)*($NS$18-260+1)/$NU$18,$NN$18/$NT$18)),0)</f>
        <v/>
      </c>
      <c r="JE18" s="228">
        <f>IF(AND(261&gt;=$NR$18,261&lt;=$NS$18),IF($NP$18="Single_Point",IF(261=$NR$18,$NN$18,0),IF($NP$18="Bell_Curve",$NN$18*(261-$NR$18+1)*($NS$18-261+1)/$NU$18,$NN$18/$NT$18)),0)</f>
        <v/>
      </c>
      <c r="JF18" s="228">
        <f>IF(AND(262&gt;=$NR$18,262&lt;=$NS$18),IF($NP$18="Single_Point",IF(262=$NR$18,$NN$18,0),IF($NP$18="Bell_Curve",$NN$18*(262-$NR$18+1)*($NS$18-262+1)/$NU$18,$NN$18/$NT$18)),0)</f>
        <v/>
      </c>
      <c r="JG18" s="228">
        <f>IF(AND(263&gt;=$NR$18,263&lt;=$NS$18),IF($NP$18="Single_Point",IF(263=$NR$18,$NN$18,0),IF($NP$18="Bell_Curve",$NN$18*(263-$NR$18+1)*($NS$18-263+1)/$NU$18,$NN$18/$NT$18)),0)</f>
        <v/>
      </c>
      <c r="JH18" s="228">
        <f>IF(AND(264&gt;=$NR$18,264&lt;=$NS$18),IF($NP$18="Single_Point",IF(264=$NR$18,$NN$18,0),IF($NP$18="Bell_Curve",$NN$18*(264-$NR$18+1)*($NS$18-264+1)/$NU$18,$NN$18/$NT$18)),0)</f>
        <v/>
      </c>
      <c r="JI18" s="228">
        <f>IF(AND(265&gt;=$NR$18,265&lt;=$NS$18),IF($NP$18="Single_Point",IF(265=$NR$18,$NN$18,0),IF($NP$18="Bell_Curve",$NN$18*(265-$NR$18+1)*($NS$18-265+1)/$NU$18,$NN$18/$NT$18)),0)</f>
        <v/>
      </c>
      <c r="JJ18" s="228">
        <f>IF(AND(266&gt;=$NR$18,266&lt;=$NS$18),IF($NP$18="Single_Point",IF(266=$NR$18,$NN$18,0),IF($NP$18="Bell_Curve",$NN$18*(266-$NR$18+1)*($NS$18-266+1)/$NU$18,$NN$18/$NT$18)),0)</f>
        <v/>
      </c>
      <c r="JK18" s="228">
        <f>IF(AND(267&gt;=$NR$18,267&lt;=$NS$18),IF($NP$18="Single_Point",IF(267=$NR$18,$NN$18,0),IF($NP$18="Bell_Curve",$NN$18*(267-$NR$18+1)*($NS$18-267+1)/$NU$18,$NN$18/$NT$18)),0)</f>
        <v/>
      </c>
      <c r="JL18" s="228">
        <f>IF(AND(268&gt;=$NR$18,268&lt;=$NS$18),IF($NP$18="Single_Point",IF(268=$NR$18,$NN$18,0),IF($NP$18="Bell_Curve",$NN$18*(268-$NR$18+1)*($NS$18-268+1)/$NU$18,$NN$18/$NT$18)),0)</f>
        <v/>
      </c>
      <c r="JM18" s="228">
        <f>IF(AND(269&gt;=$NR$18,269&lt;=$NS$18),IF($NP$18="Single_Point",IF(269=$NR$18,$NN$18,0),IF($NP$18="Bell_Curve",$NN$18*(269-$NR$18+1)*($NS$18-269+1)/$NU$18,$NN$18/$NT$18)),0)</f>
        <v/>
      </c>
      <c r="JN18" s="228">
        <f>IF(AND(270&gt;=$NR$18,270&lt;=$NS$18),IF($NP$18="Single_Point",IF(270=$NR$18,$NN$18,0),IF($NP$18="Bell_Curve",$NN$18*(270-$NR$18+1)*($NS$18-270+1)/$NU$18,$NN$18/$NT$18)),0)</f>
        <v/>
      </c>
      <c r="JO18" s="228">
        <f>IF(AND(271&gt;=$NR$18,271&lt;=$NS$18),IF($NP$18="Single_Point",IF(271=$NR$18,$NN$18,0),IF($NP$18="Bell_Curve",$NN$18*(271-$NR$18+1)*($NS$18-271+1)/$NU$18,$NN$18/$NT$18)),0)</f>
        <v/>
      </c>
      <c r="JP18" s="228">
        <f>IF(AND(272&gt;=$NR$18,272&lt;=$NS$18),IF($NP$18="Single_Point",IF(272=$NR$18,$NN$18,0),IF($NP$18="Bell_Curve",$NN$18*(272-$NR$18+1)*($NS$18-272+1)/$NU$18,$NN$18/$NT$18)),0)</f>
        <v/>
      </c>
      <c r="JQ18" s="228">
        <f>IF(AND(273&gt;=$NR$18,273&lt;=$NS$18),IF($NP$18="Single_Point",IF(273=$NR$18,$NN$18,0),IF($NP$18="Bell_Curve",$NN$18*(273-$NR$18+1)*($NS$18-273+1)/$NU$18,$NN$18/$NT$18)),0)</f>
        <v/>
      </c>
      <c r="JR18" s="228">
        <f>IF(AND(274&gt;=$NR$18,274&lt;=$NS$18),IF($NP$18="Single_Point",IF(274=$NR$18,$NN$18,0),IF($NP$18="Bell_Curve",$NN$18*(274-$NR$18+1)*($NS$18-274+1)/$NU$18,$NN$18/$NT$18)),0)</f>
        <v/>
      </c>
      <c r="JS18" s="228">
        <f>IF(AND(275&gt;=$NR$18,275&lt;=$NS$18),IF($NP$18="Single_Point",IF(275=$NR$18,$NN$18,0),IF($NP$18="Bell_Curve",$NN$18*(275-$NR$18+1)*($NS$18-275+1)/$NU$18,$NN$18/$NT$18)),0)</f>
        <v/>
      </c>
      <c r="JT18" s="228">
        <f>IF(AND(276&gt;=$NR$18,276&lt;=$NS$18),IF($NP$18="Single_Point",IF(276=$NR$18,$NN$18,0),IF($NP$18="Bell_Curve",$NN$18*(276-$NR$18+1)*($NS$18-276+1)/$NU$18,$NN$18/$NT$18)),0)</f>
        <v/>
      </c>
      <c r="JU18" s="228">
        <f>IF(AND(277&gt;=$NR$18,277&lt;=$NS$18),IF($NP$18="Single_Point",IF(277=$NR$18,$NN$18,0),IF($NP$18="Bell_Curve",$NN$18*(277-$NR$18+1)*($NS$18-277+1)/$NU$18,$NN$18/$NT$18)),0)</f>
        <v/>
      </c>
      <c r="JV18" s="228">
        <f>IF(AND(278&gt;=$NR$18,278&lt;=$NS$18),IF($NP$18="Single_Point",IF(278=$NR$18,$NN$18,0),IF($NP$18="Bell_Curve",$NN$18*(278-$NR$18+1)*($NS$18-278+1)/$NU$18,$NN$18/$NT$18)),0)</f>
        <v/>
      </c>
      <c r="JW18" s="228">
        <f>IF(AND(279&gt;=$NR$18,279&lt;=$NS$18),IF($NP$18="Single_Point",IF(279=$NR$18,$NN$18,0),IF($NP$18="Bell_Curve",$NN$18*(279-$NR$18+1)*($NS$18-279+1)/$NU$18,$NN$18/$NT$18)),0)</f>
        <v/>
      </c>
      <c r="JX18" s="228">
        <f>IF(AND(280&gt;=$NR$18,280&lt;=$NS$18),IF($NP$18="Single_Point",IF(280=$NR$18,$NN$18,0),IF($NP$18="Bell_Curve",$NN$18*(280-$NR$18+1)*($NS$18-280+1)/$NU$18,$NN$18/$NT$18)),0)</f>
        <v/>
      </c>
      <c r="JY18" s="228">
        <f>IF(AND(281&gt;=$NR$18,281&lt;=$NS$18),IF($NP$18="Single_Point",IF(281=$NR$18,$NN$18,0),IF($NP$18="Bell_Curve",$NN$18*(281-$NR$18+1)*($NS$18-281+1)/$NU$18,$NN$18/$NT$18)),0)</f>
        <v/>
      </c>
      <c r="JZ18" s="228">
        <f>IF(AND(282&gt;=$NR$18,282&lt;=$NS$18),IF($NP$18="Single_Point",IF(282=$NR$18,$NN$18,0),IF($NP$18="Bell_Curve",$NN$18*(282-$NR$18+1)*($NS$18-282+1)/$NU$18,$NN$18/$NT$18)),0)</f>
        <v/>
      </c>
      <c r="KA18" s="228">
        <f>IF(AND(283&gt;=$NR$18,283&lt;=$NS$18),IF($NP$18="Single_Point",IF(283=$NR$18,$NN$18,0),IF($NP$18="Bell_Curve",$NN$18*(283-$NR$18+1)*($NS$18-283+1)/$NU$18,$NN$18/$NT$18)),0)</f>
        <v/>
      </c>
      <c r="KB18" s="228">
        <f>IF(AND(284&gt;=$NR$18,284&lt;=$NS$18),IF($NP$18="Single_Point",IF(284=$NR$18,$NN$18,0),IF($NP$18="Bell_Curve",$NN$18*(284-$NR$18+1)*($NS$18-284+1)/$NU$18,$NN$18/$NT$18)),0)</f>
        <v/>
      </c>
      <c r="KC18" s="228">
        <f>IF(AND(285&gt;=$NR$18,285&lt;=$NS$18),IF($NP$18="Single_Point",IF(285=$NR$18,$NN$18,0),IF($NP$18="Bell_Curve",$NN$18*(285-$NR$18+1)*($NS$18-285+1)/$NU$18,$NN$18/$NT$18)),0)</f>
        <v/>
      </c>
      <c r="KD18" s="228">
        <f>IF(AND(286&gt;=$NR$18,286&lt;=$NS$18),IF($NP$18="Single_Point",IF(286=$NR$18,$NN$18,0),IF($NP$18="Bell_Curve",$NN$18*(286-$NR$18+1)*($NS$18-286+1)/$NU$18,$NN$18/$NT$18)),0)</f>
        <v/>
      </c>
      <c r="KE18" s="228">
        <f>IF(AND(287&gt;=$NR$18,287&lt;=$NS$18),IF($NP$18="Single_Point",IF(287=$NR$18,$NN$18,0),IF($NP$18="Bell_Curve",$NN$18*(287-$NR$18+1)*($NS$18-287+1)/$NU$18,$NN$18/$NT$18)),0)</f>
        <v/>
      </c>
      <c r="KF18" s="228">
        <f>IF(AND(288&gt;=$NR$18,288&lt;=$NS$18),IF($NP$18="Single_Point",IF(288=$NR$18,$NN$18,0),IF($NP$18="Bell_Curve",$NN$18*(288-$NR$18+1)*($NS$18-288+1)/$NU$18,$NN$18/$NT$18)),0)</f>
        <v/>
      </c>
      <c r="KG18" s="228">
        <f>IF(AND(289&gt;=$NR$18,289&lt;=$NS$18),IF($NP$18="Single_Point",IF(289=$NR$18,$NN$18,0),IF($NP$18="Bell_Curve",$NN$18*(289-$NR$18+1)*($NS$18-289+1)/$NU$18,$NN$18/$NT$18)),0)</f>
        <v/>
      </c>
      <c r="KH18" s="228">
        <f>IF(AND(290&gt;=$NR$18,290&lt;=$NS$18),IF($NP$18="Single_Point",IF(290=$NR$18,$NN$18,0),IF($NP$18="Bell_Curve",$NN$18*(290-$NR$18+1)*($NS$18-290+1)/$NU$18,$NN$18/$NT$18)),0)</f>
        <v/>
      </c>
      <c r="KI18" s="228">
        <f>IF(AND(291&gt;=$NR$18,291&lt;=$NS$18),IF($NP$18="Single_Point",IF(291=$NR$18,$NN$18,0),IF($NP$18="Bell_Curve",$NN$18*(291-$NR$18+1)*($NS$18-291+1)/$NU$18,$NN$18/$NT$18)),0)</f>
        <v/>
      </c>
      <c r="KJ18" s="228">
        <f>IF(AND(292&gt;=$NR$18,292&lt;=$NS$18),IF($NP$18="Single_Point",IF(292=$NR$18,$NN$18,0),IF($NP$18="Bell_Curve",$NN$18*(292-$NR$18+1)*($NS$18-292+1)/$NU$18,$NN$18/$NT$18)),0)</f>
        <v/>
      </c>
      <c r="KK18" s="228">
        <f>IF(AND(293&gt;=$NR$18,293&lt;=$NS$18),IF($NP$18="Single_Point",IF(293=$NR$18,$NN$18,0),IF($NP$18="Bell_Curve",$NN$18*(293-$NR$18+1)*($NS$18-293+1)/$NU$18,$NN$18/$NT$18)),0)</f>
        <v/>
      </c>
      <c r="KL18" s="228">
        <f>IF(AND(294&gt;=$NR$18,294&lt;=$NS$18),IF($NP$18="Single_Point",IF(294=$NR$18,$NN$18,0),IF($NP$18="Bell_Curve",$NN$18*(294-$NR$18+1)*($NS$18-294+1)/$NU$18,$NN$18/$NT$18)),0)</f>
        <v/>
      </c>
      <c r="KM18" s="228">
        <f>IF(AND(295&gt;=$NR$18,295&lt;=$NS$18),IF($NP$18="Single_Point",IF(295=$NR$18,$NN$18,0),IF($NP$18="Bell_Curve",$NN$18*(295-$NR$18+1)*($NS$18-295+1)/$NU$18,$NN$18/$NT$18)),0)</f>
        <v/>
      </c>
      <c r="KN18" s="228">
        <f>IF(AND(296&gt;=$NR$18,296&lt;=$NS$18),IF($NP$18="Single_Point",IF(296=$NR$18,$NN$18,0),IF($NP$18="Bell_Curve",$NN$18*(296-$NR$18+1)*($NS$18-296+1)/$NU$18,$NN$18/$NT$18)),0)</f>
        <v/>
      </c>
      <c r="KO18" s="228">
        <f>IF(AND(297&gt;=$NR$18,297&lt;=$NS$18),IF($NP$18="Single_Point",IF(297=$NR$18,$NN$18,0),IF($NP$18="Bell_Curve",$NN$18*(297-$NR$18+1)*($NS$18-297+1)/$NU$18,$NN$18/$NT$18)),0)</f>
        <v/>
      </c>
      <c r="KP18" s="228">
        <f>IF(AND(298&gt;=$NR$18,298&lt;=$NS$18),IF($NP$18="Single_Point",IF(298=$NR$18,$NN$18,0),IF($NP$18="Bell_Curve",$NN$18*(298-$NR$18+1)*($NS$18-298+1)/$NU$18,$NN$18/$NT$18)),0)</f>
        <v/>
      </c>
      <c r="KQ18" s="228">
        <f>IF(AND(299&gt;=$NR$18,299&lt;=$NS$18),IF($NP$18="Single_Point",IF(299=$NR$18,$NN$18,0),IF($NP$18="Bell_Curve",$NN$18*(299-$NR$18+1)*($NS$18-299+1)/$NU$18,$NN$18/$NT$18)),0)</f>
        <v/>
      </c>
      <c r="KR18" s="228">
        <f>IF(AND(300&gt;=$NR$18,300&lt;=$NS$18),IF($NP$18="Single_Point",IF(300=$NR$18,$NN$18,0),IF($NP$18="Bell_Curve",$NN$18*(300-$NR$18+1)*($NS$18-300+1)/$NU$18,$NN$18/$NT$18)),0)</f>
        <v/>
      </c>
      <c r="KS18" s="228">
        <f>IF(AND(301&gt;=$NR$18,301&lt;=$NS$18),IF($NP$18="Single_Point",IF(301=$NR$18,$NN$18,0),IF($NP$18="Bell_Curve",$NN$18*(301-$NR$18+1)*($NS$18-301+1)/$NU$18,$NN$18/$NT$18)),0)</f>
        <v/>
      </c>
      <c r="KT18" s="228">
        <f>IF(AND(302&gt;=$NR$18,302&lt;=$NS$18),IF($NP$18="Single_Point",IF(302=$NR$18,$NN$18,0),IF($NP$18="Bell_Curve",$NN$18*(302-$NR$18+1)*($NS$18-302+1)/$NU$18,$NN$18/$NT$18)),0)</f>
        <v/>
      </c>
      <c r="KU18" s="228">
        <f>IF(AND(303&gt;=$NR$18,303&lt;=$NS$18),IF($NP$18="Single_Point",IF(303=$NR$18,$NN$18,0),IF($NP$18="Bell_Curve",$NN$18*(303-$NR$18+1)*($NS$18-303+1)/$NU$18,$NN$18/$NT$18)),0)</f>
        <v/>
      </c>
      <c r="KV18" s="228">
        <f>IF(AND(304&gt;=$NR$18,304&lt;=$NS$18),IF($NP$18="Single_Point",IF(304=$NR$18,$NN$18,0),IF($NP$18="Bell_Curve",$NN$18*(304-$NR$18+1)*($NS$18-304+1)/$NU$18,$NN$18/$NT$18)),0)</f>
        <v/>
      </c>
      <c r="KW18" s="228">
        <f>IF(AND(305&gt;=$NR$18,305&lt;=$NS$18),IF($NP$18="Single_Point",IF(305=$NR$18,$NN$18,0),IF($NP$18="Bell_Curve",$NN$18*(305-$NR$18+1)*($NS$18-305+1)/$NU$18,$NN$18/$NT$18)),0)</f>
        <v/>
      </c>
      <c r="KX18" s="228">
        <f>IF(AND(306&gt;=$NR$18,306&lt;=$NS$18),IF($NP$18="Single_Point",IF(306=$NR$18,$NN$18,0),IF($NP$18="Bell_Curve",$NN$18*(306-$NR$18+1)*($NS$18-306+1)/$NU$18,$NN$18/$NT$18)),0)</f>
        <v/>
      </c>
      <c r="KY18" s="228">
        <f>IF(AND(307&gt;=$NR$18,307&lt;=$NS$18),IF($NP$18="Single_Point",IF(307=$NR$18,$NN$18,0),IF($NP$18="Bell_Curve",$NN$18*(307-$NR$18+1)*($NS$18-307+1)/$NU$18,$NN$18/$NT$18)),0)</f>
        <v/>
      </c>
      <c r="KZ18" s="228">
        <f>IF(AND(308&gt;=$NR$18,308&lt;=$NS$18),IF($NP$18="Single_Point",IF(308=$NR$18,$NN$18,0),IF($NP$18="Bell_Curve",$NN$18*(308-$NR$18+1)*($NS$18-308+1)/$NU$18,$NN$18/$NT$18)),0)</f>
        <v/>
      </c>
      <c r="LA18" s="228">
        <f>IF(AND(309&gt;=$NR$18,309&lt;=$NS$18),IF($NP$18="Single_Point",IF(309=$NR$18,$NN$18,0),IF($NP$18="Bell_Curve",$NN$18*(309-$NR$18+1)*($NS$18-309+1)/$NU$18,$NN$18/$NT$18)),0)</f>
        <v/>
      </c>
      <c r="LB18" s="228">
        <f>IF(AND(310&gt;=$NR$18,310&lt;=$NS$18),IF($NP$18="Single_Point",IF(310=$NR$18,$NN$18,0),IF($NP$18="Bell_Curve",$NN$18*(310-$NR$18+1)*($NS$18-310+1)/$NU$18,$NN$18/$NT$18)),0)</f>
        <v/>
      </c>
      <c r="LC18" s="228">
        <f>IF(AND(311&gt;=$NR$18,311&lt;=$NS$18),IF($NP$18="Single_Point",IF(311=$NR$18,$NN$18,0),IF($NP$18="Bell_Curve",$NN$18*(311-$NR$18+1)*($NS$18-311+1)/$NU$18,$NN$18/$NT$18)),0)</f>
        <v/>
      </c>
      <c r="LD18" s="228">
        <f>IF(AND(312&gt;=$NR$18,312&lt;=$NS$18),IF($NP$18="Single_Point",IF(312=$NR$18,$NN$18,0),IF($NP$18="Bell_Curve",$NN$18*(312-$NR$18+1)*($NS$18-312+1)/$NU$18,$NN$18/$NT$18)),0)</f>
        <v/>
      </c>
      <c r="LE18" s="228">
        <f>IF(AND(313&gt;=$NR$18,313&lt;=$NS$18),IF($NP$18="Single_Point",IF(313=$NR$18,$NN$18,0),IF($NP$18="Bell_Curve",$NN$18*(313-$NR$18+1)*($NS$18-313+1)/$NU$18,$NN$18/$NT$18)),0)</f>
        <v/>
      </c>
      <c r="LF18" s="228">
        <f>IF(AND(314&gt;=$NR$18,314&lt;=$NS$18),IF($NP$18="Single_Point",IF(314=$NR$18,$NN$18,0),IF($NP$18="Bell_Curve",$NN$18*(314-$NR$18+1)*($NS$18-314+1)/$NU$18,$NN$18/$NT$18)),0)</f>
        <v/>
      </c>
      <c r="LG18" s="228">
        <f>IF(AND(315&gt;=$NR$18,315&lt;=$NS$18),IF($NP$18="Single_Point",IF(315=$NR$18,$NN$18,0),IF($NP$18="Bell_Curve",$NN$18*(315-$NR$18+1)*($NS$18-315+1)/$NU$18,$NN$18/$NT$18)),0)</f>
        <v/>
      </c>
      <c r="LH18" s="228">
        <f>IF(AND(316&gt;=$NR$18,316&lt;=$NS$18),IF($NP$18="Single_Point",IF(316=$NR$18,$NN$18,0),IF($NP$18="Bell_Curve",$NN$18*(316-$NR$18+1)*($NS$18-316+1)/$NU$18,$NN$18/$NT$18)),0)</f>
        <v/>
      </c>
      <c r="LI18" s="228">
        <f>IF(AND(317&gt;=$NR$18,317&lt;=$NS$18),IF($NP$18="Single_Point",IF(317=$NR$18,$NN$18,0),IF($NP$18="Bell_Curve",$NN$18*(317-$NR$18+1)*($NS$18-317+1)/$NU$18,$NN$18/$NT$18)),0)</f>
        <v/>
      </c>
      <c r="LJ18" s="228">
        <f>IF(AND(318&gt;=$NR$18,318&lt;=$NS$18),IF($NP$18="Single_Point",IF(318=$NR$18,$NN$18,0),IF($NP$18="Bell_Curve",$NN$18*(318-$NR$18+1)*($NS$18-318+1)/$NU$18,$NN$18/$NT$18)),0)</f>
        <v/>
      </c>
      <c r="LK18" s="228">
        <f>IF(AND(319&gt;=$NR$18,319&lt;=$NS$18),IF($NP$18="Single_Point",IF(319=$NR$18,$NN$18,0),IF($NP$18="Bell_Curve",$NN$18*(319-$NR$18+1)*($NS$18-319+1)/$NU$18,$NN$18/$NT$18)),0)</f>
        <v/>
      </c>
      <c r="LL18" s="228">
        <f>IF(AND(320&gt;=$NR$18,320&lt;=$NS$18),IF($NP$18="Single_Point",IF(320=$NR$18,$NN$18,0),IF($NP$18="Bell_Curve",$NN$18*(320-$NR$18+1)*($NS$18-320+1)/$NU$18,$NN$18/$NT$18)),0)</f>
        <v/>
      </c>
      <c r="LM18" s="228">
        <f>IF(AND(321&gt;=$NR$18,321&lt;=$NS$18),IF($NP$18="Single_Point",IF(321=$NR$18,$NN$18,0),IF($NP$18="Bell_Curve",$NN$18*(321-$NR$18+1)*($NS$18-321+1)/$NU$18,$NN$18/$NT$18)),0)</f>
        <v/>
      </c>
      <c r="LN18" s="228">
        <f>IF(AND(322&gt;=$NR$18,322&lt;=$NS$18),IF($NP$18="Single_Point",IF(322=$NR$18,$NN$18,0),IF($NP$18="Bell_Curve",$NN$18*(322-$NR$18+1)*($NS$18-322+1)/$NU$18,$NN$18/$NT$18)),0)</f>
        <v/>
      </c>
      <c r="LO18" s="228">
        <f>IF(AND(323&gt;=$NR$18,323&lt;=$NS$18),IF($NP$18="Single_Point",IF(323=$NR$18,$NN$18,0),IF($NP$18="Bell_Curve",$NN$18*(323-$NR$18+1)*($NS$18-323+1)/$NU$18,$NN$18/$NT$18)),0)</f>
        <v/>
      </c>
      <c r="LP18" s="228">
        <f>IF(AND(324&gt;=$NR$18,324&lt;=$NS$18),IF($NP$18="Single_Point",IF(324=$NR$18,$NN$18,0),IF($NP$18="Bell_Curve",$NN$18*(324-$NR$18+1)*($NS$18-324+1)/$NU$18,$NN$18/$NT$18)),0)</f>
        <v/>
      </c>
      <c r="LQ18" s="228">
        <f>IF(AND(325&gt;=$NR$18,325&lt;=$NS$18),IF($NP$18="Single_Point",IF(325=$NR$18,$NN$18,0),IF($NP$18="Bell_Curve",$NN$18*(325-$NR$18+1)*($NS$18-325+1)/$NU$18,$NN$18/$NT$18)),0)</f>
        <v/>
      </c>
      <c r="LR18" s="228">
        <f>IF(AND(326&gt;=$NR$18,326&lt;=$NS$18),IF($NP$18="Single_Point",IF(326=$NR$18,$NN$18,0),IF($NP$18="Bell_Curve",$NN$18*(326-$NR$18+1)*($NS$18-326+1)/$NU$18,$NN$18/$NT$18)),0)</f>
        <v/>
      </c>
      <c r="LS18" s="228">
        <f>IF(AND(327&gt;=$NR$18,327&lt;=$NS$18),IF($NP$18="Single_Point",IF(327=$NR$18,$NN$18,0),IF($NP$18="Bell_Curve",$NN$18*(327-$NR$18+1)*($NS$18-327+1)/$NU$18,$NN$18/$NT$18)),0)</f>
        <v/>
      </c>
      <c r="LT18" s="228">
        <f>IF(AND(328&gt;=$NR$18,328&lt;=$NS$18),IF($NP$18="Single_Point",IF(328=$NR$18,$NN$18,0),IF($NP$18="Bell_Curve",$NN$18*(328-$NR$18+1)*($NS$18-328+1)/$NU$18,$NN$18/$NT$18)),0)</f>
        <v/>
      </c>
      <c r="LU18" s="228">
        <f>IF(AND(329&gt;=$NR$18,329&lt;=$NS$18),IF($NP$18="Single_Point",IF(329=$NR$18,$NN$18,0),IF($NP$18="Bell_Curve",$NN$18*(329-$NR$18+1)*($NS$18-329+1)/$NU$18,$NN$18/$NT$18)),0)</f>
        <v/>
      </c>
      <c r="LV18" s="228">
        <f>IF(AND(330&gt;=$NR$18,330&lt;=$NS$18),IF($NP$18="Single_Point",IF(330=$NR$18,$NN$18,0),IF($NP$18="Bell_Curve",$NN$18*(330-$NR$18+1)*($NS$18-330+1)/$NU$18,$NN$18/$NT$18)),0)</f>
        <v/>
      </c>
      <c r="LW18" s="228">
        <f>IF(AND(331&gt;=$NR$18,331&lt;=$NS$18),IF($NP$18="Single_Point",IF(331=$NR$18,$NN$18,0),IF($NP$18="Bell_Curve",$NN$18*(331-$NR$18+1)*($NS$18-331+1)/$NU$18,$NN$18/$NT$18)),0)</f>
        <v/>
      </c>
      <c r="LX18" s="228">
        <f>IF(AND(332&gt;=$NR$18,332&lt;=$NS$18),IF($NP$18="Single_Point",IF(332=$NR$18,$NN$18,0),IF($NP$18="Bell_Curve",$NN$18*(332-$NR$18+1)*($NS$18-332+1)/$NU$18,$NN$18/$NT$18)),0)</f>
        <v/>
      </c>
      <c r="LY18" s="228">
        <f>IF(AND(333&gt;=$NR$18,333&lt;=$NS$18),IF($NP$18="Single_Point",IF(333=$NR$18,$NN$18,0),IF($NP$18="Bell_Curve",$NN$18*(333-$NR$18+1)*($NS$18-333+1)/$NU$18,$NN$18/$NT$18)),0)</f>
        <v/>
      </c>
      <c r="LZ18" s="228">
        <f>IF(AND(334&gt;=$NR$18,334&lt;=$NS$18),IF($NP$18="Single_Point",IF(334=$NR$18,$NN$18,0),IF($NP$18="Bell_Curve",$NN$18*(334-$NR$18+1)*($NS$18-334+1)/$NU$18,$NN$18/$NT$18)),0)</f>
        <v/>
      </c>
      <c r="MA18" s="228">
        <f>IF(AND(335&gt;=$NR$18,335&lt;=$NS$18),IF($NP$18="Single_Point",IF(335=$NR$18,$NN$18,0),IF($NP$18="Bell_Curve",$NN$18*(335-$NR$18+1)*($NS$18-335+1)/$NU$18,$NN$18/$NT$18)),0)</f>
        <v/>
      </c>
      <c r="MB18" s="228">
        <f>IF(AND(336&gt;=$NR$18,336&lt;=$NS$18),IF($NP$18="Single_Point",IF(336=$NR$18,$NN$18,0),IF($NP$18="Bell_Curve",$NN$18*(336-$NR$18+1)*($NS$18-336+1)/$NU$18,$NN$18/$NT$18)),0)</f>
        <v/>
      </c>
      <c r="MC18" s="228">
        <f>IF(AND(337&gt;=$NR$18,337&lt;=$NS$18),IF($NP$18="Single_Point",IF(337=$NR$18,$NN$18,0),IF($NP$18="Bell_Curve",$NN$18*(337-$NR$18+1)*($NS$18-337+1)/$NU$18,$NN$18/$NT$18)),0)</f>
        <v/>
      </c>
      <c r="MD18" s="228">
        <f>IF(AND(338&gt;=$NR$18,338&lt;=$NS$18),IF($NP$18="Single_Point",IF(338=$NR$18,$NN$18,0),IF($NP$18="Bell_Curve",$NN$18*(338-$NR$18+1)*($NS$18-338+1)/$NU$18,$NN$18/$NT$18)),0)</f>
        <v/>
      </c>
      <c r="ME18" s="228">
        <f>IF(AND(339&gt;=$NR$18,339&lt;=$NS$18),IF($NP$18="Single_Point",IF(339=$NR$18,$NN$18,0),IF($NP$18="Bell_Curve",$NN$18*(339-$NR$18+1)*($NS$18-339+1)/$NU$18,$NN$18/$NT$18)),0)</f>
        <v/>
      </c>
      <c r="MF18" s="228">
        <f>IF(AND(340&gt;=$NR$18,340&lt;=$NS$18),IF($NP$18="Single_Point",IF(340=$NR$18,$NN$18,0),IF($NP$18="Bell_Curve",$NN$18*(340-$NR$18+1)*($NS$18-340+1)/$NU$18,$NN$18/$NT$18)),0)</f>
        <v/>
      </c>
      <c r="MG18" s="228">
        <f>IF(AND(341&gt;=$NR$18,341&lt;=$NS$18),IF($NP$18="Single_Point",IF(341=$NR$18,$NN$18,0),IF($NP$18="Bell_Curve",$NN$18*(341-$NR$18+1)*($NS$18-341+1)/$NU$18,$NN$18/$NT$18)),0)</f>
        <v/>
      </c>
      <c r="MH18" s="228">
        <f>IF(AND(342&gt;=$NR$18,342&lt;=$NS$18),IF($NP$18="Single_Point",IF(342=$NR$18,$NN$18,0),IF($NP$18="Bell_Curve",$NN$18*(342-$NR$18+1)*($NS$18-342+1)/$NU$18,$NN$18/$NT$18)),0)</f>
        <v/>
      </c>
      <c r="MI18" s="228">
        <f>IF(AND(343&gt;=$NR$18,343&lt;=$NS$18),IF($NP$18="Single_Point",IF(343=$NR$18,$NN$18,0),IF($NP$18="Bell_Curve",$NN$18*(343-$NR$18+1)*($NS$18-343+1)/$NU$18,$NN$18/$NT$18)),0)</f>
        <v/>
      </c>
      <c r="MJ18" s="228">
        <f>IF(AND(344&gt;=$NR$18,344&lt;=$NS$18),IF($NP$18="Single_Point",IF(344=$NR$18,$NN$18,0),IF($NP$18="Bell_Curve",$NN$18*(344-$NR$18+1)*($NS$18-344+1)/$NU$18,$NN$18/$NT$18)),0)</f>
        <v/>
      </c>
      <c r="MK18" s="228">
        <f>IF(AND(345&gt;=$NR$18,345&lt;=$NS$18),IF($NP$18="Single_Point",IF(345=$NR$18,$NN$18,0),IF($NP$18="Bell_Curve",$NN$18*(345-$NR$18+1)*($NS$18-345+1)/$NU$18,$NN$18/$NT$18)),0)</f>
        <v/>
      </c>
      <c r="ML18" s="228">
        <f>IF(AND(346&gt;=$NR$18,346&lt;=$NS$18),IF($NP$18="Single_Point",IF(346=$NR$18,$NN$18,0),IF($NP$18="Bell_Curve",$NN$18*(346-$NR$18+1)*($NS$18-346+1)/$NU$18,$NN$18/$NT$18)),0)</f>
        <v/>
      </c>
      <c r="MM18" s="228">
        <f>IF(AND(347&gt;=$NR$18,347&lt;=$NS$18),IF($NP$18="Single_Point",IF(347=$NR$18,$NN$18,0),IF($NP$18="Bell_Curve",$NN$18*(347-$NR$18+1)*($NS$18-347+1)/$NU$18,$NN$18/$NT$18)),0)</f>
        <v/>
      </c>
      <c r="MN18" s="228">
        <f>IF(AND(348&gt;=$NR$18,348&lt;=$NS$18),IF($NP$18="Single_Point",IF(348=$NR$18,$NN$18,0),IF($NP$18="Bell_Curve",$NN$18*(348-$NR$18+1)*($NS$18-348+1)/$NU$18,$NN$18/$NT$18)),0)</f>
        <v/>
      </c>
      <c r="MO18" s="228">
        <f>IF(AND(349&gt;=$NR$18,349&lt;=$NS$18),IF($NP$18="Single_Point",IF(349=$NR$18,$NN$18,0),IF($NP$18="Bell_Curve",$NN$18*(349-$NR$18+1)*($NS$18-349+1)/$NU$18,$NN$18/$NT$18)),0)</f>
        <v/>
      </c>
      <c r="MP18" s="228">
        <f>IF(AND(350&gt;=$NR$18,350&lt;=$NS$18),IF($NP$18="Single_Point",IF(350=$NR$18,$NN$18,0),IF($NP$18="Bell_Curve",$NN$18*(350-$NR$18+1)*($NS$18-350+1)/$NU$18,$NN$18/$NT$18)),0)</f>
        <v/>
      </c>
      <c r="MQ18" s="228">
        <f>IF(AND(351&gt;=$NR$18,351&lt;=$NS$18),IF($NP$18="Single_Point",IF(351=$NR$18,$NN$18,0),IF($NP$18="Bell_Curve",$NN$18*(351-$NR$18+1)*($NS$18-351+1)/$NU$18,$NN$18/$NT$18)),0)</f>
        <v/>
      </c>
      <c r="MR18" s="228">
        <f>IF(AND(352&gt;=$NR$18,352&lt;=$NS$18),IF($NP$18="Single_Point",IF(352=$NR$18,$NN$18,0),IF($NP$18="Bell_Curve",$NN$18*(352-$NR$18+1)*($NS$18-352+1)/$NU$18,$NN$18/$NT$18)),0)</f>
        <v/>
      </c>
      <c r="MS18" s="228">
        <f>IF(AND(353&gt;=$NR$18,353&lt;=$NS$18),IF($NP$18="Single_Point",IF(353=$NR$18,$NN$18,0),IF($NP$18="Bell_Curve",$NN$18*(353-$NR$18+1)*($NS$18-353+1)/$NU$18,$NN$18/$NT$18)),0)</f>
        <v/>
      </c>
      <c r="MT18" s="228">
        <f>IF(AND(354&gt;=$NR$18,354&lt;=$NS$18),IF($NP$18="Single_Point",IF(354=$NR$18,$NN$18,0),IF($NP$18="Bell_Curve",$NN$18*(354-$NR$18+1)*($NS$18-354+1)/$NU$18,$NN$18/$NT$18)),0)</f>
        <v/>
      </c>
      <c r="MU18" s="228">
        <f>IF(AND(355&gt;=$NR$18,355&lt;=$NS$18),IF($NP$18="Single_Point",IF(355=$NR$18,$NN$18,0),IF($NP$18="Bell_Curve",$NN$18*(355-$NR$18+1)*($NS$18-355+1)/$NU$18,$NN$18/$NT$18)),0)</f>
        <v/>
      </c>
      <c r="MV18" s="228">
        <f>IF(AND(356&gt;=$NR$18,356&lt;=$NS$18),IF($NP$18="Single_Point",IF(356=$NR$18,$NN$18,0),IF($NP$18="Bell_Curve",$NN$18*(356-$NR$18+1)*($NS$18-356+1)/$NU$18,$NN$18/$NT$18)),0)</f>
        <v/>
      </c>
      <c r="MW18" s="228">
        <f>IF(AND(357&gt;=$NR$18,357&lt;=$NS$18),IF($NP$18="Single_Point",IF(357=$NR$18,$NN$18,0),IF($NP$18="Bell_Curve",$NN$18*(357-$NR$18+1)*($NS$18-357+1)/$NU$18,$NN$18/$NT$18)),0)</f>
        <v/>
      </c>
      <c r="MX18" s="228">
        <f>IF(AND(358&gt;=$NR$18,358&lt;=$NS$18),IF($NP$18="Single_Point",IF(358=$NR$18,$NN$18,0),IF($NP$18="Bell_Curve",$NN$18*(358-$NR$18+1)*($NS$18-358+1)/$NU$18,$NN$18/$NT$18)),0)</f>
        <v/>
      </c>
      <c r="MY18" s="228">
        <f>IF(AND(359&gt;=$NR$18,359&lt;=$NS$18),IF($NP$18="Single_Point",IF(359=$NR$18,$NN$18,0),IF($NP$18="Bell_Curve",$NN$18*(359-$NR$18+1)*($NS$18-359+1)/$NU$18,$NN$18/$NT$18)),0)</f>
        <v/>
      </c>
      <c r="MZ18" s="228">
        <f>IF(AND(360&gt;=$NR$18,360&lt;=$NS$18),IF($NP$18="Single_Point",IF(360=$NR$18,$NN$18,0),IF($NP$18="Bell_Curve",$NN$18*(360-$NR$18+1)*($NS$18-360+1)/$NU$18,$NN$18/$NT$18)),0)</f>
        <v/>
      </c>
      <c r="NA18" s="228">
        <f>IF(AND(361&gt;=$NR$18,361&lt;=$NS$18),IF($NP$18="Single_Point",IF(361=$NR$18,$NN$18,0),IF($NP$18="Bell_Curve",$NN$18*(361-$NR$18+1)*($NS$18-361+1)/$NU$18,$NN$18/$NT$18)),0)</f>
        <v/>
      </c>
      <c r="NB18" s="228">
        <f>IF(AND(362&gt;=$NR$18,362&lt;=$NS$18),IF($NP$18="Single_Point",IF(362=$NR$18,$NN$18,0),IF($NP$18="Bell_Curve",$NN$18*(362-$NR$18+1)*($NS$18-362+1)/$NU$18,$NN$18/$NT$18)),0)</f>
        <v/>
      </c>
      <c r="NC18" s="228">
        <f>IF(AND(363&gt;=$NR$18,363&lt;=$NS$18),IF($NP$18="Single_Point",IF(363=$NR$18,$NN$18,0),IF($NP$18="Bell_Curve",$NN$18*(363-$NR$18+1)*($NS$18-363+1)/$NU$18,$NN$18/$NT$18)),0)</f>
        <v/>
      </c>
      <c r="ND18" s="228">
        <f>IF(AND(364&gt;=$NR$18,364&lt;=$NS$18),IF($NP$18="Single_Point",IF(364=$NR$18,$NN$18,0),IF($NP$18="Bell_Curve",$NN$18*(364-$NR$18+1)*($NS$18-364+1)/$NU$18,$NN$18/$NT$18)),0)</f>
        <v/>
      </c>
      <c r="NE18" s="228">
        <f>IF(AND(365&gt;=$NR$18,365&lt;=$NS$18),IF($NP$18="Single_Point",IF(365=$NR$18,$NN$18,0),IF($NP$18="Bell_Curve",$NN$18*(365-$NR$18+1)*($NS$18-365+1)/$NU$18,$NN$18/$NT$18)),0)</f>
        <v/>
      </c>
      <c r="NF18" s="228">
        <f>IF(AND(366&gt;=$NR$18,366&lt;=$NS$18),IF($NP$18="Single_Point",IF(366=$NR$18,$NN$18,0),IF($NP$18="Bell_Curve",$NN$18*(366-$NR$18+1)*($NS$18-366+1)/$NU$18,$NN$18/$NT$18)),0)</f>
        <v/>
      </c>
      <c r="NG18" s="228">
        <f>IF(AND(367&gt;=$NR$18,367&lt;=$NS$18),IF($NP$18="Single_Point",IF(367=$NR$18,$NN$18,0),IF($NP$18="Bell_Curve",$NN$18*(367-$NR$18+1)*($NS$18-367+1)/$NU$18,$NN$18/$NT$18)),0)</f>
        <v/>
      </c>
      <c r="NH18" s="228">
        <f>IF(AND(368&gt;=$NR$18,368&lt;=$NS$18),IF($NP$18="Single_Point",IF(368=$NR$18,$NN$18,0),IF($NP$18="Bell_Curve",$NN$18*(368-$NR$18+1)*($NS$18-368+1)/$NU$18,$NN$18/$NT$18)),0)</f>
        <v/>
      </c>
      <c r="NI18" s="228">
        <f>IF(AND(369&gt;=$NR$18,369&lt;=$NS$18),IF($NP$18="Single_Point",IF(369=$NR$18,$NN$18,0),IF($NP$18="Bell_Curve",$NN$18*(369-$NR$18+1)*($NS$18-369+1)/$NU$18,$NN$18/$NT$18)),0)</f>
        <v/>
      </c>
      <c r="NJ18" s="228">
        <f>IF(AND(370&gt;=$NR$18,370&lt;=$NS$18),IF($NP$18="Single_Point",IF(370=$NR$18,$NN$18,0),IF($NP$18="Bell_Curve",$NN$18*(370-$NR$18+1)*($NS$18-370+1)/$NU$18,$NN$18/$NT$18)),0)</f>
        <v/>
      </c>
      <c r="NK18" s="228">
        <f>IF(AND(371&gt;=$NR$18,371&lt;=$NS$18),IF($NP$18="Single_Point",IF(371=$NR$18,$NN$18,0),IF($NP$18="Bell_Curve",$NN$18*(371-$NR$18+1)*($NS$18-371+1)/$NU$18,$NN$18/$NT$18)),0)</f>
        <v/>
      </c>
      <c r="NL18" s="247">
        <f>IF(AND(372&gt;=$NR$18,372&lt;=$NS$18),IF($NP$18="Single_Point",IF(372=$NR$18,$NN$18,0),IF($NP$18="Bell_Curve",$NN$18*(372-$NR$18+1)*($NS$18-372+1)/$NU$18,$NN$18/$NT$18)),0)</f>
        <v/>
      </c>
      <c r="NN18" s="218">
        <f>Budget!J17</f>
        <v/>
      </c>
      <c r="NO18" s="144">
        <f>Budget!G17</f>
        <v/>
      </c>
      <c r="NP18" s="144">
        <f>Budget!H17</f>
        <v/>
      </c>
      <c r="NQ18" s="85">
        <f>Budget!I17</f>
        <v/>
      </c>
      <c r="NR18" s="248">
        <f>MAX(1,MIN(372,INDEX(MilestoneStart,MATCH(NO18,MilestoneNames,0))+NQ18))</f>
        <v/>
      </c>
      <c r="NS18" s="248">
        <f>MAX(NR18,MIN(372,INDEX(MilestoneEnd,MATCH(NO18,MilestoneNames,0))+NQ18))</f>
        <v/>
      </c>
      <c r="NT18" s="85">
        <f>NS18-NR18+1</f>
        <v/>
      </c>
      <c r="NU18" s="85">
        <f>NT18*(NT18+1)*(NT18+2)/6</f>
        <v/>
      </c>
    </row>
    <row r="19">
      <c r="B19" s="36" t="inlineStr">
        <is>
          <t>Hard Cost Contingency</t>
        </is>
      </c>
      <c r="D19" s="246">
        <f>SUM(E19:NL19)</f>
        <v/>
      </c>
      <c r="E19" s="228">
        <f>IF(AND(1&gt;=$NR$19,1&lt;=$NS$19),IF($NP$19="Single_Point",IF(1=$NR$19,$NN$19,0),IF($NP$19="Bell_Curve",$NN$19*(1-$NR$19+1)*($NS$19-1+1)/$NU$19,$NN$19/$NT$19)),0)</f>
        <v/>
      </c>
      <c r="F19" s="228">
        <f>IF(AND(2&gt;=$NR$19,2&lt;=$NS$19),IF($NP$19="Single_Point",IF(2=$NR$19,$NN$19,0),IF($NP$19="Bell_Curve",$NN$19*(2-$NR$19+1)*($NS$19-2+1)/$NU$19,$NN$19/$NT$19)),0)</f>
        <v/>
      </c>
      <c r="G19" s="228">
        <f>IF(AND(3&gt;=$NR$19,3&lt;=$NS$19),IF($NP$19="Single_Point",IF(3=$NR$19,$NN$19,0),IF($NP$19="Bell_Curve",$NN$19*(3-$NR$19+1)*($NS$19-3+1)/$NU$19,$NN$19/$NT$19)),0)</f>
        <v/>
      </c>
      <c r="H19" s="228">
        <f>IF(AND(4&gt;=$NR$19,4&lt;=$NS$19),IF($NP$19="Single_Point",IF(4=$NR$19,$NN$19,0),IF($NP$19="Bell_Curve",$NN$19*(4-$NR$19+1)*($NS$19-4+1)/$NU$19,$NN$19/$NT$19)),0)</f>
        <v/>
      </c>
      <c r="I19" s="228">
        <f>IF(AND(5&gt;=$NR$19,5&lt;=$NS$19),IF($NP$19="Single_Point",IF(5=$NR$19,$NN$19,0),IF($NP$19="Bell_Curve",$NN$19*(5-$NR$19+1)*($NS$19-5+1)/$NU$19,$NN$19/$NT$19)),0)</f>
        <v/>
      </c>
      <c r="J19" s="228">
        <f>IF(AND(6&gt;=$NR$19,6&lt;=$NS$19),IF($NP$19="Single_Point",IF(6=$NR$19,$NN$19,0),IF($NP$19="Bell_Curve",$NN$19*(6-$NR$19+1)*($NS$19-6+1)/$NU$19,$NN$19/$NT$19)),0)</f>
        <v/>
      </c>
      <c r="K19" s="228">
        <f>IF(AND(7&gt;=$NR$19,7&lt;=$NS$19),IF($NP$19="Single_Point",IF(7=$NR$19,$NN$19,0),IF($NP$19="Bell_Curve",$NN$19*(7-$NR$19+1)*($NS$19-7+1)/$NU$19,$NN$19/$NT$19)),0)</f>
        <v/>
      </c>
      <c r="L19" s="228">
        <f>IF(AND(8&gt;=$NR$19,8&lt;=$NS$19),IF($NP$19="Single_Point",IF(8=$NR$19,$NN$19,0),IF($NP$19="Bell_Curve",$NN$19*(8-$NR$19+1)*($NS$19-8+1)/$NU$19,$NN$19/$NT$19)),0)</f>
        <v/>
      </c>
      <c r="M19" s="228">
        <f>IF(AND(9&gt;=$NR$19,9&lt;=$NS$19),IF($NP$19="Single_Point",IF(9=$NR$19,$NN$19,0),IF($NP$19="Bell_Curve",$NN$19*(9-$NR$19+1)*($NS$19-9+1)/$NU$19,$NN$19/$NT$19)),0)</f>
        <v/>
      </c>
      <c r="N19" s="228">
        <f>IF(AND(10&gt;=$NR$19,10&lt;=$NS$19),IF($NP$19="Single_Point",IF(10=$NR$19,$NN$19,0),IF($NP$19="Bell_Curve",$NN$19*(10-$NR$19+1)*($NS$19-10+1)/$NU$19,$NN$19/$NT$19)),0)</f>
        <v/>
      </c>
      <c r="O19" s="228">
        <f>IF(AND(11&gt;=$NR$19,11&lt;=$NS$19),IF($NP$19="Single_Point",IF(11=$NR$19,$NN$19,0),IF($NP$19="Bell_Curve",$NN$19*(11-$NR$19+1)*($NS$19-11+1)/$NU$19,$NN$19/$NT$19)),0)</f>
        <v/>
      </c>
      <c r="P19" s="228">
        <f>IF(AND(12&gt;=$NR$19,12&lt;=$NS$19),IF($NP$19="Single_Point",IF(12=$NR$19,$NN$19,0),IF($NP$19="Bell_Curve",$NN$19*(12-$NR$19+1)*($NS$19-12+1)/$NU$19,$NN$19/$NT$19)),0)</f>
        <v/>
      </c>
      <c r="Q19" s="228">
        <f>IF(AND(13&gt;=$NR$19,13&lt;=$NS$19),IF($NP$19="Single_Point",IF(13=$NR$19,$NN$19,0),IF($NP$19="Bell_Curve",$NN$19*(13-$NR$19+1)*($NS$19-13+1)/$NU$19,$NN$19/$NT$19)),0)</f>
        <v/>
      </c>
      <c r="R19" s="228">
        <f>IF(AND(14&gt;=$NR$19,14&lt;=$NS$19),IF($NP$19="Single_Point",IF(14=$NR$19,$NN$19,0),IF($NP$19="Bell_Curve",$NN$19*(14-$NR$19+1)*($NS$19-14+1)/$NU$19,$NN$19/$NT$19)),0)</f>
        <v/>
      </c>
      <c r="S19" s="228">
        <f>IF(AND(15&gt;=$NR$19,15&lt;=$NS$19),IF($NP$19="Single_Point",IF(15=$NR$19,$NN$19,0),IF($NP$19="Bell_Curve",$NN$19*(15-$NR$19+1)*($NS$19-15+1)/$NU$19,$NN$19/$NT$19)),0)</f>
        <v/>
      </c>
      <c r="T19" s="228">
        <f>IF(AND(16&gt;=$NR$19,16&lt;=$NS$19),IF($NP$19="Single_Point",IF(16=$NR$19,$NN$19,0),IF($NP$19="Bell_Curve",$NN$19*(16-$NR$19+1)*($NS$19-16+1)/$NU$19,$NN$19/$NT$19)),0)</f>
        <v/>
      </c>
      <c r="U19" s="228">
        <f>IF(AND(17&gt;=$NR$19,17&lt;=$NS$19),IF($NP$19="Single_Point",IF(17=$NR$19,$NN$19,0),IF($NP$19="Bell_Curve",$NN$19*(17-$NR$19+1)*($NS$19-17+1)/$NU$19,$NN$19/$NT$19)),0)</f>
        <v/>
      </c>
      <c r="V19" s="228">
        <f>IF(AND(18&gt;=$NR$19,18&lt;=$NS$19),IF($NP$19="Single_Point",IF(18=$NR$19,$NN$19,0),IF($NP$19="Bell_Curve",$NN$19*(18-$NR$19+1)*($NS$19-18+1)/$NU$19,$NN$19/$NT$19)),0)</f>
        <v/>
      </c>
      <c r="W19" s="228">
        <f>IF(AND(19&gt;=$NR$19,19&lt;=$NS$19),IF($NP$19="Single_Point",IF(19=$NR$19,$NN$19,0),IF($NP$19="Bell_Curve",$NN$19*(19-$NR$19+1)*($NS$19-19+1)/$NU$19,$NN$19/$NT$19)),0)</f>
        <v/>
      </c>
      <c r="X19" s="228">
        <f>IF(AND(20&gt;=$NR$19,20&lt;=$NS$19),IF($NP$19="Single_Point",IF(20=$NR$19,$NN$19,0),IF($NP$19="Bell_Curve",$NN$19*(20-$NR$19+1)*($NS$19-20+1)/$NU$19,$NN$19/$NT$19)),0)</f>
        <v/>
      </c>
      <c r="Y19" s="228">
        <f>IF(AND(21&gt;=$NR$19,21&lt;=$NS$19),IF($NP$19="Single_Point",IF(21=$NR$19,$NN$19,0),IF($NP$19="Bell_Curve",$NN$19*(21-$NR$19+1)*($NS$19-21+1)/$NU$19,$NN$19/$NT$19)),0)</f>
        <v/>
      </c>
      <c r="Z19" s="228">
        <f>IF(AND(22&gt;=$NR$19,22&lt;=$NS$19),IF($NP$19="Single_Point",IF(22=$NR$19,$NN$19,0),IF($NP$19="Bell_Curve",$NN$19*(22-$NR$19+1)*($NS$19-22+1)/$NU$19,$NN$19/$NT$19)),0)</f>
        <v/>
      </c>
      <c r="AA19" s="228">
        <f>IF(AND(23&gt;=$NR$19,23&lt;=$NS$19),IF($NP$19="Single_Point",IF(23=$NR$19,$NN$19,0),IF($NP$19="Bell_Curve",$NN$19*(23-$NR$19+1)*($NS$19-23+1)/$NU$19,$NN$19/$NT$19)),0)</f>
        <v/>
      </c>
      <c r="AB19" s="228">
        <f>IF(AND(24&gt;=$NR$19,24&lt;=$NS$19),IF($NP$19="Single_Point",IF(24=$NR$19,$NN$19,0),IF($NP$19="Bell_Curve",$NN$19*(24-$NR$19+1)*($NS$19-24+1)/$NU$19,$NN$19/$NT$19)),0)</f>
        <v/>
      </c>
      <c r="AC19" s="228">
        <f>IF(AND(25&gt;=$NR$19,25&lt;=$NS$19),IF($NP$19="Single_Point",IF(25=$NR$19,$NN$19,0),IF($NP$19="Bell_Curve",$NN$19*(25-$NR$19+1)*($NS$19-25+1)/$NU$19,$NN$19/$NT$19)),0)</f>
        <v/>
      </c>
      <c r="AD19" s="228">
        <f>IF(AND(26&gt;=$NR$19,26&lt;=$NS$19),IF($NP$19="Single_Point",IF(26=$NR$19,$NN$19,0),IF($NP$19="Bell_Curve",$NN$19*(26-$NR$19+1)*($NS$19-26+1)/$NU$19,$NN$19/$NT$19)),0)</f>
        <v/>
      </c>
      <c r="AE19" s="228">
        <f>IF(AND(27&gt;=$NR$19,27&lt;=$NS$19),IF($NP$19="Single_Point",IF(27=$NR$19,$NN$19,0),IF($NP$19="Bell_Curve",$NN$19*(27-$NR$19+1)*($NS$19-27+1)/$NU$19,$NN$19/$NT$19)),0)</f>
        <v/>
      </c>
      <c r="AF19" s="228">
        <f>IF(AND(28&gt;=$NR$19,28&lt;=$NS$19),IF($NP$19="Single_Point",IF(28=$NR$19,$NN$19,0),IF($NP$19="Bell_Curve",$NN$19*(28-$NR$19+1)*($NS$19-28+1)/$NU$19,$NN$19/$NT$19)),0)</f>
        <v/>
      </c>
      <c r="AG19" s="228">
        <f>IF(AND(29&gt;=$NR$19,29&lt;=$NS$19),IF($NP$19="Single_Point",IF(29=$NR$19,$NN$19,0),IF($NP$19="Bell_Curve",$NN$19*(29-$NR$19+1)*($NS$19-29+1)/$NU$19,$NN$19/$NT$19)),0)</f>
        <v/>
      </c>
      <c r="AH19" s="228">
        <f>IF(AND(30&gt;=$NR$19,30&lt;=$NS$19),IF($NP$19="Single_Point",IF(30=$NR$19,$NN$19,0),IF($NP$19="Bell_Curve",$NN$19*(30-$NR$19+1)*($NS$19-30+1)/$NU$19,$NN$19/$NT$19)),0)</f>
        <v/>
      </c>
      <c r="AI19" s="228">
        <f>IF(AND(31&gt;=$NR$19,31&lt;=$NS$19),IF($NP$19="Single_Point",IF(31=$NR$19,$NN$19,0),IF($NP$19="Bell_Curve",$NN$19*(31-$NR$19+1)*($NS$19-31+1)/$NU$19,$NN$19/$NT$19)),0)</f>
        <v/>
      </c>
      <c r="AJ19" s="228">
        <f>IF(AND(32&gt;=$NR$19,32&lt;=$NS$19),IF($NP$19="Single_Point",IF(32=$NR$19,$NN$19,0),IF($NP$19="Bell_Curve",$NN$19*(32-$NR$19+1)*($NS$19-32+1)/$NU$19,$NN$19/$NT$19)),0)</f>
        <v/>
      </c>
      <c r="AK19" s="228">
        <f>IF(AND(33&gt;=$NR$19,33&lt;=$NS$19),IF($NP$19="Single_Point",IF(33=$NR$19,$NN$19,0),IF($NP$19="Bell_Curve",$NN$19*(33-$NR$19+1)*($NS$19-33+1)/$NU$19,$NN$19/$NT$19)),0)</f>
        <v/>
      </c>
      <c r="AL19" s="228">
        <f>IF(AND(34&gt;=$NR$19,34&lt;=$NS$19),IF($NP$19="Single_Point",IF(34=$NR$19,$NN$19,0),IF($NP$19="Bell_Curve",$NN$19*(34-$NR$19+1)*($NS$19-34+1)/$NU$19,$NN$19/$NT$19)),0)</f>
        <v/>
      </c>
      <c r="AM19" s="228">
        <f>IF(AND(35&gt;=$NR$19,35&lt;=$NS$19),IF($NP$19="Single_Point",IF(35=$NR$19,$NN$19,0),IF($NP$19="Bell_Curve",$NN$19*(35-$NR$19+1)*($NS$19-35+1)/$NU$19,$NN$19/$NT$19)),0)</f>
        <v/>
      </c>
      <c r="AN19" s="228">
        <f>IF(AND(36&gt;=$NR$19,36&lt;=$NS$19),IF($NP$19="Single_Point",IF(36=$NR$19,$NN$19,0),IF($NP$19="Bell_Curve",$NN$19*(36-$NR$19+1)*($NS$19-36+1)/$NU$19,$NN$19/$NT$19)),0)</f>
        <v/>
      </c>
      <c r="AO19" s="228">
        <f>IF(AND(37&gt;=$NR$19,37&lt;=$NS$19),IF($NP$19="Single_Point",IF(37=$NR$19,$NN$19,0),IF($NP$19="Bell_Curve",$NN$19*(37-$NR$19+1)*($NS$19-37+1)/$NU$19,$NN$19/$NT$19)),0)</f>
        <v/>
      </c>
      <c r="AP19" s="228">
        <f>IF(AND(38&gt;=$NR$19,38&lt;=$NS$19),IF($NP$19="Single_Point",IF(38=$NR$19,$NN$19,0),IF($NP$19="Bell_Curve",$NN$19*(38-$NR$19+1)*($NS$19-38+1)/$NU$19,$NN$19/$NT$19)),0)</f>
        <v/>
      </c>
      <c r="AQ19" s="228">
        <f>IF(AND(39&gt;=$NR$19,39&lt;=$NS$19),IF($NP$19="Single_Point",IF(39=$NR$19,$NN$19,0),IF($NP$19="Bell_Curve",$NN$19*(39-$NR$19+1)*($NS$19-39+1)/$NU$19,$NN$19/$NT$19)),0)</f>
        <v/>
      </c>
      <c r="AR19" s="228">
        <f>IF(AND(40&gt;=$NR$19,40&lt;=$NS$19),IF($NP$19="Single_Point",IF(40=$NR$19,$NN$19,0),IF($NP$19="Bell_Curve",$NN$19*(40-$NR$19+1)*($NS$19-40+1)/$NU$19,$NN$19/$NT$19)),0)</f>
        <v/>
      </c>
      <c r="AS19" s="228">
        <f>IF(AND(41&gt;=$NR$19,41&lt;=$NS$19),IF($NP$19="Single_Point",IF(41=$NR$19,$NN$19,0),IF($NP$19="Bell_Curve",$NN$19*(41-$NR$19+1)*($NS$19-41+1)/$NU$19,$NN$19/$NT$19)),0)</f>
        <v/>
      </c>
      <c r="AT19" s="228">
        <f>IF(AND(42&gt;=$NR$19,42&lt;=$NS$19),IF($NP$19="Single_Point",IF(42=$NR$19,$NN$19,0),IF($NP$19="Bell_Curve",$NN$19*(42-$NR$19+1)*($NS$19-42+1)/$NU$19,$NN$19/$NT$19)),0)</f>
        <v/>
      </c>
      <c r="AU19" s="228">
        <f>IF(AND(43&gt;=$NR$19,43&lt;=$NS$19),IF($NP$19="Single_Point",IF(43=$NR$19,$NN$19,0),IF($NP$19="Bell_Curve",$NN$19*(43-$NR$19+1)*($NS$19-43+1)/$NU$19,$NN$19/$NT$19)),0)</f>
        <v/>
      </c>
      <c r="AV19" s="228">
        <f>IF(AND(44&gt;=$NR$19,44&lt;=$NS$19),IF($NP$19="Single_Point",IF(44=$NR$19,$NN$19,0),IF($NP$19="Bell_Curve",$NN$19*(44-$NR$19+1)*($NS$19-44+1)/$NU$19,$NN$19/$NT$19)),0)</f>
        <v/>
      </c>
      <c r="AW19" s="228">
        <f>IF(AND(45&gt;=$NR$19,45&lt;=$NS$19),IF($NP$19="Single_Point",IF(45=$NR$19,$NN$19,0),IF($NP$19="Bell_Curve",$NN$19*(45-$NR$19+1)*($NS$19-45+1)/$NU$19,$NN$19/$NT$19)),0)</f>
        <v/>
      </c>
      <c r="AX19" s="228">
        <f>IF(AND(46&gt;=$NR$19,46&lt;=$NS$19),IF($NP$19="Single_Point",IF(46=$NR$19,$NN$19,0),IF($NP$19="Bell_Curve",$NN$19*(46-$NR$19+1)*($NS$19-46+1)/$NU$19,$NN$19/$NT$19)),0)</f>
        <v/>
      </c>
      <c r="AY19" s="228">
        <f>IF(AND(47&gt;=$NR$19,47&lt;=$NS$19),IF($NP$19="Single_Point",IF(47=$NR$19,$NN$19,0),IF($NP$19="Bell_Curve",$NN$19*(47-$NR$19+1)*($NS$19-47+1)/$NU$19,$NN$19/$NT$19)),0)</f>
        <v/>
      </c>
      <c r="AZ19" s="228">
        <f>IF(AND(48&gt;=$NR$19,48&lt;=$NS$19),IF($NP$19="Single_Point",IF(48=$NR$19,$NN$19,0),IF($NP$19="Bell_Curve",$NN$19*(48-$NR$19+1)*($NS$19-48+1)/$NU$19,$NN$19/$NT$19)),0)</f>
        <v/>
      </c>
      <c r="BA19" s="228">
        <f>IF(AND(49&gt;=$NR$19,49&lt;=$NS$19),IF($NP$19="Single_Point",IF(49=$NR$19,$NN$19,0),IF($NP$19="Bell_Curve",$NN$19*(49-$NR$19+1)*($NS$19-49+1)/$NU$19,$NN$19/$NT$19)),0)</f>
        <v/>
      </c>
      <c r="BB19" s="228">
        <f>IF(AND(50&gt;=$NR$19,50&lt;=$NS$19),IF($NP$19="Single_Point",IF(50=$NR$19,$NN$19,0),IF($NP$19="Bell_Curve",$NN$19*(50-$NR$19+1)*($NS$19-50+1)/$NU$19,$NN$19/$NT$19)),0)</f>
        <v/>
      </c>
      <c r="BC19" s="228">
        <f>IF(AND(51&gt;=$NR$19,51&lt;=$NS$19),IF($NP$19="Single_Point",IF(51=$NR$19,$NN$19,0),IF($NP$19="Bell_Curve",$NN$19*(51-$NR$19+1)*($NS$19-51+1)/$NU$19,$NN$19/$NT$19)),0)</f>
        <v/>
      </c>
      <c r="BD19" s="228">
        <f>IF(AND(52&gt;=$NR$19,52&lt;=$NS$19),IF($NP$19="Single_Point",IF(52=$NR$19,$NN$19,0),IF($NP$19="Bell_Curve",$NN$19*(52-$NR$19+1)*($NS$19-52+1)/$NU$19,$NN$19/$NT$19)),0)</f>
        <v/>
      </c>
      <c r="BE19" s="228">
        <f>IF(AND(53&gt;=$NR$19,53&lt;=$NS$19),IF($NP$19="Single_Point",IF(53=$NR$19,$NN$19,0),IF($NP$19="Bell_Curve",$NN$19*(53-$NR$19+1)*($NS$19-53+1)/$NU$19,$NN$19/$NT$19)),0)</f>
        <v/>
      </c>
      <c r="BF19" s="228">
        <f>IF(AND(54&gt;=$NR$19,54&lt;=$NS$19),IF($NP$19="Single_Point",IF(54=$NR$19,$NN$19,0),IF($NP$19="Bell_Curve",$NN$19*(54-$NR$19+1)*($NS$19-54+1)/$NU$19,$NN$19/$NT$19)),0)</f>
        <v/>
      </c>
      <c r="BG19" s="228">
        <f>IF(AND(55&gt;=$NR$19,55&lt;=$NS$19),IF($NP$19="Single_Point",IF(55=$NR$19,$NN$19,0),IF($NP$19="Bell_Curve",$NN$19*(55-$NR$19+1)*($NS$19-55+1)/$NU$19,$NN$19/$NT$19)),0)</f>
        <v/>
      </c>
      <c r="BH19" s="228">
        <f>IF(AND(56&gt;=$NR$19,56&lt;=$NS$19),IF($NP$19="Single_Point",IF(56=$NR$19,$NN$19,0),IF($NP$19="Bell_Curve",$NN$19*(56-$NR$19+1)*($NS$19-56+1)/$NU$19,$NN$19/$NT$19)),0)</f>
        <v/>
      </c>
      <c r="BI19" s="228">
        <f>IF(AND(57&gt;=$NR$19,57&lt;=$NS$19),IF($NP$19="Single_Point",IF(57=$NR$19,$NN$19,0),IF($NP$19="Bell_Curve",$NN$19*(57-$NR$19+1)*($NS$19-57+1)/$NU$19,$NN$19/$NT$19)),0)</f>
        <v/>
      </c>
      <c r="BJ19" s="228">
        <f>IF(AND(58&gt;=$NR$19,58&lt;=$NS$19),IF($NP$19="Single_Point",IF(58=$NR$19,$NN$19,0),IF($NP$19="Bell_Curve",$NN$19*(58-$NR$19+1)*($NS$19-58+1)/$NU$19,$NN$19/$NT$19)),0)</f>
        <v/>
      </c>
      <c r="BK19" s="228">
        <f>IF(AND(59&gt;=$NR$19,59&lt;=$NS$19),IF($NP$19="Single_Point",IF(59=$NR$19,$NN$19,0),IF($NP$19="Bell_Curve",$NN$19*(59-$NR$19+1)*($NS$19-59+1)/$NU$19,$NN$19/$NT$19)),0)</f>
        <v/>
      </c>
      <c r="BL19" s="228">
        <f>IF(AND(60&gt;=$NR$19,60&lt;=$NS$19),IF($NP$19="Single_Point",IF(60=$NR$19,$NN$19,0),IF($NP$19="Bell_Curve",$NN$19*(60-$NR$19+1)*($NS$19-60+1)/$NU$19,$NN$19/$NT$19)),0)</f>
        <v/>
      </c>
      <c r="BM19" s="228">
        <f>IF(AND(61&gt;=$NR$19,61&lt;=$NS$19),IF($NP$19="Single_Point",IF(61=$NR$19,$NN$19,0),IF($NP$19="Bell_Curve",$NN$19*(61-$NR$19+1)*($NS$19-61+1)/$NU$19,$NN$19/$NT$19)),0)</f>
        <v/>
      </c>
      <c r="BN19" s="228">
        <f>IF(AND(62&gt;=$NR$19,62&lt;=$NS$19),IF($NP$19="Single_Point",IF(62=$NR$19,$NN$19,0),IF($NP$19="Bell_Curve",$NN$19*(62-$NR$19+1)*($NS$19-62+1)/$NU$19,$NN$19/$NT$19)),0)</f>
        <v/>
      </c>
      <c r="BO19" s="228">
        <f>IF(AND(63&gt;=$NR$19,63&lt;=$NS$19),IF($NP$19="Single_Point",IF(63=$NR$19,$NN$19,0),IF($NP$19="Bell_Curve",$NN$19*(63-$NR$19+1)*($NS$19-63+1)/$NU$19,$NN$19/$NT$19)),0)</f>
        <v/>
      </c>
      <c r="BP19" s="228">
        <f>IF(AND(64&gt;=$NR$19,64&lt;=$NS$19),IF($NP$19="Single_Point",IF(64=$NR$19,$NN$19,0),IF($NP$19="Bell_Curve",$NN$19*(64-$NR$19+1)*($NS$19-64+1)/$NU$19,$NN$19/$NT$19)),0)</f>
        <v/>
      </c>
      <c r="BQ19" s="228">
        <f>IF(AND(65&gt;=$NR$19,65&lt;=$NS$19),IF($NP$19="Single_Point",IF(65=$NR$19,$NN$19,0),IF($NP$19="Bell_Curve",$NN$19*(65-$NR$19+1)*($NS$19-65+1)/$NU$19,$NN$19/$NT$19)),0)</f>
        <v/>
      </c>
      <c r="BR19" s="228">
        <f>IF(AND(66&gt;=$NR$19,66&lt;=$NS$19),IF($NP$19="Single_Point",IF(66=$NR$19,$NN$19,0),IF($NP$19="Bell_Curve",$NN$19*(66-$NR$19+1)*($NS$19-66+1)/$NU$19,$NN$19/$NT$19)),0)</f>
        <v/>
      </c>
      <c r="BS19" s="228">
        <f>IF(AND(67&gt;=$NR$19,67&lt;=$NS$19),IF($NP$19="Single_Point",IF(67=$NR$19,$NN$19,0),IF($NP$19="Bell_Curve",$NN$19*(67-$NR$19+1)*($NS$19-67+1)/$NU$19,$NN$19/$NT$19)),0)</f>
        <v/>
      </c>
      <c r="BT19" s="228">
        <f>IF(AND(68&gt;=$NR$19,68&lt;=$NS$19),IF($NP$19="Single_Point",IF(68=$NR$19,$NN$19,0),IF($NP$19="Bell_Curve",$NN$19*(68-$NR$19+1)*($NS$19-68+1)/$NU$19,$NN$19/$NT$19)),0)</f>
        <v/>
      </c>
      <c r="BU19" s="228">
        <f>IF(AND(69&gt;=$NR$19,69&lt;=$NS$19),IF($NP$19="Single_Point",IF(69=$NR$19,$NN$19,0),IF($NP$19="Bell_Curve",$NN$19*(69-$NR$19+1)*($NS$19-69+1)/$NU$19,$NN$19/$NT$19)),0)</f>
        <v/>
      </c>
      <c r="BV19" s="228">
        <f>IF(AND(70&gt;=$NR$19,70&lt;=$NS$19),IF($NP$19="Single_Point",IF(70=$NR$19,$NN$19,0),IF($NP$19="Bell_Curve",$NN$19*(70-$NR$19+1)*($NS$19-70+1)/$NU$19,$NN$19/$NT$19)),0)</f>
        <v/>
      </c>
      <c r="BW19" s="228">
        <f>IF(AND(71&gt;=$NR$19,71&lt;=$NS$19),IF($NP$19="Single_Point",IF(71=$NR$19,$NN$19,0),IF($NP$19="Bell_Curve",$NN$19*(71-$NR$19+1)*($NS$19-71+1)/$NU$19,$NN$19/$NT$19)),0)</f>
        <v/>
      </c>
      <c r="BX19" s="228">
        <f>IF(AND(72&gt;=$NR$19,72&lt;=$NS$19),IF($NP$19="Single_Point",IF(72=$NR$19,$NN$19,0),IF($NP$19="Bell_Curve",$NN$19*(72-$NR$19+1)*($NS$19-72+1)/$NU$19,$NN$19/$NT$19)),0)</f>
        <v/>
      </c>
      <c r="BY19" s="228">
        <f>IF(AND(73&gt;=$NR$19,73&lt;=$NS$19),IF($NP$19="Single_Point",IF(73=$NR$19,$NN$19,0),IF($NP$19="Bell_Curve",$NN$19*(73-$NR$19+1)*($NS$19-73+1)/$NU$19,$NN$19/$NT$19)),0)</f>
        <v/>
      </c>
      <c r="BZ19" s="228">
        <f>IF(AND(74&gt;=$NR$19,74&lt;=$NS$19),IF($NP$19="Single_Point",IF(74=$NR$19,$NN$19,0),IF($NP$19="Bell_Curve",$NN$19*(74-$NR$19+1)*($NS$19-74+1)/$NU$19,$NN$19/$NT$19)),0)</f>
        <v/>
      </c>
      <c r="CA19" s="228">
        <f>IF(AND(75&gt;=$NR$19,75&lt;=$NS$19),IF($NP$19="Single_Point",IF(75=$NR$19,$NN$19,0),IF($NP$19="Bell_Curve",$NN$19*(75-$NR$19+1)*($NS$19-75+1)/$NU$19,$NN$19/$NT$19)),0)</f>
        <v/>
      </c>
      <c r="CB19" s="228">
        <f>IF(AND(76&gt;=$NR$19,76&lt;=$NS$19),IF($NP$19="Single_Point",IF(76=$NR$19,$NN$19,0),IF($NP$19="Bell_Curve",$NN$19*(76-$NR$19+1)*($NS$19-76+1)/$NU$19,$NN$19/$NT$19)),0)</f>
        <v/>
      </c>
      <c r="CC19" s="228">
        <f>IF(AND(77&gt;=$NR$19,77&lt;=$NS$19),IF($NP$19="Single_Point",IF(77=$NR$19,$NN$19,0),IF($NP$19="Bell_Curve",$NN$19*(77-$NR$19+1)*($NS$19-77+1)/$NU$19,$NN$19/$NT$19)),0)</f>
        <v/>
      </c>
      <c r="CD19" s="228">
        <f>IF(AND(78&gt;=$NR$19,78&lt;=$NS$19),IF($NP$19="Single_Point",IF(78=$NR$19,$NN$19,0),IF($NP$19="Bell_Curve",$NN$19*(78-$NR$19+1)*($NS$19-78+1)/$NU$19,$NN$19/$NT$19)),0)</f>
        <v/>
      </c>
      <c r="CE19" s="228">
        <f>IF(AND(79&gt;=$NR$19,79&lt;=$NS$19),IF($NP$19="Single_Point",IF(79=$NR$19,$NN$19,0),IF($NP$19="Bell_Curve",$NN$19*(79-$NR$19+1)*($NS$19-79+1)/$NU$19,$NN$19/$NT$19)),0)</f>
        <v/>
      </c>
      <c r="CF19" s="228">
        <f>IF(AND(80&gt;=$NR$19,80&lt;=$NS$19),IF($NP$19="Single_Point",IF(80=$NR$19,$NN$19,0),IF($NP$19="Bell_Curve",$NN$19*(80-$NR$19+1)*($NS$19-80+1)/$NU$19,$NN$19/$NT$19)),0)</f>
        <v/>
      </c>
      <c r="CG19" s="228">
        <f>IF(AND(81&gt;=$NR$19,81&lt;=$NS$19),IF($NP$19="Single_Point",IF(81=$NR$19,$NN$19,0),IF($NP$19="Bell_Curve",$NN$19*(81-$NR$19+1)*($NS$19-81+1)/$NU$19,$NN$19/$NT$19)),0)</f>
        <v/>
      </c>
      <c r="CH19" s="228">
        <f>IF(AND(82&gt;=$NR$19,82&lt;=$NS$19),IF($NP$19="Single_Point",IF(82=$NR$19,$NN$19,0),IF($NP$19="Bell_Curve",$NN$19*(82-$NR$19+1)*($NS$19-82+1)/$NU$19,$NN$19/$NT$19)),0)</f>
        <v/>
      </c>
      <c r="CI19" s="228">
        <f>IF(AND(83&gt;=$NR$19,83&lt;=$NS$19),IF($NP$19="Single_Point",IF(83=$NR$19,$NN$19,0),IF($NP$19="Bell_Curve",$NN$19*(83-$NR$19+1)*($NS$19-83+1)/$NU$19,$NN$19/$NT$19)),0)</f>
        <v/>
      </c>
      <c r="CJ19" s="228">
        <f>IF(AND(84&gt;=$NR$19,84&lt;=$NS$19),IF($NP$19="Single_Point",IF(84=$NR$19,$NN$19,0),IF($NP$19="Bell_Curve",$NN$19*(84-$NR$19+1)*($NS$19-84+1)/$NU$19,$NN$19/$NT$19)),0)</f>
        <v/>
      </c>
      <c r="CK19" s="228">
        <f>IF(AND(85&gt;=$NR$19,85&lt;=$NS$19),IF($NP$19="Single_Point",IF(85=$NR$19,$NN$19,0),IF($NP$19="Bell_Curve",$NN$19*(85-$NR$19+1)*($NS$19-85+1)/$NU$19,$NN$19/$NT$19)),0)</f>
        <v/>
      </c>
      <c r="CL19" s="228">
        <f>IF(AND(86&gt;=$NR$19,86&lt;=$NS$19),IF($NP$19="Single_Point",IF(86=$NR$19,$NN$19,0),IF($NP$19="Bell_Curve",$NN$19*(86-$NR$19+1)*($NS$19-86+1)/$NU$19,$NN$19/$NT$19)),0)</f>
        <v/>
      </c>
      <c r="CM19" s="228">
        <f>IF(AND(87&gt;=$NR$19,87&lt;=$NS$19),IF($NP$19="Single_Point",IF(87=$NR$19,$NN$19,0),IF($NP$19="Bell_Curve",$NN$19*(87-$NR$19+1)*($NS$19-87+1)/$NU$19,$NN$19/$NT$19)),0)</f>
        <v/>
      </c>
      <c r="CN19" s="228">
        <f>IF(AND(88&gt;=$NR$19,88&lt;=$NS$19),IF($NP$19="Single_Point",IF(88=$NR$19,$NN$19,0),IF($NP$19="Bell_Curve",$NN$19*(88-$NR$19+1)*($NS$19-88+1)/$NU$19,$NN$19/$NT$19)),0)</f>
        <v/>
      </c>
      <c r="CO19" s="228">
        <f>IF(AND(89&gt;=$NR$19,89&lt;=$NS$19),IF($NP$19="Single_Point",IF(89=$NR$19,$NN$19,0),IF($NP$19="Bell_Curve",$NN$19*(89-$NR$19+1)*($NS$19-89+1)/$NU$19,$NN$19/$NT$19)),0)</f>
        <v/>
      </c>
      <c r="CP19" s="228">
        <f>IF(AND(90&gt;=$NR$19,90&lt;=$NS$19),IF($NP$19="Single_Point",IF(90=$NR$19,$NN$19,0),IF($NP$19="Bell_Curve",$NN$19*(90-$NR$19+1)*($NS$19-90+1)/$NU$19,$NN$19/$NT$19)),0)</f>
        <v/>
      </c>
      <c r="CQ19" s="228">
        <f>IF(AND(91&gt;=$NR$19,91&lt;=$NS$19),IF($NP$19="Single_Point",IF(91=$NR$19,$NN$19,0),IF($NP$19="Bell_Curve",$NN$19*(91-$NR$19+1)*($NS$19-91+1)/$NU$19,$NN$19/$NT$19)),0)</f>
        <v/>
      </c>
      <c r="CR19" s="228">
        <f>IF(AND(92&gt;=$NR$19,92&lt;=$NS$19),IF($NP$19="Single_Point",IF(92=$NR$19,$NN$19,0),IF($NP$19="Bell_Curve",$NN$19*(92-$NR$19+1)*($NS$19-92+1)/$NU$19,$NN$19/$NT$19)),0)</f>
        <v/>
      </c>
      <c r="CS19" s="228">
        <f>IF(AND(93&gt;=$NR$19,93&lt;=$NS$19),IF($NP$19="Single_Point",IF(93=$NR$19,$NN$19,0),IF($NP$19="Bell_Curve",$NN$19*(93-$NR$19+1)*($NS$19-93+1)/$NU$19,$NN$19/$NT$19)),0)</f>
        <v/>
      </c>
      <c r="CT19" s="228">
        <f>IF(AND(94&gt;=$NR$19,94&lt;=$NS$19),IF($NP$19="Single_Point",IF(94=$NR$19,$NN$19,0),IF($NP$19="Bell_Curve",$NN$19*(94-$NR$19+1)*($NS$19-94+1)/$NU$19,$NN$19/$NT$19)),0)</f>
        <v/>
      </c>
      <c r="CU19" s="228">
        <f>IF(AND(95&gt;=$NR$19,95&lt;=$NS$19),IF($NP$19="Single_Point",IF(95=$NR$19,$NN$19,0),IF($NP$19="Bell_Curve",$NN$19*(95-$NR$19+1)*($NS$19-95+1)/$NU$19,$NN$19/$NT$19)),0)</f>
        <v/>
      </c>
      <c r="CV19" s="228">
        <f>IF(AND(96&gt;=$NR$19,96&lt;=$NS$19),IF($NP$19="Single_Point",IF(96=$NR$19,$NN$19,0),IF($NP$19="Bell_Curve",$NN$19*(96-$NR$19+1)*($NS$19-96+1)/$NU$19,$NN$19/$NT$19)),0)</f>
        <v/>
      </c>
      <c r="CW19" s="228">
        <f>IF(AND(97&gt;=$NR$19,97&lt;=$NS$19),IF($NP$19="Single_Point",IF(97=$NR$19,$NN$19,0),IF($NP$19="Bell_Curve",$NN$19*(97-$NR$19+1)*($NS$19-97+1)/$NU$19,$NN$19/$NT$19)),0)</f>
        <v/>
      </c>
      <c r="CX19" s="228">
        <f>IF(AND(98&gt;=$NR$19,98&lt;=$NS$19),IF($NP$19="Single_Point",IF(98=$NR$19,$NN$19,0),IF($NP$19="Bell_Curve",$NN$19*(98-$NR$19+1)*($NS$19-98+1)/$NU$19,$NN$19/$NT$19)),0)</f>
        <v/>
      </c>
      <c r="CY19" s="228">
        <f>IF(AND(99&gt;=$NR$19,99&lt;=$NS$19),IF($NP$19="Single_Point",IF(99=$NR$19,$NN$19,0),IF($NP$19="Bell_Curve",$NN$19*(99-$NR$19+1)*($NS$19-99+1)/$NU$19,$NN$19/$NT$19)),0)</f>
        <v/>
      </c>
      <c r="CZ19" s="228">
        <f>IF(AND(100&gt;=$NR$19,100&lt;=$NS$19),IF($NP$19="Single_Point",IF(100=$NR$19,$NN$19,0),IF($NP$19="Bell_Curve",$NN$19*(100-$NR$19+1)*($NS$19-100+1)/$NU$19,$NN$19/$NT$19)),0)</f>
        <v/>
      </c>
      <c r="DA19" s="228">
        <f>IF(AND(101&gt;=$NR$19,101&lt;=$NS$19),IF($NP$19="Single_Point",IF(101=$NR$19,$NN$19,0),IF($NP$19="Bell_Curve",$NN$19*(101-$NR$19+1)*($NS$19-101+1)/$NU$19,$NN$19/$NT$19)),0)</f>
        <v/>
      </c>
      <c r="DB19" s="228">
        <f>IF(AND(102&gt;=$NR$19,102&lt;=$NS$19),IF($NP$19="Single_Point",IF(102=$NR$19,$NN$19,0),IF($NP$19="Bell_Curve",$NN$19*(102-$NR$19+1)*($NS$19-102+1)/$NU$19,$NN$19/$NT$19)),0)</f>
        <v/>
      </c>
      <c r="DC19" s="228">
        <f>IF(AND(103&gt;=$NR$19,103&lt;=$NS$19),IF($NP$19="Single_Point",IF(103=$NR$19,$NN$19,0),IF($NP$19="Bell_Curve",$NN$19*(103-$NR$19+1)*($NS$19-103+1)/$NU$19,$NN$19/$NT$19)),0)</f>
        <v/>
      </c>
      <c r="DD19" s="228">
        <f>IF(AND(104&gt;=$NR$19,104&lt;=$NS$19),IF($NP$19="Single_Point",IF(104=$NR$19,$NN$19,0),IF($NP$19="Bell_Curve",$NN$19*(104-$NR$19+1)*($NS$19-104+1)/$NU$19,$NN$19/$NT$19)),0)</f>
        <v/>
      </c>
      <c r="DE19" s="228">
        <f>IF(AND(105&gt;=$NR$19,105&lt;=$NS$19),IF($NP$19="Single_Point",IF(105=$NR$19,$NN$19,0),IF($NP$19="Bell_Curve",$NN$19*(105-$NR$19+1)*($NS$19-105+1)/$NU$19,$NN$19/$NT$19)),0)</f>
        <v/>
      </c>
      <c r="DF19" s="228">
        <f>IF(AND(106&gt;=$NR$19,106&lt;=$NS$19),IF($NP$19="Single_Point",IF(106=$NR$19,$NN$19,0),IF($NP$19="Bell_Curve",$NN$19*(106-$NR$19+1)*($NS$19-106+1)/$NU$19,$NN$19/$NT$19)),0)</f>
        <v/>
      </c>
      <c r="DG19" s="228">
        <f>IF(AND(107&gt;=$NR$19,107&lt;=$NS$19),IF($NP$19="Single_Point",IF(107=$NR$19,$NN$19,0),IF($NP$19="Bell_Curve",$NN$19*(107-$NR$19+1)*($NS$19-107+1)/$NU$19,$NN$19/$NT$19)),0)</f>
        <v/>
      </c>
      <c r="DH19" s="228">
        <f>IF(AND(108&gt;=$NR$19,108&lt;=$NS$19),IF($NP$19="Single_Point",IF(108=$NR$19,$NN$19,0),IF($NP$19="Bell_Curve",$NN$19*(108-$NR$19+1)*($NS$19-108+1)/$NU$19,$NN$19/$NT$19)),0)</f>
        <v/>
      </c>
      <c r="DI19" s="228">
        <f>IF(AND(109&gt;=$NR$19,109&lt;=$NS$19),IF($NP$19="Single_Point",IF(109=$NR$19,$NN$19,0),IF($NP$19="Bell_Curve",$NN$19*(109-$NR$19+1)*($NS$19-109+1)/$NU$19,$NN$19/$NT$19)),0)</f>
        <v/>
      </c>
      <c r="DJ19" s="228">
        <f>IF(AND(110&gt;=$NR$19,110&lt;=$NS$19),IF($NP$19="Single_Point",IF(110=$NR$19,$NN$19,0),IF($NP$19="Bell_Curve",$NN$19*(110-$NR$19+1)*($NS$19-110+1)/$NU$19,$NN$19/$NT$19)),0)</f>
        <v/>
      </c>
      <c r="DK19" s="228">
        <f>IF(AND(111&gt;=$NR$19,111&lt;=$NS$19),IF($NP$19="Single_Point",IF(111=$NR$19,$NN$19,0),IF($NP$19="Bell_Curve",$NN$19*(111-$NR$19+1)*($NS$19-111+1)/$NU$19,$NN$19/$NT$19)),0)</f>
        <v/>
      </c>
      <c r="DL19" s="228">
        <f>IF(AND(112&gt;=$NR$19,112&lt;=$NS$19),IF($NP$19="Single_Point",IF(112=$NR$19,$NN$19,0),IF($NP$19="Bell_Curve",$NN$19*(112-$NR$19+1)*($NS$19-112+1)/$NU$19,$NN$19/$NT$19)),0)</f>
        <v/>
      </c>
      <c r="DM19" s="228">
        <f>IF(AND(113&gt;=$NR$19,113&lt;=$NS$19),IF($NP$19="Single_Point",IF(113=$NR$19,$NN$19,0),IF($NP$19="Bell_Curve",$NN$19*(113-$NR$19+1)*($NS$19-113+1)/$NU$19,$NN$19/$NT$19)),0)</f>
        <v/>
      </c>
      <c r="DN19" s="228">
        <f>IF(AND(114&gt;=$NR$19,114&lt;=$NS$19),IF($NP$19="Single_Point",IF(114=$NR$19,$NN$19,0),IF($NP$19="Bell_Curve",$NN$19*(114-$NR$19+1)*($NS$19-114+1)/$NU$19,$NN$19/$NT$19)),0)</f>
        <v/>
      </c>
      <c r="DO19" s="228">
        <f>IF(AND(115&gt;=$NR$19,115&lt;=$NS$19),IF($NP$19="Single_Point",IF(115=$NR$19,$NN$19,0),IF($NP$19="Bell_Curve",$NN$19*(115-$NR$19+1)*($NS$19-115+1)/$NU$19,$NN$19/$NT$19)),0)</f>
        <v/>
      </c>
      <c r="DP19" s="228">
        <f>IF(AND(116&gt;=$NR$19,116&lt;=$NS$19),IF($NP$19="Single_Point",IF(116=$NR$19,$NN$19,0),IF($NP$19="Bell_Curve",$NN$19*(116-$NR$19+1)*($NS$19-116+1)/$NU$19,$NN$19/$NT$19)),0)</f>
        <v/>
      </c>
      <c r="DQ19" s="228">
        <f>IF(AND(117&gt;=$NR$19,117&lt;=$NS$19),IF($NP$19="Single_Point",IF(117=$NR$19,$NN$19,0),IF($NP$19="Bell_Curve",$NN$19*(117-$NR$19+1)*($NS$19-117+1)/$NU$19,$NN$19/$NT$19)),0)</f>
        <v/>
      </c>
      <c r="DR19" s="228">
        <f>IF(AND(118&gt;=$NR$19,118&lt;=$NS$19),IF($NP$19="Single_Point",IF(118=$NR$19,$NN$19,0),IF($NP$19="Bell_Curve",$NN$19*(118-$NR$19+1)*($NS$19-118+1)/$NU$19,$NN$19/$NT$19)),0)</f>
        <v/>
      </c>
      <c r="DS19" s="228">
        <f>IF(AND(119&gt;=$NR$19,119&lt;=$NS$19),IF($NP$19="Single_Point",IF(119=$NR$19,$NN$19,0),IF($NP$19="Bell_Curve",$NN$19*(119-$NR$19+1)*($NS$19-119+1)/$NU$19,$NN$19/$NT$19)),0)</f>
        <v/>
      </c>
      <c r="DT19" s="228">
        <f>IF(AND(120&gt;=$NR$19,120&lt;=$NS$19),IF($NP$19="Single_Point",IF(120=$NR$19,$NN$19,0),IF($NP$19="Bell_Curve",$NN$19*(120-$NR$19+1)*($NS$19-120+1)/$NU$19,$NN$19/$NT$19)),0)</f>
        <v/>
      </c>
      <c r="DU19" s="228">
        <f>IF(AND(121&gt;=$NR$19,121&lt;=$NS$19),IF($NP$19="Single_Point",IF(121=$NR$19,$NN$19,0),IF($NP$19="Bell_Curve",$NN$19*(121-$NR$19+1)*($NS$19-121+1)/$NU$19,$NN$19/$NT$19)),0)</f>
        <v/>
      </c>
      <c r="DV19" s="228">
        <f>IF(AND(122&gt;=$NR$19,122&lt;=$NS$19),IF($NP$19="Single_Point",IF(122=$NR$19,$NN$19,0),IF($NP$19="Bell_Curve",$NN$19*(122-$NR$19+1)*($NS$19-122+1)/$NU$19,$NN$19/$NT$19)),0)</f>
        <v/>
      </c>
      <c r="DW19" s="228">
        <f>IF(AND(123&gt;=$NR$19,123&lt;=$NS$19),IF($NP$19="Single_Point",IF(123=$NR$19,$NN$19,0),IF($NP$19="Bell_Curve",$NN$19*(123-$NR$19+1)*($NS$19-123+1)/$NU$19,$NN$19/$NT$19)),0)</f>
        <v/>
      </c>
      <c r="DX19" s="228">
        <f>IF(AND(124&gt;=$NR$19,124&lt;=$NS$19),IF($NP$19="Single_Point",IF(124=$NR$19,$NN$19,0),IF($NP$19="Bell_Curve",$NN$19*(124-$NR$19+1)*($NS$19-124+1)/$NU$19,$NN$19/$NT$19)),0)</f>
        <v/>
      </c>
      <c r="DY19" s="228">
        <f>IF(AND(125&gt;=$NR$19,125&lt;=$NS$19),IF($NP$19="Single_Point",IF(125=$NR$19,$NN$19,0),IF($NP$19="Bell_Curve",$NN$19*(125-$NR$19+1)*($NS$19-125+1)/$NU$19,$NN$19/$NT$19)),0)</f>
        <v/>
      </c>
      <c r="DZ19" s="228">
        <f>IF(AND(126&gt;=$NR$19,126&lt;=$NS$19),IF($NP$19="Single_Point",IF(126=$NR$19,$NN$19,0),IF($NP$19="Bell_Curve",$NN$19*(126-$NR$19+1)*($NS$19-126+1)/$NU$19,$NN$19/$NT$19)),0)</f>
        <v/>
      </c>
      <c r="EA19" s="228">
        <f>IF(AND(127&gt;=$NR$19,127&lt;=$NS$19),IF($NP$19="Single_Point",IF(127=$NR$19,$NN$19,0),IF($NP$19="Bell_Curve",$NN$19*(127-$NR$19+1)*($NS$19-127+1)/$NU$19,$NN$19/$NT$19)),0)</f>
        <v/>
      </c>
      <c r="EB19" s="228">
        <f>IF(AND(128&gt;=$NR$19,128&lt;=$NS$19),IF($NP$19="Single_Point",IF(128=$NR$19,$NN$19,0),IF($NP$19="Bell_Curve",$NN$19*(128-$NR$19+1)*($NS$19-128+1)/$NU$19,$NN$19/$NT$19)),0)</f>
        <v/>
      </c>
      <c r="EC19" s="228">
        <f>IF(AND(129&gt;=$NR$19,129&lt;=$NS$19),IF($NP$19="Single_Point",IF(129=$NR$19,$NN$19,0),IF($NP$19="Bell_Curve",$NN$19*(129-$NR$19+1)*($NS$19-129+1)/$NU$19,$NN$19/$NT$19)),0)</f>
        <v/>
      </c>
      <c r="ED19" s="228">
        <f>IF(AND(130&gt;=$NR$19,130&lt;=$NS$19),IF($NP$19="Single_Point",IF(130=$NR$19,$NN$19,0),IF($NP$19="Bell_Curve",$NN$19*(130-$NR$19+1)*($NS$19-130+1)/$NU$19,$NN$19/$NT$19)),0)</f>
        <v/>
      </c>
      <c r="EE19" s="228">
        <f>IF(AND(131&gt;=$NR$19,131&lt;=$NS$19),IF($NP$19="Single_Point",IF(131=$NR$19,$NN$19,0),IF($NP$19="Bell_Curve",$NN$19*(131-$NR$19+1)*($NS$19-131+1)/$NU$19,$NN$19/$NT$19)),0)</f>
        <v/>
      </c>
      <c r="EF19" s="228">
        <f>IF(AND(132&gt;=$NR$19,132&lt;=$NS$19),IF($NP$19="Single_Point",IF(132=$NR$19,$NN$19,0),IF($NP$19="Bell_Curve",$NN$19*(132-$NR$19+1)*($NS$19-132+1)/$NU$19,$NN$19/$NT$19)),0)</f>
        <v/>
      </c>
      <c r="EG19" s="228">
        <f>IF(AND(133&gt;=$NR$19,133&lt;=$NS$19),IF($NP$19="Single_Point",IF(133=$NR$19,$NN$19,0),IF($NP$19="Bell_Curve",$NN$19*(133-$NR$19+1)*($NS$19-133+1)/$NU$19,$NN$19/$NT$19)),0)</f>
        <v/>
      </c>
      <c r="EH19" s="228">
        <f>IF(AND(134&gt;=$NR$19,134&lt;=$NS$19),IF($NP$19="Single_Point",IF(134=$NR$19,$NN$19,0),IF($NP$19="Bell_Curve",$NN$19*(134-$NR$19+1)*($NS$19-134+1)/$NU$19,$NN$19/$NT$19)),0)</f>
        <v/>
      </c>
      <c r="EI19" s="228">
        <f>IF(AND(135&gt;=$NR$19,135&lt;=$NS$19),IF($NP$19="Single_Point",IF(135=$NR$19,$NN$19,0),IF($NP$19="Bell_Curve",$NN$19*(135-$NR$19+1)*($NS$19-135+1)/$NU$19,$NN$19/$NT$19)),0)</f>
        <v/>
      </c>
      <c r="EJ19" s="228">
        <f>IF(AND(136&gt;=$NR$19,136&lt;=$NS$19),IF($NP$19="Single_Point",IF(136=$NR$19,$NN$19,0),IF($NP$19="Bell_Curve",$NN$19*(136-$NR$19+1)*($NS$19-136+1)/$NU$19,$NN$19/$NT$19)),0)</f>
        <v/>
      </c>
      <c r="EK19" s="228">
        <f>IF(AND(137&gt;=$NR$19,137&lt;=$NS$19),IF($NP$19="Single_Point",IF(137=$NR$19,$NN$19,0),IF($NP$19="Bell_Curve",$NN$19*(137-$NR$19+1)*($NS$19-137+1)/$NU$19,$NN$19/$NT$19)),0)</f>
        <v/>
      </c>
      <c r="EL19" s="228">
        <f>IF(AND(138&gt;=$NR$19,138&lt;=$NS$19),IF($NP$19="Single_Point",IF(138=$NR$19,$NN$19,0),IF($NP$19="Bell_Curve",$NN$19*(138-$NR$19+1)*($NS$19-138+1)/$NU$19,$NN$19/$NT$19)),0)</f>
        <v/>
      </c>
      <c r="EM19" s="228">
        <f>IF(AND(139&gt;=$NR$19,139&lt;=$NS$19),IF($NP$19="Single_Point",IF(139=$NR$19,$NN$19,0),IF($NP$19="Bell_Curve",$NN$19*(139-$NR$19+1)*($NS$19-139+1)/$NU$19,$NN$19/$NT$19)),0)</f>
        <v/>
      </c>
      <c r="EN19" s="228">
        <f>IF(AND(140&gt;=$NR$19,140&lt;=$NS$19),IF($NP$19="Single_Point",IF(140=$NR$19,$NN$19,0),IF($NP$19="Bell_Curve",$NN$19*(140-$NR$19+1)*($NS$19-140+1)/$NU$19,$NN$19/$NT$19)),0)</f>
        <v/>
      </c>
      <c r="EO19" s="228">
        <f>IF(AND(141&gt;=$NR$19,141&lt;=$NS$19),IF($NP$19="Single_Point",IF(141=$NR$19,$NN$19,0),IF($NP$19="Bell_Curve",$NN$19*(141-$NR$19+1)*($NS$19-141+1)/$NU$19,$NN$19/$NT$19)),0)</f>
        <v/>
      </c>
      <c r="EP19" s="228">
        <f>IF(AND(142&gt;=$NR$19,142&lt;=$NS$19),IF($NP$19="Single_Point",IF(142=$NR$19,$NN$19,0),IF($NP$19="Bell_Curve",$NN$19*(142-$NR$19+1)*($NS$19-142+1)/$NU$19,$NN$19/$NT$19)),0)</f>
        <v/>
      </c>
      <c r="EQ19" s="228">
        <f>IF(AND(143&gt;=$NR$19,143&lt;=$NS$19),IF($NP$19="Single_Point",IF(143=$NR$19,$NN$19,0),IF($NP$19="Bell_Curve",$NN$19*(143-$NR$19+1)*($NS$19-143+1)/$NU$19,$NN$19/$NT$19)),0)</f>
        <v/>
      </c>
      <c r="ER19" s="228">
        <f>IF(AND(144&gt;=$NR$19,144&lt;=$NS$19),IF($NP$19="Single_Point",IF(144=$NR$19,$NN$19,0),IF($NP$19="Bell_Curve",$NN$19*(144-$NR$19+1)*($NS$19-144+1)/$NU$19,$NN$19/$NT$19)),0)</f>
        <v/>
      </c>
      <c r="ES19" s="228">
        <f>IF(AND(145&gt;=$NR$19,145&lt;=$NS$19),IF($NP$19="Single_Point",IF(145=$NR$19,$NN$19,0),IF($NP$19="Bell_Curve",$NN$19*(145-$NR$19+1)*($NS$19-145+1)/$NU$19,$NN$19/$NT$19)),0)</f>
        <v/>
      </c>
      <c r="ET19" s="228">
        <f>IF(AND(146&gt;=$NR$19,146&lt;=$NS$19),IF($NP$19="Single_Point",IF(146=$NR$19,$NN$19,0),IF($NP$19="Bell_Curve",$NN$19*(146-$NR$19+1)*($NS$19-146+1)/$NU$19,$NN$19/$NT$19)),0)</f>
        <v/>
      </c>
      <c r="EU19" s="228">
        <f>IF(AND(147&gt;=$NR$19,147&lt;=$NS$19),IF($NP$19="Single_Point",IF(147=$NR$19,$NN$19,0),IF($NP$19="Bell_Curve",$NN$19*(147-$NR$19+1)*($NS$19-147+1)/$NU$19,$NN$19/$NT$19)),0)</f>
        <v/>
      </c>
      <c r="EV19" s="228">
        <f>IF(AND(148&gt;=$NR$19,148&lt;=$NS$19),IF($NP$19="Single_Point",IF(148=$NR$19,$NN$19,0),IF($NP$19="Bell_Curve",$NN$19*(148-$NR$19+1)*($NS$19-148+1)/$NU$19,$NN$19/$NT$19)),0)</f>
        <v/>
      </c>
      <c r="EW19" s="228">
        <f>IF(AND(149&gt;=$NR$19,149&lt;=$NS$19),IF($NP$19="Single_Point",IF(149=$NR$19,$NN$19,0),IF($NP$19="Bell_Curve",$NN$19*(149-$NR$19+1)*($NS$19-149+1)/$NU$19,$NN$19/$NT$19)),0)</f>
        <v/>
      </c>
      <c r="EX19" s="228">
        <f>IF(AND(150&gt;=$NR$19,150&lt;=$NS$19),IF($NP$19="Single_Point",IF(150=$NR$19,$NN$19,0),IF($NP$19="Bell_Curve",$NN$19*(150-$NR$19+1)*($NS$19-150+1)/$NU$19,$NN$19/$NT$19)),0)</f>
        <v/>
      </c>
      <c r="EY19" s="228">
        <f>IF(AND(151&gt;=$NR$19,151&lt;=$NS$19),IF($NP$19="Single_Point",IF(151=$NR$19,$NN$19,0),IF($NP$19="Bell_Curve",$NN$19*(151-$NR$19+1)*($NS$19-151+1)/$NU$19,$NN$19/$NT$19)),0)</f>
        <v/>
      </c>
      <c r="EZ19" s="228">
        <f>IF(AND(152&gt;=$NR$19,152&lt;=$NS$19),IF($NP$19="Single_Point",IF(152=$NR$19,$NN$19,0),IF($NP$19="Bell_Curve",$NN$19*(152-$NR$19+1)*($NS$19-152+1)/$NU$19,$NN$19/$NT$19)),0)</f>
        <v/>
      </c>
      <c r="FA19" s="228">
        <f>IF(AND(153&gt;=$NR$19,153&lt;=$NS$19),IF($NP$19="Single_Point",IF(153=$NR$19,$NN$19,0),IF($NP$19="Bell_Curve",$NN$19*(153-$NR$19+1)*($NS$19-153+1)/$NU$19,$NN$19/$NT$19)),0)</f>
        <v/>
      </c>
      <c r="FB19" s="228">
        <f>IF(AND(154&gt;=$NR$19,154&lt;=$NS$19),IF($NP$19="Single_Point",IF(154=$NR$19,$NN$19,0),IF($NP$19="Bell_Curve",$NN$19*(154-$NR$19+1)*($NS$19-154+1)/$NU$19,$NN$19/$NT$19)),0)</f>
        <v/>
      </c>
      <c r="FC19" s="228">
        <f>IF(AND(155&gt;=$NR$19,155&lt;=$NS$19),IF($NP$19="Single_Point",IF(155=$NR$19,$NN$19,0),IF($NP$19="Bell_Curve",$NN$19*(155-$NR$19+1)*($NS$19-155+1)/$NU$19,$NN$19/$NT$19)),0)</f>
        <v/>
      </c>
      <c r="FD19" s="228">
        <f>IF(AND(156&gt;=$NR$19,156&lt;=$NS$19),IF($NP$19="Single_Point",IF(156=$NR$19,$NN$19,0),IF($NP$19="Bell_Curve",$NN$19*(156-$NR$19+1)*($NS$19-156+1)/$NU$19,$NN$19/$NT$19)),0)</f>
        <v/>
      </c>
      <c r="FE19" s="228">
        <f>IF(AND(157&gt;=$NR$19,157&lt;=$NS$19),IF($NP$19="Single_Point",IF(157=$NR$19,$NN$19,0),IF($NP$19="Bell_Curve",$NN$19*(157-$NR$19+1)*($NS$19-157+1)/$NU$19,$NN$19/$NT$19)),0)</f>
        <v/>
      </c>
      <c r="FF19" s="228">
        <f>IF(AND(158&gt;=$NR$19,158&lt;=$NS$19),IF($NP$19="Single_Point",IF(158=$NR$19,$NN$19,0),IF($NP$19="Bell_Curve",$NN$19*(158-$NR$19+1)*($NS$19-158+1)/$NU$19,$NN$19/$NT$19)),0)</f>
        <v/>
      </c>
      <c r="FG19" s="228">
        <f>IF(AND(159&gt;=$NR$19,159&lt;=$NS$19),IF($NP$19="Single_Point",IF(159=$NR$19,$NN$19,0),IF($NP$19="Bell_Curve",$NN$19*(159-$NR$19+1)*($NS$19-159+1)/$NU$19,$NN$19/$NT$19)),0)</f>
        <v/>
      </c>
      <c r="FH19" s="228">
        <f>IF(AND(160&gt;=$NR$19,160&lt;=$NS$19),IF($NP$19="Single_Point",IF(160=$NR$19,$NN$19,0),IF($NP$19="Bell_Curve",$NN$19*(160-$NR$19+1)*($NS$19-160+1)/$NU$19,$NN$19/$NT$19)),0)</f>
        <v/>
      </c>
      <c r="FI19" s="228">
        <f>IF(AND(161&gt;=$NR$19,161&lt;=$NS$19),IF($NP$19="Single_Point",IF(161=$NR$19,$NN$19,0),IF($NP$19="Bell_Curve",$NN$19*(161-$NR$19+1)*($NS$19-161+1)/$NU$19,$NN$19/$NT$19)),0)</f>
        <v/>
      </c>
      <c r="FJ19" s="228">
        <f>IF(AND(162&gt;=$NR$19,162&lt;=$NS$19),IF($NP$19="Single_Point",IF(162=$NR$19,$NN$19,0),IF($NP$19="Bell_Curve",$NN$19*(162-$NR$19+1)*($NS$19-162+1)/$NU$19,$NN$19/$NT$19)),0)</f>
        <v/>
      </c>
      <c r="FK19" s="228">
        <f>IF(AND(163&gt;=$NR$19,163&lt;=$NS$19),IF($NP$19="Single_Point",IF(163=$NR$19,$NN$19,0),IF($NP$19="Bell_Curve",$NN$19*(163-$NR$19+1)*($NS$19-163+1)/$NU$19,$NN$19/$NT$19)),0)</f>
        <v/>
      </c>
      <c r="FL19" s="228">
        <f>IF(AND(164&gt;=$NR$19,164&lt;=$NS$19),IF($NP$19="Single_Point",IF(164=$NR$19,$NN$19,0),IF($NP$19="Bell_Curve",$NN$19*(164-$NR$19+1)*($NS$19-164+1)/$NU$19,$NN$19/$NT$19)),0)</f>
        <v/>
      </c>
      <c r="FM19" s="228">
        <f>IF(AND(165&gt;=$NR$19,165&lt;=$NS$19),IF($NP$19="Single_Point",IF(165=$NR$19,$NN$19,0),IF($NP$19="Bell_Curve",$NN$19*(165-$NR$19+1)*($NS$19-165+1)/$NU$19,$NN$19/$NT$19)),0)</f>
        <v/>
      </c>
      <c r="FN19" s="228">
        <f>IF(AND(166&gt;=$NR$19,166&lt;=$NS$19),IF($NP$19="Single_Point",IF(166=$NR$19,$NN$19,0),IF($NP$19="Bell_Curve",$NN$19*(166-$NR$19+1)*($NS$19-166+1)/$NU$19,$NN$19/$NT$19)),0)</f>
        <v/>
      </c>
      <c r="FO19" s="228">
        <f>IF(AND(167&gt;=$NR$19,167&lt;=$NS$19),IF($NP$19="Single_Point",IF(167=$NR$19,$NN$19,0),IF($NP$19="Bell_Curve",$NN$19*(167-$NR$19+1)*($NS$19-167+1)/$NU$19,$NN$19/$NT$19)),0)</f>
        <v/>
      </c>
      <c r="FP19" s="228">
        <f>IF(AND(168&gt;=$NR$19,168&lt;=$NS$19),IF($NP$19="Single_Point",IF(168=$NR$19,$NN$19,0),IF($NP$19="Bell_Curve",$NN$19*(168-$NR$19+1)*($NS$19-168+1)/$NU$19,$NN$19/$NT$19)),0)</f>
        <v/>
      </c>
      <c r="FQ19" s="228">
        <f>IF(AND(169&gt;=$NR$19,169&lt;=$NS$19),IF($NP$19="Single_Point",IF(169=$NR$19,$NN$19,0),IF($NP$19="Bell_Curve",$NN$19*(169-$NR$19+1)*($NS$19-169+1)/$NU$19,$NN$19/$NT$19)),0)</f>
        <v/>
      </c>
      <c r="FR19" s="228">
        <f>IF(AND(170&gt;=$NR$19,170&lt;=$NS$19),IF($NP$19="Single_Point",IF(170=$NR$19,$NN$19,0),IF($NP$19="Bell_Curve",$NN$19*(170-$NR$19+1)*($NS$19-170+1)/$NU$19,$NN$19/$NT$19)),0)</f>
        <v/>
      </c>
      <c r="FS19" s="228">
        <f>IF(AND(171&gt;=$NR$19,171&lt;=$NS$19),IF($NP$19="Single_Point",IF(171=$NR$19,$NN$19,0),IF($NP$19="Bell_Curve",$NN$19*(171-$NR$19+1)*($NS$19-171+1)/$NU$19,$NN$19/$NT$19)),0)</f>
        <v/>
      </c>
      <c r="FT19" s="228">
        <f>IF(AND(172&gt;=$NR$19,172&lt;=$NS$19),IF($NP$19="Single_Point",IF(172=$NR$19,$NN$19,0),IF($NP$19="Bell_Curve",$NN$19*(172-$NR$19+1)*($NS$19-172+1)/$NU$19,$NN$19/$NT$19)),0)</f>
        <v/>
      </c>
      <c r="FU19" s="228">
        <f>IF(AND(173&gt;=$NR$19,173&lt;=$NS$19),IF($NP$19="Single_Point",IF(173=$NR$19,$NN$19,0),IF($NP$19="Bell_Curve",$NN$19*(173-$NR$19+1)*($NS$19-173+1)/$NU$19,$NN$19/$NT$19)),0)</f>
        <v/>
      </c>
      <c r="FV19" s="228">
        <f>IF(AND(174&gt;=$NR$19,174&lt;=$NS$19),IF($NP$19="Single_Point",IF(174=$NR$19,$NN$19,0),IF($NP$19="Bell_Curve",$NN$19*(174-$NR$19+1)*($NS$19-174+1)/$NU$19,$NN$19/$NT$19)),0)</f>
        <v/>
      </c>
      <c r="FW19" s="228">
        <f>IF(AND(175&gt;=$NR$19,175&lt;=$NS$19),IF($NP$19="Single_Point",IF(175=$NR$19,$NN$19,0),IF($NP$19="Bell_Curve",$NN$19*(175-$NR$19+1)*($NS$19-175+1)/$NU$19,$NN$19/$NT$19)),0)</f>
        <v/>
      </c>
      <c r="FX19" s="228">
        <f>IF(AND(176&gt;=$NR$19,176&lt;=$NS$19),IF($NP$19="Single_Point",IF(176=$NR$19,$NN$19,0),IF($NP$19="Bell_Curve",$NN$19*(176-$NR$19+1)*($NS$19-176+1)/$NU$19,$NN$19/$NT$19)),0)</f>
        <v/>
      </c>
      <c r="FY19" s="228">
        <f>IF(AND(177&gt;=$NR$19,177&lt;=$NS$19),IF($NP$19="Single_Point",IF(177=$NR$19,$NN$19,0),IF($NP$19="Bell_Curve",$NN$19*(177-$NR$19+1)*($NS$19-177+1)/$NU$19,$NN$19/$NT$19)),0)</f>
        <v/>
      </c>
      <c r="FZ19" s="228">
        <f>IF(AND(178&gt;=$NR$19,178&lt;=$NS$19),IF($NP$19="Single_Point",IF(178=$NR$19,$NN$19,0),IF($NP$19="Bell_Curve",$NN$19*(178-$NR$19+1)*($NS$19-178+1)/$NU$19,$NN$19/$NT$19)),0)</f>
        <v/>
      </c>
      <c r="GA19" s="228">
        <f>IF(AND(179&gt;=$NR$19,179&lt;=$NS$19),IF($NP$19="Single_Point",IF(179=$NR$19,$NN$19,0),IF($NP$19="Bell_Curve",$NN$19*(179-$NR$19+1)*($NS$19-179+1)/$NU$19,$NN$19/$NT$19)),0)</f>
        <v/>
      </c>
      <c r="GB19" s="228">
        <f>IF(AND(180&gt;=$NR$19,180&lt;=$NS$19),IF($NP$19="Single_Point",IF(180=$NR$19,$NN$19,0),IF($NP$19="Bell_Curve",$NN$19*(180-$NR$19+1)*($NS$19-180+1)/$NU$19,$NN$19/$NT$19)),0)</f>
        <v/>
      </c>
      <c r="GC19" s="228">
        <f>IF(AND(181&gt;=$NR$19,181&lt;=$NS$19),IF($NP$19="Single_Point",IF(181=$NR$19,$NN$19,0),IF($NP$19="Bell_Curve",$NN$19*(181-$NR$19+1)*($NS$19-181+1)/$NU$19,$NN$19/$NT$19)),0)</f>
        <v/>
      </c>
      <c r="GD19" s="228">
        <f>IF(AND(182&gt;=$NR$19,182&lt;=$NS$19),IF($NP$19="Single_Point",IF(182=$NR$19,$NN$19,0),IF($NP$19="Bell_Curve",$NN$19*(182-$NR$19+1)*($NS$19-182+1)/$NU$19,$NN$19/$NT$19)),0)</f>
        <v/>
      </c>
      <c r="GE19" s="228">
        <f>IF(AND(183&gt;=$NR$19,183&lt;=$NS$19),IF($NP$19="Single_Point",IF(183=$NR$19,$NN$19,0),IF($NP$19="Bell_Curve",$NN$19*(183-$NR$19+1)*($NS$19-183+1)/$NU$19,$NN$19/$NT$19)),0)</f>
        <v/>
      </c>
      <c r="GF19" s="228">
        <f>IF(AND(184&gt;=$NR$19,184&lt;=$NS$19),IF($NP$19="Single_Point",IF(184=$NR$19,$NN$19,0),IF($NP$19="Bell_Curve",$NN$19*(184-$NR$19+1)*($NS$19-184+1)/$NU$19,$NN$19/$NT$19)),0)</f>
        <v/>
      </c>
      <c r="GG19" s="228">
        <f>IF(AND(185&gt;=$NR$19,185&lt;=$NS$19),IF($NP$19="Single_Point",IF(185=$NR$19,$NN$19,0),IF($NP$19="Bell_Curve",$NN$19*(185-$NR$19+1)*($NS$19-185+1)/$NU$19,$NN$19/$NT$19)),0)</f>
        <v/>
      </c>
      <c r="GH19" s="228">
        <f>IF(AND(186&gt;=$NR$19,186&lt;=$NS$19),IF($NP$19="Single_Point",IF(186=$NR$19,$NN$19,0),IF($NP$19="Bell_Curve",$NN$19*(186-$NR$19+1)*($NS$19-186+1)/$NU$19,$NN$19/$NT$19)),0)</f>
        <v/>
      </c>
      <c r="GI19" s="228">
        <f>IF(AND(187&gt;=$NR$19,187&lt;=$NS$19),IF($NP$19="Single_Point",IF(187=$NR$19,$NN$19,0),IF($NP$19="Bell_Curve",$NN$19*(187-$NR$19+1)*($NS$19-187+1)/$NU$19,$NN$19/$NT$19)),0)</f>
        <v/>
      </c>
      <c r="GJ19" s="228">
        <f>IF(AND(188&gt;=$NR$19,188&lt;=$NS$19),IF($NP$19="Single_Point",IF(188=$NR$19,$NN$19,0),IF($NP$19="Bell_Curve",$NN$19*(188-$NR$19+1)*($NS$19-188+1)/$NU$19,$NN$19/$NT$19)),0)</f>
        <v/>
      </c>
      <c r="GK19" s="228">
        <f>IF(AND(189&gt;=$NR$19,189&lt;=$NS$19),IF($NP$19="Single_Point",IF(189=$NR$19,$NN$19,0),IF($NP$19="Bell_Curve",$NN$19*(189-$NR$19+1)*($NS$19-189+1)/$NU$19,$NN$19/$NT$19)),0)</f>
        <v/>
      </c>
      <c r="GL19" s="228">
        <f>IF(AND(190&gt;=$NR$19,190&lt;=$NS$19),IF($NP$19="Single_Point",IF(190=$NR$19,$NN$19,0),IF($NP$19="Bell_Curve",$NN$19*(190-$NR$19+1)*($NS$19-190+1)/$NU$19,$NN$19/$NT$19)),0)</f>
        <v/>
      </c>
      <c r="GM19" s="228">
        <f>IF(AND(191&gt;=$NR$19,191&lt;=$NS$19),IF($NP$19="Single_Point",IF(191=$NR$19,$NN$19,0),IF($NP$19="Bell_Curve",$NN$19*(191-$NR$19+1)*($NS$19-191+1)/$NU$19,$NN$19/$NT$19)),0)</f>
        <v/>
      </c>
      <c r="GN19" s="228">
        <f>IF(AND(192&gt;=$NR$19,192&lt;=$NS$19),IF($NP$19="Single_Point",IF(192=$NR$19,$NN$19,0),IF($NP$19="Bell_Curve",$NN$19*(192-$NR$19+1)*($NS$19-192+1)/$NU$19,$NN$19/$NT$19)),0)</f>
        <v/>
      </c>
      <c r="GO19" s="228">
        <f>IF(AND(193&gt;=$NR$19,193&lt;=$NS$19),IF($NP$19="Single_Point",IF(193=$NR$19,$NN$19,0),IF($NP$19="Bell_Curve",$NN$19*(193-$NR$19+1)*($NS$19-193+1)/$NU$19,$NN$19/$NT$19)),0)</f>
        <v/>
      </c>
      <c r="GP19" s="228">
        <f>IF(AND(194&gt;=$NR$19,194&lt;=$NS$19),IF($NP$19="Single_Point",IF(194=$NR$19,$NN$19,0),IF($NP$19="Bell_Curve",$NN$19*(194-$NR$19+1)*($NS$19-194+1)/$NU$19,$NN$19/$NT$19)),0)</f>
        <v/>
      </c>
      <c r="GQ19" s="228">
        <f>IF(AND(195&gt;=$NR$19,195&lt;=$NS$19),IF($NP$19="Single_Point",IF(195=$NR$19,$NN$19,0),IF($NP$19="Bell_Curve",$NN$19*(195-$NR$19+1)*($NS$19-195+1)/$NU$19,$NN$19/$NT$19)),0)</f>
        <v/>
      </c>
      <c r="GR19" s="228">
        <f>IF(AND(196&gt;=$NR$19,196&lt;=$NS$19),IF($NP$19="Single_Point",IF(196=$NR$19,$NN$19,0),IF($NP$19="Bell_Curve",$NN$19*(196-$NR$19+1)*($NS$19-196+1)/$NU$19,$NN$19/$NT$19)),0)</f>
        <v/>
      </c>
      <c r="GS19" s="228">
        <f>IF(AND(197&gt;=$NR$19,197&lt;=$NS$19),IF($NP$19="Single_Point",IF(197=$NR$19,$NN$19,0),IF($NP$19="Bell_Curve",$NN$19*(197-$NR$19+1)*($NS$19-197+1)/$NU$19,$NN$19/$NT$19)),0)</f>
        <v/>
      </c>
      <c r="GT19" s="228">
        <f>IF(AND(198&gt;=$NR$19,198&lt;=$NS$19),IF($NP$19="Single_Point",IF(198=$NR$19,$NN$19,0),IF($NP$19="Bell_Curve",$NN$19*(198-$NR$19+1)*($NS$19-198+1)/$NU$19,$NN$19/$NT$19)),0)</f>
        <v/>
      </c>
      <c r="GU19" s="228">
        <f>IF(AND(199&gt;=$NR$19,199&lt;=$NS$19),IF($NP$19="Single_Point",IF(199=$NR$19,$NN$19,0),IF($NP$19="Bell_Curve",$NN$19*(199-$NR$19+1)*($NS$19-199+1)/$NU$19,$NN$19/$NT$19)),0)</f>
        <v/>
      </c>
      <c r="GV19" s="228">
        <f>IF(AND(200&gt;=$NR$19,200&lt;=$NS$19),IF($NP$19="Single_Point",IF(200=$NR$19,$NN$19,0),IF($NP$19="Bell_Curve",$NN$19*(200-$NR$19+1)*($NS$19-200+1)/$NU$19,$NN$19/$NT$19)),0)</f>
        <v/>
      </c>
      <c r="GW19" s="228">
        <f>IF(AND(201&gt;=$NR$19,201&lt;=$NS$19),IF($NP$19="Single_Point",IF(201=$NR$19,$NN$19,0),IF($NP$19="Bell_Curve",$NN$19*(201-$NR$19+1)*($NS$19-201+1)/$NU$19,$NN$19/$NT$19)),0)</f>
        <v/>
      </c>
      <c r="GX19" s="228">
        <f>IF(AND(202&gt;=$NR$19,202&lt;=$NS$19),IF($NP$19="Single_Point",IF(202=$NR$19,$NN$19,0),IF($NP$19="Bell_Curve",$NN$19*(202-$NR$19+1)*($NS$19-202+1)/$NU$19,$NN$19/$NT$19)),0)</f>
        <v/>
      </c>
      <c r="GY19" s="228">
        <f>IF(AND(203&gt;=$NR$19,203&lt;=$NS$19),IF($NP$19="Single_Point",IF(203=$NR$19,$NN$19,0),IF($NP$19="Bell_Curve",$NN$19*(203-$NR$19+1)*($NS$19-203+1)/$NU$19,$NN$19/$NT$19)),0)</f>
        <v/>
      </c>
      <c r="GZ19" s="228">
        <f>IF(AND(204&gt;=$NR$19,204&lt;=$NS$19),IF($NP$19="Single_Point",IF(204=$NR$19,$NN$19,0),IF($NP$19="Bell_Curve",$NN$19*(204-$NR$19+1)*($NS$19-204+1)/$NU$19,$NN$19/$NT$19)),0)</f>
        <v/>
      </c>
      <c r="HA19" s="228">
        <f>IF(AND(205&gt;=$NR$19,205&lt;=$NS$19),IF($NP$19="Single_Point",IF(205=$NR$19,$NN$19,0),IF($NP$19="Bell_Curve",$NN$19*(205-$NR$19+1)*($NS$19-205+1)/$NU$19,$NN$19/$NT$19)),0)</f>
        <v/>
      </c>
      <c r="HB19" s="228">
        <f>IF(AND(206&gt;=$NR$19,206&lt;=$NS$19),IF($NP$19="Single_Point",IF(206=$NR$19,$NN$19,0),IF($NP$19="Bell_Curve",$NN$19*(206-$NR$19+1)*($NS$19-206+1)/$NU$19,$NN$19/$NT$19)),0)</f>
        <v/>
      </c>
      <c r="HC19" s="228">
        <f>IF(AND(207&gt;=$NR$19,207&lt;=$NS$19),IF($NP$19="Single_Point",IF(207=$NR$19,$NN$19,0),IF($NP$19="Bell_Curve",$NN$19*(207-$NR$19+1)*($NS$19-207+1)/$NU$19,$NN$19/$NT$19)),0)</f>
        <v/>
      </c>
      <c r="HD19" s="228">
        <f>IF(AND(208&gt;=$NR$19,208&lt;=$NS$19),IF($NP$19="Single_Point",IF(208=$NR$19,$NN$19,0),IF($NP$19="Bell_Curve",$NN$19*(208-$NR$19+1)*($NS$19-208+1)/$NU$19,$NN$19/$NT$19)),0)</f>
        <v/>
      </c>
      <c r="HE19" s="228">
        <f>IF(AND(209&gt;=$NR$19,209&lt;=$NS$19),IF($NP$19="Single_Point",IF(209=$NR$19,$NN$19,0),IF($NP$19="Bell_Curve",$NN$19*(209-$NR$19+1)*($NS$19-209+1)/$NU$19,$NN$19/$NT$19)),0)</f>
        <v/>
      </c>
      <c r="HF19" s="228">
        <f>IF(AND(210&gt;=$NR$19,210&lt;=$NS$19),IF($NP$19="Single_Point",IF(210=$NR$19,$NN$19,0),IF($NP$19="Bell_Curve",$NN$19*(210-$NR$19+1)*($NS$19-210+1)/$NU$19,$NN$19/$NT$19)),0)</f>
        <v/>
      </c>
      <c r="HG19" s="228">
        <f>IF(AND(211&gt;=$NR$19,211&lt;=$NS$19),IF($NP$19="Single_Point",IF(211=$NR$19,$NN$19,0),IF($NP$19="Bell_Curve",$NN$19*(211-$NR$19+1)*($NS$19-211+1)/$NU$19,$NN$19/$NT$19)),0)</f>
        <v/>
      </c>
      <c r="HH19" s="228">
        <f>IF(AND(212&gt;=$NR$19,212&lt;=$NS$19),IF($NP$19="Single_Point",IF(212=$NR$19,$NN$19,0),IF($NP$19="Bell_Curve",$NN$19*(212-$NR$19+1)*($NS$19-212+1)/$NU$19,$NN$19/$NT$19)),0)</f>
        <v/>
      </c>
      <c r="HI19" s="228">
        <f>IF(AND(213&gt;=$NR$19,213&lt;=$NS$19),IF($NP$19="Single_Point",IF(213=$NR$19,$NN$19,0),IF($NP$19="Bell_Curve",$NN$19*(213-$NR$19+1)*($NS$19-213+1)/$NU$19,$NN$19/$NT$19)),0)</f>
        <v/>
      </c>
      <c r="HJ19" s="228">
        <f>IF(AND(214&gt;=$NR$19,214&lt;=$NS$19),IF($NP$19="Single_Point",IF(214=$NR$19,$NN$19,0),IF($NP$19="Bell_Curve",$NN$19*(214-$NR$19+1)*($NS$19-214+1)/$NU$19,$NN$19/$NT$19)),0)</f>
        <v/>
      </c>
      <c r="HK19" s="228">
        <f>IF(AND(215&gt;=$NR$19,215&lt;=$NS$19),IF($NP$19="Single_Point",IF(215=$NR$19,$NN$19,0),IF($NP$19="Bell_Curve",$NN$19*(215-$NR$19+1)*($NS$19-215+1)/$NU$19,$NN$19/$NT$19)),0)</f>
        <v/>
      </c>
      <c r="HL19" s="228">
        <f>IF(AND(216&gt;=$NR$19,216&lt;=$NS$19),IF($NP$19="Single_Point",IF(216=$NR$19,$NN$19,0),IF($NP$19="Bell_Curve",$NN$19*(216-$NR$19+1)*($NS$19-216+1)/$NU$19,$NN$19/$NT$19)),0)</f>
        <v/>
      </c>
      <c r="HM19" s="228">
        <f>IF(AND(217&gt;=$NR$19,217&lt;=$NS$19),IF($NP$19="Single_Point",IF(217=$NR$19,$NN$19,0),IF($NP$19="Bell_Curve",$NN$19*(217-$NR$19+1)*($NS$19-217+1)/$NU$19,$NN$19/$NT$19)),0)</f>
        <v/>
      </c>
      <c r="HN19" s="228">
        <f>IF(AND(218&gt;=$NR$19,218&lt;=$NS$19),IF($NP$19="Single_Point",IF(218=$NR$19,$NN$19,0),IF($NP$19="Bell_Curve",$NN$19*(218-$NR$19+1)*($NS$19-218+1)/$NU$19,$NN$19/$NT$19)),0)</f>
        <v/>
      </c>
      <c r="HO19" s="228">
        <f>IF(AND(219&gt;=$NR$19,219&lt;=$NS$19),IF($NP$19="Single_Point",IF(219=$NR$19,$NN$19,0),IF($NP$19="Bell_Curve",$NN$19*(219-$NR$19+1)*($NS$19-219+1)/$NU$19,$NN$19/$NT$19)),0)</f>
        <v/>
      </c>
      <c r="HP19" s="228">
        <f>IF(AND(220&gt;=$NR$19,220&lt;=$NS$19),IF($NP$19="Single_Point",IF(220=$NR$19,$NN$19,0),IF($NP$19="Bell_Curve",$NN$19*(220-$NR$19+1)*($NS$19-220+1)/$NU$19,$NN$19/$NT$19)),0)</f>
        <v/>
      </c>
      <c r="HQ19" s="228">
        <f>IF(AND(221&gt;=$NR$19,221&lt;=$NS$19),IF($NP$19="Single_Point",IF(221=$NR$19,$NN$19,0),IF($NP$19="Bell_Curve",$NN$19*(221-$NR$19+1)*($NS$19-221+1)/$NU$19,$NN$19/$NT$19)),0)</f>
        <v/>
      </c>
      <c r="HR19" s="228">
        <f>IF(AND(222&gt;=$NR$19,222&lt;=$NS$19),IF($NP$19="Single_Point",IF(222=$NR$19,$NN$19,0),IF($NP$19="Bell_Curve",$NN$19*(222-$NR$19+1)*($NS$19-222+1)/$NU$19,$NN$19/$NT$19)),0)</f>
        <v/>
      </c>
      <c r="HS19" s="228">
        <f>IF(AND(223&gt;=$NR$19,223&lt;=$NS$19),IF($NP$19="Single_Point",IF(223=$NR$19,$NN$19,0),IF($NP$19="Bell_Curve",$NN$19*(223-$NR$19+1)*($NS$19-223+1)/$NU$19,$NN$19/$NT$19)),0)</f>
        <v/>
      </c>
      <c r="HT19" s="228">
        <f>IF(AND(224&gt;=$NR$19,224&lt;=$NS$19),IF($NP$19="Single_Point",IF(224=$NR$19,$NN$19,0),IF($NP$19="Bell_Curve",$NN$19*(224-$NR$19+1)*($NS$19-224+1)/$NU$19,$NN$19/$NT$19)),0)</f>
        <v/>
      </c>
      <c r="HU19" s="228">
        <f>IF(AND(225&gt;=$NR$19,225&lt;=$NS$19),IF($NP$19="Single_Point",IF(225=$NR$19,$NN$19,0),IF($NP$19="Bell_Curve",$NN$19*(225-$NR$19+1)*($NS$19-225+1)/$NU$19,$NN$19/$NT$19)),0)</f>
        <v/>
      </c>
      <c r="HV19" s="228">
        <f>IF(AND(226&gt;=$NR$19,226&lt;=$NS$19),IF($NP$19="Single_Point",IF(226=$NR$19,$NN$19,0),IF($NP$19="Bell_Curve",$NN$19*(226-$NR$19+1)*($NS$19-226+1)/$NU$19,$NN$19/$NT$19)),0)</f>
        <v/>
      </c>
      <c r="HW19" s="228">
        <f>IF(AND(227&gt;=$NR$19,227&lt;=$NS$19),IF($NP$19="Single_Point",IF(227=$NR$19,$NN$19,0),IF($NP$19="Bell_Curve",$NN$19*(227-$NR$19+1)*($NS$19-227+1)/$NU$19,$NN$19/$NT$19)),0)</f>
        <v/>
      </c>
      <c r="HX19" s="228">
        <f>IF(AND(228&gt;=$NR$19,228&lt;=$NS$19),IF($NP$19="Single_Point",IF(228=$NR$19,$NN$19,0),IF($NP$19="Bell_Curve",$NN$19*(228-$NR$19+1)*($NS$19-228+1)/$NU$19,$NN$19/$NT$19)),0)</f>
        <v/>
      </c>
      <c r="HY19" s="228">
        <f>IF(AND(229&gt;=$NR$19,229&lt;=$NS$19),IF($NP$19="Single_Point",IF(229=$NR$19,$NN$19,0),IF($NP$19="Bell_Curve",$NN$19*(229-$NR$19+1)*($NS$19-229+1)/$NU$19,$NN$19/$NT$19)),0)</f>
        <v/>
      </c>
      <c r="HZ19" s="228">
        <f>IF(AND(230&gt;=$NR$19,230&lt;=$NS$19),IF($NP$19="Single_Point",IF(230=$NR$19,$NN$19,0),IF($NP$19="Bell_Curve",$NN$19*(230-$NR$19+1)*($NS$19-230+1)/$NU$19,$NN$19/$NT$19)),0)</f>
        <v/>
      </c>
      <c r="IA19" s="228">
        <f>IF(AND(231&gt;=$NR$19,231&lt;=$NS$19),IF($NP$19="Single_Point",IF(231=$NR$19,$NN$19,0),IF($NP$19="Bell_Curve",$NN$19*(231-$NR$19+1)*($NS$19-231+1)/$NU$19,$NN$19/$NT$19)),0)</f>
        <v/>
      </c>
      <c r="IB19" s="228">
        <f>IF(AND(232&gt;=$NR$19,232&lt;=$NS$19),IF($NP$19="Single_Point",IF(232=$NR$19,$NN$19,0),IF($NP$19="Bell_Curve",$NN$19*(232-$NR$19+1)*($NS$19-232+1)/$NU$19,$NN$19/$NT$19)),0)</f>
        <v/>
      </c>
      <c r="IC19" s="228">
        <f>IF(AND(233&gt;=$NR$19,233&lt;=$NS$19),IF($NP$19="Single_Point",IF(233=$NR$19,$NN$19,0),IF($NP$19="Bell_Curve",$NN$19*(233-$NR$19+1)*($NS$19-233+1)/$NU$19,$NN$19/$NT$19)),0)</f>
        <v/>
      </c>
      <c r="ID19" s="228">
        <f>IF(AND(234&gt;=$NR$19,234&lt;=$NS$19),IF($NP$19="Single_Point",IF(234=$NR$19,$NN$19,0),IF($NP$19="Bell_Curve",$NN$19*(234-$NR$19+1)*($NS$19-234+1)/$NU$19,$NN$19/$NT$19)),0)</f>
        <v/>
      </c>
      <c r="IE19" s="228">
        <f>IF(AND(235&gt;=$NR$19,235&lt;=$NS$19),IF($NP$19="Single_Point",IF(235=$NR$19,$NN$19,0),IF($NP$19="Bell_Curve",$NN$19*(235-$NR$19+1)*($NS$19-235+1)/$NU$19,$NN$19/$NT$19)),0)</f>
        <v/>
      </c>
      <c r="IF19" s="228">
        <f>IF(AND(236&gt;=$NR$19,236&lt;=$NS$19),IF($NP$19="Single_Point",IF(236=$NR$19,$NN$19,0),IF($NP$19="Bell_Curve",$NN$19*(236-$NR$19+1)*($NS$19-236+1)/$NU$19,$NN$19/$NT$19)),0)</f>
        <v/>
      </c>
      <c r="IG19" s="228">
        <f>IF(AND(237&gt;=$NR$19,237&lt;=$NS$19),IF($NP$19="Single_Point",IF(237=$NR$19,$NN$19,0),IF($NP$19="Bell_Curve",$NN$19*(237-$NR$19+1)*($NS$19-237+1)/$NU$19,$NN$19/$NT$19)),0)</f>
        <v/>
      </c>
      <c r="IH19" s="228">
        <f>IF(AND(238&gt;=$NR$19,238&lt;=$NS$19),IF($NP$19="Single_Point",IF(238=$NR$19,$NN$19,0),IF($NP$19="Bell_Curve",$NN$19*(238-$NR$19+1)*($NS$19-238+1)/$NU$19,$NN$19/$NT$19)),0)</f>
        <v/>
      </c>
      <c r="II19" s="228">
        <f>IF(AND(239&gt;=$NR$19,239&lt;=$NS$19),IF($NP$19="Single_Point",IF(239=$NR$19,$NN$19,0),IF($NP$19="Bell_Curve",$NN$19*(239-$NR$19+1)*($NS$19-239+1)/$NU$19,$NN$19/$NT$19)),0)</f>
        <v/>
      </c>
      <c r="IJ19" s="228">
        <f>IF(AND(240&gt;=$NR$19,240&lt;=$NS$19),IF($NP$19="Single_Point",IF(240=$NR$19,$NN$19,0),IF($NP$19="Bell_Curve",$NN$19*(240-$NR$19+1)*($NS$19-240+1)/$NU$19,$NN$19/$NT$19)),0)</f>
        <v/>
      </c>
      <c r="IK19" s="228">
        <f>IF(AND(241&gt;=$NR$19,241&lt;=$NS$19),IF($NP$19="Single_Point",IF(241=$NR$19,$NN$19,0),IF($NP$19="Bell_Curve",$NN$19*(241-$NR$19+1)*($NS$19-241+1)/$NU$19,$NN$19/$NT$19)),0)</f>
        <v/>
      </c>
      <c r="IL19" s="228">
        <f>IF(AND(242&gt;=$NR$19,242&lt;=$NS$19),IF($NP$19="Single_Point",IF(242=$NR$19,$NN$19,0),IF($NP$19="Bell_Curve",$NN$19*(242-$NR$19+1)*($NS$19-242+1)/$NU$19,$NN$19/$NT$19)),0)</f>
        <v/>
      </c>
      <c r="IM19" s="228">
        <f>IF(AND(243&gt;=$NR$19,243&lt;=$NS$19),IF($NP$19="Single_Point",IF(243=$NR$19,$NN$19,0),IF($NP$19="Bell_Curve",$NN$19*(243-$NR$19+1)*($NS$19-243+1)/$NU$19,$NN$19/$NT$19)),0)</f>
        <v/>
      </c>
      <c r="IN19" s="228">
        <f>IF(AND(244&gt;=$NR$19,244&lt;=$NS$19),IF($NP$19="Single_Point",IF(244=$NR$19,$NN$19,0),IF($NP$19="Bell_Curve",$NN$19*(244-$NR$19+1)*($NS$19-244+1)/$NU$19,$NN$19/$NT$19)),0)</f>
        <v/>
      </c>
      <c r="IO19" s="228">
        <f>IF(AND(245&gt;=$NR$19,245&lt;=$NS$19),IF($NP$19="Single_Point",IF(245=$NR$19,$NN$19,0),IF($NP$19="Bell_Curve",$NN$19*(245-$NR$19+1)*($NS$19-245+1)/$NU$19,$NN$19/$NT$19)),0)</f>
        <v/>
      </c>
      <c r="IP19" s="228">
        <f>IF(AND(246&gt;=$NR$19,246&lt;=$NS$19),IF($NP$19="Single_Point",IF(246=$NR$19,$NN$19,0),IF($NP$19="Bell_Curve",$NN$19*(246-$NR$19+1)*($NS$19-246+1)/$NU$19,$NN$19/$NT$19)),0)</f>
        <v/>
      </c>
      <c r="IQ19" s="228">
        <f>IF(AND(247&gt;=$NR$19,247&lt;=$NS$19),IF($NP$19="Single_Point",IF(247=$NR$19,$NN$19,0),IF($NP$19="Bell_Curve",$NN$19*(247-$NR$19+1)*($NS$19-247+1)/$NU$19,$NN$19/$NT$19)),0)</f>
        <v/>
      </c>
      <c r="IR19" s="228">
        <f>IF(AND(248&gt;=$NR$19,248&lt;=$NS$19),IF($NP$19="Single_Point",IF(248=$NR$19,$NN$19,0),IF($NP$19="Bell_Curve",$NN$19*(248-$NR$19+1)*($NS$19-248+1)/$NU$19,$NN$19/$NT$19)),0)</f>
        <v/>
      </c>
      <c r="IS19" s="228">
        <f>IF(AND(249&gt;=$NR$19,249&lt;=$NS$19),IF($NP$19="Single_Point",IF(249=$NR$19,$NN$19,0),IF($NP$19="Bell_Curve",$NN$19*(249-$NR$19+1)*($NS$19-249+1)/$NU$19,$NN$19/$NT$19)),0)</f>
        <v/>
      </c>
      <c r="IT19" s="228">
        <f>IF(AND(250&gt;=$NR$19,250&lt;=$NS$19),IF($NP$19="Single_Point",IF(250=$NR$19,$NN$19,0),IF($NP$19="Bell_Curve",$NN$19*(250-$NR$19+1)*($NS$19-250+1)/$NU$19,$NN$19/$NT$19)),0)</f>
        <v/>
      </c>
      <c r="IU19" s="228">
        <f>IF(AND(251&gt;=$NR$19,251&lt;=$NS$19),IF($NP$19="Single_Point",IF(251=$NR$19,$NN$19,0),IF($NP$19="Bell_Curve",$NN$19*(251-$NR$19+1)*($NS$19-251+1)/$NU$19,$NN$19/$NT$19)),0)</f>
        <v/>
      </c>
      <c r="IV19" s="228">
        <f>IF(AND(252&gt;=$NR$19,252&lt;=$NS$19),IF($NP$19="Single_Point",IF(252=$NR$19,$NN$19,0),IF($NP$19="Bell_Curve",$NN$19*(252-$NR$19+1)*($NS$19-252+1)/$NU$19,$NN$19/$NT$19)),0)</f>
        <v/>
      </c>
      <c r="IW19" s="228">
        <f>IF(AND(253&gt;=$NR$19,253&lt;=$NS$19),IF($NP$19="Single_Point",IF(253=$NR$19,$NN$19,0),IF($NP$19="Bell_Curve",$NN$19*(253-$NR$19+1)*($NS$19-253+1)/$NU$19,$NN$19/$NT$19)),0)</f>
        <v/>
      </c>
      <c r="IX19" s="228">
        <f>IF(AND(254&gt;=$NR$19,254&lt;=$NS$19),IF($NP$19="Single_Point",IF(254=$NR$19,$NN$19,0),IF($NP$19="Bell_Curve",$NN$19*(254-$NR$19+1)*($NS$19-254+1)/$NU$19,$NN$19/$NT$19)),0)</f>
        <v/>
      </c>
      <c r="IY19" s="228">
        <f>IF(AND(255&gt;=$NR$19,255&lt;=$NS$19),IF($NP$19="Single_Point",IF(255=$NR$19,$NN$19,0),IF($NP$19="Bell_Curve",$NN$19*(255-$NR$19+1)*($NS$19-255+1)/$NU$19,$NN$19/$NT$19)),0)</f>
        <v/>
      </c>
      <c r="IZ19" s="228">
        <f>IF(AND(256&gt;=$NR$19,256&lt;=$NS$19),IF($NP$19="Single_Point",IF(256=$NR$19,$NN$19,0),IF($NP$19="Bell_Curve",$NN$19*(256-$NR$19+1)*($NS$19-256+1)/$NU$19,$NN$19/$NT$19)),0)</f>
        <v/>
      </c>
      <c r="JA19" s="228">
        <f>IF(AND(257&gt;=$NR$19,257&lt;=$NS$19),IF($NP$19="Single_Point",IF(257=$NR$19,$NN$19,0),IF($NP$19="Bell_Curve",$NN$19*(257-$NR$19+1)*($NS$19-257+1)/$NU$19,$NN$19/$NT$19)),0)</f>
        <v/>
      </c>
      <c r="JB19" s="228">
        <f>IF(AND(258&gt;=$NR$19,258&lt;=$NS$19),IF($NP$19="Single_Point",IF(258=$NR$19,$NN$19,0),IF($NP$19="Bell_Curve",$NN$19*(258-$NR$19+1)*($NS$19-258+1)/$NU$19,$NN$19/$NT$19)),0)</f>
        <v/>
      </c>
      <c r="JC19" s="228">
        <f>IF(AND(259&gt;=$NR$19,259&lt;=$NS$19),IF($NP$19="Single_Point",IF(259=$NR$19,$NN$19,0),IF($NP$19="Bell_Curve",$NN$19*(259-$NR$19+1)*($NS$19-259+1)/$NU$19,$NN$19/$NT$19)),0)</f>
        <v/>
      </c>
      <c r="JD19" s="228">
        <f>IF(AND(260&gt;=$NR$19,260&lt;=$NS$19),IF($NP$19="Single_Point",IF(260=$NR$19,$NN$19,0),IF($NP$19="Bell_Curve",$NN$19*(260-$NR$19+1)*($NS$19-260+1)/$NU$19,$NN$19/$NT$19)),0)</f>
        <v/>
      </c>
      <c r="JE19" s="228">
        <f>IF(AND(261&gt;=$NR$19,261&lt;=$NS$19),IF($NP$19="Single_Point",IF(261=$NR$19,$NN$19,0),IF($NP$19="Bell_Curve",$NN$19*(261-$NR$19+1)*($NS$19-261+1)/$NU$19,$NN$19/$NT$19)),0)</f>
        <v/>
      </c>
      <c r="JF19" s="228">
        <f>IF(AND(262&gt;=$NR$19,262&lt;=$NS$19),IF($NP$19="Single_Point",IF(262=$NR$19,$NN$19,0),IF($NP$19="Bell_Curve",$NN$19*(262-$NR$19+1)*($NS$19-262+1)/$NU$19,$NN$19/$NT$19)),0)</f>
        <v/>
      </c>
      <c r="JG19" s="228">
        <f>IF(AND(263&gt;=$NR$19,263&lt;=$NS$19),IF($NP$19="Single_Point",IF(263=$NR$19,$NN$19,0),IF($NP$19="Bell_Curve",$NN$19*(263-$NR$19+1)*($NS$19-263+1)/$NU$19,$NN$19/$NT$19)),0)</f>
        <v/>
      </c>
      <c r="JH19" s="228">
        <f>IF(AND(264&gt;=$NR$19,264&lt;=$NS$19),IF($NP$19="Single_Point",IF(264=$NR$19,$NN$19,0),IF($NP$19="Bell_Curve",$NN$19*(264-$NR$19+1)*($NS$19-264+1)/$NU$19,$NN$19/$NT$19)),0)</f>
        <v/>
      </c>
      <c r="JI19" s="228">
        <f>IF(AND(265&gt;=$NR$19,265&lt;=$NS$19),IF($NP$19="Single_Point",IF(265=$NR$19,$NN$19,0),IF($NP$19="Bell_Curve",$NN$19*(265-$NR$19+1)*($NS$19-265+1)/$NU$19,$NN$19/$NT$19)),0)</f>
        <v/>
      </c>
      <c r="JJ19" s="228">
        <f>IF(AND(266&gt;=$NR$19,266&lt;=$NS$19),IF($NP$19="Single_Point",IF(266=$NR$19,$NN$19,0),IF($NP$19="Bell_Curve",$NN$19*(266-$NR$19+1)*($NS$19-266+1)/$NU$19,$NN$19/$NT$19)),0)</f>
        <v/>
      </c>
      <c r="JK19" s="228">
        <f>IF(AND(267&gt;=$NR$19,267&lt;=$NS$19),IF($NP$19="Single_Point",IF(267=$NR$19,$NN$19,0),IF($NP$19="Bell_Curve",$NN$19*(267-$NR$19+1)*($NS$19-267+1)/$NU$19,$NN$19/$NT$19)),0)</f>
        <v/>
      </c>
      <c r="JL19" s="228">
        <f>IF(AND(268&gt;=$NR$19,268&lt;=$NS$19),IF($NP$19="Single_Point",IF(268=$NR$19,$NN$19,0),IF($NP$19="Bell_Curve",$NN$19*(268-$NR$19+1)*($NS$19-268+1)/$NU$19,$NN$19/$NT$19)),0)</f>
        <v/>
      </c>
      <c r="JM19" s="228">
        <f>IF(AND(269&gt;=$NR$19,269&lt;=$NS$19),IF($NP$19="Single_Point",IF(269=$NR$19,$NN$19,0),IF($NP$19="Bell_Curve",$NN$19*(269-$NR$19+1)*($NS$19-269+1)/$NU$19,$NN$19/$NT$19)),0)</f>
        <v/>
      </c>
      <c r="JN19" s="228">
        <f>IF(AND(270&gt;=$NR$19,270&lt;=$NS$19),IF($NP$19="Single_Point",IF(270=$NR$19,$NN$19,0),IF($NP$19="Bell_Curve",$NN$19*(270-$NR$19+1)*($NS$19-270+1)/$NU$19,$NN$19/$NT$19)),0)</f>
        <v/>
      </c>
      <c r="JO19" s="228">
        <f>IF(AND(271&gt;=$NR$19,271&lt;=$NS$19),IF($NP$19="Single_Point",IF(271=$NR$19,$NN$19,0),IF($NP$19="Bell_Curve",$NN$19*(271-$NR$19+1)*($NS$19-271+1)/$NU$19,$NN$19/$NT$19)),0)</f>
        <v/>
      </c>
      <c r="JP19" s="228">
        <f>IF(AND(272&gt;=$NR$19,272&lt;=$NS$19),IF($NP$19="Single_Point",IF(272=$NR$19,$NN$19,0),IF($NP$19="Bell_Curve",$NN$19*(272-$NR$19+1)*($NS$19-272+1)/$NU$19,$NN$19/$NT$19)),0)</f>
        <v/>
      </c>
      <c r="JQ19" s="228">
        <f>IF(AND(273&gt;=$NR$19,273&lt;=$NS$19),IF($NP$19="Single_Point",IF(273=$NR$19,$NN$19,0),IF($NP$19="Bell_Curve",$NN$19*(273-$NR$19+1)*($NS$19-273+1)/$NU$19,$NN$19/$NT$19)),0)</f>
        <v/>
      </c>
      <c r="JR19" s="228">
        <f>IF(AND(274&gt;=$NR$19,274&lt;=$NS$19),IF($NP$19="Single_Point",IF(274=$NR$19,$NN$19,0),IF($NP$19="Bell_Curve",$NN$19*(274-$NR$19+1)*($NS$19-274+1)/$NU$19,$NN$19/$NT$19)),0)</f>
        <v/>
      </c>
      <c r="JS19" s="228">
        <f>IF(AND(275&gt;=$NR$19,275&lt;=$NS$19),IF($NP$19="Single_Point",IF(275=$NR$19,$NN$19,0),IF($NP$19="Bell_Curve",$NN$19*(275-$NR$19+1)*($NS$19-275+1)/$NU$19,$NN$19/$NT$19)),0)</f>
        <v/>
      </c>
      <c r="JT19" s="228">
        <f>IF(AND(276&gt;=$NR$19,276&lt;=$NS$19),IF($NP$19="Single_Point",IF(276=$NR$19,$NN$19,0),IF($NP$19="Bell_Curve",$NN$19*(276-$NR$19+1)*($NS$19-276+1)/$NU$19,$NN$19/$NT$19)),0)</f>
        <v/>
      </c>
      <c r="JU19" s="228">
        <f>IF(AND(277&gt;=$NR$19,277&lt;=$NS$19),IF($NP$19="Single_Point",IF(277=$NR$19,$NN$19,0),IF($NP$19="Bell_Curve",$NN$19*(277-$NR$19+1)*($NS$19-277+1)/$NU$19,$NN$19/$NT$19)),0)</f>
        <v/>
      </c>
      <c r="JV19" s="228">
        <f>IF(AND(278&gt;=$NR$19,278&lt;=$NS$19),IF($NP$19="Single_Point",IF(278=$NR$19,$NN$19,0),IF($NP$19="Bell_Curve",$NN$19*(278-$NR$19+1)*($NS$19-278+1)/$NU$19,$NN$19/$NT$19)),0)</f>
        <v/>
      </c>
      <c r="JW19" s="228">
        <f>IF(AND(279&gt;=$NR$19,279&lt;=$NS$19),IF($NP$19="Single_Point",IF(279=$NR$19,$NN$19,0),IF($NP$19="Bell_Curve",$NN$19*(279-$NR$19+1)*($NS$19-279+1)/$NU$19,$NN$19/$NT$19)),0)</f>
        <v/>
      </c>
      <c r="JX19" s="228">
        <f>IF(AND(280&gt;=$NR$19,280&lt;=$NS$19),IF($NP$19="Single_Point",IF(280=$NR$19,$NN$19,0),IF($NP$19="Bell_Curve",$NN$19*(280-$NR$19+1)*($NS$19-280+1)/$NU$19,$NN$19/$NT$19)),0)</f>
        <v/>
      </c>
      <c r="JY19" s="228">
        <f>IF(AND(281&gt;=$NR$19,281&lt;=$NS$19),IF($NP$19="Single_Point",IF(281=$NR$19,$NN$19,0),IF($NP$19="Bell_Curve",$NN$19*(281-$NR$19+1)*($NS$19-281+1)/$NU$19,$NN$19/$NT$19)),0)</f>
        <v/>
      </c>
      <c r="JZ19" s="228">
        <f>IF(AND(282&gt;=$NR$19,282&lt;=$NS$19),IF($NP$19="Single_Point",IF(282=$NR$19,$NN$19,0),IF($NP$19="Bell_Curve",$NN$19*(282-$NR$19+1)*($NS$19-282+1)/$NU$19,$NN$19/$NT$19)),0)</f>
        <v/>
      </c>
      <c r="KA19" s="228">
        <f>IF(AND(283&gt;=$NR$19,283&lt;=$NS$19),IF($NP$19="Single_Point",IF(283=$NR$19,$NN$19,0),IF($NP$19="Bell_Curve",$NN$19*(283-$NR$19+1)*($NS$19-283+1)/$NU$19,$NN$19/$NT$19)),0)</f>
        <v/>
      </c>
      <c r="KB19" s="228">
        <f>IF(AND(284&gt;=$NR$19,284&lt;=$NS$19),IF($NP$19="Single_Point",IF(284=$NR$19,$NN$19,0),IF($NP$19="Bell_Curve",$NN$19*(284-$NR$19+1)*($NS$19-284+1)/$NU$19,$NN$19/$NT$19)),0)</f>
        <v/>
      </c>
      <c r="KC19" s="228">
        <f>IF(AND(285&gt;=$NR$19,285&lt;=$NS$19),IF($NP$19="Single_Point",IF(285=$NR$19,$NN$19,0),IF($NP$19="Bell_Curve",$NN$19*(285-$NR$19+1)*($NS$19-285+1)/$NU$19,$NN$19/$NT$19)),0)</f>
        <v/>
      </c>
      <c r="KD19" s="228">
        <f>IF(AND(286&gt;=$NR$19,286&lt;=$NS$19),IF($NP$19="Single_Point",IF(286=$NR$19,$NN$19,0),IF($NP$19="Bell_Curve",$NN$19*(286-$NR$19+1)*($NS$19-286+1)/$NU$19,$NN$19/$NT$19)),0)</f>
        <v/>
      </c>
      <c r="KE19" s="228">
        <f>IF(AND(287&gt;=$NR$19,287&lt;=$NS$19),IF($NP$19="Single_Point",IF(287=$NR$19,$NN$19,0),IF($NP$19="Bell_Curve",$NN$19*(287-$NR$19+1)*($NS$19-287+1)/$NU$19,$NN$19/$NT$19)),0)</f>
        <v/>
      </c>
      <c r="KF19" s="228">
        <f>IF(AND(288&gt;=$NR$19,288&lt;=$NS$19),IF($NP$19="Single_Point",IF(288=$NR$19,$NN$19,0),IF($NP$19="Bell_Curve",$NN$19*(288-$NR$19+1)*($NS$19-288+1)/$NU$19,$NN$19/$NT$19)),0)</f>
        <v/>
      </c>
      <c r="KG19" s="228">
        <f>IF(AND(289&gt;=$NR$19,289&lt;=$NS$19),IF($NP$19="Single_Point",IF(289=$NR$19,$NN$19,0),IF($NP$19="Bell_Curve",$NN$19*(289-$NR$19+1)*($NS$19-289+1)/$NU$19,$NN$19/$NT$19)),0)</f>
        <v/>
      </c>
      <c r="KH19" s="228">
        <f>IF(AND(290&gt;=$NR$19,290&lt;=$NS$19),IF($NP$19="Single_Point",IF(290=$NR$19,$NN$19,0),IF($NP$19="Bell_Curve",$NN$19*(290-$NR$19+1)*($NS$19-290+1)/$NU$19,$NN$19/$NT$19)),0)</f>
        <v/>
      </c>
      <c r="KI19" s="228">
        <f>IF(AND(291&gt;=$NR$19,291&lt;=$NS$19),IF($NP$19="Single_Point",IF(291=$NR$19,$NN$19,0),IF($NP$19="Bell_Curve",$NN$19*(291-$NR$19+1)*($NS$19-291+1)/$NU$19,$NN$19/$NT$19)),0)</f>
        <v/>
      </c>
      <c r="KJ19" s="228">
        <f>IF(AND(292&gt;=$NR$19,292&lt;=$NS$19),IF($NP$19="Single_Point",IF(292=$NR$19,$NN$19,0),IF($NP$19="Bell_Curve",$NN$19*(292-$NR$19+1)*($NS$19-292+1)/$NU$19,$NN$19/$NT$19)),0)</f>
        <v/>
      </c>
      <c r="KK19" s="228">
        <f>IF(AND(293&gt;=$NR$19,293&lt;=$NS$19),IF($NP$19="Single_Point",IF(293=$NR$19,$NN$19,0),IF($NP$19="Bell_Curve",$NN$19*(293-$NR$19+1)*($NS$19-293+1)/$NU$19,$NN$19/$NT$19)),0)</f>
        <v/>
      </c>
      <c r="KL19" s="228">
        <f>IF(AND(294&gt;=$NR$19,294&lt;=$NS$19),IF($NP$19="Single_Point",IF(294=$NR$19,$NN$19,0),IF($NP$19="Bell_Curve",$NN$19*(294-$NR$19+1)*($NS$19-294+1)/$NU$19,$NN$19/$NT$19)),0)</f>
        <v/>
      </c>
      <c r="KM19" s="228">
        <f>IF(AND(295&gt;=$NR$19,295&lt;=$NS$19),IF($NP$19="Single_Point",IF(295=$NR$19,$NN$19,0),IF($NP$19="Bell_Curve",$NN$19*(295-$NR$19+1)*($NS$19-295+1)/$NU$19,$NN$19/$NT$19)),0)</f>
        <v/>
      </c>
      <c r="KN19" s="228">
        <f>IF(AND(296&gt;=$NR$19,296&lt;=$NS$19),IF($NP$19="Single_Point",IF(296=$NR$19,$NN$19,0),IF($NP$19="Bell_Curve",$NN$19*(296-$NR$19+1)*($NS$19-296+1)/$NU$19,$NN$19/$NT$19)),0)</f>
        <v/>
      </c>
      <c r="KO19" s="228">
        <f>IF(AND(297&gt;=$NR$19,297&lt;=$NS$19),IF($NP$19="Single_Point",IF(297=$NR$19,$NN$19,0),IF($NP$19="Bell_Curve",$NN$19*(297-$NR$19+1)*($NS$19-297+1)/$NU$19,$NN$19/$NT$19)),0)</f>
        <v/>
      </c>
      <c r="KP19" s="228">
        <f>IF(AND(298&gt;=$NR$19,298&lt;=$NS$19),IF($NP$19="Single_Point",IF(298=$NR$19,$NN$19,0),IF($NP$19="Bell_Curve",$NN$19*(298-$NR$19+1)*($NS$19-298+1)/$NU$19,$NN$19/$NT$19)),0)</f>
        <v/>
      </c>
      <c r="KQ19" s="228">
        <f>IF(AND(299&gt;=$NR$19,299&lt;=$NS$19),IF($NP$19="Single_Point",IF(299=$NR$19,$NN$19,0),IF($NP$19="Bell_Curve",$NN$19*(299-$NR$19+1)*($NS$19-299+1)/$NU$19,$NN$19/$NT$19)),0)</f>
        <v/>
      </c>
      <c r="KR19" s="228">
        <f>IF(AND(300&gt;=$NR$19,300&lt;=$NS$19),IF($NP$19="Single_Point",IF(300=$NR$19,$NN$19,0),IF($NP$19="Bell_Curve",$NN$19*(300-$NR$19+1)*($NS$19-300+1)/$NU$19,$NN$19/$NT$19)),0)</f>
        <v/>
      </c>
      <c r="KS19" s="228">
        <f>IF(AND(301&gt;=$NR$19,301&lt;=$NS$19),IF($NP$19="Single_Point",IF(301=$NR$19,$NN$19,0),IF($NP$19="Bell_Curve",$NN$19*(301-$NR$19+1)*($NS$19-301+1)/$NU$19,$NN$19/$NT$19)),0)</f>
        <v/>
      </c>
      <c r="KT19" s="228">
        <f>IF(AND(302&gt;=$NR$19,302&lt;=$NS$19),IF($NP$19="Single_Point",IF(302=$NR$19,$NN$19,0),IF($NP$19="Bell_Curve",$NN$19*(302-$NR$19+1)*($NS$19-302+1)/$NU$19,$NN$19/$NT$19)),0)</f>
        <v/>
      </c>
      <c r="KU19" s="228">
        <f>IF(AND(303&gt;=$NR$19,303&lt;=$NS$19),IF($NP$19="Single_Point",IF(303=$NR$19,$NN$19,0),IF($NP$19="Bell_Curve",$NN$19*(303-$NR$19+1)*($NS$19-303+1)/$NU$19,$NN$19/$NT$19)),0)</f>
        <v/>
      </c>
      <c r="KV19" s="228">
        <f>IF(AND(304&gt;=$NR$19,304&lt;=$NS$19),IF($NP$19="Single_Point",IF(304=$NR$19,$NN$19,0),IF($NP$19="Bell_Curve",$NN$19*(304-$NR$19+1)*($NS$19-304+1)/$NU$19,$NN$19/$NT$19)),0)</f>
        <v/>
      </c>
      <c r="KW19" s="228">
        <f>IF(AND(305&gt;=$NR$19,305&lt;=$NS$19),IF($NP$19="Single_Point",IF(305=$NR$19,$NN$19,0),IF($NP$19="Bell_Curve",$NN$19*(305-$NR$19+1)*($NS$19-305+1)/$NU$19,$NN$19/$NT$19)),0)</f>
        <v/>
      </c>
      <c r="KX19" s="228">
        <f>IF(AND(306&gt;=$NR$19,306&lt;=$NS$19),IF($NP$19="Single_Point",IF(306=$NR$19,$NN$19,0),IF($NP$19="Bell_Curve",$NN$19*(306-$NR$19+1)*($NS$19-306+1)/$NU$19,$NN$19/$NT$19)),0)</f>
        <v/>
      </c>
      <c r="KY19" s="228">
        <f>IF(AND(307&gt;=$NR$19,307&lt;=$NS$19),IF($NP$19="Single_Point",IF(307=$NR$19,$NN$19,0),IF($NP$19="Bell_Curve",$NN$19*(307-$NR$19+1)*($NS$19-307+1)/$NU$19,$NN$19/$NT$19)),0)</f>
        <v/>
      </c>
      <c r="KZ19" s="228">
        <f>IF(AND(308&gt;=$NR$19,308&lt;=$NS$19),IF($NP$19="Single_Point",IF(308=$NR$19,$NN$19,0),IF($NP$19="Bell_Curve",$NN$19*(308-$NR$19+1)*($NS$19-308+1)/$NU$19,$NN$19/$NT$19)),0)</f>
        <v/>
      </c>
      <c r="LA19" s="228">
        <f>IF(AND(309&gt;=$NR$19,309&lt;=$NS$19),IF($NP$19="Single_Point",IF(309=$NR$19,$NN$19,0),IF($NP$19="Bell_Curve",$NN$19*(309-$NR$19+1)*($NS$19-309+1)/$NU$19,$NN$19/$NT$19)),0)</f>
        <v/>
      </c>
      <c r="LB19" s="228">
        <f>IF(AND(310&gt;=$NR$19,310&lt;=$NS$19),IF($NP$19="Single_Point",IF(310=$NR$19,$NN$19,0),IF($NP$19="Bell_Curve",$NN$19*(310-$NR$19+1)*($NS$19-310+1)/$NU$19,$NN$19/$NT$19)),0)</f>
        <v/>
      </c>
      <c r="LC19" s="228">
        <f>IF(AND(311&gt;=$NR$19,311&lt;=$NS$19),IF($NP$19="Single_Point",IF(311=$NR$19,$NN$19,0),IF($NP$19="Bell_Curve",$NN$19*(311-$NR$19+1)*($NS$19-311+1)/$NU$19,$NN$19/$NT$19)),0)</f>
        <v/>
      </c>
      <c r="LD19" s="228">
        <f>IF(AND(312&gt;=$NR$19,312&lt;=$NS$19),IF($NP$19="Single_Point",IF(312=$NR$19,$NN$19,0),IF($NP$19="Bell_Curve",$NN$19*(312-$NR$19+1)*($NS$19-312+1)/$NU$19,$NN$19/$NT$19)),0)</f>
        <v/>
      </c>
      <c r="LE19" s="228">
        <f>IF(AND(313&gt;=$NR$19,313&lt;=$NS$19),IF($NP$19="Single_Point",IF(313=$NR$19,$NN$19,0),IF($NP$19="Bell_Curve",$NN$19*(313-$NR$19+1)*($NS$19-313+1)/$NU$19,$NN$19/$NT$19)),0)</f>
        <v/>
      </c>
      <c r="LF19" s="228">
        <f>IF(AND(314&gt;=$NR$19,314&lt;=$NS$19),IF($NP$19="Single_Point",IF(314=$NR$19,$NN$19,0),IF($NP$19="Bell_Curve",$NN$19*(314-$NR$19+1)*($NS$19-314+1)/$NU$19,$NN$19/$NT$19)),0)</f>
        <v/>
      </c>
      <c r="LG19" s="228">
        <f>IF(AND(315&gt;=$NR$19,315&lt;=$NS$19),IF($NP$19="Single_Point",IF(315=$NR$19,$NN$19,0),IF($NP$19="Bell_Curve",$NN$19*(315-$NR$19+1)*($NS$19-315+1)/$NU$19,$NN$19/$NT$19)),0)</f>
        <v/>
      </c>
      <c r="LH19" s="228">
        <f>IF(AND(316&gt;=$NR$19,316&lt;=$NS$19),IF($NP$19="Single_Point",IF(316=$NR$19,$NN$19,0),IF($NP$19="Bell_Curve",$NN$19*(316-$NR$19+1)*($NS$19-316+1)/$NU$19,$NN$19/$NT$19)),0)</f>
        <v/>
      </c>
      <c r="LI19" s="228">
        <f>IF(AND(317&gt;=$NR$19,317&lt;=$NS$19),IF($NP$19="Single_Point",IF(317=$NR$19,$NN$19,0),IF($NP$19="Bell_Curve",$NN$19*(317-$NR$19+1)*($NS$19-317+1)/$NU$19,$NN$19/$NT$19)),0)</f>
        <v/>
      </c>
      <c r="LJ19" s="228">
        <f>IF(AND(318&gt;=$NR$19,318&lt;=$NS$19),IF($NP$19="Single_Point",IF(318=$NR$19,$NN$19,0),IF($NP$19="Bell_Curve",$NN$19*(318-$NR$19+1)*($NS$19-318+1)/$NU$19,$NN$19/$NT$19)),0)</f>
        <v/>
      </c>
      <c r="LK19" s="228">
        <f>IF(AND(319&gt;=$NR$19,319&lt;=$NS$19),IF($NP$19="Single_Point",IF(319=$NR$19,$NN$19,0),IF($NP$19="Bell_Curve",$NN$19*(319-$NR$19+1)*($NS$19-319+1)/$NU$19,$NN$19/$NT$19)),0)</f>
        <v/>
      </c>
      <c r="LL19" s="228">
        <f>IF(AND(320&gt;=$NR$19,320&lt;=$NS$19),IF($NP$19="Single_Point",IF(320=$NR$19,$NN$19,0),IF($NP$19="Bell_Curve",$NN$19*(320-$NR$19+1)*($NS$19-320+1)/$NU$19,$NN$19/$NT$19)),0)</f>
        <v/>
      </c>
      <c r="LM19" s="228">
        <f>IF(AND(321&gt;=$NR$19,321&lt;=$NS$19),IF($NP$19="Single_Point",IF(321=$NR$19,$NN$19,0),IF($NP$19="Bell_Curve",$NN$19*(321-$NR$19+1)*($NS$19-321+1)/$NU$19,$NN$19/$NT$19)),0)</f>
        <v/>
      </c>
      <c r="LN19" s="228">
        <f>IF(AND(322&gt;=$NR$19,322&lt;=$NS$19),IF($NP$19="Single_Point",IF(322=$NR$19,$NN$19,0),IF($NP$19="Bell_Curve",$NN$19*(322-$NR$19+1)*($NS$19-322+1)/$NU$19,$NN$19/$NT$19)),0)</f>
        <v/>
      </c>
      <c r="LO19" s="228">
        <f>IF(AND(323&gt;=$NR$19,323&lt;=$NS$19),IF($NP$19="Single_Point",IF(323=$NR$19,$NN$19,0),IF($NP$19="Bell_Curve",$NN$19*(323-$NR$19+1)*($NS$19-323+1)/$NU$19,$NN$19/$NT$19)),0)</f>
        <v/>
      </c>
      <c r="LP19" s="228">
        <f>IF(AND(324&gt;=$NR$19,324&lt;=$NS$19),IF($NP$19="Single_Point",IF(324=$NR$19,$NN$19,0),IF($NP$19="Bell_Curve",$NN$19*(324-$NR$19+1)*($NS$19-324+1)/$NU$19,$NN$19/$NT$19)),0)</f>
        <v/>
      </c>
      <c r="LQ19" s="228">
        <f>IF(AND(325&gt;=$NR$19,325&lt;=$NS$19),IF($NP$19="Single_Point",IF(325=$NR$19,$NN$19,0),IF($NP$19="Bell_Curve",$NN$19*(325-$NR$19+1)*($NS$19-325+1)/$NU$19,$NN$19/$NT$19)),0)</f>
        <v/>
      </c>
      <c r="LR19" s="228">
        <f>IF(AND(326&gt;=$NR$19,326&lt;=$NS$19),IF($NP$19="Single_Point",IF(326=$NR$19,$NN$19,0),IF($NP$19="Bell_Curve",$NN$19*(326-$NR$19+1)*($NS$19-326+1)/$NU$19,$NN$19/$NT$19)),0)</f>
        <v/>
      </c>
      <c r="LS19" s="228">
        <f>IF(AND(327&gt;=$NR$19,327&lt;=$NS$19),IF($NP$19="Single_Point",IF(327=$NR$19,$NN$19,0),IF($NP$19="Bell_Curve",$NN$19*(327-$NR$19+1)*($NS$19-327+1)/$NU$19,$NN$19/$NT$19)),0)</f>
        <v/>
      </c>
      <c r="LT19" s="228">
        <f>IF(AND(328&gt;=$NR$19,328&lt;=$NS$19),IF($NP$19="Single_Point",IF(328=$NR$19,$NN$19,0),IF($NP$19="Bell_Curve",$NN$19*(328-$NR$19+1)*($NS$19-328+1)/$NU$19,$NN$19/$NT$19)),0)</f>
        <v/>
      </c>
      <c r="LU19" s="228">
        <f>IF(AND(329&gt;=$NR$19,329&lt;=$NS$19),IF($NP$19="Single_Point",IF(329=$NR$19,$NN$19,0),IF($NP$19="Bell_Curve",$NN$19*(329-$NR$19+1)*($NS$19-329+1)/$NU$19,$NN$19/$NT$19)),0)</f>
        <v/>
      </c>
      <c r="LV19" s="228">
        <f>IF(AND(330&gt;=$NR$19,330&lt;=$NS$19),IF($NP$19="Single_Point",IF(330=$NR$19,$NN$19,0),IF($NP$19="Bell_Curve",$NN$19*(330-$NR$19+1)*($NS$19-330+1)/$NU$19,$NN$19/$NT$19)),0)</f>
        <v/>
      </c>
      <c r="LW19" s="228">
        <f>IF(AND(331&gt;=$NR$19,331&lt;=$NS$19),IF($NP$19="Single_Point",IF(331=$NR$19,$NN$19,0),IF($NP$19="Bell_Curve",$NN$19*(331-$NR$19+1)*($NS$19-331+1)/$NU$19,$NN$19/$NT$19)),0)</f>
        <v/>
      </c>
      <c r="LX19" s="228">
        <f>IF(AND(332&gt;=$NR$19,332&lt;=$NS$19),IF($NP$19="Single_Point",IF(332=$NR$19,$NN$19,0),IF($NP$19="Bell_Curve",$NN$19*(332-$NR$19+1)*($NS$19-332+1)/$NU$19,$NN$19/$NT$19)),0)</f>
        <v/>
      </c>
      <c r="LY19" s="228">
        <f>IF(AND(333&gt;=$NR$19,333&lt;=$NS$19),IF($NP$19="Single_Point",IF(333=$NR$19,$NN$19,0),IF($NP$19="Bell_Curve",$NN$19*(333-$NR$19+1)*($NS$19-333+1)/$NU$19,$NN$19/$NT$19)),0)</f>
        <v/>
      </c>
      <c r="LZ19" s="228">
        <f>IF(AND(334&gt;=$NR$19,334&lt;=$NS$19),IF($NP$19="Single_Point",IF(334=$NR$19,$NN$19,0),IF($NP$19="Bell_Curve",$NN$19*(334-$NR$19+1)*($NS$19-334+1)/$NU$19,$NN$19/$NT$19)),0)</f>
        <v/>
      </c>
      <c r="MA19" s="228">
        <f>IF(AND(335&gt;=$NR$19,335&lt;=$NS$19),IF($NP$19="Single_Point",IF(335=$NR$19,$NN$19,0),IF($NP$19="Bell_Curve",$NN$19*(335-$NR$19+1)*($NS$19-335+1)/$NU$19,$NN$19/$NT$19)),0)</f>
        <v/>
      </c>
      <c r="MB19" s="228">
        <f>IF(AND(336&gt;=$NR$19,336&lt;=$NS$19),IF($NP$19="Single_Point",IF(336=$NR$19,$NN$19,0),IF($NP$19="Bell_Curve",$NN$19*(336-$NR$19+1)*($NS$19-336+1)/$NU$19,$NN$19/$NT$19)),0)</f>
        <v/>
      </c>
      <c r="MC19" s="228">
        <f>IF(AND(337&gt;=$NR$19,337&lt;=$NS$19),IF($NP$19="Single_Point",IF(337=$NR$19,$NN$19,0),IF($NP$19="Bell_Curve",$NN$19*(337-$NR$19+1)*($NS$19-337+1)/$NU$19,$NN$19/$NT$19)),0)</f>
        <v/>
      </c>
      <c r="MD19" s="228">
        <f>IF(AND(338&gt;=$NR$19,338&lt;=$NS$19),IF($NP$19="Single_Point",IF(338=$NR$19,$NN$19,0),IF($NP$19="Bell_Curve",$NN$19*(338-$NR$19+1)*($NS$19-338+1)/$NU$19,$NN$19/$NT$19)),0)</f>
        <v/>
      </c>
      <c r="ME19" s="228">
        <f>IF(AND(339&gt;=$NR$19,339&lt;=$NS$19),IF($NP$19="Single_Point",IF(339=$NR$19,$NN$19,0),IF($NP$19="Bell_Curve",$NN$19*(339-$NR$19+1)*($NS$19-339+1)/$NU$19,$NN$19/$NT$19)),0)</f>
        <v/>
      </c>
      <c r="MF19" s="228">
        <f>IF(AND(340&gt;=$NR$19,340&lt;=$NS$19),IF($NP$19="Single_Point",IF(340=$NR$19,$NN$19,0),IF($NP$19="Bell_Curve",$NN$19*(340-$NR$19+1)*($NS$19-340+1)/$NU$19,$NN$19/$NT$19)),0)</f>
        <v/>
      </c>
      <c r="MG19" s="228">
        <f>IF(AND(341&gt;=$NR$19,341&lt;=$NS$19),IF($NP$19="Single_Point",IF(341=$NR$19,$NN$19,0),IF($NP$19="Bell_Curve",$NN$19*(341-$NR$19+1)*($NS$19-341+1)/$NU$19,$NN$19/$NT$19)),0)</f>
        <v/>
      </c>
      <c r="MH19" s="228">
        <f>IF(AND(342&gt;=$NR$19,342&lt;=$NS$19),IF($NP$19="Single_Point",IF(342=$NR$19,$NN$19,0),IF($NP$19="Bell_Curve",$NN$19*(342-$NR$19+1)*($NS$19-342+1)/$NU$19,$NN$19/$NT$19)),0)</f>
        <v/>
      </c>
      <c r="MI19" s="228">
        <f>IF(AND(343&gt;=$NR$19,343&lt;=$NS$19),IF($NP$19="Single_Point",IF(343=$NR$19,$NN$19,0),IF($NP$19="Bell_Curve",$NN$19*(343-$NR$19+1)*($NS$19-343+1)/$NU$19,$NN$19/$NT$19)),0)</f>
        <v/>
      </c>
      <c r="MJ19" s="228">
        <f>IF(AND(344&gt;=$NR$19,344&lt;=$NS$19),IF($NP$19="Single_Point",IF(344=$NR$19,$NN$19,0),IF($NP$19="Bell_Curve",$NN$19*(344-$NR$19+1)*($NS$19-344+1)/$NU$19,$NN$19/$NT$19)),0)</f>
        <v/>
      </c>
      <c r="MK19" s="228">
        <f>IF(AND(345&gt;=$NR$19,345&lt;=$NS$19),IF($NP$19="Single_Point",IF(345=$NR$19,$NN$19,0),IF($NP$19="Bell_Curve",$NN$19*(345-$NR$19+1)*($NS$19-345+1)/$NU$19,$NN$19/$NT$19)),0)</f>
        <v/>
      </c>
      <c r="ML19" s="228">
        <f>IF(AND(346&gt;=$NR$19,346&lt;=$NS$19),IF($NP$19="Single_Point",IF(346=$NR$19,$NN$19,0),IF($NP$19="Bell_Curve",$NN$19*(346-$NR$19+1)*($NS$19-346+1)/$NU$19,$NN$19/$NT$19)),0)</f>
        <v/>
      </c>
      <c r="MM19" s="228">
        <f>IF(AND(347&gt;=$NR$19,347&lt;=$NS$19),IF($NP$19="Single_Point",IF(347=$NR$19,$NN$19,0),IF($NP$19="Bell_Curve",$NN$19*(347-$NR$19+1)*($NS$19-347+1)/$NU$19,$NN$19/$NT$19)),0)</f>
        <v/>
      </c>
      <c r="MN19" s="228">
        <f>IF(AND(348&gt;=$NR$19,348&lt;=$NS$19),IF($NP$19="Single_Point",IF(348=$NR$19,$NN$19,0),IF($NP$19="Bell_Curve",$NN$19*(348-$NR$19+1)*($NS$19-348+1)/$NU$19,$NN$19/$NT$19)),0)</f>
        <v/>
      </c>
      <c r="MO19" s="228">
        <f>IF(AND(349&gt;=$NR$19,349&lt;=$NS$19),IF($NP$19="Single_Point",IF(349=$NR$19,$NN$19,0),IF($NP$19="Bell_Curve",$NN$19*(349-$NR$19+1)*($NS$19-349+1)/$NU$19,$NN$19/$NT$19)),0)</f>
        <v/>
      </c>
      <c r="MP19" s="228">
        <f>IF(AND(350&gt;=$NR$19,350&lt;=$NS$19),IF($NP$19="Single_Point",IF(350=$NR$19,$NN$19,0),IF($NP$19="Bell_Curve",$NN$19*(350-$NR$19+1)*($NS$19-350+1)/$NU$19,$NN$19/$NT$19)),0)</f>
        <v/>
      </c>
      <c r="MQ19" s="228">
        <f>IF(AND(351&gt;=$NR$19,351&lt;=$NS$19),IF($NP$19="Single_Point",IF(351=$NR$19,$NN$19,0),IF($NP$19="Bell_Curve",$NN$19*(351-$NR$19+1)*($NS$19-351+1)/$NU$19,$NN$19/$NT$19)),0)</f>
        <v/>
      </c>
      <c r="MR19" s="228">
        <f>IF(AND(352&gt;=$NR$19,352&lt;=$NS$19),IF($NP$19="Single_Point",IF(352=$NR$19,$NN$19,0),IF($NP$19="Bell_Curve",$NN$19*(352-$NR$19+1)*($NS$19-352+1)/$NU$19,$NN$19/$NT$19)),0)</f>
        <v/>
      </c>
      <c r="MS19" s="228">
        <f>IF(AND(353&gt;=$NR$19,353&lt;=$NS$19),IF($NP$19="Single_Point",IF(353=$NR$19,$NN$19,0),IF($NP$19="Bell_Curve",$NN$19*(353-$NR$19+1)*($NS$19-353+1)/$NU$19,$NN$19/$NT$19)),0)</f>
        <v/>
      </c>
      <c r="MT19" s="228">
        <f>IF(AND(354&gt;=$NR$19,354&lt;=$NS$19),IF($NP$19="Single_Point",IF(354=$NR$19,$NN$19,0),IF($NP$19="Bell_Curve",$NN$19*(354-$NR$19+1)*($NS$19-354+1)/$NU$19,$NN$19/$NT$19)),0)</f>
        <v/>
      </c>
      <c r="MU19" s="228">
        <f>IF(AND(355&gt;=$NR$19,355&lt;=$NS$19),IF($NP$19="Single_Point",IF(355=$NR$19,$NN$19,0),IF($NP$19="Bell_Curve",$NN$19*(355-$NR$19+1)*($NS$19-355+1)/$NU$19,$NN$19/$NT$19)),0)</f>
        <v/>
      </c>
      <c r="MV19" s="228">
        <f>IF(AND(356&gt;=$NR$19,356&lt;=$NS$19),IF($NP$19="Single_Point",IF(356=$NR$19,$NN$19,0),IF($NP$19="Bell_Curve",$NN$19*(356-$NR$19+1)*($NS$19-356+1)/$NU$19,$NN$19/$NT$19)),0)</f>
        <v/>
      </c>
      <c r="MW19" s="228">
        <f>IF(AND(357&gt;=$NR$19,357&lt;=$NS$19),IF($NP$19="Single_Point",IF(357=$NR$19,$NN$19,0),IF($NP$19="Bell_Curve",$NN$19*(357-$NR$19+1)*($NS$19-357+1)/$NU$19,$NN$19/$NT$19)),0)</f>
        <v/>
      </c>
      <c r="MX19" s="228">
        <f>IF(AND(358&gt;=$NR$19,358&lt;=$NS$19),IF($NP$19="Single_Point",IF(358=$NR$19,$NN$19,0),IF($NP$19="Bell_Curve",$NN$19*(358-$NR$19+1)*($NS$19-358+1)/$NU$19,$NN$19/$NT$19)),0)</f>
        <v/>
      </c>
      <c r="MY19" s="228">
        <f>IF(AND(359&gt;=$NR$19,359&lt;=$NS$19),IF($NP$19="Single_Point",IF(359=$NR$19,$NN$19,0),IF($NP$19="Bell_Curve",$NN$19*(359-$NR$19+1)*($NS$19-359+1)/$NU$19,$NN$19/$NT$19)),0)</f>
        <v/>
      </c>
      <c r="MZ19" s="228">
        <f>IF(AND(360&gt;=$NR$19,360&lt;=$NS$19),IF($NP$19="Single_Point",IF(360=$NR$19,$NN$19,0),IF($NP$19="Bell_Curve",$NN$19*(360-$NR$19+1)*($NS$19-360+1)/$NU$19,$NN$19/$NT$19)),0)</f>
        <v/>
      </c>
      <c r="NA19" s="228">
        <f>IF(AND(361&gt;=$NR$19,361&lt;=$NS$19),IF($NP$19="Single_Point",IF(361=$NR$19,$NN$19,0),IF($NP$19="Bell_Curve",$NN$19*(361-$NR$19+1)*($NS$19-361+1)/$NU$19,$NN$19/$NT$19)),0)</f>
        <v/>
      </c>
      <c r="NB19" s="228">
        <f>IF(AND(362&gt;=$NR$19,362&lt;=$NS$19),IF($NP$19="Single_Point",IF(362=$NR$19,$NN$19,0),IF($NP$19="Bell_Curve",$NN$19*(362-$NR$19+1)*($NS$19-362+1)/$NU$19,$NN$19/$NT$19)),0)</f>
        <v/>
      </c>
      <c r="NC19" s="228">
        <f>IF(AND(363&gt;=$NR$19,363&lt;=$NS$19),IF($NP$19="Single_Point",IF(363=$NR$19,$NN$19,0),IF($NP$19="Bell_Curve",$NN$19*(363-$NR$19+1)*($NS$19-363+1)/$NU$19,$NN$19/$NT$19)),0)</f>
        <v/>
      </c>
      <c r="ND19" s="228">
        <f>IF(AND(364&gt;=$NR$19,364&lt;=$NS$19),IF($NP$19="Single_Point",IF(364=$NR$19,$NN$19,0),IF($NP$19="Bell_Curve",$NN$19*(364-$NR$19+1)*($NS$19-364+1)/$NU$19,$NN$19/$NT$19)),0)</f>
        <v/>
      </c>
      <c r="NE19" s="228">
        <f>IF(AND(365&gt;=$NR$19,365&lt;=$NS$19),IF($NP$19="Single_Point",IF(365=$NR$19,$NN$19,0),IF($NP$19="Bell_Curve",$NN$19*(365-$NR$19+1)*($NS$19-365+1)/$NU$19,$NN$19/$NT$19)),0)</f>
        <v/>
      </c>
      <c r="NF19" s="228">
        <f>IF(AND(366&gt;=$NR$19,366&lt;=$NS$19),IF($NP$19="Single_Point",IF(366=$NR$19,$NN$19,0),IF($NP$19="Bell_Curve",$NN$19*(366-$NR$19+1)*($NS$19-366+1)/$NU$19,$NN$19/$NT$19)),0)</f>
        <v/>
      </c>
      <c r="NG19" s="228">
        <f>IF(AND(367&gt;=$NR$19,367&lt;=$NS$19),IF($NP$19="Single_Point",IF(367=$NR$19,$NN$19,0),IF($NP$19="Bell_Curve",$NN$19*(367-$NR$19+1)*($NS$19-367+1)/$NU$19,$NN$19/$NT$19)),0)</f>
        <v/>
      </c>
      <c r="NH19" s="228">
        <f>IF(AND(368&gt;=$NR$19,368&lt;=$NS$19),IF($NP$19="Single_Point",IF(368=$NR$19,$NN$19,0),IF($NP$19="Bell_Curve",$NN$19*(368-$NR$19+1)*($NS$19-368+1)/$NU$19,$NN$19/$NT$19)),0)</f>
        <v/>
      </c>
      <c r="NI19" s="228">
        <f>IF(AND(369&gt;=$NR$19,369&lt;=$NS$19),IF($NP$19="Single_Point",IF(369=$NR$19,$NN$19,0),IF($NP$19="Bell_Curve",$NN$19*(369-$NR$19+1)*($NS$19-369+1)/$NU$19,$NN$19/$NT$19)),0)</f>
        <v/>
      </c>
      <c r="NJ19" s="228">
        <f>IF(AND(370&gt;=$NR$19,370&lt;=$NS$19),IF($NP$19="Single_Point",IF(370=$NR$19,$NN$19,0),IF($NP$19="Bell_Curve",$NN$19*(370-$NR$19+1)*($NS$19-370+1)/$NU$19,$NN$19/$NT$19)),0)</f>
        <v/>
      </c>
      <c r="NK19" s="228">
        <f>IF(AND(371&gt;=$NR$19,371&lt;=$NS$19),IF($NP$19="Single_Point",IF(371=$NR$19,$NN$19,0),IF($NP$19="Bell_Curve",$NN$19*(371-$NR$19+1)*($NS$19-371+1)/$NU$19,$NN$19/$NT$19)),0)</f>
        <v/>
      </c>
      <c r="NL19" s="247">
        <f>IF(AND(372&gt;=$NR$19,372&lt;=$NS$19),IF($NP$19="Single_Point",IF(372=$NR$19,$NN$19,0),IF($NP$19="Bell_Curve",$NN$19*(372-$NR$19+1)*($NS$19-372+1)/$NU$19,$NN$19/$NT$19)),0)</f>
        <v/>
      </c>
      <c r="NN19" s="218">
        <f>Budget!J18</f>
        <v/>
      </c>
      <c r="NO19" s="144">
        <f>Budget!G18</f>
        <v/>
      </c>
      <c r="NP19" s="144">
        <f>Budget!H18</f>
        <v/>
      </c>
      <c r="NQ19" s="85">
        <f>Budget!I18</f>
        <v/>
      </c>
      <c r="NR19" s="248">
        <f>MAX(1,MIN(372,INDEX(MilestoneStart,MATCH(NO19,MilestoneNames,0))+NQ19))</f>
        <v/>
      </c>
      <c r="NS19" s="248">
        <f>MAX(NR19,MIN(372,INDEX(MilestoneEnd,MATCH(NO19,MilestoneNames,0))+NQ19))</f>
        <v/>
      </c>
      <c r="NT19" s="85">
        <f>NS19-NR19+1</f>
        <v/>
      </c>
      <c r="NU19" s="85">
        <f>NT19*(NT19+1)*(NT19+2)/6</f>
        <v/>
      </c>
    </row>
    <row r="20">
      <c r="B20" s="36" t="inlineStr">
        <is>
          <t>GC Fee</t>
        </is>
      </c>
      <c r="D20" s="246">
        <f>SUM(E20:NL20)</f>
        <v/>
      </c>
      <c r="E20" s="228">
        <f>IF(AND(1&gt;=$NR$20,1&lt;=$NS$20),IF($NP$20="Single_Point",IF(1=$NR$20,$NN$20,0),IF($NP$20="Bell_Curve",$NN$20*(1-$NR$20+1)*($NS$20-1+1)/$NU$20,$NN$20/$NT$20)),0)</f>
        <v/>
      </c>
      <c r="F20" s="228">
        <f>IF(AND(2&gt;=$NR$20,2&lt;=$NS$20),IF($NP$20="Single_Point",IF(2=$NR$20,$NN$20,0),IF($NP$20="Bell_Curve",$NN$20*(2-$NR$20+1)*($NS$20-2+1)/$NU$20,$NN$20/$NT$20)),0)</f>
        <v/>
      </c>
      <c r="G20" s="228">
        <f>IF(AND(3&gt;=$NR$20,3&lt;=$NS$20),IF($NP$20="Single_Point",IF(3=$NR$20,$NN$20,0),IF($NP$20="Bell_Curve",$NN$20*(3-$NR$20+1)*($NS$20-3+1)/$NU$20,$NN$20/$NT$20)),0)</f>
        <v/>
      </c>
      <c r="H20" s="228">
        <f>IF(AND(4&gt;=$NR$20,4&lt;=$NS$20),IF($NP$20="Single_Point",IF(4=$NR$20,$NN$20,0),IF($NP$20="Bell_Curve",$NN$20*(4-$NR$20+1)*($NS$20-4+1)/$NU$20,$NN$20/$NT$20)),0)</f>
        <v/>
      </c>
      <c r="I20" s="228">
        <f>IF(AND(5&gt;=$NR$20,5&lt;=$NS$20),IF($NP$20="Single_Point",IF(5=$NR$20,$NN$20,0),IF($NP$20="Bell_Curve",$NN$20*(5-$NR$20+1)*($NS$20-5+1)/$NU$20,$NN$20/$NT$20)),0)</f>
        <v/>
      </c>
      <c r="J20" s="228">
        <f>IF(AND(6&gt;=$NR$20,6&lt;=$NS$20),IF($NP$20="Single_Point",IF(6=$NR$20,$NN$20,0),IF($NP$20="Bell_Curve",$NN$20*(6-$NR$20+1)*($NS$20-6+1)/$NU$20,$NN$20/$NT$20)),0)</f>
        <v/>
      </c>
      <c r="K20" s="228">
        <f>IF(AND(7&gt;=$NR$20,7&lt;=$NS$20),IF($NP$20="Single_Point",IF(7=$NR$20,$NN$20,0),IF($NP$20="Bell_Curve",$NN$20*(7-$NR$20+1)*($NS$20-7+1)/$NU$20,$NN$20/$NT$20)),0)</f>
        <v/>
      </c>
      <c r="L20" s="228">
        <f>IF(AND(8&gt;=$NR$20,8&lt;=$NS$20),IF($NP$20="Single_Point",IF(8=$NR$20,$NN$20,0),IF($NP$20="Bell_Curve",$NN$20*(8-$NR$20+1)*($NS$20-8+1)/$NU$20,$NN$20/$NT$20)),0)</f>
        <v/>
      </c>
      <c r="M20" s="228">
        <f>IF(AND(9&gt;=$NR$20,9&lt;=$NS$20),IF($NP$20="Single_Point",IF(9=$NR$20,$NN$20,0),IF($NP$20="Bell_Curve",$NN$20*(9-$NR$20+1)*($NS$20-9+1)/$NU$20,$NN$20/$NT$20)),0)</f>
        <v/>
      </c>
      <c r="N20" s="228">
        <f>IF(AND(10&gt;=$NR$20,10&lt;=$NS$20),IF($NP$20="Single_Point",IF(10=$NR$20,$NN$20,0),IF($NP$20="Bell_Curve",$NN$20*(10-$NR$20+1)*($NS$20-10+1)/$NU$20,$NN$20/$NT$20)),0)</f>
        <v/>
      </c>
      <c r="O20" s="228">
        <f>IF(AND(11&gt;=$NR$20,11&lt;=$NS$20),IF($NP$20="Single_Point",IF(11=$NR$20,$NN$20,0),IF($NP$20="Bell_Curve",$NN$20*(11-$NR$20+1)*($NS$20-11+1)/$NU$20,$NN$20/$NT$20)),0)</f>
        <v/>
      </c>
      <c r="P20" s="228">
        <f>IF(AND(12&gt;=$NR$20,12&lt;=$NS$20),IF($NP$20="Single_Point",IF(12=$NR$20,$NN$20,0),IF($NP$20="Bell_Curve",$NN$20*(12-$NR$20+1)*($NS$20-12+1)/$NU$20,$NN$20/$NT$20)),0)</f>
        <v/>
      </c>
      <c r="Q20" s="228">
        <f>IF(AND(13&gt;=$NR$20,13&lt;=$NS$20),IF($NP$20="Single_Point",IF(13=$NR$20,$NN$20,0),IF($NP$20="Bell_Curve",$NN$20*(13-$NR$20+1)*($NS$20-13+1)/$NU$20,$NN$20/$NT$20)),0)</f>
        <v/>
      </c>
      <c r="R20" s="228">
        <f>IF(AND(14&gt;=$NR$20,14&lt;=$NS$20),IF($NP$20="Single_Point",IF(14=$NR$20,$NN$20,0),IF($NP$20="Bell_Curve",$NN$20*(14-$NR$20+1)*($NS$20-14+1)/$NU$20,$NN$20/$NT$20)),0)</f>
        <v/>
      </c>
      <c r="S20" s="228">
        <f>IF(AND(15&gt;=$NR$20,15&lt;=$NS$20),IF($NP$20="Single_Point",IF(15=$NR$20,$NN$20,0),IF($NP$20="Bell_Curve",$NN$20*(15-$NR$20+1)*($NS$20-15+1)/$NU$20,$NN$20/$NT$20)),0)</f>
        <v/>
      </c>
      <c r="T20" s="228">
        <f>IF(AND(16&gt;=$NR$20,16&lt;=$NS$20),IF($NP$20="Single_Point",IF(16=$NR$20,$NN$20,0),IF($NP$20="Bell_Curve",$NN$20*(16-$NR$20+1)*($NS$20-16+1)/$NU$20,$NN$20/$NT$20)),0)</f>
        <v/>
      </c>
      <c r="U20" s="228">
        <f>IF(AND(17&gt;=$NR$20,17&lt;=$NS$20),IF($NP$20="Single_Point",IF(17=$NR$20,$NN$20,0),IF($NP$20="Bell_Curve",$NN$20*(17-$NR$20+1)*($NS$20-17+1)/$NU$20,$NN$20/$NT$20)),0)</f>
        <v/>
      </c>
      <c r="V20" s="228">
        <f>IF(AND(18&gt;=$NR$20,18&lt;=$NS$20),IF($NP$20="Single_Point",IF(18=$NR$20,$NN$20,0),IF($NP$20="Bell_Curve",$NN$20*(18-$NR$20+1)*($NS$20-18+1)/$NU$20,$NN$20/$NT$20)),0)</f>
        <v/>
      </c>
      <c r="W20" s="228">
        <f>IF(AND(19&gt;=$NR$20,19&lt;=$NS$20),IF($NP$20="Single_Point",IF(19=$NR$20,$NN$20,0),IF($NP$20="Bell_Curve",$NN$20*(19-$NR$20+1)*($NS$20-19+1)/$NU$20,$NN$20/$NT$20)),0)</f>
        <v/>
      </c>
      <c r="X20" s="228">
        <f>IF(AND(20&gt;=$NR$20,20&lt;=$NS$20),IF($NP$20="Single_Point",IF(20=$NR$20,$NN$20,0),IF($NP$20="Bell_Curve",$NN$20*(20-$NR$20+1)*($NS$20-20+1)/$NU$20,$NN$20/$NT$20)),0)</f>
        <v/>
      </c>
      <c r="Y20" s="228">
        <f>IF(AND(21&gt;=$NR$20,21&lt;=$NS$20),IF($NP$20="Single_Point",IF(21=$NR$20,$NN$20,0),IF($NP$20="Bell_Curve",$NN$20*(21-$NR$20+1)*($NS$20-21+1)/$NU$20,$NN$20/$NT$20)),0)</f>
        <v/>
      </c>
      <c r="Z20" s="228">
        <f>IF(AND(22&gt;=$NR$20,22&lt;=$NS$20),IF($NP$20="Single_Point",IF(22=$NR$20,$NN$20,0),IF($NP$20="Bell_Curve",$NN$20*(22-$NR$20+1)*($NS$20-22+1)/$NU$20,$NN$20/$NT$20)),0)</f>
        <v/>
      </c>
      <c r="AA20" s="228">
        <f>IF(AND(23&gt;=$NR$20,23&lt;=$NS$20),IF($NP$20="Single_Point",IF(23=$NR$20,$NN$20,0),IF($NP$20="Bell_Curve",$NN$20*(23-$NR$20+1)*($NS$20-23+1)/$NU$20,$NN$20/$NT$20)),0)</f>
        <v/>
      </c>
      <c r="AB20" s="228">
        <f>IF(AND(24&gt;=$NR$20,24&lt;=$NS$20),IF($NP$20="Single_Point",IF(24=$NR$20,$NN$20,0),IF($NP$20="Bell_Curve",$NN$20*(24-$NR$20+1)*($NS$20-24+1)/$NU$20,$NN$20/$NT$20)),0)</f>
        <v/>
      </c>
      <c r="AC20" s="228">
        <f>IF(AND(25&gt;=$NR$20,25&lt;=$NS$20),IF($NP$20="Single_Point",IF(25=$NR$20,$NN$20,0),IF($NP$20="Bell_Curve",$NN$20*(25-$NR$20+1)*($NS$20-25+1)/$NU$20,$NN$20/$NT$20)),0)</f>
        <v/>
      </c>
      <c r="AD20" s="228">
        <f>IF(AND(26&gt;=$NR$20,26&lt;=$NS$20),IF($NP$20="Single_Point",IF(26=$NR$20,$NN$20,0),IF($NP$20="Bell_Curve",$NN$20*(26-$NR$20+1)*($NS$20-26+1)/$NU$20,$NN$20/$NT$20)),0)</f>
        <v/>
      </c>
      <c r="AE20" s="228">
        <f>IF(AND(27&gt;=$NR$20,27&lt;=$NS$20),IF($NP$20="Single_Point",IF(27=$NR$20,$NN$20,0),IF($NP$20="Bell_Curve",$NN$20*(27-$NR$20+1)*($NS$20-27+1)/$NU$20,$NN$20/$NT$20)),0)</f>
        <v/>
      </c>
      <c r="AF20" s="228">
        <f>IF(AND(28&gt;=$NR$20,28&lt;=$NS$20),IF($NP$20="Single_Point",IF(28=$NR$20,$NN$20,0),IF($NP$20="Bell_Curve",$NN$20*(28-$NR$20+1)*($NS$20-28+1)/$NU$20,$NN$20/$NT$20)),0)</f>
        <v/>
      </c>
      <c r="AG20" s="228">
        <f>IF(AND(29&gt;=$NR$20,29&lt;=$NS$20),IF($NP$20="Single_Point",IF(29=$NR$20,$NN$20,0),IF($NP$20="Bell_Curve",$NN$20*(29-$NR$20+1)*($NS$20-29+1)/$NU$20,$NN$20/$NT$20)),0)</f>
        <v/>
      </c>
      <c r="AH20" s="228">
        <f>IF(AND(30&gt;=$NR$20,30&lt;=$NS$20),IF($NP$20="Single_Point",IF(30=$NR$20,$NN$20,0),IF($NP$20="Bell_Curve",$NN$20*(30-$NR$20+1)*($NS$20-30+1)/$NU$20,$NN$20/$NT$20)),0)</f>
        <v/>
      </c>
      <c r="AI20" s="228">
        <f>IF(AND(31&gt;=$NR$20,31&lt;=$NS$20),IF($NP$20="Single_Point",IF(31=$NR$20,$NN$20,0),IF($NP$20="Bell_Curve",$NN$20*(31-$NR$20+1)*($NS$20-31+1)/$NU$20,$NN$20/$NT$20)),0)</f>
        <v/>
      </c>
      <c r="AJ20" s="228">
        <f>IF(AND(32&gt;=$NR$20,32&lt;=$NS$20),IF($NP$20="Single_Point",IF(32=$NR$20,$NN$20,0),IF($NP$20="Bell_Curve",$NN$20*(32-$NR$20+1)*($NS$20-32+1)/$NU$20,$NN$20/$NT$20)),0)</f>
        <v/>
      </c>
      <c r="AK20" s="228">
        <f>IF(AND(33&gt;=$NR$20,33&lt;=$NS$20),IF($NP$20="Single_Point",IF(33=$NR$20,$NN$20,0),IF($NP$20="Bell_Curve",$NN$20*(33-$NR$20+1)*($NS$20-33+1)/$NU$20,$NN$20/$NT$20)),0)</f>
        <v/>
      </c>
      <c r="AL20" s="228">
        <f>IF(AND(34&gt;=$NR$20,34&lt;=$NS$20),IF($NP$20="Single_Point",IF(34=$NR$20,$NN$20,0),IF($NP$20="Bell_Curve",$NN$20*(34-$NR$20+1)*($NS$20-34+1)/$NU$20,$NN$20/$NT$20)),0)</f>
        <v/>
      </c>
      <c r="AM20" s="228">
        <f>IF(AND(35&gt;=$NR$20,35&lt;=$NS$20),IF($NP$20="Single_Point",IF(35=$NR$20,$NN$20,0),IF($NP$20="Bell_Curve",$NN$20*(35-$NR$20+1)*($NS$20-35+1)/$NU$20,$NN$20/$NT$20)),0)</f>
        <v/>
      </c>
      <c r="AN20" s="228">
        <f>IF(AND(36&gt;=$NR$20,36&lt;=$NS$20),IF($NP$20="Single_Point",IF(36=$NR$20,$NN$20,0),IF($NP$20="Bell_Curve",$NN$20*(36-$NR$20+1)*($NS$20-36+1)/$NU$20,$NN$20/$NT$20)),0)</f>
        <v/>
      </c>
      <c r="AO20" s="228">
        <f>IF(AND(37&gt;=$NR$20,37&lt;=$NS$20),IF($NP$20="Single_Point",IF(37=$NR$20,$NN$20,0),IF($NP$20="Bell_Curve",$NN$20*(37-$NR$20+1)*($NS$20-37+1)/$NU$20,$NN$20/$NT$20)),0)</f>
        <v/>
      </c>
      <c r="AP20" s="228">
        <f>IF(AND(38&gt;=$NR$20,38&lt;=$NS$20),IF($NP$20="Single_Point",IF(38=$NR$20,$NN$20,0),IF($NP$20="Bell_Curve",$NN$20*(38-$NR$20+1)*($NS$20-38+1)/$NU$20,$NN$20/$NT$20)),0)</f>
        <v/>
      </c>
      <c r="AQ20" s="228">
        <f>IF(AND(39&gt;=$NR$20,39&lt;=$NS$20),IF($NP$20="Single_Point",IF(39=$NR$20,$NN$20,0),IF($NP$20="Bell_Curve",$NN$20*(39-$NR$20+1)*($NS$20-39+1)/$NU$20,$NN$20/$NT$20)),0)</f>
        <v/>
      </c>
      <c r="AR20" s="228">
        <f>IF(AND(40&gt;=$NR$20,40&lt;=$NS$20),IF($NP$20="Single_Point",IF(40=$NR$20,$NN$20,0),IF($NP$20="Bell_Curve",$NN$20*(40-$NR$20+1)*($NS$20-40+1)/$NU$20,$NN$20/$NT$20)),0)</f>
        <v/>
      </c>
      <c r="AS20" s="228">
        <f>IF(AND(41&gt;=$NR$20,41&lt;=$NS$20),IF($NP$20="Single_Point",IF(41=$NR$20,$NN$20,0),IF($NP$20="Bell_Curve",$NN$20*(41-$NR$20+1)*($NS$20-41+1)/$NU$20,$NN$20/$NT$20)),0)</f>
        <v/>
      </c>
      <c r="AT20" s="228">
        <f>IF(AND(42&gt;=$NR$20,42&lt;=$NS$20),IF($NP$20="Single_Point",IF(42=$NR$20,$NN$20,0),IF($NP$20="Bell_Curve",$NN$20*(42-$NR$20+1)*($NS$20-42+1)/$NU$20,$NN$20/$NT$20)),0)</f>
        <v/>
      </c>
      <c r="AU20" s="228">
        <f>IF(AND(43&gt;=$NR$20,43&lt;=$NS$20),IF($NP$20="Single_Point",IF(43=$NR$20,$NN$20,0),IF($NP$20="Bell_Curve",$NN$20*(43-$NR$20+1)*($NS$20-43+1)/$NU$20,$NN$20/$NT$20)),0)</f>
        <v/>
      </c>
      <c r="AV20" s="228">
        <f>IF(AND(44&gt;=$NR$20,44&lt;=$NS$20),IF($NP$20="Single_Point",IF(44=$NR$20,$NN$20,0),IF($NP$20="Bell_Curve",$NN$20*(44-$NR$20+1)*($NS$20-44+1)/$NU$20,$NN$20/$NT$20)),0)</f>
        <v/>
      </c>
      <c r="AW20" s="228">
        <f>IF(AND(45&gt;=$NR$20,45&lt;=$NS$20),IF($NP$20="Single_Point",IF(45=$NR$20,$NN$20,0),IF($NP$20="Bell_Curve",$NN$20*(45-$NR$20+1)*($NS$20-45+1)/$NU$20,$NN$20/$NT$20)),0)</f>
        <v/>
      </c>
      <c r="AX20" s="228">
        <f>IF(AND(46&gt;=$NR$20,46&lt;=$NS$20),IF($NP$20="Single_Point",IF(46=$NR$20,$NN$20,0),IF($NP$20="Bell_Curve",$NN$20*(46-$NR$20+1)*($NS$20-46+1)/$NU$20,$NN$20/$NT$20)),0)</f>
        <v/>
      </c>
      <c r="AY20" s="228">
        <f>IF(AND(47&gt;=$NR$20,47&lt;=$NS$20),IF($NP$20="Single_Point",IF(47=$NR$20,$NN$20,0),IF($NP$20="Bell_Curve",$NN$20*(47-$NR$20+1)*($NS$20-47+1)/$NU$20,$NN$20/$NT$20)),0)</f>
        <v/>
      </c>
      <c r="AZ20" s="228">
        <f>IF(AND(48&gt;=$NR$20,48&lt;=$NS$20),IF($NP$20="Single_Point",IF(48=$NR$20,$NN$20,0),IF($NP$20="Bell_Curve",$NN$20*(48-$NR$20+1)*($NS$20-48+1)/$NU$20,$NN$20/$NT$20)),0)</f>
        <v/>
      </c>
      <c r="BA20" s="228">
        <f>IF(AND(49&gt;=$NR$20,49&lt;=$NS$20),IF($NP$20="Single_Point",IF(49=$NR$20,$NN$20,0),IF($NP$20="Bell_Curve",$NN$20*(49-$NR$20+1)*($NS$20-49+1)/$NU$20,$NN$20/$NT$20)),0)</f>
        <v/>
      </c>
      <c r="BB20" s="228">
        <f>IF(AND(50&gt;=$NR$20,50&lt;=$NS$20),IF($NP$20="Single_Point",IF(50=$NR$20,$NN$20,0),IF($NP$20="Bell_Curve",$NN$20*(50-$NR$20+1)*($NS$20-50+1)/$NU$20,$NN$20/$NT$20)),0)</f>
        <v/>
      </c>
      <c r="BC20" s="228">
        <f>IF(AND(51&gt;=$NR$20,51&lt;=$NS$20),IF($NP$20="Single_Point",IF(51=$NR$20,$NN$20,0),IF($NP$20="Bell_Curve",$NN$20*(51-$NR$20+1)*($NS$20-51+1)/$NU$20,$NN$20/$NT$20)),0)</f>
        <v/>
      </c>
      <c r="BD20" s="228">
        <f>IF(AND(52&gt;=$NR$20,52&lt;=$NS$20),IF($NP$20="Single_Point",IF(52=$NR$20,$NN$20,0),IF($NP$20="Bell_Curve",$NN$20*(52-$NR$20+1)*($NS$20-52+1)/$NU$20,$NN$20/$NT$20)),0)</f>
        <v/>
      </c>
      <c r="BE20" s="228">
        <f>IF(AND(53&gt;=$NR$20,53&lt;=$NS$20),IF($NP$20="Single_Point",IF(53=$NR$20,$NN$20,0),IF($NP$20="Bell_Curve",$NN$20*(53-$NR$20+1)*($NS$20-53+1)/$NU$20,$NN$20/$NT$20)),0)</f>
        <v/>
      </c>
      <c r="BF20" s="228">
        <f>IF(AND(54&gt;=$NR$20,54&lt;=$NS$20),IF($NP$20="Single_Point",IF(54=$NR$20,$NN$20,0),IF($NP$20="Bell_Curve",$NN$20*(54-$NR$20+1)*($NS$20-54+1)/$NU$20,$NN$20/$NT$20)),0)</f>
        <v/>
      </c>
      <c r="BG20" s="228">
        <f>IF(AND(55&gt;=$NR$20,55&lt;=$NS$20),IF($NP$20="Single_Point",IF(55=$NR$20,$NN$20,0),IF($NP$20="Bell_Curve",$NN$20*(55-$NR$20+1)*($NS$20-55+1)/$NU$20,$NN$20/$NT$20)),0)</f>
        <v/>
      </c>
      <c r="BH20" s="228">
        <f>IF(AND(56&gt;=$NR$20,56&lt;=$NS$20),IF($NP$20="Single_Point",IF(56=$NR$20,$NN$20,0),IF($NP$20="Bell_Curve",$NN$20*(56-$NR$20+1)*($NS$20-56+1)/$NU$20,$NN$20/$NT$20)),0)</f>
        <v/>
      </c>
      <c r="BI20" s="228">
        <f>IF(AND(57&gt;=$NR$20,57&lt;=$NS$20),IF($NP$20="Single_Point",IF(57=$NR$20,$NN$20,0),IF($NP$20="Bell_Curve",$NN$20*(57-$NR$20+1)*($NS$20-57+1)/$NU$20,$NN$20/$NT$20)),0)</f>
        <v/>
      </c>
      <c r="BJ20" s="228">
        <f>IF(AND(58&gt;=$NR$20,58&lt;=$NS$20),IF($NP$20="Single_Point",IF(58=$NR$20,$NN$20,0),IF($NP$20="Bell_Curve",$NN$20*(58-$NR$20+1)*($NS$20-58+1)/$NU$20,$NN$20/$NT$20)),0)</f>
        <v/>
      </c>
      <c r="BK20" s="228">
        <f>IF(AND(59&gt;=$NR$20,59&lt;=$NS$20),IF($NP$20="Single_Point",IF(59=$NR$20,$NN$20,0),IF($NP$20="Bell_Curve",$NN$20*(59-$NR$20+1)*($NS$20-59+1)/$NU$20,$NN$20/$NT$20)),0)</f>
        <v/>
      </c>
      <c r="BL20" s="228">
        <f>IF(AND(60&gt;=$NR$20,60&lt;=$NS$20),IF($NP$20="Single_Point",IF(60=$NR$20,$NN$20,0),IF($NP$20="Bell_Curve",$NN$20*(60-$NR$20+1)*($NS$20-60+1)/$NU$20,$NN$20/$NT$20)),0)</f>
        <v/>
      </c>
      <c r="BM20" s="228">
        <f>IF(AND(61&gt;=$NR$20,61&lt;=$NS$20),IF($NP$20="Single_Point",IF(61=$NR$20,$NN$20,0),IF($NP$20="Bell_Curve",$NN$20*(61-$NR$20+1)*($NS$20-61+1)/$NU$20,$NN$20/$NT$20)),0)</f>
        <v/>
      </c>
      <c r="BN20" s="228">
        <f>IF(AND(62&gt;=$NR$20,62&lt;=$NS$20),IF($NP$20="Single_Point",IF(62=$NR$20,$NN$20,0),IF($NP$20="Bell_Curve",$NN$20*(62-$NR$20+1)*($NS$20-62+1)/$NU$20,$NN$20/$NT$20)),0)</f>
        <v/>
      </c>
      <c r="BO20" s="228">
        <f>IF(AND(63&gt;=$NR$20,63&lt;=$NS$20),IF($NP$20="Single_Point",IF(63=$NR$20,$NN$20,0),IF($NP$20="Bell_Curve",$NN$20*(63-$NR$20+1)*($NS$20-63+1)/$NU$20,$NN$20/$NT$20)),0)</f>
        <v/>
      </c>
      <c r="BP20" s="228">
        <f>IF(AND(64&gt;=$NR$20,64&lt;=$NS$20),IF($NP$20="Single_Point",IF(64=$NR$20,$NN$20,0),IF($NP$20="Bell_Curve",$NN$20*(64-$NR$20+1)*($NS$20-64+1)/$NU$20,$NN$20/$NT$20)),0)</f>
        <v/>
      </c>
      <c r="BQ20" s="228">
        <f>IF(AND(65&gt;=$NR$20,65&lt;=$NS$20),IF($NP$20="Single_Point",IF(65=$NR$20,$NN$20,0),IF($NP$20="Bell_Curve",$NN$20*(65-$NR$20+1)*($NS$20-65+1)/$NU$20,$NN$20/$NT$20)),0)</f>
        <v/>
      </c>
      <c r="BR20" s="228">
        <f>IF(AND(66&gt;=$NR$20,66&lt;=$NS$20),IF($NP$20="Single_Point",IF(66=$NR$20,$NN$20,0),IF($NP$20="Bell_Curve",$NN$20*(66-$NR$20+1)*($NS$20-66+1)/$NU$20,$NN$20/$NT$20)),0)</f>
        <v/>
      </c>
      <c r="BS20" s="228">
        <f>IF(AND(67&gt;=$NR$20,67&lt;=$NS$20),IF($NP$20="Single_Point",IF(67=$NR$20,$NN$20,0),IF($NP$20="Bell_Curve",$NN$20*(67-$NR$20+1)*($NS$20-67+1)/$NU$20,$NN$20/$NT$20)),0)</f>
        <v/>
      </c>
      <c r="BT20" s="228">
        <f>IF(AND(68&gt;=$NR$20,68&lt;=$NS$20),IF($NP$20="Single_Point",IF(68=$NR$20,$NN$20,0),IF($NP$20="Bell_Curve",$NN$20*(68-$NR$20+1)*($NS$20-68+1)/$NU$20,$NN$20/$NT$20)),0)</f>
        <v/>
      </c>
      <c r="BU20" s="228">
        <f>IF(AND(69&gt;=$NR$20,69&lt;=$NS$20),IF($NP$20="Single_Point",IF(69=$NR$20,$NN$20,0),IF($NP$20="Bell_Curve",$NN$20*(69-$NR$20+1)*($NS$20-69+1)/$NU$20,$NN$20/$NT$20)),0)</f>
        <v/>
      </c>
      <c r="BV20" s="228">
        <f>IF(AND(70&gt;=$NR$20,70&lt;=$NS$20),IF($NP$20="Single_Point",IF(70=$NR$20,$NN$20,0),IF($NP$20="Bell_Curve",$NN$20*(70-$NR$20+1)*($NS$20-70+1)/$NU$20,$NN$20/$NT$20)),0)</f>
        <v/>
      </c>
      <c r="BW20" s="228">
        <f>IF(AND(71&gt;=$NR$20,71&lt;=$NS$20),IF($NP$20="Single_Point",IF(71=$NR$20,$NN$20,0),IF($NP$20="Bell_Curve",$NN$20*(71-$NR$20+1)*($NS$20-71+1)/$NU$20,$NN$20/$NT$20)),0)</f>
        <v/>
      </c>
      <c r="BX20" s="228">
        <f>IF(AND(72&gt;=$NR$20,72&lt;=$NS$20),IF($NP$20="Single_Point",IF(72=$NR$20,$NN$20,0),IF($NP$20="Bell_Curve",$NN$20*(72-$NR$20+1)*($NS$20-72+1)/$NU$20,$NN$20/$NT$20)),0)</f>
        <v/>
      </c>
      <c r="BY20" s="228">
        <f>IF(AND(73&gt;=$NR$20,73&lt;=$NS$20),IF($NP$20="Single_Point",IF(73=$NR$20,$NN$20,0),IF($NP$20="Bell_Curve",$NN$20*(73-$NR$20+1)*($NS$20-73+1)/$NU$20,$NN$20/$NT$20)),0)</f>
        <v/>
      </c>
      <c r="BZ20" s="228">
        <f>IF(AND(74&gt;=$NR$20,74&lt;=$NS$20),IF($NP$20="Single_Point",IF(74=$NR$20,$NN$20,0),IF($NP$20="Bell_Curve",$NN$20*(74-$NR$20+1)*($NS$20-74+1)/$NU$20,$NN$20/$NT$20)),0)</f>
        <v/>
      </c>
      <c r="CA20" s="228">
        <f>IF(AND(75&gt;=$NR$20,75&lt;=$NS$20),IF($NP$20="Single_Point",IF(75=$NR$20,$NN$20,0),IF($NP$20="Bell_Curve",$NN$20*(75-$NR$20+1)*($NS$20-75+1)/$NU$20,$NN$20/$NT$20)),0)</f>
        <v/>
      </c>
      <c r="CB20" s="228">
        <f>IF(AND(76&gt;=$NR$20,76&lt;=$NS$20),IF($NP$20="Single_Point",IF(76=$NR$20,$NN$20,0),IF($NP$20="Bell_Curve",$NN$20*(76-$NR$20+1)*($NS$20-76+1)/$NU$20,$NN$20/$NT$20)),0)</f>
        <v/>
      </c>
      <c r="CC20" s="228">
        <f>IF(AND(77&gt;=$NR$20,77&lt;=$NS$20),IF($NP$20="Single_Point",IF(77=$NR$20,$NN$20,0),IF($NP$20="Bell_Curve",$NN$20*(77-$NR$20+1)*($NS$20-77+1)/$NU$20,$NN$20/$NT$20)),0)</f>
        <v/>
      </c>
      <c r="CD20" s="228">
        <f>IF(AND(78&gt;=$NR$20,78&lt;=$NS$20),IF($NP$20="Single_Point",IF(78=$NR$20,$NN$20,0),IF($NP$20="Bell_Curve",$NN$20*(78-$NR$20+1)*($NS$20-78+1)/$NU$20,$NN$20/$NT$20)),0)</f>
        <v/>
      </c>
      <c r="CE20" s="228">
        <f>IF(AND(79&gt;=$NR$20,79&lt;=$NS$20),IF($NP$20="Single_Point",IF(79=$NR$20,$NN$20,0),IF($NP$20="Bell_Curve",$NN$20*(79-$NR$20+1)*($NS$20-79+1)/$NU$20,$NN$20/$NT$20)),0)</f>
        <v/>
      </c>
      <c r="CF20" s="228">
        <f>IF(AND(80&gt;=$NR$20,80&lt;=$NS$20),IF($NP$20="Single_Point",IF(80=$NR$20,$NN$20,0),IF($NP$20="Bell_Curve",$NN$20*(80-$NR$20+1)*($NS$20-80+1)/$NU$20,$NN$20/$NT$20)),0)</f>
        <v/>
      </c>
      <c r="CG20" s="228">
        <f>IF(AND(81&gt;=$NR$20,81&lt;=$NS$20),IF($NP$20="Single_Point",IF(81=$NR$20,$NN$20,0),IF($NP$20="Bell_Curve",$NN$20*(81-$NR$20+1)*($NS$20-81+1)/$NU$20,$NN$20/$NT$20)),0)</f>
        <v/>
      </c>
      <c r="CH20" s="228">
        <f>IF(AND(82&gt;=$NR$20,82&lt;=$NS$20),IF($NP$20="Single_Point",IF(82=$NR$20,$NN$20,0),IF($NP$20="Bell_Curve",$NN$20*(82-$NR$20+1)*($NS$20-82+1)/$NU$20,$NN$20/$NT$20)),0)</f>
        <v/>
      </c>
      <c r="CI20" s="228">
        <f>IF(AND(83&gt;=$NR$20,83&lt;=$NS$20),IF($NP$20="Single_Point",IF(83=$NR$20,$NN$20,0),IF($NP$20="Bell_Curve",$NN$20*(83-$NR$20+1)*($NS$20-83+1)/$NU$20,$NN$20/$NT$20)),0)</f>
        <v/>
      </c>
      <c r="CJ20" s="228">
        <f>IF(AND(84&gt;=$NR$20,84&lt;=$NS$20),IF($NP$20="Single_Point",IF(84=$NR$20,$NN$20,0),IF($NP$20="Bell_Curve",$NN$20*(84-$NR$20+1)*($NS$20-84+1)/$NU$20,$NN$20/$NT$20)),0)</f>
        <v/>
      </c>
      <c r="CK20" s="228">
        <f>IF(AND(85&gt;=$NR$20,85&lt;=$NS$20),IF($NP$20="Single_Point",IF(85=$NR$20,$NN$20,0),IF($NP$20="Bell_Curve",$NN$20*(85-$NR$20+1)*($NS$20-85+1)/$NU$20,$NN$20/$NT$20)),0)</f>
        <v/>
      </c>
      <c r="CL20" s="228">
        <f>IF(AND(86&gt;=$NR$20,86&lt;=$NS$20),IF($NP$20="Single_Point",IF(86=$NR$20,$NN$20,0),IF($NP$20="Bell_Curve",$NN$20*(86-$NR$20+1)*($NS$20-86+1)/$NU$20,$NN$20/$NT$20)),0)</f>
        <v/>
      </c>
      <c r="CM20" s="228">
        <f>IF(AND(87&gt;=$NR$20,87&lt;=$NS$20),IF($NP$20="Single_Point",IF(87=$NR$20,$NN$20,0),IF($NP$20="Bell_Curve",$NN$20*(87-$NR$20+1)*($NS$20-87+1)/$NU$20,$NN$20/$NT$20)),0)</f>
        <v/>
      </c>
      <c r="CN20" s="228">
        <f>IF(AND(88&gt;=$NR$20,88&lt;=$NS$20),IF($NP$20="Single_Point",IF(88=$NR$20,$NN$20,0),IF($NP$20="Bell_Curve",$NN$20*(88-$NR$20+1)*($NS$20-88+1)/$NU$20,$NN$20/$NT$20)),0)</f>
        <v/>
      </c>
      <c r="CO20" s="228">
        <f>IF(AND(89&gt;=$NR$20,89&lt;=$NS$20),IF($NP$20="Single_Point",IF(89=$NR$20,$NN$20,0),IF($NP$20="Bell_Curve",$NN$20*(89-$NR$20+1)*($NS$20-89+1)/$NU$20,$NN$20/$NT$20)),0)</f>
        <v/>
      </c>
      <c r="CP20" s="228">
        <f>IF(AND(90&gt;=$NR$20,90&lt;=$NS$20),IF($NP$20="Single_Point",IF(90=$NR$20,$NN$20,0),IF($NP$20="Bell_Curve",$NN$20*(90-$NR$20+1)*($NS$20-90+1)/$NU$20,$NN$20/$NT$20)),0)</f>
        <v/>
      </c>
      <c r="CQ20" s="228">
        <f>IF(AND(91&gt;=$NR$20,91&lt;=$NS$20),IF($NP$20="Single_Point",IF(91=$NR$20,$NN$20,0),IF($NP$20="Bell_Curve",$NN$20*(91-$NR$20+1)*($NS$20-91+1)/$NU$20,$NN$20/$NT$20)),0)</f>
        <v/>
      </c>
      <c r="CR20" s="228">
        <f>IF(AND(92&gt;=$NR$20,92&lt;=$NS$20),IF($NP$20="Single_Point",IF(92=$NR$20,$NN$20,0),IF($NP$20="Bell_Curve",$NN$20*(92-$NR$20+1)*($NS$20-92+1)/$NU$20,$NN$20/$NT$20)),0)</f>
        <v/>
      </c>
      <c r="CS20" s="228">
        <f>IF(AND(93&gt;=$NR$20,93&lt;=$NS$20),IF($NP$20="Single_Point",IF(93=$NR$20,$NN$20,0),IF($NP$20="Bell_Curve",$NN$20*(93-$NR$20+1)*($NS$20-93+1)/$NU$20,$NN$20/$NT$20)),0)</f>
        <v/>
      </c>
      <c r="CT20" s="228">
        <f>IF(AND(94&gt;=$NR$20,94&lt;=$NS$20),IF($NP$20="Single_Point",IF(94=$NR$20,$NN$20,0),IF($NP$20="Bell_Curve",$NN$20*(94-$NR$20+1)*($NS$20-94+1)/$NU$20,$NN$20/$NT$20)),0)</f>
        <v/>
      </c>
      <c r="CU20" s="228">
        <f>IF(AND(95&gt;=$NR$20,95&lt;=$NS$20),IF($NP$20="Single_Point",IF(95=$NR$20,$NN$20,0),IF($NP$20="Bell_Curve",$NN$20*(95-$NR$20+1)*($NS$20-95+1)/$NU$20,$NN$20/$NT$20)),0)</f>
        <v/>
      </c>
      <c r="CV20" s="228">
        <f>IF(AND(96&gt;=$NR$20,96&lt;=$NS$20),IF($NP$20="Single_Point",IF(96=$NR$20,$NN$20,0),IF($NP$20="Bell_Curve",$NN$20*(96-$NR$20+1)*($NS$20-96+1)/$NU$20,$NN$20/$NT$20)),0)</f>
        <v/>
      </c>
      <c r="CW20" s="228">
        <f>IF(AND(97&gt;=$NR$20,97&lt;=$NS$20),IF($NP$20="Single_Point",IF(97=$NR$20,$NN$20,0),IF($NP$20="Bell_Curve",$NN$20*(97-$NR$20+1)*($NS$20-97+1)/$NU$20,$NN$20/$NT$20)),0)</f>
        <v/>
      </c>
      <c r="CX20" s="228">
        <f>IF(AND(98&gt;=$NR$20,98&lt;=$NS$20),IF($NP$20="Single_Point",IF(98=$NR$20,$NN$20,0),IF($NP$20="Bell_Curve",$NN$20*(98-$NR$20+1)*($NS$20-98+1)/$NU$20,$NN$20/$NT$20)),0)</f>
        <v/>
      </c>
      <c r="CY20" s="228">
        <f>IF(AND(99&gt;=$NR$20,99&lt;=$NS$20),IF($NP$20="Single_Point",IF(99=$NR$20,$NN$20,0),IF($NP$20="Bell_Curve",$NN$20*(99-$NR$20+1)*($NS$20-99+1)/$NU$20,$NN$20/$NT$20)),0)</f>
        <v/>
      </c>
      <c r="CZ20" s="228">
        <f>IF(AND(100&gt;=$NR$20,100&lt;=$NS$20),IF($NP$20="Single_Point",IF(100=$NR$20,$NN$20,0),IF($NP$20="Bell_Curve",$NN$20*(100-$NR$20+1)*($NS$20-100+1)/$NU$20,$NN$20/$NT$20)),0)</f>
        <v/>
      </c>
      <c r="DA20" s="228">
        <f>IF(AND(101&gt;=$NR$20,101&lt;=$NS$20),IF($NP$20="Single_Point",IF(101=$NR$20,$NN$20,0),IF($NP$20="Bell_Curve",$NN$20*(101-$NR$20+1)*($NS$20-101+1)/$NU$20,$NN$20/$NT$20)),0)</f>
        <v/>
      </c>
      <c r="DB20" s="228">
        <f>IF(AND(102&gt;=$NR$20,102&lt;=$NS$20),IF($NP$20="Single_Point",IF(102=$NR$20,$NN$20,0),IF($NP$20="Bell_Curve",$NN$20*(102-$NR$20+1)*($NS$20-102+1)/$NU$20,$NN$20/$NT$20)),0)</f>
        <v/>
      </c>
      <c r="DC20" s="228">
        <f>IF(AND(103&gt;=$NR$20,103&lt;=$NS$20),IF($NP$20="Single_Point",IF(103=$NR$20,$NN$20,0),IF($NP$20="Bell_Curve",$NN$20*(103-$NR$20+1)*($NS$20-103+1)/$NU$20,$NN$20/$NT$20)),0)</f>
        <v/>
      </c>
      <c r="DD20" s="228">
        <f>IF(AND(104&gt;=$NR$20,104&lt;=$NS$20),IF($NP$20="Single_Point",IF(104=$NR$20,$NN$20,0),IF($NP$20="Bell_Curve",$NN$20*(104-$NR$20+1)*($NS$20-104+1)/$NU$20,$NN$20/$NT$20)),0)</f>
        <v/>
      </c>
      <c r="DE20" s="228">
        <f>IF(AND(105&gt;=$NR$20,105&lt;=$NS$20),IF($NP$20="Single_Point",IF(105=$NR$20,$NN$20,0),IF($NP$20="Bell_Curve",$NN$20*(105-$NR$20+1)*($NS$20-105+1)/$NU$20,$NN$20/$NT$20)),0)</f>
        <v/>
      </c>
      <c r="DF20" s="228">
        <f>IF(AND(106&gt;=$NR$20,106&lt;=$NS$20),IF($NP$20="Single_Point",IF(106=$NR$20,$NN$20,0),IF($NP$20="Bell_Curve",$NN$20*(106-$NR$20+1)*($NS$20-106+1)/$NU$20,$NN$20/$NT$20)),0)</f>
        <v/>
      </c>
      <c r="DG20" s="228">
        <f>IF(AND(107&gt;=$NR$20,107&lt;=$NS$20),IF($NP$20="Single_Point",IF(107=$NR$20,$NN$20,0),IF($NP$20="Bell_Curve",$NN$20*(107-$NR$20+1)*($NS$20-107+1)/$NU$20,$NN$20/$NT$20)),0)</f>
        <v/>
      </c>
      <c r="DH20" s="228">
        <f>IF(AND(108&gt;=$NR$20,108&lt;=$NS$20),IF($NP$20="Single_Point",IF(108=$NR$20,$NN$20,0),IF($NP$20="Bell_Curve",$NN$20*(108-$NR$20+1)*($NS$20-108+1)/$NU$20,$NN$20/$NT$20)),0)</f>
        <v/>
      </c>
      <c r="DI20" s="228">
        <f>IF(AND(109&gt;=$NR$20,109&lt;=$NS$20),IF($NP$20="Single_Point",IF(109=$NR$20,$NN$20,0),IF($NP$20="Bell_Curve",$NN$20*(109-$NR$20+1)*($NS$20-109+1)/$NU$20,$NN$20/$NT$20)),0)</f>
        <v/>
      </c>
      <c r="DJ20" s="228">
        <f>IF(AND(110&gt;=$NR$20,110&lt;=$NS$20),IF($NP$20="Single_Point",IF(110=$NR$20,$NN$20,0),IF($NP$20="Bell_Curve",$NN$20*(110-$NR$20+1)*($NS$20-110+1)/$NU$20,$NN$20/$NT$20)),0)</f>
        <v/>
      </c>
      <c r="DK20" s="228">
        <f>IF(AND(111&gt;=$NR$20,111&lt;=$NS$20),IF($NP$20="Single_Point",IF(111=$NR$20,$NN$20,0),IF($NP$20="Bell_Curve",$NN$20*(111-$NR$20+1)*($NS$20-111+1)/$NU$20,$NN$20/$NT$20)),0)</f>
        <v/>
      </c>
      <c r="DL20" s="228">
        <f>IF(AND(112&gt;=$NR$20,112&lt;=$NS$20),IF($NP$20="Single_Point",IF(112=$NR$20,$NN$20,0),IF($NP$20="Bell_Curve",$NN$20*(112-$NR$20+1)*($NS$20-112+1)/$NU$20,$NN$20/$NT$20)),0)</f>
        <v/>
      </c>
      <c r="DM20" s="228">
        <f>IF(AND(113&gt;=$NR$20,113&lt;=$NS$20),IF($NP$20="Single_Point",IF(113=$NR$20,$NN$20,0),IF($NP$20="Bell_Curve",$NN$20*(113-$NR$20+1)*($NS$20-113+1)/$NU$20,$NN$20/$NT$20)),0)</f>
        <v/>
      </c>
      <c r="DN20" s="228">
        <f>IF(AND(114&gt;=$NR$20,114&lt;=$NS$20),IF($NP$20="Single_Point",IF(114=$NR$20,$NN$20,0),IF($NP$20="Bell_Curve",$NN$20*(114-$NR$20+1)*($NS$20-114+1)/$NU$20,$NN$20/$NT$20)),0)</f>
        <v/>
      </c>
      <c r="DO20" s="228">
        <f>IF(AND(115&gt;=$NR$20,115&lt;=$NS$20),IF($NP$20="Single_Point",IF(115=$NR$20,$NN$20,0),IF($NP$20="Bell_Curve",$NN$20*(115-$NR$20+1)*($NS$20-115+1)/$NU$20,$NN$20/$NT$20)),0)</f>
        <v/>
      </c>
      <c r="DP20" s="228">
        <f>IF(AND(116&gt;=$NR$20,116&lt;=$NS$20),IF($NP$20="Single_Point",IF(116=$NR$20,$NN$20,0),IF($NP$20="Bell_Curve",$NN$20*(116-$NR$20+1)*($NS$20-116+1)/$NU$20,$NN$20/$NT$20)),0)</f>
        <v/>
      </c>
      <c r="DQ20" s="228">
        <f>IF(AND(117&gt;=$NR$20,117&lt;=$NS$20),IF($NP$20="Single_Point",IF(117=$NR$20,$NN$20,0),IF($NP$20="Bell_Curve",$NN$20*(117-$NR$20+1)*($NS$20-117+1)/$NU$20,$NN$20/$NT$20)),0)</f>
        <v/>
      </c>
      <c r="DR20" s="228">
        <f>IF(AND(118&gt;=$NR$20,118&lt;=$NS$20),IF($NP$20="Single_Point",IF(118=$NR$20,$NN$20,0),IF($NP$20="Bell_Curve",$NN$20*(118-$NR$20+1)*($NS$20-118+1)/$NU$20,$NN$20/$NT$20)),0)</f>
        <v/>
      </c>
      <c r="DS20" s="228">
        <f>IF(AND(119&gt;=$NR$20,119&lt;=$NS$20),IF($NP$20="Single_Point",IF(119=$NR$20,$NN$20,0),IF($NP$20="Bell_Curve",$NN$20*(119-$NR$20+1)*($NS$20-119+1)/$NU$20,$NN$20/$NT$20)),0)</f>
        <v/>
      </c>
      <c r="DT20" s="228">
        <f>IF(AND(120&gt;=$NR$20,120&lt;=$NS$20),IF($NP$20="Single_Point",IF(120=$NR$20,$NN$20,0),IF($NP$20="Bell_Curve",$NN$20*(120-$NR$20+1)*($NS$20-120+1)/$NU$20,$NN$20/$NT$20)),0)</f>
        <v/>
      </c>
      <c r="DU20" s="228">
        <f>IF(AND(121&gt;=$NR$20,121&lt;=$NS$20),IF($NP$20="Single_Point",IF(121=$NR$20,$NN$20,0),IF($NP$20="Bell_Curve",$NN$20*(121-$NR$20+1)*($NS$20-121+1)/$NU$20,$NN$20/$NT$20)),0)</f>
        <v/>
      </c>
      <c r="DV20" s="228">
        <f>IF(AND(122&gt;=$NR$20,122&lt;=$NS$20),IF($NP$20="Single_Point",IF(122=$NR$20,$NN$20,0),IF($NP$20="Bell_Curve",$NN$20*(122-$NR$20+1)*($NS$20-122+1)/$NU$20,$NN$20/$NT$20)),0)</f>
        <v/>
      </c>
      <c r="DW20" s="228">
        <f>IF(AND(123&gt;=$NR$20,123&lt;=$NS$20),IF($NP$20="Single_Point",IF(123=$NR$20,$NN$20,0),IF($NP$20="Bell_Curve",$NN$20*(123-$NR$20+1)*($NS$20-123+1)/$NU$20,$NN$20/$NT$20)),0)</f>
        <v/>
      </c>
      <c r="DX20" s="228">
        <f>IF(AND(124&gt;=$NR$20,124&lt;=$NS$20),IF($NP$20="Single_Point",IF(124=$NR$20,$NN$20,0),IF($NP$20="Bell_Curve",$NN$20*(124-$NR$20+1)*($NS$20-124+1)/$NU$20,$NN$20/$NT$20)),0)</f>
        <v/>
      </c>
      <c r="DY20" s="228">
        <f>IF(AND(125&gt;=$NR$20,125&lt;=$NS$20),IF($NP$20="Single_Point",IF(125=$NR$20,$NN$20,0),IF($NP$20="Bell_Curve",$NN$20*(125-$NR$20+1)*($NS$20-125+1)/$NU$20,$NN$20/$NT$20)),0)</f>
        <v/>
      </c>
      <c r="DZ20" s="228">
        <f>IF(AND(126&gt;=$NR$20,126&lt;=$NS$20),IF($NP$20="Single_Point",IF(126=$NR$20,$NN$20,0),IF($NP$20="Bell_Curve",$NN$20*(126-$NR$20+1)*($NS$20-126+1)/$NU$20,$NN$20/$NT$20)),0)</f>
        <v/>
      </c>
      <c r="EA20" s="228">
        <f>IF(AND(127&gt;=$NR$20,127&lt;=$NS$20),IF($NP$20="Single_Point",IF(127=$NR$20,$NN$20,0),IF($NP$20="Bell_Curve",$NN$20*(127-$NR$20+1)*($NS$20-127+1)/$NU$20,$NN$20/$NT$20)),0)</f>
        <v/>
      </c>
      <c r="EB20" s="228">
        <f>IF(AND(128&gt;=$NR$20,128&lt;=$NS$20),IF($NP$20="Single_Point",IF(128=$NR$20,$NN$20,0),IF($NP$20="Bell_Curve",$NN$20*(128-$NR$20+1)*($NS$20-128+1)/$NU$20,$NN$20/$NT$20)),0)</f>
        <v/>
      </c>
      <c r="EC20" s="228">
        <f>IF(AND(129&gt;=$NR$20,129&lt;=$NS$20),IF($NP$20="Single_Point",IF(129=$NR$20,$NN$20,0),IF($NP$20="Bell_Curve",$NN$20*(129-$NR$20+1)*($NS$20-129+1)/$NU$20,$NN$20/$NT$20)),0)</f>
        <v/>
      </c>
      <c r="ED20" s="228">
        <f>IF(AND(130&gt;=$NR$20,130&lt;=$NS$20),IF($NP$20="Single_Point",IF(130=$NR$20,$NN$20,0),IF($NP$20="Bell_Curve",$NN$20*(130-$NR$20+1)*($NS$20-130+1)/$NU$20,$NN$20/$NT$20)),0)</f>
        <v/>
      </c>
      <c r="EE20" s="228">
        <f>IF(AND(131&gt;=$NR$20,131&lt;=$NS$20),IF($NP$20="Single_Point",IF(131=$NR$20,$NN$20,0),IF($NP$20="Bell_Curve",$NN$20*(131-$NR$20+1)*($NS$20-131+1)/$NU$20,$NN$20/$NT$20)),0)</f>
        <v/>
      </c>
      <c r="EF20" s="228">
        <f>IF(AND(132&gt;=$NR$20,132&lt;=$NS$20),IF($NP$20="Single_Point",IF(132=$NR$20,$NN$20,0),IF($NP$20="Bell_Curve",$NN$20*(132-$NR$20+1)*($NS$20-132+1)/$NU$20,$NN$20/$NT$20)),0)</f>
        <v/>
      </c>
      <c r="EG20" s="228">
        <f>IF(AND(133&gt;=$NR$20,133&lt;=$NS$20),IF($NP$20="Single_Point",IF(133=$NR$20,$NN$20,0),IF($NP$20="Bell_Curve",$NN$20*(133-$NR$20+1)*($NS$20-133+1)/$NU$20,$NN$20/$NT$20)),0)</f>
        <v/>
      </c>
      <c r="EH20" s="228">
        <f>IF(AND(134&gt;=$NR$20,134&lt;=$NS$20),IF($NP$20="Single_Point",IF(134=$NR$20,$NN$20,0),IF($NP$20="Bell_Curve",$NN$20*(134-$NR$20+1)*($NS$20-134+1)/$NU$20,$NN$20/$NT$20)),0)</f>
        <v/>
      </c>
      <c r="EI20" s="228">
        <f>IF(AND(135&gt;=$NR$20,135&lt;=$NS$20),IF($NP$20="Single_Point",IF(135=$NR$20,$NN$20,0),IF($NP$20="Bell_Curve",$NN$20*(135-$NR$20+1)*($NS$20-135+1)/$NU$20,$NN$20/$NT$20)),0)</f>
        <v/>
      </c>
      <c r="EJ20" s="228">
        <f>IF(AND(136&gt;=$NR$20,136&lt;=$NS$20),IF($NP$20="Single_Point",IF(136=$NR$20,$NN$20,0),IF($NP$20="Bell_Curve",$NN$20*(136-$NR$20+1)*($NS$20-136+1)/$NU$20,$NN$20/$NT$20)),0)</f>
        <v/>
      </c>
      <c r="EK20" s="228">
        <f>IF(AND(137&gt;=$NR$20,137&lt;=$NS$20),IF($NP$20="Single_Point",IF(137=$NR$20,$NN$20,0),IF($NP$20="Bell_Curve",$NN$20*(137-$NR$20+1)*($NS$20-137+1)/$NU$20,$NN$20/$NT$20)),0)</f>
        <v/>
      </c>
      <c r="EL20" s="228">
        <f>IF(AND(138&gt;=$NR$20,138&lt;=$NS$20),IF($NP$20="Single_Point",IF(138=$NR$20,$NN$20,0),IF($NP$20="Bell_Curve",$NN$20*(138-$NR$20+1)*($NS$20-138+1)/$NU$20,$NN$20/$NT$20)),0)</f>
        <v/>
      </c>
      <c r="EM20" s="228">
        <f>IF(AND(139&gt;=$NR$20,139&lt;=$NS$20),IF($NP$20="Single_Point",IF(139=$NR$20,$NN$20,0),IF($NP$20="Bell_Curve",$NN$20*(139-$NR$20+1)*($NS$20-139+1)/$NU$20,$NN$20/$NT$20)),0)</f>
        <v/>
      </c>
      <c r="EN20" s="228">
        <f>IF(AND(140&gt;=$NR$20,140&lt;=$NS$20),IF($NP$20="Single_Point",IF(140=$NR$20,$NN$20,0),IF($NP$20="Bell_Curve",$NN$20*(140-$NR$20+1)*($NS$20-140+1)/$NU$20,$NN$20/$NT$20)),0)</f>
        <v/>
      </c>
      <c r="EO20" s="228">
        <f>IF(AND(141&gt;=$NR$20,141&lt;=$NS$20),IF($NP$20="Single_Point",IF(141=$NR$20,$NN$20,0),IF($NP$20="Bell_Curve",$NN$20*(141-$NR$20+1)*($NS$20-141+1)/$NU$20,$NN$20/$NT$20)),0)</f>
        <v/>
      </c>
      <c r="EP20" s="228">
        <f>IF(AND(142&gt;=$NR$20,142&lt;=$NS$20),IF($NP$20="Single_Point",IF(142=$NR$20,$NN$20,0),IF($NP$20="Bell_Curve",$NN$20*(142-$NR$20+1)*($NS$20-142+1)/$NU$20,$NN$20/$NT$20)),0)</f>
        <v/>
      </c>
      <c r="EQ20" s="228">
        <f>IF(AND(143&gt;=$NR$20,143&lt;=$NS$20),IF($NP$20="Single_Point",IF(143=$NR$20,$NN$20,0),IF($NP$20="Bell_Curve",$NN$20*(143-$NR$20+1)*($NS$20-143+1)/$NU$20,$NN$20/$NT$20)),0)</f>
        <v/>
      </c>
      <c r="ER20" s="228">
        <f>IF(AND(144&gt;=$NR$20,144&lt;=$NS$20),IF($NP$20="Single_Point",IF(144=$NR$20,$NN$20,0),IF($NP$20="Bell_Curve",$NN$20*(144-$NR$20+1)*($NS$20-144+1)/$NU$20,$NN$20/$NT$20)),0)</f>
        <v/>
      </c>
      <c r="ES20" s="228">
        <f>IF(AND(145&gt;=$NR$20,145&lt;=$NS$20),IF($NP$20="Single_Point",IF(145=$NR$20,$NN$20,0),IF($NP$20="Bell_Curve",$NN$20*(145-$NR$20+1)*($NS$20-145+1)/$NU$20,$NN$20/$NT$20)),0)</f>
        <v/>
      </c>
      <c r="ET20" s="228">
        <f>IF(AND(146&gt;=$NR$20,146&lt;=$NS$20),IF($NP$20="Single_Point",IF(146=$NR$20,$NN$20,0),IF($NP$20="Bell_Curve",$NN$20*(146-$NR$20+1)*($NS$20-146+1)/$NU$20,$NN$20/$NT$20)),0)</f>
        <v/>
      </c>
      <c r="EU20" s="228">
        <f>IF(AND(147&gt;=$NR$20,147&lt;=$NS$20),IF($NP$20="Single_Point",IF(147=$NR$20,$NN$20,0),IF($NP$20="Bell_Curve",$NN$20*(147-$NR$20+1)*($NS$20-147+1)/$NU$20,$NN$20/$NT$20)),0)</f>
        <v/>
      </c>
      <c r="EV20" s="228">
        <f>IF(AND(148&gt;=$NR$20,148&lt;=$NS$20),IF($NP$20="Single_Point",IF(148=$NR$20,$NN$20,0),IF($NP$20="Bell_Curve",$NN$20*(148-$NR$20+1)*($NS$20-148+1)/$NU$20,$NN$20/$NT$20)),0)</f>
        <v/>
      </c>
      <c r="EW20" s="228">
        <f>IF(AND(149&gt;=$NR$20,149&lt;=$NS$20),IF($NP$20="Single_Point",IF(149=$NR$20,$NN$20,0),IF($NP$20="Bell_Curve",$NN$20*(149-$NR$20+1)*($NS$20-149+1)/$NU$20,$NN$20/$NT$20)),0)</f>
        <v/>
      </c>
      <c r="EX20" s="228">
        <f>IF(AND(150&gt;=$NR$20,150&lt;=$NS$20),IF($NP$20="Single_Point",IF(150=$NR$20,$NN$20,0),IF($NP$20="Bell_Curve",$NN$20*(150-$NR$20+1)*($NS$20-150+1)/$NU$20,$NN$20/$NT$20)),0)</f>
        <v/>
      </c>
      <c r="EY20" s="228">
        <f>IF(AND(151&gt;=$NR$20,151&lt;=$NS$20),IF($NP$20="Single_Point",IF(151=$NR$20,$NN$20,0),IF($NP$20="Bell_Curve",$NN$20*(151-$NR$20+1)*($NS$20-151+1)/$NU$20,$NN$20/$NT$20)),0)</f>
        <v/>
      </c>
      <c r="EZ20" s="228">
        <f>IF(AND(152&gt;=$NR$20,152&lt;=$NS$20),IF($NP$20="Single_Point",IF(152=$NR$20,$NN$20,0),IF($NP$20="Bell_Curve",$NN$20*(152-$NR$20+1)*($NS$20-152+1)/$NU$20,$NN$20/$NT$20)),0)</f>
        <v/>
      </c>
      <c r="FA20" s="228">
        <f>IF(AND(153&gt;=$NR$20,153&lt;=$NS$20),IF($NP$20="Single_Point",IF(153=$NR$20,$NN$20,0),IF($NP$20="Bell_Curve",$NN$20*(153-$NR$20+1)*($NS$20-153+1)/$NU$20,$NN$20/$NT$20)),0)</f>
        <v/>
      </c>
      <c r="FB20" s="228">
        <f>IF(AND(154&gt;=$NR$20,154&lt;=$NS$20),IF($NP$20="Single_Point",IF(154=$NR$20,$NN$20,0),IF($NP$20="Bell_Curve",$NN$20*(154-$NR$20+1)*($NS$20-154+1)/$NU$20,$NN$20/$NT$20)),0)</f>
        <v/>
      </c>
      <c r="FC20" s="228">
        <f>IF(AND(155&gt;=$NR$20,155&lt;=$NS$20),IF($NP$20="Single_Point",IF(155=$NR$20,$NN$20,0),IF($NP$20="Bell_Curve",$NN$20*(155-$NR$20+1)*($NS$20-155+1)/$NU$20,$NN$20/$NT$20)),0)</f>
        <v/>
      </c>
      <c r="FD20" s="228">
        <f>IF(AND(156&gt;=$NR$20,156&lt;=$NS$20),IF($NP$20="Single_Point",IF(156=$NR$20,$NN$20,0),IF($NP$20="Bell_Curve",$NN$20*(156-$NR$20+1)*($NS$20-156+1)/$NU$20,$NN$20/$NT$20)),0)</f>
        <v/>
      </c>
      <c r="FE20" s="228">
        <f>IF(AND(157&gt;=$NR$20,157&lt;=$NS$20),IF($NP$20="Single_Point",IF(157=$NR$20,$NN$20,0),IF($NP$20="Bell_Curve",$NN$20*(157-$NR$20+1)*($NS$20-157+1)/$NU$20,$NN$20/$NT$20)),0)</f>
        <v/>
      </c>
      <c r="FF20" s="228">
        <f>IF(AND(158&gt;=$NR$20,158&lt;=$NS$20),IF($NP$20="Single_Point",IF(158=$NR$20,$NN$20,0),IF($NP$20="Bell_Curve",$NN$20*(158-$NR$20+1)*($NS$20-158+1)/$NU$20,$NN$20/$NT$20)),0)</f>
        <v/>
      </c>
      <c r="FG20" s="228">
        <f>IF(AND(159&gt;=$NR$20,159&lt;=$NS$20),IF($NP$20="Single_Point",IF(159=$NR$20,$NN$20,0),IF($NP$20="Bell_Curve",$NN$20*(159-$NR$20+1)*($NS$20-159+1)/$NU$20,$NN$20/$NT$20)),0)</f>
        <v/>
      </c>
      <c r="FH20" s="228">
        <f>IF(AND(160&gt;=$NR$20,160&lt;=$NS$20),IF($NP$20="Single_Point",IF(160=$NR$20,$NN$20,0),IF($NP$20="Bell_Curve",$NN$20*(160-$NR$20+1)*($NS$20-160+1)/$NU$20,$NN$20/$NT$20)),0)</f>
        <v/>
      </c>
      <c r="FI20" s="228">
        <f>IF(AND(161&gt;=$NR$20,161&lt;=$NS$20),IF($NP$20="Single_Point",IF(161=$NR$20,$NN$20,0),IF($NP$20="Bell_Curve",$NN$20*(161-$NR$20+1)*($NS$20-161+1)/$NU$20,$NN$20/$NT$20)),0)</f>
        <v/>
      </c>
      <c r="FJ20" s="228">
        <f>IF(AND(162&gt;=$NR$20,162&lt;=$NS$20),IF($NP$20="Single_Point",IF(162=$NR$20,$NN$20,0),IF($NP$20="Bell_Curve",$NN$20*(162-$NR$20+1)*($NS$20-162+1)/$NU$20,$NN$20/$NT$20)),0)</f>
        <v/>
      </c>
      <c r="FK20" s="228">
        <f>IF(AND(163&gt;=$NR$20,163&lt;=$NS$20),IF($NP$20="Single_Point",IF(163=$NR$20,$NN$20,0),IF($NP$20="Bell_Curve",$NN$20*(163-$NR$20+1)*($NS$20-163+1)/$NU$20,$NN$20/$NT$20)),0)</f>
        <v/>
      </c>
      <c r="FL20" s="228">
        <f>IF(AND(164&gt;=$NR$20,164&lt;=$NS$20),IF($NP$20="Single_Point",IF(164=$NR$20,$NN$20,0),IF($NP$20="Bell_Curve",$NN$20*(164-$NR$20+1)*($NS$20-164+1)/$NU$20,$NN$20/$NT$20)),0)</f>
        <v/>
      </c>
      <c r="FM20" s="228">
        <f>IF(AND(165&gt;=$NR$20,165&lt;=$NS$20),IF($NP$20="Single_Point",IF(165=$NR$20,$NN$20,0),IF($NP$20="Bell_Curve",$NN$20*(165-$NR$20+1)*($NS$20-165+1)/$NU$20,$NN$20/$NT$20)),0)</f>
        <v/>
      </c>
      <c r="FN20" s="228">
        <f>IF(AND(166&gt;=$NR$20,166&lt;=$NS$20),IF($NP$20="Single_Point",IF(166=$NR$20,$NN$20,0),IF($NP$20="Bell_Curve",$NN$20*(166-$NR$20+1)*($NS$20-166+1)/$NU$20,$NN$20/$NT$20)),0)</f>
        <v/>
      </c>
      <c r="FO20" s="228">
        <f>IF(AND(167&gt;=$NR$20,167&lt;=$NS$20),IF($NP$20="Single_Point",IF(167=$NR$20,$NN$20,0),IF($NP$20="Bell_Curve",$NN$20*(167-$NR$20+1)*($NS$20-167+1)/$NU$20,$NN$20/$NT$20)),0)</f>
        <v/>
      </c>
      <c r="FP20" s="228">
        <f>IF(AND(168&gt;=$NR$20,168&lt;=$NS$20),IF($NP$20="Single_Point",IF(168=$NR$20,$NN$20,0),IF($NP$20="Bell_Curve",$NN$20*(168-$NR$20+1)*($NS$20-168+1)/$NU$20,$NN$20/$NT$20)),0)</f>
        <v/>
      </c>
      <c r="FQ20" s="228">
        <f>IF(AND(169&gt;=$NR$20,169&lt;=$NS$20),IF($NP$20="Single_Point",IF(169=$NR$20,$NN$20,0),IF($NP$20="Bell_Curve",$NN$20*(169-$NR$20+1)*($NS$20-169+1)/$NU$20,$NN$20/$NT$20)),0)</f>
        <v/>
      </c>
      <c r="FR20" s="228">
        <f>IF(AND(170&gt;=$NR$20,170&lt;=$NS$20),IF($NP$20="Single_Point",IF(170=$NR$20,$NN$20,0),IF($NP$20="Bell_Curve",$NN$20*(170-$NR$20+1)*($NS$20-170+1)/$NU$20,$NN$20/$NT$20)),0)</f>
        <v/>
      </c>
      <c r="FS20" s="228">
        <f>IF(AND(171&gt;=$NR$20,171&lt;=$NS$20),IF($NP$20="Single_Point",IF(171=$NR$20,$NN$20,0),IF($NP$20="Bell_Curve",$NN$20*(171-$NR$20+1)*($NS$20-171+1)/$NU$20,$NN$20/$NT$20)),0)</f>
        <v/>
      </c>
      <c r="FT20" s="228">
        <f>IF(AND(172&gt;=$NR$20,172&lt;=$NS$20),IF($NP$20="Single_Point",IF(172=$NR$20,$NN$20,0),IF($NP$20="Bell_Curve",$NN$20*(172-$NR$20+1)*($NS$20-172+1)/$NU$20,$NN$20/$NT$20)),0)</f>
        <v/>
      </c>
      <c r="FU20" s="228">
        <f>IF(AND(173&gt;=$NR$20,173&lt;=$NS$20),IF($NP$20="Single_Point",IF(173=$NR$20,$NN$20,0),IF($NP$20="Bell_Curve",$NN$20*(173-$NR$20+1)*($NS$20-173+1)/$NU$20,$NN$20/$NT$20)),0)</f>
        <v/>
      </c>
      <c r="FV20" s="228">
        <f>IF(AND(174&gt;=$NR$20,174&lt;=$NS$20),IF($NP$20="Single_Point",IF(174=$NR$20,$NN$20,0),IF($NP$20="Bell_Curve",$NN$20*(174-$NR$20+1)*($NS$20-174+1)/$NU$20,$NN$20/$NT$20)),0)</f>
        <v/>
      </c>
      <c r="FW20" s="228">
        <f>IF(AND(175&gt;=$NR$20,175&lt;=$NS$20),IF($NP$20="Single_Point",IF(175=$NR$20,$NN$20,0),IF($NP$20="Bell_Curve",$NN$20*(175-$NR$20+1)*($NS$20-175+1)/$NU$20,$NN$20/$NT$20)),0)</f>
        <v/>
      </c>
      <c r="FX20" s="228">
        <f>IF(AND(176&gt;=$NR$20,176&lt;=$NS$20),IF($NP$20="Single_Point",IF(176=$NR$20,$NN$20,0),IF($NP$20="Bell_Curve",$NN$20*(176-$NR$20+1)*($NS$20-176+1)/$NU$20,$NN$20/$NT$20)),0)</f>
        <v/>
      </c>
      <c r="FY20" s="228">
        <f>IF(AND(177&gt;=$NR$20,177&lt;=$NS$20),IF($NP$20="Single_Point",IF(177=$NR$20,$NN$20,0),IF($NP$20="Bell_Curve",$NN$20*(177-$NR$20+1)*($NS$20-177+1)/$NU$20,$NN$20/$NT$20)),0)</f>
        <v/>
      </c>
      <c r="FZ20" s="228">
        <f>IF(AND(178&gt;=$NR$20,178&lt;=$NS$20),IF($NP$20="Single_Point",IF(178=$NR$20,$NN$20,0),IF($NP$20="Bell_Curve",$NN$20*(178-$NR$20+1)*($NS$20-178+1)/$NU$20,$NN$20/$NT$20)),0)</f>
        <v/>
      </c>
      <c r="GA20" s="228">
        <f>IF(AND(179&gt;=$NR$20,179&lt;=$NS$20),IF($NP$20="Single_Point",IF(179=$NR$20,$NN$20,0),IF($NP$20="Bell_Curve",$NN$20*(179-$NR$20+1)*($NS$20-179+1)/$NU$20,$NN$20/$NT$20)),0)</f>
        <v/>
      </c>
      <c r="GB20" s="228">
        <f>IF(AND(180&gt;=$NR$20,180&lt;=$NS$20),IF($NP$20="Single_Point",IF(180=$NR$20,$NN$20,0),IF($NP$20="Bell_Curve",$NN$20*(180-$NR$20+1)*($NS$20-180+1)/$NU$20,$NN$20/$NT$20)),0)</f>
        <v/>
      </c>
      <c r="GC20" s="228">
        <f>IF(AND(181&gt;=$NR$20,181&lt;=$NS$20),IF($NP$20="Single_Point",IF(181=$NR$20,$NN$20,0),IF($NP$20="Bell_Curve",$NN$20*(181-$NR$20+1)*($NS$20-181+1)/$NU$20,$NN$20/$NT$20)),0)</f>
        <v/>
      </c>
      <c r="GD20" s="228">
        <f>IF(AND(182&gt;=$NR$20,182&lt;=$NS$20),IF($NP$20="Single_Point",IF(182=$NR$20,$NN$20,0),IF($NP$20="Bell_Curve",$NN$20*(182-$NR$20+1)*($NS$20-182+1)/$NU$20,$NN$20/$NT$20)),0)</f>
        <v/>
      </c>
      <c r="GE20" s="228">
        <f>IF(AND(183&gt;=$NR$20,183&lt;=$NS$20),IF($NP$20="Single_Point",IF(183=$NR$20,$NN$20,0),IF($NP$20="Bell_Curve",$NN$20*(183-$NR$20+1)*($NS$20-183+1)/$NU$20,$NN$20/$NT$20)),0)</f>
        <v/>
      </c>
      <c r="GF20" s="228">
        <f>IF(AND(184&gt;=$NR$20,184&lt;=$NS$20),IF($NP$20="Single_Point",IF(184=$NR$20,$NN$20,0),IF($NP$20="Bell_Curve",$NN$20*(184-$NR$20+1)*($NS$20-184+1)/$NU$20,$NN$20/$NT$20)),0)</f>
        <v/>
      </c>
      <c r="GG20" s="228">
        <f>IF(AND(185&gt;=$NR$20,185&lt;=$NS$20),IF($NP$20="Single_Point",IF(185=$NR$20,$NN$20,0),IF($NP$20="Bell_Curve",$NN$20*(185-$NR$20+1)*($NS$20-185+1)/$NU$20,$NN$20/$NT$20)),0)</f>
        <v/>
      </c>
      <c r="GH20" s="228">
        <f>IF(AND(186&gt;=$NR$20,186&lt;=$NS$20),IF($NP$20="Single_Point",IF(186=$NR$20,$NN$20,0),IF($NP$20="Bell_Curve",$NN$20*(186-$NR$20+1)*($NS$20-186+1)/$NU$20,$NN$20/$NT$20)),0)</f>
        <v/>
      </c>
      <c r="GI20" s="228">
        <f>IF(AND(187&gt;=$NR$20,187&lt;=$NS$20),IF($NP$20="Single_Point",IF(187=$NR$20,$NN$20,0),IF($NP$20="Bell_Curve",$NN$20*(187-$NR$20+1)*($NS$20-187+1)/$NU$20,$NN$20/$NT$20)),0)</f>
        <v/>
      </c>
      <c r="GJ20" s="228">
        <f>IF(AND(188&gt;=$NR$20,188&lt;=$NS$20),IF($NP$20="Single_Point",IF(188=$NR$20,$NN$20,0),IF($NP$20="Bell_Curve",$NN$20*(188-$NR$20+1)*($NS$20-188+1)/$NU$20,$NN$20/$NT$20)),0)</f>
        <v/>
      </c>
      <c r="GK20" s="228">
        <f>IF(AND(189&gt;=$NR$20,189&lt;=$NS$20),IF($NP$20="Single_Point",IF(189=$NR$20,$NN$20,0),IF($NP$20="Bell_Curve",$NN$20*(189-$NR$20+1)*($NS$20-189+1)/$NU$20,$NN$20/$NT$20)),0)</f>
        <v/>
      </c>
      <c r="GL20" s="228">
        <f>IF(AND(190&gt;=$NR$20,190&lt;=$NS$20),IF($NP$20="Single_Point",IF(190=$NR$20,$NN$20,0),IF($NP$20="Bell_Curve",$NN$20*(190-$NR$20+1)*($NS$20-190+1)/$NU$20,$NN$20/$NT$20)),0)</f>
        <v/>
      </c>
      <c r="GM20" s="228">
        <f>IF(AND(191&gt;=$NR$20,191&lt;=$NS$20),IF($NP$20="Single_Point",IF(191=$NR$20,$NN$20,0),IF($NP$20="Bell_Curve",$NN$20*(191-$NR$20+1)*($NS$20-191+1)/$NU$20,$NN$20/$NT$20)),0)</f>
        <v/>
      </c>
      <c r="GN20" s="228">
        <f>IF(AND(192&gt;=$NR$20,192&lt;=$NS$20),IF($NP$20="Single_Point",IF(192=$NR$20,$NN$20,0),IF($NP$20="Bell_Curve",$NN$20*(192-$NR$20+1)*($NS$20-192+1)/$NU$20,$NN$20/$NT$20)),0)</f>
        <v/>
      </c>
      <c r="GO20" s="228">
        <f>IF(AND(193&gt;=$NR$20,193&lt;=$NS$20),IF($NP$20="Single_Point",IF(193=$NR$20,$NN$20,0),IF($NP$20="Bell_Curve",$NN$20*(193-$NR$20+1)*($NS$20-193+1)/$NU$20,$NN$20/$NT$20)),0)</f>
        <v/>
      </c>
      <c r="GP20" s="228">
        <f>IF(AND(194&gt;=$NR$20,194&lt;=$NS$20),IF($NP$20="Single_Point",IF(194=$NR$20,$NN$20,0),IF($NP$20="Bell_Curve",$NN$20*(194-$NR$20+1)*($NS$20-194+1)/$NU$20,$NN$20/$NT$20)),0)</f>
        <v/>
      </c>
      <c r="GQ20" s="228">
        <f>IF(AND(195&gt;=$NR$20,195&lt;=$NS$20),IF($NP$20="Single_Point",IF(195=$NR$20,$NN$20,0),IF($NP$20="Bell_Curve",$NN$20*(195-$NR$20+1)*($NS$20-195+1)/$NU$20,$NN$20/$NT$20)),0)</f>
        <v/>
      </c>
      <c r="GR20" s="228">
        <f>IF(AND(196&gt;=$NR$20,196&lt;=$NS$20),IF($NP$20="Single_Point",IF(196=$NR$20,$NN$20,0),IF($NP$20="Bell_Curve",$NN$20*(196-$NR$20+1)*($NS$20-196+1)/$NU$20,$NN$20/$NT$20)),0)</f>
        <v/>
      </c>
      <c r="GS20" s="228">
        <f>IF(AND(197&gt;=$NR$20,197&lt;=$NS$20),IF($NP$20="Single_Point",IF(197=$NR$20,$NN$20,0),IF($NP$20="Bell_Curve",$NN$20*(197-$NR$20+1)*($NS$20-197+1)/$NU$20,$NN$20/$NT$20)),0)</f>
        <v/>
      </c>
      <c r="GT20" s="228">
        <f>IF(AND(198&gt;=$NR$20,198&lt;=$NS$20),IF($NP$20="Single_Point",IF(198=$NR$20,$NN$20,0),IF($NP$20="Bell_Curve",$NN$20*(198-$NR$20+1)*($NS$20-198+1)/$NU$20,$NN$20/$NT$20)),0)</f>
        <v/>
      </c>
      <c r="GU20" s="228">
        <f>IF(AND(199&gt;=$NR$20,199&lt;=$NS$20),IF($NP$20="Single_Point",IF(199=$NR$20,$NN$20,0),IF($NP$20="Bell_Curve",$NN$20*(199-$NR$20+1)*($NS$20-199+1)/$NU$20,$NN$20/$NT$20)),0)</f>
        <v/>
      </c>
      <c r="GV20" s="228">
        <f>IF(AND(200&gt;=$NR$20,200&lt;=$NS$20),IF($NP$20="Single_Point",IF(200=$NR$20,$NN$20,0),IF($NP$20="Bell_Curve",$NN$20*(200-$NR$20+1)*($NS$20-200+1)/$NU$20,$NN$20/$NT$20)),0)</f>
        <v/>
      </c>
      <c r="GW20" s="228">
        <f>IF(AND(201&gt;=$NR$20,201&lt;=$NS$20),IF($NP$20="Single_Point",IF(201=$NR$20,$NN$20,0),IF($NP$20="Bell_Curve",$NN$20*(201-$NR$20+1)*($NS$20-201+1)/$NU$20,$NN$20/$NT$20)),0)</f>
        <v/>
      </c>
      <c r="GX20" s="228">
        <f>IF(AND(202&gt;=$NR$20,202&lt;=$NS$20),IF($NP$20="Single_Point",IF(202=$NR$20,$NN$20,0),IF($NP$20="Bell_Curve",$NN$20*(202-$NR$20+1)*($NS$20-202+1)/$NU$20,$NN$20/$NT$20)),0)</f>
        <v/>
      </c>
      <c r="GY20" s="228">
        <f>IF(AND(203&gt;=$NR$20,203&lt;=$NS$20),IF($NP$20="Single_Point",IF(203=$NR$20,$NN$20,0),IF($NP$20="Bell_Curve",$NN$20*(203-$NR$20+1)*($NS$20-203+1)/$NU$20,$NN$20/$NT$20)),0)</f>
        <v/>
      </c>
      <c r="GZ20" s="228">
        <f>IF(AND(204&gt;=$NR$20,204&lt;=$NS$20),IF($NP$20="Single_Point",IF(204=$NR$20,$NN$20,0),IF($NP$20="Bell_Curve",$NN$20*(204-$NR$20+1)*($NS$20-204+1)/$NU$20,$NN$20/$NT$20)),0)</f>
        <v/>
      </c>
      <c r="HA20" s="228">
        <f>IF(AND(205&gt;=$NR$20,205&lt;=$NS$20),IF($NP$20="Single_Point",IF(205=$NR$20,$NN$20,0),IF($NP$20="Bell_Curve",$NN$20*(205-$NR$20+1)*($NS$20-205+1)/$NU$20,$NN$20/$NT$20)),0)</f>
        <v/>
      </c>
      <c r="HB20" s="228">
        <f>IF(AND(206&gt;=$NR$20,206&lt;=$NS$20),IF($NP$20="Single_Point",IF(206=$NR$20,$NN$20,0),IF($NP$20="Bell_Curve",$NN$20*(206-$NR$20+1)*($NS$20-206+1)/$NU$20,$NN$20/$NT$20)),0)</f>
        <v/>
      </c>
      <c r="HC20" s="228">
        <f>IF(AND(207&gt;=$NR$20,207&lt;=$NS$20),IF($NP$20="Single_Point",IF(207=$NR$20,$NN$20,0),IF($NP$20="Bell_Curve",$NN$20*(207-$NR$20+1)*($NS$20-207+1)/$NU$20,$NN$20/$NT$20)),0)</f>
        <v/>
      </c>
      <c r="HD20" s="228">
        <f>IF(AND(208&gt;=$NR$20,208&lt;=$NS$20),IF($NP$20="Single_Point",IF(208=$NR$20,$NN$20,0),IF($NP$20="Bell_Curve",$NN$20*(208-$NR$20+1)*($NS$20-208+1)/$NU$20,$NN$20/$NT$20)),0)</f>
        <v/>
      </c>
      <c r="HE20" s="228">
        <f>IF(AND(209&gt;=$NR$20,209&lt;=$NS$20),IF($NP$20="Single_Point",IF(209=$NR$20,$NN$20,0),IF($NP$20="Bell_Curve",$NN$20*(209-$NR$20+1)*($NS$20-209+1)/$NU$20,$NN$20/$NT$20)),0)</f>
        <v/>
      </c>
      <c r="HF20" s="228">
        <f>IF(AND(210&gt;=$NR$20,210&lt;=$NS$20),IF($NP$20="Single_Point",IF(210=$NR$20,$NN$20,0),IF($NP$20="Bell_Curve",$NN$20*(210-$NR$20+1)*($NS$20-210+1)/$NU$20,$NN$20/$NT$20)),0)</f>
        <v/>
      </c>
      <c r="HG20" s="228">
        <f>IF(AND(211&gt;=$NR$20,211&lt;=$NS$20),IF($NP$20="Single_Point",IF(211=$NR$20,$NN$20,0),IF($NP$20="Bell_Curve",$NN$20*(211-$NR$20+1)*($NS$20-211+1)/$NU$20,$NN$20/$NT$20)),0)</f>
        <v/>
      </c>
      <c r="HH20" s="228">
        <f>IF(AND(212&gt;=$NR$20,212&lt;=$NS$20),IF($NP$20="Single_Point",IF(212=$NR$20,$NN$20,0),IF($NP$20="Bell_Curve",$NN$20*(212-$NR$20+1)*($NS$20-212+1)/$NU$20,$NN$20/$NT$20)),0)</f>
        <v/>
      </c>
      <c r="HI20" s="228">
        <f>IF(AND(213&gt;=$NR$20,213&lt;=$NS$20),IF($NP$20="Single_Point",IF(213=$NR$20,$NN$20,0),IF($NP$20="Bell_Curve",$NN$20*(213-$NR$20+1)*($NS$20-213+1)/$NU$20,$NN$20/$NT$20)),0)</f>
        <v/>
      </c>
      <c r="HJ20" s="228">
        <f>IF(AND(214&gt;=$NR$20,214&lt;=$NS$20),IF($NP$20="Single_Point",IF(214=$NR$20,$NN$20,0),IF($NP$20="Bell_Curve",$NN$20*(214-$NR$20+1)*($NS$20-214+1)/$NU$20,$NN$20/$NT$20)),0)</f>
        <v/>
      </c>
      <c r="HK20" s="228">
        <f>IF(AND(215&gt;=$NR$20,215&lt;=$NS$20),IF($NP$20="Single_Point",IF(215=$NR$20,$NN$20,0),IF($NP$20="Bell_Curve",$NN$20*(215-$NR$20+1)*($NS$20-215+1)/$NU$20,$NN$20/$NT$20)),0)</f>
        <v/>
      </c>
      <c r="HL20" s="228">
        <f>IF(AND(216&gt;=$NR$20,216&lt;=$NS$20),IF($NP$20="Single_Point",IF(216=$NR$20,$NN$20,0),IF($NP$20="Bell_Curve",$NN$20*(216-$NR$20+1)*($NS$20-216+1)/$NU$20,$NN$20/$NT$20)),0)</f>
        <v/>
      </c>
      <c r="HM20" s="228">
        <f>IF(AND(217&gt;=$NR$20,217&lt;=$NS$20),IF($NP$20="Single_Point",IF(217=$NR$20,$NN$20,0),IF($NP$20="Bell_Curve",$NN$20*(217-$NR$20+1)*($NS$20-217+1)/$NU$20,$NN$20/$NT$20)),0)</f>
        <v/>
      </c>
      <c r="HN20" s="228">
        <f>IF(AND(218&gt;=$NR$20,218&lt;=$NS$20),IF($NP$20="Single_Point",IF(218=$NR$20,$NN$20,0),IF($NP$20="Bell_Curve",$NN$20*(218-$NR$20+1)*($NS$20-218+1)/$NU$20,$NN$20/$NT$20)),0)</f>
        <v/>
      </c>
      <c r="HO20" s="228">
        <f>IF(AND(219&gt;=$NR$20,219&lt;=$NS$20),IF($NP$20="Single_Point",IF(219=$NR$20,$NN$20,0),IF($NP$20="Bell_Curve",$NN$20*(219-$NR$20+1)*($NS$20-219+1)/$NU$20,$NN$20/$NT$20)),0)</f>
        <v/>
      </c>
      <c r="HP20" s="228">
        <f>IF(AND(220&gt;=$NR$20,220&lt;=$NS$20),IF($NP$20="Single_Point",IF(220=$NR$20,$NN$20,0),IF($NP$20="Bell_Curve",$NN$20*(220-$NR$20+1)*($NS$20-220+1)/$NU$20,$NN$20/$NT$20)),0)</f>
        <v/>
      </c>
      <c r="HQ20" s="228">
        <f>IF(AND(221&gt;=$NR$20,221&lt;=$NS$20),IF($NP$20="Single_Point",IF(221=$NR$20,$NN$20,0),IF($NP$20="Bell_Curve",$NN$20*(221-$NR$20+1)*($NS$20-221+1)/$NU$20,$NN$20/$NT$20)),0)</f>
        <v/>
      </c>
      <c r="HR20" s="228">
        <f>IF(AND(222&gt;=$NR$20,222&lt;=$NS$20),IF($NP$20="Single_Point",IF(222=$NR$20,$NN$20,0),IF($NP$20="Bell_Curve",$NN$20*(222-$NR$20+1)*($NS$20-222+1)/$NU$20,$NN$20/$NT$20)),0)</f>
        <v/>
      </c>
      <c r="HS20" s="228">
        <f>IF(AND(223&gt;=$NR$20,223&lt;=$NS$20),IF($NP$20="Single_Point",IF(223=$NR$20,$NN$20,0),IF($NP$20="Bell_Curve",$NN$20*(223-$NR$20+1)*($NS$20-223+1)/$NU$20,$NN$20/$NT$20)),0)</f>
        <v/>
      </c>
      <c r="HT20" s="228">
        <f>IF(AND(224&gt;=$NR$20,224&lt;=$NS$20),IF($NP$20="Single_Point",IF(224=$NR$20,$NN$20,0),IF($NP$20="Bell_Curve",$NN$20*(224-$NR$20+1)*($NS$20-224+1)/$NU$20,$NN$20/$NT$20)),0)</f>
        <v/>
      </c>
      <c r="HU20" s="228">
        <f>IF(AND(225&gt;=$NR$20,225&lt;=$NS$20),IF($NP$20="Single_Point",IF(225=$NR$20,$NN$20,0),IF($NP$20="Bell_Curve",$NN$20*(225-$NR$20+1)*($NS$20-225+1)/$NU$20,$NN$20/$NT$20)),0)</f>
        <v/>
      </c>
      <c r="HV20" s="228">
        <f>IF(AND(226&gt;=$NR$20,226&lt;=$NS$20),IF($NP$20="Single_Point",IF(226=$NR$20,$NN$20,0),IF($NP$20="Bell_Curve",$NN$20*(226-$NR$20+1)*($NS$20-226+1)/$NU$20,$NN$20/$NT$20)),0)</f>
        <v/>
      </c>
      <c r="HW20" s="228">
        <f>IF(AND(227&gt;=$NR$20,227&lt;=$NS$20),IF($NP$20="Single_Point",IF(227=$NR$20,$NN$20,0),IF($NP$20="Bell_Curve",$NN$20*(227-$NR$20+1)*($NS$20-227+1)/$NU$20,$NN$20/$NT$20)),0)</f>
        <v/>
      </c>
      <c r="HX20" s="228">
        <f>IF(AND(228&gt;=$NR$20,228&lt;=$NS$20),IF($NP$20="Single_Point",IF(228=$NR$20,$NN$20,0),IF($NP$20="Bell_Curve",$NN$20*(228-$NR$20+1)*($NS$20-228+1)/$NU$20,$NN$20/$NT$20)),0)</f>
        <v/>
      </c>
      <c r="HY20" s="228">
        <f>IF(AND(229&gt;=$NR$20,229&lt;=$NS$20),IF($NP$20="Single_Point",IF(229=$NR$20,$NN$20,0),IF($NP$20="Bell_Curve",$NN$20*(229-$NR$20+1)*($NS$20-229+1)/$NU$20,$NN$20/$NT$20)),0)</f>
        <v/>
      </c>
      <c r="HZ20" s="228">
        <f>IF(AND(230&gt;=$NR$20,230&lt;=$NS$20),IF($NP$20="Single_Point",IF(230=$NR$20,$NN$20,0),IF($NP$20="Bell_Curve",$NN$20*(230-$NR$20+1)*($NS$20-230+1)/$NU$20,$NN$20/$NT$20)),0)</f>
        <v/>
      </c>
      <c r="IA20" s="228">
        <f>IF(AND(231&gt;=$NR$20,231&lt;=$NS$20),IF($NP$20="Single_Point",IF(231=$NR$20,$NN$20,0),IF($NP$20="Bell_Curve",$NN$20*(231-$NR$20+1)*($NS$20-231+1)/$NU$20,$NN$20/$NT$20)),0)</f>
        <v/>
      </c>
      <c r="IB20" s="228">
        <f>IF(AND(232&gt;=$NR$20,232&lt;=$NS$20),IF($NP$20="Single_Point",IF(232=$NR$20,$NN$20,0),IF($NP$20="Bell_Curve",$NN$20*(232-$NR$20+1)*($NS$20-232+1)/$NU$20,$NN$20/$NT$20)),0)</f>
        <v/>
      </c>
      <c r="IC20" s="228">
        <f>IF(AND(233&gt;=$NR$20,233&lt;=$NS$20),IF($NP$20="Single_Point",IF(233=$NR$20,$NN$20,0),IF($NP$20="Bell_Curve",$NN$20*(233-$NR$20+1)*($NS$20-233+1)/$NU$20,$NN$20/$NT$20)),0)</f>
        <v/>
      </c>
      <c r="ID20" s="228">
        <f>IF(AND(234&gt;=$NR$20,234&lt;=$NS$20),IF($NP$20="Single_Point",IF(234=$NR$20,$NN$20,0),IF($NP$20="Bell_Curve",$NN$20*(234-$NR$20+1)*($NS$20-234+1)/$NU$20,$NN$20/$NT$20)),0)</f>
        <v/>
      </c>
      <c r="IE20" s="228">
        <f>IF(AND(235&gt;=$NR$20,235&lt;=$NS$20),IF($NP$20="Single_Point",IF(235=$NR$20,$NN$20,0),IF($NP$20="Bell_Curve",$NN$20*(235-$NR$20+1)*($NS$20-235+1)/$NU$20,$NN$20/$NT$20)),0)</f>
        <v/>
      </c>
      <c r="IF20" s="228">
        <f>IF(AND(236&gt;=$NR$20,236&lt;=$NS$20),IF($NP$20="Single_Point",IF(236=$NR$20,$NN$20,0),IF($NP$20="Bell_Curve",$NN$20*(236-$NR$20+1)*($NS$20-236+1)/$NU$20,$NN$20/$NT$20)),0)</f>
        <v/>
      </c>
      <c r="IG20" s="228">
        <f>IF(AND(237&gt;=$NR$20,237&lt;=$NS$20),IF($NP$20="Single_Point",IF(237=$NR$20,$NN$20,0),IF($NP$20="Bell_Curve",$NN$20*(237-$NR$20+1)*($NS$20-237+1)/$NU$20,$NN$20/$NT$20)),0)</f>
        <v/>
      </c>
      <c r="IH20" s="228">
        <f>IF(AND(238&gt;=$NR$20,238&lt;=$NS$20),IF($NP$20="Single_Point",IF(238=$NR$20,$NN$20,0),IF($NP$20="Bell_Curve",$NN$20*(238-$NR$20+1)*($NS$20-238+1)/$NU$20,$NN$20/$NT$20)),0)</f>
        <v/>
      </c>
      <c r="II20" s="228">
        <f>IF(AND(239&gt;=$NR$20,239&lt;=$NS$20),IF($NP$20="Single_Point",IF(239=$NR$20,$NN$20,0),IF($NP$20="Bell_Curve",$NN$20*(239-$NR$20+1)*($NS$20-239+1)/$NU$20,$NN$20/$NT$20)),0)</f>
        <v/>
      </c>
      <c r="IJ20" s="228">
        <f>IF(AND(240&gt;=$NR$20,240&lt;=$NS$20),IF($NP$20="Single_Point",IF(240=$NR$20,$NN$20,0),IF($NP$20="Bell_Curve",$NN$20*(240-$NR$20+1)*($NS$20-240+1)/$NU$20,$NN$20/$NT$20)),0)</f>
        <v/>
      </c>
      <c r="IK20" s="228">
        <f>IF(AND(241&gt;=$NR$20,241&lt;=$NS$20),IF($NP$20="Single_Point",IF(241=$NR$20,$NN$20,0),IF($NP$20="Bell_Curve",$NN$20*(241-$NR$20+1)*($NS$20-241+1)/$NU$20,$NN$20/$NT$20)),0)</f>
        <v/>
      </c>
      <c r="IL20" s="228">
        <f>IF(AND(242&gt;=$NR$20,242&lt;=$NS$20),IF($NP$20="Single_Point",IF(242=$NR$20,$NN$20,0),IF($NP$20="Bell_Curve",$NN$20*(242-$NR$20+1)*($NS$20-242+1)/$NU$20,$NN$20/$NT$20)),0)</f>
        <v/>
      </c>
      <c r="IM20" s="228">
        <f>IF(AND(243&gt;=$NR$20,243&lt;=$NS$20),IF($NP$20="Single_Point",IF(243=$NR$20,$NN$20,0),IF($NP$20="Bell_Curve",$NN$20*(243-$NR$20+1)*($NS$20-243+1)/$NU$20,$NN$20/$NT$20)),0)</f>
        <v/>
      </c>
      <c r="IN20" s="228">
        <f>IF(AND(244&gt;=$NR$20,244&lt;=$NS$20),IF($NP$20="Single_Point",IF(244=$NR$20,$NN$20,0),IF($NP$20="Bell_Curve",$NN$20*(244-$NR$20+1)*($NS$20-244+1)/$NU$20,$NN$20/$NT$20)),0)</f>
        <v/>
      </c>
      <c r="IO20" s="228">
        <f>IF(AND(245&gt;=$NR$20,245&lt;=$NS$20),IF($NP$20="Single_Point",IF(245=$NR$20,$NN$20,0),IF($NP$20="Bell_Curve",$NN$20*(245-$NR$20+1)*($NS$20-245+1)/$NU$20,$NN$20/$NT$20)),0)</f>
        <v/>
      </c>
      <c r="IP20" s="228">
        <f>IF(AND(246&gt;=$NR$20,246&lt;=$NS$20),IF($NP$20="Single_Point",IF(246=$NR$20,$NN$20,0),IF($NP$20="Bell_Curve",$NN$20*(246-$NR$20+1)*($NS$20-246+1)/$NU$20,$NN$20/$NT$20)),0)</f>
        <v/>
      </c>
      <c r="IQ20" s="228">
        <f>IF(AND(247&gt;=$NR$20,247&lt;=$NS$20),IF($NP$20="Single_Point",IF(247=$NR$20,$NN$20,0),IF($NP$20="Bell_Curve",$NN$20*(247-$NR$20+1)*($NS$20-247+1)/$NU$20,$NN$20/$NT$20)),0)</f>
        <v/>
      </c>
      <c r="IR20" s="228">
        <f>IF(AND(248&gt;=$NR$20,248&lt;=$NS$20),IF($NP$20="Single_Point",IF(248=$NR$20,$NN$20,0),IF($NP$20="Bell_Curve",$NN$20*(248-$NR$20+1)*($NS$20-248+1)/$NU$20,$NN$20/$NT$20)),0)</f>
        <v/>
      </c>
      <c r="IS20" s="228">
        <f>IF(AND(249&gt;=$NR$20,249&lt;=$NS$20),IF($NP$20="Single_Point",IF(249=$NR$20,$NN$20,0),IF($NP$20="Bell_Curve",$NN$20*(249-$NR$20+1)*($NS$20-249+1)/$NU$20,$NN$20/$NT$20)),0)</f>
        <v/>
      </c>
      <c r="IT20" s="228">
        <f>IF(AND(250&gt;=$NR$20,250&lt;=$NS$20),IF($NP$20="Single_Point",IF(250=$NR$20,$NN$20,0),IF($NP$20="Bell_Curve",$NN$20*(250-$NR$20+1)*($NS$20-250+1)/$NU$20,$NN$20/$NT$20)),0)</f>
        <v/>
      </c>
      <c r="IU20" s="228">
        <f>IF(AND(251&gt;=$NR$20,251&lt;=$NS$20),IF($NP$20="Single_Point",IF(251=$NR$20,$NN$20,0),IF($NP$20="Bell_Curve",$NN$20*(251-$NR$20+1)*($NS$20-251+1)/$NU$20,$NN$20/$NT$20)),0)</f>
        <v/>
      </c>
      <c r="IV20" s="228">
        <f>IF(AND(252&gt;=$NR$20,252&lt;=$NS$20),IF($NP$20="Single_Point",IF(252=$NR$20,$NN$20,0),IF($NP$20="Bell_Curve",$NN$20*(252-$NR$20+1)*($NS$20-252+1)/$NU$20,$NN$20/$NT$20)),0)</f>
        <v/>
      </c>
      <c r="IW20" s="228">
        <f>IF(AND(253&gt;=$NR$20,253&lt;=$NS$20),IF($NP$20="Single_Point",IF(253=$NR$20,$NN$20,0),IF($NP$20="Bell_Curve",$NN$20*(253-$NR$20+1)*($NS$20-253+1)/$NU$20,$NN$20/$NT$20)),0)</f>
        <v/>
      </c>
      <c r="IX20" s="228">
        <f>IF(AND(254&gt;=$NR$20,254&lt;=$NS$20),IF($NP$20="Single_Point",IF(254=$NR$20,$NN$20,0),IF($NP$20="Bell_Curve",$NN$20*(254-$NR$20+1)*($NS$20-254+1)/$NU$20,$NN$20/$NT$20)),0)</f>
        <v/>
      </c>
      <c r="IY20" s="228">
        <f>IF(AND(255&gt;=$NR$20,255&lt;=$NS$20),IF($NP$20="Single_Point",IF(255=$NR$20,$NN$20,0),IF($NP$20="Bell_Curve",$NN$20*(255-$NR$20+1)*($NS$20-255+1)/$NU$20,$NN$20/$NT$20)),0)</f>
        <v/>
      </c>
      <c r="IZ20" s="228">
        <f>IF(AND(256&gt;=$NR$20,256&lt;=$NS$20),IF($NP$20="Single_Point",IF(256=$NR$20,$NN$20,0),IF($NP$20="Bell_Curve",$NN$20*(256-$NR$20+1)*($NS$20-256+1)/$NU$20,$NN$20/$NT$20)),0)</f>
        <v/>
      </c>
      <c r="JA20" s="228">
        <f>IF(AND(257&gt;=$NR$20,257&lt;=$NS$20),IF($NP$20="Single_Point",IF(257=$NR$20,$NN$20,0),IF($NP$20="Bell_Curve",$NN$20*(257-$NR$20+1)*($NS$20-257+1)/$NU$20,$NN$20/$NT$20)),0)</f>
        <v/>
      </c>
      <c r="JB20" s="228">
        <f>IF(AND(258&gt;=$NR$20,258&lt;=$NS$20),IF($NP$20="Single_Point",IF(258=$NR$20,$NN$20,0),IF($NP$20="Bell_Curve",$NN$20*(258-$NR$20+1)*($NS$20-258+1)/$NU$20,$NN$20/$NT$20)),0)</f>
        <v/>
      </c>
      <c r="JC20" s="228">
        <f>IF(AND(259&gt;=$NR$20,259&lt;=$NS$20),IF($NP$20="Single_Point",IF(259=$NR$20,$NN$20,0),IF($NP$20="Bell_Curve",$NN$20*(259-$NR$20+1)*($NS$20-259+1)/$NU$20,$NN$20/$NT$20)),0)</f>
        <v/>
      </c>
      <c r="JD20" s="228">
        <f>IF(AND(260&gt;=$NR$20,260&lt;=$NS$20),IF($NP$20="Single_Point",IF(260=$NR$20,$NN$20,0),IF($NP$20="Bell_Curve",$NN$20*(260-$NR$20+1)*($NS$20-260+1)/$NU$20,$NN$20/$NT$20)),0)</f>
        <v/>
      </c>
      <c r="JE20" s="228">
        <f>IF(AND(261&gt;=$NR$20,261&lt;=$NS$20),IF($NP$20="Single_Point",IF(261=$NR$20,$NN$20,0),IF($NP$20="Bell_Curve",$NN$20*(261-$NR$20+1)*($NS$20-261+1)/$NU$20,$NN$20/$NT$20)),0)</f>
        <v/>
      </c>
      <c r="JF20" s="228">
        <f>IF(AND(262&gt;=$NR$20,262&lt;=$NS$20),IF($NP$20="Single_Point",IF(262=$NR$20,$NN$20,0),IF($NP$20="Bell_Curve",$NN$20*(262-$NR$20+1)*($NS$20-262+1)/$NU$20,$NN$20/$NT$20)),0)</f>
        <v/>
      </c>
      <c r="JG20" s="228">
        <f>IF(AND(263&gt;=$NR$20,263&lt;=$NS$20),IF($NP$20="Single_Point",IF(263=$NR$20,$NN$20,0),IF($NP$20="Bell_Curve",$NN$20*(263-$NR$20+1)*($NS$20-263+1)/$NU$20,$NN$20/$NT$20)),0)</f>
        <v/>
      </c>
      <c r="JH20" s="228">
        <f>IF(AND(264&gt;=$NR$20,264&lt;=$NS$20),IF($NP$20="Single_Point",IF(264=$NR$20,$NN$20,0),IF($NP$20="Bell_Curve",$NN$20*(264-$NR$20+1)*($NS$20-264+1)/$NU$20,$NN$20/$NT$20)),0)</f>
        <v/>
      </c>
      <c r="JI20" s="228">
        <f>IF(AND(265&gt;=$NR$20,265&lt;=$NS$20),IF($NP$20="Single_Point",IF(265=$NR$20,$NN$20,0),IF($NP$20="Bell_Curve",$NN$20*(265-$NR$20+1)*($NS$20-265+1)/$NU$20,$NN$20/$NT$20)),0)</f>
        <v/>
      </c>
      <c r="JJ20" s="228">
        <f>IF(AND(266&gt;=$NR$20,266&lt;=$NS$20),IF($NP$20="Single_Point",IF(266=$NR$20,$NN$20,0),IF($NP$20="Bell_Curve",$NN$20*(266-$NR$20+1)*($NS$20-266+1)/$NU$20,$NN$20/$NT$20)),0)</f>
        <v/>
      </c>
      <c r="JK20" s="228">
        <f>IF(AND(267&gt;=$NR$20,267&lt;=$NS$20),IF($NP$20="Single_Point",IF(267=$NR$20,$NN$20,0),IF($NP$20="Bell_Curve",$NN$20*(267-$NR$20+1)*($NS$20-267+1)/$NU$20,$NN$20/$NT$20)),0)</f>
        <v/>
      </c>
      <c r="JL20" s="228">
        <f>IF(AND(268&gt;=$NR$20,268&lt;=$NS$20),IF($NP$20="Single_Point",IF(268=$NR$20,$NN$20,0),IF($NP$20="Bell_Curve",$NN$20*(268-$NR$20+1)*($NS$20-268+1)/$NU$20,$NN$20/$NT$20)),0)</f>
        <v/>
      </c>
      <c r="JM20" s="228">
        <f>IF(AND(269&gt;=$NR$20,269&lt;=$NS$20),IF($NP$20="Single_Point",IF(269=$NR$20,$NN$20,0),IF($NP$20="Bell_Curve",$NN$20*(269-$NR$20+1)*($NS$20-269+1)/$NU$20,$NN$20/$NT$20)),0)</f>
        <v/>
      </c>
      <c r="JN20" s="228">
        <f>IF(AND(270&gt;=$NR$20,270&lt;=$NS$20),IF($NP$20="Single_Point",IF(270=$NR$20,$NN$20,0),IF($NP$20="Bell_Curve",$NN$20*(270-$NR$20+1)*($NS$20-270+1)/$NU$20,$NN$20/$NT$20)),0)</f>
        <v/>
      </c>
      <c r="JO20" s="228">
        <f>IF(AND(271&gt;=$NR$20,271&lt;=$NS$20),IF($NP$20="Single_Point",IF(271=$NR$20,$NN$20,0),IF($NP$20="Bell_Curve",$NN$20*(271-$NR$20+1)*($NS$20-271+1)/$NU$20,$NN$20/$NT$20)),0)</f>
        <v/>
      </c>
      <c r="JP20" s="228">
        <f>IF(AND(272&gt;=$NR$20,272&lt;=$NS$20),IF($NP$20="Single_Point",IF(272=$NR$20,$NN$20,0),IF($NP$20="Bell_Curve",$NN$20*(272-$NR$20+1)*($NS$20-272+1)/$NU$20,$NN$20/$NT$20)),0)</f>
        <v/>
      </c>
      <c r="JQ20" s="228">
        <f>IF(AND(273&gt;=$NR$20,273&lt;=$NS$20),IF($NP$20="Single_Point",IF(273=$NR$20,$NN$20,0),IF($NP$20="Bell_Curve",$NN$20*(273-$NR$20+1)*($NS$20-273+1)/$NU$20,$NN$20/$NT$20)),0)</f>
        <v/>
      </c>
      <c r="JR20" s="228">
        <f>IF(AND(274&gt;=$NR$20,274&lt;=$NS$20),IF($NP$20="Single_Point",IF(274=$NR$20,$NN$20,0),IF($NP$20="Bell_Curve",$NN$20*(274-$NR$20+1)*($NS$20-274+1)/$NU$20,$NN$20/$NT$20)),0)</f>
        <v/>
      </c>
      <c r="JS20" s="228">
        <f>IF(AND(275&gt;=$NR$20,275&lt;=$NS$20),IF($NP$20="Single_Point",IF(275=$NR$20,$NN$20,0),IF($NP$20="Bell_Curve",$NN$20*(275-$NR$20+1)*($NS$20-275+1)/$NU$20,$NN$20/$NT$20)),0)</f>
        <v/>
      </c>
      <c r="JT20" s="228">
        <f>IF(AND(276&gt;=$NR$20,276&lt;=$NS$20),IF($NP$20="Single_Point",IF(276=$NR$20,$NN$20,0),IF($NP$20="Bell_Curve",$NN$20*(276-$NR$20+1)*($NS$20-276+1)/$NU$20,$NN$20/$NT$20)),0)</f>
        <v/>
      </c>
      <c r="JU20" s="228">
        <f>IF(AND(277&gt;=$NR$20,277&lt;=$NS$20),IF($NP$20="Single_Point",IF(277=$NR$20,$NN$20,0),IF($NP$20="Bell_Curve",$NN$20*(277-$NR$20+1)*($NS$20-277+1)/$NU$20,$NN$20/$NT$20)),0)</f>
        <v/>
      </c>
      <c r="JV20" s="228">
        <f>IF(AND(278&gt;=$NR$20,278&lt;=$NS$20),IF($NP$20="Single_Point",IF(278=$NR$20,$NN$20,0),IF($NP$20="Bell_Curve",$NN$20*(278-$NR$20+1)*($NS$20-278+1)/$NU$20,$NN$20/$NT$20)),0)</f>
        <v/>
      </c>
      <c r="JW20" s="228">
        <f>IF(AND(279&gt;=$NR$20,279&lt;=$NS$20),IF($NP$20="Single_Point",IF(279=$NR$20,$NN$20,0),IF($NP$20="Bell_Curve",$NN$20*(279-$NR$20+1)*($NS$20-279+1)/$NU$20,$NN$20/$NT$20)),0)</f>
        <v/>
      </c>
      <c r="JX20" s="228">
        <f>IF(AND(280&gt;=$NR$20,280&lt;=$NS$20),IF($NP$20="Single_Point",IF(280=$NR$20,$NN$20,0),IF($NP$20="Bell_Curve",$NN$20*(280-$NR$20+1)*($NS$20-280+1)/$NU$20,$NN$20/$NT$20)),0)</f>
        <v/>
      </c>
      <c r="JY20" s="228">
        <f>IF(AND(281&gt;=$NR$20,281&lt;=$NS$20),IF($NP$20="Single_Point",IF(281=$NR$20,$NN$20,0),IF($NP$20="Bell_Curve",$NN$20*(281-$NR$20+1)*($NS$20-281+1)/$NU$20,$NN$20/$NT$20)),0)</f>
        <v/>
      </c>
      <c r="JZ20" s="228">
        <f>IF(AND(282&gt;=$NR$20,282&lt;=$NS$20),IF($NP$20="Single_Point",IF(282=$NR$20,$NN$20,0),IF($NP$20="Bell_Curve",$NN$20*(282-$NR$20+1)*($NS$20-282+1)/$NU$20,$NN$20/$NT$20)),0)</f>
        <v/>
      </c>
      <c r="KA20" s="228">
        <f>IF(AND(283&gt;=$NR$20,283&lt;=$NS$20),IF($NP$20="Single_Point",IF(283=$NR$20,$NN$20,0),IF($NP$20="Bell_Curve",$NN$20*(283-$NR$20+1)*($NS$20-283+1)/$NU$20,$NN$20/$NT$20)),0)</f>
        <v/>
      </c>
      <c r="KB20" s="228">
        <f>IF(AND(284&gt;=$NR$20,284&lt;=$NS$20),IF($NP$20="Single_Point",IF(284=$NR$20,$NN$20,0),IF($NP$20="Bell_Curve",$NN$20*(284-$NR$20+1)*($NS$20-284+1)/$NU$20,$NN$20/$NT$20)),0)</f>
        <v/>
      </c>
      <c r="KC20" s="228">
        <f>IF(AND(285&gt;=$NR$20,285&lt;=$NS$20),IF($NP$20="Single_Point",IF(285=$NR$20,$NN$20,0),IF($NP$20="Bell_Curve",$NN$20*(285-$NR$20+1)*($NS$20-285+1)/$NU$20,$NN$20/$NT$20)),0)</f>
        <v/>
      </c>
      <c r="KD20" s="228">
        <f>IF(AND(286&gt;=$NR$20,286&lt;=$NS$20),IF($NP$20="Single_Point",IF(286=$NR$20,$NN$20,0),IF($NP$20="Bell_Curve",$NN$20*(286-$NR$20+1)*($NS$20-286+1)/$NU$20,$NN$20/$NT$20)),0)</f>
        <v/>
      </c>
      <c r="KE20" s="228">
        <f>IF(AND(287&gt;=$NR$20,287&lt;=$NS$20),IF($NP$20="Single_Point",IF(287=$NR$20,$NN$20,0),IF($NP$20="Bell_Curve",$NN$20*(287-$NR$20+1)*($NS$20-287+1)/$NU$20,$NN$20/$NT$20)),0)</f>
        <v/>
      </c>
      <c r="KF20" s="228">
        <f>IF(AND(288&gt;=$NR$20,288&lt;=$NS$20),IF($NP$20="Single_Point",IF(288=$NR$20,$NN$20,0),IF($NP$20="Bell_Curve",$NN$20*(288-$NR$20+1)*($NS$20-288+1)/$NU$20,$NN$20/$NT$20)),0)</f>
        <v/>
      </c>
      <c r="KG20" s="228">
        <f>IF(AND(289&gt;=$NR$20,289&lt;=$NS$20),IF($NP$20="Single_Point",IF(289=$NR$20,$NN$20,0),IF($NP$20="Bell_Curve",$NN$20*(289-$NR$20+1)*($NS$20-289+1)/$NU$20,$NN$20/$NT$20)),0)</f>
        <v/>
      </c>
      <c r="KH20" s="228">
        <f>IF(AND(290&gt;=$NR$20,290&lt;=$NS$20),IF($NP$20="Single_Point",IF(290=$NR$20,$NN$20,0),IF($NP$20="Bell_Curve",$NN$20*(290-$NR$20+1)*($NS$20-290+1)/$NU$20,$NN$20/$NT$20)),0)</f>
        <v/>
      </c>
      <c r="KI20" s="228">
        <f>IF(AND(291&gt;=$NR$20,291&lt;=$NS$20),IF($NP$20="Single_Point",IF(291=$NR$20,$NN$20,0),IF($NP$20="Bell_Curve",$NN$20*(291-$NR$20+1)*($NS$20-291+1)/$NU$20,$NN$20/$NT$20)),0)</f>
        <v/>
      </c>
      <c r="KJ20" s="228">
        <f>IF(AND(292&gt;=$NR$20,292&lt;=$NS$20),IF($NP$20="Single_Point",IF(292=$NR$20,$NN$20,0),IF($NP$20="Bell_Curve",$NN$20*(292-$NR$20+1)*($NS$20-292+1)/$NU$20,$NN$20/$NT$20)),0)</f>
        <v/>
      </c>
      <c r="KK20" s="228">
        <f>IF(AND(293&gt;=$NR$20,293&lt;=$NS$20),IF($NP$20="Single_Point",IF(293=$NR$20,$NN$20,0),IF($NP$20="Bell_Curve",$NN$20*(293-$NR$20+1)*($NS$20-293+1)/$NU$20,$NN$20/$NT$20)),0)</f>
        <v/>
      </c>
      <c r="KL20" s="228">
        <f>IF(AND(294&gt;=$NR$20,294&lt;=$NS$20),IF($NP$20="Single_Point",IF(294=$NR$20,$NN$20,0),IF($NP$20="Bell_Curve",$NN$20*(294-$NR$20+1)*($NS$20-294+1)/$NU$20,$NN$20/$NT$20)),0)</f>
        <v/>
      </c>
      <c r="KM20" s="228">
        <f>IF(AND(295&gt;=$NR$20,295&lt;=$NS$20),IF($NP$20="Single_Point",IF(295=$NR$20,$NN$20,0),IF($NP$20="Bell_Curve",$NN$20*(295-$NR$20+1)*($NS$20-295+1)/$NU$20,$NN$20/$NT$20)),0)</f>
        <v/>
      </c>
      <c r="KN20" s="228">
        <f>IF(AND(296&gt;=$NR$20,296&lt;=$NS$20),IF($NP$20="Single_Point",IF(296=$NR$20,$NN$20,0),IF($NP$20="Bell_Curve",$NN$20*(296-$NR$20+1)*($NS$20-296+1)/$NU$20,$NN$20/$NT$20)),0)</f>
        <v/>
      </c>
      <c r="KO20" s="228">
        <f>IF(AND(297&gt;=$NR$20,297&lt;=$NS$20),IF($NP$20="Single_Point",IF(297=$NR$20,$NN$20,0),IF($NP$20="Bell_Curve",$NN$20*(297-$NR$20+1)*($NS$20-297+1)/$NU$20,$NN$20/$NT$20)),0)</f>
        <v/>
      </c>
      <c r="KP20" s="228">
        <f>IF(AND(298&gt;=$NR$20,298&lt;=$NS$20),IF($NP$20="Single_Point",IF(298=$NR$20,$NN$20,0),IF($NP$20="Bell_Curve",$NN$20*(298-$NR$20+1)*($NS$20-298+1)/$NU$20,$NN$20/$NT$20)),0)</f>
        <v/>
      </c>
      <c r="KQ20" s="228">
        <f>IF(AND(299&gt;=$NR$20,299&lt;=$NS$20),IF($NP$20="Single_Point",IF(299=$NR$20,$NN$20,0),IF($NP$20="Bell_Curve",$NN$20*(299-$NR$20+1)*($NS$20-299+1)/$NU$20,$NN$20/$NT$20)),0)</f>
        <v/>
      </c>
      <c r="KR20" s="228">
        <f>IF(AND(300&gt;=$NR$20,300&lt;=$NS$20),IF($NP$20="Single_Point",IF(300=$NR$20,$NN$20,0),IF($NP$20="Bell_Curve",$NN$20*(300-$NR$20+1)*($NS$20-300+1)/$NU$20,$NN$20/$NT$20)),0)</f>
        <v/>
      </c>
      <c r="KS20" s="228">
        <f>IF(AND(301&gt;=$NR$20,301&lt;=$NS$20),IF($NP$20="Single_Point",IF(301=$NR$20,$NN$20,0),IF($NP$20="Bell_Curve",$NN$20*(301-$NR$20+1)*($NS$20-301+1)/$NU$20,$NN$20/$NT$20)),0)</f>
        <v/>
      </c>
      <c r="KT20" s="228">
        <f>IF(AND(302&gt;=$NR$20,302&lt;=$NS$20),IF($NP$20="Single_Point",IF(302=$NR$20,$NN$20,0),IF($NP$20="Bell_Curve",$NN$20*(302-$NR$20+1)*($NS$20-302+1)/$NU$20,$NN$20/$NT$20)),0)</f>
        <v/>
      </c>
      <c r="KU20" s="228">
        <f>IF(AND(303&gt;=$NR$20,303&lt;=$NS$20),IF($NP$20="Single_Point",IF(303=$NR$20,$NN$20,0),IF($NP$20="Bell_Curve",$NN$20*(303-$NR$20+1)*($NS$20-303+1)/$NU$20,$NN$20/$NT$20)),0)</f>
        <v/>
      </c>
      <c r="KV20" s="228">
        <f>IF(AND(304&gt;=$NR$20,304&lt;=$NS$20),IF($NP$20="Single_Point",IF(304=$NR$20,$NN$20,0),IF($NP$20="Bell_Curve",$NN$20*(304-$NR$20+1)*($NS$20-304+1)/$NU$20,$NN$20/$NT$20)),0)</f>
        <v/>
      </c>
      <c r="KW20" s="228">
        <f>IF(AND(305&gt;=$NR$20,305&lt;=$NS$20),IF($NP$20="Single_Point",IF(305=$NR$20,$NN$20,0),IF($NP$20="Bell_Curve",$NN$20*(305-$NR$20+1)*($NS$20-305+1)/$NU$20,$NN$20/$NT$20)),0)</f>
        <v/>
      </c>
      <c r="KX20" s="228">
        <f>IF(AND(306&gt;=$NR$20,306&lt;=$NS$20),IF($NP$20="Single_Point",IF(306=$NR$20,$NN$20,0),IF($NP$20="Bell_Curve",$NN$20*(306-$NR$20+1)*($NS$20-306+1)/$NU$20,$NN$20/$NT$20)),0)</f>
        <v/>
      </c>
      <c r="KY20" s="228">
        <f>IF(AND(307&gt;=$NR$20,307&lt;=$NS$20),IF($NP$20="Single_Point",IF(307=$NR$20,$NN$20,0),IF($NP$20="Bell_Curve",$NN$20*(307-$NR$20+1)*($NS$20-307+1)/$NU$20,$NN$20/$NT$20)),0)</f>
        <v/>
      </c>
      <c r="KZ20" s="228">
        <f>IF(AND(308&gt;=$NR$20,308&lt;=$NS$20),IF($NP$20="Single_Point",IF(308=$NR$20,$NN$20,0),IF($NP$20="Bell_Curve",$NN$20*(308-$NR$20+1)*($NS$20-308+1)/$NU$20,$NN$20/$NT$20)),0)</f>
        <v/>
      </c>
      <c r="LA20" s="228">
        <f>IF(AND(309&gt;=$NR$20,309&lt;=$NS$20),IF($NP$20="Single_Point",IF(309=$NR$20,$NN$20,0),IF($NP$20="Bell_Curve",$NN$20*(309-$NR$20+1)*($NS$20-309+1)/$NU$20,$NN$20/$NT$20)),0)</f>
        <v/>
      </c>
      <c r="LB20" s="228">
        <f>IF(AND(310&gt;=$NR$20,310&lt;=$NS$20),IF($NP$20="Single_Point",IF(310=$NR$20,$NN$20,0),IF($NP$20="Bell_Curve",$NN$20*(310-$NR$20+1)*($NS$20-310+1)/$NU$20,$NN$20/$NT$20)),0)</f>
        <v/>
      </c>
      <c r="LC20" s="228">
        <f>IF(AND(311&gt;=$NR$20,311&lt;=$NS$20),IF($NP$20="Single_Point",IF(311=$NR$20,$NN$20,0),IF($NP$20="Bell_Curve",$NN$20*(311-$NR$20+1)*($NS$20-311+1)/$NU$20,$NN$20/$NT$20)),0)</f>
        <v/>
      </c>
      <c r="LD20" s="228">
        <f>IF(AND(312&gt;=$NR$20,312&lt;=$NS$20),IF($NP$20="Single_Point",IF(312=$NR$20,$NN$20,0),IF($NP$20="Bell_Curve",$NN$20*(312-$NR$20+1)*($NS$20-312+1)/$NU$20,$NN$20/$NT$20)),0)</f>
        <v/>
      </c>
      <c r="LE20" s="228">
        <f>IF(AND(313&gt;=$NR$20,313&lt;=$NS$20),IF($NP$20="Single_Point",IF(313=$NR$20,$NN$20,0),IF($NP$20="Bell_Curve",$NN$20*(313-$NR$20+1)*($NS$20-313+1)/$NU$20,$NN$20/$NT$20)),0)</f>
        <v/>
      </c>
      <c r="LF20" s="228">
        <f>IF(AND(314&gt;=$NR$20,314&lt;=$NS$20),IF($NP$20="Single_Point",IF(314=$NR$20,$NN$20,0),IF($NP$20="Bell_Curve",$NN$20*(314-$NR$20+1)*($NS$20-314+1)/$NU$20,$NN$20/$NT$20)),0)</f>
        <v/>
      </c>
      <c r="LG20" s="228">
        <f>IF(AND(315&gt;=$NR$20,315&lt;=$NS$20),IF($NP$20="Single_Point",IF(315=$NR$20,$NN$20,0),IF($NP$20="Bell_Curve",$NN$20*(315-$NR$20+1)*($NS$20-315+1)/$NU$20,$NN$20/$NT$20)),0)</f>
        <v/>
      </c>
      <c r="LH20" s="228">
        <f>IF(AND(316&gt;=$NR$20,316&lt;=$NS$20),IF($NP$20="Single_Point",IF(316=$NR$20,$NN$20,0),IF($NP$20="Bell_Curve",$NN$20*(316-$NR$20+1)*($NS$20-316+1)/$NU$20,$NN$20/$NT$20)),0)</f>
        <v/>
      </c>
      <c r="LI20" s="228">
        <f>IF(AND(317&gt;=$NR$20,317&lt;=$NS$20),IF($NP$20="Single_Point",IF(317=$NR$20,$NN$20,0),IF($NP$20="Bell_Curve",$NN$20*(317-$NR$20+1)*($NS$20-317+1)/$NU$20,$NN$20/$NT$20)),0)</f>
        <v/>
      </c>
      <c r="LJ20" s="228">
        <f>IF(AND(318&gt;=$NR$20,318&lt;=$NS$20),IF($NP$20="Single_Point",IF(318=$NR$20,$NN$20,0),IF($NP$20="Bell_Curve",$NN$20*(318-$NR$20+1)*($NS$20-318+1)/$NU$20,$NN$20/$NT$20)),0)</f>
        <v/>
      </c>
      <c r="LK20" s="228">
        <f>IF(AND(319&gt;=$NR$20,319&lt;=$NS$20),IF($NP$20="Single_Point",IF(319=$NR$20,$NN$20,0),IF($NP$20="Bell_Curve",$NN$20*(319-$NR$20+1)*($NS$20-319+1)/$NU$20,$NN$20/$NT$20)),0)</f>
        <v/>
      </c>
      <c r="LL20" s="228">
        <f>IF(AND(320&gt;=$NR$20,320&lt;=$NS$20),IF($NP$20="Single_Point",IF(320=$NR$20,$NN$20,0),IF($NP$20="Bell_Curve",$NN$20*(320-$NR$20+1)*($NS$20-320+1)/$NU$20,$NN$20/$NT$20)),0)</f>
        <v/>
      </c>
      <c r="LM20" s="228">
        <f>IF(AND(321&gt;=$NR$20,321&lt;=$NS$20),IF($NP$20="Single_Point",IF(321=$NR$20,$NN$20,0),IF($NP$20="Bell_Curve",$NN$20*(321-$NR$20+1)*($NS$20-321+1)/$NU$20,$NN$20/$NT$20)),0)</f>
        <v/>
      </c>
      <c r="LN20" s="228">
        <f>IF(AND(322&gt;=$NR$20,322&lt;=$NS$20),IF($NP$20="Single_Point",IF(322=$NR$20,$NN$20,0),IF($NP$20="Bell_Curve",$NN$20*(322-$NR$20+1)*($NS$20-322+1)/$NU$20,$NN$20/$NT$20)),0)</f>
        <v/>
      </c>
      <c r="LO20" s="228">
        <f>IF(AND(323&gt;=$NR$20,323&lt;=$NS$20),IF($NP$20="Single_Point",IF(323=$NR$20,$NN$20,0),IF($NP$20="Bell_Curve",$NN$20*(323-$NR$20+1)*($NS$20-323+1)/$NU$20,$NN$20/$NT$20)),0)</f>
        <v/>
      </c>
      <c r="LP20" s="228">
        <f>IF(AND(324&gt;=$NR$20,324&lt;=$NS$20),IF($NP$20="Single_Point",IF(324=$NR$20,$NN$20,0),IF($NP$20="Bell_Curve",$NN$20*(324-$NR$20+1)*($NS$20-324+1)/$NU$20,$NN$20/$NT$20)),0)</f>
        <v/>
      </c>
      <c r="LQ20" s="228">
        <f>IF(AND(325&gt;=$NR$20,325&lt;=$NS$20),IF($NP$20="Single_Point",IF(325=$NR$20,$NN$20,0),IF($NP$20="Bell_Curve",$NN$20*(325-$NR$20+1)*($NS$20-325+1)/$NU$20,$NN$20/$NT$20)),0)</f>
        <v/>
      </c>
      <c r="LR20" s="228">
        <f>IF(AND(326&gt;=$NR$20,326&lt;=$NS$20),IF($NP$20="Single_Point",IF(326=$NR$20,$NN$20,0),IF($NP$20="Bell_Curve",$NN$20*(326-$NR$20+1)*($NS$20-326+1)/$NU$20,$NN$20/$NT$20)),0)</f>
        <v/>
      </c>
      <c r="LS20" s="228">
        <f>IF(AND(327&gt;=$NR$20,327&lt;=$NS$20),IF($NP$20="Single_Point",IF(327=$NR$20,$NN$20,0),IF($NP$20="Bell_Curve",$NN$20*(327-$NR$20+1)*($NS$20-327+1)/$NU$20,$NN$20/$NT$20)),0)</f>
        <v/>
      </c>
      <c r="LT20" s="228">
        <f>IF(AND(328&gt;=$NR$20,328&lt;=$NS$20),IF($NP$20="Single_Point",IF(328=$NR$20,$NN$20,0),IF($NP$20="Bell_Curve",$NN$20*(328-$NR$20+1)*($NS$20-328+1)/$NU$20,$NN$20/$NT$20)),0)</f>
        <v/>
      </c>
      <c r="LU20" s="228">
        <f>IF(AND(329&gt;=$NR$20,329&lt;=$NS$20),IF($NP$20="Single_Point",IF(329=$NR$20,$NN$20,0),IF($NP$20="Bell_Curve",$NN$20*(329-$NR$20+1)*($NS$20-329+1)/$NU$20,$NN$20/$NT$20)),0)</f>
        <v/>
      </c>
      <c r="LV20" s="228">
        <f>IF(AND(330&gt;=$NR$20,330&lt;=$NS$20),IF($NP$20="Single_Point",IF(330=$NR$20,$NN$20,0),IF($NP$20="Bell_Curve",$NN$20*(330-$NR$20+1)*($NS$20-330+1)/$NU$20,$NN$20/$NT$20)),0)</f>
        <v/>
      </c>
      <c r="LW20" s="228">
        <f>IF(AND(331&gt;=$NR$20,331&lt;=$NS$20),IF($NP$20="Single_Point",IF(331=$NR$20,$NN$20,0),IF($NP$20="Bell_Curve",$NN$20*(331-$NR$20+1)*($NS$20-331+1)/$NU$20,$NN$20/$NT$20)),0)</f>
        <v/>
      </c>
      <c r="LX20" s="228">
        <f>IF(AND(332&gt;=$NR$20,332&lt;=$NS$20),IF($NP$20="Single_Point",IF(332=$NR$20,$NN$20,0),IF($NP$20="Bell_Curve",$NN$20*(332-$NR$20+1)*($NS$20-332+1)/$NU$20,$NN$20/$NT$20)),0)</f>
        <v/>
      </c>
      <c r="LY20" s="228">
        <f>IF(AND(333&gt;=$NR$20,333&lt;=$NS$20),IF($NP$20="Single_Point",IF(333=$NR$20,$NN$20,0),IF($NP$20="Bell_Curve",$NN$20*(333-$NR$20+1)*($NS$20-333+1)/$NU$20,$NN$20/$NT$20)),0)</f>
        <v/>
      </c>
      <c r="LZ20" s="228">
        <f>IF(AND(334&gt;=$NR$20,334&lt;=$NS$20),IF($NP$20="Single_Point",IF(334=$NR$20,$NN$20,0),IF($NP$20="Bell_Curve",$NN$20*(334-$NR$20+1)*($NS$20-334+1)/$NU$20,$NN$20/$NT$20)),0)</f>
        <v/>
      </c>
      <c r="MA20" s="228">
        <f>IF(AND(335&gt;=$NR$20,335&lt;=$NS$20),IF($NP$20="Single_Point",IF(335=$NR$20,$NN$20,0),IF($NP$20="Bell_Curve",$NN$20*(335-$NR$20+1)*($NS$20-335+1)/$NU$20,$NN$20/$NT$20)),0)</f>
        <v/>
      </c>
      <c r="MB20" s="228">
        <f>IF(AND(336&gt;=$NR$20,336&lt;=$NS$20),IF($NP$20="Single_Point",IF(336=$NR$20,$NN$20,0),IF($NP$20="Bell_Curve",$NN$20*(336-$NR$20+1)*($NS$20-336+1)/$NU$20,$NN$20/$NT$20)),0)</f>
        <v/>
      </c>
      <c r="MC20" s="228">
        <f>IF(AND(337&gt;=$NR$20,337&lt;=$NS$20),IF($NP$20="Single_Point",IF(337=$NR$20,$NN$20,0),IF($NP$20="Bell_Curve",$NN$20*(337-$NR$20+1)*($NS$20-337+1)/$NU$20,$NN$20/$NT$20)),0)</f>
        <v/>
      </c>
      <c r="MD20" s="228">
        <f>IF(AND(338&gt;=$NR$20,338&lt;=$NS$20),IF($NP$20="Single_Point",IF(338=$NR$20,$NN$20,0),IF($NP$20="Bell_Curve",$NN$20*(338-$NR$20+1)*($NS$20-338+1)/$NU$20,$NN$20/$NT$20)),0)</f>
        <v/>
      </c>
      <c r="ME20" s="228">
        <f>IF(AND(339&gt;=$NR$20,339&lt;=$NS$20),IF($NP$20="Single_Point",IF(339=$NR$20,$NN$20,0),IF($NP$20="Bell_Curve",$NN$20*(339-$NR$20+1)*($NS$20-339+1)/$NU$20,$NN$20/$NT$20)),0)</f>
        <v/>
      </c>
      <c r="MF20" s="228">
        <f>IF(AND(340&gt;=$NR$20,340&lt;=$NS$20),IF($NP$20="Single_Point",IF(340=$NR$20,$NN$20,0),IF($NP$20="Bell_Curve",$NN$20*(340-$NR$20+1)*($NS$20-340+1)/$NU$20,$NN$20/$NT$20)),0)</f>
        <v/>
      </c>
      <c r="MG20" s="228">
        <f>IF(AND(341&gt;=$NR$20,341&lt;=$NS$20),IF($NP$20="Single_Point",IF(341=$NR$20,$NN$20,0),IF($NP$20="Bell_Curve",$NN$20*(341-$NR$20+1)*($NS$20-341+1)/$NU$20,$NN$20/$NT$20)),0)</f>
        <v/>
      </c>
      <c r="MH20" s="228">
        <f>IF(AND(342&gt;=$NR$20,342&lt;=$NS$20),IF($NP$20="Single_Point",IF(342=$NR$20,$NN$20,0),IF($NP$20="Bell_Curve",$NN$20*(342-$NR$20+1)*($NS$20-342+1)/$NU$20,$NN$20/$NT$20)),0)</f>
        <v/>
      </c>
      <c r="MI20" s="228">
        <f>IF(AND(343&gt;=$NR$20,343&lt;=$NS$20),IF($NP$20="Single_Point",IF(343=$NR$20,$NN$20,0),IF($NP$20="Bell_Curve",$NN$20*(343-$NR$20+1)*($NS$20-343+1)/$NU$20,$NN$20/$NT$20)),0)</f>
        <v/>
      </c>
      <c r="MJ20" s="228">
        <f>IF(AND(344&gt;=$NR$20,344&lt;=$NS$20),IF($NP$20="Single_Point",IF(344=$NR$20,$NN$20,0),IF($NP$20="Bell_Curve",$NN$20*(344-$NR$20+1)*($NS$20-344+1)/$NU$20,$NN$20/$NT$20)),0)</f>
        <v/>
      </c>
      <c r="MK20" s="228">
        <f>IF(AND(345&gt;=$NR$20,345&lt;=$NS$20),IF($NP$20="Single_Point",IF(345=$NR$20,$NN$20,0),IF($NP$20="Bell_Curve",$NN$20*(345-$NR$20+1)*($NS$20-345+1)/$NU$20,$NN$20/$NT$20)),0)</f>
        <v/>
      </c>
      <c r="ML20" s="228">
        <f>IF(AND(346&gt;=$NR$20,346&lt;=$NS$20),IF($NP$20="Single_Point",IF(346=$NR$20,$NN$20,0),IF($NP$20="Bell_Curve",$NN$20*(346-$NR$20+1)*($NS$20-346+1)/$NU$20,$NN$20/$NT$20)),0)</f>
        <v/>
      </c>
      <c r="MM20" s="228">
        <f>IF(AND(347&gt;=$NR$20,347&lt;=$NS$20),IF($NP$20="Single_Point",IF(347=$NR$20,$NN$20,0),IF($NP$20="Bell_Curve",$NN$20*(347-$NR$20+1)*($NS$20-347+1)/$NU$20,$NN$20/$NT$20)),0)</f>
        <v/>
      </c>
      <c r="MN20" s="228">
        <f>IF(AND(348&gt;=$NR$20,348&lt;=$NS$20),IF($NP$20="Single_Point",IF(348=$NR$20,$NN$20,0),IF($NP$20="Bell_Curve",$NN$20*(348-$NR$20+1)*($NS$20-348+1)/$NU$20,$NN$20/$NT$20)),0)</f>
        <v/>
      </c>
      <c r="MO20" s="228">
        <f>IF(AND(349&gt;=$NR$20,349&lt;=$NS$20),IF($NP$20="Single_Point",IF(349=$NR$20,$NN$20,0),IF($NP$20="Bell_Curve",$NN$20*(349-$NR$20+1)*($NS$20-349+1)/$NU$20,$NN$20/$NT$20)),0)</f>
        <v/>
      </c>
      <c r="MP20" s="228">
        <f>IF(AND(350&gt;=$NR$20,350&lt;=$NS$20),IF($NP$20="Single_Point",IF(350=$NR$20,$NN$20,0),IF($NP$20="Bell_Curve",$NN$20*(350-$NR$20+1)*($NS$20-350+1)/$NU$20,$NN$20/$NT$20)),0)</f>
        <v/>
      </c>
      <c r="MQ20" s="228">
        <f>IF(AND(351&gt;=$NR$20,351&lt;=$NS$20),IF($NP$20="Single_Point",IF(351=$NR$20,$NN$20,0),IF($NP$20="Bell_Curve",$NN$20*(351-$NR$20+1)*($NS$20-351+1)/$NU$20,$NN$20/$NT$20)),0)</f>
        <v/>
      </c>
      <c r="MR20" s="228">
        <f>IF(AND(352&gt;=$NR$20,352&lt;=$NS$20),IF($NP$20="Single_Point",IF(352=$NR$20,$NN$20,0),IF($NP$20="Bell_Curve",$NN$20*(352-$NR$20+1)*($NS$20-352+1)/$NU$20,$NN$20/$NT$20)),0)</f>
        <v/>
      </c>
      <c r="MS20" s="228">
        <f>IF(AND(353&gt;=$NR$20,353&lt;=$NS$20),IF($NP$20="Single_Point",IF(353=$NR$20,$NN$20,0),IF($NP$20="Bell_Curve",$NN$20*(353-$NR$20+1)*($NS$20-353+1)/$NU$20,$NN$20/$NT$20)),0)</f>
        <v/>
      </c>
      <c r="MT20" s="228">
        <f>IF(AND(354&gt;=$NR$20,354&lt;=$NS$20),IF($NP$20="Single_Point",IF(354=$NR$20,$NN$20,0),IF($NP$20="Bell_Curve",$NN$20*(354-$NR$20+1)*($NS$20-354+1)/$NU$20,$NN$20/$NT$20)),0)</f>
        <v/>
      </c>
      <c r="MU20" s="228">
        <f>IF(AND(355&gt;=$NR$20,355&lt;=$NS$20),IF($NP$20="Single_Point",IF(355=$NR$20,$NN$20,0),IF($NP$20="Bell_Curve",$NN$20*(355-$NR$20+1)*($NS$20-355+1)/$NU$20,$NN$20/$NT$20)),0)</f>
        <v/>
      </c>
      <c r="MV20" s="228">
        <f>IF(AND(356&gt;=$NR$20,356&lt;=$NS$20),IF($NP$20="Single_Point",IF(356=$NR$20,$NN$20,0),IF($NP$20="Bell_Curve",$NN$20*(356-$NR$20+1)*($NS$20-356+1)/$NU$20,$NN$20/$NT$20)),0)</f>
        <v/>
      </c>
      <c r="MW20" s="228">
        <f>IF(AND(357&gt;=$NR$20,357&lt;=$NS$20),IF($NP$20="Single_Point",IF(357=$NR$20,$NN$20,0),IF($NP$20="Bell_Curve",$NN$20*(357-$NR$20+1)*($NS$20-357+1)/$NU$20,$NN$20/$NT$20)),0)</f>
        <v/>
      </c>
      <c r="MX20" s="228">
        <f>IF(AND(358&gt;=$NR$20,358&lt;=$NS$20),IF($NP$20="Single_Point",IF(358=$NR$20,$NN$20,0),IF($NP$20="Bell_Curve",$NN$20*(358-$NR$20+1)*($NS$20-358+1)/$NU$20,$NN$20/$NT$20)),0)</f>
        <v/>
      </c>
      <c r="MY20" s="228">
        <f>IF(AND(359&gt;=$NR$20,359&lt;=$NS$20),IF($NP$20="Single_Point",IF(359=$NR$20,$NN$20,0),IF($NP$20="Bell_Curve",$NN$20*(359-$NR$20+1)*($NS$20-359+1)/$NU$20,$NN$20/$NT$20)),0)</f>
        <v/>
      </c>
      <c r="MZ20" s="228">
        <f>IF(AND(360&gt;=$NR$20,360&lt;=$NS$20),IF($NP$20="Single_Point",IF(360=$NR$20,$NN$20,0),IF($NP$20="Bell_Curve",$NN$20*(360-$NR$20+1)*($NS$20-360+1)/$NU$20,$NN$20/$NT$20)),0)</f>
        <v/>
      </c>
      <c r="NA20" s="228">
        <f>IF(AND(361&gt;=$NR$20,361&lt;=$NS$20),IF($NP$20="Single_Point",IF(361=$NR$20,$NN$20,0),IF($NP$20="Bell_Curve",$NN$20*(361-$NR$20+1)*($NS$20-361+1)/$NU$20,$NN$20/$NT$20)),0)</f>
        <v/>
      </c>
      <c r="NB20" s="228">
        <f>IF(AND(362&gt;=$NR$20,362&lt;=$NS$20),IF($NP$20="Single_Point",IF(362=$NR$20,$NN$20,0),IF($NP$20="Bell_Curve",$NN$20*(362-$NR$20+1)*($NS$20-362+1)/$NU$20,$NN$20/$NT$20)),0)</f>
        <v/>
      </c>
      <c r="NC20" s="228">
        <f>IF(AND(363&gt;=$NR$20,363&lt;=$NS$20),IF($NP$20="Single_Point",IF(363=$NR$20,$NN$20,0),IF($NP$20="Bell_Curve",$NN$20*(363-$NR$20+1)*($NS$20-363+1)/$NU$20,$NN$20/$NT$20)),0)</f>
        <v/>
      </c>
      <c r="ND20" s="228">
        <f>IF(AND(364&gt;=$NR$20,364&lt;=$NS$20),IF($NP$20="Single_Point",IF(364=$NR$20,$NN$20,0),IF($NP$20="Bell_Curve",$NN$20*(364-$NR$20+1)*($NS$20-364+1)/$NU$20,$NN$20/$NT$20)),0)</f>
        <v/>
      </c>
      <c r="NE20" s="228">
        <f>IF(AND(365&gt;=$NR$20,365&lt;=$NS$20),IF($NP$20="Single_Point",IF(365=$NR$20,$NN$20,0),IF($NP$20="Bell_Curve",$NN$20*(365-$NR$20+1)*($NS$20-365+1)/$NU$20,$NN$20/$NT$20)),0)</f>
        <v/>
      </c>
      <c r="NF20" s="228">
        <f>IF(AND(366&gt;=$NR$20,366&lt;=$NS$20),IF($NP$20="Single_Point",IF(366=$NR$20,$NN$20,0),IF($NP$20="Bell_Curve",$NN$20*(366-$NR$20+1)*($NS$20-366+1)/$NU$20,$NN$20/$NT$20)),0)</f>
        <v/>
      </c>
      <c r="NG20" s="228">
        <f>IF(AND(367&gt;=$NR$20,367&lt;=$NS$20),IF($NP$20="Single_Point",IF(367=$NR$20,$NN$20,0),IF($NP$20="Bell_Curve",$NN$20*(367-$NR$20+1)*($NS$20-367+1)/$NU$20,$NN$20/$NT$20)),0)</f>
        <v/>
      </c>
      <c r="NH20" s="228">
        <f>IF(AND(368&gt;=$NR$20,368&lt;=$NS$20),IF($NP$20="Single_Point",IF(368=$NR$20,$NN$20,0),IF($NP$20="Bell_Curve",$NN$20*(368-$NR$20+1)*($NS$20-368+1)/$NU$20,$NN$20/$NT$20)),0)</f>
        <v/>
      </c>
      <c r="NI20" s="228">
        <f>IF(AND(369&gt;=$NR$20,369&lt;=$NS$20),IF($NP$20="Single_Point",IF(369=$NR$20,$NN$20,0),IF($NP$20="Bell_Curve",$NN$20*(369-$NR$20+1)*($NS$20-369+1)/$NU$20,$NN$20/$NT$20)),0)</f>
        <v/>
      </c>
      <c r="NJ20" s="228">
        <f>IF(AND(370&gt;=$NR$20,370&lt;=$NS$20),IF($NP$20="Single_Point",IF(370=$NR$20,$NN$20,0),IF($NP$20="Bell_Curve",$NN$20*(370-$NR$20+1)*($NS$20-370+1)/$NU$20,$NN$20/$NT$20)),0)</f>
        <v/>
      </c>
      <c r="NK20" s="228">
        <f>IF(AND(371&gt;=$NR$20,371&lt;=$NS$20),IF($NP$20="Single_Point",IF(371=$NR$20,$NN$20,0),IF($NP$20="Bell_Curve",$NN$20*(371-$NR$20+1)*($NS$20-371+1)/$NU$20,$NN$20/$NT$20)),0)</f>
        <v/>
      </c>
      <c r="NL20" s="247">
        <f>IF(AND(372&gt;=$NR$20,372&lt;=$NS$20),IF($NP$20="Single_Point",IF(372=$NR$20,$NN$20,0),IF($NP$20="Bell_Curve",$NN$20*(372-$NR$20+1)*($NS$20-372+1)/$NU$20,$NN$20/$NT$20)),0)</f>
        <v/>
      </c>
      <c r="NN20" s="218">
        <f>Budget!J19</f>
        <v/>
      </c>
      <c r="NO20" s="144">
        <f>Budget!G19</f>
        <v/>
      </c>
      <c r="NP20" s="144">
        <f>Budget!H19</f>
        <v/>
      </c>
      <c r="NQ20" s="85">
        <f>Budget!I19</f>
        <v/>
      </c>
      <c r="NR20" s="248">
        <f>MAX(1,MIN(372,INDEX(MilestoneStart,MATCH(NO20,MilestoneNames,0))+NQ20))</f>
        <v/>
      </c>
      <c r="NS20" s="248">
        <f>MAX(NR20,MIN(372,INDEX(MilestoneEnd,MATCH(NO20,MilestoneNames,0))+NQ20))</f>
        <v/>
      </c>
      <c r="NT20" s="85">
        <f>NS20-NR20+1</f>
        <v/>
      </c>
      <c r="NU20" s="85">
        <f>NT20*(NT20+1)*(NT20+2)/6</f>
        <v/>
      </c>
    </row>
    <row r="21">
      <c r="B21" s="36" t="inlineStr">
        <is>
          <t>Other Soft Cost 1 - FF&amp;E</t>
        </is>
      </c>
      <c r="D21" s="246">
        <f>SUM(E21:NL21)</f>
        <v/>
      </c>
      <c r="E21" s="228">
        <f>IF(AND(1&gt;=$NR$21,1&lt;=$NS$21),IF($NP$21="Single_Point",IF(1=$NR$21,$NN$21,0),IF($NP$21="Bell_Curve",$NN$21*(1-$NR$21+1)*($NS$21-1+1)/$NU$21,$NN$21/$NT$21)),0)</f>
        <v/>
      </c>
      <c r="F21" s="228">
        <f>IF(AND(2&gt;=$NR$21,2&lt;=$NS$21),IF($NP$21="Single_Point",IF(2=$NR$21,$NN$21,0),IF($NP$21="Bell_Curve",$NN$21*(2-$NR$21+1)*($NS$21-2+1)/$NU$21,$NN$21/$NT$21)),0)</f>
        <v/>
      </c>
      <c r="G21" s="228">
        <f>IF(AND(3&gt;=$NR$21,3&lt;=$NS$21),IF($NP$21="Single_Point",IF(3=$NR$21,$NN$21,0),IF($NP$21="Bell_Curve",$NN$21*(3-$NR$21+1)*($NS$21-3+1)/$NU$21,$NN$21/$NT$21)),0)</f>
        <v/>
      </c>
      <c r="H21" s="228">
        <f>IF(AND(4&gt;=$NR$21,4&lt;=$NS$21),IF($NP$21="Single_Point",IF(4=$NR$21,$NN$21,0),IF($NP$21="Bell_Curve",$NN$21*(4-$NR$21+1)*($NS$21-4+1)/$NU$21,$NN$21/$NT$21)),0)</f>
        <v/>
      </c>
      <c r="I21" s="228">
        <f>IF(AND(5&gt;=$NR$21,5&lt;=$NS$21),IF($NP$21="Single_Point",IF(5=$NR$21,$NN$21,0),IF($NP$21="Bell_Curve",$NN$21*(5-$NR$21+1)*($NS$21-5+1)/$NU$21,$NN$21/$NT$21)),0)</f>
        <v/>
      </c>
      <c r="J21" s="228">
        <f>IF(AND(6&gt;=$NR$21,6&lt;=$NS$21),IF($NP$21="Single_Point",IF(6=$NR$21,$NN$21,0),IF($NP$21="Bell_Curve",$NN$21*(6-$NR$21+1)*($NS$21-6+1)/$NU$21,$NN$21/$NT$21)),0)</f>
        <v/>
      </c>
      <c r="K21" s="228">
        <f>IF(AND(7&gt;=$NR$21,7&lt;=$NS$21),IF($NP$21="Single_Point",IF(7=$NR$21,$NN$21,0),IF($NP$21="Bell_Curve",$NN$21*(7-$NR$21+1)*($NS$21-7+1)/$NU$21,$NN$21/$NT$21)),0)</f>
        <v/>
      </c>
      <c r="L21" s="228">
        <f>IF(AND(8&gt;=$NR$21,8&lt;=$NS$21),IF($NP$21="Single_Point",IF(8=$NR$21,$NN$21,0),IF($NP$21="Bell_Curve",$NN$21*(8-$NR$21+1)*($NS$21-8+1)/$NU$21,$NN$21/$NT$21)),0)</f>
        <v/>
      </c>
      <c r="M21" s="228">
        <f>IF(AND(9&gt;=$NR$21,9&lt;=$NS$21),IF($NP$21="Single_Point",IF(9=$NR$21,$NN$21,0),IF($NP$21="Bell_Curve",$NN$21*(9-$NR$21+1)*($NS$21-9+1)/$NU$21,$NN$21/$NT$21)),0)</f>
        <v/>
      </c>
      <c r="N21" s="228">
        <f>IF(AND(10&gt;=$NR$21,10&lt;=$NS$21),IF($NP$21="Single_Point",IF(10=$NR$21,$NN$21,0),IF($NP$21="Bell_Curve",$NN$21*(10-$NR$21+1)*($NS$21-10+1)/$NU$21,$NN$21/$NT$21)),0)</f>
        <v/>
      </c>
      <c r="O21" s="228">
        <f>IF(AND(11&gt;=$NR$21,11&lt;=$NS$21),IF($NP$21="Single_Point",IF(11=$NR$21,$NN$21,0),IF($NP$21="Bell_Curve",$NN$21*(11-$NR$21+1)*($NS$21-11+1)/$NU$21,$NN$21/$NT$21)),0)</f>
        <v/>
      </c>
      <c r="P21" s="228">
        <f>IF(AND(12&gt;=$NR$21,12&lt;=$NS$21),IF($NP$21="Single_Point",IF(12=$NR$21,$NN$21,0),IF($NP$21="Bell_Curve",$NN$21*(12-$NR$21+1)*($NS$21-12+1)/$NU$21,$NN$21/$NT$21)),0)</f>
        <v/>
      </c>
      <c r="Q21" s="228">
        <f>IF(AND(13&gt;=$NR$21,13&lt;=$NS$21),IF($NP$21="Single_Point",IF(13=$NR$21,$NN$21,0),IF($NP$21="Bell_Curve",$NN$21*(13-$NR$21+1)*($NS$21-13+1)/$NU$21,$NN$21/$NT$21)),0)</f>
        <v/>
      </c>
      <c r="R21" s="228">
        <f>IF(AND(14&gt;=$NR$21,14&lt;=$NS$21),IF($NP$21="Single_Point",IF(14=$NR$21,$NN$21,0),IF($NP$21="Bell_Curve",$NN$21*(14-$NR$21+1)*($NS$21-14+1)/$NU$21,$NN$21/$NT$21)),0)</f>
        <v/>
      </c>
      <c r="S21" s="228">
        <f>IF(AND(15&gt;=$NR$21,15&lt;=$NS$21),IF($NP$21="Single_Point",IF(15=$NR$21,$NN$21,0),IF($NP$21="Bell_Curve",$NN$21*(15-$NR$21+1)*($NS$21-15+1)/$NU$21,$NN$21/$NT$21)),0)</f>
        <v/>
      </c>
      <c r="T21" s="228">
        <f>IF(AND(16&gt;=$NR$21,16&lt;=$NS$21),IF($NP$21="Single_Point",IF(16=$NR$21,$NN$21,0),IF($NP$21="Bell_Curve",$NN$21*(16-$NR$21+1)*($NS$21-16+1)/$NU$21,$NN$21/$NT$21)),0)</f>
        <v/>
      </c>
      <c r="U21" s="228">
        <f>IF(AND(17&gt;=$NR$21,17&lt;=$NS$21),IF($NP$21="Single_Point",IF(17=$NR$21,$NN$21,0),IF($NP$21="Bell_Curve",$NN$21*(17-$NR$21+1)*($NS$21-17+1)/$NU$21,$NN$21/$NT$21)),0)</f>
        <v/>
      </c>
      <c r="V21" s="228">
        <f>IF(AND(18&gt;=$NR$21,18&lt;=$NS$21),IF($NP$21="Single_Point",IF(18=$NR$21,$NN$21,0),IF($NP$21="Bell_Curve",$NN$21*(18-$NR$21+1)*($NS$21-18+1)/$NU$21,$NN$21/$NT$21)),0)</f>
        <v/>
      </c>
      <c r="W21" s="228">
        <f>IF(AND(19&gt;=$NR$21,19&lt;=$NS$21),IF($NP$21="Single_Point",IF(19=$NR$21,$NN$21,0),IF($NP$21="Bell_Curve",$NN$21*(19-$NR$21+1)*($NS$21-19+1)/$NU$21,$NN$21/$NT$21)),0)</f>
        <v/>
      </c>
      <c r="X21" s="228">
        <f>IF(AND(20&gt;=$NR$21,20&lt;=$NS$21),IF($NP$21="Single_Point",IF(20=$NR$21,$NN$21,0),IF($NP$21="Bell_Curve",$NN$21*(20-$NR$21+1)*($NS$21-20+1)/$NU$21,$NN$21/$NT$21)),0)</f>
        <v/>
      </c>
      <c r="Y21" s="228">
        <f>IF(AND(21&gt;=$NR$21,21&lt;=$NS$21),IF($NP$21="Single_Point",IF(21=$NR$21,$NN$21,0),IF($NP$21="Bell_Curve",$NN$21*(21-$NR$21+1)*($NS$21-21+1)/$NU$21,$NN$21/$NT$21)),0)</f>
        <v/>
      </c>
      <c r="Z21" s="228">
        <f>IF(AND(22&gt;=$NR$21,22&lt;=$NS$21),IF($NP$21="Single_Point",IF(22=$NR$21,$NN$21,0),IF($NP$21="Bell_Curve",$NN$21*(22-$NR$21+1)*($NS$21-22+1)/$NU$21,$NN$21/$NT$21)),0)</f>
        <v/>
      </c>
      <c r="AA21" s="228">
        <f>IF(AND(23&gt;=$NR$21,23&lt;=$NS$21),IF($NP$21="Single_Point",IF(23=$NR$21,$NN$21,0),IF($NP$21="Bell_Curve",$NN$21*(23-$NR$21+1)*($NS$21-23+1)/$NU$21,$NN$21/$NT$21)),0)</f>
        <v/>
      </c>
      <c r="AB21" s="228">
        <f>IF(AND(24&gt;=$NR$21,24&lt;=$NS$21),IF($NP$21="Single_Point",IF(24=$NR$21,$NN$21,0),IF($NP$21="Bell_Curve",$NN$21*(24-$NR$21+1)*($NS$21-24+1)/$NU$21,$NN$21/$NT$21)),0)</f>
        <v/>
      </c>
      <c r="AC21" s="228">
        <f>IF(AND(25&gt;=$NR$21,25&lt;=$NS$21),IF($NP$21="Single_Point",IF(25=$NR$21,$NN$21,0),IF($NP$21="Bell_Curve",$NN$21*(25-$NR$21+1)*($NS$21-25+1)/$NU$21,$NN$21/$NT$21)),0)</f>
        <v/>
      </c>
      <c r="AD21" s="228">
        <f>IF(AND(26&gt;=$NR$21,26&lt;=$NS$21),IF($NP$21="Single_Point",IF(26=$NR$21,$NN$21,0),IF($NP$21="Bell_Curve",$NN$21*(26-$NR$21+1)*($NS$21-26+1)/$NU$21,$NN$21/$NT$21)),0)</f>
        <v/>
      </c>
      <c r="AE21" s="228">
        <f>IF(AND(27&gt;=$NR$21,27&lt;=$NS$21),IF($NP$21="Single_Point",IF(27=$NR$21,$NN$21,0),IF($NP$21="Bell_Curve",$NN$21*(27-$NR$21+1)*($NS$21-27+1)/$NU$21,$NN$21/$NT$21)),0)</f>
        <v/>
      </c>
      <c r="AF21" s="228">
        <f>IF(AND(28&gt;=$NR$21,28&lt;=$NS$21),IF($NP$21="Single_Point",IF(28=$NR$21,$NN$21,0),IF($NP$21="Bell_Curve",$NN$21*(28-$NR$21+1)*($NS$21-28+1)/$NU$21,$NN$21/$NT$21)),0)</f>
        <v/>
      </c>
      <c r="AG21" s="228">
        <f>IF(AND(29&gt;=$NR$21,29&lt;=$NS$21),IF($NP$21="Single_Point",IF(29=$NR$21,$NN$21,0),IF($NP$21="Bell_Curve",$NN$21*(29-$NR$21+1)*($NS$21-29+1)/$NU$21,$NN$21/$NT$21)),0)</f>
        <v/>
      </c>
      <c r="AH21" s="228">
        <f>IF(AND(30&gt;=$NR$21,30&lt;=$NS$21),IF($NP$21="Single_Point",IF(30=$NR$21,$NN$21,0),IF($NP$21="Bell_Curve",$NN$21*(30-$NR$21+1)*($NS$21-30+1)/$NU$21,$NN$21/$NT$21)),0)</f>
        <v/>
      </c>
      <c r="AI21" s="228">
        <f>IF(AND(31&gt;=$NR$21,31&lt;=$NS$21),IF($NP$21="Single_Point",IF(31=$NR$21,$NN$21,0),IF($NP$21="Bell_Curve",$NN$21*(31-$NR$21+1)*($NS$21-31+1)/$NU$21,$NN$21/$NT$21)),0)</f>
        <v/>
      </c>
      <c r="AJ21" s="228">
        <f>IF(AND(32&gt;=$NR$21,32&lt;=$NS$21),IF($NP$21="Single_Point",IF(32=$NR$21,$NN$21,0),IF($NP$21="Bell_Curve",$NN$21*(32-$NR$21+1)*($NS$21-32+1)/$NU$21,$NN$21/$NT$21)),0)</f>
        <v/>
      </c>
      <c r="AK21" s="228">
        <f>IF(AND(33&gt;=$NR$21,33&lt;=$NS$21),IF($NP$21="Single_Point",IF(33=$NR$21,$NN$21,0),IF($NP$21="Bell_Curve",$NN$21*(33-$NR$21+1)*($NS$21-33+1)/$NU$21,$NN$21/$NT$21)),0)</f>
        <v/>
      </c>
      <c r="AL21" s="228">
        <f>IF(AND(34&gt;=$NR$21,34&lt;=$NS$21),IF($NP$21="Single_Point",IF(34=$NR$21,$NN$21,0),IF($NP$21="Bell_Curve",$NN$21*(34-$NR$21+1)*($NS$21-34+1)/$NU$21,$NN$21/$NT$21)),0)</f>
        <v/>
      </c>
      <c r="AM21" s="228">
        <f>IF(AND(35&gt;=$NR$21,35&lt;=$NS$21),IF($NP$21="Single_Point",IF(35=$NR$21,$NN$21,0),IF($NP$21="Bell_Curve",$NN$21*(35-$NR$21+1)*($NS$21-35+1)/$NU$21,$NN$21/$NT$21)),0)</f>
        <v/>
      </c>
      <c r="AN21" s="228">
        <f>IF(AND(36&gt;=$NR$21,36&lt;=$NS$21),IF($NP$21="Single_Point",IF(36=$NR$21,$NN$21,0),IF($NP$21="Bell_Curve",$NN$21*(36-$NR$21+1)*($NS$21-36+1)/$NU$21,$NN$21/$NT$21)),0)</f>
        <v/>
      </c>
      <c r="AO21" s="228">
        <f>IF(AND(37&gt;=$NR$21,37&lt;=$NS$21),IF($NP$21="Single_Point",IF(37=$NR$21,$NN$21,0),IF($NP$21="Bell_Curve",$NN$21*(37-$NR$21+1)*($NS$21-37+1)/$NU$21,$NN$21/$NT$21)),0)</f>
        <v/>
      </c>
      <c r="AP21" s="228">
        <f>IF(AND(38&gt;=$NR$21,38&lt;=$NS$21),IF($NP$21="Single_Point",IF(38=$NR$21,$NN$21,0),IF($NP$21="Bell_Curve",$NN$21*(38-$NR$21+1)*($NS$21-38+1)/$NU$21,$NN$21/$NT$21)),0)</f>
        <v/>
      </c>
      <c r="AQ21" s="228">
        <f>IF(AND(39&gt;=$NR$21,39&lt;=$NS$21),IF($NP$21="Single_Point",IF(39=$NR$21,$NN$21,0),IF($NP$21="Bell_Curve",$NN$21*(39-$NR$21+1)*($NS$21-39+1)/$NU$21,$NN$21/$NT$21)),0)</f>
        <v/>
      </c>
      <c r="AR21" s="228">
        <f>IF(AND(40&gt;=$NR$21,40&lt;=$NS$21),IF($NP$21="Single_Point",IF(40=$NR$21,$NN$21,0),IF($NP$21="Bell_Curve",$NN$21*(40-$NR$21+1)*($NS$21-40+1)/$NU$21,$NN$21/$NT$21)),0)</f>
        <v/>
      </c>
      <c r="AS21" s="228">
        <f>IF(AND(41&gt;=$NR$21,41&lt;=$NS$21),IF($NP$21="Single_Point",IF(41=$NR$21,$NN$21,0),IF($NP$21="Bell_Curve",$NN$21*(41-$NR$21+1)*($NS$21-41+1)/$NU$21,$NN$21/$NT$21)),0)</f>
        <v/>
      </c>
      <c r="AT21" s="228">
        <f>IF(AND(42&gt;=$NR$21,42&lt;=$NS$21),IF($NP$21="Single_Point",IF(42=$NR$21,$NN$21,0),IF($NP$21="Bell_Curve",$NN$21*(42-$NR$21+1)*($NS$21-42+1)/$NU$21,$NN$21/$NT$21)),0)</f>
        <v/>
      </c>
      <c r="AU21" s="228">
        <f>IF(AND(43&gt;=$NR$21,43&lt;=$NS$21),IF($NP$21="Single_Point",IF(43=$NR$21,$NN$21,0),IF($NP$21="Bell_Curve",$NN$21*(43-$NR$21+1)*($NS$21-43+1)/$NU$21,$NN$21/$NT$21)),0)</f>
        <v/>
      </c>
      <c r="AV21" s="228">
        <f>IF(AND(44&gt;=$NR$21,44&lt;=$NS$21),IF($NP$21="Single_Point",IF(44=$NR$21,$NN$21,0),IF($NP$21="Bell_Curve",$NN$21*(44-$NR$21+1)*($NS$21-44+1)/$NU$21,$NN$21/$NT$21)),0)</f>
        <v/>
      </c>
      <c r="AW21" s="228">
        <f>IF(AND(45&gt;=$NR$21,45&lt;=$NS$21),IF($NP$21="Single_Point",IF(45=$NR$21,$NN$21,0),IF($NP$21="Bell_Curve",$NN$21*(45-$NR$21+1)*($NS$21-45+1)/$NU$21,$NN$21/$NT$21)),0)</f>
        <v/>
      </c>
      <c r="AX21" s="228">
        <f>IF(AND(46&gt;=$NR$21,46&lt;=$NS$21),IF($NP$21="Single_Point",IF(46=$NR$21,$NN$21,0),IF($NP$21="Bell_Curve",$NN$21*(46-$NR$21+1)*($NS$21-46+1)/$NU$21,$NN$21/$NT$21)),0)</f>
        <v/>
      </c>
      <c r="AY21" s="228">
        <f>IF(AND(47&gt;=$NR$21,47&lt;=$NS$21),IF($NP$21="Single_Point",IF(47=$NR$21,$NN$21,0),IF($NP$21="Bell_Curve",$NN$21*(47-$NR$21+1)*($NS$21-47+1)/$NU$21,$NN$21/$NT$21)),0)</f>
        <v/>
      </c>
      <c r="AZ21" s="228">
        <f>IF(AND(48&gt;=$NR$21,48&lt;=$NS$21),IF($NP$21="Single_Point",IF(48=$NR$21,$NN$21,0),IF($NP$21="Bell_Curve",$NN$21*(48-$NR$21+1)*($NS$21-48+1)/$NU$21,$NN$21/$NT$21)),0)</f>
        <v/>
      </c>
      <c r="BA21" s="228">
        <f>IF(AND(49&gt;=$NR$21,49&lt;=$NS$21),IF($NP$21="Single_Point",IF(49=$NR$21,$NN$21,0),IF($NP$21="Bell_Curve",$NN$21*(49-$NR$21+1)*($NS$21-49+1)/$NU$21,$NN$21/$NT$21)),0)</f>
        <v/>
      </c>
      <c r="BB21" s="228">
        <f>IF(AND(50&gt;=$NR$21,50&lt;=$NS$21),IF($NP$21="Single_Point",IF(50=$NR$21,$NN$21,0),IF($NP$21="Bell_Curve",$NN$21*(50-$NR$21+1)*($NS$21-50+1)/$NU$21,$NN$21/$NT$21)),0)</f>
        <v/>
      </c>
      <c r="BC21" s="228">
        <f>IF(AND(51&gt;=$NR$21,51&lt;=$NS$21),IF($NP$21="Single_Point",IF(51=$NR$21,$NN$21,0),IF($NP$21="Bell_Curve",$NN$21*(51-$NR$21+1)*($NS$21-51+1)/$NU$21,$NN$21/$NT$21)),0)</f>
        <v/>
      </c>
      <c r="BD21" s="228">
        <f>IF(AND(52&gt;=$NR$21,52&lt;=$NS$21),IF($NP$21="Single_Point",IF(52=$NR$21,$NN$21,0),IF($NP$21="Bell_Curve",$NN$21*(52-$NR$21+1)*($NS$21-52+1)/$NU$21,$NN$21/$NT$21)),0)</f>
        <v/>
      </c>
      <c r="BE21" s="228">
        <f>IF(AND(53&gt;=$NR$21,53&lt;=$NS$21),IF($NP$21="Single_Point",IF(53=$NR$21,$NN$21,0),IF($NP$21="Bell_Curve",$NN$21*(53-$NR$21+1)*($NS$21-53+1)/$NU$21,$NN$21/$NT$21)),0)</f>
        <v/>
      </c>
      <c r="BF21" s="228">
        <f>IF(AND(54&gt;=$NR$21,54&lt;=$NS$21),IF($NP$21="Single_Point",IF(54=$NR$21,$NN$21,0),IF($NP$21="Bell_Curve",$NN$21*(54-$NR$21+1)*($NS$21-54+1)/$NU$21,$NN$21/$NT$21)),0)</f>
        <v/>
      </c>
      <c r="BG21" s="228">
        <f>IF(AND(55&gt;=$NR$21,55&lt;=$NS$21),IF($NP$21="Single_Point",IF(55=$NR$21,$NN$21,0),IF($NP$21="Bell_Curve",$NN$21*(55-$NR$21+1)*($NS$21-55+1)/$NU$21,$NN$21/$NT$21)),0)</f>
        <v/>
      </c>
      <c r="BH21" s="228">
        <f>IF(AND(56&gt;=$NR$21,56&lt;=$NS$21),IF($NP$21="Single_Point",IF(56=$NR$21,$NN$21,0),IF($NP$21="Bell_Curve",$NN$21*(56-$NR$21+1)*($NS$21-56+1)/$NU$21,$NN$21/$NT$21)),0)</f>
        <v/>
      </c>
      <c r="BI21" s="228">
        <f>IF(AND(57&gt;=$NR$21,57&lt;=$NS$21),IF($NP$21="Single_Point",IF(57=$NR$21,$NN$21,0),IF($NP$21="Bell_Curve",$NN$21*(57-$NR$21+1)*($NS$21-57+1)/$NU$21,$NN$21/$NT$21)),0)</f>
        <v/>
      </c>
      <c r="BJ21" s="228">
        <f>IF(AND(58&gt;=$NR$21,58&lt;=$NS$21),IF($NP$21="Single_Point",IF(58=$NR$21,$NN$21,0),IF($NP$21="Bell_Curve",$NN$21*(58-$NR$21+1)*($NS$21-58+1)/$NU$21,$NN$21/$NT$21)),0)</f>
        <v/>
      </c>
      <c r="BK21" s="228">
        <f>IF(AND(59&gt;=$NR$21,59&lt;=$NS$21),IF($NP$21="Single_Point",IF(59=$NR$21,$NN$21,0),IF($NP$21="Bell_Curve",$NN$21*(59-$NR$21+1)*($NS$21-59+1)/$NU$21,$NN$21/$NT$21)),0)</f>
        <v/>
      </c>
      <c r="BL21" s="228">
        <f>IF(AND(60&gt;=$NR$21,60&lt;=$NS$21),IF($NP$21="Single_Point",IF(60=$NR$21,$NN$21,0),IF($NP$21="Bell_Curve",$NN$21*(60-$NR$21+1)*($NS$21-60+1)/$NU$21,$NN$21/$NT$21)),0)</f>
        <v/>
      </c>
      <c r="BM21" s="228">
        <f>IF(AND(61&gt;=$NR$21,61&lt;=$NS$21),IF($NP$21="Single_Point",IF(61=$NR$21,$NN$21,0),IF($NP$21="Bell_Curve",$NN$21*(61-$NR$21+1)*($NS$21-61+1)/$NU$21,$NN$21/$NT$21)),0)</f>
        <v/>
      </c>
      <c r="BN21" s="228">
        <f>IF(AND(62&gt;=$NR$21,62&lt;=$NS$21),IF($NP$21="Single_Point",IF(62=$NR$21,$NN$21,0),IF($NP$21="Bell_Curve",$NN$21*(62-$NR$21+1)*($NS$21-62+1)/$NU$21,$NN$21/$NT$21)),0)</f>
        <v/>
      </c>
      <c r="BO21" s="228">
        <f>IF(AND(63&gt;=$NR$21,63&lt;=$NS$21),IF($NP$21="Single_Point",IF(63=$NR$21,$NN$21,0),IF($NP$21="Bell_Curve",$NN$21*(63-$NR$21+1)*($NS$21-63+1)/$NU$21,$NN$21/$NT$21)),0)</f>
        <v/>
      </c>
      <c r="BP21" s="228">
        <f>IF(AND(64&gt;=$NR$21,64&lt;=$NS$21),IF($NP$21="Single_Point",IF(64=$NR$21,$NN$21,0),IF($NP$21="Bell_Curve",$NN$21*(64-$NR$21+1)*($NS$21-64+1)/$NU$21,$NN$21/$NT$21)),0)</f>
        <v/>
      </c>
      <c r="BQ21" s="228">
        <f>IF(AND(65&gt;=$NR$21,65&lt;=$NS$21),IF($NP$21="Single_Point",IF(65=$NR$21,$NN$21,0),IF($NP$21="Bell_Curve",$NN$21*(65-$NR$21+1)*($NS$21-65+1)/$NU$21,$NN$21/$NT$21)),0)</f>
        <v/>
      </c>
      <c r="BR21" s="228">
        <f>IF(AND(66&gt;=$NR$21,66&lt;=$NS$21),IF($NP$21="Single_Point",IF(66=$NR$21,$NN$21,0),IF($NP$21="Bell_Curve",$NN$21*(66-$NR$21+1)*($NS$21-66+1)/$NU$21,$NN$21/$NT$21)),0)</f>
        <v/>
      </c>
      <c r="BS21" s="228">
        <f>IF(AND(67&gt;=$NR$21,67&lt;=$NS$21),IF($NP$21="Single_Point",IF(67=$NR$21,$NN$21,0),IF($NP$21="Bell_Curve",$NN$21*(67-$NR$21+1)*($NS$21-67+1)/$NU$21,$NN$21/$NT$21)),0)</f>
        <v/>
      </c>
      <c r="BT21" s="228">
        <f>IF(AND(68&gt;=$NR$21,68&lt;=$NS$21),IF($NP$21="Single_Point",IF(68=$NR$21,$NN$21,0),IF($NP$21="Bell_Curve",$NN$21*(68-$NR$21+1)*($NS$21-68+1)/$NU$21,$NN$21/$NT$21)),0)</f>
        <v/>
      </c>
      <c r="BU21" s="228">
        <f>IF(AND(69&gt;=$NR$21,69&lt;=$NS$21),IF($NP$21="Single_Point",IF(69=$NR$21,$NN$21,0),IF($NP$21="Bell_Curve",$NN$21*(69-$NR$21+1)*($NS$21-69+1)/$NU$21,$NN$21/$NT$21)),0)</f>
        <v/>
      </c>
      <c r="BV21" s="228">
        <f>IF(AND(70&gt;=$NR$21,70&lt;=$NS$21),IF($NP$21="Single_Point",IF(70=$NR$21,$NN$21,0),IF($NP$21="Bell_Curve",$NN$21*(70-$NR$21+1)*($NS$21-70+1)/$NU$21,$NN$21/$NT$21)),0)</f>
        <v/>
      </c>
      <c r="BW21" s="228">
        <f>IF(AND(71&gt;=$NR$21,71&lt;=$NS$21),IF($NP$21="Single_Point",IF(71=$NR$21,$NN$21,0),IF($NP$21="Bell_Curve",$NN$21*(71-$NR$21+1)*($NS$21-71+1)/$NU$21,$NN$21/$NT$21)),0)</f>
        <v/>
      </c>
      <c r="BX21" s="228">
        <f>IF(AND(72&gt;=$NR$21,72&lt;=$NS$21),IF($NP$21="Single_Point",IF(72=$NR$21,$NN$21,0),IF($NP$21="Bell_Curve",$NN$21*(72-$NR$21+1)*($NS$21-72+1)/$NU$21,$NN$21/$NT$21)),0)</f>
        <v/>
      </c>
      <c r="BY21" s="228">
        <f>IF(AND(73&gt;=$NR$21,73&lt;=$NS$21),IF($NP$21="Single_Point",IF(73=$NR$21,$NN$21,0),IF($NP$21="Bell_Curve",$NN$21*(73-$NR$21+1)*($NS$21-73+1)/$NU$21,$NN$21/$NT$21)),0)</f>
        <v/>
      </c>
      <c r="BZ21" s="228">
        <f>IF(AND(74&gt;=$NR$21,74&lt;=$NS$21),IF($NP$21="Single_Point",IF(74=$NR$21,$NN$21,0),IF($NP$21="Bell_Curve",$NN$21*(74-$NR$21+1)*($NS$21-74+1)/$NU$21,$NN$21/$NT$21)),0)</f>
        <v/>
      </c>
      <c r="CA21" s="228">
        <f>IF(AND(75&gt;=$NR$21,75&lt;=$NS$21),IF($NP$21="Single_Point",IF(75=$NR$21,$NN$21,0),IF($NP$21="Bell_Curve",$NN$21*(75-$NR$21+1)*($NS$21-75+1)/$NU$21,$NN$21/$NT$21)),0)</f>
        <v/>
      </c>
      <c r="CB21" s="228">
        <f>IF(AND(76&gt;=$NR$21,76&lt;=$NS$21),IF($NP$21="Single_Point",IF(76=$NR$21,$NN$21,0),IF($NP$21="Bell_Curve",$NN$21*(76-$NR$21+1)*($NS$21-76+1)/$NU$21,$NN$21/$NT$21)),0)</f>
        <v/>
      </c>
      <c r="CC21" s="228">
        <f>IF(AND(77&gt;=$NR$21,77&lt;=$NS$21),IF($NP$21="Single_Point",IF(77=$NR$21,$NN$21,0),IF($NP$21="Bell_Curve",$NN$21*(77-$NR$21+1)*($NS$21-77+1)/$NU$21,$NN$21/$NT$21)),0)</f>
        <v/>
      </c>
      <c r="CD21" s="228">
        <f>IF(AND(78&gt;=$NR$21,78&lt;=$NS$21),IF($NP$21="Single_Point",IF(78=$NR$21,$NN$21,0),IF($NP$21="Bell_Curve",$NN$21*(78-$NR$21+1)*($NS$21-78+1)/$NU$21,$NN$21/$NT$21)),0)</f>
        <v/>
      </c>
      <c r="CE21" s="228">
        <f>IF(AND(79&gt;=$NR$21,79&lt;=$NS$21),IF($NP$21="Single_Point",IF(79=$NR$21,$NN$21,0),IF($NP$21="Bell_Curve",$NN$21*(79-$NR$21+1)*($NS$21-79+1)/$NU$21,$NN$21/$NT$21)),0)</f>
        <v/>
      </c>
      <c r="CF21" s="228">
        <f>IF(AND(80&gt;=$NR$21,80&lt;=$NS$21),IF($NP$21="Single_Point",IF(80=$NR$21,$NN$21,0),IF($NP$21="Bell_Curve",$NN$21*(80-$NR$21+1)*($NS$21-80+1)/$NU$21,$NN$21/$NT$21)),0)</f>
        <v/>
      </c>
      <c r="CG21" s="228">
        <f>IF(AND(81&gt;=$NR$21,81&lt;=$NS$21),IF($NP$21="Single_Point",IF(81=$NR$21,$NN$21,0),IF($NP$21="Bell_Curve",$NN$21*(81-$NR$21+1)*($NS$21-81+1)/$NU$21,$NN$21/$NT$21)),0)</f>
        <v/>
      </c>
      <c r="CH21" s="228">
        <f>IF(AND(82&gt;=$NR$21,82&lt;=$NS$21),IF($NP$21="Single_Point",IF(82=$NR$21,$NN$21,0),IF($NP$21="Bell_Curve",$NN$21*(82-$NR$21+1)*($NS$21-82+1)/$NU$21,$NN$21/$NT$21)),0)</f>
        <v/>
      </c>
      <c r="CI21" s="228">
        <f>IF(AND(83&gt;=$NR$21,83&lt;=$NS$21),IF($NP$21="Single_Point",IF(83=$NR$21,$NN$21,0),IF($NP$21="Bell_Curve",$NN$21*(83-$NR$21+1)*($NS$21-83+1)/$NU$21,$NN$21/$NT$21)),0)</f>
        <v/>
      </c>
      <c r="CJ21" s="228">
        <f>IF(AND(84&gt;=$NR$21,84&lt;=$NS$21),IF($NP$21="Single_Point",IF(84=$NR$21,$NN$21,0),IF($NP$21="Bell_Curve",$NN$21*(84-$NR$21+1)*($NS$21-84+1)/$NU$21,$NN$21/$NT$21)),0)</f>
        <v/>
      </c>
      <c r="CK21" s="228">
        <f>IF(AND(85&gt;=$NR$21,85&lt;=$NS$21),IF($NP$21="Single_Point",IF(85=$NR$21,$NN$21,0),IF($NP$21="Bell_Curve",$NN$21*(85-$NR$21+1)*($NS$21-85+1)/$NU$21,$NN$21/$NT$21)),0)</f>
        <v/>
      </c>
      <c r="CL21" s="228">
        <f>IF(AND(86&gt;=$NR$21,86&lt;=$NS$21),IF($NP$21="Single_Point",IF(86=$NR$21,$NN$21,0),IF($NP$21="Bell_Curve",$NN$21*(86-$NR$21+1)*($NS$21-86+1)/$NU$21,$NN$21/$NT$21)),0)</f>
        <v/>
      </c>
      <c r="CM21" s="228">
        <f>IF(AND(87&gt;=$NR$21,87&lt;=$NS$21),IF($NP$21="Single_Point",IF(87=$NR$21,$NN$21,0),IF($NP$21="Bell_Curve",$NN$21*(87-$NR$21+1)*($NS$21-87+1)/$NU$21,$NN$21/$NT$21)),0)</f>
        <v/>
      </c>
      <c r="CN21" s="228">
        <f>IF(AND(88&gt;=$NR$21,88&lt;=$NS$21),IF($NP$21="Single_Point",IF(88=$NR$21,$NN$21,0),IF($NP$21="Bell_Curve",$NN$21*(88-$NR$21+1)*($NS$21-88+1)/$NU$21,$NN$21/$NT$21)),0)</f>
        <v/>
      </c>
      <c r="CO21" s="228">
        <f>IF(AND(89&gt;=$NR$21,89&lt;=$NS$21),IF($NP$21="Single_Point",IF(89=$NR$21,$NN$21,0),IF($NP$21="Bell_Curve",$NN$21*(89-$NR$21+1)*($NS$21-89+1)/$NU$21,$NN$21/$NT$21)),0)</f>
        <v/>
      </c>
      <c r="CP21" s="228">
        <f>IF(AND(90&gt;=$NR$21,90&lt;=$NS$21),IF($NP$21="Single_Point",IF(90=$NR$21,$NN$21,0),IF($NP$21="Bell_Curve",$NN$21*(90-$NR$21+1)*($NS$21-90+1)/$NU$21,$NN$21/$NT$21)),0)</f>
        <v/>
      </c>
      <c r="CQ21" s="228">
        <f>IF(AND(91&gt;=$NR$21,91&lt;=$NS$21),IF($NP$21="Single_Point",IF(91=$NR$21,$NN$21,0),IF($NP$21="Bell_Curve",$NN$21*(91-$NR$21+1)*($NS$21-91+1)/$NU$21,$NN$21/$NT$21)),0)</f>
        <v/>
      </c>
      <c r="CR21" s="228">
        <f>IF(AND(92&gt;=$NR$21,92&lt;=$NS$21),IF($NP$21="Single_Point",IF(92=$NR$21,$NN$21,0),IF($NP$21="Bell_Curve",$NN$21*(92-$NR$21+1)*($NS$21-92+1)/$NU$21,$NN$21/$NT$21)),0)</f>
        <v/>
      </c>
      <c r="CS21" s="228">
        <f>IF(AND(93&gt;=$NR$21,93&lt;=$NS$21),IF($NP$21="Single_Point",IF(93=$NR$21,$NN$21,0),IF($NP$21="Bell_Curve",$NN$21*(93-$NR$21+1)*($NS$21-93+1)/$NU$21,$NN$21/$NT$21)),0)</f>
        <v/>
      </c>
      <c r="CT21" s="228">
        <f>IF(AND(94&gt;=$NR$21,94&lt;=$NS$21),IF($NP$21="Single_Point",IF(94=$NR$21,$NN$21,0),IF($NP$21="Bell_Curve",$NN$21*(94-$NR$21+1)*($NS$21-94+1)/$NU$21,$NN$21/$NT$21)),0)</f>
        <v/>
      </c>
      <c r="CU21" s="228">
        <f>IF(AND(95&gt;=$NR$21,95&lt;=$NS$21),IF($NP$21="Single_Point",IF(95=$NR$21,$NN$21,0),IF($NP$21="Bell_Curve",$NN$21*(95-$NR$21+1)*($NS$21-95+1)/$NU$21,$NN$21/$NT$21)),0)</f>
        <v/>
      </c>
      <c r="CV21" s="228">
        <f>IF(AND(96&gt;=$NR$21,96&lt;=$NS$21),IF($NP$21="Single_Point",IF(96=$NR$21,$NN$21,0),IF($NP$21="Bell_Curve",$NN$21*(96-$NR$21+1)*($NS$21-96+1)/$NU$21,$NN$21/$NT$21)),0)</f>
        <v/>
      </c>
      <c r="CW21" s="228">
        <f>IF(AND(97&gt;=$NR$21,97&lt;=$NS$21),IF($NP$21="Single_Point",IF(97=$NR$21,$NN$21,0),IF($NP$21="Bell_Curve",$NN$21*(97-$NR$21+1)*($NS$21-97+1)/$NU$21,$NN$21/$NT$21)),0)</f>
        <v/>
      </c>
      <c r="CX21" s="228">
        <f>IF(AND(98&gt;=$NR$21,98&lt;=$NS$21),IF($NP$21="Single_Point",IF(98=$NR$21,$NN$21,0),IF($NP$21="Bell_Curve",$NN$21*(98-$NR$21+1)*($NS$21-98+1)/$NU$21,$NN$21/$NT$21)),0)</f>
        <v/>
      </c>
      <c r="CY21" s="228">
        <f>IF(AND(99&gt;=$NR$21,99&lt;=$NS$21),IF($NP$21="Single_Point",IF(99=$NR$21,$NN$21,0),IF($NP$21="Bell_Curve",$NN$21*(99-$NR$21+1)*($NS$21-99+1)/$NU$21,$NN$21/$NT$21)),0)</f>
        <v/>
      </c>
      <c r="CZ21" s="228">
        <f>IF(AND(100&gt;=$NR$21,100&lt;=$NS$21),IF($NP$21="Single_Point",IF(100=$NR$21,$NN$21,0),IF($NP$21="Bell_Curve",$NN$21*(100-$NR$21+1)*($NS$21-100+1)/$NU$21,$NN$21/$NT$21)),0)</f>
        <v/>
      </c>
      <c r="DA21" s="228">
        <f>IF(AND(101&gt;=$NR$21,101&lt;=$NS$21),IF($NP$21="Single_Point",IF(101=$NR$21,$NN$21,0),IF($NP$21="Bell_Curve",$NN$21*(101-$NR$21+1)*($NS$21-101+1)/$NU$21,$NN$21/$NT$21)),0)</f>
        <v/>
      </c>
      <c r="DB21" s="228">
        <f>IF(AND(102&gt;=$NR$21,102&lt;=$NS$21),IF($NP$21="Single_Point",IF(102=$NR$21,$NN$21,0),IF($NP$21="Bell_Curve",$NN$21*(102-$NR$21+1)*($NS$21-102+1)/$NU$21,$NN$21/$NT$21)),0)</f>
        <v/>
      </c>
      <c r="DC21" s="228">
        <f>IF(AND(103&gt;=$NR$21,103&lt;=$NS$21),IF($NP$21="Single_Point",IF(103=$NR$21,$NN$21,0),IF($NP$21="Bell_Curve",$NN$21*(103-$NR$21+1)*($NS$21-103+1)/$NU$21,$NN$21/$NT$21)),0)</f>
        <v/>
      </c>
      <c r="DD21" s="228">
        <f>IF(AND(104&gt;=$NR$21,104&lt;=$NS$21),IF($NP$21="Single_Point",IF(104=$NR$21,$NN$21,0),IF($NP$21="Bell_Curve",$NN$21*(104-$NR$21+1)*($NS$21-104+1)/$NU$21,$NN$21/$NT$21)),0)</f>
        <v/>
      </c>
      <c r="DE21" s="228">
        <f>IF(AND(105&gt;=$NR$21,105&lt;=$NS$21),IF($NP$21="Single_Point",IF(105=$NR$21,$NN$21,0),IF($NP$21="Bell_Curve",$NN$21*(105-$NR$21+1)*($NS$21-105+1)/$NU$21,$NN$21/$NT$21)),0)</f>
        <v/>
      </c>
      <c r="DF21" s="228">
        <f>IF(AND(106&gt;=$NR$21,106&lt;=$NS$21),IF($NP$21="Single_Point",IF(106=$NR$21,$NN$21,0),IF($NP$21="Bell_Curve",$NN$21*(106-$NR$21+1)*($NS$21-106+1)/$NU$21,$NN$21/$NT$21)),0)</f>
        <v/>
      </c>
      <c r="DG21" s="228">
        <f>IF(AND(107&gt;=$NR$21,107&lt;=$NS$21),IF($NP$21="Single_Point",IF(107=$NR$21,$NN$21,0),IF($NP$21="Bell_Curve",$NN$21*(107-$NR$21+1)*($NS$21-107+1)/$NU$21,$NN$21/$NT$21)),0)</f>
        <v/>
      </c>
      <c r="DH21" s="228">
        <f>IF(AND(108&gt;=$NR$21,108&lt;=$NS$21),IF($NP$21="Single_Point",IF(108=$NR$21,$NN$21,0),IF($NP$21="Bell_Curve",$NN$21*(108-$NR$21+1)*($NS$21-108+1)/$NU$21,$NN$21/$NT$21)),0)</f>
        <v/>
      </c>
      <c r="DI21" s="228">
        <f>IF(AND(109&gt;=$NR$21,109&lt;=$NS$21),IF($NP$21="Single_Point",IF(109=$NR$21,$NN$21,0),IF($NP$21="Bell_Curve",$NN$21*(109-$NR$21+1)*($NS$21-109+1)/$NU$21,$NN$21/$NT$21)),0)</f>
        <v/>
      </c>
      <c r="DJ21" s="228">
        <f>IF(AND(110&gt;=$NR$21,110&lt;=$NS$21),IF($NP$21="Single_Point",IF(110=$NR$21,$NN$21,0),IF($NP$21="Bell_Curve",$NN$21*(110-$NR$21+1)*($NS$21-110+1)/$NU$21,$NN$21/$NT$21)),0)</f>
        <v/>
      </c>
      <c r="DK21" s="228">
        <f>IF(AND(111&gt;=$NR$21,111&lt;=$NS$21),IF($NP$21="Single_Point",IF(111=$NR$21,$NN$21,0),IF($NP$21="Bell_Curve",$NN$21*(111-$NR$21+1)*($NS$21-111+1)/$NU$21,$NN$21/$NT$21)),0)</f>
        <v/>
      </c>
      <c r="DL21" s="228">
        <f>IF(AND(112&gt;=$NR$21,112&lt;=$NS$21),IF($NP$21="Single_Point",IF(112=$NR$21,$NN$21,0),IF($NP$21="Bell_Curve",$NN$21*(112-$NR$21+1)*($NS$21-112+1)/$NU$21,$NN$21/$NT$21)),0)</f>
        <v/>
      </c>
      <c r="DM21" s="228">
        <f>IF(AND(113&gt;=$NR$21,113&lt;=$NS$21),IF($NP$21="Single_Point",IF(113=$NR$21,$NN$21,0),IF($NP$21="Bell_Curve",$NN$21*(113-$NR$21+1)*($NS$21-113+1)/$NU$21,$NN$21/$NT$21)),0)</f>
        <v/>
      </c>
      <c r="DN21" s="228">
        <f>IF(AND(114&gt;=$NR$21,114&lt;=$NS$21),IF($NP$21="Single_Point",IF(114=$NR$21,$NN$21,0),IF($NP$21="Bell_Curve",$NN$21*(114-$NR$21+1)*($NS$21-114+1)/$NU$21,$NN$21/$NT$21)),0)</f>
        <v/>
      </c>
      <c r="DO21" s="228">
        <f>IF(AND(115&gt;=$NR$21,115&lt;=$NS$21),IF($NP$21="Single_Point",IF(115=$NR$21,$NN$21,0),IF($NP$21="Bell_Curve",$NN$21*(115-$NR$21+1)*($NS$21-115+1)/$NU$21,$NN$21/$NT$21)),0)</f>
        <v/>
      </c>
      <c r="DP21" s="228">
        <f>IF(AND(116&gt;=$NR$21,116&lt;=$NS$21),IF($NP$21="Single_Point",IF(116=$NR$21,$NN$21,0),IF($NP$21="Bell_Curve",$NN$21*(116-$NR$21+1)*($NS$21-116+1)/$NU$21,$NN$21/$NT$21)),0)</f>
        <v/>
      </c>
      <c r="DQ21" s="228">
        <f>IF(AND(117&gt;=$NR$21,117&lt;=$NS$21),IF($NP$21="Single_Point",IF(117=$NR$21,$NN$21,0),IF($NP$21="Bell_Curve",$NN$21*(117-$NR$21+1)*($NS$21-117+1)/$NU$21,$NN$21/$NT$21)),0)</f>
        <v/>
      </c>
      <c r="DR21" s="228">
        <f>IF(AND(118&gt;=$NR$21,118&lt;=$NS$21),IF($NP$21="Single_Point",IF(118=$NR$21,$NN$21,0),IF($NP$21="Bell_Curve",$NN$21*(118-$NR$21+1)*($NS$21-118+1)/$NU$21,$NN$21/$NT$21)),0)</f>
        <v/>
      </c>
      <c r="DS21" s="228">
        <f>IF(AND(119&gt;=$NR$21,119&lt;=$NS$21),IF($NP$21="Single_Point",IF(119=$NR$21,$NN$21,0),IF($NP$21="Bell_Curve",$NN$21*(119-$NR$21+1)*($NS$21-119+1)/$NU$21,$NN$21/$NT$21)),0)</f>
        <v/>
      </c>
      <c r="DT21" s="228">
        <f>IF(AND(120&gt;=$NR$21,120&lt;=$NS$21),IF($NP$21="Single_Point",IF(120=$NR$21,$NN$21,0),IF($NP$21="Bell_Curve",$NN$21*(120-$NR$21+1)*($NS$21-120+1)/$NU$21,$NN$21/$NT$21)),0)</f>
        <v/>
      </c>
      <c r="DU21" s="228">
        <f>IF(AND(121&gt;=$NR$21,121&lt;=$NS$21),IF($NP$21="Single_Point",IF(121=$NR$21,$NN$21,0),IF($NP$21="Bell_Curve",$NN$21*(121-$NR$21+1)*($NS$21-121+1)/$NU$21,$NN$21/$NT$21)),0)</f>
        <v/>
      </c>
      <c r="DV21" s="228">
        <f>IF(AND(122&gt;=$NR$21,122&lt;=$NS$21),IF($NP$21="Single_Point",IF(122=$NR$21,$NN$21,0),IF($NP$21="Bell_Curve",$NN$21*(122-$NR$21+1)*($NS$21-122+1)/$NU$21,$NN$21/$NT$21)),0)</f>
        <v/>
      </c>
      <c r="DW21" s="228">
        <f>IF(AND(123&gt;=$NR$21,123&lt;=$NS$21),IF($NP$21="Single_Point",IF(123=$NR$21,$NN$21,0),IF($NP$21="Bell_Curve",$NN$21*(123-$NR$21+1)*($NS$21-123+1)/$NU$21,$NN$21/$NT$21)),0)</f>
        <v/>
      </c>
      <c r="DX21" s="228">
        <f>IF(AND(124&gt;=$NR$21,124&lt;=$NS$21),IF($NP$21="Single_Point",IF(124=$NR$21,$NN$21,0),IF($NP$21="Bell_Curve",$NN$21*(124-$NR$21+1)*($NS$21-124+1)/$NU$21,$NN$21/$NT$21)),0)</f>
        <v/>
      </c>
      <c r="DY21" s="228">
        <f>IF(AND(125&gt;=$NR$21,125&lt;=$NS$21),IF($NP$21="Single_Point",IF(125=$NR$21,$NN$21,0),IF($NP$21="Bell_Curve",$NN$21*(125-$NR$21+1)*($NS$21-125+1)/$NU$21,$NN$21/$NT$21)),0)</f>
        <v/>
      </c>
      <c r="DZ21" s="228">
        <f>IF(AND(126&gt;=$NR$21,126&lt;=$NS$21),IF($NP$21="Single_Point",IF(126=$NR$21,$NN$21,0),IF($NP$21="Bell_Curve",$NN$21*(126-$NR$21+1)*($NS$21-126+1)/$NU$21,$NN$21/$NT$21)),0)</f>
        <v/>
      </c>
      <c r="EA21" s="228">
        <f>IF(AND(127&gt;=$NR$21,127&lt;=$NS$21),IF($NP$21="Single_Point",IF(127=$NR$21,$NN$21,0),IF($NP$21="Bell_Curve",$NN$21*(127-$NR$21+1)*($NS$21-127+1)/$NU$21,$NN$21/$NT$21)),0)</f>
        <v/>
      </c>
      <c r="EB21" s="228">
        <f>IF(AND(128&gt;=$NR$21,128&lt;=$NS$21),IF($NP$21="Single_Point",IF(128=$NR$21,$NN$21,0),IF($NP$21="Bell_Curve",$NN$21*(128-$NR$21+1)*($NS$21-128+1)/$NU$21,$NN$21/$NT$21)),0)</f>
        <v/>
      </c>
      <c r="EC21" s="228">
        <f>IF(AND(129&gt;=$NR$21,129&lt;=$NS$21),IF($NP$21="Single_Point",IF(129=$NR$21,$NN$21,0),IF($NP$21="Bell_Curve",$NN$21*(129-$NR$21+1)*($NS$21-129+1)/$NU$21,$NN$21/$NT$21)),0)</f>
        <v/>
      </c>
      <c r="ED21" s="228">
        <f>IF(AND(130&gt;=$NR$21,130&lt;=$NS$21),IF($NP$21="Single_Point",IF(130=$NR$21,$NN$21,0),IF($NP$21="Bell_Curve",$NN$21*(130-$NR$21+1)*($NS$21-130+1)/$NU$21,$NN$21/$NT$21)),0)</f>
        <v/>
      </c>
      <c r="EE21" s="228">
        <f>IF(AND(131&gt;=$NR$21,131&lt;=$NS$21),IF($NP$21="Single_Point",IF(131=$NR$21,$NN$21,0),IF($NP$21="Bell_Curve",$NN$21*(131-$NR$21+1)*($NS$21-131+1)/$NU$21,$NN$21/$NT$21)),0)</f>
        <v/>
      </c>
      <c r="EF21" s="228">
        <f>IF(AND(132&gt;=$NR$21,132&lt;=$NS$21),IF($NP$21="Single_Point",IF(132=$NR$21,$NN$21,0),IF($NP$21="Bell_Curve",$NN$21*(132-$NR$21+1)*($NS$21-132+1)/$NU$21,$NN$21/$NT$21)),0)</f>
        <v/>
      </c>
      <c r="EG21" s="228">
        <f>IF(AND(133&gt;=$NR$21,133&lt;=$NS$21),IF($NP$21="Single_Point",IF(133=$NR$21,$NN$21,0),IF($NP$21="Bell_Curve",$NN$21*(133-$NR$21+1)*($NS$21-133+1)/$NU$21,$NN$21/$NT$21)),0)</f>
        <v/>
      </c>
      <c r="EH21" s="228">
        <f>IF(AND(134&gt;=$NR$21,134&lt;=$NS$21),IF($NP$21="Single_Point",IF(134=$NR$21,$NN$21,0),IF($NP$21="Bell_Curve",$NN$21*(134-$NR$21+1)*($NS$21-134+1)/$NU$21,$NN$21/$NT$21)),0)</f>
        <v/>
      </c>
      <c r="EI21" s="228">
        <f>IF(AND(135&gt;=$NR$21,135&lt;=$NS$21),IF($NP$21="Single_Point",IF(135=$NR$21,$NN$21,0),IF($NP$21="Bell_Curve",$NN$21*(135-$NR$21+1)*($NS$21-135+1)/$NU$21,$NN$21/$NT$21)),0)</f>
        <v/>
      </c>
      <c r="EJ21" s="228">
        <f>IF(AND(136&gt;=$NR$21,136&lt;=$NS$21),IF($NP$21="Single_Point",IF(136=$NR$21,$NN$21,0),IF($NP$21="Bell_Curve",$NN$21*(136-$NR$21+1)*($NS$21-136+1)/$NU$21,$NN$21/$NT$21)),0)</f>
        <v/>
      </c>
      <c r="EK21" s="228">
        <f>IF(AND(137&gt;=$NR$21,137&lt;=$NS$21),IF($NP$21="Single_Point",IF(137=$NR$21,$NN$21,0),IF($NP$21="Bell_Curve",$NN$21*(137-$NR$21+1)*($NS$21-137+1)/$NU$21,$NN$21/$NT$21)),0)</f>
        <v/>
      </c>
      <c r="EL21" s="228">
        <f>IF(AND(138&gt;=$NR$21,138&lt;=$NS$21),IF($NP$21="Single_Point",IF(138=$NR$21,$NN$21,0),IF($NP$21="Bell_Curve",$NN$21*(138-$NR$21+1)*($NS$21-138+1)/$NU$21,$NN$21/$NT$21)),0)</f>
        <v/>
      </c>
      <c r="EM21" s="228">
        <f>IF(AND(139&gt;=$NR$21,139&lt;=$NS$21),IF($NP$21="Single_Point",IF(139=$NR$21,$NN$21,0),IF($NP$21="Bell_Curve",$NN$21*(139-$NR$21+1)*($NS$21-139+1)/$NU$21,$NN$21/$NT$21)),0)</f>
        <v/>
      </c>
      <c r="EN21" s="228">
        <f>IF(AND(140&gt;=$NR$21,140&lt;=$NS$21),IF($NP$21="Single_Point",IF(140=$NR$21,$NN$21,0),IF($NP$21="Bell_Curve",$NN$21*(140-$NR$21+1)*($NS$21-140+1)/$NU$21,$NN$21/$NT$21)),0)</f>
        <v/>
      </c>
      <c r="EO21" s="228">
        <f>IF(AND(141&gt;=$NR$21,141&lt;=$NS$21),IF($NP$21="Single_Point",IF(141=$NR$21,$NN$21,0),IF($NP$21="Bell_Curve",$NN$21*(141-$NR$21+1)*($NS$21-141+1)/$NU$21,$NN$21/$NT$21)),0)</f>
        <v/>
      </c>
      <c r="EP21" s="228">
        <f>IF(AND(142&gt;=$NR$21,142&lt;=$NS$21),IF($NP$21="Single_Point",IF(142=$NR$21,$NN$21,0),IF($NP$21="Bell_Curve",$NN$21*(142-$NR$21+1)*($NS$21-142+1)/$NU$21,$NN$21/$NT$21)),0)</f>
        <v/>
      </c>
      <c r="EQ21" s="228">
        <f>IF(AND(143&gt;=$NR$21,143&lt;=$NS$21),IF($NP$21="Single_Point",IF(143=$NR$21,$NN$21,0),IF($NP$21="Bell_Curve",$NN$21*(143-$NR$21+1)*($NS$21-143+1)/$NU$21,$NN$21/$NT$21)),0)</f>
        <v/>
      </c>
      <c r="ER21" s="228">
        <f>IF(AND(144&gt;=$NR$21,144&lt;=$NS$21),IF($NP$21="Single_Point",IF(144=$NR$21,$NN$21,0),IF($NP$21="Bell_Curve",$NN$21*(144-$NR$21+1)*($NS$21-144+1)/$NU$21,$NN$21/$NT$21)),0)</f>
        <v/>
      </c>
      <c r="ES21" s="228">
        <f>IF(AND(145&gt;=$NR$21,145&lt;=$NS$21),IF($NP$21="Single_Point",IF(145=$NR$21,$NN$21,0),IF($NP$21="Bell_Curve",$NN$21*(145-$NR$21+1)*($NS$21-145+1)/$NU$21,$NN$21/$NT$21)),0)</f>
        <v/>
      </c>
      <c r="ET21" s="228">
        <f>IF(AND(146&gt;=$NR$21,146&lt;=$NS$21),IF($NP$21="Single_Point",IF(146=$NR$21,$NN$21,0),IF($NP$21="Bell_Curve",$NN$21*(146-$NR$21+1)*($NS$21-146+1)/$NU$21,$NN$21/$NT$21)),0)</f>
        <v/>
      </c>
      <c r="EU21" s="228">
        <f>IF(AND(147&gt;=$NR$21,147&lt;=$NS$21),IF($NP$21="Single_Point",IF(147=$NR$21,$NN$21,0),IF($NP$21="Bell_Curve",$NN$21*(147-$NR$21+1)*($NS$21-147+1)/$NU$21,$NN$21/$NT$21)),0)</f>
        <v/>
      </c>
      <c r="EV21" s="228">
        <f>IF(AND(148&gt;=$NR$21,148&lt;=$NS$21),IF($NP$21="Single_Point",IF(148=$NR$21,$NN$21,0),IF($NP$21="Bell_Curve",$NN$21*(148-$NR$21+1)*($NS$21-148+1)/$NU$21,$NN$21/$NT$21)),0)</f>
        <v/>
      </c>
      <c r="EW21" s="228">
        <f>IF(AND(149&gt;=$NR$21,149&lt;=$NS$21),IF($NP$21="Single_Point",IF(149=$NR$21,$NN$21,0),IF($NP$21="Bell_Curve",$NN$21*(149-$NR$21+1)*($NS$21-149+1)/$NU$21,$NN$21/$NT$21)),0)</f>
        <v/>
      </c>
      <c r="EX21" s="228">
        <f>IF(AND(150&gt;=$NR$21,150&lt;=$NS$21),IF($NP$21="Single_Point",IF(150=$NR$21,$NN$21,0),IF($NP$21="Bell_Curve",$NN$21*(150-$NR$21+1)*($NS$21-150+1)/$NU$21,$NN$21/$NT$21)),0)</f>
        <v/>
      </c>
      <c r="EY21" s="228">
        <f>IF(AND(151&gt;=$NR$21,151&lt;=$NS$21),IF($NP$21="Single_Point",IF(151=$NR$21,$NN$21,0),IF($NP$21="Bell_Curve",$NN$21*(151-$NR$21+1)*($NS$21-151+1)/$NU$21,$NN$21/$NT$21)),0)</f>
        <v/>
      </c>
      <c r="EZ21" s="228">
        <f>IF(AND(152&gt;=$NR$21,152&lt;=$NS$21),IF($NP$21="Single_Point",IF(152=$NR$21,$NN$21,0),IF($NP$21="Bell_Curve",$NN$21*(152-$NR$21+1)*($NS$21-152+1)/$NU$21,$NN$21/$NT$21)),0)</f>
        <v/>
      </c>
      <c r="FA21" s="228">
        <f>IF(AND(153&gt;=$NR$21,153&lt;=$NS$21),IF($NP$21="Single_Point",IF(153=$NR$21,$NN$21,0),IF($NP$21="Bell_Curve",$NN$21*(153-$NR$21+1)*($NS$21-153+1)/$NU$21,$NN$21/$NT$21)),0)</f>
        <v/>
      </c>
      <c r="FB21" s="228">
        <f>IF(AND(154&gt;=$NR$21,154&lt;=$NS$21),IF($NP$21="Single_Point",IF(154=$NR$21,$NN$21,0),IF($NP$21="Bell_Curve",$NN$21*(154-$NR$21+1)*($NS$21-154+1)/$NU$21,$NN$21/$NT$21)),0)</f>
        <v/>
      </c>
      <c r="FC21" s="228">
        <f>IF(AND(155&gt;=$NR$21,155&lt;=$NS$21),IF($NP$21="Single_Point",IF(155=$NR$21,$NN$21,0),IF($NP$21="Bell_Curve",$NN$21*(155-$NR$21+1)*($NS$21-155+1)/$NU$21,$NN$21/$NT$21)),0)</f>
        <v/>
      </c>
      <c r="FD21" s="228">
        <f>IF(AND(156&gt;=$NR$21,156&lt;=$NS$21),IF($NP$21="Single_Point",IF(156=$NR$21,$NN$21,0),IF($NP$21="Bell_Curve",$NN$21*(156-$NR$21+1)*($NS$21-156+1)/$NU$21,$NN$21/$NT$21)),0)</f>
        <v/>
      </c>
      <c r="FE21" s="228">
        <f>IF(AND(157&gt;=$NR$21,157&lt;=$NS$21),IF($NP$21="Single_Point",IF(157=$NR$21,$NN$21,0),IF($NP$21="Bell_Curve",$NN$21*(157-$NR$21+1)*($NS$21-157+1)/$NU$21,$NN$21/$NT$21)),0)</f>
        <v/>
      </c>
      <c r="FF21" s="228">
        <f>IF(AND(158&gt;=$NR$21,158&lt;=$NS$21),IF($NP$21="Single_Point",IF(158=$NR$21,$NN$21,0),IF($NP$21="Bell_Curve",$NN$21*(158-$NR$21+1)*($NS$21-158+1)/$NU$21,$NN$21/$NT$21)),0)</f>
        <v/>
      </c>
      <c r="FG21" s="228">
        <f>IF(AND(159&gt;=$NR$21,159&lt;=$NS$21),IF($NP$21="Single_Point",IF(159=$NR$21,$NN$21,0),IF($NP$21="Bell_Curve",$NN$21*(159-$NR$21+1)*($NS$21-159+1)/$NU$21,$NN$21/$NT$21)),0)</f>
        <v/>
      </c>
      <c r="FH21" s="228">
        <f>IF(AND(160&gt;=$NR$21,160&lt;=$NS$21),IF($NP$21="Single_Point",IF(160=$NR$21,$NN$21,0),IF($NP$21="Bell_Curve",$NN$21*(160-$NR$21+1)*($NS$21-160+1)/$NU$21,$NN$21/$NT$21)),0)</f>
        <v/>
      </c>
      <c r="FI21" s="228">
        <f>IF(AND(161&gt;=$NR$21,161&lt;=$NS$21),IF($NP$21="Single_Point",IF(161=$NR$21,$NN$21,0),IF($NP$21="Bell_Curve",$NN$21*(161-$NR$21+1)*($NS$21-161+1)/$NU$21,$NN$21/$NT$21)),0)</f>
        <v/>
      </c>
      <c r="FJ21" s="228">
        <f>IF(AND(162&gt;=$NR$21,162&lt;=$NS$21),IF($NP$21="Single_Point",IF(162=$NR$21,$NN$21,0),IF($NP$21="Bell_Curve",$NN$21*(162-$NR$21+1)*($NS$21-162+1)/$NU$21,$NN$21/$NT$21)),0)</f>
        <v/>
      </c>
      <c r="FK21" s="228">
        <f>IF(AND(163&gt;=$NR$21,163&lt;=$NS$21),IF($NP$21="Single_Point",IF(163=$NR$21,$NN$21,0),IF($NP$21="Bell_Curve",$NN$21*(163-$NR$21+1)*($NS$21-163+1)/$NU$21,$NN$21/$NT$21)),0)</f>
        <v/>
      </c>
      <c r="FL21" s="228">
        <f>IF(AND(164&gt;=$NR$21,164&lt;=$NS$21),IF($NP$21="Single_Point",IF(164=$NR$21,$NN$21,0),IF($NP$21="Bell_Curve",$NN$21*(164-$NR$21+1)*($NS$21-164+1)/$NU$21,$NN$21/$NT$21)),0)</f>
        <v/>
      </c>
      <c r="FM21" s="228">
        <f>IF(AND(165&gt;=$NR$21,165&lt;=$NS$21),IF($NP$21="Single_Point",IF(165=$NR$21,$NN$21,0),IF($NP$21="Bell_Curve",$NN$21*(165-$NR$21+1)*($NS$21-165+1)/$NU$21,$NN$21/$NT$21)),0)</f>
        <v/>
      </c>
      <c r="FN21" s="228">
        <f>IF(AND(166&gt;=$NR$21,166&lt;=$NS$21),IF($NP$21="Single_Point",IF(166=$NR$21,$NN$21,0),IF($NP$21="Bell_Curve",$NN$21*(166-$NR$21+1)*($NS$21-166+1)/$NU$21,$NN$21/$NT$21)),0)</f>
        <v/>
      </c>
      <c r="FO21" s="228">
        <f>IF(AND(167&gt;=$NR$21,167&lt;=$NS$21),IF($NP$21="Single_Point",IF(167=$NR$21,$NN$21,0),IF($NP$21="Bell_Curve",$NN$21*(167-$NR$21+1)*($NS$21-167+1)/$NU$21,$NN$21/$NT$21)),0)</f>
        <v/>
      </c>
      <c r="FP21" s="228">
        <f>IF(AND(168&gt;=$NR$21,168&lt;=$NS$21),IF($NP$21="Single_Point",IF(168=$NR$21,$NN$21,0),IF($NP$21="Bell_Curve",$NN$21*(168-$NR$21+1)*($NS$21-168+1)/$NU$21,$NN$21/$NT$21)),0)</f>
        <v/>
      </c>
      <c r="FQ21" s="228">
        <f>IF(AND(169&gt;=$NR$21,169&lt;=$NS$21),IF($NP$21="Single_Point",IF(169=$NR$21,$NN$21,0),IF($NP$21="Bell_Curve",$NN$21*(169-$NR$21+1)*($NS$21-169+1)/$NU$21,$NN$21/$NT$21)),0)</f>
        <v/>
      </c>
      <c r="FR21" s="228">
        <f>IF(AND(170&gt;=$NR$21,170&lt;=$NS$21),IF($NP$21="Single_Point",IF(170=$NR$21,$NN$21,0),IF($NP$21="Bell_Curve",$NN$21*(170-$NR$21+1)*($NS$21-170+1)/$NU$21,$NN$21/$NT$21)),0)</f>
        <v/>
      </c>
      <c r="FS21" s="228">
        <f>IF(AND(171&gt;=$NR$21,171&lt;=$NS$21),IF($NP$21="Single_Point",IF(171=$NR$21,$NN$21,0),IF($NP$21="Bell_Curve",$NN$21*(171-$NR$21+1)*($NS$21-171+1)/$NU$21,$NN$21/$NT$21)),0)</f>
        <v/>
      </c>
      <c r="FT21" s="228">
        <f>IF(AND(172&gt;=$NR$21,172&lt;=$NS$21),IF($NP$21="Single_Point",IF(172=$NR$21,$NN$21,0),IF($NP$21="Bell_Curve",$NN$21*(172-$NR$21+1)*($NS$21-172+1)/$NU$21,$NN$21/$NT$21)),0)</f>
        <v/>
      </c>
      <c r="FU21" s="228">
        <f>IF(AND(173&gt;=$NR$21,173&lt;=$NS$21),IF($NP$21="Single_Point",IF(173=$NR$21,$NN$21,0),IF($NP$21="Bell_Curve",$NN$21*(173-$NR$21+1)*($NS$21-173+1)/$NU$21,$NN$21/$NT$21)),0)</f>
        <v/>
      </c>
      <c r="FV21" s="228">
        <f>IF(AND(174&gt;=$NR$21,174&lt;=$NS$21),IF($NP$21="Single_Point",IF(174=$NR$21,$NN$21,0),IF($NP$21="Bell_Curve",$NN$21*(174-$NR$21+1)*($NS$21-174+1)/$NU$21,$NN$21/$NT$21)),0)</f>
        <v/>
      </c>
      <c r="FW21" s="228">
        <f>IF(AND(175&gt;=$NR$21,175&lt;=$NS$21),IF($NP$21="Single_Point",IF(175=$NR$21,$NN$21,0),IF($NP$21="Bell_Curve",$NN$21*(175-$NR$21+1)*($NS$21-175+1)/$NU$21,$NN$21/$NT$21)),0)</f>
        <v/>
      </c>
      <c r="FX21" s="228">
        <f>IF(AND(176&gt;=$NR$21,176&lt;=$NS$21),IF($NP$21="Single_Point",IF(176=$NR$21,$NN$21,0),IF($NP$21="Bell_Curve",$NN$21*(176-$NR$21+1)*($NS$21-176+1)/$NU$21,$NN$21/$NT$21)),0)</f>
        <v/>
      </c>
      <c r="FY21" s="228">
        <f>IF(AND(177&gt;=$NR$21,177&lt;=$NS$21),IF($NP$21="Single_Point",IF(177=$NR$21,$NN$21,0),IF($NP$21="Bell_Curve",$NN$21*(177-$NR$21+1)*($NS$21-177+1)/$NU$21,$NN$21/$NT$21)),0)</f>
        <v/>
      </c>
      <c r="FZ21" s="228">
        <f>IF(AND(178&gt;=$NR$21,178&lt;=$NS$21),IF($NP$21="Single_Point",IF(178=$NR$21,$NN$21,0),IF($NP$21="Bell_Curve",$NN$21*(178-$NR$21+1)*($NS$21-178+1)/$NU$21,$NN$21/$NT$21)),0)</f>
        <v/>
      </c>
      <c r="GA21" s="228">
        <f>IF(AND(179&gt;=$NR$21,179&lt;=$NS$21),IF($NP$21="Single_Point",IF(179=$NR$21,$NN$21,0),IF($NP$21="Bell_Curve",$NN$21*(179-$NR$21+1)*($NS$21-179+1)/$NU$21,$NN$21/$NT$21)),0)</f>
        <v/>
      </c>
      <c r="GB21" s="228">
        <f>IF(AND(180&gt;=$NR$21,180&lt;=$NS$21),IF($NP$21="Single_Point",IF(180=$NR$21,$NN$21,0),IF($NP$21="Bell_Curve",$NN$21*(180-$NR$21+1)*($NS$21-180+1)/$NU$21,$NN$21/$NT$21)),0)</f>
        <v/>
      </c>
      <c r="GC21" s="228">
        <f>IF(AND(181&gt;=$NR$21,181&lt;=$NS$21),IF($NP$21="Single_Point",IF(181=$NR$21,$NN$21,0),IF($NP$21="Bell_Curve",$NN$21*(181-$NR$21+1)*($NS$21-181+1)/$NU$21,$NN$21/$NT$21)),0)</f>
        <v/>
      </c>
      <c r="GD21" s="228">
        <f>IF(AND(182&gt;=$NR$21,182&lt;=$NS$21),IF($NP$21="Single_Point",IF(182=$NR$21,$NN$21,0),IF($NP$21="Bell_Curve",$NN$21*(182-$NR$21+1)*($NS$21-182+1)/$NU$21,$NN$21/$NT$21)),0)</f>
        <v/>
      </c>
      <c r="GE21" s="228">
        <f>IF(AND(183&gt;=$NR$21,183&lt;=$NS$21),IF($NP$21="Single_Point",IF(183=$NR$21,$NN$21,0),IF($NP$21="Bell_Curve",$NN$21*(183-$NR$21+1)*($NS$21-183+1)/$NU$21,$NN$21/$NT$21)),0)</f>
        <v/>
      </c>
      <c r="GF21" s="228">
        <f>IF(AND(184&gt;=$NR$21,184&lt;=$NS$21),IF($NP$21="Single_Point",IF(184=$NR$21,$NN$21,0),IF($NP$21="Bell_Curve",$NN$21*(184-$NR$21+1)*($NS$21-184+1)/$NU$21,$NN$21/$NT$21)),0)</f>
        <v/>
      </c>
      <c r="GG21" s="228">
        <f>IF(AND(185&gt;=$NR$21,185&lt;=$NS$21),IF($NP$21="Single_Point",IF(185=$NR$21,$NN$21,0),IF($NP$21="Bell_Curve",$NN$21*(185-$NR$21+1)*($NS$21-185+1)/$NU$21,$NN$21/$NT$21)),0)</f>
        <v/>
      </c>
      <c r="GH21" s="228">
        <f>IF(AND(186&gt;=$NR$21,186&lt;=$NS$21),IF($NP$21="Single_Point",IF(186=$NR$21,$NN$21,0),IF($NP$21="Bell_Curve",$NN$21*(186-$NR$21+1)*($NS$21-186+1)/$NU$21,$NN$21/$NT$21)),0)</f>
        <v/>
      </c>
      <c r="GI21" s="228">
        <f>IF(AND(187&gt;=$NR$21,187&lt;=$NS$21),IF($NP$21="Single_Point",IF(187=$NR$21,$NN$21,0),IF($NP$21="Bell_Curve",$NN$21*(187-$NR$21+1)*($NS$21-187+1)/$NU$21,$NN$21/$NT$21)),0)</f>
        <v/>
      </c>
      <c r="GJ21" s="228">
        <f>IF(AND(188&gt;=$NR$21,188&lt;=$NS$21),IF($NP$21="Single_Point",IF(188=$NR$21,$NN$21,0),IF($NP$21="Bell_Curve",$NN$21*(188-$NR$21+1)*($NS$21-188+1)/$NU$21,$NN$21/$NT$21)),0)</f>
        <v/>
      </c>
      <c r="GK21" s="228">
        <f>IF(AND(189&gt;=$NR$21,189&lt;=$NS$21),IF($NP$21="Single_Point",IF(189=$NR$21,$NN$21,0),IF($NP$21="Bell_Curve",$NN$21*(189-$NR$21+1)*($NS$21-189+1)/$NU$21,$NN$21/$NT$21)),0)</f>
        <v/>
      </c>
      <c r="GL21" s="228">
        <f>IF(AND(190&gt;=$NR$21,190&lt;=$NS$21),IF($NP$21="Single_Point",IF(190=$NR$21,$NN$21,0),IF($NP$21="Bell_Curve",$NN$21*(190-$NR$21+1)*($NS$21-190+1)/$NU$21,$NN$21/$NT$21)),0)</f>
        <v/>
      </c>
      <c r="GM21" s="228">
        <f>IF(AND(191&gt;=$NR$21,191&lt;=$NS$21),IF($NP$21="Single_Point",IF(191=$NR$21,$NN$21,0),IF($NP$21="Bell_Curve",$NN$21*(191-$NR$21+1)*($NS$21-191+1)/$NU$21,$NN$21/$NT$21)),0)</f>
        <v/>
      </c>
      <c r="GN21" s="228">
        <f>IF(AND(192&gt;=$NR$21,192&lt;=$NS$21),IF($NP$21="Single_Point",IF(192=$NR$21,$NN$21,0),IF($NP$21="Bell_Curve",$NN$21*(192-$NR$21+1)*($NS$21-192+1)/$NU$21,$NN$21/$NT$21)),0)</f>
        <v/>
      </c>
      <c r="GO21" s="228">
        <f>IF(AND(193&gt;=$NR$21,193&lt;=$NS$21),IF($NP$21="Single_Point",IF(193=$NR$21,$NN$21,0),IF($NP$21="Bell_Curve",$NN$21*(193-$NR$21+1)*($NS$21-193+1)/$NU$21,$NN$21/$NT$21)),0)</f>
        <v/>
      </c>
      <c r="GP21" s="228">
        <f>IF(AND(194&gt;=$NR$21,194&lt;=$NS$21),IF($NP$21="Single_Point",IF(194=$NR$21,$NN$21,0),IF($NP$21="Bell_Curve",$NN$21*(194-$NR$21+1)*($NS$21-194+1)/$NU$21,$NN$21/$NT$21)),0)</f>
        <v/>
      </c>
      <c r="GQ21" s="228">
        <f>IF(AND(195&gt;=$NR$21,195&lt;=$NS$21),IF($NP$21="Single_Point",IF(195=$NR$21,$NN$21,0),IF($NP$21="Bell_Curve",$NN$21*(195-$NR$21+1)*($NS$21-195+1)/$NU$21,$NN$21/$NT$21)),0)</f>
        <v/>
      </c>
      <c r="GR21" s="228">
        <f>IF(AND(196&gt;=$NR$21,196&lt;=$NS$21),IF($NP$21="Single_Point",IF(196=$NR$21,$NN$21,0),IF($NP$21="Bell_Curve",$NN$21*(196-$NR$21+1)*($NS$21-196+1)/$NU$21,$NN$21/$NT$21)),0)</f>
        <v/>
      </c>
      <c r="GS21" s="228">
        <f>IF(AND(197&gt;=$NR$21,197&lt;=$NS$21),IF($NP$21="Single_Point",IF(197=$NR$21,$NN$21,0),IF($NP$21="Bell_Curve",$NN$21*(197-$NR$21+1)*($NS$21-197+1)/$NU$21,$NN$21/$NT$21)),0)</f>
        <v/>
      </c>
      <c r="GT21" s="228">
        <f>IF(AND(198&gt;=$NR$21,198&lt;=$NS$21),IF($NP$21="Single_Point",IF(198=$NR$21,$NN$21,0),IF($NP$21="Bell_Curve",$NN$21*(198-$NR$21+1)*($NS$21-198+1)/$NU$21,$NN$21/$NT$21)),0)</f>
        <v/>
      </c>
      <c r="GU21" s="228">
        <f>IF(AND(199&gt;=$NR$21,199&lt;=$NS$21),IF($NP$21="Single_Point",IF(199=$NR$21,$NN$21,0),IF($NP$21="Bell_Curve",$NN$21*(199-$NR$21+1)*($NS$21-199+1)/$NU$21,$NN$21/$NT$21)),0)</f>
        <v/>
      </c>
      <c r="GV21" s="228">
        <f>IF(AND(200&gt;=$NR$21,200&lt;=$NS$21),IF($NP$21="Single_Point",IF(200=$NR$21,$NN$21,0),IF($NP$21="Bell_Curve",$NN$21*(200-$NR$21+1)*($NS$21-200+1)/$NU$21,$NN$21/$NT$21)),0)</f>
        <v/>
      </c>
      <c r="GW21" s="228">
        <f>IF(AND(201&gt;=$NR$21,201&lt;=$NS$21),IF($NP$21="Single_Point",IF(201=$NR$21,$NN$21,0),IF($NP$21="Bell_Curve",$NN$21*(201-$NR$21+1)*($NS$21-201+1)/$NU$21,$NN$21/$NT$21)),0)</f>
        <v/>
      </c>
      <c r="GX21" s="228">
        <f>IF(AND(202&gt;=$NR$21,202&lt;=$NS$21),IF($NP$21="Single_Point",IF(202=$NR$21,$NN$21,0),IF($NP$21="Bell_Curve",$NN$21*(202-$NR$21+1)*($NS$21-202+1)/$NU$21,$NN$21/$NT$21)),0)</f>
        <v/>
      </c>
      <c r="GY21" s="228">
        <f>IF(AND(203&gt;=$NR$21,203&lt;=$NS$21),IF($NP$21="Single_Point",IF(203=$NR$21,$NN$21,0),IF($NP$21="Bell_Curve",$NN$21*(203-$NR$21+1)*($NS$21-203+1)/$NU$21,$NN$21/$NT$21)),0)</f>
        <v/>
      </c>
      <c r="GZ21" s="228">
        <f>IF(AND(204&gt;=$NR$21,204&lt;=$NS$21),IF($NP$21="Single_Point",IF(204=$NR$21,$NN$21,0),IF($NP$21="Bell_Curve",$NN$21*(204-$NR$21+1)*($NS$21-204+1)/$NU$21,$NN$21/$NT$21)),0)</f>
        <v/>
      </c>
      <c r="HA21" s="228">
        <f>IF(AND(205&gt;=$NR$21,205&lt;=$NS$21),IF($NP$21="Single_Point",IF(205=$NR$21,$NN$21,0),IF($NP$21="Bell_Curve",$NN$21*(205-$NR$21+1)*($NS$21-205+1)/$NU$21,$NN$21/$NT$21)),0)</f>
        <v/>
      </c>
      <c r="HB21" s="228">
        <f>IF(AND(206&gt;=$NR$21,206&lt;=$NS$21),IF($NP$21="Single_Point",IF(206=$NR$21,$NN$21,0),IF($NP$21="Bell_Curve",$NN$21*(206-$NR$21+1)*($NS$21-206+1)/$NU$21,$NN$21/$NT$21)),0)</f>
        <v/>
      </c>
      <c r="HC21" s="228">
        <f>IF(AND(207&gt;=$NR$21,207&lt;=$NS$21),IF($NP$21="Single_Point",IF(207=$NR$21,$NN$21,0),IF($NP$21="Bell_Curve",$NN$21*(207-$NR$21+1)*($NS$21-207+1)/$NU$21,$NN$21/$NT$21)),0)</f>
        <v/>
      </c>
      <c r="HD21" s="228">
        <f>IF(AND(208&gt;=$NR$21,208&lt;=$NS$21),IF($NP$21="Single_Point",IF(208=$NR$21,$NN$21,0),IF($NP$21="Bell_Curve",$NN$21*(208-$NR$21+1)*($NS$21-208+1)/$NU$21,$NN$21/$NT$21)),0)</f>
        <v/>
      </c>
      <c r="HE21" s="228">
        <f>IF(AND(209&gt;=$NR$21,209&lt;=$NS$21),IF($NP$21="Single_Point",IF(209=$NR$21,$NN$21,0),IF($NP$21="Bell_Curve",$NN$21*(209-$NR$21+1)*($NS$21-209+1)/$NU$21,$NN$21/$NT$21)),0)</f>
        <v/>
      </c>
      <c r="HF21" s="228">
        <f>IF(AND(210&gt;=$NR$21,210&lt;=$NS$21),IF($NP$21="Single_Point",IF(210=$NR$21,$NN$21,0),IF($NP$21="Bell_Curve",$NN$21*(210-$NR$21+1)*($NS$21-210+1)/$NU$21,$NN$21/$NT$21)),0)</f>
        <v/>
      </c>
      <c r="HG21" s="228">
        <f>IF(AND(211&gt;=$NR$21,211&lt;=$NS$21),IF($NP$21="Single_Point",IF(211=$NR$21,$NN$21,0),IF($NP$21="Bell_Curve",$NN$21*(211-$NR$21+1)*($NS$21-211+1)/$NU$21,$NN$21/$NT$21)),0)</f>
        <v/>
      </c>
      <c r="HH21" s="228">
        <f>IF(AND(212&gt;=$NR$21,212&lt;=$NS$21),IF($NP$21="Single_Point",IF(212=$NR$21,$NN$21,0),IF($NP$21="Bell_Curve",$NN$21*(212-$NR$21+1)*($NS$21-212+1)/$NU$21,$NN$21/$NT$21)),0)</f>
        <v/>
      </c>
      <c r="HI21" s="228">
        <f>IF(AND(213&gt;=$NR$21,213&lt;=$NS$21),IF($NP$21="Single_Point",IF(213=$NR$21,$NN$21,0),IF($NP$21="Bell_Curve",$NN$21*(213-$NR$21+1)*($NS$21-213+1)/$NU$21,$NN$21/$NT$21)),0)</f>
        <v/>
      </c>
      <c r="HJ21" s="228">
        <f>IF(AND(214&gt;=$NR$21,214&lt;=$NS$21),IF($NP$21="Single_Point",IF(214=$NR$21,$NN$21,0),IF($NP$21="Bell_Curve",$NN$21*(214-$NR$21+1)*($NS$21-214+1)/$NU$21,$NN$21/$NT$21)),0)</f>
        <v/>
      </c>
      <c r="HK21" s="228">
        <f>IF(AND(215&gt;=$NR$21,215&lt;=$NS$21),IF($NP$21="Single_Point",IF(215=$NR$21,$NN$21,0),IF($NP$21="Bell_Curve",$NN$21*(215-$NR$21+1)*($NS$21-215+1)/$NU$21,$NN$21/$NT$21)),0)</f>
        <v/>
      </c>
      <c r="HL21" s="228">
        <f>IF(AND(216&gt;=$NR$21,216&lt;=$NS$21),IF($NP$21="Single_Point",IF(216=$NR$21,$NN$21,0),IF($NP$21="Bell_Curve",$NN$21*(216-$NR$21+1)*($NS$21-216+1)/$NU$21,$NN$21/$NT$21)),0)</f>
        <v/>
      </c>
      <c r="HM21" s="228">
        <f>IF(AND(217&gt;=$NR$21,217&lt;=$NS$21),IF($NP$21="Single_Point",IF(217=$NR$21,$NN$21,0),IF($NP$21="Bell_Curve",$NN$21*(217-$NR$21+1)*($NS$21-217+1)/$NU$21,$NN$21/$NT$21)),0)</f>
        <v/>
      </c>
      <c r="HN21" s="228">
        <f>IF(AND(218&gt;=$NR$21,218&lt;=$NS$21),IF($NP$21="Single_Point",IF(218=$NR$21,$NN$21,0),IF($NP$21="Bell_Curve",$NN$21*(218-$NR$21+1)*($NS$21-218+1)/$NU$21,$NN$21/$NT$21)),0)</f>
        <v/>
      </c>
      <c r="HO21" s="228">
        <f>IF(AND(219&gt;=$NR$21,219&lt;=$NS$21),IF($NP$21="Single_Point",IF(219=$NR$21,$NN$21,0),IF($NP$21="Bell_Curve",$NN$21*(219-$NR$21+1)*($NS$21-219+1)/$NU$21,$NN$21/$NT$21)),0)</f>
        <v/>
      </c>
      <c r="HP21" s="228">
        <f>IF(AND(220&gt;=$NR$21,220&lt;=$NS$21),IF($NP$21="Single_Point",IF(220=$NR$21,$NN$21,0),IF($NP$21="Bell_Curve",$NN$21*(220-$NR$21+1)*($NS$21-220+1)/$NU$21,$NN$21/$NT$21)),0)</f>
        <v/>
      </c>
      <c r="HQ21" s="228">
        <f>IF(AND(221&gt;=$NR$21,221&lt;=$NS$21),IF($NP$21="Single_Point",IF(221=$NR$21,$NN$21,0),IF($NP$21="Bell_Curve",$NN$21*(221-$NR$21+1)*($NS$21-221+1)/$NU$21,$NN$21/$NT$21)),0)</f>
        <v/>
      </c>
      <c r="HR21" s="228">
        <f>IF(AND(222&gt;=$NR$21,222&lt;=$NS$21),IF($NP$21="Single_Point",IF(222=$NR$21,$NN$21,0),IF($NP$21="Bell_Curve",$NN$21*(222-$NR$21+1)*($NS$21-222+1)/$NU$21,$NN$21/$NT$21)),0)</f>
        <v/>
      </c>
      <c r="HS21" s="228">
        <f>IF(AND(223&gt;=$NR$21,223&lt;=$NS$21),IF($NP$21="Single_Point",IF(223=$NR$21,$NN$21,0),IF($NP$21="Bell_Curve",$NN$21*(223-$NR$21+1)*($NS$21-223+1)/$NU$21,$NN$21/$NT$21)),0)</f>
        <v/>
      </c>
      <c r="HT21" s="228">
        <f>IF(AND(224&gt;=$NR$21,224&lt;=$NS$21),IF($NP$21="Single_Point",IF(224=$NR$21,$NN$21,0),IF($NP$21="Bell_Curve",$NN$21*(224-$NR$21+1)*($NS$21-224+1)/$NU$21,$NN$21/$NT$21)),0)</f>
        <v/>
      </c>
      <c r="HU21" s="228">
        <f>IF(AND(225&gt;=$NR$21,225&lt;=$NS$21),IF($NP$21="Single_Point",IF(225=$NR$21,$NN$21,0),IF($NP$21="Bell_Curve",$NN$21*(225-$NR$21+1)*($NS$21-225+1)/$NU$21,$NN$21/$NT$21)),0)</f>
        <v/>
      </c>
      <c r="HV21" s="228">
        <f>IF(AND(226&gt;=$NR$21,226&lt;=$NS$21),IF($NP$21="Single_Point",IF(226=$NR$21,$NN$21,0),IF($NP$21="Bell_Curve",$NN$21*(226-$NR$21+1)*($NS$21-226+1)/$NU$21,$NN$21/$NT$21)),0)</f>
        <v/>
      </c>
      <c r="HW21" s="228">
        <f>IF(AND(227&gt;=$NR$21,227&lt;=$NS$21),IF($NP$21="Single_Point",IF(227=$NR$21,$NN$21,0),IF($NP$21="Bell_Curve",$NN$21*(227-$NR$21+1)*($NS$21-227+1)/$NU$21,$NN$21/$NT$21)),0)</f>
        <v/>
      </c>
      <c r="HX21" s="228">
        <f>IF(AND(228&gt;=$NR$21,228&lt;=$NS$21),IF($NP$21="Single_Point",IF(228=$NR$21,$NN$21,0),IF($NP$21="Bell_Curve",$NN$21*(228-$NR$21+1)*($NS$21-228+1)/$NU$21,$NN$21/$NT$21)),0)</f>
        <v/>
      </c>
      <c r="HY21" s="228">
        <f>IF(AND(229&gt;=$NR$21,229&lt;=$NS$21),IF($NP$21="Single_Point",IF(229=$NR$21,$NN$21,0),IF($NP$21="Bell_Curve",$NN$21*(229-$NR$21+1)*($NS$21-229+1)/$NU$21,$NN$21/$NT$21)),0)</f>
        <v/>
      </c>
      <c r="HZ21" s="228">
        <f>IF(AND(230&gt;=$NR$21,230&lt;=$NS$21),IF($NP$21="Single_Point",IF(230=$NR$21,$NN$21,0),IF($NP$21="Bell_Curve",$NN$21*(230-$NR$21+1)*($NS$21-230+1)/$NU$21,$NN$21/$NT$21)),0)</f>
        <v/>
      </c>
      <c r="IA21" s="228">
        <f>IF(AND(231&gt;=$NR$21,231&lt;=$NS$21),IF($NP$21="Single_Point",IF(231=$NR$21,$NN$21,0),IF($NP$21="Bell_Curve",$NN$21*(231-$NR$21+1)*($NS$21-231+1)/$NU$21,$NN$21/$NT$21)),0)</f>
        <v/>
      </c>
      <c r="IB21" s="228">
        <f>IF(AND(232&gt;=$NR$21,232&lt;=$NS$21),IF($NP$21="Single_Point",IF(232=$NR$21,$NN$21,0),IF($NP$21="Bell_Curve",$NN$21*(232-$NR$21+1)*($NS$21-232+1)/$NU$21,$NN$21/$NT$21)),0)</f>
        <v/>
      </c>
      <c r="IC21" s="228">
        <f>IF(AND(233&gt;=$NR$21,233&lt;=$NS$21),IF($NP$21="Single_Point",IF(233=$NR$21,$NN$21,0),IF($NP$21="Bell_Curve",$NN$21*(233-$NR$21+1)*($NS$21-233+1)/$NU$21,$NN$21/$NT$21)),0)</f>
        <v/>
      </c>
      <c r="ID21" s="228">
        <f>IF(AND(234&gt;=$NR$21,234&lt;=$NS$21),IF($NP$21="Single_Point",IF(234=$NR$21,$NN$21,0),IF($NP$21="Bell_Curve",$NN$21*(234-$NR$21+1)*($NS$21-234+1)/$NU$21,$NN$21/$NT$21)),0)</f>
        <v/>
      </c>
      <c r="IE21" s="228">
        <f>IF(AND(235&gt;=$NR$21,235&lt;=$NS$21),IF($NP$21="Single_Point",IF(235=$NR$21,$NN$21,0),IF($NP$21="Bell_Curve",$NN$21*(235-$NR$21+1)*($NS$21-235+1)/$NU$21,$NN$21/$NT$21)),0)</f>
        <v/>
      </c>
      <c r="IF21" s="228">
        <f>IF(AND(236&gt;=$NR$21,236&lt;=$NS$21),IF($NP$21="Single_Point",IF(236=$NR$21,$NN$21,0),IF($NP$21="Bell_Curve",$NN$21*(236-$NR$21+1)*($NS$21-236+1)/$NU$21,$NN$21/$NT$21)),0)</f>
        <v/>
      </c>
      <c r="IG21" s="228">
        <f>IF(AND(237&gt;=$NR$21,237&lt;=$NS$21),IF($NP$21="Single_Point",IF(237=$NR$21,$NN$21,0),IF($NP$21="Bell_Curve",$NN$21*(237-$NR$21+1)*($NS$21-237+1)/$NU$21,$NN$21/$NT$21)),0)</f>
        <v/>
      </c>
      <c r="IH21" s="228">
        <f>IF(AND(238&gt;=$NR$21,238&lt;=$NS$21),IF($NP$21="Single_Point",IF(238=$NR$21,$NN$21,0),IF($NP$21="Bell_Curve",$NN$21*(238-$NR$21+1)*($NS$21-238+1)/$NU$21,$NN$21/$NT$21)),0)</f>
        <v/>
      </c>
      <c r="II21" s="228">
        <f>IF(AND(239&gt;=$NR$21,239&lt;=$NS$21),IF($NP$21="Single_Point",IF(239=$NR$21,$NN$21,0),IF($NP$21="Bell_Curve",$NN$21*(239-$NR$21+1)*($NS$21-239+1)/$NU$21,$NN$21/$NT$21)),0)</f>
        <v/>
      </c>
      <c r="IJ21" s="228">
        <f>IF(AND(240&gt;=$NR$21,240&lt;=$NS$21),IF($NP$21="Single_Point",IF(240=$NR$21,$NN$21,0),IF($NP$21="Bell_Curve",$NN$21*(240-$NR$21+1)*($NS$21-240+1)/$NU$21,$NN$21/$NT$21)),0)</f>
        <v/>
      </c>
      <c r="IK21" s="228">
        <f>IF(AND(241&gt;=$NR$21,241&lt;=$NS$21),IF($NP$21="Single_Point",IF(241=$NR$21,$NN$21,0),IF($NP$21="Bell_Curve",$NN$21*(241-$NR$21+1)*($NS$21-241+1)/$NU$21,$NN$21/$NT$21)),0)</f>
        <v/>
      </c>
      <c r="IL21" s="228">
        <f>IF(AND(242&gt;=$NR$21,242&lt;=$NS$21),IF($NP$21="Single_Point",IF(242=$NR$21,$NN$21,0),IF($NP$21="Bell_Curve",$NN$21*(242-$NR$21+1)*($NS$21-242+1)/$NU$21,$NN$21/$NT$21)),0)</f>
        <v/>
      </c>
      <c r="IM21" s="228">
        <f>IF(AND(243&gt;=$NR$21,243&lt;=$NS$21),IF($NP$21="Single_Point",IF(243=$NR$21,$NN$21,0),IF($NP$21="Bell_Curve",$NN$21*(243-$NR$21+1)*($NS$21-243+1)/$NU$21,$NN$21/$NT$21)),0)</f>
        <v/>
      </c>
      <c r="IN21" s="228">
        <f>IF(AND(244&gt;=$NR$21,244&lt;=$NS$21),IF($NP$21="Single_Point",IF(244=$NR$21,$NN$21,0),IF($NP$21="Bell_Curve",$NN$21*(244-$NR$21+1)*($NS$21-244+1)/$NU$21,$NN$21/$NT$21)),0)</f>
        <v/>
      </c>
      <c r="IO21" s="228">
        <f>IF(AND(245&gt;=$NR$21,245&lt;=$NS$21),IF($NP$21="Single_Point",IF(245=$NR$21,$NN$21,0),IF($NP$21="Bell_Curve",$NN$21*(245-$NR$21+1)*($NS$21-245+1)/$NU$21,$NN$21/$NT$21)),0)</f>
        <v/>
      </c>
      <c r="IP21" s="228">
        <f>IF(AND(246&gt;=$NR$21,246&lt;=$NS$21),IF($NP$21="Single_Point",IF(246=$NR$21,$NN$21,0),IF($NP$21="Bell_Curve",$NN$21*(246-$NR$21+1)*($NS$21-246+1)/$NU$21,$NN$21/$NT$21)),0)</f>
        <v/>
      </c>
      <c r="IQ21" s="228">
        <f>IF(AND(247&gt;=$NR$21,247&lt;=$NS$21),IF($NP$21="Single_Point",IF(247=$NR$21,$NN$21,0),IF($NP$21="Bell_Curve",$NN$21*(247-$NR$21+1)*($NS$21-247+1)/$NU$21,$NN$21/$NT$21)),0)</f>
        <v/>
      </c>
      <c r="IR21" s="228">
        <f>IF(AND(248&gt;=$NR$21,248&lt;=$NS$21),IF($NP$21="Single_Point",IF(248=$NR$21,$NN$21,0),IF($NP$21="Bell_Curve",$NN$21*(248-$NR$21+1)*($NS$21-248+1)/$NU$21,$NN$21/$NT$21)),0)</f>
        <v/>
      </c>
      <c r="IS21" s="228">
        <f>IF(AND(249&gt;=$NR$21,249&lt;=$NS$21),IF($NP$21="Single_Point",IF(249=$NR$21,$NN$21,0),IF($NP$21="Bell_Curve",$NN$21*(249-$NR$21+1)*($NS$21-249+1)/$NU$21,$NN$21/$NT$21)),0)</f>
        <v/>
      </c>
      <c r="IT21" s="228">
        <f>IF(AND(250&gt;=$NR$21,250&lt;=$NS$21),IF($NP$21="Single_Point",IF(250=$NR$21,$NN$21,0),IF($NP$21="Bell_Curve",$NN$21*(250-$NR$21+1)*($NS$21-250+1)/$NU$21,$NN$21/$NT$21)),0)</f>
        <v/>
      </c>
      <c r="IU21" s="228">
        <f>IF(AND(251&gt;=$NR$21,251&lt;=$NS$21),IF($NP$21="Single_Point",IF(251=$NR$21,$NN$21,0),IF($NP$21="Bell_Curve",$NN$21*(251-$NR$21+1)*($NS$21-251+1)/$NU$21,$NN$21/$NT$21)),0)</f>
        <v/>
      </c>
      <c r="IV21" s="228">
        <f>IF(AND(252&gt;=$NR$21,252&lt;=$NS$21),IF($NP$21="Single_Point",IF(252=$NR$21,$NN$21,0),IF($NP$21="Bell_Curve",$NN$21*(252-$NR$21+1)*($NS$21-252+1)/$NU$21,$NN$21/$NT$21)),0)</f>
        <v/>
      </c>
      <c r="IW21" s="228">
        <f>IF(AND(253&gt;=$NR$21,253&lt;=$NS$21),IF($NP$21="Single_Point",IF(253=$NR$21,$NN$21,0),IF($NP$21="Bell_Curve",$NN$21*(253-$NR$21+1)*($NS$21-253+1)/$NU$21,$NN$21/$NT$21)),0)</f>
        <v/>
      </c>
      <c r="IX21" s="228">
        <f>IF(AND(254&gt;=$NR$21,254&lt;=$NS$21),IF($NP$21="Single_Point",IF(254=$NR$21,$NN$21,0),IF($NP$21="Bell_Curve",$NN$21*(254-$NR$21+1)*($NS$21-254+1)/$NU$21,$NN$21/$NT$21)),0)</f>
        <v/>
      </c>
      <c r="IY21" s="228">
        <f>IF(AND(255&gt;=$NR$21,255&lt;=$NS$21),IF($NP$21="Single_Point",IF(255=$NR$21,$NN$21,0),IF($NP$21="Bell_Curve",$NN$21*(255-$NR$21+1)*($NS$21-255+1)/$NU$21,$NN$21/$NT$21)),0)</f>
        <v/>
      </c>
      <c r="IZ21" s="228">
        <f>IF(AND(256&gt;=$NR$21,256&lt;=$NS$21),IF($NP$21="Single_Point",IF(256=$NR$21,$NN$21,0),IF($NP$21="Bell_Curve",$NN$21*(256-$NR$21+1)*($NS$21-256+1)/$NU$21,$NN$21/$NT$21)),0)</f>
        <v/>
      </c>
      <c r="JA21" s="228">
        <f>IF(AND(257&gt;=$NR$21,257&lt;=$NS$21),IF($NP$21="Single_Point",IF(257=$NR$21,$NN$21,0),IF($NP$21="Bell_Curve",$NN$21*(257-$NR$21+1)*($NS$21-257+1)/$NU$21,$NN$21/$NT$21)),0)</f>
        <v/>
      </c>
      <c r="JB21" s="228">
        <f>IF(AND(258&gt;=$NR$21,258&lt;=$NS$21),IF($NP$21="Single_Point",IF(258=$NR$21,$NN$21,0),IF($NP$21="Bell_Curve",$NN$21*(258-$NR$21+1)*($NS$21-258+1)/$NU$21,$NN$21/$NT$21)),0)</f>
        <v/>
      </c>
      <c r="JC21" s="228">
        <f>IF(AND(259&gt;=$NR$21,259&lt;=$NS$21),IF($NP$21="Single_Point",IF(259=$NR$21,$NN$21,0),IF($NP$21="Bell_Curve",$NN$21*(259-$NR$21+1)*($NS$21-259+1)/$NU$21,$NN$21/$NT$21)),0)</f>
        <v/>
      </c>
      <c r="JD21" s="228">
        <f>IF(AND(260&gt;=$NR$21,260&lt;=$NS$21),IF($NP$21="Single_Point",IF(260=$NR$21,$NN$21,0),IF($NP$21="Bell_Curve",$NN$21*(260-$NR$21+1)*($NS$21-260+1)/$NU$21,$NN$21/$NT$21)),0)</f>
        <v/>
      </c>
      <c r="JE21" s="228">
        <f>IF(AND(261&gt;=$NR$21,261&lt;=$NS$21),IF($NP$21="Single_Point",IF(261=$NR$21,$NN$21,0),IF($NP$21="Bell_Curve",$NN$21*(261-$NR$21+1)*($NS$21-261+1)/$NU$21,$NN$21/$NT$21)),0)</f>
        <v/>
      </c>
      <c r="JF21" s="228">
        <f>IF(AND(262&gt;=$NR$21,262&lt;=$NS$21),IF($NP$21="Single_Point",IF(262=$NR$21,$NN$21,0),IF($NP$21="Bell_Curve",$NN$21*(262-$NR$21+1)*($NS$21-262+1)/$NU$21,$NN$21/$NT$21)),0)</f>
        <v/>
      </c>
      <c r="JG21" s="228">
        <f>IF(AND(263&gt;=$NR$21,263&lt;=$NS$21),IF($NP$21="Single_Point",IF(263=$NR$21,$NN$21,0),IF($NP$21="Bell_Curve",$NN$21*(263-$NR$21+1)*($NS$21-263+1)/$NU$21,$NN$21/$NT$21)),0)</f>
        <v/>
      </c>
      <c r="JH21" s="228">
        <f>IF(AND(264&gt;=$NR$21,264&lt;=$NS$21),IF($NP$21="Single_Point",IF(264=$NR$21,$NN$21,0),IF($NP$21="Bell_Curve",$NN$21*(264-$NR$21+1)*($NS$21-264+1)/$NU$21,$NN$21/$NT$21)),0)</f>
        <v/>
      </c>
      <c r="JI21" s="228">
        <f>IF(AND(265&gt;=$NR$21,265&lt;=$NS$21),IF($NP$21="Single_Point",IF(265=$NR$21,$NN$21,0),IF($NP$21="Bell_Curve",$NN$21*(265-$NR$21+1)*($NS$21-265+1)/$NU$21,$NN$21/$NT$21)),0)</f>
        <v/>
      </c>
      <c r="JJ21" s="228">
        <f>IF(AND(266&gt;=$NR$21,266&lt;=$NS$21),IF($NP$21="Single_Point",IF(266=$NR$21,$NN$21,0),IF($NP$21="Bell_Curve",$NN$21*(266-$NR$21+1)*($NS$21-266+1)/$NU$21,$NN$21/$NT$21)),0)</f>
        <v/>
      </c>
      <c r="JK21" s="228">
        <f>IF(AND(267&gt;=$NR$21,267&lt;=$NS$21),IF($NP$21="Single_Point",IF(267=$NR$21,$NN$21,0),IF($NP$21="Bell_Curve",$NN$21*(267-$NR$21+1)*($NS$21-267+1)/$NU$21,$NN$21/$NT$21)),0)</f>
        <v/>
      </c>
      <c r="JL21" s="228">
        <f>IF(AND(268&gt;=$NR$21,268&lt;=$NS$21),IF($NP$21="Single_Point",IF(268=$NR$21,$NN$21,0),IF($NP$21="Bell_Curve",$NN$21*(268-$NR$21+1)*($NS$21-268+1)/$NU$21,$NN$21/$NT$21)),0)</f>
        <v/>
      </c>
      <c r="JM21" s="228">
        <f>IF(AND(269&gt;=$NR$21,269&lt;=$NS$21),IF($NP$21="Single_Point",IF(269=$NR$21,$NN$21,0),IF($NP$21="Bell_Curve",$NN$21*(269-$NR$21+1)*($NS$21-269+1)/$NU$21,$NN$21/$NT$21)),0)</f>
        <v/>
      </c>
      <c r="JN21" s="228">
        <f>IF(AND(270&gt;=$NR$21,270&lt;=$NS$21),IF($NP$21="Single_Point",IF(270=$NR$21,$NN$21,0),IF($NP$21="Bell_Curve",$NN$21*(270-$NR$21+1)*($NS$21-270+1)/$NU$21,$NN$21/$NT$21)),0)</f>
        <v/>
      </c>
      <c r="JO21" s="228">
        <f>IF(AND(271&gt;=$NR$21,271&lt;=$NS$21),IF($NP$21="Single_Point",IF(271=$NR$21,$NN$21,0),IF($NP$21="Bell_Curve",$NN$21*(271-$NR$21+1)*($NS$21-271+1)/$NU$21,$NN$21/$NT$21)),0)</f>
        <v/>
      </c>
      <c r="JP21" s="228">
        <f>IF(AND(272&gt;=$NR$21,272&lt;=$NS$21),IF($NP$21="Single_Point",IF(272=$NR$21,$NN$21,0),IF($NP$21="Bell_Curve",$NN$21*(272-$NR$21+1)*($NS$21-272+1)/$NU$21,$NN$21/$NT$21)),0)</f>
        <v/>
      </c>
      <c r="JQ21" s="228">
        <f>IF(AND(273&gt;=$NR$21,273&lt;=$NS$21),IF($NP$21="Single_Point",IF(273=$NR$21,$NN$21,0),IF($NP$21="Bell_Curve",$NN$21*(273-$NR$21+1)*($NS$21-273+1)/$NU$21,$NN$21/$NT$21)),0)</f>
        <v/>
      </c>
      <c r="JR21" s="228">
        <f>IF(AND(274&gt;=$NR$21,274&lt;=$NS$21),IF($NP$21="Single_Point",IF(274=$NR$21,$NN$21,0),IF($NP$21="Bell_Curve",$NN$21*(274-$NR$21+1)*($NS$21-274+1)/$NU$21,$NN$21/$NT$21)),0)</f>
        <v/>
      </c>
      <c r="JS21" s="228">
        <f>IF(AND(275&gt;=$NR$21,275&lt;=$NS$21),IF($NP$21="Single_Point",IF(275=$NR$21,$NN$21,0),IF($NP$21="Bell_Curve",$NN$21*(275-$NR$21+1)*($NS$21-275+1)/$NU$21,$NN$21/$NT$21)),0)</f>
        <v/>
      </c>
      <c r="JT21" s="228">
        <f>IF(AND(276&gt;=$NR$21,276&lt;=$NS$21),IF($NP$21="Single_Point",IF(276=$NR$21,$NN$21,0),IF($NP$21="Bell_Curve",$NN$21*(276-$NR$21+1)*($NS$21-276+1)/$NU$21,$NN$21/$NT$21)),0)</f>
        <v/>
      </c>
      <c r="JU21" s="228">
        <f>IF(AND(277&gt;=$NR$21,277&lt;=$NS$21),IF($NP$21="Single_Point",IF(277=$NR$21,$NN$21,0),IF($NP$21="Bell_Curve",$NN$21*(277-$NR$21+1)*($NS$21-277+1)/$NU$21,$NN$21/$NT$21)),0)</f>
        <v/>
      </c>
      <c r="JV21" s="228">
        <f>IF(AND(278&gt;=$NR$21,278&lt;=$NS$21),IF($NP$21="Single_Point",IF(278=$NR$21,$NN$21,0),IF($NP$21="Bell_Curve",$NN$21*(278-$NR$21+1)*($NS$21-278+1)/$NU$21,$NN$21/$NT$21)),0)</f>
        <v/>
      </c>
      <c r="JW21" s="228">
        <f>IF(AND(279&gt;=$NR$21,279&lt;=$NS$21),IF($NP$21="Single_Point",IF(279=$NR$21,$NN$21,0),IF($NP$21="Bell_Curve",$NN$21*(279-$NR$21+1)*($NS$21-279+1)/$NU$21,$NN$21/$NT$21)),0)</f>
        <v/>
      </c>
      <c r="JX21" s="228">
        <f>IF(AND(280&gt;=$NR$21,280&lt;=$NS$21),IF($NP$21="Single_Point",IF(280=$NR$21,$NN$21,0),IF($NP$21="Bell_Curve",$NN$21*(280-$NR$21+1)*($NS$21-280+1)/$NU$21,$NN$21/$NT$21)),0)</f>
        <v/>
      </c>
      <c r="JY21" s="228">
        <f>IF(AND(281&gt;=$NR$21,281&lt;=$NS$21),IF($NP$21="Single_Point",IF(281=$NR$21,$NN$21,0),IF($NP$21="Bell_Curve",$NN$21*(281-$NR$21+1)*($NS$21-281+1)/$NU$21,$NN$21/$NT$21)),0)</f>
        <v/>
      </c>
      <c r="JZ21" s="228">
        <f>IF(AND(282&gt;=$NR$21,282&lt;=$NS$21),IF($NP$21="Single_Point",IF(282=$NR$21,$NN$21,0),IF($NP$21="Bell_Curve",$NN$21*(282-$NR$21+1)*($NS$21-282+1)/$NU$21,$NN$21/$NT$21)),0)</f>
        <v/>
      </c>
      <c r="KA21" s="228">
        <f>IF(AND(283&gt;=$NR$21,283&lt;=$NS$21),IF($NP$21="Single_Point",IF(283=$NR$21,$NN$21,0),IF($NP$21="Bell_Curve",$NN$21*(283-$NR$21+1)*($NS$21-283+1)/$NU$21,$NN$21/$NT$21)),0)</f>
        <v/>
      </c>
      <c r="KB21" s="228">
        <f>IF(AND(284&gt;=$NR$21,284&lt;=$NS$21),IF($NP$21="Single_Point",IF(284=$NR$21,$NN$21,0),IF($NP$21="Bell_Curve",$NN$21*(284-$NR$21+1)*($NS$21-284+1)/$NU$21,$NN$21/$NT$21)),0)</f>
        <v/>
      </c>
      <c r="KC21" s="228">
        <f>IF(AND(285&gt;=$NR$21,285&lt;=$NS$21),IF($NP$21="Single_Point",IF(285=$NR$21,$NN$21,0),IF($NP$21="Bell_Curve",$NN$21*(285-$NR$21+1)*($NS$21-285+1)/$NU$21,$NN$21/$NT$21)),0)</f>
        <v/>
      </c>
      <c r="KD21" s="228">
        <f>IF(AND(286&gt;=$NR$21,286&lt;=$NS$21),IF($NP$21="Single_Point",IF(286=$NR$21,$NN$21,0),IF($NP$21="Bell_Curve",$NN$21*(286-$NR$21+1)*($NS$21-286+1)/$NU$21,$NN$21/$NT$21)),0)</f>
        <v/>
      </c>
      <c r="KE21" s="228">
        <f>IF(AND(287&gt;=$NR$21,287&lt;=$NS$21),IF($NP$21="Single_Point",IF(287=$NR$21,$NN$21,0),IF($NP$21="Bell_Curve",$NN$21*(287-$NR$21+1)*($NS$21-287+1)/$NU$21,$NN$21/$NT$21)),0)</f>
        <v/>
      </c>
      <c r="KF21" s="228">
        <f>IF(AND(288&gt;=$NR$21,288&lt;=$NS$21),IF($NP$21="Single_Point",IF(288=$NR$21,$NN$21,0),IF($NP$21="Bell_Curve",$NN$21*(288-$NR$21+1)*($NS$21-288+1)/$NU$21,$NN$21/$NT$21)),0)</f>
        <v/>
      </c>
      <c r="KG21" s="228">
        <f>IF(AND(289&gt;=$NR$21,289&lt;=$NS$21),IF($NP$21="Single_Point",IF(289=$NR$21,$NN$21,0),IF($NP$21="Bell_Curve",$NN$21*(289-$NR$21+1)*($NS$21-289+1)/$NU$21,$NN$21/$NT$21)),0)</f>
        <v/>
      </c>
      <c r="KH21" s="228">
        <f>IF(AND(290&gt;=$NR$21,290&lt;=$NS$21),IF($NP$21="Single_Point",IF(290=$NR$21,$NN$21,0),IF($NP$21="Bell_Curve",$NN$21*(290-$NR$21+1)*($NS$21-290+1)/$NU$21,$NN$21/$NT$21)),0)</f>
        <v/>
      </c>
      <c r="KI21" s="228">
        <f>IF(AND(291&gt;=$NR$21,291&lt;=$NS$21),IF($NP$21="Single_Point",IF(291=$NR$21,$NN$21,0),IF($NP$21="Bell_Curve",$NN$21*(291-$NR$21+1)*($NS$21-291+1)/$NU$21,$NN$21/$NT$21)),0)</f>
        <v/>
      </c>
      <c r="KJ21" s="228">
        <f>IF(AND(292&gt;=$NR$21,292&lt;=$NS$21),IF($NP$21="Single_Point",IF(292=$NR$21,$NN$21,0),IF($NP$21="Bell_Curve",$NN$21*(292-$NR$21+1)*($NS$21-292+1)/$NU$21,$NN$21/$NT$21)),0)</f>
        <v/>
      </c>
      <c r="KK21" s="228">
        <f>IF(AND(293&gt;=$NR$21,293&lt;=$NS$21),IF($NP$21="Single_Point",IF(293=$NR$21,$NN$21,0),IF($NP$21="Bell_Curve",$NN$21*(293-$NR$21+1)*($NS$21-293+1)/$NU$21,$NN$21/$NT$21)),0)</f>
        <v/>
      </c>
      <c r="KL21" s="228">
        <f>IF(AND(294&gt;=$NR$21,294&lt;=$NS$21),IF($NP$21="Single_Point",IF(294=$NR$21,$NN$21,0),IF($NP$21="Bell_Curve",$NN$21*(294-$NR$21+1)*($NS$21-294+1)/$NU$21,$NN$21/$NT$21)),0)</f>
        <v/>
      </c>
      <c r="KM21" s="228">
        <f>IF(AND(295&gt;=$NR$21,295&lt;=$NS$21),IF($NP$21="Single_Point",IF(295=$NR$21,$NN$21,0),IF($NP$21="Bell_Curve",$NN$21*(295-$NR$21+1)*($NS$21-295+1)/$NU$21,$NN$21/$NT$21)),0)</f>
        <v/>
      </c>
      <c r="KN21" s="228">
        <f>IF(AND(296&gt;=$NR$21,296&lt;=$NS$21),IF($NP$21="Single_Point",IF(296=$NR$21,$NN$21,0),IF($NP$21="Bell_Curve",$NN$21*(296-$NR$21+1)*($NS$21-296+1)/$NU$21,$NN$21/$NT$21)),0)</f>
        <v/>
      </c>
      <c r="KO21" s="228">
        <f>IF(AND(297&gt;=$NR$21,297&lt;=$NS$21),IF($NP$21="Single_Point",IF(297=$NR$21,$NN$21,0),IF($NP$21="Bell_Curve",$NN$21*(297-$NR$21+1)*($NS$21-297+1)/$NU$21,$NN$21/$NT$21)),0)</f>
        <v/>
      </c>
      <c r="KP21" s="228">
        <f>IF(AND(298&gt;=$NR$21,298&lt;=$NS$21),IF($NP$21="Single_Point",IF(298=$NR$21,$NN$21,0),IF($NP$21="Bell_Curve",$NN$21*(298-$NR$21+1)*($NS$21-298+1)/$NU$21,$NN$21/$NT$21)),0)</f>
        <v/>
      </c>
      <c r="KQ21" s="228">
        <f>IF(AND(299&gt;=$NR$21,299&lt;=$NS$21),IF($NP$21="Single_Point",IF(299=$NR$21,$NN$21,0),IF($NP$21="Bell_Curve",$NN$21*(299-$NR$21+1)*($NS$21-299+1)/$NU$21,$NN$21/$NT$21)),0)</f>
        <v/>
      </c>
      <c r="KR21" s="228">
        <f>IF(AND(300&gt;=$NR$21,300&lt;=$NS$21),IF($NP$21="Single_Point",IF(300=$NR$21,$NN$21,0),IF($NP$21="Bell_Curve",$NN$21*(300-$NR$21+1)*($NS$21-300+1)/$NU$21,$NN$21/$NT$21)),0)</f>
        <v/>
      </c>
      <c r="KS21" s="228">
        <f>IF(AND(301&gt;=$NR$21,301&lt;=$NS$21),IF($NP$21="Single_Point",IF(301=$NR$21,$NN$21,0),IF($NP$21="Bell_Curve",$NN$21*(301-$NR$21+1)*($NS$21-301+1)/$NU$21,$NN$21/$NT$21)),0)</f>
        <v/>
      </c>
      <c r="KT21" s="228">
        <f>IF(AND(302&gt;=$NR$21,302&lt;=$NS$21),IF($NP$21="Single_Point",IF(302=$NR$21,$NN$21,0),IF($NP$21="Bell_Curve",$NN$21*(302-$NR$21+1)*($NS$21-302+1)/$NU$21,$NN$21/$NT$21)),0)</f>
        <v/>
      </c>
      <c r="KU21" s="228">
        <f>IF(AND(303&gt;=$NR$21,303&lt;=$NS$21),IF($NP$21="Single_Point",IF(303=$NR$21,$NN$21,0),IF($NP$21="Bell_Curve",$NN$21*(303-$NR$21+1)*($NS$21-303+1)/$NU$21,$NN$21/$NT$21)),0)</f>
        <v/>
      </c>
      <c r="KV21" s="228">
        <f>IF(AND(304&gt;=$NR$21,304&lt;=$NS$21),IF($NP$21="Single_Point",IF(304=$NR$21,$NN$21,0),IF($NP$21="Bell_Curve",$NN$21*(304-$NR$21+1)*($NS$21-304+1)/$NU$21,$NN$21/$NT$21)),0)</f>
        <v/>
      </c>
      <c r="KW21" s="228">
        <f>IF(AND(305&gt;=$NR$21,305&lt;=$NS$21),IF($NP$21="Single_Point",IF(305=$NR$21,$NN$21,0),IF($NP$21="Bell_Curve",$NN$21*(305-$NR$21+1)*($NS$21-305+1)/$NU$21,$NN$21/$NT$21)),0)</f>
        <v/>
      </c>
      <c r="KX21" s="228">
        <f>IF(AND(306&gt;=$NR$21,306&lt;=$NS$21),IF($NP$21="Single_Point",IF(306=$NR$21,$NN$21,0),IF($NP$21="Bell_Curve",$NN$21*(306-$NR$21+1)*($NS$21-306+1)/$NU$21,$NN$21/$NT$21)),0)</f>
        <v/>
      </c>
      <c r="KY21" s="228">
        <f>IF(AND(307&gt;=$NR$21,307&lt;=$NS$21),IF($NP$21="Single_Point",IF(307=$NR$21,$NN$21,0),IF($NP$21="Bell_Curve",$NN$21*(307-$NR$21+1)*($NS$21-307+1)/$NU$21,$NN$21/$NT$21)),0)</f>
        <v/>
      </c>
      <c r="KZ21" s="228">
        <f>IF(AND(308&gt;=$NR$21,308&lt;=$NS$21),IF($NP$21="Single_Point",IF(308=$NR$21,$NN$21,0),IF($NP$21="Bell_Curve",$NN$21*(308-$NR$21+1)*($NS$21-308+1)/$NU$21,$NN$21/$NT$21)),0)</f>
        <v/>
      </c>
      <c r="LA21" s="228">
        <f>IF(AND(309&gt;=$NR$21,309&lt;=$NS$21),IF($NP$21="Single_Point",IF(309=$NR$21,$NN$21,0),IF($NP$21="Bell_Curve",$NN$21*(309-$NR$21+1)*($NS$21-309+1)/$NU$21,$NN$21/$NT$21)),0)</f>
        <v/>
      </c>
      <c r="LB21" s="228">
        <f>IF(AND(310&gt;=$NR$21,310&lt;=$NS$21),IF($NP$21="Single_Point",IF(310=$NR$21,$NN$21,0),IF($NP$21="Bell_Curve",$NN$21*(310-$NR$21+1)*($NS$21-310+1)/$NU$21,$NN$21/$NT$21)),0)</f>
        <v/>
      </c>
      <c r="LC21" s="228">
        <f>IF(AND(311&gt;=$NR$21,311&lt;=$NS$21),IF($NP$21="Single_Point",IF(311=$NR$21,$NN$21,0),IF($NP$21="Bell_Curve",$NN$21*(311-$NR$21+1)*($NS$21-311+1)/$NU$21,$NN$21/$NT$21)),0)</f>
        <v/>
      </c>
      <c r="LD21" s="228">
        <f>IF(AND(312&gt;=$NR$21,312&lt;=$NS$21),IF($NP$21="Single_Point",IF(312=$NR$21,$NN$21,0),IF($NP$21="Bell_Curve",$NN$21*(312-$NR$21+1)*($NS$21-312+1)/$NU$21,$NN$21/$NT$21)),0)</f>
        <v/>
      </c>
      <c r="LE21" s="228">
        <f>IF(AND(313&gt;=$NR$21,313&lt;=$NS$21),IF($NP$21="Single_Point",IF(313=$NR$21,$NN$21,0),IF($NP$21="Bell_Curve",$NN$21*(313-$NR$21+1)*($NS$21-313+1)/$NU$21,$NN$21/$NT$21)),0)</f>
        <v/>
      </c>
      <c r="LF21" s="228">
        <f>IF(AND(314&gt;=$NR$21,314&lt;=$NS$21),IF($NP$21="Single_Point",IF(314=$NR$21,$NN$21,0),IF($NP$21="Bell_Curve",$NN$21*(314-$NR$21+1)*($NS$21-314+1)/$NU$21,$NN$21/$NT$21)),0)</f>
        <v/>
      </c>
      <c r="LG21" s="228">
        <f>IF(AND(315&gt;=$NR$21,315&lt;=$NS$21),IF($NP$21="Single_Point",IF(315=$NR$21,$NN$21,0),IF($NP$21="Bell_Curve",$NN$21*(315-$NR$21+1)*($NS$21-315+1)/$NU$21,$NN$21/$NT$21)),0)</f>
        <v/>
      </c>
      <c r="LH21" s="228">
        <f>IF(AND(316&gt;=$NR$21,316&lt;=$NS$21),IF($NP$21="Single_Point",IF(316=$NR$21,$NN$21,0),IF($NP$21="Bell_Curve",$NN$21*(316-$NR$21+1)*($NS$21-316+1)/$NU$21,$NN$21/$NT$21)),0)</f>
        <v/>
      </c>
      <c r="LI21" s="228">
        <f>IF(AND(317&gt;=$NR$21,317&lt;=$NS$21),IF($NP$21="Single_Point",IF(317=$NR$21,$NN$21,0),IF($NP$21="Bell_Curve",$NN$21*(317-$NR$21+1)*($NS$21-317+1)/$NU$21,$NN$21/$NT$21)),0)</f>
        <v/>
      </c>
      <c r="LJ21" s="228">
        <f>IF(AND(318&gt;=$NR$21,318&lt;=$NS$21),IF($NP$21="Single_Point",IF(318=$NR$21,$NN$21,0),IF($NP$21="Bell_Curve",$NN$21*(318-$NR$21+1)*($NS$21-318+1)/$NU$21,$NN$21/$NT$21)),0)</f>
        <v/>
      </c>
      <c r="LK21" s="228">
        <f>IF(AND(319&gt;=$NR$21,319&lt;=$NS$21),IF($NP$21="Single_Point",IF(319=$NR$21,$NN$21,0),IF($NP$21="Bell_Curve",$NN$21*(319-$NR$21+1)*($NS$21-319+1)/$NU$21,$NN$21/$NT$21)),0)</f>
        <v/>
      </c>
      <c r="LL21" s="228">
        <f>IF(AND(320&gt;=$NR$21,320&lt;=$NS$21),IF($NP$21="Single_Point",IF(320=$NR$21,$NN$21,0),IF($NP$21="Bell_Curve",$NN$21*(320-$NR$21+1)*($NS$21-320+1)/$NU$21,$NN$21/$NT$21)),0)</f>
        <v/>
      </c>
      <c r="LM21" s="228">
        <f>IF(AND(321&gt;=$NR$21,321&lt;=$NS$21),IF($NP$21="Single_Point",IF(321=$NR$21,$NN$21,0),IF($NP$21="Bell_Curve",$NN$21*(321-$NR$21+1)*($NS$21-321+1)/$NU$21,$NN$21/$NT$21)),0)</f>
        <v/>
      </c>
      <c r="LN21" s="228">
        <f>IF(AND(322&gt;=$NR$21,322&lt;=$NS$21),IF($NP$21="Single_Point",IF(322=$NR$21,$NN$21,0),IF($NP$21="Bell_Curve",$NN$21*(322-$NR$21+1)*($NS$21-322+1)/$NU$21,$NN$21/$NT$21)),0)</f>
        <v/>
      </c>
      <c r="LO21" s="228">
        <f>IF(AND(323&gt;=$NR$21,323&lt;=$NS$21),IF($NP$21="Single_Point",IF(323=$NR$21,$NN$21,0),IF($NP$21="Bell_Curve",$NN$21*(323-$NR$21+1)*($NS$21-323+1)/$NU$21,$NN$21/$NT$21)),0)</f>
        <v/>
      </c>
      <c r="LP21" s="228">
        <f>IF(AND(324&gt;=$NR$21,324&lt;=$NS$21),IF($NP$21="Single_Point",IF(324=$NR$21,$NN$21,0),IF($NP$21="Bell_Curve",$NN$21*(324-$NR$21+1)*($NS$21-324+1)/$NU$21,$NN$21/$NT$21)),0)</f>
        <v/>
      </c>
      <c r="LQ21" s="228">
        <f>IF(AND(325&gt;=$NR$21,325&lt;=$NS$21),IF($NP$21="Single_Point",IF(325=$NR$21,$NN$21,0),IF($NP$21="Bell_Curve",$NN$21*(325-$NR$21+1)*($NS$21-325+1)/$NU$21,$NN$21/$NT$21)),0)</f>
        <v/>
      </c>
      <c r="LR21" s="228">
        <f>IF(AND(326&gt;=$NR$21,326&lt;=$NS$21),IF($NP$21="Single_Point",IF(326=$NR$21,$NN$21,0),IF($NP$21="Bell_Curve",$NN$21*(326-$NR$21+1)*($NS$21-326+1)/$NU$21,$NN$21/$NT$21)),0)</f>
        <v/>
      </c>
      <c r="LS21" s="228">
        <f>IF(AND(327&gt;=$NR$21,327&lt;=$NS$21),IF($NP$21="Single_Point",IF(327=$NR$21,$NN$21,0),IF($NP$21="Bell_Curve",$NN$21*(327-$NR$21+1)*($NS$21-327+1)/$NU$21,$NN$21/$NT$21)),0)</f>
        <v/>
      </c>
      <c r="LT21" s="228">
        <f>IF(AND(328&gt;=$NR$21,328&lt;=$NS$21),IF($NP$21="Single_Point",IF(328=$NR$21,$NN$21,0),IF($NP$21="Bell_Curve",$NN$21*(328-$NR$21+1)*($NS$21-328+1)/$NU$21,$NN$21/$NT$21)),0)</f>
        <v/>
      </c>
      <c r="LU21" s="228">
        <f>IF(AND(329&gt;=$NR$21,329&lt;=$NS$21),IF($NP$21="Single_Point",IF(329=$NR$21,$NN$21,0),IF($NP$21="Bell_Curve",$NN$21*(329-$NR$21+1)*($NS$21-329+1)/$NU$21,$NN$21/$NT$21)),0)</f>
        <v/>
      </c>
      <c r="LV21" s="228">
        <f>IF(AND(330&gt;=$NR$21,330&lt;=$NS$21),IF($NP$21="Single_Point",IF(330=$NR$21,$NN$21,0),IF($NP$21="Bell_Curve",$NN$21*(330-$NR$21+1)*($NS$21-330+1)/$NU$21,$NN$21/$NT$21)),0)</f>
        <v/>
      </c>
      <c r="LW21" s="228">
        <f>IF(AND(331&gt;=$NR$21,331&lt;=$NS$21),IF($NP$21="Single_Point",IF(331=$NR$21,$NN$21,0),IF($NP$21="Bell_Curve",$NN$21*(331-$NR$21+1)*($NS$21-331+1)/$NU$21,$NN$21/$NT$21)),0)</f>
        <v/>
      </c>
      <c r="LX21" s="228">
        <f>IF(AND(332&gt;=$NR$21,332&lt;=$NS$21),IF($NP$21="Single_Point",IF(332=$NR$21,$NN$21,0),IF($NP$21="Bell_Curve",$NN$21*(332-$NR$21+1)*($NS$21-332+1)/$NU$21,$NN$21/$NT$21)),0)</f>
        <v/>
      </c>
      <c r="LY21" s="228">
        <f>IF(AND(333&gt;=$NR$21,333&lt;=$NS$21),IF($NP$21="Single_Point",IF(333=$NR$21,$NN$21,0),IF($NP$21="Bell_Curve",$NN$21*(333-$NR$21+1)*($NS$21-333+1)/$NU$21,$NN$21/$NT$21)),0)</f>
        <v/>
      </c>
      <c r="LZ21" s="228">
        <f>IF(AND(334&gt;=$NR$21,334&lt;=$NS$21),IF($NP$21="Single_Point",IF(334=$NR$21,$NN$21,0),IF($NP$21="Bell_Curve",$NN$21*(334-$NR$21+1)*($NS$21-334+1)/$NU$21,$NN$21/$NT$21)),0)</f>
        <v/>
      </c>
      <c r="MA21" s="228">
        <f>IF(AND(335&gt;=$NR$21,335&lt;=$NS$21),IF($NP$21="Single_Point",IF(335=$NR$21,$NN$21,0),IF($NP$21="Bell_Curve",$NN$21*(335-$NR$21+1)*($NS$21-335+1)/$NU$21,$NN$21/$NT$21)),0)</f>
        <v/>
      </c>
      <c r="MB21" s="228">
        <f>IF(AND(336&gt;=$NR$21,336&lt;=$NS$21),IF($NP$21="Single_Point",IF(336=$NR$21,$NN$21,0),IF($NP$21="Bell_Curve",$NN$21*(336-$NR$21+1)*($NS$21-336+1)/$NU$21,$NN$21/$NT$21)),0)</f>
        <v/>
      </c>
      <c r="MC21" s="228">
        <f>IF(AND(337&gt;=$NR$21,337&lt;=$NS$21),IF($NP$21="Single_Point",IF(337=$NR$21,$NN$21,0),IF($NP$21="Bell_Curve",$NN$21*(337-$NR$21+1)*($NS$21-337+1)/$NU$21,$NN$21/$NT$21)),0)</f>
        <v/>
      </c>
      <c r="MD21" s="228">
        <f>IF(AND(338&gt;=$NR$21,338&lt;=$NS$21),IF($NP$21="Single_Point",IF(338=$NR$21,$NN$21,0),IF($NP$21="Bell_Curve",$NN$21*(338-$NR$21+1)*($NS$21-338+1)/$NU$21,$NN$21/$NT$21)),0)</f>
        <v/>
      </c>
      <c r="ME21" s="228">
        <f>IF(AND(339&gt;=$NR$21,339&lt;=$NS$21),IF($NP$21="Single_Point",IF(339=$NR$21,$NN$21,0),IF($NP$21="Bell_Curve",$NN$21*(339-$NR$21+1)*($NS$21-339+1)/$NU$21,$NN$21/$NT$21)),0)</f>
        <v/>
      </c>
      <c r="MF21" s="228">
        <f>IF(AND(340&gt;=$NR$21,340&lt;=$NS$21),IF($NP$21="Single_Point",IF(340=$NR$21,$NN$21,0),IF($NP$21="Bell_Curve",$NN$21*(340-$NR$21+1)*($NS$21-340+1)/$NU$21,$NN$21/$NT$21)),0)</f>
        <v/>
      </c>
      <c r="MG21" s="228">
        <f>IF(AND(341&gt;=$NR$21,341&lt;=$NS$21),IF($NP$21="Single_Point",IF(341=$NR$21,$NN$21,0),IF($NP$21="Bell_Curve",$NN$21*(341-$NR$21+1)*($NS$21-341+1)/$NU$21,$NN$21/$NT$21)),0)</f>
        <v/>
      </c>
      <c r="MH21" s="228">
        <f>IF(AND(342&gt;=$NR$21,342&lt;=$NS$21),IF($NP$21="Single_Point",IF(342=$NR$21,$NN$21,0),IF($NP$21="Bell_Curve",$NN$21*(342-$NR$21+1)*($NS$21-342+1)/$NU$21,$NN$21/$NT$21)),0)</f>
        <v/>
      </c>
      <c r="MI21" s="228">
        <f>IF(AND(343&gt;=$NR$21,343&lt;=$NS$21),IF($NP$21="Single_Point",IF(343=$NR$21,$NN$21,0),IF($NP$21="Bell_Curve",$NN$21*(343-$NR$21+1)*($NS$21-343+1)/$NU$21,$NN$21/$NT$21)),0)</f>
        <v/>
      </c>
      <c r="MJ21" s="228">
        <f>IF(AND(344&gt;=$NR$21,344&lt;=$NS$21),IF($NP$21="Single_Point",IF(344=$NR$21,$NN$21,0),IF($NP$21="Bell_Curve",$NN$21*(344-$NR$21+1)*($NS$21-344+1)/$NU$21,$NN$21/$NT$21)),0)</f>
        <v/>
      </c>
      <c r="MK21" s="228">
        <f>IF(AND(345&gt;=$NR$21,345&lt;=$NS$21),IF($NP$21="Single_Point",IF(345=$NR$21,$NN$21,0),IF($NP$21="Bell_Curve",$NN$21*(345-$NR$21+1)*($NS$21-345+1)/$NU$21,$NN$21/$NT$21)),0)</f>
        <v/>
      </c>
      <c r="ML21" s="228">
        <f>IF(AND(346&gt;=$NR$21,346&lt;=$NS$21),IF($NP$21="Single_Point",IF(346=$NR$21,$NN$21,0),IF($NP$21="Bell_Curve",$NN$21*(346-$NR$21+1)*($NS$21-346+1)/$NU$21,$NN$21/$NT$21)),0)</f>
        <v/>
      </c>
      <c r="MM21" s="228">
        <f>IF(AND(347&gt;=$NR$21,347&lt;=$NS$21),IF($NP$21="Single_Point",IF(347=$NR$21,$NN$21,0),IF($NP$21="Bell_Curve",$NN$21*(347-$NR$21+1)*($NS$21-347+1)/$NU$21,$NN$21/$NT$21)),0)</f>
        <v/>
      </c>
      <c r="MN21" s="228">
        <f>IF(AND(348&gt;=$NR$21,348&lt;=$NS$21),IF($NP$21="Single_Point",IF(348=$NR$21,$NN$21,0),IF($NP$21="Bell_Curve",$NN$21*(348-$NR$21+1)*($NS$21-348+1)/$NU$21,$NN$21/$NT$21)),0)</f>
        <v/>
      </c>
      <c r="MO21" s="228">
        <f>IF(AND(349&gt;=$NR$21,349&lt;=$NS$21),IF($NP$21="Single_Point",IF(349=$NR$21,$NN$21,0),IF($NP$21="Bell_Curve",$NN$21*(349-$NR$21+1)*($NS$21-349+1)/$NU$21,$NN$21/$NT$21)),0)</f>
        <v/>
      </c>
      <c r="MP21" s="228">
        <f>IF(AND(350&gt;=$NR$21,350&lt;=$NS$21),IF($NP$21="Single_Point",IF(350=$NR$21,$NN$21,0),IF($NP$21="Bell_Curve",$NN$21*(350-$NR$21+1)*($NS$21-350+1)/$NU$21,$NN$21/$NT$21)),0)</f>
        <v/>
      </c>
      <c r="MQ21" s="228">
        <f>IF(AND(351&gt;=$NR$21,351&lt;=$NS$21),IF($NP$21="Single_Point",IF(351=$NR$21,$NN$21,0),IF($NP$21="Bell_Curve",$NN$21*(351-$NR$21+1)*($NS$21-351+1)/$NU$21,$NN$21/$NT$21)),0)</f>
        <v/>
      </c>
      <c r="MR21" s="228">
        <f>IF(AND(352&gt;=$NR$21,352&lt;=$NS$21),IF($NP$21="Single_Point",IF(352=$NR$21,$NN$21,0),IF($NP$21="Bell_Curve",$NN$21*(352-$NR$21+1)*($NS$21-352+1)/$NU$21,$NN$21/$NT$21)),0)</f>
        <v/>
      </c>
      <c r="MS21" s="228">
        <f>IF(AND(353&gt;=$NR$21,353&lt;=$NS$21),IF($NP$21="Single_Point",IF(353=$NR$21,$NN$21,0),IF($NP$21="Bell_Curve",$NN$21*(353-$NR$21+1)*($NS$21-353+1)/$NU$21,$NN$21/$NT$21)),0)</f>
        <v/>
      </c>
      <c r="MT21" s="228">
        <f>IF(AND(354&gt;=$NR$21,354&lt;=$NS$21),IF($NP$21="Single_Point",IF(354=$NR$21,$NN$21,0),IF($NP$21="Bell_Curve",$NN$21*(354-$NR$21+1)*($NS$21-354+1)/$NU$21,$NN$21/$NT$21)),0)</f>
        <v/>
      </c>
      <c r="MU21" s="228">
        <f>IF(AND(355&gt;=$NR$21,355&lt;=$NS$21),IF($NP$21="Single_Point",IF(355=$NR$21,$NN$21,0),IF($NP$21="Bell_Curve",$NN$21*(355-$NR$21+1)*($NS$21-355+1)/$NU$21,$NN$21/$NT$21)),0)</f>
        <v/>
      </c>
      <c r="MV21" s="228">
        <f>IF(AND(356&gt;=$NR$21,356&lt;=$NS$21),IF($NP$21="Single_Point",IF(356=$NR$21,$NN$21,0),IF($NP$21="Bell_Curve",$NN$21*(356-$NR$21+1)*($NS$21-356+1)/$NU$21,$NN$21/$NT$21)),0)</f>
        <v/>
      </c>
      <c r="MW21" s="228">
        <f>IF(AND(357&gt;=$NR$21,357&lt;=$NS$21),IF($NP$21="Single_Point",IF(357=$NR$21,$NN$21,0),IF($NP$21="Bell_Curve",$NN$21*(357-$NR$21+1)*($NS$21-357+1)/$NU$21,$NN$21/$NT$21)),0)</f>
        <v/>
      </c>
      <c r="MX21" s="228">
        <f>IF(AND(358&gt;=$NR$21,358&lt;=$NS$21),IF($NP$21="Single_Point",IF(358=$NR$21,$NN$21,0),IF($NP$21="Bell_Curve",$NN$21*(358-$NR$21+1)*($NS$21-358+1)/$NU$21,$NN$21/$NT$21)),0)</f>
        <v/>
      </c>
      <c r="MY21" s="228">
        <f>IF(AND(359&gt;=$NR$21,359&lt;=$NS$21),IF($NP$21="Single_Point",IF(359=$NR$21,$NN$21,0),IF($NP$21="Bell_Curve",$NN$21*(359-$NR$21+1)*($NS$21-359+1)/$NU$21,$NN$21/$NT$21)),0)</f>
        <v/>
      </c>
      <c r="MZ21" s="228">
        <f>IF(AND(360&gt;=$NR$21,360&lt;=$NS$21),IF($NP$21="Single_Point",IF(360=$NR$21,$NN$21,0),IF($NP$21="Bell_Curve",$NN$21*(360-$NR$21+1)*($NS$21-360+1)/$NU$21,$NN$21/$NT$21)),0)</f>
        <v/>
      </c>
      <c r="NA21" s="228">
        <f>IF(AND(361&gt;=$NR$21,361&lt;=$NS$21),IF($NP$21="Single_Point",IF(361=$NR$21,$NN$21,0),IF($NP$21="Bell_Curve",$NN$21*(361-$NR$21+1)*($NS$21-361+1)/$NU$21,$NN$21/$NT$21)),0)</f>
        <v/>
      </c>
      <c r="NB21" s="228">
        <f>IF(AND(362&gt;=$NR$21,362&lt;=$NS$21),IF($NP$21="Single_Point",IF(362=$NR$21,$NN$21,0),IF($NP$21="Bell_Curve",$NN$21*(362-$NR$21+1)*($NS$21-362+1)/$NU$21,$NN$21/$NT$21)),0)</f>
        <v/>
      </c>
      <c r="NC21" s="228">
        <f>IF(AND(363&gt;=$NR$21,363&lt;=$NS$21),IF($NP$21="Single_Point",IF(363=$NR$21,$NN$21,0),IF($NP$21="Bell_Curve",$NN$21*(363-$NR$21+1)*($NS$21-363+1)/$NU$21,$NN$21/$NT$21)),0)</f>
        <v/>
      </c>
      <c r="ND21" s="228">
        <f>IF(AND(364&gt;=$NR$21,364&lt;=$NS$21),IF($NP$21="Single_Point",IF(364=$NR$21,$NN$21,0),IF($NP$21="Bell_Curve",$NN$21*(364-$NR$21+1)*($NS$21-364+1)/$NU$21,$NN$21/$NT$21)),0)</f>
        <v/>
      </c>
      <c r="NE21" s="228">
        <f>IF(AND(365&gt;=$NR$21,365&lt;=$NS$21),IF($NP$21="Single_Point",IF(365=$NR$21,$NN$21,0),IF($NP$21="Bell_Curve",$NN$21*(365-$NR$21+1)*($NS$21-365+1)/$NU$21,$NN$21/$NT$21)),0)</f>
        <v/>
      </c>
      <c r="NF21" s="228">
        <f>IF(AND(366&gt;=$NR$21,366&lt;=$NS$21),IF($NP$21="Single_Point",IF(366=$NR$21,$NN$21,0),IF($NP$21="Bell_Curve",$NN$21*(366-$NR$21+1)*($NS$21-366+1)/$NU$21,$NN$21/$NT$21)),0)</f>
        <v/>
      </c>
      <c r="NG21" s="228">
        <f>IF(AND(367&gt;=$NR$21,367&lt;=$NS$21),IF($NP$21="Single_Point",IF(367=$NR$21,$NN$21,0),IF($NP$21="Bell_Curve",$NN$21*(367-$NR$21+1)*($NS$21-367+1)/$NU$21,$NN$21/$NT$21)),0)</f>
        <v/>
      </c>
      <c r="NH21" s="228">
        <f>IF(AND(368&gt;=$NR$21,368&lt;=$NS$21),IF($NP$21="Single_Point",IF(368=$NR$21,$NN$21,0),IF($NP$21="Bell_Curve",$NN$21*(368-$NR$21+1)*($NS$21-368+1)/$NU$21,$NN$21/$NT$21)),0)</f>
        <v/>
      </c>
      <c r="NI21" s="228">
        <f>IF(AND(369&gt;=$NR$21,369&lt;=$NS$21),IF($NP$21="Single_Point",IF(369=$NR$21,$NN$21,0),IF($NP$21="Bell_Curve",$NN$21*(369-$NR$21+1)*($NS$21-369+1)/$NU$21,$NN$21/$NT$21)),0)</f>
        <v/>
      </c>
      <c r="NJ21" s="228">
        <f>IF(AND(370&gt;=$NR$21,370&lt;=$NS$21),IF($NP$21="Single_Point",IF(370=$NR$21,$NN$21,0),IF($NP$21="Bell_Curve",$NN$21*(370-$NR$21+1)*($NS$21-370+1)/$NU$21,$NN$21/$NT$21)),0)</f>
        <v/>
      </c>
      <c r="NK21" s="228">
        <f>IF(AND(371&gt;=$NR$21,371&lt;=$NS$21),IF($NP$21="Single_Point",IF(371=$NR$21,$NN$21,0),IF($NP$21="Bell_Curve",$NN$21*(371-$NR$21+1)*($NS$21-371+1)/$NU$21,$NN$21/$NT$21)),0)</f>
        <v/>
      </c>
      <c r="NL21" s="247">
        <f>IF(AND(372&gt;=$NR$21,372&lt;=$NS$21),IF($NP$21="Single_Point",IF(372=$NR$21,$NN$21,0),IF($NP$21="Bell_Curve",$NN$21*(372-$NR$21+1)*($NS$21-372+1)/$NU$21,$NN$21/$NT$21)),0)</f>
        <v/>
      </c>
      <c r="NN21" s="218">
        <f>Budget!J20</f>
        <v/>
      </c>
      <c r="NO21" s="144">
        <f>Budget!G20</f>
        <v/>
      </c>
      <c r="NP21" s="144">
        <f>Budget!H20</f>
        <v/>
      </c>
      <c r="NQ21" s="85">
        <f>Budget!I20</f>
        <v/>
      </c>
      <c r="NR21" s="248">
        <f>MAX(1,MIN(372,INDEX(MilestoneStart,MATCH(NO21,MilestoneNames,0))+NQ21))</f>
        <v/>
      </c>
      <c r="NS21" s="248">
        <f>MAX(NR21,MIN(372,INDEX(MilestoneEnd,MATCH(NO21,MilestoneNames,0))+NQ21))</f>
        <v/>
      </c>
      <c r="NT21" s="85">
        <f>NS21-NR21+1</f>
        <v/>
      </c>
      <c r="NU21" s="85">
        <f>NT21*(NT21+1)*(NT21+2)/6</f>
        <v/>
      </c>
    </row>
    <row r="22">
      <c r="B22" s="36" t="inlineStr">
        <is>
          <t>Other Soft Cost 2 - Permits</t>
        </is>
      </c>
      <c r="D22" s="246">
        <f>SUM(E22:NL22)</f>
        <v/>
      </c>
      <c r="E22" s="228">
        <f>IF(AND(1&gt;=$NR$22,1&lt;=$NS$22),IF($NP$22="Single_Point",IF(1=$NR$22,$NN$22,0),IF($NP$22="Bell_Curve",$NN$22*(1-$NR$22+1)*($NS$22-1+1)/$NU$22,$NN$22/$NT$22)),0)</f>
        <v/>
      </c>
      <c r="F22" s="228">
        <f>IF(AND(2&gt;=$NR$22,2&lt;=$NS$22),IF($NP$22="Single_Point",IF(2=$NR$22,$NN$22,0),IF($NP$22="Bell_Curve",$NN$22*(2-$NR$22+1)*($NS$22-2+1)/$NU$22,$NN$22/$NT$22)),0)</f>
        <v/>
      </c>
      <c r="G22" s="228">
        <f>IF(AND(3&gt;=$NR$22,3&lt;=$NS$22),IF($NP$22="Single_Point",IF(3=$NR$22,$NN$22,0),IF($NP$22="Bell_Curve",$NN$22*(3-$NR$22+1)*($NS$22-3+1)/$NU$22,$NN$22/$NT$22)),0)</f>
        <v/>
      </c>
      <c r="H22" s="228">
        <f>IF(AND(4&gt;=$NR$22,4&lt;=$NS$22),IF($NP$22="Single_Point",IF(4=$NR$22,$NN$22,0),IF($NP$22="Bell_Curve",$NN$22*(4-$NR$22+1)*($NS$22-4+1)/$NU$22,$NN$22/$NT$22)),0)</f>
        <v/>
      </c>
      <c r="I22" s="228">
        <f>IF(AND(5&gt;=$NR$22,5&lt;=$NS$22),IF($NP$22="Single_Point",IF(5=$NR$22,$NN$22,0),IF($NP$22="Bell_Curve",$NN$22*(5-$NR$22+1)*($NS$22-5+1)/$NU$22,$NN$22/$NT$22)),0)</f>
        <v/>
      </c>
      <c r="J22" s="228">
        <f>IF(AND(6&gt;=$NR$22,6&lt;=$NS$22),IF($NP$22="Single_Point",IF(6=$NR$22,$NN$22,0),IF($NP$22="Bell_Curve",$NN$22*(6-$NR$22+1)*($NS$22-6+1)/$NU$22,$NN$22/$NT$22)),0)</f>
        <v/>
      </c>
      <c r="K22" s="228">
        <f>IF(AND(7&gt;=$NR$22,7&lt;=$NS$22),IF($NP$22="Single_Point",IF(7=$NR$22,$NN$22,0),IF($NP$22="Bell_Curve",$NN$22*(7-$NR$22+1)*($NS$22-7+1)/$NU$22,$NN$22/$NT$22)),0)</f>
        <v/>
      </c>
      <c r="L22" s="228">
        <f>IF(AND(8&gt;=$NR$22,8&lt;=$NS$22),IF($NP$22="Single_Point",IF(8=$NR$22,$NN$22,0),IF($NP$22="Bell_Curve",$NN$22*(8-$NR$22+1)*($NS$22-8+1)/$NU$22,$NN$22/$NT$22)),0)</f>
        <v/>
      </c>
      <c r="M22" s="228">
        <f>IF(AND(9&gt;=$NR$22,9&lt;=$NS$22),IF($NP$22="Single_Point",IF(9=$NR$22,$NN$22,0),IF($NP$22="Bell_Curve",$NN$22*(9-$NR$22+1)*($NS$22-9+1)/$NU$22,$NN$22/$NT$22)),0)</f>
        <v/>
      </c>
      <c r="N22" s="228">
        <f>IF(AND(10&gt;=$NR$22,10&lt;=$NS$22),IF($NP$22="Single_Point",IF(10=$NR$22,$NN$22,0),IF($NP$22="Bell_Curve",$NN$22*(10-$NR$22+1)*($NS$22-10+1)/$NU$22,$NN$22/$NT$22)),0)</f>
        <v/>
      </c>
      <c r="O22" s="228">
        <f>IF(AND(11&gt;=$NR$22,11&lt;=$NS$22),IF($NP$22="Single_Point",IF(11=$NR$22,$NN$22,0),IF($NP$22="Bell_Curve",$NN$22*(11-$NR$22+1)*($NS$22-11+1)/$NU$22,$NN$22/$NT$22)),0)</f>
        <v/>
      </c>
      <c r="P22" s="228">
        <f>IF(AND(12&gt;=$NR$22,12&lt;=$NS$22),IF($NP$22="Single_Point",IF(12=$NR$22,$NN$22,0),IF($NP$22="Bell_Curve",$NN$22*(12-$NR$22+1)*($NS$22-12+1)/$NU$22,$NN$22/$NT$22)),0)</f>
        <v/>
      </c>
      <c r="Q22" s="228">
        <f>IF(AND(13&gt;=$NR$22,13&lt;=$NS$22),IF($NP$22="Single_Point",IF(13=$NR$22,$NN$22,0),IF($NP$22="Bell_Curve",$NN$22*(13-$NR$22+1)*($NS$22-13+1)/$NU$22,$NN$22/$NT$22)),0)</f>
        <v/>
      </c>
      <c r="R22" s="228">
        <f>IF(AND(14&gt;=$NR$22,14&lt;=$NS$22),IF($NP$22="Single_Point",IF(14=$NR$22,$NN$22,0),IF($NP$22="Bell_Curve",$NN$22*(14-$NR$22+1)*($NS$22-14+1)/$NU$22,$NN$22/$NT$22)),0)</f>
        <v/>
      </c>
      <c r="S22" s="228">
        <f>IF(AND(15&gt;=$NR$22,15&lt;=$NS$22),IF($NP$22="Single_Point",IF(15=$NR$22,$NN$22,0),IF($NP$22="Bell_Curve",$NN$22*(15-$NR$22+1)*($NS$22-15+1)/$NU$22,$NN$22/$NT$22)),0)</f>
        <v/>
      </c>
      <c r="T22" s="228">
        <f>IF(AND(16&gt;=$NR$22,16&lt;=$NS$22),IF($NP$22="Single_Point",IF(16=$NR$22,$NN$22,0),IF($NP$22="Bell_Curve",$NN$22*(16-$NR$22+1)*($NS$22-16+1)/$NU$22,$NN$22/$NT$22)),0)</f>
        <v/>
      </c>
      <c r="U22" s="228">
        <f>IF(AND(17&gt;=$NR$22,17&lt;=$NS$22),IF($NP$22="Single_Point",IF(17=$NR$22,$NN$22,0),IF($NP$22="Bell_Curve",$NN$22*(17-$NR$22+1)*($NS$22-17+1)/$NU$22,$NN$22/$NT$22)),0)</f>
        <v/>
      </c>
      <c r="V22" s="228">
        <f>IF(AND(18&gt;=$NR$22,18&lt;=$NS$22),IF($NP$22="Single_Point",IF(18=$NR$22,$NN$22,0),IF($NP$22="Bell_Curve",$NN$22*(18-$NR$22+1)*($NS$22-18+1)/$NU$22,$NN$22/$NT$22)),0)</f>
        <v/>
      </c>
      <c r="W22" s="228">
        <f>IF(AND(19&gt;=$NR$22,19&lt;=$NS$22),IF($NP$22="Single_Point",IF(19=$NR$22,$NN$22,0),IF($NP$22="Bell_Curve",$NN$22*(19-$NR$22+1)*($NS$22-19+1)/$NU$22,$NN$22/$NT$22)),0)</f>
        <v/>
      </c>
      <c r="X22" s="228">
        <f>IF(AND(20&gt;=$NR$22,20&lt;=$NS$22),IF($NP$22="Single_Point",IF(20=$NR$22,$NN$22,0),IF($NP$22="Bell_Curve",$NN$22*(20-$NR$22+1)*($NS$22-20+1)/$NU$22,$NN$22/$NT$22)),0)</f>
        <v/>
      </c>
      <c r="Y22" s="228">
        <f>IF(AND(21&gt;=$NR$22,21&lt;=$NS$22),IF($NP$22="Single_Point",IF(21=$NR$22,$NN$22,0),IF($NP$22="Bell_Curve",$NN$22*(21-$NR$22+1)*($NS$22-21+1)/$NU$22,$NN$22/$NT$22)),0)</f>
        <v/>
      </c>
      <c r="Z22" s="228">
        <f>IF(AND(22&gt;=$NR$22,22&lt;=$NS$22),IF($NP$22="Single_Point",IF(22=$NR$22,$NN$22,0),IF($NP$22="Bell_Curve",$NN$22*(22-$NR$22+1)*($NS$22-22+1)/$NU$22,$NN$22/$NT$22)),0)</f>
        <v/>
      </c>
      <c r="AA22" s="228">
        <f>IF(AND(23&gt;=$NR$22,23&lt;=$NS$22),IF($NP$22="Single_Point",IF(23=$NR$22,$NN$22,0),IF($NP$22="Bell_Curve",$NN$22*(23-$NR$22+1)*($NS$22-23+1)/$NU$22,$NN$22/$NT$22)),0)</f>
        <v/>
      </c>
      <c r="AB22" s="228">
        <f>IF(AND(24&gt;=$NR$22,24&lt;=$NS$22),IF($NP$22="Single_Point",IF(24=$NR$22,$NN$22,0),IF($NP$22="Bell_Curve",$NN$22*(24-$NR$22+1)*($NS$22-24+1)/$NU$22,$NN$22/$NT$22)),0)</f>
        <v/>
      </c>
      <c r="AC22" s="228">
        <f>IF(AND(25&gt;=$NR$22,25&lt;=$NS$22),IF($NP$22="Single_Point",IF(25=$NR$22,$NN$22,0),IF($NP$22="Bell_Curve",$NN$22*(25-$NR$22+1)*($NS$22-25+1)/$NU$22,$NN$22/$NT$22)),0)</f>
        <v/>
      </c>
      <c r="AD22" s="228">
        <f>IF(AND(26&gt;=$NR$22,26&lt;=$NS$22),IF($NP$22="Single_Point",IF(26=$NR$22,$NN$22,0),IF($NP$22="Bell_Curve",$NN$22*(26-$NR$22+1)*($NS$22-26+1)/$NU$22,$NN$22/$NT$22)),0)</f>
        <v/>
      </c>
      <c r="AE22" s="228">
        <f>IF(AND(27&gt;=$NR$22,27&lt;=$NS$22),IF($NP$22="Single_Point",IF(27=$NR$22,$NN$22,0),IF($NP$22="Bell_Curve",$NN$22*(27-$NR$22+1)*($NS$22-27+1)/$NU$22,$NN$22/$NT$22)),0)</f>
        <v/>
      </c>
      <c r="AF22" s="228">
        <f>IF(AND(28&gt;=$NR$22,28&lt;=$NS$22),IF($NP$22="Single_Point",IF(28=$NR$22,$NN$22,0),IF($NP$22="Bell_Curve",$NN$22*(28-$NR$22+1)*($NS$22-28+1)/$NU$22,$NN$22/$NT$22)),0)</f>
        <v/>
      </c>
      <c r="AG22" s="228">
        <f>IF(AND(29&gt;=$NR$22,29&lt;=$NS$22),IF($NP$22="Single_Point",IF(29=$NR$22,$NN$22,0),IF($NP$22="Bell_Curve",$NN$22*(29-$NR$22+1)*($NS$22-29+1)/$NU$22,$NN$22/$NT$22)),0)</f>
        <v/>
      </c>
      <c r="AH22" s="228">
        <f>IF(AND(30&gt;=$NR$22,30&lt;=$NS$22),IF($NP$22="Single_Point",IF(30=$NR$22,$NN$22,0),IF($NP$22="Bell_Curve",$NN$22*(30-$NR$22+1)*($NS$22-30+1)/$NU$22,$NN$22/$NT$22)),0)</f>
        <v/>
      </c>
      <c r="AI22" s="228">
        <f>IF(AND(31&gt;=$NR$22,31&lt;=$NS$22),IF($NP$22="Single_Point",IF(31=$NR$22,$NN$22,0),IF($NP$22="Bell_Curve",$NN$22*(31-$NR$22+1)*($NS$22-31+1)/$NU$22,$NN$22/$NT$22)),0)</f>
        <v/>
      </c>
      <c r="AJ22" s="228">
        <f>IF(AND(32&gt;=$NR$22,32&lt;=$NS$22),IF($NP$22="Single_Point",IF(32=$NR$22,$NN$22,0),IF($NP$22="Bell_Curve",$NN$22*(32-$NR$22+1)*($NS$22-32+1)/$NU$22,$NN$22/$NT$22)),0)</f>
        <v/>
      </c>
      <c r="AK22" s="228">
        <f>IF(AND(33&gt;=$NR$22,33&lt;=$NS$22),IF($NP$22="Single_Point",IF(33=$NR$22,$NN$22,0),IF($NP$22="Bell_Curve",$NN$22*(33-$NR$22+1)*($NS$22-33+1)/$NU$22,$NN$22/$NT$22)),0)</f>
        <v/>
      </c>
      <c r="AL22" s="228">
        <f>IF(AND(34&gt;=$NR$22,34&lt;=$NS$22),IF($NP$22="Single_Point",IF(34=$NR$22,$NN$22,0),IF($NP$22="Bell_Curve",$NN$22*(34-$NR$22+1)*($NS$22-34+1)/$NU$22,$NN$22/$NT$22)),0)</f>
        <v/>
      </c>
      <c r="AM22" s="228">
        <f>IF(AND(35&gt;=$NR$22,35&lt;=$NS$22),IF($NP$22="Single_Point",IF(35=$NR$22,$NN$22,0),IF($NP$22="Bell_Curve",$NN$22*(35-$NR$22+1)*($NS$22-35+1)/$NU$22,$NN$22/$NT$22)),0)</f>
        <v/>
      </c>
      <c r="AN22" s="228">
        <f>IF(AND(36&gt;=$NR$22,36&lt;=$NS$22),IF($NP$22="Single_Point",IF(36=$NR$22,$NN$22,0),IF($NP$22="Bell_Curve",$NN$22*(36-$NR$22+1)*($NS$22-36+1)/$NU$22,$NN$22/$NT$22)),0)</f>
        <v/>
      </c>
      <c r="AO22" s="228">
        <f>IF(AND(37&gt;=$NR$22,37&lt;=$NS$22),IF($NP$22="Single_Point",IF(37=$NR$22,$NN$22,0),IF($NP$22="Bell_Curve",$NN$22*(37-$NR$22+1)*($NS$22-37+1)/$NU$22,$NN$22/$NT$22)),0)</f>
        <v/>
      </c>
      <c r="AP22" s="228">
        <f>IF(AND(38&gt;=$NR$22,38&lt;=$NS$22),IF($NP$22="Single_Point",IF(38=$NR$22,$NN$22,0),IF($NP$22="Bell_Curve",$NN$22*(38-$NR$22+1)*($NS$22-38+1)/$NU$22,$NN$22/$NT$22)),0)</f>
        <v/>
      </c>
      <c r="AQ22" s="228">
        <f>IF(AND(39&gt;=$NR$22,39&lt;=$NS$22),IF($NP$22="Single_Point",IF(39=$NR$22,$NN$22,0),IF($NP$22="Bell_Curve",$NN$22*(39-$NR$22+1)*($NS$22-39+1)/$NU$22,$NN$22/$NT$22)),0)</f>
        <v/>
      </c>
      <c r="AR22" s="228">
        <f>IF(AND(40&gt;=$NR$22,40&lt;=$NS$22),IF($NP$22="Single_Point",IF(40=$NR$22,$NN$22,0),IF($NP$22="Bell_Curve",$NN$22*(40-$NR$22+1)*($NS$22-40+1)/$NU$22,$NN$22/$NT$22)),0)</f>
        <v/>
      </c>
      <c r="AS22" s="228">
        <f>IF(AND(41&gt;=$NR$22,41&lt;=$NS$22),IF($NP$22="Single_Point",IF(41=$NR$22,$NN$22,0),IF($NP$22="Bell_Curve",$NN$22*(41-$NR$22+1)*($NS$22-41+1)/$NU$22,$NN$22/$NT$22)),0)</f>
        <v/>
      </c>
      <c r="AT22" s="228">
        <f>IF(AND(42&gt;=$NR$22,42&lt;=$NS$22),IF($NP$22="Single_Point",IF(42=$NR$22,$NN$22,0),IF($NP$22="Bell_Curve",$NN$22*(42-$NR$22+1)*($NS$22-42+1)/$NU$22,$NN$22/$NT$22)),0)</f>
        <v/>
      </c>
      <c r="AU22" s="228">
        <f>IF(AND(43&gt;=$NR$22,43&lt;=$NS$22),IF($NP$22="Single_Point",IF(43=$NR$22,$NN$22,0),IF($NP$22="Bell_Curve",$NN$22*(43-$NR$22+1)*($NS$22-43+1)/$NU$22,$NN$22/$NT$22)),0)</f>
        <v/>
      </c>
      <c r="AV22" s="228">
        <f>IF(AND(44&gt;=$NR$22,44&lt;=$NS$22),IF($NP$22="Single_Point",IF(44=$NR$22,$NN$22,0),IF($NP$22="Bell_Curve",$NN$22*(44-$NR$22+1)*($NS$22-44+1)/$NU$22,$NN$22/$NT$22)),0)</f>
        <v/>
      </c>
      <c r="AW22" s="228">
        <f>IF(AND(45&gt;=$NR$22,45&lt;=$NS$22),IF($NP$22="Single_Point",IF(45=$NR$22,$NN$22,0),IF($NP$22="Bell_Curve",$NN$22*(45-$NR$22+1)*($NS$22-45+1)/$NU$22,$NN$22/$NT$22)),0)</f>
        <v/>
      </c>
      <c r="AX22" s="228">
        <f>IF(AND(46&gt;=$NR$22,46&lt;=$NS$22),IF($NP$22="Single_Point",IF(46=$NR$22,$NN$22,0),IF($NP$22="Bell_Curve",$NN$22*(46-$NR$22+1)*($NS$22-46+1)/$NU$22,$NN$22/$NT$22)),0)</f>
        <v/>
      </c>
      <c r="AY22" s="228">
        <f>IF(AND(47&gt;=$NR$22,47&lt;=$NS$22),IF($NP$22="Single_Point",IF(47=$NR$22,$NN$22,0),IF($NP$22="Bell_Curve",$NN$22*(47-$NR$22+1)*($NS$22-47+1)/$NU$22,$NN$22/$NT$22)),0)</f>
        <v/>
      </c>
      <c r="AZ22" s="228">
        <f>IF(AND(48&gt;=$NR$22,48&lt;=$NS$22),IF($NP$22="Single_Point",IF(48=$NR$22,$NN$22,0),IF($NP$22="Bell_Curve",$NN$22*(48-$NR$22+1)*($NS$22-48+1)/$NU$22,$NN$22/$NT$22)),0)</f>
        <v/>
      </c>
      <c r="BA22" s="228">
        <f>IF(AND(49&gt;=$NR$22,49&lt;=$NS$22),IF($NP$22="Single_Point",IF(49=$NR$22,$NN$22,0),IF($NP$22="Bell_Curve",$NN$22*(49-$NR$22+1)*($NS$22-49+1)/$NU$22,$NN$22/$NT$22)),0)</f>
        <v/>
      </c>
      <c r="BB22" s="228">
        <f>IF(AND(50&gt;=$NR$22,50&lt;=$NS$22),IF($NP$22="Single_Point",IF(50=$NR$22,$NN$22,0),IF($NP$22="Bell_Curve",$NN$22*(50-$NR$22+1)*($NS$22-50+1)/$NU$22,$NN$22/$NT$22)),0)</f>
        <v/>
      </c>
      <c r="BC22" s="228">
        <f>IF(AND(51&gt;=$NR$22,51&lt;=$NS$22),IF($NP$22="Single_Point",IF(51=$NR$22,$NN$22,0),IF($NP$22="Bell_Curve",$NN$22*(51-$NR$22+1)*($NS$22-51+1)/$NU$22,$NN$22/$NT$22)),0)</f>
        <v/>
      </c>
      <c r="BD22" s="228">
        <f>IF(AND(52&gt;=$NR$22,52&lt;=$NS$22),IF($NP$22="Single_Point",IF(52=$NR$22,$NN$22,0),IF($NP$22="Bell_Curve",$NN$22*(52-$NR$22+1)*($NS$22-52+1)/$NU$22,$NN$22/$NT$22)),0)</f>
        <v/>
      </c>
      <c r="BE22" s="228">
        <f>IF(AND(53&gt;=$NR$22,53&lt;=$NS$22),IF($NP$22="Single_Point",IF(53=$NR$22,$NN$22,0),IF($NP$22="Bell_Curve",$NN$22*(53-$NR$22+1)*($NS$22-53+1)/$NU$22,$NN$22/$NT$22)),0)</f>
        <v/>
      </c>
      <c r="BF22" s="228">
        <f>IF(AND(54&gt;=$NR$22,54&lt;=$NS$22),IF($NP$22="Single_Point",IF(54=$NR$22,$NN$22,0),IF($NP$22="Bell_Curve",$NN$22*(54-$NR$22+1)*($NS$22-54+1)/$NU$22,$NN$22/$NT$22)),0)</f>
        <v/>
      </c>
      <c r="BG22" s="228">
        <f>IF(AND(55&gt;=$NR$22,55&lt;=$NS$22),IF($NP$22="Single_Point",IF(55=$NR$22,$NN$22,0),IF($NP$22="Bell_Curve",$NN$22*(55-$NR$22+1)*($NS$22-55+1)/$NU$22,$NN$22/$NT$22)),0)</f>
        <v/>
      </c>
      <c r="BH22" s="228">
        <f>IF(AND(56&gt;=$NR$22,56&lt;=$NS$22),IF($NP$22="Single_Point",IF(56=$NR$22,$NN$22,0),IF($NP$22="Bell_Curve",$NN$22*(56-$NR$22+1)*($NS$22-56+1)/$NU$22,$NN$22/$NT$22)),0)</f>
        <v/>
      </c>
      <c r="BI22" s="228">
        <f>IF(AND(57&gt;=$NR$22,57&lt;=$NS$22),IF($NP$22="Single_Point",IF(57=$NR$22,$NN$22,0),IF($NP$22="Bell_Curve",$NN$22*(57-$NR$22+1)*($NS$22-57+1)/$NU$22,$NN$22/$NT$22)),0)</f>
        <v/>
      </c>
      <c r="BJ22" s="228">
        <f>IF(AND(58&gt;=$NR$22,58&lt;=$NS$22),IF($NP$22="Single_Point",IF(58=$NR$22,$NN$22,0),IF($NP$22="Bell_Curve",$NN$22*(58-$NR$22+1)*($NS$22-58+1)/$NU$22,$NN$22/$NT$22)),0)</f>
        <v/>
      </c>
      <c r="BK22" s="228">
        <f>IF(AND(59&gt;=$NR$22,59&lt;=$NS$22),IF($NP$22="Single_Point",IF(59=$NR$22,$NN$22,0),IF($NP$22="Bell_Curve",$NN$22*(59-$NR$22+1)*($NS$22-59+1)/$NU$22,$NN$22/$NT$22)),0)</f>
        <v/>
      </c>
      <c r="BL22" s="228">
        <f>IF(AND(60&gt;=$NR$22,60&lt;=$NS$22),IF($NP$22="Single_Point",IF(60=$NR$22,$NN$22,0),IF($NP$22="Bell_Curve",$NN$22*(60-$NR$22+1)*($NS$22-60+1)/$NU$22,$NN$22/$NT$22)),0)</f>
        <v/>
      </c>
      <c r="BM22" s="228">
        <f>IF(AND(61&gt;=$NR$22,61&lt;=$NS$22),IF($NP$22="Single_Point",IF(61=$NR$22,$NN$22,0),IF($NP$22="Bell_Curve",$NN$22*(61-$NR$22+1)*($NS$22-61+1)/$NU$22,$NN$22/$NT$22)),0)</f>
        <v/>
      </c>
      <c r="BN22" s="228">
        <f>IF(AND(62&gt;=$NR$22,62&lt;=$NS$22),IF($NP$22="Single_Point",IF(62=$NR$22,$NN$22,0),IF($NP$22="Bell_Curve",$NN$22*(62-$NR$22+1)*($NS$22-62+1)/$NU$22,$NN$22/$NT$22)),0)</f>
        <v/>
      </c>
      <c r="BO22" s="228">
        <f>IF(AND(63&gt;=$NR$22,63&lt;=$NS$22),IF($NP$22="Single_Point",IF(63=$NR$22,$NN$22,0),IF($NP$22="Bell_Curve",$NN$22*(63-$NR$22+1)*($NS$22-63+1)/$NU$22,$NN$22/$NT$22)),0)</f>
        <v/>
      </c>
      <c r="BP22" s="228">
        <f>IF(AND(64&gt;=$NR$22,64&lt;=$NS$22),IF($NP$22="Single_Point",IF(64=$NR$22,$NN$22,0),IF($NP$22="Bell_Curve",$NN$22*(64-$NR$22+1)*($NS$22-64+1)/$NU$22,$NN$22/$NT$22)),0)</f>
        <v/>
      </c>
      <c r="BQ22" s="228">
        <f>IF(AND(65&gt;=$NR$22,65&lt;=$NS$22),IF($NP$22="Single_Point",IF(65=$NR$22,$NN$22,0),IF($NP$22="Bell_Curve",$NN$22*(65-$NR$22+1)*($NS$22-65+1)/$NU$22,$NN$22/$NT$22)),0)</f>
        <v/>
      </c>
      <c r="BR22" s="228">
        <f>IF(AND(66&gt;=$NR$22,66&lt;=$NS$22),IF($NP$22="Single_Point",IF(66=$NR$22,$NN$22,0),IF($NP$22="Bell_Curve",$NN$22*(66-$NR$22+1)*($NS$22-66+1)/$NU$22,$NN$22/$NT$22)),0)</f>
        <v/>
      </c>
      <c r="BS22" s="228">
        <f>IF(AND(67&gt;=$NR$22,67&lt;=$NS$22),IF($NP$22="Single_Point",IF(67=$NR$22,$NN$22,0),IF($NP$22="Bell_Curve",$NN$22*(67-$NR$22+1)*($NS$22-67+1)/$NU$22,$NN$22/$NT$22)),0)</f>
        <v/>
      </c>
      <c r="BT22" s="228">
        <f>IF(AND(68&gt;=$NR$22,68&lt;=$NS$22),IF($NP$22="Single_Point",IF(68=$NR$22,$NN$22,0),IF($NP$22="Bell_Curve",$NN$22*(68-$NR$22+1)*($NS$22-68+1)/$NU$22,$NN$22/$NT$22)),0)</f>
        <v/>
      </c>
      <c r="BU22" s="228">
        <f>IF(AND(69&gt;=$NR$22,69&lt;=$NS$22),IF($NP$22="Single_Point",IF(69=$NR$22,$NN$22,0),IF($NP$22="Bell_Curve",$NN$22*(69-$NR$22+1)*($NS$22-69+1)/$NU$22,$NN$22/$NT$22)),0)</f>
        <v/>
      </c>
      <c r="BV22" s="228">
        <f>IF(AND(70&gt;=$NR$22,70&lt;=$NS$22),IF($NP$22="Single_Point",IF(70=$NR$22,$NN$22,0),IF($NP$22="Bell_Curve",$NN$22*(70-$NR$22+1)*($NS$22-70+1)/$NU$22,$NN$22/$NT$22)),0)</f>
        <v/>
      </c>
      <c r="BW22" s="228">
        <f>IF(AND(71&gt;=$NR$22,71&lt;=$NS$22),IF($NP$22="Single_Point",IF(71=$NR$22,$NN$22,0),IF($NP$22="Bell_Curve",$NN$22*(71-$NR$22+1)*($NS$22-71+1)/$NU$22,$NN$22/$NT$22)),0)</f>
        <v/>
      </c>
      <c r="BX22" s="228">
        <f>IF(AND(72&gt;=$NR$22,72&lt;=$NS$22),IF($NP$22="Single_Point",IF(72=$NR$22,$NN$22,0),IF($NP$22="Bell_Curve",$NN$22*(72-$NR$22+1)*($NS$22-72+1)/$NU$22,$NN$22/$NT$22)),0)</f>
        <v/>
      </c>
      <c r="BY22" s="228">
        <f>IF(AND(73&gt;=$NR$22,73&lt;=$NS$22),IF($NP$22="Single_Point",IF(73=$NR$22,$NN$22,0),IF($NP$22="Bell_Curve",$NN$22*(73-$NR$22+1)*($NS$22-73+1)/$NU$22,$NN$22/$NT$22)),0)</f>
        <v/>
      </c>
      <c r="BZ22" s="228">
        <f>IF(AND(74&gt;=$NR$22,74&lt;=$NS$22),IF($NP$22="Single_Point",IF(74=$NR$22,$NN$22,0),IF($NP$22="Bell_Curve",$NN$22*(74-$NR$22+1)*($NS$22-74+1)/$NU$22,$NN$22/$NT$22)),0)</f>
        <v/>
      </c>
      <c r="CA22" s="228">
        <f>IF(AND(75&gt;=$NR$22,75&lt;=$NS$22),IF($NP$22="Single_Point",IF(75=$NR$22,$NN$22,0),IF($NP$22="Bell_Curve",$NN$22*(75-$NR$22+1)*($NS$22-75+1)/$NU$22,$NN$22/$NT$22)),0)</f>
        <v/>
      </c>
      <c r="CB22" s="228">
        <f>IF(AND(76&gt;=$NR$22,76&lt;=$NS$22),IF($NP$22="Single_Point",IF(76=$NR$22,$NN$22,0),IF($NP$22="Bell_Curve",$NN$22*(76-$NR$22+1)*($NS$22-76+1)/$NU$22,$NN$22/$NT$22)),0)</f>
        <v/>
      </c>
      <c r="CC22" s="228">
        <f>IF(AND(77&gt;=$NR$22,77&lt;=$NS$22),IF($NP$22="Single_Point",IF(77=$NR$22,$NN$22,0),IF($NP$22="Bell_Curve",$NN$22*(77-$NR$22+1)*($NS$22-77+1)/$NU$22,$NN$22/$NT$22)),0)</f>
        <v/>
      </c>
      <c r="CD22" s="228">
        <f>IF(AND(78&gt;=$NR$22,78&lt;=$NS$22),IF($NP$22="Single_Point",IF(78=$NR$22,$NN$22,0),IF($NP$22="Bell_Curve",$NN$22*(78-$NR$22+1)*($NS$22-78+1)/$NU$22,$NN$22/$NT$22)),0)</f>
        <v/>
      </c>
      <c r="CE22" s="228">
        <f>IF(AND(79&gt;=$NR$22,79&lt;=$NS$22),IF($NP$22="Single_Point",IF(79=$NR$22,$NN$22,0),IF($NP$22="Bell_Curve",$NN$22*(79-$NR$22+1)*($NS$22-79+1)/$NU$22,$NN$22/$NT$22)),0)</f>
        <v/>
      </c>
      <c r="CF22" s="228">
        <f>IF(AND(80&gt;=$NR$22,80&lt;=$NS$22),IF($NP$22="Single_Point",IF(80=$NR$22,$NN$22,0),IF($NP$22="Bell_Curve",$NN$22*(80-$NR$22+1)*($NS$22-80+1)/$NU$22,$NN$22/$NT$22)),0)</f>
        <v/>
      </c>
      <c r="CG22" s="228">
        <f>IF(AND(81&gt;=$NR$22,81&lt;=$NS$22),IF($NP$22="Single_Point",IF(81=$NR$22,$NN$22,0),IF($NP$22="Bell_Curve",$NN$22*(81-$NR$22+1)*($NS$22-81+1)/$NU$22,$NN$22/$NT$22)),0)</f>
        <v/>
      </c>
      <c r="CH22" s="228">
        <f>IF(AND(82&gt;=$NR$22,82&lt;=$NS$22),IF($NP$22="Single_Point",IF(82=$NR$22,$NN$22,0),IF($NP$22="Bell_Curve",$NN$22*(82-$NR$22+1)*($NS$22-82+1)/$NU$22,$NN$22/$NT$22)),0)</f>
        <v/>
      </c>
      <c r="CI22" s="228">
        <f>IF(AND(83&gt;=$NR$22,83&lt;=$NS$22),IF($NP$22="Single_Point",IF(83=$NR$22,$NN$22,0),IF($NP$22="Bell_Curve",$NN$22*(83-$NR$22+1)*($NS$22-83+1)/$NU$22,$NN$22/$NT$22)),0)</f>
        <v/>
      </c>
      <c r="CJ22" s="228">
        <f>IF(AND(84&gt;=$NR$22,84&lt;=$NS$22),IF($NP$22="Single_Point",IF(84=$NR$22,$NN$22,0),IF($NP$22="Bell_Curve",$NN$22*(84-$NR$22+1)*($NS$22-84+1)/$NU$22,$NN$22/$NT$22)),0)</f>
        <v/>
      </c>
      <c r="CK22" s="228">
        <f>IF(AND(85&gt;=$NR$22,85&lt;=$NS$22),IF($NP$22="Single_Point",IF(85=$NR$22,$NN$22,0),IF($NP$22="Bell_Curve",$NN$22*(85-$NR$22+1)*($NS$22-85+1)/$NU$22,$NN$22/$NT$22)),0)</f>
        <v/>
      </c>
      <c r="CL22" s="228">
        <f>IF(AND(86&gt;=$NR$22,86&lt;=$NS$22),IF($NP$22="Single_Point",IF(86=$NR$22,$NN$22,0),IF($NP$22="Bell_Curve",$NN$22*(86-$NR$22+1)*($NS$22-86+1)/$NU$22,$NN$22/$NT$22)),0)</f>
        <v/>
      </c>
      <c r="CM22" s="228">
        <f>IF(AND(87&gt;=$NR$22,87&lt;=$NS$22),IF($NP$22="Single_Point",IF(87=$NR$22,$NN$22,0),IF($NP$22="Bell_Curve",$NN$22*(87-$NR$22+1)*($NS$22-87+1)/$NU$22,$NN$22/$NT$22)),0)</f>
        <v/>
      </c>
      <c r="CN22" s="228">
        <f>IF(AND(88&gt;=$NR$22,88&lt;=$NS$22),IF($NP$22="Single_Point",IF(88=$NR$22,$NN$22,0),IF($NP$22="Bell_Curve",$NN$22*(88-$NR$22+1)*($NS$22-88+1)/$NU$22,$NN$22/$NT$22)),0)</f>
        <v/>
      </c>
      <c r="CO22" s="228">
        <f>IF(AND(89&gt;=$NR$22,89&lt;=$NS$22),IF($NP$22="Single_Point",IF(89=$NR$22,$NN$22,0),IF($NP$22="Bell_Curve",$NN$22*(89-$NR$22+1)*($NS$22-89+1)/$NU$22,$NN$22/$NT$22)),0)</f>
        <v/>
      </c>
      <c r="CP22" s="228">
        <f>IF(AND(90&gt;=$NR$22,90&lt;=$NS$22),IF($NP$22="Single_Point",IF(90=$NR$22,$NN$22,0),IF($NP$22="Bell_Curve",$NN$22*(90-$NR$22+1)*($NS$22-90+1)/$NU$22,$NN$22/$NT$22)),0)</f>
        <v/>
      </c>
      <c r="CQ22" s="228">
        <f>IF(AND(91&gt;=$NR$22,91&lt;=$NS$22),IF($NP$22="Single_Point",IF(91=$NR$22,$NN$22,0),IF($NP$22="Bell_Curve",$NN$22*(91-$NR$22+1)*($NS$22-91+1)/$NU$22,$NN$22/$NT$22)),0)</f>
        <v/>
      </c>
      <c r="CR22" s="228">
        <f>IF(AND(92&gt;=$NR$22,92&lt;=$NS$22),IF($NP$22="Single_Point",IF(92=$NR$22,$NN$22,0),IF($NP$22="Bell_Curve",$NN$22*(92-$NR$22+1)*($NS$22-92+1)/$NU$22,$NN$22/$NT$22)),0)</f>
        <v/>
      </c>
      <c r="CS22" s="228">
        <f>IF(AND(93&gt;=$NR$22,93&lt;=$NS$22),IF($NP$22="Single_Point",IF(93=$NR$22,$NN$22,0),IF($NP$22="Bell_Curve",$NN$22*(93-$NR$22+1)*($NS$22-93+1)/$NU$22,$NN$22/$NT$22)),0)</f>
        <v/>
      </c>
      <c r="CT22" s="228">
        <f>IF(AND(94&gt;=$NR$22,94&lt;=$NS$22),IF($NP$22="Single_Point",IF(94=$NR$22,$NN$22,0),IF($NP$22="Bell_Curve",$NN$22*(94-$NR$22+1)*($NS$22-94+1)/$NU$22,$NN$22/$NT$22)),0)</f>
        <v/>
      </c>
      <c r="CU22" s="228">
        <f>IF(AND(95&gt;=$NR$22,95&lt;=$NS$22),IF($NP$22="Single_Point",IF(95=$NR$22,$NN$22,0),IF($NP$22="Bell_Curve",$NN$22*(95-$NR$22+1)*($NS$22-95+1)/$NU$22,$NN$22/$NT$22)),0)</f>
        <v/>
      </c>
      <c r="CV22" s="228">
        <f>IF(AND(96&gt;=$NR$22,96&lt;=$NS$22),IF($NP$22="Single_Point",IF(96=$NR$22,$NN$22,0),IF($NP$22="Bell_Curve",$NN$22*(96-$NR$22+1)*($NS$22-96+1)/$NU$22,$NN$22/$NT$22)),0)</f>
        <v/>
      </c>
      <c r="CW22" s="228">
        <f>IF(AND(97&gt;=$NR$22,97&lt;=$NS$22),IF($NP$22="Single_Point",IF(97=$NR$22,$NN$22,0),IF($NP$22="Bell_Curve",$NN$22*(97-$NR$22+1)*($NS$22-97+1)/$NU$22,$NN$22/$NT$22)),0)</f>
        <v/>
      </c>
      <c r="CX22" s="228">
        <f>IF(AND(98&gt;=$NR$22,98&lt;=$NS$22),IF($NP$22="Single_Point",IF(98=$NR$22,$NN$22,0),IF($NP$22="Bell_Curve",$NN$22*(98-$NR$22+1)*($NS$22-98+1)/$NU$22,$NN$22/$NT$22)),0)</f>
        <v/>
      </c>
      <c r="CY22" s="228">
        <f>IF(AND(99&gt;=$NR$22,99&lt;=$NS$22),IF($NP$22="Single_Point",IF(99=$NR$22,$NN$22,0),IF($NP$22="Bell_Curve",$NN$22*(99-$NR$22+1)*($NS$22-99+1)/$NU$22,$NN$22/$NT$22)),0)</f>
        <v/>
      </c>
      <c r="CZ22" s="228">
        <f>IF(AND(100&gt;=$NR$22,100&lt;=$NS$22),IF($NP$22="Single_Point",IF(100=$NR$22,$NN$22,0),IF($NP$22="Bell_Curve",$NN$22*(100-$NR$22+1)*($NS$22-100+1)/$NU$22,$NN$22/$NT$22)),0)</f>
        <v/>
      </c>
      <c r="DA22" s="228">
        <f>IF(AND(101&gt;=$NR$22,101&lt;=$NS$22),IF($NP$22="Single_Point",IF(101=$NR$22,$NN$22,0),IF($NP$22="Bell_Curve",$NN$22*(101-$NR$22+1)*($NS$22-101+1)/$NU$22,$NN$22/$NT$22)),0)</f>
        <v/>
      </c>
      <c r="DB22" s="228">
        <f>IF(AND(102&gt;=$NR$22,102&lt;=$NS$22),IF($NP$22="Single_Point",IF(102=$NR$22,$NN$22,0),IF($NP$22="Bell_Curve",$NN$22*(102-$NR$22+1)*($NS$22-102+1)/$NU$22,$NN$22/$NT$22)),0)</f>
        <v/>
      </c>
      <c r="DC22" s="228">
        <f>IF(AND(103&gt;=$NR$22,103&lt;=$NS$22),IF($NP$22="Single_Point",IF(103=$NR$22,$NN$22,0),IF($NP$22="Bell_Curve",$NN$22*(103-$NR$22+1)*($NS$22-103+1)/$NU$22,$NN$22/$NT$22)),0)</f>
        <v/>
      </c>
      <c r="DD22" s="228">
        <f>IF(AND(104&gt;=$NR$22,104&lt;=$NS$22),IF($NP$22="Single_Point",IF(104=$NR$22,$NN$22,0),IF($NP$22="Bell_Curve",$NN$22*(104-$NR$22+1)*($NS$22-104+1)/$NU$22,$NN$22/$NT$22)),0)</f>
        <v/>
      </c>
      <c r="DE22" s="228">
        <f>IF(AND(105&gt;=$NR$22,105&lt;=$NS$22),IF($NP$22="Single_Point",IF(105=$NR$22,$NN$22,0),IF($NP$22="Bell_Curve",$NN$22*(105-$NR$22+1)*($NS$22-105+1)/$NU$22,$NN$22/$NT$22)),0)</f>
        <v/>
      </c>
      <c r="DF22" s="228">
        <f>IF(AND(106&gt;=$NR$22,106&lt;=$NS$22),IF($NP$22="Single_Point",IF(106=$NR$22,$NN$22,0),IF($NP$22="Bell_Curve",$NN$22*(106-$NR$22+1)*($NS$22-106+1)/$NU$22,$NN$22/$NT$22)),0)</f>
        <v/>
      </c>
      <c r="DG22" s="228">
        <f>IF(AND(107&gt;=$NR$22,107&lt;=$NS$22),IF($NP$22="Single_Point",IF(107=$NR$22,$NN$22,0),IF($NP$22="Bell_Curve",$NN$22*(107-$NR$22+1)*($NS$22-107+1)/$NU$22,$NN$22/$NT$22)),0)</f>
        <v/>
      </c>
      <c r="DH22" s="228">
        <f>IF(AND(108&gt;=$NR$22,108&lt;=$NS$22),IF($NP$22="Single_Point",IF(108=$NR$22,$NN$22,0),IF($NP$22="Bell_Curve",$NN$22*(108-$NR$22+1)*($NS$22-108+1)/$NU$22,$NN$22/$NT$22)),0)</f>
        <v/>
      </c>
      <c r="DI22" s="228">
        <f>IF(AND(109&gt;=$NR$22,109&lt;=$NS$22),IF($NP$22="Single_Point",IF(109=$NR$22,$NN$22,0),IF($NP$22="Bell_Curve",$NN$22*(109-$NR$22+1)*($NS$22-109+1)/$NU$22,$NN$22/$NT$22)),0)</f>
        <v/>
      </c>
      <c r="DJ22" s="228">
        <f>IF(AND(110&gt;=$NR$22,110&lt;=$NS$22),IF($NP$22="Single_Point",IF(110=$NR$22,$NN$22,0),IF($NP$22="Bell_Curve",$NN$22*(110-$NR$22+1)*($NS$22-110+1)/$NU$22,$NN$22/$NT$22)),0)</f>
        <v/>
      </c>
      <c r="DK22" s="228">
        <f>IF(AND(111&gt;=$NR$22,111&lt;=$NS$22),IF($NP$22="Single_Point",IF(111=$NR$22,$NN$22,0),IF($NP$22="Bell_Curve",$NN$22*(111-$NR$22+1)*($NS$22-111+1)/$NU$22,$NN$22/$NT$22)),0)</f>
        <v/>
      </c>
      <c r="DL22" s="228">
        <f>IF(AND(112&gt;=$NR$22,112&lt;=$NS$22),IF($NP$22="Single_Point",IF(112=$NR$22,$NN$22,0),IF($NP$22="Bell_Curve",$NN$22*(112-$NR$22+1)*($NS$22-112+1)/$NU$22,$NN$22/$NT$22)),0)</f>
        <v/>
      </c>
      <c r="DM22" s="228">
        <f>IF(AND(113&gt;=$NR$22,113&lt;=$NS$22),IF($NP$22="Single_Point",IF(113=$NR$22,$NN$22,0),IF($NP$22="Bell_Curve",$NN$22*(113-$NR$22+1)*($NS$22-113+1)/$NU$22,$NN$22/$NT$22)),0)</f>
        <v/>
      </c>
      <c r="DN22" s="228">
        <f>IF(AND(114&gt;=$NR$22,114&lt;=$NS$22),IF($NP$22="Single_Point",IF(114=$NR$22,$NN$22,0),IF($NP$22="Bell_Curve",$NN$22*(114-$NR$22+1)*($NS$22-114+1)/$NU$22,$NN$22/$NT$22)),0)</f>
        <v/>
      </c>
      <c r="DO22" s="228">
        <f>IF(AND(115&gt;=$NR$22,115&lt;=$NS$22),IF($NP$22="Single_Point",IF(115=$NR$22,$NN$22,0),IF($NP$22="Bell_Curve",$NN$22*(115-$NR$22+1)*($NS$22-115+1)/$NU$22,$NN$22/$NT$22)),0)</f>
        <v/>
      </c>
      <c r="DP22" s="228">
        <f>IF(AND(116&gt;=$NR$22,116&lt;=$NS$22),IF($NP$22="Single_Point",IF(116=$NR$22,$NN$22,0),IF($NP$22="Bell_Curve",$NN$22*(116-$NR$22+1)*($NS$22-116+1)/$NU$22,$NN$22/$NT$22)),0)</f>
        <v/>
      </c>
      <c r="DQ22" s="228">
        <f>IF(AND(117&gt;=$NR$22,117&lt;=$NS$22),IF($NP$22="Single_Point",IF(117=$NR$22,$NN$22,0),IF($NP$22="Bell_Curve",$NN$22*(117-$NR$22+1)*($NS$22-117+1)/$NU$22,$NN$22/$NT$22)),0)</f>
        <v/>
      </c>
      <c r="DR22" s="228">
        <f>IF(AND(118&gt;=$NR$22,118&lt;=$NS$22),IF($NP$22="Single_Point",IF(118=$NR$22,$NN$22,0),IF($NP$22="Bell_Curve",$NN$22*(118-$NR$22+1)*($NS$22-118+1)/$NU$22,$NN$22/$NT$22)),0)</f>
        <v/>
      </c>
      <c r="DS22" s="228">
        <f>IF(AND(119&gt;=$NR$22,119&lt;=$NS$22),IF($NP$22="Single_Point",IF(119=$NR$22,$NN$22,0),IF($NP$22="Bell_Curve",$NN$22*(119-$NR$22+1)*($NS$22-119+1)/$NU$22,$NN$22/$NT$22)),0)</f>
        <v/>
      </c>
      <c r="DT22" s="228">
        <f>IF(AND(120&gt;=$NR$22,120&lt;=$NS$22),IF($NP$22="Single_Point",IF(120=$NR$22,$NN$22,0),IF($NP$22="Bell_Curve",$NN$22*(120-$NR$22+1)*($NS$22-120+1)/$NU$22,$NN$22/$NT$22)),0)</f>
        <v/>
      </c>
      <c r="DU22" s="228">
        <f>IF(AND(121&gt;=$NR$22,121&lt;=$NS$22),IF($NP$22="Single_Point",IF(121=$NR$22,$NN$22,0),IF($NP$22="Bell_Curve",$NN$22*(121-$NR$22+1)*($NS$22-121+1)/$NU$22,$NN$22/$NT$22)),0)</f>
        <v/>
      </c>
      <c r="DV22" s="228">
        <f>IF(AND(122&gt;=$NR$22,122&lt;=$NS$22),IF($NP$22="Single_Point",IF(122=$NR$22,$NN$22,0),IF($NP$22="Bell_Curve",$NN$22*(122-$NR$22+1)*($NS$22-122+1)/$NU$22,$NN$22/$NT$22)),0)</f>
        <v/>
      </c>
      <c r="DW22" s="228">
        <f>IF(AND(123&gt;=$NR$22,123&lt;=$NS$22),IF($NP$22="Single_Point",IF(123=$NR$22,$NN$22,0),IF($NP$22="Bell_Curve",$NN$22*(123-$NR$22+1)*($NS$22-123+1)/$NU$22,$NN$22/$NT$22)),0)</f>
        <v/>
      </c>
      <c r="DX22" s="228">
        <f>IF(AND(124&gt;=$NR$22,124&lt;=$NS$22),IF($NP$22="Single_Point",IF(124=$NR$22,$NN$22,0),IF($NP$22="Bell_Curve",$NN$22*(124-$NR$22+1)*($NS$22-124+1)/$NU$22,$NN$22/$NT$22)),0)</f>
        <v/>
      </c>
      <c r="DY22" s="228">
        <f>IF(AND(125&gt;=$NR$22,125&lt;=$NS$22),IF($NP$22="Single_Point",IF(125=$NR$22,$NN$22,0),IF($NP$22="Bell_Curve",$NN$22*(125-$NR$22+1)*($NS$22-125+1)/$NU$22,$NN$22/$NT$22)),0)</f>
        <v/>
      </c>
      <c r="DZ22" s="228">
        <f>IF(AND(126&gt;=$NR$22,126&lt;=$NS$22),IF($NP$22="Single_Point",IF(126=$NR$22,$NN$22,0),IF($NP$22="Bell_Curve",$NN$22*(126-$NR$22+1)*($NS$22-126+1)/$NU$22,$NN$22/$NT$22)),0)</f>
        <v/>
      </c>
      <c r="EA22" s="228">
        <f>IF(AND(127&gt;=$NR$22,127&lt;=$NS$22),IF($NP$22="Single_Point",IF(127=$NR$22,$NN$22,0),IF($NP$22="Bell_Curve",$NN$22*(127-$NR$22+1)*($NS$22-127+1)/$NU$22,$NN$22/$NT$22)),0)</f>
        <v/>
      </c>
      <c r="EB22" s="228">
        <f>IF(AND(128&gt;=$NR$22,128&lt;=$NS$22),IF($NP$22="Single_Point",IF(128=$NR$22,$NN$22,0),IF($NP$22="Bell_Curve",$NN$22*(128-$NR$22+1)*($NS$22-128+1)/$NU$22,$NN$22/$NT$22)),0)</f>
        <v/>
      </c>
      <c r="EC22" s="228">
        <f>IF(AND(129&gt;=$NR$22,129&lt;=$NS$22),IF($NP$22="Single_Point",IF(129=$NR$22,$NN$22,0),IF($NP$22="Bell_Curve",$NN$22*(129-$NR$22+1)*($NS$22-129+1)/$NU$22,$NN$22/$NT$22)),0)</f>
        <v/>
      </c>
      <c r="ED22" s="228">
        <f>IF(AND(130&gt;=$NR$22,130&lt;=$NS$22),IF($NP$22="Single_Point",IF(130=$NR$22,$NN$22,0),IF($NP$22="Bell_Curve",$NN$22*(130-$NR$22+1)*($NS$22-130+1)/$NU$22,$NN$22/$NT$22)),0)</f>
        <v/>
      </c>
      <c r="EE22" s="228">
        <f>IF(AND(131&gt;=$NR$22,131&lt;=$NS$22),IF($NP$22="Single_Point",IF(131=$NR$22,$NN$22,0),IF($NP$22="Bell_Curve",$NN$22*(131-$NR$22+1)*($NS$22-131+1)/$NU$22,$NN$22/$NT$22)),0)</f>
        <v/>
      </c>
      <c r="EF22" s="228">
        <f>IF(AND(132&gt;=$NR$22,132&lt;=$NS$22),IF($NP$22="Single_Point",IF(132=$NR$22,$NN$22,0),IF($NP$22="Bell_Curve",$NN$22*(132-$NR$22+1)*($NS$22-132+1)/$NU$22,$NN$22/$NT$22)),0)</f>
        <v/>
      </c>
      <c r="EG22" s="228">
        <f>IF(AND(133&gt;=$NR$22,133&lt;=$NS$22),IF($NP$22="Single_Point",IF(133=$NR$22,$NN$22,0),IF($NP$22="Bell_Curve",$NN$22*(133-$NR$22+1)*($NS$22-133+1)/$NU$22,$NN$22/$NT$22)),0)</f>
        <v/>
      </c>
      <c r="EH22" s="228">
        <f>IF(AND(134&gt;=$NR$22,134&lt;=$NS$22),IF($NP$22="Single_Point",IF(134=$NR$22,$NN$22,0),IF($NP$22="Bell_Curve",$NN$22*(134-$NR$22+1)*($NS$22-134+1)/$NU$22,$NN$22/$NT$22)),0)</f>
        <v/>
      </c>
      <c r="EI22" s="228">
        <f>IF(AND(135&gt;=$NR$22,135&lt;=$NS$22),IF($NP$22="Single_Point",IF(135=$NR$22,$NN$22,0),IF($NP$22="Bell_Curve",$NN$22*(135-$NR$22+1)*($NS$22-135+1)/$NU$22,$NN$22/$NT$22)),0)</f>
        <v/>
      </c>
      <c r="EJ22" s="228">
        <f>IF(AND(136&gt;=$NR$22,136&lt;=$NS$22),IF($NP$22="Single_Point",IF(136=$NR$22,$NN$22,0),IF($NP$22="Bell_Curve",$NN$22*(136-$NR$22+1)*($NS$22-136+1)/$NU$22,$NN$22/$NT$22)),0)</f>
        <v/>
      </c>
      <c r="EK22" s="228">
        <f>IF(AND(137&gt;=$NR$22,137&lt;=$NS$22),IF($NP$22="Single_Point",IF(137=$NR$22,$NN$22,0),IF($NP$22="Bell_Curve",$NN$22*(137-$NR$22+1)*($NS$22-137+1)/$NU$22,$NN$22/$NT$22)),0)</f>
        <v/>
      </c>
      <c r="EL22" s="228">
        <f>IF(AND(138&gt;=$NR$22,138&lt;=$NS$22),IF($NP$22="Single_Point",IF(138=$NR$22,$NN$22,0),IF($NP$22="Bell_Curve",$NN$22*(138-$NR$22+1)*($NS$22-138+1)/$NU$22,$NN$22/$NT$22)),0)</f>
        <v/>
      </c>
      <c r="EM22" s="228">
        <f>IF(AND(139&gt;=$NR$22,139&lt;=$NS$22),IF($NP$22="Single_Point",IF(139=$NR$22,$NN$22,0),IF($NP$22="Bell_Curve",$NN$22*(139-$NR$22+1)*($NS$22-139+1)/$NU$22,$NN$22/$NT$22)),0)</f>
        <v/>
      </c>
      <c r="EN22" s="228">
        <f>IF(AND(140&gt;=$NR$22,140&lt;=$NS$22),IF($NP$22="Single_Point",IF(140=$NR$22,$NN$22,0),IF($NP$22="Bell_Curve",$NN$22*(140-$NR$22+1)*($NS$22-140+1)/$NU$22,$NN$22/$NT$22)),0)</f>
        <v/>
      </c>
      <c r="EO22" s="228">
        <f>IF(AND(141&gt;=$NR$22,141&lt;=$NS$22),IF($NP$22="Single_Point",IF(141=$NR$22,$NN$22,0),IF($NP$22="Bell_Curve",$NN$22*(141-$NR$22+1)*($NS$22-141+1)/$NU$22,$NN$22/$NT$22)),0)</f>
        <v/>
      </c>
      <c r="EP22" s="228">
        <f>IF(AND(142&gt;=$NR$22,142&lt;=$NS$22),IF($NP$22="Single_Point",IF(142=$NR$22,$NN$22,0),IF($NP$22="Bell_Curve",$NN$22*(142-$NR$22+1)*($NS$22-142+1)/$NU$22,$NN$22/$NT$22)),0)</f>
        <v/>
      </c>
      <c r="EQ22" s="228">
        <f>IF(AND(143&gt;=$NR$22,143&lt;=$NS$22),IF($NP$22="Single_Point",IF(143=$NR$22,$NN$22,0),IF($NP$22="Bell_Curve",$NN$22*(143-$NR$22+1)*($NS$22-143+1)/$NU$22,$NN$22/$NT$22)),0)</f>
        <v/>
      </c>
      <c r="ER22" s="228">
        <f>IF(AND(144&gt;=$NR$22,144&lt;=$NS$22),IF($NP$22="Single_Point",IF(144=$NR$22,$NN$22,0),IF($NP$22="Bell_Curve",$NN$22*(144-$NR$22+1)*($NS$22-144+1)/$NU$22,$NN$22/$NT$22)),0)</f>
        <v/>
      </c>
      <c r="ES22" s="228">
        <f>IF(AND(145&gt;=$NR$22,145&lt;=$NS$22),IF($NP$22="Single_Point",IF(145=$NR$22,$NN$22,0),IF($NP$22="Bell_Curve",$NN$22*(145-$NR$22+1)*($NS$22-145+1)/$NU$22,$NN$22/$NT$22)),0)</f>
        <v/>
      </c>
      <c r="ET22" s="228">
        <f>IF(AND(146&gt;=$NR$22,146&lt;=$NS$22),IF($NP$22="Single_Point",IF(146=$NR$22,$NN$22,0),IF($NP$22="Bell_Curve",$NN$22*(146-$NR$22+1)*($NS$22-146+1)/$NU$22,$NN$22/$NT$22)),0)</f>
        <v/>
      </c>
      <c r="EU22" s="228">
        <f>IF(AND(147&gt;=$NR$22,147&lt;=$NS$22),IF($NP$22="Single_Point",IF(147=$NR$22,$NN$22,0),IF($NP$22="Bell_Curve",$NN$22*(147-$NR$22+1)*($NS$22-147+1)/$NU$22,$NN$22/$NT$22)),0)</f>
        <v/>
      </c>
      <c r="EV22" s="228">
        <f>IF(AND(148&gt;=$NR$22,148&lt;=$NS$22),IF($NP$22="Single_Point",IF(148=$NR$22,$NN$22,0),IF($NP$22="Bell_Curve",$NN$22*(148-$NR$22+1)*($NS$22-148+1)/$NU$22,$NN$22/$NT$22)),0)</f>
        <v/>
      </c>
      <c r="EW22" s="228">
        <f>IF(AND(149&gt;=$NR$22,149&lt;=$NS$22),IF($NP$22="Single_Point",IF(149=$NR$22,$NN$22,0),IF($NP$22="Bell_Curve",$NN$22*(149-$NR$22+1)*($NS$22-149+1)/$NU$22,$NN$22/$NT$22)),0)</f>
        <v/>
      </c>
      <c r="EX22" s="228">
        <f>IF(AND(150&gt;=$NR$22,150&lt;=$NS$22),IF($NP$22="Single_Point",IF(150=$NR$22,$NN$22,0),IF($NP$22="Bell_Curve",$NN$22*(150-$NR$22+1)*($NS$22-150+1)/$NU$22,$NN$22/$NT$22)),0)</f>
        <v/>
      </c>
      <c r="EY22" s="228">
        <f>IF(AND(151&gt;=$NR$22,151&lt;=$NS$22),IF($NP$22="Single_Point",IF(151=$NR$22,$NN$22,0),IF($NP$22="Bell_Curve",$NN$22*(151-$NR$22+1)*($NS$22-151+1)/$NU$22,$NN$22/$NT$22)),0)</f>
        <v/>
      </c>
      <c r="EZ22" s="228">
        <f>IF(AND(152&gt;=$NR$22,152&lt;=$NS$22),IF($NP$22="Single_Point",IF(152=$NR$22,$NN$22,0),IF($NP$22="Bell_Curve",$NN$22*(152-$NR$22+1)*($NS$22-152+1)/$NU$22,$NN$22/$NT$22)),0)</f>
        <v/>
      </c>
      <c r="FA22" s="228">
        <f>IF(AND(153&gt;=$NR$22,153&lt;=$NS$22),IF($NP$22="Single_Point",IF(153=$NR$22,$NN$22,0),IF($NP$22="Bell_Curve",$NN$22*(153-$NR$22+1)*($NS$22-153+1)/$NU$22,$NN$22/$NT$22)),0)</f>
        <v/>
      </c>
      <c r="FB22" s="228">
        <f>IF(AND(154&gt;=$NR$22,154&lt;=$NS$22),IF($NP$22="Single_Point",IF(154=$NR$22,$NN$22,0),IF($NP$22="Bell_Curve",$NN$22*(154-$NR$22+1)*($NS$22-154+1)/$NU$22,$NN$22/$NT$22)),0)</f>
        <v/>
      </c>
      <c r="FC22" s="228">
        <f>IF(AND(155&gt;=$NR$22,155&lt;=$NS$22),IF($NP$22="Single_Point",IF(155=$NR$22,$NN$22,0),IF($NP$22="Bell_Curve",$NN$22*(155-$NR$22+1)*($NS$22-155+1)/$NU$22,$NN$22/$NT$22)),0)</f>
        <v/>
      </c>
      <c r="FD22" s="228">
        <f>IF(AND(156&gt;=$NR$22,156&lt;=$NS$22),IF($NP$22="Single_Point",IF(156=$NR$22,$NN$22,0),IF($NP$22="Bell_Curve",$NN$22*(156-$NR$22+1)*($NS$22-156+1)/$NU$22,$NN$22/$NT$22)),0)</f>
        <v/>
      </c>
      <c r="FE22" s="228">
        <f>IF(AND(157&gt;=$NR$22,157&lt;=$NS$22),IF($NP$22="Single_Point",IF(157=$NR$22,$NN$22,0),IF($NP$22="Bell_Curve",$NN$22*(157-$NR$22+1)*($NS$22-157+1)/$NU$22,$NN$22/$NT$22)),0)</f>
        <v/>
      </c>
      <c r="FF22" s="228">
        <f>IF(AND(158&gt;=$NR$22,158&lt;=$NS$22),IF($NP$22="Single_Point",IF(158=$NR$22,$NN$22,0),IF($NP$22="Bell_Curve",$NN$22*(158-$NR$22+1)*($NS$22-158+1)/$NU$22,$NN$22/$NT$22)),0)</f>
        <v/>
      </c>
      <c r="FG22" s="228">
        <f>IF(AND(159&gt;=$NR$22,159&lt;=$NS$22),IF($NP$22="Single_Point",IF(159=$NR$22,$NN$22,0),IF($NP$22="Bell_Curve",$NN$22*(159-$NR$22+1)*($NS$22-159+1)/$NU$22,$NN$22/$NT$22)),0)</f>
        <v/>
      </c>
      <c r="FH22" s="228">
        <f>IF(AND(160&gt;=$NR$22,160&lt;=$NS$22),IF($NP$22="Single_Point",IF(160=$NR$22,$NN$22,0),IF($NP$22="Bell_Curve",$NN$22*(160-$NR$22+1)*($NS$22-160+1)/$NU$22,$NN$22/$NT$22)),0)</f>
        <v/>
      </c>
      <c r="FI22" s="228">
        <f>IF(AND(161&gt;=$NR$22,161&lt;=$NS$22),IF($NP$22="Single_Point",IF(161=$NR$22,$NN$22,0),IF($NP$22="Bell_Curve",$NN$22*(161-$NR$22+1)*($NS$22-161+1)/$NU$22,$NN$22/$NT$22)),0)</f>
        <v/>
      </c>
      <c r="FJ22" s="228">
        <f>IF(AND(162&gt;=$NR$22,162&lt;=$NS$22),IF($NP$22="Single_Point",IF(162=$NR$22,$NN$22,0),IF($NP$22="Bell_Curve",$NN$22*(162-$NR$22+1)*($NS$22-162+1)/$NU$22,$NN$22/$NT$22)),0)</f>
        <v/>
      </c>
      <c r="FK22" s="228">
        <f>IF(AND(163&gt;=$NR$22,163&lt;=$NS$22),IF($NP$22="Single_Point",IF(163=$NR$22,$NN$22,0),IF($NP$22="Bell_Curve",$NN$22*(163-$NR$22+1)*($NS$22-163+1)/$NU$22,$NN$22/$NT$22)),0)</f>
        <v/>
      </c>
      <c r="FL22" s="228">
        <f>IF(AND(164&gt;=$NR$22,164&lt;=$NS$22),IF($NP$22="Single_Point",IF(164=$NR$22,$NN$22,0),IF($NP$22="Bell_Curve",$NN$22*(164-$NR$22+1)*($NS$22-164+1)/$NU$22,$NN$22/$NT$22)),0)</f>
        <v/>
      </c>
      <c r="FM22" s="228">
        <f>IF(AND(165&gt;=$NR$22,165&lt;=$NS$22),IF($NP$22="Single_Point",IF(165=$NR$22,$NN$22,0),IF($NP$22="Bell_Curve",$NN$22*(165-$NR$22+1)*($NS$22-165+1)/$NU$22,$NN$22/$NT$22)),0)</f>
        <v/>
      </c>
      <c r="FN22" s="228">
        <f>IF(AND(166&gt;=$NR$22,166&lt;=$NS$22),IF($NP$22="Single_Point",IF(166=$NR$22,$NN$22,0),IF($NP$22="Bell_Curve",$NN$22*(166-$NR$22+1)*($NS$22-166+1)/$NU$22,$NN$22/$NT$22)),0)</f>
        <v/>
      </c>
      <c r="FO22" s="228">
        <f>IF(AND(167&gt;=$NR$22,167&lt;=$NS$22),IF($NP$22="Single_Point",IF(167=$NR$22,$NN$22,0),IF($NP$22="Bell_Curve",$NN$22*(167-$NR$22+1)*($NS$22-167+1)/$NU$22,$NN$22/$NT$22)),0)</f>
        <v/>
      </c>
      <c r="FP22" s="228">
        <f>IF(AND(168&gt;=$NR$22,168&lt;=$NS$22),IF($NP$22="Single_Point",IF(168=$NR$22,$NN$22,0),IF($NP$22="Bell_Curve",$NN$22*(168-$NR$22+1)*($NS$22-168+1)/$NU$22,$NN$22/$NT$22)),0)</f>
        <v/>
      </c>
      <c r="FQ22" s="228">
        <f>IF(AND(169&gt;=$NR$22,169&lt;=$NS$22),IF($NP$22="Single_Point",IF(169=$NR$22,$NN$22,0),IF($NP$22="Bell_Curve",$NN$22*(169-$NR$22+1)*($NS$22-169+1)/$NU$22,$NN$22/$NT$22)),0)</f>
        <v/>
      </c>
      <c r="FR22" s="228">
        <f>IF(AND(170&gt;=$NR$22,170&lt;=$NS$22),IF($NP$22="Single_Point",IF(170=$NR$22,$NN$22,0),IF($NP$22="Bell_Curve",$NN$22*(170-$NR$22+1)*($NS$22-170+1)/$NU$22,$NN$22/$NT$22)),0)</f>
        <v/>
      </c>
      <c r="FS22" s="228">
        <f>IF(AND(171&gt;=$NR$22,171&lt;=$NS$22),IF($NP$22="Single_Point",IF(171=$NR$22,$NN$22,0),IF($NP$22="Bell_Curve",$NN$22*(171-$NR$22+1)*($NS$22-171+1)/$NU$22,$NN$22/$NT$22)),0)</f>
        <v/>
      </c>
      <c r="FT22" s="228">
        <f>IF(AND(172&gt;=$NR$22,172&lt;=$NS$22),IF($NP$22="Single_Point",IF(172=$NR$22,$NN$22,0),IF($NP$22="Bell_Curve",$NN$22*(172-$NR$22+1)*($NS$22-172+1)/$NU$22,$NN$22/$NT$22)),0)</f>
        <v/>
      </c>
      <c r="FU22" s="228">
        <f>IF(AND(173&gt;=$NR$22,173&lt;=$NS$22),IF($NP$22="Single_Point",IF(173=$NR$22,$NN$22,0),IF($NP$22="Bell_Curve",$NN$22*(173-$NR$22+1)*($NS$22-173+1)/$NU$22,$NN$22/$NT$22)),0)</f>
        <v/>
      </c>
      <c r="FV22" s="228">
        <f>IF(AND(174&gt;=$NR$22,174&lt;=$NS$22),IF($NP$22="Single_Point",IF(174=$NR$22,$NN$22,0),IF($NP$22="Bell_Curve",$NN$22*(174-$NR$22+1)*($NS$22-174+1)/$NU$22,$NN$22/$NT$22)),0)</f>
        <v/>
      </c>
      <c r="FW22" s="228">
        <f>IF(AND(175&gt;=$NR$22,175&lt;=$NS$22),IF($NP$22="Single_Point",IF(175=$NR$22,$NN$22,0),IF($NP$22="Bell_Curve",$NN$22*(175-$NR$22+1)*($NS$22-175+1)/$NU$22,$NN$22/$NT$22)),0)</f>
        <v/>
      </c>
      <c r="FX22" s="228">
        <f>IF(AND(176&gt;=$NR$22,176&lt;=$NS$22),IF($NP$22="Single_Point",IF(176=$NR$22,$NN$22,0),IF($NP$22="Bell_Curve",$NN$22*(176-$NR$22+1)*($NS$22-176+1)/$NU$22,$NN$22/$NT$22)),0)</f>
        <v/>
      </c>
      <c r="FY22" s="228">
        <f>IF(AND(177&gt;=$NR$22,177&lt;=$NS$22),IF($NP$22="Single_Point",IF(177=$NR$22,$NN$22,0),IF($NP$22="Bell_Curve",$NN$22*(177-$NR$22+1)*($NS$22-177+1)/$NU$22,$NN$22/$NT$22)),0)</f>
        <v/>
      </c>
      <c r="FZ22" s="228">
        <f>IF(AND(178&gt;=$NR$22,178&lt;=$NS$22),IF($NP$22="Single_Point",IF(178=$NR$22,$NN$22,0),IF($NP$22="Bell_Curve",$NN$22*(178-$NR$22+1)*($NS$22-178+1)/$NU$22,$NN$22/$NT$22)),0)</f>
        <v/>
      </c>
      <c r="GA22" s="228">
        <f>IF(AND(179&gt;=$NR$22,179&lt;=$NS$22),IF($NP$22="Single_Point",IF(179=$NR$22,$NN$22,0),IF($NP$22="Bell_Curve",$NN$22*(179-$NR$22+1)*($NS$22-179+1)/$NU$22,$NN$22/$NT$22)),0)</f>
        <v/>
      </c>
      <c r="GB22" s="228">
        <f>IF(AND(180&gt;=$NR$22,180&lt;=$NS$22),IF($NP$22="Single_Point",IF(180=$NR$22,$NN$22,0),IF($NP$22="Bell_Curve",$NN$22*(180-$NR$22+1)*($NS$22-180+1)/$NU$22,$NN$22/$NT$22)),0)</f>
        <v/>
      </c>
      <c r="GC22" s="228">
        <f>IF(AND(181&gt;=$NR$22,181&lt;=$NS$22),IF($NP$22="Single_Point",IF(181=$NR$22,$NN$22,0),IF($NP$22="Bell_Curve",$NN$22*(181-$NR$22+1)*($NS$22-181+1)/$NU$22,$NN$22/$NT$22)),0)</f>
        <v/>
      </c>
      <c r="GD22" s="228">
        <f>IF(AND(182&gt;=$NR$22,182&lt;=$NS$22),IF($NP$22="Single_Point",IF(182=$NR$22,$NN$22,0),IF($NP$22="Bell_Curve",$NN$22*(182-$NR$22+1)*($NS$22-182+1)/$NU$22,$NN$22/$NT$22)),0)</f>
        <v/>
      </c>
      <c r="GE22" s="228">
        <f>IF(AND(183&gt;=$NR$22,183&lt;=$NS$22),IF($NP$22="Single_Point",IF(183=$NR$22,$NN$22,0),IF($NP$22="Bell_Curve",$NN$22*(183-$NR$22+1)*($NS$22-183+1)/$NU$22,$NN$22/$NT$22)),0)</f>
        <v/>
      </c>
      <c r="GF22" s="228">
        <f>IF(AND(184&gt;=$NR$22,184&lt;=$NS$22),IF($NP$22="Single_Point",IF(184=$NR$22,$NN$22,0),IF($NP$22="Bell_Curve",$NN$22*(184-$NR$22+1)*($NS$22-184+1)/$NU$22,$NN$22/$NT$22)),0)</f>
        <v/>
      </c>
      <c r="GG22" s="228">
        <f>IF(AND(185&gt;=$NR$22,185&lt;=$NS$22),IF($NP$22="Single_Point",IF(185=$NR$22,$NN$22,0),IF($NP$22="Bell_Curve",$NN$22*(185-$NR$22+1)*($NS$22-185+1)/$NU$22,$NN$22/$NT$22)),0)</f>
        <v/>
      </c>
      <c r="GH22" s="228">
        <f>IF(AND(186&gt;=$NR$22,186&lt;=$NS$22),IF($NP$22="Single_Point",IF(186=$NR$22,$NN$22,0),IF($NP$22="Bell_Curve",$NN$22*(186-$NR$22+1)*($NS$22-186+1)/$NU$22,$NN$22/$NT$22)),0)</f>
        <v/>
      </c>
      <c r="GI22" s="228">
        <f>IF(AND(187&gt;=$NR$22,187&lt;=$NS$22),IF($NP$22="Single_Point",IF(187=$NR$22,$NN$22,0),IF($NP$22="Bell_Curve",$NN$22*(187-$NR$22+1)*($NS$22-187+1)/$NU$22,$NN$22/$NT$22)),0)</f>
        <v/>
      </c>
      <c r="GJ22" s="228">
        <f>IF(AND(188&gt;=$NR$22,188&lt;=$NS$22),IF($NP$22="Single_Point",IF(188=$NR$22,$NN$22,0),IF($NP$22="Bell_Curve",$NN$22*(188-$NR$22+1)*($NS$22-188+1)/$NU$22,$NN$22/$NT$22)),0)</f>
        <v/>
      </c>
      <c r="GK22" s="228">
        <f>IF(AND(189&gt;=$NR$22,189&lt;=$NS$22),IF($NP$22="Single_Point",IF(189=$NR$22,$NN$22,0),IF($NP$22="Bell_Curve",$NN$22*(189-$NR$22+1)*($NS$22-189+1)/$NU$22,$NN$22/$NT$22)),0)</f>
        <v/>
      </c>
      <c r="GL22" s="228">
        <f>IF(AND(190&gt;=$NR$22,190&lt;=$NS$22),IF($NP$22="Single_Point",IF(190=$NR$22,$NN$22,0),IF($NP$22="Bell_Curve",$NN$22*(190-$NR$22+1)*($NS$22-190+1)/$NU$22,$NN$22/$NT$22)),0)</f>
        <v/>
      </c>
      <c r="GM22" s="228">
        <f>IF(AND(191&gt;=$NR$22,191&lt;=$NS$22),IF($NP$22="Single_Point",IF(191=$NR$22,$NN$22,0),IF($NP$22="Bell_Curve",$NN$22*(191-$NR$22+1)*($NS$22-191+1)/$NU$22,$NN$22/$NT$22)),0)</f>
        <v/>
      </c>
      <c r="GN22" s="228">
        <f>IF(AND(192&gt;=$NR$22,192&lt;=$NS$22),IF($NP$22="Single_Point",IF(192=$NR$22,$NN$22,0),IF($NP$22="Bell_Curve",$NN$22*(192-$NR$22+1)*($NS$22-192+1)/$NU$22,$NN$22/$NT$22)),0)</f>
        <v/>
      </c>
      <c r="GO22" s="228">
        <f>IF(AND(193&gt;=$NR$22,193&lt;=$NS$22),IF($NP$22="Single_Point",IF(193=$NR$22,$NN$22,0),IF($NP$22="Bell_Curve",$NN$22*(193-$NR$22+1)*($NS$22-193+1)/$NU$22,$NN$22/$NT$22)),0)</f>
        <v/>
      </c>
      <c r="GP22" s="228">
        <f>IF(AND(194&gt;=$NR$22,194&lt;=$NS$22),IF($NP$22="Single_Point",IF(194=$NR$22,$NN$22,0),IF($NP$22="Bell_Curve",$NN$22*(194-$NR$22+1)*($NS$22-194+1)/$NU$22,$NN$22/$NT$22)),0)</f>
        <v/>
      </c>
      <c r="GQ22" s="228">
        <f>IF(AND(195&gt;=$NR$22,195&lt;=$NS$22),IF($NP$22="Single_Point",IF(195=$NR$22,$NN$22,0),IF($NP$22="Bell_Curve",$NN$22*(195-$NR$22+1)*($NS$22-195+1)/$NU$22,$NN$22/$NT$22)),0)</f>
        <v/>
      </c>
      <c r="GR22" s="228">
        <f>IF(AND(196&gt;=$NR$22,196&lt;=$NS$22),IF($NP$22="Single_Point",IF(196=$NR$22,$NN$22,0),IF($NP$22="Bell_Curve",$NN$22*(196-$NR$22+1)*($NS$22-196+1)/$NU$22,$NN$22/$NT$22)),0)</f>
        <v/>
      </c>
      <c r="GS22" s="228">
        <f>IF(AND(197&gt;=$NR$22,197&lt;=$NS$22),IF($NP$22="Single_Point",IF(197=$NR$22,$NN$22,0),IF($NP$22="Bell_Curve",$NN$22*(197-$NR$22+1)*($NS$22-197+1)/$NU$22,$NN$22/$NT$22)),0)</f>
        <v/>
      </c>
      <c r="GT22" s="228">
        <f>IF(AND(198&gt;=$NR$22,198&lt;=$NS$22),IF($NP$22="Single_Point",IF(198=$NR$22,$NN$22,0),IF($NP$22="Bell_Curve",$NN$22*(198-$NR$22+1)*($NS$22-198+1)/$NU$22,$NN$22/$NT$22)),0)</f>
        <v/>
      </c>
      <c r="GU22" s="228">
        <f>IF(AND(199&gt;=$NR$22,199&lt;=$NS$22),IF($NP$22="Single_Point",IF(199=$NR$22,$NN$22,0),IF($NP$22="Bell_Curve",$NN$22*(199-$NR$22+1)*($NS$22-199+1)/$NU$22,$NN$22/$NT$22)),0)</f>
        <v/>
      </c>
      <c r="GV22" s="228">
        <f>IF(AND(200&gt;=$NR$22,200&lt;=$NS$22),IF($NP$22="Single_Point",IF(200=$NR$22,$NN$22,0),IF($NP$22="Bell_Curve",$NN$22*(200-$NR$22+1)*($NS$22-200+1)/$NU$22,$NN$22/$NT$22)),0)</f>
        <v/>
      </c>
      <c r="GW22" s="228">
        <f>IF(AND(201&gt;=$NR$22,201&lt;=$NS$22),IF($NP$22="Single_Point",IF(201=$NR$22,$NN$22,0),IF($NP$22="Bell_Curve",$NN$22*(201-$NR$22+1)*($NS$22-201+1)/$NU$22,$NN$22/$NT$22)),0)</f>
        <v/>
      </c>
      <c r="GX22" s="228">
        <f>IF(AND(202&gt;=$NR$22,202&lt;=$NS$22),IF($NP$22="Single_Point",IF(202=$NR$22,$NN$22,0),IF($NP$22="Bell_Curve",$NN$22*(202-$NR$22+1)*($NS$22-202+1)/$NU$22,$NN$22/$NT$22)),0)</f>
        <v/>
      </c>
      <c r="GY22" s="228">
        <f>IF(AND(203&gt;=$NR$22,203&lt;=$NS$22),IF($NP$22="Single_Point",IF(203=$NR$22,$NN$22,0),IF($NP$22="Bell_Curve",$NN$22*(203-$NR$22+1)*($NS$22-203+1)/$NU$22,$NN$22/$NT$22)),0)</f>
        <v/>
      </c>
      <c r="GZ22" s="228">
        <f>IF(AND(204&gt;=$NR$22,204&lt;=$NS$22),IF($NP$22="Single_Point",IF(204=$NR$22,$NN$22,0),IF($NP$22="Bell_Curve",$NN$22*(204-$NR$22+1)*($NS$22-204+1)/$NU$22,$NN$22/$NT$22)),0)</f>
        <v/>
      </c>
      <c r="HA22" s="228">
        <f>IF(AND(205&gt;=$NR$22,205&lt;=$NS$22),IF($NP$22="Single_Point",IF(205=$NR$22,$NN$22,0),IF($NP$22="Bell_Curve",$NN$22*(205-$NR$22+1)*($NS$22-205+1)/$NU$22,$NN$22/$NT$22)),0)</f>
        <v/>
      </c>
      <c r="HB22" s="228">
        <f>IF(AND(206&gt;=$NR$22,206&lt;=$NS$22),IF($NP$22="Single_Point",IF(206=$NR$22,$NN$22,0),IF($NP$22="Bell_Curve",$NN$22*(206-$NR$22+1)*($NS$22-206+1)/$NU$22,$NN$22/$NT$22)),0)</f>
        <v/>
      </c>
      <c r="HC22" s="228">
        <f>IF(AND(207&gt;=$NR$22,207&lt;=$NS$22),IF($NP$22="Single_Point",IF(207=$NR$22,$NN$22,0),IF($NP$22="Bell_Curve",$NN$22*(207-$NR$22+1)*($NS$22-207+1)/$NU$22,$NN$22/$NT$22)),0)</f>
        <v/>
      </c>
      <c r="HD22" s="228">
        <f>IF(AND(208&gt;=$NR$22,208&lt;=$NS$22),IF($NP$22="Single_Point",IF(208=$NR$22,$NN$22,0),IF($NP$22="Bell_Curve",$NN$22*(208-$NR$22+1)*($NS$22-208+1)/$NU$22,$NN$22/$NT$22)),0)</f>
        <v/>
      </c>
      <c r="HE22" s="228">
        <f>IF(AND(209&gt;=$NR$22,209&lt;=$NS$22),IF($NP$22="Single_Point",IF(209=$NR$22,$NN$22,0),IF($NP$22="Bell_Curve",$NN$22*(209-$NR$22+1)*($NS$22-209+1)/$NU$22,$NN$22/$NT$22)),0)</f>
        <v/>
      </c>
      <c r="HF22" s="228">
        <f>IF(AND(210&gt;=$NR$22,210&lt;=$NS$22),IF($NP$22="Single_Point",IF(210=$NR$22,$NN$22,0),IF($NP$22="Bell_Curve",$NN$22*(210-$NR$22+1)*($NS$22-210+1)/$NU$22,$NN$22/$NT$22)),0)</f>
        <v/>
      </c>
      <c r="HG22" s="228">
        <f>IF(AND(211&gt;=$NR$22,211&lt;=$NS$22),IF($NP$22="Single_Point",IF(211=$NR$22,$NN$22,0),IF($NP$22="Bell_Curve",$NN$22*(211-$NR$22+1)*($NS$22-211+1)/$NU$22,$NN$22/$NT$22)),0)</f>
        <v/>
      </c>
      <c r="HH22" s="228">
        <f>IF(AND(212&gt;=$NR$22,212&lt;=$NS$22),IF($NP$22="Single_Point",IF(212=$NR$22,$NN$22,0),IF($NP$22="Bell_Curve",$NN$22*(212-$NR$22+1)*($NS$22-212+1)/$NU$22,$NN$22/$NT$22)),0)</f>
        <v/>
      </c>
      <c r="HI22" s="228">
        <f>IF(AND(213&gt;=$NR$22,213&lt;=$NS$22),IF($NP$22="Single_Point",IF(213=$NR$22,$NN$22,0),IF($NP$22="Bell_Curve",$NN$22*(213-$NR$22+1)*($NS$22-213+1)/$NU$22,$NN$22/$NT$22)),0)</f>
        <v/>
      </c>
      <c r="HJ22" s="228">
        <f>IF(AND(214&gt;=$NR$22,214&lt;=$NS$22),IF($NP$22="Single_Point",IF(214=$NR$22,$NN$22,0),IF($NP$22="Bell_Curve",$NN$22*(214-$NR$22+1)*($NS$22-214+1)/$NU$22,$NN$22/$NT$22)),0)</f>
        <v/>
      </c>
      <c r="HK22" s="228">
        <f>IF(AND(215&gt;=$NR$22,215&lt;=$NS$22),IF($NP$22="Single_Point",IF(215=$NR$22,$NN$22,0),IF($NP$22="Bell_Curve",$NN$22*(215-$NR$22+1)*($NS$22-215+1)/$NU$22,$NN$22/$NT$22)),0)</f>
        <v/>
      </c>
      <c r="HL22" s="228">
        <f>IF(AND(216&gt;=$NR$22,216&lt;=$NS$22),IF($NP$22="Single_Point",IF(216=$NR$22,$NN$22,0),IF($NP$22="Bell_Curve",$NN$22*(216-$NR$22+1)*($NS$22-216+1)/$NU$22,$NN$22/$NT$22)),0)</f>
        <v/>
      </c>
      <c r="HM22" s="228">
        <f>IF(AND(217&gt;=$NR$22,217&lt;=$NS$22),IF($NP$22="Single_Point",IF(217=$NR$22,$NN$22,0),IF($NP$22="Bell_Curve",$NN$22*(217-$NR$22+1)*($NS$22-217+1)/$NU$22,$NN$22/$NT$22)),0)</f>
        <v/>
      </c>
      <c r="HN22" s="228">
        <f>IF(AND(218&gt;=$NR$22,218&lt;=$NS$22),IF($NP$22="Single_Point",IF(218=$NR$22,$NN$22,0),IF($NP$22="Bell_Curve",$NN$22*(218-$NR$22+1)*($NS$22-218+1)/$NU$22,$NN$22/$NT$22)),0)</f>
        <v/>
      </c>
      <c r="HO22" s="228">
        <f>IF(AND(219&gt;=$NR$22,219&lt;=$NS$22),IF($NP$22="Single_Point",IF(219=$NR$22,$NN$22,0),IF($NP$22="Bell_Curve",$NN$22*(219-$NR$22+1)*($NS$22-219+1)/$NU$22,$NN$22/$NT$22)),0)</f>
        <v/>
      </c>
      <c r="HP22" s="228">
        <f>IF(AND(220&gt;=$NR$22,220&lt;=$NS$22),IF($NP$22="Single_Point",IF(220=$NR$22,$NN$22,0),IF($NP$22="Bell_Curve",$NN$22*(220-$NR$22+1)*($NS$22-220+1)/$NU$22,$NN$22/$NT$22)),0)</f>
        <v/>
      </c>
      <c r="HQ22" s="228">
        <f>IF(AND(221&gt;=$NR$22,221&lt;=$NS$22),IF($NP$22="Single_Point",IF(221=$NR$22,$NN$22,0),IF($NP$22="Bell_Curve",$NN$22*(221-$NR$22+1)*($NS$22-221+1)/$NU$22,$NN$22/$NT$22)),0)</f>
        <v/>
      </c>
      <c r="HR22" s="228">
        <f>IF(AND(222&gt;=$NR$22,222&lt;=$NS$22),IF($NP$22="Single_Point",IF(222=$NR$22,$NN$22,0),IF($NP$22="Bell_Curve",$NN$22*(222-$NR$22+1)*($NS$22-222+1)/$NU$22,$NN$22/$NT$22)),0)</f>
        <v/>
      </c>
      <c r="HS22" s="228">
        <f>IF(AND(223&gt;=$NR$22,223&lt;=$NS$22),IF($NP$22="Single_Point",IF(223=$NR$22,$NN$22,0),IF($NP$22="Bell_Curve",$NN$22*(223-$NR$22+1)*($NS$22-223+1)/$NU$22,$NN$22/$NT$22)),0)</f>
        <v/>
      </c>
      <c r="HT22" s="228">
        <f>IF(AND(224&gt;=$NR$22,224&lt;=$NS$22),IF($NP$22="Single_Point",IF(224=$NR$22,$NN$22,0),IF($NP$22="Bell_Curve",$NN$22*(224-$NR$22+1)*($NS$22-224+1)/$NU$22,$NN$22/$NT$22)),0)</f>
        <v/>
      </c>
      <c r="HU22" s="228">
        <f>IF(AND(225&gt;=$NR$22,225&lt;=$NS$22),IF($NP$22="Single_Point",IF(225=$NR$22,$NN$22,0),IF($NP$22="Bell_Curve",$NN$22*(225-$NR$22+1)*($NS$22-225+1)/$NU$22,$NN$22/$NT$22)),0)</f>
        <v/>
      </c>
      <c r="HV22" s="228">
        <f>IF(AND(226&gt;=$NR$22,226&lt;=$NS$22),IF($NP$22="Single_Point",IF(226=$NR$22,$NN$22,0),IF($NP$22="Bell_Curve",$NN$22*(226-$NR$22+1)*($NS$22-226+1)/$NU$22,$NN$22/$NT$22)),0)</f>
        <v/>
      </c>
      <c r="HW22" s="228">
        <f>IF(AND(227&gt;=$NR$22,227&lt;=$NS$22),IF($NP$22="Single_Point",IF(227=$NR$22,$NN$22,0),IF($NP$22="Bell_Curve",$NN$22*(227-$NR$22+1)*($NS$22-227+1)/$NU$22,$NN$22/$NT$22)),0)</f>
        <v/>
      </c>
      <c r="HX22" s="228">
        <f>IF(AND(228&gt;=$NR$22,228&lt;=$NS$22),IF($NP$22="Single_Point",IF(228=$NR$22,$NN$22,0),IF($NP$22="Bell_Curve",$NN$22*(228-$NR$22+1)*($NS$22-228+1)/$NU$22,$NN$22/$NT$22)),0)</f>
        <v/>
      </c>
      <c r="HY22" s="228">
        <f>IF(AND(229&gt;=$NR$22,229&lt;=$NS$22),IF($NP$22="Single_Point",IF(229=$NR$22,$NN$22,0),IF($NP$22="Bell_Curve",$NN$22*(229-$NR$22+1)*($NS$22-229+1)/$NU$22,$NN$22/$NT$22)),0)</f>
        <v/>
      </c>
      <c r="HZ22" s="228">
        <f>IF(AND(230&gt;=$NR$22,230&lt;=$NS$22),IF($NP$22="Single_Point",IF(230=$NR$22,$NN$22,0),IF($NP$22="Bell_Curve",$NN$22*(230-$NR$22+1)*($NS$22-230+1)/$NU$22,$NN$22/$NT$22)),0)</f>
        <v/>
      </c>
      <c r="IA22" s="228">
        <f>IF(AND(231&gt;=$NR$22,231&lt;=$NS$22),IF($NP$22="Single_Point",IF(231=$NR$22,$NN$22,0),IF($NP$22="Bell_Curve",$NN$22*(231-$NR$22+1)*($NS$22-231+1)/$NU$22,$NN$22/$NT$22)),0)</f>
        <v/>
      </c>
      <c r="IB22" s="228">
        <f>IF(AND(232&gt;=$NR$22,232&lt;=$NS$22),IF($NP$22="Single_Point",IF(232=$NR$22,$NN$22,0),IF($NP$22="Bell_Curve",$NN$22*(232-$NR$22+1)*($NS$22-232+1)/$NU$22,$NN$22/$NT$22)),0)</f>
        <v/>
      </c>
      <c r="IC22" s="228">
        <f>IF(AND(233&gt;=$NR$22,233&lt;=$NS$22),IF($NP$22="Single_Point",IF(233=$NR$22,$NN$22,0),IF($NP$22="Bell_Curve",$NN$22*(233-$NR$22+1)*($NS$22-233+1)/$NU$22,$NN$22/$NT$22)),0)</f>
        <v/>
      </c>
      <c r="ID22" s="228">
        <f>IF(AND(234&gt;=$NR$22,234&lt;=$NS$22),IF($NP$22="Single_Point",IF(234=$NR$22,$NN$22,0),IF($NP$22="Bell_Curve",$NN$22*(234-$NR$22+1)*($NS$22-234+1)/$NU$22,$NN$22/$NT$22)),0)</f>
        <v/>
      </c>
      <c r="IE22" s="228">
        <f>IF(AND(235&gt;=$NR$22,235&lt;=$NS$22),IF($NP$22="Single_Point",IF(235=$NR$22,$NN$22,0),IF($NP$22="Bell_Curve",$NN$22*(235-$NR$22+1)*($NS$22-235+1)/$NU$22,$NN$22/$NT$22)),0)</f>
        <v/>
      </c>
      <c r="IF22" s="228">
        <f>IF(AND(236&gt;=$NR$22,236&lt;=$NS$22),IF($NP$22="Single_Point",IF(236=$NR$22,$NN$22,0),IF($NP$22="Bell_Curve",$NN$22*(236-$NR$22+1)*($NS$22-236+1)/$NU$22,$NN$22/$NT$22)),0)</f>
        <v/>
      </c>
      <c r="IG22" s="228">
        <f>IF(AND(237&gt;=$NR$22,237&lt;=$NS$22),IF($NP$22="Single_Point",IF(237=$NR$22,$NN$22,0),IF($NP$22="Bell_Curve",$NN$22*(237-$NR$22+1)*($NS$22-237+1)/$NU$22,$NN$22/$NT$22)),0)</f>
        <v/>
      </c>
      <c r="IH22" s="228">
        <f>IF(AND(238&gt;=$NR$22,238&lt;=$NS$22),IF($NP$22="Single_Point",IF(238=$NR$22,$NN$22,0),IF($NP$22="Bell_Curve",$NN$22*(238-$NR$22+1)*($NS$22-238+1)/$NU$22,$NN$22/$NT$22)),0)</f>
        <v/>
      </c>
      <c r="II22" s="228">
        <f>IF(AND(239&gt;=$NR$22,239&lt;=$NS$22),IF($NP$22="Single_Point",IF(239=$NR$22,$NN$22,0),IF($NP$22="Bell_Curve",$NN$22*(239-$NR$22+1)*($NS$22-239+1)/$NU$22,$NN$22/$NT$22)),0)</f>
        <v/>
      </c>
      <c r="IJ22" s="228">
        <f>IF(AND(240&gt;=$NR$22,240&lt;=$NS$22),IF($NP$22="Single_Point",IF(240=$NR$22,$NN$22,0),IF($NP$22="Bell_Curve",$NN$22*(240-$NR$22+1)*($NS$22-240+1)/$NU$22,$NN$22/$NT$22)),0)</f>
        <v/>
      </c>
      <c r="IK22" s="228">
        <f>IF(AND(241&gt;=$NR$22,241&lt;=$NS$22),IF($NP$22="Single_Point",IF(241=$NR$22,$NN$22,0),IF($NP$22="Bell_Curve",$NN$22*(241-$NR$22+1)*($NS$22-241+1)/$NU$22,$NN$22/$NT$22)),0)</f>
        <v/>
      </c>
      <c r="IL22" s="228">
        <f>IF(AND(242&gt;=$NR$22,242&lt;=$NS$22),IF($NP$22="Single_Point",IF(242=$NR$22,$NN$22,0),IF($NP$22="Bell_Curve",$NN$22*(242-$NR$22+1)*($NS$22-242+1)/$NU$22,$NN$22/$NT$22)),0)</f>
        <v/>
      </c>
      <c r="IM22" s="228">
        <f>IF(AND(243&gt;=$NR$22,243&lt;=$NS$22),IF($NP$22="Single_Point",IF(243=$NR$22,$NN$22,0),IF($NP$22="Bell_Curve",$NN$22*(243-$NR$22+1)*($NS$22-243+1)/$NU$22,$NN$22/$NT$22)),0)</f>
        <v/>
      </c>
      <c r="IN22" s="228">
        <f>IF(AND(244&gt;=$NR$22,244&lt;=$NS$22),IF($NP$22="Single_Point",IF(244=$NR$22,$NN$22,0),IF($NP$22="Bell_Curve",$NN$22*(244-$NR$22+1)*($NS$22-244+1)/$NU$22,$NN$22/$NT$22)),0)</f>
        <v/>
      </c>
      <c r="IO22" s="228">
        <f>IF(AND(245&gt;=$NR$22,245&lt;=$NS$22),IF($NP$22="Single_Point",IF(245=$NR$22,$NN$22,0),IF($NP$22="Bell_Curve",$NN$22*(245-$NR$22+1)*($NS$22-245+1)/$NU$22,$NN$22/$NT$22)),0)</f>
        <v/>
      </c>
      <c r="IP22" s="228">
        <f>IF(AND(246&gt;=$NR$22,246&lt;=$NS$22),IF($NP$22="Single_Point",IF(246=$NR$22,$NN$22,0),IF($NP$22="Bell_Curve",$NN$22*(246-$NR$22+1)*($NS$22-246+1)/$NU$22,$NN$22/$NT$22)),0)</f>
        <v/>
      </c>
      <c r="IQ22" s="228">
        <f>IF(AND(247&gt;=$NR$22,247&lt;=$NS$22),IF($NP$22="Single_Point",IF(247=$NR$22,$NN$22,0),IF($NP$22="Bell_Curve",$NN$22*(247-$NR$22+1)*($NS$22-247+1)/$NU$22,$NN$22/$NT$22)),0)</f>
        <v/>
      </c>
      <c r="IR22" s="228">
        <f>IF(AND(248&gt;=$NR$22,248&lt;=$NS$22),IF($NP$22="Single_Point",IF(248=$NR$22,$NN$22,0),IF($NP$22="Bell_Curve",$NN$22*(248-$NR$22+1)*($NS$22-248+1)/$NU$22,$NN$22/$NT$22)),0)</f>
        <v/>
      </c>
      <c r="IS22" s="228">
        <f>IF(AND(249&gt;=$NR$22,249&lt;=$NS$22),IF($NP$22="Single_Point",IF(249=$NR$22,$NN$22,0),IF($NP$22="Bell_Curve",$NN$22*(249-$NR$22+1)*($NS$22-249+1)/$NU$22,$NN$22/$NT$22)),0)</f>
        <v/>
      </c>
      <c r="IT22" s="228">
        <f>IF(AND(250&gt;=$NR$22,250&lt;=$NS$22),IF($NP$22="Single_Point",IF(250=$NR$22,$NN$22,0),IF($NP$22="Bell_Curve",$NN$22*(250-$NR$22+1)*($NS$22-250+1)/$NU$22,$NN$22/$NT$22)),0)</f>
        <v/>
      </c>
      <c r="IU22" s="228">
        <f>IF(AND(251&gt;=$NR$22,251&lt;=$NS$22),IF($NP$22="Single_Point",IF(251=$NR$22,$NN$22,0),IF($NP$22="Bell_Curve",$NN$22*(251-$NR$22+1)*($NS$22-251+1)/$NU$22,$NN$22/$NT$22)),0)</f>
        <v/>
      </c>
      <c r="IV22" s="228">
        <f>IF(AND(252&gt;=$NR$22,252&lt;=$NS$22),IF($NP$22="Single_Point",IF(252=$NR$22,$NN$22,0),IF($NP$22="Bell_Curve",$NN$22*(252-$NR$22+1)*($NS$22-252+1)/$NU$22,$NN$22/$NT$22)),0)</f>
        <v/>
      </c>
      <c r="IW22" s="228">
        <f>IF(AND(253&gt;=$NR$22,253&lt;=$NS$22),IF($NP$22="Single_Point",IF(253=$NR$22,$NN$22,0),IF($NP$22="Bell_Curve",$NN$22*(253-$NR$22+1)*($NS$22-253+1)/$NU$22,$NN$22/$NT$22)),0)</f>
        <v/>
      </c>
      <c r="IX22" s="228">
        <f>IF(AND(254&gt;=$NR$22,254&lt;=$NS$22),IF($NP$22="Single_Point",IF(254=$NR$22,$NN$22,0),IF($NP$22="Bell_Curve",$NN$22*(254-$NR$22+1)*($NS$22-254+1)/$NU$22,$NN$22/$NT$22)),0)</f>
        <v/>
      </c>
      <c r="IY22" s="228">
        <f>IF(AND(255&gt;=$NR$22,255&lt;=$NS$22),IF($NP$22="Single_Point",IF(255=$NR$22,$NN$22,0),IF($NP$22="Bell_Curve",$NN$22*(255-$NR$22+1)*($NS$22-255+1)/$NU$22,$NN$22/$NT$22)),0)</f>
        <v/>
      </c>
      <c r="IZ22" s="228">
        <f>IF(AND(256&gt;=$NR$22,256&lt;=$NS$22),IF($NP$22="Single_Point",IF(256=$NR$22,$NN$22,0),IF($NP$22="Bell_Curve",$NN$22*(256-$NR$22+1)*($NS$22-256+1)/$NU$22,$NN$22/$NT$22)),0)</f>
        <v/>
      </c>
      <c r="JA22" s="228">
        <f>IF(AND(257&gt;=$NR$22,257&lt;=$NS$22),IF($NP$22="Single_Point",IF(257=$NR$22,$NN$22,0),IF($NP$22="Bell_Curve",$NN$22*(257-$NR$22+1)*($NS$22-257+1)/$NU$22,$NN$22/$NT$22)),0)</f>
        <v/>
      </c>
      <c r="JB22" s="228">
        <f>IF(AND(258&gt;=$NR$22,258&lt;=$NS$22),IF($NP$22="Single_Point",IF(258=$NR$22,$NN$22,0),IF($NP$22="Bell_Curve",$NN$22*(258-$NR$22+1)*($NS$22-258+1)/$NU$22,$NN$22/$NT$22)),0)</f>
        <v/>
      </c>
      <c r="JC22" s="228">
        <f>IF(AND(259&gt;=$NR$22,259&lt;=$NS$22),IF($NP$22="Single_Point",IF(259=$NR$22,$NN$22,0),IF($NP$22="Bell_Curve",$NN$22*(259-$NR$22+1)*($NS$22-259+1)/$NU$22,$NN$22/$NT$22)),0)</f>
        <v/>
      </c>
      <c r="JD22" s="228">
        <f>IF(AND(260&gt;=$NR$22,260&lt;=$NS$22),IF($NP$22="Single_Point",IF(260=$NR$22,$NN$22,0),IF($NP$22="Bell_Curve",$NN$22*(260-$NR$22+1)*($NS$22-260+1)/$NU$22,$NN$22/$NT$22)),0)</f>
        <v/>
      </c>
      <c r="JE22" s="228">
        <f>IF(AND(261&gt;=$NR$22,261&lt;=$NS$22),IF($NP$22="Single_Point",IF(261=$NR$22,$NN$22,0),IF($NP$22="Bell_Curve",$NN$22*(261-$NR$22+1)*($NS$22-261+1)/$NU$22,$NN$22/$NT$22)),0)</f>
        <v/>
      </c>
      <c r="JF22" s="228">
        <f>IF(AND(262&gt;=$NR$22,262&lt;=$NS$22),IF($NP$22="Single_Point",IF(262=$NR$22,$NN$22,0),IF($NP$22="Bell_Curve",$NN$22*(262-$NR$22+1)*($NS$22-262+1)/$NU$22,$NN$22/$NT$22)),0)</f>
        <v/>
      </c>
      <c r="JG22" s="228">
        <f>IF(AND(263&gt;=$NR$22,263&lt;=$NS$22),IF($NP$22="Single_Point",IF(263=$NR$22,$NN$22,0),IF($NP$22="Bell_Curve",$NN$22*(263-$NR$22+1)*($NS$22-263+1)/$NU$22,$NN$22/$NT$22)),0)</f>
        <v/>
      </c>
      <c r="JH22" s="228">
        <f>IF(AND(264&gt;=$NR$22,264&lt;=$NS$22),IF($NP$22="Single_Point",IF(264=$NR$22,$NN$22,0),IF($NP$22="Bell_Curve",$NN$22*(264-$NR$22+1)*($NS$22-264+1)/$NU$22,$NN$22/$NT$22)),0)</f>
        <v/>
      </c>
      <c r="JI22" s="228">
        <f>IF(AND(265&gt;=$NR$22,265&lt;=$NS$22),IF($NP$22="Single_Point",IF(265=$NR$22,$NN$22,0),IF($NP$22="Bell_Curve",$NN$22*(265-$NR$22+1)*($NS$22-265+1)/$NU$22,$NN$22/$NT$22)),0)</f>
        <v/>
      </c>
      <c r="JJ22" s="228">
        <f>IF(AND(266&gt;=$NR$22,266&lt;=$NS$22),IF($NP$22="Single_Point",IF(266=$NR$22,$NN$22,0),IF($NP$22="Bell_Curve",$NN$22*(266-$NR$22+1)*($NS$22-266+1)/$NU$22,$NN$22/$NT$22)),0)</f>
        <v/>
      </c>
      <c r="JK22" s="228">
        <f>IF(AND(267&gt;=$NR$22,267&lt;=$NS$22),IF($NP$22="Single_Point",IF(267=$NR$22,$NN$22,0),IF($NP$22="Bell_Curve",$NN$22*(267-$NR$22+1)*($NS$22-267+1)/$NU$22,$NN$22/$NT$22)),0)</f>
        <v/>
      </c>
      <c r="JL22" s="228">
        <f>IF(AND(268&gt;=$NR$22,268&lt;=$NS$22),IF($NP$22="Single_Point",IF(268=$NR$22,$NN$22,0),IF($NP$22="Bell_Curve",$NN$22*(268-$NR$22+1)*($NS$22-268+1)/$NU$22,$NN$22/$NT$22)),0)</f>
        <v/>
      </c>
      <c r="JM22" s="228">
        <f>IF(AND(269&gt;=$NR$22,269&lt;=$NS$22),IF($NP$22="Single_Point",IF(269=$NR$22,$NN$22,0),IF($NP$22="Bell_Curve",$NN$22*(269-$NR$22+1)*($NS$22-269+1)/$NU$22,$NN$22/$NT$22)),0)</f>
        <v/>
      </c>
      <c r="JN22" s="228">
        <f>IF(AND(270&gt;=$NR$22,270&lt;=$NS$22),IF($NP$22="Single_Point",IF(270=$NR$22,$NN$22,0),IF($NP$22="Bell_Curve",$NN$22*(270-$NR$22+1)*($NS$22-270+1)/$NU$22,$NN$22/$NT$22)),0)</f>
        <v/>
      </c>
      <c r="JO22" s="228">
        <f>IF(AND(271&gt;=$NR$22,271&lt;=$NS$22),IF($NP$22="Single_Point",IF(271=$NR$22,$NN$22,0),IF($NP$22="Bell_Curve",$NN$22*(271-$NR$22+1)*($NS$22-271+1)/$NU$22,$NN$22/$NT$22)),0)</f>
        <v/>
      </c>
      <c r="JP22" s="228">
        <f>IF(AND(272&gt;=$NR$22,272&lt;=$NS$22),IF($NP$22="Single_Point",IF(272=$NR$22,$NN$22,0),IF($NP$22="Bell_Curve",$NN$22*(272-$NR$22+1)*($NS$22-272+1)/$NU$22,$NN$22/$NT$22)),0)</f>
        <v/>
      </c>
      <c r="JQ22" s="228">
        <f>IF(AND(273&gt;=$NR$22,273&lt;=$NS$22),IF($NP$22="Single_Point",IF(273=$NR$22,$NN$22,0),IF($NP$22="Bell_Curve",$NN$22*(273-$NR$22+1)*($NS$22-273+1)/$NU$22,$NN$22/$NT$22)),0)</f>
        <v/>
      </c>
      <c r="JR22" s="228">
        <f>IF(AND(274&gt;=$NR$22,274&lt;=$NS$22),IF($NP$22="Single_Point",IF(274=$NR$22,$NN$22,0),IF($NP$22="Bell_Curve",$NN$22*(274-$NR$22+1)*($NS$22-274+1)/$NU$22,$NN$22/$NT$22)),0)</f>
        <v/>
      </c>
      <c r="JS22" s="228">
        <f>IF(AND(275&gt;=$NR$22,275&lt;=$NS$22),IF($NP$22="Single_Point",IF(275=$NR$22,$NN$22,0),IF($NP$22="Bell_Curve",$NN$22*(275-$NR$22+1)*($NS$22-275+1)/$NU$22,$NN$22/$NT$22)),0)</f>
        <v/>
      </c>
      <c r="JT22" s="228">
        <f>IF(AND(276&gt;=$NR$22,276&lt;=$NS$22),IF($NP$22="Single_Point",IF(276=$NR$22,$NN$22,0),IF($NP$22="Bell_Curve",$NN$22*(276-$NR$22+1)*($NS$22-276+1)/$NU$22,$NN$22/$NT$22)),0)</f>
        <v/>
      </c>
      <c r="JU22" s="228">
        <f>IF(AND(277&gt;=$NR$22,277&lt;=$NS$22),IF($NP$22="Single_Point",IF(277=$NR$22,$NN$22,0),IF($NP$22="Bell_Curve",$NN$22*(277-$NR$22+1)*($NS$22-277+1)/$NU$22,$NN$22/$NT$22)),0)</f>
        <v/>
      </c>
      <c r="JV22" s="228">
        <f>IF(AND(278&gt;=$NR$22,278&lt;=$NS$22),IF($NP$22="Single_Point",IF(278=$NR$22,$NN$22,0),IF($NP$22="Bell_Curve",$NN$22*(278-$NR$22+1)*($NS$22-278+1)/$NU$22,$NN$22/$NT$22)),0)</f>
        <v/>
      </c>
      <c r="JW22" s="228">
        <f>IF(AND(279&gt;=$NR$22,279&lt;=$NS$22),IF($NP$22="Single_Point",IF(279=$NR$22,$NN$22,0),IF($NP$22="Bell_Curve",$NN$22*(279-$NR$22+1)*($NS$22-279+1)/$NU$22,$NN$22/$NT$22)),0)</f>
        <v/>
      </c>
      <c r="JX22" s="228">
        <f>IF(AND(280&gt;=$NR$22,280&lt;=$NS$22),IF($NP$22="Single_Point",IF(280=$NR$22,$NN$22,0),IF($NP$22="Bell_Curve",$NN$22*(280-$NR$22+1)*($NS$22-280+1)/$NU$22,$NN$22/$NT$22)),0)</f>
        <v/>
      </c>
      <c r="JY22" s="228">
        <f>IF(AND(281&gt;=$NR$22,281&lt;=$NS$22),IF($NP$22="Single_Point",IF(281=$NR$22,$NN$22,0),IF($NP$22="Bell_Curve",$NN$22*(281-$NR$22+1)*($NS$22-281+1)/$NU$22,$NN$22/$NT$22)),0)</f>
        <v/>
      </c>
      <c r="JZ22" s="228">
        <f>IF(AND(282&gt;=$NR$22,282&lt;=$NS$22),IF($NP$22="Single_Point",IF(282=$NR$22,$NN$22,0),IF($NP$22="Bell_Curve",$NN$22*(282-$NR$22+1)*($NS$22-282+1)/$NU$22,$NN$22/$NT$22)),0)</f>
        <v/>
      </c>
      <c r="KA22" s="228">
        <f>IF(AND(283&gt;=$NR$22,283&lt;=$NS$22),IF($NP$22="Single_Point",IF(283=$NR$22,$NN$22,0),IF($NP$22="Bell_Curve",$NN$22*(283-$NR$22+1)*($NS$22-283+1)/$NU$22,$NN$22/$NT$22)),0)</f>
        <v/>
      </c>
      <c r="KB22" s="228">
        <f>IF(AND(284&gt;=$NR$22,284&lt;=$NS$22),IF($NP$22="Single_Point",IF(284=$NR$22,$NN$22,0),IF($NP$22="Bell_Curve",$NN$22*(284-$NR$22+1)*($NS$22-284+1)/$NU$22,$NN$22/$NT$22)),0)</f>
        <v/>
      </c>
      <c r="KC22" s="228">
        <f>IF(AND(285&gt;=$NR$22,285&lt;=$NS$22),IF($NP$22="Single_Point",IF(285=$NR$22,$NN$22,0),IF($NP$22="Bell_Curve",$NN$22*(285-$NR$22+1)*($NS$22-285+1)/$NU$22,$NN$22/$NT$22)),0)</f>
        <v/>
      </c>
      <c r="KD22" s="228">
        <f>IF(AND(286&gt;=$NR$22,286&lt;=$NS$22),IF($NP$22="Single_Point",IF(286=$NR$22,$NN$22,0),IF($NP$22="Bell_Curve",$NN$22*(286-$NR$22+1)*($NS$22-286+1)/$NU$22,$NN$22/$NT$22)),0)</f>
        <v/>
      </c>
      <c r="KE22" s="228">
        <f>IF(AND(287&gt;=$NR$22,287&lt;=$NS$22),IF($NP$22="Single_Point",IF(287=$NR$22,$NN$22,0),IF($NP$22="Bell_Curve",$NN$22*(287-$NR$22+1)*($NS$22-287+1)/$NU$22,$NN$22/$NT$22)),0)</f>
        <v/>
      </c>
      <c r="KF22" s="228">
        <f>IF(AND(288&gt;=$NR$22,288&lt;=$NS$22),IF($NP$22="Single_Point",IF(288=$NR$22,$NN$22,0),IF($NP$22="Bell_Curve",$NN$22*(288-$NR$22+1)*($NS$22-288+1)/$NU$22,$NN$22/$NT$22)),0)</f>
        <v/>
      </c>
      <c r="KG22" s="228">
        <f>IF(AND(289&gt;=$NR$22,289&lt;=$NS$22),IF($NP$22="Single_Point",IF(289=$NR$22,$NN$22,0),IF($NP$22="Bell_Curve",$NN$22*(289-$NR$22+1)*($NS$22-289+1)/$NU$22,$NN$22/$NT$22)),0)</f>
        <v/>
      </c>
      <c r="KH22" s="228">
        <f>IF(AND(290&gt;=$NR$22,290&lt;=$NS$22),IF($NP$22="Single_Point",IF(290=$NR$22,$NN$22,0),IF($NP$22="Bell_Curve",$NN$22*(290-$NR$22+1)*($NS$22-290+1)/$NU$22,$NN$22/$NT$22)),0)</f>
        <v/>
      </c>
      <c r="KI22" s="228">
        <f>IF(AND(291&gt;=$NR$22,291&lt;=$NS$22),IF($NP$22="Single_Point",IF(291=$NR$22,$NN$22,0),IF($NP$22="Bell_Curve",$NN$22*(291-$NR$22+1)*($NS$22-291+1)/$NU$22,$NN$22/$NT$22)),0)</f>
        <v/>
      </c>
      <c r="KJ22" s="228">
        <f>IF(AND(292&gt;=$NR$22,292&lt;=$NS$22),IF($NP$22="Single_Point",IF(292=$NR$22,$NN$22,0),IF($NP$22="Bell_Curve",$NN$22*(292-$NR$22+1)*($NS$22-292+1)/$NU$22,$NN$22/$NT$22)),0)</f>
        <v/>
      </c>
      <c r="KK22" s="228">
        <f>IF(AND(293&gt;=$NR$22,293&lt;=$NS$22),IF($NP$22="Single_Point",IF(293=$NR$22,$NN$22,0),IF($NP$22="Bell_Curve",$NN$22*(293-$NR$22+1)*($NS$22-293+1)/$NU$22,$NN$22/$NT$22)),0)</f>
        <v/>
      </c>
      <c r="KL22" s="228">
        <f>IF(AND(294&gt;=$NR$22,294&lt;=$NS$22),IF($NP$22="Single_Point",IF(294=$NR$22,$NN$22,0),IF($NP$22="Bell_Curve",$NN$22*(294-$NR$22+1)*($NS$22-294+1)/$NU$22,$NN$22/$NT$22)),0)</f>
        <v/>
      </c>
      <c r="KM22" s="228">
        <f>IF(AND(295&gt;=$NR$22,295&lt;=$NS$22),IF($NP$22="Single_Point",IF(295=$NR$22,$NN$22,0),IF($NP$22="Bell_Curve",$NN$22*(295-$NR$22+1)*($NS$22-295+1)/$NU$22,$NN$22/$NT$22)),0)</f>
        <v/>
      </c>
      <c r="KN22" s="228">
        <f>IF(AND(296&gt;=$NR$22,296&lt;=$NS$22),IF($NP$22="Single_Point",IF(296=$NR$22,$NN$22,0),IF($NP$22="Bell_Curve",$NN$22*(296-$NR$22+1)*($NS$22-296+1)/$NU$22,$NN$22/$NT$22)),0)</f>
        <v/>
      </c>
      <c r="KO22" s="228">
        <f>IF(AND(297&gt;=$NR$22,297&lt;=$NS$22),IF($NP$22="Single_Point",IF(297=$NR$22,$NN$22,0),IF($NP$22="Bell_Curve",$NN$22*(297-$NR$22+1)*($NS$22-297+1)/$NU$22,$NN$22/$NT$22)),0)</f>
        <v/>
      </c>
      <c r="KP22" s="228">
        <f>IF(AND(298&gt;=$NR$22,298&lt;=$NS$22),IF($NP$22="Single_Point",IF(298=$NR$22,$NN$22,0),IF($NP$22="Bell_Curve",$NN$22*(298-$NR$22+1)*($NS$22-298+1)/$NU$22,$NN$22/$NT$22)),0)</f>
        <v/>
      </c>
      <c r="KQ22" s="228">
        <f>IF(AND(299&gt;=$NR$22,299&lt;=$NS$22),IF($NP$22="Single_Point",IF(299=$NR$22,$NN$22,0),IF($NP$22="Bell_Curve",$NN$22*(299-$NR$22+1)*($NS$22-299+1)/$NU$22,$NN$22/$NT$22)),0)</f>
        <v/>
      </c>
      <c r="KR22" s="228">
        <f>IF(AND(300&gt;=$NR$22,300&lt;=$NS$22),IF($NP$22="Single_Point",IF(300=$NR$22,$NN$22,0),IF($NP$22="Bell_Curve",$NN$22*(300-$NR$22+1)*($NS$22-300+1)/$NU$22,$NN$22/$NT$22)),0)</f>
        <v/>
      </c>
      <c r="KS22" s="228">
        <f>IF(AND(301&gt;=$NR$22,301&lt;=$NS$22),IF($NP$22="Single_Point",IF(301=$NR$22,$NN$22,0),IF($NP$22="Bell_Curve",$NN$22*(301-$NR$22+1)*($NS$22-301+1)/$NU$22,$NN$22/$NT$22)),0)</f>
        <v/>
      </c>
      <c r="KT22" s="228">
        <f>IF(AND(302&gt;=$NR$22,302&lt;=$NS$22),IF($NP$22="Single_Point",IF(302=$NR$22,$NN$22,0),IF($NP$22="Bell_Curve",$NN$22*(302-$NR$22+1)*($NS$22-302+1)/$NU$22,$NN$22/$NT$22)),0)</f>
        <v/>
      </c>
      <c r="KU22" s="228">
        <f>IF(AND(303&gt;=$NR$22,303&lt;=$NS$22),IF($NP$22="Single_Point",IF(303=$NR$22,$NN$22,0),IF($NP$22="Bell_Curve",$NN$22*(303-$NR$22+1)*($NS$22-303+1)/$NU$22,$NN$22/$NT$22)),0)</f>
        <v/>
      </c>
      <c r="KV22" s="228">
        <f>IF(AND(304&gt;=$NR$22,304&lt;=$NS$22),IF($NP$22="Single_Point",IF(304=$NR$22,$NN$22,0),IF($NP$22="Bell_Curve",$NN$22*(304-$NR$22+1)*($NS$22-304+1)/$NU$22,$NN$22/$NT$22)),0)</f>
        <v/>
      </c>
      <c r="KW22" s="228">
        <f>IF(AND(305&gt;=$NR$22,305&lt;=$NS$22),IF($NP$22="Single_Point",IF(305=$NR$22,$NN$22,0),IF($NP$22="Bell_Curve",$NN$22*(305-$NR$22+1)*($NS$22-305+1)/$NU$22,$NN$22/$NT$22)),0)</f>
        <v/>
      </c>
      <c r="KX22" s="228">
        <f>IF(AND(306&gt;=$NR$22,306&lt;=$NS$22),IF($NP$22="Single_Point",IF(306=$NR$22,$NN$22,0),IF($NP$22="Bell_Curve",$NN$22*(306-$NR$22+1)*($NS$22-306+1)/$NU$22,$NN$22/$NT$22)),0)</f>
        <v/>
      </c>
      <c r="KY22" s="228">
        <f>IF(AND(307&gt;=$NR$22,307&lt;=$NS$22),IF($NP$22="Single_Point",IF(307=$NR$22,$NN$22,0),IF($NP$22="Bell_Curve",$NN$22*(307-$NR$22+1)*($NS$22-307+1)/$NU$22,$NN$22/$NT$22)),0)</f>
        <v/>
      </c>
      <c r="KZ22" s="228">
        <f>IF(AND(308&gt;=$NR$22,308&lt;=$NS$22),IF($NP$22="Single_Point",IF(308=$NR$22,$NN$22,0),IF($NP$22="Bell_Curve",$NN$22*(308-$NR$22+1)*($NS$22-308+1)/$NU$22,$NN$22/$NT$22)),0)</f>
        <v/>
      </c>
      <c r="LA22" s="228">
        <f>IF(AND(309&gt;=$NR$22,309&lt;=$NS$22),IF($NP$22="Single_Point",IF(309=$NR$22,$NN$22,0),IF($NP$22="Bell_Curve",$NN$22*(309-$NR$22+1)*($NS$22-309+1)/$NU$22,$NN$22/$NT$22)),0)</f>
        <v/>
      </c>
      <c r="LB22" s="228">
        <f>IF(AND(310&gt;=$NR$22,310&lt;=$NS$22),IF($NP$22="Single_Point",IF(310=$NR$22,$NN$22,0),IF($NP$22="Bell_Curve",$NN$22*(310-$NR$22+1)*($NS$22-310+1)/$NU$22,$NN$22/$NT$22)),0)</f>
        <v/>
      </c>
      <c r="LC22" s="228">
        <f>IF(AND(311&gt;=$NR$22,311&lt;=$NS$22),IF($NP$22="Single_Point",IF(311=$NR$22,$NN$22,0),IF($NP$22="Bell_Curve",$NN$22*(311-$NR$22+1)*($NS$22-311+1)/$NU$22,$NN$22/$NT$22)),0)</f>
        <v/>
      </c>
      <c r="LD22" s="228">
        <f>IF(AND(312&gt;=$NR$22,312&lt;=$NS$22),IF($NP$22="Single_Point",IF(312=$NR$22,$NN$22,0),IF($NP$22="Bell_Curve",$NN$22*(312-$NR$22+1)*($NS$22-312+1)/$NU$22,$NN$22/$NT$22)),0)</f>
        <v/>
      </c>
      <c r="LE22" s="228">
        <f>IF(AND(313&gt;=$NR$22,313&lt;=$NS$22),IF($NP$22="Single_Point",IF(313=$NR$22,$NN$22,0),IF($NP$22="Bell_Curve",$NN$22*(313-$NR$22+1)*($NS$22-313+1)/$NU$22,$NN$22/$NT$22)),0)</f>
        <v/>
      </c>
      <c r="LF22" s="228">
        <f>IF(AND(314&gt;=$NR$22,314&lt;=$NS$22),IF($NP$22="Single_Point",IF(314=$NR$22,$NN$22,0),IF($NP$22="Bell_Curve",$NN$22*(314-$NR$22+1)*($NS$22-314+1)/$NU$22,$NN$22/$NT$22)),0)</f>
        <v/>
      </c>
      <c r="LG22" s="228">
        <f>IF(AND(315&gt;=$NR$22,315&lt;=$NS$22),IF($NP$22="Single_Point",IF(315=$NR$22,$NN$22,0),IF($NP$22="Bell_Curve",$NN$22*(315-$NR$22+1)*($NS$22-315+1)/$NU$22,$NN$22/$NT$22)),0)</f>
        <v/>
      </c>
      <c r="LH22" s="228">
        <f>IF(AND(316&gt;=$NR$22,316&lt;=$NS$22),IF($NP$22="Single_Point",IF(316=$NR$22,$NN$22,0),IF($NP$22="Bell_Curve",$NN$22*(316-$NR$22+1)*($NS$22-316+1)/$NU$22,$NN$22/$NT$22)),0)</f>
        <v/>
      </c>
      <c r="LI22" s="228">
        <f>IF(AND(317&gt;=$NR$22,317&lt;=$NS$22),IF($NP$22="Single_Point",IF(317=$NR$22,$NN$22,0),IF($NP$22="Bell_Curve",$NN$22*(317-$NR$22+1)*($NS$22-317+1)/$NU$22,$NN$22/$NT$22)),0)</f>
        <v/>
      </c>
      <c r="LJ22" s="228">
        <f>IF(AND(318&gt;=$NR$22,318&lt;=$NS$22),IF($NP$22="Single_Point",IF(318=$NR$22,$NN$22,0),IF($NP$22="Bell_Curve",$NN$22*(318-$NR$22+1)*($NS$22-318+1)/$NU$22,$NN$22/$NT$22)),0)</f>
        <v/>
      </c>
      <c r="LK22" s="228">
        <f>IF(AND(319&gt;=$NR$22,319&lt;=$NS$22),IF($NP$22="Single_Point",IF(319=$NR$22,$NN$22,0),IF($NP$22="Bell_Curve",$NN$22*(319-$NR$22+1)*($NS$22-319+1)/$NU$22,$NN$22/$NT$22)),0)</f>
        <v/>
      </c>
      <c r="LL22" s="228">
        <f>IF(AND(320&gt;=$NR$22,320&lt;=$NS$22),IF($NP$22="Single_Point",IF(320=$NR$22,$NN$22,0),IF($NP$22="Bell_Curve",$NN$22*(320-$NR$22+1)*($NS$22-320+1)/$NU$22,$NN$22/$NT$22)),0)</f>
        <v/>
      </c>
      <c r="LM22" s="228">
        <f>IF(AND(321&gt;=$NR$22,321&lt;=$NS$22),IF($NP$22="Single_Point",IF(321=$NR$22,$NN$22,0),IF($NP$22="Bell_Curve",$NN$22*(321-$NR$22+1)*($NS$22-321+1)/$NU$22,$NN$22/$NT$22)),0)</f>
        <v/>
      </c>
      <c r="LN22" s="228">
        <f>IF(AND(322&gt;=$NR$22,322&lt;=$NS$22),IF($NP$22="Single_Point",IF(322=$NR$22,$NN$22,0),IF($NP$22="Bell_Curve",$NN$22*(322-$NR$22+1)*($NS$22-322+1)/$NU$22,$NN$22/$NT$22)),0)</f>
        <v/>
      </c>
      <c r="LO22" s="228">
        <f>IF(AND(323&gt;=$NR$22,323&lt;=$NS$22),IF($NP$22="Single_Point",IF(323=$NR$22,$NN$22,0),IF($NP$22="Bell_Curve",$NN$22*(323-$NR$22+1)*($NS$22-323+1)/$NU$22,$NN$22/$NT$22)),0)</f>
        <v/>
      </c>
      <c r="LP22" s="228">
        <f>IF(AND(324&gt;=$NR$22,324&lt;=$NS$22),IF($NP$22="Single_Point",IF(324=$NR$22,$NN$22,0),IF($NP$22="Bell_Curve",$NN$22*(324-$NR$22+1)*($NS$22-324+1)/$NU$22,$NN$22/$NT$22)),0)</f>
        <v/>
      </c>
      <c r="LQ22" s="228">
        <f>IF(AND(325&gt;=$NR$22,325&lt;=$NS$22),IF($NP$22="Single_Point",IF(325=$NR$22,$NN$22,0),IF($NP$22="Bell_Curve",$NN$22*(325-$NR$22+1)*($NS$22-325+1)/$NU$22,$NN$22/$NT$22)),0)</f>
        <v/>
      </c>
      <c r="LR22" s="228">
        <f>IF(AND(326&gt;=$NR$22,326&lt;=$NS$22),IF($NP$22="Single_Point",IF(326=$NR$22,$NN$22,0),IF($NP$22="Bell_Curve",$NN$22*(326-$NR$22+1)*($NS$22-326+1)/$NU$22,$NN$22/$NT$22)),0)</f>
        <v/>
      </c>
      <c r="LS22" s="228">
        <f>IF(AND(327&gt;=$NR$22,327&lt;=$NS$22),IF($NP$22="Single_Point",IF(327=$NR$22,$NN$22,0),IF($NP$22="Bell_Curve",$NN$22*(327-$NR$22+1)*($NS$22-327+1)/$NU$22,$NN$22/$NT$22)),0)</f>
        <v/>
      </c>
      <c r="LT22" s="228">
        <f>IF(AND(328&gt;=$NR$22,328&lt;=$NS$22),IF($NP$22="Single_Point",IF(328=$NR$22,$NN$22,0),IF($NP$22="Bell_Curve",$NN$22*(328-$NR$22+1)*($NS$22-328+1)/$NU$22,$NN$22/$NT$22)),0)</f>
        <v/>
      </c>
      <c r="LU22" s="228">
        <f>IF(AND(329&gt;=$NR$22,329&lt;=$NS$22),IF($NP$22="Single_Point",IF(329=$NR$22,$NN$22,0),IF($NP$22="Bell_Curve",$NN$22*(329-$NR$22+1)*($NS$22-329+1)/$NU$22,$NN$22/$NT$22)),0)</f>
        <v/>
      </c>
      <c r="LV22" s="228">
        <f>IF(AND(330&gt;=$NR$22,330&lt;=$NS$22),IF($NP$22="Single_Point",IF(330=$NR$22,$NN$22,0),IF($NP$22="Bell_Curve",$NN$22*(330-$NR$22+1)*($NS$22-330+1)/$NU$22,$NN$22/$NT$22)),0)</f>
        <v/>
      </c>
      <c r="LW22" s="228">
        <f>IF(AND(331&gt;=$NR$22,331&lt;=$NS$22),IF($NP$22="Single_Point",IF(331=$NR$22,$NN$22,0),IF($NP$22="Bell_Curve",$NN$22*(331-$NR$22+1)*($NS$22-331+1)/$NU$22,$NN$22/$NT$22)),0)</f>
        <v/>
      </c>
      <c r="LX22" s="228">
        <f>IF(AND(332&gt;=$NR$22,332&lt;=$NS$22),IF($NP$22="Single_Point",IF(332=$NR$22,$NN$22,0),IF($NP$22="Bell_Curve",$NN$22*(332-$NR$22+1)*($NS$22-332+1)/$NU$22,$NN$22/$NT$22)),0)</f>
        <v/>
      </c>
      <c r="LY22" s="228">
        <f>IF(AND(333&gt;=$NR$22,333&lt;=$NS$22),IF($NP$22="Single_Point",IF(333=$NR$22,$NN$22,0),IF($NP$22="Bell_Curve",$NN$22*(333-$NR$22+1)*($NS$22-333+1)/$NU$22,$NN$22/$NT$22)),0)</f>
        <v/>
      </c>
      <c r="LZ22" s="228">
        <f>IF(AND(334&gt;=$NR$22,334&lt;=$NS$22),IF($NP$22="Single_Point",IF(334=$NR$22,$NN$22,0),IF($NP$22="Bell_Curve",$NN$22*(334-$NR$22+1)*($NS$22-334+1)/$NU$22,$NN$22/$NT$22)),0)</f>
        <v/>
      </c>
      <c r="MA22" s="228">
        <f>IF(AND(335&gt;=$NR$22,335&lt;=$NS$22),IF($NP$22="Single_Point",IF(335=$NR$22,$NN$22,0),IF($NP$22="Bell_Curve",$NN$22*(335-$NR$22+1)*($NS$22-335+1)/$NU$22,$NN$22/$NT$22)),0)</f>
        <v/>
      </c>
      <c r="MB22" s="228">
        <f>IF(AND(336&gt;=$NR$22,336&lt;=$NS$22),IF($NP$22="Single_Point",IF(336=$NR$22,$NN$22,0),IF($NP$22="Bell_Curve",$NN$22*(336-$NR$22+1)*($NS$22-336+1)/$NU$22,$NN$22/$NT$22)),0)</f>
        <v/>
      </c>
      <c r="MC22" s="228">
        <f>IF(AND(337&gt;=$NR$22,337&lt;=$NS$22),IF($NP$22="Single_Point",IF(337=$NR$22,$NN$22,0),IF($NP$22="Bell_Curve",$NN$22*(337-$NR$22+1)*($NS$22-337+1)/$NU$22,$NN$22/$NT$22)),0)</f>
        <v/>
      </c>
      <c r="MD22" s="228">
        <f>IF(AND(338&gt;=$NR$22,338&lt;=$NS$22),IF($NP$22="Single_Point",IF(338=$NR$22,$NN$22,0),IF($NP$22="Bell_Curve",$NN$22*(338-$NR$22+1)*($NS$22-338+1)/$NU$22,$NN$22/$NT$22)),0)</f>
        <v/>
      </c>
      <c r="ME22" s="228">
        <f>IF(AND(339&gt;=$NR$22,339&lt;=$NS$22),IF($NP$22="Single_Point",IF(339=$NR$22,$NN$22,0),IF($NP$22="Bell_Curve",$NN$22*(339-$NR$22+1)*($NS$22-339+1)/$NU$22,$NN$22/$NT$22)),0)</f>
        <v/>
      </c>
      <c r="MF22" s="228">
        <f>IF(AND(340&gt;=$NR$22,340&lt;=$NS$22),IF($NP$22="Single_Point",IF(340=$NR$22,$NN$22,0),IF($NP$22="Bell_Curve",$NN$22*(340-$NR$22+1)*($NS$22-340+1)/$NU$22,$NN$22/$NT$22)),0)</f>
        <v/>
      </c>
      <c r="MG22" s="228">
        <f>IF(AND(341&gt;=$NR$22,341&lt;=$NS$22),IF($NP$22="Single_Point",IF(341=$NR$22,$NN$22,0),IF($NP$22="Bell_Curve",$NN$22*(341-$NR$22+1)*($NS$22-341+1)/$NU$22,$NN$22/$NT$22)),0)</f>
        <v/>
      </c>
      <c r="MH22" s="228">
        <f>IF(AND(342&gt;=$NR$22,342&lt;=$NS$22),IF($NP$22="Single_Point",IF(342=$NR$22,$NN$22,0),IF($NP$22="Bell_Curve",$NN$22*(342-$NR$22+1)*($NS$22-342+1)/$NU$22,$NN$22/$NT$22)),0)</f>
        <v/>
      </c>
      <c r="MI22" s="228">
        <f>IF(AND(343&gt;=$NR$22,343&lt;=$NS$22),IF($NP$22="Single_Point",IF(343=$NR$22,$NN$22,0),IF($NP$22="Bell_Curve",$NN$22*(343-$NR$22+1)*($NS$22-343+1)/$NU$22,$NN$22/$NT$22)),0)</f>
        <v/>
      </c>
      <c r="MJ22" s="228">
        <f>IF(AND(344&gt;=$NR$22,344&lt;=$NS$22),IF($NP$22="Single_Point",IF(344=$NR$22,$NN$22,0),IF($NP$22="Bell_Curve",$NN$22*(344-$NR$22+1)*($NS$22-344+1)/$NU$22,$NN$22/$NT$22)),0)</f>
        <v/>
      </c>
      <c r="MK22" s="228">
        <f>IF(AND(345&gt;=$NR$22,345&lt;=$NS$22),IF($NP$22="Single_Point",IF(345=$NR$22,$NN$22,0),IF($NP$22="Bell_Curve",$NN$22*(345-$NR$22+1)*($NS$22-345+1)/$NU$22,$NN$22/$NT$22)),0)</f>
        <v/>
      </c>
      <c r="ML22" s="228">
        <f>IF(AND(346&gt;=$NR$22,346&lt;=$NS$22),IF($NP$22="Single_Point",IF(346=$NR$22,$NN$22,0),IF($NP$22="Bell_Curve",$NN$22*(346-$NR$22+1)*($NS$22-346+1)/$NU$22,$NN$22/$NT$22)),0)</f>
        <v/>
      </c>
      <c r="MM22" s="228">
        <f>IF(AND(347&gt;=$NR$22,347&lt;=$NS$22),IF($NP$22="Single_Point",IF(347=$NR$22,$NN$22,0),IF($NP$22="Bell_Curve",$NN$22*(347-$NR$22+1)*($NS$22-347+1)/$NU$22,$NN$22/$NT$22)),0)</f>
        <v/>
      </c>
      <c r="MN22" s="228">
        <f>IF(AND(348&gt;=$NR$22,348&lt;=$NS$22),IF($NP$22="Single_Point",IF(348=$NR$22,$NN$22,0),IF($NP$22="Bell_Curve",$NN$22*(348-$NR$22+1)*($NS$22-348+1)/$NU$22,$NN$22/$NT$22)),0)</f>
        <v/>
      </c>
      <c r="MO22" s="228">
        <f>IF(AND(349&gt;=$NR$22,349&lt;=$NS$22),IF($NP$22="Single_Point",IF(349=$NR$22,$NN$22,0),IF($NP$22="Bell_Curve",$NN$22*(349-$NR$22+1)*($NS$22-349+1)/$NU$22,$NN$22/$NT$22)),0)</f>
        <v/>
      </c>
      <c r="MP22" s="228">
        <f>IF(AND(350&gt;=$NR$22,350&lt;=$NS$22),IF($NP$22="Single_Point",IF(350=$NR$22,$NN$22,0),IF($NP$22="Bell_Curve",$NN$22*(350-$NR$22+1)*($NS$22-350+1)/$NU$22,$NN$22/$NT$22)),0)</f>
        <v/>
      </c>
      <c r="MQ22" s="228">
        <f>IF(AND(351&gt;=$NR$22,351&lt;=$NS$22),IF($NP$22="Single_Point",IF(351=$NR$22,$NN$22,0),IF($NP$22="Bell_Curve",$NN$22*(351-$NR$22+1)*($NS$22-351+1)/$NU$22,$NN$22/$NT$22)),0)</f>
        <v/>
      </c>
      <c r="MR22" s="228">
        <f>IF(AND(352&gt;=$NR$22,352&lt;=$NS$22),IF($NP$22="Single_Point",IF(352=$NR$22,$NN$22,0),IF($NP$22="Bell_Curve",$NN$22*(352-$NR$22+1)*($NS$22-352+1)/$NU$22,$NN$22/$NT$22)),0)</f>
        <v/>
      </c>
      <c r="MS22" s="228">
        <f>IF(AND(353&gt;=$NR$22,353&lt;=$NS$22),IF($NP$22="Single_Point",IF(353=$NR$22,$NN$22,0),IF($NP$22="Bell_Curve",$NN$22*(353-$NR$22+1)*($NS$22-353+1)/$NU$22,$NN$22/$NT$22)),0)</f>
        <v/>
      </c>
      <c r="MT22" s="228">
        <f>IF(AND(354&gt;=$NR$22,354&lt;=$NS$22),IF($NP$22="Single_Point",IF(354=$NR$22,$NN$22,0),IF($NP$22="Bell_Curve",$NN$22*(354-$NR$22+1)*($NS$22-354+1)/$NU$22,$NN$22/$NT$22)),0)</f>
        <v/>
      </c>
      <c r="MU22" s="228">
        <f>IF(AND(355&gt;=$NR$22,355&lt;=$NS$22),IF($NP$22="Single_Point",IF(355=$NR$22,$NN$22,0),IF($NP$22="Bell_Curve",$NN$22*(355-$NR$22+1)*($NS$22-355+1)/$NU$22,$NN$22/$NT$22)),0)</f>
        <v/>
      </c>
      <c r="MV22" s="228">
        <f>IF(AND(356&gt;=$NR$22,356&lt;=$NS$22),IF($NP$22="Single_Point",IF(356=$NR$22,$NN$22,0),IF($NP$22="Bell_Curve",$NN$22*(356-$NR$22+1)*($NS$22-356+1)/$NU$22,$NN$22/$NT$22)),0)</f>
        <v/>
      </c>
      <c r="MW22" s="228">
        <f>IF(AND(357&gt;=$NR$22,357&lt;=$NS$22),IF($NP$22="Single_Point",IF(357=$NR$22,$NN$22,0),IF($NP$22="Bell_Curve",$NN$22*(357-$NR$22+1)*($NS$22-357+1)/$NU$22,$NN$22/$NT$22)),0)</f>
        <v/>
      </c>
      <c r="MX22" s="228">
        <f>IF(AND(358&gt;=$NR$22,358&lt;=$NS$22),IF($NP$22="Single_Point",IF(358=$NR$22,$NN$22,0),IF($NP$22="Bell_Curve",$NN$22*(358-$NR$22+1)*($NS$22-358+1)/$NU$22,$NN$22/$NT$22)),0)</f>
        <v/>
      </c>
      <c r="MY22" s="228">
        <f>IF(AND(359&gt;=$NR$22,359&lt;=$NS$22),IF($NP$22="Single_Point",IF(359=$NR$22,$NN$22,0),IF($NP$22="Bell_Curve",$NN$22*(359-$NR$22+1)*($NS$22-359+1)/$NU$22,$NN$22/$NT$22)),0)</f>
        <v/>
      </c>
      <c r="MZ22" s="228">
        <f>IF(AND(360&gt;=$NR$22,360&lt;=$NS$22),IF($NP$22="Single_Point",IF(360=$NR$22,$NN$22,0),IF($NP$22="Bell_Curve",$NN$22*(360-$NR$22+1)*($NS$22-360+1)/$NU$22,$NN$22/$NT$22)),0)</f>
        <v/>
      </c>
      <c r="NA22" s="228">
        <f>IF(AND(361&gt;=$NR$22,361&lt;=$NS$22),IF($NP$22="Single_Point",IF(361=$NR$22,$NN$22,0),IF($NP$22="Bell_Curve",$NN$22*(361-$NR$22+1)*($NS$22-361+1)/$NU$22,$NN$22/$NT$22)),0)</f>
        <v/>
      </c>
      <c r="NB22" s="228">
        <f>IF(AND(362&gt;=$NR$22,362&lt;=$NS$22),IF($NP$22="Single_Point",IF(362=$NR$22,$NN$22,0),IF($NP$22="Bell_Curve",$NN$22*(362-$NR$22+1)*($NS$22-362+1)/$NU$22,$NN$22/$NT$22)),0)</f>
        <v/>
      </c>
      <c r="NC22" s="228">
        <f>IF(AND(363&gt;=$NR$22,363&lt;=$NS$22),IF($NP$22="Single_Point",IF(363=$NR$22,$NN$22,0),IF($NP$22="Bell_Curve",$NN$22*(363-$NR$22+1)*($NS$22-363+1)/$NU$22,$NN$22/$NT$22)),0)</f>
        <v/>
      </c>
      <c r="ND22" s="228">
        <f>IF(AND(364&gt;=$NR$22,364&lt;=$NS$22),IF($NP$22="Single_Point",IF(364=$NR$22,$NN$22,0),IF($NP$22="Bell_Curve",$NN$22*(364-$NR$22+1)*($NS$22-364+1)/$NU$22,$NN$22/$NT$22)),0)</f>
        <v/>
      </c>
      <c r="NE22" s="228">
        <f>IF(AND(365&gt;=$NR$22,365&lt;=$NS$22),IF($NP$22="Single_Point",IF(365=$NR$22,$NN$22,0),IF($NP$22="Bell_Curve",$NN$22*(365-$NR$22+1)*($NS$22-365+1)/$NU$22,$NN$22/$NT$22)),0)</f>
        <v/>
      </c>
      <c r="NF22" s="228">
        <f>IF(AND(366&gt;=$NR$22,366&lt;=$NS$22),IF($NP$22="Single_Point",IF(366=$NR$22,$NN$22,0),IF($NP$22="Bell_Curve",$NN$22*(366-$NR$22+1)*($NS$22-366+1)/$NU$22,$NN$22/$NT$22)),0)</f>
        <v/>
      </c>
      <c r="NG22" s="228">
        <f>IF(AND(367&gt;=$NR$22,367&lt;=$NS$22),IF($NP$22="Single_Point",IF(367=$NR$22,$NN$22,0),IF($NP$22="Bell_Curve",$NN$22*(367-$NR$22+1)*($NS$22-367+1)/$NU$22,$NN$22/$NT$22)),0)</f>
        <v/>
      </c>
      <c r="NH22" s="228">
        <f>IF(AND(368&gt;=$NR$22,368&lt;=$NS$22),IF($NP$22="Single_Point",IF(368=$NR$22,$NN$22,0),IF($NP$22="Bell_Curve",$NN$22*(368-$NR$22+1)*($NS$22-368+1)/$NU$22,$NN$22/$NT$22)),0)</f>
        <v/>
      </c>
      <c r="NI22" s="228">
        <f>IF(AND(369&gt;=$NR$22,369&lt;=$NS$22),IF($NP$22="Single_Point",IF(369=$NR$22,$NN$22,0),IF($NP$22="Bell_Curve",$NN$22*(369-$NR$22+1)*($NS$22-369+1)/$NU$22,$NN$22/$NT$22)),0)</f>
        <v/>
      </c>
      <c r="NJ22" s="228">
        <f>IF(AND(370&gt;=$NR$22,370&lt;=$NS$22),IF($NP$22="Single_Point",IF(370=$NR$22,$NN$22,0),IF($NP$22="Bell_Curve",$NN$22*(370-$NR$22+1)*($NS$22-370+1)/$NU$22,$NN$22/$NT$22)),0)</f>
        <v/>
      </c>
      <c r="NK22" s="228">
        <f>IF(AND(371&gt;=$NR$22,371&lt;=$NS$22),IF($NP$22="Single_Point",IF(371=$NR$22,$NN$22,0),IF($NP$22="Bell_Curve",$NN$22*(371-$NR$22+1)*($NS$22-371+1)/$NU$22,$NN$22/$NT$22)),0)</f>
        <v/>
      </c>
      <c r="NL22" s="247">
        <f>IF(AND(372&gt;=$NR$22,372&lt;=$NS$22),IF($NP$22="Single_Point",IF(372=$NR$22,$NN$22,0),IF($NP$22="Bell_Curve",$NN$22*(372-$NR$22+1)*($NS$22-372+1)/$NU$22,$NN$22/$NT$22)),0)</f>
        <v/>
      </c>
      <c r="NN22" s="218">
        <f>Budget!J21</f>
        <v/>
      </c>
      <c r="NO22" s="144">
        <f>Budget!G21</f>
        <v/>
      </c>
      <c r="NP22" s="144">
        <f>Budget!H21</f>
        <v/>
      </c>
      <c r="NQ22" s="85">
        <f>Budget!I21</f>
        <v/>
      </c>
      <c r="NR22" s="248">
        <f>MAX(1,MIN(372,INDEX(MilestoneStart,MATCH(NO22,MilestoneNames,0))+NQ22))</f>
        <v/>
      </c>
      <c r="NS22" s="248">
        <f>MAX(NR22,MIN(372,INDEX(MilestoneEnd,MATCH(NO22,MilestoneNames,0))+NQ22))</f>
        <v/>
      </c>
      <c r="NT22" s="85">
        <f>NS22-NR22+1</f>
        <v/>
      </c>
      <c r="NU22" s="85">
        <f>NT22*(NT22+1)*(NT22+2)/6</f>
        <v/>
      </c>
    </row>
    <row r="23">
      <c r="B23" s="36" t="inlineStr">
        <is>
          <t>Other Soft Cost 3 - Testing</t>
        </is>
      </c>
      <c r="D23" s="246">
        <f>SUM(E23:NL23)</f>
        <v/>
      </c>
      <c r="E23" s="228">
        <f>IF(AND(1&gt;=$NR$23,1&lt;=$NS$23),IF($NP$23="Single_Point",IF(1=$NR$23,$NN$23,0),IF($NP$23="Bell_Curve",$NN$23*(1-$NR$23+1)*($NS$23-1+1)/$NU$23,$NN$23/$NT$23)),0)</f>
        <v/>
      </c>
      <c r="F23" s="228">
        <f>IF(AND(2&gt;=$NR$23,2&lt;=$NS$23),IF($NP$23="Single_Point",IF(2=$NR$23,$NN$23,0),IF($NP$23="Bell_Curve",$NN$23*(2-$NR$23+1)*($NS$23-2+1)/$NU$23,$NN$23/$NT$23)),0)</f>
        <v/>
      </c>
      <c r="G23" s="228">
        <f>IF(AND(3&gt;=$NR$23,3&lt;=$NS$23),IF($NP$23="Single_Point",IF(3=$NR$23,$NN$23,0),IF($NP$23="Bell_Curve",$NN$23*(3-$NR$23+1)*($NS$23-3+1)/$NU$23,$NN$23/$NT$23)),0)</f>
        <v/>
      </c>
      <c r="H23" s="228">
        <f>IF(AND(4&gt;=$NR$23,4&lt;=$NS$23),IF($NP$23="Single_Point",IF(4=$NR$23,$NN$23,0),IF($NP$23="Bell_Curve",$NN$23*(4-$NR$23+1)*($NS$23-4+1)/$NU$23,$NN$23/$NT$23)),0)</f>
        <v/>
      </c>
      <c r="I23" s="228">
        <f>IF(AND(5&gt;=$NR$23,5&lt;=$NS$23),IF($NP$23="Single_Point",IF(5=$NR$23,$NN$23,0),IF($NP$23="Bell_Curve",$NN$23*(5-$NR$23+1)*($NS$23-5+1)/$NU$23,$NN$23/$NT$23)),0)</f>
        <v/>
      </c>
      <c r="J23" s="228">
        <f>IF(AND(6&gt;=$NR$23,6&lt;=$NS$23),IF($NP$23="Single_Point",IF(6=$NR$23,$NN$23,0),IF($NP$23="Bell_Curve",$NN$23*(6-$NR$23+1)*($NS$23-6+1)/$NU$23,$NN$23/$NT$23)),0)</f>
        <v/>
      </c>
      <c r="K23" s="228">
        <f>IF(AND(7&gt;=$NR$23,7&lt;=$NS$23),IF($NP$23="Single_Point",IF(7=$NR$23,$NN$23,0),IF($NP$23="Bell_Curve",$NN$23*(7-$NR$23+1)*($NS$23-7+1)/$NU$23,$NN$23/$NT$23)),0)</f>
        <v/>
      </c>
      <c r="L23" s="228">
        <f>IF(AND(8&gt;=$NR$23,8&lt;=$NS$23),IF($NP$23="Single_Point",IF(8=$NR$23,$NN$23,0),IF($NP$23="Bell_Curve",$NN$23*(8-$NR$23+1)*($NS$23-8+1)/$NU$23,$NN$23/$NT$23)),0)</f>
        <v/>
      </c>
      <c r="M23" s="228">
        <f>IF(AND(9&gt;=$NR$23,9&lt;=$NS$23),IF($NP$23="Single_Point",IF(9=$NR$23,$NN$23,0),IF($NP$23="Bell_Curve",$NN$23*(9-$NR$23+1)*($NS$23-9+1)/$NU$23,$NN$23/$NT$23)),0)</f>
        <v/>
      </c>
      <c r="N23" s="228">
        <f>IF(AND(10&gt;=$NR$23,10&lt;=$NS$23),IF($NP$23="Single_Point",IF(10=$NR$23,$NN$23,0),IF($NP$23="Bell_Curve",$NN$23*(10-$NR$23+1)*($NS$23-10+1)/$NU$23,$NN$23/$NT$23)),0)</f>
        <v/>
      </c>
      <c r="O23" s="228">
        <f>IF(AND(11&gt;=$NR$23,11&lt;=$NS$23),IF($NP$23="Single_Point",IF(11=$NR$23,$NN$23,0),IF($NP$23="Bell_Curve",$NN$23*(11-$NR$23+1)*($NS$23-11+1)/$NU$23,$NN$23/$NT$23)),0)</f>
        <v/>
      </c>
      <c r="P23" s="228">
        <f>IF(AND(12&gt;=$NR$23,12&lt;=$NS$23),IF($NP$23="Single_Point",IF(12=$NR$23,$NN$23,0),IF($NP$23="Bell_Curve",$NN$23*(12-$NR$23+1)*($NS$23-12+1)/$NU$23,$NN$23/$NT$23)),0)</f>
        <v/>
      </c>
      <c r="Q23" s="228">
        <f>IF(AND(13&gt;=$NR$23,13&lt;=$NS$23),IF($NP$23="Single_Point",IF(13=$NR$23,$NN$23,0),IF($NP$23="Bell_Curve",$NN$23*(13-$NR$23+1)*($NS$23-13+1)/$NU$23,$NN$23/$NT$23)),0)</f>
        <v/>
      </c>
      <c r="R23" s="228">
        <f>IF(AND(14&gt;=$NR$23,14&lt;=$NS$23),IF($NP$23="Single_Point",IF(14=$NR$23,$NN$23,0),IF($NP$23="Bell_Curve",$NN$23*(14-$NR$23+1)*($NS$23-14+1)/$NU$23,$NN$23/$NT$23)),0)</f>
        <v/>
      </c>
      <c r="S23" s="228">
        <f>IF(AND(15&gt;=$NR$23,15&lt;=$NS$23),IF($NP$23="Single_Point",IF(15=$NR$23,$NN$23,0),IF($NP$23="Bell_Curve",$NN$23*(15-$NR$23+1)*($NS$23-15+1)/$NU$23,$NN$23/$NT$23)),0)</f>
        <v/>
      </c>
      <c r="T23" s="228">
        <f>IF(AND(16&gt;=$NR$23,16&lt;=$NS$23),IF($NP$23="Single_Point",IF(16=$NR$23,$NN$23,0),IF($NP$23="Bell_Curve",$NN$23*(16-$NR$23+1)*($NS$23-16+1)/$NU$23,$NN$23/$NT$23)),0)</f>
        <v/>
      </c>
      <c r="U23" s="228">
        <f>IF(AND(17&gt;=$NR$23,17&lt;=$NS$23),IF($NP$23="Single_Point",IF(17=$NR$23,$NN$23,0),IF($NP$23="Bell_Curve",$NN$23*(17-$NR$23+1)*($NS$23-17+1)/$NU$23,$NN$23/$NT$23)),0)</f>
        <v/>
      </c>
      <c r="V23" s="228">
        <f>IF(AND(18&gt;=$NR$23,18&lt;=$NS$23),IF($NP$23="Single_Point",IF(18=$NR$23,$NN$23,0),IF($NP$23="Bell_Curve",$NN$23*(18-$NR$23+1)*($NS$23-18+1)/$NU$23,$NN$23/$NT$23)),0)</f>
        <v/>
      </c>
      <c r="W23" s="228">
        <f>IF(AND(19&gt;=$NR$23,19&lt;=$NS$23),IF($NP$23="Single_Point",IF(19=$NR$23,$NN$23,0),IF($NP$23="Bell_Curve",$NN$23*(19-$NR$23+1)*($NS$23-19+1)/$NU$23,$NN$23/$NT$23)),0)</f>
        <v/>
      </c>
      <c r="X23" s="228">
        <f>IF(AND(20&gt;=$NR$23,20&lt;=$NS$23),IF($NP$23="Single_Point",IF(20=$NR$23,$NN$23,0),IF($NP$23="Bell_Curve",$NN$23*(20-$NR$23+1)*($NS$23-20+1)/$NU$23,$NN$23/$NT$23)),0)</f>
        <v/>
      </c>
      <c r="Y23" s="228">
        <f>IF(AND(21&gt;=$NR$23,21&lt;=$NS$23),IF($NP$23="Single_Point",IF(21=$NR$23,$NN$23,0),IF($NP$23="Bell_Curve",$NN$23*(21-$NR$23+1)*($NS$23-21+1)/$NU$23,$NN$23/$NT$23)),0)</f>
        <v/>
      </c>
      <c r="Z23" s="228">
        <f>IF(AND(22&gt;=$NR$23,22&lt;=$NS$23),IF($NP$23="Single_Point",IF(22=$NR$23,$NN$23,0),IF($NP$23="Bell_Curve",$NN$23*(22-$NR$23+1)*($NS$23-22+1)/$NU$23,$NN$23/$NT$23)),0)</f>
        <v/>
      </c>
      <c r="AA23" s="228">
        <f>IF(AND(23&gt;=$NR$23,23&lt;=$NS$23),IF($NP$23="Single_Point",IF(23=$NR$23,$NN$23,0),IF($NP$23="Bell_Curve",$NN$23*(23-$NR$23+1)*($NS$23-23+1)/$NU$23,$NN$23/$NT$23)),0)</f>
        <v/>
      </c>
      <c r="AB23" s="228">
        <f>IF(AND(24&gt;=$NR$23,24&lt;=$NS$23),IF($NP$23="Single_Point",IF(24=$NR$23,$NN$23,0),IF($NP$23="Bell_Curve",$NN$23*(24-$NR$23+1)*($NS$23-24+1)/$NU$23,$NN$23/$NT$23)),0)</f>
        <v/>
      </c>
      <c r="AC23" s="228">
        <f>IF(AND(25&gt;=$NR$23,25&lt;=$NS$23),IF($NP$23="Single_Point",IF(25=$NR$23,$NN$23,0),IF($NP$23="Bell_Curve",$NN$23*(25-$NR$23+1)*($NS$23-25+1)/$NU$23,$NN$23/$NT$23)),0)</f>
        <v/>
      </c>
      <c r="AD23" s="228">
        <f>IF(AND(26&gt;=$NR$23,26&lt;=$NS$23),IF($NP$23="Single_Point",IF(26=$NR$23,$NN$23,0),IF($NP$23="Bell_Curve",$NN$23*(26-$NR$23+1)*($NS$23-26+1)/$NU$23,$NN$23/$NT$23)),0)</f>
        <v/>
      </c>
      <c r="AE23" s="228">
        <f>IF(AND(27&gt;=$NR$23,27&lt;=$NS$23),IF($NP$23="Single_Point",IF(27=$NR$23,$NN$23,0),IF($NP$23="Bell_Curve",$NN$23*(27-$NR$23+1)*($NS$23-27+1)/$NU$23,$NN$23/$NT$23)),0)</f>
        <v/>
      </c>
      <c r="AF23" s="228">
        <f>IF(AND(28&gt;=$NR$23,28&lt;=$NS$23),IF($NP$23="Single_Point",IF(28=$NR$23,$NN$23,0),IF($NP$23="Bell_Curve",$NN$23*(28-$NR$23+1)*($NS$23-28+1)/$NU$23,$NN$23/$NT$23)),0)</f>
        <v/>
      </c>
      <c r="AG23" s="228">
        <f>IF(AND(29&gt;=$NR$23,29&lt;=$NS$23),IF($NP$23="Single_Point",IF(29=$NR$23,$NN$23,0),IF($NP$23="Bell_Curve",$NN$23*(29-$NR$23+1)*($NS$23-29+1)/$NU$23,$NN$23/$NT$23)),0)</f>
        <v/>
      </c>
      <c r="AH23" s="228">
        <f>IF(AND(30&gt;=$NR$23,30&lt;=$NS$23),IF($NP$23="Single_Point",IF(30=$NR$23,$NN$23,0),IF($NP$23="Bell_Curve",$NN$23*(30-$NR$23+1)*($NS$23-30+1)/$NU$23,$NN$23/$NT$23)),0)</f>
        <v/>
      </c>
      <c r="AI23" s="228">
        <f>IF(AND(31&gt;=$NR$23,31&lt;=$NS$23),IF($NP$23="Single_Point",IF(31=$NR$23,$NN$23,0),IF($NP$23="Bell_Curve",$NN$23*(31-$NR$23+1)*($NS$23-31+1)/$NU$23,$NN$23/$NT$23)),0)</f>
        <v/>
      </c>
      <c r="AJ23" s="228">
        <f>IF(AND(32&gt;=$NR$23,32&lt;=$NS$23),IF($NP$23="Single_Point",IF(32=$NR$23,$NN$23,0),IF($NP$23="Bell_Curve",$NN$23*(32-$NR$23+1)*($NS$23-32+1)/$NU$23,$NN$23/$NT$23)),0)</f>
        <v/>
      </c>
      <c r="AK23" s="228">
        <f>IF(AND(33&gt;=$NR$23,33&lt;=$NS$23),IF($NP$23="Single_Point",IF(33=$NR$23,$NN$23,0),IF($NP$23="Bell_Curve",$NN$23*(33-$NR$23+1)*($NS$23-33+1)/$NU$23,$NN$23/$NT$23)),0)</f>
        <v/>
      </c>
      <c r="AL23" s="228">
        <f>IF(AND(34&gt;=$NR$23,34&lt;=$NS$23),IF($NP$23="Single_Point",IF(34=$NR$23,$NN$23,0),IF($NP$23="Bell_Curve",$NN$23*(34-$NR$23+1)*($NS$23-34+1)/$NU$23,$NN$23/$NT$23)),0)</f>
        <v/>
      </c>
      <c r="AM23" s="228">
        <f>IF(AND(35&gt;=$NR$23,35&lt;=$NS$23),IF($NP$23="Single_Point",IF(35=$NR$23,$NN$23,0),IF($NP$23="Bell_Curve",$NN$23*(35-$NR$23+1)*($NS$23-35+1)/$NU$23,$NN$23/$NT$23)),0)</f>
        <v/>
      </c>
      <c r="AN23" s="228">
        <f>IF(AND(36&gt;=$NR$23,36&lt;=$NS$23),IF($NP$23="Single_Point",IF(36=$NR$23,$NN$23,0),IF($NP$23="Bell_Curve",$NN$23*(36-$NR$23+1)*($NS$23-36+1)/$NU$23,$NN$23/$NT$23)),0)</f>
        <v/>
      </c>
      <c r="AO23" s="228">
        <f>IF(AND(37&gt;=$NR$23,37&lt;=$NS$23),IF($NP$23="Single_Point",IF(37=$NR$23,$NN$23,0),IF($NP$23="Bell_Curve",$NN$23*(37-$NR$23+1)*($NS$23-37+1)/$NU$23,$NN$23/$NT$23)),0)</f>
        <v/>
      </c>
      <c r="AP23" s="228">
        <f>IF(AND(38&gt;=$NR$23,38&lt;=$NS$23),IF($NP$23="Single_Point",IF(38=$NR$23,$NN$23,0),IF($NP$23="Bell_Curve",$NN$23*(38-$NR$23+1)*($NS$23-38+1)/$NU$23,$NN$23/$NT$23)),0)</f>
        <v/>
      </c>
      <c r="AQ23" s="228">
        <f>IF(AND(39&gt;=$NR$23,39&lt;=$NS$23),IF($NP$23="Single_Point",IF(39=$NR$23,$NN$23,0),IF($NP$23="Bell_Curve",$NN$23*(39-$NR$23+1)*($NS$23-39+1)/$NU$23,$NN$23/$NT$23)),0)</f>
        <v/>
      </c>
      <c r="AR23" s="228">
        <f>IF(AND(40&gt;=$NR$23,40&lt;=$NS$23),IF($NP$23="Single_Point",IF(40=$NR$23,$NN$23,0),IF($NP$23="Bell_Curve",$NN$23*(40-$NR$23+1)*($NS$23-40+1)/$NU$23,$NN$23/$NT$23)),0)</f>
        <v/>
      </c>
      <c r="AS23" s="228">
        <f>IF(AND(41&gt;=$NR$23,41&lt;=$NS$23),IF($NP$23="Single_Point",IF(41=$NR$23,$NN$23,0),IF($NP$23="Bell_Curve",$NN$23*(41-$NR$23+1)*($NS$23-41+1)/$NU$23,$NN$23/$NT$23)),0)</f>
        <v/>
      </c>
      <c r="AT23" s="228">
        <f>IF(AND(42&gt;=$NR$23,42&lt;=$NS$23),IF($NP$23="Single_Point",IF(42=$NR$23,$NN$23,0),IF($NP$23="Bell_Curve",$NN$23*(42-$NR$23+1)*($NS$23-42+1)/$NU$23,$NN$23/$NT$23)),0)</f>
        <v/>
      </c>
      <c r="AU23" s="228">
        <f>IF(AND(43&gt;=$NR$23,43&lt;=$NS$23),IF($NP$23="Single_Point",IF(43=$NR$23,$NN$23,0),IF($NP$23="Bell_Curve",$NN$23*(43-$NR$23+1)*($NS$23-43+1)/$NU$23,$NN$23/$NT$23)),0)</f>
        <v/>
      </c>
      <c r="AV23" s="228">
        <f>IF(AND(44&gt;=$NR$23,44&lt;=$NS$23),IF($NP$23="Single_Point",IF(44=$NR$23,$NN$23,0),IF($NP$23="Bell_Curve",$NN$23*(44-$NR$23+1)*($NS$23-44+1)/$NU$23,$NN$23/$NT$23)),0)</f>
        <v/>
      </c>
      <c r="AW23" s="228">
        <f>IF(AND(45&gt;=$NR$23,45&lt;=$NS$23),IF($NP$23="Single_Point",IF(45=$NR$23,$NN$23,0),IF($NP$23="Bell_Curve",$NN$23*(45-$NR$23+1)*($NS$23-45+1)/$NU$23,$NN$23/$NT$23)),0)</f>
        <v/>
      </c>
      <c r="AX23" s="228">
        <f>IF(AND(46&gt;=$NR$23,46&lt;=$NS$23),IF($NP$23="Single_Point",IF(46=$NR$23,$NN$23,0),IF($NP$23="Bell_Curve",$NN$23*(46-$NR$23+1)*($NS$23-46+1)/$NU$23,$NN$23/$NT$23)),0)</f>
        <v/>
      </c>
      <c r="AY23" s="228">
        <f>IF(AND(47&gt;=$NR$23,47&lt;=$NS$23),IF($NP$23="Single_Point",IF(47=$NR$23,$NN$23,0),IF($NP$23="Bell_Curve",$NN$23*(47-$NR$23+1)*($NS$23-47+1)/$NU$23,$NN$23/$NT$23)),0)</f>
        <v/>
      </c>
      <c r="AZ23" s="228">
        <f>IF(AND(48&gt;=$NR$23,48&lt;=$NS$23),IF($NP$23="Single_Point",IF(48=$NR$23,$NN$23,0),IF($NP$23="Bell_Curve",$NN$23*(48-$NR$23+1)*($NS$23-48+1)/$NU$23,$NN$23/$NT$23)),0)</f>
        <v/>
      </c>
      <c r="BA23" s="228">
        <f>IF(AND(49&gt;=$NR$23,49&lt;=$NS$23),IF($NP$23="Single_Point",IF(49=$NR$23,$NN$23,0),IF($NP$23="Bell_Curve",$NN$23*(49-$NR$23+1)*($NS$23-49+1)/$NU$23,$NN$23/$NT$23)),0)</f>
        <v/>
      </c>
      <c r="BB23" s="228">
        <f>IF(AND(50&gt;=$NR$23,50&lt;=$NS$23),IF($NP$23="Single_Point",IF(50=$NR$23,$NN$23,0),IF($NP$23="Bell_Curve",$NN$23*(50-$NR$23+1)*($NS$23-50+1)/$NU$23,$NN$23/$NT$23)),0)</f>
        <v/>
      </c>
      <c r="BC23" s="228">
        <f>IF(AND(51&gt;=$NR$23,51&lt;=$NS$23),IF($NP$23="Single_Point",IF(51=$NR$23,$NN$23,0),IF($NP$23="Bell_Curve",$NN$23*(51-$NR$23+1)*($NS$23-51+1)/$NU$23,$NN$23/$NT$23)),0)</f>
        <v/>
      </c>
      <c r="BD23" s="228">
        <f>IF(AND(52&gt;=$NR$23,52&lt;=$NS$23),IF($NP$23="Single_Point",IF(52=$NR$23,$NN$23,0),IF($NP$23="Bell_Curve",$NN$23*(52-$NR$23+1)*($NS$23-52+1)/$NU$23,$NN$23/$NT$23)),0)</f>
        <v/>
      </c>
      <c r="BE23" s="228">
        <f>IF(AND(53&gt;=$NR$23,53&lt;=$NS$23),IF($NP$23="Single_Point",IF(53=$NR$23,$NN$23,0),IF($NP$23="Bell_Curve",$NN$23*(53-$NR$23+1)*($NS$23-53+1)/$NU$23,$NN$23/$NT$23)),0)</f>
        <v/>
      </c>
      <c r="BF23" s="228">
        <f>IF(AND(54&gt;=$NR$23,54&lt;=$NS$23),IF($NP$23="Single_Point",IF(54=$NR$23,$NN$23,0),IF($NP$23="Bell_Curve",$NN$23*(54-$NR$23+1)*($NS$23-54+1)/$NU$23,$NN$23/$NT$23)),0)</f>
        <v/>
      </c>
      <c r="BG23" s="228">
        <f>IF(AND(55&gt;=$NR$23,55&lt;=$NS$23),IF($NP$23="Single_Point",IF(55=$NR$23,$NN$23,0),IF($NP$23="Bell_Curve",$NN$23*(55-$NR$23+1)*($NS$23-55+1)/$NU$23,$NN$23/$NT$23)),0)</f>
        <v/>
      </c>
      <c r="BH23" s="228">
        <f>IF(AND(56&gt;=$NR$23,56&lt;=$NS$23),IF($NP$23="Single_Point",IF(56=$NR$23,$NN$23,0),IF($NP$23="Bell_Curve",$NN$23*(56-$NR$23+1)*($NS$23-56+1)/$NU$23,$NN$23/$NT$23)),0)</f>
        <v/>
      </c>
      <c r="BI23" s="228">
        <f>IF(AND(57&gt;=$NR$23,57&lt;=$NS$23),IF($NP$23="Single_Point",IF(57=$NR$23,$NN$23,0),IF($NP$23="Bell_Curve",$NN$23*(57-$NR$23+1)*($NS$23-57+1)/$NU$23,$NN$23/$NT$23)),0)</f>
        <v/>
      </c>
      <c r="BJ23" s="228">
        <f>IF(AND(58&gt;=$NR$23,58&lt;=$NS$23),IF($NP$23="Single_Point",IF(58=$NR$23,$NN$23,0),IF($NP$23="Bell_Curve",$NN$23*(58-$NR$23+1)*($NS$23-58+1)/$NU$23,$NN$23/$NT$23)),0)</f>
        <v/>
      </c>
      <c r="BK23" s="228">
        <f>IF(AND(59&gt;=$NR$23,59&lt;=$NS$23),IF($NP$23="Single_Point",IF(59=$NR$23,$NN$23,0),IF($NP$23="Bell_Curve",$NN$23*(59-$NR$23+1)*($NS$23-59+1)/$NU$23,$NN$23/$NT$23)),0)</f>
        <v/>
      </c>
      <c r="BL23" s="228">
        <f>IF(AND(60&gt;=$NR$23,60&lt;=$NS$23),IF($NP$23="Single_Point",IF(60=$NR$23,$NN$23,0),IF($NP$23="Bell_Curve",$NN$23*(60-$NR$23+1)*($NS$23-60+1)/$NU$23,$NN$23/$NT$23)),0)</f>
        <v/>
      </c>
      <c r="BM23" s="228">
        <f>IF(AND(61&gt;=$NR$23,61&lt;=$NS$23),IF($NP$23="Single_Point",IF(61=$NR$23,$NN$23,0),IF($NP$23="Bell_Curve",$NN$23*(61-$NR$23+1)*($NS$23-61+1)/$NU$23,$NN$23/$NT$23)),0)</f>
        <v/>
      </c>
      <c r="BN23" s="228">
        <f>IF(AND(62&gt;=$NR$23,62&lt;=$NS$23),IF($NP$23="Single_Point",IF(62=$NR$23,$NN$23,0),IF($NP$23="Bell_Curve",$NN$23*(62-$NR$23+1)*($NS$23-62+1)/$NU$23,$NN$23/$NT$23)),0)</f>
        <v/>
      </c>
      <c r="BO23" s="228">
        <f>IF(AND(63&gt;=$NR$23,63&lt;=$NS$23),IF($NP$23="Single_Point",IF(63=$NR$23,$NN$23,0),IF($NP$23="Bell_Curve",$NN$23*(63-$NR$23+1)*($NS$23-63+1)/$NU$23,$NN$23/$NT$23)),0)</f>
        <v/>
      </c>
      <c r="BP23" s="228">
        <f>IF(AND(64&gt;=$NR$23,64&lt;=$NS$23),IF($NP$23="Single_Point",IF(64=$NR$23,$NN$23,0),IF($NP$23="Bell_Curve",$NN$23*(64-$NR$23+1)*($NS$23-64+1)/$NU$23,$NN$23/$NT$23)),0)</f>
        <v/>
      </c>
      <c r="BQ23" s="228">
        <f>IF(AND(65&gt;=$NR$23,65&lt;=$NS$23),IF($NP$23="Single_Point",IF(65=$NR$23,$NN$23,0),IF($NP$23="Bell_Curve",$NN$23*(65-$NR$23+1)*($NS$23-65+1)/$NU$23,$NN$23/$NT$23)),0)</f>
        <v/>
      </c>
      <c r="BR23" s="228">
        <f>IF(AND(66&gt;=$NR$23,66&lt;=$NS$23),IF($NP$23="Single_Point",IF(66=$NR$23,$NN$23,0),IF($NP$23="Bell_Curve",$NN$23*(66-$NR$23+1)*($NS$23-66+1)/$NU$23,$NN$23/$NT$23)),0)</f>
        <v/>
      </c>
      <c r="BS23" s="228">
        <f>IF(AND(67&gt;=$NR$23,67&lt;=$NS$23),IF($NP$23="Single_Point",IF(67=$NR$23,$NN$23,0),IF($NP$23="Bell_Curve",$NN$23*(67-$NR$23+1)*($NS$23-67+1)/$NU$23,$NN$23/$NT$23)),0)</f>
        <v/>
      </c>
      <c r="BT23" s="228">
        <f>IF(AND(68&gt;=$NR$23,68&lt;=$NS$23),IF($NP$23="Single_Point",IF(68=$NR$23,$NN$23,0),IF($NP$23="Bell_Curve",$NN$23*(68-$NR$23+1)*($NS$23-68+1)/$NU$23,$NN$23/$NT$23)),0)</f>
        <v/>
      </c>
      <c r="BU23" s="228">
        <f>IF(AND(69&gt;=$NR$23,69&lt;=$NS$23),IF($NP$23="Single_Point",IF(69=$NR$23,$NN$23,0),IF($NP$23="Bell_Curve",$NN$23*(69-$NR$23+1)*($NS$23-69+1)/$NU$23,$NN$23/$NT$23)),0)</f>
        <v/>
      </c>
      <c r="BV23" s="228">
        <f>IF(AND(70&gt;=$NR$23,70&lt;=$NS$23),IF($NP$23="Single_Point",IF(70=$NR$23,$NN$23,0),IF($NP$23="Bell_Curve",$NN$23*(70-$NR$23+1)*($NS$23-70+1)/$NU$23,$NN$23/$NT$23)),0)</f>
        <v/>
      </c>
      <c r="BW23" s="228">
        <f>IF(AND(71&gt;=$NR$23,71&lt;=$NS$23),IF($NP$23="Single_Point",IF(71=$NR$23,$NN$23,0),IF($NP$23="Bell_Curve",$NN$23*(71-$NR$23+1)*($NS$23-71+1)/$NU$23,$NN$23/$NT$23)),0)</f>
        <v/>
      </c>
      <c r="BX23" s="228">
        <f>IF(AND(72&gt;=$NR$23,72&lt;=$NS$23),IF($NP$23="Single_Point",IF(72=$NR$23,$NN$23,0),IF($NP$23="Bell_Curve",$NN$23*(72-$NR$23+1)*($NS$23-72+1)/$NU$23,$NN$23/$NT$23)),0)</f>
        <v/>
      </c>
      <c r="BY23" s="228">
        <f>IF(AND(73&gt;=$NR$23,73&lt;=$NS$23),IF($NP$23="Single_Point",IF(73=$NR$23,$NN$23,0),IF($NP$23="Bell_Curve",$NN$23*(73-$NR$23+1)*($NS$23-73+1)/$NU$23,$NN$23/$NT$23)),0)</f>
        <v/>
      </c>
      <c r="BZ23" s="228">
        <f>IF(AND(74&gt;=$NR$23,74&lt;=$NS$23),IF($NP$23="Single_Point",IF(74=$NR$23,$NN$23,0),IF($NP$23="Bell_Curve",$NN$23*(74-$NR$23+1)*($NS$23-74+1)/$NU$23,$NN$23/$NT$23)),0)</f>
        <v/>
      </c>
      <c r="CA23" s="228">
        <f>IF(AND(75&gt;=$NR$23,75&lt;=$NS$23),IF($NP$23="Single_Point",IF(75=$NR$23,$NN$23,0),IF($NP$23="Bell_Curve",$NN$23*(75-$NR$23+1)*($NS$23-75+1)/$NU$23,$NN$23/$NT$23)),0)</f>
        <v/>
      </c>
      <c r="CB23" s="228">
        <f>IF(AND(76&gt;=$NR$23,76&lt;=$NS$23),IF($NP$23="Single_Point",IF(76=$NR$23,$NN$23,0),IF($NP$23="Bell_Curve",$NN$23*(76-$NR$23+1)*($NS$23-76+1)/$NU$23,$NN$23/$NT$23)),0)</f>
        <v/>
      </c>
      <c r="CC23" s="228">
        <f>IF(AND(77&gt;=$NR$23,77&lt;=$NS$23),IF($NP$23="Single_Point",IF(77=$NR$23,$NN$23,0),IF($NP$23="Bell_Curve",$NN$23*(77-$NR$23+1)*($NS$23-77+1)/$NU$23,$NN$23/$NT$23)),0)</f>
        <v/>
      </c>
      <c r="CD23" s="228">
        <f>IF(AND(78&gt;=$NR$23,78&lt;=$NS$23),IF($NP$23="Single_Point",IF(78=$NR$23,$NN$23,0),IF($NP$23="Bell_Curve",$NN$23*(78-$NR$23+1)*($NS$23-78+1)/$NU$23,$NN$23/$NT$23)),0)</f>
        <v/>
      </c>
      <c r="CE23" s="228">
        <f>IF(AND(79&gt;=$NR$23,79&lt;=$NS$23),IF($NP$23="Single_Point",IF(79=$NR$23,$NN$23,0),IF($NP$23="Bell_Curve",$NN$23*(79-$NR$23+1)*($NS$23-79+1)/$NU$23,$NN$23/$NT$23)),0)</f>
        <v/>
      </c>
      <c r="CF23" s="228">
        <f>IF(AND(80&gt;=$NR$23,80&lt;=$NS$23),IF($NP$23="Single_Point",IF(80=$NR$23,$NN$23,0),IF($NP$23="Bell_Curve",$NN$23*(80-$NR$23+1)*($NS$23-80+1)/$NU$23,$NN$23/$NT$23)),0)</f>
        <v/>
      </c>
      <c r="CG23" s="228">
        <f>IF(AND(81&gt;=$NR$23,81&lt;=$NS$23),IF($NP$23="Single_Point",IF(81=$NR$23,$NN$23,0),IF($NP$23="Bell_Curve",$NN$23*(81-$NR$23+1)*($NS$23-81+1)/$NU$23,$NN$23/$NT$23)),0)</f>
        <v/>
      </c>
      <c r="CH23" s="228">
        <f>IF(AND(82&gt;=$NR$23,82&lt;=$NS$23),IF($NP$23="Single_Point",IF(82=$NR$23,$NN$23,0),IF($NP$23="Bell_Curve",$NN$23*(82-$NR$23+1)*($NS$23-82+1)/$NU$23,$NN$23/$NT$23)),0)</f>
        <v/>
      </c>
      <c r="CI23" s="228">
        <f>IF(AND(83&gt;=$NR$23,83&lt;=$NS$23),IF($NP$23="Single_Point",IF(83=$NR$23,$NN$23,0),IF($NP$23="Bell_Curve",$NN$23*(83-$NR$23+1)*($NS$23-83+1)/$NU$23,$NN$23/$NT$23)),0)</f>
        <v/>
      </c>
      <c r="CJ23" s="228">
        <f>IF(AND(84&gt;=$NR$23,84&lt;=$NS$23),IF($NP$23="Single_Point",IF(84=$NR$23,$NN$23,0),IF($NP$23="Bell_Curve",$NN$23*(84-$NR$23+1)*($NS$23-84+1)/$NU$23,$NN$23/$NT$23)),0)</f>
        <v/>
      </c>
      <c r="CK23" s="228">
        <f>IF(AND(85&gt;=$NR$23,85&lt;=$NS$23),IF($NP$23="Single_Point",IF(85=$NR$23,$NN$23,0),IF($NP$23="Bell_Curve",$NN$23*(85-$NR$23+1)*($NS$23-85+1)/$NU$23,$NN$23/$NT$23)),0)</f>
        <v/>
      </c>
      <c r="CL23" s="228">
        <f>IF(AND(86&gt;=$NR$23,86&lt;=$NS$23),IF($NP$23="Single_Point",IF(86=$NR$23,$NN$23,0),IF($NP$23="Bell_Curve",$NN$23*(86-$NR$23+1)*($NS$23-86+1)/$NU$23,$NN$23/$NT$23)),0)</f>
        <v/>
      </c>
      <c r="CM23" s="228">
        <f>IF(AND(87&gt;=$NR$23,87&lt;=$NS$23),IF($NP$23="Single_Point",IF(87=$NR$23,$NN$23,0),IF($NP$23="Bell_Curve",$NN$23*(87-$NR$23+1)*($NS$23-87+1)/$NU$23,$NN$23/$NT$23)),0)</f>
        <v/>
      </c>
      <c r="CN23" s="228">
        <f>IF(AND(88&gt;=$NR$23,88&lt;=$NS$23),IF($NP$23="Single_Point",IF(88=$NR$23,$NN$23,0),IF($NP$23="Bell_Curve",$NN$23*(88-$NR$23+1)*($NS$23-88+1)/$NU$23,$NN$23/$NT$23)),0)</f>
        <v/>
      </c>
      <c r="CO23" s="228">
        <f>IF(AND(89&gt;=$NR$23,89&lt;=$NS$23),IF($NP$23="Single_Point",IF(89=$NR$23,$NN$23,0),IF($NP$23="Bell_Curve",$NN$23*(89-$NR$23+1)*($NS$23-89+1)/$NU$23,$NN$23/$NT$23)),0)</f>
        <v/>
      </c>
      <c r="CP23" s="228">
        <f>IF(AND(90&gt;=$NR$23,90&lt;=$NS$23),IF($NP$23="Single_Point",IF(90=$NR$23,$NN$23,0),IF($NP$23="Bell_Curve",$NN$23*(90-$NR$23+1)*($NS$23-90+1)/$NU$23,$NN$23/$NT$23)),0)</f>
        <v/>
      </c>
      <c r="CQ23" s="228">
        <f>IF(AND(91&gt;=$NR$23,91&lt;=$NS$23),IF($NP$23="Single_Point",IF(91=$NR$23,$NN$23,0),IF($NP$23="Bell_Curve",$NN$23*(91-$NR$23+1)*($NS$23-91+1)/$NU$23,$NN$23/$NT$23)),0)</f>
        <v/>
      </c>
      <c r="CR23" s="228">
        <f>IF(AND(92&gt;=$NR$23,92&lt;=$NS$23),IF($NP$23="Single_Point",IF(92=$NR$23,$NN$23,0),IF($NP$23="Bell_Curve",$NN$23*(92-$NR$23+1)*($NS$23-92+1)/$NU$23,$NN$23/$NT$23)),0)</f>
        <v/>
      </c>
      <c r="CS23" s="228">
        <f>IF(AND(93&gt;=$NR$23,93&lt;=$NS$23),IF($NP$23="Single_Point",IF(93=$NR$23,$NN$23,0),IF($NP$23="Bell_Curve",$NN$23*(93-$NR$23+1)*($NS$23-93+1)/$NU$23,$NN$23/$NT$23)),0)</f>
        <v/>
      </c>
      <c r="CT23" s="228">
        <f>IF(AND(94&gt;=$NR$23,94&lt;=$NS$23),IF($NP$23="Single_Point",IF(94=$NR$23,$NN$23,0),IF($NP$23="Bell_Curve",$NN$23*(94-$NR$23+1)*($NS$23-94+1)/$NU$23,$NN$23/$NT$23)),0)</f>
        <v/>
      </c>
      <c r="CU23" s="228">
        <f>IF(AND(95&gt;=$NR$23,95&lt;=$NS$23),IF($NP$23="Single_Point",IF(95=$NR$23,$NN$23,0),IF($NP$23="Bell_Curve",$NN$23*(95-$NR$23+1)*($NS$23-95+1)/$NU$23,$NN$23/$NT$23)),0)</f>
        <v/>
      </c>
      <c r="CV23" s="228">
        <f>IF(AND(96&gt;=$NR$23,96&lt;=$NS$23),IF($NP$23="Single_Point",IF(96=$NR$23,$NN$23,0),IF($NP$23="Bell_Curve",$NN$23*(96-$NR$23+1)*($NS$23-96+1)/$NU$23,$NN$23/$NT$23)),0)</f>
        <v/>
      </c>
      <c r="CW23" s="228">
        <f>IF(AND(97&gt;=$NR$23,97&lt;=$NS$23),IF($NP$23="Single_Point",IF(97=$NR$23,$NN$23,0),IF($NP$23="Bell_Curve",$NN$23*(97-$NR$23+1)*($NS$23-97+1)/$NU$23,$NN$23/$NT$23)),0)</f>
        <v/>
      </c>
      <c r="CX23" s="228">
        <f>IF(AND(98&gt;=$NR$23,98&lt;=$NS$23),IF($NP$23="Single_Point",IF(98=$NR$23,$NN$23,0),IF($NP$23="Bell_Curve",$NN$23*(98-$NR$23+1)*($NS$23-98+1)/$NU$23,$NN$23/$NT$23)),0)</f>
        <v/>
      </c>
      <c r="CY23" s="228">
        <f>IF(AND(99&gt;=$NR$23,99&lt;=$NS$23),IF($NP$23="Single_Point",IF(99=$NR$23,$NN$23,0),IF($NP$23="Bell_Curve",$NN$23*(99-$NR$23+1)*($NS$23-99+1)/$NU$23,$NN$23/$NT$23)),0)</f>
        <v/>
      </c>
      <c r="CZ23" s="228">
        <f>IF(AND(100&gt;=$NR$23,100&lt;=$NS$23),IF($NP$23="Single_Point",IF(100=$NR$23,$NN$23,0),IF($NP$23="Bell_Curve",$NN$23*(100-$NR$23+1)*($NS$23-100+1)/$NU$23,$NN$23/$NT$23)),0)</f>
        <v/>
      </c>
      <c r="DA23" s="228">
        <f>IF(AND(101&gt;=$NR$23,101&lt;=$NS$23),IF($NP$23="Single_Point",IF(101=$NR$23,$NN$23,0),IF($NP$23="Bell_Curve",$NN$23*(101-$NR$23+1)*($NS$23-101+1)/$NU$23,$NN$23/$NT$23)),0)</f>
        <v/>
      </c>
      <c r="DB23" s="228">
        <f>IF(AND(102&gt;=$NR$23,102&lt;=$NS$23),IF($NP$23="Single_Point",IF(102=$NR$23,$NN$23,0),IF($NP$23="Bell_Curve",$NN$23*(102-$NR$23+1)*($NS$23-102+1)/$NU$23,$NN$23/$NT$23)),0)</f>
        <v/>
      </c>
      <c r="DC23" s="228">
        <f>IF(AND(103&gt;=$NR$23,103&lt;=$NS$23),IF($NP$23="Single_Point",IF(103=$NR$23,$NN$23,0),IF($NP$23="Bell_Curve",$NN$23*(103-$NR$23+1)*($NS$23-103+1)/$NU$23,$NN$23/$NT$23)),0)</f>
        <v/>
      </c>
      <c r="DD23" s="228">
        <f>IF(AND(104&gt;=$NR$23,104&lt;=$NS$23),IF($NP$23="Single_Point",IF(104=$NR$23,$NN$23,0),IF($NP$23="Bell_Curve",$NN$23*(104-$NR$23+1)*($NS$23-104+1)/$NU$23,$NN$23/$NT$23)),0)</f>
        <v/>
      </c>
      <c r="DE23" s="228">
        <f>IF(AND(105&gt;=$NR$23,105&lt;=$NS$23),IF($NP$23="Single_Point",IF(105=$NR$23,$NN$23,0),IF($NP$23="Bell_Curve",$NN$23*(105-$NR$23+1)*($NS$23-105+1)/$NU$23,$NN$23/$NT$23)),0)</f>
        <v/>
      </c>
      <c r="DF23" s="228">
        <f>IF(AND(106&gt;=$NR$23,106&lt;=$NS$23),IF($NP$23="Single_Point",IF(106=$NR$23,$NN$23,0),IF($NP$23="Bell_Curve",$NN$23*(106-$NR$23+1)*($NS$23-106+1)/$NU$23,$NN$23/$NT$23)),0)</f>
        <v/>
      </c>
      <c r="DG23" s="228">
        <f>IF(AND(107&gt;=$NR$23,107&lt;=$NS$23),IF($NP$23="Single_Point",IF(107=$NR$23,$NN$23,0),IF($NP$23="Bell_Curve",$NN$23*(107-$NR$23+1)*($NS$23-107+1)/$NU$23,$NN$23/$NT$23)),0)</f>
        <v/>
      </c>
      <c r="DH23" s="228">
        <f>IF(AND(108&gt;=$NR$23,108&lt;=$NS$23),IF($NP$23="Single_Point",IF(108=$NR$23,$NN$23,0),IF($NP$23="Bell_Curve",$NN$23*(108-$NR$23+1)*($NS$23-108+1)/$NU$23,$NN$23/$NT$23)),0)</f>
        <v/>
      </c>
      <c r="DI23" s="228">
        <f>IF(AND(109&gt;=$NR$23,109&lt;=$NS$23),IF($NP$23="Single_Point",IF(109=$NR$23,$NN$23,0),IF($NP$23="Bell_Curve",$NN$23*(109-$NR$23+1)*($NS$23-109+1)/$NU$23,$NN$23/$NT$23)),0)</f>
        <v/>
      </c>
      <c r="DJ23" s="228">
        <f>IF(AND(110&gt;=$NR$23,110&lt;=$NS$23),IF($NP$23="Single_Point",IF(110=$NR$23,$NN$23,0),IF($NP$23="Bell_Curve",$NN$23*(110-$NR$23+1)*($NS$23-110+1)/$NU$23,$NN$23/$NT$23)),0)</f>
        <v/>
      </c>
      <c r="DK23" s="228">
        <f>IF(AND(111&gt;=$NR$23,111&lt;=$NS$23),IF($NP$23="Single_Point",IF(111=$NR$23,$NN$23,0),IF($NP$23="Bell_Curve",$NN$23*(111-$NR$23+1)*($NS$23-111+1)/$NU$23,$NN$23/$NT$23)),0)</f>
        <v/>
      </c>
      <c r="DL23" s="228">
        <f>IF(AND(112&gt;=$NR$23,112&lt;=$NS$23),IF($NP$23="Single_Point",IF(112=$NR$23,$NN$23,0),IF($NP$23="Bell_Curve",$NN$23*(112-$NR$23+1)*($NS$23-112+1)/$NU$23,$NN$23/$NT$23)),0)</f>
        <v/>
      </c>
      <c r="DM23" s="228">
        <f>IF(AND(113&gt;=$NR$23,113&lt;=$NS$23),IF($NP$23="Single_Point",IF(113=$NR$23,$NN$23,0),IF($NP$23="Bell_Curve",$NN$23*(113-$NR$23+1)*($NS$23-113+1)/$NU$23,$NN$23/$NT$23)),0)</f>
        <v/>
      </c>
      <c r="DN23" s="228">
        <f>IF(AND(114&gt;=$NR$23,114&lt;=$NS$23),IF($NP$23="Single_Point",IF(114=$NR$23,$NN$23,0),IF($NP$23="Bell_Curve",$NN$23*(114-$NR$23+1)*($NS$23-114+1)/$NU$23,$NN$23/$NT$23)),0)</f>
        <v/>
      </c>
      <c r="DO23" s="228">
        <f>IF(AND(115&gt;=$NR$23,115&lt;=$NS$23),IF($NP$23="Single_Point",IF(115=$NR$23,$NN$23,0),IF($NP$23="Bell_Curve",$NN$23*(115-$NR$23+1)*($NS$23-115+1)/$NU$23,$NN$23/$NT$23)),0)</f>
        <v/>
      </c>
      <c r="DP23" s="228">
        <f>IF(AND(116&gt;=$NR$23,116&lt;=$NS$23),IF($NP$23="Single_Point",IF(116=$NR$23,$NN$23,0),IF($NP$23="Bell_Curve",$NN$23*(116-$NR$23+1)*($NS$23-116+1)/$NU$23,$NN$23/$NT$23)),0)</f>
        <v/>
      </c>
      <c r="DQ23" s="228">
        <f>IF(AND(117&gt;=$NR$23,117&lt;=$NS$23),IF($NP$23="Single_Point",IF(117=$NR$23,$NN$23,0),IF($NP$23="Bell_Curve",$NN$23*(117-$NR$23+1)*($NS$23-117+1)/$NU$23,$NN$23/$NT$23)),0)</f>
        <v/>
      </c>
      <c r="DR23" s="228">
        <f>IF(AND(118&gt;=$NR$23,118&lt;=$NS$23),IF($NP$23="Single_Point",IF(118=$NR$23,$NN$23,0),IF($NP$23="Bell_Curve",$NN$23*(118-$NR$23+1)*($NS$23-118+1)/$NU$23,$NN$23/$NT$23)),0)</f>
        <v/>
      </c>
      <c r="DS23" s="228">
        <f>IF(AND(119&gt;=$NR$23,119&lt;=$NS$23),IF($NP$23="Single_Point",IF(119=$NR$23,$NN$23,0),IF($NP$23="Bell_Curve",$NN$23*(119-$NR$23+1)*($NS$23-119+1)/$NU$23,$NN$23/$NT$23)),0)</f>
        <v/>
      </c>
      <c r="DT23" s="228">
        <f>IF(AND(120&gt;=$NR$23,120&lt;=$NS$23),IF($NP$23="Single_Point",IF(120=$NR$23,$NN$23,0),IF($NP$23="Bell_Curve",$NN$23*(120-$NR$23+1)*($NS$23-120+1)/$NU$23,$NN$23/$NT$23)),0)</f>
        <v/>
      </c>
      <c r="DU23" s="228">
        <f>IF(AND(121&gt;=$NR$23,121&lt;=$NS$23),IF($NP$23="Single_Point",IF(121=$NR$23,$NN$23,0),IF($NP$23="Bell_Curve",$NN$23*(121-$NR$23+1)*($NS$23-121+1)/$NU$23,$NN$23/$NT$23)),0)</f>
        <v/>
      </c>
      <c r="DV23" s="228">
        <f>IF(AND(122&gt;=$NR$23,122&lt;=$NS$23),IF($NP$23="Single_Point",IF(122=$NR$23,$NN$23,0),IF($NP$23="Bell_Curve",$NN$23*(122-$NR$23+1)*($NS$23-122+1)/$NU$23,$NN$23/$NT$23)),0)</f>
        <v/>
      </c>
      <c r="DW23" s="228">
        <f>IF(AND(123&gt;=$NR$23,123&lt;=$NS$23),IF($NP$23="Single_Point",IF(123=$NR$23,$NN$23,0),IF($NP$23="Bell_Curve",$NN$23*(123-$NR$23+1)*($NS$23-123+1)/$NU$23,$NN$23/$NT$23)),0)</f>
        <v/>
      </c>
      <c r="DX23" s="228">
        <f>IF(AND(124&gt;=$NR$23,124&lt;=$NS$23),IF($NP$23="Single_Point",IF(124=$NR$23,$NN$23,0),IF($NP$23="Bell_Curve",$NN$23*(124-$NR$23+1)*($NS$23-124+1)/$NU$23,$NN$23/$NT$23)),0)</f>
        <v/>
      </c>
      <c r="DY23" s="228">
        <f>IF(AND(125&gt;=$NR$23,125&lt;=$NS$23),IF($NP$23="Single_Point",IF(125=$NR$23,$NN$23,0),IF($NP$23="Bell_Curve",$NN$23*(125-$NR$23+1)*($NS$23-125+1)/$NU$23,$NN$23/$NT$23)),0)</f>
        <v/>
      </c>
      <c r="DZ23" s="228">
        <f>IF(AND(126&gt;=$NR$23,126&lt;=$NS$23),IF($NP$23="Single_Point",IF(126=$NR$23,$NN$23,0),IF($NP$23="Bell_Curve",$NN$23*(126-$NR$23+1)*($NS$23-126+1)/$NU$23,$NN$23/$NT$23)),0)</f>
        <v/>
      </c>
      <c r="EA23" s="228">
        <f>IF(AND(127&gt;=$NR$23,127&lt;=$NS$23),IF($NP$23="Single_Point",IF(127=$NR$23,$NN$23,0),IF($NP$23="Bell_Curve",$NN$23*(127-$NR$23+1)*($NS$23-127+1)/$NU$23,$NN$23/$NT$23)),0)</f>
        <v/>
      </c>
      <c r="EB23" s="228">
        <f>IF(AND(128&gt;=$NR$23,128&lt;=$NS$23),IF($NP$23="Single_Point",IF(128=$NR$23,$NN$23,0),IF($NP$23="Bell_Curve",$NN$23*(128-$NR$23+1)*($NS$23-128+1)/$NU$23,$NN$23/$NT$23)),0)</f>
        <v/>
      </c>
      <c r="EC23" s="228">
        <f>IF(AND(129&gt;=$NR$23,129&lt;=$NS$23),IF($NP$23="Single_Point",IF(129=$NR$23,$NN$23,0),IF($NP$23="Bell_Curve",$NN$23*(129-$NR$23+1)*($NS$23-129+1)/$NU$23,$NN$23/$NT$23)),0)</f>
        <v/>
      </c>
      <c r="ED23" s="228">
        <f>IF(AND(130&gt;=$NR$23,130&lt;=$NS$23),IF($NP$23="Single_Point",IF(130=$NR$23,$NN$23,0),IF($NP$23="Bell_Curve",$NN$23*(130-$NR$23+1)*($NS$23-130+1)/$NU$23,$NN$23/$NT$23)),0)</f>
        <v/>
      </c>
      <c r="EE23" s="228">
        <f>IF(AND(131&gt;=$NR$23,131&lt;=$NS$23),IF($NP$23="Single_Point",IF(131=$NR$23,$NN$23,0),IF($NP$23="Bell_Curve",$NN$23*(131-$NR$23+1)*($NS$23-131+1)/$NU$23,$NN$23/$NT$23)),0)</f>
        <v/>
      </c>
      <c r="EF23" s="228">
        <f>IF(AND(132&gt;=$NR$23,132&lt;=$NS$23),IF($NP$23="Single_Point",IF(132=$NR$23,$NN$23,0),IF($NP$23="Bell_Curve",$NN$23*(132-$NR$23+1)*($NS$23-132+1)/$NU$23,$NN$23/$NT$23)),0)</f>
        <v/>
      </c>
      <c r="EG23" s="228">
        <f>IF(AND(133&gt;=$NR$23,133&lt;=$NS$23),IF($NP$23="Single_Point",IF(133=$NR$23,$NN$23,0),IF($NP$23="Bell_Curve",$NN$23*(133-$NR$23+1)*($NS$23-133+1)/$NU$23,$NN$23/$NT$23)),0)</f>
        <v/>
      </c>
      <c r="EH23" s="228">
        <f>IF(AND(134&gt;=$NR$23,134&lt;=$NS$23),IF($NP$23="Single_Point",IF(134=$NR$23,$NN$23,0),IF($NP$23="Bell_Curve",$NN$23*(134-$NR$23+1)*($NS$23-134+1)/$NU$23,$NN$23/$NT$23)),0)</f>
        <v/>
      </c>
      <c r="EI23" s="228">
        <f>IF(AND(135&gt;=$NR$23,135&lt;=$NS$23),IF($NP$23="Single_Point",IF(135=$NR$23,$NN$23,0),IF($NP$23="Bell_Curve",$NN$23*(135-$NR$23+1)*($NS$23-135+1)/$NU$23,$NN$23/$NT$23)),0)</f>
        <v/>
      </c>
      <c r="EJ23" s="228">
        <f>IF(AND(136&gt;=$NR$23,136&lt;=$NS$23),IF($NP$23="Single_Point",IF(136=$NR$23,$NN$23,0),IF($NP$23="Bell_Curve",$NN$23*(136-$NR$23+1)*($NS$23-136+1)/$NU$23,$NN$23/$NT$23)),0)</f>
        <v/>
      </c>
      <c r="EK23" s="228">
        <f>IF(AND(137&gt;=$NR$23,137&lt;=$NS$23),IF($NP$23="Single_Point",IF(137=$NR$23,$NN$23,0),IF($NP$23="Bell_Curve",$NN$23*(137-$NR$23+1)*($NS$23-137+1)/$NU$23,$NN$23/$NT$23)),0)</f>
        <v/>
      </c>
      <c r="EL23" s="228">
        <f>IF(AND(138&gt;=$NR$23,138&lt;=$NS$23),IF($NP$23="Single_Point",IF(138=$NR$23,$NN$23,0),IF($NP$23="Bell_Curve",$NN$23*(138-$NR$23+1)*($NS$23-138+1)/$NU$23,$NN$23/$NT$23)),0)</f>
        <v/>
      </c>
      <c r="EM23" s="228">
        <f>IF(AND(139&gt;=$NR$23,139&lt;=$NS$23),IF($NP$23="Single_Point",IF(139=$NR$23,$NN$23,0),IF($NP$23="Bell_Curve",$NN$23*(139-$NR$23+1)*($NS$23-139+1)/$NU$23,$NN$23/$NT$23)),0)</f>
        <v/>
      </c>
      <c r="EN23" s="228">
        <f>IF(AND(140&gt;=$NR$23,140&lt;=$NS$23),IF($NP$23="Single_Point",IF(140=$NR$23,$NN$23,0),IF($NP$23="Bell_Curve",$NN$23*(140-$NR$23+1)*($NS$23-140+1)/$NU$23,$NN$23/$NT$23)),0)</f>
        <v/>
      </c>
      <c r="EO23" s="228">
        <f>IF(AND(141&gt;=$NR$23,141&lt;=$NS$23),IF($NP$23="Single_Point",IF(141=$NR$23,$NN$23,0),IF($NP$23="Bell_Curve",$NN$23*(141-$NR$23+1)*($NS$23-141+1)/$NU$23,$NN$23/$NT$23)),0)</f>
        <v/>
      </c>
      <c r="EP23" s="228">
        <f>IF(AND(142&gt;=$NR$23,142&lt;=$NS$23),IF($NP$23="Single_Point",IF(142=$NR$23,$NN$23,0),IF($NP$23="Bell_Curve",$NN$23*(142-$NR$23+1)*($NS$23-142+1)/$NU$23,$NN$23/$NT$23)),0)</f>
        <v/>
      </c>
      <c r="EQ23" s="228">
        <f>IF(AND(143&gt;=$NR$23,143&lt;=$NS$23),IF($NP$23="Single_Point",IF(143=$NR$23,$NN$23,0),IF($NP$23="Bell_Curve",$NN$23*(143-$NR$23+1)*($NS$23-143+1)/$NU$23,$NN$23/$NT$23)),0)</f>
        <v/>
      </c>
      <c r="ER23" s="228">
        <f>IF(AND(144&gt;=$NR$23,144&lt;=$NS$23),IF($NP$23="Single_Point",IF(144=$NR$23,$NN$23,0),IF($NP$23="Bell_Curve",$NN$23*(144-$NR$23+1)*($NS$23-144+1)/$NU$23,$NN$23/$NT$23)),0)</f>
        <v/>
      </c>
      <c r="ES23" s="228">
        <f>IF(AND(145&gt;=$NR$23,145&lt;=$NS$23),IF($NP$23="Single_Point",IF(145=$NR$23,$NN$23,0),IF($NP$23="Bell_Curve",$NN$23*(145-$NR$23+1)*($NS$23-145+1)/$NU$23,$NN$23/$NT$23)),0)</f>
        <v/>
      </c>
      <c r="ET23" s="228">
        <f>IF(AND(146&gt;=$NR$23,146&lt;=$NS$23),IF($NP$23="Single_Point",IF(146=$NR$23,$NN$23,0),IF($NP$23="Bell_Curve",$NN$23*(146-$NR$23+1)*($NS$23-146+1)/$NU$23,$NN$23/$NT$23)),0)</f>
        <v/>
      </c>
      <c r="EU23" s="228">
        <f>IF(AND(147&gt;=$NR$23,147&lt;=$NS$23),IF($NP$23="Single_Point",IF(147=$NR$23,$NN$23,0),IF($NP$23="Bell_Curve",$NN$23*(147-$NR$23+1)*($NS$23-147+1)/$NU$23,$NN$23/$NT$23)),0)</f>
        <v/>
      </c>
      <c r="EV23" s="228">
        <f>IF(AND(148&gt;=$NR$23,148&lt;=$NS$23),IF($NP$23="Single_Point",IF(148=$NR$23,$NN$23,0),IF($NP$23="Bell_Curve",$NN$23*(148-$NR$23+1)*($NS$23-148+1)/$NU$23,$NN$23/$NT$23)),0)</f>
        <v/>
      </c>
      <c r="EW23" s="228">
        <f>IF(AND(149&gt;=$NR$23,149&lt;=$NS$23),IF($NP$23="Single_Point",IF(149=$NR$23,$NN$23,0),IF($NP$23="Bell_Curve",$NN$23*(149-$NR$23+1)*($NS$23-149+1)/$NU$23,$NN$23/$NT$23)),0)</f>
        <v/>
      </c>
      <c r="EX23" s="228">
        <f>IF(AND(150&gt;=$NR$23,150&lt;=$NS$23),IF($NP$23="Single_Point",IF(150=$NR$23,$NN$23,0),IF($NP$23="Bell_Curve",$NN$23*(150-$NR$23+1)*($NS$23-150+1)/$NU$23,$NN$23/$NT$23)),0)</f>
        <v/>
      </c>
      <c r="EY23" s="228">
        <f>IF(AND(151&gt;=$NR$23,151&lt;=$NS$23),IF($NP$23="Single_Point",IF(151=$NR$23,$NN$23,0),IF($NP$23="Bell_Curve",$NN$23*(151-$NR$23+1)*($NS$23-151+1)/$NU$23,$NN$23/$NT$23)),0)</f>
        <v/>
      </c>
      <c r="EZ23" s="228">
        <f>IF(AND(152&gt;=$NR$23,152&lt;=$NS$23),IF($NP$23="Single_Point",IF(152=$NR$23,$NN$23,0),IF($NP$23="Bell_Curve",$NN$23*(152-$NR$23+1)*($NS$23-152+1)/$NU$23,$NN$23/$NT$23)),0)</f>
        <v/>
      </c>
      <c r="FA23" s="228">
        <f>IF(AND(153&gt;=$NR$23,153&lt;=$NS$23),IF($NP$23="Single_Point",IF(153=$NR$23,$NN$23,0),IF($NP$23="Bell_Curve",$NN$23*(153-$NR$23+1)*($NS$23-153+1)/$NU$23,$NN$23/$NT$23)),0)</f>
        <v/>
      </c>
      <c r="FB23" s="228">
        <f>IF(AND(154&gt;=$NR$23,154&lt;=$NS$23),IF($NP$23="Single_Point",IF(154=$NR$23,$NN$23,0),IF($NP$23="Bell_Curve",$NN$23*(154-$NR$23+1)*($NS$23-154+1)/$NU$23,$NN$23/$NT$23)),0)</f>
        <v/>
      </c>
      <c r="FC23" s="228">
        <f>IF(AND(155&gt;=$NR$23,155&lt;=$NS$23),IF($NP$23="Single_Point",IF(155=$NR$23,$NN$23,0),IF($NP$23="Bell_Curve",$NN$23*(155-$NR$23+1)*($NS$23-155+1)/$NU$23,$NN$23/$NT$23)),0)</f>
        <v/>
      </c>
      <c r="FD23" s="228">
        <f>IF(AND(156&gt;=$NR$23,156&lt;=$NS$23),IF($NP$23="Single_Point",IF(156=$NR$23,$NN$23,0),IF($NP$23="Bell_Curve",$NN$23*(156-$NR$23+1)*($NS$23-156+1)/$NU$23,$NN$23/$NT$23)),0)</f>
        <v/>
      </c>
      <c r="FE23" s="228">
        <f>IF(AND(157&gt;=$NR$23,157&lt;=$NS$23),IF($NP$23="Single_Point",IF(157=$NR$23,$NN$23,0),IF($NP$23="Bell_Curve",$NN$23*(157-$NR$23+1)*($NS$23-157+1)/$NU$23,$NN$23/$NT$23)),0)</f>
        <v/>
      </c>
      <c r="FF23" s="228">
        <f>IF(AND(158&gt;=$NR$23,158&lt;=$NS$23),IF($NP$23="Single_Point",IF(158=$NR$23,$NN$23,0),IF($NP$23="Bell_Curve",$NN$23*(158-$NR$23+1)*($NS$23-158+1)/$NU$23,$NN$23/$NT$23)),0)</f>
        <v/>
      </c>
      <c r="FG23" s="228">
        <f>IF(AND(159&gt;=$NR$23,159&lt;=$NS$23),IF($NP$23="Single_Point",IF(159=$NR$23,$NN$23,0),IF($NP$23="Bell_Curve",$NN$23*(159-$NR$23+1)*($NS$23-159+1)/$NU$23,$NN$23/$NT$23)),0)</f>
        <v/>
      </c>
      <c r="FH23" s="228">
        <f>IF(AND(160&gt;=$NR$23,160&lt;=$NS$23),IF($NP$23="Single_Point",IF(160=$NR$23,$NN$23,0),IF($NP$23="Bell_Curve",$NN$23*(160-$NR$23+1)*($NS$23-160+1)/$NU$23,$NN$23/$NT$23)),0)</f>
        <v/>
      </c>
      <c r="FI23" s="228">
        <f>IF(AND(161&gt;=$NR$23,161&lt;=$NS$23),IF($NP$23="Single_Point",IF(161=$NR$23,$NN$23,0),IF($NP$23="Bell_Curve",$NN$23*(161-$NR$23+1)*($NS$23-161+1)/$NU$23,$NN$23/$NT$23)),0)</f>
        <v/>
      </c>
      <c r="FJ23" s="228">
        <f>IF(AND(162&gt;=$NR$23,162&lt;=$NS$23),IF($NP$23="Single_Point",IF(162=$NR$23,$NN$23,0),IF($NP$23="Bell_Curve",$NN$23*(162-$NR$23+1)*($NS$23-162+1)/$NU$23,$NN$23/$NT$23)),0)</f>
        <v/>
      </c>
      <c r="FK23" s="228">
        <f>IF(AND(163&gt;=$NR$23,163&lt;=$NS$23),IF($NP$23="Single_Point",IF(163=$NR$23,$NN$23,0),IF($NP$23="Bell_Curve",$NN$23*(163-$NR$23+1)*($NS$23-163+1)/$NU$23,$NN$23/$NT$23)),0)</f>
        <v/>
      </c>
      <c r="FL23" s="228">
        <f>IF(AND(164&gt;=$NR$23,164&lt;=$NS$23),IF($NP$23="Single_Point",IF(164=$NR$23,$NN$23,0),IF($NP$23="Bell_Curve",$NN$23*(164-$NR$23+1)*($NS$23-164+1)/$NU$23,$NN$23/$NT$23)),0)</f>
        <v/>
      </c>
      <c r="FM23" s="228">
        <f>IF(AND(165&gt;=$NR$23,165&lt;=$NS$23),IF($NP$23="Single_Point",IF(165=$NR$23,$NN$23,0),IF($NP$23="Bell_Curve",$NN$23*(165-$NR$23+1)*($NS$23-165+1)/$NU$23,$NN$23/$NT$23)),0)</f>
        <v/>
      </c>
      <c r="FN23" s="228">
        <f>IF(AND(166&gt;=$NR$23,166&lt;=$NS$23),IF($NP$23="Single_Point",IF(166=$NR$23,$NN$23,0),IF($NP$23="Bell_Curve",$NN$23*(166-$NR$23+1)*($NS$23-166+1)/$NU$23,$NN$23/$NT$23)),0)</f>
        <v/>
      </c>
      <c r="FO23" s="228">
        <f>IF(AND(167&gt;=$NR$23,167&lt;=$NS$23),IF($NP$23="Single_Point",IF(167=$NR$23,$NN$23,0),IF($NP$23="Bell_Curve",$NN$23*(167-$NR$23+1)*($NS$23-167+1)/$NU$23,$NN$23/$NT$23)),0)</f>
        <v/>
      </c>
      <c r="FP23" s="228">
        <f>IF(AND(168&gt;=$NR$23,168&lt;=$NS$23),IF($NP$23="Single_Point",IF(168=$NR$23,$NN$23,0),IF($NP$23="Bell_Curve",$NN$23*(168-$NR$23+1)*($NS$23-168+1)/$NU$23,$NN$23/$NT$23)),0)</f>
        <v/>
      </c>
      <c r="FQ23" s="228">
        <f>IF(AND(169&gt;=$NR$23,169&lt;=$NS$23),IF($NP$23="Single_Point",IF(169=$NR$23,$NN$23,0),IF($NP$23="Bell_Curve",$NN$23*(169-$NR$23+1)*($NS$23-169+1)/$NU$23,$NN$23/$NT$23)),0)</f>
        <v/>
      </c>
      <c r="FR23" s="228">
        <f>IF(AND(170&gt;=$NR$23,170&lt;=$NS$23),IF($NP$23="Single_Point",IF(170=$NR$23,$NN$23,0),IF($NP$23="Bell_Curve",$NN$23*(170-$NR$23+1)*($NS$23-170+1)/$NU$23,$NN$23/$NT$23)),0)</f>
        <v/>
      </c>
      <c r="FS23" s="228">
        <f>IF(AND(171&gt;=$NR$23,171&lt;=$NS$23),IF($NP$23="Single_Point",IF(171=$NR$23,$NN$23,0),IF($NP$23="Bell_Curve",$NN$23*(171-$NR$23+1)*($NS$23-171+1)/$NU$23,$NN$23/$NT$23)),0)</f>
        <v/>
      </c>
      <c r="FT23" s="228">
        <f>IF(AND(172&gt;=$NR$23,172&lt;=$NS$23),IF($NP$23="Single_Point",IF(172=$NR$23,$NN$23,0),IF($NP$23="Bell_Curve",$NN$23*(172-$NR$23+1)*($NS$23-172+1)/$NU$23,$NN$23/$NT$23)),0)</f>
        <v/>
      </c>
      <c r="FU23" s="228">
        <f>IF(AND(173&gt;=$NR$23,173&lt;=$NS$23),IF($NP$23="Single_Point",IF(173=$NR$23,$NN$23,0),IF($NP$23="Bell_Curve",$NN$23*(173-$NR$23+1)*($NS$23-173+1)/$NU$23,$NN$23/$NT$23)),0)</f>
        <v/>
      </c>
      <c r="FV23" s="228">
        <f>IF(AND(174&gt;=$NR$23,174&lt;=$NS$23),IF($NP$23="Single_Point",IF(174=$NR$23,$NN$23,0),IF($NP$23="Bell_Curve",$NN$23*(174-$NR$23+1)*($NS$23-174+1)/$NU$23,$NN$23/$NT$23)),0)</f>
        <v/>
      </c>
      <c r="FW23" s="228">
        <f>IF(AND(175&gt;=$NR$23,175&lt;=$NS$23),IF($NP$23="Single_Point",IF(175=$NR$23,$NN$23,0),IF($NP$23="Bell_Curve",$NN$23*(175-$NR$23+1)*($NS$23-175+1)/$NU$23,$NN$23/$NT$23)),0)</f>
        <v/>
      </c>
      <c r="FX23" s="228">
        <f>IF(AND(176&gt;=$NR$23,176&lt;=$NS$23),IF($NP$23="Single_Point",IF(176=$NR$23,$NN$23,0),IF($NP$23="Bell_Curve",$NN$23*(176-$NR$23+1)*($NS$23-176+1)/$NU$23,$NN$23/$NT$23)),0)</f>
        <v/>
      </c>
      <c r="FY23" s="228">
        <f>IF(AND(177&gt;=$NR$23,177&lt;=$NS$23),IF($NP$23="Single_Point",IF(177=$NR$23,$NN$23,0),IF($NP$23="Bell_Curve",$NN$23*(177-$NR$23+1)*($NS$23-177+1)/$NU$23,$NN$23/$NT$23)),0)</f>
        <v/>
      </c>
      <c r="FZ23" s="228">
        <f>IF(AND(178&gt;=$NR$23,178&lt;=$NS$23),IF($NP$23="Single_Point",IF(178=$NR$23,$NN$23,0),IF($NP$23="Bell_Curve",$NN$23*(178-$NR$23+1)*($NS$23-178+1)/$NU$23,$NN$23/$NT$23)),0)</f>
        <v/>
      </c>
      <c r="GA23" s="228">
        <f>IF(AND(179&gt;=$NR$23,179&lt;=$NS$23),IF($NP$23="Single_Point",IF(179=$NR$23,$NN$23,0),IF($NP$23="Bell_Curve",$NN$23*(179-$NR$23+1)*($NS$23-179+1)/$NU$23,$NN$23/$NT$23)),0)</f>
        <v/>
      </c>
      <c r="GB23" s="228">
        <f>IF(AND(180&gt;=$NR$23,180&lt;=$NS$23),IF($NP$23="Single_Point",IF(180=$NR$23,$NN$23,0),IF($NP$23="Bell_Curve",$NN$23*(180-$NR$23+1)*($NS$23-180+1)/$NU$23,$NN$23/$NT$23)),0)</f>
        <v/>
      </c>
      <c r="GC23" s="228">
        <f>IF(AND(181&gt;=$NR$23,181&lt;=$NS$23),IF($NP$23="Single_Point",IF(181=$NR$23,$NN$23,0),IF($NP$23="Bell_Curve",$NN$23*(181-$NR$23+1)*($NS$23-181+1)/$NU$23,$NN$23/$NT$23)),0)</f>
        <v/>
      </c>
      <c r="GD23" s="228">
        <f>IF(AND(182&gt;=$NR$23,182&lt;=$NS$23),IF($NP$23="Single_Point",IF(182=$NR$23,$NN$23,0),IF($NP$23="Bell_Curve",$NN$23*(182-$NR$23+1)*($NS$23-182+1)/$NU$23,$NN$23/$NT$23)),0)</f>
        <v/>
      </c>
      <c r="GE23" s="228">
        <f>IF(AND(183&gt;=$NR$23,183&lt;=$NS$23),IF($NP$23="Single_Point",IF(183=$NR$23,$NN$23,0),IF($NP$23="Bell_Curve",$NN$23*(183-$NR$23+1)*($NS$23-183+1)/$NU$23,$NN$23/$NT$23)),0)</f>
        <v/>
      </c>
      <c r="GF23" s="228">
        <f>IF(AND(184&gt;=$NR$23,184&lt;=$NS$23),IF($NP$23="Single_Point",IF(184=$NR$23,$NN$23,0),IF($NP$23="Bell_Curve",$NN$23*(184-$NR$23+1)*($NS$23-184+1)/$NU$23,$NN$23/$NT$23)),0)</f>
        <v/>
      </c>
      <c r="GG23" s="228">
        <f>IF(AND(185&gt;=$NR$23,185&lt;=$NS$23),IF($NP$23="Single_Point",IF(185=$NR$23,$NN$23,0),IF($NP$23="Bell_Curve",$NN$23*(185-$NR$23+1)*($NS$23-185+1)/$NU$23,$NN$23/$NT$23)),0)</f>
        <v/>
      </c>
      <c r="GH23" s="228">
        <f>IF(AND(186&gt;=$NR$23,186&lt;=$NS$23),IF($NP$23="Single_Point",IF(186=$NR$23,$NN$23,0),IF($NP$23="Bell_Curve",$NN$23*(186-$NR$23+1)*($NS$23-186+1)/$NU$23,$NN$23/$NT$23)),0)</f>
        <v/>
      </c>
      <c r="GI23" s="228">
        <f>IF(AND(187&gt;=$NR$23,187&lt;=$NS$23),IF($NP$23="Single_Point",IF(187=$NR$23,$NN$23,0),IF($NP$23="Bell_Curve",$NN$23*(187-$NR$23+1)*($NS$23-187+1)/$NU$23,$NN$23/$NT$23)),0)</f>
        <v/>
      </c>
      <c r="GJ23" s="228">
        <f>IF(AND(188&gt;=$NR$23,188&lt;=$NS$23),IF($NP$23="Single_Point",IF(188=$NR$23,$NN$23,0),IF($NP$23="Bell_Curve",$NN$23*(188-$NR$23+1)*($NS$23-188+1)/$NU$23,$NN$23/$NT$23)),0)</f>
        <v/>
      </c>
      <c r="GK23" s="228">
        <f>IF(AND(189&gt;=$NR$23,189&lt;=$NS$23),IF($NP$23="Single_Point",IF(189=$NR$23,$NN$23,0),IF($NP$23="Bell_Curve",$NN$23*(189-$NR$23+1)*($NS$23-189+1)/$NU$23,$NN$23/$NT$23)),0)</f>
        <v/>
      </c>
      <c r="GL23" s="228">
        <f>IF(AND(190&gt;=$NR$23,190&lt;=$NS$23),IF($NP$23="Single_Point",IF(190=$NR$23,$NN$23,0),IF($NP$23="Bell_Curve",$NN$23*(190-$NR$23+1)*($NS$23-190+1)/$NU$23,$NN$23/$NT$23)),0)</f>
        <v/>
      </c>
      <c r="GM23" s="228">
        <f>IF(AND(191&gt;=$NR$23,191&lt;=$NS$23),IF($NP$23="Single_Point",IF(191=$NR$23,$NN$23,0),IF($NP$23="Bell_Curve",$NN$23*(191-$NR$23+1)*($NS$23-191+1)/$NU$23,$NN$23/$NT$23)),0)</f>
        <v/>
      </c>
      <c r="GN23" s="228">
        <f>IF(AND(192&gt;=$NR$23,192&lt;=$NS$23),IF($NP$23="Single_Point",IF(192=$NR$23,$NN$23,0),IF($NP$23="Bell_Curve",$NN$23*(192-$NR$23+1)*($NS$23-192+1)/$NU$23,$NN$23/$NT$23)),0)</f>
        <v/>
      </c>
      <c r="GO23" s="228">
        <f>IF(AND(193&gt;=$NR$23,193&lt;=$NS$23),IF($NP$23="Single_Point",IF(193=$NR$23,$NN$23,0),IF($NP$23="Bell_Curve",$NN$23*(193-$NR$23+1)*($NS$23-193+1)/$NU$23,$NN$23/$NT$23)),0)</f>
        <v/>
      </c>
      <c r="GP23" s="228">
        <f>IF(AND(194&gt;=$NR$23,194&lt;=$NS$23),IF($NP$23="Single_Point",IF(194=$NR$23,$NN$23,0),IF($NP$23="Bell_Curve",$NN$23*(194-$NR$23+1)*($NS$23-194+1)/$NU$23,$NN$23/$NT$23)),0)</f>
        <v/>
      </c>
      <c r="GQ23" s="228">
        <f>IF(AND(195&gt;=$NR$23,195&lt;=$NS$23),IF($NP$23="Single_Point",IF(195=$NR$23,$NN$23,0),IF($NP$23="Bell_Curve",$NN$23*(195-$NR$23+1)*($NS$23-195+1)/$NU$23,$NN$23/$NT$23)),0)</f>
        <v/>
      </c>
      <c r="GR23" s="228">
        <f>IF(AND(196&gt;=$NR$23,196&lt;=$NS$23),IF($NP$23="Single_Point",IF(196=$NR$23,$NN$23,0),IF($NP$23="Bell_Curve",$NN$23*(196-$NR$23+1)*($NS$23-196+1)/$NU$23,$NN$23/$NT$23)),0)</f>
        <v/>
      </c>
      <c r="GS23" s="228">
        <f>IF(AND(197&gt;=$NR$23,197&lt;=$NS$23),IF($NP$23="Single_Point",IF(197=$NR$23,$NN$23,0),IF($NP$23="Bell_Curve",$NN$23*(197-$NR$23+1)*($NS$23-197+1)/$NU$23,$NN$23/$NT$23)),0)</f>
        <v/>
      </c>
      <c r="GT23" s="228">
        <f>IF(AND(198&gt;=$NR$23,198&lt;=$NS$23),IF($NP$23="Single_Point",IF(198=$NR$23,$NN$23,0),IF($NP$23="Bell_Curve",$NN$23*(198-$NR$23+1)*($NS$23-198+1)/$NU$23,$NN$23/$NT$23)),0)</f>
        <v/>
      </c>
      <c r="GU23" s="228">
        <f>IF(AND(199&gt;=$NR$23,199&lt;=$NS$23),IF($NP$23="Single_Point",IF(199=$NR$23,$NN$23,0),IF($NP$23="Bell_Curve",$NN$23*(199-$NR$23+1)*($NS$23-199+1)/$NU$23,$NN$23/$NT$23)),0)</f>
        <v/>
      </c>
      <c r="GV23" s="228">
        <f>IF(AND(200&gt;=$NR$23,200&lt;=$NS$23),IF($NP$23="Single_Point",IF(200=$NR$23,$NN$23,0),IF($NP$23="Bell_Curve",$NN$23*(200-$NR$23+1)*($NS$23-200+1)/$NU$23,$NN$23/$NT$23)),0)</f>
        <v/>
      </c>
      <c r="GW23" s="228">
        <f>IF(AND(201&gt;=$NR$23,201&lt;=$NS$23),IF($NP$23="Single_Point",IF(201=$NR$23,$NN$23,0),IF($NP$23="Bell_Curve",$NN$23*(201-$NR$23+1)*($NS$23-201+1)/$NU$23,$NN$23/$NT$23)),0)</f>
        <v/>
      </c>
      <c r="GX23" s="228">
        <f>IF(AND(202&gt;=$NR$23,202&lt;=$NS$23),IF($NP$23="Single_Point",IF(202=$NR$23,$NN$23,0),IF($NP$23="Bell_Curve",$NN$23*(202-$NR$23+1)*($NS$23-202+1)/$NU$23,$NN$23/$NT$23)),0)</f>
        <v/>
      </c>
      <c r="GY23" s="228">
        <f>IF(AND(203&gt;=$NR$23,203&lt;=$NS$23),IF($NP$23="Single_Point",IF(203=$NR$23,$NN$23,0),IF($NP$23="Bell_Curve",$NN$23*(203-$NR$23+1)*($NS$23-203+1)/$NU$23,$NN$23/$NT$23)),0)</f>
        <v/>
      </c>
      <c r="GZ23" s="228">
        <f>IF(AND(204&gt;=$NR$23,204&lt;=$NS$23),IF($NP$23="Single_Point",IF(204=$NR$23,$NN$23,0),IF($NP$23="Bell_Curve",$NN$23*(204-$NR$23+1)*($NS$23-204+1)/$NU$23,$NN$23/$NT$23)),0)</f>
        <v/>
      </c>
      <c r="HA23" s="228">
        <f>IF(AND(205&gt;=$NR$23,205&lt;=$NS$23),IF($NP$23="Single_Point",IF(205=$NR$23,$NN$23,0),IF($NP$23="Bell_Curve",$NN$23*(205-$NR$23+1)*($NS$23-205+1)/$NU$23,$NN$23/$NT$23)),0)</f>
        <v/>
      </c>
      <c r="HB23" s="228">
        <f>IF(AND(206&gt;=$NR$23,206&lt;=$NS$23),IF($NP$23="Single_Point",IF(206=$NR$23,$NN$23,0),IF($NP$23="Bell_Curve",$NN$23*(206-$NR$23+1)*($NS$23-206+1)/$NU$23,$NN$23/$NT$23)),0)</f>
        <v/>
      </c>
      <c r="HC23" s="228">
        <f>IF(AND(207&gt;=$NR$23,207&lt;=$NS$23),IF($NP$23="Single_Point",IF(207=$NR$23,$NN$23,0),IF($NP$23="Bell_Curve",$NN$23*(207-$NR$23+1)*($NS$23-207+1)/$NU$23,$NN$23/$NT$23)),0)</f>
        <v/>
      </c>
      <c r="HD23" s="228">
        <f>IF(AND(208&gt;=$NR$23,208&lt;=$NS$23),IF($NP$23="Single_Point",IF(208=$NR$23,$NN$23,0),IF($NP$23="Bell_Curve",$NN$23*(208-$NR$23+1)*($NS$23-208+1)/$NU$23,$NN$23/$NT$23)),0)</f>
        <v/>
      </c>
      <c r="HE23" s="228">
        <f>IF(AND(209&gt;=$NR$23,209&lt;=$NS$23),IF($NP$23="Single_Point",IF(209=$NR$23,$NN$23,0),IF($NP$23="Bell_Curve",$NN$23*(209-$NR$23+1)*($NS$23-209+1)/$NU$23,$NN$23/$NT$23)),0)</f>
        <v/>
      </c>
      <c r="HF23" s="228">
        <f>IF(AND(210&gt;=$NR$23,210&lt;=$NS$23),IF($NP$23="Single_Point",IF(210=$NR$23,$NN$23,0),IF($NP$23="Bell_Curve",$NN$23*(210-$NR$23+1)*($NS$23-210+1)/$NU$23,$NN$23/$NT$23)),0)</f>
        <v/>
      </c>
      <c r="HG23" s="228">
        <f>IF(AND(211&gt;=$NR$23,211&lt;=$NS$23),IF($NP$23="Single_Point",IF(211=$NR$23,$NN$23,0),IF($NP$23="Bell_Curve",$NN$23*(211-$NR$23+1)*($NS$23-211+1)/$NU$23,$NN$23/$NT$23)),0)</f>
        <v/>
      </c>
      <c r="HH23" s="228">
        <f>IF(AND(212&gt;=$NR$23,212&lt;=$NS$23),IF($NP$23="Single_Point",IF(212=$NR$23,$NN$23,0),IF($NP$23="Bell_Curve",$NN$23*(212-$NR$23+1)*($NS$23-212+1)/$NU$23,$NN$23/$NT$23)),0)</f>
        <v/>
      </c>
      <c r="HI23" s="228">
        <f>IF(AND(213&gt;=$NR$23,213&lt;=$NS$23),IF($NP$23="Single_Point",IF(213=$NR$23,$NN$23,0),IF($NP$23="Bell_Curve",$NN$23*(213-$NR$23+1)*($NS$23-213+1)/$NU$23,$NN$23/$NT$23)),0)</f>
        <v/>
      </c>
      <c r="HJ23" s="228">
        <f>IF(AND(214&gt;=$NR$23,214&lt;=$NS$23),IF($NP$23="Single_Point",IF(214=$NR$23,$NN$23,0),IF($NP$23="Bell_Curve",$NN$23*(214-$NR$23+1)*($NS$23-214+1)/$NU$23,$NN$23/$NT$23)),0)</f>
        <v/>
      </c>
      <c r="HK23" s="228">
        <f>IF(AND(215&gt;=$NR$23,215&lt;=$NS$23),IF($NP$23="Single_Point",IF(215=$NR$23,$NN$23,0),IF($NP$23="Bell_Curve",$NN$23*(215-$NR$23+1)*($NS$23-215+1)/$NU$23,$NN$23/$NT$23)),0)</f>
        <v/>
      </c>
      <c r="HL23" s="228">
        <f>IF(AND(216&gt;=$NR$23,216&lt;=$NS$23),IF($NP$23="Single_Point",IF(216=$NR$23,$NN$23,0),IF($NP$23="Bell_Curve",$NN$23*(216-$NR$23+1)*($NS$23-216+1)/$NU$23,$NN$23/$NT$23)),0)</f>
        <v/>
      </c>
      <c r="HM23" s="228">
        <f>IF(AND(217&gt;=$NR$23,217&lt;=$NS$23),IF($NP$23="Single_Point",IF(217=$NR$23,$NN$23,0),IF($NP$23="Bell_Curve",$NN$23*(217-$NR$23+1)*($NS$23-217+1)/$NU$23,$NN$23/$NT$23)),0)</f>
        <v/>
      </c>
      <c r="HN23" s="228">
        <f>IF(AND(218&gt;=$NR$23,218&lt;=$NS$23),IF($NP$23="Single_Point",IF(218=$NR$23,$NN$23,0),IF($NP$23="Bell_Curve",$NN$23*(218-$NR$23+1)*($NS$23-218+1)/$NU$23,$NN$23/$NT$23)),0)</f>
        <v/>
      </c>
      <c r="HO23" s="228">
        <f>IF(AND(219&gt;=$NR$23,219&lt;=$NS$23),IF($NP$23="Single_Point",IF(219=$NR$23,$NN$23,0),IF($NP$23="Bell_Curve",$NN$23*(219-$NR$23+1)*($NS$23-219+1)/$NU$23,$NN$23/$NT$23)),0)</f>
        <v/>
      </c>
      <c r="HP23" s="228">
        <f>IF(AND(220&gt;=$NR$23,220&lt;=$NS$23),IF($NP$23="Single_Point",IF(220=$NR$23,$NN$23,0),IF($NP$23="Bell_Curve",$NN$23*(220-$NR$23+1)*($NS$23-220+1)/$NU$23,$NN$23/$NT$23)),0)</f>
        <v/>
      </c>
      <c r="HQ23" s="228">
        <f>IF(AND(221&gt;=$NR$23,221&lt;=$NS$23),IF($NP$23="Single_Point",IF(221=$NR$23,$NN$23,0),IF($NP$23="Bell_Curve",$NN$23*(221-$NR$23+1)*($NS$23-221+1)/$NU$23,$NN$23/$NT$23)),0)</f>
        <v/>
      </c>
      <c r="HR23" s="228">
        <f>IF(AND(222&gt;=$NR$23,222&lt;=$NS$23),IF($NP$23="Single_Point",IF(222=$NR$23,$NN$23,0),IF($NP$23="Bell_Curve",$NN$23*(222-$NR$23+1)*($NS$23-222+1)/$NU$23,$NN$23/$NT$23)),0)</f>
        <v/>
      </c>
      <c r="HS23" s="228">
        <f>IF(AND(223&gt;=$NR$23,223&lt;=$NS$23),IF($NP$23="Single_Point",IF(223=$NR$23,$NN$23,0),IF($NP$23="Bell_Curve",$NN$23*(223-$NR$23+1)*($NS$23-223+1)/$NU$23,$NN$23/$NT$23)),0)</f>
        <v/>
      </c>
      <c r="HT23" s="228">
        <f>IF(AND(224&gt;=$NR$23,224&lt;=$NS$23),IF($NP$23="Single_Point",IF(224=$NR$23,$NN$23,0),IF($NP$23="Bell_Curve",$NN$23*(224-$NR$23+1)*($NS$23-224+1)/$NU$23,$NN$23/$NT$23)),0)</f>
        <v/>
      </c>
      <c r="HU23" s="228">
        <f>IF(AND(225&gt;=$NR$23,225&lt;=$NS$23),IF($NP$23="Single_Point",IF(225=$NR$23,$NN$23,0),IF($NP$23="Bell_Curve",$NN$23*(225-$NR$23+1)*($NS$23-225+1)/$NU$23,$NN$23/$NT$23)),0)</f>
        <v/>
      </c>
      <c r="HV23" s="228">
        <f>IF(AND(226&gt;=$NR$23,226&lt;=$NS$23),IF($NP$23="Single_Point",IF(226=$NR$23,$NN$23,0),IF($NP$23="Bell_Curve",$NN$23*(226-$NR$23+1)*($NS$23-226+1)/$NU$23,$NN$23/$NT$23)),0)</f>
        <v/>
      </c>
      <c r="HW23" s="228">
        <f>IF(AND(227&gt;=$NR$23,227&lt;=$NS$23),IF($NP$23="Single_Point",IF(227=$NR$23,$NN$23,0),IF($NP$23="Bell_Curve",$NN$23*(227-$NR$23+1)*($NS$23-227+1)/$NU$23,$NN$23/$NT$23)),0)</f>
        <v/>
      </c>
      <c r="HX23" s="228">
        <f>IF(AND(228&gt;=$NR$23,228&lt;=$NS$23),IF($NP$23="Single_Point",IF(228=$NR$23,$NN$23,0),IF($NP$23="Bell_Curve",$NN$23*(228-$NR$23+1)*($NS$23-228+1)/$NU$23,$NN$23/$NT$23)),0)</f>
        <v/>
      </c>
      <c r="HY23" s="228">
        <f>IF(AND(229&gt;=$NR$23,229&lt;=$NS$23),IF($NP$23="Single_Point",IF(229=$NR$23,$NN$23,0),IF($NP$23="Bell_Curve",$NN$23*(229-$NR$23+1)*($NS$23-229+1)/$NU$23,$NN$23/$NT$23)),0)</f>
        <v/>
      </c>
      <c r="HZ23" s="228">
        <f>IF(AND(230&gt;=$NR$23,230&lt;=$NS$23),IF($NP$23="Single_Point",IF(230=$NR$23,$NN$23,0),IF($NP$23="Bell_Curve",$NN$23*(230-$NR$23+1)*($NS$23-230+1)/$NU$23,$NN$23/$NT$23)),0)</f>
        <v/>
      </c>
      <c r="IA23" s="228">
        <f>IF(AND(231&gt;=$NR$23,231&lt;=$NS$23),IF($NP$23="Single_Point",IF(231=$NR$23,$NN$23,0),IF($NP$23="Bell_Curve",$NN$23*(231-$NR$23+1)*($NS$23-231+1)/$NU$23,$NN$23/$NT$23)),0)</f>
        <v/>
      </c>
      <c r="IB23" s="228">
        <f>IF(AND(232&gt;=$NR$23,232&lt;=$NS$23),IF($NP$23="Single_Point",IF(232=$NR$23,$NN$23,0),IF($NP$23="Bell_Curve",$NN$23*(232-$NR$23+1)*($NS$23-232+1)/$NU$23,$NN$23/$NT$23)),0)</f>
        <v/>
      </c>
      <c r="IC23" s="228">
        <f>IF(AND(233&gt;=$NR$23,233&lt;=$NS$23),IF($NP$23="Single_Point",IF(233=$NR$23,$NN$23,0),IF($NP$23="Bell_Curve",$NN$23*(233-$NR$23+1)*($NS$23-233+1)/$NU$23,$NN$23/$NT$23)),0)</f>
        <v/>
      </c>
      <c r="ID23" s="228">
        <f>IF(AND(234&gt;=$NR$23,234&lt;=$NS$23),IF($NP$23="Single_Point",IF(234=$NR$23,$NN$23,0),IF($NP$23="Bell_Curve",$NN$23*(234-$NR$23+1)*($NS$23-234+1)/$NU$23,$NN$23/$NT$23)),0)</f>
        <v/>
      </c>
      <c r="IE23" s="228">
        <f>IF(AND(235&gt;=$NR$23,235&lt;=$NS$23),IF($NP$23="Single_Point",IF(235=$NR$23,$NN$23,0),IF($NP$23="Bell_Curve",$NN$23*(235-$NR$23+1)*($NS$23-235+1)/$NU$23,$NN$23/$NT$23)),0)</f>
        <v/>
      </c>
      <c r="IF23" s="228">
        <f>IF(AND(236&gt;=$NR$23,236&lt;=$NS$23),IF($NP$23="Single_Point",IF(236=$NR$23,$NN$23,0),IF($NP$23="Bell_Curve",$NN$23*(236-$NR$23+1)*($NS$23-236+1)/$NU$23,$NN$23/$NT$23)),0)</f>
        <v/>
      </c>
      <c r="IG23" s="228">
        <f>IF(AND(237&gt;=$NR$23,237&lt;=$NS$23),IF($NP$23="Single_Point",IF(237=$NR$23,$NN$23,0),IF($NP$23="Bell_Curve",$NN$23*(237-$NR$23+1)*($NS$23-237+1)/$NU$23,$NN$23/$NT$23)),0)</f>
        <v/>
      </c>
      <c r="IH23" s="228">
        <f>IF(AND(238&gt;=$NR$23,238&lt;=$NS$23),IF($NP$23="Single_Point",IF(238=$NR$23,$NN$23,0),IF($NP$23="Bell_Curve",$NN$23*(238-$NR$23+1)*($NS$23-238+1)/$NU$23,$NN$23/$NT$23)),0)</f>
        <v/>
      </c>
      <c r="II23" s="228">
        <f>IF(AND(239&gt;=$NR$23,239&lt;=$NS$23),IF($NP$23="Single_Point",IF(239=$NR$23,$NN$23,0),IF($NP$23="Bell_Curve",$NN$23*(239-$NR$23+1)*($NS$23-239+1)/$NU$23,$NN$23/$NT$23)),0)</f>
        <v/>
      </c>
      <c r="IJ23" s="228">
        <f>IF(AND(240&gt;=$NR$23,240&lt;=$NS$23),IF($NP$23="Single_Point",IF(240=$NR$23,$NN$23,0),IF($NP$23="Bell_Curve",$NN$23*(240-$NR$23+1)*($NS$23-240+1)/$NU$23,$NN$23/$NT$23)),0)</f>
        <v/>
      </c>
      <c r="IK23" s="228">
        <f>IF(AND(241&gt;=$NR$23,241&lt;=$NS$23),IF($NP$23="Single_Point",IF(241=$NR$23,$NN$23,0),IF($NP$23="Bell_Curve",$NN$23*(241-$NR$23+1)*($NS$23-241+1)/$NU$23,$NN$23/$NT$23)),0)</f>
        <v/>
      </c>
      <c r="IL23" s="228">
        <f>IF(AND(242&gt;=$NR$23,242&lt;=$NS$23),IF($NP$23="Single_Point",IF(242=$NR$23,$NN$23,0),IF($NP$23="Bell_Curve",$NN$23*(242-$NR$23+1)*($NS$23-242+1)/$NU$23,$NN$23/$NT$23)),0)</f>
        <v/>
      </c>
      <c r="IM23" s="228">
        <f>IF(AND(243&gt;=$NR$23,243&lt;=$NS$23),IF($NP$23="Single_Point",IF(243=$NR$23,$NN$23,0),IF($NP$23="Bell_Curve",$NN$23*(243-$NR$23+1)*($NS$23-243+1)/$NU$23,$NN$23/$NT$23)),0)</f>
        <v/>
      </c>
      <c r="IN23" s="228">
        <f>IF(AND(244&gt;=$NR$23,244&lt;=$NS$23),IF($NP$23="Single_Point",IF(244=$NR$23,$NN$23,0),IF($NP$23="Bell_Curve",$NN$23*(244-$NR$23+1)*($NS$23-244+1)/$NU$23,$NN$23/$NT$23)),0)</f>
        <v/>
      </c>
      <c r="IO23" s="228">
        <f>IF(AND(245&gt;=$NR$23,245&lt;=$NS$23),IF($NP$23="Single_Point",IF(245=$NR$23,$NN$23,0),IF($NP$23="Bell_Curve",$NN$23*(245-$NR$23+1)*($NS$23-245+1)/$NU$23,$NN$23/$NT$23)),0)</f>
        <v/>
      </c>
      <c r="IP23" s="228">
        <f>IF(AND(246&gt;=$NR$23,246&lt;=$NS$23),IF($NP$23="Single_Point",IF(246=$NR$23,$NN$23,0),IF($NP$23="Bell_Curve",$NN$23*(246-$NR$23+1)*($NS$23-246+1)/$NU$23,$NN$23/$NT$23)),0)</f>
        <v/>
      </c>
      <c r="IQ23" s="228">
        <f>IF(AND(247&gt;=$NR$23,247&lt;=$NS$23),IF($NP$23="Single_Point",IF(247=$NR$23,$NN$23,0),IF($NP$23="Bell_Curve",$NN$23*(247-$NR$23+1)*($NS$23-247+1)/$NU$23,$NN$23/$NT$23)),0)</f>
        <v/>
      </c>
      <c r="IR23" s="228">
        <f>IF(AND(248&gt;=$NR$23,248&lt;=$NS$23),IF($NP$23="Single_Point",IF(248=$NR$23,$NN$23,0),IF($NP$23="Bell_Curve",$NN$23*(248-$NR$23+1)*($NS$23-248+1)/$NU$23,$NN$23/$NT$23)),0)</f>
        <v/>
      </c>
      <c r="IS23" s="228">
        <f>IF(AND(249&gt;=$NR$23,249&lt;=$NS$23),IF($NP$23="Single_Point",IF(249=$NR$23,$NN$23,0),IF($NP$23="Bell_Curve",$NN$23*(249-$NR$23+1)*($NS$23-249+1)/$NU$23,$NN$23/$NT$23)),0)</f>
        <v/>
      </c>
      <c r="IT23" s="228">
        <f>IF(AND(250&gt;=$NR$23,250&lt;=$NS$23),IF($NP$23="Single_Point",IF(250=$NR$23,$NN$23,0),IF($NP$23="Bell_Curve",$NN$23*(250-$NR$23+1)*($NS$23-250+1)/$NU$23,$NN$23/$NT$23)),0)</f>
        <v/>
      </c>
      <c r="IU23" s="228">
        <f>IF(AND(251&gt;=$NR$23,251&lt;=$NS$23),IF($NP$23="Single_Point",IF(251=$NR$23,$NN$23,0),IF($NP$23="Bell_Curve",$NN$23*(251-$NR$23+1)*($NS$23-251+1)/$NU$23,$NN$23/$NT$23)),0)</f>
        <v/>
      </c>
      <c r="IV23" s="228">
        <f>IF(AND(252&gt;=$NR$23,252&lt;=$NS$23),IF($NP$23="Single_Point",IF(252=$NR$23,$NN$23,0),IF($NP$23="Bell_Curve",$NN$23*(252-$NR$23+1)*($NS$23-252+1)/$NU$23,$NN$23/$NT$23)),0)</f>
        <v/>
      </c>
      <c r="IW23" s="228">
        <f>IF(AND(253&gt;=$NR$23,253&lt;=$NS$23),IF($NP$23="Single_Point",IF(253=$NR$23,$NN$23,0),IF($NP$23="Bell_Curve",$NN$23*(253-$NR$23+1)*($NS$23-253+1)/$NU$23,$NN$23/$NT$23)),0)</f>
        <v/>
      </c>
      <c r="IX23" s="228">
        <f>IF(AND(254&gt;=$NR$23,254&lt;=$NS$23),IF($NP$23="Single_Point",IF(254=$NR$23,$NN$23,0),IF($NP$23="Bell_Curve",$NN$23*(254-$NR$23+1)*($NS$23-254+1)/$NU$23,$NN$23/$NT$23)),0)</f>
        <v/>
      </c>
      <c r="IY23" s="228">
        <f>IF(AND(255&gt;=$NR$23,255&lt;=$NS$23),IF($NP$23="Single_Point",IF(255=$NR$23,$NN$23,0),IF($NP$23="Bell_Curve",$NN$23*(255-$NR$23+1)*($NS$23-255+1)/$NU$23,$NN$23/$NT$23)),0)</f>
        <v/>
      </c>
      <c r="IZ23" s="228">
        <f>IF(AND(256&gt;=$NR$23,256&lt;=$NS$23),IF($NP$23="Single_Point",IF(256=$NR$23,$NN$23,0),IF($NP$23="Bell_Curve",$NN$23*(256-$NR$23+1)*($NS$23-256+1)/$NU$23,$NN$23/$NT$23)),0)</f>
        <v/>
      </c>
      <c r="JA23" s="228">
        <f>IF(AND(257&gt;=$NR$23,257&lt;=$NS$23),IF($NP$23="Single_Point",IF(257=$NR$23,$NN$23,0),IF($NP$23="Bell_Curve",$NN$23*(257-$NR$23+1)*($NS$23-257+1)/$NU$23,$NN$23/$NT$23)),0)</f>
        <v/>
      </c>
      <c r="JB23" s="228">
        <f>IF(AND(258&gt;=$NR$23,258&lt;=$NS$23),IF($NP$23="Single_Point",IF(258=$NR$23,$NN$23,0),IF($NP$23="Bell_Curve",$NN$23*(258-$NR$23+1)*($NS$23-258+1)/$NU$23,$NN$23/$NT$23)),0)</f>
        <v/>
      </c>
      <c r="JC23" s="228">
        <f>IF(AND(259&gt;=$NR$23,259&lt;=$NS$23),IF($NP$23="Single_Point",IF(259=$NR$23,$NN$23,0),IF($NP$23="Bell_Curve",$NN$23*(259-$NR$23+1)*($NS$23-259+1)/$NU$23,$NN$23/$NT$23)),0)</f>
        <v/>
      </c>
      <c r="JD23" s="228">
        <f>IF(AND(260&gt;=$NR$23,260&lt;=$NS$23),IF($NP$23="Single_Point",IF(260=$NR$23,$NN$23,0),IF($NP$23="Bell_Curve",$NN$23*(260-$NR$23+1)*($NS$23-260+1)/$NU$23,$NN$23/$NT$23)),0)</f>
        <v/>
      </c>
      <c r="JE23" s="228">
        <f>IF(AND(261&gt;=$NR$23,261&lt;=$NS$23),IF($NP$23="Single_Point",IF(261=$NR$23,$NN$23,0),IF($NP$23="Bell_Curve",$NN$23*(261-$NR$23+1)*($NS$23-261+1)/$NU$23,$NN$23/$NT$23)),0)</f>
        <v/>
      </c>
      <c r="JF23" s="228">
        <f>IF(AND(262&gt;=$NR$23,262&lt;=$NS$23),IF($NP$23="Single_Point",IF(262=$NR$23,$NN$23,0),IF($NP$23="Bell_Curve",$NN$23*(262-$NR$23+1)*($NS$23-262+1)/$NU$23,$NN$23/$NT$23)),0)</f>
        <v/>
      </c>
      <c r="JG23" s="228">
        <f>IF(AND(263&gt;=$NR$23,263&lt;=$NS$23),IF($NP$23="Single_Point",IF(263=$NR$23,$NN$23,0),IF($NP$23="Bell_Curve",$NN$23*(263-$NR$23+1)*($NS$23-263+1)/$NU$23,$NN$23/$NT$23)),0)</f>
        <v/>
      </c>
      <c r="JH23" s="228">
        <f>IF(AND(264&gt;=$NR$23,264&lt;=$NS$23),IF($NP$23="Single_Point",IF(264=$NR$23,$NN$23,0),IF($NP$23="Bell_Curve",$NN$23*(264-$NR$23+1)*($NS$23-264+1)/$NU$23,$NN$23/$NT$23)),0)</f>
        <v/>
      </c>
      <c r="JI23" s="228">
        <f>IF(AND(265&gt;=$NR$23,265&lt;=$NS$23),IF($NP$23="Single_Point",IF(265=$NR$23,$NN$23,0),IF($NP$23="Bell_Curve",$NN$23*(265-$NR$23+1)*($NS$23-265+1)/$NU$23,$NN$23/$NT$23)),0)</f>
        <v/>
      </c>
      <c r="JJ23" s="228">
        <f>IF(AND(266&gt;=$NR$23,266&lt;=$NS$23),IF($NP$23="Single_Point",IF(266=$NR$23,$NN$23,0),IF($NP$23="Bell_Curve",$NN$23*(266-$NR$23+1)*($NS$23-266+1)/$NU$23,$NN$23/$NT$23)),0)</f>
        <v/>
      </c>
      <c r="JK23" s="228">
        <f>IF(AND(267&gt;=$NR$23,267&lt;=$NS$23),IF($NP$23="Single_Point",IF(267=$NR$23,$NN$23,0),IF($NP$23="Bell_Curve",$NN$23*(267-$NR$23+1)*($NS$23-267+1)/$NU$23,$NN$23/$NT$23)),0)</f>
        <v/>
      </c>
      <c r="JL23" s="228">
        <f>IF(AND(268&gt;=$NR$23,268&lt;=$NS$23),IF($NP$23="Single_Point",IF(268=$NR$23,$NN$23,0),IF($NP$23="Bell_Curve",$NN$23*(268-$NR$23+1)*($NS$23-268+1)/$NU$23,$NN$23/$NT$23)),0)</f>
        <v/>
      </c>
      <c r="JM23" s="228">
        <f>IF(AND(269&gt;=$NR$23,269&lt;=$NS$23),IF($NP$23="Single_Point",IF(269=$NR$23,$NN$23,0),IF($NP$23="Bell_Curve",$NN$23*(269-$NR$23+1)*($NS$23-269+1)/$NU$23,$NN$23/$NT$23)),0)</f>
        <v/>
      </c>
      <c r="JN23" s="228">
        <f>IF(AND(270&gt;=$NR$23,270&lt;=$NS$23),IF($NP$23="Single_Point",IF(270=$NR$23,$NN$23,0),IF($NP$23="Bell_Curve",$NN$23*(270-$NR$23+1)*($NS$23-270+1)/$NU$23,$NN$23/$NT$23)),0)</f>
        <v/>
      </c>
      <c r="JO23" s="228">
        <f>IF(AND(271&gt;=$NR$23,271&lt;=$NS$23),IF($NP$23="Single_Point",IF(271=$NR$23,$NN$23,0),IF($NP$23="Bell_Curve",$NN$23*(271-$NR$23+1)*($NS$23-271+1)/$NU$23,$NN$23/$NT$23)),0)</f>
        <v/>
      </c>
      <c r="JP23" s="228">
        <f>IF(AND(272&gt;=$NR$23,272&lt;=$NS$23),IF($NP$23="Single_Point",IF(272=$NR$23,$NN$23,0),IF($NP$23="Bell_Curve",$NN$23*(272-$NR$23+1)*($NS$23-272+1)/$NU$23,$NN$23/$NT$23)),0)</f>
        <v/>
      </c>
      <c r="JQ23" s="228">
        <f>IF(AND(273&gt;=$NR$23,273&lt;=$NS$23),IF($NP$23="Single_Point",IF(273=$NR$23,$NN$23,0),IF($NP$23="Bell_Curve",$NN$23*(273-$NR$23+1)*($NS$23-273+1)/$NU$23,$NN$23/$NT$23)),0)</f>
        <v/>
      </c>
      <c r="JR23" s="228">
        <f>IF(AND(274&gt;=$NR$23,274&lt;=$NS$23),IF($NP$23="Single_Point",IF(274=$NR$23,$NN$23,0),IF($NP$23="Bell_Curve",$NN$23*(274-$NR$23+1)*($NS$23-274+1)/$NU$23,$NN$23/$NT$23)),0)</f>
        <v/>
      </c>
      <c r="JS23" s="228">
        <f>IF(AND(275&gt;=$NR$23,275&lt;=$NS$23),IF($NP$23="Single_Point",IF(275=$NR$23,$NN$23,0),IF($NP$23="Bell_Curve",$NN$23*(275-$NR$23+1)*($NS$23-275+1)/$NU$23,$NN$23/$NT$23)),0)</f>
        <v/>
      </c>
      <c r="JT23" s="228">
        <f>IF(AND(276&gt;=$NR$23,276&lt;=$NS$23),IF($NP$23="Single_Point",IF(276=$NR$23,$NN$23,0),IF($NP$23="Bell_Curve",$NN$23*(276-$NR$23+1)*($NS$23-276+1)/$NU$23,$NN$23/$NT$23)),0)</f>
        <v/>
      </c>
      <c r="JU23" s="228">
        <f>IF(AND(277&gt;=$NR$23,277&lt;=$NS$23),IF($NP$23="Single_Point",IF(277=$NR$23,$NN$23,0),IF($NP$23="Bell_Curve",$NN$23*(277-$NR$23+1)*($NS$23-277+1)/$NU$23,$NN$23/$NT$23)),0)</f>
        <v/>
      </c>
      <c r="JV23" s="228">
        <f>IF(AND(278&gt;=$NR$23,278&lt;=$NS$23),IF($NP$23="Single_Point",IF(278=$NR$23,$NN$23,0),IF($NP$23="Bell_Curve",$NN$23*(278-$NR$23+1)*($NS$23-278+1)/$NU$23,$NN$23/$NT$23)),0)</f>
        <v/>
      </c>
      <c r="JW23" s="228">
        <f>IF(AND(279&gt;=$NR$23,279&lt;=$NS$23),IF($NP$23="Single_Point",IF(279=$NR$23,$NN$23,0),IF($NP$23="Bell_Curve",$NN$23*(279-$NR$23+1)*($NS$23-279+1)/$NU$23,$NN$23/$NT$23)),0)</f>
        <v/>
      </c>
      <c r="JX23" s="228">
        <f>IF(AND(280&gt;=$NR$23,280&lt;=$NS$23),IF($NP$23="Single_Point",IF(280=$NR$23,$NN$23,0),IF($NP$23="Bell_Curve",$NN$23*(280-$NR$23+1)*($NS$23-280+1)/$NU$23,$NN$23/$NT$23)),0)</f>
        <v/>
      </c>
      <c r="JY23" s="228">
        <f>IF(AND(281&gt;=$NR$23,281&lt;=$NS$23),IF($NP$23="Single_Point",IF(281=$NR$23,$NN$23,0),IF($NP$23="Bell_Curve",$NN$23*(281-$NR$23+1)*($NS$23-281+1)/$NU$23,$NN$23/$NT$23)),0)</f>
        <v/>
      </c>
      <c r="JZ23" s="228">
        <f>IF(AND(282&gt;=$NR$23,282&lt;=$NS$23),IF($NP$23="Single_Point",IF(282=$NR$23,$NN$23,0),IF($NP$23="Bell_Curve",$NN$23*(282-$NR$23+1)*($NS$23-282+1)/$NU$23,$NN$23/$NT$23)),0)</f>
        <v/>
      </c>
      <c r="KA23" s="228">
        <f>IF(AND(283&gt;=$NR$23,283&lt;=$NS$23),IF($NP$23="Single_Point",IF(283=$NR$23,$NN$23,0),IF($NP$23="Bell_Curve",$NN$23*(283-$NR$23+1)*($NS$23-283+1)/$NU$23,$NN$23/$NT$23)),0)</f>
        <v/>
      </c>
      <c r="KB23" s="228">
        <f>IF(AND(284&gt;=$NR$23,284&lt;=$NS$23),IF($NP$23="Single_Point",IF(284=$NR$23,$NN$23,0),IF($NP$23="Bell_Curve",$NN$23*(284-$NR$23+1)*($NS$23-284+1)/$NU$23,$NN$23/$NT$23)),0)</f>
        <v/>
      </c>
      <c r="KC23" s="228">
        <f>IF(AND(285&gt;=$NR$23,285&lt;=$NS$23),IF($NP$23="Single_Point",IF(285=$NR$23,$NN$23,0),IF($NP$23="Bell_Curve",$NN$23*(285-$NR$23+1)*($NS$23-285+1)/$NU$23,$NN$23/$NT$23)),0)</f>
        <v/>
      </c>
      <c r="KD23" s="228">
        <f>IF(AND(286&gt;=$NR$23,286&lt;=$NS$23),IF($NP$23="Single_Point",IF(286=$NR$23,$NN$23,0),IF($NP$23="Bell_Curve",$NN$23*(286-$NR$23+1)*($NS$23-286+1)/$NU$23,$NN$23/$NT$23)),0)</f>
        <v/>
      </c>
      <c r="KE23" s="228">
        <f>IF(AND(287&gt;=$NR$23,287&lt;=$NS$23),IF($NP$23="Single_Point",IF(287=$NR$23,$NN$23,0),IF($NP$23="Bell_Curve",$NN$23*(287-$NR$23+1)*($NS$23-287+1)/$NU$23,$NN$23/$NT$23)),0)</f>
        <v/>
      </c>
      <c r="KF23" s="228">
        <f>IF(AND(288&gt;=$NR$23,288&lt;=$NS$23),IF($NP$23="Single_Point",IF(288=$NR$23,$NN$23,0),IF($NP$23="Bell_Curve",$NN$23*(288-$NR$23+1)*($NS$23-288+1)/$NU$23,$NN$23/$NT$23)),0)</f>
        <v/>
      </c>
      <c r="KG23" s="228">
        <f>IF(AND(289&gt;=$NR$23,289&lt;=$NS$23),IF($NP$23="Single_Point",IF(289=$NR$23,$NN$23,0),IF($NP$23="Bell_Curve",$NN$23*(289-$NR$23+1)*($NS$23-289+1)/$NU$23,$NN$23/$NT$23)),0)</f>
        <v/>
      </c>
      <c r="KH23" s="228">
        <f>IF(AND(290&gt;=$NR$23,290&lt;=$NS$23),IF($NP$23="Single_Point",IF(290=$NR$23,$NN$23,0),IF($NP$23="Bell_Curve",$NN$23*(290-$NR$23+1)*($NS$23-290+1)/$NU$23,$NN$23/$NT$23)),0)</f>
        <v/>
      </c>
      <c r="KI23" s="228">
        <f>IF(AND(291&gt;=$NR$23,291&lt;=$NS$23),IF($NP$23="Single_Point",IF(291=$NR$23,$NN$23,0),IF($NP$23="Bell_Curve",$NN$23*(291-$NR$23+1)*($NS$23-291+1)/$NU$23,$NN$23/$NT$23)),0)</f>
        <v/>
      </c>
      <c r="KJ23" s="228">
        <f>IF(AND(292&gt;=$NR$23,292&lt;=$NS$23),IF($NP$23="Single_Point",IF(292=$NR$23,$NN$23,0),IF($NP$23="Bell_Curve",$NN$23*(292-$NR$23+1)*($NS$23-292+1)/$NU$23,$NN$23/$NT$23)),0)</f>
        <v/>
      </c>
      <c r="KK23" s="228">
        <f>IF(AND(293&gt;=$NR$23,293&lt;=$NS$23),IF($NP$23="Single_Point",IF(293=$NR$23,$NN$23,0),IF($NP$23="Bell_Curve",$NN$23*(293-$NR$23+1)*($NS$23-293+1)/$NU$23,$NN$23/$NT$23)),0)</f>
        <v/>
      </c>
      <c r="KL23" s="228">
        <f>IF(AND(294&gt;=$NR$23,294&lt;=$NS$23),IF($NP$23="Single_Point",IF(294=$NR$23,$NN$23,0),IF($NP$23="Bell_Curve",$NN$23*(294-$NR$23+1)*($NS$23-294+1)/$NU$23,$NN$23/$NT$23)),0)</f>
        <v/>
      </c>
      <c r="KM23" s="228">
        <f>IF(AND(295&gt;=$NR$23,295&lt;=$NS$23),IF($NP$23="Single_Point",IF(295=$NR$23,$NN$23,0),IF($NP$23="Bell_Curve",$NN$23*(295-$NR$23+1)*($NS$23-295+1)/$NU$23,$NN$23/$NT$23)),0)</f>
        <v/>
      </c>
      <c r="KN23" s="228">
        <f>IF(AND(296&gt;=$NR$23,296&lt;=$NS$23),IF($NP$23="Single_Point",IF(296=$NR$23,$NN$23,0),IF($NP$23="Bell_Curve",$NN$23*(296-$NR$23+1)*($NS$23-296+1)/$NU$23,$NN$23/$NT$23)),0)</f>
        <v/>
      </c>
      <c r="KO23" s="228">
        <f>IF(AND(297&gt;=$NR$23,297&lt;=$NS$23),IF($NP$23="Single_Point",IF(297=$NR$23,$NN$23,0),IF($NP$23="Bell_Curve",$NN$23*(297-$NR$23+1)*($NS$23-297+1)/$NU$23,$NN$23/$NT$23)),0)</f>
        <v/>
      </c>
      <c r="KP23" s="228">
        <f>IF(AND(298&gt;=$NR$23,298&lt;=$NS$23),IF($NP$23="Single_Point",IF(298=$NR$23,$NN$23,0),IF($NP$23="Bell_Curve",$NN$23*(298-$NR$23+1)*($NS$23-298+1)/$NU$23,$NN$23/$NT$23)),0)</f>
        <v/>
      </c>
      <c r="KQ23" s="228">
        <f>IF(AND(299&gt;=$NR$23,299&lt;=$NS$23),IF($NP$23="Single_Point",IF(299=$NR$23,$NN$23,0),IF($NP$23="Bell_Curve",$NN$23*(299-$NR$23+1)*($NS$23-299+1)/$NU$23,$NN$23/$NT$23)),0)</f>
        <v/>
      </c>
      <c r="KR23" s="228">
        <f>IF(AND(300&gt;=$NR$23,300&lt;=$NS$23),IF($NP$23="Single_Point",IF(300=$NR$23,$NN$23,0),IF($NP$23="Bell_Curve",$NN$23*(300-$NR$23+1)*($NS$23-300+1)/$NU$23,$NN$23/$NT$23)),0)</f>
        <v/>
      </c>
      <c r="KS23" s="228">
        <f>IF(AND(301&gt;=$NR$23,301&lt;=$NS$23),IF($NP$23="Single_Point",IF(301=$NR$23,$NN$23,0),IF($NP$23="Bell_Curve",$NN$23*(301-$NR$23+1)*($NS$23-301+1)/$NU$23,$NN$23/$NT$23)),0)</f>
        <v/>
      </c>
      <c r="KT23" s="228">
        <f>IF(AND(302&gt;=$NR$23,302&lt;=$NS$23),IF($NP$23="Single_Point",IF(302=$NR$23,$NN$23,0),IF($NP$23="Bell_Curve",$NN$23*(302-$NR$23+1)*($NS$23-302+1)/$NU$23,$NN$23/$NT$23)),0)</f>
        <v/>
      </c>
      <c r="KU23" s="228">
        <f>IF(AND(303&gt;=$NR$23,303&lt;=$NS$23),IF($NP$23="Single_Point",IF(303=$NR$23,$NN$23,0),IF($NP$23="Bell_Curve",$NN$23*(303-$NR$23+1)*($NS$23-303+1)/$NU$23,$NN$23/$NT$23)),0)</f>
        <v/>
      </c>
      <c r="KV23" s="228">
        <f>IF(AND(304&gt;=$NR$23,304&lt;=$NS$23),IF($NP$23="Single_Point",IF(304=$NR$23,$NN$23,0),IF($NP$23="Bell_Curve",$NN$23*(304-$NR$23+1)*($NS$23-304+1)/$NU$23,$NN$23/$NT$23)),0)</f>
        <v/>
      </c>
      <c r="KW23" s="228">
        <f>IF(AND(305&gt;=$NR$23,305&lt;=$NS$23),IF($NP$23="Single_Point",IF(305=$NR$23,$NN$23,0),IF($NP$23="Bell_Curve",$NN$23*(305-$NR$23+1)*($NS$23-305+1)/$NU$23,$NN$23/$NT$23)),0)</f>
        <v/>
      </c>
      <c r="KX23" s="228">
        <f>IF(AND(306&gt;=$NR$23,306&lt;=$NS$23),IF($NP$23="Single_Point",IF(306=$NR$23,$NN$23,0),IF($NP$23="Bell_Curve",$NN$23*(306-$NR$23+1)*($NS$23-306+1)/$NU$23,$NN$23/$NT$23)),0)</f>
        <v/>
      </c>
      <c r="KY23" s="228">
        <f>IF(AND(307&gt;=$NR$23,307&lt;=$NS$23),IF($NP$23="Single_Point",IF(307=$NR$23,$NN$23,0),IF($NP$23="Bell_Curve",$NN$23*(307-$NR$23+1)*($NS$23-307+1)/$NU$23,$NN$23/$NT$23)),0)</f>
        <v/>
      </c>
      <c r="KZ23" s="228">
        <f>IF(AND(308&gt;=$NR$23,308&lt;=$NS$23),IF($NP$23="Single_Point",IF(308=$NR$23,$NN$23,0),IF($NP$23="Bell_Curve",$NN$23*(308-$NR$23+1)*($NS$23-308+1)/$NU$23,$NN$23/$NT$23)),0)</f>
        <v/>
      </c>
      <c r="LA23" s="228">
        <f>IF(AND(309&gt;=$NR$23,309&lt;=$NS$23),IF($NP$23="Single_Point",IF(309=$NR$23,$NN$23,0),IF($NP$23="Bell_Curve",$NN$23*(309-$NR$23+1)*($NS$23-309+1)/$NU$23,$NN$23/$NT$23)),0)</f>
        <v/>
      </c>
      <c r="LB23" s="228">
        <f>IF(AND(310&gt;=$NR$23,310&lt;=$NS$23),IF($NP$23="Single_Point",IF(310=$NR$23,$NN$23,0),IF($NP$23="Bell_Curve",$NN$23*(310-$NR$23+1)*($NS$23-310+1)/$NU$23,$NN$23/$NT$23)),0)</f>
        <v/>
      </c>
      <c r="LC23" s="228">
        <f>IF(AND(311&gt;=$NR$23,311&lt;=$NS$23),IF($NP$23="Single_Point",IF(311=$NR$23,$NN$23,0),IF($NP$23="Bell_Curve",$NN$23*(311-$NR$23+1)*($NS$23-311+1)/$NU$23,$NN$23/$NT$23)),0)</f>
        <v/>
      </c>
      <c r="LD23" s="228">
        <f>IF(AND(312&gt;=$NR$23,312&lt;=$NS$23),IF($NP$23="Single_Point",IF(312=$NR$23,$NN$23,0),IF($NP$23="Bell_Curve",$NN$23*(312-$NR$23+1)*($NS$23-312+1)/$NU$23,$NN$23/$NT$23)),0)</f>
        <v/>
      </c>
      <c r="LE23" s="228">
        <f>IF(AND(313&gt;=$NR$23,313&lt;=$NS$23),IF($NP$23="Single_Point",IF(313=$NR$23,$NN$23,0),IF($NP$23="Bell_Curve",$NN$23*(313-$NR$23+1)*($NS$23-313+1)/$NU$23,$NN$23/$NT$23)),0)</f>
        <v/>
      </c>
      <c r="LF23" s="228">
        <f>IF(AND(314&gt;=$NR$23,314&lt;=$NS$23),IF($NP$23="Single_Point",IF(314=$NR$23,$NN$23,0),IF($NP$23="Bell_Curve",$NN$23*(314-$NR$23+1)*($NS$23-314+1)/$NU$23,$NN$23/$NT$23)),0)</f>
        <v/>
      </c>
      <c r="LG23" s="228">
        <f>IF(AND(315&gt;=$NR$23,315&lt;=$NS$23),IF($NP$23="Single_Point",IF(315=$NR$23,$NN$23,0),IF($NP$23="Bell_Curve",$NN$23*(315-$NR$23+1)*($NS$23-315+1)/$NU$23,$NN$23/$NT$23)),0)</f>
        <v/>
      </c>
      <c r="LH23" s="228">
        <f>IF(AND(316&gt;=$NR$23,316&lt;=$NS$23),IF($NP$23="Single_Point",IF(316=$NR$23,$NN$23,0),IF($NP$23="Bell_Curve",$NN$23*(316-$NR$23+1)*($NS$23-316+1)/$NU$23,$NN$23/$NT$23)),0)</f>
        <v/>
      </c>
      <c r="LI23" s="228">
        <f>IF(AND(317&gt;=$NR$23,317&lt;=$NS$23),IF($NP$23="Single_Point",IF(317=$NR$23,$NN$23,0),IF($NP$23="Bell_Curve",$NN$23*(317-$NR$23+1)*($NS$23-317+1)/$NU$23,$NN$23/$NT$23)),0)</f>
        <v/>
      </c>
      <c r="LJ23" s="228">
        <f>IF(AND(318&gt;=$NR$23,318&lt;=$NS$23),IF($NP$23="Single_Point",IF(318=$NR$23,$NN$23,0),IF($NP$23="Bell_Curve",$NN$23*(318-$NR$23+1)*($NS$23-318+1)/$NU$23,$NN$23/$NT$23)),0)</f>
        <v/>
      </c>
      <c r="LK23" s="228">
        <f>IF(AND(319&gt;=$NR$23,319&lt;=$NS$23),IF($NP$23="Single_Point",IF(319=$NR$23,$NN$23,0),IF($NP$23="Bell_Curve",$NN$23*(319-$NR$23+1)*($NS$23-319+1)/$NU$23,$NN$23/$NT$23)),0)</f>
        <v/>
      </c>
      <c r="LL23" s="228">
        <f>IF(AND(320&gt;=$NR$23,320&lt;=$NS$23),IF($NP$23="Single_Point",IF(320=$NR$23,$NN$23,0),IF($NP$23="Bell_Curve",$NN$23*(320-$NR$23+1)*($NS$23-320+1)/$NU$23,$NN$23/$NT$23)),0)</f>
        <v/>
      </c>
      <c r="LM23" s="228">
        <f>IF(AND(321&gt;=$NR$23,321&lt;=$NS$23),IF($NP$23="Single_Point",IF(321=$NR$23,$NN$23,0),IF($NP$23="Bell_Curve",$NN$23*(321-$NR$23+1)*($NS$23-321+1)/$NU$23,$NN$23/$NT$23)),0)</f>
        <v/>
      </c>
      <c r="LN23" s="228">
        <f>IF(AND(322&gt;=$NR$23,322&lt;=$NS$23),IF($NP$23="Single_Point",IF(322=$NR$23,$NN$23,0),IF($NP$23="Bell_Curve",$NN$23*(322-$NR$23+1)*($NS$23-322+1)/$NU$23,$NN$23/$NT$23)),0)</f>
        <v/>
      </c>
      <c r="LO23" s="228">
        <f>IF(AND(323&gt;=$NR$23,323&lt;=$NS$23),IF($NP$23="Single_Point",IF(323=$NR$23,$NN$23,0),IF($NP$23="Bell_Curve",$NN$23*(323-$NR$23+1)*($NS$23-323+1)/$NU$23,$NN$23/$NT$23)),0)</f>
        <v/>
      </c>
      <c r="LP23" s="228">
        <f>IF(AND(324&gt;=$NR$23,324&lt;=$NS$23),IF($NP$23="Single_Point",IF(324=$NR$23,$NN$23,0),IF($NP$23="Bell_Curve",$NN$23*(324-$NR$23+1)*($NS$23-324+1)/$NU$23,$NN$23/$NT$23)),0)</f>
        <v/>
      </c>
      <c r="LQ23" s="228">
        <f>IF(AND(325&gt;=$NR$23,325&lt;=$NS$23),IF($NP$23="Single_Point",IF(325=$NR$23,$NN$23,0),IF($NP$23="Bell_Curve",$NN$23*(325-$NR$23+1)*($NS$23-325+1)/$NU$23,$NN$23/$NT$23)),0)</f>
        <v/>
      </c>
      <c r="LR23" s="228">
        <f>IF(AND(326&gt;=$NR$23,326&lt;=$NS$23),IF($NP$23="Single_Point",IF(326=$NR$23,$NN$23,0),IF($NP$23="Bell_Curve",$NN$23*(326-$NR$23+1)*($NS$23-326+1)/$NU$23,$NN$23/$NT$23)),0)</f>
        <v/>
      </c>
      <c r="LS23" s="228">
        <f>IF(AND(327&gt;=$NR$23,327&lt;=$NS$23),IF($NP$23="Single_Point",IF(327=$NR$23,$NN$23,0),IF($NP$23="Bell_Curve",$NN$23*(327-$NR$23+1)*($NS$23-327+1)/$NU$23,$NN$23/$NT$23)),0)</f>
        <v/>
      </c>
      <c r="LT23" s="228">
        <f>IF(AND(328&gt;=$NR$23,328&lt;=$NS$23),IF($NP$23="Single_Point",IF(328=$NR$23,$NN$23,0),IF($NP$23="Bell_Curve",$NN$23*(328-$NR$23+1)*($NS$23-328+1)/$NU$23,$NN$23/$NT$23)),0)</f>
        <v/>
      </c>
      <c r="LU23" s="228">
        <f>IF(AND(329&gt;=$NR$23,329&lt;=$NS$23),IF($NP$23="Single_Point",IF(329=$NR$23,$NN$23,0),IF($NP$23="Bell_Curve",$NN$23*(329-$NR$23+1)*($NS$23-329+1)/$NU$23,$NN$23/$NT$23)),0)</f>
        <v/>
      </c>
      <c r="LV23" s="228">
        <f>IF(AND(330&gt;=$NR$23,330&lt;=$NS$23),IF($NP$23="Single_Point",IF(330=$NR$23,$NN$23,0),IF($NP$23="Bell_Curve",$NN$23*(330-$NR$23+1)*($NS$23-330+1)/$NU$23,$NN$23/$NT$23)),0)</f>
        <v/>
      </c>
      <c r="LW23" s="228">
        <f>IF(AND(331&gt;=$NR$23,331&lt;=$NS$23),IF($NP$23="Single_Point",IF(331=$NR$23,$NN$23,0),IF($NP$23="Bell_Curve",$NN$23*(331-$NR$23+1)*($NS$23-331+1)/$NU$23,$NN$23/$NT$23)),0)</f>
        <v/>
      </c>
      <c r="LX23" s="228">
        <f>IF(AND(332&gt;=$NR$23,332&lt;=$NS$23),IF($NP$23="Single_Point",IF(332=$NR$23,$NN$23,0),IF($NP$23="Bell_Curve",$NN$23*(332-$NR$23+1)*($NS$23-332+1)/$NU$23,$NN$23/$NT$23)),0)</f>
        <v/>
      </c>
      <c r="LY23" s="228">
        <f>IF(AND(333&gt;=$NR$23,333&lt;=$NS$23),IF($NP$23="Single_Point",IF(333=$NR$23,$NN$23,0),IF($NP$23="Bell_Curve",$NN$23*(333-$NR$23+1)*($NS$23-333+1)/$NU$23,$NN$23/$NT$23)),0)</f>
        <v/>
      </c>
      <c r="LZ23" s="228">
        <f>IF(AND(334&gt;=$NR$23,334&lt;=$NS$23),IF($NP$23="Single_Point",IF(334=$NR$23,$NN$23,0),IF($NP$23="Bell_Curve",$NN$23*(334-$NR$23+1)*($NS$23-334+1)/$NU$23,$NN$23/$NT$23)),0)</f>
        <v/>
      </c>
      <c r="MA23" s="228">
        <f>IF(AND(335&gt;=$NR$23,335&lt;=$NS$23),IF($NP$23="Single_Point",IF(335=$NR$23,$NN$23,0),IF($NP$23="Bell_Curve",$NN$23*(335-$NR$23+1)*($NS$23-335+1)/$NU$23,$NN$23/$NT$23)),0)</f>
        <v/>
      </c>
      <c r="MB23" s="228">
        <f>IF(AND(336&gt;=$NR$23,336&lt;=$NS$23),IF($NP$23="Single_Point",IF(336=$NR$23,$NN$23,0),IF($NP$23="Bell_Curve",$NN$23*(336-$NR$23+1)*($NS$23-336+1)/$NU$23,$NN$23/$NT$23)),0)</f>
        <v/>
      </c>
      <c r="MC23" s="228">
        <f>IF(AND(337&gt;=$NR$23,337&lt;=$NS$23),IF($NP$23="Single_Point",IF(337=$NR$23,$NN$23,0),IF($NP$23="Bell_Curve",$NN$23*(337-$NR$23+1)*($NS$23-337+1)/$NU$23,$NN$23/$NT$23)),0)</f>
        <v/>
      </c>
      <c r="MD23" s="228">
        <f>IF(AND(338&gt;=$NR$23,338&lt;=$NS$23),IF($NP$23="Single_Point",IF(338=$NR$23,$NN$23,0),IF($NP$23="Bell_Curve",$NN$23*(338-$NR$23+1)*($NS$23-338+1)/$NU$23,$NN$23/$NT$23)),0)</f>
        <v/>
      </c>
      <c r="ME23" s="228">
        <f>IF(AND(339&gt;=$NR$23,339&lt;=$NS$23),IF($NP$23="Single_Point",IF(339=$NR$23,$NN$23,0),IF($NP$23="Bell_Curve",$NN$23*(339-$NR$23+1)*($NS$23-339+1)/$NU$23,$NN$23/$NT$23)),0)</f>
        <v/>
      </c>
      <c r="MF23" s="228">
        <f>IF(AND(340&gt;=$NR$23,340&lt;=$NS$23),IF($NP$23="Single_Point",IF(340=$NR$23,$NN$23,0),IF($NP$23="Bell_Curve",$NN$23*(340-$NR$23+1)*($NS$23-340+1)/$NU$23,$NN$23/$NT$23)),0)</f>
        <v/>
      </c>
      <c r="MG23" s="228">
        <f>IF(AND(341&gt;=$NR$23,341&lt;=$NS$23),IF($NP$23="Single_Point",IF(341=$NR$23,$NN$23,0),IF($NP$23="Bell_Curve",$NN$23*(341-$NR$23+1)*($NS$23-341+1)/$NU$23,$NN$23/$NT$23)),0)</f>
        <v/>
      </c>
      <c r="MH23" s="228">
        <f>IF(AND(342&gt;=$NR$23,342&lt;=$NS$23),IF($NP$23="Single_Point",IF(342=$NR$23,$NN$23,0),IF($NP$23="Bell_Curve",$NN$23*(342-$NR$23+1)*($NS$23-342+1)/$NU$23,$NN$23/$NT$23)),0)</f>
        <v/>
      </c>
      <c r="MI23" s="228">
        <f>IF(AND(343&gt;=$NR$23,343&lt;=$NS$23),IF($NP$23="Single_Point",IF(343=$NR$23,$NN$23,0),IF($NP$23="Bell_Curve",$NN$23*(343-$NR$23+1)*($NS$23-343+1)/$NU$23,$NN$23/$NT$23)),0)</f>
        <v/>
      </c>
      <c r="MJ23" s="228">
        <f>IF(AND(344&gt;=$NR$23,344&lt;=$NS$23),IF($NP$23="Single_Point",IF(344=$NR$23,$NN$23,0),IF($NP$23="Bell_Curve",$NN$23*(344-$NR$23+1)*($NS$23-344+1)/$NU$23,$NN$23/$NT$23)),0)</f>
        <v/>
      </c>
      <c r="MK23" s="228">
        <f>IF(AND(345&gt;=$NR$23,345&lt;=$NS$23),IF($NP$23="Single_Point",IF(345=$NR$23,$NN$23,0),IF($NP$23="Bell_Curve",$NN$23*(345-$NR$23+1)*($NS$23-345+1)/$NU$23,$NN$23/$NT$23)),0)</f>
        <v/>
      </c>
      <c r="ML23" s="228">
        <f>IF(AND(346&gt;=$NR$23,346&lt;=$NS$23),IF($NP$23="Single_Point",IF(346=$NR$23,$NN$23,0),IF($NP$23="Bell_Curve",$NN$23*(346-$NR$23+1)*($NS$23-346+1)/$NU$23,$NN$23/$NT$23)),0)</f>
        <v/>
      </c>
      <c r="MM23" s="228">
        <f>IF(AND(347&gt;=$NR$23,347&lt;=$NS$23),IF($NP$23="Single_Point",IF(347=$NR$23,$NN$23,0),IF($NP$23="Bell_Curve",$NN$23*(347-$NR$23+1)*($NS$23-347+1)/$NU$23,$NN$23/$NT$23)),0)</f>
        <v/>
      </c>
      <c r="MN23" s="228">
        <f>IF(AND(348&gt;=$NR$23,348&lt;=$NS$23),IF($NP$23="Single_Point",IF(348=$NR$23,$NN$23,0),IF($NP$23="Bell_Curve",$NN$23*(348-$NR$23+1)*($NS$23-348+1)/$NU$23,$NN$23/$NT$23)),0)</f>
        <v/>
      </c>
      <c r="MO23" s="228">
        <f>IF(AND(349&gt;=$NR$23,349&lt;=$NS$23),IF($NP$23="Single_Point",IF(349=$NR$23,$NN$23,0),IF($NP$23="Bell_Curve",$NN$23*(349-$NR$23+1)*($NS$23-349+1)/$NU$23,$NN$23/$NT$23)),0)</f>
        <v/>
      </c>
      <c r="MP23" s="228">
        <f>IF(AND(350&gt;=$NR$23,350&lt;=$NS$23),IF($NP$23="Single_Point",IF(350=$NR$23,$NN$23,0),IF($NP$23="Bell_Curve",$NN$23*(350-$NR$23+1)*($NS$23-350+1)/$NU$23,$NN$23/$NT$23)),0)</f>
        <v/>
      </c>
      <c r="MQ23" s="228">
        <f>IF(AND(351&gt;=$NR$23,351&lt;=$NS$23),IF($NP$23="Single_Point",IF(351=$NR$23,$NN$23,0),IF($NP$23="Bell_Curve",$NN$23*(351-$NR$23+1)*($NS$23-351+1)/$NU$23,$NN$23/$NT$23)),0)</f>
        <v/>
      </c>
      <c r="MR23" s="228">
        <f>IF(AND(352&gt;=$NR$23,352&lt;=$NS$23),IF($NP$23="Single_Point",IF(352=$NR$23,$NN$23,0),IF($NP$23="Bell_Curve",$NN$23*(352-$NR$23+1)*($NS$23-352+1)/$NU$23,$NN$23/$NT$23)),0)</f>
        <v/>
      </c>
      <c r="MS23" s="228">
        <f>IF(AND(353&gt;=$NR$23,353&lt;=$NS$23),IF($NP$23="Single_Point",IF(353=$NR$23,$NN$23,0),IF($NP$23="Bell_Curve",$NN$23*(353-$NR$23+1)*($NS$23-353+1)/$NU$23,$NN$23/$NT$23)),0)</f>
        <v/>
      </c>
      <c r="MT23" s="228">
        <f>IF(AND(354&gt;=$NR$23,354&lt;=$NS$23),IF($NP$23="Single_Point",IF(354=$NR$23,$NN$23,0),IF($NP$23="Bell_Curve",$NN$23*(354-$NR$23+1)*($NS$23-354+1)/$NU$23,$NN$23/$NT$23)),0)</f>
        <v/>
      </c>
      <c r="MU23" s="228">
        <f>IF(AND(355&gt;=$NR$23,355&lt;=$NS$23),IF($NP$23="Single_Point",IF(355=$NR$23,$NN$23,0),IF($NP$23="Bell_Curve",$NN$23*(355-$NR$23+1)*($NS$23-355+1)/$NU$23,$NN$23/$NT$23)),0)</f>
        <v/>
      </c>
      <c r="MV23" s="228">
        <f>IF(AND(356&gt;=$NR$23,356&lt;=$NS$23),IF($NP$23="Single_Point",IF(356=$NR$23,$NN$23,0),IF($NP$23="Bell_Curve",$NN$23*(356-$NR$23+1)*($NS$23-356+1)/$NU$23,$NN$23/$NT$23)),0)</f>
        <v/>
      </c>
      <c r="MW23" s="228">
        <f>IF(AND(357&gt;=$NR$23,357&lt;=$NS$23),IF($NP$23="Single_Point",IF(357=$NR$23,$NN$23,0),IF($NP$23="Bell_Curve",$NN$23*(357-$NR$23+1)*($NS$23-357+1)/$NU$23,$NN$23/$NT$23)),0)</f>
        <v/>
      </c>
      <c r="MX23" s="228">
        <f>IF(AND(358&gt;=$NR$23,358&lt;=$NS$23),IF($NP$23="Single_Point",IF(358=$NR$23,$NN$23,0),IF($NP$23="Bell_Curve",$NN$23*(358-$NR$23+1)*($NS$23-358+1)/$NU$23,$NN$23/$NT$23)),0)</f>
        <v/>
      </c>
      <c r="MY23" s="228">
        <f>IF(AND(359&gt;=$NR$23,359&lt;=$NS$23),IF($NP$23="Single_Point",IF(359=$NR$23,$NN$23,0),IF($NP$23="Bell_Curve",$NN$23*(359-$NR$23+1)*($NS$23-359+1)/$NU$23,$NN$23/$NT$23)),0)</f>
        <v/>
      </c>
      <c r="MZ23" s="228">
        <f>IF(AND(360&gt;=$NR$23,360&lt;=$NS$23),IF($NP$23="Single_Point",IF(360=$NR$23,$NN$23,0),IF($NP$23="Bell_Curve",$NN$23*(360-$NR$23+1)*($NS$23-360+1)/$NU$23,$NN$23/$NT$23)),0)</f>
        <v/>
      </c>
      <c r="NA23" s="228">
        <f>IF(AND(361&gt;=$NR$23,361&lt;=$NS$23),IF($NP$23="Single_Point",IF(361=$NR$23,$NN$23,0),IF($NP$23="Bell_Curve",$NN$23*(361-$NR$23+1)*($NS$23-361+1)/$NU$23,$NN$23/$NT$23)),0)</f>
        <v/>
      </c>
      <c r="NB23" s="228">
        <f>IF(AND(362&gt;=$NR$23,362&lt;=$NS$23),IF($NP$23="Single_Point",IF(362=$NR$23,$NN$23,0),IF($NP$23="Bell_Curve",$NN$23*(362-$NR$23+1)*($NS$23-362+1)/$NU$23,$NN$23/$NT$23)),0)</f>
        <v/>
      </c>
      <c r="NC23" s="228">
        <f>IF(AND(363&gt;=$NR$23,363&lt;=$NS$23),IF($NP$23="Single_Point",IF(363=$NR$23,$NN$23,0),IF($NP$23="Bell_Curve",$NN$23*(363-$NR$23+1)*($NS$23-363+1)/$NU$23,$NN$23/$NT$23)),0)</f>
        <v/>
      </c>
      <c r="ND23" s="228">
        <f>IF(AND(364&gt;=$NR$23,364&lt;=$NS$23),IF($NP$23="Single_Point",IF(364=$NR$23,$NN$23,0),IF($NP$23="Bell_Curve",$NN$23*(364-$NR$23+1)*($NS$23-364+1)/$NU$23,$NN$23/$NT$23)),0)</f>
        <v/>
      </c>
      <c r="NE23" s="228">
        <f>IF(AND(365&gt;=$NR$23,365&lt;=$NS$23),IF($NP$23="Single_Point",IF(365=$NR$23,$NN$23,0),IF($NP$23="Bell_Curve",$NN$23*(365-$NR$23+1)*($NS$23-365+1)/$NU$23,$NN$23/$NT$23)),0)</f>
        <v/>
      </c>
      <c r="NF23" s="228">
        <f>IF(AND(366&gt;=$NR$23,366&lt;=$NS$23),IF($NP$23="Single_Point",IF(366=$NR$23,$NN$23,0),IF($NP$23="Bell_Curve",$NN$23*(366-$NR$23+1)*($NS$23-366+1)/$NU$23,$NN$23/$NT$23)),0)</f>
        <v/>
      </c>
      <c r="NG23" s="228">
        <f>IF(AND(367&gt;=$NR$23,367&lt;=$NS$23),IF($NP$23="Single_Point",IF(367=$NR$23,$NN$23,0),IF($NP$23="Bell_Curve",$NN$23*(367-$NR$23+1)*($NS$23-367+1)/$NU$23,$NN$23/$NT$23)),0)</f>
        <v/>
      </c>
      <c r="NH23" s="228">
        <f>IF(AND(368&gt;=$NR$23,368&lt;=$NS$23),IF($NP$23="Single_Point",IF(368=$NR$23,$NN$23,0),IF($NP$23="Bell_Curve",$NN$23*(368-$NR$23+1)*($NS$23-368+1)/$NU$23,$NN$23/$NT$23)),0)</f>
        <v/>
      </c>
      <c r="NI23" s="228">
        <f>IF(AND(369&gt;=$NR$23,369&lt;=$NS$23),IF($NP$23="Single_Point",IF(369=$NR$23,$NN$23,0),IF($NP$23="Bell_Curve",$NN$23*(369-$NR$23+1)*($NS$23-369+1)/$NU$23,$NN$23/$NT$23)),0)</f>
        <v/>
      </c>
      <c r="NJ23" s="228">
        <f>IF(AND(370&gt;=$NR$23,370&lt;=$NS$23),IF($NP$23="Single_Point",IF(370=$NR$23,$NN$23,0),IF($NP$23="Bell_Curve",$NN$23*(370-$NR$23+1)*($NS$23-370+1)/$NU$23,$NN$23/$NT$23)),0)</f>
        <v/>
      </c>
      <c r="NK23" s="228">
        <f>IF(AND(371&gt;=$NR$23,371&lt;=$NS$23),IF($NP$23="Single_Point",IF(371=$NR$23,$NN$23,0),IF($NP$23="Bell_Curve",$NN$23*(371-$NR$23+1)*($NS$23-371+1)/$NU$23,$NN$23/$NT$23)),0)</f>
        <v/>
      </c>
      <c r="NL23" s="247">
        <f>IF(AND(372&gt;=$NR$23,372&lt;=$NS$23),IF($NP$23="Single_Point",IF(372=$NR$23,$NN$23,0),IF($NP$23="Bell_Curve",$NN$23*(372-$NR$23+1)*($NS$23-372+1)/$NU$23,$NN$23/$NT$23)),0)</f>
        <v/>
      </c>
      <c r="NN23" s="218">
        <f>Budget!J22</f>
        <v/>
      </c>
      <c r="NO23" s="144">
        <f>Budget!G22</f>
        <v/>
      </c>
      <c r="NP23" s="144">
        <f>Budget!H22</f>
        <v/>
      </c>
      <c r="NQ23" s="85">
        <f>Budget!I22</f>
        <v/>
      </c>
      <c r="NR23" s="248">
        <f>MAX(1,MIN(372,INDEX(MilestoneStart,MATCH(NO23,MilestoneNames,0))+NQ23))</f>
        <v/>
      </c>
      <c r="NS23" s="248">
        <f>MAX(NR23,MIN(372,INDEX(MilestoneEnd,MATCH(NO23,MilestoneNames,0))+NQ23))</f>
        <v/>
      </c>
      <c r="NT23" s="85">
        <f>NS23-NR23+1</f>
        <v/>
      </c>
      <c r="NU23" s="85">
        <f>NT23*(NT23+1)*(NT23+2)/6</f>
        <v/>
      </c>
    </row>
    <row r="24">
      <c r="B24" s="36" t="inlineStr">
        <is>
          <t>Other Soft Cost 4</t>
        </is>
      </c>
      <c r="D24" s="246">
        <f>SUM(E24:NL24)</f>
        <v/>
      </c>
      <c r="E24" s="228">
        <f>IF(AND(1&gt;=$NR$24,1&lt;=$NS$24),IF($NP$24="Single_Point",IF(1=$NR$24,$NN$24,0),IF($NP$24="Bell_Curve",$NN$24*(1-$NR$24+1)*($NS$24-1+1)/$NU$24,$NN$24/$NT$24)),0)</f>
        <v/>
      </c>
      <c r="F24" s="228">
        <f>IF(AND(2&gt;=$NR$24,2&lt;=$NS$24),IF($NP$24="Single_Point",IF(2=$NR$24,$NN$24,0),IF($NP$24="Bell_Curve",$NN$24*(2-$NR$24+1)*($NS$24-2+1)/$NU$24,$NN$24/$NT$24)),0)</f>
        <v/>
      </c>
      <c r="G24" s="228">
        <f>IF(AND(3&gt;=$NR$24,3&lt;=$NS$24),IF($NP$24="Single_Point",IF(3=$NR$24,$NN$24,0),IF($NP$24="Bell_Curve",$NN$24*(3-$NR$24+1)*($NS$24-3+1)/$NU$24,$NN$24/$NT$24)),0)</f>
        <v/>
      </c>
      <c r="H24" s="228">
        <f>IF(AND(4&gt;=$NR$24,4&lt;=$NS$24),IF($NP$24="Single_Point",IF(4=$NR$24,$NN$24,0),IF($NP$24="Bell_Curve",$NN$24*(4-$NR$24+1)*($NS$24-4+1)/$NU$24,$NN$24/$NT$24)),0)</f>
        <v/>
      </c>
      <c r="I24" s="228">
        <f>IF(AND(5&gt;=$NR$24,5&lt;=$NS$24),IF($NP$24="Single_Point",IF(5=$NR$24,$NN$24,0),IF($NP$24="Bell_Curve",$NN$24*(5-$NR$24+1)*($NS$24-5+1)/$NU$24,$NN$24/$NT$24)),0)</f>
        <v/>
      </c>
      <c r="J24" s="228">
        <f>IF(AND(6&gt;=$NR$24,6&lt;=$NS$24),IF($NP$24="Single_Point",IF(6=$NR$24,$NN$24,0),IF($NP$24="Bell_Curve",$NN$24*(6-$NR$24+1)*($NS$24-6+1)/$NU$24,$NN$24/$NT$24)),0)</f>
        <v/>
      </c>
      <c r="K24" s="228">
        <f>IF(AND(7&gt;=$NR$24,7&lt;=$NS$24),IF($NP$24="Single_Point",IF(7=$NR$24,$NN$24,0),IF($NP$24="Bell_Curve",$NN$24*(7-$NR$24+1)*($NS$24-7+1)/$NU$24,$NN$24/$NT$24)),0)</f>
        <v/>
      </c>
      <c r="L24" s="228">
        <f>IF(AND(8&gt;=$NR$24,8&lt;=$NS$24),IF($NP$24="Single_Point",IF(8=$NR$24,$NN$24,0),IF($NP$24="Bell_Curve",$NN$24*(8-$NR$24+1)*($NS$24-8+1)/$NU$24,$NN$24/$NT$24)),0)</f>
        <v/>
      </c>
      <c r="M24" s="228">
        <f>IF(AND(9&gt;=$NR$24,9&lt;=$NS$24),IF($NP$24="Single_Point",IF(9=$NR$24,$NN$24,0),IF($NP$24="Bell_Curve",$NN$24*(9-$NR$24+1)*($NS$24-9+1)/$NU$24,$NN$24/$NT$24)),0)</f>
        <v/>
      </c>
      <c r="N24" s="228">
        <f>IF(AND(10&gt;=$NR$24,10&lt;=$NS$24),IF($NP$24="Single_Point",IF(10=$NR$24,$NN$24,0),IF($NP$24="Bell_Curve",$NN$24*(10-$NR$24+1)*($NS$24-10+1)/$NU$24,$NN$24/$NT$24)),0)</f>
        <v/>
      </c>
      <c r="O24" s="228">
        <f>IF(AND(11&gt;=$NR$24,11&lt;=$NS$24),IF($NP$24="Single_Point",IF(11=$NR$24,$NN$24,0),IF($NP$24="Bell_Curve",$NN$24*(11-$NR$24+1)*($NS$24-11+1)/$NU$24,$NN$24/$NT$24)),0)</f>
        <v/>
      </c>
      <c r="P24" s="228">
        <f>IF(AND(12&gt;=$NR$24,12&lt;=$NS$24),IF($NP$24="Single_Point",IF(12=$NR$24,$NN$24,0),IF($NP$24="Bell_Curve",$NN$24*(12-$NR$24+1)*($NS$24-12+1)/$NU$24,$NN$24/$NT$24)),0)</f>
        <v/>
      </c>
      <c r="Q24" s="228">
        <f>IF(AND(13&gt;=$NR$24,13&lt;=$NS$24),IF($NP$24="Single_Point",IF(13=$NR$24,$NN$24,0),IF($NP$24="Bell_Curve",$NN$24*(13-$NR$24+1)*($NS$24-13+1)/$NU$24,$NN$24/$NT$24)),0)</f>
        <v/>
      </c>
      <c r="R24" s="228">
        <f>IF(AND(14&gt;=$NR$24,14&lt;=$NS$24),IF($NP$24="Single_Point",IF(14=$NR$24,$NN$24,0),IF($NP$24="Bell_Curve",$NN$24*(14-$NR$24+1)*($NS$24-14+1)/$NU$24,$NN$24/$NT$24)),0)</f>
        <v/>
      </c>
      <c r="S24" s="228">
        <f>IF(AND(15&gt;=$NR$24,15&lt;=$NS$24),IF($NP$24="Single_Point",IF(15=$NR$24,$NN$24,0),IF($NP$24="Bell_Curve",$NN$24*(15-$NR$24+1)*($NS$24-15+1)/$NU$24,$NN$24/$NT$24)),0)</f>
        <v/>
      </c>
      <c r="T24" s="228">
        <f>IF(AND(16&gt;=$NR$24,16&lt;=$NS$24),IF($NP$24="Single_Point",IF(16=$NR$24,$NN$24,0),IF($NP$24="Bell_Curve",$NN$24*(16-$NR$24+1)*($NS$24-16+1)/$NU$24,$NN$24/$NT$24)),0)</f>
        <v/>
      </c>
      <c r="U24" s="228">
        <f>IF(AND(17&gt;=$NR$24,17&lt;=$NS$24),IF($NP$24="Single_Point",IF(17=$NR$24,$NN$24,0),IF($NP$24="Bell_Curve",$NN$24*(17-$NR$24+1)*($NS$24-17+1)/$NU$24,$NN$24/$NT$24)),0)</f>
        <v/>
      </c>
      <c r="V24" s="228">
        <f>IF(AND(18&gt;=$NR$24,18&lt;=$NS$24),IF($NP$24="Single_Point",IF(18=$NR$24,$NN$24,0),IF($NP$24="Bell_Curve",$NN$24*(18-$NR$24+1)*($NS$24-18+1)/$NU$24,$NN$24/$NT$24)),0)</f>
        <v/>
      </c>
      <c r="W24" s="228">
        <f>IF(AND(19&gt;=$NR$24,19&lt;=$NS$24),IF($NP$24="Single_Point",IF(19=$NR$24,$NN$24,0),IF($NP$24="Bell_Curve",$NN$24*(19-$NR$24+1)*($NS$24-19+1)/$NU$24,$NN$24/$NT$24)),0)</f>
        <v/>
      </c>
      <c r="X24" s="228">
        <f>IF(AND(20&gt;=$NR$24,20&lt;=$NS$24),IF($NP$24="Single_Point",IF(20=$NR$24,$NN$24,0),IF($NP$24="Bell_Curve",$NN$24*(20-$NR$24+1)*($NS$24-20+1)/$NU$24,$NN$24/$NT$24)),0)</f>
        <v/>
      </c>
      <c r="Y24" s="228">
        <f>IF(AND(21&gt;=$NR$24,21&lt;=$NS$24),IF($NP$24="Single_Point",IF(21=$NR$24,$NN$24,0),IF($NP$24="Bell_Curve",$NN$24*(21-$NR$24+1)*($NS$24-21+1)/$NU$24,$NN$24/$NT$24)),0)</f>
        <v/>
      </c>
      <c r="Z24" s="228">
        <f>IF(AND(22&gt;=$NR$24,22&lt;=$NS$24),IF($NP$24="Single_Point",IF(22=$NR$24,$NN$24,0),IF($NP$24="Bell_Curve",$NN$24*(22-$NR$24+1)*($NS$24-22+1)/$NU$24,$NN$24/$NT$24)),0)</f>
        <v/>
      </c>
      <c r="AA24" s="228">
        <f>IF(AND(23&gt;=$NR$24,23&lt;=$NS$24),IF($NP$24="Single_Point",IF(23=$NR$24,$NN$24,0),IF($NP$24="Bell_Curve",$NN$24*(23-$NR$24+1)*($NS$24-23+1)/$NU$24,$NN$24/$NT$24)),0)</f>
        <v/>
      </c>
      <c r="AB24" s="228">
        <f>IF(AND(24&gt;=$NR$24,24&lt;=$NS$24),IF($NP$24="Single_Point",IF(24=$NR$24,$NN$24,0),IF($NP$24="Bell_Curve",$NN$24*(24-$NR$24+1)*($NS$24-24+1)/$NU$24,$NN$24/$NT$24)),0)</f>
        <v/>
      </c>
      <c r="AC24" s="228">
        <f>IF(AND(25&gt;=$NR$24,25&lt;=$NS$24),IF($NP$24="Single_Point",IF(25=$NR$24,$NN$24,0),IF($NP$24="Bell_Curve",$NN$24*(25-$NR$24+1)*($NS$24-25+1)/$NU$24,$NN$24/$NT$24)),0)</f>
        <v/>
      </c>
      <c r="AD24" s="228">
        <f>IF(AND(26&gt;=$NR$24,26&lt;=$NS$24),IF($NP$24="Single_Point",IF(26=$NR$24,$NN$24,0),IF($NP$24="Bell_Curve",$NN$24*(26-$NR$24+1)*($NS$24-26+1)/$NU$24,$NN$24/$NT$24)),0)</f>
        <v/>
      </c>
      <c r="AE24" s="228">
        <f>IF(AND(27&gt;=$NR$24,27&lt;=$NS$24),IF($NP$24="Single_Point",IF(27=$NR$24,$NN$24,0),IF($NP$24="Bell_Curve",$NN$24*(27-$NR$24+1)*($NS$24-27+1)/$NU$24,$NN$24/$NT$24)),0)</f>
        <v/>
      </c>
      <c r="AF24" s="228">
        <f>IF(AND(28&gt;=$NR$24,28&lt;=$NS$24),IF($NP$24="Single_Point",IF(28=$NR$24,$NN$24,0),IF($NP$24="Bell_Curve",$NN$24*(28-$NR$24+1)*($NS$24-28+1)/$NU$24,$NN$24/$NT$24)),0)</f>
        <v/>
      </c>
      <c r="AG24" s="228">
        <f>IF(AND(29&gt;=$NR$24,29&lt;=$NS$24),IF($NP$24="Single_Point",IF(29=$NR$24,$NN$24,0),IF($NP$24="Bell_Curve",$NN$24*(29-$NR$24+1)*($NS$24-29+1)/$NU$24,$NN$24/$NT$24)),0)</f>
        <v/>
      </c>
      <c r="AH24" s="228">
        <f>IF(AND(30&gt;=$NR$24,30&lt;=$NS$24),IF($NP$24="Single_Point",IF(30=$NR$24,$NN$24,0),IF($NP$24="Bell_Curve",$NN$24*(30-$NR$24+1)*($NS$24-30+1)/$NU$24,$NN$24/$NT$24)),0)</f>
        <v/>
      </c>
      <c r="AI24" s="228">
        <f>IF(AND(31&gt;=$NR$24,31&lt;=$NS$24),IF($NP$24="Single_Point",IF(31=$NR$24,$NN$24,0),IF($NP$24="Bell_Curve",$NN$24*(31-$NR$24+1)*($NS$24-31+1)/$NU$24,$NN$24/$NT$24)),0)</f>
        <v/>
      </c>
      <c r="AJ24" s="228">
        <f>IF(AND(32&gt;=$NR$24,32&lt;=$NS$24),IF($NP$24="Single_Point",IF(32=$NR$24,$NN$24,0),IF($NP$24="Bell_Curve",$NN$24*(32-$NR$24+1)*($NS$24-32+1)/$NU$24,$NN$24/$NT$24)),0)</f>
        <v/>
      </c>
      <c r="AK24" s="228">
        <f>IF(AND(33&gt;=$NR$24,33&lt;=$NS$24),IF($NP$24="Single_Point",IF(33=$NR$24,$NN$24,0),IF($NP$24="Bell_Curve",$NN$24*(33-$NR$24+1)*($NS$24-33+1)/$NU$24,$NN$24/$NT$24)),0)</f>
        <v/>
      </c>
      <c r="AL24" s="228">
        <f>IF(AND(34&gt;=$NR$24,34&lt;=$NS$24),IF($NP$24="Single_Point",IF(34=$NR$24,$NN$24,0),IF($NP$24="Bell_Curve",$NN$24*(34-$NR$24+1)*($NS$24-34+1)/$NU$24,$NN$24/$NT$24)),0)</f>
        <v/>
      </c>
      <c r="AM24" s="228">
        <f>IF(AND(35&gt;=$NR$24,35&lt;=$NS$24),IF($NP$24="Single_Point",IF(35=$NR$24,$NN$24,0),IF($NP$24="Bell_Curve",$NN$24*(35-$NR$24+1)*($NS$24-35+1)/$NU$24,$NN$24/$NT$24)),0)</f>
        <v/>
      </c>
      <c r="AN24" s="228">
        <f>IF(AND(36&gt;=$NR$24,36&lt;=$NS$24),IF($NP$24="Single_Point",IF(36=$NR$24,$NN$24,0),IF($NP$24="Bell_Curve",$NN$24*(36-$NR$24+1)*($NS$24-36+1)/$NU$24,$NN$24/$NT$24)),0)</f>
        <v/>
      </c>
      <c r="AO24" s="228">
        <f>IF(AND(37&gt;=$NR$24,37&lt;=$NS$24),IF($NP$24="Single_Point",IF(37=$NR$24,$NN$24,0),IF($NP$24="Bell_Curve",$NN$24*(37-$NR$24+1)*($NS$24-37+1)/$NU$24,$NN$24/$NT$24)),0)</f>
        <v/>
      </c>
      <c r="AP24" s="228">
        <f>IF(AND(38&gt;=$NR$24,38&lt;=$NS$24),IF($NP$24="Single_Point",IF(38=$NR$24,$NN$24,0),IF($NP$24="Bell_Curve",$NN$24*(38-$NR$24+1)*($NS$24-38+1)/$NU$24,$NN$24/$NT$24)),0)</f>
        <v/>
      </c>
      <c r="AQ24" s="228">
        <f>IF(AND(39&gt;=$NR$24,39&lt;=$NS$24),IF($NP$24="Single_Point",IF(39=$NR$24,$NN$24,0),IF($NP$24="Bell_Curve",$NN$24*(39-$NR$24+1)*($NS$24-39+1)/$NU$24,$NN$24/$NT$24)),0)</f>
        <v/>
      </c>
      <c r="AR24" s="228">
        <f>IF(AND(40&gt;=$NR$24,40&lt;=$NS$24),IF($NP$24="Single_Point",IF(40=$NR$24,$NN$24,0),IF($NP$24="Bell_Curve",$NN$24*(40-$NR$24+1)*($NS$24-40+1)/$NU$24,$NN$24/$NT$24)),0)</f>
        <v/>
      </c>
      <c r="AS24" s="228">
        <f>IF(AND(41&gt;=$NR$24,41&lt;=$NS$24),IF($NP$24="Single_Point",IF(41=$NR$24,$NN$24,0),IF($NP$24="Bell_Curve",$NN$24*(41-$NR$24+1)*($NS$24-41+1)/$NU$24,$NN$24/$NT$24)),0)</f>
        <v/>
      </c>
      <c r="AT24" s="228">
        <f>IF(AND(42&gt;=$NR$24,42&lt;=$NS$24),IF($NP$24="Single_Point",IF(42=$NR$24,$NN$24,0),IF($NP$24="Bell_Curve",$NN$24*(42-$NR$24+1)*($NS$24-42+1)/$NU$24,$NN$24/$NT$24)),0)</f>
        <v/>
      </c>
      <c r="AU24" s="228">
        <f>IF(AND(43&gt;=$NR$24,43&lt;=$NS$24),IF($NP$24="Single_Point",IF(43=$NR$24,$NN$24,0),IF($NP$24="Bell_Curve",$NN$24*(43-$NR$24+1)*($NS$24-43+1)/$NU$24,$NN$24/$NT$24)),0)</f>
        <v/>
      </c>
      <c r="AV24" s="228">
        <f>IF(AND(44&gt;=$NR$24,44&lt;=$NS$24),IF($NP$24="Single_Point",IF(44=$NR$24,$NN$24,0),IF($NP$24="Bell_Curve",$NN$24*(44-$NR$24+1)*($NS$24-44+1)/$NU$24,$NN$24/$NT$24)),0)</f>
        <v/>
      </c>
      <c r="AW24" s="228">
        <f>IF(AND(45&gt;=$NR$24,45&lt;=$NS$24),IF($NP$24="Single_Point",IF(45=$NR$24,$NN$24,0),IF($NP$24="Bell_Curve",$NN$24*(45-$NR$24+1)*($NS$24-45+1)/$NU$24,$NN$24/$NT$24)),0)</f>
        <v/>
      </c>
      <c r="AX24" s="228">
        <f>IF(AND(46&gt;=$NR$24,46&lt;=$NS$24),IF($NP$24="Single_Point",IF(46=$NR$24,$NN$24,0),IF($NP$24="Bell_Curve",$NN$24*(46-$NR$24+1)*($NS$24-46+1)/$NU$24,$NN$24/$NT$24)),0)</f>
        <v/>
      </c>
      <c r="AY24" s="228">
        <f>IF(AND(47&gt;=$NR$24,47&lt;=$NS$24),IF($NP$24="Single_Point",IF(47=$NR$24,$NN$24,0),IF($NP$24="Bell_Curve",$NN$24*(47-$NR$24+1)*($NS$24-47+1)/$NU$24,$NN$24/$NT$24)),0)</f>
        <v/>
      </c>
      <c r="AZ24" s="228">
        <f>IF(AND(48&gt;=$NR$24,48&lt;=$NS$24),IF($NP$24="Single_Point",IF(48=$NR$24,$NN$24,0),IF($NP$24="Bell_Curve",$NN$24*(48-$NR$24+1)*($NS$24-48+1)/$NU$24,$NN$24/$NT$24)),0)</f>
        <v/>
      </c>
      <c r="BA24" s="228">
        <f>IF(AND(49&gt;=$NR$24,49&lt;=$NS$24),IF($NP$24="Single_Point",IF(49=$NR$24,$NN$24,0),IF($NP$24="Bell_Curve",$NN$24*(49-$NR$24+1)*($NS$24-49+1)/$NU$24,$NN$24/$NT$24)),0)</f>
        <v/>
      </c>
      <c r="BB24" s="228">
        <f>IF(AND(50&gt;=$NR$24,50&lt;=$NS$24),IF($NP$24="Single_Point",IF(50=$NR$24,$NN$24,0),IF($NP$24="Bell_Curve",$NN$24*(50-$NR$24+1)*($NS$24-50+1)/$NU$24,$NN$24/$NT$24)),0)</f>
        <v/>
      </c>
      <c r="BC24" s="228">
        <f>IF(AND(51&gt;=$NR$24,51&lt;=$NS$24),IF($NP$24="Single_Point",IF(51=$NR$24,$NN$24,0),IF($NP$24="Bell_Curve",$NN$24*(51-$NR$24+1)*($NS$24-51+1)/$NU$24,$NN$24/$NT$24)),0)</f>
        <v/>
      </c>
      <c r="BD24" s="228">
        <f>IF(AND(52&gt;=$NR$24,52&lt;=$NS$24),IF($NP$24="Single_Point",IF(52=$NR$24,$NN$24,0),IF($NP$24="Bell_Curve",$NN$24*(52-$NR$24+1)*($NS$24-52+1)/$NU$24,$NN$24/$NT$24)),0)</f>
        <v/>
      </c>
      <c r="BE24" s="228">
        <f>IF(AND(53&gt;=$NR$24,53&lt;=$NS$24),IF($NP$24="Single_Point",IF(53=$NR$24,$NN$24,0),IF($NP$24="Bell_Curve",$NN$24*(53-$NR$24+1)*($NS$24-53+1)/$NU$24,$NN$24/$NT$24)),0)</f>
        <v/>
      </c>
      <c r="BF24" s="228">
        <f>IF(AND(54&gt;=$NR$24,54&lt;=$NS$24),IF($NP$24="Single_Point",IF(54=$NR$24,$NN$24,0),IF($NP$24="Bell_Curve",$NN$24*(54-$NR$24+1)*($NS$24-54+1)/$NU$24,$NN$24/$NT$24)),0)</f>
        <v/>
      </c>
      <c r="BG24" s="228">
        <f>IF(AND(55&gt;=$NR$24,55&lt;=$NS$24),IF($NP$24="Single_Point",IF(55=$NR$24,$NN$24,0),IF($NP$24="Bell_Curve",$NN$24*(55-$NR$24+1)*($NS$24-55+1)/$NU$24,$NN$24/$NT$24)),0)</f>
        <v/>
      </c>
      <c r="BH24" s="228">
        <f>IF(AND(56&gt;=$NR$24,56&lt;=$NS$24),IF($NP$24="Single_Point",IF(56=$NR$24,$NN$24,0),IF($NP$24="Bell_Curve",$NN$24*(56-$NR$24+1)*($NS$24-56+1)/$NU$24,$NN$24/$NT$24)),0)</f>
        <v/>
      </c>
      <c r="BI24" s="228">
        <f>IF(AND(57&gt;=$NR$24,57&lt;=$NS$24),IF($NP$24="Single_Point",IF(57=$NR$24,$NN$24,0),IF($NP$24="Bell_Curve",$NN$24*(57-$NR$24+1)*($NS$24-57+1)/$NU$24,$NN$24/$NT$24)),0)</f>
        <v/>
      </c>
      <c r="BJ24" s="228">
        <f>IF(AND(58&gt;=$NR$24,58&lt;=$NS$24),IF($NP$24="Single_Point",IF(58=$NR$24,$NN$24,0),IF($NP$24="Bell_Curve",$NN$24*(58-$NR$24+1)*($NS$24-58+1)/$NU$24,$NN$24/$NT$24)),0)</f>
        <v/>
      </c>
      <c r="BK24" s="228">
        <f>IF(AND(59&gt;=$NR$24,59&lt;=$NS$24),IF($NP$24="Single_Point",IF(59=$NR$24,$NN$24,0),IF($NP$24="Bell_Curve",$NN$24*(59-$NR$24+1)*($NS$24-59+1)/$NU$24,$NN$24/$NT$24)),0)</f>
        <v/>
      </c>
      <c r="BL24" s="228">
        <f>IF(AND(60&gt;=$NR$24,60&lt;=$NS$24),IF($NP$24="Single_Point",IF(60=$NR$24,$NN$24,0),IF($NP$24="Bell_Curve",$NN$24*(60-$NR$24+1)*($NS$24-60+1)/$NU$24,$NN$24/$NT$24)),0)</f>
        <v/>
      </c>
      <c r="BM24" s="228">
        <f>IF(AND(61&gt;=$NR$24,61&lt;=$NS$24),IF($NP$24="Single_Point",IF(61=$NR$24,$NN$24,0),IF($NP$24="Bell_Curve",$NN$24*(61-$NR$24+1)*($NS$24-61+1)/$NU$24,$NN$24/$NT$24)),0)</f>
        <v/>
      </c>
      <c r="BN24" s="228">
        <f>IF(AND(62&gt;=$NR$24,62&lt;=$NS$24),IF($NP$24="Single_Point",IF(62=$NR$24,$NN$24,0),IF($NP$24="Bell_Curve",$NN$24*(62-$NR$24+1)*($NS$24-62+1)/$NU$24,$NN$24/$NT$24)),0)</f>
        <v/>
      </c>
      <c r="BO24" s="228">
        <f>IF(AND(63&gt;=$NR$24,63&lt;=$NS$24),IF($NP$24="Single_Point",IF(63=$NR$24,$NN$24,0),IF($NP$24="Bell_Curve",$NN$24*(63-$NR$24+1)*($NS$24-63+1)/$NU$24,$NN$24/$NT$24)),0)</f>
        <v/>
      </c>
      <c r="BP24" s="228">
        <f>IF(AND(64&gt;=$NR$24,64&lt;=$NS$24),IF($NP$24="Single_Point",IF(64=$NR$24,$NN$24,0),IF($NP$24="Bell_Curve",$NN$24*(64-$NR$24+1)*($NS$24-64+1)/$NU$24,$NN$24/$NT$24)),0)</f>
        <v/>
      </c>
      <c r="BQ24" s="228">
        <f>IF(AND(65&gt;=$NR$24,65&lt;=$NS$24),IF($NP$24="Single_Point",IF(65=$NR$24,$NN$24,0),IF($NP$24="Bell_Curve",$NN$24*(65-$NR$24+1)*($NS$24-65+1)/$NU$24,$NN$24/$NT$24)),0)</f>
        <v/>
      </c>
      <c r="BR24" s="228">
        <f>IF(AND(66&gt;=$NR$24,66&lt;=$NS$24),IF($NP$24="Single_Point",IF(66=$NR$24,$NN$24,0),IF($NP$24="Bell_Curve",$NN$24*(66-$NR$24+1)*($NS$24-66+1)/$NU$24,$NN$24/$NT$24)),0)</f>
        <v/>
      </c>
      <c r="BS24" s="228">
        <f>IF(AND(67&gt;=$NR$24,67&lt;=$NS$24),IF($NP$24="Single_Point",IF(67=$NR$24,$NN$24,0),IF($NP$24="Bell_Curve",$NN$24*(67-$NR$24+1)*($NS$24-67+1)/$NU$24,$NN$24/$NT$24)),0)</f>
        <v/>
      </c>
      <c r="BT24" s="228">
        <f>IF(AND(68&gt;=$NR$24,68&lt;=$NS$24),IF($NP$24="Single_Point",IF(68=$NR$24,$NN$24,0),IF($NP$24="Bell_Curve",$NN$24*(68-$NR$24+1)*($NS$24-68+1)/$NU$24,$NN$24/$NT$24)),0)</f>
        <v/>
      </c>
      <c r="BU24" s="228">
        <f>IF(AND(69&gt;=$NR$24,69&lt;=$NS$24),IF($NP$24="Single_Point",IF(69=$NR$24,$NN$24,0),IF($NP$24="Bell_Curve",$NN$24*(69-$NR$24+1)*($NS$24-69+1)/$NU$24,$NN$24/$NT$24)),0)</f>
        <v/>
      </c>
      <c r="BV24" s="228">
        <f>IF(AND(70&gt;=$NR$24,70&lt;=$NS$24),IF($NP$24="Single_Point",IF(70=$NR$24,$NN$24,0),IF($NP$24="Bell_Curve",$NN$24*(70-$NR$24+1)*($NS$24-70+1)/$NU$24,$NN$24/$NT$24)),0)</f>
        <v/>
      </c>
      <c r="BW24" s="228">
        <f>IF(AND(71&gt;=$NR$24,71&lt;=$NS$24),IF($NP$24="Single_Point",IF(71=$NR$24,$NN$24,0),IF($NP$24="Bell_Curve",$NN$24*(71-$NR$24+1)*($NS$24-71+1)/$NU$24,$NN$24/$NT$24)),0)</f>
        <v/>
      </c>
      <c r="BX24" s="228">
        <f>IF(AND(72&gt;=$NR$24,72&lt;=$NS$24),IF($NP$24="Single_Point",IF(72=$NR$24,$NN$24,0),IF($NP$24="Bell_Curve",$NN$24*(72-$NR$24+1)*($NS$24-72+1)/$NU$24,$NN$24/$NT$24)),0)</f>
        <v/>
      </c>
      <c r="BY24" s="228">
        <f>IF(AND(73&gt;=$NR$24,73&lt;=$NS$24),IF($NP$24="Single_Point",IF(73=$NR$24,$NN$24,0),IF($NP$24="Bell_Curve",$NN$24*(73-$NR$24+1)*($NS$24-73+1)/$NU$24,$NN$24/$NT$24)),0)</f>
        <v/>
      </c>
      <c r="BZ24" s="228">
        <f>IF(AND(74&gt;=$NR$24,74&lt;=$NS$24),IF($NP$24="Single_Point",IF(74=$NR$24,$NN$24,0),IF($NP$24="Bell_Curve",$NN$24*(74-$NR$24+1)*($NS$24-74+1)/$NU$24,$NN$24/$NT$24)),0)</f>
        <v/>
      </c>
      <c r="CA24" s="228">
        <f>IF(AND(75&gt;=$NR$24,75&lt;=$NS$24),IF($NP$24="Single_Point",IF(75=$NR$24,$NN$24,0),IF($NP$24="Bell_Curve",$NN$24*(75-$NR$24+1)*($NS$24-75+1)/$NU$24,$NN$24/$NT$24)),0)</f>
        <v/>
      </c>
      <c r="CB24" s="228">
        <f>IF(AND(76&gt;=$NR$24,76&lt;=$NS$24),IF($NP$24="Single_Point",IF(76=$NR$24,$NN$24,0),IF($NP$24="Bell_Curve",$NN$24*(76-$NR$24+1)*($NS$24-76+1)/$NU$24,$NN$24/$NT$24)),0)</f>
        <v/>
      </c>
      <c r="CC24" s="228">
        <f>IF(AND(77&gt;=$NR$24,77&lt;=$NS$24),IF($NP$24="Single_Point",IF(77=$NR$24,$NN$24,0),IF($NP$24="Bell_Curve",$NN$24*(77-$NR$24+1)*($NS$24-77+1)/$NU$24,$NN$24/$NT$24)),0)</f>
        <v/>
      </c>
      <c r="CD24" s="228">
        <f>IF(AND(78&gt;=$NR$24,78&lt;=$NS$24),IF($NP$24="Single_Point",IF(78=$NR$24,$NN$24,0),IF($NP$24="Bell_Curve",$NN$24*(78-$NR$24+1)*($NS$24-78+1)/$NU$24,$NN$24/$NT$24)),0)</f>
        <v/>
      </c>
      <c r="CE24" s="228">
        <f>IF(AND(79&gt;=$NR$24,79&lt;=$NS$24),IF($NP$24="Single_Point",IF(79=$NR$24,$NN$24,0),IF($NP$24="Bell_Curve",$NN$24*(79-$NR$24+1)*($NS$24-79+1)/$NU$24,$NN$24/$NT$24)),0)</f>
        <v/>
      </c>
      <c r="CF24" s="228">
        <f>IF(AND(80&gt;=$NR$24,80&lt;=$NS$24),IF($NP$24="Single_Point",IF(80=$NR$24,$NN$24,0),IF($NP$24="Bell_Curve",$NN$24*(80-$NR$24+1)*($NS$24-80+1)/$NU$24,$NN$24/$NT$24)),0)</f>
        <v/>
      </c>
      <c r="CG24" s="228">
        <f>IF(AND(81&gt;=$NR$24,81&lt;=$NS$24),IF($NP$24="Single_Point",IF(81=$NR$24,$NN$24,0),IF($NP$24="Bell_Curve",$NN$24*(81-$NR$24+1)*($NS$24-81+1)/$NU$24,$NN$24/$NT$24)),0)</f>
        <v/>
      </c>
      <c r="CH24" s="228">
        <f>IF(AND(82&gt;=$NR$24,82&lt;=$NS$24),IF($NP$24="Single_Point",IF(82=$NR$24,$NN$24,0),IF($NP$24="Bell_Curve",$NN$24*(82-$NR$24+1)*($NS$24-82+1)/$NU$24,$NN$24/$NT$24)),0)</f>
        <v/>
      </c>
      <c r="CI24" s="228">
        <f>IF(AND(83&gt;=$NR$24,83&lt;=$NS$24),IF($NP$24="Single_Point",IF(83=$NR$24,$NN$24,0),IF($NP$24="Bell_Curve",$NN$24*(83-$NR$24+1)*($NS$24-83+1)/$NU$24,$NN$24/$NT$24)),0)</f>
        <v/>
      </c>
      <c r="CJ24" s="228">
        <f>IF(AND(84&gt;=$NR$24,84&lt;=$NS$24),IF($NP$24="Single_Point",IF(84=$NR$24,$NN$24,0),IF($NP$24="Bell_Curve",$NN$24*(84-$NR$24+1)*($NS$24-84+1)/$NU$24,$NN$24/$NT$24)),0)</f>
        <v/>
      </c>
      <c r="CK24" s="228">
        <f>IF(AND(85&gt;=$NR$24,85&lt;=$NS$24),IF($NP$24="Single_Point",IF(85=$NR$24,$NN$24,0),IF($NP$24="Bell_Curve",$NN$24*(85-$NR$24+1)*($NS$24-85+1)/$NU$24,$NN$24/$NT$24)),0)</f>
        <v/>
      </c>
      <c r="CL24" s="228">
        <f>IF(AND(86&gt;=$NR$24,86&lt;=$NS$24),IF($NP$24="Single_Point",IF(86=$NR$24,$NN$24,0),IF($NP$24="Bell_Curve",$NN$24*(86-$NR$24+1)*($NS$24-86+1)/$NU$24,$NN$24/$NT$24)),0)</f>
        <v/>
      </c>
      <c r="CM24" s="228">
        <f>IF(AND(87&gt;=$NR$24,87&lt;=$NS$24),IF($NP$24="Single_Point",IF(87=$NR$24,$NN$24,0),IF($NP$24="Bell_Curve",$NN$24*(87-$NR$24+1)*($NS$24-87+1)/$NU$24,$NN$24/$NT$24)),0)</f>
        <v/>
      </c>
      <c r="CN24" s="228">
        <f>IF(AND(88&gt;=$NR$24,88&lt;=$NS$24),IF($NP$24="Single_Point",IF(88=$NR$24,$NN$24,0),IF($NP$24="Bell_Curve",$NN$24*(88-$NR$24+1)*($NS$24-88+1)/$NU$24,$NN$24/$NT$24)),0)</f>
        <v/>
      </c>
      <c r="CO24" s="228">
        <f>IF(AND(89&gt;=$NR$24,89&lt;=$NS$24),IF($NP$24="Single_Point",IF(89=$NR$24,$NN$24,0),IF($NP$24="Bell_Curve",$NN$24*(89-$NR$24+1)*($NS$24-89+1)/$NU$24,$NN$24/$NT$24)),0)</f>
        <v/>
      </c>
      <c r="CP24" s="228">
        <f>IF(AND(90&gt;=$NR$24,90&lt;=$NS$24),IF($NP$24="Single_Point",IF(90=$NR$24,$NN$24,0),IF($NP$24="Bell_Curve",$NN$24*(90-$NR$24+1)*($NS$24-90+1)/$NU$24,$NN$24/$NT$24)),0)</f>
        <v/>
      </c>
      <c r="CQ24" s="228">
        <f>IF(AND(91&gt;=$NR$24,91&lt;=$NS$24),IF($NP$24="Single_Point",IF(91=$NR$24,$NN$24,0),IF($NP$24="Bell_Curve",$NN$24*(91-$NR$24+1)*($NS$24-91+1)/$NU$24,$NN$24/$NT$24)),0)</f>
        <v/>
      </c>
      <c r="CR24" s="228">
        <f>IF(AND(92&gt;=$NR$24,92&lt;=$NS$24),IF($NP$24="Single_Point",IF(92=$NR$24,$NN$24,0),IF($NP$24="Bell_Curve",$NN$24*(92-$NR$24+1)*($NS$24-92+1)/$NU$24,$NN$24/$NT$24)),0)</f>
        <v/>
      </c>
      <c r="CS24" s="228">
        <f>IF(AND(93&gt;=$NR$24,93&lt;=$NS$24),IF($NP$24="Single_Point",IF(93=$NR$24,$NN$24,0),IF($NP$24="Bell_Curve",$NN$24*(93-$NR$24+1)*($NS$24-93+1)/$NU$24,$NN$24/$NT$24)),0)</f>
        <v/>
      </c>
      <c r="CT24" s="228">
        <f>IF(AND(94&gt;=$NR$24,94&lt;=$NS$24),IF($NP$24="Single_Point",IF(94=$NR$24,$NN$24,0),IF($NP$24="Bell_Curve",$NN$24*(94-$NR$24+1)*($NS$24-94+1)/$NU$24,$NN$24/$NT$24)),0)</f>
        <v/>
      </c>
      <c r="CU24" s="228">
        <f>IF(AND(95&gt;=$NR$24,95&lt;=$NS$24),IF($NP$24="Single_Point",IF(95=$NR$24,$NN$24,0),IF($NP$24="Bell_Curve",$NN$24*(95-$NR$24+1)*($NS$24-95+1)/$NU$24,$NN$24/$NT$24)),0)</f>
        <v/>
      </c>
      <c r="CV24" s="228">
        <f>IF(AND(96&gt;=$NR$24,96&lt;=$NS$24),IF($NP$24="Single_Point",IF(96=$NR$24,$NN$24,0),IF($NP$24="Bell_Curve",$NN$24*(96-$NR$24+1)*($NS$24-96+1)/$NU$24,$NN$24/$NT$24)),0)</f>
        <v/>
      </c>
      <c r="CW24" s="228">
        <f>IF(AND(97&gt;=$NR$24,97&lt;=$NS$24),IF($NP$24="Single_Point",IF(97=$NR$24,$NN$24,0),IF($NP$24="Bell_Curve",$NN$24*(97-$NR$24+1)*($NS$24-97+1)/$NU$24,$NN$24/$NT$24)),0)</f>
        <v/>
      </c>
      <c r="CX24" s="228">
        <f>IF(AND(98&gt;=$NR$24,98&lt;=$NS$24),IF($NP$24="Single_Point",IF(98=$NR$24,$NN$24,0),IF($NP$24="Bell_Curve",$NN$24*(98-$NR$24+1)*($NS$24-98+1)/$NU$24,$NN$24/$NT$24)),0)</f>
        <v/>
      </c>
      <c r="CY24" s="228">
        <f>IF(AND(99&gt;=$NR$24,99&lt;=$NS$24),IF($NP$24="Single_Point",IF(99=$NR$24,$NN$24,0),IF($NP$24="Bell_Curve",$NN$24*(99-$NR$24+1)*($NS$24-99+1)/$NU$24,$NN$24/$NT$24)),0)</f>
        <v/>
      </c>
      <c r="CZ24" s="228">
        <f>IF(AND(100&gt;=$NR$24,100&lt;=$NS$24),IF($NP$24="Single_Point",IF(100=$NR$24,$NN$24,0),IF($NP$24="Bell_Curve",$NN$24*(100-$NR$24+1)*($NS$24-100+1)/$NU$24,$NN$24/$NT$24)),0)</f>
        <v/>
      </c>
      <c r="DA24" s="228">
        <f>IF(AND(101&gt;=$NR$24,101&lt;=$NS$24),IF($NP$24="Single_Point",IF(101=$NR$24,$NN$24,0),IF($NP$24="Bell_Curve",$NN$24*(101-$NR$24+1)*($NS$24-101+1)/$NU$24,$NN$24/$NT$24)),0)</f>
        <v/>
      </c>
      <c r="DB24" s="228">
        <f>IF(AND(102&gt;=$NR$24,102&lt;=$NS$24),IF($NP$24="Single_Point",IF(102=$NR$24,$NN$24,0),IF($NP$24="Bell_Curve",$NN$24*(102-$NR$24+1)*($NS$24-102+1)/$NU$24,$NN$24/$NT$24)),0)</f>
        <v/>
      </c>
      <c r="DC24" s="228">
        <f>IF(AND(103&gt;=$NR$24,103&lt;=$NS$24),IF($NP$24="Single_Point",IF(103=$NR$24,$NN$24,0),IF($NP$24="Bell_Curve",$NN$24*(103-$NR$24+1)*($NS$24-103+1)/$NU$24,$NN$24/$NT$24)),0)</f>
        <v/>
      </c>
      <c r="DD24" s="228">
        <f>IF(AND(104&gt;=$NR$24,104&lt;=$NS$24),IF($NP$24="Single_Point",IF(104=$NR$24,$NN$24,0),IF($NP$24="Bell_Curve",$NN$24*(104-$NR$24+1)*($NS$24-104+1)/$NU$24,$NN$24/$NT$24)),0)</f>
        <v/>
      </c>
      <c r="DE24" s="228">
        <f>IF(AND(105&gt;=$NR$24,105&lt;=$NS$24),IF($NP$24="Single_Point",IF(105=$NR$24,$NN$24,0),IF($NP$24="Bell_Curve",$NN$24*(105-$NR$24+1)*($NS$24-105+1)/$NU$24,$NN$24/$NT$24)),0)</f>
        <v/>
      </c>
      <c r="DF24" s="228">
        <f>IF(AND(106&gt;=$NR$24,106&lt;=$NS$24),IF($NP$24="Single_Point",IF(106=$NR$24,$NN$24,0),IF($NP$24="Bell_Curve",$NN$24*(106-$NR$24+1)*($NS$24-106+1)/$NU$24,$NN$24/$NT$24)),0)</f>
        <v/>
      </c>
      <c r="DG24" s="228">
        <f>IF(AND(107&gt;=$NR$24,107&lt;=$NS$24),IF($NP$24="Single_Point",IF(107=$NR$24,$NN$24,0),IF($NP$24="Bell_Curve",$NN$24*(107-$NR$24+1)*($NS$24-107+1)/$NU$24,$NN$24/$NT$24)),0)</f>
        <v/>
      </c>
      <c r="DH24" s="228">
        <f>IF(AND(108&gt;=$NR$24,108&lt;=$NS$24),IF($NP$24="Single_Point",IF(108=$NR$24,$NN$24,0),IF($NP$24="Bell_Curve",$NN$24*(108-$NR$24+1)*($NS$24-108+1)/$NU$24,$NN$24/$NT$24)),0)</f>
        <v/>
      </c>
      <c r="DI24" s="228">
        <f>IF(AND(109&gt;=$NR$24,109&lt;=$NS$24),IF($NP$24="Single_Point",IF(109=$NR$24,$NN$24,0),IF($NP$24="Bell_Curve",$NN$24*(109-$NR$24+1)*($NS$24-109+1)/$NU$24,$NN$24/$NT$24)),0)</f>
        <v/>
      </c>
      <c r="DJ24" s="228">
        <f>IF(AND(110&gt;=$NR$24,110&lt;=$NS$24),IF($NP$24="Single_Point",IF(110=$NR$24,$NN$24,0),IF($NP$24="Bell_Curve",$NN$24*(110-$NR$24+1)*($NS$24-110+1)/$NU$24,$NN$24/$NT$24)),0)</f>
        <v/>
      </c>
      <c r="DK24" s="228">
        <f>IF(AND(111&gt;=$NR$24,111&lt;=$NS$24),IF($NP$24="Single_Point",IF(111=$NR$24,$NN$24,0),IF($NP$24="Bell_Curve",$NN$24*(111-$NR$24+1)*($NS$24-111+1)/$NU$24,$NN$24/$NT$24)),0)</f>
        <v/>
      </c>
      <c r="DL24" s="228">
        <f>IF(AND(112&gt;=$NR$24,112&lt;=$NS$24),IF($NP$24="Single_Point",IF(112=$NR$24,$NN$24,0),IF($NP$24="Bell_Curve",$NN$24*(112-$NR$24+1)*($NS$24-112+1)/$NU$24,$NN$24/$NT$24)),0)</f>
        <v/>
      </c>
      <c r="DM24" s="228">
        <f>IF(AND(113&gt;=$NR$24,113&lt;=$NS$24),IF($NP$24="Single_Point",IF(113=$NR$24,$NN$24,0),IF($NP$24="Bell_Curve",$NN$24*(113-$NR$24+1)*($NS$24-113+1)/$NU$24,$NN$24/$NT$24)),0)</f>
        <v/>
      </c>
      <c r="DN24" s="228">
        <f>IF(AND(114&gt;=$NR$24,114&lt;=$NS$24),IF($NP$24="Single_Point",IF(114=$NR$24,$NN$24,0),IF($NP$24="Bell_Curve",$NN$24*(114-$NR$24+1)*($NS$24-114+1)/$NU$24,$NN$24/$NT$24)),0)</f>
        <v/>
      </c>
      <c r="DO24" s="228">
        <f>IF(AND(115&gt;=$NR$24,115&lt;=$NS$24),IF($NP$24="Single_Point",IF(115=$NR$24,$NN$24,0),IF($NP$24="Bell_Curve",$NN$24*(115-$NR$24+1)*($NS$24-115+1)/$NU$24,$NN$24/$NT$24)),0)</f>
        <v/>
      </c>
      <c r="DP24" s="228">
        <f>IF(AND(116&gt;=$NR$24,116&lt;=$NS$24),IF($NP$24="Single_Point",IF(116=$NR$24,$NN$24,0),IF($NP$24="Bell_Curve",$NN$24*(116-$NR$24+1)*($NS$24-116+1)/$NU$24,$NN$24/$NT$24)),0)</f>
        <v/>
      </c>
      <c r="DQ24" s="228">
        <f>IF(AND(117&gt;=$NR$24,117&lt;=$NS$24),IF($NP$24="Single_Point",IF(117=$NR$24,$NN$24,0),IF($NP$24="Bell_Curve",$NN$24*(117-$NR$24+1)*($NS$24-117+1)/$NU$24,$NN$24/$NT$24)),0)</f>
        <v/>
      </c>
      <c r="DR24" s="228">
        <f>IF(AND(118&gt;=$NR$24,118&lt;=$NS$24),IF($NP$24="Single_Point",IF(118=$NR$24,$NN$24,0),IF($NP$24="Bell_Curve",$NN$24*(118-$NR$24+1)*($NS$24-118+1)/$NU$24,$NN$24/$NT$24)),0)</f>
        <v/>
      </c>
      <c r="DS24" s="228">
        <f>IF(AND(119&gt;=$NR$24,119&lt;=$NS$24),IF($NP$24="Single_Point",IF(119=$NR$24,$NN$24,0),IF($NP$24="Bell_Curve",$NN$24*(119-$NR$24+1)*($NS$24-119+1)/$NU$24,$NN$24/$NT$24)),0)</f>
        <v/>
      </c>
      <c r="DT24" s="228">
        <f>IF(AND(120&gt;=$NR$24,120&lt;=$NS$24),IF($NP$24="Single_Point",IF(120=$NR$24,$NN$24,0),IF($NP$24="Bell_Curve",$NN$24*(120-$NR$24+1)*($NS$24-120+1)/$NU$24,$NN$24/$NT$24)),0)</f>
        <v/>
      </c>
      <c r="DU24" s="228">
        <f>IF(AND(121&gt;=$NR$24,121&lt;=$NS$24),IF($NP$24="Single_Point",IF(121=$NR$24,$NN$24,0),IF($NP$24="Bell_Curve",$NN$24*(121-$NR$24+1)*($NS$24-121+1)/$NU$24,$NN$24/$NT$24)),0)</f>
        <v/>
      </c>
      <c r="DV24" s="228">
        <f>IF(AND(122&gt;=$NR$24,122&lt;=$NS$24),IF($NP$24="Single_Point",IF(122=$NR$24,$NN$24,0),IF($NP$24="Bell_Curve",$NN$24*(122-$NR$24+1)*($NS$24-122+1)/$NU$24,$NN$24/$NT$24)),0)</f>
        <v/>
      </c>
      <c r="DW24" s="228">
        <f>IF(AND(123&gt;=$NR$24,123&lt;=$NS$24),IF($NP$24="Single_Point",IF(123=$NR$24,$NN$24,0),IF($NP$24="Bell_Curve",$NN$24*(123-$NR$24+1)*($NS$24-123+1)/$NU$24,$NN$24/$NT$24)),0)</f>
        <v/>
      </c>
      <c r="DX24" s="228">
        <f>IF(AND(124&gt;=$NR$24,124&lt;=$NS$24),IF($NP$24="Single_Point",IF(124=$NR$24,$NN$24,0),IF($NP$24="Bell_Curve",$NN$24*(124-$NR$24+1)*($NS$24-124+1)/$NU$24,$NN$24/$NT$24)),0)</f>
        <v/>
      </c>
      <c r="DY24" s="228">
        <f>IF(AND(125&gt;=$NR$24,125&lt;=$NS$24),IF($NP$24="Single_Point",IF(125=$NR$24,$NN$24,0),IF($NP$24="Bell_Curve",$NN$24*(125-$NR$24+1)*($NS$24-125+1)/$NU$24,$NN$24/$NT$24)),0)</f>
        <v/>
      </c>
      <c r="DZ24" s="228">
        <f>IF(AND(126&gt;=$NR$24,126&lt;=$NS$24),IF($NP$24="Single_Point",IF(126=$NR$24,$NN$24,0),IF($NP$24="Bell_Curve",$NN$24*(126-$NR$24+1)*($NS$24-126+1)/$NU$24,$NN$24/$NT$24)),0)</f>
        <v/>
      </c>
      <c r="EA24" s="228">
        <f>IF(AND(127&gt;=$NR$24,127&lt;=$NS$24),IF($NP$24="Single_Point",IF(127=$NR$24,$NN$24,0),IF($NP$24="Bell_Curve",$NN$24*(127-$NR$24+1)*($NS$24-127+1)/$NU$24,$NN$24/$NT$24)),0)</f>
        <v/>
      </c>
      <c r="EB24" s="228">
        <f>IF(AND(128&gt;=$NR$24,128&lt;=$NS$24),IF($NP$24="Single_Point",IF(128=$NR$24,$NN$24,0),IF($NP$24="Bell_Curve",$NN$24*(128-$NR$24+1)*($NS$24-128+1)/$NU$24,$NN$24/$NT$24)),0)</f>
        <v/>
      </c>
      <c r="EC24" s="228">
        <f>IF(AND(129&gt;=$NR$24,129&lt;=$NS$24),IF($NP$24="Single_Point",IF(129=$NR$24,$NN$24,0),IF($NP$24="Bell_Curve",$NN$24*(129-$NR$24+1)*($NS$24-129+1)/$NU$24,$NN$24/$NT$24)),0)</f>
        <v/>
      </c>
      <c r="ED24" s="228">
        <f>IF(AND(130&gt;=$NR$24,130&lt;=$NS$24),IF($NP$24="Single_Point",IF(130=$NR$24,$NN$24,0),IF($NP$24="Bell_Curve",$NN$24*(130-$NR$24+1)*($NS$24-130+1)/$NU$24,$NN$24/$NT$24)),0)</f>
        <v/>
      </c>
      <c r="EE24" s="228">
        <f>IF(AND(131&gt;=$NR$24,131&lt;=$NS$24),IF($NP$24="Single_Point",IF(131=$NR$24,$NN$24,0),IF($NP$24="Bell_Curve",$NN$24*(131-$NR$24+1)*($NS$24-131+1)/$NU$24,$NN$24/$NT$24)),0)</f>
        <v/>
      </c>
      <c r="EF24" s="228">
        <f>IF(AND(132&gt;=$NR$24,132&lt;=$NS$24),IF($NP$24="Single_Point",IF(132=$NR$24,$NN$24,0),IF($NP$24="Bell_Curve",$NN$24*(132-$NR$24+1)*($NS$24-132+1)/$NU$24,$NN$24/$NT$24)),0)</f>
        <v/>
      </c>
      <c r="EG24" s="228">
        <f>IF(AND(133&gt;=$NR$24,133&lt;=$NS$24),IF($NP$24="Single_Point",IF(133=$NR$24,$NN$24,0),IF($NP$24="Bell_Curve",$NN$24*(133-$NR$24+1)*($NS$24-133+1)/$NU$24,$NN$24/$NT$24)),0)</f>
        <v/>
      </c>
      <c r="EH24" s="228">
        <f>IF(AND(134&gt;=$NR$24,134&lt;=$NS$24),IF($NP$24="Single_Point",IF(134=$NR$24,$NN$24,0),IF($NP$24="Bell_Curve",$NN$24*(134-$NR$24+1)*($NS$24-134+1)/$NU$24,$NN$24/$NT$24)),0)</f>
        <v/>
      </c>
      <c r="EI24" s="228">
        <f>IF(AND(135&gt;=$NR$24,135&lt;=$NS$24),IF($NP$24="Single_Point",IF(135=$NR$24,$NN$24,0),IF($NP$24="Bell_Curve",$NN$24*(135-$NR$24+1)*($NS$24-135+1)/$NU$24,$NN$24/$NT$24)),0)</f>
        <v/>
      </c>
      <c r="EJ24" s="228">
        <f>IF(AND(136&gt;=$NR$24,136&lt;=$NS$24),IF($NP$24="Single_Point",IF(136=$NR$24,$NN$24,0),IF($NP$24="Bell_Curve",$NN$24*(136-$NR$24+1)*($NS$24-136+1)/$NU$24,$NN$24/$NT$24)),0)</f>
        <v/>
      </c>
      <c r="EK24" s="228">
        <f>IF(AND(137&gt;=$NR$24,137&lt;=$NS$24),IF($NP$24="Single_Point",IF(137=$NR$24,$NN$24,0),IF($NP$24="Bell_Curve",$NN$24*(137-$NR$24+1)*($NS$24-137+1)/$NU$24,$NN$24/$NT$24)),0)</f>
        <v/>
      </c>
      <c r="EL24" s="228">
        <f>IF(AND(138&gt;=$NR$24,138&lt;=$NS$24),IF($NP$24="Single_Point",IF(138=$NR$24,$NN$24,0),IF($NP$24="Bell_Curve",$NN$24*(138-$NR$24+1)*($NS$24-138+1)/$NU$24,$NN$24/$NT$24)),0)</f>
        <v/>
      </c>
      <c r="EM24" s="228">
        <f>IF(AND(139&gt;=$NR$24,139&lt;=$NS$24),IF($NP$24="Single_Point",IF(139=$NR$24,$NN$24,0),IF($NP$24="Bell_Curve",$NN$24*(139-$NR$24+1)*($NS$24-139+1)/$NU$24,$NN$24/$NT$24)),0)</f>
        <v/>
      </c>
      <c r="EN24" s="228">
        <f>IF(AND(140&gt;=$NR$24,140&lt;=$NS$24),IF($NP$24="Single_Point",IF(140=$NR$24,$NN$24,0),IF($NP$24="Bell_Curve",$NN$24*(140-$NR$24+1)*($NS$24-140+1)/$NU$24,$NN$24/$NT$24)),0)</f>
        <v/>
      </c>
      <c r="EO24" s="228">
        <f>IF(AND(141&gt;=$NR$24,141&lt;=$NS$24),IF($NP$24="Single_Point",IF(141=$NR$24,$NN$24,0),IF($NP$24="Bell_Curve",$NN$24*(141-$NR$24+1)*($NS$24-141+1)/$NU$24,$NN$24/$NT$24)),0)</f>
        <v/>
      </c>
      <c r="EP24" s="228">
        <f>IF(AND(142&gt;=$NR$24,142&lt;=$NS$24),IF($NP$24="Single_Point",IF(142=$NR$24,$NN$24,0),IF($NP$24="Bell_Curve",$NN$24*(142-$NR$24+1)*($NS$24-142+1)/$NU$24,$NN$24/$NT$24)),0)</f>
        <v/>
      </c>
      <c r="EQ24" s="228">
        <f>IF(AND(143&gt;=$NR$24,143&lt;=$NS$24),IF($NP$24="Single_Point",IF(143=$NR$24,$NN$24,0),IF($NP$24="Bell_Curve",$NN$24*(143-$NR$24+1)*($NS$24-143+1)/$NU$24,$NN$24/$NT$24)),0)</f>
        <v/>
      </c>
      <c r="ER24" s="228">
        <f>IF(AND(144&gt;=$NR$24,144&lt;=$NS$24),IF($NP$24="Single_Point",IF(144=$NR$24,$NN$24,0),IF($NP$24="Bell_Curve",$NN$24*(144-$NR$24+1)*($NS$24-144+1)/$NU$24,$NN$24/$NT$24)),0)</f>
        <v/>
      </c>
      <c r="ES24" s="228">
        <f>IF(AND(145&gt;=$NR$24,145&lt;=$NS$24),IF($NP$24="Single_Point",IF(145=$NR$24,$NN$24,0),IF($NP$24="Bell_Curve",$NN$24*(145-$NR$24+1)*($NS$24-145+1)/$NU$24,$NN$24/$NT$24)),0)</f>
        <v/>
      </c>
      <c r="ET24" s="228">
        <f>IF(AND(146&gt;=$NR$24,146&lt;=$NS$24),IF($NP$24="Single_Point",IF(146=$NR$24,$NN$24,0),IF($NP$24="Bell_Curve",$NN$24*(146-$NR$24+1)*($NS$24-146+1)/$NU$24,$NN$24/$NT$24)),0)</f>
        <v/>
      </c>
      <c r="EU24" s="228">
        <f>IF(AND(147&gt;=$NR$24,147&lt;=$NS$24),IF($NP$24="Single_Point",IF(147=$NR$24,$NN$24,0),IF($NP$24="Bell_Curve",$NN$24*(147-$NR$24+1)*($NS$24-147+1)/$NU$24,$NN$24/$NT$24)),0)</f>
        <v/>
      </c>
      <c r="EV24" s="228">
        <f>IF(AND(148&gt;=$NR$24,148&lt;=$NS$24),IF($NP$24="Single_Point",IF(148=$NR$24,$NN$24,0),IF($NP$24="Bell_Curve",$NN$24*(148-$NR$24+1)*($NS$24-148+1)/$NU$24,$NN$24/$NT$24)),0)</f>
        <v/>
      </c>
      <c r="EW24" s="228">
        <f>IF(AND(149&gt;=$NR$24,149&lt;=$NS$24),IF($NP$24="Single_Point",IF(149=$NR$24,$NN$24,0),IF($NP$24="Bell_Curve",$NN$24*(149-$NR$24+1)*($NS$24-149+1)/$NU$24,$NN$24/$NT$24)),0)</f>
        <v/>
      </c>
      <c r="EX24" s="228">
        <f>IF(AND(150&gt;=$NR$24,150&lt;=$NS$24),IF($NP$24="Single_Point",IF(150=$NR$24,$NN$24,0),IF($NP$24="Bell_Curve",$NN$24*(150-$NR$24+1)*($NS$24-150+1)/$NU$24,$NN$24/$NT$24)),0)</f>
        <v/>
      </c>
      <c r="EY24" s="228">
        <f>IF(AND(151&gt;=$NR$24,151&lt;=$NS$24),IF($NP$24="Single_Point",IF(151=$NR$24,$NN$24,0),IF($NP$24="Bell_Curve",$NN$24*(151-$NR$24+1)*($NS$24-151+1)/$NU$24,$NN$24/$NT$24)),0)</f>
        <v/>
      </c>
      <c r="EZ24" s="228">
        <f>IF(AND(152&gt;=$NR$24,152&lt;=$NS$24),IF($NP$24="Single_Point",IF(152=$NR$24,$NN$24,0),IF($NP$24="Bell_Curve",$NN$24*(152-$NR$24+1)*($NS$24-152+1)/$NU$24,$NN$24/$NT$24)),0)</f>
        <v/>
      </c>
      <c r="FA24" s="228">
        <f>IF(AND(153&gt;=$NR$24,153&lt;=$NS$24),IF($NP$24="Single_Point",IF(153=$NR$24,$NN$24,0),IF($NP$24="Bell_Curve",$NN$24*(153-$NR$24+1)*($NS$24-153+1)/$NU$24,$NN$24/$NT$24)),0)</f>
        <v/>
      </c>
      <c r="FB24" s="228">
        <f>IF(AND(154&gt;=$NR$24,154&lt;=$NS$24),IF($NP$24="Single_Point",IF(154=$NR$24,$NN$24,0),IF($NP$24="Bell_Curve",$NN$24*(154-$NR$24+1)*($NS$24-154+1)/$NU$24,$NN$24/$NT$24)),0)</f>
        <v/>
      </c>
      <c r="FC24" s="228">
        <f>IF(AND(155&gt;=$NR$24,155&lt;=$NS$24),IF($NP$24="Single_Point",IF(155=$NR$24,$NN$24,0),IF($NP$24="Bell_Curve",$NN$24*(155-$NR$24+1)*($NS$24-155+1)/$NU$24,$NN$24/$NT$24)),0)</f>
        <v/>
      </c>
      <c r="FD24" s="228">
        <f>IF(AND(156&gt;=$NR$24,156&lt;=$NS$24),IF($NP$24="Single_Point",IF(156=$NR$24,$NN$24,0),IF($NP$24="Bell_Curve",$NN$24*(156-$NR$24+1)*($NS$24-156+1)/$NU$24,$NN$24/$NT$24)),0)</f>
        <v/>
      </c>
      <c r="FE24" s="228">
        <f>IF(AND(157&gt;=$NR$24,157&lt;=$NS$24),IF($NP$24="Single_Point",IF(157=$NR$24,$NN$24,0),IF($NP$24="Bell_Curve",$NN$24*(157-$NR$24+1)*($NS$24-157+1)/$NU$24,$NN$24/$NT$24)),0)</f>
        <v/>
      </c>
      <c r="FF24" s="228">
        <f>IF(AND(158&gt;=$NR$24,158&lt;=$NS$24),IF($NP$24="Single_Point",IF(158=$NR$24,$NN$24,0),IF($NP$24="Bell_Curve",$NN$24*(158-$NR$24+1)*($NS$24-158+1)/$NU$24,$NN$24/$NT$24)),0)</f>
        <v/>
      </c>
      <c r="FG24" s="228">
        <f>IF(AND(159&gt;=$NR$24,159&lt;=$NS$24),IF($NP$24="Single_Point",IF(159=$NR$24,$NN$24,0),IF($NP$24="Bell_Curve",$NN$24*(159-$NR$24+1)*($NS$24-159+1)/$NU$24,$NN$24/$NT$24)),0)</f>
        <v/>
      </c>
      <c r="FH24" s="228">
        <f>IF(AND(160&gt;=$NR$24,160&lt;=$NS$24),IF($NP$24="Single_Point",IF(160=$NR$24,$NN$24,0),IF($NP$24="Bell_Curve",$NN$24*(160-$NR$24+1)*($NS$24-160+1)/$NU$24,$NN$24/$NT$24)),0)</f>
        <v/>
      </c>
      <c r="FI24" s="228">
        <f>IF(AND(161&gt;=$NR$24,161&lt;=$NS$24),IF($NP$24="Single_Point",IF(161=$NR$24,$NN$24,0),IF($NP$24="Bell_Curve",$NN$24*(161-$NR$24+1)*($NS$24-161+1)/$NU$24,$NN$24/$NT$24)),0)</f>
        <v/>
      </c>
      <c r="FJ24" s="228">
        <f>IF(AND(162&gt;=$NR$24,162&lt;=$NS$24),IF($NP$24="Single_Point",IF(162=$NR$24,$NN$24,0),IF($NP$24="Bell_Curve",$NN$24*(162-$NR$24+1)*($NS$24-162+1)/$NU$24,$NN$24/$NT$24)),0)</f>
        <v/>
      </c>
      <c r="FK24" s="228">
        <f>IF(AND(163&gt;=$NR$24,163&lt;=$NS$24),IF($NP$24="Single_Point",IF(163=$NR$24,$NN$24,0),IF($NP$24="Bell_Curve",$NN$24*(163-$NR$24+1)*($NS$24-163+1)/$NU$24,$NN$24/$NT$24)),0)</f>
        <v/>
      </c>
      <c r="FL24" s="228">
        <f>IF(AND(164&gt;=$NR$24,164&lt;=$NS$24),IF($NP$24="Single_Point",IF(164=$NR$24,$NN$24,0),IF($NP$24="Bell_Curve",$NN$24*(164-$NR$24+1)*($NS$24-164+1)/$NU$24,$NN$24/$NT$24)),0)</f>
        <v/>
      </c>
      <c r="FM24" s="228">
        <f>IF(AND(165&gt;=$NR$24,165&lt;=$NS$24),IF($NP$24="Single_Point",IF(165=$NR$24,$NN$24,0),IF($NP$24="Bell_Curve",$NN$24*(165-$NR$24+1)*($NS$24-165+1)/$NU$24,$NN$24/$NT$24)),0)</f>
        <v/>
      </c>
      <c r="FN24" s="228">
        <f>IF(AND(166&gt;=$NR$24,166&lt;=$NS$24),IF($NP$24="Single_Point",IF(166=$NR$24,$NN$24,0),IF($NP$24="Bell_Curve",$NN$24*(166-$NR$24+1)*($NS$24-166+1)/$NU$24,$NN$24/$NT$24)),0)</f>
        <v/>
      </c>
      <c r="FO24" s="228">
        <f>IF(AND(167&gt;=$NR$24,167&lt;=$NS$24),IF($NP$24="Single_Point",IF(167=$NR$24,$NN$24,0),IF($NP$24="Bell_Curve",$NN$24*(167-$NR$24+1)*($NS$24-167+1)/$NU$24,$NN$24/$NT$24)),0)</f>
        <v/>
      </c>
      <c r="FP24" s="228">
        <f>IF(AND(168&gt;=$NR$24,168&lt;=$NS$24),IF($NP$24="Single_Point",IF(168=$NR$24,$NN$24,0),IF($NP$24="Bell_Curve",$NN$24*(168-$NR$24+1)*($NS$24-168+1)/$NU$24,$NN$24/$NT$24)),0)</f>
        <v/>
      </c>
      <c r="FQ24" s="228">
        <f>IF(AND(169&gt;=$NR$24,169&lt;=$NS$24),IF($NP$24="Single_Point",IF(169=$NR$24,$NN$24,0),IF($NP$24="Bell_Curve",$NN$24*(169-$NR$24+1)*($NS$24-169+1)/$NU$24,$NN$24/$NT$24)),0)</f>
        <v/>
      </c>
      <c r="FR24" s="228">
        <f>IF(AND(170&gt;=$NR$24,170&lt;=$NS$24),IF($NP$24="Single_Point",IF(170=$NR$24,$NN$24,0),IF($NP$24="Bell_Curve",$NN$24*(170-$NR$24+1)*($NS$24-170+1)/$NU$24,$NN$24/$NT$24)),0)</f>
        <v/>
      </c>
      <c r="FS24" s="228">
        <f>IF(AND(171&gt;=$NR$24,171&lt;=$NS$24),IF($NP$24="Single_Point",IF(171=$NR$24,$NN$24,0),IF($NP$24="Bell_Curve",$NN$24*(171-$NR$24+1)*($NS$24-171+1)/$NU$24,$NN$24/$NT$24)),0)</f>
        <v/>
      </c>
      <c r="FT24" s="228">
        <f>IF(AND(172&gt;=$NR$24,172&lt;=$NS$24),IF($NP$24="Single_Point",IF(172=$NR$24,$NN$24,0),IF($NP$24="Bell_Curve",$NN$24*(172-$NR$24+1)*($NS$24-172+1)/$NU$24,$NN$24/$NT$24)),0)</f>
        <v/>
      </c>
      <c r="FU24" s="228">
        <f>IF(AND(173&gt;=$NR$24,173&lt;=$NS$24),IF($NP$24="Single_Point",IF(173=$NR$24,$NN$24,0),IF($NP$24="Bell_Curve",$NN$24*(173-$NR$24+1)*($NS$24-173+1)/$NU$24,$NN$24/$NT$24)),0)</f>
        <v/>
      </c>
      <c r="FV24" s="228">
        <f>IF(AND(174&gt;=$NR$24,174&lt;=$NS$24),IF($NP$24="Single_Point",IF(174=$NR$24,$NN$24,0),IF($NP$24="Bell_Curve",$NN$24*(174-$NR$24+1)*($NS$24-174+1)/$NU$24,$NN$24/$NT$24)),0)</f>
        <v/>
      </c>
      <c r="FW24" s="228">
        <f>IF(AND(175&gt;=$NR$24,175&lt;=$NS$24),IF($NP$24="Single_Point",IF(175=$NR$24,$NN$24,0),IF($NP$24="Bell_Curve",$NN$24*(175-$NR$24+1)*($NS$24-175+1)/$NU$24,$NN$24/$NT$24)),0)</f>
        <v/>
      </c>
      <c r="FX24" s="228">
        <f>IF(AND(176&gt;=$NR$24,176&lt;=$NS$24),IF($NP$24="Single_Point",IF(176=$NR$24,$NN$24,0),IF($NP$24="Bell_Curve",$NN$24*(176-$NR$24+1)*($NS$24-176+1)/$NU$24,$NN$24/$NT$24)),0)</f>
        <v/>
      </c>
      <c r="FY24" s="228">
        <f>IF(AND(177&gt;=$NR$24,177&lt;=$NS$24),IF($NP$24="Single_Point",IF(177=$NR$24,$NN$24,0),IF($NP$24="Bell_Curve",$NN$24*(177-$NR$24+1)*($NS$24-177+1)/$NU$24,$NN$24/$NT$24)),0)</f>
        <v/>
      </c>
      <c r="FZ24" s="228">
        <f>IF(AND(178&gt;=$NR$24,178&lt;=$NS$24),IF($NP$24="Single_Point",IF(178=$NR$24,$NN$24,0),IF($NP$24="Bell_Curve",$NN$24*(178-$NR$24+1)*($NS$24-178+1)/$NU$24,$NN$24/$NT$24)),0)</f>
        <v/>
      </c>
      <c r="GA24" s="228">
        <f>IF(AND(179&gt;=$NR$24,179&lt;=$NS$24),IF($NP$24="Single_Point",IF(179=$NR$24,$NN$24,0),IF($NP$24="Bell_Curve",$NN$24*(179-$NR$24+1)*($NS$24-179+1)/$NU$24,$NN$24/$NT$24)),0)</f>
        <v/>
      </c>
      <c r="GB24" s="228">
        <f>IF(AND(180&gt;=$NR$24,180&lt;=$NS$24),IF($NP$24="Single_Point",IF(180=$NR$24,$NN$24,0),IF($NP$24="Bell_Curve",$NN$24*(180-$NR$24+1)*($NS$24-180+1)/$NU$24,$NN$24/$NT$24)),0)</f>
        <v/>
      </c>
      <c r="GC24" s="228">
        <f>IF(AND(181&gt;=$NR$24,181&lt;=$NS$24),IF($NP$24="Single_Point",IF(181=$NR$24,$NN$24,0),IF($NP$24="Bell_Curve",$NN$24*(181-$NR$24+1)*($NS$24-181+1)/$NU$24,$NN$24/$NT$24)),0)</f>
        <v/>
      </c>
      <c r="GD24" s="228">
        <f>IF(AND(182&gt;=$NR$24,182&lt;=$NS$24),IF($NP$24="Single_Point",IF(182=$NR$24,$NN$24,0),IF($NP$24="Bell_Curve",$NN$24*(182-$NR$24+1)*($NS$24-182+1)/$NU$24,$NN$24/$NT$24)),0)</f>
        <v/>
      </c>
      <c r="GE24" s="228">
        <f>IF(AND(183&gt;=$NR$24,183&lt;=$NS$24),IF($NP$24="Single_Point",IF(183=$NR$24,$NN$24,0),IF($NP$24="Bell_Curve",$NN$24*(183-$NR$24+1)*($NS$24-183+1)/$NU$24,$NN$24/$NT$24)),0)</f>
        <v/>
      </c>
      <c r="GF24" s="228">
        <f>IF(AND(184&gt;=$NR$24,184&lt;=$NS$24),IF($NP$24="Single_Point",IF(184=$NR$24,$NN$24,0),IF($NP$24="Bell_Curve",$NN$24*(184-$NR$24+1)*($NS$24-184+1)/$NU$24,$NN$24/$NT$24)),0)</f>
        <v/>
      </c>
      <c r="GG24" s="228">
        <f>IF(AND(185&gt;=$NR$24,185&lt;=$NS$24),IF($NP$24="Single_Point",IF(185=$NR$24,$NN$24,0),IF($NP$24="Bell_Curve",$NN$24*(185-$NR$24+1)*($NS$24-185+1)/$NU$24,$NN$24/$NT$24)),0)</f>
        <v/>
      </c>
      <c r="GH24" s="228">
        <f>IF(AND(186&gt;=$NR$24,186&lt;=$NS$24),IF($NP$24="Single_Point",IF(186=$NR$24,$NN$24,0),IF($NP$24="Bell_Curve",$NN$24*(186-$NR$24+1)*($NS$24-186+1)/$NU$24,$NN$24/$NT$24)),0)</f>
        <v/>
      </c>
      <c r="GI24" s="228">
        <f>IF(AND(187&gt;=$NR$24,187&lt;=$NS$24),IF($NP$24="Single_Point",IF(187=$NR$24,$NN$24,0),IF($NP$24="Bell_Curve",$NN$24*(187-$NR$24+1)*($NS$24-187+1)/$NU$24,$NN$24/$NT$24)),0)</f>
        <v/>
      </c>
      <c r="GJ24" s="228">
        <f>IF(AND(188&gt;=$NR$24,188&lt;=$NS$24),IF($NP$24="Single_Point",IF(188=$NR$24,$NN$24,0),IF($NP$24="Bell_Curve",$NN$24*(188-$NR$24+1)*($NS$24-188+1)/$NU$24,$NN$24/$NT$24)),0)</f>
        <v/>
      </c>
      <c r="GK24" s="228">
        <f>IF(AND(189&gt;=$NR$24,189&lt;=$NS$24),IF($NP$24="Single_Point",IF(189=$NR$24,$NN$24,0),IF($NP$24="Bell_Curve",$NN$24*(189-$NR$24+1)*($NS$24-189+1)/$NU$24,$NN$24/$NT$24)),0)</f>
        <v/>
      </c>
      <c r="GL24" s="228">
        <f>IF(AND(190&gt;=$NR$24,190&lt;=$NS$24),IF($NP$24="Single_Point",IF(190=$NR$24,$NN$24,0),IF($NP$24="Bell_Curve",$NN$24*(190-$NR$24+1)*($NS$24-190+1)/$NU$24,$NN$24/$NT$24)),0)</f>
        <v/>
      </c>
      <c r="GM24" s="228">
        <f>IF(AND(191&gt;=$NR$24,191&lt;=$NS$24),IF($NP$24="Single_Point",IF(191=$NR$24,$NN$24,0),IF($NP$24="Bell_Curve",$NN$24*(191-$NR$24+1)*($NS$24-191+1)/$NU$24,$NN$24/$NT$24)),0)</f>
        <v/>
      </c>
      <c r="GN24" s="228">
        <f>IF(AND(192&gt;=$NR$24,192&lt;=$NS$24),IF($NP$24="Single_Point",IF(192=$NR$24,$NN$24,0),IF($NP$24="Bell_Curve",$NN$24*(192-$NR$24+1)*($NS$24-192+1)/$NU$24,$NN$24/$NT$24)),0)</f>
        <v/>
      </c>
      <c r="GO24" s="228">
        <f>IF(AND(193&gt;=$NR$24,193&lt;=$NS$24),IF($NP$24="Single_Point",IF(193=$NR$24,$NN$24,0),IF($NP$24="Bell_Curve",$NN$24*(193-$NR$24+1)*($NS$24-193+1)/$NU$24,$NN$24/$NT$24)),0)</f>
        <v/>
      </c>
      <c r="GP24" s="228">
        <f>IF(AND(194&gt;=$NR$24,194&lt;=$NS$24),IF($NP$24="Single_Point",IF(194=$NR$24,$NN$24,0),IF($NP$24="Bell_Curve",$NN$24*(194-$NR$24+1)*($NS$24-194+1)/$NU$24,$NN$24/$NT$24)),0)</f>
        <v/>
      </c>
      <c r="GQ24" s="228">
        <f>IF(AND(195&gt;=$NR$24,195&lt;=$NS$24),IF($NP$24="Single_Point",IF(195=$NR$24,$NN$24,0),IF($NP$24="Bell_Curve",$NN$24*(195-$NR$24+1)*($NS$24-195+1)/$NU$24,$NN$24/$NT$24)),0)</f>
        <v/>
      </c>
      <c r="GR24" s="228">
        <f>IF(AND(196&gt;=$NR$24,196&lt;=$NS$24),IF($NP$24="Single_Point",IF(196=$NR$24,$NN$24,0),IF($NP$24="Bell_Curve",$NN$24*(196-$NR$24+1)*($NS$24-196+1)/$NU$24,$NN$24/$NT$24)),0)</f>
        <v/>
      </c>
      <c r="GS24" s="228">
        <f>IF(AND(197&gt;=$NR$24,197&lt;=$NS$24),IF($NP$24="Single_Point",IF(197=$NR$24,$NN$24,0),IF($NP$24="Bell_Curve",$NN$24*(197-$NR$24+1)*($NS$24-197+1)/$NU$24,$NN$24/$NT$24)),0)</f>
        <v/>
      </c>
      <c r="GT24" s="228">
        <f>IF(AND(198&gt;=$NR$24,198&lt;=$NS$24),IF($NP$24="Single_Point",IF(198=$NR$24,$NN$24,0),IF($NP$24="Bell_Curve",$NN$24*(198-$NR$24+1)*($NS$24-198+1)/$NU$24,$NN$24/$NT$24)),0)</f>
        <v/>
      </c>
      <c r="GU24" s="228">
        <f>IF(AND(199&gt;=$NR$24,199&lt;=$NS$24),IF($NP$24="Single_Point",IF(199=$NR$24,$NN$24,0),IF($NP$24="Bell_Curve",$NN$24*(199-$NR$24+1)*($NS$24-199+1)/$NU$24,$NN$24/$NT$24)),0)</f>
        <v/>
      </c>
      <c r="GV24" s="228">
        <f>IF(AND(200&gt;=$NR$24,200&lt;=$NS$24),IF($NP$24="Single_Point",IF(200=$NR$24,$NN$24,0),IF($NP$24="Bell_Curve",$NN$24*(200-$NR$24+1)*($NS$24-200+1)/$NU$24,$NN$24/$NT$24)),0)</f>
        <v/>
      </c>
      <c r="GW24" s="228">
        <f>IF(AND(201&gt;=$NR$24,201&lt;=$NS$24),IF($NP$24="Single_Point",IF(201=$NR$24,$NN$24,0),IF($NP$24="Bell_Curve",$NN$24*(201-$NR$24+1)*($NS$24-201+1)/$NU$24,$NN$24/$NT$24)),0)</f>
        <v/>
      </c>
      <c r="GX24" s="228">
        <f>IF(AND(202&gt;=$NR$24,202&lt;=$NS$24),IF($NP$24="Single_Point",IF(202=$NR$24,$NN$24,0),IF($NP$24="Bell_Curve",$NN$24*(202-$NR$24+1)*($NS$24-202+1)/$NU$24,$NN$24/$NT$24)),0)</f>
        <v/>
      </c>
      <c r="GY24" s="228">
        <f>IF(AND(203&gt;=$NR$24,203&lt;=$NS$24),IF($NP$24="Single_Point",IF(203=$NR$24,$NN$24,0),IF($NP$24="Bell_Curve",$NN$24*(203-$NR$24+1)*($NS$24-203+1)/$NU$24,$NN$24/$NT$24)),0)</f>
        <v/>
      </c>
      <c r="GZ24" s="228">
        <f>IF(AND(204&gt;=$NR$24,204&lt;=$NS$24),IF($NP$24="Single_Point",IF(204=$NR$24,$NN$24,0),IF($NP$24="Bell_Curve",$NN$24*(204-$NR$24+1)*($NS$24-204+1)/$NU$24,$NN$24/$NT$24)),0)</f>
        <v/>
      </c>
      <c r="HA24" s="228">
        <f>IF(AND(205&gt;=$NR$24,205&lt;=$NS$24),IF($NP$24="Single_Point",IF(205=$NR$24,$NN$24,0),IF($NP$24="Bell_Curve",$NN$24*(205-$NR$24+1)*($NS$24-205+1)/$NU$24,$NN$24/$NT$24)),0)</f>
        <v/>
      </c>
      <c r="HB24" s="228">
        <f>IF(AND(206&gt;=$NR$24,206&lt;=$NS$24),IF($NP$24="Single_Point",IF(206=$NR$24,$NN$24,0),IF($NP$24="Bell_Curve",$NN$24*(206-$NR$24+1)*($NS$24-206+1)/$NU$24,$NN$24/$NT$24)),0)</f>
        <v/>
      </c>
      <c r="HC24" s="228">
        <f>IF(AND(207&gt;=$NR$24,207&lt;=$NS$24),IF($NP$24="Single_Point",IF(207=$NR$24,$NN$24,0),IF($NP$24="Bell_Curve",$NN$24*(207-$NR$24+1)*($NS$24-207+1)/$NU$24,$NN$24/$NT$24)),0)</f>
        <v/>
      </c>
      <c r="HD24" s="228">
        <f>IF(AND(208&gt;=$NR$24,208&lt;=$NS$24),IF($NP$24="Single_Point",IF(208=$NR$24,$NN$24,0),IF($NP$24="Bell_Curve",$NN$24*(208-$NR$24+1)*($NS$24-208+1)/$NU$24,$NN$24/$NT$24)),0)</f>
        <v/>
      </c>
      <c r="HE24" s="228">
        <f>IF(AND(209&gt;=$NR$24,209&lt;=$NS$24),IF($NP$24="Single_Point",IF(209=$NR$24,$NN$24,0),IF($NP$24="Bell_Curve",$NN$24*(209-$NR$24+1)*($NS$24-209+1)/$NU$24,$NN$24/$NT$24)),0)</f>
        <v/>
      </c>
      <c r="HF24" s="228">
        <f>IF(AND(210&gt;=$NR$24,210&lt;=$NS$24),IF($NP$24="Single_Point",IF(210=$NR$24,$NN$24,0),IF($NP$24="Bell_Curve",$NN$24*(210-$NR$24+1)*($NS$24-210+1)/$NU$24,$NN$24/$NT$24)),0)</f>
        <v/>
      </c>
      <c r="HG24" s="228">
        <f>IF(AND(211&gt;=$NR$24,211&lt;=$NS$24),IF($NP$24="Single_Point",IF(211=$NR$24,$NN$24,0),IF($NP$24="Bell_Curve",$NN$24*(211-$NR$24+1)*($NS$24-211+1)/$NU$24,$NN$24/$NT$24)),0)</f>
        <v/>
      </c>
      <c r="HH24" s="228">
        <f>IF(AND(212&gt;=$NR$24,212&lt;=$NS$24),IF($NP$24="Single_Point",IF(212=$NR$24,$NN$24,0),IF($NP$24="Bell_Curve",$NN$24*(212-$NR$24+1)*($NS$24-212+1)/$NU$24,$NN$24/$NT$24)),0)</f>
        <v/>
      </c>
      <c r="HI24" s="228">
        <f>IF(AND(213&gt;=$NR$24,213&lt;=$NS$24),IF($NP$24="Single_Point",IF(213=$NR$24,$NN$24,0),IF($NP$24="Bell_Curve",$NN$24*(213-$NR$24+1)*($NS$24-213+1)/$NU$24,$NN$24/$NT$24)),0)</f>
        <v/>
      </c>
      <c r="HJ24" s="228">
        <f>IF(AND(214&gt;=$NR$24,214&lt;=$NS$24),IF($NP$24="Single_Point",IF(214=$NR$24,$NN$24,0),IF($NP$24="Bell_Curve",$NN$24*(214-$NR$24+1)*($NS$24-214+1)/$NU$24,$NN$24/$NT$24)),0)</f>
        <v/>
      </c>
      <c r="HK24" s="228">
        <f>IF(AND(215&gt;=$NR$24,215&lt;=$NS$24),IF($NP$24="Single_Point",IF(215=$NR$24,$NN$24,0),IF($NP$24="Bell_Curve",$NN$24*(215-$NR$24+1)*($NS$24-215+1)/$NU$24,$NN$24/$NT$24)),0)</f>
        <v/>
      </c>
      <c r="HL24" s="228">
        <f>IF(AND(216&gt;=$NR$24,216&lt;=$NS$24),IF($NP$24="Single_Point",IF(216=$NR$24,$NN$24,0),IF($NP$24="Bell_Curve",$NN$24*(216-$NR$24+1)*($NS$24-216+1)/$NU$24,$NN$24/$NT$24)),0)</f>
        <v/>
      </c>
      <c r="HM24" s="228">
        <f>IF(AND(217&gt;=$NR$24,217&lt;=$NS$24),IF($NP$24="Single_Point",IF(217=$NR$24,$NN$24,0),IF($NP$24="Bell_Curve",$NN$24*(217-$NR$24+1)*($NS$24-217+1)/$NU$24,$NN$24/$NT$24)),0)</f>
        <v/>
      </c>
      <c r="HN24" s="228">
        <f>IF(AND(218&gt;=$NR$24,218&lt;=$NS$24),IF($NP$24="Single_Point",IF(218=$NR$24,$NN$24,0),IF($NP$24="Bell_Curve",$NN$24*(218-$NR$24+1)*($NS$24-218+1)/$NU$24,$NN$24/$NT$24)),0)</f>
        <v/>
      </c>
      <c r="HO24" s="228">
        <f>IF(AND(219&gt;=$NR$24,219&lt;=$NS$24),IF($NP$24="Single_Point",IF(219=$NR$24,$NN$24,0),IF($NP$24="Bell_Curve",$NN$24*(219-$NR$24+1)*($NS$24-219+1)/$NU$24,$NN$24/$NT$24)),0)</f>
        <v/>
      </c>
      <c r="HP24" s="228">
        <f>IF(AND(220&gt;=$NR$24,220&lt;=$NS$24),IF($NP$24="Single_Point",IF(220=$NR$24,$NN$24,0),IF($NP$24="Bell_Curve",$NN$24*(220-$NR$24+1)*($NS$24-220+1)/$NU$24,$NN$24/$NT$24)),0)</f>
        <v/>
      </c>
      <c r="HQ24" s="228">
        <f>IF(AND(221&gt;=$NR$24,221&lt;=$NS$24),IF($NP$24="Single_Point",IF(221=$NR$24,$NN$24,0),IF($NP$24="Bell_Curve",$NN$24*(221-$NR$24+1)*($NS$24-221+1)/$NU$24,$NN$24/$NT$24)),0)</f>
        <v/>
      </c>
      <c r="HR24" s="228">
        <f>IF(AND(222&gt;=$NR$24,222&lt;=$NS$24),IF($NP$24="Single_Point",IF(222=$NR$24,$NN$24,0),IF($NP$24="Bell_Curve",$NN$24*(222-$NR$24+1)*($NS$24-222+1)/$NU$24,$NN$24/$NT$24)),0)</f>
        <v/>
      </c>
      <c r="HS24" s="228">
        <f>IF(AND(223&gt;=$NR$24,223&lt;=$NS$24),IF($NP$24="Single_Point",IF(223=$NR$24,$NN$24,0),IF($NP$24="Bell_Curve",$NN$24*(223-$NR$24+1)*($NS$24-223+1)/$NU$24,$NN$24/$NT$24)),0)</f>
        <v/>
      </c>
      <c r="HT24" s="228">
        <f>IF(AND(224&gt;=$NR$24,224&lt;=$NS$24),IF($NP$24="Single_Point",IF(224=$NR$24,$NN$24,0),IF($NP$24="Bell_Curve",$NN$24*(224-$NR$24+1)*($NS$24-224+1)/$NU$24,$NN$24/$NT$24)),0)</f>
        <v/>
      </c>
      <c r="HU24" s="228">
        <f>IF(AND(225&gt;=$NR$24,225&lt;=$NS$24),IF($NP$24="Single_Point",IF(225=$NR$24,$NN$24,0),IF($NP$24="Bell_Curve",$NN$24*(225-$NR$24+1)*($NS$24-225+1)/$NU$24,$NN$24/$NT$24)),0)</f>
        <v/>
      </c>
      <c r="HV24" s="228">
        <f>IF(AND(226&gt;=$NR$24,226&lt;=$NS$24),IF($NP$24="Single_Point",IF(226=$NR$24,$NN$24,0),IF($NP$24="Bell_Curve",$NN$24*(226-$NR$24+1)*($NS$24-226+1)/$NU$24,$NN$24/$NT$24)),0)</f>
        <v/>
      </c>
      <c r="HW24" s="228">
        <f>IF(AND(227&gt;=$NR$24,227&lt;=$NS$24),IF($NP$24="Single_Point",IF(227=$NR$24,$NN$24,0),IF($NP$24="Bell_Curve",$NN$24*(227-$NR$24+1)*($NS$24-227+1)/$NU$24,$NN$24/$NT$24)),0)</f>
        <v/>
      </c>
      <c r="HX24" s="228">
        <f>IF(AND(228&gt;=$NR$24,228&lt;=$NS$24),IF($NP$24="Single_Point",IF(228=$NR$24,$NN$24,0),IF($NP$24="Bell_Curve",$NN$24*(228-$NR$24+1)*($NS$24-228+1)/$NU$24,$NN$24/$NT$24)),0)</f>
        <v/>
      </c>
      <c r="HY24" s="228">
        <f>IF(AND(229&gt;=$NR$24,229&lt;=$NS$24),IF($NP$24="Single_Point",IF(229=$NR$24,$NN$24,0),IF($NP$24="Bell_Curve",$NN$24*(229-$NR$24+1)*($NS$24-229+1)/$NU$24,$NN$24/$NT$24)),0)</f>
        <v/>
      </c>
      <c r="HZ24" s="228">
        <f>IF(AND(230&gt;=$NR$24,230&lt;=$NS$24),IF($NP$24="Single_Point",IF(230=$NR$24,$NN$24,0),IF($NP$24="Bell_Curve",$NN$24*(230-$NR$24+1)*($NS$24-230+1)/$NU$24,$NN$24/$NT$24)),0)</f>
        <v/>
      </c>
      <c r="IA24" s="228">
        <f>IF(AND(231&gt;=$NR$24,231&lt;=$NS$24),IF($NP$24="Single_Point",IF(231=$NR$24,$NN$24,0),IF($NP$24="Bell_Curve",$NN$24*(231-$NR$24+1)*($NS$24-231+1)/$NU$24,$NN$24/$NT$24)),0)</f>
        <v/>
      </c>
      <c r="IB24" s="228">
        <f>IF(AND(232&gt;=$NR$24,232&lt;=$NS$24),IF($NP$24="Single_Point",IF(232=$NR$24,$NN$24,0),IF($NP$24="Bell_Curve",$NN$24*(232-$NR$24+1)*($NS$24-232+1)/$NU$24,$NN$24/$NT$24)),0)</f>
        <v/>
      </c>
      <c r="IC24" s="228">
        <f>IF(AND(233&gt;=$NR$24,233&lt;=$NS$24),IF($NP$24="Single_Point",IF(233=$NR$24,$NN$24,0),IF($NP$24="Bell_Curve",$NN$24*(233-$NR$24+1)*($NS$24-233+1)/$NU$24,$NN$24/$NT$24)),0)</f>
        <v/>
      </c>
      <c r="ID24" s="228">
        <f>IF(AND(234&gt;=$NR$24,234&lt;=$NS$24),IF($NP$24="Single_Point",IF(234=$NR$24,$NN$24,0),IF($NP$24="Bell_Curve",$NN$24*(234-$NR$24+1)*($NS$24-234+1)/$NU$24,$NN$24/$NT$24)),0)</f>
        <v/>
      </c>
      <c r="IE24" s="228">
        <f>IF(AND(235&gt;=$NR$24,235&lt;=$NS$24),IF($NP$24="Single_Point",IF(235=$NR$24,$NN$24,0),IF($NP$24="Bell_Curve",$NN$24*(235-$NR$24+1)*($NS$24-235+1)/$NU$24,$NN$24/$NT$24)),0)</f>
        <v/>
      </c>
      <c r="IF24" s="228">
        <f>IF(AND(236&gt;=$NR$24,236&lt;=$NS$24),IF($NP$24="Single_Point",IF(236=$NR$24,$NN$24,0),IF($NP$24="Bell_Curve",$NN$24*(236-$NR$24+1)*($NS$24-236+1)/$NU$24,$NN$24/$NT$24)),0)</f>
        <v/>
      </c>
      <c r="IG24" s="228">
        <f>IF(AND(237&gt;=$NR$24,237&lt;=$NS$24),IF($NP$24="Single_Point",IF(237=$NR$24,$NN$24,0),IF($NP$24="Bell_Curve",$NN$24*(237-$NR$24+1)*($NS$24-237+1)/$NU$24,$NN$24/$NT$24)),0)</f>
        <v/>
      </c>
      <c r="IH24" s="228">
        <f>IF(AND(238&gt;=$NR$24,238&lt;=$NS$24),IF($NP$24="Single_Point",IF(238=$NR$24,$NN$24,0),IF($NP$24="Bell_Curve",$NN$24*(238-$NR$24+1)*($NS$24-238+1)/$NU$24,$NN$24/$NT$24)),0)</f>
        <v/>
      </c>
      <c r="II24" s="228">
        <f>IF(AND(239&gt;=$NR$24,239&lt;=$NS$24),IF($NP$24="Single_Point",IF(239=$NR$24,$NN$24,0),IF($NP$24="Bell_Curve",$NN$24*(239-$NR$24+1)*($NS$24-239+1)/$NU$24,$NN$24/$NT$24)),0)</f>
        <v/>
      </c>
      <c r="IJ24" s="228">
        <f>IF(AND(240&gt;=$NR$24,240&lt;=$NS$24),IF($NP$24="Single_Point",IF(240=$NR$24,$NN$24,0),IF($NP$24="Bell_Curve",$NN$24*(240-$NR$24+1)*($NS$24-240+1)/$NU$24,$NN$24/$NT$24)),0)</f>
        <v/>
      </c>
      <c r="IK24" s="228">
        <f>IF(AND(241&gt;=$NR$24,241&lt;=$NS$24),IF($NP$24="Single_Point",IF(241=$NR$24,$NN$24,0),IF($NP$24="Bell_Curve",$NN$24*(241-$NR$24+1)*($NS$24-241+1)/$NU$24,$NN$24/$NT$24)),0)</f>
        <v/>
      </c>
      <c r="IL24" s="228">
        <f>IF(AND(242&gt;=$NR$24,242&lt;=$NS$24),IF($NP$24="Single_Point",IF(242=$NR$24,$NN$24,0),IF($NP$24="Bell_Curve",$NN$24*(242-$NR$24+1)*($NS$24-242+1)/$NU$24,$NN$24/$NT$24)),0)</f>
        <v/>
      </c>
      <c r="IM24" s="228">
        <f>IF(AND(243&gt;=$NR$24,243&lt;=$NS$24),IF($NP$24="Single_Point",IF(243=$NR$24,$NN$24,0),IF($NP$24="Bell_Curve",$NN$24*(243-$NR$24+1)*($NS$24-243+1)/$NU$24,$NN$24/$NT$24)),0)</f>
        <v/>
      </c>
      <c r="IN24" s="228">
        <f>IF(AND(244&gt;=$NR$24,244&lt;=$NS$24),IF($NP$24="Single_Point",IF(244=$NR$24,$NN$24,0),IF($NP$24="Bell_Curve",$NN$24*(244-$NR$24+1)*($NS$24-244+1)/$NU$24,$NN$24/$NT$24)),0)</f>
        <v/>
      </c>
      <c r="IO24" s="228">
        <f>IF(AND(245&gt;=$NR$24,245&lt;=$NS$24),IF($NP$24="Single_Point",IF(245=$NR$24,$NN$24,0),IF($NP$24="Bell_Curve",$NN$24*(245-$NR$24+1)*($NS$24-245+1)/$NU$24,$NN$24/$NT$24)),0)</f>
        <v/>
      </c>
      <c r="IP24" s="228">
        <f>IF(AND(246&gt;=$NR$24,246&lt;=$NS$24),IF($NP$24="Single_Point",IF(246=$NR$24,$NN$24,0),IF($NP$24="Bell_Curve",$NN$24*(246-$NR$24+1)*($NS$24-246+1)/$NU$24,$NN$24/$NT$24)),0)</f>
        <v/>
      </c>
      <c r="IQ24" s="228">
        <f>IF(AND(247&gt;=$NR$24,247&lt;=$NS$24),IF($NP$24="Single_Point",IF(247=$NR$24,$NN$24,0),IF($NP$24="Bell_Curve",$NN$24*(247-$NR$24+1)*($NS$24-247+1)/$NU$24,$NN$24/$NT$24)),0)</f>
        <v/>
      </c>
      <c r="IR24" s="228">
        <f>IF(AND(248&gt;=$NR$24,248&lt;=$NS$24),IF($NP$24="Single_Point",IF(248=$NR$24,$NN$24,0),IF($NP$24="Bell_Curve",$NN$24*(248-$NR$24+1)*($NS$24-248+1)/$NU$24,$NN$24/$NT$24)),0)</f>
        <v/>
      </c>
      <c r="IS24" s="228">
        <f>IF(AND(249&gt;=$NR$24,249&lt;=$NS$24),IF($NP$24="Single_Point",IF(249=$NR$24,$NN$24,0),IF($NP$24="Bell_Curve",$NN$24*(249-$NR$24+1)*($NS$24-249+1)/$NU$24,$NN$24/$NT$24)),0)</f>
        <v/>
      </c>
      <c r="IT24" s="228">
        <f>IF(AND(250&gt;=$NR$24,250&lt;=$NS$24),IF($NP$24="Single_Point",IF(250=$NR$24,$NN$24,0),IF($NP$24="Bell_Curve",$NN$24*(250-$NR$24+1)*($NS$24-250+1)/$NU$24,$NN$24/$NT$24)),0)</f>
        <v/>
      </c>
      <c r="IU24" s="228">
        <f>IF(AND(251&gt;=$NR$24,251&lt;=$NS$24),IF($NP$24="Single_Point",IF(251=$NR$24,$NN$24,0),IF($NP$24="Bell_Curve",$NN$24*(251-$NR$24+1)*($NS$24-251+1)/$NU$24,$NN$24/$NT$24)),0)</f>
        <v/>
      </c>
      <c r="IV24" s="228">
        <f>IF(AND(252&gt;=$NR$24,252&lt;=$NS$24),IF($NP$24="Single_Point",IF(252=$NR$24,$NN$24,0),IF($NP$24="Bell_Curve",$NN$24*(252-$NR$24+1)*($NS$24-252+1)/$NU$24,$NN$24/$NT$24)),0)</f>
        <v/>
      </c>
      <c r="IW24" s="228">
        <f>IF(AND(253&gt;=$NR$24,253&lt;=$NS$24),IF($NP$24="Single_Point",IF(253=$NR$24,$NN$24,0),IF($NP$24="Bell_Curve",$NN$24*(253-$NR$24+1)*($NS$24-253+1)/$NU$24,$NN$24/$NT$24)),0)</f>
        <v/>
      </c>
      <c r="IX24" s="228">
        <f>IF(AND(254&gt;=$NR$24,254&lt;=$NS$24),IF($NP$24="Single_Point",IF(254=$NR$24,$NN$24,0),IF($NP$24="Bell_Curve",$NN$24*(254-$NR$24+1)*($NS$24-254+1)/$NU$24,$NN$24/$NT$24)),0)</f>
        <v/>
      </c>
      <c r="IY24" s="228">
        <f>IF(AND(255&gt;=$NR$24,255&lt;=$NS$24),IF($NP$24="Single_Point",IF(255=$NR$24,$NN$24,0),IF($NP$24="Bell_Curve",$NN$24*(255-$NR$24+1)*($NS$24-255+1)/$NU$24,$NN$24/$NT$24)),0)</f>
        <v/>
      </c>
      <c r="IZ24" s="228">
        <f>IF(AND(256&gt;=$NR$24,256&lt;=$NS$24),IF($NP$24="Single_Point",IF(256=$NR$24,$NN$24,0),IF($NP$24="Bell_Curve",$NN$24*(256-$NR$24+1)*($NS$24-256+1)/$NU$24,$NN$24/$NT$24)),0)</f>
        <v/>
      </c>
      <c r="JA24" s="228">
        <f>IF(AND(257&gt;=$NR$24,257&lt;=$NS$24),IF($NP$24="Single_Point",IF(257=$NR$24,$NN$24,0),IF($NP$24="Bell_Curve",$NN$24*(257-$NR$24+1)*($NS$24-257+1)/$NU$24,$NN$24/$NT$24)),0)</f>
        <v/>
      </c>
      <c r="JB24" s="228">
        <f>IF(AND(258&gt;=$NR$24,258&lt;=$NS$24),IF($NP$24="Single_Point",IF(258=$NR$24,$NN$24,0),IF($NP$24="Bell_Curve",$NN$24*(258-$NR$24+1)*($NS$24-258+1)/$NU$24,$NN$24/$NT$24)),0)</f>
        <v/>
      </c>
      <c r="JC24" s="228">
        <f>IF(AND(259&gt;=$NR$24,259&lt;=$NS$24),IF($NP$24="Single_Point",IF(259=$NR$24,$NN$24,0),IF($NP$24="Bell_Curve",$NN$24*(259-$NR$24+1)*($NS$24-259+1)/$NU$24,$NN$24/$NT$24)),0)</f>
        <v/>
      </c>
      <c r="JD24" s="228">
        <f>IF(AND(260&gt;=$NR$24,260&lt;=$NS$24),IF($NP$24="Single_Point",IF(260=$NR$24,$NN$24,0),IF($NP$24="Bell_Curve",$NN$24*(260-$NR$24+1)*($NS$24-260+1)/$NU$24,$NN$24/$NT$24)),0)</f>
        <v/>
      </c>
      <c r="JE24" s="228">
        <f>IF(AND(261&gt;=$NR$24,261&lt;=$NS$24),IF($NP$24="Single_Point",IF(261=$NR$24,$NN$24,0),IF($NP$24="Bell_Curve",$NN$24*(261-$NR$24+1)*($NS$24-261+1)/$NU$24,$NN$24/$NT$24)),0)</f>
        <v/>
      </c>
      <c r="JF24" s="228">
        <f>IF(AND(262&gt;=$NR$24,262&lt;=$NS$24),IF($NP$24="Single_Point",IF(262=$NR$24,$NN$24,0),IF($NP$24="Bell_Curve",$NN$24*(262-$NR$24+1)*($NS$24-262+1)/$NU$24,$NN$24/$NT$24)),0)</f>
        <v/>
      </c>
      <c r="JG24" s="228">
        <f>IF(AND(263&gt;=$NR$24,263&lt;=$NS$24),IF($NP$24="Single_Point",IF(263=$NR$24,$NN$24,0),IF($NP$24="Bell_Curve",$NN$24*(263-$NR$24+1)*($NS$24-263+1)/$NU$24,$NN$24/$NT$24)),0)</f>
        <v/>
      </c>
      <c r="JH24" s="228">
        <f>IF(AND(264&gt;=$NR$24,264&lt;=$NS$24),IF($NP$24="Single_Point",IF(264=$NR$24,$NN$24,0),IF($NP$24="Bell_Curve",$NN$24*(264-$NR$24+1)*($NS$24-264+1)/$NU$24,$NN$24/$NT$24)),0)</f>
        <v/>
      </c>
      <c r="JI24" s="228">
        <f>IF(AND(265&gt;=$NR$24,265&lt;=$NS$24),IF($NP$24="Single_Point",IF(265=$NR$24,$NN$24,0),IF($NP$24="Bell_Curve",$NN$24*(265-$NR$24+1)*($NS$24-265+1)/$NU$24,$NN$24/$NT$24)),0)</f>
        <v/>
      </c>
      <c r="JJ24" s="228">
        <f>IF(AND(266&gt;=$NR$24,266&lt;=$NS$24),IF($NP$24="Single_Point",IF(266=$NR$24,$NN$24,0),IF($NP$24="Bell_Curve",$NN$24*(266-$NR$24+1)*($NS$24-266+1)/$NU$24,$NN$24/$NT$24)),0)</f>
        <v/>
      </c>
      <c r="JK24" s="228">
        <f>IF(AND(267&gt;=$NR$24,267&lt;=$NS$24),IF($NP$24="Single_Point",IF(267=$NR$24,$NN$24,0),IF($NP$24="Bell_Curve",$NN$24*(267-$NR$24+1)*($NS$24-267+1)/$NU$24,$NN$24/$NT$24)),0)</f>
        <v/>
      </c>
      <c r="JL24" s="228">
        <f>IF(AND(268&gt;=$NR$24,268&lt;=$NS$24),IF($NP$24="Single_Point",IF(268=$NR$24,$NN$24,0),IF($NP$24="Bell_Curve",$NN$24*(268-$NR$24+1)*($NS$24-268+1)/$NU$24,$NN$24/$NT$24)),0)</f>
        <v/>
      </c>
      <c r="JM24" s="228">
        <f>IF(AND(269&gt;=$NR$24,269&lt;=$NS$24),IF($NP$24="Single_Point",IF(269=$NR$24,$NN$24,0),IF($NP$24="Bell_Curve",$NN$24*(269-$NR$24+1)*($NS$24-269+1)/$NU$24,$NN$24/$NT$24)),0)</f>
        <v/>
      </c>
      <c r="JN24" s="228">
        <f>IF(AND(270&gt;=$NR$24,270&lt;=$NS$24),IF($NP$24="Single_Point",IF(270=$NR$24,$NN$24,0),IF($NP$24="Bell_Curve",$NN$24*(270-$NR$24+1)*($NS$24-270+1)/$NU$24,$NN$24/$NT$24)),0)</f>
        <v/>
      </c>
      <c r="JO24" s="228">
        <f>IF(AND(271&gt;=$NR$24,271&lt;=$NS$24),IF($NP$24="Single_Point",IF(271=$NR$24,$NN$24,0),IF($NP$24="Bell_Curve",$NN$24*(271-$NR$24+1)*($NS$24-271+1)/$NU$24,$NN$24/$NT$24)),0)</f>
        <v/>
      </c>
      <c r="JP24" s="228">
        <f>IF(AND(272&gt;=$NR$24,272&lt;=$NS$24),IF($NP$24="Single_Point",IF(272=$NR$24,$NN$24,0),IF($NP$24="Bell_Curve",$NN$24*(272-$NR$24+1)*($NS$24-272+1)/$NU$24,$NN$24/$NT$24)),0)</f>
        <v/>
      </c>
      <c r="JQ24" s="228">
        <f>IF(AND(273&gt;=$NR$24,273&lt;=$NS$24),IF($NP$24="Single_Point",IF(273=$NR$24,$NN$24,0),IF($NP$24="Bell_Curve",$NN$24*(273-$NR$24+1)*($NS$24-273+1)/$NU$24,$NN$24/$NT$24)),0)</f>
        <v/>
      </c>
      <c r="JR24" s="228">
        <f>IF(AND(274&gt;=$NR$24,274&lt;=$NS$24),IF($NP$24="Single_Point",IF(274=$NR$24,$NN$24,0),IF($NP$24="Bell_Curve",$NN$24*(274-$NR$24+1)*($NS$24-274+1)/$NU$24,$NN$24/$NT$24)),0)</f>
        <v/>
      </c>
      <c r="JS24" s="228">
        <f>IF(AND(275&gt;=$NR$24,275&lt;=$NS$24),IF($NP$24="Single_Point",IF(275=$NR$24,$NN$24,0),IF($NP$24="Bell_Curve",$NN$24*(275-$NR$24+1)*($NS$24-275+1)/$NU$24,$NN$24/$NT$24)),0)</f>
        <v/>
      </c>
      <c r="JT24" s="228">
        <f>IF(AND(276&gt;=$NR$24,276&lt;=$NS$24),IF($NP$24="Single_Point",IF(276=$NR$24,$NN$24,0),IF($NP$24="Bell_Curve",$NN$24*(276-$NR$24+1)*($NS$24-276+1)/$NU$24,$NN$24/$NT$24)),0)</f>
        <v/>
      </c>
      <c r="JU24" s="228">
        <f>IF(AND(277&gt;=$NR$24,277&lt;=$NS$24),IF($NP$24="Single_Point",IF(277=$NR$24,$NN$24,0),IF($NP$24="Bell_Curve",$NN$24*(277-$NR$24+1)*($NS$24-277+1)/$NU$24,$NN$24/$NT$24)),0)</f>
        <v/>
      </c>
      <c r="JV24" s="228">
        <f>IF(AND(278&gt;=$NR$24,278&lt;=$NS$24),IF($NP$24="Single_Point",IF(278=$NR$24,$NN$24,0),IF($NP$24="Bell_Curve",$NN$24*(278-$NR$24+1)*($NS$24-278+1)/$NU$24,$NN$24/$NT$24)),0)</f>
        <v/>
      </c>
      <c r="JW24" s="228">
        <f>IF(AND(279&gt;=$NR$24,279&lt;=$NS$24),IF($NP$24="Single_Point",IF(279=$NR$24,$NN$24,0),IF($NP$24="Bell_Curve",$NN$24*(279-$NR$24+1)*($NS$24-279+1)/$NU$24,$NN$24/$NT$24)),0)</f>
        <v/>
      </c>
      <c r="JX24" s="228">
        <f>IF(AND(280&gt;=$NR$24,280&lt;=$NS$24),IF($NP$24="Single_Point",IF(280=$NR$24,$NN$24,0),IF($NP$24="Bell_Curve",$NN$24*(280-$NR$24+1)*($NS$24-280+1)/$NU$24,$NN$24/$NT$24)),0)</f>
        <v/>
      </c>
      <c r="JY24" s="228">
        <f>IF(AND(281&gt;=$NR$24,281&lt;=$NS$24),IF($NP$24="Single_Point",IF(281=$NR$24,$NN$24,0),IF($NP$24="Bell_Curve",$NN$24*(281-$NR$24+1)*($NS$24-281+1)/$NU$24,$NN$24/$NT$24)),0)</f>
        <v/>
      </c>
      <c r="JZ24" s="228">
        <f>IF(AND(282&gt;=$NR$24,282&lt;=$NS$24),IF($NP$24="Single_Point",IF(282=$NR$24,$NN$24,0),IF($NP$24="Bell_Curve",$NN$24*(282-$NR$24+1)*($NS$24-282+1)/$NU$24,$NN$24/$NT$24)),0)</f>
        <v/>
      </c>
      <c r="KA24" s="228">
        <f>IF(AND(283&gt;=$NR$24,283&lt;=$NS$24),IF($NP$24="Single_Point",IF(283=$NR$24,$NN$24,0),IF($NP$24="Bell_Curve",$NN$24*(283-$NR$24+1)*($NS$24-283+1)/$NU$24,$NN$24/$NT$24)),0)</f>
        <v/>
      </c>
      <c r="KB24" s="228">
        <f>IF(AND(284&gt;=$NR$24,284&lt;=$NS$24),IF($NP$24="Single_Point",IF(284=$NR$24,$NN$24,0),IF($NP$24="Bell_Curve",$NN$24*(284-$NR$24+1)*($NS$24-284+1)/$NU$24,$NN$24/$NT$24)),0)</f>
        <v/>
      </c>
      <c r="KC24" s="228">
        <f>IF(AND(285&gt;=$NR$24,285&lt;=$NS$24),IF($NP$24="Single_Point",IF(285=$NR$24,$NN$24,0),IF($NP$24="Bell_Curve",$NN$24*(285-$NR$24+1)*($NS$24-285+1)/$NU$24,$NN$24/$NT$24)),0)</f>
        <v/>
      </c>
      <c r="KD24" s="228">
        <f>IF(AND(286&gt;=$NR$24,286&lt;=$NS$24),IF($NP$24="Single_Point",IF(286=$NR$24,$NN$24,0),IF($NP$24="Bell_Curve",$NN$24*(286-$NR$24+1)*($NS$24-286+1)/$NU$24,$NN$24/$NT$24)),0)</f>
        <v/>
      </c>
      <c r="KE24" s="228">
        <f>IF(AND(287&gt;=$NR$24,287&lt;=$NS$24),IF($NP$24="Single_Point",IF(287=$NR$24,$NN$24,0),IF($NP$24="Bell_Curve",$NN$24*(287-$NR$24+1)*($NS$24-287+1)/$NU$24,$NN$24/$NT$24)),0)</f>
        <v/>
      </c>
      <c r="KF24" s="228">
        <f>IF(AND(288&gt;=$NR$24,288&lt;=$NS$24),IF($NP$24="Single_Point",IF(288=$NR$24,$NN$24,0),IF($NP$24="Bell_Curve",$NN$24*(288-$NR$24+1)*($NS$24-288+1)/$NU$24,$NN$24/$NT$24)),0)</f>
        <v/>
      </c>
      <c r="KG24" s="228">
        <f>IF(AND(289&gt;=$NR$24,289&lt;=$NS$24),IF($NP$24="Single_Point",IF(289=$NR$24,$NN$24,0),IF($NP$24="Bell_Curve",$NN$24*(289-$NR$24+1)*($NS$24-289+1)/$NU$24,$NN$24/$NT$24)),0)</f>
        <v/>
      </c>
      <c r="KH24" s="228">
        <f>IF(AND(290&gt;=$NR$24,290&lt;=$NS$24),IF($NP$24="Single_Point",IF(290=$NR$24,$NN$24,0),IF($NP$24="Bell_Curve",$NN$24*(290-$NR$24+1)*($NS$24-290+1)/$NU$24,$NN$24/$NT$24)),0)</f>
        <v/>
      </c>
      <c r="KI24" s="228">
        <f>IF(AND(291&gt;=$NR$24,291&lt;=$NS$24),IF($NP$24="Single_Point",IF(291=$NR$24,$NN$24,0),IF($NP$24="Bell_Curve",$NN$24*(291-$NR$24+1)*($NS$24-291+1)/$NU$24,$NN$24/$NT$24)),0)</f>
        <v/>
      </c>
      <c r="KJ24" s="228">
        <f>IF(AND(292&gt;=$NR$24,292&lt;=$NS$24),IF($NP$24="Single_Point",IF(292=$NR$24,$NN$24,0),IF($NP$24="Bell_Curve",$NN$24*(292-$NR$24+1)*($NS$24-292+1)/$NU$24,$NN$24/$NT$24)),0)</f>
        <v/>
      </c>
      <c r="KK24" s="228">
        <f>IF(AND(293&gt;=$NR$24,293&lt;=$NS$24),IF($NP$24="Single_Point",IF(293=$NR$24,$NN$24,0),IF($NP$24="Bell_Curve",$NN$24*(293-$NR$24+1)*($NS$24-293+1)/$NU$24,$NN$24/$NT$24)),0)</f>
        <v/>
      </c>
      <c r="KL24" s="228">
        <f>IF(AND(294&gt;=$NR$24,294&lt;=$NS$24),IF($NP$24="Single_Point",IF(294=$NR$24,$NN$24,0),IF($NP$24="Bell_Curve",$NN$24*(294-$NR$24+1)*($NS$24-294+1)/$NU$24,$NN$24/$NT$24)),0)</f>
        <v/>
      </c>
      <c r="KM24" s="228">
        <f>IF(AND(295&gt;=$NR$24,295&lt;=$NS$24),IF($NP$24="Single_Point",IF(295=$NR$24,$NN$24,0),IF($NP$24="Bell_Curve",$NN$24*(295-$NR$24+1)*($NS$24-295+1)/$NU$24,$NN$24/$NT$24)),0)</f>
        <v/>
      </c>
      <c r="KN24" s="228">
        <f>IF(AND(296&gt;=$NR$24,296&lt;=$NS$24),IF($NP$24="Single_Point",IF(296=$NR$24,$NN$24,0),IF($NP$24="Bell_Curve",$NN$24*(296-$NR$24+1)*($NS$24-296+1)/$NU$24,$NN$24/$NT$24)),0)</f>
        <v/>
      </c>
      <c r="KO24" s="228">
        <f>IF(AND(297&gt;=$NR$24,297&lt;=$NS$24),IF($NP$24="Single_Point",IF(297=$NR$24,$NN$24,0),IF($NP$24="Bell_Curve",$NN$24*(297-$NR$24+1)*($NS$24-297+1)/$NU$24,$NN$24/$NT$24)),0)</f>
        <v/>
      </c>
      <c r="KP24" s="228">
        <f>IF(AND(298&gt;=$NR$24,298&lt;=$NS$24),IF($NP$24="Single_Point",IF(298=$NR$24,$NN$24,0),IF($NP$24="Bell_Curve",$NN$24*(298-$NR$24+1)*($NS$24-298+1)/$NU$24,$NN$24/$NT$24)),0)</f>
        <v/>
      </c>
      <c r="KQ24" s="228">
        <f>IF(AND(299&gt;=$NR$24,299&lt;=$NS$24),IF($NP$24="Single_Point",IF(299=$NR$24,$NN$24,0),IF($NP$24="Bell_Curve",$NN$24*(299-$NR$24+1)*($NS$24-299+1)/$NU$24,$NN$24/$NT$24)),0)</f>
        <v/>
      </c>
      <c r="KR24" s="228">
        <f>IF(AND(300&gt;=$NR$24,300&lt;=$NS$24),IF($NP$24="Single_Point",IF(300=$NR$24,$NN$24,0),IF($NP$24="Bell_Curve",$NN$24*(300-$NR$24+1)*($NS$24-300+1)/$NU$24,$NN$24/$NT$24)),0)</f>
        <v/>
      </c>
      <c r="KS24" s="228">
        <f>IF(AND(301&gt;=$NR$24,301&lt;=$NS$24),IF($NP$24="Single_Point",IF(301=$NR$24,$NN$24,0),IF($NP$24="Bell_Curve",$NN$24*(301-$NR$24+1)*($NS$24-301+1)/$NU$24,$NN$24/$NT$24)),0)</f>
        <v/>
      </c>
      <c r="KT24" s="228">
        <f>IF(AND(302&gt;=$NR$24,302&lt;=$NS$24),IF($NP$24="Single_Point",IF(302=$NR$24,$NN$24,0),IF($NP$24="Bell_Curve",$NN$24*(302-$NR$24+1)*($NS$24-302+1)/$NU$24,$NN$24/$NT$24)),0)</f>
        <v/>
      </c>
      <c r="KU24" s="228">
        <f>IF(AND(303&gt;=$NR$24,303&lt;=$NS$24),IF($NP$24="Single_Point",IF(303=$NR$24,$NN$24,0),IF($NP$24="Bell_Curve",$NN$24*(303-$NR$24+1)*($NS$24-303+1)/$NU$24,$NN$24/$NT$24)),0)</f>
        <v/>
      </c>
      <c r="KV24" s="228">
        <f>IF(AND(304&gt;=$NR$24,304&lt;=$NS$24),IF($NP$24="Single_Point",IF(304=$NR$24,$NN$24,0),IF($NP$24="Bell_Curve",$NN$24*(304-$NR$24+1)*($NS$24-304+1)/$NU$24,$NN$24/$NT$24)),0)</f>
        <v/>
      </c>
      <c r="KW24" s="228">
        <f>IF(AND(305&gt;=$NR$24,305&lt;=$NS$24),IF($NP$24="Single_Point",IF(305=$NR$24,$NN$24,0),IF($NP$24="Bell_Curve",$NN$24*(305-$NR$24+1)*($NS$24-305+1)/$NU$24,$NN$24/$NT$24)),0)</f>
        <v/>
      </c>
      <c r="KX24" s="228">
        <f>IF(AND(306&gt;=$NR$24,306&lt;=$NS$24),IF($NP$24="Single_Point",IF(306=$NR$24,$NN$24,0),IF($NP$24="Bell_Curve",$NN$24*(306-$NR$24+1)*($NS$24-306+1)/$NU$24,$NN$24/$NT$24)),0)</f>
        <v/>
      </c>
      <c r="KY24" s="228">
        <f>IF(AND(307&gt;=$NR$24,307&lt;=$NS$24),IF($NP$24="Single_Point",IF(307=$NR$24,$NN$24,0),IF($NP$24="Bell_Curve",$NN$24*(307-$NR$24+1)*($NS$24-307+1)/$NU$24,$NN$24/$NT$24)),0)</f>
        <v/>
      </c>
      <c r="KZ24" s="228">
        <f>IF(AND(308&gt;=$NR$24,308&lt;=$NS$24),IF($NP$24="Single_Point",IF(308=$NR$24,$NN$24,0),IF($NP$24="Bell_Curve",$NN$24*(308-$NR$24+1)*($NS$24-308+1)/$NU$24,$NN$24/$NT$24)),0)</f>
        <v/>
      </c>
      <c r="LA24" s="228">
        <f>IF(AND(309&gt;=$NR$24,309&lt;=$NS$24),IF($NP$24="Single_Point",IF(309=$NR$24,$NN$24,0),IF($NP$24="Bell_Curve",$NN$24*(309-$NR$24+1)*($NS$24-309+1)/$NU$24,$NN$24/$NT$24)),0)</f>
        <v/>
      </c>
      <c r="LB24" s="228">
        <f>IF(AND(310&gt;=$NR$24,310&lt;=$NS$24),IF($NP$24="Single_Point",IF(310=$NR$24,$NN$24,0),IF($NP$24="Bell_Curve",$NN$24*(310-$NR$24+1)*($NS$24-310+1)/$NU$24,$NN$24/$NT$24)),0)</f>
        <v/>
      </c>
      <c r="LC24" s="228">
        <f>IF(AND(311&gt;=$NR$24,311&lt;=$NS$24),IF($NP$24="Single_Point",IF(311=$NR$24,$NN$24,0),IF($NP$24="Bell_Curve",$NN$24*(311-$NR$24+1)*($NS$24-311+1)/$NU$24,$NN$24/$NT$24)),0)</f>
        <v/>
      </c>
      <c r="LD24" s="228">
        <f>IF(AND(312&gt;=$NR$24,312&lt;=$NS$24),IF($NP$24="Single_Point",IF(312=$NR$24,$NN$24,0),IF($NP$24="Bell_Curve",$NN$24*(312-$NR$24+1)*($NS$24-312+1)/$NU$24,$NN$24/$NT$24)),0)</f>
        <v/>
      </c>
      <c r="LE24" s="228">
        <f>IF(AND(313&gt;=$NR$24,313&lt;=$NS$24),IF($NP$24="Single_Point",IF(313=$NR$24,$NN$24,0),IF($NP$24="Bell_Curve",$NN$24*(313-$NR$24+1)*($NS$24-313+1)/$NU$24,$NN$24/$NT$24)),0)</f>
        <v/>
      </c>
      <c r="LF24" s="228">
        <f>IF(AND(314&gt;=$NR$24,314&lt;=$NS$24),IF($NP$24="Single_Point",IF(314=$NR$24,$NN$24,0),IF($NP$24="Bell_Curve",$NN$24*(314-$NR$24+1)*($NS$24-314+1)/$NU$24,$NN$24/$NT$24)),0)</f>
        <v/>
      </c>
      <c r="LG24" s="228">
        <f>IF(AND(315&gt;=$NR$24,315&lt;=$NS$24),IF($NP$24="Single_Point",IF(315=$NR$24,$NN$24,0),IF($NP$24="Bell_Curve",$NN$24*(315-$NR$24+1)*($NS$24-315+1)/$NU$24,$NN$24/$NT$24)),0)</f>
        <v/>
      </c>
      <c r="LH24" s="228">
        <f>IF(AND(316&gt;=$NR$24,316&lt;=$NS$24),IF($NP$24="Single_Point",IF(316=$NR$24,$NN$24,0),IF($NP$24="Bell_Curve",$NN$24*(316-$NR$24+1)*($NS$24-316+1)/$NU$24,$NN$24/$NT$24)),0)</f>
        <v/>
      </c>
      <c r="LI24" s="228">
        <f>IF(AND(317&gt;=$NR$24,317&lt;=$NS$24),IF($NP$24="Single_Point",IF(317=$NR$24,$NN$24,0),IF($NP$24="Bell_Curve",$NN$24*(317-$NR$24+1)*($NS$24-317+1)/$NU$24,$NN$24/$NT$24)),0)</f>
        <v/>
      </c>
      <c r="LJ24" s="228">
        <f>IF(AND(318&gt;=$NR$24,318&lt;=$NS$24),IF($NP$24="Single_Point",IF(318=$NR$24,$NN$24,0),IF($NP$24="Bell_Curve",$NN$24*(318-$NR$24+1)*($NS$24-318+1)/$NU$24,$NN$24/$NT$24)),0)</f>
        <v/>
      </c>
      <c r="LK24" s="228">
        <f>IF(AND(319&gt;=$NR$24,319&lt;=$NS$24),IF($NP$24="Single_Point",IF(319=$NR$24,$NN$24,0),IF($NP$24="Bell_Curve",$NN$24*(319-$NR$24+1)*($NS$24-319+1)/$NU$24,$NN$24/$NT$24)),0)</f>
        <v/>
      </c>
      <c r="LL24" s="228">
        <f>IF(AND(320&gt;=$NR$24,320&lt;=$NS$24),IF($NP$24="Single_Point",IF(320=$NR$24,$NN$24,0),IF($NP$24="Bell_Curve",$NN$24*(320-$NR$24+1)*($NS$24-320+1)/$NU$24,$NN$24/$NT$24)),0)</f>
        <v/>
      </c>
      <c r="LM24" s="228">
        <f>IF(AND(321&gt;=$NR$24,321&lt;=$NS$24),IF($NP$24="Single_Point",IF(321=$NR$24,$NN$24,0),IF($NP$24="Bell_Curve",$NN$24*(321-$NR$24+1)*($NS$24-321+1)/$NU$24,$NN$24/$NT$24)),0)</f>
        <v/>
      </c>
      <c r="LN24" s="228">
        <f>IF(AND(322&gt;=$NR$24,322&lt;=$NS$24),IF($NP$24="Single_Point",IF(322=$NR$24,$NN$24,0),IF($NP$24="Bell_Curve",$NN$24*(322-$NR$24+1)*($NS$24-322+1)/$NU$24,$NN$24/$NT$24)),0)</f>
        <v/>
      </c>
      <c r="LO24" s="228">
        <f>IF(AND(323&gt;=$NR$24,323&lt;=$NS$24),IF($NP$24="Single_Point",IF(323=$NR$24,$NN$24,0),IF($NP$24="Bell_Curve",$NN$24*(323-$NR$24+1)*($NS$24-323+1)/$NU$24,$NN$24/$NT$24)),0)</f>
        <v/>
      </c>
      <c r="LP24" s="228">
        <f>IF(AND(324&gt;=$NR$24,324&lt;=$NS$24),IF($NP$24="Single_Point",IF(324=$NR$24,$NN$24,0),IF($NP$24="Bell_Curve",$NN$24*(324-$NR$24+1)*($NS$24-324+1)/$NU$24,$NN$24/$NT$24)),0)</f>
        <v/>
      </c>
      <c r="LQ24" s="228">
        <f>IF(AND(325&gt;=$NR$24,325&lt;=$NS$24),IF($NP$24="Single_Point",IF(325=$NR$24,$NN$24,0),IF($NP$24="Bell_Curve",$NN$24*(325-$NR$24+1)*($NS$24-325+1)/$NU$24,$NN$24/$NT$24)),0)</f>
        <v/>
      </c>
      <c r="LR24" s="228">
        <f>IF(AND(326&gt;=$NR$24,326&lt;=$NS$24),IF($NP$24="Single_Point",IF(326=$NR$24,$NN$24,0),IF($NP$24="Bell_Curve",$NN$24*(326-$NR$24+1)*($NS$24-326+1)/$NU$24,$NN$24/$NT$24)),0)</f>
        <v/>
      </c>
      <c r="LS24" s="228">
        <f>IF(AND(327&gt;=$NR$24,327&lt;=$NS$24),IF($NP$24="Single_Point",IF(327=$NR$24,$NN$24,0),IF($NP$24="Bell_Curve",$NN$24*(327-$NR$24+1)*($NS$24-327+1)/$NU$24,$NN$24/$NT$24)),0)</f>
        <v/>
      </c>
      <c r="LT24" s="228">
        <f>IF(AND(328&gt;=$NR$24,328&lt;=$NS$24),IF($NP$24="Single_Point",IF(328=$NR$24,$NN$24,0),IF($NP$24="Bell_Curve",$NN$24*(328-$NR$24+1)*($NS$24-328+1)/$NU$24,$NN$24/$NT$24)),0)</f>
        <v/>
      </c>
      <c r="LU24" s="228">
        <f>IF(AND(329&gt;=$NR$24,329&lt;=$NS$24),IF($NP$24="Single_Point",IF(329=$NR$24,$NN$24,0),IF($NP$24="Bell_Curve",$NN$24*(329-$NR$24+1)*($NS$24-329+1)/$NU$24,$NN$24/$NT$24)),0)</f>
        <v/>
      </c>
      <c r="LV24" s="228">
        <f>IF(AND(330&gt;=$NR$24,330&lt;=$NS$24),IF($NP$24="Single_Point",IF(330=$NR$24,$NN$24,0),IF($NP$24="Bell_Curve",$NN$24*(330-$NR$24+1)*($NS$24-330+1)/$NU$24,$NN$24/$NT$24)),0)</f>
        <v/>
      </c>
      <c r="LW24" s="228">
        <f>IF(AND(331&gt;=$NR$24,331&lt;=$NS$24),IF($NP$24="Single_Point",IF(331=$NR$24,$NN$24,0),IF($NP$24="Bell_Curve",$NN$24*(331-$NR$24+1)*($NS$24-331+1)/$NU$24,$NN$24/$NT$24)),0)</f>
        <v/>
      </c>
      <c r="LX24" s="228">
        <f>IF(AND(332&gt;=$NR$24,332&lt;=$NS$24),IF($NP$24="Single_Point",IF(332=$NR$24,$NN$24,0),IF($NP$24="Bell_Curve",$NN$24*(332-$NR$24+1)*($NS$24-332+1)/$NU$24,$NN$24/$NT$24)),0)</f>
        <v/>
      </c>
      <c r="LY24" s="228">
        <f>IF(AND(333&gt;=$NR$24,333&lt;=$NS$24),IF($NP$24="Single_Point",IF(333=$NR$24,$NN$24,0),IF($NP$24="Bell_Curve",$NN$24*(333-$NR$24+1)*($NS$24-333+1)/$NU$24,$NN$24/$NT$24)),0)</f>
        <v/>
      </c>
      <c r="LZ24" s="228">
        <f>IF(AND(334&gt;=$NR$24,334&lt;=$NS$24),IF($NP$24="Single_Point",IF(334=$NR$24,$NN$24,0),IF($NP$24="Bell_Curve",$NN$24*(334-$NR$24+1)*($NS$24-334+1)/$NU$24,$NN$24/$NT$24)),0)</f>
        <v/>
      </c>
      <c r="MA24" s="228">
        <f>IF(AND(335&gt;=$NR$24,335&lt;=$NS$24),IF($NP$24="Single_Point",IF(335=$NR$24,$NN$24,0),IF($NP$24="Bell_Curve",$NN$24*(335-$NR$24+1)*($NS$24-335+1)/$NU$24,$NN$24/$NT$24)),0)</f>
        <v/>
      </c>
      <c r="MB24" s="228">
        <f>IF(AND(336&gt;=$NR$24,336&lt;=$NS$24),IF($NP$24="Single_Point",IF(336=$NR$24,$NN$24,0),IF($NP$24="Bell_Curve",$NN$24*(336-$NR$24+1)*($NS$24-336+1)/$NU$24,$NN$24/$NT$24)),0)</f>
        <v/>
      </c>
      <c r="MC24" s="228">
        <f>IF(AND(337&gt;=$NR$24,337&lt;=$NS$24),IF($NP$24="Single_Point",IF(337=$NR$24,$NN$24,0),IF($NP$24="Bell_Curve",$NN$24*(337-$NR$24+1)*($NS$24-337+1)/$NU$24,$NN$24/$NT$24)),0)</f>
        <v/>
      </c>
      <c r="MD24" s="228">
        <f>IF(AND(338&gt;=$NR$24,338&lt;=$NS$24),IF($NP$24="Single_Point",IF(338=$NR$24,$NN$24,0),IF($NP$24="Bell_Curve",$NN$24*(338-$NR$24+1)*($NS$24-338+1)/$NU$24,$NN$24/$NT$24)),0)</f>
        <v/>
      </c>
      <c r="ME24" s="228">
        <f>IF(AND(339&gt;=$NR$24,339&lt;=$NS$24),IF($NP$24="Single_Point",IF(339=$NR$24,$NN$24,0),IF($NP$24="Bell_Curve",$NN$24*(339-$NR$24+1)*($NS$24-339+1)/$NU$24,$NN$24/$NT$24)),0)</f>
        <v/>
      </c>
      <c r="MF24" s="228">
        <f>IF(AND(340&gt;=$NR$24,340&lt;=$NS$24),IF($NP$24="Single_Point",IF(340=$NR$24,$NN$24,0),IF($NP$24="Bell_Curve",$NN$24*(340-$NR$24+1)*($NS$24-340+1)/$NU$24,$NN$24/$NT$24)),0)</f>
        <v/>
      </c>
      <c r="MG24" s="228">
        <f>IF(AND(341&gt;=$NR$24,341&lt;=$NS$24),IF($NP$24="Single_Point",IF(341=$NR$24,$NN$24,0),IF($NP$24="Bell_Curve",$NN$24*(341-$NR$24+1)*($NS$24-341+1)/$NU$24,$NN$24/$NT$24)),0)</f>
        <v/>
      </c>
      <c r="MH24" s="228">
        <f>IF(AND(342&gt;=$NR$24,342&lt;=$NS$24),IF($NP$24="Single_Point",IF(342=$NR$24,$NN$24,0),IF($NP$24="Bell_Curve",$NN$24*(342-$NR$24+1)*($NS$24-342+1)/$NU$24,$NN$24/$NT$24)),0)</f>
        <v/>
      </c>
      <c r="MI24" s="228">
        <f>IF(AND(343&gt;=$NR$24,343&lt;=$NS$24),IF($NP$24="Single_Point",IF(343=$NR$24,$NN$24,0),IF($NP$24="Bell_Curve",$NN$24*(343-$NR$24+1)*($NS$24-343+1)/$NU$24,$NN$24/$NT$24)),0)</f>
        <v/>
      </c>
      <c r="MJ24" s="228">
        <f>IF(AND(344&gt;=$NR$24,344&lt;=$NS$24),IF($NP$24="Single_Point",IF(344=$NR$24,$NN$24,0),IF($NP$24="Bell_Curve",$NN$24*(344-$NR$24+1)*($NS$24-344+1)/$NU$24,$NN$24/$NT$24)),0)</f>
        <v/>
      </c>
      <c r="MK24" s="228">
        <f>IF(AND(345&gt;=$NR$24,345&lt;=$NS$24),IF($NP$24="Single_Point",IF(345=$NR$24,$NN$24,0),IF($NP$24="Bell_Curve",$NN$24*(345-$NR$24+1)*($NS$24-345+1)/$NU$24,$NN$24/$NT$24)),0)</f>
        <v/>
      </c>
      <c r="ML24" s="228">
        <f>IF(AND(346&gt;=$NR$24,346&lt;=$NS$24),IF($NP$24="Single_Point",IF(346=$NR$24,$NN$24,0),IF($NP$24="Bell_Curve",$NN$24*(346-$NR$24+1)*($NS$24-346+1)/$NU$24,$NN$24/$NT$24)),0)</f>
        <v/>
      </c>
      <c r="MM24" s="228">
        <f>IF(AND(347&gt;=$NR$24,347&lt;=$NS$24),IF($NP$24="Single_Point",IF(347=$NR$24,$NN$24,0),IF($NP$24="Bell_Curve",$NN$24*(347-$NR$24+1)*($NS$24-347+1)/$NU$24,$NN$24/$NT$24)),0)</f>
        <v/>
      </c>
      <c r="MN24" s="228">
        <f>IF(AND(348&gt;=$NR$24,348&lt;=$NS$24),IF($NP$24="Single_Point",IF(348=$NR$24,$NN$24,0),IF($NP$24="Bell_Curve",$NN$24*(348-$NR$24+1)*($NS$24-348+1)/$NU$24,$NN$24/$NT$24)),0)</f>
        <v/>
      </c>
      <c r="MO24" s="228">
        <f>IF(AND(349&gt;=$NR$24,349&lt;=$NS$24),IF($NP$24="Single_Point",IF(349=$NR$24,$NN$24,0),IF($NP$24="Bell_Curve",$NN$24*(349-$NR$24+1)*($NS$24-349+1)/$NU$24,$NN$24/$NT$24)),0)</f>
        <v/>
      </c>
      <c r="MP24" s="228">
        <f>IF(AND(350&gt;=$NR$24,350&lt;=$NS$24),IF($NP$24="Single_Point",IF(350=$NR$24,$NN$24,0),IF($NP$24="Bell_Curve",$NN$24*(350-$NR$24+1)*($NS$24-350+1)/$NU$24,$NN$24/$NT$24)),0)</f>
        <v/>
      </c>
      <c r="MQ24" s="228">
        <f>IF(AND(351&gt;=$NR$24,351&lt;=$NS$24),IF($NP$24="Single_Point",IF(351=$NR$24,$NN$24,0),IF($NP$24="Bell_Curve",$NN$24*(351-$NR$24+1)*($NS$24-351+1)/$NU$24,$NN$24/$NT$24)),0)</f>
        <v/>
      </c>
      <c r="MR24" s="228">
        <f>IF(AND(352&gt;=$NR$24,352&lt;=$NS$24),IF($NP$24="Single_Point",IF(352=$NR$24,$NN$24,0),IF($NP$24="Bell_Curve",$NN$24*(352-$NR$24+1)*($NS$24-352+1)/$NU$24,$NN$24/$NT$24)),0)</f>
        <v/>
      </c>
      <c r="MS24" s="228">
        <f>IF(AND(353&gt;=$NR$24,353&lt;=$NS$24),IF($NP$24="Single_Point",IF(353=$NR$24,$NN$24,0),IF($NP$24="Bell_Curve",$NN$24*(353-$NR$24+1)*($NS$24-353+1)/$NU$24,$NN$24/$NT$24)),0)</f>
        <v/>
      </c>
      <c r="MT24" s="228">
        <f>IF(AND(354&gt;=$NR$24,354&lt;=$NS$24),IF($NP$24="Single_Point",IF(354=$NR$24,$NN$24,0),IF($NP$24="Bell_Curve",$NN$24*(354-$NR$24+1)*($NS$24-354+1)/$NU$24,$NN$24/$NT$24)),0)</f>
        <v/>
      </c>
      <c r="MU24" s="228">
        <f>IF(AND(355&gt;=$NR$24,355&lt;=$NS$24),IF($NP$24="Single_Point",IF(355=$NR$24,$NN$24,0),IF($NP$24="Bell_Curve",$NN$24*(355-$NR$24+1)*($NS$24-355+1)/$NU$24,$NN$24/$NT$24)),0)</f>
        <v/>
      </c>
      <c r="MV24" s="228">
        <f>IF(AND(356&gt;=$NR$24,356&lt;=$NS$24),IF($NP$24="Single_Point",IF(356=$NR$24,$NN$24,0),IF($NP$24="Bell_Curve",$NN$24*(356-$NR$24+1)*($NS$24-356+1)/$NU$24,$NN$24/$NT$24)),0)</f>
        <v/>
      </c>
      <c r="MW24" s="228">
        <f>IF(AND(357&gt;=$NR$24,357&lt;=$NS$24),IF($NP$24="Single_Point",IF(357=$NR$24,$NN$24,0),IF($NP$24="Bell_Curve",$NN$24*(357-$NR$24+1)*($NS$24-357+1)/$NU$24,$NN$24/$NT$24)),0)</f>
        <v/>
      </c>
      <c r="MX24" s="228">
        <f>IF(AND(358&gt;=$NR$24,358&lt;=$NS$24),IF($NP$24="Single_Point",IF(358=$NR$24,$NN$24,0),IF($NP$24="Bell_Curve",$NN$24*(358-$NR$24+1)*($NS$24-358+1)/$NU$24,$NN$24/$NT$24)),0)</f>
        <v/>
      </c>
      <c r="MY24" s="228">
        <f>IF(AND(359&gt;=$NR$24,359&lt;=$NS$24),IF($NP$24="Single_Point",IF(359=$NR$24,$NN$24,0),IF($NP$24="Bell_Curve",$NN$24*(359-$NR$24+1)*($NS$24-359+1)/$NU$24,$NN$24/$NT$24)),0)</f>
        <v/>
      </c>
      <c r="MZ24" s="228">
        <f>IF(AND(360&gt;=$NR$24,360&lt;=$NS$24),IF($NP$24="Single_Point",IF(360=$NR$24,$NN$24,0),IF($NP$24="Bell_Curve",$NN$24*(360-$NR$24+1)*($NS$24-360+1)/$NU$24,$NN$24/$NT$24)),0)</f>
        <v/>
      </c>
      <c r="NA24" s="228">
        <f>IF(AND(361&gt;=$NR$24,361&lt;=$NS$24),IF($NP$24="Single_Point",IF(361=$NR$24,$NN$24,0),IF($NP$24="Bell_Curve",$NN$24*(361-$NR$24+1)*($NS$24-361+1)/$NU$24,$NN$24/$NT$24)),0)</f>
        <v/>
      </c>
      <c r="NB24" s="228">
        <f>IF(AND(362&gt;=$NR$24,362&lt;=$NS$24),IF($NP$24="Single_Point",IF(362=$NR$24,$NN$24,0),IF($NP$24="Bell_Curve",$NN$24*(362-$NR$24+1)*($NS$24-362+1)/$NU$24,$NN$24/$NT$24)),0)</f>
        <v/>
      </c>
      <c r="NC24" s="228">
        <f>IF(AND(363&gt;=$NR$24,363&lt;=$NS$24),IF($NP$24="Single_Point",IF(363=$NR$24,$NN$24,0),IF($NP$24="Bell_Curve",$NN$24*(363-$NR$24+1)*($NS$24-363+1)/$NU$24,$NN$24/$NT$24)),0)</f>
        <v/>
      </c>
      <c r="ND24" s="228">
        <f>IF(AND(364&gt;=$NR$24,364&lt;=$NS$24),IF($NP$24="Single_Point",IF(364=$NR$24,$NN$24,0),IF($NP$24="Bell_Curve",$NN$24*(364-$NR$24+1)*($NS$24-364+1)/$NU$24,$NN$24/$NT$24)),0)</f>
        <v/>
      </c>
      <c r="NE24" s="228">
        <f>IF(AND(365&gt;=$NR$24,365&lt;=$NS$24),IF($NP$24="Single_Point",IF(365=$NR$24,$NN$24,0),IF($NP$24="Bell_Curve",$NN$24*(365-$NR$24+1)*($NS$24-365+1)/$NU$24,$NN$24/$NT$24)),0)</f>
        <v/>
      </c>
      <c r="NF24" s="228">
        <f>IF(AND(366&gt;=$NR$24,366&lt;=$NS$24),IF($NP$24="Single_Point",IF(366=$NR$24,$NN$24,0),IF($NP$24="Bell_Curve",$NN$24*(366-$NR$24+1)*($NS$24-366+1)/$NU$24,$NN$24/$NT$24)),0)</f>
        <v/>
      </c>
      <c r="NG24" s="228">
        <f>IF(AND(367&gt;=$NR$24,367&lt;=$NS$24),IF($NP$24="Single_Point",IF(367=$NR$24,$NN$24,0),IF($NP$24="Bell_Curve",$NN$24*(367-$NR$24+1)*($NS$24-367+1)/$NU$24,$NN$24/$NT$24)),0)</f>
        <v/>
      </c>
      <c r="NH24" s="228">
        <f>IF(AND(368&gt;=$NR$24,368&lt;=$NS$24),IF($NP$24="Single_Point",IF(368=$NR$24,$NN$24,0),IF($NP$24="Bell_Curve",$NN$24*(368-$NR$24+1)*($NS$24-368+1)/$NU$24,$NN$24/$NT$24)),0)</f>
        <v/>
      </c>
      <c r="NI24" s="228">
        <f>IF(AND(369&gt;=$NR$24,369&lt;=$NS$24),IF($NP$24="Single_Point",IF(369=$NR$24,$NN$24,0),IF($NP$24="Bell_Curve",$NN$24*(369-$NR$24+1)*($NS$24-369+1)/$NU$24,$NN$24/$NT$24)),0)</f>
        <v/>
      </c>
      <c r="NJ24" s="228">
        <f>IF(AND(370&gt;=$NR$24,370&lt;=$NS$24),IF($NP$24="Single_Point",IF(370=$NR$24,$NN$24,0),IF($NP$24="Bell_Curve",$NN$24*(370-$NR$24+1)*($NS$24-370+1)/$NU$24,$NN$24/$NT$24)),0)</f>
        <v/>
      </c>
      <c r="NK24" s="228">
        <f>IF(AND(371&gt;=$NR$24,371&lt;=$NS$24),IF($NP$24="Single_Point",IF(371=$NR$24,$NN$24,0),IF($NP$24="Bell_Curve",$NN$24*(371-$NR$24+1)*($NS$24-371+1)/$NU$24,$NN$24/$NT$24)),0)</f>
        <v/>
      </c>
      <c r="NL24" s="247">
        <f>IF(AND(372&gt;=$NR$24,372&lt;=$NS$24),IF($NP$24="Single_Point",IF(372=$NR$24,$NN$24,0),IF($NP$24="Bell_Curve",$NN$24*(372-$NR$24+1)*($NS$24-372+1)/$NU$24,$NN$24/$NT$24)),0)</f>
        <v/>
      </c>
      <c r="NN24" s="218">
        <f>Budget!J23</f>
        <v/>
      </c>
      <c r="NO24" s="144">
        <f>Budget!G23</f>
        <v/>
      </c>
      <c r="NP24" s="144">
        <f>Budget!H23</f>
        <v/>
      </c>
      <c r="NQ24" s="85">
        <f>Budget!I23</f>
        <v/>
      </c>
      <c r="NR24" s="248">
        <f>MAX(1,MIN(372,INDEX(MilestoneStart,MATCH(NO24,MilestoneNames,0))+NQ24))</f>
        <v/>
      </c>
      <c r="NS24" s="248">
        <f>MAX(NR24,MIN(372,INDEX(MilestoneEnd,MATCH(NO24,MilestoneNames,0))+NQ24))</f>
        <v/>
      </c>
      <c r="NT24" s="85">
        <f>NS24-NR24+1</f>
        <v/>
      </c>
      <c r="NU24" s="85">
        <f>NT24*(NT24+1)*(NT24+2)/6</f>
        <v/>
      </c>
    </row>
    <row r="25">
      <c r="B25" s="36" t="inlineStr">
        <is>
          <t>Other Soft Cost 5</t>
        </is>
      </c>
      <c r="D25" s="246">
        <f>SUM(E25:NL25)</f>
        <v/>
      </c>
      <c r="E25" s="228">
        <f>IF(AND(1&gt;=$NR$25,1&lt;=$NS$25),IF($NP$25="Single_Point",IF(1=$NR$25,$NN$25,0),IF($NP$25="Bell_Curve",$NN$25*(1-$NR$25+1)*($NS$25-1+1)/$NU$25,$NN$25/$NT$25)),0)</f>
        <v/>
      </c>
      <c r="F25" s="228">
        <f>IF(AND(2&gt;=$NR$25,2&lt;=$NS$25),IF($NP$25="Single_Point",IF(2=$NR$25,$NN$25,0),IF($NP$25="Bell_Curve",$NN$25*(2-$NR$25+1)*($NS$25-2+1)/$NU$25,$NN$25/$NT$25)),0)</f>
        <v/>
      </c>
      <c r="G25" s="228">
        <f>IF(AND(3&gt;=$NR$25,3&lt;=$NS$25),IF($NP$25="Single_Point",IF(3=$NR$25,$NN$25,0),IF($NP$25="Bell_Curve",$NN$25*(3-$NR$25+1)*($NS$25-3+1)/$NU$25,$NN$25/$NT$25)),0)</f>
        <v/>
      </c>
      <c r="H25" s="228">
        <f>IF(AND(4&gt;=$NR$25,4&lt;=$NS$25),IF($NP$25="Single_Point",IF(4=$NR$25,$NN$25,0),IF($NP$25="Bell_Curve",$NN$25*(4-$NR$25+1)*($NS$25-4+1)/$NU$25,$NN$25/$NT$25)),0)</f>
        <v/>
      </c>
      <c r="I25" s="228">
        <f>IF(AND(5&gt;=$NR$25,5&lt;=$NS$25),IF($NP$25="Single_Point",IF(5=$NR$25,$NN$25,0),IF($NP$25="Bell_Curve",$NN$25*(5-$NR$25+1)*($NS$25-5+1)/$NU$25,$NN$25/$NT$25)),0)</f>
        <v/>
      </c>
      <c r="J25" s="228">
        <f>IF(AND(6&gt;=$NR$25,6&lt;=$NS$25),IF($NP$25="Single_Point",IF(6=$NR$25,$NN$25,0),IF($NP$25="Bell_Curve",$NN$25*(6-$NR$25+1)*($NS$25-6+1)/$NU$25,$NN$25/$NT$25)),0)</f>
        <v/>
      </c>
      <c r="K25" s="228">
        <f>IF(AND(7&gt;=$NR$25,7&lt;=$NS$25),IF($NP$25="Single_Point",IF(7=$NR$25,$NN$25,0),IF($NP$25="Bell_Curve",$NN$25*(7-$NR$25+1)*($NS$25-7+1)/$NU$25,$NN$25/$NT$25)),0)</f>
        <v/>
      </c>
      <c r="L25" s="228">
        <f>IF(AND(8&gt;=$NR$25,8&lt;=$NS$25),IF($NP$25="Single_Point",IF(8=$NR$25,$NN$25,0),IF($NP$25="Bell_Curve",$NN$25*(8-$NR$25+1)*($NS$25-8+1)/$NU$25,$NN$25/$NT$25)),0)</f>
        <v/>
      </c>
      <c r="M25" s="228">
        <f>IF(AND(9&gt;=$NR$25,9&lt;=$NS$25),IF($NP$25="Single_Point",IF(9=$NR$25,$NN$25,0),IF($NP$25="Bell_Curve",$NN$25*(9-$NR$25+1)*($NS$25-9+1)/$NU$25,$NN$25/$NT$25)),0)</f>
        <v/>
      </c>
      <c r="N25" s="228">
        <f>IF(AND(10&gt;=$NR$25,10&lt;=$NS$25),IF($NP$25="Single_Point",IF(10=$NR$25,$NN$25,0),IF($NP$25="Bell_Curve",$NN$25*(10-$NR$25+1)*($NS$25-10+1)/$NU$25,$NN$25/$NT$25)),0)</f>
        <v/>
      </c>
      <c r="O25" s="228">
        <f>IF(AND(11&gt;=$NR$25,11&lt;=$NS$25),IF($NP$25="Single_Point",IF(11=$NR$25,$NN$25,0),IF($NP$25="Bell_Curve",$NN$25*(11-$NR$25+1)*($NS$25-11+1)/$NU$25,$NN$25/$NT$25)),0)</f>
        <v/>
      </c>
      <c r="P25" s="228">
        <f>IF(AND(12&gt;=$NR$25,12&lt;=$NS$25),IF($NP$25="Single_Point",IF(12=$NR$25,$NN$25,0),IF($NP$25="Bell_Curve",$NN$25*(12-$NR$25+1)*($NS$25-12+1)/$NU$25,$NN$25/$NT$25)),0)</f>
        <v/>
      </c>
      <c r="Q25" s="228">
        <f>IF(AND(13&gt;=$NR$25,13&lt;=$NS$25),IF($NP$25="Single_Point",IF(13=$NR$25,$NN$25,0),IF($NP$25="Bell_Curve",$NN$25*(13-$NR$25+1)*($NS$25-13+1)/$NU$25,$NN$25/$NT$25)),0)</f>
        <v/>
      </c>
      <c r="R25" s="228">
        <f>IF(AND(14&gt;=$NR$25,14&lt;=$NS$25),IF($NP$25="Single_Point",IF(14=$NR$25,$NN$25,0),IF($NP$25="Bell_Curve",$NN$25*(14-$NR$25+1)*($NS$25-14+1)/$NU$25,$NN$25/$NT$25)),0)</f>
        <v/>
      </c>
      <c r="S25" s="228">
        <f>IF(AND(15&gt;=$NR$25,15&lt;=$NS$25),IF($NP$25="Single_Point",IF(15=$NR$25,$NN$25,0),IF($NP$25="Bell_Curve",$NN$25*(15-$NR$25+1)*($NS$25-15+1)/$NU$25,$NN$25/$NT$25)),0)</f>
        <v/>
      </c>
      <c r="T25" s="228">
        <f>IF(AND(16&gt;=$NR$25,16&lt;=$NS$25),IF($NP$25="Single_Point",IF(16=$NR$25,$NN$25,0),IF($NP$25="Bell_Curve",$NN$25*(16-$NR$25+1)*($NS$25-16+1)/$NU$25,$NN$25/$NT$25)),0)</f>
        <v/>
      </c>
      <c r="U25" s="228">
        <f>IF(AND(17&gt;=$NR$25,17&lt;=$NS$25),IF($NP$25="Single_Point",IF(17=$NR$25,$NN$25,0),IF($NP$25="Bell_Curve",$NN$25*(17-$NR$25+1)*($NS$25-17+1)/$NU$25,$NN$25/$NT$25)),0)</f>
        <v/>
      </c>
      <c r="V25" s="228">
        <f>IF(AND(18&gt;=$NR$25,18&lt;=$NS$25),IF($NP$25="Single_Point",IF(18=$NR$25,$NN$25,0),IF($NP$25="Bell_Curve",$NN$25*(18-$NR$25+1)*($NS$25-18+1)/$NU$25,$NN$25/$NT$25)),0)</f>
        <v/>
      </c>
      <c r="W25" s="228">
        <f>IF(AND(19&gt;=$NR$25,19&lt;=$NS$25),IF($NP$25="Single_Point",IF(19=$NR$25,$NN$25,0),IF($NP$25="Bell_Curve",$NN$25*(19-$NR$25+1)*($NS$25-19+1)/$NU$25,$NN$25/$NT$25)),0)</f>
        <v/>
      </c>
      <c r="X25" s="228">
        <f>IF(AND(20&gt;=$NR$25,20&lt;=$NS$25),IF($NP$25="Single_Point",IF(20=$NR$25,$NN$25,0),IF($NP$25="Bell_Curve",$NN$25*(20-$NR$25+1)*($NS$25-20+1)/$NU$25,$NN$25/$NT$25)),0)</f>
        <v/>
      </c>
      <c r="Y25" s="228">
        <f>IF(AND(21&gt;=$NR$25,21&lt;=$NS$25),IF($NP$25="Single_Point",IF(21=$NR$25,$NN$25,0),IF($NP$25="Bell_Curve",$NN$25*(21-$NR$25+1)*($NS$25-21+1)/$NU$25,$NN$25/$NT$25)),0)</f>
        <v/>
      </c>
      <c r="Z25" s="228">
        <f>IF(AND(22&gt;=$NR$25,22&lt;=$NS$25),IF($NP$25="Single_Point",IF(22=$NR$25,$NN$25,0),IF($NP$25="Bell_Curve",$NN$25*(22-$NR$25+1)*($NS$25-22+1)/$NU$25,$NN$25/$NT$25)),0)</f>
        <v/>
      </c>
      <c r="AA25" s="228">
        <f>IF(AND(23&gt;=$NR$25,23&lt;=$NS$25),IF($NP$25="Single_Point",IF(23=$NR$25,$NN$25,0),IF($NP$25="Bell_Curve",$NN$25*(23-$NR$25+1)*($NS$25-23+1)/$NU$25,$NN$25/$NT$25)),0)</f>
        <v/>
      </c>
      <c r="AB25" s="228">
        <f>IF(AND(24&gt;=$NR$25,24&lt;=$NS$25),IF($NP$25="Single_Point",IF(24=$NR$25,$NN$25,0),IF($NP$25="Bell_Curve",$NN$25*(24-$NR$25+1)*($NS$25-24+1)/$NU$25,$NN$25/$NT$25)),0)</f>
        <v/>
      </c>
      <c r="AC25" s="228">
        <f>IF(AND(25&gt;=$NR$25,25&lt;=$NS$25),IF($NP$25="Single_Point",IF(25=$NR$25,$NN$25,0),IF($NP$25="Bell_Curve",$NN$25*(25-$NR$25+1)*($NS$25-25+1)/$NU$25,$NN$25/$NT$25)),0)</f>
        <v/>
      </c>
      <c r="AD25" s="228">
        <f>IF(AND(26&gt;=$NR$25,26&lt;=$NS$25),IF($NP$25="Single_Point",IF(26=$NR$25,$NN$25,0),IF($NP$25="Bell_Curve",$NN$25*(26-$NR$25+1)*($NS$25-26+1)/$NU$25,$NN$25/$NT$25)),0)</f>
        <v/>
      </c>
      <c r="AE25" s="228">
        <f>IF(AND(27&gt;=$NR$25,27&lt;=$NS$25),IF($NP$25="Single_Point",IF(27=$NR$25,$NN$25,0),IF($NP$25="Bell_Curve",$NN$25*(27-$NR$25+1)*($NS$25-27+1)/$NU$25,$NN$25/$NT$25)),0)</f>
        <v/>
      </c>
      <c r="AF25" s="228">
        <f>IF(AND(28&gt;=$NR$25,28&lt;=$NS$25),IF($NP$25="Single_Point",IF(28=$NR$25,$NN$25,0),IF($NP$25="Bell_Curve",$NN$25*(28-$NR$25+1)*($NS$25-28+1)/$NU$25,$NN$25/$NT$25)),0)</f>
        <v/>
      </c>
      <c r="AG25" s="228">
        <f>IF(AND(29&gt;=$NR$25,29&lt;=$NS$25),IF($NP$25="Single_Point",IF(29=$NR$25,$NN$25,0),IF($NP$25="Bell_Curve",$NN$25*(29-$NR$25+1)*($NS$25-29+1)/$NU$25,$NN$25/$NT$25)),0)</f>
        <v/>
      </c>
      <c r="AH25" s="228">
        <f>IF(AND(30&gt;=$NR$25,30&lt;=$NS$25),IF($NP$25="Single_Point",IF(30=$NR$25,$NN$25,0),IF($NP$25="Bell_Curve",$NN$25*(30-$NR$25+1)*($NS$25-30+1)/$NU$25,$NN$25/$NT$25)),0)</f>
        <v/>
      </c>
      <c r="AI25" s="228">
        <f>IF(AND(31&gt;=$NR$25,31&lt;=$NS$25),IF($NP$25="Single_Point",IF(31=$NR$25,$NN$25,0),IF($NP$25="Bell_Curve",$NN$25*(31-$NR$25+1)*($NS$25-31+1)/$NU$25,$NN$25/$NT$25)),0)</f>
        <v/>
      </c>
      <c r="AJ25" s="228">
        <f>IF(AND(32&gt;=$NR$25,32&lt;=$NS$25),IF($NP$25="Single_Point",IF(32=$NR$25,$NN$25,0),IF($NP$25="Bell_Curve",$NN$25*(32-$NR$25+1)*($NS$25-32+1)/$NU$25,$NN$25/$NT$25)),0)</f>
        <v/>
      </c>
      <c r="AK25" s="228">
        <f>IF(AND(33&gt;=$NR$25,33&lt;=$NS$25),IF($NP$25="Single_Point",IF(33=$NR$25,$NN$25,0),IF($NP$25="Bell_Curve",$NN$25*(33-$NR$25+1)*($NS$25-33+1)/$NU$25,$NN$25/$NT$25)),0)</f>
        <v/>
      </c>
      <c r="AL25" s="228">
        <f>IF(AND(34&gt;=$NR$25,34&lt;=$NS$25),IF($NP$25="Single_Point",IF(34=$NR$25,$NN$25,0),IF($NP$25="Bell_Curve",$NN$25*(34-$NR$25+1)*($NS$25-34+1)/$NU$25,$NN$25/$NT$25)),0)</f>
        <v/>
      </c>
      <c r="AM25" s="228">
        <f>IF(AND(35&gt;=$NR$25,35&lt;=$NS$25),IF($NP$25="Single_Point",IF(35=$NR$25,$NN$25,0),IF($NP$25="Bell_Curve",$NN$25*(35-$NR$25+1)*($NS$25-35+1)/$NU$25,$NN$25/$NT$25)),0)</f>
        <v/>
      </c>
      <c r="AN25" s="228">
        <f>IF(AND(36&gt;=$NR$25,36&lt;=$NS$25),IF($NP$25="Single_Point",IF(36=$NR$25,$NN$25,0),IF($NP$25="Bell_Curve",$NN$25*(36-$NR$25+1)*($NS$25-36+1)/$NU$25,$NN$25/$NT$25)),0)</f>
        <v/>
      </c>
      <c r="AO25" s="228">
        <f>IF(AND(37&gt;=$NR$25,37&lt;=$NS$25),IF($NP$25="Single_Point",IF(37=$NR$25,$NN$25,0),IF($NP$25="Bell_Curve",$NN$25*(37-$NR$25+1)*($NS$25-37+1)/$NU$25,$NN$25/$NT$25)),0)</f>
        <v/>
      </c>
      <c r="AP25" s="228">
        <f>IF(AND(38&gt;=$NR$25,38&lt;=$NS$25),IF($NP$25="Single_Point",IF(38=$NR$25,$NN$25,0),IF($NP$25="Bell_Curve",$NN$25*(38-$NR$25+1)*($NS$25-38+1)/$NU$25,$NN$25/$NT$25)),0)</f>
        <v/>
      </c>
      <c r="AQ25" s="228">
        <f>IF(AND(39&gt;=$NR$25,39&lt;=$NS$25),IF($NP$25="Single_Point",IF(39=$NR$25,$NN$25,0),IF($NP$25="Bell_Curve",$NN$25*(39-$NR$25+1)*($NS$25-39+1)/$NU$25,$NN$25/$NT$25)),0)</f>
        <v/>
      </c>
      <c r="AR25" s="228">
        <f>IF(AND(40&gt;=$NR$25,40&lt;=$NS$25),IF($NP$25="Single_Point",IF(40=$NR$25,$NN$25,0),IF($NP$25="Bell_Curve",$NN$25*(40-$NR$25+1)*($NS$25-40+1)/$NU$25,$NN$25/$NT$25)),0)</f>
        <v/>
      </c>
      <c r="AS25" s="228">
        <f>IF(AND(41&gt;=$NR$25,41&lt;=$NS$25),IF($NP$25="Single_Point",IF(41=$NR$25,$NN$25,0),IF($NP$25="Bell_Curve",$NN$25*(41-$NR$25+1)*($NS$25-41+1)/$NU$25,$NN$25/$NT$25)),0)</f>
        <v/>
      </c>
      <c r="AT25" s="228">
        <f>IF(AND(42&gt;=$NR$25,42&lt;=$NS$25),IF($NP$25="Single_Point",IF(42=$NR$25,$NN$25,0),IF($NP$25="Bell_Curve",$NN$25*(42-$NR$25+1)*($NS$25-42+1)/$NU$25,$NN$25/$NT$25)),0)</f>
        <v/>
      </c>
      <c r="AU25" s="228">
        <f>IF(AND(43&gt;=$NR$25,43&lt;=$NS$25),IF($NP$25="Single_Point",IF(43=$NR$25,$NN$25,0),IF($NP$25="Bell_Curve",$NN$25*(43-$NR$25+1)*($NS$25-43+1)/$NU$25,$NN$25/$NT$25)),0)</f>
        <v/>
      </c>
      <c r="AV25" s="228">
        <f>IF(AND(44&gt;=$NR$25,44&lt;=$NS$25),IF($NP$25="Single_Point",IF(44=$NR$25,$NN$25,0),IF($NP$25="Bell_Curve",$NN$25*(44-$NR$25+1)*($NS$25-44+1)/$NU$25,$NN$25/$NT$25)),0)</f>
        <v/>
      </c>
      <c r="AW25" s="228">
        <f>IF(AND(45&gt;=$NR$25,45&lt;=$NS$25),IF($NP$25="Single_Point",IF(45=$NR$25,$NN$25,0),IF($NP$25="Bell_Curve",$NN$25*(45-$NR$25+1)*($NS$25-45+1)/$NU$25,$NN$25/$NT$25)),0)</f>
        <v/>
      </c>
      <c r="AX25" s="228">
        <f>IF(AND(46&gt;=$NR$25,46&lt;=$NS$25),IF($NP$25="Single_Point",IF(46=$NR$25,$NN$25,0),IF($NP$25="Bell_Curve",$NN$25*(46-$NR$25+1)*($NS$25-46+1)/$NU$25,$NN$25/$NT$25)),0)</f>
        <v/>
      </c>
      <c r="AY25" s="228">
        <f>IF(AND(47&gt;=$NR$25,47&lt;=$NS$25),IF($NP$25="Single_Point",IF(47=$NR$25,$NN$25,0),IF($NP$25="Bell_Curve",$NN$25*(47-$NR$25+1)*($NS$25-47+1)/$NU$25,$NN$25/$NT$25)),0)</f>
        <v/>
      </c>
      <c r="AZ25" s="228">
        <f>IF(AND(48&gt;=$NR$25,48&lt;=$NS$25),IF($NP$25="Single_Point",IF(48=$NR$25,$NN$25,0),IF($NP$25="Bell_Curve",$NN$25*(48-$NR$25+1)*($NS$25-48+1)/$NU$25,$NN$25/$NT$25)),0)</f>
        <v/>
      </c>
      <c r="BA25" s="228">
        <f>IF(AND(49&gt;=$NR$25,49&lt;=$NS$25),IF($NP$25="Single_Point",IF(49=$NR$25,$NN$25,0),IF($NP$25="Bell_Curve",$NN$25*(49-$NR$25+1)*($NS$25-49+1)/$NU$25,$NN$25/$NT$25)),0)</f>
        <v/>
      </c>
      <c r="BB25" s="228">
        <f>IF(AND(50&gt;=$NR$25,50&lt;=$NS$25),IF($NP$25="Single_Point",IF(50=$NR$25,$NN$25,0),IF($NP$25="Bell_Curve",$NN$25*(50-$NR$25+1)*($NS$25-50+1)/$NU$25,$NN$25/$NT$25)),0)</f>
        <v/>
      </c>
      <c r="BC25" s="228">
        <f>IF(AND(51&gt;=$NR$25,51&lt;=$NS$25),IF($NP$25="Single_Point",IF(51=$NR$25,$NN$25,0),IF($NP$25="Bell_Curve",$NN$25*(51-$NR$25+1)*($NS$25-51+1)/$NU$25,$NN$25/$NT$25)),0)</f>
        <v/>
      </c>
      <c r="BD25" s="228">
        <f>IF(AND(52&gt;=$NR$25,52&lt;=$NS$25),IF($NP$25="Single_Point",IF(52=$NR$25,$NN$25,0),IF($NP$25="Bell_Curve",$NN$25*(52-$NR$25+1)*($NS$25-52+1)/$NU$25,$NN$25/$NT$25)),0)</f>
        <v/>
      </c>
      <c r="BE25" s="228">
        <f>IF(AND(53&gt;=$NR$25,53&lt;=$NS$25),IF($NP$25="Single_Point",IF(53=$NR$25,$NN$25,0),IF($NP$25="Bell_Curve",$NN$25*(53-$NR$25+1)*($NS$25-53+1)/$NU$25,$NN$25/$NT$25)),0)</f>
        <v/>
      </c>
      <c r="BF25" s="228">
        <f>IF(AND(54&gt;=$NR$25,54&lt;=$NS$25),IF($NP$25="Single_Point",IF(54=$NR$25,$NN$25,0),IF($NP$25="Bell_Curve",$NN$25*(54-$NR$25+1)*($NS$25-54+1)/$NU$25,$NN$25/$NT$25)),0)</f>
        <v/>
      </c>
      <c r="BG25" s="228">
        <f>IF(AND(55&gt;=$NR$25,55&lt;=$NS$25),IF($NP$25="Single_Point",IF(55=$NR$25,$NN$25,0),IF($NP$25="Bell_Curve",$NN$25*(55-$NR$25+1)*($NS$25-55+1)/$NU$25,$NN$25/$NT$25)),0)</f>
        <v/>
      </c>
      <c r="BH25" s="228">
        <f>IF(AND(56&gt;=$NR$25,56&lt;=$NS$25),IF($NP$25="Single_Point",IF(56=$NR$25,$NN$25,0),IF($NP$25="Bell_Curve",$NN$25*(56-$NR$25+1)*($NS$25-56+1)/$NU$25,$NN$25/$NT$25)),0)</f>
        <v/>
      </c>
      <c r="BI25" s="228">
        <f>IF(AND(57&gt;=$NR$25,57&lt;=$NS$25),IF($NP$25="Single_Point",IF(57=$NR$25,$NN$25,0),IF($NP$25="Bell_Curve",$NN$25*(57-$NR$25+1)*($NS$25-57+1)/$NU$25,$NN$25/$NT$25)),0)</f>
        <v/>
      </c>
      <c r="BJ25" s="228">
        <f>IF(AND(58&gt;=$NR$25,58&lt;=$NS$25),IF($NP$25="Single_Point",IF(58=$NR$25,$NN$25,0),IF($NP$25="Bell_Curve",$NN$25*(58-$NR$25+1)*($NS$25-58+1)/$NU$25,$NN$25/$NT$25)),0)</f>
        <v/>
      </c>
      <c r="BK25" s="228">
        <f>IF(AND(59&gt;=$NR$25,59&lt;=$NS$25),IF($NP$25="Single_Point",IF(59=$NR$25,$NN$25,0),IF($NP$25="Bell_Curve",$NN$25*(59-$NR$25+1)*($NS$25-59+1)/$NU$25,$NN$25/$NT$25)),0)</f>
        <v/>
      </c>
      <c r="BL25" s="228">
        <f>IF(AND(60&gt;=$NR$25,60&lt;=$NS$25),IF($NP$25="Single_Point",IF(60=$NR$25,$NN$25,0),IF($NP$25="Bell_Curve",$NN$25*(60-$NR$25+1)*($NS$25-60+1)/$NU$25,$NN$25/$NT$25)),0)</f>
        <v/>
      </c>
      <c r="BM25" s="228">
        <f>IF(AND(61&gt;=$NR$25,61&lt;=$NS$25),IF($NP$25="Single_Point",IF(61=$NR$25,$NN$25,0),IF($NP$25="Bell_Curve",$NN$25*(61-$NR$25+1)*($NS$25-61+1)/$NU$25,$NN$25/$NT$25)),0)</f>
        <v/>
      </c>
      <c r="BN25" s="228">
        <f>IF(AND(62&gt;=$NR$25,62&lt;=$NS$25),IF($NP$25="Single_Point",IF(62=$NR$25,$NN$25,0),IF($NP$25="Bell_Curve",$NN$25*(62-$NR$25+1)*($NS$25-62+1)/$NU$25,$NN$25/$NT$25)),0)</f>
        <v/>
      </c>
      <c r="BO25" s="228">
        <f>IF(AND(63&gt;=$NR$25,63&lt;=$NS$25),IF($NP$25="Single_Point",IF(63=$NR$25,$NN$25,0),IF($NP$25="Bell_Curve",$NN$25*(63-$NR$25+1)*($NS$25-63+1)/$NU$25,$NN$25/$NT$25)),0)</f>
        <v/>
      </c>
      <c r="BP25" s="228">
        <f>IF(AND(64&gt;=$NR$25,64&lt;=$NS$25),IF($NP$25="Single_Point",IF(64=$NR$25,$NN$25,0),IF($NP$25="Bell_Curve",$NN$25*(64-$NR$25+1)*($NS$25-64+1)/$NU$25,$NN$25/$NT$25)),0)</f>
        <v/>
      </c>
      <c r="BQ25" s="228">
        <f>IF(AND(65&gt;=$NR$25,65&lt;=$NS$25),IF($NP$25="Single_Point",IF(65=$NR$25,$NN$25,0),IF($NP$25="Bell_Curve",$NN$25*(65-$NR$25+1)*($NS$25-65+1)/$NU$25,$NN$25/$NT$25)),0)</f>
        <v/>
      </c>
      <c r="BR25" s="228">
        <f>IF(AND(66&gt;=$NR$25,66&lt;=$NS$25),IF($NP$25="Single_Point",IF(66=$NR$25,$NN$25,0),IF($NP$25="Bell_Curve",$NN$25*(66-$NR$25+1)*($NS$25-66+1)/$NU$25,$NN$25/$NT$25)),0)</f>
        <v/>
      </c>
      <c r="BS25" s="228">
        <f>IF(AND(67&gt;=$NR$25,67&lt;=$NS$25),IF($NP$25="Single_Point",IF(67=$NR$25,$NN$25,0),IF($NP$25="Bell_Curve",$NN$25*(67-$NR$25+1)*($NS$25-67+1)/$NU$25,$NN$25/$NT$25)),0)</f>
        <v/>
      </c>
      <c r="BT25" s="228">
        <f>IF(AND(68&gt;=$NR$25,68&lt;=$NS$25),IF($NP$25="Single_Point",IF(68=$NR$25,$NN$25,0),IF($NP$25="Bell_Curve",$NN$25*(68-$NR$25+1)*($NS$25-68+1)/$NU$25,$NN$25/$NT$25)),0)</f>
        <v/>
      </c>
      <c r="BU25" s="228">
        <f>IF(AND(69&gt;=$NR$25,69&lt;=$NS$25),IF($NP$25="Single_Point",IF(69=$NR$25,$NN$25,0),IF($NP$25="Bell_Curve",$NN$25*(69-$NR$25+1)*($NS$25-69+1)/$NU$25,$NN$25/$NT$25)),0)</f>
        <v/>
      </c>
      <c r="BV25" s="228">
        <f>IF(AND(70&gt;=$NR$25,70&lt;=$NS$25),IF($NP$25="Single_Point",IF(70=$NR$25,$NN$25,0),IF($NP$25="Bell_Curve",$NN$25*(70-$NR$25+1)*($NS$25-70+1)/$NU$25,$NN$25/$NT$25)),0)</f>
        <v/>
      </c>
      <c r="BW25" s="228">
        <f>IF(AND(71&gt;=$NR$25,71&lt;=$NS$25),IF($NP$25="Single_Point",IF(71=$NR$25,$NN$25,0),IF($NP$25="Bell_Curve",$NN$25*(71-$NR$25+1)*($NS$25-71+1)/$NU$25,$NN$25/$NT$25)),0)</f>
        <v/>
      </c>
      <c r="BX25" s="228">
        <f>IF(AND(72&gt;=$NR$25,72&lt;=$NS$25),IF($NP$25="Single_Point",IF(72=$NR$25,$NN$25,0),IF($NP$25="Bell_Curve",$NN$25*(72-$NR$25+1)*($NS$25-72+1)/$NU$25,$NN$25/$NT$25)),0)</f>
        <v/>
      </c>
      <c r="BY25" s="228">
        <f>IF(AND(73&gt;=$NR$25,73&lt;=$NS$25),IF($NP$25="Single_Point",IF(73=$NR$25,$NN$25,0),IF($NP$25="Bell_Curve",$NN$25*(73-$NR$25+1)*($NS$25-73+1)/$NU$25,$NN$25/$NT$25)),0)</f>
        <v/>
      </c>
      <c r="BZ25" s="228">
        <f>IF(AND(74&gt;=$NR$25,74&lt;=$NS$25),IF($NP$25="Single_Point",IF(74=$NR$25,$NN$25,0),IF($NP$25="Bell_Curve",$NN$25*(74-$NR$25+1)*($NS$25-74+1)/$NU$25,$NN$25/$NT$25)),0)</f>
        <v/>
      </c>
      <c r="CA25" s="228">
        <f>IF(AND(75&gt;=$NR$25,75&lt;=$NS$25),IF($NP$25="Single_Point",IF(75=$NR$25,$NN$25,0),IF($NP$25="Bell_Curve",$NN$25*(75-$NR$25+1)*($NS$25-75+1)/$NU$25,$NN$25/$NT$25)),0)</f>
        <v/>
      </c>
      <c r="CB25" s="228">
        <f>IF(AND(76&gt;=$NR$25,76&lt;=$NS$25),IF($NP$25="Single_Point",IF(76=$NR$25,$NN$25,0),IF($NP$25="Bell_Curve",$NN$25*(76-$NR$25+1)*($NS$25-76+1)/$NU$25,$NN$25/$NT$25)),0)</f>
        <v/>
      </c>
      <c r="CC25" s="228">
        <f>IF(AND(77&gt;=$NR$25,77&lt;=$NS$25),IF($NP$25="Single_Point",IF(77=$NR$25,$NN$25,0),IF($NP$25="Bell_Curve",$NN$25*(77-$NR$25+1)*($NS$25-77+1)/$NU$25,$NN$25/$NT$25)),0)</f>
        <v/>
      </c>
      <c r="CD25" s="228">
        <f>IF(AND(78&gt;=$NR$25,78&lt;=$NS$25),IF($NP$25="Single_Point",IF(78=$NR$25,$NN$25,0),IF($NP$25="Bell_Curve",$NN$25*(78-$NR$25+1)*($NS$25-78+1)/$NU$25,$NN$25/$NT$25)),0)</f>
        <v/>
      </c>
      <c r="CE25" s="228">
        <f>IF(AND(79&gt;=$NR$25,79&lt;=$NS$25),IF($NP$25="Single_Point",IF(79=$NR$25,$NN$25,0),IF($NP$25="Bell_Curve",$NN$25*(79-$NR$25+1)*($NS$25-79+1)/$NU$25,$NN$25/$NT$25)),0)</f>
        <v/>
      </c>
      <c r="CF25" s="228">
        <f>IF(AND(80&gt;=$NR$25,80&lt;=$NS$25),IF($NP$25="Single_Point",IF(80=$NR$25,$NN$25,0),IF($NP$25="Bell_Curve",$NN$25*(80-$NR$25+1)*($NS$25-80+1)/$NU$25,$NN$25/$NT$25)),0)</f>
        <v/>
      </c>
      <c r="CG25" s="228">
        <f>IF(AND(81&gt;=$NR$25,81&lt;=$NS$25),IF($NP$25="Single_Point",IF(81=$NR$25,$NN$25,0),IF($NP$25="Bell_Curve",$NN$25*(81-$NR$25+1)*($NS$25-81+1)/$NU$25,$NN$25/$NT$25)),0)</f>
        <v/>
      </c>
      <c r="CH25" s="228">
        <f>IF(AND(82&gt;=$NR$25,82&lt;=$NS$25),IF($NP$25="Single_Point",IF(82=$NR$25,$NN$25,0),IF($NP$25="Bell_Curve",$NN$25*(82-$NR$25+1)*($NS$25-82+1)/$NU$25,$NN$25/$NT$25)),0)</f>
        <v/>
      </c>
      <c r="CI25" s="228">
        <f>IF(AND(83&gt;=$NR$25,83&lt;=$NS$25),IF($NP$25="Single_Point",IF(83=$NR$25,$NN$25,0),IF($NP$25="Bell_Curve",$NN$25*(83-$NR$25+1)*($NS$25-83+1)/$NU$25,$NN$25/$NT$25)),0)</f>
        <v/>
      </c>
      <c r="CJ25" s="228">
        <f>IF(AND(84&gt;=$NR$25,84&lt;=$NS$25),IF($NP$25="Single_Point",IF(84=$NR$25,$NN$25,0),IF($NP$25="Bell_Curve",$NN$25*(84-$NR$25+1)*($NS$25-84+1)/$NU$25,$NN$25/$NT$25)),0)</f>
        <v/>
      </c>
      <c r="CK25" s="228">
        <f>IF(AND(85&gt;=$NR$25,85&lt;=$NS$25),IF($NP$25="Single_Point",IF(85=$NR$25,$NN$25,0),IF($NP$25="Bell_Curve",$NN$25*(85-$NR$25+1)*($NS$25-85+1)/$NU$25,$NN$25/$NT$25)),0)</f>
        <v/>
      </c>
      <c r="CL25" s="228">
        <f>IF(AND(86&gt;=$NR$25,86&lt;=$NS$25),IF($NP$25="Single_Point",IF(86=$NR$25,$NN$25,0),IF($NP$25="Bell_Curve",$NN$25*(86-$NR$25+1)*($NS$25-86+1)/$NU$25,$NN$25/$NT$25)),0)</f>
        <v/>
      </c>
      <c r="CM25" s="228">
        <f>IF(AND(87&gt;=$NR$25,87&lt;=$NS$25),IF($NP$25="Single_Point",IF(87=$NR$25,$NN$25,0),IF($NP$25="Bell_Curve",$NN$25*(87-$NR$25+1)*($NS$25-87+1)/$NU$25,$NN$25/$NT$25)),0)</f>
        <v/>
      </c>
      <c r="CN25" s="228">
        <f>IF(AND(88&gt;=$NR$25,88&lt;=$NS$25),IF($NP$25="Single_Point",IF(88=$NR$25,$NN$25,0),IF($NP$25="Bell_Curve",$NN$25*(88-$NR$25+1)*($NS$25-88+1)/$NU$25,$NN$25/$NT$25)),0)</f>
        <v/>
      </c>
      <c r="CO25" s="228">
        <f>IF(AND(89&gt;=$NR$25,89&lt;=$NS$25),IF($NP$25="Single_Point",IF(89=$NR$25,$NN$25,0),IF($NP$25="Bell_Curve",$NN$25*(89-$NR$25+1)*($NS$25-89+1)/$NU$25,$NN$25/$NT$25)),0)</f>
        <v/>
      </c>
      <c r="CP25" s="228">
        <f>IF(AND(90&gt;=$NR$25,90&lt;=$NS$25),IF($NP$25="Single_Point",IF(90=$NR$25,$NN$25,0),IF($NP$25="Bell_Curve",$NN$25*(90-$NR$25+1)*($NS$25-90+1)/$NU$25,$NN$25/$NT$25)),0)</f>
        <v/>
      </c>
      <c r="CQ25" s="228">
        <f>IF(AND(91&gt;=$NR$25,91&lt;=$NS$25),IF($NP$25="Single_Point",IF(91=$NR$25,$NN$25,0),IF($NP$25="Bell_Curve",$NN$25*(91-$NR$25+1)*($NS$25-91+1)/$NU$25,$NN$25/$NT$25)),0)</f>
        <v/>
      </c>
      <c r="CR25" s="228">
        <f>IF(AND(92&gt;=$NR$25,92&lt;=$NS$25),IF($NP$25="Single_Point",IF(92=$NR$25,$NN$25,0),IF($NP$25="Bell_Curve",$NN$25*(92-$NR$25+1)*($NS$25-92+1)/$NU$25,$NN$25/$NT$25)),0)</f>
        <v/>
      </c>
      <c r="CS25" s="228">
        <f>IF(AND(93&gt;=$NR$25,93&lt;=$NS$25),IF($NP$25="Single_Point",IF(93=$NR$25,$NN$25,0),IF($NP$25="Bell_Curve",$NN$25*(93-$NR$25+1)*($NS$25-93+1)/$NU$25,$NN$25/$NT$25)),0)</f>
        <v/>
      </c>
      <c r="CT25" s="228">
        <f>IF(AND(94&gt;=$NR$25,94&lt;=$NS$25),IF($NP$25="Single_Point",IF(94=$NR$25,$NN$25,0),IF($NP$25="Bell_Curve",$NN$25*(94-$NR$25+1)*($NS$25-94+1)/$NU$25,$NN$25/$NT$25)),0)</f>
        <v/>
      </c>
      <c r="CU25" s="228">
        <f>IF(AND(95&gt;=$NR$25,95&lt;=$NS$25),IF($NP$25="Single_Point",IF(95=$NR$25,$NN$25,0),IF($NP$25="Bell_Curve",$NN$25*(95-$NR$25+1)*($NS$25-95+1)/$NU$25,$NN$25/$NT$25)),0)</f>
        <v/>
      </c>
      <c r="CV25" s="228">
        <f>IF(AND(96&gt;=$NR$25,96&lt;=$NS$25),IF($NP$25="Single_Point",IF(96=$NR$25,$NN$25,0),IF($NP$25="Bell_Curve",$NN$25*(96-$NR$25+1)*($NS$25-96+1)/$NU$25,$NN$25/$NT$25)),0)</f>
        <v/>
      </c>
      <c r="CW25" s="228">
        <f>IF(AND(97&gt;=$NR$25,97&lt;=$NS$25),IF($NP$25="Single_Point",IF(97=$NR$25,$NN$25,0),IF($NP$25="Bell_Curve",$NN$25*(97-$NR$25+1)*($NS$25-97+1)/$NU$25,$NN$25/$NT$25)),0)</f>
        <v/>
      </c>
      <c r="CX25" s="228">
        <f>IF(AND(98&gt;=$NR$25,98&lt;=$NS$25),IF($NP$25="Single_Point",IF(98=$NR$25,$NN$25,0),IF($NP$25="Bell_Curve",$NN$25*(98-$NR$25+1)*($NS$25-98+1)/$NU$25,$NN$25/$NT$25)),0)</f>
        <v/>
      </c>
      <c r="CY25" s="228">
        <f>IF(AND(99&gt;=$NR$25,99&lt;=$NS$25),IF($NP$25="Single_Point",IF(99=$NR$25,$NN$25,0),IF($NP$25="Bell_Curve",$NN$25*(99-$NR$25+1)*($NS$25-99+1)/$NU$25,$NN$25/$NT$25)),0)</f>
        <v/>
      </c>
      <c r="CZ25" s="228">
        <f>IF(AND(100&gt;=$NR$25,100&lt;=$NS$25),IF($NP$25="Single_Point",IF(100=$NR$25,$NN$25,0),IF($NP$25="Bell_Curve",$NN$25*(100-$NR$25+1)*($NS$25-100+1)/$NU$25,$NN$25/$NT$25)),0)</f>
        <v/>
      </c>
      <c r="DA25" s="228">
        <f>IF(AND(101&gt;=$NR$25,101&lt;=$NS$25),IF($NP$25="Single_Point",IF(101=$NR$25,$NN$25,0),IF($NP$25="Bell_Curve",$NN$25*(101-$NR$25+1)*($NS$25-101+1)/$NU$25,$NN$25/$NT$25)),0)</f>
        <v/>
      </c>
      <c r="DB25" s="228">
        <f>IF(AND(102&gt;=$NR$25,102&lt;=$NS$25),IF($NP$25="Single_Point",IF(102=$NR$25,$NN$25,0),IF($NP$25="Bell_Curve",$NN$25*(102-$NR$25+1)*($NS$25-102+1)/$NU$25,$NN$25/$NT$25)),0)</f>
        <v/>
      </c>
      <c r="DC25" s="228">
        <f>IF(AND(103&gt;=$NR$25,103&lt;=$NS$25),IF($NP$25="Single_Point",IF(103=$NR$25,$NN$25,0),IF($NP$25="Bell_Curve",$NN$25*(103-$NR$25+1)*($NS$25-103+1)/$NU$25,$NN$25/$NT$25)),0)</f>
        <v/>
      </c>
      <c r="DD25" s="228">
        <f>IF(AND(104&gt;=$NR$25,104&lt;=$NS$25),IF($NP$25="Single_Point",IF(104=$NR$25,$NN$25,0),IF($NP$25="Bell_Curve",$NN$25*(104-$NR$25+1)*($NS$25-104+1)/$NU$25,$NN$25/$NT$25)),0)</f>
        <v/>
      </c>
      <c r="DE25" s="228">
        <f>IF(AND(105&gt;=$NR$25,105&lt;=$NS$25),IF($NP$25="Single_Point",IF(105=$NR$25,$NN$25,0),IF($NP$25="Bell_Curve",$NN$25*(105-$NR$25+1)*($NS$25-105+1)/$NU$25,$NN$25/$NT$25)),0)</f>
        <v/>
      </c>
      <c r="DF25" s="228">
        <f>IF(AND(106&gt;=$NR$25,106&lt;=$NS$25),IF($NP$25="Single_Point",IF(106=$NR$25,$NN$25,0),IF($NP$25="Bell_Curve",$NN$25*(106-$NR$25+1)*($NS$25-106+1)/$NU$25,$NN$25/$NT$25)),0)</f>
        <v/>
      </c>
      <c r="DG25" s="228">
        <f>IF(AND(107&gt;=$NR$25,107&lt;=$NS$25),IF($NP$25="Single_Point",IF(107=$NR$25,$NN$25,0),IF($NP$25="Bell_Curve",$NN$25*(107-$NR$25+1)*($NS$25-107+1)/$NU$25,$NN$25/$NT$25)),0)</f>
        <v/>
      </c>
      <c r="DH25" s="228">
        <f>IF(AND(108&gt;=$NR$25,108&lt;=$NS$25),IF($NP$25="Single_Point",IF(108=$NR$25,$NN$25,0),IF($NP$25="Bell_Curve",$NN$25*(108-$NR$25+1)*($NS$25-108+1)/$NU$25,$NN$25/$NT$25)),0)</f>
        <v/>
      </c>
      <c r="DI25" s="228">
        <f>IF(AND(109&gt;=$NR$25,109&lt;=$NS$25),IF($NP$25="Single_Point",IF(109=$NR$25,$NN$25,0),IF($NP$25="Bell_Curve",$NN$25*(109-$NR$25+1)*($NS$25-109+1)/$NU$25,$NN$25/$NT$25)),0)</f>
        <v/>
      </c>
      <c r="DJ25" s="228">
        <f>IF(AND(110&gt;=$NR$25,110&lt;=$NS$25),IF($NP$25="Single_Point",IF(110=$NR$25,$NN$25,0),IF($NP$25="Bell_Curve",$NN$25*(110-$NR$25+1)*($NS$25-110+1)/$NU$25,$NN$25/$NT$25)),0)</f>
        <v/>
      </c>
      <c r="DK25" s="228">
        <f>IF(AND(111&gt;=$NR$25,111&lt;=$NS$25),IF($NP$25="Single_Point",IF(111=$NR$25,$NN$25,0),IF($NP$25="Bell_Curve",$NN$25*(111-$NR$25+1)*($NS$25-111+1)/$NU$25,$NN$25/$NT$25)),0)</f>
        <v/>
      </c>
      <c r="DL25" s="228">
        <f>IF(AND(112&gt;=$NR$25,112&lt;=$NS$25),IF($NP$25="Single_Point",IF(112=$NR$25,$NN$25,0),IF($NP$25="Bell_Curve",$NN$25*(112-$NR$25+1)*($NS$25-112+1)/$NU$25,$NN$25/$NT$25)),0)</f>
        <v/>
      </c>
      <c r="DM25" s="228">
        <f>IF(AND(113&gt;=$NR$25,113&lt;=$NS$25),IF($NP$25="Single_Point",IF(113=$NR$25,$NN$25,0),IF($NP$25="Bell_Curve",$NN$25*(113-$NR$25+1)*($NS$25-113+1)/$NU$25,$NN$25/$NT$25)),0)</f>
        <v/>
      </c>
      <c r="DN25" s="228">
        <f>IF(AND(114&gt;=$NR$25,114&lt;=$NS$25),IF($NP$25="Single_Point",IF(114=$NR$25,$NN$25,0),IF($NP$25="Bell_Curve",$NN$25*(114-$NR$25+1)*($NS$25-114+1)/$NU$25,$NN$25/$NT$25)),0)</f>
        <v/>
      </c>
      <c r="DO25" s="228">
        <f>IF(AND(115&gt;=$NR$25,115&lt;=$NS$25),IF($NP$25="Single_Point",IF(115=$NR$25,$NN$25,0),IF($NP$25="Bell_Curve",$NN$25*(115-$NR$25+1)*($NS$25-115+1)/$NU$25,$NN$25/$NT$25)),0)</f>
        <v/>
      </c>
      <c r="DP25" s="228">
        <f>IF(AND(116&gt;=$NR$25,116&lt;=$NS$25),IF($NP$25="Single_Point",IF(116=$NR$25,$NN$25,0),IF($NP$25="Bell_Curve",$NN$25*(116-$NR$25+1)*($NS$25-116+1)/$NU$25,$NN$25/$NT$25)),0)</f>
        <v/>
      </c>
      <c r="DQ25" s="228">
        <f>IF(AND(117&gt;=$NR$25,117&lt;=$NS$25),IF($NP$25="Single_Point",IF(117=$NR$25,$NN$25,0),IF($NP$25="Bell_Curve",$NN$25*(117-$NR$25+1)*($NS$25-117+1)/$NU$25,$NN$25/$NT$25)),0)</f>
        <v/>
      </c>
      <c r="DR25" s="228">
        <f>IF(AND(118&gt;=$NR$25,118&lt;=$NS$25),IF($NP$25="Single_Point",IF(118=$NR$25,$NN$25,0),IF($NP$25="Bell_Curve",$NN$25*(118-$NR$25+1)*($NS$25-118+1)/$NU$25,$NN$25/$NT$25)),0)</f>
        <v/>
      </c>
      <c r="DS25" s="228">
        <f>IF(AND(119&gt;=$NR$25,119&lt;=$NS$25),IF($NP$25="Single_Point",IF(119=$NR$25,$NN$25,0),IF($NP$25="Bell_Curve",$NN$25*(119-$NR$25+1)*($NS$25-119+1)/$NU$25,$NN$25/$NT$25)),0)</f>
        <v/>
      </c>
      <c r="DT25" s="228">
        <f>IF(AND(120&gt;=$NR$25,120&lt;=$NS$25),IF($NP$25="Single_Point",IF(120=$NR$25,$NN$25,0),IF($NP$25="Bell_Curve",$NN$25*(120-$NR$25+1)*($NS$25-120+1)/$NU$25,$NN$25/$NT$25)),0)</f>
        <v/>
      </c>
      <c r="DU25" s="228">
        <f>IF(AND(121&gt;=$NR$25,121&lt;=$NS$25),IF($NP$25="Single_Point",IF(121=$NR$25,$NN$25,0),IF($NP$25="Bell_Curve",$NN$25*(121-$NR$25+1)*($NS$25-121+1)/$NU$25,$NN$25/$NT$25)),0)</f>
        <v/>
      </c>
      <c r="DV25" s="228">
        <f>IF(AND(122&gt;=$NR$25,122&lt;=$NS$25),IF($NP$25="Single_Point",IF(122=$NR$25,$NN$25,0),IF($NP$25="Bell_Curve",$NN$25*(122-$NR$25+1)*($NS$25-122+1)/$NU$25,$NN$25/$NT$25)),0)</f>
        <v/>
      </c>
      <c r="DW25" s="228">
        <f>IF(AND(123&gt;=$NR$25,123&lt;=$NS$25),IF($NP$25="Single_Point",IF(123=$NR$25,$NN$25,0),IF($NP$25="Bell_Curve",$NN$25*(123-$NR$25+1)*($NS$25-123+1)/$NU$25,$NN$25/$NT$25)),0)</f>
        <v/>
      </c>
      <c r="DX25" s="228">
        <f>IF(AND(124&gt;=$NR$25,124&lt;=$NS$25),IF($NP$25="Single_Point",IF(124=$NR$25,$NN$25,0),IF($NP$25="Bell_Curve",$NN$25*(124-$NR$25+1)*($NS$25-124+1)/$NU$25,$NN$25/$NT$25)),0)</f>
        <v/>
      </c>
      <c r="DY25" s="228">
        <f>IF(AND(125&gt;=$NR$25,125&lt;=$NS$25),IF($NP$25="Single_Point",IF(125=$NR$25,$NN$25,0),IF($NP$25="Bell_Curve",$NN$25*(125-$NR$25+1)*($NS$25-125+1)/$NU$25,$NN$25/$NT$25)),0)</f>
        <v/>
      </c>
      <c r="DZ25" s="228">
        <f>IF(AND(126&gt;=$NR$25,126&lt;=$NS$25),IF($NP$25="Single_Point",IF(126=$NR$25,$NN$25,0),IF($NP$25="Bell_Curve",$NN$25*(126-$NR$25+1)*($NS$25-126+1)/$NU$25,$NN$25/$NT$25)),0)</f>
        <v/>
      </c>
      <c r="EA25" s="228">
        <f>IF(AND(127&gt;=$NR$25,127&lt;=$NS$25),IF($NP$25="Single_Point",IF(127=$NR$25,$NN$25,0),IF($NP$25="Bell_Curve",$NN$25*(127-$NR$25+1)*($NS$25-127+1)/$NU$25,$NN$25/$NT$25)),0)</f>
        <v/>
      </c>
      <c r="EB25" s="228">
        <f>IF(AND(128&gt;=$NR$25,128&lt;=$NS$25),IF($NP$25="Single_Point",IF(128=$NR$25,$NN$25,0),IF($NP$25="Bell_Curve",$NN$25*(128-$NR$25+1)*($NS$25-128+1)/$NU$25,$NN$25/$NT$25)),0)</f>
        <v/>
      </c>
      <c r="EC25" s="228">
        <f>IF(AND(129&gt;=$NR$25,129&lt;=$NS$25),IF($NP$25="Single_Point",IF(129=$NR$25,$NN$25,0),IF($NP$25="Bell_Curve",$NN$25*(129-$NR$25+1)*($NS$25-129+1)/$NU$25,$NN$25/$NT$25)),0)</f>
        <v/>
      </c>
      <c r="ED25" s="228">
        <f>IF(AND(130&gt;=$NR$25,130&lt;=$NS$25),IF($NP$25="Single_Point",IF(130=$NR$25,$NN$25,0),IF($NP$25="Bell_Curve",$NN$25*(130-$NR$25+1)*($NS$25-130+1)/$NU$25,$NN$25/$NT$25)),0)</f>
        <v/>
      </c>
      <c r="EE25" s="228">
        <f>IF(AND(131&gt;=$NR$25,131&lt;=$NS$25),IF($NP$25="Single_Point",IF(131=$NR$25,$NN$25,0),IF($NP$25="Bell_Curve",$NN$25*(131-$NR$25+1)*($NS$25-131+1)/$NU$25,$NN$25/$NT$25)),0)</f>
        <v/>
      </c>
      <c r="EF25" s="228">
        <f>IF(AND(132&gt;=$NR$25,132&lt;=$NS$25),IF($NP$25="Single_Point",IF(132=$NR$25,$NN$25,0),IF($NP$25="Bell_Curve",$NN$25*(132-$NR$25+1)*($NS$25-132+1)/$NU$25,$NN$25/$NT$25)),0)</f>
        <v/>
      </c>
      <c r="EG25" s="228">
        <f>IF(AND(133&gt;=$NR$25,133&lt;=$NS$25),IF($NP$25="Single_Point",IF(133=$NR$25,$NN$25,0),IF($NP$25="Bell_Curve",$NN$25*(133-$NR$25+1)*($NS$25-133+1)/$NU$25,$NN$25/$NT$25)),0)</f>
        <v/>
      </c>
      <c r="EH25" s="228">
        <f>IF(AND(134&gt;=$NR$25,134&lt;=$NS$25),IF($NP$25="Single_Point",IF(134=$NR$25,$NN$25,0),IF($NP$25="Bell_Curve",$NN$25*(134-$NR$25+1)*($NS$25-134+1)/$NU$25,$NN$25/$NT$25)),0)</f>
        <v/>
      </c>
      <c r="EI25" s="228">
        <f>IF(AND(135&gt;=$NR$25,135&lt;=$NS$25),IF($NP$25="Single_Point",IF(135=$NR$25,$NN$25,0),IF($NP$25="Bell_Curve",$NN$25*(135-$NR$25+1)*($NS$25-135+1)/$NU$25,$NN$25/$NT$25)),0)</f>
        <v/>
      </c>
      <c r="EJ25" s="228">
        <f>IF(AND(136&gt;=$NR$25,136&lt;=$NS$25),IF($NP$25="Single_Point",IF(136=$NR$25,$NN$25,0),IF($NP$25="Bell_Curve",$NN$25*(136-$NR$25+1)*($NS$25-136+1)/$NU$25,$NN$25/$NT$25)),0)</f>
        <v/>
      </c>
      <c r="EK25" s="228">
        <f>IF(AND(137&gt;=$NR$25,137&lt;=$NS$25),IF($NP$25="Single_Point",IF(137=$NR$25,$NN$25,0),IF($NP$25="Bell_Curve",$NN$25*(137-$NR$25+1)*($NS$25-137+1)/$NU$25,$NN$25/$NT$25)),0)</f>
        <v/>
      </c>
      <c r="EL25" s="228">
        <f>IF(AND(138&gt;=$NR$25,138&lt;=$NS$25),IF($NP$25="Single_Point",IF(138=$NR$25,$NN$25,0),IF($NP$25="Bell_Curve",$NN$25*(138-$NR$25+1)*($NS$25-138+1)/$NU$25,$NN$25/$NT$25)),0)</f>
        <v/>
      </c>
      <c r="EM25" s="228">
        <f>IF(AND(139&gt;=$NR$25,139&lt;=$NS$25),IF($NP$25="Single_Point",IF(139=$NR$25,$NN$25,0),IF($NP$25="Bell_Curve",$NN$25*(139-$NR$25+1)*($NS$25-139+1)/$NU$25,$NN$25/$NT$25)),0)</f>
        <v/>
      </c>
      <c r="EN25" s="228">
        <f>IF(AND(140&gt;=$NR$25,140&lt;=$NS$25),IF($NP$25="Single_Point",IF(140=$NR$25,$NN$25,0),IF($NP$25="Bell_Curve",$NN$25*(140-$NR$25+1)*($NS$25-140+1)/$NU$25,$NN$25/$NT$25)),0)</f>
        <v/>
      </c>
      <c r="EO25" s="228">
        <f>IF(AND(141&gt;=$NR$25,141&lt;=$NS$25),IF($NP$25="Single_Point",IF(141=$NR$25,$NN$25,0),IF($NP$25="Bell_Curve",$NN$25*(141-$NR$25+1)*($NS$25-141+1)/$NU$25,$NN$25/$NT$25)),0)</f>
        <v/>
      </c>
      <c r="EP25" s="228">
        <f>IF(AND(142&gt;=$NR$25,142&lt;=$NS$25),IF($NP$25="Single_Point",IF(142=$NR$25,$NN$25,0),IF($NP$25="Bell_Curve",$NN$25*(142-$NR$25+1)*($NS$25-142+1)/$NU$25,$NN$25/$NT$25)),0)</f>
        <v/>
      </c>
      <c r="EQ25" s="228">
        <f>IF(AND(143&gt;=$NR$25,143&lt;=$NS$25),IF($NP$25="Single_Point",IF(143=$NR$25,$NN$25,0),IF($NP$25="Bell_Curve",$NN$25*(143-$NR$25+1)*($NS$25-143+1)/$NU$25,$NN$25/$NT$25)),0)</f>
        <v/>
      </c>
      <c r="ER25" s="228">
        <f>IF(AND(144&gt;=$NR$25,144&lt;=$NS$25),IF($NP$25="Single_Point",IF(144=$NR$25,$NN$25,0),IF($NP$25="Bell_Curve",$NN$25*(144-$NR$25+1)*($NS$25-144+1)/$NU$25,$NN$25/$NT$25)),0)</f>
        <v/>
      </c>
      <c r="ES25" s="228">
        <f>IF(AND(145&gt;=$NR$25,145&lt;=$NS$25),IF($NP$25="Single_Point",IF(145=$NR$25,$NN$25,0),IF($NP$25="Bell_Curve",$NN$25*(145-$NR$25+1)*($NS$25-145+1)/$NU$25,$NN$25/$NT$25)),0)</f>
        <v/>
      </c>
      <c r="ET25" s="228">
        <f>IF(AND(146&gt;=$NR$25,146&lt;=$NS$25),IF($NP$25="Single_Point",IF(146=$NR$25,$NN$25,0),IF($NP$25="Bell_Curve",$NN$25*(146-$NR$25+1)*($NS$25-146+1)/$NU$25,$NN$25/$NT$25)),0)</f>
        <v/>
      </c>
      <c r="EU25" s="228">
        <f>IF(AND(147&gt;=$NR$25,147&lt;=$NS$25),IF($NP$25="Single_Point",IF(147=$NR$25,$NN$25,0),IF($NP$25="Bell_Curve",$NN$25*(147-$NR$25+1)*($NS$25-147+1)/$NU$25,$NN$25/$NT$25)),0)</f>
        <v/>
      </c>
      <c r="EV25" s="228">
        <f>IF(AND(148&gt;=$NR$25,148&lt;=$NS$25),IF($NP$25="Single_Point",IF(148=$NR$25,$NN$25,0),IF($NP$25="Bell_Curve",$NN$25*(148-$NR$25+1)*($NS$25-148+1)/$NU$25,$NN$25/$NT$25)),0)</f>
        <v/>
      </c>
      <c r="EW25" s="228">
        <f>IF(AND(149&gt;=$NR$25,149&lt;=$NS$25),IF($NP$25="Single_Point",IF(149=$NR$25,$NN$25,0),IF($NP$25="Bell_Curve",$NN$25*(149-$NR$25+1)*($NS$25-149+1)/$NU$25,$NN$25/$NT$25)),0)</f>
        <v/>
      </c>
      <c r="EX25" s="228">
        <f>IF(AND(150&gt;=$NR$25,150&lt;=$NS$25),IF($NP$25="Single_Point",IF(150=$NR$25,$NN$25,0),IF($NP$25="Bell_Curve",$NN$25*(150-$NR$25+1)*($NS$25-150+1)/$NU$25,$NN$25/$NT$25)),0)</f>
        <v/>
      </c>
      <c r="EY25" s="228">
        <f>IF(AND(151&gt;=$NR$25,151&lt;=$NS$25),IF($NP$25="Single_Point",IF(151=$NR$25,$NN$25,0),IF($NP$25="Bell_Curve",$NN$25*(151-$NR$25+1)*($NS$25-151+1)/$NU$25,$NN$25/$NT$25)),0)</f>
        <v/>
      </c>
      <c r="EZ25" s="228">
        <f>IF(AND(152&gt;=$NR$25,152&lt;=$NS$25),IF($NP$25="Single_Point",IF(152=$NR$25,$NN$25,0),IF($NP$25="Bell_Curve",$NN$25*(152-$NR$25+1)*($NS$25-152+1)/$NU$25,$NN$25/$NT$25)),0)</f>
        <v/>
      </c>
      <c r="FA25" s="228">
        <f>IF(AND(153&gt;=$NR$25,153&lt;=$NS$25),IF($NP$25="Single_Point",IF(153=$NR$25,$NN$25,0),IF($NP$25="Bell_Curve",$NN$25*(153-$NR$25+1)*($NS$25-153+1)/$NU$25,$NN$25/$NT$25)),0)</f>
        <v/>
      </c>
      <c r="FB25" s="228">
        <f>IF(AND(154&gt;=$NR$25,154&lt;=$NS$25),IF($NP$25="Single_Point",IF(154=$NR$25,$NN$25,0),IF($NP$25="Bell_Curve",$NN$25*(154-$NR$25+1)*($NS$25-154+1)/$NU$25,$NN$25/$NT$25)),0)</f>
        <v/>
      </c>
      <c r="FC25" s="228">
        <f>IF(AND(155&gt;=$NR$25,155&lt;=$NS$25),IF($NP$25="Single_Point",IF(155=$NR$25,$NN$25,0),IF($NP$25="Bell_Curve",$NN$25*(155-$NR$25+1)*($NS$25-155+1)/$NU$25,$NN$25/$NT$25)),0)</f>
        <v/>
      </c>
      <c r="FD25" s="228">
        <f>IF(AND(156&gt;=$NR$25,156&lt;=$NS$25),IF($NP$25="Single_Point",IF(156=$NR$25,$NN$25,0),IF($NP$25="Bell_Curve",$NN$25*(156-$NR$25+1)*($NS$25-156+1)/$NU$25,$NN$25/$NT$25)),0)</f>
        <v/>
      </c>
      <c r="FE25" s="228">
        <f>IF(AND(157&gt;=$NR$25,157&lt;=$NS$25),IF($NP$25="Single_Point",IF(157=$NR$25,$NN$25,0),IF($NP$25="Bell_Curve",$NN$25*(157-$NR$25+1)*($NS$25-157+1)/$NU$25,$NN$25/$NT$25)),0)</f>
        <v/>
      </c>
      <c r="FF25" s="228">
        <f>IF(AND(158&gt;=$NR$25,158&lt;=$NS$25),IF($NP$25="Single_Point",IF(158=$NR$25,$NN$25,0),IF($NP$25="Bell_Curve",$NN$25*(158-$NR$25+1)*($NS$25-158+1)/$NU$25,$NN$25/$NT$25)),0)</f>
        <v/>
      </c>
      <c r="FG25" s="228">
        <f>IF(AND(159&gt;=$NR$25,159&lt;=$NS$25),IF($NP$25="Single_Point",IF(159=$NR$25,$NN$25,0),IF($NP$25="Bell_Curve",$NN$25*(159-$NR$25+1)*($NS$25-159+1)/$NU$25,$NN$25/$NT$25)),0)</f>
        <v/>
      </c>
      <c r="FH25" s="228">
        <f>IF(AND(160&gt;=$NR$25,160&lt;=$NS$25),IF($NP$25="Single_Point",IF(160=$NR$25,$NN$25,0),IF($NP$25="Bell_Curve",$NN$25*(160-$NR$25+1)*($NS$25-160+1)/$NU$25,$NN$25/$NT$25)),0)</f>
        <v/>
      </c>
      <c r="FI25" s="228">
        <f>IF(AND(161&gt;=$NR$25,161&lt;=$NS$25),IF($NP$25="Single_Point",IF(161=$NR$25,$NN$25,0),IF($NP$25="Bell_Curve",$NN$25*(161-$NR$25+1)*($NS$25-161+1)/$NU$25,$NN$25/$NT$25)),0)</f>
        <v/>
      </c>
      <c r="FJ25" s="228">
        <f>IF(AND(162&gt;=$NR$25,162&lt;=$NS$25),IF($NP$25="Single_Point",IF(162=$NR$25,$NN$25,0),IF($NP$25="Bell_Curve",$NN$25*(162-$NR$25+1)*($NS$25-162+1)/$NU$25,$NN$25/$NT$25)),0)</f>
        <v/>
      </c>
      <c r="FK25" s="228">
        <f>IF(AND(163&gt;=$NR$25,163&lt;=$NS$25),IF($NP$25="Single_Point",IF(163=$NR$25,$NN$25,0),IF($NP$25="Bell_Curve",$NN$25*(163-$NR$25+1)*($NS$25-163+1)/$NU$25,$NN$25/$NT$25)),0)</f>
        <v/>
      </c>
      <c r="FL25" s="228">
        <f>IF(AND(164&gt;=$NR$25,164&lt;=$NS$25),IF($NP$25="Single_Point",IF(164=$NR$25,$NN$25,0),IF($NP$25="Bell_Curve",$NN$25*(164-$NR$25+1)*($NS$25-164+1)/$NU$25,$NN$25/$NT$25)),0)</f>
        <v/>
      </c>
      <c r="FM25" s="228">
        <f>IF(AND(165&gt;=$NR$25,165&lt;=$NS$25),IF($NP$25="Single_Point",IF(165=$NR$25,$NN$25,0),IF($NP$25="Bell_Curve",$NN$25*(165-$NR$25+1)*($NS$25-165+1)/$NU$25,$NN$25/$NT$25)),0)</f>
        <v/>
      </c>
      <c r="FN25" s="228">
        <f>IF(AND(166&gt;=$NR$25,166&lt;=$NS$25),IF($NP$25="Single_Point",IF(166=$NR$25,$NN$25,0),IF($NP$25="Bell_Curve",$NN$25*(166-$NR$25+1)*($NS$25-166+1)/$NU$25,$NN$25/$NT$25)),0)</f>
        <v/>
      </c>
      <c r="FO25" s="228">
        <f>IF(AND(167&gt;=$NR$25,167&lt;=$NS$25),IF($NP$25="Single_Point",IF(167=$NR$25,$NN$25,0),IF($NP$25="Bell_Curve",$NN$25*(167-$NR$25+1)*($NS$25-167+1)/$NU$25,$NN$25/$NT$25)),0)</f>
        <v/>
      </c>
      <c r="FP25" s="228">
        <f>IF(AND(168&gt;=$NR$25,168&lt;=$NS$25),IF($NP$25="Single_Point",IF(168=$NR$25,$NN$25,0),IF($NP$25="Bell_Curve",$NN$25*(168-$NR$25+1)*($NS$25-168+1)/$NU$25,$NN$25/$NT$25)),0)</f>
        <v/>
      </c>
      <c r="FQ25" s="228">
        <f>IF(AND(169&gt;=$NR$25,169&lt;=$NS$25),IF($NP$25="Single_Point",IF(169=$NR$25,$NN$25,0),IF($NP$25="Bell_Curve",$NN$25*(169-$NR$25+1)*($NS$25-169+1)/$NU$25,$NN$25/$NT$25)),0)</f>
        <v/>
      </c>
      <c r="FR25" s="228">
        <f>IF(AND(170&gt;=$NR$25,170&lt;=$NS$25),IF($NP$25="Single_Point",IF(170=$NR$25,$NN$25,0),IF($NP$25="Bell_Curve",$NN$25*(170-$NR$25+1)*($NS$25-170+1)/$NU$25,$NN$25/$NT$25)),0)</f>
        <v/>
      </c>
      <c r="FS25" s="228">
        <f>IF(AND(171&gt;=$NR$25,171&lt;=$NS$25),IF($NP$25="Single_Point",IF(171=$NR$25,$NN$25,0),IF($NP$25="Bell_Curve",$NN$25*(171-$NR$25+1)*($NS$25-171+1)/$NU$25,$NN$25/$NT$25)),0)</f>
        <v/>
      </c>
      <c r="FT25" s="228">
        <f>IF(AND(172&gt;=$NR$25,172&lt;=$NS$25),IF($NP$25="Single_Point",IF(172=$NR$25,$NN$25,0),IF($NP$25="Bell_Curve",$NN$25*(172-$NR$25+1)*($NS$25-172+1)/$NU$25,$NN$25/$NT$25)),0)</f>
        <v/>
      </c>
      <c r="FU25" s="228">
        <f>IF(AND(173&gt;=$NR$25,173&lt;=$NS$25),IF($NP$25="Single_Point",IF(173=$NR$25,$NN$25,0),IF($NP$25="Bell_Curve",$NN$25*(173-$NR$25+1)*($NS$25-173+1)/$NU$25,$NN$25/$NT$25)),0)</f>
        <v/>
      </c>
      <c r="FV25" s="228">
        <f>IF(AND(174&gt;=$NR$25,174&lt;=$NS$25),IF($NP$25="Single_Point",IF(174=$NR$25,$NN$25,0),IF($NP$25="Bell_Curve",$NN$25*(174-$NR$25+1)*($NS$25-174+1)/$NU$25,$NN$25/$NT$25)),0)</f>
        <v/>
      </c>
      <c r="FW25" s="228">
        <f>IF(AND(175&gt;=$NR$25,175&lt;=$NS$25),IF($NP$25="Single_Point",IF(175=$NR$25,$NN$25,0),IF($NP$25="Bell_Curve",$NN$25*(175-$NR$25+1)*($NS$25-175+1)/$NU$25,$NN$25/$NT$25)),0)</f>
        <v/>
      </c>
      <c r="FX25" s="228">
        <f>IF(AND(176&gt;=$NR$25,176&lt;=$NS$25),IF($NP$25="Single_Point",IF(176=$NR$25,$NN$25,0),IF($NP$25="Bell_Curve",$NN$25*(176-$NR$25+1)*($NS$25-176+1)/$NU$25,$NN$25/$NT$25)),0)</f>
        <v/>
      </c>
      <c r="FY25" s="228">
        <f>IF(AND(177&gt;=$NR$25,177&lt;=$NS$25),IF($NP$25="Single_Point",IF(177=$NR$25,$NN$25,0),IF($NP$25="Bell_Curve",$NN$25*(177-$NR$25+1)*($NS$25-177+1)/$NU$25,$NN$25/$NT$25)),0)</f>
        <v/>
      </c>
      <c r="FZ25" s="228">
        <f>IF(AND(178&gt;=$NR$25,178&lt;=$NS$25),IF($NP$25="Single_Point",IF(178=$NR$25,$NN$25,0),IF($NP$25="Bell_Curve",$NN$25*(178-$NR$25+1)*($NS$25-178+1)/$NU$25,$NN$25/$NT$25)),0)</f>
        <v/>
      </c>
      <c r="GA25" s="228">
        <f>IF(AND(179&gt;=$NR$25,179&lt;=$NS$25),IF($NP$25="Single_Point",IF(179=$NR$25,$NN$25,0),IF($NP$25="Bell_Curve",$NN$25*(179-$NR$25+1)*($NS$25-179+1)/$NU$25,$NN$25/$NT$25)),0)</f>
        <v/>
      </c>
      <c r="GB25" s="228">
        <f>IF(AND(180&gt;=$NR$25,180&lt;=$NS$25),IF($NP$25="Single_Point",IF(180=$NR$25,$NN$25,0),IF($NP$25="Bell_Curve",$NN$25*(180-$NR$25+1)*($NS$25-180+1)/$NU$25,$NN$25/$NT$25)),0)</f>
        <v/>
      </c>
      <c r="GC25" s="228">
        <f>IF(AND(181&gt;=$NR$25,181&lt;=$NS$25),IF($NP$25="Single_Point",IF(181=$NR$25,$NN$25,0),IF($NP$25="Bell_Curve",$NN$25*(181-$NR$25+1)*($NS$25-181+1)/$NU$25,$NN$25/$NT$25)),0)</f>
        <v/>
      </c>
      <c r="GD25" s="228">
        <f>IF(AND(182&gt;=$NR$25,182&lt;=$NS$25),IF($NP$25="Single_Point",IF(182=$NR$25,$NN$25,0),IF($NP$25="Bell_Curve",$NN$25*(182-$NR$25+1)*($NS$25-182+1)/$NU$25,$NN$25/$NT$25)),0)</f>
        <v/>
      </c>
      <c r="GE25" s="228">
        <f>IF(AND(183&gt;=$NR$25,183&lt;=$NS$25),IF($NP$25="Single_Point",IF(183=$NR$25,$NN$25,0),IF($NP$25="Bell_Curve",$NN$25*(183-$NR$25+1)*($NS$25-183+1)/$NU$25,$NN$25/$NT$25)),0)</f>
        <v/>
      </c>
      <c r="GF25" s="228">
        <f>IF(AND(184&gt;=$NR$25,184&lt;=$NS$25),IF($NP$25="Single_Point",IF(184=$NR$25,$NN$25,0),IF($NP$25="Bell_Curve",$NN$25*(184-$NR$25+1)*($NS$25-184+1)/$NU$25,$NN$25/$NT$25)),0)</f>
        <v/>
      </c>
      <c r="GG25" s="228">
        <f>IF(AND(185&gt;=$NR$25,185&lt;=$NS$25),IF($NP$25="Single_Point",IF(185=$NR$25,$NN$25,0),IF($NP$25="Bell_Curve",$NN$25*(185-$NR$25+1)*($NS$25-185+1)/$NU$25,$NN$25/$NT$25)),0)</f>
        <v/>
      </c>
      <c r="GH25" s="228">
        <f>IF(AND(186&gt;=$NR$25,186&lt;=$NS$25),IF($NP$25="Single_Point",IF(186=$NR$25,$NN$25,0),IF($NP$25="Bell_Curve",$NN$25*(186-$NR$25+1)*($NS$25-186+1)/$NU$25,$NN$25/$NT$25)),0)</f>
        <v/>
      </c>
      <c r="GI25" s="228">
        <f>IF(AND(187&gt;=$NR$25,187&lt;=$NS$25),IF($NP$25="Single_Point",IF(187=$NR$25,$NN$25,0),IF($NP$25="Bell_Curve",$NN$25*(187-$NR$25+1)*($NS$25-187+1)/$NU$25,$NN$25/$NT$25)),0)</f>
        <v/>
      </c>
      <c r="GJ25" s="228">
        <f>IF(AND(188&gt;=$NR$25,188&lt;=$NS$25),IF($NP$25="Single_Point",IF(188=$NR$25,$NN$25,0),IF($NP$25="Bell_Curve",$NN$25*(188-$NR$25+1)*($NS$25-188+1)/$NU$25,$NN$25/$NT$25)),0)</f>
        <v/>
      </c>
      <c r="GK25" s="228">
        <f>IF(AND(189&gt;=$NR$25,189&lt;=$NS$25),IF($NP$25="Single_Point",IF(189=$NR$25,$NN$25,0),IF($NP$25="Bell_Curve",$NN$25*(189-$NR$25+1)*($NS$25-189+1)/$NU$25,$NN$25/$NT$25)),0)</f>
        <v/>
      </c>
      <c r="GL25" s="228">
        <f>IF(AND(190&gt;=$NR$25,190&lt;=$NS$25),IF($NP$25="Single_Point",IF(190=$NR$25,$NN$25,0),IF($NP$25="Bell_Curve",$NN$25*(190-$NR$25+1)*($NS$25-190+1)/$NU$25,$NN$25/$NT$25)),0)</f>
        <v/>
      </c>
      <c r="GM25" s="228">
        <f>IF(AND(191&gt;=$NR$25,191&lt;=$NS$25),IF($NP$25="Single_Point",IF(191=$NR$25,$NN$25,0),IF($NP$25="Bell_Curve",$NN$25*(191-$NR$25+1)*($NS$25-191+1)/$NU$25,$NN$25/$NT$25)),0)</f>
        <v/>
      </c>
      <c r="GN25" s="228">
        <f>IF(AND(192&gt;=$NR$25,192&lt;=$NS$25),IF($NP$25="Single_Point",IF(192=$NR$25,$NN$25,0),IF($NP$25="Bell_Curve",$NN$25*(192-$NR$25+1)*($NS$25-192+1)/$NU$25,$NN$25/$NT$25)),0)</f>
        <v/>
      </c>
      <c r="GO25" s="228">
        <f>IF(AND(193&gt;=$NR$25,193&lt;=$NS$25),IF($NP$25="Single_Point",IF(193=$NR$25,$NN$25,0),IF($NP$25="Bell_Curve",$NN$25*(193-$NR$25+1)*($NS$25-193+1)/$NU$25,$NN$25/$NT$25)),0)</f>
        <v/>
      </c>
      <c r="GP25" s="228">
        <f>IF(AND(194&gt;=$NR$25,194&lt;=$NS$25),IF($NP$25="Single_Point",IF(194=$NR$25,$NN$25,0),IF($NP$25="Bell_Curve",$NN$25*(194-$NR$25+1)*($NS$25-194+1)/$NU$25,$NN$25/$NT$25)),0)</f>
        <v/>
      </c>
      <c r="GQ25" s="228">
        <f>IF(AND(195&gt;=$NR$25,195&lt;=$NS$25),IF($NP$25="Single_Point",IF(195=$NR$25,$NN$25,0),IF($NP$25="Bell_Curve",$NN$25*(195-$NR$25+1)*($NS$25-195+1)/$NU$25,$NN$25/$NT$25)),0)</f>
        <v/>
      </c>
      <c r="GR25" s="228">
        <f>IF(AND(196&gt;=$NR$25,196&lt;=$NS$25),IF($NP$25="Single_Point",IF(196=$NR$25,$NN$25,0),IF($NP$25="Bell_Curve",$NN$25*(196-$NR$25+1)*($NS$25-196+1)/$NU$25,$NN$25/$NT$25)),0)</f>
        <v/>
      </c>
      <c r="GS25" s="228">
        <f>IF(AND(197&gt;=$NR$25,197&lt;=$NS$25),IF($NP$25="Single_Point",IF(197=$NR$25,$NN$25,0),IF($NP$25="Bell_Curve",$NN$25*(197-$NR$25+1)*($NS$25-197+1)/$NU$25,$NN$25/$NT$25)),0)</f>
        <v/>
      </c>
      <c r="GT25" s="228">
        <f>IF(AND(198&gt;=$NR$25,198&lt;=$NS$25),IF($NP$25="Single_Point",IF(198=$NR$25,$NN$25,0),IF($NP$25="Bell_Curve",$NN$25*(198-$NR$25+1)*($NS$25-198+1)/$NU$25,$NN$25/$NT$25)),0)</f>
        <v/>
      </c>
      <c r="GU25" s="228">
        <f>IF(AND(199&gt;=$NR$25,199&lt;=$NS$25),IF($NP$25="Single_Point",IF(199=$NR$25,$NN$25,0),IF($NP$25="Bell_Curve",$NN$25*(199-$NR$25+1)*($NS$25-199+1)/$NU$25,$NN$25/$NT$25)),0)</f>
        <v/>
      </c>
      <c r="GV25" s="228">
        <f>IF(AND(200&gt;=$NR$25,200&lt;=$NS$25),IF($NP$25="Single_Point",IF(200=$NR$25,$NN$25,0),IF($NP$25="Bell_Curve",$NN$25*(200-$NR$25+1)*($NS$25-200+1)/$NU$25,$NN$25/$NT$25)),0)</f>
        <v/>
      </c>
      <c r="GW25" s="228">
        <f>IF(AND(201&gt;=$NR$25,201&lt;=$NS$25),IF($NP$25="Single_Point",IF(201=$NR$25,$NN$25,0),IF($NP$25="Bell_Curve",$NN$25*(201-$NR$25+1)*($NS$25-201+1)/$NU$25,$NN$25/$NT$25)),0)</f>
        <v/>
      </c>
      <c r="GX25" s="228">
        <f>IF(AND(202&gt;=$NR$25,202&lt;=$NS$25),IF($NP$25="Single_Point",IF(202=$NR$25,$NN$25,0),IF($NP$25="Bell_Curve",$NN$25*(202-$NR$25+1)*($NS$25-202+1)/$NU$25,$NN$25/$NT$25)),0)</f>
        <v/>
      </c>
      <c r="GY25" s="228">
        <f>IF(AND(203&gt;=$NR$25,203&lt;=$NS$25),IF($NP$25="Single_Point",IF(203=$NR$25,$NN$25,0),IF($NP$25="Bell_Curve",$NN$25*(203-$NR$25+1)*($NS$25-203+1)/$NU$25,$NN$25/$NT$25)),0)</f>
        <v/>
      </c>
      <c r="GZ25" s="228">
        <f>IF(AND(204&gt;=$NR$25,204&lt;=$NS$25),IF($NP$25="Single_Point",IF(204=$NR$25,$NN$25,0),IF($NP$25="Bell_Curve",$NN$25*(204-$NR$25+1)*($NS$25-204+1)/$NU$25,$NN$25/$NT$25)),0)</f>
        <v/>
      </c>
      <c r="HA25" s="228">
        <f>IF(AND(205&gt;=$NR$25,205&lt;=$NS$25),IF($NP$25="Single_Point",IF(205=$NR$25,$NN$25,0),IF($NP$25="Bell_Curve",$NN$25*(205-$NR$25+1)*($NS$25-205+1)/$NU$25,$NN$25/$NT$25)),0)</f>
        <v/>
      </c>
      <c r="HB25" s="228">
        <f>IF(AND(206&gt;=$NR$25,206&lt;=$NS$25),IF($NP$25="Single_Point",IF(206=$NR$25,$NN$25,0),IF($NP$25="Bell_Curve",$NN$25*(206-$NR$25+1)*($NS$25-206+1)/$NU$25,$NN$25/$NT$25)),0)</f>
        <v/>
      </c>
      <c r="HC25" s="228">
        <f>IF(AND(207&gt;=$NR$25,207&lt;=$NS$25),IF($NP$25="Single_Point",IF(207=$NR$25,$NN$25,0),IF($NP$25="Bell_Curve",$NN$25*(207-$NR$25+1)*($NS$25-207+1)/$NU$25,$NN$25/$NT$25)),0)</f>
        <v/>
      </c>
      <c r="HD25" s="228">
        <f>IF(AND(208&gt;=$NR$25,208&lt;=$NS$25),IF($NP$25="Single_Point",IF(208=$NR$25,$NN$25,0),IF($NP$25="Bell_Curve",$NN$25*(208-$NR$25+1)*($NS$25-208+1)/$NU$25,$NN$25/$NT$25)),0)</f>
        <v/>
      </c>
      <c r="HE25" s="228">
        <f>IF(AND(209&gt;=$NR$25,209&lt;=$NS$25),IF($NP$25="Single_Point",IF(209=$NR$25,$NN$25,0),IF($NP$25="Bell_Curve",$NN$25*(209-$NR$25+1)*($NS$25-209+1)/$NU$25,$NN$25/$NT$25)),0)</f>
        <v/>
      </c>
      <c r="HF25" s="228">
        <f>IF(AND(210&gt;=$NR$25,210&lt;=$NS$25),IF($NP$25="Single_Point",IF(210=$NR$25,$NN$25,0),IF($NP$25="Bell_Curve",$NN$25*(210-$NR$25+1)*($NS$25-210+1)/$NU$25,$NN$25/$NT$25)),0)</f>
        <v/>
      </c>
      <c r="HG25" s="228">
        <f>IF(AND(211&gt;=$NR$25,211&lt;=$NS$25),IF($NP$25="Single_Point",IF(211=$NR$25,$NN$25,0),IF($NP$25="Bell_Curve",$NN$25*(211-$NR$25+1)*($NS$25-211+1)/$NU$25,$NN$25/$NT$25)),0)</f>
        <v/>
      </c>
      <c r="HH25" s="228">
        <f>IF(AND(212&gt;=$NR$25,212&lt;=$NS$25),IF($NP$25="Single_Point",IF(212=$NR$25,$NN$25,0),IF($NP$25="Bell_Curve",$NN$25*(212-$NR$25+1)*($NS$25-212+1)/$NU$25,$NN$25/$NT$25)),0)</f>
        <v/>
      </c>
      <c r="HI25" s="228">
        <f>IF(AND(213&gt;=$NR$25,213&lt;=$NS$25),IF($NP$25="Single_Point",IF(213=$NR$25,$NN$25,0),IF($NP$25="Bell_Curve",$NN$25*(213-$NR$25+1)*($NS$25-213+1)/$NU$25,$NN$25/$NT$25)),0)</f>
        <v/>
      </c>
      <c r="HJ25" s="228">
        <f>IF(AND(214&gt;=$NR$25,214&lt;=$NS$25),IF($NP$25="Single_Point",IF(214=$NR$25,$NN$25,0),IF($NP$25="Bell_Curve",$NN$25*(214-$NR$25+1)*($NS$25-214+1)/$NU$25,$NN$25/$NT$25)),0)</f>
        <v/>
      </c>
      <c r="HK25" s="228">
        <f>IF(AND(215&gt;=$NR$25,215&lt;=$NS$25),IF($NP$25="Single_Point",IF(215=$NR$25,$NN$25,0),IF($NP$25="Bell_Curve",$NN$25*(215-$NR$25+1)*($NS$25-215+1)/$NU$25,$NN$25/$NT$25)),0)</f>
        <v/>
      </c>
      <c r="HL25" s="228">
        <f>IF(AND(216&gt;=$NR$25,216&lt;=$NS$25),IF($NP$25="Single_Point",IF(216=$NR$25,$NN$25,0),IF($NP$25="Bell_Curve",$NN$25*(216-$NR$25+1)*($NS$25-216+1)/$NU$25,$NN$25/$NT$25)),0)</f>
        <v/>
      </c>
      <c r="HM25" s="228">
        <f>IF(AND(217&gt;=$NR$25,217&lt;=$NS$25),IF($NP$25="Single_Point",IF(217=$NR$25,$NN$25,0),IF($NP$25="Bell_Curve",$NN$25*(217-$NR$25+1)*($NS$25-217+1)/$NU$25,$NN$25/$NT$25)),0)</f>
        <v/>
      </c>
      <c r="HN25" s="228">
        <f>IF(AND(218&gt;=$NR$25,218&lt;=$NS$25),IF($NP$25="Single_Point",IF(218=$NR$25,$NN$25,0),IF($NP$25="Bell_Curve",$NN$25*(218-$NR$25+1)*($NS$25-218+1)/$NU$25,$NN$25/$NT$25)),0)</f>
        <v/>
      </c>
      <c r="HO25" s="228">
        <f>IF(AND(219&gt;=$NR$25,219&lt;=$NS$25),IF($NP$25="Single_Point",IF(219=$NR$25,$NN$25,0),IF($NP$25="Bell_Curve",$NN$25*(219-$NR$25+1)*($NS$25-219+1)/$NU$25,$NN$25/$NT$25)),0)</f>
        <v/>
      </c>
      <c r="HP25" s="228">
        <f>IF(AND(220&gt;=$NR$25,220&lt;=$NS$25),IF($NP$25="Single_Point",IF(220=$NR$25,$NN$25,0),IF($NP$25="Bell_Curve",$NN$25*(220-$NR$25+1)*($NS$25-220+1)/$NU$25,$NN$25/$NT$25)),0)</f>
        <v/>
      </c>
      <c r="HQ25" s="228">
        <f>IF(AND(221&gt;=$NR$25,221&lt;=$NS$25),IF($NP$25="Single_Point",IF(221=$NR$25,$NN$25,0),IF($NP$25="Bell_Curve",$NN$25*(221-$NR$25+1)*($NS$25-221+1)/$NU$25,$NN$25/$NT$25)),0)</f>
        <v/>
      </c>
      <c r="HR25" s="228">
        <f>IF(AND(222&gt;=$NR$25,222&lt;=$NS$25),IF($NP$25="Single_Point",IF(222=$NR$25,$NN$25,0),IF($NP$25="Bell_Curve",$NN$25*(222-$NR$25+1)*($NS$25-222+1)/$NU$25,$NN$25/$NT$25)),0)</f>
        <v/>
      </c>
      <c r="HS25" s="228">
        <f>IF(AND(223&gt;=$NR$25,223&lt;=$NS$25),IF($NP$25="Single_Point",IF(223=$NR$25,$NN$25,0),IF($NP$25="Bell_Curve",$NN$25*(223-$NR$25+1)*($NS$25-223+1)/$NU$25,$NN$25/$NT$25)),0)</f>
        <v/>
      </c>
      <c r="HT25" s="228">
        <f>IF(AND(224&gt;=$NR$25,224&lt;=$NS$25),IF($NP$25="Single_Point",IF(224=$NR$25,$NN$25,0),IF($NP$25="Bell_Curve",$NN$25*(224-$NR$25+1)*($NS$25-224+1)/$NU$25,$NN$25/$NT$25)),0)</f>
        <v/>
      </c>
      <c r="HU25" s="228">
        <f>IF(AND(225&gt;=$NR$25,225&lt;=$NS$25),IF($NP$25="Single_Point",IF(225=$NR$25,$NN$25,0),IF($NP$25="Bell_Curve",$NN$25*(225-$NR$25+1)*($NS$25-225+1)/$NU$25,$NN$25/$NT$25)),0)</f>
        <v/>
      </c>
      <c r="HV25" s="228">
        <f>IF(AND(226&gt;=$NR$25,226&lt;=$NS$25),IF($NP$25="Single_Point",IF(226=$NR$25,$NN$25,0),IF($NP$25="Bell_Curve",$NN$25*(226-$NR$25+1)*($NS$25-226+1)/$NU$25,$NN$25/$NT$25)),0)</f>
        <v/>
      </c>
      <c r="HW25" s="228">
        <f>IF(AND(227&gt;=$NR$25,227&lt;=$NS$25),IF($NP$25="Single_Point",IF(227=$NR$25,$NN$25,0),IF($NP$25="Bell_Curve",$NN$25*(227-$NR$25+1)*($NS$25-227+1)/$NU$25,$NN$25/$NT$25)),0)</f>
        <v/>
      </c>
      <c r="HX25" s="228">
        <f>IF(AND(228&gt;=$NR$25,228&lt;=$NS$25),IF($NP$25="Single_Point",IF(228=$NR$25,$NN$25,0),IF($NP$25="Bell_Curve",$NN$25*(228-$NR$25+1)*($NS$25-228+1)/$NU$25,$NN$25/$NT$25)),0)</f>
        <v/>
      </c>
      <c r="HY25" s="228">
        <f>IF(AND(229&gt;=$NR$25,229&lt;=$NS$25),IF($NP$25="Single_Point",IF(229=$NR$25,$NN$25,0),IF($NP$25="Bell_Curve",$NN$25*(229-$NR$25+1)*($NS$25-229+1)/$NU$25,$NN$25/$NT$25)),0)</f>
        <v/>
      </c>
      <c r="HZ25" s="228">
        <f>IF(AND(230&gt;=$NR$25,230&lt;=$NS$25),IF($NP$25="Single_Point",IF(230=$NR$25,$NN$25,0),IF($NP$25="Bell_Curve",$NN$25*(230-$NR$25+1)*($NS$25-230+1)/$NU$25,$NN$25/$NT$25)),0)</f>
        <v/>
      </c>
      <c r="IA25" s="228">
        <f>IF(AND(231&gt;=$NR$25,231&lt;=$NS$25),IF($NP$25="Single_Point",IF(231=$NR$25,$NN$25,0),IF($NP$25="Bell_Curve",$NN$25*(231-$NR$25+1)*($NS$25-231+1)/$NU$25,$NN$25/$NT$25)),0)</f>
        <v/>
      </c>
      <c r="IB25" s="228">
        <f>IF(AND(232&gt;=$NR$25,232&lt;=$NS$25),IF($NP$25="Single_Point",IF(232=$NR$25,$NN$25,0),IF($NP$25="Bell_Curve",$NN$25*(232-$NR$25+1)*($NS$25-232+1)/$NU$25,$NN$25/$NT$25)),0)</f>
        <v/>
      </c>
      <c r="IC25" s="228">
        <f>IF(AND(233&gt;=$NR$25,233&lt;=$NS$25),IF($NP$25="Single_Point",IF(233=$NR$25,$NN$25,0),IF($NP$25="Bell_Curve",$NN$25*(233-$NR$25+1)*($NS$25-233+1)/$NU$25,$NN$25/$NT$25)),0)</f>
        <v/>
      </c>
      <c r="ID25" s="228">
        <f>IF(AND(234&gt;=$NR$25,234&lt;=$NS$25),IF($NP$25="Single_Point",IF(234=$NR$25,$NN$25,0),IF($NP$25="Bell_Curve",$NN$25*(234-$NR$25+1)*($NS$25-234+1)/$NU$25,$NN$25/$NT$25)),0)</f>
        <v/>
      </c>
      <c r="IE25" s="228">
        <f>IF(AND(235&gt;=$NR$25,235&lt;=$NS$25),IF($NP$25="Single_Point",IF(235=$NR$25,$NN$25,0),IF($NP$25="Bell_Curve",$NN$25*(235-$NR$25+1)*($NS$25-235+1)/$NU$25,$NN$25/$NT$25)),0)</f>
        <v/>
      </c>
      <c r="IF25" s="228">
        <f>IF(AND(236&gt;=$NR$25,236&lt;=$NS$25),IF($NP$25="Single_Point",IF(236=$NR$25,$NN$25,0),IF($NP$25="Bell_Curve",$NN$25*(236-$NR$25+1)*($NS$25-236+1)/$NU$25,$NN$25/$NT$25)),0)</f>
        <v/>
      </c>
      <c r="IG25" s="228">
        <f>IF(AND(237&gt;=$NR$25,237&lt;=$NS$25),IF($NP$25="Single_Point",IF(237=$NR$25,$NN$25,0),IF($NP$25="Bell_Curve",$NN$25*(237-$NR$25+1)*($NS$25-237+1)/$NU$25,$NN$25/$NT$25)),0)</f>
        <v/>
      </c>
      <c r="IH25" s="228">
        <f>IF(AND(238&gt;=$NR$25,238&lt;=$NS$25),IF($NP$25="Single_Point",IF(238=$NR$25,$NN$25,0),IF($NP$25="Bell_Curve",$NN$25*(238-$NR$25+1)*($NS$25-238+1)/$NU$25,$NN$25/$NT$25)),0)</f>
        <v/>
      </c>
      <c r="II25" s="228">
        <f>IF(AND(239&gt;=$NR$25,239&lt;=$NS$25),IF($NP$25="Single_Point",IF(239=$NR$25,$NN$25,0),IF($NP$25="Bell_Curve",$NN$25*(239-$NR$25+1)*($NS$25-239+1)/$NU$25,$NN$25/$NT$25)),0)</f>
        <v/>
      </c>
      <c r="IJ25" s="228">
        <f>IF(AND(240&gt;=$NR$25,240&lt;=$NS$25),IF($NP$25="Single_Point",IF(240=$NR$25,$NN$25,0),IF($NP$25="Bell_Curve",$NN$25*(240-$NR$25+1)*($NS$25-240+1)/$NU$25,$NN$25/$NT$25)),0)</f>
        <v/>
      </c>
      <c r="IK25" s="228">
        <f>IF(AND(241&gt;=$NR$25,241&lt;=$NS$25),IF($NP$25="Single_Point",IF(241=$NR$25,$NN$25,0),IF($NP$25="Bell_Curve",$NN$25*(241-$NR$25+1)*($NS$25-241+1)/$NU$25,$NN$25/$NT$25)),0)</f>
        <v/>
      </c>
      <c r="IL25" s="228">
        <f>IF(AND(242&gt;=$NR$25,242&lt;=$NS$25),IF($NP$25="Single_Point",IF(242=$NR$25,$NN$25,0),IF($NP$25="Bell_Curve",$NN$25*(242-$NR$25+1)*($NS$25-242+1)/$NU$25,$NN$25/$NT$25)),0)</f>
        <v/>
      </c>
      <c r="IM25" s="228">
        <f>IF(AND(243&gt;=$NR$25,243&lt;=$NS$25),IF($NP$25="Single_Point",IF(243=$NR$25,$NN$25,0),IF($NP$25="Bell_Curve",$NN$25*(243-$NR$25+1)*($NS$25-243+1)/$NU$25,$NN$25/$NT$25)),0)</f>
        <v/>
      </c>
      <c r="IN25" s="228">
        <f>IF(AND(244&gt;=$NR$25,244&lt;=$NS$25),IF($NP$25="Single_Point",IF(244=$NR$25,$NN$25,0),IF($NP$25="Bell_Curve",$NN$25*(244-$NR$25+1)*($NS$25-244+1)/$NU$25,$NN$25/$NT$25)),0)</f>
        <v/>
      </c>
      <c r="IO25" s="228">
        <f>IF(AND(245&gt;=$NR$25,245&lt;=$NS$25),IF($NP$25="Single_Point",IF(245=$NR$25,$NN$25,0),IF($NP$25="Bell_Curve",$NN$25*(245-$NR$25+1)*($NS$25-245+1)/$NU$25,$NN$25/$NT$25)),0)</f>
        <v/>
      </c>
      <c r="IP25" s="228">
        <f>IF(AND(246&gt;=$NR$25,246&lt;=$NS$25),IF($NP$25="Single_Point",IF(246=$NR$25,$NN$25,0),IF($NP$25="Bell_Curve",$NN$25*(246-$NR$25+1)*($NS$25-246+1)/$NU$25,$NN$25/$NT$25)),0)</f>
        <v/>
      </c>
      <c r="IQ25" s="228">
        <f>IF(AND(247&gt;=$NR$25,247&lt;=$NS$25),IF($NP$25="Single_Point",IF(247=$NR$25,$NN$25,0),IF($NP$25="Bell_Curve",$NN$25*(247-$NR$25+1)*($NS$25-247+1)/$NU$25,$NN$25/$NT$25)),0)</f>
        <v/>
      </c>
      <c r="IR25" s="228">
        <f>IF(AND(248&gt;=$NR$25,248&lt;=$NS$25),IF($NP$25="Single_Point",IF(248=$NR$25,$NN$25,0),IF($NP$25="Bell_Curve",$NN$25*(248-$NR$25+1)*($NS$25-248+1)/$NU$25,$NN$25/$NT$25)),0)</f>
        <v/>
      </c>
      <c r="IS25" s="228">
        <f>IF(AND(249&gt;=$NR$25,249&lt;=$NS$25),IF($NP$25="Single_Point",IF(249=$NR$25,$NN$25,0),IF($NP$25="Bell_Curve",$NN$25*(249-$NR$25+1)*($NS$25-249+1)/$NU$25,$NN$25/$NT$25)),0)</f>
        <v/>
      </c>
      <c r="IT25" s="228">
        <f>IF(AND(250&gt;=$NR$25,250&lt;=$NS$25),IF($NP$25="Single_Point",IF(250=$NR$25,$NN$25,0),IF($NP$25="Bell_Curve",$NN$25*(250-$NR$25+1)*($NS$25-250+1)/$NU$25,$NN$25/$NT$25)),0)</f>
        <v/>
      </c>
      <c r="IU25" s="228">
        <f>IF(AND(251&gt;=$NR$25,251&lt;=$NS$25),IF($NP$25="Single_Point",IF(251=$NR$25,$NN$25,0),IF($NP$25="Bell_Curve",$NN$25*(251-$NR$25+1)*($NS$25-251+1)/$NU$25,$NN$25/$NT$25)),0)</f>
        <v/>
      </c>
      <c r="IV25" s="228">
        <f>IF(AND(252&gt;=$NR$25,252&lt;=$NS$25),IF($NP$25="Single_Point",IF(252=$NR$25,$NN$25,0),IF($NP$25="Bell_Curve",$NN$25*(252-$NR$25+1)*($NS$25-252+1)/$NU$25,$NN$25/$NT$25)),0)</f>
        <v/>
      </c>
      <c r="IW25" s="228">
        <f>IF(AND(253&gt;=$NR$25,253&lt;=$NS$25),IF($NP$25="Single_Point",IF(253=$NR$25,$NN$25,0),IF($NP$25="Bell_Curve",$NN$25*(253-$NR$25+1)*($NS$25-253+1)/$NU$25,$NN$25/$NT$25)),0)</f>
        <v/>
      </c>
      <c r="IX25" s="228">
        <f>IF(AND(254&gt;=$NR$25,254&lt;=$NS$25),IF($NP$25="Single_Point",IF(254=$NR$25,$NN$25,0),IF($NP$25="Bell_Curve",$NN$25*(254-$NR$25+1)*($NS$25-254+1)/$NU$25,$NN$25/$NT$25)),0)</f>
        <v/>
      </c>
      <c r="IY25" s="228">
        <f>IF(AND(255&gt;=$NR$25,255&lt;=$NS$25),IF($NP$25="Single_Point",IF(255=$NR$25,$NN$25,0),IF($NP$25="Bell_Curve",$NN$25*(255-$NR$25+1)*($NS$25-255+1)/$NU$25,$NN$25/$NT$25)),0)</f>
        <v/>
      </c>
      <c r="IZ25" s="228">
        <f>IF(AND(256&gt;=$NR$25,256&lt;=$NS$25),IF($NP$25="Single_Point",IF(256=$NR$25,$NN$25,0),IF($NP$25="Bell_Curve",$NN$25*(256-$NR$25+1)*($NS$25-256+1)/$NU$25,$NN$25/$NT$25)),0)</f>
        <v/>
      </c>
      <c r="JA25" s="228">
        <f>IF(AND(257&gt;=$NR$25,257&lt;=$NS$25),IF($NP$25="Single_Point",IF(257=$NR$25,$NN$25,0),IF($NP$25="Bell_Curve",$NN$25*(257-$NR$25+1)*($NS$25-257+1)/$NU$25,$NN$25/$NT$25)),0)</f>
        <v/>
      </c>
      <c r="JB25" s="228">
        <f>IF(AND(258&gt;=$NR$25,258&lt;=$NS$25),IF($NP$25="Single_Point",IF(258=$NR$25,$NN$25,0),IF($NP$25="Bell_Curve",$NN$25*(258-$NR$25+1)*($NS$25-258+1)/$NU$25,$NN$25/$NT$25)),0)</f>
        <v/>
      </c>
      <c r="JC25" s="228">
        <f>IF(AND(259&gt;=$NR$25,259&lt;=$NS$25),IF($NP$25="Single_Point",IF(259=$NR$25,$NN$25,0),IF($NP$25="Bell_Curve",$NN$25*(259-$NR$25+1)*($NS$25-259+1)/$NU$25,$NN$25/$NT$25)),0)</f>
        <v/>
      </c>
      <c r="JD25" s="228">
        <f>IF(AND(260&gt;=$NR$25,260&lt;=$NS$25),IF($NP$25="Single_Point",IF(260=$NR$25,$NN$25,0),IF($NP$25="Bell_Curve",$NN$25*(260-$NR$25+1)*($NS$25-260+1)/$NU$25,$NN$25/$NT$25)),0)</f>
        <v/>
      </c>
      <c r="JE25" s="228">
        <f>IF(AND(261&gt;=$NR$25,261&lt;=$NS$25),IF($NP$25="Single_Point",IF(261=$NR$25,$NN$25,0),IF($NP$25="Bell_Curve",$NN$25*(261-$NR$25+1)*($NS$25-261+1)/$NU$25,$NN$25/$NT$25)),0)</f>
        <v/>
      </c>
      <c r="JF25" s="228">
        <f>IF(AND(262&gt;=$NR$25,262&lt;=$NS$25),IF($NP$25="Single_Point",IF(262=$NR$25,$NN$25,0),IF($NP$25="Bell_Curve",$NN$25*(262-$NR$25+1)*($NS$25-262+1)/$NU$25,$NN$25/$NT$25)),0)</f>
        <v/>
      </c>
      <c r="JG25" s="228">
        <f>IF(AND(263&gt;=$NR$25,263&lt;=$NS$25),IF($NP$25="Single_Point",IF(263=$NR$25,$NN$25,0),IF($NP$25="Bell_Curve",$NN$25*(263-$NR$25+1)*($NS$25-263+1)/$NU$25,$NN$25/$NT$25)),0)</f>
        <v/>
      </c>
      <c r="JH25" s="228">
        <f>IF(AND(264&gt;=$NR$25,264&lt;=$NS$25),IF($NP$25="Single_Point",IF(264=$NR$25,$NN$25,0),IF($NP$25="Bell_Curve",$NN$25*(264-$NR$25+1)*($NS$25-264+1)/$NU$25,$NN$25/$NT$25)),0)</f>
        <v/>
      </c>
      <c r="JI25" s="228">
        <f>IF(AND(265&gt;=$NR$25,265&lt;=$NS$25),IF($NP$25="Single_Point",IF(265=$NR$25,$NN$25,0),IF($NP$25="Bell_Curve",$NN$25*(265-$NR$25+1)*($NS$25-265+1)/$NU$25,$NN$25/$NT$25)),0)</f>
        <v/>
      </c>
      <c r="JJ25" s="228">
        <f>IF(AND(266&gt;=$NR$25,266&lt;=$NS$25),IF($NP$25="Single_Point",IF(266=$NR$25,$NN$25,0),IF($NP$25="Bell_Curve",$NN$25*(266-$NR$25+1)*($NS$25-266+1)/$NU$25,$NN$25/$NT$25)),0)</f>
        <v/>
      </c>
      <c r="JK25" s="228">
        <f>IF(AND(267&gt;=$NR$25,267&lt;=$NS$25),IF($NP$25="Single_Point",IF(267=$NR$25,$NN$25,0),IF($NP$25="Bell_Curve",$NN$25*(267-$NR$25+1)*($NS$25-267+1)/$NU$25,$NN$25/$NT$25)),0)</f>
        <v/>
      </c>
      <c r="JL25" s="228">
        <f>IF(AND(268&gt;=$NR$25,268&lt;=$NS$25),IF($NP$25="Single_Point",IF(268=$NR$25,$NN$25,0),IF($NP$25="Bell_Curve",$NN$25*(268-$NR$25+1)*($NS$25-268+1)/$NU$25,$NN$25/$NT$25)),0)</f>
        <v/>
      </c>
      <c r="JM25" s="228">
        <f>IF(AND(269&gt;=$NR$25,269&lt;=$NS$25),IF($NP$25="Single_Point",IF(269=$NR$25,$NN$25,0),IF($NP$25="Bell_Curve",$NN$25*(269-$NR$25+1)*($NS$25-269+1)/$NU$25,$NN$25/$NT$25)),0)</f>
        <v/>
      </c>
      <c r="JN25" s="228">
        <f>IF(AND(270&gt;=$NR$25,270&lt;=$NS$25),IF($NP$25="Single_Point",IF(270=$NR$25,$NN$25,0),IF($NP$25="Bell_Curve",$NN$25*(270-$NR$25+1)*($NS$25-270+1)/$NU$25,$NN$25/$NT$25)),0)</f>
        <v/>
      </c>
      <c r="JO25" s="228">
        <f>IF(AND(271&gt;=$NR$25,271&lt;=$NS$25),IF($NP$25="Single_Point",IF(271=$NR$25,$NN$25,0),IF($NP$25="Bell_Curve",$NN$25*(271-$NR$25+1)*($NS$25-271+1)/$NU$25,$NN$25/$NT$25)),0)</f>
        <v/>
      </c>
      <c r="JP25" s="228">
        <f>IF(AND(272&gt;=$NR$25,272&lt;=$NS$25),IF($NP$25="Single_Point",IF(272=$NR$25,$NN$25,0),IF($NP$25="Bell_Curve",$NN$25*(272-$NR$25+1)*($NS$25-272+1)/$NU$25,$NN$25/$NT$25)),0)</f>
        <v/>
      </c>
      <c r="JQ25" s="228">
        <f>IF(AND(273&gt;=$NR$25,273&lt;=$NS$25),IF($NP$25="Single_Point",IF(273=$NR$25,$NN$25,0),IF($NP$25="Bell_Curve",$NN$25*(273-$NR$25+1)*($NS$25-273+1)/$NU$25,$NN$25/$NT$25)),0)</f>
        <v/>
      </c>
      <c r="JR25" s="228">
        <f>IF(AND(274&gt;=$NR$25,274&lt;=$NS$25),IF($NP$25="Single_Point",IF(274=$NR$25,$NN$25,0),IF($NP$25="Bell_Curve",$NN$25*(274-$NR$25+1)*($NS$25-274+1)/$NU$25,$NN$25/$NT$25)),0)</f>
        <v/>
      </c>
      <c r="JS25" s="228">
        <f>IF(AND(275&gt;=$NR$25,275&lt;=$NS$25),IF($NP$25="Single_Point",IF(275=$NR$25,$NN$25,0),IF($NP$25="Bell_Curve",$NN$25*(275-$NR$25+1)*($NS$25-275+1)/$NU$25,$NN$25/$NT$25)),0)</f>
        <v/>
      </c>
      <c r="JT25" s="228">
        <f>IF(AND(276&gt;=$NR$25,276&lt;=$NS$25),IF($NP$25="Single_Point",IF(276=$NR$25,$NN$25,0),IF($NP$25="Bell_Curve",$NN$25*(276-$NR$25+1)*($NS$25-276+1)/$NU$25,$NN$25/$NT$25)),0)</f>
        <v/>
      </c>
      <c r="JU25" s="228">
        <f>IF(AND(277&gt;=$NR$25,277&lt;=$NS$25),IF($NP$25="Single_Point",IF(277=$NR$25,$NN$25,0),IF($NP$25="Bell_Curve",$NN$25*(277-$NR$25+1)*($NS$25-277+1)/$NU$25,$NN$25/$NT$25)),0)</f>
        <v/>
      </c>
      <c r="JV25" s="228">
        <f>IF(AND(278&gt;=$NR$25,278&lt;=$NS$25),IF($NP$25="Single_Point",IF(278=$NR$25,$NN$25,0),IF($NP$25="Bell_Curve",$NN$25*(278-$NR$25+1)*($NS$25-278+1)/$NU$25,$NN$25/$NT$25)),0)</f>
        <v/>
      </c>
      <c r="JW25" s="228">
        <f>IF(AND(279&gt;=$NR$25,279&lt;=$NS$25),IF($NP$25="Single_Point",IF(279=$NR$25,$NN$25,0),IF($NP$25="Bell_Curve",$NN$25*(279-$NR$25+1)*($NS$25-279+1)/$NU$25,$NN$25/$NT$25)),0)</f>
        <v/>
      </c>
      <c r="JX25" s="228">
        <f>IF(AND(280&gt;=$NR$25,280&lt;=$NS$25),IF($NP$25="Single_Point",IF(280=$NR$25,$NN$25,0),IF($NP$25="Bell_Curve",$NN$25*(280-$NR$25+1)*($NS$25-280+1)/$NU$25,$NN$25/$NT$25)),0)</f>
        <v/>
      </c>
      <c r="JY25" s="228">
        <f>IF(AND(281&gt;=$NR$25,281&lt;=$NS$25),IF($NP$25="Single_Point",IF(281=$NR$25,$NN$25,0),IF($NP$25="Bell_Curve",$NN$25*(281-$NR$25+1)*($NS$25-281+1)/$NU$25,$NN$25/$NT$25)),0)</f>
        <v/>
      </c>
      <c r="JZ25" s="228">
        <f>IF(AND(282&gt;=$NR$25,282&lt;=$NS$25),IF($NP$25="Single_Point",IF(282=$NR$25,$NN$25,0),IF($NP$25="Bell_Curve",$NN$25*(282-$NR$25+1)*($NS$25-282+1)/$NU$25,$NN$25/$NT$25)),0)</f>
        <v/>
      </c>
      <c r="KA25" s="228">
        <f>IF(AND(283&gt;=$NR$25,283&lt;=$NS$25),IF($NP$25="Single_Point",IF(283=$NR$25,$NN$25,0),IF($NP$25="Bell_Curve",$NN$25*(283-$NR$25+1)*($NS$25-283+1)/$NU$25,$NN$25/$NT$25)),0)</f>
        <v/>
      </c>
      <c r="KB25" s="228">
        <f>IF(AND(284&gt;=$NR$25,284&lt;=$NS$25),IF($NP$25="Single_Point",IF(284=$NR$25,$NN$25,0),IF($NP$25="Bell_Curve",$NN$25*(284-$NR$25+1)*($NS$25-284+1)/$NU$25,$NN$25/$NT$25)),0)</f>
        <v/>
      </c>
      <c r="KC25" s="228">
        <f>IF(AND(285&gt;=$NR$25,285&lt;=$NS$25),IF($NP$25="Single_Point",IF(285=$NR$25,$NN$25,0),IF($NP$25="Bell_Curve",$NN$25*(285-$NR$25+1)*($NS$25-285+1)/$NU$25,$NN$25/$NT$25)),0)</f>
        <v/>
      </c>
      <c r="KD25" s="228">
        <f>IF(AND(286&gt;=$NR$25,286&lt;=$NS$25),IF($NP$25="Single_Point",IF(286=$NR$25,$NN$25,0),IF($NP$25="Bell_Curve",$NN$25*(286-$NR$25+1)*($NS$25-286+1)/$NU$25,$NN$25/$NT$25)),0)</f>
        <v/>
      </c>
      <c r="KE25" s="228">
        <f>IF(AND(287&gt;=$NR$25,287&lt;=$NS$25),IF($NP$25="Single_Point",IF(287=$NR$25,$NN$25,0),IF($NP$25="Bell_Curve",$NN$25*(287-$NR$25+1)*($NS$25-287+1)/$NU$25,$NN$25/$NT$25)),0)</f>
        <v/>
      </c>
      <c r="KF25" s="228">
        <f>IF(AND(288&gt;=$NR$25,288&lt;=$NS$25),IF($NP$25="Single_Point",IF(288=$NR$25,$NN$25,0),IF($NP$25="Bell_Curve",$NN$25*(288-$NR$25+1)*($NS$25-288+1)/$NU$25,$NN$25/$NT$25)),0)</f>
        <v/>
      </c>
      <c r="KG25" s="228">
        <f>IF(AND(289&gt;=$NR$25,289&lt;=$NS$25),IF($NP$25="Single_Point",IF(289=$NR$25,$NN$25,0),IF($NP$25="Bell_Curve",$NN$25*(289-$NR$25+1)*($NS$25-289+1)/$NU$25,$NN$25/$NT$25)),0)</f>
        <v/>
      </c>
      <c r="KH25" s="228">
        <f>IF(AND(290&gt;=$NR$25,290&lt;=$NS$25),IF($NP$25="Single_Point",IF(290=$NR$25,$NN$25,0),IF($NP$25="Bell_Curve",$NN$25*(290-$NR$25+1)*($NS$25-290+1)/$NU$25,$NN$25/$NT$25)),0)</f>
        <v/>
      </c>
      <c r="KI25" s="228">
        <f>IF(AND(291&gt;=$NR$25,291&lt;=$NS$25),IF($NP$25="Single_Point",IF(291=$NR$25,$NN$25,0),IF($NP$25="Bell_Curve",$NN$25*(291-$NR$25+1)*($NS$25-291+1)/$NU$25,$NN$25/$NT$25)),0)</f>
        <v/>
      </c>
      <c r="KJ25" s="228">
        <f>IF(AND(292&gt;=$NR$25,292&lt;=$NS$25),IF($NP$25="Single_Point",IF(292=$NR$25,$NN$25,0),IF($NP$25="Bell_Curve",$NN$25*(292-$NR$25+1)*($NS$25-292+1)/$NU$25,$NN$25/$NT$25)),0)</f>
        <v/>
      </c>
      <c r="KK25" s="228">
        <f>IF(AND(293&gt;=$NR$25,293&lt;=$NS$25),IF($NP$25="Single_Point",IF(293=$NR$25,$NN$25,0),IF($NP$25="Bell_Curve",$NN$25*(293-$NR$25+1)*($NS$25-293+1)/$NU$25,$NN$25/$NT$25)),0)</f>
        <v/>
      </c>
      <c r="KL25" s="228">
        <f>IF(AND(294&gt;=$NR$25,294&lt;=$NS$25),IF($NP$25="Single_Point",IF(294=$NR$25,$NN$25,0),IF($NP$25="Bell_Curve",$NN$25*(294-$NR$25+1)*($NS$25-294+1)/$NU$25,$NN$25/$NT$25)),0)</f>
        <v/>
      </c>
      <c r="KM25" s="228">
        <f>IF(AND(295&gt;=$NR$25,295&lt;=$NS$25),IF($NP$25="Single_Point",IF(295=$NR$25,$NN$25,0),IF($NP$25="Bell_Curve",$NN$25*(295-$NR$25+1)*($NS$25-295+1)/$NU$25,$NN$25/$NT$25)),0)</f>
        <v/>
      </c>
      <c r="KN25" s="228">
        <f>IF(AND(296&gt;=$NR$25,296&lt;=$NS$25),IF($NP$25="Single_Point",IF(296=$NR$25,$NN$25,0),IF($NP$25="Bell_Curve",$NN$25*(296-$NR$25+1)*($NS$25-296+1)/$NU$25,$NN$25/$NT$25)),0)</f>
        <v/>
      </c>
      <c r="KO25" s="228">
        <f>IF(AND(297&gt;=$NR$25,297&lt;=$NS$25),IF($NP$25="Single_Point",IF(297=$NR$25,$NN$25,0),IF($NP$25="Bell_Curve",$NN$25*(297-$NR$25+1)*($NS$25-297+1)/$NU$25,$NN$25/$NT$25)),0)</f>
        <v/>
      </c>
      <c r="KP25" s="228">
        <f>IF(AND(298&gt;=$NR$25,298&lt;=$NS$25),IF($NP$25="Single_Point",IF(298=$NR$25,$NN$25,0),IF($NP$25="Bell_Curve",$NN$25*(298-$NR$25+1)*($NS$25-298+1)/$NU$25,$NN$25/$NT$25)),0)</f>
        <v/>
      </c>
      <c r="KQ25" s="228">
        <f>IF(AND(299&gt;=$NR$25,299&lt;=$NS$25),IF($NP$25="Single_Point",IF(299=$NR$25,$NN$25,0),IF($NP$25="Bell_Curve",$NN$25*(299-$NR$25+1)*($NS$25-299+1)/$NU$25,$NN$25/$NT$25)),0)</f>
        <v/>
      </c>
      <c r="KR25" s="228">
        <f>IF(AND(300&gt;=$NR$25,300&lt;=$NS$25),IF($NP$25="Single_Point",IF(300=$NR$25,$NN$25,0),IF($NP$25="Bell_Curve",$NN$25*(300-$NR$25+1)*($NS$25-300+1)/$NU$25,$NN$25/$NT$25)),0)</f>
        <v/>
      </c>
      <c r="KS25" s="228">
        <f>IF(AND(301&gt;=$NR$25,301&lt;=$NS$25),IF($NP$25="Single_Point",IF(301=$NR$25,$NN$25,0),IF($NP$25="Bell_Curve",$NN$25*(301-$NR$25+1)*($NS$25-301+1)/$NU$25,$NN$25/$NT$25)),0)</f>
        <v/>
      </c>
      <c r="KT25" s="228">
        <f>IF(AND(302&gt;=$NR$25,302&lt;=$NS$25),IF($NP$25="Single_Point",IF(302=$NR$25,$NN$25,0),IF($NP$25="Bell_Curve",$NN$25*(302-$NR$25+1)*($NS$25-302+1)/$NU$25,$NN$25/$NT$25)),0)</f>
        <v/>
      </c>
      <c r="KU25" s="228">
        <f>IF(AND(303&gt;=$NR$25,303&lt;=$NS$25),IF($NP$25="Single_Point",IF(303=$NR$25,$NN$25,0),IF($NP$25="Bell_Curve",$NN$25*(303-$NR$25+1)*($NS$25-303+1)/$NU$25,$NN$25/$NT$25)),0)</f>
        <v/>
      </c>
      <c r="KV25" s="228">
        <f>IF(AND(304&gt;=$NR$25,304&lt;=$NS$25),IF($NP$25="Single_Point",IF(304=$NR$25,$NN$25,0),IF($NP$25="Bell_Curve",$NN$25*(304-$NR$25+1)*($NS$25-304+1)/$NU$25,$NN$25/$NT$25)),0)</f>
        <v/>
      </c>
      <c r="KW25" s="228">
        <f>IF(AND(305&gt;=$NR$25,305&lt;=$NS$25),IF($NP$25="Single_Point",IF(305=$NR$25,$NN$25,0),IF($NP$25="Bell_Curve",$NN$25*(305-$NR$25+1)*($NS$25-305+1)/$NU$25,$NN$25/$NT$25)),0)</f>
        <v/>
      </c>
      <c r="KX25" s="228">
        <f>IF(AND(306&gt;=$NR$25,306&lt;=$NS$25),IF($NP$25="Single_Point",IF(306=$NR$25,$NN$25,0),IF($NP$25="Bell_Curve",$NN$25*(306-$NR$25+1)*($NS$25-306+1)/$NU$25,$NN$25/$NT$25)),0)</f>
        <v/>
      </c>
      <c r="KY25" s="228">
        <f>IF(AND(307&gt;=$NR$25,307&lt;=$NS$25),IF($NP$25="Single_Point",IF(307=$NR$25,$NN$25,0),IF($NP$25="Bell_Curve",$NN$25*(307-$NR$25+1)*($NS$25-307+1)/$NU$25,$NN$25/$NT$25)),0)</f>
        <v/>
      </c>
      <c r="KZ25" s="228">
        <f>IF(AND(308&gt;=$NR$25,308&lt;=$NS$25),IF($NP$25="Single_Point",IF(308=$NR$25,$NN$25,0),IF($NP$25="Bell_Curve",$NN$25*(308-$NR$25+1)*($NS$25-308+1)/$NU$25,$NN$25/$NT$25)),0)</f>
        <v/>
      </c>
      <c r="LA25" s="228">
        <f>IF(AND(309&gt;=$NR$25,309&lt;=$NS$25),IF($NP$25="Single_Point",IF(309=$NR$25,$NN$25,0),IF($NP$25="Bell_Curve",$NN$25*(309-$NR$25+1)*($NS$25-309+1)/$NU$25,$NN$25/$NT$25)),0)</f>
        <v/>
      </c>
      <c r="LB25" s="228">
        <f>IF(AND(310&gt;=$NR$25,310&lt;=$NS$25),IF($NP$25="Single_Point",IF(310=$NR$25,$NN$25,0),IF($NP$25="Bell_Curve",$NN$25*(310-$NR$25+1)*($NS$25-310+1)/$NU$25,$NN$25/$NT$25)),0)</f>
        <v/>
      </c>
      <c r="LC25" s="228">
        <f>IF(AND(311&gt;=$NR$25,311&lt;=$NS$25),IF($NP$25="Single_Point",IF(311=$NR$25,$NN$25,0),IF($NP$25="Bell_Curve",$NN$25*(311-$NR$25+1)*($NS$25-311+1)/$NU$25,$NN$25/$NT$25)),0)</f>
        <v/>
      </c>
      <c r="LD25" s="228">
        <f>IF(AND(312&gt;=$NR$25,312&lt;=$NS$25),IF($NP$25="Single_Point",IF(312=$NR$25,$NN$25,0),IF($NP$25="Bell_Curve",$NN$25*(312-$NR$25+1)*($NS$25-312+1)/$NU$25,$NN$25/$NT$25)),0)</f>
        <v/>
      </c>
      <c r="LE25" s="228">
        <f>IF(AND(313&gt;=$NR$25,313&lt;=$NS$25),IF($NP$25="Single_Point",IF(313=$NR$25,$NN$25,0),IF($NP$25="Bell_Curve",$NN$25*(313-$NR$25+1)*($NS$25-313+1)/$NU$25,$NN$25/$NT$25)),0)</f>
        <v/>
      </c>
      <c r="LF25" s="228">
        <f>IF(AND(314&gt;=$NR$25,314&lt;=$NS$25),IF($NP$25="Single_Point",IF(314=$NR$25,$NN$25,0),IF($NP$25="Bell_Curve",$NN$25*(314-$NR$25+1)*($NS$25-314+1)/$NU$25,$NN$25/$NT$25)),0)</f>
        <v/>
      </c>
      <c r="LG25" s="228">
        <f>IF(AND(315&gt;=$NR$25,315&lt;=$NS$25),IF($NP$25="Single_Point",IF(315=$NR$25,$NN$25,0),IF($NP$25="Bell_Curve",$NN$25*(315-$NR$25+1)*($NS$25-315+1)/$NU$25,$NN$25/$NT$25)),0)</f>
        <v/>
      </c>
      <c r="LH25" s="228">
        <f>IF(AND(316&gt;=$NR$25,316&lt;=$NS$25),IF($NP$25="Single_Point",IF(316=$NR$25,$NN$25,0),IF($NP$25="Bell_Curve",$NN$25*(316-$NR$25+1)*($NS$25-316+1)/$NU$25,$NN$25/$NT$25)),0)</f>
        <v/>
      </c>
      <c r="LI25" s="228">
        <f>IF(AND(317&gt;=$NR$25,317&lt;=$NS$25),IF($NP$25="Single_Point",IF(317=$NR$25,$NN$25,0),IF($NP$25="Bell_Curve",$NN$25*(317-$NR$25+1)*($NS$25-317+1)/$NU$25,$NN$25/$NT$25)),0)</f>
        <v/>
      </c>
      <c r="LJ25" s="228">
        <f>IF(AND(318&gt;=$NR$25,318&lt;=$NS$25),IF($NP$25="Single_Point",IF(318=$NR$25,$NN$25,0),IF($NP$25="Bell_Curve",$NN$25*(318-$NR$25+1)*($NS$25-318+1)/$NU$25,$NN$25/$NT$25)),0)</f>
        <v/>
      </c>
      <c r="LK25" s="228">
        <f>IF(AND(319&gt;=$NR$25,319&lt;=$NS$25),IF($NP$25="Single_Point",IF(319=$NR$25,$NN$25,0),IF($NP$25="Bell_Curve",$NN$25*(319-$NR$25+1)*($NS$25-319+1)/$NU$25,$NN$25/$NT$25)),0)</f>
        <v/>
      </c>
      <c r="LL25" s="228">
        <f>IF(AND(320&gt;=$NR$25,320&lt;=$NS$25),IF($NP$25="Single_Point",IF(320=$NR$25,$NN$25,0),IF($NP$25="Bell_Curve",$NN$25*(320-$NR$25+1)*($NS$25-320+1)/$NU$25,$NN$25/$NT$25)),0)</f>
        <v/>
      </c>
      <c r="LM25" s="228">
        <f>IF(AND(321&gt;=$NR$25,321&lt;=$NS$25),IF($NP$25="Single_Point",IF(321=$NR$25,$NN$25,0),IF($NP$25="Bell_Curve",$NN$25*(321-$NR$25+1)*($NS$25-321+1)/$NU$25,$NN$25/$NT$25)),0)</f>
        <v/>
      </c>
      <c r="LN25" s="228">
        <f>IF(AND(322&gt;=$NR$25,322&lt;=$NS$25),IF($NP$25="Single_Point",IF(322=$NR$25,$NN$25,0),IF($NP$25="Bell_Curve",$NN$25*(322-$NR$25+1)*($NS$25-322+1)/$NU$25,$NN$25/$NT$25)),0)</f>
        <v/>
      </c>
      <c r="LO25" s="228">
        <f>IF(AND(323&gt;=$NR$25,323&lt;=$NS$25),IF($NP$25="Single_Point",IF(323=$NR$25,$NN$25,0),IF($NP$25="Bell_Curve",$NN$25*(323-$NR$25+1)*($NS$25-323+1)/$NU$25,$NN$25/$NT$25)),0)</f>
        <v/>
      </c>
      <c r="LP25" s="228">
        <f>IF(AND(324&gt;=$NR$25,324&lt;=$NS$25),IF($NP$25="Single_Point",IF(324=$NR$25,$NN$25,0),IF($NP$25="Bell_Curve",$NN$25*(324-$NR$25+1)*($NS$25-324+1)/$NU$25,$NN$25/$NT$25)),0)</f>
        <v/>
      </c>
      <c r="LQ25" s="228">
        <f>IF(AND(325&gt;=$NR$25,325&lt;=$NS$25),IF($NP$25="Single_Point",IF(325=$NR$25,$NN$25,0),IF($NP$25="Bell_Curve",$NN$25*(325-$NR$25+1)*($NS$25-325+1)/$NU$25,$NN$25/$NT$25)),0)</f>
        <v/>
      </c>
      <c r="LR25" s="228">
        <f>IF(AND(326&gt;=$NR$25,326&lt;=$NS$25),IF($NP$25="Single_Point",IF(326=$NR$25,$NN$25,0),IF($NP$25="Bell_Curve",$NN$25*(326-$NR$25+1)*($NS$25-326+1)/$NU$25,$NN$25/$NT$25)),0)</f>
        <v/>
      </c>
      <c r="LS25" s="228">
        <f>IF(AND(327&gt;=$NR$25,327&lt;=$NS$25),IF($NP$25="Single_Point",IF(327=$NR$25,$NN$25,0),IF($NP$25="Bell_Curve",$NN$25*(327-$NR$25+1)*($NS$25-327+1)/$NU$25,$NN$25/$NT$25)),0)</f>
        <v/>
      </c>
      <c r="LT25" s="228">
        <f>IF(AND(328&gt;=$NR$25,328&lt;=$NS$25),IF($NP$25="Single_Point",IF(328=$NR$25,$NN$25,0),IF($NP$25="Bell_Curve",$NN$25*(328-$NR$25+1)*($NS$25-328+1)/$NU$25,$NN$25/$NT$25)),0)</f>
        <v/>
      </c>
      <c r="LU25" s="228">
        <f>IF(AND(329&gt;=$NR$25,329&lt;=$NS$25),IF($NP$25="Single_Point",IF(329=$NR$25,$NN$25,0),IF($NP$25="Bell_Curve",$NN$25*(329-$NR$25+1)*($NS$25-329+1)/$NU$25,$NN$25/$NT$25)),0)</f>
        <v/>
      </c>
      <c r="LV25" s="228">
        <f>IF(AND(330&gt;=$NR$25,330&lt;=$NS$25),IF($NP$25="Single_Point",IF(330=$NR$25,$NN$25,0),IF($NP$25="Bell_Curve",$NN$25*(330-$NR$25+1)*($NS$25-330+1)/$NU$25,$NN$25/$NT$25)),0)</f>
        <v/>
      </c>
      <c r="LW25" s="228">
        <f>IF(AND(331&gt;=$NR$25,331&lt;=$NS$25),IF($NP$25="Single_Point",IF(331=$NR$25,$NN$25,0),IF($NP$25="Bell_Curve",$NN$25*(331-$NR$25+1)*($NS$25-331+1)/$NU$25,$NN$25/$NT$25)),0)</f>
        <v/>
      </c>
      <c r="LX25" s="228">
        <f>IF(AND(332&gt;=$NR$25,332&lt;=$NS$25),IF($NP$25="Single_Point",IF(332=$NR$25,$NN$25,0),IF($NP$25="Bell_Curve",$NN$25*(332-$NR$25+1)*($NS$25-332+1)/$NU$25,$NN$25/$NT$25)),0)</f>
        <v/>
      </c>
      <c r="LY25" s="228">
        <f>IF(AND(333&gt;=$NR$25,333&lt;=$NS$25),IF($NP$25="Single_Point",IF(333=$NR$25,$NN$25,0),IF($NP$25="Bell_Curve",$NN$25*(333-$NR$25+1)*($NS$25-333+1)/$NU$25,$NN$25/$NT$25)),0)</f>
        <v/>
      </c>
      <c r="LZ25" s="228">
        <f>IF(AND(334&gt;=$NR$25,334&lt;=$NS$25),IF($NP$25="Single_Point",IF(334=$NR$25,$NN$25,0),IF($NP$25="Bell_Curve",$NN$25*(334-$NR$25+1)*($NS$25-334+1)/$NU$25,$NN$25/$NT$25)),0)</f>
        <v/>
      </c>
      <c r="MA25" s="228">
        <f>IF(AND(335&gt;=$NR$25,335&lt;=$NS$25),IF($NP$25="Single_Point",IF(335=$NR$25,$NN$25,0),IF($NP$25="Bell_Curve",$NN$25*(335-$NR$25+1)*($NS$25-335+1)/$NU$25,$NN$25/$NT$25)),0)</f>
        <v/>
      </c>
      <c r="MB25" s="228">
        <f>IF(AND(336&gt;=$NR$25,336&lt;=$NS$25),IF($NP$25="Single_Point",IF(336=$NR$25,$NN$25,0),IF($NP$25="Bell_Curve",$NN$25*(336-$NR$25+1)*($NS$25-336+1)/$NU$25,$NN$25/$NT$25)),0)</f>
        <v/>
      </c>
      <c r="MC25" s="228">
        <f>IF(AND(337&gt;=$NR$25,337&lt;=$NS$25),IF($NP$25="Single_Point",IF(337=$NR$25,$NN$25,0),IF($NP$25="Bell_Curve",$NN$25*(337-$NR$25+1)*($NS$25-337+1)/$NU$25,$NN$25/$NT$25)),0)</f>
        <v/>
      </c>
      <c r="MD25" s="228">
        <f>IF(AND(338&gt;=$NR$25,338&lt;=$NS$25),IF($NP$25="Single_Point",IF(338=$NR$25,$NN$25,0),IF($NP$25="Bell_Curve",$NN$25*(338-$NR$25+1)*($NS$25-338+1)/$NU$25,$NN$25/$NT$25)),0)</f>
        <v/>
      </c>
      <c r="ME25" s="228">
        <f>IF(AND(339&gt;=$NR$25,339&lt;=$NS$25),IF($NP$25="Single_Point",IF(339=$NR$25,$NN$25,0),IF($NP$25="Bell_Curve",$NN$25*(339-$NR$25+1)*($NS$25-339+1)/$NU$25,$NN$25/$NT$25)),0)</f>
        <v/>
      </c>
      <c r="MF25" s="228">
        <f>IF(AND(340&gt;=$NR$25,340&lt;=$NS$25),IF($NP$25="Single_Point",IF(340=$NR$25,$NN$25,0),IF($NP$25="Bell_Curve",$NN$25*(340-$NR$25+1)*($NS$25-340+1)/$NU$25,$NN$25/$NT$25)),0)</f>
        <v/>
      </c>
      <c r="MG25" s="228">
        <f>IF(AND(341&gt;=$NR$25,341&lt;=$NS$25),IF($NP$25="Single_Point",IF(341=$NR$25,$NN$25,0),IF($NP$25="Bell_Curve",$NN$25*(341-$NR$25+1)*($NS$25-341+1)/$NU$25,$NN$25/$NT$25)),0)</f>
        <v/>
      </c>
      <c r="MH25" s="228">
        <f>IF(AND(342&gt;=$NR$25,342&lt;=$NS$25),IF($NP$25="Single_Point",IF(342=$NR$25,$NN$25,0),IF($NP$25="Bell_Curve",$NN$25*(342-$NR$25+1)*($NS$25-342+1)/$NU$25,$NN$25/$NT$25)),0)</f>
        <v/>
      </c>
      <c r="MI25" s="228">
        <f>IF(AND(343&gt;=$NR$25,343&lt;=$NS$25),IF($NP$25="Single_Point",IF(343=$NR$25,$NN$25,0),IF($NP$25="Bell_Curve",$NN$25*(343-$NR$25+1)*($NS$25-343+1)/$NU$25,$NN$25/$NT$25)),0)</f>
        <v/>
      </c>
      <c r="MJ25" s="228">
        <f>IF(AND(344&gt;=$NR$25,344&lt;=$NS$25),IF($NP$25="Single_Point",IF(344=$NR$25,$NN$25,0),IF($NP$25="Bell_Curve",$NN$25*(344-$NR$25+1)*($NS$25-344+1)/$NU$25,$NN$25/$NT$25)),0)</f>
        <v/>
      </c>
      <c r="MK25" s="228">
        <f>IF(AND(345&gt;=$NR$25,345&lt;=$NS$25),IF($NP$25="Single_Point",IF(345=$NR$25,$NN$25,0),IF($NP$25="Bell_Curve",$NN$25*(345-$NR$25+1)*($NS$25-345+1)/$NU$25,$NN$25/$NT$25)),0)</f>
        <v/>
      </c>
      <c r="ML25" s="228">
        <f>IF(AND(346&gt;=$NR$25,346&lt;=$NS$25),IF($NP$25="Single_Point",IF(346=$NR$25,$NN$25,0),IF($NP$25="Bell_Curve",$NN$25*(346-$NR$25+1)*($NS$25-346+1)/$NU$25,$NN$25/$NT$25)),0)</f>
        <v/>
      </c>
      <c r="MM25" s="228">
        <f>IF(AND(347&gt;=$NR$25,347&lt;=$NS$25),IF($NP$25="Single_Point",IF(347=$NR$25,$NN$25,0),IF($NP$25="Bell_Curve",$NN$25*(347-$NR$25+1)*($NS$25-347+1)/$NU$25,$NN$25/$NT$25)),0)</f>
        <v/>
      </c>
      <c r="MN25" s="228">
        <f>IF(AND(348&gt;=$NR$25,348&lt;=$NS$25),IF($NP$25="Single_Point",IF(348=$NR$25,$NN$25,0),IF($NP$25="Bell_Curve",$NN$25*(348-$NR$25+1)*($NS$25-348+1)/$NU$25,$NN$25/$NT$25)),0)</f>
        <v/>
      </c>
      <c r="MO25" s="228">
        <f>IF(AND(349&gt;=$NR$25,349&lt;=$NS$25),IF($NP$25="Single_Point",IF(349=$NR$25,$NN$25,0),IF($NP$25="Bell_Curve",$NN$25*(349-$NR$25+1)*($NS$25-349+1)/$NU$25,$NN$25/$NT$25)),0)</f>
        <v/>
      </c>
      <c r="MP25" s="228">
        <f>IF(AND(350&gt;=$NR$25,350&lt;=$NS$25),IF($NP$25="Single_Point",IF(350=$NR$25,$NN$25,0),IF($NP$25="Bell_Curve",$NN$25*(350-$NR$25+1)*($NS$25-350+1)/$NU$25,$NN$25/$NT$25)),0)</f>
        <v/>
      </c>
      <c r="MQ25" s="228">
        <f>IF(AND(351&gt;=$NR$25,351&lt;=$NS$25),IF($NP$25="Single_Point",IF(351=$NR$25,$NN$25,0),IF($NP$25="Bell_Curve",$NN$25*(351-$NR$25+1)*($NS$25-351+1)/$NU$25,$NN$25/$NT$25)),0)</f>
        <v/>
      </c>
      <c r="MR25" s="228">
        <f>IF(AND(352&gt;=$NR$25,352&lt;=$NS$25),IF($NP$25="Single_Point",IF(352=$NR$25,$NN$25,0),IF($NP$25="Bell_Curve",$NN$25*(352-$NR$25+1)*($NS$25-352+1)/$NU$25,$NN$25/$NT$25)),0)</f>
        <v/>
      </c>
      <c r="MS25" s="228">
        <f>IF(AND(353&gt;=$NR$25,353&lt;=$NS$25),IF($NP$25="Single_Point",IF(353=$NR$25,$NN$25,0),IF($NP$25="Bell_Curve",$NN$25*(353-$NR$25+1)*($NS$25-353+1)/$NU$25,$NN$25/$NT$25)),0)</f>
        <v/>
      </c>
      <c r="MT25" s="228">
        <f>IF(AND(354&gt;=$NR$25,354&lt;=$NS$25),IF($NP$25="Single_Point",IF(354=$NR$25,$NN$25,0),IF($NP$25="Bell_Curve",$NN$25*(354-$NR$25+1)*($NS$25-354+1)/$NU$25,$NN$25/$NT$25)),0)</f>
        <v/>
      </c>
      <c r="MU25" s="228">
        <f>IF(AND(355&gt;=$NR$25,355&lt;=$NS$25),IF($NP$25="Single_Point",IF(355=$NR$25,$NN$25,0),IF($NP$25="Bell_Curve",$NN$25*(355-$NR$25+1)*($NS$25-355+1)/$NU$25,$NN$25/$NT$25)),0)</f>
        <v/>
      </c>
      <c r="MV25" s="228">
        <f>IF(AND(356&gt;=$NR$25,356&lt;=$NS$25),IF($NP$25="Single_Point",IF(356=$NR$25,$NN$25,0),IF($NP$25="Bell_Curve",$NN$25*(356-$NR$25+1)*($NS$25-356+1)/$NU$25,$NN$25/$NT$25)),0)</f>
        <v/>
      </c>
      <c r="MW25" s="228">
        <f>IF(AND(357&gt;=$NR$25,357&lt;=$NS$25),IF($NP$25="Single_Point",IF(357=$NR$25,$NN$25,0),IF($NP$25="Bell_Curve",$NN$25*(357-$NR$25+1)*($NS$25-357+1)/$NU$25,$NN$25/$NT$25)),0)</f>
        <v/>
      </c>
      <c r="MX25" s="228">
        <f>IF(AND(358&gt;=$NR$25,358&lt;=$NS$25),IF($NP$25="Single_Point",IF(358=$NR$25,$NN$25,0),IF($NP$25="Bell_Curve",$NN$25*(358-$NR$25+1)*($NS$25-358+1)/$NU$25,$NN$25/$NT$25)),0)</f>
        <v/>
      </c>
      <c r="MY25" s="228">
        <f>IF(AND(359&gt;=$NR$25,359&lt;=$NS$25),IF($NP$25="Single_Point",IF(359=$NR$25,$NN$25,0),IF($NP$25="Bell_Curve",$NN$25*(359-$NR$25+1)*($NS$25-359+1)/$NU$25,$NN$25/$NT$25)),0)</f>
        <v/>
      </c>
      <c r="MZ25" s="228">
        <f>IF(AND(360&gt;=$NR$25,360&lt;=$NS$25),IF($NP$25="Single_Point",IF(360=$NR$25,$NN$25,0),IF($NP$25="Bell_Curve",$NN$25*(360-$NR$25+1)*($NS$25-360+1)/$NU$25,$NN$25/$NT$25)),0)</f>
        <v/>
      </c>
      <c r="NA25" s="228">
        <f>IF(AND(361&gt;=$NR$25,361&lt;=$NS$25),IF($NP$25="Single_Point",IF(361=$NR$25,$NN$25,0),IF($NP$25="Bell_Curve",$NN$25*(361-$NR$25+1)*($NS$25-361+1)/$NU$25,$NN$25/$NT$25)),0)</f>
        <v/>
      </c>
      <c r="NB25" s="228">
        <f>IF(AND(362&gt;=$NR$25,362&lt;=$NS$25),IF($NP$25="Single_Point",IF(362=$NR$25,$NN$25,0),IF($NP$25="Bell_Curve",$NN$25*(362-$NR$25+1)*($NS$25-362+1)/$NU$25,$NN$25/$NT$25)),0)</f>
        <v/>
      </c>
      <c r="NC25" s="228">
        <f>IF(AND(363&gt;=$NR$25,363&lt;=$NS$25),IF($NP$25="Single_Point",IF(363=$NR$25,$NN$25,0),IF($NP$25="Bell_Curve",$NN$25*(363-$NR$25+1)*($NS$25-363+1)/$NU$25,$NN$25/$NT$25)),0)</f>
        <v/>
      </c>
      <c r="ND25" s="228">
        <f>IF(AND(364&gt;=$NR$25,364&lt;=$NS$25),IF($NP$25="Single_Point",IF(364=$NR$25,$NN$25,0),IF($NP$25="Bell_Curve",$NN$25*(364-$NR$25+1)*($NS$25-364+1)/$NU$25,$NN$25/$NT$25)),0)</f>
        <v/>
      </c>
      <c r="NE25" s="228">
        <f>IF(AND(365&gt;=$NR$25,365&lt;=$NS$25),IF($NP$25="Single_Point",IF(365=$NR$25,$NN$25,0),IF($NP$25="Bell_Curve",$NN$25*(365-$NR$25+1)*($NS$25-365+1)/$NU$25,$NN$25/$NT$25)),0)</f>
        <v/>
      </c>
      <c r="NF25" s="228">
        <f>IF(AND(366&gt;=$NR$25,366&lt;=$NS$25),IF($NP$25="Single_Point",IF(366=$NR$25,$NN$25,0),IF($NP$25="Bell_Curve",$NN$25*(366-$NR$25+1)*($NS$25-366+1)/$NU$25,$NN$25/$NT$25)),0)</f>
        <v/>
      </c>
      <c r="NG25" s="228">
        <f>IF(AND(367&gt;=$NR$25,367&lt;=$NS$25),IF($NP$25="Single_Point",IF(367=$NR$25,$NN$25,0),IF($NP$25="Bell_Curve",$NN$25*(367-$NR$25+1)*($NS$25-367+1)/$NU$25,$NN$25/$NT$25)),0)</f>
        <v/>
      </c>
      <c r="NH25" s="228">
        <f>IF(AND(368&gt;=$NR$25,368&lt;=$NS$25),IF($NP$25="Single_Point",IF(368=$NR$25,$NN$25,0),IF($NP$25="Bell_Curve",$NN$25*(368-$NR$25+1)*($NS$25-368+1)/$NU$25,$NN$25/$NT$25)),0)</f>
        <v/>
      </c>
      <c r="NI25" s="228">
        <f>IF(AND(369&gt;=$NR$25,369&lt;=$NS$25),IF($NP$25="Single_Point",IF(369=$NR$25,$NN$25,0),IF($NP$25="Bell_Curve",$NN$25*(369-$NR$25+1)*($NS$25-369+1)/$NU$25,$NN$25/$NT$25)),0)</f>
        <v/>
      </c>
      <c r="NJ25" s="228">
        <f>IF(AND(370&gt;=$NR$25,370&lt;=$NS$25),IF($NP$25="Single_Point",IF(370=$NR$25,$NN$25,0),IF($NP$25="Bell_Curve",$NN$25*(370-$NR$25+1)*($NS$25-370+1)/$NU$25,$NN$25/$NT$25)),0)</f>
        <v/>
      </c>
      <c r="NK25" s="228">
        <f>IF(AND(371&gt;=$NR$25,371&lt;=$NS$25),IF($NP$25="Single_Point",IF(371=$NR$25,$NN$25,0),IF($NP$25="Bell_Curve",$NN$25*(371-$NR$25+1)*($NS$25-371+1)/$NU$25,$NN$25/$NT$25)),0)</f>
        <v/>
      </c>
      <c r="NL25" s="247">
        <f>IF(AND(372&gt;=$NR$25,372&lt;=$NS$25),IF($NP$25="Single_Point",IF(372=$NR$25,$NN$25,0),IF($NP$25="Bell_Curve",$NN$25*(372-$NR$25+1)*($NS$25-372+1)/$NU$25,$NN$25/$NT$25)),0)</f>
        <v/>
      </c>
      <c r="NN25" s="218">
        <f>Budget!J24</f>
        <v/>
      </c>
      <c r="NO25" s="144">
        <f>Budget!G24</f>
        <v/>
      </c>
      <c r="NP25" s="144">
        <f>Budget!H24</f>
        <v/>
      </c>
      <c r="NQ25" s="85">
        <f>Budget!I24</f>
        <v/>
      </c>
      <c r="NR25" s="248">
        <f>MAX(1,MIN(372,INDEX(MilestoneStart,MATCH(NO25,MilestoneNames,0))+NQ25))</f>
        <v/>
      </c>
      <c r="NS25" s="248">
        <f>MAX(NR25,MIN(372,INDEX(MilestoneEnd,MATCH(NO25,MilestoneNames,0))+NQ25))</f>
        <v/>
      </c>
      <c r="NT25" s="85">
        <f>NS25-NR25+1</f>
        <v/>
      </c>
      <c r="NU25" s="85">
        <f>NT25*(NT25+1)*(NT25+2)/6</f>
        <v/>
      </c>
    </row>
    <row r="26">
      <c r="B26" s="36" t="inlineStr">
        <is>
          <t>Other Soft Cost 6</t>
        </is>
      </c>
      <c r="D26" s="246">
        <f>SUM(E26:NL26)</f>
        <v/>
      </c>
      <c r="E26" s="228">
        <f>IF(AND(1&gt;=$NR$26,1&lt;=$NS$26),IF($NP$26="Single_Point",IF(1=$NR$26,$NN$26,0),IF($NP$26="Bell_Curve",$NN$26*(1-$NR$26+1)*($NS$26-1+1)/$NU$26,$NN$26/$NT$26)),0)</f>
        <v/>
      </c>
      <c r="F26" s="228">
        <f>IF(AND(2&gt;=$NR$26,2&lt;=$NS$26),IF($NP$26="Single_Point",IF(2=$NR$26,$NN$26,0),IF($NP$26="Bell_Curve",$NN$26*(2-$NR$26+1)*($NS$26-2+1)/$NU$26,$NN$26/$NT$26)),0)</f>
        <v/>
      </c>
      <c r="G26" s="228">
        <f>IF(AND(3&gt;=$NR$26,3&lt;=$NS$26),IF($NP$26="Single_Point",IF(3=$NR$26,$NN$26,0),IF($NP$26="Bell_Curve",$NN$26*(3-$NR$26+1)*($NS$26-3+1)/$NU$26,$NN$26/$NT$26)),0)</f>
        <v/>
      </c>
      <c r="H26" s="228">
        <f>IF(AND(4&gt;=$NR$26,4&lt;=$NS$26),IF($NP$26="Single_Point",IF(4=$NR$26,$NN$26,0),IF($NP$26="Bell_Curve",$NN$26*(4-$NR$26+1)*($NS$26-4+1)/$NU$26,$NN$26/$NT$26)),0)</f>
        <v/>
      </c>
      <c r="I26" s="228">
        <f>IF(AND(5&gt;=$NR$26,5&lt;=$NS$26),IF($NP$26="Single_Point",IF(5=$NR$26,$NN$26,0),IF($NP$26="Bell_Curve",$NN$26*(5-$NR$26+1)*($NS$26-5+1)/$NU$26,$NN$26/$NT$26)),0)</f>
        <v/>
      </c>
      <c r="J26" s="228">
        <f>IF(AND(6&gt;=$NR$26,6&lt;=$NS$26),IF($NP$26="Single_Point",IF(6=$NR$26,$NN$26,0),IF($NP$26="Bell_Curve",$NN$26*(6-$NR$26+1)*($NS$26-6+1)/$NU$26,$NN$26/$NT$26)),0)</f>
        <v/>
      </c>
      <c r="K26" s="228">
        <f>IF(AND(7&gt;=$NR$26,7&lt;=$NS$26),IF($NP$26="Single_Point",IF(7=$NR$26,$NN$26,0),IF($NP$26="Bell_Curve",$NN$26*(7-$NR$26+1)*($NS$26-7+1)/$NU$26,$NN$26/$NT$26)),0)</f>
        <v/>
      </c>
      <c r="L26" s="228">
        <f>IF(AND(8&gt;=$NR$26,8&lt;=$NS$26),IF($NP$26="Single_Point",IF(8=$NR$26,$NN$26,0),IF($NP$26="Bell_Curve",$NN$26*(8-$NR$26+1)*($NS$26-8+1)/$NU$26,$NN$26/$NT$26)),0)</f>
        <v/>
      </c>
      <c r="M26" s="228">
        <f>IF(AND(9&gt;=$NR$26,9&lt;=$NS$26),IF($NP$26="Single_Point",IF(9=$NR$26,$NN$26,0),IF($NP$26="Bell_Curve",$NN$26*(9-$NR$26+1)*($NS$26-9+1)/$NU$26,$NN$26/$NT$26)),0)</f>
        <v/>
      </c>
      <c r="N26" s="228">
        <f>IF(AND(10&gt;=$NR$26,10&lt;=$NS$26),IF($NP$26="Single_Point",IF(10=$NR$26,$NN$26,0),IF($NP$26="Bell_Curve",$NN$26*(10-$NR$26+1)*($NS$26-10+1)/$NU$26,$NN$26/$NT$26)),0)</f>
        <v/>
      </c>
      <c r="O26" s="228">
        <f>IF(AND(11&gt;=$NR$26,11&lt;=$NS$26),IF($NP$26="Single_Point",IF(11=$NR$26,$NN$26,0),IF($NP$26="Bell_Curve",$NN$26*(11-$NR$26+1)*($NS$26-11+1)/$NU$26,$NN$26/$NT$26)),0)</f>
        <v/>
      </c>
      <c r="P26" s="228">
        <f>IF(AND(12&gt;=$NR$26,12&lt;=$NS$26),IF($NP$26="Single_Point",IF(12=$NR$26,$NN$26,0),IF($NP$26="Bell_Curve",$NN$26*(12-$NR$26+1)*($NS$26-12+1)/$NU$26,$NN$26/$NT$26)),0)</f>
        <v/>
      </c>
      <c r="Q26" s="228">
        <f>IF(AND(13&gt;=$NR$26,13&lt;=$NS$26),IF($NP$26="Single_Point",IF(13=$NR$26,$NN$26,0),IF($NP$26="Bell_Curve",$NN$26*(13-$NR$26+1)*($NS$26-13+1)/$NU$26,$NN$26/$NT$26)),0)</f>
        <v/>
      </c>
      <c r="R26" s="228">
        <f>IF(AND(14&gt;=$NR$26,14&lt;=$NS$26),IF($NP$26="Single_Point",IF(14=$NR$26,$NN$26,0),IF($NP$26="Bell_Curve",$NN$26*(14-$NR$26+1)*($NS$26-14+1)/$NU$26,$NN$26/$NT$26)),0)</f>
        <v/>
      </c>
      <c r="S26" s="228">
        <f>IF(AND(15&gt;=$NR$26,15&lt;=$NS$26),IF($NP$26="Single_Point",IF(15=$NR$26,$NN$26,0),IF($NP$26="Bell_Curve",$NN$26*(15-$NR$26+1)*($NS$26-15+1)/$NU$26,$NN$26/$NT$26)),0)</f>
        <v/>
      </c>
      <c r="T26" s="228">
        <f>IF(AND(16&gt;=$NR$26,16&lt;=$NS$26),IF($NP$26="Single_Point",IF(16=$NR$26,$NN$26,0),IF($NP$26="Bell_Curve",$NN$26*(16-$NR$26+1)*($NS$26-16+1)/$NU$26,$NN$26/$NT$26)),0)</f>
        <v/>
      </c>
      <c r="U26" s="228">
        <f>IF(AND(17&gt;=$NR$26,17&lt;=$NS$26),IF($NP$26="Single_Point",IF(17=$NR$26,$NN$26,0),IF($NP$26="Bell_Curve",$NN$26*(17-$NR$26+1)*($NS$26-17+1)/$NU$26,$NN$26/$NT$26)),0)</f>
        <v/>
      </c>
      <c r="V26" s="228">
        <f>IF(AND(18&gt;=$NR$26,18&lt;=$NS$26),IF($NP$26="Single_Point",IF(18=$NR$26,$NN$26,0),IF($NP$26="Bell_Curve",$NN$26*(18-$NR$26+1)*($NS$26-18+1)/$NU$26,$NN$26/$NT$26)),0)</f>
        <v/>
      </c>
      <c r="W26" s="228">
        <f>IF(AND(19&gt;=$NR$26,19&lt;=$NS$26),IF($NP$26="Single_Point",IF(19=$NR$26,$NN$26,0),IF($NP$26="Bell_Curve",$NN$26*(19-$NR$26+1)*($NS$26-19+1)/$NU$26,$NN$26/$NT$26)),0)</f>
        <v/>
      </c>
      <c r="X26" s="228">
        <f>IF(AND(20&gt;=$NR$26,20&lt;=$NS$26),IF($NP$26="Single_Point",IF(20=$NR$26,$NN$26,0),IF($NP$26="Bell_Curve",$NN$26*(20-$NR$26+1)*($NS$26-20+1)/$NU$26,$NN$26/$NT$26)),0)</f>
        <v/>
      </c>
      <c r="Y26" s="228">
        <f>IF(AND(21&gt;=$NR$26,21&lt;=$NS$26),IF($NP$26="Single_Point",IF(21=$NR$26,$NN$26,0),IF($NP$26="Bell_Curve",$NN$26*(21-$NR$26+1)*($NS$26-21+1)/$NU$26,$NN$26/$NT$26)),0)</f>
        <v/>
      </c>
      <c r="Z26" s="228">
        <f>IF(AND(22&gt;=$NR$26,22&lt;=$NS$26),IF($NP$26="Single_Point",IF(22=$NR$26,$NN$26,0),IF($NP$26="Bell_Curve",$NN$26*(22-$NR$26+1)*($NS$26-22+1)/$NU$26,$NN$26/$NT$26)),0)</f>
        <v/>
      </c>
      <c r="AA26" s="228">
        <f>IF(AND(23&gt;=$NR$26,23&lt;=$NS$26),IF($NP$26="Single_Point",IF(23=$NR$26,$NN$26,0),IF($NP$26="Bell_Curve",$NN$26*(23-$NR$26+1)*($NS$26-23+1)/$NU$26,$NN$26/$NT$26)),0)</f>
        <v/>
      </c>
      <c r="AB26" s="228">
        <f>IF(AND(24&gt;=$NR$26,24&lt;=$NS$26),IF($NP$26="Single_Point",IF(24=$NR$26,$NN$26,0),IF($NP$26="Bell_Curve",$NN$26*(24-$NR$26+1)*($NS$26-24+1)/$NU$26,$NN$26/$NT$26)),0)</f>
        <v/>
      </c>
      <c r="AC26" s="228">
        <f>IF(AND(25&gt;=$NR$26,25&lt;=$NS$26),IF($NP$26="Single_Point",IF(25=$NR$26,$NN$26,0),IF($NP$26="Bell_Curve",$NN$26*(25-$NR$26+1)*($NS$26-25+1)/$NU$26,$NN$26/$NT$26)),0)</f>
        <v/>
      </c>
      <c r="AD26" s="228">
        <f>IF(AND(26&gt;=$NR$26,26&lt;=$NS$26),IF($NP$26="Single_Point",IF(26=$NR$26,$NN$26,0),IF($NP$26="Bell_Curve",$NN$26*(26-$NR$26+1)*($NS$26-26+1)/$NU$26,$NN$26/$NT$26)),0)</f>
        <v/>
      </c>
      <c r="AE26" s="228">
        <f>IF(AND(27&gt;=$NR$26,27&lt;=$NS$26),IF($NP$26="Single_Point",IF(27=$NR$26,$NN$26,0),IF($NP$26="Bell_Curve",$NN$26*(27-$NR$26+1)*($NS$26-27+1)/$NU$26,$NN$26/$NT$26)),0)</f>
        <v/>
      </c>
      <c r="AF26" s="228">
        <f>IF(AND(28&gt;=$NR$26,28&lt;=$NS$26),IF($NP$26="Single_Point",IF(28=$NR$26,$NN$26,0),IF($NP$26="Bell_Curve",$NN$26*(28-$NR$26+1)*($NS$26-28+1)/$NU$26,$NN$26/$NT$26)),0)</f>
        <v/>
      </c>
      <c r="AG26" s="228">
        <f>IF(AND(29&gt;=$NR$26,29&lt;=$NS$26),IF($NP$26="Single_Point",IF(29=$NR$26,$NN$26,0),IF($NP$26="Bell_Curve",$NN$26*(29-$NR$26+1)*($NS$26-29+1)/$NU$26,$NN$26/$NT$26)),0)</f>
        <v/>
      </c>
      <c r="AH26" s="228">
        <f>IF(AND(30&gt;=$NR$26,30&lt;=$NS$26),IF($NP$26="Single_Point",IF(30=$NR$26,$NN$26,0),IF($NP$26="Bell_Curve",$NN$26*(30-$NR$26+1)*($NS$26-30+1)/$NU$26,$NN$26/$NT$26)),0)</f>
        <v/>
      </c>
      <c r="AI26" s="228">
        <f>IF(AND(31&gt;=$NR$26,31&lt;=$NS$26),IF($NP$26="Single_Point",IF(31=$NR$26,$NN$26,0),IF($NP$26="Bell_Curve",$NN$26*(31-$NR$26+1)*($NS$26-31+1)/$NU$26,$NN$26/$NT$26)),0)</f>
        <v/>
      </c>
      <c r="AJ26" s="228">
        <f>IF(AND(32&gt;=$NR$26,32&lt;=$NS$26),IF($NP$26="Single_Point",IF(32=$NR$26,$NN$26,0),IF($NP$26="Bell_Curve",$NN$26*(32-$NR$26+1)*($NS$26-32+1)/$NU$26,$NN$26/$NT$26)),0)</f>
        <v/>
      </c>
      <c r="AK26" s="228">
        <f>IF(AND(33&gt;=$NR$26,33&lt;=$NS$26),IF($NP$26="Single_Point",IF(33=$NR$26,$NN$26,0),IF($NP$26="Bell_Curve",$NN$26*(33-$NR$26+1)*($NS$26-33+1)/$NU$26,$NN$26/$NT$26)),0)</f>
        <v/>
      </c>
      <c r="AL26" s="228">
        <f>IF(AND(34&gt;=$NR$26,34&lt;=$NS$26),IF($NP$26="Single_Point",IF(34=$NR$26,$NN$26,0),IF($NP$26="Bell_Curve",$NN$26*(34-$NR$26+1)*($NS$26-34+1)/$NU$26,$NN$26/$NT$26)),0)</f>
        <v/>
      </c>
      <c r="AM26" s="228">
        <f>IF(AND(35&gt;=$NR$26,35&lt;=$NS$26),IF($NP$26="Single_Point",IF(35=$NR$26,$NN$26,0),IF($NP$26="Bell_Curve",$NN$26*(35-$NR$26+1)*($NS$26-35+1)/$NU$26,$NN$26/$NT$26)),0)</f>
        <v/>
      </c>
      <c r="AN26" s="228">
        <f>IF(AND(36&gt;=$NR$26,36&lt;=$NS$26),IF($NP$26="Single_Point",IF(36=$NR$26,$NN$26,0),IF($NP$26="Bell_Curve",$NN$26*(36-$NR$26+1)*($NS$26-36+1)/$NU$26,$NN$26/$NT$26)),0)</f>
        <v/>
      </c>
      <c r="AO26" s="228">
        <f>IF(AND(37&gt;=$NR$26,37&lt;=$NS$26),IF($NP$26="Single_Point",IF(37=$NR$26,$NN$26,0),IF($NP$26="Bell_Curve",$NN$26*(37-$NR$26+1)*($NS$26-37+1)/$NU$26,$NN$26/$NT$26)),0)</f>
        <v/>
      </c>
      <c r="AP26" s="228">
        <f>IF(AND(38&gt;=$NR$26,38&lt;=$NS$26),IF($NP$26="Single_Point",IF(38=$NR$26,$NN$26,0),IF($NP$26="Bell_Curve",$NN$26*(38-$NR$26+1)*($NS$26-38+1)/$NU$26,$NN$26/$NT$26)),0)</f>
        <v/>
      </c>
      <c r="AQ26" s="228">
        <f>IF(AND(39&gt;=$NR$26,39&lt;=$NS$26),IF($NP$26="Single_Point",IF(39=$NR$26,$NN$26,0),IF($NP$26="Bell_Curve",$NN$26*(39-$NR$26+1)*($NS$26-39+1)/$NU$26,$NN$26/$NT$26)),0)</f>
        <v/>
      </c>
      <c r="AR26" s="228">
        <f>IF(AND(40&gt;=$NR$26,40&lt;=$NS$26),IF($NP$26="Single_Point",IF(40=$NR$26,$NN$26,0),IF($NP$26="Bell_Curve",$NN$26*(40-$NR$26+1)*($NS$26-40+1)/$NU$26,$NN$26/$NT$26)),0)</f>
        <v/>
      </c>
      <c r="AS26" s="228">
        <f>IF(AND(41&gt;=$NR$26,41&lt;=$NS$26),IF($NP$26="Single_Point",IF(41=$NR$26,$NN$26,0),IF($NP$26="Bell_Curve",$NN$26*(41-$NR$26+1)*($NS$26-41+1)/$NU$26,$NN$26/$NT$26)),0)</f>
        <v/>
      </c>
      <c r="AT26" s="228">
        <f>IF(AND(42&gt;=$NR$26,42&lt;=$NS$26),IF($NP$26="Single_Point",IF(42=$NR$26,$NN$26,0),IF($NP$26="Bell_Curve",$NN$26*(42-$NR$26+1)*($NS$26-42+1)/$NU$26,$NN$26/$NT$26)),0)</f>
        <v/>
      </c>
      <c r="AU26" s="228">
        <f>IF(AND(43&gt;=$NR$26,43&lt;=$NS$26),IF($NP$26="Single_Point",IF(43=$NR$26,$NN$26,0),IF($NP$26="Bell_Curve",$NN$26*(43-$NR$26+1)*($NS$26-43+1)/$NU$26,$NN$26/$NT$26)),0)</f>
        <v/>
      </c>
      <c r="AV26" s="228">
        <f>IF(AND(44&gt;=$NR$26,44&lt;=$NS$26),IF($NP$26="Single_Point",IF(44=$NR$26,$NN$26,0),IF($NP$26="Bell_Curve",$NN$26*(44-$NR$26+1)*($NS$26-44+1)/$NU$26,$NN$26/$NT$26)),0)</f>
        <v/>
      </c>
      <c r="AW26" s="228">
        <f>IF(AND(45&gt;=$NR$26,45&lt;=$NS$26),IF($NP$26="Single_Point",IF(45=$NR$26,$NN$26,0),IF($NP$26="Bell_Curve",$NN$26*(45-$NR$26+1)*($NS$26-45+1)/$NU$26,$NN$26/$NT$26)),0)</f>
        <v/>
      </c>
      <c r="AX26" s="228">
        <f>IF(AND(46&gt;=$NR$26,46&lt;=$NS$26),IF($NP$26="Single_Point",IF(46=$NR$26,$NN$26,0),IF($NP$26="Bell_Curve",$NN$26*(46-$NR$26+1)*($NS$26-46+1)/$NU$26,$NN$26/$NT$26)),0)</f>
        <v/>
      </c>
      <c r="AY26" s="228">
        <f>IF(AND(47&gt;=$NR$26,47&lt;=$NS$26),IF($NP$26="Single_Point",IF(47=$NR$26,$NN$26,0),IF($NP$26="Bell_Curve",$NN$26*(47-$NR$26+1)*($NS$26-47+1)/$NU$26,$NN$26/$NT$26)),0)</f>
        <v/>
      </c>
      <c r="AZ26" s="228">
        <f>IF(AND(48&gt;=$NR$26,48&lt;=$NS$26),IF($NP$26="Single_Point",IF(48=$NR$26,$NN$26,0),IF($NP$26="Bell_Curve",$NN$26*(48-$NR$26+1)*($NS$26-48+1)/$NU$26,$NN$26/$NT$26)),0)</f>
        <v/>
      </c>
      <c r="BA26" s="228">
        <f>IF(AND(49&gt;=$NR$26,49&lt;=$NS$26),IF($NP$26="Single_Point",IF(49=$NR$26,$NN$26,0),IF($NP$26="Bell_Curve",$NN$26*(49-$NR$26+1)*($NS$26-49+1)/$NU$26,$NN$26/$NT$26)),0)</f>
        <v/>
      </c>
      <c r="BB26" s="228">
        <f>IF(AND(50&gt;=$NR$26,50&lt;=$NS$26),IF($NP$26="Single_Point",IF(50=$NR$26,$NN$26,0),IF($NP$26="Bell_Curve",$NN$26*(50-$NR$26+1)*($NS$26-50+1)/$NU$26,$NN$26/$NT$26)),0)</f>
        <v/>
      </c>
      <c r="BC26" s="228">
        <f>IF(AND(51&gt;=$NR$26,51&lt;=$NS$26),IF($NP$26="Single_Point",IF(51=$NR$26,$NN$26,0),IF($NP$26="Bell_Curve",$NN$26*(51-$NR$26+1)*($NS$26-51+1)/$NU$26,$NN$26/$NT$26)),0)</f>
        <v/>
      </c>
      <c r="BD26" s="228">
        <f>IF(AND(52&gt;=$NR$26,52&lt;=$NS$26),IF($NP$26="Single_Point",IF(52=$NR$26,$NN$26,0),IF($NP$26="Bell_Curve",$NN$26*(52-$NR$26+1)*($NS$26-52+1)/$NU$26,$NN$26/$NT$26)),0)</f>
        <v/>
      </c>
      <c r="BE26" s="228">
        <f>IF(AND(53&gt;=$NR$26,53&lt;=$NS$26),IF($NP$26="Single_Point",IF(53=$NR$26,$NN$26,0),IF($NP$26="Bell_Curve",$NN$26*(53-$NR$26+1)*($NS$26-53+1)/$NU$26,$NN$26/$NT$26)),0)</f>
        <v/>
      </c>
      <c r="BF26" s="228">
        <f>IF(AND(54&gt;=$NR$26,54&lt;=$NS$26),IF($NP$26="Single_Point",IF(54=$NR$26,$NN$26,0),IF($NP$26="Bell_Curve",$NN$26*(54-$NR$26+1)*($NS$26-54+1)/$NU$26,$NN$26/$NT$26)),0)</f>
        <v/>
      </c>
      <c r="BG26" s="228">
        <f>IF(AND(55&gt;=$NR$26,55&lt;=$NS$26),IF($NP$26="Single_Point",IF(55=$NR$26,$NN$26,0),IF($NP$26="Bell_Curve",$NN$26*(55-$NR$26+1)*($NS$26-55+1)/$NU$26,$NN$26/$NT$26)),0)</f>
        <v/>
      </c>
      <c r="BH26" s="228">
        <f>IF(AND(56&gt;=$NR$26,56&lt;=$NS$26),IF($NP$26="Single_Point",IF(56=$NR$26,$NN$26,0),IF($NP$26="Bell_Curve",$NN$26*(56-$NR$26+1)*($NS$26-56+1)/$NU$26,$NN$26/$NT$26)),0)</f>
        <v/>
      </c>
      <c r="BI26" s="228">
        <f>IF(AND(57&gt;=$NR$26,57&lt;=$NS$26),IF($NP$26="Single_Point",IF(57=$NR$26,$NN$26,0),IF($NP$26="Bell_Curve",$NN$26*(57-$NR$26+1)*($NS$26-57+1)/$NU$26,$NN$26/$NT$26)),0)</f>
        <v/>
      </c>
      <c r="BJ26" s="228">
        <f>IF(AND(58&gt;=$NR$26,58&lt;=$NS$26),IF($NP$26="Single_Point",IF(58=$NR$26,$NN$26,0),IF($NP$26="Bell_Curve",$NN$26*(58-$NR$26+1)*($NS$26-58+1)/$NU$26,$NN$26/$NT$26)),0)</f>
        <v/>
      </c>
      <c r="BK26" s="228">
        <f>IF(AND(59&gt;=$NR$26,59&lt;=$NS$26),IF($NP$26="Single_Point",IF(59=$NR$26,$NN$26,0),IF($NP$26="Bell_Curve",$NN$26*(59-$NR$26+1)*($NS$26-59+1)/$NU$26,$NN$26/$NT$26)),0)</f>
        <v/>
      </c>
      <c r="BL26" s="228">
        <f>IF(AND(60&gt;=$NR$26,60&lt;=$NS$26),IF($NP$26="Single_Point",IF(60=$NR$26,$NN$26,0),IF($NP$26="Bell_Curve",$NN$26*(60-$NR$26+1)*($NS$26-60+1)/$NU$26,$NN$26/$NT$26)),0)</f>
        <v/>
      </c>
      <c r="BM26" s="228">
        <f>IF(AND(61&gt;=$NR$26,61&lt;=$NS$26),IF($NP$26="Single_Point",IF(61=$NR$26,$NN$26,0),IF($NP$26="Bell_Curve",$NN$26*(61-$NR$26+1)*($NS$26-61+1)/$NU$26,$NN$26/$NT$26)),0)</f>
        <v/>
      </c>
      <c r="BN26" s="228">
        <f>IF(AND(62&gt;=$NR$26,62&lt;=$NS$26),IF($NP$26="Single_Point",IF(62=$NR$26,$NN$26,0),IF($NP$26="Bell_Curve",$NN$26*(62-$NR$26+1)*($NS$26-62+1)/$NU$26,$NN$26/$NT$26)),0)</f>
        <v/>
      </c>
      <c r="BO26" s="228">
        <f>IF(AND(63&gt;=$NR$26,63&lt;=$NS$26),IF($NP$26="Single_Point",IF(63=$NR$26,$NN$26,0),IF($NP$26="Bell_Curve",$NN$26*(63-$NR$26+1)*($NS$26-63+1)/$NU$26,$NN$26/$NT$26)),0)</f>
        <v/>
      </c>
      <c r="BP26" s="228">
        <f>IF(AND(64&gt;=$NR$26,64&lt;=$NS$26),IF($NP$26="Single_Point",IF(64=$NR$26,$NN$26,0),IF($NP$26="Bell_Curve",$NN$26*(64-$NR$26+1)*($NS$26-64+1)/$NU$26,$NN$26/$NT$26)),0)</f>
        <v/>
      </c>
      <c r="BQ26" s="228">
        <f>IF(AND(65&gt;=$NR$26,65&lt;=$NS$26),IF($NP$26="Single_Point",IF(65=$NR$26,$NN$26,0),IF($NP$26="Bell_Curve",$NN$26*(65-$NR$26+1)*($NS$26-65+1)/$NU$26,$NN$26/$NT$26)),0)</f>
        <v/>
      </c>
      <c r="BR26" s="228">
        <f>IF(AND(66&gt;=$NR$26,66&lt;=$NS$26),IF($NP$26="Single_Point",IF(66=$NR$26,$NN$26,0),IF($NP$26="Bell_Curve",$NN$26*(66-$NR$26+1)*($NS$26-66+1)/$NU$26,$NN$26/$NT$26)),0)</f>
        <v/>
      </c>
      <c r="BS26" s="228">
        <f>IF(AND(67&gt;=$NR$26,67&lt;=$NS$26),IF($NP$26="Single_Point",IF(67=$NR$26,$NN$26,0),IF($NP$26="Bell_Curve",$NN$26*(67-$NR$26+1)*($NS$26-67+1)/$NU$26,$NN$26/$NT$26)),0)</f>
        <v/>
      </c>
      <c r="BT26" s="228">
        <f>IF(AND(68&gt;=$NR$26,68&lt;=$NS$26),IF($NP$26="Single_Point",IF(68=$NR$26,$NN$26,0),IF($NP$26="Bell_Curve",$NN$26*(68-$NR$26+1)*($NS$26-68+1)/$NU$26,$NN$26/$NT$26)),0)</f>
        <v/>
      </c>
      <c r="BU26" s="228">
        <f>IF(AND(69&gt;=$NR$26,69&lt;=$NS$26),IF($NP$26="Single_Point",IF(69=$NR$26,$NN$26,0),IF($NP$26="Bell_Curve",$NN$26*(69-$NR$26+1)*($NS$26-69+1)/$NU$26,$NN$26/$NT$26)),0)</f>
        <v/>
      </c>
      <c r="BV26" s="228">
        <f>IF(AND(70&gt;=$NR$26,70&lt;=$NS$26),IF($NP$26="Single_Point",IF(70=$NR$26,$NN$26,0),IF($NP$26="Bell_Curve",$NN$26*(70-$NR$26+1)*($NS$26-70+1)/$NU$26,$NN$26/$NT$26)),0)</f>
        <v/>
      </c>
      <c r="BW26" s="228">
        <f>IF(AND(71&gt;=$NR$26,71&lt;=$NS$26),IF($NP$26="Single_Point",IF(71=$NR$26,$NN$26,0),IF($NP$26="Bell_Curve",$NN$26*(71-$NR$26+1)*($NS$26-71+1)/$NU$26,$NN$26/$NT$26)),0)</f>
        <v/>
      </c>
      <c r="BX26" s="228">
        <f>IF(AND(72&gt;=$NR$26,72&lt;=$NS$26),IF($NP$26="Single_Point",IF(72=$NR$26,$NN$26,0),IF($NP$26="Bell_Curve",$NN$26*(72-$NR$26+1)*($NS$26-72+1)/$NU$26,$NN$26/$NT$26)),0)</f>
        <v/>
      </c>
      <c r="BY26" s="228">
        <f>IF(AND(73&gt;=$NR$26,73&lt;=$NS$26),IF($NP$26="Single_Point",IF(73=$NR$26,$NN$26,0),IF($NP$26="Bell_Curve",$NN$26*(73-$NR$26+1)*($NS$26-73+1)/$NU$26,$NN$26/$NT$26)),0)</f>
        <v/>
      </c>
      <c r="BZ26" s="228">
        <f>IF(AND(74&gt;=$NR$26,74&lt;=$NS$26),IF($NP$26="Single_Point",IF(74=$NR$26,$NN$26,0),IF($NP$26="Bell_Curve",$NN$26*(74-$NR$26+1)*($NS$26-74+1)/$NU$26,$NN$26/$NT$26)),0)</f>
        <v/>
      </c>
      <c r="CA26" s="228">
        <f>IF(AND(75&gt;=$NR$26,75&lt;=$NS$26),IF($NP$26="Single_Point",IF(75=$NR$26,$NN$26,0),IF($NP$26="Bell_Curve",$NN$26*(75-$NR$26+1)*($NS$26-75+1)/$NU$26,$NN$26/$NT$26)),0)</f>
        <v/>
      </c>
      <c r="CB26" s="228">
        <f>IF(AND(76&gt;=$NR$26,76&lt;=$NS$26),IF($NP$26="Single_Point",IF(76=$NR$26,$NN$26,0),IF($NP$26="Bell_Curve",$NN$26*(76-$NR$26+1)*($NS$26-76+1)/$NU$26,$NN$26/$NT$26)),0)</f>
        <v/>
      </c>
      <c r="CC26" s="228">
        <f>IF(AND(77&gt;=$NR$26,77&lt;=$NS$26),IF($NP$26="Single_Point",IF(77=$NR$26,$NN$26,0),IF($NP$26="Bell_Curve",$NN$26*(77-$NR$26+1)*($NS$26-77+1)/$NU$26,$NN$26/$NT$26)),0)</f>
        <v/>
      </c>
      <c r="CD26" s="228">
        <f>IF(AND(78&gt;=$NR$26,78&lt;=$NS$26),IF($NP$26="Single_Point",IF(78=$NR$26,$NN$26,0),IF($NP$26="Bell_Curve",$NN$26*(78-$NR$26+1)*($NS$26-78+1)/$NU$26,$NN$26/$NT$26)),0)</f>
        <v/>
      </c>
      <c r="CE26" s="228">
        <f>IF(AND(79&gt;=$NR$26,79&lt;=$NS$26),IF($NP$26="Single_Point",IF(79=$NR$26,$NN$26,0),IF($NP$26="Bell_Curve",$NN$26*(79-$NR$26+1)*($NS$26-79+1)/$NU$26,$NN$26/$NT$26)),0)</f>
        <v/>
      </c>
      <c r="CF26" s="228">
        <f>IF(AND(80&gt;=$NR$26,80&lt;=$NS$26),IF($NP$26="Single_Point",IF(80=$NR$26,$NN$26,0),IF($NP$26="Bell_Curve",$NN$26*(80-$NR$26+1)*($NS$26-80+1)/$NU$26,$NN$26/$NT$26)),0)</f>
        <v/>
      </c>
      <c r="CG26" s="228">
        <f>IF(AND(81&gt;=$NR$26,81&lt;=$NS$26),IF($NP$26="Single_Point",IF(81=$NR$26,$NN$26,0),IF($NP$26="Bell_Curve",$NN$26*(81-$NR$26+1)*($NS$26-81+1)/$NU$26,$NN$26/$NT$26)),0)</f>
        <v/>
      </c>
      <c r="CH26" s="228">
        <f>IF(AND(82&gt;=$NR$26,82&lt;=$NS$26),IF($NP$26="Single_Point",IF(82=$NR$26,$NN$26,0),IF($NP$26="Bell_Curve",$NN$26*(82-$NR$26+1)*($NS$26-82+1)/$NU$26,$NN$26/$NT$26)),0)</f>
        <v/>
      </c>
      <c r="CI26" s="228">
        <f>IF(AND(83&gt;=$NR$26,83&lt;=$NS$26),IF($NP$26="Single_Point",IF(83=$NR$26,$NN$26,0),IF($NP$26="Bell_Curve",$NN$26*(83-$NR$26+1)*($NS$26-83+1)/$NU$26,$NN$26/$NT$26)),0)</f>
        <v/>
      </c>
      <c r="CJ26" s="228">
        <f>IF(AND(84&gt;=$NR$26,84&lt;=$NS$26),IF($NP$26="Single_Point",IF(84=$NR$26,$NN$26,0),IF($NP$26="Bell_Curve",$NN$26*(84-$NR$26+1)*($NS$26-84+1)/$NU$26,$NN$26/$NT$26)),0)</f>
        <v/>
      </c>
      <c r="CK26" s="228">
        <f>IF(AND(85&gt;=$NR$26,85&lt;=$NS$26),IF($NP$26="Single_Point",IF(85=$NR$26,$NN$26,0),IF($NP$26="Bell_Curve",$NN$26*(85-$NR$26+1)*($NS$26-85+1)/$NU$26,$NN$26/$NT$26)),0)</f>
        <v/>
      </c>
      <c r="CL26" s="228">
        <f>IF(AND(86&gt;=$NR$26,86&lt;=$NS$26),IF($NP$26="Single_Point",IF(86=$NR$26,$NN$26,0),IF($NP$26="Bell_Curve",$NN$26*(86-$NR$26+1)*($NS$26-86+1)/$NU$26,$NN$26/$NT$26)),0)</f>
        <v/>
      </c>
      <c r="CM26" s="228">
        <f>IF(AND(87&gt;=$NR$26,87&lt;=$NS$26),IF($NP$26="Single_Point",IF(87=$NR$26,$NN$26,0),IF($NP$26="Bell_Curve",$NN$26*(87-$NR$26+1)*($NS$26-87+1)/$NU$26,$NN$26/$NT$26)),0)</f>
        <v/>
      </c>
      <c r="CN26" s="228">
        <f>IF(AND(88&gt;=$NR$26,88&lt;=$NS$26),IF($NP$26="Single_Point",IF(88=$NR$26,$NN$26,0),IF($NP$26="Bell_Curve",$NN$26*(88-$NR$26+1)*($NS$26-88+1)/$NU$26,$NN$26/$NT$26)),0)</f>
        <v/>
      </c>
      <c r="CO26" s="228">
        <f>IF(AND(89&gt;=$NR$26,89&lt;=$NS$26),IF($NP$26="Single_Point",IF(89=$NR$26,$NN$26,0),IF($NP$26="Bell_Curve",$NN$26*(89-$NR$26+1)*($NS$26-89+1)/$NU$26,$NN$26/$NT$26)),0)</f>
        <v/>
      </c>
      <c r="CP26" s="228">
        <f>IF(AND(90&gt;=$NR$26,90&lt;=$NS$26),IF($NP$26="Single_Point",IF(90=$NR$26,$NN$26,0),IF($NP$26="Bell_Curve",$NN$26*(90-$NR$26+1)*($NS$26-90+1)/$NU$26,$NN$26/$NT$26)),0)</f>
        <v/>
      </c>
      <c r="CQ26" s="228">
        <f>IF(AND(91&gt;=$NR$26,91&lt;=$NS$26),IF($NP$26="Single_Point",IF(91=$NR$26,$NN$26,0),IF($NP$26="Bell_Curve",$NN$26*(91-$NR$26+1)*($NS$26-91+1)/$NU$26,$NN$26/$NT$26)),0)</f>
        <v/>
      </c>
      <c r="CR26" s="228">
        <f>IF(AND(92&gt;=$NR$26,92&lt;=$NS$26),IF($NP$26="Single_Point",IF(92=$NR$26,$NN$26,0),IF($NP$26="Bell_Curve",$NN$26*(92-$NR$26+1)*($NS$26-92+1)/$NU$26,$NN$26/$NT$26)),0)</f>
        <v/>
      </c>
      <c r="CS26" s="228">
        <f>IF(AND(93&gt;=$NR$26,93&lt;=$NS$26),IF($NP$26="Single_Point",IF(93=$NR$26,$NN$26,0),IF($NP$26="Bell_Curve",$NN$26*(93-$NR$26+1)*($NS$26-93+1)/$NU$26,$NN$26/$NT$26)),0)</f>
        <v/>
      </c>
      <c r="CT26" s="228">
        <f>IF(AND(94&gt;=$NR$26,94&lt;=$NS$26),IF($NP$26="Single_Point",IF(94=$NR$26,$NN$26,0),IF($NP$26="Bell_Curve",$NN$26*(94-$NR$26+1)*($NS$26-94+1)/$NU$26,$NN$26/$NT$26)),0)</f>
        <v/>
      </c>
      <c r="CU26" s="228">
        <f>IF(AND(95&gt;=$NR$26,95&lt;=$NS$26),IF($NP$26="Single_Point",IF(95=$NR$26,$NN$26,0),IF($NP$26="Bell_Curve",$NN$26*(95-$NR$26+1)*($NS$26-95+1)/$NU$26,$NN$26/$NT$26)),0)</f>
        <v/>
      </c>
      <c r="CV26" s="228">
        <f>IF(AND(96&gt;=$NR$26,96&lt;=$NS$26),IF($NP$26="Single_Point",IF(96=$NR$26,$NN$26,0),IF($NP$26="Bell_Curve",$NN$26*(96-$NR$26+1)*($NS$26-96+1)/$NU$26,$NN$26/$NT$26)),0)</f>
        <v/>
      </c>
      <c r="CW26" s="228">
        <f>IF(AND(97&gt;=$NR$26,97&lt;=$NS$26),IF($NP$26="Single_Point",IF(97=$NR$26,$NN$26,0),IF($NP$26="Bell_Curve",$NN$26*(97-$NR$26+1)*($NS$26-97+1)/$NU$26,$NN$26/$NT$26)),0)</f>
        <v/>
      </c>
      <c r="CX26" s="228">
        <f>IF(AND(98&gt;=$NR$26,98&lt;=$NS$26),IF($NP$26="Single_Point",IF(98=$NR$26,$NN$26,0),IF($NP$26="Bell_Curve",$NN$26*(98-$NR$26+1)*($NS$26-98+1)/$NU$26,$NN$26/$NT$26)),0)</f>
        <v/>
      </c>
      <c r="CY26" s="228">
        <f>IF(AND(99&gt;=$NR$26,99&lt;=$NS$26),IF($NP$26="Single_Point",IF(99=$NR$26,$NN$26,0),IF($NP$26="Bell_Curve",$NN$26*(99-$NR$26+1)*($NS$26-99+1)/$NU$26,$NN$26/$NT$26)),0)</f>
        <v/>
      </c>
      <c r="CZ26" s="228">
        <f>IF(AND(100&gt;=$NR$26,100&lt;=$NS$26),IF($NP$26="Single_Point",IF(100=$NR$26,$NN$26,0),IF($NP$26="Bell_Curve",$NN$26*(100-$NR$26+1)*($NS$26-100+1)/$NU$26,$NN$26/$NT$26)),0)</f>
        <v/>
      </c>
      <c r="DA26" s="228">
        <f>IF(AND(101&gt;=$NR$26,101&lt;=$NS$26),IF($NP$26="Single_Point",IF(101=$NR$26,$NN$26,0),IF($NP$26="Bell_Curve",$NN$26*(101-$NR$26+1)*($NS$26-101+1)/$NU$26,$NN$26/$NT$26)),0)</f>
        <v/>
      </c>
      <c r="DB26" s="228">
        <f>IF(AND(102&gt;=$NR$26,102&lt;=$NS$26),IF($NP$26="Single_Point",IF(102=$NR$26,$NN$26,0),IF($NP$26="Bell_Curve",$NN$26*(102-$NR$26+1)*($NS$26-102+1)/$NU$26,$NN$26/$NT$26)),0)</f>
        <v/>
      </c>
      <c r="DC26" s="228">
        <f>IF(AND(103&gt;=$NR$26,103&lt;=$NS$26),IF($NP$26="Single_Point",IF(103=$NR$26,$NN$26,0),IF($NP$26="Bell_Curve",$NN$26*(103-$NR$26+1)*($NS$26-103+1)/$NU$26,$NN$26/$NT$26)),0)</f>
        <v/>
      </c>
      <c r="DD26" s="228">
        <f>IF(AND(104&gt;=$NR$26,104&lt;=$NS$26),IF($NP$26="Single_Point",IF(104=$NR$26,$NN$26,0),IF($NP$26="Bell_Curve",$NN$26*(104-$NR$26+1)*($NS$26-104+1)/$NU$26,$NN$26/$NT$26)),0)</f>
        <v/>
      </c>
      <c r="DE26" s="228">
        <f>IF(AND(105&gt;=$NR$26,105&lt;=$NS$26),IF($NP$26="Single_Point",IF(105=$NR$26,$NN$26,0),IF($NP$26="Bell_Curve",$NN$26*(105-$NR$26+1)*($NS$26-105+1)/$NU$26,$NN$26/$NT$26)),0)</f>
        <v/>
      </c>
      <c r="DF26" s="228">
        <f>IF(AND(106&gt;=$NR$26,106&lt;=$NS$26),IF($NP$26="Single_Point",IF(106=$NR$26,$NN$26,0),IF($NP$26="Bell_Curve",$NN$26*(106-$NR$26+1)*($NS$26-106+1)/$NU$26,$NN$26/$NT$26)),0)</f>
        <v/>
      </c>
      <c r="DG26" s="228">
        <f>IF(AND(107&gt;=$NR$26,107&lt;=$NS$26),IF($NP$26="Single_Point",IF(107=$NR$26,$NN$26,0),IF($NP$26="Bell_Curve",$NN$26*(107-$NR$26+1)*($NS$26-107+1)/$NU$26,$NN$26/$NT$26)),0)</f>
        <v/>
      </c>
      <c r="DH26" s="228">
        <f>IF(AND(108&gt;=$NR$26,108&lt;=$NS$26),IF($NP$26="Single_Point",IF(108=$NR$26,$NN$26,0),IF($NP$26="Bell_Curve",$NN$26*(108-$NR$26+1)*($NS$26-108+1)/$NU$26,$NN$26/$NT$26)),0)</f>
        <v/>
      </c>
      <c r="DI26" s="228">
        <f>IF(AND(109&gt;=$NR$26,109&lt;=$NS$26),IF($NP$26="Single_Point",IF(109=$NR$26,$NN$26,0),IF($NP$26="Bell_Curve",$NN$26*(109-$NR$26+1)*($NS$26-109+1)/$NU$26,$NN$26/$NT$26)),0)</f>
        <v/>
      </c>
      <c r="DJ26" s="228">
        <f>IF(AND(110&gt;=$NR$26,110&lt;=$NS$26),IF($NP$26="Single_Point",IF(110=$NR$26,$NN$26,0),IF($NP$26="Bell_Curve",$NN$26*(110-$NR$26+1)*($NS$26-110+1)/$NU$26,$NN$26/$NT$26)),0)</f>
        <v/>
      </c>
      <c r="DK26" s="228">
        <f>IF(AND(111&gt;=$NR$26,111&lt;=$NS$26),IF($NP$26="Single_Point",IF(111=$NR$26,$NN$26,0),IF($NP$26="Bell_Curve",$NN$26*(111-$NR$26+1)*($NS$26-111+1)/$NU$26,$NN$26/$NT$26)),0)</f>
        <v/>
      </c>
      <c r="DL26" s="228">
        <f>IF(AND(112&gt;=$NR$26,112&lt;=$NS$26),IF($NP$26="Single_Point",IF(112=$NR$26,$NN$26,0),IF($NP$26="Bell_Curve",$NN$26*(112-$NR$26+1)*($NS$26-112+1)/$NU$26,$NN$26/$NT$26)),0)</f>
        <v/>
      </c>
      <c r="DM26" s="228">
        <f>IF(AND(113&gt;=$NR$26,113&lt;=$NS$26),IF($NP$26="Single_Point",IF(113=$NR$26,$NN$26,0),IF($NP$26="Bell_Curve",$NN$26*(113-$NR$26+1)*($NS$26-113+1)/$NU$26,$NN$26/$NT$26)),0)</f>
        <v/>
      </c>
      <c r="DN26" s="228">
        <f>IF(AND(114&gt;=$NR$26,114&lt;=$NS$26),IF($NP$26="Single_Point",IF(114=$NR$26,$NN$26,0),IF($NP$26="Bell_Curve",$NN$26*(114-$NR$26+1)*($NS$26-114+1)/$NU$26,$NN$26/$NT$26)),0)</f>
        <v/>
      </c>
      <c r="DO26" s="228">
        <f>IF(AND(115&gt;=$NR$26,115&lt;=$NS$26),IF($NP$26="Single_Point",IF(115=$NR$26,$NN$26,0),IF($NP$26="Bell_Curve",$NN$26*(115-$NR$26+1)*($NS$26-115+1)/$NU$26,$NN$26/$NT$26)),0)</f>
        <v/>
      </c>
      <c r="DP26" s="228">
        <f>IF(AND(116&gt;=$NR$26,116&lt;=$NS$26),IF($NP$26="Single_Point",IF(116=$NR$26,$NN$26,0),IF($NP$26="Bell_Curve",$NN$26*(116-$NR$26+1)*($NS$26-116+1)/$NU$26,$NN$26/$NT$26)),0)</f>
        <v/>
      </c>
      <c r="DQ26" s="228">
        <f>IF(AND(117&gt;=$NR$26,117&lt;=$NS$26),IF($NP$26="Single_Point",IF(117=$NR$26,$NN$26,0),IF($NP$26="Bell_Curve",$NN$26*(117-$NR$26+1)*($NS$26-117+1)/$NU$26,$NN$26/$NT$26)),0)</f>
        <v/>
      </c>
      <c r="DR26" s="228">
        <f>IF(AND(118&gt;=$NR$26,118&lt;=$NS$26),IF($NP$26="Single_Point",IF(118=$NR$26,$NN$26,0),IF($NP$26="Bell_Curve",$NN$26*(118-$NR$26+1)*($NS$26-118+1)/$NU$26,$NN$26/$NT$26)),0)</f>
        <v/>
      </c>
      <c r="DS26" s="228">
        <f>IF(AND(119&gt;=$NR$26,119&lt;=$NS$26),IF($NP$26="Single_Point",IF(119=$NR$26,$NN$26,0),IF($NP$26="Bell_Curve",$NN$26*(119-$NR$26+1)*($NS$26-119+1)/$NU$26,$NN$26/$NT$26)),0)</f>
        <v/>
      </c>
      <c r="DT26" s="228">
        <f>IF(AND(120&gt;=$NR$26,120&lt;=$NS$26),IF($NP$26="Single_Point",IF(120=$NR$26,$NN$26,0),IF($NP$26="Bell_Curve",$NN$26*(120-$NR$26+1)*($NS$26-120+1)/$NU$26,$NN$26/$NT$26)),0)</f>
        <v/>
      </c>
      <c r="DU26" s="228">
        <f>IF(AND(121&gt;=$NR$26,121&lt;=$NS$26),IF($NP$26="Single_Point",IF(121=$NR$26,$NN$26,0),IF($NP$26="Bell_Curve",$NN$26*(121-$NR$26+1)*($NS$26-121+1)/$NU$26,$NN$26/$NT$26)),0)</f>
        <v/>
      </c>
      <c r="DV26" s="228">
        <f>IF(AND(122&gt;=$NR$26,122&lt;=$NS$26),IF($NP$26="Single_Point",IF(122=$NR$26,$NN$26,0),IF($NP$26="Bell_Curve",$NN$26*(122-$NR$26+1)*($NS$26-122+1)/$NU$26,$NN$26/$NT$26)),0)</f>
        <v/>
      </c>
      <c r="DW26" s="228">
        <f>IF(AND(123&gt;=$NR$26,123&lt;=$NS$26),IF($NP$26="Single_Point",IF(123=$NR$26,$NN$26,0),IF($NP$26="Bell_Curve",$NN$26*(123-$NR$26+1)*($NS$26-123+1)/$NU$26,$NN$26/$NT$26)),0)</f>
        <v/>
      </c>
      <c r="DX26" s="228">
        <f>IF(AND(124&gt;=$NR$26,124&lt;=$NS$26),IF($NP$26="Single_Point",IF(124=$NR$26,$NN$26,0),IF($NP$26="Bell_Curve",$NN$26*(124-$NR$26+1)*($NS$26-124+1)/$NU$26,$NN$26/$NT$26)),0)</f>
        <v/>
      </c>
      <c r="DY26" s="228">
        <f>IF(AND(125&gt;=$NR$26,125&lt;=$NS$26),IF($NP$26="Single_Point",IF(125=$NR$26,$NN$26,0),IF($NP$26="Bell_Curve",$NN$26*(125-$NR$26+1)*($NS$26-125+1)/$NU$26,$NN$26/$NT$26)),0)</f>
        <v/>
      </c>
      <c r="DZ26" s="228">
        <f>IF(AND(126&gt;=$NR$26,126&lt;=$NS$26),IF($NP$26="Single_Point",IF(126=$NR$26,$NN$26,0),IF($NP$26="Bell_Curve",$NN$26*(126-$NR$26+1)*($NS$26-126+1)/$NU$26,$NN$26/$NT$26)),0)</f>
        <v/>
      </c>
      <c r="EA26" s="228">
        <f>IF(AND(127&gt;=$NR$26,127&lt;=$NS$26),IF($NP$26="Single_Point",IF(127=$NR$26,$NN$26,0),IF($NP$26="Bell_Curve",$NN$26*(127-$NR$26+1)*($NS$26-127+1)/$NU$26,$NN$26/$NT$26)),0)</f>
        <v/>
      </c>
      <c r="EB26" s="228">
        <f>IF(AND(128&gt;=$NR$26,128&lt;=$NS$26),IF($NP$26="Single_Point",IF(128=$NR$26,$NN$26,0),IF($NP$26="Bell_Curve",$NN$26*(128-$NR$26+1)*($NS$26-128+1)/$NU$26,$NN$26/$NT$26)),0)</f>
        <v/>
      </c>
      <c r="EC26" s="228">
        <f>IF(AND(129&gt;=$NR$26,129&lt;=$NS$26),IF($NP$26="Single_Point",IF(129=$NR$26,$NN$26,0),IF($NP$26="Bell_Curve",$NN$26*(129-$NR$26+1)*($NS$26-129+1)/$NU$26,$NN$26/$NT$26)),0)</f>
        <v/>
      </c>
      <c r="ED26" s="228">
        <f>IF(AND(130&gt;=$NR$26,130&lt;=$NS$26),IF($NP$26="Single_Point",IF(130=$NR$26,$NN$26,0),IF($NP$26="Bell_Curve",$NN$26*(130-$NR$26+1)*($NS$26-130+1)/$NU$26,$NN$26/$NT$26)),0)</f>
        <v/>
      </c>
      <c r="EE26" s="228">
        <f>IF(AND(131&gt;=$NR$26,131&lt;=$NS$26),IF($NP$26="Single_Point",IF(131=$NR$26,$NN$26,0),IF($NP$26="Bell_Curve",$NN$26*(131-$NR$26+1)*($NS$26-131+1)/$NU$26,$NN$26/$NT$26)),0)</f>
        <v/>
      </c>
      <c r="EF26" s="228">
        <f>IF(AND(132&gt;=$NR$26,132&lt;=$NS$26),IF($NP$26="Single_Point",IF(132=$NR$26,$NN$26,0),IF($NP$26="Bell_Curve",$NN$26*(132-$NR$26+1)*($NS$26-132+1)/$NU$26,$NN$26/$NT$26)),0)</f>
        <v/>
      </c>
      <c r="EG26" s="228">
        <f>IF(AND(133&gt;=$NR$26,133&lt;=$NS$26),IF($NP$26="Single_Point",IF(133=$NR$26,$NN$26,0),IF($NP$26="Bell_Curve",$NN$26*(133-$NR$26+1)*($NS$26-133+1)/$NU$26,$NN$26/$NT$26)),0)</f>
        <v/>
      </c>
      <c r="EH26" s="228">
        <f>IF(AND(134&gt;=$NR$26,134&lt;=$NS$26),IF($NP$26="Single_Point",IF(134=$NR$26,$NN$26,0),IF($NP$26="Bell_Curve",$NN$26*(134-$NR$26+1)*($NS$26-134+1)/$NU$26,$NN$26/$NT$26)),0)</f>
        <v/>
      </c>
      <c r="EI26" s="228">
        <f>IF(AND(135&gt;=$NR$26,135&lt;=$NS$26),IF($NP$26="Single_Point",IF(135=$NR$26,$NN$26,0),IF($NP$26="Bell_Curve",$NN$26*(135-$NR$26+1)*($NS$26-135+1)/$NU$26,$NN$26/$NT$26)),0)</f>
        <v/>
      </c>
      <c r="EJ26" s="228">
        <f>IF(AND(136&gt;=$NR$26,136&lt;=$NS$26),IF($NP$26="Single_Point",IF(136=$NR$26,$NN$26,0),IF($NP$26="Bell_Curve",$NN$26*(136-$NR$26+1)*($NS$26-136+1)/$NU$26,$NN$26/$NT$26)),0)</f>
        <v/>
      </c>
      <c r="EK26" s="228">
        <f>IF(AND(137&gt;=$NR$26,137&lt;=$NS$26),IF($NP$26="Single_Point",IF(137=$NR$26,$NN$26,0),IF($NP$26="Bell_Curve",$NN$26*(137-$NR$26+1)*($NS$26-137+1)/$NU$26,$NN$26/$NT$26)),0)</f>
        <v/>
      </c>
      <c r="EL26" s="228">
        <f>IF(AND(138&gt;=$NR$26,138&lt;=$NS$26),IF($NP$26="Single_Point",IF(138=$NR$26,$NN$26,0),IF($NP$26="Bell_Curve",$NN$26*(138-$NR$26+1)*($NS$26-138+1)/$NU$26,$NN$26/$NT$26)),0)</f>
        <v/>
      </c>
      <c r="EM26" s="228">
        <f>IF(AND(139&gt;=$NR$26,139&lt;=$NS$26),IF($NP$26="Single_Point",IF(139=$NR$26,$NN$26,0),IF($NP$26="Bell_Curve",$NN$26*(139-$NR$26+1)*($NS$26-139+1)/$NU$26,$NN$26/$NT$26)),0)</f>
        <v/>
      </c>
      <c r="EN26" s="228">
        <f>IF(AND(140&gt;=$NR$26,140&lt;=$NS$26),IF($NP$26="Single_Point",IF(140=$NR$26,$NN$26,0),IF($NP$26="Bell_Curve",$NN$26*(140-$NR$26+1)*($NS$26-140+1)/$NU$26,$NN$26/$NT$26)),0)</f>
        <v/>
      </c>
      <c r="EO26" s="228">
        <f>IF(AND(141&gt;=$NR$26,141&lt;=$NS$26),IF($NP$26="Single_Point",IF(141=$NR$26,$NN$26,0),IF($NP$26="Bell_Curve",$NN$26*(141-$NR$26+1)*($NS$26-141+1)/$NU$26,$NN$26/$NT$26)),0)</f>
        <v/>
      </c>
      <c r="EP26" s="228">
        <f>IF(AND(142&gt;=$NR$26,142&lt;=$NS$26),IF($NP$26="Single_Point",IF(142=$NR$26,$NN$26,0),IF($NP$26="Bell_Curve",$NN$26*(142-$NR$26+1)*($NS$26-142+1)/$NU$26,$NN$26/$NT$26)),0)</f>
        <v/>
      </c>
      <c r="EQ26" s="228">
        <f>IF(AND(143&gt;=$NR$26,143&lt;=$NS$26),IF($NP$26="Single_Point",IF(143=$NR$26,$NN$26,0),IF($NP$26="Bell_Curve",$NN$26*(143-$NR$26+1)*($NS$26-143+1)/$NU$26,$NN$26/$NT$26)),0)</f>
        <v/>
      </c>
      <c r="ER26" s="228">
        <f>IF(AND(144&gt;=$NR$26,144&lt;=$NS$26),IF($NP$26="Single_Point",IF(144=$NR$26,$NN$26,0),IF($NP$26="Bell_Curve",$NN$26*(144-$NR$26+1)*($NS$26-144+1)/$NU$26,$NN$26/$NT$26)),0)</f>
        <v/>
      </c>
      <c r="ES26" s="228">
        <f>IF(AND(145&gt;=$NR$26,145&lt;=$NS$26),IF($NP$26="Single_Point",IF(145=$NR$26,$NN$26,0),IF($NP$26="Bell_Curve",$NN$26*(145-$NR$26+1)*($NS$26-145+1)/$NU$26,$NN$26/$NT$26)),0)</f>
        <v/>
      </c>
      <c r="ET26" s="228">
        <f>IF(AND(146&gt;=$NR$26,146&lt;=$NS$26),IF($NP$26="Single_Point",IF(146=$NR$26,$NN$26,0),IF($NP$26="Bell_Curve",$NN$26*(146-$NR$26+1)*($NS$26-146+1)/$NU$26,$NN$26/$NT$26)),0)</f>
        <v/>
      </c>
      <c r="EU26" s="228">
        <f>IF(AND(147&gt;=$NR$26,147&lt;=$NS$26),IF($NP$26="Single_Point",IF(147=$NR$26,$NN$26,0),IF($NP$26="Bell_Curve",$NN$26*(147-$NR$26+1)*($NS$26-147+1)/$NU$26,$NN$26/$NT$26)),0)</f>
        <v/>
      </c>
      <c r="EV26" s="228">
        <f>IF(AND(148&gt;=$NR$26,148&lt;=$NS$26),IF($NP$26="Single_Point",IF(148=$NR$26,$NN$26,0),IF($NP$26="Bell_Curve",$NN$26*(148-$NR$26+1)*($NS$26-148+1)/$NU$26,$NN$26/$NT$26)),0)</f>
        <v/>
      </c>
      <c r="EW26" s="228">
        <f>IF(AND(149&gt;=$NR$26,149&lt;=$NS$26),IF($NP$26="Single_Point",IF(149=$NR$26,$NN$26,0),IF($NP$26="Bell_Curve",$NN$26*(149-$NR$26+1)*($NS$26-149+1)/$NU$26,$NN$26/$NT$26)),0)</f>
        <v/>
      </c>
      <c r="EX26" s="228">
        <f>IF(AND(150&gt;=$NR$26,150&lt;=$NS$26),IF($NP$26="Single_Point",IF(150=$NR$26,$NN$26,0),IF($NP$26="Bell_Curve",$NN$26*(150-$NR$26+1)*($NS$26-150+1)/$NU$26,$NN$26/$NT$26)),0)</f>
        <v/>
      </c>
      <c r="EY26" s="228">
        <f>IF(AND(151&gt;=$NR$26,151&lt;=$NS$26),IF($NP$26="Single_Point",IF(151=$NR$26,$NN$26,0),IF($NP$26="Bell_Curve",$NN$26*(151-$NR$26+1)*($NS$26-151+1)/$NU$26,$NN$26/$NT$26)),0)</f>
        <v/>
      </c>
      <c r="EZ26" s="228">
        <f>IF(AND(152&gt;=$NR$26,152&lt;=$NS$26),IF($NP$26="Single_Point",IF(152=$NR$26,$NN$26,0),IF($NP$26="Bell_Curve",$NN$26*(152-$NR$26+1)*($NS$26-152+1)/$NU$26,$NN$26/$NT$26)),0)</f>
        <v/>
      </c>
      <c r="FA26" s="228">
        <f>IF(AND(153&gt;=$NR$26,153&lt;=$NS$26),IF($NP$26="Single_Point",IF(153=$NR$26,$NN$26,0),IF($NP$26="Bell_Curve",$NN$26*(153-$NR$26+1)*($NS$26-153+1)/$NU$26,$NN$26/$NT$26)),0)</f>
        <v/>
      </c>
      <c r="FB26" s="228">
        <f>IF(AND(154&gt;=$NR$26,154&lt;=$NS$26),IF($NP$26="Single_Point",IF(154=$NR$26,$NN$26,0),IF($NP$26="Bell_Curve",$NN$26*(154-$NR$26+1)*($NS$26-154+1)/$NU$26,$NN$26/$NT$26)),0)</f>
        <v/>
      </c>
      <c r="FC26" s="228">
        <f>IF(AND(155&gt;=$NR$26,155&lt;=$NS$26),IF($NP$26="Single_Point",IF(155=$NR$26,$NN$26,0),IF($NP$26="Bell_Curve",$NN$26*(155-$NR$26+1)*($NS$26-155+1)/$NU$26,$NN$26/$NT$26)),0)</f>
        <v/>
      </c>
      <c r="FD26" s="228">
        <f>IF(AND(156&gt;=$NR$26,156&lt;=$NS$26),IF($NP$26="Single_Point",IF(156=$NR$26,$NN$26,0),IF($NP$26="Bell_Curve",$NN$26*(156-$NR$26+1)*($NS$26-156+1)/$NU$26,$NN$26/$NT$26)),0)</f>
        <v/>
      </c>
      <c r="FE26" s="228">
        <f>IF(AND(157&gt;=$NR$26,157&lt;=$NS$26),IF($NP$26="Single_Point",IF(157=$NR$26,$NN$26,0),IF($NP$26="Bell_Curve",$NN$26*(157-$NR$26+1)*($NS$26-157+1)/$NU$26,$NN$26/$NT$26)),0)</f>
        <v/>
      </c>
      <c r="FF26" s="228">
        <f>IF(AND(158&gt;=$NR$26,158&lt;=$NS$26),IF($NP$26="Single_Point",IF(158=$NR$26,$NN$26,0),IF($NP$26="Bell_Curve",$NN$26*(158-$NR$26+1)*($NS$26-158+1)/$NU$26,$NN$26/$NT$26)),0)</f>
        <v/>
      </c>
      <c r="FG26" s="228">
        <f>IF(AND(159&gt;=$NR$26,159&lt;=$NS$26),IF($NP$26="Single_Point",IF(159=$NR$26,$NN$26,0),IF($NP$26="Bell_Curve",$NN$26*(159-$NR$26+1)*($NS$26-159+1)/$NU$26,$NN$26/$NT$26)),0)</f>
        <v/>
      </c>
      <c r="FH26" s="228">
        <f>IF(AND(160&gt;=$NR$26,160&lt;=$NS$26),IF($NP$26="Single_Point",IF(160=$NR$26,$NN$26,0),IF($NP$26="Bell_Curve",$NN$26*(160-$NR$26+1)*($NS$26-160+1)/$NU$26,$NN$26/$NT$26)),0)</f>
        <v/>
      </c>
      <c r="FI26" s="228">
        <f>IF(AND(161&gt;=$NR$26,161&lt;=$NS$26),IF($NP$26="Single_Point",IF(161=$NR$26,$NN$26,0),IF($NP$26="Bell_Curve",$NN$26*(161-$NR$26+1)*($NS$26-161+1)/$NU$26,$NN$26/$NT$26)),0)</f>
        <v/>
      </c>
      <c r="FJ26" s="228">
        <f>IF(AND(162&gt;=$NR$26,162&lt;=$NS$26),IF($NP$26="Single_Point",IF(162=$NR$26,$NN$26,0),IF($NP$26="Bell_Curve",$NN$26*(162-$NR$26+1)*($NS$26-162+1)/$NU$26,$NN$26/$NT$26)),0)</f>
        <v/>
      </c>
      <c r="FK26" s="228">
        <f>IF(AND(163&gt;=$NR$26,163&lt;=$NS$26),IF($NP$26="Single_Point",IF(163=$NR$26,$NN$26,0),IF($NP$26="Bell_Curve",$NN$26*(163-$NR$26+1)*($NS$26-163+1)/$NU$26,$NN$26/$NT$26)),0)</f>
        <v/>
      </c>
      <c r="FL26" s="228">
        <f>IF(AND(164&gt;=$NR$26,164&lt;=$NS$26),IF($NP$26="Single_Point",IF(164=$NR$26,$NN$26,0),IF($NP$26="Bell_Curve",$NN$26*(164-$NR$26+1)*($NS$26-164+1)/$NU$26,$NN$26/$NT$26)),0)</f>
        <v/>
      </c>
      <c r="FM26" s="228">
        <f>IF(AND(165&gt;=$NR$26,165&lt;=$NS$26),IF($NP$26="Single_Point",IF(165=$NR$26,$NN$26,0),IF($NP$26="Bell_Curve",$NN$26*(165-$NR$26+1)*($NS$26-165+1)/$NU$26,$NN$26/$NT$26)),0)</f>
        <v/>
      </c>
      <c r="FN26" s="228">
        <f>IF(AND(166&gt;=$NR$26,166&lt;=$NS$26),IF($NP$26="Single_Point",IF(166=$NR$26,$NN$26,0),IF($NP$26="Bell_Curve",$NN$26*(166-$NR$26+1)*($NS$26-166+1)/$NU$26,$NN$26/$NT$26)),0)</f>
        <v/>
      </c>
      <c r="FO26" s="228">
        <f>IF(AND(167&gt;=$NR$26,167&lt;=$NS$26),IF($NP$26="Single_Point",IF(167=$NR$26,$NN$26,0),IF($NP$26="Bell_Curve",$NN$26*(167-$NR$26+1)*($NS$26-167+1)/$NU$26,$NN$26/$NT$26)),0)</f>
        <v/>
      </c>
      <c r="FP26" s="228">
        <f>IF(AND(168&gt;=$NR$26,168&lt;=$NS$26),IF($NP$26="Single_Point",IF(168=$NR$26,$NN$26,0),IF($NP$26="Bell_Curve",$NN$26*(168-$NR$26+1)*($NS$26-168+1)/$NU$26,$NN$26/$NT$26)),0)</f>
        <v/>
      </c>
      <c r="FQ26" s="228">
        <f>IF(AND(169&gt;=$NR$26,169&lt;=$NS$26),IF($NP$26="Single_Point",IF(169=$NR$26,$NN$26,0),IF($NP$26="Bell_Curve",$NN$26*(169-$NR$26+1)*($NS$26-169+1)/$NU$26,$NN$26/$NT$26)),0)</f>
        <v/>
      </c>
      <c r="FR26" s="228">
        <f>IF(AND(170&gt;=$NR$26,170&lt;=$NS$26),IF($NP$26="Single_Point",IF(170=$NR$26,$NN$26,0),IF($NP$26="Bell_Curve",$NN$26*(170-$NR$26+1)*($NS$26-170+1)/$NU$26,$NN$26/$NT$26)),0)</f>
        <v/>
      </c>
      <c r="FS26" s="228">
        <f>IF(AND(171&gt;=$NR$26,171&lt;=$NS$26),IF($NP$26="Single_Point",IF(171=$NR$26,$NN$26,0),IF($NP$26="Bell_Curve",$NN$26*(171-$NR$26+1)*($NS$26-171+1)/$NU$26,$NN$26/$NT$26)),0)</f>
        <v/>
      </c>
      <c r="FT26" s="228">
        <f>IF(AND(172&gt;=$NR$26,172&lt;=$NS$26),IF($NP$26="Single_Point",IF(172=$NR$26,$NN$26,0),IF($NP$26="Bell_Curve",$NN$26*(172-$NR$26+1)*($NS$26-172+1)/$NU$26,$NN$26/$NT$26)),0)</f>
        <v/>
      </c>
      <c r="FU26" s="228">
        <f>IF(AND(173&gt;=$NR$26,173&lt;=$NS$26),IF($NP$26="Single_Point",IF(173=$NR$26,$NN$26,0),IF($NP$26="Bell_Curve",$NN$26*(173-$NR$26+1)*($NS$26-173+1)/$NU$26,$NN$26/$NT$26)),0)</f>
        <v/>
      </c>
      <c r="FV26" s="228">
        <f>IF(AND(174&gt;=$NR$26,174&lt;=$NS$26),IF($NP$26="Single_Point",IF(174=$NR$26,$NN$26,0),IF($NP$26="Bell_Curve",$NN$26*(174-$NR$26+1)*($NS$26-174+1)/$NU$26,$NN$26/$NT$26)),0)</f>
        <v/>
      </c>
      <c r="FW26" s="228">
        <f>IF(AND(175&gt;=$NR$26,175&lt;=$NS$26),IF($NP$26="Single_Point",IF(175=$NR$26,$NN$26,0),IF($NP$26="Bell_Curve",$NN$26*(175-$NR$26+1)*($NS$26-175+1)/$NU$26,$NN$26/$NT$26)),0)</f>
        <v/>
      </c>
      <c r="FX26" s="228">
        <f>IF(AND(176&gt;=$NR$26,176&lt;=$NS$26),IF($NP$26="Single_Point",IF(176=$NR$26,$NN$26,0),IF($NP$26="Bell_Curve",$NN$26*(176-$NR$26+1)*($NS$26-176+1)/$NU$26,$NN$26/$NT$26)),0)</f>
        <v/>
      </c>
      <c r="FY26" s="228">
        <f>IF(AND(177&gt;=$NR$26,177&lt;=$NS$26),IF($NP$26="Single_Point",IF(177=$NR$26,$NN$26,0),IF($NP$26="Bell_Curve",$NN$26*(177-$NR$26+1)*($NS$26-177+1)/$NU$26,$NN$26/$NT$26)),0)</f>
        <v/>
      </c>
      <c r="FZ26" s="228">
        <f>IF(AND(178&gt;=$NR$26,178&lt;=$NS$26),IF($NP$26="Single_Point",IF(178=$NR$26,$NN$26,0),IF($NP$26="Bell_Curve",$NN$26*(178-$NR$26+1)*($NS$26-178+1)/$NU$26,$NN$26/$NT$26)),0)</f>
        <v/>
      </c>
      <c r="GA26" s="228">
        <f>IF(AND(179&gt;=$NR$26,179&lt;=$NS$26),IF($NP$26="Single_Point",IF(179=$NR$26,$NN$26,0),IF($NP$26="Bell_Curve",$NN$26*(179-$NR$26+1)*($NS$26-179+1)/$NU$26,$NN$26/$NT$26)),0)</f>
        <v/>
      </c>
      <c r="GB26" s="228">
        <f>IF(AND(180&gt;=$NR$26,180&lt;=$NS$26),IF($NP$26="Single_Point",IF(180=$NR$26,$NN$26,0),IF($NP$26="Bell_Curve",$NN$26*(180-$NR$26+1)*($NS$26-180+1)/$NU$26,$NN$26/$NT$26)),0)</f>
        <v/>
      </c>
      <c r="GC26" s="228">
        <f>IF(AND(181&gt;=$NR$26,181&lt;=$NS$26),IF($NP$26="Single_Point",IF(181=$NR$26,$NN$26,0),IF($NP$26="Bell_Curve",$NN$26*(181-$NR$26+1)*($NS$26-181+1)/$NU$26,$NN$26/$NT$26)),0)</f>
        <v/>
      </c>
      <c r="GD26" s="228">
        <f>IF(AND(182&gt;=$NR$26,182&lt;=$NS$26),IF($NP$26="Single_Point",IF(182=$NR$26,$NN$26,0),IF($NP$26="Bell_Curve",$NN$26*(182-$NR$26+1)*($NS$26-182+1)/$NU$26,$NN$26/$NT$26)),0)</f>
        <v/>
      </c>
      <c r="GE26" s="228">
        <f>IF(AND(183&gt;=$NR$26,183&lt;=$NS$26),IF($NP$26="Single_Point",IF(183=$NR$26,$NN$26,0),IF($NP$26="Bell_Curve",$NN$26*(183-$NR$26+1)*($NS$26-183+1)/$NU$26,$NN$26/$NT$26)),0)</f>
        <v/>
      </c>
      <c r="GF26" s="228">
        <f>IF(AND(184&gt;=$NR$26,184&lt;=$NS$26),IF($NP$26="Single_Point",IF(184=$NR$26,$NN$26,0),IF($NP$26="Bell_Curve",$NN$26*(184-$NR$26+1)*($NS$26-184+1)/$NU$26,$NN$26/$NT$26)),0)</f>
        <v/>
      </c>
      <c r="GG26" s="228">
        <f>IF(AND(185&gt;=$NR$26,185&lt;=$NS$26),IF($NP$26="Single_Point",IF(185=$NR$26,$NN$26,0),IF($NP$26="Bell_Curve",$NN$26*(185-$NR$26+1)*($NS$26-185+1)/$NU$26,$NN$26/$NT$26)),0)</f>
        <v/>
      </c>
      <c r="GH26" s="228">
        <f>IF(AND(186&gt;=$NR$26,186&lt;=$NS$26),IF($NP$26="Single_Point",IF(186=$NR$26,$NN$26,0),IF($NP$26="Bell_Curve",$NN$26*(186-$NR$26+1)*($NS$26-186+1)/$NU$26,$NN$26/$NT$26)),0)</f>
        <v/>
      </c>
      <c r="GI26" s="228">
        <f>IF(AND(187&gt;=$NR$26,187&lt;=$NS$26),IF($NP$26="Single_Point",IF(187=$NR$26,$NN$26,0),IF($NP$26="Bell_Curve",$NN$26*(187-$NR$26+1)*($NS$26-187+1)/$NU$26,$NN$26/$NT$26)),0)</f>
        <v/>
      </c>
      <c r="GJ26" s="228">
        <f>IF(AND(188&gt;=$NR$26,188&lt;=$NS$26),IF($NP$26="Single_Point",IF(188=$NR$26,$NN$26,0),IF($NP$26="Bell_Curve",$NN$26*(188-$NR$26+1)*($NS$26-188+1)/$NU$26,$NN$26/$NT$26)),0)</f>
        <v/>
      </c>
      <c r="GK26" s="228">
        <f>IF(AND(189&gt;=$NR$26,189&lt;=$NS$26),IF($NP$26="Single_Point",IF(189=$NR$26,$NN$26,0),IF($NP$26="Bell_Curve",$NN$26*(189-$NR$26+1)*($NS$26-189+1)/$NU$26,$NN$26/$NT$26)),0)</f>
        <v/>
      </c>
      <c r="GL26" s="228">
        <f>IF(AND(190&gt;=$NR$26,190&lt;=$NS$26),IF($NP$26="Single_Point",IF(190=$NR$26,$NN$26,0),IF($NP$26="Bell_Curve",$NN$26*(190-$NR$26+1)*($NS$26-190+1)/$NU$26,$NN$26/$NT$26)),0)</f>
        <v/>
      </c>
      <c r="GM26" s="228">
        <f>IF(AND(191&gt;=$NR$26,191&lt;=$NS$26),IF($NP$26="Single_Point",IF(191=$NR$26,$NN$26,0),IF($NP$26="Bell_Curve",$NN$26*(191-$NR$26+1)*($NS$26-191+1)/$NU$26,$NN$26/$NT$26)),0)</f>
        <v/>
      </c>
      <c r="GN26" s="228">
        <f>IF(AND(192&gt;=$NR$26,192&lt;=$NS$26),IF($NP$26="Single_Point",IF(192=$NR$26,$NN$26,0),IF($NP$26="Bell_Curve",$NN$26*(192-$NR$26+1)*($NS$26-192+1)/$NU$26,$NN$26/$NT$26)),0)</f>
        <v/>
      </c>
      <c r="GO26" s="228">
        <f>IF(AND(193&gt;=$NR$26,193&lt;=$NS$26),IF($NP$26="Single_Point",IF(193=$NR$26,$NN$26,0),IF($NP$26="Bell_Curve",$NN$26*(193-$NR$26+1)*($NS$26-193+1)/$NU$26,$NN$26/$NT$26)),0)</f>
        <v/>
      </c>
      <c r="GP26" s="228">
        <f>IF(AND(194&gt;=$NR$26,194&lt;=$NS$26),IF($NP$26="Single_Point",IF(194=$NR$26,$NN$26,0),IF($NP$26="Bell_Curve",$NN$26*(194-$NR$26+1)*($NS$26-194+1)/$NU$26,$NN$26/$NT$26)),0)</f>
        <v/>
      </c>
      <c r="GQ26" s="228">
        <f>IF(AND(195&gt;=$NR$26,195&lt;=$NS$26),IF($NP$26="Single_Point",IF(195=$NR$26,$NN$26,0),IF($NP$26="Bell_Curve",$NN$26*(195-$NR$26+1)*($NS$26-195+1)/$NU$26,$NN$26/$NT$26)),0)</f>
        <v/>
      </c>
      <c r="GR26" s="228">
        <f>IF(AND(196&gt;=$NR$26,196&lt;=$NS$26),IF($NP$26="Single_Point",IF(196=$NR$26,$NN$26,0),IF($NP$26="Bell_Curve",$NN$26*(196-$NR$26+1)*($NS$26-196+1)/$NU$26,$NN$26/$NT$26)),0)</f>
        <v/>
      </c>
      <c r="GS26" s="228">
        <f>IF(AND(197&gt;=$NR$26,197&lt;=$NS$26),IF($NP$26="Single_Point",IF(197=$NR$26,$NN$26,0),IF($NP$26="Bell_Curve",$NN$26*(197-$NR$26+1)*($NS$26-197+1)/$NU$26,$NN$26/$NT$26)),0)</f>
        <v/>
      </c>
      <c r="GT26" s="228">
        <f>IF(AND(198&gt;=$NR$26,198&lt;=$NS$26),IF($NP$26="Single_Point",IF(198=$NR$26,$NN$26,0),IF($NP$26="Bell_Curve",$NN$26*(198-$NR$26+1)*($NS$26-198+1)/$NU$26,$NN$26/$NT$26)),0)</f>
        <v/>
      </c>
      <c r="GU26" s="228">
        <f>IF(AND(199&gt;=$NR$26,199&lt;=$NS$26),IF($NP$26="Single_Point",IF(199=$NR$26,$NN$26,0),IF($NP$26="Bell_Curve",$NN$26*(199-$NR$26+1)*($NS$26-199+1)/$NU$26,$NN$26/$NT$26)),0)</f>
        <v/>
      </c>
      <c r="GV26" s="228">
        <f>IF(AND(200&gt;=$NR$26,200&lt;=$NS$26),IF($NP$26="Single_Point",IF(200=$NR$26,$NN$26,0),IF($NP$26="Bell_Curve",$NN$26*(200-$NR$26+1)*($NS$26-200+1)/$NU$26,$NN$26/$NT$26)),0)</f>
        <v/>
      </c>
      <c r="GW26" s="228">
        <f>IF(AND(201&gt;=$NR$26,201&lt;=$NS$26),IF($NP$26="Single_Point",IF(201=$NR$26,$NN$26,0),IF($NP$26="Bell_Curve",$NN$26*(201-$NR$26+1)*($NS$26-201+1)/$NU$26,$NN$26/$NT$26)),0)</f>
        <v/>
      </c>
      <c r="GX26" s="228">
        <f>IF(AND(202&gt;=$NR$26,202&lt;=$NS$26),IF($NP$26="Single_Point",IF(202=$NR$26,$NN$26,0),IF($NP$26="Bell_Curve",$NN$26*(202-$NR$26+1)*($NS$26-202+1)/$NU$26,$NN$26/$NT$26)),0)</f>
        <v/>
      </c>
      <c r="GY26" s="228">
        <f>IF(AND(203&gt;=$NR$26,203&lt;=$NS$26),IF($NP$26="Single_Point",IF(203=$NR$26,$NN$26,0),IF($NP$26="Bell_Curve",$NN$26*(203-$NR$26+1)*($NS$26-203+1)/$NU$26,$NN$26/$NT$26)),0)</f>
        <v/>
      </c>
      <c r="GZ26" s="228">
        <f>IF(AND(204&gt;=$NR$26,204&lt;=$NS$26),IF($NP$26="Single_Point",IF(204=$NR$26,$NN$26,0),IF($NP$26="Bell_Curve",$NN$26*(204-$NR$26+1)*($NS$26-204+1)/$NU$26,$NN$26/$NT$26)),0)</f>
        <v/>
      </c>
      <c r="HA26" s="228">
        <f>IF(AND(205&gt;=$NR$26,205&lt;=$NS$26),IF($NP$26="Single_Point",IF(205=$NR$26,$NN$26,0),IF($NP$26="Bell_Curve",$NN$26*(205-$NR$26+1)*($NS$26-205+1)/$NU$26,$NN$26/$NT$26)),0)</f>
        <v/>
      </c>
      <c r="HB26" s="228">
        <f>IF(AND(206&gt;=$NR$26,206&lt;=$NS$26),IF($NP$26="Single_Point",IF(206=$NR$26,$NN$26,0),IF($NP$26="Bell_Curve",$NN$26*(206-$NR$26+1)*($NS$26-206+1)/$NU$26,$NN$26/$NT$26)),0)</f>
        <v/>
      </c>
      <c r="HC26" s="228">
        <f>IF(AND(207&gt;=$NR$26,207&lt;=$NS$26),IF($NP$26="Single_Point",IF(207=$NR$26,$NN$26,0),IF($NP$26="Bell_Curve",$NN$26*(207-$NR$26+1)*($NS$26-207+1)/$NU$26,$NN$26/$NT$26)),0)</f>
        <v/>
      </c>
      <c r="HD26" s="228">
        <f>IF(AND(208&gt;=$NR$26,208&lt;=$NS$26),IF($NP$26="Single_Point",IF(208=$NR$26,$NN$26,0),IF($NP$26="Bell_Curve",$NN$26*(208-$NR$26+1)*($NS$26-208+1)/$NU$26,$NN$26/$NT$26)),0)</f>
        <v/>
      </c>
      <c r="HE26" s="228">
        <f>IF(AND(209&gt;=$NR$26,209&lt;=$NS$26),IF($NP$26="Single_Point",IF(209=$NR$26,$NN$26,0),IF($NP$26="Bell_Curve",$NN$26*(209-$NR$26+1)*($NS$26-209+1)/$NU$26,$NN$26/$NT$26)),0)</f>
        <v/>
      </c>
      <c r="HF26" s="228">
        <f>IF(AND(210&gt;=$NR$26,210&lt;=$NS$26),IF($NP$26="Single_Point",IF(210=$NR$26,$NN$26,0),IF($NP$26="Bell_Curve",$NN$26*(210-$NR$26+1)*($NS$26-210+1)/$NU$26,$NN$26/$NT$26)),0)</f>
        <v/>
      </c>
      <c r="HG26" s="228">
        <f>IF(AND(211&gt;=$NR$26,211&lt;=$NS$26),IF($NP$26="Single_Point",IF(211=$NR$26,$NN$26,0),IF($NP$26="Bell_Curve",$NN$26*(211-$NR$26+1)*($NS$26-211+1)/$NU$26,$NN$26/$NT$26)),0)</f>
        <v/>
      </c>
      <c r="HH26" s="228">
        <f>IF(AND(212&gt;=$NR$26,212&lt;=$NS$26),IF($NP$26="Single_Point",IF(212=$NR$26,$NN$26,0),IF($NP$26="Bell_Curve",$NN$26*(212-$NR$26+1)*($NS$26-212+1)/$NU$26,$NN$26/$NT$26)),0)</f>
        <v/>
      </c>
      <c r="HI26" s="228">
        <f>IF(AND(213&gt;=$NR$26,213&lt;=$NS$26),IF($NP$26="Single_Point",IF(213=$NR$26,$NN$26,0),IF($NP$26="Bell_Curve",$NN$26*(213-$NR$26+1)*($NS$26-213+1)/$NU$26,$NN$26/$NT$26)),0)</f>
        <v/>
      </c>
      <c r="HJ26" s="228">
        <f>IF(AND(214&gt;=$NR$26,214&lt;=$NS$26),IF($NP$26="Single_Point",IF(214=$NR$26,$NN$26,0),IF($NP$26="Bell_Curve",$NN$26*(214-$NR$26+1)*($NS$26-214+1)/$NU$26,$NN$26/$NT$26)),0)</f>
        <v/>
      </c>
      <c r="HK26" s="228">
        <f>IF(AND(215&gt;=$NR$26,215&lt;=$NS$26),IF($NP$26="Single_Point",IF(215=$NR$26,$NN$26,0),IF($NP$26="Bell_Curve",$NN$26*(215-$NR$26+1)*($NS$26-215+1)/$NU$26,$NN$26/$NT$26)),0)</f>
        <v/>
      </c>
      <c r="HL26" s="228">
        <f>IF(AND(216&gt;=$NR$26,216&lt;=$NS$26),IF($NP$26="Single_Point",IF(216=$NR$26,$NN$26,0),IF($NP$26="Bell_Curve",$NN$26*(216-$NR$26+1)*($NS$26-216+1)/$NU$26,$NN$26/$NT$26)),0)</f>
        <v/>
      </c>
      <c r="HM26" s="228">
        <f>IF(AND(217&gt;=$NR$26,217&lt;=$NS$26),IF($NP$26="Single_Point",IF(217=$NR$26,$NN$26,0),IF($NP$26="Bell_Curve",$NN$26*(217-$NR$26+1)*($NS$26-217+1)/$NU$26,$NN$26/$NT$26)),0)</f>
        <v/>
      </c>
      <c r="HN26" s="228">
        <f>IF(AND(218&gt;=$NR$26,218&lt;=$NS$26),IF($NP$26="Single_Point",IF(218=$NR$26,$NN$26,0),IF($NP$26="Bell_Curve",$NN$26*(218-$NR$26+1)*($NS$26-218+1)/$NU$26,$NN$26/$NT$26)),0)</f>
        <v/>
      </c>
      <c r="HO26" s="228">
        <f>IF(AND(219&gt;=$NR$26,219&lt;=$NS$26),IF($NP$26="Single_Point",IF(219=$NR$26,$NN$26,0),IF($NP$26="Bell_Curve",$NN$26*(219-$NR$26+1)*($NS$26-219+1)/$NU$26,$NN$26/$NT$26)),0)</f>
        <v/>
      </c>
      <c r="HP26" s="228">
        <f>IF(AND(220&gt;=$NR$26,220&lt;=$NS$26),IF($NP$26="Single_Point",IF(220=$NR$26,$NN$26,0),IF($NP$26="Bell_Curve",$NN$26*(220-$NR$26+1)*($NS$26-220+1)/$NU$26,$NN$26/$NT$26)),0)</f>
        <v/>
      </c>
      <c r="HQ26" s="228">
        <f>IF(AND(221&gt;=$NR$26,221&lt;=$NS$26),IF($NP$26="Single_Point",IF(221=$NR$26,$NN$26,0),IF($NP$26="Bell_Curve",$NN$26*(221-$NR$26+1)*($NS$26-221+1)/$NU$26,$NN$26/$NT$26)),0)</f>
        <v/>
      </c>
      <c r="HR26" s="228">
        <f>IF(AND(222&gt;=$NR$26,222&lt;=$NS$26),IF($NP$26="Single_Point",IF(222=$NR$26,$NN$26,0),IF($NP$26="Bell_Curve",$NN$26*(222-$NR$26+1)*($NS$26-222+1)/$NU$26,$NN$26/$NT$26)),0)</f>
        <v/>
      </c>
      <c r="HS26" s="228">
        <f>IF(AND(223&gt;=$NR$26,223&lt;=$NS$26),IF($NP$26="Single_Point",IF(223=$NR$26,$NN$26,0),IF($NP$26="Bell_Curve",$NN$26*(223-$NR$26+1)*($NS$26-223+1)/$NU$26,$NN$26/$NT$26)),0)</f>
        <v/>
      </c>
      <c r="HT26" s="228">
        <f>IF(AND(224&gt;=$NR$26,224&lt;=$NS$26),IF($NP$26="Single_Point",IF(224=$NR$26,$NN$26,0),IF($NP$26="Bell_Curve",$NN$26*(224-$NR$26+1)*($NS$26-224+1)/$NU$26,$NN$26/$NT$26)),0)</f>
        <v/>
      </c>
      <c r="HU26" s="228">
        <f>IF(AND(225&gt;=$NR$26,225&lt;=$NS$26),IF($NP$26="Single_Point",IF(225=$NR$26,$NN$26,0),IF($NP$26="Bell_Curve",$NN$26*(225-$NR$26+1)*($NS$26-225+1)/$NU$26,$NN$26/$NT$26)),0)</f>
        <v/>
      </c>
      <c r="HV26" s="228">
        <f>IF(AND(226&gt;=$NR$26,226&lt;=$NS$26),IF($NP$26="Single_Point",IF(226=$NR$26,$NN$26,0),IF($NP$26="Bell_Curve",$NN$26*(226-$NR$26+1)*($NS$26-226+1)/$NU$26,$NN$26/$NT$26)),0)</f>
        <v/>
      </c>
      <c r="HW26" s="228">
        <f>IF(AND(227&gt;=$NR$26,227&lt;=$NS$26),IF($NP$26="Single_Point",IF(227=$NR$26,$NN$26,0),IF($NP$26="Bell_Curve",$NN$26*(227-$NR$26+1)*($NS$26-227+1)/$NU$26,$NN$26/$NT$26)),0)</f>
        <v/>
      </c>
      <c r="HX26" s="228">
        <f>IF(AND(228&gt;=$NR$26,228&lt;=$NS$26),IF($NP$26="Single_Point",IF(228=$NR$26,$NN$26,0),IF($NP$26="Bell_Curve",$NN$26*(228-$NR$26+1)*($NS$26-228+1)/$NU$26,$NN$26/$NT$26)),0)</f>
        <v/>
      </c>
      <c r="HY26" s="228">
        <f>IF(AND(229&gt;=$NR$26,229&lt;=$NS$26),IF($NP$26="Single_Point",IF(229=$NR$26,$NN$26,0),IF($NP$26="Bell_Curve",$NN$26*(229-$NR$26+1)*($NS$26-229+1)/$NU$26,$NN$26/$NT$26)),0)</f>
        <v/>
      </c>
      <c r="HZ26" s="228">
        <f>IF(AND(230&gt;=$NR$26,230&lt;=$NS$26),IF($NP$26="Single_Point",IF(230=$NR$26,$NN$26,0),IF($NP$26="Bell_Curve",$NN$26*(230-$NR$26+1)*($NS$26-230+1)/$NU$26,$NN$26/$NT$26)),0)</f>
        <v/>
      </c>
      <c r="IA26" s="228">
        <f>IF(AND(231&gt;=$NR$26,231&lt;=$NS$26),IF($NP$26="Single_Point",IF(231=$NR$26,$NN$26,0),IF($NP$26="Bell_Curve",$NN$26*(231-$NR$26+1)*($NS$26-231+1)/$NU$26,$NN$26/$NT$26)),0)</f>
        <v/>
      </c>
      <c r="IB26" s="228">
        <f>IF(AND(232&gt;=$NR$26,232&lt;=$NS$26),IF($NP$26="Single_Point",IF(232=$NR$26,$NN$26,0),IF($NP$26="Bell_Curve",$NN$26*(232-$NR$26+1)*($NS$26-232+1)/$NU$26,$NN$26/$NT$26)),0)</f>
        <v/>
      </c>
      <c r="IC26" s="228">
        <f>IF(AND(233&gt;=$NR$26,233&lt;=$NS$26),IF($NP$26="Single_Point",IF(233=$NR$26,$NN$26,0),IF($NP$26="Bell_Curve",$NN$26*(233-$NR$26+1)*($NS$26-233+1)/$NU$26,$NN$26/$NT$26)),0)</f>
        <v/>
      </c>
      <c r="ID26" s="228">
        <f>IF(AND(234&gt;=$NR$26,234&lt;=$NS$26),IF($NP$26="Single_Point",IF(234=$NR$26,$NN$26,0),IF($NP$26="Bell_Curve",$NN$26*(234-$NR$26+1)*($NS$26-234+1)/$NU$26,$NN$26/$NT$26)),0)</f>
        <v/>
      </c>
      <c r="IE26" s="228">
        <f>IF(AND(235&gt;=$NR$26,235&lt;=$NS$26),IF($NP$26="Single_Point",IF(235=$NR$26,$NN$26,0),IF($NP$26="Bell_Curve",$NN$26*(235-$NR$26+1)*($NS$26-235+1)/$NU$26,$NN$26/$NT$26)),0)</f>
        <v/>
      </c>
      <c r="IF26" s="228">
        <f>IF(AND(236&gt;=$NR$26,236&lt;=$NS$26),IF($NP$26="Single_Point",IF(236=$NR$26,$NN$26,0),IF($NP$26="Bell_Curve",$NN$26*(236-$NR$26+1)*($NS$26-236+1)/$NU$26,$NN$26/$NT$26)),0)</f>
        <v/>
      </c>
      <c r="IG26" s="228">
        <f>IF(AND(237&gt;=$NR$26,237&lt;=$NS$26),IF($NP$26="Single_Point",IF(237=$NR$26,$NN$26,0),IF($NP$26="Bell_Curve",$NN$26*(237-$NR$26+1)*($NS$26-237+1)/$NU$26,$NN$26/$NT$26)),0)</f>
        <v/>
      </c>
      <c r="IH26" s="228">
        <f>IF(AND(238&gt;=$NR$26,238&lt;=$NS$26),IF($NP$26="Single_Point",IF(238=$NR$26,$NN$26,0),IF($NP$26="Bell_Curve",$NN$26*(238-$NR$26+1)*($NS$26-238+1)/$NU$26,$NN$26/$NT$26)),0)</f>
        <v/>
      </c>
      <c r="II26" s="228">
        <f>IF(AND(239&gt;=$NR$26,239&lt;=$NS$26),IF($NP$26="Single_Point",IF(239=$NR$26,$NN$26,0),IF($NP$26="Bell_Curve",$NN$26*(239-$NR$26+1)*($NS$26-239+1)/$NU$26,$NN$26/$NT$26)),0)</f>
        <v/>
      </c>
      <c r="IJ26" s="228">
        <f>IF(AND(240&gt;=$NR$26,240&lt;=$NS$26),IF($NP$26="Single_Point",IF(240=$NR$26,$NN$26,0),IF($NP$26="Bell_Curve",$NN$26*(240-$NR$26+1)*($NS$26-240+1)/$NU$26,$NN$26/$NT$26)),0)</f>
        <v/>
      </c>
      <c r="IK26" s="228">
        <f>IF(AND(241&gt;=$NR$26,241&lt;=$NS$26),IF($NP$26="Single_Point",IF(241=$NR$26,$NN$26,0),IF($NP$26="Bell_Curve",$NN$26*(241-$NR$26+1)*($NS$26-241+1)/$NU$26,$NN$26/$NT$26)),0)</f>
        <v/>
      </c>
      <c r="IL26" s="228">
        <f>IF(AND(242&gt;=$NR$26,242&lt;=$NS$26),IF($NP$26="Single_Point",IF(242=$NR$26,$NN$26,0),IF($NP$26="Bell_Curve",$NN$26*(242-$NR$26+1)*($NS$26-242+1)/$NU$26,$NN$26/$NT$26)),0)</f>
        <v/>
      </c>
      <c r="IM26" s="228">
        <f>IF(AND(243&gt;=$NR$26,243&lt;=$NS$26),IF($NP$26="Single_Point",IF(243=$NR$26,$NN$26,0),IF($NP$26="Bell_Curve",$NN$26*(243-$NR$26+1)*($NS$26-243+1)/$NU$26,$NN$26/$NT$26)),0)</f>
        <v/>
      </c>
      <c r="IN26" s="228">
        <f>IF(AND(244&gt;=$NR$26,244&lt;=$NS$26),IF($NP$26="Single_Point",IF(244=$NR$26,$NN$26,0),IF($NP$26="Bell_Curve",$NN$26*(244-$NR$26+1)*($NS$26-244+1)/$NU$26,$NN$26/$NT$26)),0)</f>
        <v/>
      </c>
      <c r="IO26" s="228">
        <f>IF(AND(245&gt;=$NR$26,245&lt;=$NS$26),IF($NP$26="Single_Point",IF(245=$NR$26,$NN$26,0),IF($NP$26="Bell_Curve",$NN$26*(245-$NR$26+1)*($NS$26-245+1)/$NU$26,$NN$26/$NT$26)),0)</f>
        <v/>
      </c>
      <c r="IP26" s="228">
        <f>IF(AND(246&gt;=$NR$26,246&lt;=$NS$26),IF($NP$26="Single_Point",IF(246=$NR$26,$NN$26,0),IF($NP$26="Bell_Curve",$NN$26*(246-$NR$26+1)*($NS$26-246+1)/$NU$26,$NN$26/$NT$26)),0)</f>
        <v/>
      </c>
      <c r="IQ26" s="228">
        <f>IF(AND(247&gt;=$NR$26,247&lt;=$NS$26),IF($NP$26="Single_Point",IF(247=$NR$26,$NN$26,0),IF($NP$26="Bell_Curve",$NN$26*(247-$NR$26+1)*($NS$26-247+1)/$NU$26,$NN$26/$NT$26)),0)</f>
        <v/>
      </c>
      <c r="IR26" s="228">
        <f>IF(AND(248&gt;=$NR$26,248&lt;=$NS$26),IF($NP$26="Single_Point",IF(248=$NR$26,$NN$26,0),IF($NP$26="Bell_Curve",$NN$26*(248-$NR$26+1)*($NS$26-248+1)/$NU$26,$NN$26/$NT$26)),0)</f>
        <v/>
      </c>
      <c r="IS26" s="228">
        <f>IF(AND(249&gt;=$NR$26,249&lt;=$NS$26),IF($NP$26="Single_Point",IF(249=$NR$26,$NN$26,0),IF($NP$26="Bell_Curve",$NN$26*(249-$NR$26+1)*($NS$26-249+1)/$NU$26,$NN$26/$NT$26)),0)</f>
        <v/>
      </c>
      <c r="IT26" s="228">
        <f>IF(AND(250&gt;=$NR$26,250&lt;=$NS$26),IF($NP$26="Single_Point",IF(250=$NR$26,$NN$26,0),IF($NP$26="Bell_Curve",$NN$26*(250-$NR$26+1)*($NS$26-250+1)/$NU$26,$NN$26/$NT$26)),0)</f>
        <v/>
      </c>
      <c r="IU26" s="228">
        <f>IF(AND(251&gt;=$NR$26,251&lt;=$NS$26),IF($NP$26="Single_Point",IF(251=$NR$26,$NN$26,0),IF($NP$26="Bell_Curve",$NN$26*(251-$NR$26+1)*($NS$26-251+1)/$NU$26,$NN$26/$NT$26)),0)</f>
        <v/>
      </c>
      <c r="IV26" s="228">
        <f>IF(AND(252&gt;=$NR$26,252&lt;=$NS$26),IF($NP$26="Single_Point",IF(252=$NR$26,$NN$26,0),IF($NP$26="Bell_Curve",$NN$26*(252-$NR$26+1)*($NS$26-252+1)/$NU$26,$NN$26/$NT$26)),0)</f>
        <v/>
      </c>
      <c r="IW26" s="228">
        <f>IF(AND(253&gt;=$NR$26,253&lt;=$NS$26),IF($NP$26="Single_Point",IF(253=$NR$26,$NN$26,0),IF($NP$26="Bell_Curve",$NN$26*(253-$NR$26+1)*($NS$26-253+1)/$NU$26,$NN$26/$NT$26)),0)</f>
        <v/>
      </c>
      <c r="IX26" s="228">
        <f>IF(AND(254&gt;=$NR$26,254&lt;=$NS$26),IF($NP$26="Single_Point",IF(254=$NR$26,$NN$26,0),IF($NP$26="Bell_Curve",$NN$26*(254-$NR$26+1)*($NS$26-254+1)/$NU$26,$NN$26/$NT$26)),0)</f>
        <v/>
      </c>
      <c r="IY26" s="228">
        <f>IF(AND(255&gt;=$NR$26,255&lt;=$NS$26),IF($NP$26="Single_Point",IF(255=$NR$26,$NN$26,0),IF($NP$26="Bell_Curve",$NN$26*(255-$NR$26+1)*($NS$26-255+1)/$NU$26,$NN$26/$NT$26)),0)</f>
        <v/>
      </c>
      <c r="IZ26" s="228">
        <f>IF(AND(256&gt;=$NR$26,256&lt;=$NS$26),IF($NP$26="Single_Point",IF(256=$NR$26,$NN$26,0),IF($NP$26="Bell_Curve",$NN$26*(256-$NR$26+1)*($NS$26-256+1)/$NU$26,$NN$26/$NT$26)),0)</f>
        <v/>
      </c>
      <c r="JA26" s="228">
        <f>IF(AND(257&gt;=$NR$26,257&lt;=$NS$26),IF($NP$26="Single_Point",IF(257=$NR$26,$NN$26,0),IF($NP$26="Bell_Curve",$NN$26*(257-$NR$26+1)*($NS$26-257+1)/$NU$26,$NN$26/$NT$26)),0)</f>
        <v/>
      </c>
      <c r="JB26" s="228">
        <f>IF(AND(258&gt;=$NR$26,258&lt;=$NS$26),IF($NP$26="Single_Point",IF(258=$NR$26,$NN$26,0),IF($NP$26="Bell_Curve",$NN$26*(258-$NR$26+1)*($NS$26-258+1)/$NU$26,$NN$26/$NT$26)),0)</f>
        <v/>
      </c>
      <c r="JC26" s="228">
        <f>IF(AND(259&gt;=$NR$26,259&lt;=$NS$26),IF($NP$26="Single_Point",IF(259=$NR$26,$NN$26,0),IF($NP$26="Bell_Curve",$NN$26*(259-$NR$26+1)*($NS$26-259+1)/$NU$26,$NN$26/$NT$26)),0)</f>
        <v/>
      </c>
      <c r="JD26" s="228">
        <f>IF(AND(260&gt;=$NR$26,260&lt;=$NS$26),IF($NP$26="Single_Point",IF(260=$NR$26,$NN$26,0),IF($NP$26="Bell_Curve",$NN$26*(260-$NR$26+1)*($NS$26-260+1)/$NU$26,$NN$26/$NT$26)),0)</f>
        <v/>
      </c>
      <c r="JE26" s="228">
        <f>IF(AND(261&gt;=$NR$26,261&lt;=$NS$26),IF($NP$26="Single_Point",IF(261=$NR$26,$NN$26,0),IF($NP$26="Bell_Curve",$NN$26*(261-$NR$26+1)*($NS$26-261+1)/$NU$26,$NN$26/$NT$26)),0)</f>
        <v/>
      </c>
      <c r="JF26" s="228">
        <f>IF(AND(262&gt;=$NR$26,262&lt;=$NS$26),IF($NP$26="Single_Point",IF(262=$NR$26,$NN$26,0),IF($NP$26="Bell_Curve",$NN$26*(262-$NR$26+1)*($NS$26-262+1)/$NU$26,$NN$26/$NT$26)),0)</f>
        <v/>
      </c>
      <c r="JG26" s="228">
        <f>IF(AND(263&gt;=$NR$26,263&lt;=$NS$26),IF($NP$26="Single_Point",IF(263=$NR$26,$NN$26,0),IF($NP$26="Bell_Curve",$NN$26*(263-$NR$26+1)*($NS$26-263+1)/$NU$26,$NN$26/$NT$26)),0)</f>
        <v/>
      </c>
      <c r="JH26" s="228">
        <f>IF(AND(264&gt;=$NR$26,264&lt;=$NS$26),IF($NP$26="Single_Point",IF(264=$NR$26,$NN$26,0),IF($NP$26="Bell_Curve",$NN$26*(264-$NR$26+1)*($NS$26-264+1)/$NU$26,$NN$26/$NT$26)),0)</f>
        <v/>
      </c>
      <c r="JI26" s="228">
        <f>IF(AND(265&gt;=$NR$26,265&lt;=$NS$26),IF($NP$26="Single_Point",IF(265=$NR$26,$NN$26,0),IF($NP$26="Bell_Curve",$NN$26*(265-$NR$26+1)*($NS$26-265+1)/$NU$26,$NN$26/$NT$26)),0)</f>
        <v/>
      </c>
      <c r="JJ26" s="228">
        <f>IF(AND(266&gt;=$NR$26,266&lt;=$NS$26),IF($NP$26="Single_Point",IF(266=$NR$26,$NN$26,0),IF($NP$26="Bell_Curve",$NN$26*(266-$NR$26+1)*($NS$26-266+1)/$NU$26,$NN$26/$NT$26)),0)</f>
        <v/>
      </c>
      <c r="JK26" s="228">
        <f>IF(AND(267&gt;=$NR$26,267&lt;=$NS$26),IF($NP$26="Single_Point",IF(267=$NR$26,$NN$26,0),IF($NP$26="Bell_Curve",$NN$26*(267-$NR$26+1)*($NS$26-267+1)/$NU$26,$NN$26/$NT$26)),0)</f>
        <v/>
      </c>
      <c r="JL26" s="228">
        <f>IF(AND(268&gt;=$NR$26,268&lt;=$NS$26),IF($NP$26="Single_Point",IF(268=$NR$26,$NN$26,0),IF($NP$26="Bell_Curve",$NN$26*(268-$NR$26+1)*($NS$26-268+1)/$NU$26,$NN$26/$NT$26)),0)</f>
        <v/>
      </c>
      <c r="JM26" s="228">
        <f>IF(AND(269&gt;=$NR$26,269&lt;=$NS$26),IF($NP$26="Single_Point",IF(269=$NR$26,$NN$26,0),IF($NP$26="Bell_Curve",$NN$26*(269-$NR$26+1)*($NS$26-269+1)/$NU$26,$NN$26/$NT$26)),0)</f>
        <v/>
      </c>
      <c r="JN26" s="228">
        <f>IF(AND(270&gt;=$NR$26,270&lt;=$NS$26),IF($NP$26="Single_Point",IF(270=$NR$26,$NN$26,0),IF($NP$26="Bell_Curve",$NN$26*(270-$NR$26+1)*($NS$26-270+1)/$NU$26,$NN$26/$NT$26)),0)</f>
        <v/>
      </c>
      <c r="JO26" s="228">
        <f>IF(AND(271&gt;=$NR$26,271&lt;=$NS$26),IF($NP$26="Single_Point",IF(271=$NR$26,$NN$26,0),IF($NP$26="Bell_Curve",$NN$26*(271-$NR$26+1)*($NS$26-271+1)/$NU$26,$NN$26/$NT$26)),0)</f>
        <v/>
      </c>
      <c r="JP26" s="228">
        <f>IF(AND(272&gt;=$NR$26,272&lt;=$NS$26),IF($NP$26="Single_Point",IF(272=$NR$26,$NN$26,0),IF($NP$26="Bell_Curve",$NN$26*(272-$NR$26+1)*($NS$26-272+1)/$NU$26,$NN$26/$NT$26)),0)</f>
        <v/>
      </c>
      <c r="JQ26" s="228">
        <f>IF(AND(273&gt;=$NR$26,273&lt;=$NS$26),IF($NP$26="Single_Point",IF(273=$NR$26,$NN$26,0),IF($NP$26="Bell_Curve",$NN$26*(273-$NR$26+1)*($NS$26-273+1)/$NU$26,$NN$26/$NT$26)),0)</f>
        <v/>
      </c>
      <c r="JR26" s="228">
        <f>IF(AND(274&gt;=$NR$26,274&lt;=$NS$26),IF($NP$26="Single_Point",IF(274=$NR$26,$NN$26,0),IF($NP$26="Bell_Curve",$NN$26*(274-$NR$26+1)*($NS$26-274+1)/$NU$26,$NN$26/$NT$26)),0)</f>
        <v/>
      </c>
      <c r="JS26" s="228">
        <f>IF(AND(275&gt;=$NR$26,275&lt;=$NS$26),IF($NP$26="Single_Point",IF(275=$NR$26,$NN$26,0),IF($NP$26="Bell_Curve",$NN$26*(275-$NR$26+1)*($NS$26-275+1)/$NU$26,$NN$26/$NT$26)),0)</f>
        <v/>
      </c>
      <c r="JT26" s="228">
        <f>IF(AND(276&gt;=$NR$26,276&lt;=$NS$26),IF($NP$26="Single_Point",IF(276=$NR$26,$NN$26,0),IF($NP$26="Bell_Curve",$NN$26*(276-$NR$26+1)*($NS$26-276+1)/$NU$26,$NN$26/$NT$26)),0)</f>
        <v/>
      </c>
      <c r="JU26" s="228">
        <f>IF(AND(277&gt;=$NR$26,277&lt;=$NS$26),IF($NP$26="Single_Point",IF(277=$NR$26,$NN$26,0),IF($NP$26="Bell_Curve",$NN$26*(277-$NR$26+1)*($NS$26-277+1)/$NU$26,$NN$26/$NT$26)),0)</f>
        <v/>
      </c>
      <c r="JV26" s="228">
        <f>IF(AND(278&gt;=$NR$26,278&lt;=$NS$26),IF($NP$26="Single_Point",IF(278=$NR$26,$NN$26,0),IF($NP$26="Bell_Curve",$NN$26*(278-$NR$26+1)*($NS$26-278+1)/$NU$26,$NN$26/$NT$26)),0)</f>
        <v/>
      </c>
      <c r="JW26" s="228">
        <f>IF(AND(279&gt;=$NR$26,279&lt;=$NS$26),IF($NP$26="Single_Point",IF(279=$NR$26,$NN$26,0),IF($NP$26="Bell_Curve",$NN$26*(279-$NR$26+1)*($NS$26-279+1)/$NU$26,$NN$26/$NT$26)),0)</f>
        <v/>
      </c>
      <c r="JX26" s="228">
        <f>IF(AND(280&gt;=$NR$26,280&lt;=$NS$26),IF($NP$26="Single_Point",IF(280=$NR$26,$NN$26,0),IF($NP$26="Bell_Curve",$NN$26*(280-$NR$26+1)*($NS$26-280+1)/$NU$26,$NN$26/$NT$26)),0)</f>
        <v/>
      </c>
      <c r="JY26" s="228">
        <f>IF(AND(281&gt;=$NR$26,281&lt;=$NS$26),IF($NP$26="Single_Point",IF(281=$NR$26,$NN$26,0),IF($NP$26="Bell_Curve",$NN$26*(281-$NR$26+1)*($NS$26-281+1)/$NU$26,$NN$26/$NT$26)),0)</f>
        <v/>
      </c>
      <c r="JZ26" s="228">
        <f>IF(AND(282&gt;=$NR$26,282&lt;=$NS$26),IF($NP$26="Single_Point",IF(282=$NR$26,$NN$26,0),IF($NP$26="Bell_Curve",$NN$26*(282-$NR$26+1)*($NS$26-282+1)/$NU$26,$NN$26/$NT$26)),0)</f>
        <v/>
      </c>
      <c r="KA26" s="228">
        <f>IF(AND(283&gt;=$NR$26,283&lt;=$NS$26),IF($NP$26="Single_Point",IF(283=$NR$26,$NN$26,0),IF($NP$26="Bell_Curve",$NN$26*(283-$NR$26+1)*($NS$26-283+1)/$NU$26,$NN$26/$NT$26)),0)</f>
        <v/>
      </c>
      <c r="KB26" s="228">
        <f>IF(AND(284&gt;=$NR$26,284&lt;=$NS$26),IF($NP$26="Single_Point",IF(284=$NR$26,$NN$26,0),IF($NP$26="Bell_Curve",$NN$26*(284-$NR$26+1)*($NS$26-284+1)/$NU$26,$NN$26/$NT$26)),0)</f>
        <v/>
      </c>
      <c r="KC26" s="228">
        <f>IF(AND(285&gt;=$NR$26,285&lt;=$NS$26),IF($NP$26="Single_Point",IF(285=$NR$26,$NN$26,0),IF($NP$26="Bell_Curve",$NN$26*(285-$NR$26+1)*($NS$26-285+1)/$NU$26,$NN$26/$NT$26)),0)</f>
        <v/>
      </c>
      <c r="KD26" s="228">
        <f>IF(AND(286&gt;=$NR$26,286&lt;=$NS$26),IF($NP$26="Single_Point",IF(286=$NR$26,$NN$26,0),IF($NP$26="Bell_Curve",$NN$26*(286-$NR$26+1)*($NS$26-286+1)/$NU$26,$NN$26/$NT$26)),0)</f>
        <v/>
      </c>
      <c r="KE26" s="228">
        <f>IF(AND(287&gt;=$NR$26,287&lt;=$NS$26),IF($NP$26="Single_Point",IF(287=$NR$26,$NN$26,0),IF($NP$26="Bell_Curve",$NN$26*(287-$NR$26+1)*($NS$26-287+1)/$NU$26,$NN$26/$NT$26)),0)</f>
        <v/>
      </c>
      <c r="KF26" s="228">
        <f>IF(AND(288&gt;=$NR$26,288&lt;=$NS$26),IF($NP$26="Single_Point",IF(288=$NR$26,$NN$26,0),IF($NP$26="Bell_Curve",$NN$26*(288-$NR$26+1)*($NS$26-288+1)/$NU$26,$NN$26/$NT$26)),0)</f>
        <v/>
      </c>
      <c r="KG26" s="228">
        <f>IF(AND(289&gt;=$NR$26,289&lt;=$NS$26),IF($NP$26="Single_Point",IF(289=$NR$26,$NN$26,0),IF($NP$26="Bell_Curve",$NN$26*(289-$NR$26+1)*($NS$26-289+1)/$NU$26,$NN$26/$NT$26)),0)</f>
        <v/>
      </c>
      <c r="KH26" s="228">
        <f>IF(AND(290&gt;=$NR$26,290&lt;=$NS$26),IF($NP$26="Single_Point",IF(290=$NR$26,$NN$26,0),IF($NP$26="Bell_Curve",$NN$26*(290-$NR$26+1)*($NS$26-290+1)/$NU$26,$NN$26/$NT$26)),0)</f>
        <v/>
      </c>
      <c r="KI26" s="228">
        <f>IF(AND(291&gt;=$NR$26,291&lt;=$NS$26),IF($NP$26="Single_Point",IF(291=$NR$26,$NN$26,0),IF($NP$26="Bell_Curve",$NN$26*(291-$NR$26+1)*($NS$26-291+1)/$NU$26,$NN$26/$NT$26)),0)</f>
        <v/>
      </c>
      <c r="KJ26" s="228">
        <f>IF(AND(292&gt;=$NR$26,292&lt;=$NS$26),IF($NP$26="Single_Point",IF(292=$NR$26,$NN$26,0),IF($NP$26="Bell_Curve",$NN$26*(292-$NR$26+1)*($NS$26-292+1)/$NU$26,$NN$26/$NT$26)),0)</f>
        <v/>
      </c>
      <c r="KK26" s="228">
        <f>IF(AND(293&gt;=$NR$26,293&lt;=$NS$26),IF($NP$26="Single_Point",IF(293=$NR$26,$NN$26,0),IF($NP$26="Bell_Curve",$NN$26*(293-$NR$26+1)*($NS$26-293+1)/$NU$26,$NN$26/$NT$26)),0)</f>
        <v/>
      </c>
      <c r="KL26" s="228">
        <f>IF(AND(294&gt;=$NR$26,294&lt;=$NS$26),IF($NP$26="Single_Point",IF(294=$NR$26,$NN$26,0),IF($NP$26="Bell_Curve",$NN$26*(294-$NR$26+1)*($NS$26-294+1)/$NU$26,$NN$26/$NT$26)),0)</f>
        <v/>
      </c>
      <c r="KM26" s="228">
        <f>IF(AND(295&gt;=$NR$26,295&lt;=$NS$26),IF($NP$26="Single_Point",IF(295=$NR$26,$NN$26,0),IF($NP$26="Bell_Curve",$NN$26*(295-$NR$26+1)*($NS$26-295+1)/$NU$26,$NN$26/$NT$26)),0)</f>
        <v/>
      </c>
      <c r="KN26" s="228">
        <f>IF(AND(296&gt;=$NR$26,296&lt;=$NS$26),IF($NP$26="Single_Point",IF(296=$NR$26,$NN$26,0),IF($NP$26="Bell_Curve",$NN$26*(296-$NR$26+1)*($NS$26-296+1)/$NU$26,$NN$26/$NT$26)),0)</f>
        <v/>
      </c>
      <c r="KO26" s="228">
        <f>IF(AND(297&gt;=$NR$26,297&lt;=$NS$26),IF($NP$26="Single_Point",IF(297=$NR$26,$NN$26,0),IF($NP$26="Bell_Curve",$NN$26*(297-$NR$26+1)*($NS$26-297+1)/$NU$26,$NN$26/$NT$26)),0)</f>
        <v/>
      </c>
      <c r="KP26" s="228">
        <f>IF(AND(298&gt;=$NR$26,298&lt;=$NS$26),IF($NP$26="Single_Point",IF(298=$NR$26,$NN$26,0),IF($NP$26="Bell_Curve",$NN$26*(298-$NR$26+1)*($NS$26-298+1)/$NU$26,$NN$26/$NT$26)),0)</f>
        <v/>
      </c>
      <c r="KQ26" s="228">
        <f>IF(AND(299&gt;=$NR$26,299&lt;=$NS$26),IF($NP$26="Single_Point",IF(299=$NR$26,$NN$26,0),IF($NP$26="Bell_Curve",$NN$26*(299-$NR$26+1)*($NS$26-299+1)/$NU$26,$NN$26/$NT$26)),0)</f>
        <v/>
      </c>
      <c r="KR26" s="228">
        <f>IF(AND(300&gt;=$NR$26,300&lt;=$NS$26),IF($NP$26="Single_Point",IF(300=$NR$26,$NN$26,0),IF($NP$26="Bell_Curve",$NN$26*(300-$NR$26+1)*($NS$26-300+1)/$NU$26,$NN$26/$NT$26)),0)</f>
        <v/>
      </c>
      <c r="KS26" s="228">
        <f>IF(AND(301&gt;=$NR$26,301&lt;=$NS$26),IF($NP$26="Single_Point",IF(301=$NR$26,$NN$26,0),IF($NP$26="Bell_Curve",$NN$26*(301-$NR$26+1)*($NS$26-301+1)/$NU$26,$NN$26/$NT$26)),0)</f>
        <v/>
      </c>
      <c r="KT26" s="228">
        <f>IF(AND(302&gt;=$NR$26,302&lt;=$NS$26),IF($NP$26="Single_Point",IF(302=$NR$26,$NN$26,0),IF($NP$26="Bell_Curve",$NN$26*(302-$NR$26+1)*($NS$26-302+1)/$NU$26,$NN$26/$NT$26)),0)</f>
        <v/>
      </c>
      <c r="KU26" s="228">
        <f>IF(AND(303&gt;=$NR$26,303&lt;=$NS$26),IF($NP$26="Single_Point",IF(303=$NR$26,$NN$26,0),IF($NP$26="Bell_Curve",$NN$26*(303-$NR$26+1)*($NS$26-303+1)/$NU$26,$NN$26/$NT$26)),0)</f>
        <v/>
      </c>
      <c r="KV26" s="228">
        <f>IF(AND(304&gt;=$NR$26,304&lt;=$NS$26),IF($NP$26="Single_Point",IF(304=$NR$26,$NN$26,0),IF($NP$26="Bell_Curve",$NN$26*(304-$NR$26+1)*($NS$26-304+1)/$NU$26,$NN$26/$NT$26)),0)</f>
        <v/>
      </c>
      <c r="KW26" s="228">
        <f>IF(AND(305&gt;=$NR$26,305&lt;=$NS$26),IF($NP$26="Single_Point",IF(305=$NR$26,$NN$26,0),IF($NP$26="Bell_Curve",$NN$26*(305-$NR$26+1)*($NS$26-305+1)/$NU$26,$NN$26/$NT$26)),0)</f>
        <v/>
      </c>
      <c r="KX26" s="228">
        <f>IF(AND(306&gt;=$NR$26,306&lt;=$NS$26),IF($NP$26="Single_Point",IF(306=$NR$26,$NN$26,0),IF($NP$26="Bell_Curve",$NN$26*(306-$NR$26+1)*($NS$26-306+1)/$NU$26,$NN$26/$NT$26)),0)</f>
        <v/>
      </c>
      <c r="KY26" s="228">
        <f>IF(AND(307&gt;=$NR$26,307&lt;=$NS$26),IF($NP$26="Single_Point",IF(307=$NR$26,$NN$26,0),IF($NP$26="Bell_Curve",$NN$26*(307-$NR$26+1)*($NS$26-307+1)/$NU$26,$NN$26/$NT$26)),0)</f>
        <v/>
      </c>
      <c r="KZ26" s="228">
        <f>IF(AND(308&gt;=$NR$26,308&lt;=$NS$26),IF($NP$26="Single_Point",IF(308=$NR$26,$NN$26,0),IF($NP$26="Bell_Curve",$NN$26*(308-$NR$26+1)*($NS$26-308+1)/$NU$26,$NN$26/$NT$26)),0)</f>
        <v/>
      </c>
      <c r="LA26" s="228">
        <f>IF(AND(309&gt;=$NR$26,309&lt;=$NS$26),IF($NP$26="Single_Point",IF(309=$NR$26,$NN$26,0),IF($NP$26="Bell_Curve",$NN$26*(309-$NR$26+1)*($NS$26-309+1)/$NU$26,$NN$26/$NT$26)),0)</f>
        <v/>
      </c>
      <c r="LB26" s="228">
        <f>IF(AND(310&gt;=$NR$26,310&lt;=$NS$26),IF($NP$26="Single_Point",IF(310=$NR$26,$NN$26,0),IF($NP$26="Bell_Curve",$NN$26*(310-$NR$26+1)*($NS$26-310+1)/$NU$26,$NN$26/$NT$26)),0)</f>
        <v/>
      </c>
      <c r="LC26" s="228">
        <f>IF(AND(311&gt;=$NR$26,311&lt;=$NS$26),IF($NP$26="Single_Point",IF(311=$NR$26,$NN$26,0),IF($NP$26="Bell_Curve",$NN$26*(311-$NR$26+1)*($NS$26-311+1)/$NU$26,$NN$26/$NT$26)),0)</f>
        <v/>
      </c>
      <c r="LD26" s="228">
        <f>IF(AND(312&gt;=$NR$26,312&lt;=$NS$26),IF($NP$26="Single_Point",IF(312=$NR$26,$NN$26,0),IF($NP$26="Bell_Curve",$NN$26*(312-$NR$26+1)*($NS$26-312+1)/$NU$26,$NN$26/$NT$26)),0)</f>
        <v/>
      </c>
      <c r="LE26" s="228">
        <f>IF(AND(313&gt;=$NR$26,313&lt;=$NS$26),IF($NP$26="Single_Point",IF(313=$NR$26,$NN$26,0),IF($NP$26="Bell_Curve",$NN$26*(313-$NR$26+1)*($NS$26-313+1)/$NU$26,$NN$26/$NT$26)),0)</f>
        <v/>
      </c>
      <c r="LF26" s="228">
        <f>IF(AND(314&gt;=$NR$26,314&lt;=$NS$26),IF($NP$26="Single_Point",IF(314=$NR$26,$NN$26,0),IF($NP$26="Bell_Curve",$NN$26*(314-$NR$26+1)*($NS$26-314+1)/$NU$26,$NN$26/$NT$26)),0)</f>
        <v/>
      </c>
      <c r="LG26" s="228">
        <f>IF(AND(315&gt;=$NR$26,315&lt;=$NS$26),IF($NP$26="Single_Point",IF(315=$NR$26,$NN$26,0),IF($NP$26="Bell_Curve",$NN$26*(315-$NR$26+1)*($NS$26-315+1)/$NU$26,$NN$26/$NT$26)),0)</f>
        <v/>
      </c>
      <c r="LH26" s="228">
        <f>IF(AND(316&gt;=$NR$26,316&lt;=$NS$26),IF($NP$26="Single_Point",IF(316=$NR$26,$NN$26,0),IF($NP$26="Bell_Curve",$NN$26*(316-$NR$26+1)*($NS$26-316+1)/$NU$26,$NN$26/$NT$26)),0)</f>
        <v/>
      </c>
      <c r="LI26" s="228">
        <f>IF(AND(317&gt;=$NR$26,317&lt;=$NS$26),IF($NP$26="Single_Point",IF(317=$NR$26,$NN$26,0),IF($NP$26="Bell_Curve",$NN$26*(317-$NR$26+1)*($NS$26-317+1)/$NU$26,$NN$26/$NT$26)),0)</f>
        <v/>
      </c>
      <c r="LJ26" s="228">
        <f>IF(AND(318&gt;=$NR$26,318&lt;=$NS$26),IF($NP$26="Single_Point",IF(318=$NR$26,$NN$26,0),IF($NP$26="Bell_Curve",$NN$26*(318-$NR$26+1)*($NS$26-318+1)/$NU$26,$NN$26/$NT$26)),0)</f>
        <v/>
      </c>
      <c r="LK26" s="228">
        <f>IF(AND(319&gt;=$NR$26,319&lt;=$NS$26),IF($NP$26="Single_Point",IF(319=$NR$26,$NN$26,0),IF($NP$26="Bell_Curve",$NN$26*(319-$NR$26+1)*($NS$26-319+1)/$NU$26,$NN$26/$NT$26)),0)</f>
        <v/>
      </c>
      <c r="LL26" s="228">
        <f>IF(AND(320&gt;=$NR$26,320&lt;=$NS$26),IF($NP$26="Single_Point",IF(320=$NR$26,$NN$26,0),IF($NP$26="Bell_Curve",$NN$26*(320-$NR$26+1)*($NS$26-320+1)/$NU$26,$NN$26/$NT$26)),0)</f>
        <v/>
      </c>
      <c r="LM26" s="228">
        <f>IF(AND(321&gt;=$NR$26,321&lt;=$NS$26),IF($NP$26="Single_Point",IF(321=$NR$26,$NN$26,0),IF($NP$26="Bell_Curve",$NN$26*(321-$NR$26+1)*($NS$26-321+1)/$NU$26,$NN$26/$NT$26)),0)</f>
        <v/>
      </c>
      <c r="LN26" s="228">
        <f>IF(AND(322&gt;=$NR$26,322&lt;=$NS$26),IF($NP$26="Single_Point",IF(322=$NR$26,$NN$26,0),IF($NP$26="Bell_Curve",$NN$26*(322-$NR$26+1)*($NS$26-322+1)/$NU$26,$NN$26/$NT$26)),0)</f>
        <v/>
      </c>
      <c r="LO26" s="228">
        <f>IF(AND(323&gt;=$NR$26,323&lt;=$NS$26),IF($NP$26="Single_Point",IF(323=$NR$26,$NN$26,0),IF($NP$26="Bell_Curve",$NN$26*(323-$NR$26+1)*($NS$26-323+1)/$NU$26,$NN$26/$NT$26)),0)</f>
        <v/>
      </c>
      <c r="LP26" s="228">
        <f>IF(AND(324&gt;=$NR$26,324&lt;=$NS$26),IF($NP$26="Single_Point",IF(324=$NR$26,$NN$26,0),IF($NP$26="Bell_Curve",$NN$26*(324-$NR$26+1)*($NS$26-324+1)/$NU$26,$NN$26/$NT$26)),0)</f>
        <v/>
      </c>
      <c r="LQ26" s="228">
        <f>IF(AND(325&gt;=$NR$26,325&lt;=$NS$26),IF($NP$26="Single_Point",IF(325=$NR$26,$NN$26,0),IF($NP$26="Bell_Curve",$NN$26*(325-$NR$26+1)*($NS$26-325+1)/$NU$26,$NN$26/$NT$26)),0)</f>
        <v/>
      </c>
      <c r="LR26" s="228">
        <f>IF(AND(326&gt;=$NR$26,326&lt;=$NS$26),IF($NP$26="Single_Point",IF(326=$NR$26,$NN$26,0),IF($NP$26="Bell_Curve",$NN$26*(326-$NR$26+1)*($NS$26-326+1)/$NU$26,$NN$26/$NT$26)),0)</f>
        <v/>
      </c>
      <c r="LS26" s="228">
        <f>IF(AND(327&gt;=$NR$26,327&lt;=$NS$26),IF($NP$26="Single_Point",IF(327=$NR$26,$NN$26,0),IF($NP$26="Bell_Curve",$NN$26*(327-$NR$26+1)*($NS$26-327+1)/$NU$26,$NN$26/$NT$26)),0)</f>
        <v/>
      </c>
      <c r="LT26" s="228">
        <f>IF(AND(328&gt;=$NR$26,328&lt;=$NS$26),IF($NP$26="Single_Point",IF(328=$NR$26,$NN$26,0),IF($NP$26="Bell_Curve",$NN$26*(328-$NR$26+1)*($NS$26-328+1)/$NU$26,$NN$26/$NT$26)),0)</f>
        <v/>
      </c>
      <c r="LU26" s="228">
        <f>IF(AND(329&gt;=$NR$26,329&lt;=$NS$26),IF($NP$26="Single_Point",IF(329=$NR$26,$NN$26,0),IF($NP$26="Bell_Curve",$NN$26*(329-$NR$26+1)*($NS$26-329+1)/$NU$26,$NN$26/$NT$26)),0)</f>
        <v/>
      </c>
      <c r="LV26" s="228">
        <f>IF(AND(330&gt;=$NR$26,330&lt;=$NS$26),IF($NP$26="Single_Point",IF(330=$NR$26,$NN$26,0),IF($NP$26="Bell_Curve",$NN$26*(330-$NR$26+1)*($NS$26-330+1)/$NU$26,$NN$26/$NT$26)),0)</f>
        <v/>
      </c>
      <c r="LW26" s="228">
        <f>IF(AND(331&gt;=$NR$26,331&lt;=$NS$26),IF($NP$26="Single_Point",IF(331=$NR$26,$NN$26,0),IF($NP$26="Bell_Curve",$NN$26*(331-$NR$26+1)*($NS$26-331+1)/$NU$26,$NN$26/$NT$26)),0)</f>
        <v/>
      </c>
      <c r="LX26" s="228">
        <f>IF(AND(332&gt;=$NR$26,332&lt;=$NS$26),IF($NP$26="Single_Point",IF(332=$NR$26,$NN$26,0),IF($NP$26="Bell_Curve",$NN$26*(332-$NR$26+1)*($NS$26-332+1)/$NU$26,$NN$26/$NT$26)),0)</f>
        <v/>
      </c>
      <c r="LY26" s="228">
        <f>IF(AND(333&gt;=$NR$26,333&lt;=$NS$26),IF($NP$26="Single_Point",IF(333=$NR$26,$NN$26,0),IF($NP$26="Bell_Curve",$NN$26*(333-$NR$26+1)*($NS$26-333+1)/$NU$26,$NN$26/$NT$26)),0)</f>
        <v/>
      </c>
      <c r="LZ26" s="228">
        <f>IF(AND(334&gt;=$NR$26,334&lt;=$NS$26),IF($NP$26="Single_Point",IF(334=$NR$26,$NN$26,0),IF($NP$26="Bell_Curve",$NN$26*(334-$NR$26+1)*($NS$26-334+1)/$NU$26,$NN$26/$NT$26)),0)</f>
        <v/>
      </c>
      <c r="MA26" s="228">
        <f>IF(AND(335&gt;=$NR$26,335&lt;=$NS$26),IF($NP$26="Single_Point",IF(335=$NR$26,$NN$26,0),IF($NP$26="Bell_Curve",$NN$26*(335-$NR$26+1)*($NS$26-335+1)/$NU$26,$NN$26/$NT$26)),0)</f>
        <v/>
      </c>
      <c r="MB26" s="228">
        <f>IF(AND(336&gt;=$NR$26,336&lt;=$NS$26),IF($NP$26="Single_Point",IF(336=$NR$26,$NN$26,0),IF($NP$26="Bell_Curve",$NN$26*(336-$NR$26+1)*($NS$26-336+1)/$NU$26,$NN$26/$NT$26)),0)</f>
        <v/>
      </c>
      <c r="MC26" s="228">
        <f>IF(AND(337&gt;=$NR$26,337&lt;=$NS$26),IF($NP$26="Single_Point",IF(337=$NR$26,$NN$26,0),IF($NP$26="Bell_Curve",$NN$26*(337-$NR$26+1)*($NS$26-337+1)/$NU$26,$NN$26/$NT$26)),0)</f>
        <v/>
      </c>
      <c r="MD26" s="228">
        <f>IF(AND(338&gt;=$NR$26,338&lt;=$NS$26),IF($NP$26="Single_Point",IF(338=$NR$26,$NN$26,0),IF($NP$26="Bell_Curve",$NN$26*(338-$NR$26+1)*($NS$26-338+1)/$NU$26,$NN$26/$NT$26)),0)</f>
        <v/>
      </c>
      <c r="ME26" s="228">
        <f>IF(AND(339&gt;=$NR$26,339&lt;=$NS$26),IF($NP$26="Single_Point",IF(339=$NR$26,$NN$26,0),IF($NP$26="Bell_Curve",$NN$26*(339-$NR$26+1)*($NS$26-339+1)/$NU$26,$NN$26/$NT$26)),0)</f>
        <v/>
      </c>
      <c r="MF26" s="228">
        <f>IF(AND(340&gt;=$NR$26,340&lt;=$NS$26),IF($NP$26="Single_Point",IF(340=$NR$26,$NN$26,0),IF($NP$26="Bell_Curve",$NN$26*(340-$NR$26+1)*($NS$26-340+1)/$NU$26,$NN$26/$NT$26)),0)</f>
        <v/>
      </c>
      <c r="MG26" s="228">
        <f>IF(AND(341&gt;=$NR$26,341&lt;=$NS$26),IF($NP$26="Single_Point",IF(341=$NR$26,$NN$26,0),IF($NP$26="Bell_Curve",$NN$26*(341-$NR$26+1)*($NS$26-341+1)/$NU$26,$NN$26/$NT$26)),0)</f>
        <v/>
      </c>
      <c r="MH26" s="228">
        <f>IF(AND(342&gt;=$NR$26,342&lt;=$NS$26),IF($NP$26="Single_Point",IF(342=$NR$26,$NN$26,0),IF($NP$26="Bell_Curve",$NN$26*(342-$NR$26+1)*($NS$26-342+1)/$NU$26,$NN$26/$NT$26)),0)</f>
        <v/>
      </c>
      <c r="MI26" s="228">
        <f>IF(AND(343&gt;=$NR$26,343&lt;=$NS$26),IF($NP$26="Single_Point",IF(343=$NR$26,$NN$26,0),IF($NP$26="Bell_Curve",$NN$26*(343-$NR$26+1)*($NS$26-343+1)/$NU$26,$NN$26/$NT$26)),0)</f>
        <v/>
      </c>
      <c r="MJ26" s="228">
        <f>IF(AND(344&gt;=$NR$26,344&lt;=$NS$26),IF($NP$26="Single_Point",IF(344=$NR$26,$NN$26,0),IF($NP$26="Bell_Curve",$NN$26*(344-$NR$26+1)*($NS$26-344+1)/$NU$26,$NN$26/$NT$26)),0)</f>
        <v/>
      </c>
      <c r="MK26" s="228">
        <f>IF(AND(345&gt;=$NR$26,345&lt;=$NS$26),IF($NP$26="Single_Point",IF(345=$NR$26,$NN$26,0),IF($NP$26="Bell_Curve",$NN$26*(345-$NR$26+1)*($NS$26-345+1)/$NU$26,$NN$26/$NT$26)),0)</f>
        <v/>
      </c>
      <c r="ML26" s="228">
        <f>IF(AND(346&gt;=$NR$26,346&lt;=$NS$26),IF($NP$26="Single_Point",IF(346=$NR$26,$NN$26,0),IF($NP$26="Bell_Curve",$NN$26*(346-$NR$26+1)*($NS$26-346+1)/$NU$26,$NN$26/$NT$26)),0)</f>
        <v/>
      </c>
      <c r="MM26" s="228">
        <f>IF(AND(347&gt;=$NR$26,347&lt;=$NS$26),IF($NP$26="Single_Point",IF(347=$NR$26,$NN$26,0),IF($NP$26="Bell_Curve",$NN$26*(347-$NR$26+1)*($NS$26-347+1)/$NU$26,$NN$26/$NT$26)),0)</f>
        <v/>
      </c>
      <c r="MN26" s="228">
        <f>IF(AND(348&gt;=$NR$26,348&lt;=$NS$26),IF($NP$26="Single_Point",IF(348=$NR$26,$NN$26,0),IF($NP$26="Bell_Curve",$NN$26*(348-$NR$26+1)*($NS$26-348+1)/$NU$26,$NN$26/$NT$26)),0)</f>
        <v/>
      </c>
      <c r="MO26" s="228">
        <f>IF(AND(349&gt;=$NR$26,349&lt;=$NS$26),IF($NP$26="Single_Point",IF(349=$NR$26,$NN$26,0),IF($NP$26="Bell_Curve",$NN$26*(349-$NR$26+1)*($NS$26-349+1)/$NU$26,$NN$26/$NT$26)),0)</f>
        <v/>
      </c>
      <c r="MP26" s="228">
        <f>IF(AND(350&gt;=$NR$26,350&lt;=$NS$26),IF($NP$26="Single_Point",IF(350=$NR$26,$NN$26,0),IF($NP$26="Bell_Curve",$NN$26*(350-$NR$26+1)*($NS$26-350+1)/$NU$26,$NN$26/$NT$26)),0)</f>
        <v/>
      </c>
      <c r="MQ26" s="228">
        <f>IF(AND(351&gt;=$NR$26,351&lt;=$NS$26),IF($NP$26="Single_Point",IF(351=$NR$26,$NN$26,0),IF($NP$26="Bell_Curve",$NN$26*(351-$NR$26+1)*($NS$26-351+1)/$NU$26,$NN$26/$NT$26)),0)</f>
        <v/>
      </c>
      <c r="MR26" s="228">
        <f>IF(AND(352&gt;=$NR$26,352&lt;=$NS$26),IF($NP$26="Single_Point",IF(352=$NR$26,$NN$26,0),IF($NP$26="Bell_Curve",$NN$26*(352-$NR$26+1)*($NS$26-352+1)/$NU$26,$NN$26/$NT$26)),0)</f>
        <v/>
      </c>
      <c r="MS26" s="228">
        <f>IF(AND(353&gt;=$NR$26,353&lt;=$NS$26),IF($NP$26="Single_Point",IF(353=$NR$26,$NN$26,0),IF($NP$26="Bell_Curve",$NN$26*(353-$NR$26+1)*($NS$26-353+1)/$NU$26,$NN$26/$NT$26)),0)</f>
        <v/>
      </c>
      <c r="MT26" s="228">
        <f>IF(AND(354&gt;=$NR$26,354&lt;=$NS$26),IF($NP$26="Single_Point",IF(354=$NR$26,$NN$26,0),IF($NP$26="Bell_Curve",$NN$26*(354-$NR$26+1)*($NS$26-354+1)/$NU$26,$NN$26/$NT$26)),0)</f>
        <v/>
      </c>
      <c r="MU26" s="228">
        <f>IF(AND(355&gt;=$NR$26,355&lt;=$NS$26),IF($NP$26="Single_Point",IF(355=$NR$26,$NN$26,0),IF($NP$26="Bell_Curve",$NN$26*(355-$NR$26+1)*($NS$26-355+1)/$NU$26,$NN$26/$NT$26)),0)</f>
        <v/>
      </c>
      <c r="MV26" s="228">
        <f>IF(AND(356&gt;=$NR$26,356&lt;=$NS$26),IF($NP$26="Single_Point",IF(356=$NR$26,$NN$26,0),IF($NP$26="Bell_Curve",$NN$26*(356-$NR$26+1)*($NS$26-356+1)/$NU$26,$NN$26/$NT$26)),0)</f>
        <v/>
      </c>
      <c r="MW26" s="228">
        <f>IF(AND(357&gt;=$NR$26,357&lt;=$NS$26),IF($NP$26="Single_Point",IF(357=$NR$26,$NN$26,0),IF($NP$26="Bell_Curve",$NN$26*(357-$NR$26+1)*($NS$26-357+1)/$NU$26,$NN$26/$NT$26)),0)</f>
        <v/>
      </c>
      <c r="MX26" s="228">
        <f>IF(AND(358&gt;=$NR$26,358&lt;=$NS$26),IF($NP$26="Single_Point",IF(358=$NR$26,$NN$26,0),IF($NP$26="Bell_Curve",$NN$26*(358-$NR$26+1)*($NS$26-358+1)/$NU$26,$NN$26/$NT$26)),0)</f>
        <v/>
      </c>
      <c r="MY26" s="228">
        <f>IF(AND(359&gt;=$NR$26,359&lt;=$NS$26),IF($NP$26="Single_Point",IF(359=$NR$26,$NN$26,0),IF($NP$26="Bell_Curve",$NN$26*(359-$NR$26+1)*($NS$26-359+1)/$NU$26,$NN$26/$NT$26)),0)</f>
        <v/>
      </c>
      <c r="MZ26" s="228">
        <f>IF(AND(360&gt;=$NR$26,360&lt;=$NS$26),IF($NP$26="Single_Point",IF(360=$NR$26,$NN$26,0),IF($NP$26="Bell_Curve",$NN$26*(360-$NR$26+1)*($NS$26-360+1)/$NU$26,$NN$26/$NT$26)),0)</f>
        <v/>
      </c>
      <c r="NA26" s="228">
        <f>IF(AND(361&gt;=$NR$26,361&lt;=$NS$26),IF($NP$26="Single_Point",IF(361=$NR$26,$NN$26,0),IF($NP$26="Bell_Curve",$NN$26*(361-$NR$26+1)*($NS$26-361+1)/$NU$26,$NN$26/$NT$26)),0)</f>
        <v/>
      </c>
      <c r="NB26" s="228">
        <f>IF(AND(362&gt;=$NR$26,362&lt;=$NS$26),IF($NP$26="Single_Point",IF(362=$NR$26,$NN$26,0),IF($NP$26="Bell_Curve",$NN$26*(362-$NR$26+1)*($NS$26-362+1)/$NU$26,$NN$26/$NT$26)),0)</f>
        <v/>
      </c>
      <c r="NC26" s="228">
        <f>IF(AND(363&gt;=$NR$26,363&lt;=$NS$26),IF($NP$26="Single_Point",IF(363=$NR$26,$NN$26,0),IF($NP$26="Bell_Curve",$NN$26*(363-$NR$26+1)*($NS$26-363+1)/$NU$26,$NN$26/$NT$26)),0)</f>
        <v/>
      </c>
      <c r="ND26" s="228">
        <f>IF(AND(364&gt;=$NR$26,364&lt;=$NS$26),IF($NP$26="Single_Point",IF(364=$NR$26,$NN$26,0),IF($NP$26="Bell_Curve",$NN$26*(364-$NR$26+1)*($NS$26-364+1)/$NU$26,$NN$26/$NT$26)),0)</f>
        <v/>
      </c>
      <c r="NE26" s="228">
        <f>IF(AND(365&gt;=$NR$26,365&lt;=$NS$26),IF($NP$26="Single_Point",IF(365=$NR$26,$NN$26,0),IF($NP$26="Bell_Curve",$NN$26*(365-$NR$26+1)*($NS$26-365+1)/$NU$26,$NN$26/$NT$26)),0)</f>
        <v/>
      </c>
      <c r="NF26" s="228">
        <f>IF(AND(366&gt;=$NR$26,366&lt;=$NS$26),IF($NP$26="Single_Point",IF(366=$NR$26,$NN$26,0),IF($NP$26="Bell_Curve",$NN$26*(366-$NR$26+1)*($NS$26-366+1)/$NU$26,$NN$26/$NT$26)),0)</f>
        <v/>
      </c>
      <c r="NG26" s="228">
        <f>IF(AND(367&gt;=$NR$26,367&lt;=$NS$26),IF($NP$26="Single_Point",IF(367=$NR$26,$NN$26,0),IF($NP$26="Bell_Curve",$NN$26*(367-$NR$26+1)*($NS$26-367+1)/$NU$26,$NN$26/$NT$26)),0)</f>
        <v/>
      </c>
      <c r="NH26" s="228">
        <f>IF(AND(368&gt;=$NR$26,368&lt;=$NS$26),IF($NP$26="Single_Point",IF(368=$NR$26,$NN$26,0),IF($NP$26="Bell_Curve",$NN$26*(368-$NR$26+1)*($NS$26-368+1)/$NU$26,$NN$26/$NT$26)),0)</f>
        <v/>
      </c>
      <c r="NI26" s="228">
        <f>IF(AND(369&gt;=$NR$26,369&lt;=$NS$26),IF($NP$26="Single_Point",IF(369=$NR$26,$NN$26,0),IF($NP$26="Bell_Curve",$NN$26*(369-$NR$26+1)*($NS$26-369+1)/$NU$26,$NN$26/$NT$26)),0)</f>
        <v/>
      </c>
      <c r="NJ26" s="228">
        <f>IF(AND(370&gt;=$NR$26,370&lt;=$NS$26),IF($NP$26="Single_Point",IF(370=$NR$26,$NN$26,0),IF($NP$26="Bell_Curve",$NN$26*(370-$NR$26+1)*($NS$26-370+1)/$NU$26,$NN$26/$NT$26)),0)</f>
        <v/>
      </c>
      <c r="NK26" s="228">
        <f>IF(AND(371&gt;=$NR$26,371&lt;=$NS$26),IF($NP$26="Single_Point",IF(371=$NR$26,$NN$26,0),IF($NP$26="Bell_Curve",$NN$26*(371-$NR$26+1)*($NS$26-371+1)/$NU$26,$NN$26/$NT$26)),0)</f>
        <v/>
      </c>
      <c r="NL26" s="247">
        <f>IF(AND(372&gt;=$NR$26,372&lt;=$NS$26),IF($NP$26="Single_Point",IF(372=$NR$26,$NN$26,0),IF($NP$26="Bell_Curve",$NN$26*(372-$NR$26+1)*($NS$26-372+1)/$NU$26,$NN$26/$NT$26)),0)</f>
        <v/>
      </c>
      <c r="NN26" s="218">
        <f>Budget!J25</f>
        <v/>
      </c>
      <c r="NO26" s="144">
        <f>Budget!G25</f>
        <v/>
      </c>
      <c r="NP26" s="144">
        <f>Budget!H25</f>
        <v/>
      </c>
      <c r="NQ26" s="85">
        <f>Budget!I25</f>
        <v/>
      </c>
      <c r="NR26" s="248">
        <f>MAX(1,MIN(372,INDEX(MilestoneStart,MATCH(NO26,MilestoneNames,0))+NQ26))</f>
        <v/>
      </c>
      <c r="NS26" s="248">
        <f>MAX(NR26,MIN(372,INDEX(MilestoneEnd,MATCH(NO26,MilestoneNames,0))+NQ26))</f>
        <v/>
      </c>
      <c r="NT26" s="85">
        <f>NS26-NR26+1</f>
        <v/>
      </c>
      <c r="NU26" s="85">
        <f>NT26*(NT26+1)*(NT26+2)/6</f>
        <v/>
      </c>
    </row>
    <row r="27">
      <c r="B27" s="36" t="inlineStr">
        <is>
          <t>Other Hard Cost 1 - Landscape</t>
        </is>
      </c>
      <c r="D27" s="246">
        <f>SUM(E27:NL27)</f>
        <v/>
      </c>
      <c r="E27" s="228">
        <f>IF(AND(1&gt;=$NR$27,1&lt;=$NS$27),IF($NP$27="Single_Point",IF(1=$NR$27,$NN$27,0),IF($NP$27="Bell_Curve",$NN$27*(1-$NR$27+1)*($NS$27-1+1)/$NU$27,$NN$27/$NT$27)),0)</f>
        <v/>
      </c>
      <c r="F27" s="228">
        <f>IF(AND(2&gt;=$NR$27,2&lt;=$NS$27),IF($NP$27="Single_Point",IF(2=$NR$27,$NN$27,0),IF($NP$27="Bell_Curve",$NN$27*(2-$NR$27+1)*($NS$27-2+1)/$NU$27,$NN$27/$NT$27)),0)</f>
        <v/>
      </c>
      <c r="G27" s="228">
        <f>IF(AND(3&gt;=$NR$27,3&lt;=$NS$27),IF($NP$27="Single_Point",IF(3=$NR$27,$NN$27,0),IF($NP$27="Bell_Curve",$NN$27*(3-$NR$27+1)*($NS$27-3+1)/$NU$27,$NN$27/$NT$27)),0)</f>
        <v/>
      </c>
      <c r="H27" s="228">
        <f>IF(AND(4&gt;=$NR$27,4&lt;=$NS$27),IF($NP$27="Single_Point",IF(4=$NR$27,$NN$27,0),IF($NP$27="Bell_Curve",$NN$27*(4-$NR$27+1)*($NS$27-4+1)/$NU$27,$NN$27/$NT$27)),0)</f>
        <v/>
      </c>
      <c r="I27" s="228">
        <f>IF(AND(5&gt;=$NR$27,5&lt;=$NS$27),IF($NP$27="Single_Point",IF(5=$NR$27,$NN$27,0),IF($NP$27="Bell_Curve",$NN$27*(5-$NR$27+1)*($NS$27-5+1)/$NU$27,$NN$27/$NT$27)),0)</f>
        <v/>
      </c>
      <c r="J27" s="228">
        <f>IF(AND(6&gt;=$NR$27,6&lt;=$NS$27),IF($NP$27="Single_Point",IF(6=$NR$27,$NN$27,0),IF($NP$27="Bell_Curve",$NN$27*(6-$NR$27+1)*($NS$27-6+1)/$NU$27,$NN$27/$NT$27)),0)</f>
        <v/>
      </c>
      <c r="K27" s="228">
        <f>IF(AND(7&gt;=$NR$27,7&lt;=$NS$27),IF($NP$27="Single_Point",IF(7=$NR$27,$NN$27,0),IF($NP$27="Bell_Curve",$NN$27*(7-$NR$27+1)*($NS$27-7+1)/$NU$27,$NN$27/$NT$27)),0)</f>
        <v/>
      </c>
      <c r="L27" s="228">
        <f>IF(AND(8&gt;=$NR$27,8&lt;=$NS$27),IF($NP$27="Single_Point",IF(8=$NR$27,$NN$27,0),IF($NP$27="Bell_Curve",$NN$27*(8-$NR$27+1)*($NS$27-8+1)/$NU$27,$NN$27/$NT$27)),0)</f>
        <v/>
      </c>
      <c r="M27" s="228">
        <f>IF(AND(9&gt;=$NR$27,9&lt;=$NS$27),IF($NP$27="Single_Point",IF(9=$NR$27,$NN$27,0),IF($NP$27="Bell_Curve",$NN$27*(9-$NR$27+1)*($NS$27-9+1)/$NU$27,$NN$27/$NT$27)),0)</f>
        <v/>
      </c>
      <c r="N27" s="228">
        <f>IF(AND(10&gt;=$NR$27,10&lt;=$NS$27),IF($NP$27="Single_Point",IF(10=$NR$27,$NN$27,0),IF($NP$27="Bell_Curve",$NN$27*(10-$NR$27+1)*($NS$27-10+1)/$NU$27,$NN$27/$NT$27)),0)</f>
        <v/>
      </c>
      <c r="O27" s="228">
        <f>IF(AND(11&gt;=$NR$27,11&lt;=$NS$27),IF($NP$27="Single_Point",IF(11=$NR$27,$NN$27,0),IF($NP$27="Bell_Curve",$NN$27*(11-$NR$27+1)*($NS$27-11+1)/$NU$27,$NN$27/$NT$27)),0)</f>
        <v/>
      </c>
      <c r="P27" s="228">
        <f>IF(AND(12&gt;=$NR$27,12&lt;=$NS$27),IF($NP$27="Single_Point",IF(12=$NR$27,$NN$27,0),IF($NP$27="Bell_Curve",$NN$27*(12-$NR$27+1)*($NS$27-12+1)/$NU$27,$NN$27/$NT$27)),0)</f>
        <v/>
      </c>
      <c r="Q27" s="228">
        <f>IF(AND(13&gt;=$NR$27,13&lt;=$NS$27),IF($NP$27="Single_Point",IF(13=$NR$27,$NN$27,0),IF($NP$27="Bell_Curve",$NN$27*(13-$NR$27+1)*($NS$27-13+1)/$NU$27,$NN$27/$NT$27)),0)</f>
        <v/>
      </c>
      <c r="R27" s="228">
        <f>IF(AND(14&gt;=$NR$27,14&lt;=$NS$27),IF($NP$27="Single_Point",IF(14=$NR$27,$NN$27,0),IF($NP$27="Bell_Curve",$NN$27*(14-$NR$27+1)*($NS$27-14+1)/$NU$27,$NN$27/$NT$27)),0)</f>
        <v/>
      </c>
      <c r="S27" s="228">
        <f>IF(AND(15&gt;=$NR$27,15&lt;=$NS$27),IF($NP$27="Single_Point",IF(15=$NR$27,$NN$27,0),IF($NP$27="Bell_Curve",$NN$27*(15-$NR$27+1)*($NS$27-15+1)/$NU$27,$NN$27/$NT$27)),0)</f>
        <v/>
      </c>
      <c r="T27" s="228">
        <f>IF(AND(16&gt;=$NR$27,16&lt;=$NS$27),IF($NP$27="Single_Point",IF(16=$NR$27,$NN$27,0),IF($NP$27="Bell_Curve",$NN$27*(16-$NR$27+1)*($NS$27-16+1)/$NU$27,$NN$27/$NT$27)),0)</f>
        <v/>
      </c>
      <c r="U27" s="228">
        <f>IF(AND(17&gt;=$NR$27,17&lt;=$NS$27),IF($NP$27="Single_Point",IF(17=$NR$27,$NN$27,0),IF($NP$27="Bell_Curve",$NN$27*(17-$NR$27+1)*($NS$27-17+1)/$NU$27,$NN$27/$NT$27)),0)</f>
        <v/>
      </c>
      <c r="V27" s="228">
        <f>IF(AND(18&gt;=$NR$27,18&lt;=$NS$27),IF($NP$27="Single_Point",IF(18=$NR$27,$NN$27,0),IF($NP$27="Bell_Curve",$NN$27*(18-$NR$27+1)*($NS$27-18+1)/$NU$27,$NN$27/$NT$27)),0)</f>
        <v/>
      </c>
      <c r="W27" s="228">
        <f>IF(AND(19&gt;=$NR$27,19&lt;=$NS$27),IF($NP$27="Single_Point",IF(19=$NR$27,$NN$27,0),IF($NP$27="Bell_Curve",$NN$27*(19-$NR$27+1)*($NS$27-19+1)/$NU$27,$NN$27/$NT$27)),0)</f>
        <v/>
      </c>
      <c r="X27" s="228">
        <f>IF(AND(20&gt;=$NR$27,20&lt;=$NS$27),IF($NP$27="Single_Point",IF(20=$NR$27,$NN$27,0),IF($NP$27="Bell_Curve",$NN$27*(20-$NR$27+1)*($NS$27-20+1)/$NU$27,$NN$27/$NT$27)),0)</f>
        <v/>
      </c>
      <c r="Y27" s="228">
        <f>IF(AND(21&gt;=$NR$27,21&lt;=$NS$27),IF($NP$27="Single_Point",IF(21=$NR$27,$NN$27,0),IF($NP$27="Bell_Curve",$NN$27*(21-$NR$27+1)*($NS$27-21+1)/$NU$27,$NN$27/$NT$27)),0)</f>
        <v/>
      </c>
      <c r="Z27" s="228">
        <f>IF(AND(22&gt;=$NR$27,22&lt;=$NS$27),IF($NP$27="Single_Point",IF(22=$NR$27,$NN$27,0),IF($NP$27="Bell_Curve",$NN$27*(22-$NR$27+1)*($NS$27-22+1)/$NU$27,$NN$27/$NT$27)),0)</f>
        <v/>
      </c>
      <c r="AA27" s="228">
        <f>IF(AND(23&gt;=$NR$27,23&lt;=$NS$27),IF($NP$27="Single_Point",IF(23=$NR$27,$NN$27,0),IF($NP$27="Bell_Curve",$NN$27*(23-$NR$27+1)*($NS$27-23+1)/$NU$27,$NN$27/$NT$27)),0)</f>
        <v/>
      </c>
      <c r="AB27" s="228">
        <f>IF(AND(24&gt;=$NR$27,24&lt;=$NS$27),IF($NP$27="Single_Point",IF(24=$NR$27,$NN$27,0),IF($NP$27="Bell_Curve",$NN$27*(24-$NR$27+1)*($NS$27-24+1)/$NU$27,$NN$27/$NT$27)),0)</f>
        <v/>
      </c>
      <c r="AC27" s="228">
        <f>IF(AND(25&gt;=$NR$27,25&lt;=$NS$27),IF($NP$27="Single_Point",IF(25=$NR$27,$NN$27,0),IF($NP$27="Bell_Curve",$NN$27*(25-$NR$27+1)*($NS$27-25+1)/$NU$27,$NN$27/$NT$27)),0)</f>
        <v/>
      </c>
      <c r="AD27" s="228">
        <f>IF(AND(26&gt;=$NR$27,26&lt;=$NS$27),IF($NP$27="Single_Point",IF(26=$NR$27,$NN$27,0),IF($NP$27="Bell_Curve",$NN$27*(26-$NR$27+1)*($NS$27-26+1)/$NU$27,$NN$27/$NT$27)),0)</f>
        <v/>
      </c>
      <c r="AE27" s="228">
        <f>IF(AND(27&gt;=$NR$27,27&lt;=$NS$27),IF($NP$27="Single_Point",IF(27=$NR$27,$NN$27,0),IF($NP$27="Bell_Curve",$NN$27*(27-$NR$27+1)*($NS$27-27+1)/$NU$27,$NN$27/$NT$27)),0)</f>
        <v/>
      </c>
      <c r="AF27" s="228">
        <f>IF(AND(28&gt;=$NR$27,28&lt;=$NS$27),IF($NP$27="Single_Point",IF(28=$NR$27,$NN$27,0),IF($NP$27="Bell_Curve",$NN$27*(28-$NR$27+1)*($NS$27-28+1)/$NU$27,$NN$27/$NT$27)),0)</f>
        <v/>
      </c>
      <c r="AG27" s="228">
        <f>IF(AND(29&gt;=$NR$27,29&lt;=$NS$27),IF($NP$27="Single_Point",IF(29=$NR$27,$NN$27,0),IF($NP$27="Bell_Curve",$NN$27*(29-$NR$27+1)*($NS$27-29+1)/$NU$27,$NN$27/$NT$27)),0)</f>
        <v/>
      </c>
      <c r="AH27" s="228">
        <f>IF(AND(30&gt;=$NR$27,30&lt;=$NS$27),IF($NP$27="Single_Point",IF(30=$NR$27,$NN$27,0),IF($NP$27="Bell_Curve",$NN$27*(30-$NR$27+1)*($NS$27-30+1)/$NU$27,$NN$27/$NT$27)),0)</f>
        <v/>
      </c>
      <c r="AI27" s="228">
        <f>IF(AND(31&gt;=$NR$27,31&lt;=$NS$27),IF($NP$27="Single_Point",IF(31=$NR$27,$NN$27,0),IF($NP$27="Bell_Curve",$NN$27*(31-$NR$27+1)*($NS$27-31+1)/$NU$27,$NN$27/$NT$27)),0)</f>
        <v/>
      </c>
      <c r="AJ27" s="228">
        <f>IF(AND(32&gt;=$NR$27,32&lt;=$NS$27),IF($NP$27="Single_Point",IF(32=$NR$27,$NN$27,0),IF($NP$27="Bell_Curve",$NN$27*(32-$NR$27+1)*($NS$27-32+1)/$NU$27,$NN$27/$NT$27)),0)</f>
        <v/>
      </c>
      <c r="AK27" s="228">
        <f>IF(AND(33&gt;=$NR$27,33&lt;=$NS$27),IF($NP$27="Single_Point",IF(33=$NR$27,$NN$27,0),IF($NP$27="Bell_Curve",$NN$27*(33-$NR$27+1)*($NS$27-33+1)/$NU$27,$NN$27/$NT$27)),0)</f>
        <v/>
      </c>
      <c r="AL27" s="228">
        <f>IF(AND(34&gt;=$NR$27,34&lt;=$NS$27),IF($NP$27="Single_Point",IF(34=$NR$27,$NN$27,0),IF($NP$27="Bell_Curve",$NN$27*(34-$NR$27+1)*($NS$27-34+1)/$NU$27,$NN$27/$NT$27)),0)</f>
        <v/>
      </c>
      <c r="AM27" s="228">
        <f>IF(AND(35&gt;=$NR$27,35&lt;=$NS$27),IF($NP$27="Single_Point",IF(35=$NR$27,$NN$27,0),IF($NP$27="Bell_Curve",$NN$27*(35-$NR$27+1)*($NS$27-35+1)/$NU$27,$NN$27/$NT$27)),0)</f>
        <v/>
      </c>
      <c r="AN27" s="228">
        <f>IF(AND(36&gt;=$NR$27,36&lt;=$NS$27),IF($NP$27="Single_Point",IF(36=$NR$27,$NN$27,0),IF($NP$27="Bell_Curve",$NN$27*(36-$NR$27+1)*($NS$27-36+1)/$NU$27,$NN$27/$NT$27)),0)</f>
        <v/>
      </c>
      <c r="AO27" s="228">
        <f>IF(AND(37&gt;=$NR$27,37&lt;=$NS$27),IF($NP$27="Single_Point",IF(37=$NR$27,$NN$27,0),IF($NP$27="Bell_Curve",$NN$27*(37-$NR$27+1)*($NS$27-37+1)/$NU$27,$NN$27/$NT$27)),0)</f>
        <v/>
      </c>
      <c r="AP27" s="228">
        <f>IF(AND(38&gt;=$NR$27,38&lt;=$NS$27),IF($NP$27="Single_Point",IF(38=$NR$27,$NN$27,0),IF($NP$27="Bell_Curve",$NN$27*(38-$NR$27+1)*($NS$27-38+1)/$NU$27,$NN$27/$NT$27)),0)</f>
        <v/>
      </c>
      <c r="AQ27" s="228">
        <f>IF(AND(39&gt;=$NR$27,39&lt;=$NS$27),IF($NP$27="Single_Point",IF(39=$NR$27,$NN$27,0),IF($NP$27="Bell_Curve",$NN$27*(39-$NR$27+1)*($NS$27-39+1)/$NU$27,$NN$27/$NT$27)),0)</f>
        <v/>
      </c>
      <c r="AR27" s="228">
        <f>IF(AND(40&gt;=$NR$27,40&lt;=$NS$27),IF($NP$27="Single_Point",IF(40=$NR$27,$NN$27,0),IF($NP$27="Bell_Curve",$NN$27*(40-$NR$27+1)*($NS$27-40+1)/$NU$27,$NN$27/$NT$27)),0)</f>
        <v/>
      </c>
      <c r="AS27" s="228">
        <f>IF(AND(41&gt;=$NR$27,41&lt;=$NS$27),IF($NP$27="Single_Point",IF(41=$NR$27,$NN$27,0),IF($NP$27="Bell_Curve",$NN$27*(41-$NR$27+1)*($NS$27-41+1)/$NU$27,$NN$27/$NT$27)),0)</f>
        <v/>
      </c>
      <c r="AT27" s="228">
        <f>IF(AND(42&gt;=$NR$27,42&lt;=$NS$27),IF($NP$27="Single_Point",IF(42=$NR$27,$NN$27,0),IF($NP$27="Bell_Curve",$NN$27*(42-$NR$27+1)*($NS$27-42+1)/$NU$27,$NN$27/$NT$27)),0)</f>
        <v/>
      </c>
      <c r="AU27" s="228">
        <f>IF(AND(43&gt;=$NR$27,43&lt;=$NS$27),IF($NP$27="Single_Point",IF(43=$NR$27,$NN$27,0),IF($NP$27="Bell_Curve",$NN$27*(43-$NR$27+1)*($NS$27-43+1)/$NU$27,$NN$27/$NT$27)),0)</f>
        <v/>
      </c>
      <c r="AV27" s="228">
        <f>IF(AND(44&gt;=$NR$27,44&lt;=$NS$27),IF($NP$27="Single_Point",IF(44=$NR$27,$NN$27,0),IF($NP$27="Bell_Curve",$NN$27*(44-$NR$27+1)*($NS$27-44+1)/$NU$27,$NN$27/$NT$27)),0)</f>
        <v/>
      </c>
      <c r="AW27" s="228">
        <f>IF(AND(45&gt;=$NR$27,45&lt;=$NS$27),IF($NP$27="Single_Point",IF(45=$NR$27,$NN$27,0),IF($NP$27="Bell_Curve",$NN$27*(45-$NR$27+1)*($NS$27-45+1)/$NU$27,$NN$27/$NT$27)),0)</f>
        <v/>
      </c>
      <c r="AX27" s="228">
        <f>IF(AND(46&gt;=$NR$27,46&lt;=$NS$27),IF($NP$27="Single_Point",IF(46=$NR$27,$NN$27,0),IF($NP$27="Bell_Curve",$NN$27*(46-$NR$27+1)*($NS$27-46+1)/$NU$27,$NN$27/$NT$27)),0)</f>
        <v/>
      </c>
      <c r="AY27" s="228">
        <f>IF(AND(47&gt;=$NR$27,47&lt;=$NS$27),IF($NP$27="Single_Point",IF(47=$NR$27,$NN$27,0),IF($NP$27="Bell_Curve",$NN$27*(47-$NR$27+1)*($NS$27-47+1)/$NU$27,$NN$27/$NT$27)),0)</f>
        <v/>
      </c>
      <c r="AZ27" s="228">
        <f>IF(AND(48&gt;=$NR$27,48&lt;=$NS$27),IF($NP$27="Single_Point",IF(48=$NR$27,$NN$27,0),IF($NP$27="Bell_Curve",$NN$27*(48-$NR$27+1)*($NS$27-48+1)/$NU$27,$NN$27/$NT$27)),0)</f>
        <v/>
      </c>
      <c r="BA27" s="228">
        <f>IF(AND(49&gt;=$NR$27,49&lt;=$NS$27),IF($NP$27="Single_Point",IF(49=$NR$27,$NN$27,0),IF($NP$27="Bell_Curve",$NN$27*(49-$NR$27+1)*($NS$27-49+1)/$NU$27,$NN$27/$NT$27)),0)</f>
        <v/>
      </c>
      <c r="BB27" s="228">
        <f>IF(AND(50&gt;=$NR$27,50&lt;=$NS$27),IF($NP$27="Single_Point",IF(50=$NR$27,$NN$27,0),IF($NP$27="Bell_Curve",$NN$27*(50-$NR$27+1)*($NS$27-50+1)/$NU$27,$NN$27/$NT$27)),0)</f>
        <v/>
      </c>
      <c r="BC27" s="228">
        <f>IF(AND(51&gt;=$NR$27,51&lt;=$NS$27),IF($NP$27="Single_Point",IF(51=$NR$27,$NN$27,0),IF($NP$27="Bell_Curve",$NN$27*(51-$NR$27+1)*($NS$27-51+1)/$NU$27,$NN$27/$NT$27)),0)</f>
        <v/>
      </c>
      <c r="BD27" s="228">
        <f>IF(AND(52&gt;=$NR$27,52&lt;=$NS$27),IF($NP$27="Single_Point",IF(52=$NR$27,$NN$27,0),IF($NP$27="Bell_Curve",$NN$27*(52-$NR$27+1)*($NS$27-52+1)/$NU$27,$NN$27/$NT$27)),0)</f>
        <v/>
      </c>
      <c r="BE27" s="228">
        <f>IF(AND(53&gt;=$NR$27,53&lt;=$NS$27),IF($NP$27="Single_Point",IF(53=$NR$27,$NN$27,0),IF($NP$27="Bell_Curve",$NN$27*(53-$NR$27+1)*($NS$27-53+1)/$NU$27,$NN$27/$NT$27)),0)</f>
        <v/>
      </c>
      <c r="BF27" s="228">
        <f>IF(AND(54&gt;=$NR$27,54&lt;=$NS$27),IF($NP$27="Single_Point",IF(54=$NR$27,$NN$27,0),IF($NP$27="Bell_Curve",$NN$27*(54-$NR$27+1)*($NS$27-54+1)/$NU$27,$NN$27/$NT$27)),0)</f>
        <v/>
      </c>
      <c r="BG27" s="228">
        <f>IF(AND(55&gt;=$NR$27,55&lt;=$NS$27),IF($NP$27="Single_Point",IF(55=$NR$27,$NN$27,0),IF($NP$27="Bell_Curve",$NN$27*(55-$NR$27+1)*($NS$27-55+1)/$NU$27,$NN$27/$NT$27)),0)</f>
        <v/>
      </c>
      <c r="BH27" s="228">
        <f>IF(AND(56&gt;=$NR$27,56&lt;=$NS$27),IF($NP$27="Single_Point",IF(56=$NR$27,$NN$27,0),IF($NP$27="Bell_Curve",$NN$27*(56-$NR$27+1)*($NS$27-56+1)/$NU$27,$NN$27/$NT$27)),0)</f>
        <v/>
      </c>
      <c r="BI27" s="228">
        <f>IF(AND(57&gt;=$NR$27,57&lt;=$NS$27),IF($NP$27="Single_Point",IF(57=$NR$27,$NN$27,0),IF($NP$27="Bell_Curve",$NN$27*(57-$NR$27+1)*($NS$27-57+1)/$NU$27,$NN$27/$NT$27)),0)</f>
        <v/>
      </c>
      <c r="BJ27" s="228">
        <f>IF(AND(58&gt;=$NR$27,58&lt;=$NS$27),IF($NP$27="Single_Point",IF(58=$NR$27,$NN$27,0),IF($NP$27="Bell_Curve",$NN$27*(58-$NR$27+1)*($NS$27-58+1)/$NU$27,$NN$27/$NT$27)),0)</f>
        <v/>
      </c>
      <c r="BK27" s="228">
        <f>IF(AND(59&gt;=$NR$27,59&lt;=$NS$27),IF($NP$27="Single_Point",IF(59=$NR$27,$NN$27,0),IF($NP$27="Bell_Curve",$NN$27*(59-$NR$27+1)*($NS$27-59+1)/$NU$27,$NN$27/$NT$27)),0)</f>
        <v/>
      </c>
      <c r="BL27" s="228">
        <f>IF(AND(60&gt;=$NR$27,60&lt;=$NS$27),IF($NP$27="Single_Point",IF(60=$NR$27,$NN$27,0),IF($NP$27="Bell_Curve",$NN$27*(60-$NR$27+1)*($NS$27-60+1)/$NU$27,$NN$27/$NT$27)),0)</f>
        <v/>
      </c>
      <c r="BM27" s="228">
        <f>IF(AND(61&gt;=$NR$27,61&lt;=$NS$27),IF($NP$27="Single_Point",IF(61=$NR$27,$NN$27,0),IF($NP$27="Bell_Curve",$NN$27*(61-$NR$27+1)*($NS$27-61+1)/$NU$27,$NN$27/$NT$27)),0)</f>
        <v/>
      </c>
      <c r="BN27" s="228">
        <f>IF(AND(62&gt;=$NR$27,62&lt;=$NS$27),IF($NP$27="Single_Point",IF(62=$NR$27,$NN$27,0),IF($NP$27="Bell_Curve",$NN$27*(62-$NR$27+1)*($NS$27-62+1)/$NU$27,$NN$27/$NT$27)),0)</f>
        <v/>
      </c>
      <c r="BO27" s="228">
        <f>IF(AND(63&gt;=$NR$27,63&lt;=$NS$27),IF($NP$27="Single_Point",IF(63=$NR$27,$NN$27,0),IF($NP$27="Bell_Curve",$NN$27*(63-$NR$27+1)*($NS$27-63+1)/$NU$27,$NN$27/$NT$27)),0)</f>
        <v/>
      </c>
      <c r="BP27" s="228">
        <f>IF(AND(64&gt;=$NR$27,64&lt;=$NS$27),IF($NP$27="Single_Point",IF(64=$NR$27,$NN$27,0),IF($NP$27="Bell_Curve",$NN$27*(64-$NR$27+1)*($NS$27-64+1)/$NU$27,$NN$27/$NT$27)),0)</f>
        <v/>
      </c>
      <c r="BQ27" s="228">
        <f>IF(AND(65&gt;=$NR$27,65&lt;=$NS$27),IF($NP$27="Single_Point",IF(65=$NR$27,$NN$27,0),IF($NP$27="Bell_Curve",$NN$27*(65-$NR$27+1)*($NS$27-65+1)/$NU$27,$NN$27/$NT$27)),0)</f>
        <v/>
      </c>
      <c r="BR27" s="228">
        <f>IF(AND(66&gt;=$NR$27,66&lt;=$NS$27),IF($NP$27="Single_Point",IF(66=$NR$27,$NN$27,0),IF($NP$27="Bell_Curve",$NN$27*(66-$NR$27+1)*($NS$27-66+1)/$NU$27,$NN$27/$NT$27)),0)</f>
        <v/>
      </c>
      <c r="BS27" s="228">
        <f>IF(AND(67&gt;=$NR$27,67&lt;=$NS$27),IF($NP$27="Single_Point",IF(67=$NR$27,$NN$27,0),IF($NP$27="Bell_Curve",$NN$27*(67-$NR$27+1)*($NS$27-67+1)/$NU$27,$NN$27/$NT$27)),0)</f>
        <v/>
      </c>
      <c r="BT27" s="228">
        <f>IF(AND(68&gt;=$NR$27,68&lt;=$NS$27),IF($NP$27="Single_Point",IF(68=$NR$27,$NN$27,0),IF($NP$27="Bell_Curve",$NN$27*(68-$NR$27+1)*($NS$27-68+1)/$NU$27,$NN$27/$NT$27)),0)</f>
        <v/>
      </c>
      <c r="BU27" s="228">
        <f>IF(AND(69&gt;=$NR$27,69&lt;=$NS$27),IF($NP$27="Single_Point",IF(69=$NR$27,$NN$27,0),IF($NP$27="Bell_Curve",$NN$27*(69-$NR$27+1)*($NS$27-69+1)/$NU$27,$NN$27/$NT$27)),0)</f>
        <v/>
      </c>
      <c r="BV27" s="228">
        <f>IF(AND(70&gt;=$NR$27,70&lt;=$NS$27),IF($NP$27="Single_Point",IF(70=$NR$27,$NN$27,0),IF($NP$27="Bell_Curve",$NN$27*(70-$NR$27+1)*($NS$27-70+1)/$NU$27,$NN$27/$NT$27)),0)</f>
        <v/>
      </c>
      <c r="BW27" s="228">
        <f>IF(AND(71&gt;=$NR$27,71&lt;=$NS$27),IF($NP$27="Single_Point",IF(71=$NR$27,$NN$27,0),IF($NP$27="Bell_Curve",$NN$27*(71-$NR$27+1)*($NS$27-71+1)/$NU$27,$NN$27/$NT$27)),0)</f>
        <v/>
      </c>
      <c r="BX27" s="228">
        <f>IF(AND(72&gt;=$NR$27,72&lt;=$NS$27),IF($NP$27="Single_Point",IF(72=$NR$27,$NN$27,0),IF($NP$27="Bell_Curve",$NN$27*(72-$NR$27+1)*($NS$27-72+1)/$NU$27,$NN$27/$NT$27)),0)</f>
        <v/>
      </c>
      <c r="BY27" s="228">
        <f>IF(AND(73&gt;=$NR$27,73&lt;=$NS$27),IF($NP$27="Single_Point",IF(73=$NR$27,$NN$27,0),IF($NP$27="Bell_Curve",$NN$27*(73-$NR$27+1)*($NS$27-73+1)/$NU$27,$NN$27/$NT$27)),0)</f>
        <v/>
      </c>
      <c r="BZ27" s="228">
        <f>IF(AND(74&gt;=$NR$27,74&lt;=$NS$27),IF($NP$27="Single_Point",IF(74=$NR$27,$NN$27,0),IF($NP$27="Bell_Curve",$NN$27*(74-$NR$27+1)*($NS$27-74+1)/$NU$27,$NN$27/$NT$27)),0)</f>
        <v/>
      </c>
      <c r="CA27" s="228">
        <f>IF(AND(75&gt;=$NR$27,75&lt;=$NS$27),IF($NP$27="Single_Point",IF(75=$NR$27,$NN$27,0),IF($NP$27="Bell_Curve",$NN$27*(75-$NR$27+1)*($NS$27-75+1)/$NU$27,$NN$27/$NT$27)),0)</f>
        <v/>
      </c>
      <c r="CB27" s="228">
        <f>IF(AND(76&gt;=$NR$27,76&lt;=$NS$27),IF($NP$27="Single_Point",IF(76=$NR$27,$NN$27,0),IF($NP$27="Bell_Curve",$NN$27*(76-$NR$27+1)*($NS$27-76+1)/$NU$27,$NN$27/$NT$27)),0)</f>
        <v/>
      </c>
      <c r="CC27" s="228">
        <f>IF(AND(77&gt;=$NR$27,77&lt;=$NS$27),IF($NP$27="Single_Point",IF(77=$NR$27,$NN$27,0),IF($NP$27="Bell_Curve",$NN$27*(77-$NR$27+1)*($NS$27-77+1)/$NU$27,$NN$27/$NT$27)),0)</f>
        <v/>
      </c>
      <c r="CD27" s="228">
        <f>IF(AND(78&gt;=$NR$27,78&lt;=$NS$27),IF($NP$27="Single_Point",IF(78=$NR$27,$NN$27,0),IF($NP$27="Bell_Curve",$NN$27*(78-$NR$27+1)*($NS$27-78+1)/$NU$27,$NN$27/$NT$27)),0)</f>
        <v/>
      </c>
      <c r="CE27" s="228">
        <f>IF(AND(79&gt;=$NR$27,79&lt;=$NS$27),IF($NP$27="Single_Point",IF(79=$NR$27,$NN$27,0),IF($NP$27="Bell_Curve",$NN$27*(79-$NR$27+1)*($NS$27-79+1)/$NU$27,$NN$27/$NT$27)),0)</f>
        <v/>
      </c>
      <c r="CF27" s="228">
        <f>IF(AND(80&gt;=$NR$27,80&lt;=$NS$27),IF($NP$27="Single_Point",IF(80=$NR$27,$NN$27,0),IF($NP$27="Bell_Curve",$NN$27*(80-$NR$27+1)*($NS$27-80+1)/$NU$27,$NN$27/$NT$27)),0)</f>
        <v/>
      </c>
      <c r="CG27" s="228">
        <f>IF(AND(81&gt;=$NR$27,81&lt;=$NS$27),IF($NP$27="Single_Point",IF(81=$NR$27,$NN$27,0),IF($NP$27="Bell_Curve",$NN$27*(81-$NR$27+1)*($NS$27-81+1)/$NU$27,$NN$27/$NT$27)),0)</f>
        <v/>
      </c>
      <c r="CH27" s="228">
        <f>IF(AND(82&gt;=$NR$27,82&lt;=$NS$27),IF($NP$27="Single_Point",IF(82=$NR$27,$NN$27,0),IF($NP$27="Bell_Curve",$NN$27*(82-$NR$27+1)*($NS$27-82+1)/$NU$27,$NN$27/$NT$27)),0)</f>
        <v/>
      </c>
      <c r="CI27" s="228">
        <f>IF(AND(83&gt;=$NR$27,83&lt;=$NS$27),IF($NP$27="Single_Point",IF(83=$NR$27,$NN$27,0),IF($NP$27="Bell_Curve",$NN$27*(83-$NR$27+1)*($NS$27-83+1)/$NU$27,$NN$27/$NT$27)),0)</f>
        <v/>
      </c>
      <c r="CJ27" s="228">
        <f>IF(AND(84&gt;=$NR$27,84&lt;=$NS$27),IF($NP$27="Single_Point",IF(84=$NR$27,$NN$27,0),IF($NP$27="Bell_Curve",$NN$27*(84-$NR$27+1)*($NS$27-84+1)/$NU$27,$NN$27/$NT$27)),0)</f>
        <v/>
      </c>
      <c r="CK27" s="228">
        <f>IF(AND(85&gt;=$NR$27,85&lt;=$NS$27),IF($NP$27="Single_Point",IF(85=$NR$27,$NN$27,0),IF($NP$27="Bell_Curve",$NN$27*(85-$NR$27+1)*($NS$27-85+1)/$NU$27,$NN$27/$NT$27)),0)</f>
        <v/>
      </c>
      <c r="CL27" s="228">
        <f>IF(AND(86&gt;=$NR$27,86&lt;=$NS$27),IF($NP$27="Single_Point",IF(86=$NR$27,$NN$27,0),IF($NP$27="Bell_Curve",$NN$27*(86-$NR$27+1)*($NS$27-86+1)/$NU$27,$NN$27/$NT$27)),0)</f>
        <v/>
      </c>
      <c r="CM27" s="228">
        <f>IF(AND(87&gt;=$NR$27,87&lt;=$NS$27),IF($NP$27="Single_Point",IF(87=$NR$27,$NN$27,0),IF($NP$27="Bell_Curve",$NN$27*(87-$NR$27+1)*($NS$27-87+1)/$NU$27,$NN$27/$NT$27)),0)</f>
        <v/>
      </c>
      <c r="CN27" s="228">
        <f>IF(AND(88&gt;=$NR$27,88&lt;=$NS$27),IF($NP$27="Single_Point",IF(88=$NR$27,$NN$27,0),IF($NP$27="Bell_Curve",$NN$27*(88-$NR$27+1)*($NS$27-88+1)/$NU$27,$NN$27/$NT$27)),0)</f>
        <v/>
      </c>
      <c r="CO27" s="228">
        <f>IF(AND(89&gt;=$NR$27,89&lt;=$NS$27),IF($NP$27="Single_Point",IF(89=$NR$27,$NN$27,0),IF($NP$27="Bell_Curve",$NN$27*(89-$NR$27+1)*($NS$27-89+1)/$NU$27,$NN$27/$NT$27)),0)</f>
        <v/>
      </c>
      <c r="CP27" s="228">
        <f>IF(AND(90&gt;=$NR$27,90&lt;=$NS$27),IF($NP$27="Single_Point",IF(90=$NR$27,$NN$27,0),IF($NP$27="Bell_Curve",$NN$27*(90-$NR$27+1)*($NS$27-90+1)/$NU$27,$NN$27/$NT$27)),0)</f>
        <v/>
      </c>
      <c r="CQ27" s="228">
        <f>IF(AND(91&gt;=$NR$27,91&lt;=$NS$27),IF($NP$27="Single_Point",IF(91=$NR$27,$NN$27,0),IF($NP$27="Bell_Curve",$NN$27*(91-$NR$27+1)*($NS$27-91+1)/$NU$27,$NN$27/$NT$27)),0)</f>
        <v/>
      </c>
      <c r="CR27" s="228">
        <f>IF(AND(92&gt;=$NR$27,92&lt;=$NS$27),IF($NP$27="Single_Point",IF(92=$NR$27,$NN$27,0),IF($NP$27="Bell_Curve",$NN$27*(92-$NR$27+1)*($NS$27-92+1)/$NU$27,$NN$27/$NT$27)),0)</f>
        <v/>
      </c>
      <c r="CS27" s="228">
        <f>IF(AND(93&gt;=$NR$27,93&lt;=$NS$27),IF($NP$27="Single_Point",IF(93=$NR$27,$NN$27,0),IF($NP$27="Bell_Curve",$NN$27*(93-$NR$27+1)*($NS$27-93+1)/$NU$27,$NN$27/$NT$27)),0)</f>
        <v/>
      </c>
      <c r="CT27" s="228">
        <f>IF(AND(94&gt;=$NR$27,94&lt;=$NS$27),IF($NP$27="Single_Point",IF(94=$NR$27,$NN$27,0),IF($NP$27="Bell_Curve",$NN$27*(94-$NR$27+1)*($NS$27-94+1)/$NU$27,$NN$27/$NT$27)),0)</f>
        <v/>
      </c>
      <c r="CU27" s="228">
        <f>IF(AND(95&gt;=$NR$27,95&lt;=$NS$27),IF($NP$27="Single_Point",IF(95=$NR$27,$NN$27,0),IF($NP$27="Bell_Curve",$NN$27*(95-$NR$27+1)*($NS$27-95+1)/$NU$27,$NN$27/$NT$27)),0)</f>
        <v/>
      </c>
      <c r="CV27" s="228">
        <f>IF(AND(96&gt;=$NR$27,96&lt;=$NS$27),IF($NP$27="Single_Point",IF(96=$NR$27,$NN$27,0),IF($NP$27="Bell_Curve",$NN$27*(96-$NR$27+1)*($NS$27-96+1)/$NU$27,$NN$27/$NT$27)),0)</f>
        <v/>
      </c>
      <c r="CW27" s="228">
        <f>IF(AND(97&gt;=$NR$27,97&lt;=$NS$27),IF($NP$27="Single_Point",IF(97=$NR$27,$NN$27,0),IF($NP$27="Bell_Curve",$NN$27*(97-$NR$27+1)*($NS$27-97+1)/$NU$27,$NN$27/$NT$27)),0)</f>
        <v/>
      </c>
      <c r="CX27" s="228">
        <f>IF(AND(98&gt;=$NR$27,98&lt;=$NS$27),IF($NP$27="Single_Point",IF(98=$NR$27,$NN$27,0),IF($NP$27="Bell_Curve",$NN$27*(98-$NR$27+1)*($NS$27-98+1)/$NU$27,$NN$27/$NT$27)),0)</f>
        <v/>
      </c>
      <c r="CY27" s="228">
        <f>IF(AND(99&gt;=$NR$27,99&lt;=$NS$27),IF($NP$27="Single_Point",IF(99=$NR$27,$NN$27,0),IF($NP$27="Bell_Curve",$NN$27*(99-$NR$27+1)*($NS$27-99+1)/$NU$27,$NN$27/$NT$27)),0)</f>
        <v/>
      </c>
      <c r="CZ27" s="228">
        <f>IF(AND(100&gt;=$NR$27,100&lt;=$NS$27),IF($NP$27="Single_Point",IF(100=$NR$27,$NN$27,0),IF($NP$27="Bell_Curve",$NN$27*(100-$NR$27+1)*($NS$27-100+1)/$NU$27,$NN$27/$NT$27)),0)</f>
        <v/>
      </c>
      <c r="DA27" s="228">
        <f>IF(AND(101&gt;=$NR$27,101&lt;=$NS$27),IF($NP$27="Single_Point",IF(101=$NR$27,$NN$27,0),IF($NP$27="Bell_Curve",$NN$27*(101-$NR$27+1)*($NS$27-101+1)/$NU$27,$NN$27/$NT$27)),0)</f>
        <v/>
      </c>
      <c r="DB27" s="228">
        <f>IF(AND(102&gt;=$NR$27,102&lt;=$NS$27),IF($NP$27="Single_Point",IF(102=$NR$27,$NN$27,0),IF($NP$27="Bell_Curve",$NN$27*(102-$NR$27+1)*($NS$27-102+1)/$NU$27,$NN$27/$NT$27)),0)</f>
        <v/>
      </c>
      <c r="DC27" s="228">
        <f>IF(AND(103&gt;=$NR$27,103&lt;=$NS$27),IF($NP$27="Single_Point",IF(103=$NR$27,$NN$27,0),IF($NP$27="Bell_Curve",$NN$27*(103-$NR$27+1)*($NS$27-103+1)/$NU$27,$NN$27/$NT$27)),0)</f>
        <v/>
      </c>
      <c r="DD27" s="228">
        <f>IF(AND(104&gt;=$NR$27,104&lt;=$NS$27),IF($NP$27="Single_Point",IF(104=$NR$27,$NN$27,0),IF($NP$27="Bell_Curve",$NN$27*(104-$NR$27+1)*($NS$27-104+1)/$NU$27,$NN$27/$NT$27)),0)</f>
        <v/>
      </c>
      <c r="DE27" s="228">
        <f>IF(AND(105&gt;=$NR$27,105&lt;=$NS$27),IF($NP$27="Single_Point",IF(105=$NR$27,$NN$27,0),IF($NP$27="Bell_Curve",$NN$27*(105-$NR$27+1)*($NS$27-105+1)/$NU$27,$NN$27/$NT$27)),0)</f>
        <v/>
      </c>
      <c r="DF27" s="228">
        <f>IF(AND(106&gt;=$NR$27,106&lt;=$NS$27),IF($NP$27="Single_Point",IF(106=$NR$27,$NN$27,0),IF($NP$27="Bell_Curve",$NN$27*(106-$NR$27+1)*($NS$27-106+1)/$NU$27,$NN$27/$NT$27)),0)</f>
        <v/>
      </c>
      <c r="DG27" s="228">
        <f>IF(AND(107&gt;=$NR$27,107&lt;=$NS$27),IF($NP$27="Single_Point",IF(107=$NR$27,$NN$27,0),IF($NP$27="Bell_Curve",$NN$27*(107-$NR$27+1)*($NS$27-107+1)/$NU$27,$NN$27/$NT$27)),0)</f>
        <v/>
      </c>
      <c r="DH27" s="228">
        <f>IF(AND(108&gt;=$NR$27,108&lt;=$NS$27),IF($NP$27="Single_Point",IF(108=$NR$27,$NN$27,0),IF($NP$27="Bell_Curve",$NN$27*(108-$NR$27+1)*($NS$27-108+1)/$NU$27,$NN$27/$NT$27)),0)</f>
        <v/>
      </c>
      <c r="DI27" s="228">
        <f>IF(AND(109&gt;=$NR$27,109&lt;=$NS$27),IF($NP$27="Single_Point",IF(109=$NR$27,$NN$27,0),IF($NP$27="Bell_Curve",$NN$27*(109-$NR$27+1)*($NS$27-109+1)/$NU$27,$NN$27/$NT$27)),0)</f>
        <v/>
      </c>
      <c r="DJ27" s="228">
        <f>IF(AND(110&gt;=$NR$27,110&lt;=$NS$27),IF($NP$27="Single_Point",IF(110=$NR$27,$NN$27,0),IF($NP$27="Bell_Curve",$NN$27*(110-$NR$27+1)*($NS$27-110+1)/$NU$27,$NN$27/$NT$27)),0)</f>
        <v/>
      </c>
      <c r="DK27" s="228">
        <f>IF(AND(111&gt;=$NR$27,111&lt;=$NS$27),IF($NP$27="Single_Point",IF(111=$NR$27,$NN$27,0),IF($NP$27="Bell_Curve",$NN$27*(111-$NR$27+1)*($NS$27-111+1)/$NU$27,$NN$27/$NT$27)),0)</f>
        <v/>
      </c>
      <c r="DL27" s="228">
        <f>IF(AND(112&gt;=$NR$27,112&lt;=$NS$27),IF($NP$27="Single_Point",IF(112=$NR$27,$NN$27,0),IF($NP$27="Bell_Curve",$NN$27*(112-$NR$27+1)*($NS$27-112+1)/$NU$27,$NN$27/$NT$27)),0)</f>
        <v/>
      </c>
      <c r="DM27" s="228">
        <f>IF(AND(113&gt;=$NR$27,113&lt;=$NS$27),IF($NP$27="Single_Point",IF(113=$NR$27,$NN$27,0),IF($NP$27="Bell_Curve",$NN$27*(113-$NR$27+1)*($NS$27-113+1)/$NU$27,$NN$27/$NT$27)),0)</f>
        <v/>
      </c>
      <c r="DN27" s="228">
        <f>IF(AND(114&gt;=$NR$27,114&lt;=$NS$27),IF($NP$27="Single_Point",IF(114=$NR$27,$NN$27,0),IF($NP$27="Bell_Curve",$NN$27*(114-$NR$27+1)*($NS$27-114+1)/$NU$27,$NN$27/$NT$27)),0)</f>
        <v/>
      </c>
      <c r="DO27" s="228">
        <f>IF(AND(115&gt;=$NR$27,115&lt;=$NS$27),IF($NP$27="Single_Point",IF(115=$NR$27,$NN$27,0),IF($NP$27="Bell_Curve",$NN$27*(115-$NR$27+1)*($NS$27-115+1)/$NU$27,$NN$27/$NT$27)),0)</f>
        <v/>
      </c>
      <c r="DP27" s="228">
        <f>IF(AND(116&gt;=$NR$27,116&lt;=$NS$27),IF($NP$27="Single_Point",IF(116=$NR$27,$NN$27,0),IF($NP$27="Bell_Curve",$NN$27*(116-$NR$27+1)*($NS$27-116+1)/$NU$27,$NN$27/$NT$27)),0)</f>
        <v/>
      </c>
      <c r="DQ27" s="228">
        <f>IF(AND(117&gt;=$NR$27,117&lt;=$NS$27),IF($NP$27="Single_Point",IF(117=$NR$27,$NN$27,0),IF($NP$27="Bell_Curve",$NN$27*(117-$NR$27+1)*($NS$27-117+1)/$NU$27,$NN$27/$NT$27)),0)</f>
        <v/>
      </c>
      <c r="DR27" s="228">
        <f>IF(AND(118&gt;=$NR$27,118&lt;=$NS$27),IF($NP$27="Single_Point",IF(118=$NR$27,$NN$27,0),IF($NP$27="Bell_Curve",$NN$27*(118-$NR$27+1)*($NS$27-118+1)/$NU$27,$NN$27/$NT$27)),0)</f>
        <v/>
      </c>
      <c r="DS27" s="228">
        <f>IF(AND(119&gt;=$NR$27,119&lt;=$NS$27),IF($NP$27="Single_Point",IF(119=$NR$27,$NN$27,0),IF($NP$27="Bell_Curve",$NN$27*(119-$NR$27+1)*($NS$27-119+1)/$NU$27,$NN$27/$NT$27)),0)</f>
        <v/>
      </c>
      <c r="DT27" s="228">
        <f>IF(AND(120&gt;=$NR$27,120&lt;=$NS$27),IF($NP$27="Single_Point",IF(120=$NR$27,$NN$27,0),IF($NP$27="Bell_Curve",$NN$27*(120-$NR$27+1)*($NS$27-120+1)/$NU$27,$NN$27/$NT$27)),0)</f>
        <v/>
      </c>
      <c r="DU27" s="228">
        <f>IF(AND(121&gt;=$NR$27,121&lt;=$NS$27),IF($NP$27="Single_Point",IF(121=$NR$27,$NN$27,0),IF($NP$27="Bell_Curve",$NN$27*(121-$NR$27+1)*($NS$27-121+1)/$NU$27,$NN$27/$NT$27)),0)</f>
        <v/>
      </c>
      <c r="DV27" s="228">
        <f>IF(AND(122&gt;=$NR$27,122&lt;=$NS$27),IF($NP$27="Single_Point",IF(122=$NR$27,$NN$27,0),IF($NP$27="Bell_Curve",$NN$27*(122-$NR$27+1)*($NS$27-122+1)/$NU$27,$NN$27/$NT$27)),0)</f>
        <v/>
      </c>
      <c r="DW27" s="228">
        <f>IF(AND(123&gt;=$NR$27,123&lt;=$NS$27),IF($NP$27="Single_Point",IF(123=$NR$27,$NN$27,0),IF($NP$27="Bell_Curve",$NN$27*(123-$NR$27+1)*($NS$27-123+1)/$NU$27,$NN$27/$NT$27)),0)</f>
        <v/>
      </c>
      <c r="DX27" s="228">
        <f>IF(AND(124&gt;=$NR$27,124&lt;=$NS$27),IF($NP$27="Single_Point",IF(124=$NR$27,$NN$27,0),IF($NP$27="Bell_Curve",$NN$27*(124-$NR$27+1)*($NS$27-124+1)/$NU$27,$NN$27/$NT$27)),0)</f>
        <v/>
      </c>
      <c r="DY27" s="228">
        <f>IF(AND(125&gt;=$NR$27,125&lt;=$NS$27),IF($NP$27="Single_Point",IF(125=$NR$27,$NN$27,0),IF($NP$27="Bell_Curve",$NN$27*(125-$NR$27+1)*($NS$27-125+1)/$NU$27,$NN$27/$NT$27)),0)</f>
        <v/>
      </c>
      <c r="DZ27" s="228">
        <f>IF(AND(126&gt;=$NR$27,126&lt;=$NS$27),IF($NP$27="Single_Point",IF(126=$NR$27,$NN$27,0),IF($NP$27="Bell_Curve",$NN$27*(126-$NR$27+1)*($NS$27-126+1)/$NU$27,$NN$27/$NT$27)),0)</f>
        <v/>
      </c>
      <c r="EA27" s="228">
        <f>IF(AND(127&gt;=$NR$27,127&lt;=$NS$27),IF($NP$27="Single_Point",IF(127=$NR$27,$NN$27,0),IF($NP$27="Bell_Curve",$NN$27*(127-$NR$27+1)*($NS$27-127+1)/$NU$27,$NN$27/$NT$27)),0)</f>
        <v/>
      </c>
      <c r="EB27" s="228">
        <f>IF(AND(128&gt;=$NR$27,128&lt;=$NS$27),IF($NP$27="Single_Point",IF(128=$NR$27,$NN$27,0),IF($NP$27="Bell_Curve",$NN$27*(128-$NR$27+1)*($NS$27-128+1)/$NU$27,$NN$27/$NT$27)),0)</f>
        <v/>
      </c>
      <c r="EC27" s="228">
        <f>IF(AND(129&gt;=$NR$27,129&lt;=$NS$27),IF($NP$27="Single_Point",IF(129=$NR$27,$NN$27,0),IF($NP$27="Bell_Curve",$NN$27*(129-$NR$27+1)*($NS$27-129+1)/$NU$27,$NN$27/$NT$27)),0)</f>
        <v/>
      </c>
      <c r="ED27" s="228">
        <f>IF(AND(130&gt;=$NR$27,130&lt;=$NS$27),IF($NP$27="Single_Point",IF(130=$NR$27,$NN$27,0),IF($NP$27="Bell_Curve",$NN$27*(130-$NR$27+1)*($NS$27-130+1)/$NU$27,$NN$27/$NT$27)),0)</f>
        <v/>
      </c>
      <c r="EE27" s="228">
        <f>IF(AND(131&gt;=$NR$27,131&lt;=$NS$27),IF($NP$27="Single_Point",IF(131=$NR$27,$NN$27,0),IF($NP$27="Bell_Curve",$NN$27*(131-$NR$27+1)*($NS$27-131+1)/$NU$27,$NN$27/$NT$27)),0)</f>
        <v/>
      </c>
      <c r="EF27" s="228">
        <f>IF(AND(132&gt;=$NR$27,132&lt;=$NS$27),IF($NP$27="Single_Point",IF(132=$NR$27,$NN$27,0),IF($NP$27="Bell_Curve",$NN$27*(132-$NR$27+1)*($NS$27-132+1)/$NU$27,$NN$27/$NT$27)),0)</f>
        <v/>
      </c>
      <c r="EG27" s="228">
        <f>IF(AND(133&gt;=$NR$27,133&lt;=$NS$27),IF($NP$27="Single_Point",IF(133=$NR$27,$NN$27,0),IF($NP$27="Bell_Curve",$NN$27*(133-$NR$27+1)*($NS$27-133+1)/$NU$27,$NN$27/$NT$27)),0)</f>
        <v/>
      </c>
      <c r="EH27" s="228">
        <f>IF(AND(134&gt;=$NR$27,134&lt;=$NS$27),IF($NP$27="Single_Point",IF(134=$NR$27,$NN$27,0),IF($NP$27="Bell_Curve",$NN$27*(134-$NR$27+1)*($NS$27-134+1)/$NU$27,$NN$27/$NT$27)),0)</f>
        <v/>
      </c>
      <c r="EI27" s="228">
        <f>IF(AND(135&gt;=$NR$27,135&lt;=$NS$27),IF($NP$27="Single_Point",IF(135=$NR$27,$NN$27,0),IF($NP$27="Bell_Curve",$NN$27*(135-$NR$27+1)*($NS$27-135+1)/$NU$27,$NN$27/$NT$27)),0)</f>
        <v/>
      </c>
      <c r="EJ27" s="228">
        <f>IF(AND(136&gt;=$NR$27,136&lt;=$NS$27),IF($NP$27="Single_Point",IF(136=$NR$27,$NN$27,0),IF($NP$27="Bell_Curve",$NN$27*(136-$NR$27+1)*($NS$27-136+1)/$NU$27,$NN$27/$NT$27)),0)</f>
        <v/>
      </c>
      <c r="EK27" s="228">
        <f>IF(AND(137&gt;=$NR$27,137&lt;=$NS$27),IF($NP$27="Single_Point",IF(137=$NR$27,$NN$27,0),IF($NP$27="Bell_Curve",$NN$27*(137-$NR$27+1)*($NS$27-137+1)/$NU$27,$NN$27/$NT$27)),0)</f>
        <v/>
      </c>
      <c r="EL27" s="228">
        <f>IF(AND(138&gt;=$NR$27,138&lt;=$NS$27),IF($NP$27="Single_Point",IF(138=$NR$27,$NN$27,0),IF($NP$27="Bell_Curve",$NN$27*(138-$NR$27+1)*($NS$27-138+1)/$NU$27,$NN$27/$NT$27)),0)</f>
        <v/>
      </c>
      <c r="EM27" s="228">
        <f>IF(AND(139&gt;=$NR$27,139&lt;=$NS$27),IF($NP$27="Single_Point",IF(139=$NR$27,$NN$27,0),IF($NP$27="Bell_Curve",$NN$27*(139-$NR$27+1)*($NS$27-139+1)/$NU$27,$NN$27/$NT$27)),0)</f>
        <v/>
      </c>
      <c r="EN27" s="228">
        <f>IF(AND(140&gt;=$NR$27,140&lt;=$NS$27),IF($NP$27="Single_Point",IF(140=$NR$27,$NN$27,0),IF($NP$27="Bell_Curve",$NN$27*(140-$NR$27+1)*($NS$27-140+1)/$NU$27,$NN$27/$NT$27)),0)</f>
        <v/>
      </c>
      <c r="EO27" s="228">
        <f>IF(AND(141&gt;=$NR$27,141&lt;=$NS$27),IF($NP$27="Single_Point",IF(141=$NR$27,$NN$27,0),IF($NP$27="Bell_Curve",$NN$27*(141-$NR$27+1)*($NS$27-141+1)/$NU$27,$NN$27/$NT$27)),0)</f>
        <v/>
      </c>
      <c r="EP27" s="228">
        <f>IF(AND(142&gt;=$NR$27,142&lt;=$NS$27),IF($NP$27="Single_Point",IF(142=$NR$27,$NN$27,0),IF($NP$27="Bell_Curve",$NN$27*(142-$NR$27+1)*($NS$27-142+1)/$NU$27,$NN$27/$NT$27)),0)</f>
        <v/>
      </c>
      <c r="EQ27" s="228">
        <f>IF(AND(143&gt;=$NR$27,143&lt;=$NS$27),IF($NP$27="Single_Point",IF(143=$NR$27,$NN$27,0),IF($NP$27="Bell_Curve",$NN$27*(143-$NR$27+1)*($NS$27-143+1)/$NU$27,$NN$27/$NT$27)),0)</f>
        <v/>
      </c>
      <c r="ER27" s="228">
        <f>IF(AND(144&gt;=$NR$27,144&lt;=$NS$27),IF($NP$27="Single_Point",IF(144=$NR$27,$NN$27,0),IF($NP$27="Bell_Curve",$NN$27*(144-$NR$27+1)*($NS$27-144+1)/$NU$27,$NN$27/$NT$27)),0)</f>
        <v/>
      </c>
      <c r="ES27" s="228">
        <f>IF(AND(145&gt;=$NR$27,145&lt;=$NS$27),IF($NP$27="Single_Point",IF(145=$NR$27,$NN$27,0),IF($NP$27="Bell_Curve",$NN$27*(145-$NR$27+1)*($NS$27-145+1)/$NU$27,$NN$27/$NT$27)),0)</f>
        <v/>
      </c>
      <c r="ET27" s="228">
        <f>IF(AND(146&gt;=$NR$27,146&lt;=$NS$27),IF($NP$27="Single_Point",IF(146=$NR$27,$NN$27,0),IF($NP$27="Bell_Curve",$NN$27*(146-$NR$27+1)*($NS$27-146+1)/$NU$27,$NN$27/$NT$27)),0)</f>
        <v/>
      </c>
      <c r="EU27" s="228">
        <f>IF(AND(147&gt;=$NR$27,147&lt;=$NS$27),IF($NP$27="Single_Point",IF(147=$NR$27,$NN$27,0),IF($NP$27="Bell_Curve",$NN$27*(147-$NR$27+1)*($NS$27-147+1)/$NU$27,$NN$27/$NT$27)),0)</f>
        <v/>
      </c>
      <c r="EV27" s="228">
        <f>IF(AND(148&gt;=$NR$27,148&lt;=$NS$27),IF($NP$27="Single_Point",IF(148=$NR$27,$NN$27,0),IF($NP$27="Bell_Curve",$NN$27*(148-$NR$27+1)*($NS$27-148+1)/$NU$27,$NN$27/$NT$27)),0)</f>
        <v/>
      </c>
      <c r="EW27" s="228">
        <f>IF(AND(149&gt;=$NR$27,149&lt;=$NS$27),IF($NP$27="Single_Point",IF(149=$NR$27,$NN$27,0),IF($NP$27="Bell_Curve",$NN$27*(149-$NR$27+1)*($NS$27-149+1)/$NU$27,$NN$27/$NT$27)),0)</f>
        <v/>
      </c>
      <c r="EX27" s="228">
        <f>IF(AND(150&gt;=$NR$27,150&lt;=$NS$27),IF($NP$27="Single_Point",IF(150=$NR$27,$NN$27,0),IF($NP$27="Bell_Curve",$NN$27*(150-$NR$27+1)*($NS$27-150+1)/$NU$27,$NN$27/$NT$27)),0)</f>
        <v/>
      </c>
      <c r="EY27" s="228">
        <f>IF(AND(151&gt;=$NR$27,151&lt;=$NS$27),IF($NP$27="Single_Point",IF(151=$NR$27,$NN$27,0),IF($NP$27="Bell_Curve",$NN$27*(151-$NR$27+1)*($NS$27-151+1)/$NU$27,$NN$27/$NT$27)),0)</f>
        <v/>
      </c>
      <c r="EZ27" s="228">
        <f>IF(AND(152&gt;=$NR$27,152&lt;=$NS$27),IF($NP$27="Single_Point",IF(152=$NR$27,$NN$27,0),IF($NP$27="Bell_Curve",$NN$27*(152-$NR$27+1)*($NS$27-152+1)/$NU$27,$NN$27/$NT$27)),0)</f>
        <v/>
      </c>
      <c r="FA27" s="228">
        <f>IF(AND(153&gt;=$NR$27,153&lt;=$NS$27),IF($NP$27="Single_Point",IF(153=$NR$27,$NN$27,0),IF($NP$27="Bell_Curve",$NN$27*(153-$NR$27+1)*($NS$27-153+1)/$NU$27,$NN$27/$NT$27)),0)</f>
        <v/>
      </c>
      <c r="FB27" s="228">
        <f>IF(AND(154&gt;=$NR$27,154&lt;=$NS$27),IF($NP$27="Single_Point",IF(154=$NR$27,$NN$27,0),IF($NP$27="Bell_Curve",$NN$27*(154-$NR$27+1)*($NS$27-154+1)/$NU$27,$NN$27/$NT$27)),0)</f>
        <v/>
      </c>
      <c r="FC27" s="228">
        <f>IF(AND(155&gt;=$NR$27,155&lt;=$NS$27),IF($NP$27="Single_Point",IF(155=$NR$27,$NN$27,0),IF($NP$27="Bell_Curve",$NN$27*(155-$NR$27+1)*($NS$27-155+1)/$NU$27,$NN$27/$NT$27)),0)</f>
        <v/>
      </c>
      <c r="FD27" s="228">
        <f>IF(AND(156&gt;=$NR$27,156&lt;=$NS$27),IF($NP$27="Single_Point",IF(156=$NR$27,$NN$27,0),IF($NP$27="Bell_Curve",$NN$27*(156-$NR$27+1)*($NS$27-156+1)/$NU$27,$NN$27/$NT$27)),0)</f>
        <v/>
      </c>
      <c r="FE27" s="228">
        <f>IF(AND(157&gt;=$NR$27,157&lt;=$NS$27),IF($NP$27="Single_Point",IF(157=$NR$27,$NN$27,0),IF($NP$27="Bell_Curve",$NN$27*(157-$NR$27+1)*($NS$27-157+1)/$NU$27,$NN$27/$NT$27)),0)</f>
        <v/>
      </c>
      <c r="FF27" s="228">
        <f>IF(AND(158&gt;=$NR$27,158&lt;=$NS$27),IF($NP$27="Single_Point",IF(158=$NR$27,$NN$27,0),IF($NP$27="Bell_Curve",$NN$27*(158-$NR$27+1)*($NS$27-158+1)/$NU$27,$NN$27/$NT$27)),0)</f>
        <v/>
      </c>
      <c r="FG27" s="228">
        <f>IF(AND(159&gt;=$NR$27,159&lt;=$NS$27),IF($NP$27="Single_Point",IF(159=$NR$27,$NN$27,0),IF($NP$27="Bell_Curve",$NN$27*(159-$NR$27+1)*($NS$27-159+1)/$NU$27,$NN$27/$NT$27)),0)</f>
        <v/>
      </c>
      <c r="FH27" s="228">
        <f>IF(AND(160&gt;=$NR$27,160&lt;=$NS$27),IF($NP$27="Single_Point",IF(160=$NR$27,$NN$27,0),IF($NP$27="Bell_Curve",$NN$27*(160-$NR$27+1)*($NS$27-160+1)/$NU$27,$NN$27/$NT$27)),0)</f>
        <v/>
      </c>
      <c r="FI27" s="228">
        <f>IF(AND(161&gt;=$NR$27,161&lt;=$NS$27),IF($NP$27="Single_Point",IF(161=$NR$27,$NN$27,0),IF($NP$27="Bell_Curve",$NN$27*(161-$NR$27+1)*($NS$27-161+1)/$NU$27,$NN$27/$NT$27)),0)</f>
        <v/>
      </c>
      <c r="FJ27" s="228">
        <f>IF(AND(162&gt;=$NR$27,162&lt;=$NS$27),IF($NP$27="Single_Point",IF(162=$NR$27,$NN$27,0),IF($NP$27="Bell_Curve",$NN$27*(162-$NR$27+1)*($NS$27-162+1)/$NU$27,$NN$27/$NT$27)),0)</f>
        <v/>
      </c>
      <c r="FK27" s="228">
        <f>IF(AND(163&gt;=$NR$27,163&lt;=$NS$27),IF($NP$27="Single_Point",IF(163=$NR$27,$NN$27,0),IF($NP$27="Bell_Curve",$NN$27*(163-$NR$27+1)*($NS$27-163+1)/$NU$27,$NN$27/$NT$27)),0)</f>
        <v/>
      </c>
      <c r="FL27" s="228">
        <f>IF(AND(164&gt;=$NR$27,164&lt;=$NS$27),IF($NP$27="Single_Point",IF(164=$NR$27,$NN$27,0),IF($NP$27="Bell_Curve",$NN$27*(164-$NR$27+1)*($NS$27-164+1)/$NU$27,$NN$27/$NT$27)),0)</f>
        <v/>
      </c>
      <c r="FM27" s="228">
        <f>IF(AND(165&gt;=$NR$27,165&lt;=$NS$27),IF($NP$27="Single_Point",IF(165=$NR$27,$NN$27,0),IF($NP$27="Bell_Curve",$NN$27*(165-$NR$27+1)*($NS$27-165+1)/$NU$27,$NN$27/$NT$27)),0)</f>
        <v/>
      </c>
      <c r="FN27" s="228">
        <f>IF(AND(166&gt;=$NR$27,166&lt;=$NS$27),IF($NP$27="Single_Point",IF(166=$NR$27,$NN$27,0),IF($NP$27="Bell_Curve",$NN$27*(166-$NR$27+1)*($NS$27-166+1)/$NU$27,$NN$27/$NT$27)),0)</f>
        <v/>
      </c>
      <c r="FO27" s="228">
        <f>IF(AND(167&gt;=$NR$27,167&lt;=$NS$27),IF($NP$27="Single_Point",IF(167=$NR$27,$NN$27,0),IF($NP$27="Bell_Curve",$NN$27*(167-$NR$27+1)*($NS$27-167+1)/$NU$27,$NN$27/$NT$27)),0)</f>
        <v/>
      </c>
      <c r="FP27" s="228">
        <f>IF(AND(168&gt;=$NR$27,168&lt;=$NS$27),IF($NP$27="Single_Point",IF(168=$NR$27,$NN$27,0),IF($NP$27="Bell_Curve",$NN$27*(168-$NR$27+1)*($NS$27-168+1)/$NU$27,$NN$27/$NT$27)),0)</f>
        <v/>
      </c>
      <c r="FQ27" s="228">
        <f>IF(AND(169&gt;=$NR$27,169&lt;=$NS$27),IF($NP$27="Single_Point",IF(169=$NR$27,$NN$27,0),IF($NP$27="Bell_Curve",$NN$27*(169-$NR$27+1)*($NS$27-169+1)/$NU$27,$NN$27/$NT$27)),0)</f>
        <v/>
      </c>
      <c r="FR27" s="228">
        <f>IF(AND(170&gt;=$NR$27,170&lt;=$NS$27),IF($NP$27="Single_Point",IF(170=$NR$27,$NN$27,0),IF($NP$27="Bell_Curve",$NN$27*(170-$NR$27+1)*($NS$27-170+1)/$NU$27,$NN$27/$NT$27)),0)</f>
        <v/>
      </c>
      <c r="FS27" s="228">
        <f>IF(AND(171&gt;=$NR$27,171&lt;=$NS$27),IF($NP$27="Single_Point",IF(171=$NR$27,$NN$27,0),IF($NP$27="Bell_Curve",$NN$27*(171-$NR$27+1)*($NS$27-171+1)/$NU$27,$NN$27/$NT$27)),0)</f>
        <v/>
      </c>
      <c r="FT27" s="228">
        <f>IF(AND(172&gt;=$NR$27,172&lt;=$NS$27),IF($NP$27="Single_Point",IF(172=$NR$27,$NN$27,0),IF($NP$27="Bell_Curve",$NN$27*(172-$NR$27+1)*($NS$27-172+1)/$NU$27,$NN$27/$NT$27)),0)</f>
        <v/>
      </c>
      <c r="FU27" s="228">
        <f>IF(AND(173&gt;=$NR$27,173&lt;=$NS$27),IF($NP$27="Single_Point",IF(173=$NR$27,$NN$27,0),IF($NP$27="Bell_Curve",$NN$27*(173-$NR$27+1)*($NS$27-173+1)/$NU$27,$NN$27/$NT$27)),0)</f>
        <v/>
      </c>
      <c r="FV27" s="228">
        <f>IF(AND(174&gt;=$NR$27,174&lt;=$NS$27),IF($NP$27="Single_Point",IF(174=$NR$27,$NN$27,0),IF($NP$27="Bell_Curve",$NN$27*(174-$NR$27+1)*($NS$27-174+1)/$NU$27,$NN$27/$NT$27)),0)</f>
        <v/>
      </c>
      <c r="FW27" s="228">
        <f>IF(AND(175&gt;=$NR$27,175&lt;=$NS$27),IF($NP$27="Single_Point",IF(175=$NR$27,$NN$27,0),IF($NP$27="Bell_Curve",$NN$27*(175-$NR$27+1)*($NS$27-175+1)/$NU$27,$NN$27/$NT$27)),0)</f>
        <v/>
      </c>
      <c r="FX27" s="228">
        <f>IF(AND(176&gt;=$NR$27,176&lt;=$NS$27),IF($NP$27="Single_Point",IF(176=$NR$27,$NN$27,0),IF($NP$27="Bell_Curve",$NN$27*(176-$NR$27+1)*($NS$27-176+1)/$NU$27,$NN$27/$NT$27)),0)</f>
        <v/>
      </c>
      <c r="FY27" s="228">
        <f>IF(AND(177&gt;=$NR$27,177&lt;=$NS$27),IF($NP$27="Single_Point",IF(177=$NR$27,$NN$27,0),IF($NP$27="Bell_Curve",$NN$27*(177-$NR$27+1)*($NS$27-177+1)/$NU$27,$NN$27/$NT$27)),0)</f>
        <v/>
      </c>
      <c r="FZ27" s="228">
        <f>IF(AND(178&gt;=$NR$27,178&lt;=$NS$27),IF($NP$27="Single_Point",IF(178=$NR$27,$NN$27,0),IF($NP$27="Bell_Curve",$NN$27*(178-$NR$27+1)*($NS$27-178+1)/$NU$27,$NN$27/$NT$27)),0)</f>
        <v/>
      </c>
      <c r="GA27" s="228">
        <f>IF(AND(179&gt;=$NR$27,179&lt;=$NS$27),IF($NP$27="Single_Point",IF(179=$NR$27,$NN$27,0),IF($NP$27="Bell_Curve",$NN$27*(179-$NR$27+1)*($NS$27-179+1)/$NU$27,$NN$27/$NT$27)),0)</f>
        <v/>
      </c>
      <c r="GB27" s="228">
        <f>IF(AND(180&gt;=$NR$27,180&lt;=$NS$27),IF($NP$27="Single_Point",IF(180=$NR$27,$NN$27,0),IF($NP$27="Bell_Curve",$NN$27*(180-$NR$27+1)*($NS$27-180+1)/$NU$27,$NN$27/$NT$27)),0)</f>
        <v/>
      </c>
      <c r="GC27" s="228">
        <f>IF(AND(181&gt;=$NR$27,181&lt;=$NS$27),IF($NP$27="Single_Point",IF(181=$NR$27,$NN$27,0),IF($NP$27="Bell_Curve",$NN$27*(181-$NR$27+1)*($NS$27-181+1)/$NU$27,$NN$27/$NT$27)),0)</f>
        <v/>
      </c>
      <c r="GD27" s="228">
        <f>IF(AND(182&gt;=$NR$27,182&lt;=$NS$27),IF($NP$27="Single_Point",IF(182=$NR$27,$NN$27,0),IF($NP$27="Bell_Curve",$NN$27*(182-$NR$27+1)*($NS$27-182+1)/$NU$27,$NN$27/$NT$27)),0)</f>
        <v/>
      </c>
      <c r="GE27" s="228">
        <f>IF(AND(183&gt;=$NR$27,183&lt;=$NS$27),IF($NP$27="Single_Point",IF(183=$NR$27,$NN$27,0),IF($NP$27="Bell_Curve",$NN$27*(183-$NR$27+1)*($NS$27-183+1)/$NU$27,$NN$27/$NT$27)),0)</f>
        <v/>
      </c>
      <c r="GF27" s="228">
        <f>IF(AND(184&gt;=$NR$27,184&lt;=$NS$27),IF($NP$27="Single_Point",IF(184=$NR$27,$NN$27,0),IF($NP$27="Bell_Curve",$NN$27*(184-$NR$27+1)*($NS$27-184+1)/$NU$27,$NN$27/$NT$27)),0)</f>
        <v/>
      </c>
      <c r="GG27" s="228">
        <f>IF(AND(185&gt;=$NR$27,185&lt;=$NS$27),IF($NP$27="Single_Point",IF(185=$NR$27,$NN$27,0),IF($NP$27="Bell_Curve",$NN$27*(185-$NR$27+1)*($NS$27-185+1)/$NU$27,$NN$27/$NT$27)),0)</f>
        <v/>
      </c>
      <c r="GH27" s="228">
        <f>IF(AND(186&gt;=$NR$27,186&lt;=$NS$27),IF($NP$27="Single_Point",IF(186=$NR$27,$NN$27,0),IF($NP$27="Bell_Curve",$NN$27*(186-$NR$27+1)*($NS$27-186+1)/$NU$27,$NN$27/$NT$27)),0)</f>
        <v/>
      </c>
      <c r="GI27" s="228">
        <f>IF(AND(187&gt;=$NR$27,187&lt;=$NS$27),IF($NP$27="Single_Point",IF(187=$NR$27,$NN$27,0),IF($NP$27="Bell_Curve",$NN$27*(187-$NR$27+1)*($NS$27-187+1)/$NU$27,$NN$27/$NT$27)),0)</f>
        <v/>
      </c>
      <c r="GJ27" s="228">
        <f>IF(AND(188&gt;=$NR$27,188&lt;=$NS$27),IF($NP$27="Single_Point",IF(188=$NR$27,$NN$27,0),IF($NP$27="Bell_Curve",$NN$27*(188-$NR$27+1)*($NS$27-188+1)/$NU$27,$NN$27/$NT$27)),0)</f>
        <v/>
      </c>
      <c r="GK27" s="228">
        <f>IF(AND(189&gt;=$NR$27,189&lt;=$NS$27),IF($NP$27="Single_Point",IF(189=$NR$27,$NN$27,0),IF($NP$27="Bell_Curve",$NN$27*(189-$NR$27+1)*($NS$27-189+1)/$NU$27,$NN$27/$NT$27)),0)</f>
        <v/>
      </c>
      <c r="GL27" s="228">
        <f>IF(AND(190&gt;=$NR$27,190&lt;=$NS$27),IF($NP$27="Single_Point",IF(190=$NR$27,$NN$27,0),IF($NP$27="Bell_Curve",$NN$27*(190-$NR$27+1)*($NS$27-190+1)/$NU$27,$NN$27/$NT$27)),0)</f>
        <v/>
      </c>
      <c r="GM27" s="228">
        <f>IF(AND(191&gt;=$NR$27,191&lt;=$NS$27),IF($NP$27="Single_Point",IF(191=$NR$27,$NN$27,0),IF($NP$27="Bell_Curve",$NN$27*(191-$NR$27+1)*($NS$27-191+1)/$NU$27,$NN$27/$NT$27)),0)</f>
        <v/>
      </c>
      <c r="GN27" s="228">
        <f>IF(AND(192&gt;=$NR$27,192&lt;=$NS$27),IF($NP$27="Single_Point",IF(192=$NR$27,$NN$27,0),IF($NP$27="Bell_Curve",$NN$27*(192-$NR$27+1)*($NS$27-192+1)/$NU$27,$NN$27/$NT$27)),0)</f>
        <v/>
      </c>
      <c r="GO27" s="228">
        <f>IF(AND(193&gt;=$NR$27,193&lt;=$NS$27),IF($NP$27="Single_Point",IF(193=$NR$27,$NN$27,0),IF($NP$27="Bell_Curve",$NN$27*(193-$NR$27+1)*($NS$27-193+1)/$NU$27,$NN$27/$NT$27)),0)</f>
        <v/>
      </c>
      <c r="GP27" s="228">
        <f>IF(AND(194&gt;=$NR$27,194&lt;=$NS$27),IF($NP$27="Single_Point",IF(194=$NR$27,$NN$27,0),IF($NP$27="Bell_Curve",$NN$27*(194-$NR$27+1)*($NS$27-194+1)/$NU$27,$NN$27/$NT$27)),0)</f>
        <v/>
      </c>
      <c r="GQ27" s="228">
        <f>IF(AND(195&gt;=$NR$27,195&lt;=$NS$27),IF($NP$27="Single_Point",IF(195=$NR$27,$NN$27,0),IF($NP$27="Bell_Curve",$NN$27*(195-$NR$27+1)*($NS$27-195+1)/$NU$27,$NN$27/$NT$27)),0)</f>
        <v/>
      </c>
      <c r="GR27" s="228">
        <f>IF(AND(196&gt;=$NR$27,196&lt;=$NS$27),IF($NP$27="Single_Point",IF(196=$NR$27,$NN$27,0),IF($NP$27="Bell_Curve",$NN$27*(196-$NR$27+1)*($NS$27-196+1)/$NU$27,$NN$27/$NT$27)),0)</f>
        <v/>
      </c>
      <c r="GS27" s="228">
        <f>IF(AND(197&gt;=$NR$27,197&lt;=$NS$27),IF($NP$27="Single_Point",IF(197=$NR$27,$NN$27,0),IF($NP$27="Bell_Curve",$NN$27*(197-$NR$27+1)*($NS$27-197+1)/$NU$27,$NN$27/$NT$27)),0)</f>
        <v/>
      </c>
      <c r="GT27" s="228">
        <f>IF(AND(198&gt;=$NR$27,198&lt;=$NS$27),IF($NP$27="Single_Point",IF(198=$NR$27,$NN$27,0),IF($NP$27="Bell_Curve",$NN$27*(198-$NR$27+1)*($NS$27-198+1)/$NU$27,$NN$27/$NT$27)),0)</f>
        <v/>
      </c>
      <c r="GU27" s="228">
        <f>IF(AND(199&gt;=$NR$27,199&lt;=$NS$27),IF($NP$27="Single_Point",IF(199=$NR$27,$NN$27,0),IF($NP$27="Bell_Curve",$NN$27*(199-$NR$27+1)*($NS$27-199+1)/$NU$27,$NN$27/$NT$27)),0)</f>
        <v/>
      </c>
      <c r="GV27" s="228">
        <f>IF(AND(200&gt;=$NR$27,200&lt;=$NS$27),IF($NP$27="Single_Point",IF(200=$NR$27,$NN$27,0),IF($NP$27="Bell_Curve",$NN$27*(200-$NR$27+1)*($NS$27-200+1)/$NU$27,$NN$27/$NT$27)),0)</f>
        <v/>
      </c>
      <c r="GW27" s="228">
        <f>IF(AND(201&gt;=$NR$27,201&lt;=$NS$27),IF($NP$27="Single_Point",IF(201=$NR$27,$NN$27,0),IF($NP$27="Bell_Curve",$NN$27*(201-$NR$27+1)*($NS$27-201+1)/$NU$27,$NN$27/$NT$27)),0)</f>
        <v/>
      </c>
      <c r="GX27" s="228">
        <f>IF(AND(202&gt;=$NR$27,202&lt;=$NS$27),IF($NP$27="Single_Point",IF(202=$NR$27,$NN$27,0),IF($NP$27="Bell_Curve",$NN$27*(202-$NR$27+1)*($NS$27-202+1)/$NU$27,$NN$27/$NT$27)),0)</f>
        <v/>
      </c>
      <c r="GY27" s="228">
        <f>IF(AND(203&gt;=$NR$27,203&lt;=$NS$27),IF($NP$27="Single_Point",IF(203=$NR$27,$NN$27,0),IF($NP$27="Bell_Curve",$NN$27*(203-$NR$27+1)*($NS$27-203+1)/$NU$27,$NN$27/$NT$27)),0)</f>
        <v/>
      </c>
      <c r="GZ27" s="228">
        <f>IF(AND(204&gt;=$NR$27,204&lt;=$NS$27),IF($NP$27="Single_Point",IF(204=$NR$27,$NN$27,0),IF($NP$27="Bell_Curve",$NN$27*(204-$NR$27+1)*($NS$27-204+1)/$NU$27,$NN$27/$NT$27)),0)</f>
        <v/>
      </c>
      <c r="HA27" s="228">
        <f>IF(AND(205&gt;=$NR$27,205&lt;=$NS$27),IF($NP$27="Single_Point",IF(205=$NR$27,$NN$27,0),IF($NP$27="Bell_Curve",$NN$27*(205-$NR$27+1)*($NS$27-205+1)/$NU$27,$NN$27/$NT$27)),0)</f>
        <v/>
      </c>
      <c r="HB27" s="228">
        <f>IF(AND(206&gt;=$NR$27,206&lt;=$NS$27),IF($NP$27="Single_Point",IF(206=$NR$27,$NN$27,0),IF($NP$27="Bell_Curve",$NN$27*(206-$NR$27+1)*($NS$27-206+1)/$NU$27,$NN$27/$NT$27)),0)</f>
        <v/>
      </c>
      <c r="HC27" s="228">
        <f>IF(AND(207&gt;=$NR$27,207&lt;=$NS$27),IF($NP$27="Single_Point",IF(207=$NR$27,$NN$27,0),IF($NP$27="Bell_Curve",$NN$27*(207-$NR$27+1)*($NS$27-207+1)/$NU$27,$NN$27/$NT$27)),0)</f>
        <v/>
      </c>
      <c r="HD27" s="228">
        <f>IF(AND(208&gt;=$NR$27,208&lt;=$NS$27),IF($NP$27="Single_Point",IF(208=$NR$27,$NN$27,0),IF($NP$27="Bell_Curve",$NN$27*(208-$NR$27+1)*($NS$27-208+1)/$NU$27,$NN$27/$NT$27)),0)</f>
        <v/>
      </c>
      <c r="HE27" s="228">
        <f>IF(AND(209&gt;=$NR$27,209&lt;=$NS$27),IF($NP$27="Single_Point",IF(209=$NR$27,$NN$27,0),IF($NP$27="Bell_Curve",$NN$27*(209-$NR$27+1)*($NS$27-209+1)/$NU$27,$NN$27/$NT$27)),0)</f>
        <v/>
      </c>
      <c r="HF27" s="228">
        <f>IF(AND(210&gt;=$NR$27,210&lt;=$NS$27),IF($NP$27="Single_Point",IF(210=$NR$27,$NN$27,0),IF($NP$27="Bell_Curve",$NN$27*(210-$NR$27+1)*($NS$27-210+1)/$NU$27,$NN$27/$NT$27)),0)</f>
        <v/>
      </c>
      <c r="HG27" s="228">
        <f>IF(AND(211&gt;=$NR$27,211&lt;=$NS$27),IF($NP$27="Single_Point",IF(211=$NR$27,$NN$27,0),IF($NP$27="Bell_Curve",$NN$27*(211-$NR$27+1)*($NS$27-211+1)/$NU$27,$NN$27/$NT$27)),0)</f>
        <v/>
      </c>
      <c r="HH27" s="228">
        <f>IF(AND(212&gt;=$NR$27,212&lt;=$NS$27),IF($NP$27="Single_Point",IF(212=$NR$27,$NN$27,0),IF($NP$27="Bell_Curve",$NN$27*(212-$NR$27+1)*($NS$27-212+1)/$NU$27,$NN$27/$NT$27)),0)</f>
        <v/>
      </c>
      <c r="HI27" s="228">
        <f>IF(AND(213&gt;=$NR$27,213&lt;=$NS$27),IF($NP$27="Single_Point",IF(213=$NR$27,$NN$27,0),IF($NP$27="Bell_Curve",$NN$27*(213-$NR$27+1)*($NS$27-213+1)/$NU$27,$NN$27/$NT$27)),0)</f>
        <v/>
      </c>
      <c r="HJ27" s="228">
        <f>IF(AND(214&gt;=$NR$27,214&lt;=$NS$27),IF($NP$27="Single_Point",IF(214=$NR$27,$NN$27,0),IF($NP$27="Bell_Curve",$NN$27*(214-$NR$27+1)*($NS$27-214+1)/$NU$27,$NN$27/$NT$27)),0)</f>
        <v/>
      </c>
      <c r="HK27" s="228">
        <f>IF(AND(215&gt;=$NR$27,215&lt;=$NS$27),IF($NP$27="Single_Point",IF(215=$NR$27,$NN$27,0),IF($NP$27="Bell_Curve",$NN$27*(215-$NR$27+1)*($NS$27-215+1)/$NU$27,$NN$27/$NT$27)),0)</f>
        <v/>
      </c>
      <c r="HL27" s="228">
        <f>IF(AND(216&gt;=$NR$27,216&lt;=$NS$27),IF($NP$27="Single_Point",IF(216=$NR$27,$NN$27,0),IF($NP$27="Bell_Curve",$NN$27*(216-$NR$27+1)*($NS$27-216+1)/$NU$27,$NN$27/$NT$27)),0)</f>
        <v/>
      </c>
      <c r="HM27" s="228">
        <f>IF(AND(217&gt;=$NR$27,217&lt;=$NS$27),IF($NP$27="Single_Point",IF(217=$NR$27,$NN$27,0),IF($NP$27="Bell_Curve",$NN$27*(217-$NR$27+1)*($NS$27-217+1)/$NU$27,$NN$27/$NT$27)),0)</f>
        <v/>
      </c>
      <c r="HN27" s="228">
        <f>IF(AND(218&gt;=$NR$27,218&lt;=$NS$27),IF($NP$27="Single_Point",IF(218=$NR$27,$NN$27,0),IF($NP$27="Bell_Curve",$NN$27*(218-$NR$27+1)*($NS$27-218+1)/$NU$27,$NN$27/$NT$27)),0)</f>
        <v/>
      </c>
      <c r="HO27" s="228">
        <f>IF(AND(219&gt;=$NR$27,219&lt;=$NS$27),IF($NP$27="Single_Point",IF(219=$NR$27,$NN$27,0),IF($NP$27="Bell_Curve",$NN$27*(219-$NR$27+1)*($NS$27-219+1)/$NU$27,$NN$27/$NT$27)),0)</f>
        <v/>
      </c>
      <c r="HP27" s="228">
        <f>IF(AND(220&gt;=$NR$27,220&lt;=$NS$27),IF($NP$27="Single_Point",IF(220=$NR$27,$NN$27,0),IF($NP$27="Bell_Curve",$NN$27*(220-$NR$27+1)*($NS$27-220+1)/$NU$27,$NN$27/$NT$27)),0)</f>
        <v/>
      </c>
      <c r="HQ27" s="228">
        <f>IF(AND(221&gt;=$NR$27,221&lt;=$NS$27),IF($NP$27="Single_Point",IF(221=$NR$27,$NN$27,0),IF($NP$27="Bell_Curve",$NN$27*(221-$NR$27+1)*($NS$27-221+1)/$NU$27,$NN$27/$NT$27)),0)</f>
        <v/>
      </c>
      <c r="HR27" s="228">
        <f>IF(AND(222&gt;=$NR$27,222&lt;=$NS$27),IF($NP$27="Single_Point",IF(222=$NR$27,$NN$27,0),IF($NP$27="Bell_Curve",$NN$27*(222-$NR$27+1)*($NS$27-222+1)/$NU$27,$NN$27/$NT$27)),0)</f>
        <v/>
      </c>
      <c r="HS27" s="228">
        <f>IF(AND(223&gt;=$NR$27,223&lt;=$NS$27),IF($NP$27="Single_Point",IF(223=$NR$27,$NN$27,0),IF($NP$27="Bell_Curve",$NN$27*(223-$NR$27+1)*($NS$27-223+1)/$NU$27,$NN$27/$NT$27)),0)</f>
        <v/>
      </c>
      <c r="HT27" s="228">
        <f>IF(AND(224&gt;=$NR$27,224&lt;=$NS$27),IF($NP$27="Single_Point",IF(224=$NR$27,$NN$27,0),IF($NP$27="Bell_Curve",$NN$27*(224-$NR$27+1)*($NS$27-224+1)/$NU$27,$NN$27/$NT$27)),0)</f>
        <v/>
      </c>
      <c r="HU27" s="228">
        <f>IF(AND(225&gt;=$NR$27,225&lt;=$NS$27),IF($NP$27="Single_Point",IF(225=$NR$27,$NN$27,0),IF($NP$27="Bell_Curve",$NN$27*(225-$NR$27+1)*($NS$27-225+1)/$NU$27,$NN$27/$NT$27)),0)</f>
        <v/>
      </c>
      <c r="HV27" s="228">
        <f>IF(AND(226&gt;=$NR$27,226&lt;=$NS$27),IF($NP$27="Single_Point",IF(226=$NR$27,$NN$27,0),IF($NP$27="Bell_Curve",$NN$27*(226-$NR$27+1)*($NS$27-226+1)/$NU$27,$NN$27/$NT$27)),0)</f>
        <v/>
      </c>
      <c r="HW27" s="228">
        <f>IF(AND(227&gt;=$NR$27,227&lt;=$NS$27),IF($NP$27="Single_Point",IF(227=$NR$27,$NN$27,0),IF($NP$27="Bell_Curve",$NN$27*(227-$NR$27+1)*($NS$27-227+1)/$NU$27,$NN$27/$NT$27)),0)</f>
        <v/>
      </c>
      <c r="HX27" s="228">
        <f>IF(AND(228&gt;=$NR$27,228&lt;=$NS$27),IF($NP$27="Single_Point",IF(228=$NR$27,$NN$27,0),IF($NP$27="Bell_Curve",$NN$27*(228-$NR$27+1)*($NS$27-228+1)/$NU$27,$NN$27/$NT$27)),0)</f>
        <v/>
      </c>
      <c r="HY27" s="228">
        <f>IF(AND(229&gt;=$NR$27,229&lt;=$NS$27),IF($NP$27="Single_Point",IF(229=$NR$27,$NN$27,0),IF($NP$27="Bell_Curve",$NN$27*(229-$NR$27+1)*($NS$27-229+1)/$NU$27,$NN$27/$NT$27)),0)</f>
        <v/>
      </c>
      <c r="HZ27" s="228">
        <f>IF(AND(230&gt;=$NR$27,230&lt;=$NS$27),IF($NP$27="Single_Point",IF(230=$NR$27,$NN$27,0),IF($NP$27="Bell_Curve",$NN$27*(230-$NR$27+1)*($NS$27-230+1)/$NU$27,$NN$27/$NT$27)),0)</f>
        <v/>
      </c>
      <c r="IA27" s="228">
        <f>IF(AND(231&gt;=$NR$27,231&lt;=$NS$27),IF($NP$27="Single_Point",IF(231=$NR$27,$NN$27,0),IF($NP$27="Bell_Curve",$NN$27*(231-$NR$27+1)*($NS$27-231+1)/$NU$27,$NN$27/$NT$27)),0)</f>
        <v/>
      </c>
      <c r="IB27" s="228">
        <f>IF(AND(232&gt;=$NR$27,232&lt;=$NS$27),IF($NP$27="Single_Point",IF(232=$NR$27,$NN$27,0),IF($NP$27="Bell_Curve",$NN$27*(232-$NR$27+1)*($NS$27-232+1)/$NU$27,$NN$27/$NT$27)),0)</f>
        <v/>
      </c>
      <c r="IC27" s="228">
        <f>IF(AND(233&gt;=$NR$27,233&lt;=$NS$27),IF($NP$27="Single_Point",IF(233=$NR$27,$NN$27,0),IF($NP$27="Bell_Curve",$NN$27*(233-$NR$27+1)*($NS$27-233+1)/$NU$27,$NN$27/$NT$27)),0)</f>
        <v/>
      </c>
      <c r="ID27" s="228">
        <f>IF(AND(234&gt;=$NR$27,234&lt;=$NS$27),IF($NP$27="Single_Point",IF(234=$NR$27,$NN$27,0),IF($NP$27="Bell_Curve",$NN$27*(234-$NR$27+1)*($NS$27-234+1)/$NU$27,$NN$27/$NT$27)),0)</f>
        <v/>
      </c>
      <c r="IE27" s="228">
        <f>IF(AND(235&gt;=$NR$27,235&lt;=$NS$27),IF($NP$27="Single_Point",IF(235=$NR$27,$NN$27,0),IF($NP$27="Bell_Curve",$NN$27*(235-$NR$27+1)*($NS$27-235+1)/$NU$27,$NN$27/$NT$27)),0)</f>
        <v/>
      </c>
      <c r="IF27" s="228">
        <f>IF(AND(236&gt;=$NR$27,236&lt;=$NS$27),IF($NP$27="Single_Point",IF(236=$NR$27,$NN$27,0),IF($NP$27="Bell_Curve",$NN$27*(236-$NR$27+1)*($NS$27-236+1)/$NU$27,$NN$27/$NT$27)),0)</f>
        <v/>
      </c>
      <c r="IG27" s="228">
        <f>IF(AND(237&gt;=$NR$27,237&lt;=$NS$27),IF($NP$27="Single_Point",IF(237=$NR$27,$NN$27,0),IF($NP$27="Bell_Curve",$NN$27*(237-$NR$27+1)*($NS$27-237+1)/$NU$27,$NN$27/$NT$27)),0)</f>
        <v/>
      </c>
      <c r="IH27" s="228">
        <f>IF(AND(238&gt;=$NR$27,238&lt;=$NS$27),IF($NP$27="Single_Point",IF(238=$NR$27,$NN$27,0),IF($NP$27="Bell_Curve",$NN$27*(238-$NR$27+1)*($NS$27-238+1)/$NU$27,$NN$27/$NT$27)),0)</f>
        <v/>
      </c>
      <c r="II27" s="228">
        <f>IF(AND(239&gt;=$NR$27,239&lt;=$NS$27),IF($NP$27="Single_Point",IF(239=$NR$27,$NN$27,0),IF($NP$27="Bell_Curve",$NN$27*(239-$NR$27+1)*($NS$27-239+1)/$NU$27,$NN$27/$NT$27)),0)</f>
        <v/>
      </c>
      <c r="IJ27" s="228">
        <f>IF(AND(240&gt;=$NR$27,240&lt;=$NS$27),IF($NP$27="Single_Point",IF(240=$NR$27,$NN$27,0),IF($NP$27="Bell_Curve",$NN$27*(240-$NR$27+1)*($NS$27-240+1)/$NU$27,$NN$27/$NT$27)),0)</f>
        <v/>
      </c>
      <c r="IK27" s="228">
        <f>IF(AND(241&gt;=$NR$27,241&lt;=$NS$27),IF($NP$27="Single_Point",IF(241=$NR$27,$NN$27,0),IF($NP$27="Bell_Curve",$NN$27*(241-$NR$27+1)*($NS$27-241+1)/$NU$27,$NN$27/$NT$27)),0)</f>
        <v/>
      </c>
      <c r="IL27" s="228">
        <f>IF(AND(242&gt;=$NR$27,242&lt;=$NS$27),IF($NP$27="Single_Point",IF(242=$NR$27,$NN$27,0),IF($NP$27="Bell_Curve",$NN$27*(242-$NR$27+1)*($NS$27-242+1)/$NU$27,$NN$27/$NT$27)),0)</f>
        <v/>
      </c>
      <c r="IM27" s="228">
        <f>IF(AND(243&gt;=$NR$27,243&lt;=$NS$27),IF($NP$27="Single_Point",IF(243=$NR$27,$NN$27,0),IF($NP$27="Bell_Curve",$NN$27*(243-$NR$27+1)*($NS$27-243+1)/$NU$27,$NN$27/$NT$27)),0)</f>
        <v/>
      </c>
      <c r="IN27" s="228">
        <f>IF(AND(244&gt;=$NR$27,244&lt;=$NS$27),IF($NP$27="Single_Point",IF(244=$NR$27,$NN$27,0),IF($NP$27="Bell_Curve",$NN$27*(244-$NR$27+1)*($NS$27-244+1)/$NU$27,$NN$27/$NT$27)),0)</f>
        <v/>
      </c>
      <c r="IO27" s="228">
        <f>IF(AND(245&gt;=$NR$27,245&lt;=$NS$27),IF($NP$27="Single_Point",IF(245=$NR$27,$NN$27,0),IF($NP$27="Bell_Curve",$NN$27*(245-$NR$27+1)*($NS$27-245+1)/$NU$27,$NN$27/$NT$27)),0)</f>
        <v/>
      </c>
      <c r="IP27" s="228">
        <f>IF(AND(246&gt;=$NR$27,246&lt;=$NS$27),IF($NP$27="Single_Point",IF(246=$NR$27,$NN$27,0),IF($NP$27="Bell_Curve",$NN$27*(246-$NR$27+1)*($NS$27-246+1)/$NU$27,$NN$27/$NT$27)),0)</f>
        <v/>
      </c>
      <c r="IQ27" s="228">
        <f>IF(AND(247&gt;=$NR$27,247&lt;=$NS$27),IF($NP$27="Single_Point",IF(247=$NR$27,$NN$27,0),IF($NP$27="Bell_Curve",$NN$27*(247-$NR$27+1)*($NS$27-247+1)/$NU$27,$NN$27/$NT$27)),0)</f>
        <v/>
      </c>
      <c r="IR27" s="228">
        <f>IF(AND(248&gt;=$NR$27,248&lt;=$NS$27),IF($NP$27="Single_Point",IF(248=$NR$27,$NN$27,0),IF($NP$27="Bell_Curve",$NN$27*(248-$NR$27+1)*($NS$27-248+1)/$NU$27,$NN$27/$NT$27)),0)</f>
        <v/>
      </c>
      <c r="IS27" s="228">
        <f>IF(AND(249&gt;=$NR$27,249&lt;=$NS$27),IF($NP$27="Single_Point",IF(249=$NR$27,$NN$27,0),IF($NP$27="Bell_Curve",$NN$27*(249-$NR$27+1)*($NS$27-249+1)/$NU$27,$NN$27/$NT$27)),0)</f>
        <v/>
      </c>
      <c r="IT27" s="228">
        <f>IF(AND(250&gt;=$NR$27,250&lt;=$NS$27),IF($NP$27="Single_Point",IF(250=$NR$27,$NN$27,0),IF($NP$27="Bell_Curve",$NN$27*(250-$NR$27+1)*($NS$27-250+1)/$NU$27,$NN$27/$NT$27)),0)</f>
        <v/>
      </c>
      <c r="IU27" s="228">
        <f>IF(AND(251&gt;=$NR$27,251&lt;=$NS$27),IF($NP$27="Single_Point",IF(251=$NR$27,$NN$27,0),IF($NP$27="Bell_Curve",$NN$27*(251-$NR$27+1)*($NS$27-251+1)/$NU$27,$NN$27/$NT$27)),0)</f>
        <v/>
      </c>
      <c r="IV27" s="228">
        <f>IF(AND(252&gt;=$NR$27,252&lt;=$NS$27),IF($NP$27="Single_Point",IF(252=$NR$27,$NN$27,0),IF($NP$27="Bell_Curve",$NN$27*(252-$NR$27+1)*($NS$27-252+1)/$NU$27,$NN$27/$NT$27)),0)</f>
        <v/>
      </c>
      <c r="IW27" s="228">
        <f>IF(AND(253&gt;=$NR$27,253&lt;=$NS$27),IF($NP$27="Single_Point",IF(253=$NR$27,$NN$27,0),IF($NP$27="Bell_Curve",$NN$27*(253-$NR$27+1)*($NS$27-253+1)/$NU$27,$NN$27/$NT$27)),0)</f>
        <v/>
      </c>
      <c r="IX27" s="228">
        <f>IF(AND(254&gt;=$NR$27,254&lt;=$NS$27),IF($NP$27="Single_Point",IF(254=$NR$27,$NN$27,0),IF($NP$27="Bell_Curve",$NN$27*(254-$NR$27+1)*($NS$27-254+1)/$NU$27,$NN$27/$NT$27)),0)</f>
        <v/>
      </c>
      <c r="IY27" s="228">
        <f>IF(AND(255&gt;=$NR$27,255&lt;=$NS$27),IF($NP$27="Single_Point",IF(255=$NR$27,$NN$27,0),IF($NP$27="Bell_Curve",$NN$27*(255-$NR$27+1)*($NS$27-255+1)/$NU$27,$NN$27/$NT$27)),0)</f>
        <v/>
      </c>
      <c r="IZ27" s="228">
        <f>IF(AND(256&gt;=$NR$27,256&lt;=$NS$27),IF($NP$27="Single_Point",IF(256=$NR$27,$NN$27,0),IF($NP$27="Bell_Curve",$NN$27*(256-$NR$27+1)*($NS$27-256+1)/$NU$27,$NN$27/$NT$27)),0)</f>
        <v/>
      </c>
      <c r="JA27" s="228">
        <f>IF(AND(257&gt;=$NR$27,257&lt;=$NS$27),IF($NP$27="Single_Point",IF(257=$NR$27,$NN$27,0),IF($NP$27="Bell_Curve",$NN$27*(257-$NR$27+1)*($NS$27-257+1)/$NU$27,$NN$27/$NT$27)),0)</f>
        <v/>
      </c>
      <c r="JB27" s="228">
        <f>IF(AND(258&gt;=$NR$27,258&lt;=$NS$27),IF($NP$27="Single_Point",IF(258=$NR$27,$NN$27,0),IF($NP$27="Bell_Curve",$NN$27*(258-$NR$27+1)*($NS$27-258+1)/$NU$27,$NN$27/$NT$27)),0)</f>
        <v/>
      </c>
      <c r="JC27" s="228">
        <f>IF(AND(259&gt;=$NR$27,259&lt;=$NS$27),IF($NP$27="Single_Point",IF(259=$NR$27,$NN$27,0),IF($NP$27="Bell_Curve",$NN$27*(259-$NR$27+1)*($NS$27-259+1)/$NU$27,$NN$27/$NT$27)),0)</f>
        <v/>
      </c>
      <c r="JD27" s="228">
        <f>IF(AND(260&gt;=$NR$27,260&lt;=$NS$27),IF($NP$27="Single_Point",IF(260=$NR$27,$NN$27,0),IF($NP$27="Bell_Curve",$NN$27*(260-$NR$27+1)*($NS$27-260+1)/$NU$27,$NN$27/$NT$27)),0)</f>
        <v/>
      </c>
      <c r="JE27" s="228">
        <f>IF(AND(261&gt;=$NR$27,261&lt;=$NS$27),IF($NP$27="Single_Point",IF(261=$NR$27,$NN$27,0),IF($NP$27="Bell_Curve",$NN$27*(261-$NR$27+1)*($NS$27-261+1)/$NU$27,$NN$27/$NT$27)),0)</f>
        <v/>
      </c>
      <c r="JF27" s="228">
        <f>IF(AND(262&gt;=$NR$27,262&lt;=$NS$27),IF($NP$27="Single_Point",IF(262=$NR$27,$NN$27,0),IF($NP$27="Bell_Curve",$NN$27*(262-$NR$27+1)*($NS$27-262+1)/$NU$27,$NN$27/$NT$27)),0)</f>
        <v/>
      </c>
      <c r="JG27" s="228">
        <f>IF(AND(263&gt;=$NR$27,263&lt;=$NS$27),IF($NP$27="Single_Point",IF(263=$NR$27,$NN$27,0),IF($NP$27="Bell_Curve",$NN$27*(263-$NR$27+1)*($NS$27-263+1)/$NU$27,$NN$27/$NT$27)),0)</f>
        <v/>
      </c>
      <c r="JH27" s="228">
        <f>IF(AND(264&gt;=$NR$27,264&lt;=$NS$27),IF($NP$27="Single_Point",IF(264=$NR$27,$NN$27,0),IF($NP$27="Bell_Curve",$NN$27*(264-$NR$27+1)*($NS$27-264+1)/$NU$27,$NN$27/$NT$27)),0)</f>
        <v/>
      </c>
      <c r="JI27" s="228">
        <f>IF(AND(265&gt;=$NR$27,265&lt;=$NS$27),IF($NP$27="Single_Point",IF(265=$NR$27,$NN$27,0),IF($NP$27="Bell_Curve",$NN$27*(265-$NR$27+1)*($NS$27-265+1)/$NU$27,$NN$27/$NT$27)),0)</f>
        <v/>
      </c>
      <c r="JJ27" s="228">
        <f>IF(AND(266&gt;=$NR$27,266&lt;=$NS$27),IF($NP$27="Single_Point",IF(266=$NR$27,$NN$27,0),IF($NP$27="Bell_Curve",$NN$27*(266-$NR$27+1)*($NS$27-266+1)/$NU$27,$NN$27/$NT$27)),0)</f>
        <v/>
      </c>
      <c r="JK27" s="228">
        <f>IF(AND(267&gt;=$NR$27,267&lt;=$NS$27),IF($NP$27="Single_Point",IF(267=$NR$27,$NN$27,0),IF($NP$27="Bell_Curve",$NN$27*(267-$NR$27+1)*($NS$27-267+1)/$NU$27,$NN$27/$NT$27)),0)</f>
        <v/>
      </c>
      <c r="JL27" s="228">
        <f>IF(AND(268&gt;=$NR$27,268&lt;=$NS$27),IF($NP$27="Single_Point",IF(268=$NR$27,$NN$27,0),IF($NP$27="Bell_Curve",$NN$27*(268-$NR$27+1)*($NS$27-268+1)/$NU$27,$NN$27/$NT$27)),0)</f>
        <v/>
      </c>
      <c r="JM27" s="228">
        <f>IF(AND(269&gt;=$NR$27,269&lt;=$NS$27),IF($NP$27="Single_Point",IF(269=$NR$27,$NN$27,0),IF($NP$27="Bell_Curve",$NN$27*(269-$NR$27+1)*($NS$27-269+1)/$NU$27,$NN$27/$NT$27)),0)</f>
        <v/>
      </c>
      <c r="JN27" s="228">
        <f>IF(AND(270&gt;=$NR$27,270&lt;=$NS$27),IF($NP$27="Single_Point",IF(270=$NR$27,$NN$27,0),IF($NP$27="Bell_Curve",$NN$27*(270-$NR$27+1)*($NS$27-270+1)/$NU$27,$NN$27/$NT$27)),0)</f>
        <v/>
      </c>
      <c r="JO27" s="228">
        <f>IF(AND(271&gt;=$NR$27,271&lt;=$NS$27),IF($NP$27="Single_Point",IF(271=$NR$27,$NN$27,0),IF($NP$27="Bell_Curve",$NN$27*(271-$NR$27+1)*($NS$27-271+1)/$NU$27,$NN$27/$NT$27)),0)</f>
        <v/>
      </c>
      <c r="JP27" s="228">
        <f>IF(AND(272&gt;=$NR$27,272&lt;=$NS$27),IF($NP$27="Single_Point",IF(272=$NR$27,$NN$27,0),IF($NP$27="Bell_Curve",$NN$27*(272-$NR$27+1)*($NS$27-272+1)/$NU$27,$NN$27/$NT$27)),0)</f>
        <v/>
      </c>
      <c r="JQ27" s="228">
        <f>IF(AND(273&gt;=$NR$27,273&lt;=$NS$27),IF($NP$27="Single_Point",IF(273=$NR$27,$NN$27,0),IF($NP$27="Bell_Curve",$NN$27*(273-$NR$27+1)*($NS$27-273+1)/$NU$27,$NN$27/$NT$27)),0)</f>
        <v/>
      </c>
      <c r="JR27" s="228">
        <f>IF(AND(274&gt;=$NR$27,274&lt;=$NS$27),IF($NP$27="Single_Point",IF(274=$NR$27,$NN$27,0),IF($NP$27="Bell_Curve",$NN$27*(274-$NR$27+1)*($NS$27-274+1)/$NU$27,$NN$27/$NT$27)),0)</f>
        <v/>
      </c>
      <c r="JS27" s="228">
        <f>IF(AND(275&gt;=$NR$27,275&lt;=$NS$27),IF($NP$27="Single_Point",IF(275=$NR$27,$NN$27,0),IF($NP$27="Bell_Curve",$NN$27*(275-$NR$27+1)*($NS$27-275+1)/$NU$27,$NN$27/$NT$27)),0)</f>
        <v/>
      </c>
      <c r="JT27" s="228">
        <f>IF(AND(276&gt;=$NR$27,276&lt;=$NS$27),IF($NP$27="Single_Point",IF(276=$NR$27,$NN$27,0),IF($NP$27="Bell_Curve",$NN$27*(276-$NR$27+1)*($NS$27-276+1)/$NU$27,$NN$27/$NT$27)),0)</f>
        <v/>
      </c>
      <c r="JU27" s="228">
        <f>IF(AND(277&gt;=$NR$27,277&lt;=$NS$27),IF($NP$27="Single_Point",IF(277=$NR$27,$NN$27,0),IF($NP$27="Bell_Curve",$NN$27*(277-$NR$27+1)*($NS$27-277+1)/$NU$27,$NN$27/$NT$27)),0)</f>
        <v/>
      </c>
      <c r="JV27" s="228">
        <f>IF(AND(278&gt;=$NR$27,278&lt;=$NS$27),IF($NP$27="Single_Point",IF(278=$NR$27,$NN$27,0),IF($NP$27="Bell_Curve",$NN$27*(278-$NR$27+1)*($NS$27-278+1)/$NU$27,$NN$27/$NT$27)),0)</f>
        <v/>
      </c>
      <c r="JW27" s="228">
        <f>IF(AND(279&gt;=$NR$27,279&lt;=$NS$27),IF($NP$27="Single_Point",IF(279=$NR$27,$NN$27,0),IF($NP$27="Bell_Curve",$NN$27*(279-$NR$27+1)*($NS$27-279+1)/$NU$27,$NN$27/$NT$27)),0)</f>
        <v/>
      </c>
      <c r="JX27" s="228">
        <f>IF(AND(280&gt;=$NR$27,280&lt;=$NS$27),IF($NP$27="Single_Point",IF(280=$NR$27,$NN$27,0),IF($NP$27="Bell_Curve",$NN$27*(280-$NR$27+1)*($NS$27-280+1)/$NU$27,$NN$27/$NT$27)),0)</f>
        <v/>
      </c>
      <c r="JY27" s="228">
        <f>IF(AND(281&gt;=$NR$27,281&lt;=$NS$27),IF($NP$27="Single_Point",IF(281=$NR$27,$NN$27,0),IF($NP$27="Bell_Curve",$NN$27*(281-$NR$27+1)*($NS$27-281+1)/$NU$27,$NN$27/$NT$27)),0)</f>
        <v/>
      </c>
      <c r="JZ27" s="228">
        <f>IF(AND(282&gt;=$NR$27,282&lt;=$NS$27),IF($NP$27="Single_Point",IF(282=$NR$27,$NN$27,0),IF($NP$27="Bell_Curve",$NN$27*(282-$NR$27+1)*($NS$27-282+1)/$NU$27,$NN$27/$NT$27)),0)</f>
        <v/>
      </c>
      <c r="KA27" s="228">
        <f>IF(AND(283&gt;=$NR$27,283&lt;=$NS$27),IF($NP$27="Single_Point",IF(283=$NR$27,$NN$27,0),IF($NP$27="Bell_Curve",$NN$27*(283-$NR$27+1)*($NS$27-283+1)/$NU$27,$NN$27/$NT$27)),0)</f>
        <v/>
      </c>
      <c r="KB27" s="228">
        <f>IF(AND(284&gt;=$NR$27,284&lt;=$NS$27),IF($NP$27="Single_Point",IF(284=$NR$27,$NN$27,0),IF($NP$27="Bell_Curve",$NN$27*(284-$NR$27+1)*($NS$27-284+1)/$NU$27,$NN$27/$NT$27)),0)</f>
        <v/>
      </c>
      <c r="KC27" s="228">
        <f>IF(AND(285&gt;=$NR$27,285&lt;=$NS$27),IF($NP$27="Single_Point",IF(285=$NR$27,$NN$27,0),IF($NP$27="Bell_Curve",$NN$27*(285-$NR$27+1)*($NS$27-285+1)/$NU$27,$NN$27/$NT$27)),0)</f>
        <v/>
      </c>
      <c r="KD27" s="228">
        <f>IF(AND(286&gt;=$NR$27,286&lt;=$NS$27),IF($NP$27="Single_Point",IF(286=$NR$27,$NN$27,0),IF($NP$27="Bell_Curve",$NN$27*(286-$NR$27+1)*($NS$27-286+1)/$NU$27,$NN$27/$NT$27)),0)</f>
        <v/>
      </c>
      <c r="KE27" s="228">
        <f>IF(AND(287&gt;=$NR$27,287&lt;=$NS$27),IF($NP$27="Single_Point",IF(287=$NR$27,$NN$27,0),IF($NP$27="Bell_Curve",$NN$27*(287-$NR$27+1)*($NS$27-287+1)/$NU$27,$NN$27/$NT$27)),0)</f>
        <v/>
      </c>
      <c r="KF27" s="228">
        <f>IF(AND(288&gt;=$NR$27,288&lt;=$NS$27),IF($NP$27="Single_Point",IF(288=$NR$27,$NN$27,0),IF($NP$27="Bell_Curve",$NN$27*(288-$NR$27+1)*($NS$27-288+1)/$NU$27,$NN$27/$NT$27)),0)</f>
        <v/>
      </c>
      <c r="KG27" s="228">
        <f>IF(AND(289&gt;=$NR$27,289&lt;=$NS$27),IF($NP$27="Single_Point",IF(289=$NR$27,$NN$27,0),IF($NP$27="Bell_Curve",$NN$27*(289-$NR$27+1)*($NS$27-289+1)/$NU$27,$NN$27/$NT$27)),0)</f>
        <v/>
      </c>
      <c r="KH27" s="228">
        <f>IF(AND(290&gt;=$NR$27,290&lt;=$NS$27),IF($NP$27="Single_Point",IF(290=$NR$27,$NN$27,0),IF($NP$27="Bell_Curve",$NN$27*(290-$NR$27+1)*($NS$27-290+1)/$NU$27,$NN$27/$NT$27)),0)</f>
        <v/>
      </c>
      <c r="KI27" s="228">
        <f>IF(AND(291&gt;=$NR$27,291&lt;=$NS$27),IF($NP$27="Single_Point",IF(291=$NR$27,$NN$27,0),IF($NP$27="Bell_Curve",$NN$27*(291-$NR$27+1)*($NS$27-291+1)/$NU$27,$NN$27/$NT$27)),0)</f>
        <v/>
      </c>
      <c r="KJ27" s="228">
        <f>IF(AND(292&gt;=$NR$27,292&lt;=$NS$27),IF($NP$27="Single_Point",IF(292=$NR$27,$NN$27,0),IF($NP$27="Bell_Curve",$NN$27*(292-$NR$27+1)*($NS$27-292+1)/$NU$27,$NN$27/$NT$27)),0)</f>
        <v/>
      </c>
      <c r="KK27" s="228">
        <f>IF(AND(293&gt;=$NR$27,293&lt;=$NS$27),IF($NP$27="Single_Point",IF(293=$NR$27,$NN$27,0),IF($NP$27="Bell_Curve",$NN$27*(293-$NR$27+1)*($NS$27-293+1)/$NU$27,$NN$27/$NT$27)),0)</f>
        <v/>
      </c>
      <c r="KL27" s="228">
        <f>IF(AND(294&gt;=$NR$27,294&lt;=$NS$27),IF($NP$27="Single_Point",IF(294=$NR$27,$NN$27,0),IF($NP$27="Bell_Curve",$NN$27*(294-$NR$27+1)*($NS$27-294+1)/$NU$27,$NN$27/$NT$27)),0)</f>
        <v/>
      </c>
      <c r="KM27" s="228">
        <f>IF(AND(295&gt;=$NR$27,295&lt;=$NS$27),IF($NP$27="Single_Point",IF(295=$NR$27,$NN$27,0),IF($NP$27="Bell_Curve",$NN$27*(295-$NR$27+1)*($NS$27-295+1)/$NU$27,$NN$27/$NT$27)),0)</f>
        <v/>
      </c>
      <c r="KN27" s="228">
        <f>IF(AND(296&gt;=$NR$27,296&lt;=$NS$27),IF($NP$27="Single_Point",IF(296=$NR$27,$NN$27,0),IF($NP$27="Bell_Curve",$NN$27*(296-$NR$27+1)*($NS$27-296+1)/$NU$27,$NN$27/$NT$27)),0)</f>
        <v/>
      </c>
      <c r="KO27" s="228">
        <f>IF(AND(297&gt;=$NR$27,297&lt;=$NS$27),IF($NP$27="Single_Point",IF(297=$NR$27,$NN$27,0),IF($NP$27="Bell_Curve",$NN$27*(297-$NR$27+1)*($NS$27-297+1)/$NU$27,$NN$27/$NT$27)),0)</f>
        <v/>
      </c>
      <c r="KP27" s="228">
        <f>IF(AND(298&gt;=$NR$27,298&lt;=$NS$27),IF($NP$27="Single_Point",IF(298=$NR$27,$NN$27,0),IF($NP$27="Bell_Curve",$NN$27*(298-$NR$27+1)*($NS$27-298+1)/$NU$27,$NN$27/$NT$27)),0)</f>
        <v/>
      </c>
      <c r="KQ27" s="228">
        <f>IF(AND(299&gt;=$NR$27,299&lt;=$NS$27),IF($NP$27="Single_Point",IF(299=$NR$27,$NN$27,0),IF($NP$27="Bell_Curve",$NN$27*(299-$NR$27+1)*($NS$27-299+1)/$NU$27,$NN$27/$NT$27)),0)</f>
        <v/>
      </c>
      <c r="KR27" s="228">
        <f>IF(AND(300&gt;=$NR$27,300&lt;=$NS$27),IF($NP$27="Single_Point",IF(300=$NR$27,$NN$27,0),IF($NP$27="Bell_Curve",$NN$27*(300-$NR$27+1)*($NS$27-300+1)/$NU$27,$NN$27/$NT$27)),0)</f>
        <v/>
      </c>
      <c r="KS27" s="228">
        <f>IF(AND(301&gt;=$NR$27,301&lt;=$NS$27),IF($NP$27="Single_Point",IF(301=$NR$27,$NN$27,0),IF($NP$27="Bell_Curve",$NN$27*(301-$NR$27+1)*($NS$27-301+1)/$NU$27,$NN$27/$NT$27)),0)</f>
        <v/>
      </c>
      <c r="KT27" s="228">
        <f>IF(AND(302&gt;=$NR$27,302&lt;=$NS$27),IF($NP$27="Single_Point",IF(302=$NR$27,$NN$27,0),IF($NP$27="Bell_Curve",$NN$27*(302-$NR$27+1)*($NS$27-302+1)/$NU$27,$NN$27/$NT$27)),0)</f>
        <v/>
      </c>
      <c r="KU27" s="228">
        <f>IF(AND(303&gt;=$NR$27,303&lt;=$NS$27),IF($NP$27="Single_Point",IF(303=$NR$27,$NN$27,0),IF($NP$27="Bell_Curve",$NN$27*(303-$NR$27+1)*($NS$27-303+1)/$NU$27,$NN$27/$NT$27)),0)</f>
        <v/>
      </c>
      <c r="KV27" s="228">
        <f>IF(AND(304&gt;=$NR$27,304&lt;=$NS$27),IF($NP$27="Single_Point",IF(304=$NR$27,$NN$27,0),IF($NP$27="Bell_Curve",$NN$27*(304-$NR$27+1)*($NS$27-304+1)/$NU$27,$NN$27/$NT$27)),0)</f>
        <v/>
      </c>
      <c r="KW27" s="228">
        <f>IF(AND(305&gt;=$NR$27,305&lt;=$NS$27),IF($NP$27="Single_Point",IF(305=$NR$27,$NN$27,0),IF($NP$27="Bell_Curve",$NN$27*(305-$NR$27+1)*($NS$27-305+1)/$NU$27,$NN$27/$NT$27)),0)</f>
        <v/>
      </c>
      <c r="KX27" s="228">
        <f>IF(AND(306&gt;=$NR$27,306&lt;=$NS$27),IF($NP$27="Single_Point",IF(306=$NR$27,$NN$27,0),IF($NP$27="Bell_Curve",$NN$27*(306-$NR$27+1)*($NS$27-306+1)/$NU$27,$NN$27/$NT$27)),0)</f>
        <v/>
      </c>
      <c r="KY27" s="228">
        <f>IF(AND(307&gt;=$NR$27,307&lt;=$NS$27),IF($NP$27="Single_Point",IF(307=$NR$27,$NN$27,0),IF($NP$27="Bell_Curve",$NN$27*(307-$NR$27+1)*($NS$27-307+1)/$NU$27,$NN$27/$NT$27)),0)</f>
        <v/>
      </c>
      <c r="KZ27" s="228">
        <f>IF(AND(308&gt;=$NR$27,308&lt;=$NS$27),IF($NP$27="Single_Point",IF(308=$NR$27,$NN$27,0),IF($NP$27="Bell_Curve",$NN$27*(308-$NR$27+1)*($NS$27-308+1)/$NU$27,$NN$27/$NT$27)),0)</f>
        <v/>
      </c>
      <c r="LA27" s="228">
        <f>IF(AND(309&gt;=$NR$27,309&lt;=$NS$27),IF($NP$27="Single_Point",IF(309=$NR$27,$NN$27,0),IF($NP$27="Bell_Curve",$NN$27*(309-$NR$27+1)*($NS$27-309+1)/$NU$27,$NN$27/$NT$27)),0)</f>
        <v/>
      </c>
      <c r="LB27" s="228">
        <f>IF(AND(310&gt;=$NR$27,310&lt;=$NS$27),IF($NP$27="Single_Point",IF(310=$NR$27,$NN$27,0),IF($NP$27="Bell_Curve",$NN$27*(310-$NR$27+1)*($NS$27-310+1)/$NU$27,$NN$27/$NT$27)),0)</f>
        <v/>
      </c>
      <c r="LC27" s="228">
        <f>IF(AND(311&gt;=$NR$27,311&lt;=$NS$27),IF($NP$27="Single_Point",IF(311=$NR$27,$NN$27,0),IF($NP$27="Bell_Curve",$NN$27*(311-$NR$27+1)*($NS$27-311+1)/$NU$27,$NN$27/$NT$27)),0)</f>
        <v/>
      </c>
      <c r="LD27" s="228">
        <f>IF(AND(312&gt;=$NR$27,312&lt;=$NS$27),IF($NP$27="Single_Point",IF(312=$NR$27,$NN$27,0),IF($NP$27="Bell_Curve",$NN$27*(312-$NR$27+1)*($NS$27-312+1)/$NU$27,$NN$27/$NT$27)),0)</f>
        <v/>
      </c>
      <c r="LE27" s="228">
        <f>IF(AND(313&gt;=$NR$27,313&lt;=$NS$27),IF($NP$27="Single_Point",IF(313=$NR$27,$NN$27,0),IF($NP$27="Bell_Curve",$NN$27*(313-$NR$27+1)*($NS$27-313+1)/$NU$27,$NN$27/$NT$27)),0)</f>
        <v/>
      </c>
      <c r="LF27" s="228">
        <f>IF(AND(314&gt;=$NR$27,314&lt;=$NS$27),IF($NP$27="Single_Point",IF(314=$NR$27,$NN$27,0),IF($NP$27="Bell_Curve",$NN$27*(314-$NR$27+1)*($NS$27-314+1)/$NU$27,$NN$27/$NT$27)),0)</f>
        <v/>
      </c>
      <c r="LG27" s="228">
        <f>IF(AND(315&gt;=$NR$27,315&lt;=$NS$27),IF($NP$27="Single_Point",IF(315=$NR$27,$NN$27,0),IF($NP$27="Bell_Curve",$NN$27*(315-$NR$27+1)*($NS$27-315+1)/$NU$27,$NN$27/$NT$27)),0)</f>
        <v/>
      </c>
      <c r="LH27" s="228">
        <f>IF(AND(316&gt;=$NR$27,316&lt;=$NS$27),IF($NP$27="Single_Point",IF(316=$NR$27,$NN$27,0),IF($NP$27="Bell_Curve",$NN$27*(316-$NR$27+1)*($NS$27-316+1)/$NU$27,$NN$27/$NT$27)),0)</f>
        <v/>
      </c>
      <c r="LI27" s="228">
        <f>IF(AND(317&gt;=$NR$27,317&lt;=$NS$27),IF($NP$27="Single_Point",IF(317=$NR$27,$NN$27,0),IF($NP$27="Bell_Curve",$NN$27*(317-$NR$27+1)*($NS$27-317+1)/$NU$27,$NN$27/$NT$27)),0)</f>
        <v/>
      </c>
      <c r="LJ27" s="228">
        <f>IF(AND(318&gt;=$NR$27,318&lt;=$NS$27),IF($NP$27="Single_Point",IF(318=$NR$27,$NN$27,0),IF($NP$27="Bell_Curve",$NN$27*(318-$NR$27+1)*($NS$27-318+1)/$NU$27,$NN$27/$NT$27)),0)</f>
        <v/>
      </c>
      <c r="LK27" s="228">
        <f>IF(AND(319&gt;=$NR$27,319&lt;=$NS$27),IF($NP$27="Single_Point",IF(319=$NR$27,$NN$27,0),IF($NP$27="Bell_Curve",$NN$27*(319-$NR$27+1)*($NS$27-319+1)/$NU$27,$NN$27/$NT$27)),0)</f>
        <v/>
      </c>
      <c r="LL27" s="228">
        <f>IF(AND(320&gt;=$NR$27,320&lt;=$NS$27),IF($NP$27="Single_Point",IF(320=$NR$27,$NN$27,0),IF($NP$27="Bell_Curve",$NN$27*(320-$NR$27+1)*($NS$27-320+1)/$NU$27,$NN$27/$NT$27)),0)</f>
        <v/>
      </c>
      <c r="LM27" s="228">
        <f>IF(AND(321&gt;=$NR$27,321&lt;=$NS$27),IF($NP$27="Single_Point",IF(321=$NR$27,$NN$27,0),IF($NP$27="Bell_Curve",$NN$27*(321-$NR$27+1)*($NS$27-321+1)/$NU$27,$NN$27/$NT$27)),0)</f>
        <v/>
      </c>
      <c r="LN27" s="228">
        <f>IF(AND(322&gt;=$NR$27,322&lt;=$NS$27),IF($NP$27="Single_Point",IF(322=$NR$27,$NN$27,0),IF($NP$27="Bell_Curve",$NN$27*(322-$NR$27+1)*($NS$27-322+1)/$NU$27,$NN$27/$NT$27)),0)</f>
        <v/>
      </c>
      <c r="LO27" s="228">
        <f>IF(AND(323&gt;=$NR$27,323&lt;=$NS$27),IF($NP$27="Single_Point",IF(323=$NR$27,$NN$27,0),IF($NP$27="Bell_Curve",$NN$27*(323-$NR$27+1)*($NS$27-323+1)/$NU$27,$NN$27/$NT$27)),0)</f>
        <v/>
      </c>
      <c r="LP27" s="228">
        <f>IF(AND(324&gt;=$NR$27,324&lt;=$NS$27),IF($NP$27="Single_Point",IF(324=$NR$27,$NN$27,0),IF($NP$27="Bell_Curve",$NN$27*(324-$NR$27+1)*($NS$27-324+1)/$NU$27,$NN$27/$NT$27)),0)</f>
        <v/>
      </c>
      <c r="LQ27" s="228">
        <f>IF(AND(325&gt;=$NR$27,325&lt;=$NS$27),IF($NP$27="Single_Point",IF(325=$NR$27,$NN$27,0),IF($NP$27="Bell_Curve",$NN$27*(325-$NR$27+1)*($NS$27-325+1)/$NU$27,$NN$27/$NT$27)),0)</f>
        <v/>
      </c>
      <c r="LR27" s="228">
        <f>IF(AND(326&gt;=$NR$27,326&lt;=$NS$27),IF($NP$27="Single_Point",IF(326=$NR$27,$NN$27,0),IF($NP$27="Bell_Curve",$NN$27*(326-$NR$27+1)*($NS$27-326+1)/$NU$27,$NN$27/$NT$27)),0)</f>
        <v/>
      </c>
      <c r="LS27" s="228">
        <f>IF(AND(327&gt;=$NR$27,327&lt;=$NS$27),IF($NP$27="Single_Point",IF(327=$NR$27,$NN$27,0),IF($NP$27="Bell_Curve",$NN$27*(327-$NR$27+1)*($NS$27-327+1)/$NU$27,$NN$27/$NT$27)),0)</f>
        <v/>
      </c>
      <c r="LT27" s="228">
        <f>IF(AND(328&gt;=$NR$27,328&lt;=$NS$27),IF($NP$27="Single_Point",IF(328=$NR$27,$NN$27,0),IF($NP$27="Bell_Curve",$NN$27*(328-$NR$27+1)*($NS$27-328+1)/$NU$27,$NN$27/$NT$27)),0)</f>
        <v/>
      </c>
      <c r="LU27" s="228">
        <f>IF(AND(329&gt;=$NR$27,329&lt;=$NS$27),IF($NP$27="Single_Point",IF(329=$NR$27,$NN$27,0),IF($NP$27="Bell_Curve",$NN$27*(329-$NR$27+1)*($NS$27-329+1)/$NU$27,$NN$27/$NT$27)),0)</f>
        <v/>
      </c>
      <c r="LV27" s="228">
        <f>IF(AND(330&gt;=$NR$27,330&lt;=$NS$27),IF($NP$27="Single_Point",IF(330=$NR$27,$NN$27,0),IF($NP$27="Bell_Curve",$NN$27*(330-$NR$27+1)*($NS$27-330+1)/$NU$27,$NN$27/$NT$27)),0)</f>
        <v/>
      </c>
      <c r="LW27" s="228">
        <f>IF(AND(331&gt;=$NR$27,331&lt;=$NS$27),IF($NP$27="Single_Point",IF(331=$NR$27,$NN$27,0),IF($NP$27="Bell_Curve",$NN$27*(331-$NR$27+1)*($NS$27-331+1)/$NU$27,$NN$27/$NT$27)),0)</f>
        <v/>
      </c>
      <c r="LX27" s="228">
        <f>IF(AND(332&gt;=$NR$27,332&lt;=$NS$27),IF($NP$27="Single_Point",IF(332=$NR$27,$NN$27,0),IF($NP$27="Bell_Curve",$NN$27*(332-$NR$27+1)*($NS$27-332+1)/$NU$27,$NN$27/$NT$27)),0)</f>
        <v/>
      </c>
      <c r="LY27" s="228">
        <f>IF(AND(333&gt;=$NR$27,333&lt;=$NS$27),IF($NP$27="Single_Point",IF(333=$NR$27,$NN$27,0),IF($NP$27="Bell_Curve",$NN$27*(333-$NR$27+1)*($NS$27-333+1)/$NU$27,$NN$27/$NT$27)),0)</f>
        <v/>
      </c>
      <c r="LZ27" s="228">
        <f>IF(AND(334&gt;=$NR$27,334&lt;=$NS$27),IF($NP$27="Single_Point",IF(334=$NR$27,$NN$27,0),IF($NP$27="Bell_Curve",$NN$27*(334-$NR$27+1)*($NS$27-334+1)/$NU$27,$NN$27/$NT$27)),0)</f>
        <v/>
      </c>
      <c r="MA27" s="228">
        <f>IF(AND(335&gt;=$NR$27,335&lt;=$NS$27),IF($NP$27="Single_Point",IF(335=$NR$27,$NN$27,0),IF($NP$27="Bell_Curve",$NN$27*(335-$NR$27+1)*($NS$27-335+1)/$NU$27,$NN$27/$NT$27)),0)</f>
        <v/>
      </c>
      <c r="MB27" s="228">
        <f>IF(AND(336&gt;=$NR$27,336&lt;=$NS$27),IF($NP$27="Single_Point",IF(336=$NR$27,$NN$27,0),IF($NP$27="Bell_Curve",$NN$27*(336-$NR$27+1)*($NS$27-336+1)/$NU$27,$NN$27/$NT$27)),0)</f>
        <v/>
      </c>
      <c r="MC27" s="228">
        <f>IF(AND(337&gt;=$NR$27,337&lt;=$NS$27),IF($NP$27="Single_Point",IF(337=$NR$27,$NN$27,0),IF($NP$27="Bell_Curve",$NN$27*(337-$NR$27+1)*($NS$27-337+1)/$NU$27,$NN$27/$NT$27)),0)</f>
        <v/>
      </c>
      <c r="MD27" s="228">
        <f>IF(AND(338&gt;=$NR$27,338&lt;=$NS$27),IF($NP$27="Single_Point",IF(338=$NR$27,$NN$27,0),IF($NP$27="Bell_Curve",$NN$27*(338-$NR$27+1)*($NS$27-338+1)/$NU$27,$NN$27/$NT$27)),0)</f>
        <v/>
      </c>
      <c r="ME27" s="228">
        <f>IF(AND(339&gt;=$NR$27,339&lt;=$NS$27),IF($NP$27="Single_Point",IF(339=$NR$27,$NN$27,0),IF($NP$27="Bell_Curve",$NN$27*(339-$NR$27+1)*($NS$27-339+1)/$NU$27,$NN$27/$NT$27)),0)</f>
        <v/>
      </c>
      <c r="MF27" s="228">
        <f>IF(AND(340&gt;=$NR$27,340&lt;=$NS$27),IF($NP$27="Single_Point",IF(340=$NR$27,$NN$27,0),IF($NP$27="Bell_Curve",$NN$27*(340-$NR$27+1)*($NS$27-340+1)/$NU$27,$NN$27/$NT$27)),0)</f>
        <v/>
      </c>
      <c r="MG27" s="228">
        <f>IF(AND(341&gt;=$NR$27,341&lt;=$NS$27),IF($NP$27="Single_Point",IF(341=$NR$27,$NN$27,0),IF($NP$27="Bell_Curve",$NN$27*(341-$NR$27+1)*($NS$27-341+1)/$NU$27,$NN$27/$NT$27)),0)</f>
        <v/>
      </c>
      <c r="MH27" s="228">
        <f>IF(AND(342&gt;=$NR$27,342&lt;=$NS$27),IF($NP$27="Single_Point",IF(342=$NR$27,$NN$27,0),IF($NP$27="Bell_Curve",$NN$27*(342-$NR$27+1)*($NS$27-342+1)/$NU$27,$NN$27/$NT$27)),0)</f>
        <v/>
      </c>
      <c r="MI27" s="228">
        <f>IF(AND(343&gt;=$NR$27,343&lt;=$NS$27),IF($NP$27="Single_Point",IF(343=$NR$27,$NN$27,0),IF($NP$27="Bell_Curve",$NN$27*(343-$NR$27+1)*($NS$27-343+1)/$NU$27,$NN$27/$NT$27)),0)</f>
        <v/>
      </c>
      <c r="MJ27" s="228">
        <f>IF(AND(344&gt;=$NR$27,344&lt;=$NS$27),IF($NP$27="Single_Point",IF(344=$NR$27,$NN$27,0),IF($NP$27="Bell_Curve",$NN$27*(344-$NR$27+1)*($NS$27-344+1)/$NU$27,$NN$27/$NT$27)),0)</f>
        <v/>
      </c>
      <c r="MK27" s="228">
        <f>IF(AND(345&gt;=$NR$27,345&lt;=$NS$27),IF($NP$27="Single_Point",IF(345=$NR$27,$NN$27,0),IF($NP$27="Bell_Curve",$NN$27*(345-$NR$27+1)*($NS$27-345+1)/$NU$27,$NN$27/$NT$27)),0)</f>
        <v/>
      </c>
      <c r="ML27" s="228">
        <f>IF(AND(346&gt;=$NR$27,346&lt;=$NS$27),IF($NP$27="Single_Point",IF(346=$NR$27,$NN$27,0),IF($NP$27="Bell_Curve",$NN$27*(346-$NR$27+1)*($NS$27-346+1)/$NU$27,$NN$27/$NT$27)),0)</f>
        <v/>
      </c>
      <c r="MM27" s="228">
        <f>IF(AND(347&gt;=$NR$27,347&lt;=$NS$27),IF($NP$27="Single_Point",IF(347=$NR$27,$NN$27,0),IF($NP$27="Bell_Curve",$NN$27*(347-$NR$27+1)*($NS$27-347+1)/$NU$27,$NN$27/$NT$27)),0)</f>
        <v/>
      </c>
      <c r="MN27" s="228">
        <f>IF(AND(348&gt;=$NR$27,348&lt;=$NS$27),IF($NP$27="Single_Point",IF(348=$NR$27,$NN$27,0),IF($NP$27="Bell_Curve",$NN$27*(348-$NR$27+1)*($NS$27-348+1)/$NU$27,$NN$27/$NT$27)),0)</f>
        <v/>
      </c>
      <c r="MO27" s="228">
        <f>IF(AND(349&gt;=$NR$27,349&lt;=$NS$27),IF($NP$27="Single_Point",IF(349=$NR$27,$NN$27,0),IF($NP$27="Bell_Curve",$NN$27*(349-$NR$27+1)*($NS$27-349+1)/$NU$27,$NN$27/$NT$27)),0)</f>
        <v/>
      </c>
      <c r="MP27" s="228">
        <f>IF(AND(350&gt;=$NR$27,350&lt;=$NS$27),IF($NP$27="Single_Point",IF(350=$NR$27,$NN$27,0),IF($NP$27="Bell_Curve",$NN$27*(350-$NR$27+1)*($NS$27-350+1)/$NU$27,$NN$27/$NT$27)),0)</f>
        <v/>
      </c>
      <c r="MQ27" s="228">
        <f>IF(AND(351&gt;=$NR$27,351&lt;=$NS$27),IF($NP$27="Single_Point",IF(351=$NR$27,$NN$27,0),IF($NP$27="Bell_Curve",$NN$27*(351-$NR$27+1)*($NS$27-351+1)/$NU$27,$NN$27/$NT$27)),0)</f>
        <v/>
      </c>
      <c r="MR27" s="228">
        <f>IF(AND(352&gt;=$NR$27,352&lt;=$NS$27),IF($NP$27="Single_Point",IF(352=$NR$27,$NN$27,0),IF($NP$27="Bell_Curve",$NN$27*(352-$NR$27+1)*($NS$27-352+1)/$NU$27,$NN$27/$NT$27)),0)</f>
        <v/>
      </c>
      <c r="MS27" s="228">
        <f>IF(AND(353&gt;=$NR$27,353&lt;=$NS$27),IF($NP$27="Single_Point",IF(353=$NR$27,$NN$27,0),IF($NP$27="Bell_Curve",$NN$27*(353-$NR$27+1)*($NS$27-353+1)/$NU$27,$NN$27/$NT$27)),0)</f>
        <v/>
      </c>
      <c r="MT27" s="228">
        <f>IF(AND(354&gt;=$NR$27,354&lt;=$NS$27),IF($NP$27="Single_Point",IF(354=$NR$27,$NN$27,0),IF($NP$27="Bell_Curve",$NN$27*(354-$NR$27+1)*($NS$27-354+1)/$NU$27,$NN$27/$NT$27)),0)</f>
        <v/>
      </c>
      <c r="MU27" s="228">
        <f>IF(AND(355&gt;=$NR$27,355&lt;=$NS$27),IF($NP$27="Single_Point",IF(355=$NR$27,$NN$27,0),IF($NP$27="Bell_Curve",$NN$27*(355-$NR$27+1)*($NS$27-355+1)/$NU$27,$NN$27/$NT$27)),0)</f>
        <v/>
      </c>
      <c r="MV27" s="228">
        <f>IF(AND(356&gt;=$NR$27,356&lt;=$NS$27),IF($NP$27="Single_Point",IF(356=$NR$27,$NN$27,0),IF($NP$27="Bell_Curve",$NN$27*(356-$NR$27+1)*($NS$27-356+1)/$NU$27,$NN$27/$NT$27)),0)</f>
        <v/>
      </c>
      <c r="MW27" s="228">
        <f>IF(AND(357&gt;=$NR$27,357&lt;=$NS$27),IF($NP$27="Single_Point",IF(357=$NR$27,$NN$27,0),IF($NP$27="Bell_Curve",$NN$27*(357-$NR$27+1)*($NS$27-357+1)/$NU$27,$NN$27/$NT$27)),0)</f>
        <v/>
      </c>
      <c r="MX27" s="228">
        <f>IF(AND(358&gt;=$NR$27,358&lt;=$NS$27),IF($NP$27="Single_Point",IF(358=$NR$27,$NN$27,0),IF($NP$27="Bell_Curve",$NN$27*(358-$NR$27+1)*($NS$27-358+1)/$NU$27,$NN$27/$NT$27)),0)</f>
        <v/>
      </c>
      <c r="MY27" s="228">
        <f>IF(AND(359&gt;=$NR$27,359&lt;=$NS$27),IF($NP$27="Single_Point",IF(359=$NR$27,$NN$27,0),IF($NP$27="Bell_Curve",$NN$27*(359-$NR$27+1)*($NS$27-359+1)/$NU$27,$NN$27/$NT$27)),0)</f>
        <v/>
      </c>
      <c r="MZ27" s="228">
        <f>IF(AND(360&gt;=$NR$27,360&lt;=$NS$27),IF($NP$27="Single_Point",IF(360=$NR$27,$NN$27,0),IF($NP$27="Bell_Curve",$NN$27*(360-$NR$27+1)*($NS$27-360+1)/$NU$27,$NN$27/$NT$27)),0)</f>
        <v/>
      </c>
      <c r="NA27" s="228">
        <f>IF(AND(361&gt;=$NR$27,361&lt;=$NS$27),IF($NP$27="Single_Point",IF(361=$NR$27,$NN$27,0),IF($NP$27="Bell_Curve",$NN$27*(361-$NR$27+1)*($NS$27-361+1)/$NU$27,$NN$27/$NT$27)),0)</f>
        <v/>
      </c>
      <c r="NB27" s="228">
        <f>IF(AND(362&gt;=$NR$27,362&lt;=$NS$27),IF($NP$27="Single_Point",IF(362=$NR$27,$NN$27,0),IF($NP$27="Bell_Curve",$NN$27*(362-$NR$27+1)*($NS$27-362+1)/$NU$27,$NN$27/$NT$27)),0)</f>
        <v/>
      </c>
      <c r="NC27" s="228">
        <f>IF(AND(363&gt;=$NR$27,363&lt;=$NS$27),IF($NP$27="Single_Point",IF(363=$NR$27,$NN$27,0),IF($NP$27="Bell_Curve",$NN$27*(363-$NR$27+1)*($NS$27-363+1)/$NU$27,$NN$27/$NT$27)),0)</f>
        <v/>
      </c>
      <c r="ND27" s="228">
        <f>IF(AND(364&gt;=$NR$27,364&lt;=$NS$27),IF($NP$27="Single_Point",IF(364=$NR$27,$NN$27,0),IF($NP$27="Bell_Curve",$NN$27*(364-$NR$27+1)*($NS$27-364+1)/$NU$27,$NN$27/$NT$27)),0)</f>
        <v/>
      </c>
      <c r="NE27" s="228">
        <f>IF(AND(365&gt;=$NR$27,365&lt;=$NS$27),IF($NP$27="Single_Point",IF(365=$NR$27,$NN$27,0),IF($NP$27="Bell_Curve",$NN$27*(365-$NR$27+1)*($NS$27-365+1)/$NU$27,$NN$27/$NT$27)),0)</f>
        <v/>
      </c>
      <c r="NF27" s="228">
        <f>IF(AND(366&gt;=$NR$27,366&lt;=$NS$27),IF($NP$27="Single_Point",IF(366=$NR$27,$NN$27,0),IF($NP$27="Bell_Curve",$NN$27*(366-$NR$27+1)*($NS$27-366+1)/$NU$27,$NN$27/$NT$27)),0)</f>
        <v/>
      </c>
      <c r="NG27" s="228">
        <f>IF(AND(367&gt;=$NR$27,367&lt;=$NS$27),IF($NP$27="Single_Point",IF(367=$NR$27,$NN$27,0),IF($NP$27="Bell_Curve",$NN$27*(367-$NR$27+1)*($NS$27-367+1)/$NU$27,$NN$27/$NT$27)),0)</f>
        <v/>
      </c>
      <c r="NH27" s="228">
        <f>IF(AND(368&gt;=$NR$27,368&lt;=$NS$27),IF($NP$27="Single_Point",IF(368=$NR$27,$NN$27,0),IF($NP$27="Bell_Curve",$NN$27*(368-$NR$27+1)*($NS$27-368+1)/$NU$27,$NN$27/$NT$27)),0)</f>
        <v/>
      </c>
      <c r="NI27" s="228">
        <f>IF(AND(369&gt;=$NR$27,369&lt;=$NS$27),IF($NP$27="Single_Point",IF(369=$NR$27,$NN$27,0),IF($NP$27="Bell_Curve",$NN$27*(369-$NR$27+1)*($NS$27-369+1)/$NU$27,$NN$27/$NT$27)),0)</f>
        <v/>
      </c>
      <c r="NJ27" s="228">
        <f>IF(AND(370&gt;=$NR$27,370&lt;=$NS$27),IF($NP$27="Single_Point",IF(370=$NR$27,$NN$27,0),IF($NP$27="Bell_Curve",$NN$27*(370-$NR$27+1)*($NS$27-370+1)/$NU$27,$NN$27/$NT$27)),0)</f>
        <v/>
      </c>
      <c r="NK27" s="228">
        <f>IF(AND(371&gt;=$NR$27,371&lt;=$NS$27),IF($NP$27="Single_Point",IF(371=$NR$27,$NN$27,0),IF($NP$27="Bell_Curve",$NN$27*(371-$NR$27+1)*($NS$27-371+1)/$NU$27,$NN$27/$NT$27)),0)</f>
        <v/>
      </c>
      <c r="NL27" s="247">
        <f>IF(AND(372&gt;=$NR$27,372&lt;=$NS$27),IF($NP$27="Single_Point",IF(372=$NR$27,$NN$27,0),IF($NP$27="Bell_Curve",$NN$27*(372-$NR$27+1)*($NS$27-372+1)/$NU$27,$NN$27/$NT$27)),0)</f>
        <v/>
      </c>
      <c r="NN27" s="218">
        <f>Budget!J26</f>
        <v/>
      </c>
      <c r="NO27" s="144">
        <f>Budget!G26</f>
        <v/>
      </c>
      <c r="NP27" s="144">
        <f>Budget!H26</f>
        <v/>
      </c>
      <c r="NQ27" s="85">
        <f>Budget!I26</f>
        <v/>
      </c>
      <c r="NR27" s="248">
        <f>MAX(1,MIN(372,INDEX(MilestoneStart,MATCH(NO27,MilestoneNames,0))+NQ27))</f>
        <v/>
      </c>
      <c r="NS27" s="248">
        <f>MAX(NR27,MIN(372,INDEX(MilestoneEnd,MATCH(NO27,MilestoneNames,0))+NQ27))</f>
        <v/>
      </c>
      <c r="NT27" s="85">
        <f>NS27-NR27+1</f>
        <v/>
      </c>
      <c r="NU27" s="85">
        <f>NT27*(NT27+1)*(NT27+2)/6</f>
        <v/>
      </c>
    </row>
    <row r="28">
      <c r="B28" s="36" t="inlineStr">
        <is>
          <t>Other Hard Cost 2 - Amenity</t>
        </is>
      </c>
      <c r="D28" s="246">
        <f>SUM(E28:NL28)</f>
        <v/>
      </c>
      <c r="E28" s="228">
        <f>IF(AND(1&gt;=$NR$28,1&lt;=$NS$28),IF($NP$28="Single_Point",IF(1=$NR$28,$NN$28,0),IF($NP$28="Bell_Curve",$NN$28*(1-$NR$28+1)*($NS$28-1+1)/$NU$28,$NN$28/$NT$28)),0)</f>
        <v/>
      </c>
      <c r="F28" s="228">
        <f>IF(AND(2&gt;=$NR$28,2&lt;=$NS$28),IF($NP$28="Single_Point",IF(2=$NR$28,$NN$28,0),IF($NP$28="Bell_Curve",$NN$28*(2-$NR$28+1)*($NS$28-2+1)/$NU$28,$NN$28/$NT$28)),0)</f>
        <v/>
      </c>
      <c r="G28" s="228">
        <f>IF(AND(3&gt;=$NR$28,3&lt;=$NS$28),IF($NP$28="Single_Point",IF(3=$NR$28,$NN$28,0),IF($NP$28="Bell_Curve",$NN$28*(3-$NR$28+1)*($NS$28-3+1)/$NU$28,$NN$28/$NT$28)),0)</f>
        <v/>
      </c>
      <c r="H28" s="228">
        <f>IF(AND(4&gt;=$NR$28,4&lt;=$NS$28),IF($NP$28="Single_Point",IF(4=$NR$28,$NN$28,0),IF($NP$28="Bell_Curve",$NN$28*(4-$NR$28+1)*($NS$28-4+1)/$NU$28,$NN$28/$NT$28)),0)</f>
        <v/>
      </c>
      <c r="I28" s="228">
        <f>IF(AND(5&gt;=$NR$28,5&lt;=$NS$28),IF($NP$28="Single_Point",IF(5=$NR$28,$NN$28,0),IF($NP$28="Bell_Curve",$NN$28*(5-$NR$28+1)*($NS$28-5+1)/$NU$28,$NN$28/$NT$28)),0)</f>
        <v/>
      </c>
      <c r="J28" s="228">
        <f>IF(AND(6&gt;=$NR$28,6&lt;=$NS$28),IF($NP$28="Single_Point",IF(6=$NR$28,$NN$28,0),IF($NP$28="Bell_Curve",$NN$28*(6-$NR$28+1)*($NS$28-6+1)/$NU$28,$NN$28/$NT$28)),0)</f>
        <v/>
      </c>
      <c r="K28" s="228">
        <f>IF(AND(7&gt;=$NR$28,7&lt;=$NS$28),IF($NP$28="Single_Point",IF(7=$NR$28,$NN$28,0),IF($NP$28="Bell_Curve",$NN$28*(7-$NR$28+1)*($NS$28-7+1)/$NU$28,$NN$28/$NT$28)),0)</f>
        <v/>
      </c>
      <c r="L28" s="228">
        <f>IF(AND(8&gt;=$NR$28,8&lt;=$NS$28),IF($NP$28="Single_Point",IF(8=$NR$28,$NN$28,0),IF($NP$28="Bell_Curve",$NN$28*(8-$NR$28+1)*($NS$28-8+1)/$NU$28,$NN$28/$NT$28)),0)</f>
        <v/>
      </c>
      <c r="M28" s="228">
        <f>IF(AND(9&gt;=$NR$28,9&lt;=$NS$28),IF($NP$28="Single_Point",IF(9=$NR$28,$NN$28,0),IF($NP$28="Bell_Curve",$NN$28*(9-$NR$28+1)*($NS$28-9+1)/$NU$28,$NN$28/$NT$28)),0)</f>
        <v/>
      </c>
      <c r="N28" s="228">
        <f>IF(AND(10&gt;=$NR$28,10&lt;=$NS$28),IF($NP$28="Single_Point",IF(10=$NR$28,$NN$28,0),IF($NP$28="Bell_Curve",$NN$28*(10-$NR$28+1)*($NS$28-10+1)/$NU$28,$NN$28/$NT$28)),0)</f>
        <v/>
      </c>
      <c r="O28" s="228">
        <f>IF(AND(11&gt;=$NR$28,11&lt;=$NS$28),IF($NP$28="Single_Point",IF(11=$NR$28,$NN$28,0),IF($NP$28="Bell_Curve",$NN$28*(11-$NR$28+1)*($NS$28-11+1)/$NU$28,$NN$28/$NT$28)),0)</f>
        <v/>
      </c>
      <c r="P28" s="228">
        <f>IF(AND(12&gt;=$NR$28,12&lt;=$NS$28),IF($NP$28="Single_Point",IF(12=$NR$28,$NN$28,0),IF($NP$28="Bell_Curve",$NN$28*(12-$NR$28+1)*($NS$28-12+1)/$NU$28,$NN$28/$NT$28)),0)</f>
        <v/>
      </c>
      <c r="Q28" s="228">
        <f>IF(AND(13&gt;=$NR$28,13&lt;=$NS$28),IF($NP$28="Single_Point",IF(13=$NR$28,$NN$28,0),IF($NP$28="Bell_Curve",$NN$28*(13-$NR$28+1)*($NS$28-13+1)/$NU$28,$NN$28/$NT$28)),0)</f>
        <v/>
      </c>
      <c r="R28" s="228">
        <f>IF(AND(14&gt;=$NR$28,14&lt;=$NS$28),IF($NP$28="Single_Point",IF(14=$NR$28,$NN$28,0),IF($NP$28="Bell_Curve",$NN$28*(14-$NR$28+1)*($NS$28-14+1)/$NU$28,$NN$28/$NT$28)),0)</f>
        <v/>
      </c>
      <c r="S28" s="228">
        <f>IF(AND(15&gt;=$NR$28,15&lt;=$NS$28),IF($NP$28="Single_Point",IF(15=$NR$28,$NN$28,0),IF($NP$28="Bell_Curve",$NN$28*(15-$NR$28+1)*($NS$28-15+1)/$NU$28,$NN$28/$NT$28)),0)</f>
        <v/>
      </c>
      <c r="T28" s="228">
        <f>IF(AND(16&gt;=$NR$28,16&lt;=$NS$28),IF($NP$28="Single_Point",IF(16=$NR$28,$NN$28,0),IF($NP$28="Bell_Curve",$NN$28*(16-$NR$28+1)*($NS$28-16+1)/$NU$28,$NN$28/$NT$28)),0)</f>
        <v/>
      </c>
      <c r="U28" s="228">
        <f>IF(AND(17&gt;=$NR$28,17&lt;=$NS$28),IF($NP$28="Single_Point",IF(17=$NR$28,$NN$28,0),IF($NP$28="Bell_Curve",$NN$28*(17-$NR$28+1)*($NS$28-17+1)/$NU$28,$NN$28/$NT$28)),0)</f>
        <v/>
      </c>
      <c r="V28" s="228">
        <f>IF(AND(18&gt;=$NR$28,18&lt;=$NS$28),IF($NP$28="Single_Point",IF(18=$NR$28,$NN$28,0),IF($NP$28="Bell_Curve",$NN$28*(18-$NR$28+1)*($NS$28-18+1)/$NU$28,$NN$28/$NT$28)),0)</f>
        <v/>
      </c>
      <c r="W28" s="228">
        <f>IF(AND(19&gt;=$NR$28,19&lt;=$NS$28),IF($NP$28="Single_Point",IF(19=$NR$28,$NN$28,0),IF($NP$28="Bell_Curve",$NN$28*(19-$NR$28+1)*($NS$28-19+1)/$NU$28,$NN$28/$NT$28)),0)</f>
        <v/>
      </c>
      <c r="X28" s="228">
        <f>IF(AND(20&gt;=$NR$28,20&lt;=$NS$28),IF($NP$28="Single_Point",IF(20=$NR$28,$NN$28,0),IF($NP$28="Bell_Curve",$NN$28*(20-$NR$28+1)*($NS$28-20+1)/$NU$28,$NN$28/$NT$28)),0)</f>
        <v/>
      </c>
      <c r="Y28" s="228">
        <f>IF(AND(21&gt;=$NR$28,21&lt;=$NS$28),IF($NP$28="Single_Point",IF(21=$NR$28,$NN$28,0),IF($NP$28="Bell_Curve",$NN$28*(21-$NR$28+1)*($NS$28-21+1)/$NU$28,$NN$28/$NT$28)),0)</f>
        <v/>
      </c>
      <c r="Z28" s="228">
        <f>IF(AND(22&gt;=$NR$28,22&lt;=$NS$28),IF($NP$28="Single_Point",IF(22=$NR$28,$NN$28,0),IF($NP$28="Bell_Curve",$NN$28*(22-$NR$28+1)*($NS$28-22+1)/$NU$28,$NN$28/$NT$28)),0)</f>
        <v/>
      </c>
      <c r="AA28" s="228">
        <f>IF(AND(23&gt;=$NR$28,23&lt;=$NS$28),IF($NP$28="Single_Point",IF(23=$NR$28,$NN$28,0),IF($NP$28="Bell_Curve",$NN$28*(23-$NR$28+1)*($NS$28-23+1)/$NU$28,$NN$28/$NT$28)),0)</f>
        <v/>
      </c>
      <c r="AB28" s="228">
        <f>IF(AND(24&gt;=$NR$28,24&lt;=$NS$28),IF($NP$28="Single_Point",IF(24=$NR$28,$NN$28,0),IF($NP$28="Bell_Curve",$NN$28*(24-$NR$28+1)*($NS$28-24+1)/$NU$28,$NN$28/$NT$28)),0)</f>
        <v/>
      </c>
      <c r="AC28" s="228">
        <f>IF(AND(25&gt;=$NR$28,25&lt;=$NS$28),IF($NP$28="Single_Point",IF(25=$NR$28,$NN$28,0),IF($NP$28="Bell_Curve",$NN$28*(25-$NR$28+1)*($NS$28-25+1)/$NU$28,$NN$28/$NT$28)),0)</f>
        <v/>
      </c>
      <c r="AD28" s="228">
        <f>IF(AND(26&gt;=$NR$28,26&lt;=$NS$28),IF($NP$28="Single_Point",IF(26=$NR$28,$NN$28,0),IF($NP$28="Bell_Curve",$NN$28*(26-$NR$28+1)*($NS$28-26+1)/$NU$28,$NN$28/$NT$28)),0)</f>
        <v/>
      </c>
      <c r="AE28" s="228">
        <f>IF(AND(27&gt;=$NR$28,27&lt;=$NS$28),IF($NP$28="Single_Point",IF(27=$NR$28,$NN$28,0),IF($NP$28="Bell_Curve",$NN$28*(27-$NR$28+1)*($NS$28-27+1)/$NU$28,$NN$28/$NT$28)),0)</f>
        <v/>
      </c>
      <c r="AF28" s="228">
        <f>IF(AND(28&gt;=$NR$28,28&lt;=$NS$28),IF($NP$28="Single_Point",IF(28=$NR$28,$NN$28,0),IF($NP$28="Bell_Curve",$NN$28*(28-$NR$28+1)*($NS$28-28+1)/$NU$28,$NN$28/$NT$28)),0)</f>
        <v/>
      </c>
      <c r="AG28" s="228">
        <f>IF(AND(29&gt;=$NR$28,29&lt;=$NS$28),IF($NP$28="Single_Point",IF(29=$NR$28,$NN$28,0),IF($NP$28="Bell_Curve",$NN$28*(29-$NR$28+1)*($NS$28-29+1)/$NU$28,$NN$28/$NT$28)),0)</f>
        <v/>
      </c>
      <c r="AH28" s="228">
        <f>IF(AND(30&gt;=$NR$28,30&lt;=$NS$28),IF($NP$28="Single_Point",IF(30=$NR$28,$NN$28,0),IF($NP$28="Bell_Curve",$NN$28*(30-$NR$28+1)*($NS$28-30+1)/$NU$28,$NN$28/$NT$28)),0)</f>
        <v/>
      </c>
      <c r="AI28" s="228">
        <f>IF(AND(31&gt;=$NR$28,31&lt;=$NS$28),IF($NP$28="Single_Point",IF(31=$NR$28,$NN$28,0),IF($NP$28="Bell_Curve",$NN$28*(31-$NR$28+1)*($NS$28-31+1)/$NU$28,$NN$28/$NT$28)),0)</f>
        <v/>
      </c>
      <c r="AJ28" s="228">
        <f>IF(AND(32&gt;=$NR$28,32&lt;=$NS$28),IF($NP$28="Single_Point",IF(32=$NR$28,$NN$28,0),IF($NP$28="Bell_Curve",$NN$28*(32-$NR$28+1)*($NS$28-32+1)/$NU$28,$NN$28/$NT$28)),0)</f>
        <v/>
      </c>
      <c r="AK28" s="228">
        <f>IF(AND(33&gt;=$NR$28,33&lt;=$NS$28),IF($NP$28="Single_Point",IF(33=$NR$28,$NN$28,0),IF($NP$28="Bell_Curve",$NN$28*(33-$NR$28+1)*($NS$28-33+1)/$NU$28,$NN$28/$NT$28)),0)</f>
        <v/>
      </c>
      <c r="AL28" s="228">
        <f>IF(AND(34&gt;=$NR$28,34&lt;=$NS$28),IF($NP$28="Single_Point",IF(34=$NR$28,$NN$28,0),IF($NP$28="Bell_Curve",$NN$28*(34-$NR$28+1)*($NS$28-34+1)/$NU$28,$NN$28/$NT$28)),0)</f>
        <v/>
      </c>
      <c r="AM28" s="228">
        <f>IF(AND(35&gt;=$NR$28,35&lt;=$NS$28),IF($NP$28="Single_Point",IF(35=$NR$28,$NN$28,0),IF($NP$28="Bell_Curve",$NN$28*(35-$NR$28+1)*($NS$28-35+1)/$NU$28,$NN$28/$NT$28)),0)</f>
        <v/>
      </c>
      <c r="AN28" s="228">
        <f>IF(AND(36&gt;=$NR$28,36&lt;=$NS$28),IF($NP$28="Single_Point",IF(36=$NR$28,$NN$28,0),IF($NP$28="Bell_Curve",$NN$28*(36-$NR$28+1)*($NS$28-36+1)/$NU$28,$NN$28/$NT$28)),0)</f>
        <v/>
      </c>
      <c r="AO28" s="228">
        <f>IF(AND(37&gt;=$NR$28,37&lt;=$NS$28),IF($NP$28="Single_Point",IF(37=$NR$28,$NN$28,0),IF($NP$28="Bell_Curve",$NN$28*(37-$NR$28+1)*($NS$28-37+1)/$NU$28,$NN$28/$NT$28)),0)</f>
        <v/>
      </c>
      <c r="AP28" s="228">
        <f>IF(AND(38&gt;=$NR$28,38&lt;=$NS$28),IF($NP$28="Single_Point",IF(38=$NR$28,$NN$28,0),IF($NP$28="Bell_Curve",$NN$28*(38-$NR$28+1)*($NS$28-38+1)/$NU$28,$NN$28/$NT$28)),0)</f>
        <v/>
      </c>
      <c r="AQ28" s="228">
        <f>IF(AND(39&gt;=$NR$28,39&lt;=$NS$28),IF($NP$28="Single_Point",IF(39=$NR$28,$NN$28,0),IF($NP$28="Bell_Curve",$NN$28*(39-$NR$28+1)*($NS$28-39+1)/$NU$28,$NN$28/$NT$28)),0)</f>
        <v/>
      </c>
      <c r="AR28" s="228">
        <f>IF(AND(40&gt;=$NR$28,40&lt;=$NS$28),IF($NP$28="Single_Point",IF(40=$NR$28,$NN$28,0),IF($NP$28="Bell_Curve",$NN$28*(40-$NR$28+1)*($NS$28-40+1)/$NU$28,$NN$28/$NT$28)),0)</f>
        <v/>
      </c>
      <c r="AS28" s="228">
        <f>IF(AND(41&gt;=$NR$28,41&lt;=$NS$28),IF($NP$28="Single_Point",IF(41=$NR$28,$NN$28,0),IF($NP$28="Bell_Curve",$NN$28*(41-$NR$28+1)*($NS$28-41+1)/$NU$28,$NN$28/$NT$28)),0)</f>
        <v/>
      </c>
      <c r="AT28" s="228">
        <f>IF(AND(42&gt;=$NR$28,42&lt;=$NS$28),IF($NP$28="Single_Point",IF(42=$NR$28,$NN$28,0),IF($NP$28="Bell_Curve",$NN$28*(42-$NR$28+1)*($NS$28-42+1)/$NU$28,$NN$28/$NT$28)),0)</f>
        <v/>
      </c>
      <c r="AU28" s="228">
        <f>IF(AND(43&gt;=$NR$28,43&lt;=$NS$28),IF($NP$28="Single_Point",IF(43=$NR$28,$NN$28,0),IF($NP$28="Bell_Curve",$NN$28*(43-$NR$28+1)*($NS$28-43+1)/$NU$28,$NN$28/$NT$28)),0)</f>
        <v/>
      </c>
      <c r="AV28" s="228">
        <f>IF(AND(44&gt;=$NR$28,44&lt;=$NS$28),IF($NP$28="Single_Point",IF(44=$NR$28,$NN$28,0),IF($NP$28="Bell_Curve",$NN$28*(44-$NR$28+1)*($NS$28-44+1)/$NU$28,$NN$28/$NT$28)),0)</f>
        <v/>
      </c>
      <c r="AW28" s="228">
        <f>IF(AND(45&gt;=$NR$28,45&lt;=$NS$28),IF($NP$28="Single_Point",IF(45=$NR$28,$NN$28,0),IF($NP$28="Bell_Curve",$NN$28*(45-$NR$28+1)*($NS$28-45+1)/$NU$28,$NN$28/$NT$28)),0)</f>
        <v/>
      </c>
      <c r="AX28" s="228">
        <f>IF(AND(46&gt;=$NR$28,46&lt;=$NS$28),IF($NP$28="Single_Point",IF(46=$NR$28,$NN$28,0),IF($NP$28="Bell_Curve",$NN$28*(46-$NR$28+1)*($NS$28-46+1)/$NU$28,$NN$28/$NT$28)),0)</f>
        <v/>
      </c>
      <c r="AY28" s="228">
        <f>IF(AND(47&gt;=$NR$28,47&lt;=$NS$28),IF($NP$28="Single_Point",IF(47=$NR$28,$NN$28,0),IF($NP$28="Bell_Curve",$NN$28*(47-$NR$28+1)*($NS$28-47+1)/$NU$28,$NN$28/$NT$28)),0)</f>
        <v/>
      </c>
      <c r="AZ28" s="228">
        <f>IF(AND(48&gt;=$NR$28,48&lt;=$NS$28),IF($NP$28="Single_Point",IF(48=$NR$28,$NN$28,0),IF($NP$28="Bell_Curve",$NN$28*(48-$NR$28+1)*($NS$28-48+1)/$NU$28,$NN$28/$NT$28)),0)</f>
        <v/>
      </c>
      <c r="BA28" s="228">
        <f>IF(AND(49&gt;=$NR$28,49&lt;=$NS$28),IF($NP$28="Single_Point",IF(49=$NR$28,$NN$28,0),IF($NP$28="Bell_Curve",$NN$28*(49-$NR$28+1)*($NS$28-49+1)/$NU$28,$NN$28/$NT$28)),0)</f>
        <v/>
      </c>
      <c r="BB28" s="228">
        <f>IF(AND(50&gt;=$NR$28,50&lt;=$NS$28),IF($NP$28="Single_Point",IF(50=$NR$28,$NN$28,0),IF($NP$28="Bell_Curve",$NN$28*(50-$NR$28+1)*($NS$28-50+1)/$NU$28,$NN$28/$NT$28)),0)</f>
        <v/>
      </c>
      <c r="BC28" s="228">
        <f>IF(AND(51&gt;=$NR$28,51&lt;=$NS$28),IF($NP$28="Single_Point",IF(51=$NR$28,$NN$28,0),IF($NP$28="Bell_Curve",$NN$28*(51-$NR$28+1)*($NS$28-51+1)/$NU$28,$NN$28/$NT$28)),0)</f>
        <v/>
      </c>
      <c r="BD28" s="228">
        <f>IF(AND(52&gt;=$NR$28,52&lt;=$NS$28),IF($NP$28="Single_Point",IF(52=$NR$28,$NN$28,0),IF($NP$28="Bell_Curve",$NN$28*(52-$NR$28+1)*($NS$28-52+1)/$NU$28,$NN$28/$NT$28)),0)</f>
        <v/>
      </c>
      <c r="BE28" s="228">
        <f>IF(AND(53&gt;=$NR$28,53&lt;=$NS$28),IF($NP$28="Single_Point",IF(53=$NR$28,$NN$28,0),IF($NP$28="Bell_Curve",$NN$28*(53-$NR$28+1)*($NS$28-53+1)/$NU$28,$NN$28/$NT$28)),0)</f>
        <v/>
      </c>
      <c r="BF28" s="228">
        <f>IF(AND(54&gt;=$NR$28,54&lt;=$NS$28),IF($NP$28="Single_Point",IF(54=$NR$28,$NN$28,0),IF($NP$28="Bell_Curve",$NN$28*(54-$NR$28+1)*($NS$28-54+1)/$NU$28,$NN$28/$NT$28)),0)</f>
        <v/>
      </c>
      <c r="BG28" s="228">
        <f>IF(AND(55&gt;=$NR$28,55&lt;=$NS$28),IF($NP$28="Single_Point",IF(55=$NR$28,$NN$28,0),IF($NP$28="Bell_Curve",$NN$28*(55-$NR$28+1)*($NS$28-55+1)/$NU$28,$NN$28/$NT$28)),0)</f>
        <v/>
      </c>
      <c r="BH28" s="228">
        <f>IF(AND(56&gt;=$NR$28,56&lt;=$NS$28),IF($NP$28="Single_Point",IF(56=$NR$28,$NN$28,0),IF($NP$28="Bell_Curve",$NN$28*(56-$NR$28+1)*($NS$28-56+1)/$NU$28,$NN$28/$NT$28)),0)</f>
        <v/>
      </c>
      <c r="BI28" s="228">
        <f>IF(AND(57&gt;=$NR$28,57&lt;=$NS$28),IF($NP$28="Single_Point",IF(57=$NR$28,$NN$28,0),IF($NP$28="Bell_Curve",$NN$28*(57-$NR$28+1)*($NS$28-57+1)/$NU$28,$NN$28/$NT$28)),0)</f>
        <v/>
      </c>
      <c r="BJ28" s="228">
        <f>IF(AND(58&gt;=$NR$28,58&lt;=$NS$28),IF($NP$28="Single_Point",IF(58=$NR$28,$NN$28,0),IF($NP$28="Bell_Curve",$NN$28*(58-$NR$28+1)*($NS$28-58+1)/$NU$28,$NN$28/$NT$28)),0)</f>
        <v/>
      </c>
      <c r="BK28" s="228">
        <f>IF(AND(59&gt;=$NR$28,59&lt;=$NS$28),IF($NP$28="Single_Point",IF(59=$NR$28,$NN$28,0),IF($NP$28="Bell_Curve",$NN$28*(59-$NR$28+1)*($NS$28-59+1)/$NU$28,$NN$28/$NT$28)),0)</f>
        <v/>
      </c>
      <c r="BL28" s="228">
        <f>IF(AND(60&gt;=$NR$28,60&lt;=$NS$28),IF($NP$28="Single_Point",IF(60=$NR$28,$NN$28,0),IF($NP$28="Bell_Curve",$NN$28*(60-$NR$28+1)*($NS$28-60+1)/$NU$28,$NN$28/$NT$28)),0)</f>
        <v/>
      </c>
      <c r="BM28" s="228">
        <f>IF(AND(61&gt;=$NR$28,61&lt;=$NS$28),IF($NP$28="Single_Point",IF(61=$NR$28,$NN$28,0),IF($NP$28="Bell_Curve",$NN$28*(61-$NR$28+1)*($NS$28-61+1)/$NU$28,$NN$28/$NT$28)),0)</f>
        <v/>
      </c>
      <c r="BN28" s="228">
        <f>IF(AND(62&gt;=$NR$28,62&lt;=$NS$28),IF($NP$28="Single_Point",IF(62=$NR$28,$NN$28,0),IF($NP$28="Bell_Curve",$NN$28*(62-$NR$28+1)*($NS$28-62+1)/$NU$28,$NN$28/$NT$28)),0)</f>
        <v/>
      </c>
      <c r="BO28" s="228">
        <f>IF(AND(63&gt;=$NR$28,63&lt;=$NS$28),IF($NP$28="Single_Point",IF(63=$NR$28,$NN$28,0),IF($NP$28="Bell_Curve",$NN$28*(63-$NR$28+1)*($NS$28-63+1)/$NU$28,$NN$28/$NT$28)),0)</f>
        <v/>
      </c>
      <c r="BP28" s="228">
        <f>IF(AND(64&gt;=$NR$28,64&lt;=$NS$28),IF($NP$28="Single_Point",IF(64=$NR$28,$NN$28,0),IF($NP$28="Bell_Curve",$NN$28*(64-$NR$28+1)*($NS$28-64+1)/$NU$28,$NN$28/$NT$28)),0)</f>
        <v/>
      </c>
      <c r="BQ28" s="228">
        <f>IF(AND(65&gt;=$NR$28,65&lt;=$NS$28),IF($NP$28="Single_Point",IF(65=$NR$28,$NN$28,0),IF($NP$28="Bell_Curve",$NN$28*(65-$NR$28+1)*($NS$28-65+1)/$NU$28,$NN$28/$NT$28)),0)</f>
        <v/>
      </c>
      <c r="BR28" s="228">
        <f>IF(AND(66&gt;=$NR$28,66&lt;=$NS$28),IF($NP$28="Single_Point",IF(66=$NR$28,$NN$28,0),IF($NP$28="Bell_Curve",$NN$28*(66-$NR$28+1)*($NS$28-66+1)/$NU$28,$NN$28/$NT$28)),0)</f>
        <v/>
      </c>
      <c r="BS28" s="228">
        <f>IF(AND(67&gt;=$NR$28,67&lt;=$NS$28),IF($NP$28="Single_Point",IF(67=$NR$28,$NN$28,0),IF($NP$28="Bell_Curve",$NN$28*(67-$NR$28+1)*($NS$28-67+1)/$NU$28,$NN$28/$NT$28)),0)</f>
        <v/>
      </c>
      <c r="BT28" s="228">
        <f>IF(AND(68&gt;=$NR$28,68&lt;=$NS$28),IF($NP$28="Single_Point",IF(68=$NR$28,$NN$28,0),IF($NP$28="Bell_Curve",$NN$28*(68-$NR$28+1)*($NS$28-68+1)/$NU$28,$NN$28/$NT$28)),0)</f>
        <v/>
      </c>
      <c r="BU28" s="228">
        <f>IF(AND(69&gt;=$NR$28,69&lt;=$NS$28),IF($NP$28="Single_Point",IF(69=$NR$28,$NN$28,0),IF($NP$28="Bell_Curve",$NN$28*(69-$NR$28+1)*($NS$28-69+1)/$NU$28,$NN$28/$NT$28)),0)</f>
        <v/>
      </c>
      <c r="BV28" s="228">
        <f>IF(AND(70&gt;=$NR$28,70&lt;=$NS$28),IF($NP$28="Single_Point",IF(70=$NR$28,$NN$28,0),IF($NP$28="Bell_Curve",$NN$28*(70-$NR$28+1)*($NS$28-70+1)/$NU$28,$NN$28/$NT$28)),0)</f>
        <v/>
      </c>
      <c r="BW28" s="228">
        <f>IF(AND(71&gt;=$NR$28,71&lt;=$NS$28),IF($NP$28="Single_Point",IF(71=$NR$28,$NN$28,0),IF($NP$28="Bell_Curve",$NN$28*(71-$NR$28+1)*($NS$28-71+1)/$NU$28,$NN$28/$NT$28)),0)</f>
        <v/>
      </c>
      <c r="BX28" s="228">
        <f>IF(AND(72&gt;=$NR$28,72&lt;=$NS$28),IF($NP$28="Single_Point",IF(72=$NR$28,$NN$28,0),IF($NP$28="Bell_Curve",$NN$28*(72-$NR$28+1)*($NS$28-72+1)/$NU$28,$NN$28/$NT$28)),0)</f>
        <v/>
      </c>
      <c r="BY28" s="228">
        <f>IF(AND(73&gt;=$NR$28,73&lt;=$NS$28),IF($NP$28="Single_Point",IF(73=$NR$28,$NN$28,0),IF($NP$28="Bell_Curve",$NN$28*(73-$NR$28+1)*($NS$28-73+1)/$NU$28,$NN$28/$NT$28)),0)</f>
        <v/>
      </c>
      <c r="BZ28" s="228">
        <f>IF(AND(74&gt;=$NR$28,74&lt;=$NS$28),IF($NP$28="Single_Point",IF(74=$NR$28,$NN$28,0),IF($NP$28="Bell_Curve",$NN$28*(74-$NR$28+1)*($NS$28-74+1)/$NU$28,$NN$28/$NT$28)),0)</f>
        <v/>
      </c>
      <c r="CA28" s="228">
        <f>IF(AND(75&gt;=$NR$28,75&lt;=$NS$28),IF($NP$28="Single_Point",IF(75=$NR$28,$NN$28,0),IF($NP$28="Bell_Curve",$NN$28*(75-$NR$28+1)*($NS$28-75+1)/$NU$28,$NN$28/$NT$28)),0)</f>
        <v/>
      </c>
      <c r="CB28" s="228">
        <f>IF(AND(76&gt;=$NR$28,76&lt;=$NS$28),IF($NP$28="Single_Point",IF(76=$NR$28,$NN$28,0),IF($NP$28="Bell_Curve",$NN$28*(76-$NR$28+1)*($NS$28-76+1)/$NU$28,$NN$28/$NT$28)),0)</f>
        <v/>
      </c>
      <c r="CC28" s="228">
        <f>IF(AND(77&gt;=$NR$28,77&lt;=$NS$28),IF($NP$28="Single_Point",IF(77=$NR$28,$NN$28,0),IF($NP$28="Bell_Curve",$NN$28*(77-$NR$28+1)*($NS$28-77+1)/$NU$28,$NN$28/$NT$28)),0)</f>
        <v/>
      </c>
      <c r="CD28" s="228">
        <f>IF(AND(78&gt;=$NR$28,78&lt;=$NS$28),IF($NP$28="Single_Point",IF(78=$NR$28,$NN$28,0),IF($NP$28="Bell_Curve",$NN$28*(78-$NR$28+1)*($NS$28-78+1)/$NU$28,$NN$28/$NT$28)),0)</f>
        <v/>
      </c>
      <c r="CE28" s="228">
        <f>IF(AND(79&gt;=$NR$28,79&lt;=$NS$28),IF($NP$28="Single_Point",IF(79=$NR$28,$NN$28,0),IF($NP$28="Bell_Curve",$NN$28*(79-$NR$28+1)*($NS$28-79+1)/$NU$28,$NN$28/$NT$28)),0)</f>
        <v/>
      </c>
      <c r="CF28" s="228">
        <f>IF(AND(80&gt;=$NR$28,80&lt;=$NS$28),IF($NP$28="Single_Point",IF(80=$NR$28,$NN$28,0),IF($NP$28="Bell_Curve",$NN$28*(80-$NR$28+1)*($NS$28-80+1)/$NU$28,$NN$28/$NT$28)),0)</f>
        <v/>
      </c>
      <c r="CG28" s="228">
        <f>IF(AND(81&gt;=$NR$28,81&lt;=$NS$28),IF($NP$28="Single_Point",IF(81=$NR$28,$NN$28,0),IF($NP$28="Bell_Curve",$NN$28*(81-$NR$28+1)*($NS$28-81+1)/$NU$28,$NN$28/$NT$28)),0)</f>
        <v/>
      </c>
      <c r="CH28" s="228">
        <f>IF(AND(82&gt;=$NR$28,82&lt;=$NS$28),IF($NP$28="Single_Point",IF(82=$NR$28,$NN$28,0),IF($NP$28="Bell_Curve",$NN$28*(82-$NR$28+1)*($NS$28-82+1)/$NU$28,$NN$28/$NT$28)),0)</f>
        <v/>
      </c>
      <c r="CI28" s="228">
        <f>IF(AND(83&gt;=$NR$28,83&lt;=$NS$28),IF($NP$28="Single_Point",IF(83=$NR$28,$NN$28,0),IF($NP$28="Bell_Curve",$NN$28*(83-$NR$28+1)*($NS$28-83+1)/$NU$28,$NN$28/$NT$28)),0)</f>
        <v/>
      </c>
      <c r="CJ28" s="228">
        <f>IF(AND(84&gt;=$NR$28,84&lt;=$NS$28),IF($NP$28="Single_Point",IF(84=$NR$28,$NN$28,0),IF($NP$28="Bell_Curve",$NN$28*(84-$NR$28+1)*($NS$28-84+1)/$NU$28,$NN$28/$NT$28)),0)</f>
        <v/>
      </c>
      <c r="CK28" s="228">
        <f>IF(AND(85&gt;=$NR$28,85&lt;=$NS$28),IF($NP$28="Single_Point",IF(85=$NR$28,$NN$28,0),IF($NP$28="Bell_Curve",$NN$28*(85-$NR$28+1)*($NS$28-85+1)/$NU$28,$NN$28/$NT$28)),0)</f>
        <v/>
      </c>
      <c r="CL28" s="228">
        <f>IF(AND(86&gt;=$NR$28,86&lt;=$NS$28),IF($NP$28="Single_Point",IF(86=$NR$28,$NN$28,0),IF($NP$28="Bell_Curve",$NN$28*(86-$NR$28+1)*($NS$28-86+1)/$NU$28,$NN$28/$NT$28)),0)</f>
        <v/>
      </c>
      <c r="CM28" s="228">
        <f>IF(AND(87&gt;=$NR$28,87&lt;=$NS$28),IF($NP$28="Single_Point",IF(87=$NR$28,$NN$28,0),IF($NP$28="Bell_Curve",$NN$28*(87-$NR$28+1)*($NS$28-87+1)/$NU$28,$NN$28/$NT$28)),0)</f>
        <v/>
      </c>
      <c r="CN28" s="228">
        <f>IF(AND(88&gt;=$NR$28,88&lt;=$NS$28),IF($NP$28="Single_Point",IF(88=$NR$28,$NN$28,0),IF($NP$28="Bell_Curve",$NN$28*(88-$NR$28+1)*($NS$28-88+1)/$NU$28,$NN$28/$NT$28)),0)</f>
        <v/>
      </c>
      <c r="CO28" s="228">
        <f>IF(AND(89&gt;=$NR$28,89&lt;=$NS$28),IF($NP$28="Single_Point",IF(89=$NR$28,$NN$28,0),IF($NP$28="Bell_Curve",$NN$28*(89-$NR$28+1)*($NS$28-89+1)/$NU$28,$NN$28/$NT$28)),0)</f>
        <v/>
      </c>
      <c r="CP28" s="228">
        <f>IF(AND(90&gt;=$NR$28,90&lt;=$NS$28),IF($NP$28="Single_Point",IF(90=$NR$28,$NN$28,0),IF($NP$28="Bell_Curve",$NN$28*(90-$NR$28+1)*($NS$28-90+1)/$NU$28,$NN$28/$NT$28)),0)</f>
        <v/>
      </c>
      <c r="CQ28" s="228">
        <f>IF(AND(91&gt;=$NR$28,91&lt;=$NS$28),IF($NP$28="Single_Point",IF(91=$NR$28,$NN$28,0),IF($NP$28="Bell_Curve",$NN$28*(91-$NR$28+1)*($NS$28-91+1)/$NU$28,$NN$28/$NT$28)),0)</f>
        <v/>
      </c>
      <c r="CR28" s="228">
        <f>IF(AND(92&gt;=$NR$28,92&lt;=$NS$28),IF($NP$28="Single_Point",IF(92=$NR$28,$NN$28,0),IF($NP$28="Bell_Curve",$NN$28*(92-$NR$28+1)*($NS$28-92+1)/$NU$28,$NN$28/$NT$28)),0)</f>
        <v/>
      </c>
      <c r="CS28" s="228">
        <f>IF(AND(93&gt;=$NR$28,93&lt;=$NS$28),IF($NP$28="Single_Point",IF(93=$NR$28,$NN$28,0),IF($NP$28="Bell_Curve",$NN$28*(93-$NR$28+1)*($NS$28-93+1)/$NU$28,$NN$28/$NT$28)),0)</f>
        <v/>
      </c>
      <c r="CT28" s="228">
        <f>IF(AND(94&gt;=$NR$28,94&lt;=$NS$28),IF($NP$28="Single_Point",IF(94=$NR$28,$NN$28,0),IF($NP$28="Bell_Curve",$NN$28*(94-$NR$28+1)*($NS$28-94+1)/$NU$28,$NN$28/$NT$28)),0)</f>
        <v/>
      </c>
      <c r="CU28" s="228">
        <f>IF(AND(95&gt;=$NR$28,95&lt;=$NS$28),IF($NP$28="Single_Point",IF(95=$NR$28,$NN$28,0),IF($NP$28="Bell_Curve",$NN$28*(95-$NR$28+1)*($NS$28-95+1)/$NU$28,$NN$28/$NT$28)),0)</f>
        <v/>
      </c>
      <c r="CV28" s="228">
        <f>IF(AND(96&gt;=$NR$28,96&lt;=$NS$28),IF($NP$28="Single_Point",IF(96=$NR$28,$NN$28,0),IF($NP$28="Bell_Curve",$NN$28*(96-$NR$28+1)*($NS$28-96+1)/$NU$28,$NN$28/$NT$28)),0)</f>
        <v/>
      </c>
      <c r="CW28" s="228">
        <f>IF(AND(97&gt;=$NR$28,97&lt;=$NS$28),IF($NP$28="Single_Point",IF(97=$NR$28,$NN$28,0),IF($NP$28="Bell_Curve",$NN$28*(97-$NR$28+1)*($NS$28-97+1)/$NU$28,$NN$28/$NT$28)),0)</f>
        <v/>
      </c>
      <c r="CX28" s="228">
        <f>IF(AND(98&gt;=$NR$28,98&lt;=$NS$28),IF($NP$28="Single_Point",IF(98=$NR$28,$NN$28,0),IF($NP$28="Bell_Curve",$NN$28*(98-$NR$28+1)*($NS$28-98+1)/$NU$28,$NN$28/$NT$28)),0)</f>
        <v/>
      </c>
      <c r="CY28" s="228">
        <f>IF(AND(99&gt;=$NR$28,99&lt;=$NS$28),IF($NP$28="Single_Point",IF(99=$NR$28,$NN$28,0),IF($NP$28="Bell_Curve",$NN$28*(99-$NR$28+1)*($NS$28-99+1)/$NU$28,$NN$28/$NT$28)),0)</f>
        <v/>
      </c>
      <c r="CZ28" s="228">
        <f>IF(AND(100&gt;=$NR$28,100&lt;=$NS$28),IF($NP$28="Single_Point",IF(100=$NR$28,$NN$28,0),IF($NP$28="Bell_Curve",$NN$28*(100-$NR$28+1)*($NS$28-100+1)/$NU$28,$NN$28/$NT$28)),0)</f>
        <v/>
      </c>
      <c r="DA28" s="228">
        <f>IF(AND(101&gt;=$NR$28,101&lt;=$NS$28),IF($NP$28="Single_Point",IF(101=$NR$28,$NN$28,0),IF($NP$28="Bell_Curve",$NN$28*(101-$NR$28+1)*($NS$28-101+1)/$NU$28,$NN$28/$NT$28)),0)</f>
        <v/>
      </c>
      <c r="DB28" s="228">
        <f>IF(AND(102&gt;=$NR$28,102&lt;=$NS$28),IF($NP$28="Single_Point",IF(102=$NR$28,$NN$28,0),IF($NP$28="Bell_Curve",$NN$28*(102-$NR$28+1)*($NS$28-102+1)/$NU$28,$NN$28/$NT$28)),0)</f>
        <v/>
      </c>
      <c r="DC28" s="228">
        <f>IF(AND(103&gt;=$NR$28,103&lt;=$NS$28),IF($NP$28="Single_Point",IF(103=$NR$28,$NN$28,0),IF($NP$28="Bell_Curve",$NN$28*(103-$NR$28+1)*($NS$28-103+1)/$NU$28,$NN$28/$NT$28)),0)</f>
        <v/>
      </c>
      <c r="DD28" s="228">
        <f>IF(AND(104&gt;=$NR$28,104&lt;=$NS$28),IF($NP$28="Single_Point",IF(104=$NR$28,$NN$28,0),IF($NP$28="Bell_Curve",$NN$28*(104-$NR$28+1)*($NS$28-104+1)/$NU$28,$NN$28/$NT$28)),0)</f>
        <v/>
      </c>
      <c r="DE28" s="228">
        <f>IF(AND(105&gt;=$NR$28,105&lt;=$NS$28),IF($NP$28="Single_Point",IF(105=$NR$28,$NN$28,0),IF($NP$28="Bell_Curve",$NN$28*(105-$NR$28+1)*($NS$28-105+1)/$NU$28,$NN$28/$NT$28)),0)</f>
        <v/>
      </c>
      <c r="DF28" s="228">
        <f>IF(AND(106&gt;=$NR$28,106&lt;=$NS$28),IF($NP$28="Single_Point",IF(106=$NR$28,$NN$28,0),IF($NP$28="Bell_Curve",$NN$28*(106-$NR$28+1)*($NS$28-106+1)/$NU$28,$NN$28/$NT$28)),0)</f>
        <v/>
      </c>
      <c r="DG28" s="228">
        <f>IF(AND(107&gt;=$NR$28,107&lt;=$NS$28),IF($NP$28="Single_Point",IF(107=$NR$28,$NN$28,0),IF($NP$28="Bell_Curve",$NN$28*(107-$NR$28+1)*($NS$28-107+1)/$NU$28,$NN$28/$NT$28)),0)</f>
        <v/>
      </c>
      <c r="DH28" s="228">
        <f>IF(AND(108&gt;=$NR$28,108&lt;=$NS$28),IF($NP$28="Single_Point",IF(108=$NR$28,$NN$28,0),IF($NP$28="Bell_Curve",$NN$28*(108-$NR$28+1)*($NS$28-108+1)/$NU$28,$NN$28/$NT$28)),0)</f>
        <v/>
      </c>
      <c r="DI28" s="228">
        <f>IF(AND(109&gt;=$NR$28,109&lt;=$NS$28),IF($NP$28="Single_Point",IF(109=$NR$28,$NN$28,0),IF($NP$28="Bell_Curve",$NN$28*(109-$NR$28+1)*($NS$28-109+1)/$NU$28,$NN$28/$NT$28)),0)</f>
        <v/>
      </c>
      <c r="DJ28" s="228">
        <f>IF(AND(110&gt;=$NR$28,110&lt;=$NS$28),IF($NP$28="Single_Point",IF(110=$NR$28,$NN$28,0),IF($NP$28="Bell_Curve",$NN$28*(110-$NR$28+1)*($NS$28-110+1)/$NU$28,$NN$28/$NT$28)),0)</f>
        <v/>
      </c>
      <c r="DK28" s="228">
        <f>IF(AND(111&gt;=$NR$28,111&lt;=$NS$28),IF($NP$28="Single_Point",IF(111=$NR$28,$NN$28,0),IF($NP$28="Bell_Curve",$NN$28*(111-$NR$28+1)*($NS$28-111+1)/$NU$28,$NN$28/$NT$28)),0)</f>
        <v/>
      </c>
      <c r="DL28" s="228">
        <f>IF(AND(112&gt;=$NR$28,112&lt;=$NS$28),IF($NP$28="Single_Point",IF(112=$NR$28,$NN$28,0),IF($NP$28="Bell_Curve",$NN$28*(112-$NR$28+1)*($NS$28-112+1)/$NU$28,$NN$28/$NT$28)),0)</f>
        <v/>
      </c>
      <c r="DM28" s="228">
        <f>IF(AND(113&gt;=$NR$28,113&lt;=$NS$28),IF($NP$28="Single_Point",IF(113=$NR$28,$NN$28,0),IF($NP$28="Bell_Curve",$NN$28*(113-$NR$28+1)*($NS$28-113+1)/$NU$28,$NN$28/$NT$28)),0)</f>
        <v/>
      </c>
      <c r="DN28" s="228">
        <f>IF(AND(114&gt;=$NR$28,114&lt;=$NS$28),IF($NP$28="Single_Point",IF(114=$NR$28,$NN$28,0),IF($NP$28="Bell_Curve",$NN$28*(114-$NR$28+1)*($NS$28-114+1)/$NU$28,$NN$28/$NT$28)),0)</f>
        <v/>
      </c>
      <c r="DO28" s="228">
        <f>IF(AND(115&gt;=$NR$28,115&lt;=$NS$28),IF($NP$28="Single_Point",IF(115=$NR$28,$NN$28,0),IF($NP$28="Bell_Curve",$NN$28*(115-$NR$28+1)*($NS$28-115+1)/$NU$28,$NN$28/$NT$28)),0)</f>
        <v/>
      </c>
      <c r="DP28" s="228">
        <f>IF(AND(116&gt;=$NR$28,116&lt;=$NS$28),IF($NP$28="Single_Point",IF(116=$NR$28,$NN$28,0),IF($NP$28="Bell_Curve",$NN$28*(116-$NR$28+1)*($NS$28-116+1)/$NU$28,$NN$28/$NT$28)),0)</f>
        <v/>
      </c>
      <c r="DQ28" s="228">
        <f>IF(AND(117&gt;=$NR$28,117&lt;=$NS$28),IF($NP$28="Single_Point",IF(117=$NR$28,$NN$28,0),IF($NP$28="Bell_Curve",$NN$28*(117-$NR$28+1)*($NS$28-117+1)/$NU$28,$NN$28/$NT$28)),0)</f>
        <v/>
      </c>
      <c r="DR28" s="228">
        <f>IF(AND(118&gt;=$NR$28,118&lt;=$NS$28),IF($NP$28="Single_Point",IF(118=$NR$28,$NN$28,0),IF($NP$28="Bell_Curve",$NN$28*(118-$NR$28+1)*($NS$28-118+1)/$NU$28,$NN$28/$NT$28)),0)</f>
        <v/>
      </c>
      <c r="DS28" s="228">
        <f>IF(AND(119&gt;=$NR$28,119&lt;=$NS$28),IF($NP$28="Single_Point",IF(119=$NR$28,$NN$28,0),IF($NP$28="Bell_Curve",$NN$28*(119-$NR$28+1)*($NS$28-119+1)/$NU$28,$NN$28/$NT$28)),0)</f>
        <v/>
      </c>
      <c r="DT28" s="228">
        <f>IF(AND(120&gt;=$NR$28,120&lt;=$NS$28),IF($NP$28="Single_Point",IF(120=$NR$28,$NN$28,0),IF($NP$28="Bell_Curve",$NN$28*(120-$NR$28+1)*($NS$28-120+1)/$NU$28,$NN$28/$NT$28)),0)</f>
        <v/>
      </c>
      <c r="DU28" s="228">
        <f>IF(AND(121&gt;=$NR$28,121&lt;=$NS$28),IF($NP$28="Single_Point",IF(121=$NR$28,$NN$28,0),IF($NP$28="Bell_Curve",$NN$28*(121-$NR$28+1)*($NS$28-121+1)/$NU$28,$NN$28/$NT$28)),0)</f>
        <v/>
      </c>
      <c r="DV28" s="228">
        <f>IF(AND(122&gt;=$NR$28,122&lt;=$NS$28),IF($NP$28="Single_Point",IF(122=$NR$28,$NN$28,0),IF($NP$28="Bell_Curve",$NN$28*(122-$NR$28+1)*($NS$28-122+1)/$NU$28,$NN$28/$NT$28)),0)</f>
        <v/>
      </c>
      <c r="DW28" s="228">
        <f>IF(AND(123&gt;=$NR$28,123&lt;=$NS$28),IF($NP$28="Single_Point",IF(123=$NR$28,$NN$28,0),IF($NP$28="Bell_Curve",$NN$28*(123-$NR$28+1)*($NS$28-123+1)/$NU$28,$NN$28/$NT$28)),0)</f>
        <v/>
      </c>
      <c r="DX28" s="228">
        <f>IF(AND(124&gt;=$NR$28,124&lt;=$NS$28),IF($NP$28="Single_Point",IF(124=$NR$28,$NN$28,0),IF($NP$28="Bell_Curve",$NN$28*(124-$NR$28+1)*($NS$28-124+1)/$NU$28,$NN$28/$NT$28)),0)</f>
        <v/>
      </c>
      <c r="DY28" s="228">
        <f>IF(AND(125&gt;=$NR$28,125&lt;=$NS$28),IF($NP$28="Single_Point",IF(125=$NR$28,$NN$28,0),IF($NP$28="Bell_Curve",$NN$28*(125-$NR$28+1)*($NS$28-125+1)/$NU$28,$NN$28/$NT$28)),0)</f>
        <v/>
      </c>
      <c r="DZ28" s="228">
        <f>IF(AND(126&gt;=$NR$28,126&lt;=$NS$28),IF($NP$28="Single_Point",IF(126=$NR$28,$NN$28,0),IF($NP$28="Bell_Curve",$NN$28*(126-$NR$28+1)*($NS$28-126+1)/$NU$28,$NN$28/$NT$28)),0)</f>
        <v/>
      </c>
      <c r="EA28" s="228">
        <f>IF(AND(127&gt;=$NR$28,127&lt;=$NS$28),IF($NP$28="Single_Point",IF(127=$NR$28,$NN$28,0),IF($NP$28="Bell_Curve",$NN$28*(127-$NR$28+1)*($NS$28-127+1)/$NU$28,$NN$28/$NT$28)),0)</f>
        <v/>
      </c>
      <c r="EB28" s="228">
        <f>IF(AND(128&gt;=$NR$28,128&lt;=$NS$28),IF($NP$28="Single_Point",IF(128=$NR$28,$NN$28,0),IF($NP$28="Bell_Curve",$NN$28*(128-$NR$28+1)*($NS$28-128+1)/$NU$28,$NN$28/$NT$28)),0)</f>
        <v/>
      </c>
      <c r="EC28" s="228">
        <f>IF(AND(129&gt;=$NR$28,129&lt;=$NS$28),IF($NP$28="Single_Point",IF(129=$NR$28,$NN$28,0),IF($NP$28="Bell_Curve",$NN$28*(129-$NR$28+1)*($NS$28-129+1)/$NU$28,$NN$28/$NT$28)),0)</f>
        <v/>
      </c>
      <c r="ED28" s="228">
        <f>IF(AND(130&gt;=$NR$28,130&lt;=$NS$28),IF($NP$28="Single_Point",IF(130=$NR$28,$NN$28,0),IF($NP$28="Bell_Curve",$NN$28*(130-$NR$28+1)*($NS$28-130+1)/$NU$28,$NN$28/$NT$28)),0)</f>
        <v/>
      </c>
      <c r="EE28" s="228">
        <f>IF(AND(131&gt;=$NR$28,131&lt;=$NS$28),IF($NP$28="Single_Point",IF(131=$NR$28,$NN$28,0),IF($NP$28="Bell_Curve",$NN$28*(131-$NR$28+1)*($NS$28-131+1)/$NU$28,$NN$28/$NT$28)),0)</f>
        <v/>
      </c>
      <c r="EF28" s="228">
        <f>IF(AND(132&gt;=$NR$28,132&lt;=$NS$28),IF($NP$28="Single_Point",IF(132=$NR$28,$NN$28,0),IF($NP$28="Bell_Curve",$NN$28*(132-$NR$28+1)*($NS$28-132+1)/$NU$28,$NN$28/$NT$28)),0)</f>
        <v/>
      </c>
      <c r="EG28" s="228">
        <f>IF(AND(133&gt;=$NR$28,133&lt;=$NS$28),IF($NP$28="Single_Point",IF(133=$NR$28,$NN$28,0),IF($NP$28="Bell_Curve",$NN$28*(133-$NR$28+1)*($NS$28-133+1)/$NU$28,$NN$28/$NT$28)),0)</f>
        <v/>
      </c>
      <c r="EH28" s="228">
        <f>IF(AND(134&gt;=$NR$28,134&lt;=$NS$28),IF($NP$28="Single_Point",IF(134=$NR$28,$NN$28,0),IF($NP$28="Bell_Curve",$NN$28*(134-$NR$28+1)*($NS$28-134+1)/$NU$28,$NN$28/$NT$28)),0)</f>
        <v/>
      </c>
      <c r="EI28" s="228">
        <f>IF(AND(135&gt;=$NR$28,135&lt;=$NS$28),IF($NP$28="Single_Point",IF(135=$NR$28,$NN$28,0),IF($NP$28="Bell_Curve",$NN$28*(135-$NR$28+1)*($NS$28-135+1)/$NU$28,$NN$28/$NT$28)),0)</f>
        <v/>
      </c>
      <c r="EJ28" s="228">
        <f>IF(AND(136&gt;=$NR$28,136&lt;=$NS$28),IF($NP$28="Single_Point",IF(136=$NR$28,$NN$28,0),IF($NP$28="Bell_Curve",$NN$28*(136-$NR$28+1)*($NS$28-136+1)/$NU$28,$NN$28/$NT$28)),0)</f>
        <v/>
      </c>
      <c r="EK28" s="228">
        <f>IF(AND(137&gt;=$NR$28,137&lt;=$NS$28),IF($NP$28="Single_Point",IF(137=$NR$28,$NN$28,0),IF($NP$28="Bell_Curve",$NN$28*(137-$NR$28+1)*($NS$28-137+1)/$NU$28,$NN$28/$NT$28)),0)</f>
        <v/>
      </c>
      <c r="EL28" s="228">
        <f>IF(AND(138&gt;=$NR$28,138&lt;=$NS$28),IF($NP$28="Single_Point",IF(138=$NR$28,$NN$28,0),IF($NP$28="Bell_Curve",$NN$28*(138-$NR$28+1)*($NS$28-138+1)/$NU$28,$NN$28/$NT$28)),0)</f>
        <v/>
      </c>
      <c r="EM28" s="228">
        <f>IF(AND(139&gt;=$NR$28,139&lt;=$NS$28),IF($NP$28="Single_Point",IF(139=$NR$28,$NN$28,0),IF($NP$28="Bell_Curve",$NN$28*(139-$NR$28+1)*($NS$28-139+1)/$NU$28,$NN$28/$NT$28)),0)</f>
        <v/>
      </c>
      <c r="EN28" s="228">
        <f>IF(AND(140&gt;=$NR$28,140&lt;=$NS$28),IF($NP$28="Single_Point",IF(140=$NR$28,$NN$28,0),IF($NP$28="Bell_Curve",$NN$28*(140-$NR$28+1)*($NS$28-140+1)/$NU$28,$NN$28/$NT$28)),0)</f>
        <v/>
      </c>
      <c r="EO28" s="228">
        <f>IF(AND(141&gt;=$NR$28,141&lt;=$NS$28),IF($NP$28="Single_Point",IF(141=$NR$28,$NN$28,0),IF($NP$28="Bell_Curve",$NN$28*(141-$NR$28+1)*($NS$28-141+1)/$NU$28,$NN$28/$NT$28)),0)</f>
        <v/>
      </c>
      <c r="EP28" s="228">
        <f>IF(AND(142&gt;=$NR$28,142&lt;=$NS$28),IF($NP$28="Single_Point",IF(142=$NR$28,$NN$28,0),IF($NP$28="Bell_Curve",$NN$28*(142-$NR$28+1)*($NS$28-142+1)/$NU$28,$NN$28/$NT$28)),0)</f>
        <v/>
      </c>
      <c r="EQ28" s="228">
        <f>IF(AND(143&gt;=$NR$28,143&lt;=$NS$28),IF($NP$28="Single_Point",IF(143=$NR$28,$NN$28,0),IF($NP$28="Bell_Curve",$NN$28*(143-$NR$28+1)*($NS$28-143+1)/$NU$28,$NN$28/$NT$28)),0)</f>
        <v/>
      </c>
      <c r="ER28" s="228">
        <f>IF(AND(144&gt;=$NR$28,144&lt;=$NS$28),IF($NP$28="Single_Point",IF(144=$NR$28,$NN$28,0),IF($NP$28="Bell_Curve",$NN$28*(144-$NR$28+1)*($NS$28-144+1)/$NU$28,$NN$28/$NT$28)),0)</f>
        <v/>
      </c>
      <c r="ES28" s="228">
        <f>IF(AND(145&gt;=$NR$28,145&lt;=$NS$28),IF($NP$28="Single_Point",IF(145=$NR$28,$NN$28,0),IF($NP$28="Bell_Curve",$NN$28*(145-$NR$28+1)*($NS$28-145+1)/$NU$28,$NN$28/$NT$28)),0)</f>
        <v/>
      </c>
      <c r="ET28" s="228">
        <f>IF(AND(146&gt;=$NR$28,146&lt;=$NS$28),IF($NP$28="Single_Point",IF(146=$NR$28,$NN$28,0),IF($NP$28="Bell_Curve",$NN$28*(146-$NR$28+1)*($NS$28-146+1)/$NU$28,$NN$28/$NT$28)),0)</f>
        <v/>
      </c>
      <c r="EU28" s="228">
        <f>IF(AND(147&gt;=$NR$28,147&lt;=$NS$28),IF($NP$28="Single_Point",IF(147=$NR$28,$NN$28,0),IF($NP$28="Bell_Curve",$NN$28*(147-$NR$28+1)*($NS$28-147+1)/$NU$28,$NN$28/$NT$28)),0)</f>
        <v/>
      </c>
      <c r="EV28" s="228">
        <f>IF(AND(148&gt;=$NR$28,148&lt;=$NS$28),IF($NP$28="Single_Point",IF(148=$NR$28,$NN$28,0),IF($NP$28="Bell_Curve",$NN$28*(148-$NR$28+1)*($NS$28-148+1)/$NU$28,$NN$28/$NT$28)),0)</f>
        <v/>
      </c>
      <c r="EW28" s="228">
        <f>IF(AND(149&gt;=$NR$28,149&lt;=$NS$28),IF($NP$28="Single_Point",IF(149=$NR$28,$NN$28,0),IF($NP$28="Bell_Curve",$NN$28*(149-$NR$28+1)*($NS$28-149+1)/$NU$28,$NN$28/$NT$28)),0)</f>
        <v/>
      </c>
      <c r="EX28" s="228">
        <f>IF(AND(150&gt;=$NR$28,150&lt;=$NS$28),IF($NP$28="Single_Point",IF(150=$NR$28,$NN$28,0),IF($NP$28="Bell_Curve",$NN$28*(150-$NR$28+1)*($NS$28-150+1)/$NU$28,$NN$28/$NT$28)),0)</f>
        <v/>
      </c>
      <c r="EY28" s="228">
        <f>IF(AND(151&gt;=$NR$28,151&lt;=$NS$28),IF($NP$28="Single_Point",IF(151=$NR$28,$NN$28,0),IF($NP$28="Bell_Curve",$NN$28*(151-$NR$28+1)*($NS$28-151+1)/$NU$28,$NN$28/$NT$28)),0)</f>
        <v/>
      </c>
      <c r="EZ28" s="228">
        <f>IF(AND(152&gt;=$NR$28,152&lt;=$NS$28),IF($NP$28="Single_Point",IF(152=$NR$28,$NN$28,0),IF($NP$28="Bell_Curve",$NN$28*(152-$NR$28+1)*($NS$28-152+1)/$NU$28,$NN$28/$NT$28)),0)</f>
        <v/>
      </c>
      <c r="FA28" s="228">
        <f>IF(AND(153&gt;=$NR$28,153&lt;=$NS$28),IF($NP$28="Single_Point",IF(153=$NR$28,$NN$28,0),IF($NP$28="Bell_Curve",$NN$28*(153-$NR$28+1)*($NS$28-153+1)/$NU$28,$NN$28/$NT$28)),0)</f>
        <v/>
      </c>
      <c r="FB28" s="228">
        <f>IF(AND(154&gt;=$NR$28,154&lt;=$NS$28),IF($NP$28="Single_Point",IF(154=$NR$28,$NN$28,0),IF($NP$28="Bell_Curve",$NN$28*(154-$NR$28+1)*($NS$28-154+1)/$NU$28,$NN$28/$NT$28)),0)</f>
        <v/>
      </c>
      <c r="FC28" s="228">
        <f>IF(AND(155&gt;=$NR$28,155&lt;=$NS$28),IF($NP$28="Single_Point",IF(155=$NR$28,$NN$28,0),IF($NP$28="Bell_Curve",$NN$28*(155-$NR$28+1)*($NS$28-155+1)/$NU$28,$NN$28/$NT$28)),0)</f>
        <v/>
      </c>
      <c r="FD28" s="228">
        <f>IF(AND(156&gt;=$NR$28,156&lt;=$NS$28),IF($NP$28="Single_Point",IF(156=$NR$28,$NN$28,0),IF($NP$28="Bell_Curve",$NN$28*(156-$NR$28+1)*($NS$28-156+1)/$NU$28,$NN$28/$NT$28)),0)</f>
        <v/>
      </c>
      <c r="FE28" s="228">
        <f>IF(AND(157&gt;=$NR$28,157&lt;=$NS$28),IF($NP$28="Single_Point",IF(157=$NR$28,$NN$28,0),IF($NP$28="Bell_Curve",$NN$28*(157-$NR$28+1)*($NS$28-157+1)/$NU$28,$NN$28/$NT$28)),0)</f>
        <v/>
      </c>
      <c r="FF28" s="228">
        <f>IF(AND(158&gt;=$NR$28,158&lt;=$NS$28),IF($NP$28="Single_Point",IF(158=$NR$28,$NN$28,0),IF($NP$28="Bell_Curve",$NN$28*(158-$NR$28+1)*($NS$28-158+1)/$NU$28,$NN$28/$NT$28)),0)</f>
        <v/>
      </c>
      <c r="FG28" s="228">
        <f>IF(AND(159&gt;=$NR$28,159&lt;=$NS$28),IF($NP$28="Single_Point",IF(159=$NR$28,$NN$28,0),IF($NP$28="Bell_Curve",$NN$28*(159-$NR$28+1)*($NS$28-159+1)/$NU$28,$NN$28/$NT$28)),0)</f>
        <v/>
      </c>
      <c r="FH28" s="228">
        <f>IF(AND(160&gt;=$NR$28,160&lt;=$NS$28),IF($NP$28="Single_Point",IF(160=$NR$28,$NN$28,0),IF($NP$28="Bell_Curve",$NN$28*(160-$NR$28+1)*($NS$28-160+1)/$NU$28,$NN$28/$NT$28)),0)</f>
        <v/>
      </c>
      <c r="FI28" s="228">
        <f>IF(AND(161&gt;=$NR$28,161&lt;=$NS$28),IF($NP$28="Single_Point",IF(161=$NR$28,$NN$28,0),IF($NP$28="Bell_Curve",$NN$28*(161-$NR$28+1)*($NS$28-161+1)/$NU$28,$NN$28/$NT$28)),0)</f>
        <v/>
      </c>
      <c r="FJ28" s="228">
        <f>IF(AND(162&gt;=$NR$28,162&lt;=$NS$28),IF($NP$28="Single_Point",IF(162=$NR$28,$NN$28,0),IF($NP$28="Bell_Curve",$NN$28*(162-$NR$28+1)*($NS$28-162+1)/$NU$28,$NN$28/$NT$28)),0)</f>
        <v/>
      </c>
      <c r="FK28" s="228">
        <f>IF(AND(163&gt;=$NR$28,163&lt;=$NS$28),IF($NP$28="Single_Point",IF(163=$NR$28,$NN$28,0),IF($NP$28="Bell_Curve",$NN$28*(163-$NR$28+1)*($NS$28-163+1)/$NU$28,$NN$28/$NT$28)),0)</f>
        <v/>
      </c>
      <c r="FL28" s="228">
        <f>IF(AND(164&gt;=$NR$28,164&lt;=$NS$28),IF($NP$28="Single_Point",IF(164=$NR$28,$NN$28,0),IF($NP$28="Bell_Curve",$NN$28*(164-$NR$28+1)*($NS$28-164+1)/$NU$28,$NN$28/$NT$28)),0)</f>
        <v/>
      </c>
      <c r="FM28" s="228">
        <f>IF(AND(165&gt;=$NR$28,165&lt;=$NS$28),IF($NP$28="Single_Point",IF(165=$NR$28,$NN$28,0),IF($NP$28="Bell_Curve",$NN$28*(165-$NR$28+1)*($NS$28-165+1)/$NU$28,$NN$28/$NT$28)),0)</f>
        <v/>
      </c>
      <c r="FN28" s="228">
        <f>IF(AND(166&gt;=$NR$28,166&lt;=$NS$28),IF($NP$28="Single_Point",IF(166=$NR$28,$NN$28,0),IF($NP$28="Bell_Curve",$NN$28*(166-$NR$28+1)*($NS$28-166+1)/$NU$28,$NN$28/$NT$28)),0)</f>
        <v/>
      </c>
      <c r="FO28" s="228">
        <f>IF(AND(167&gt;=$NR$28,167&lt;=$NS$28),IF($NP$28="Single_Point",IF(167=$NR$28,$NN$28,0),IF($NP$28="Bell_Curve",$NN$28*(167-$NR$28+1)*($NS$28-167+1)/$NU$28,$NN$28/$NT$28)),0)</f>
        <v/>
      </c>
      <c r="FP28" s="228">
        <f>IF(AND(168&gt;=$NR$28,168&lt;=$NS$28),IF($NP$28="Single_Point",IF(168=$NR$28,$NN$28,0),IF($NP$28="Bell_Curve",$NN$28*(168-$NR$28+1)*($NS$28-168+1)/$NU$28,$NN$28/$NT$28)),0)</f>
        <v/>
      </c>
      <c r="FQ28" s="228">
        <f>IF(AND(169&gt;=$NR$28,169&lt;=$NS$28),IF($NP$28="Single_Point",IF(169=$NR$28,$NN$28,0),IF($NP$28="Bell_Curve",$NN$28*(169-$NR$28+1)*($NS$28-169+1)/$NU$28,$NN$28/$NT$28)),0)</f>
        <v/>
      </c>
      <c r="FR28" s="228">
        <f>IF(AND(170&gt;=$NR$28,170&lt;=$NS$28),IF($NP$28="Single_Point",IF(170=$NR$28,$NN$28,0),IF($NP$28="Bell_Curve",$NN$28*(170-$NR$28+1)*($NS$28-170+1)/$NU$28,$NN$28/$NT$28)),0)</f>
        <v/>
      </c>
      <c r="FS28" s="228">
        <f>IF(AND(171&gt;=$NR$28,171&lt;=$NS$28),IF($NP$28="Single_Point",IF(171=$NR$28,$NN$28,0),IF($NP$28="Bell_Curve",$NN$28*(171-$NR$28+1)*($NS$28-171+1)/$NU$28,$NN$28/$NT$28)),0)</f>
        <v/>
      </c>
      <c r="FT28" s="228">
        <f>IF(AND(172&gt;=$NR$28,172&lt;=$NS$28),IF($NP$28="Single_Point",IF(172=$NR$28,$NN$28,0),IF($NP$28="Bell_Curve",$NN$28*(172-$NR$28+1)*($NS$28-172+1)/$NU$28,$NN$28/$NT$28)),0)</f>
        <v/>
      </c>
      <c r="FU28" s="228">
        <f>IF(AND(173&gt;=$NR$28,173&lt;=$NS$28),IF($NP$28="Single_Point",IF(173=$NR$28,$NN$28,0),IF($NP$28="Bell_Curve",$NN$28*(173-$NR$28+1)*($NS$28-173+1)/$NU$28,$NN$28/$NT$28)),0)</f>
        <v/>
      </c>
      <c r="FV28" s="228">
        <f>IF(AND(174&gt;=$NR$28,174&lt;=$NS$28),IF($NP$28="Single_Point",IF(174=$NR$28,$NN$28,0),IF($NP$28="Bell_Curve",$NN$28*(174-$NR$28+1)*($NS$28-174+1)/$NU$28,$NN$28/$NT$28)),0)</f>
        <v/>
      </c>
      <c r="FW28" s="228">
        <f>IF(AND(175&gt;=$NR$28,175&lt;=$NS$28),IF($NP$28="Single_Point",IF(175=$NR$28,$NN$28,0),IF($NP$28="Bell_Curve",$NN$28*(175-$NR$28+1)*($NS$28-175+1)/$NU$28,$NN$28/$NT$28)),0)</f>
        <v/>
      </c>
      <c r="FX28" s="228">
        <f>IF(AND(176&gt;=$NR$28,176&lt;=$NS$28),IF($NP$28="Single_Point",IF(176=$NR$28,$NN$28,0),IF($NP$28="Bell_Curve",$NN$28*(176-$NR$28+1)*($NS$28-176+1)/$NU$28,$NN$28/$NT$28)),0)</f>
        <v/>
      </c>
      <c r="FY28" s="228">
        <f>IF(AND(177&gt;=$NR$28,177&lt;=$NS$28),IF($NP$28="Single_Point",IF(177=$NR$28,$NN$28,0),IF($NP$28="Bell_Curve",$NN$28*(177-$NR$28+1)*($NS$28-177+1)/$NU$28,$NN$28/$NT$28)),0)</f>
        <v/>
      </c>
      <c r="FZ28" s="228">
        <f>IF(AND(178&gt;=$NR$28,178&lt;=$NS$28),IF($NP$28="Single_Point",IF(178=$NR$28,$NN$28,0),IF($NP$28="Bell_Curve",$NN$28*(178-$NR$28+1)*($NS$28-178+1)/$NU$28,$NN$28/$NT$28)),0)</f>
        <v/>
      </c>
      <c r="GA28" s="228">
        <f>IF(AND(179&gt;=$NR$28,179&lt;=$NS$28),IF($NP$28="Single_Point",IF(179=$NR$28,$NN$28,0),IF($NP$28="Bell_Curve",$NN$28*(179-$NR$28+1)*($NS$28-179+1)/$NU$28,$NN$28/$NT$28)),0)</f>
        <v/>
      </c>
      <c r="GB28" s="228">
        <f>IF(AND(180&gt;=$NR$28,180&lt;=$NS$28),IF($NP$28="Single_Point",IF(180=$NR$28,$NN$28,0),IF($NP$28="Bell_Curve",$NN$28*(180-$NR$28+1)*($NS$28-180+1)/$NU$28,$NN$28/$NT$28)),0)</f>
        <v/>
      </c>
      <c r="GC28" s="228">
        <f>IF(AND(181&gt;=$NR$28,181&lt;=$NS$28),IF($NP$28="Single_Point",IF(181=$NR$28,$NN$28,0),IF($NP$28="Bell_Curve",$NN$28*(181-$NR$28+1)*($NS$28-181+1)/$NU$28,$NN$28/$NT$28)),0)</f>
        <v/>
      </c>
      <c r="GD28" s="228">
        <f>IF(AND(182&gt;=$NR$28,182&lt;=$NS$28),IF($NP$28="Single_Point",IF(182=$NR$28,$NN$28,0),IF($NP$28="Bell_Curve",$NN$28*(182-$NR$28+1)*($NS$28-182+1)/$NU$28,$NN$28/$NT$28)),0)</f>
        <v/>
      </c>
      <c r="GE28" s="228">
        <f>IF(AND(183&gt;=$NR$28,183&lt;=$NS$28),IF($NP$28="Single_Point",IF(183=$NR$28,$NN$28,0),IF($NP$28="Bell_Curve",$NN$28*(183-$NR$28+1)*($NS$28-183+1)/$NU$28,$NN$28/$NT$28)),0)</f>
        <v/>
      </c>
      <c r="GF28" s="228">
        <f>IF(AND(184&gt;=$NR$28,184&lt;=$NS$28),IF($NP$28="Single_Point",IF(184=$NR$28,$NN$28,0),IF($NP$28="Bell_Curve",$NN$28*(184-$NR$28+1)*($NS$28-184+1)/$NU$28,$NN$28/$NT$28)),0)</f>
        <v/>
      </c>
      <c r="GG28" s="228">
        <f>IF(AND(185&gt;=$NR$28,185&lt;=$NS$28),IF($NP$28="Single_Point",IF(185=$NR$28,$NN$28,0),IF($NP$28="Bell_Curve",$NN$28*(185-$NR$28+1)*($NS$28-185+1)/$NU$28,$NN$28/$NT$28)),0)</f>
        <v/>
      </c>
      <c r="GH28" s="228">
        <f>IF(AND(186&gt;=$NR$28,186&lt;=$NS$28),IF($NP$28="Single_Point",IF(186=$NR$28,$NN$28,0),IF($NP$28="Bell_Curve",$NN$28*(186-$NR$28+1)*($NS$28-186+1)/$NU$28,$NN$28/$NT$28)),0)</f>
        <v/>
      </c>
      <c r="GI28" s="228">
        <f>IF(AND(187&gt;=$NR$28,187&lt;=$NS$28),IF($NP$28="Single_Point",IF(187=$NR$28,$NN$28,0),IF($NP$28="Bell_Curve",$NN$28*(187-$NR$28+1)*($NS$28-187+1)/$NU$28,$NN$28/$NT$28)),0)</f>
        <v/>
      </c>
      <c r="GJ28" s="228">
        <f>IF(AND(188&gt;=$NR$28,188&lt;=$NS$28),IF($NP$28="Single_Point",IF(188=$NR$28,$NN$28,0),IF($NP$28="Bell_Curve",$NN$28*(188-$NR$28+1)*($NS$28-188+1)/$NU$28,$NN$28/$NT$28)),0)</f>
        <v/>
      </c>
      <c r="GK28" s="228">
        <f>IF(AND(189&gt;=$NR$28,189&lt;=$NS$28),IF($NP$28="Single_Point",IF(189=$NR$28,$NN$28,0),IF($NP$28="Bell_Curve",$NN$28*(189-$NR$28+1)*($NS$28-189+1)/$NU$28,$NN$28/$NT$28)),0)</f>
        <v/>
      </c>
      <c r="GL28" s="228">
        <f>IF(AND(190&gt;=$NR$28,190&lt;=$NS$28),IF($NP$28="Single_Point",IF(190=$NR$28,$NN$28,0),IF($NP$28="Bell_Curve",$NN$28*(190-$NR$28+1)*($NS$28-190+1)/$NU$28,$NN$28/$NT$28)),0)</f>
        <v/>
      </c>
      <c r="GM28" s="228">
        <f>IF(AND(191&gt;=$NR$28,191&lt;=$NS$28),IF($NP$28="Single_Point",IF(191=$NR$28,$NN$28,0),IF($NP$28="Bell_Curve",$NN$28*(191-$NR$28+1)*($NS$28-191+1)/$NU$28,$NN$28/$NT$28)),0)</f>
        <v/>
      </c>
      <c r="GN28" s="228">
        <f>IF(AND(192&gt;=$NR$28,192&lt;=$NS$28),IF($NP$28="Single_Point",IF(192=$NR$28,$NN$28,0),IF($NP$28="Bell_Curve",$NN$28*(192-$NR$28+1)*($NS$28-192+1)/$NU$28,$NN$28/$NT$28)),0)</f>
        <v/>
      </c>
      <c r="GO28" s="228">
        <f>IF(AND(193&gt;=$NR$28,193&lt;=$NS$28),IF($NP$28="Single_Point",IF(193=$NR$28,$NN$28,0),IF($NP$28="Bell_Curve",$NN$28*(193-$NR$28+1)*($NS$28-193+1)/$NU$28,$NN$28/$NT$28)),0)</f>
        <v/>
      </c>
      <c r="GP28" s="228">
        <f>IF(AND(194&gt;=$NR$28,194&lt;=$NS$28),IF($NP$28="Single_Point",IF(194=$NR$28,$NN$28,0),IF($NP$28="Bell_Curve",$NN$28*(194-$NR$28+1)*($NS$28-194+1)/$NU$28,$NN$28/$NT$28)),0)</f>
        <v/>
      </c>
      <c r="GQ28" s="228">
        <f>IF(AND(195&gt;=$NR$28,195&lt;=$NS$28),IF($NP$28="Single_Point",IF(195=$NR$28,$NN$28,0),IF($NP$28="Bell_Curve",$NN$28*(195-$NR$28+1)*($NS$28-195+1)/$NU$28,$NN$28/$NT$28)),0)</f>
        <v/>
      </c>
      <c r="GR28" s="228">
        <f>IF(AND(196&gt;=$NR$28,196&lt;=$NS$28),IF($NP$28="Single_Point",IF(196=$NR$28,$NN$28,0),IF($NP$28="Bell_Curve",$NN$28*(196-$NR$28+1)*($NS$28-196+1)/$NU$28,$NN$28/$NT$28)),0)</f>
        <v/>
      </c>
      <c r="GS28" s="228">
        <f>IF(AND(197&gt;=$NR$28,197&lt;=$NS$28),IF($NP$28="Single_Point",IF(197=$NR$28,$NN$28,0),IF($NP$28="Bell_Curve",$NN$28*(197-$NR$28+1)*($NS$28-197+1)/$NU$28,$NN$28/$NT$28)),0)</f>
        <v/>
      </c>
      <c r="GT28" s="228">
        <f>IF(AND(198&gt;=$NR$28,198&lt;=$NS$28),IF($NP$28="Single_Point",IF(198=$NR$28,$NN$28,0),IF($NP$28="Bell_Curve",$NN$28*(198-$NR$28+1)*($NS$28-198+1)/$NU$28,$NN$28/$NT$28)),0)</f>
        <v/>
      </c>
      <c r="GU28" s="228">
        <f>IF(AND(199&gt;=$NR$28,199&lt;=$NS$28),IF($NP$28="Single_Point",IF(199=$NR$28,$NN$28,0),IF($NP$28="Bell_Curve",$NN$28*(199-$NR$28+1)*($NS$28-199+1)/$NU$28,$NN$28/$NT$28)),0)</f>
        <v/>
      </c>
      <c r="GV28" s="228">
        <f>IF(AND(200&gt;=$NR$28,200&lt;=$NS$28),IF($NP$28="Single_Point",IF(200=$NR$28,$NN$28,0),IF($NP$28="Bell_Curve",$NN$28*(200-$NR$28+1)*($NS$28-200+1)/$NU$28,$NN$28/$NT$28)),0)</f>
        <v/>
      </c>
      <c r="GW28" s="228">
        <f>IF(AND(201&gt;=$NR$28,201&lt;=$NS$28),IF($NP$28="Single_Point",IF(201=$NR$28,$NN$28,0),IF($NP$28="Bell_Curve",$NN$28*(201-$NR$28+1)*($NS$28-201+1)/$NU$28,$NN$28/$NT$28)),0)</f>
        <v/>
      </c>
      <c r="GX28" s="228">
        <f>IF(AND(202&gt;=$NR$28,202&lt;=$NS$28),IF($NP$28="Single_Point",IF(202=$NR$28,$NN$28,0),IF($NP$28="Bell_Curve",$NN$28*(202-$NR$28+1)*($NS$28-202+1)/$NU$28,$NN$28/$NT$28)),0)</f>
        <v/>
      </c>
      <c r="GY28" s="228">
        <f>IF(AND(203&gt;=$NR$28,203&lt;=$NS$28),IF($NP$28="Single_Point",IF(203=$NR$28,$NN$28,0),IF($NP$28="Bell_Curve",$NN$28*(203-$NR$28+1)*($NS$28-203+1)/$NU$28,$NN$28/$NT$28)),0)</f>
        <v/>
      </c>
      <c r="GZ28" s="228">
        <f>IF(AND(204&gt;=$NR$28,204&lt;=$NS$28),IF($NP$28="Single_Point",IF(204=$NR$28,$NN$28,0),IF($NP$28="Bell_Curve",$NN$28*(204-$NR$28+1)*($NS$28-204+1)/$NU$28,$NN$28/$NT$28)),0)</f>
        <v/>
      </c>
      <c r="HA28" s="228">
        <f>IF(AND(205&gt;=$NR$28,205&lt;=$NS$28),IF($NP$28="Single_Point",IF(205=$NR$28,$NN$28,0),IF($NP$28="Bell_Curve",$NN$28*(205-$NR$28+1)*($NS$28-205+1)/$NU$28,$NN$28/$NT$28)),0)</f>
        <v/>
      </c>
      <c r="HB28" s="228">
        <f>IF(AND(206&gt;=$NR$28,206&lt;=$NS$28),IF($NP$28="Single_Point",IF(206=$NR$28,$NN$28,0),IF($NP$28="Bell_Curve",$NN$28*(206-$NR$28+1)*($NS$28-206+1)/$NU$28,$NN$28/$NT$28)),0)</f>
        <v/>
      </c>
      <c r="HC28" s="228">
        <f>IF(AND(207&gt;=$NR$28,207&lt;=$NS$28),IF($NP$28="Single_Point",IF(207=$NR$28,$NN$28,0),IF($NP$28="Bell_Curve",$NN$28*(207-$NR$28+1)*($NS$28-207+1)/$NU$28,$NN$28/$NT$28)),0)</f>
        <v/>
      </c>
      <c r="HD28" s="228">
        <f>IF(AND(208&gt;=$NR$28,208&lt;=$NS$28),IF($NP$28="Single_Point",IF(208=$NR$28,$NN$28,0),IF($NP$28="Bell_Curve",$NN$28*(208-$NR$28+1)*($NS$28-208+1)/$NU$28,$NN$28/$NT$28)),0)</f>
        <v/>
      </c>
      <c r="HE28" s="228">
        <f>IF(AND(209&gt;=$NR$28,209&lt;=$NS$28),IF($NP$28="Single_Point",IF(209=$NR$28,$NN$28,0),IF($NP$28="Bell_Curve",$NN$28*(209-$NR$28+1)*($NS$28-209+1)/$NU$28,$NN$28/$NT$28)),0)</f>
        <v/>
      </c>
      <c r="HF28" s="228">
        <f>IF(AND(210&gt;=$NR$28,210&lt;=$NS$28),IF($NP$28="Single_Point",IF(210=$NR$28,$NN$28,0),IF($NP$28="Bell_Curve",$NN$28*(210-$NR$28+1)*($NS$28-210+1)/$NU$28,$NN$28/$NT$28)),0)</f>
        <v/>
      </c>
      <c r="HG28" s="228">
        <f>IF(AND(211&gt;=$NR$28,211&lt;=$NS$28),IF($NP$28="Single_Point",IF(211=$NR$28,$NN$28,0),IF($NP$28="Bell_Curve",$NN$28*(211-$NR$28+1)*($NS$28-211+1)/$NU$28,$NN$28/$NT$28)),0)</f>
        <v/>
      </c>
      <c r="HH28" s="228">
        <f>IF(AND(212&gt;=$NR$28,212&lt;=$NS$28),IF($NP$28="Single_Point",IF(212=$NR$28,$NN$28,0),IF($NP$28="Bell_Curve",$NN$28*(212-$NR$28+1)*($NS$28-212+1)/$NU$28,$NN$28/$NT$28)),0)</f>
        <v/>
      </c>
      <c r="HI28" s="228">
        <f>IF(AND(213&gt;=$NR$28,213&lt;=$NS$28),IF($NP$28="Single_Point",IF(213=$NR$28,$NN$28,0),IF($NP$28="Bell_Curve",$NN$28*(213-$NR$28+1)*($NS$28-213+1)/$NU$28,$NN$28/$NT$28)),0)</f>
        <v/>
      </c>
      <c r="HJ28" s="228">
        <f>IF(AND(214&gt;=$NR$28,214&lt;=$NS$28),IF($NP$28="Single_Point",IF(214=$NR$28,$NN$28,0),IF($NP$28="Bell_Curve",$NN$28*(214-$NR$28+1)*($NS$28-214+1)/$NU$28,$NN$28/$NT$28)),0)</f>
        <v/>
      </c>
      <c r="HK28" s="228">
        <f>IF(AND(215&gt;=$NR$28,215&lt;=$NS$28),IF($NP$28="Single_Point",IF(215=$NR$28,$NN$28,0),IF($NP$28="Bell_Curve",$NN$28*(215-$NR$28+1)*($NS$28-215+1)/$NU$28,$NN$28/$NT$28)),0)</f>
        <v/>
      </c>
      <c r="HL28" s="228">
        <f>IF(AND(216&gt;=$NR$28,216&lt;=$NS$28),IF($NP$28="Single_Point",IF(216=$NR$28,$NN$28,0),IF($NP$28="Bell_Curve",$NN$28*(216-$NR$28+1)*($NS$28-216+1)/$NU$28,$NN$28/$NT$28)),0)</f>
        <v/>
      </c>
      <c r="HM28" s="228">
        <f>IF(AND(217&gt;=$NR$28,217&lt;=$NS$28),IF($NP$28="Single_Point",IF(217=$NR$28,$NN$28,0),IF($NP$28="Bell_Curve",$NN$28*(217-$NR$28+1)*($NS$28-217+1)/$NU$28,$NN$28/$NT$28)),0)</f>
        <v/>
      </c>
      <c r="HN28" s="228">
        <f>IF(AND(218&gt;=$NR$28,218&lt;=$NS$28),IF($NP$28="Single_Point",IF(218=$NR$28,$NN$28,0),IF($NP$28="Bell_Curve",$NN$28*(218-$NR$28+1)*($NS$28-218+1)/$NU$28,$NN$28/$NT$28)),0)</f>
        <v/>
      </c>
      <c r="HO28" s="228">
        <f>IF(AND(219&gt;=$NR$28,219&lt;=$NS$28),IF($NP$28="Single_Point",IF(219=$NR$28,$NN$28,0),IF($NP$28="Bell_Curve",$NN$28*(219-$NR$28+1)*($NS$28-219+1)/$NU$28,$NN$28/$NT$28)),0)</f>
        <v/>
      </c>
      <c r="HP28" s="228">
        <f>IF(AND(220&gt;=$NR$28,220&lt;=$NS$28),IF($NP$28="Single_Point",IF(220=$NR$28,$NN$28,0),IF($NP$28="Bell_Curve",$NN$28*(220-$NR$28+1)*($NS$28-220+1)/$NU$28,$NN$28/$NT$28)),0)</f>
        <v/>
      </c>
      <c r="HQ28" s="228">
        <f>IF(AND(221&gt;=$NR$28,221&lt;=$NS$28),IF($NP$28="Single_Point",IF(221=$NR$28,$NN$28,0),IF($NP$28="Bell_Curve",$NN$28*(221-$NR$28+1)*($NS$28-221+1)/$NU$28,$NN$28/$NT$28)),0)</f>
        <v/>
      </c>
      <c r="HR28" s="228">
        <f>IF(AND(222&gt;=$NR$28,222&lt;=$NS$28),IF($NP$28="Single_Point",IF(222=$NR$28,$NN$28,0),IF($NP$28="Bell_Curve",$NN$28*(222-$NR$28+1)*($NS$28-222+1)/$NU$28,$NN$28/$NT$28)),0)</f>
        <v/>
      </c>
      <c r="HS28" s="228">
        <f>IF(AND(223&gt;=$NR$28,223&lt;=$NS$28),IF($NP$28="Single_Point",IF(223=$NR$28,$NN$28,0),IF($NP$28="Bell_Curve",$NN$28*(223-$NR$28+1)*($NS$28-223+1)/$NU$28,$NN$28/$NT$28)),0)</f>
        <v/>
      </c>
      <c r="HT28" s="228">
        <f>IF(AND(224&gt;=$NR$28,224&lt;=$NS$28),IF($NP$28="Single_Point",IF(224=$NR$28,$NN$28,0),IF($NP$28="Bell_Curve",$NN$28*(224-$NR$28+1)*($NS$28-224+1)/$NU$28,$NN$28/$NT$28)),0)</f>
        <v/>
      </c>
      <c r="HU28" s="228">
        <f>IF(AND(225&gt;=$NR$28,225&lt;=$NS$28),IF($NP$28="Single_Point",IF(225=$NR$28,$NN$28,0),IF($NP$28="Bell_Curve",$NN$28*(225-$NR$28+1)*($NS$28-225+1)/$NU$28,$NN$28/$NT$28)),0)</f>
        <v/>
      </c>
      <c r="HV28" s="228">
        <f>IF(AND(226&gt;=$NR$28,226&lt;=$NS$28),IF($NP$28="Single_Point",IF(226=$NR$28,$NN$28,0),IF($NP$28="Bell_Curve",$NN$28*(226-$NR$28+1)*($NS$28-226+1)/$NU$28,$NN$28/$NT$28)),0)</f>
        <v/>
      </c>
      <c r="HW28" s="228">
        <f>IF(AND(227&gt;=$NR$28,227&lt;=$NS$28),IF($NP$28="Single_Point",IF(227=$NR$28,$NN$28,0),IF($NP$28="Bell_Curve",$NN$28*(227-$NR$28+1)*($NS$28-227+1)/$NU$28,$NN$28/$NT$28)),0)</f>
        <v/>
      </c>
      <c r="HX28" s="228">
        <f>IF(AND(228&gt;=$NR$28,228&lt;=$NS$28),IF($NP$28="Single_Point",IF(228=$NR$28,$NN$28,0),IF($NP$28="Bell_Curve",$NN$28*(228-$NR$28+1)*($NS$28-228+1)/$NU$28,$NN$28/$NT$28)),0)</f>
        <v/>
      </c>
      <c r="HY28" s="228">
        <f>IF(AND(229&gt;=$NR$28,229&lt;=$NS$28),IF($NP$28="Single_Point",IF(229=$NR$28,$NN$28,0),IF($NP$28="Bell_Curve",$NN$28*(229-$NR$28+1)*($NS$28-229+1)/$NU$28,$NN$28/$NT$28)),0)</f>
        <v/>
      </c>
      <c r="HZ28" s="228">
        <f>IF(AND(230&gt;=$NR$28,230&lt;=$NS$28),IF($NP$28="Single_Point",IF(230=$NR$28,$NN$28,0),IF($NP$28="Bell_Curve",$NN$28*(230-$NR$28+1)*($NS$28-230+1)/$NU$28,$NN$28/$NT$28)),0)</f>
        <v/>
      </c>
      <c r="IA28" s="228">
        <f>IF(AND(231&gt;=$NR$28,231&lt;=$NS$28),IF($NP$28="Single_Point",IF(231=$NR$28,$NN$28,0),IF($NP$28="Bell_Curve",$NN$28*(231-$NR$28+1)*($NS$28-231+1)/$NU$28,$NN$28/$NT$28)),0)</f>
        <v/>
      </c>
      <c r="IB28" s="228">
        <f>IF(AND(232&gt;=$NR$28,232&lt;=$NS$28),IF($NP$28="Single_Point",IF(232=$NR$28,$NN$28,0),IF($NP$28="Bell_Curve",$NN$28*(232-$NR$28+1)*($NS$28-232+1)/$NU$28,$NN$28/$NT$28)),0)</f>
        <v/>
      </c>
      <c r="IC28" s="228">
        <f>IF(AND(233&gt;=$NR$28,233&lt;=$NS$28),IF($NP$28="Single_Point",IF(233=$NR$28,$NN$28,0),IF($NP$28="Bell_Curve",$NN$28*(233-$NR$28+1)*($NS$28-233+1)/$NU$28,$NN$28/$NT$28)),0)</f>
        <v/>
      </c>
      <c r="ID28" s="228">
        <f>IF(AND(234&gt;=$NR$28,234&lt;=$NS$28),IF($NP$28="Single_Point",IF(234=$NR$28,$NN$28,0),IF($NP$28="Bell_Curve",$NN$28*(234-$NR$28+1)*($NS$28-234+1)/$NU$28,$NN$28/$NT$28)),0)</f>
        <v/>
      </c>
      <c r="IE28" s="228">
        <f>IF(AND(235&gt;=$NR$28,235&lt;=$NS$28),IF($NP$28="Single_Point",IF(235=$NR$28,$NN$28,0),IF($NP$28="Bell_Curve",$NN$28*(235-$NR$28+1)*($NS$28-235+1)/$NU$28,$NN$28/$NT$28)),0)</f>
        <v/>
      </c>
      <c r="IF28" s="228">
        <f>IF(AND(236&gt;=$NR$28,236&lt;=$NS$28),IF($NP$28="Single_Point",IF(236=$NR$28,$NN$28,0),IF($NP$28="Bell_Curve",$NN$28*(236-$NR$28+1)*($NS$28-236+1)/$NU$28,$NN$28/$NT$28)),0)</f>
        <v/>
      </c>
      <c r="IG28" s="228">
        <f>IF(AND(237&gt;=$NR$28,237&lt;=$NS$28),IF($NP$28="Single_Point",IF(237=$NR$28,$NN$28,0),IF($NP$28="Bell_Curve",$NN$28*(237-$NR$28+1)*($NS$28-237+1)/$NU$28,$NN$28/$NT$28)),0)</f>
        <v/>
      </c>
      <c r="IH28" s="228">
        <f>IF(AND(238&gt;=$NR$28,238&lt;=$NS$28),IF($NP$28="Single_Point",IF(238=$NR$28,$NN$28,0),IF($NP$28="Bell_Curve",$NN$28*(238-$NR$28+1)*($NS$28-238+1)/$NU$28,$NN$28/$NT$28)),0)</f>
        <v/>
      </c>
      <c r="II28" s="228">
        <f>IF(AND(239&gt;=$NR$28,239&lt;=$NS$28),IF($NP$28="Single_Point",IF(239=$NR$28,$NN$28,0),IF($NP$28="Bell_Curve",$NN$28*(239-$NR$28+1)*($NS$28-239+1)/$NU$28,$NN$28/$NT$28)),0)</f>
        <v/>
      </c>
      <c r="IJ28" s="228">
        <f>IF(AND(240&gt;=$NR$28,240&lt;=$NS$28),IF($NP$28="Single_Point",IF(240=$NR$28,$NN$28,0),IF($NP$28="Bell_Curve",$NN$28*(240-$NR$28+1)*($NS$28-240+1)/$NU$28,$NN$28/$NT$28)),0)</f>
        <v/>
      </c>
      <c r="IK28" s="228">
        <f>IF(AND(241&gt;=$NR$28,241&lt;=$NS$28),IF($NP$28="Single_Point",IF(241=$NR$28,$NN$28,0),IF($NP$28="Bell_Curve",$NN$28*(241-$NR$28+1)*($NS$28-241+1)/$NU$28,$NN$28/$NT$28)),0)</f>
        <v/>
      </c>
      <c r="IL28" s="228">
        <f>IF(AND(242&gt;=$NR$28,242&lt;=$NS$28),IF($NP$28="Single_Point",IF(242=$NR$28,$NN$28,0),IF($NP$28="Bell_Curve",$NN$28*(242-$NR$28+1)*($NS$28-242+1)/$NU$28,$NN$28/$NT$28)),0)</f>
        <v/>
      </c>
      <c r="IM28" s="228">
        <f>IF(AND(243&gt;=$NR$28,243&lt;=$NS$28),IF($NP$28="Single_Point",IF(243=$NR$28,$NN$28,0),IF($NP$28="Bell_Curve",$NN$28*(243-$NR$28+1)*($NS$28-243+1)/$NU$28,$NN$28/$NT$28)),0)</f>
        <v/>
      </c>
      <c r="IN28" s="228">
        <f>IF(AND(244&gt;=$NR$28,244&lt;=$NS$28),IF($NP$28="Single_Point",IF(244=$NR$28,$NN$28,0),IF($NP$28="Bell_Curve",$NN$28*(244-$NR$28+1)*($NS$28-244+1)/$NU$28,$NN$28/$NT$28)),0)</f>
        <v/>
      </c>
      <c r="IO28" s="228">
        <f>IF(AND(245&gt;=$NR$28,245&lt;=$NS$28),IF($NP$28="Single_Point",IF(245=$NR$28,$NN$28,0),IF($NP$28="Bell_Curve",$NN$28*(245-$NR$28+1)*($NS$28-245+1)/$NU$28,$NN$28/$NT$28)),0)</f>
        <v/>
      </c>
      <c r="IP28" s="228">
        <f>IF(AND(246&gt;=$NR$28,246&lt;=$NS$28),IF($NP$28="Single_Point",IF(246=$NR$28,$NN$28,0),IF($NP$28="Bell_Curve",$NN$28*(246-$NR$28+1)*($NS$28-246+1)/$NU$28,$NN$28/$NT$28)),0)</f>
        <v/>
      </c>
      <c r="IQ28" s="228">
        <f>IF(AND(247&gt;=$NR$28,247&lt;=$NS$28),IF($NP$28="Single_Point",IF(247=$NR$28,$NN$28,0),IF($NP$28="Bell_Curve",$NN$28*(247-$NR$28+1)*($NS$28-247+1)/$NU$28,$NN$28/$NT$28)),0)</f>
        <v/>
      </c>
      <c r="IR28" s="228">
        <f>IF(AND(248&gt;=$NR$28,248&lt;=$NS$28),IF($NP$28="Single_Point",IF(248=$NR$28,$NN$28,0),IF($NP$28="Bell_Curve",$NN$28*(248-$NR$28+1)*($NS$28-248+1)/$NU$28,$NN$28/$NT$28)),0)</f>
        <v/>
      </c>
      <c r="IS28" s="228">
        <f>IF(AND(249&gt;=$NR$28,249&lt;=$NS$28),IF($NP$28="Single_Point",IF(249=$NR$28,$NN$28,0),IF($NP$28="Bell_Curve",$NN$28*(249-$NR$28+1)*($NS$28-249+1)/$NU$28,$NN$28/$NT$28)),0)</f>
        <v/>
      </c>
      <c r="IT28" s="228">
        <f>IF(AND(250&gt;=$NR$28,250&lt;=$NS$28),IF($NP$28="Single_Point",IF(250=$NR$28,$NN$28,0),IF($NP$28="Bell_Curve",$NN$28*(250-$NR$28+1)*($NS$28-250+1)/$NU$28,$NN$28/$NT$28)),0)</f>
        <v/>
      </c>
      <c r="IU28" s="228">
        <f>IF(AND(251&gt;=$NR$28,251&lt;=$NS$28),IF($NP$28="Single_Point",IF(251=$NR$28,$NN$28,0),IF($NP$28="Bell_Curve",$NN$28*(251-$NR$28+1)*($NS$28-251+1)/$NU$28,$NN$28/$NT$28)),0)</f>
        <v/>
      </c>
      <c r="IV28" s="228">
        <f>IF(AND(252&gt;=$NR$28,252&lt;=$NS$28),IF($NP$28="Single_Point",IF(252=$NR$28,$NN$28,0),IF($NP$28="Bell_Curve",$NN$28*(252-$NR$28+1)*($NS$28-252+1)/$NU$28,$NN$28/$NT$28)),0)</f>
        <v/>
      </c>
      <c r="IW28" s="228">
        <f>IF(AND(253&gt;=$NR$28,253&lt;=$NS$28),IF($NP$28="Single_Point",IF(253=$NR$28,$NN$28,0),IF($NP$28="Bell_Curve",$NN$28*(253-$NR$28+1)*($NS$28-253+1)/$NU$28,$NN$28/$NT$28)),0)</f>
        <v/>
      </c>
      <c r="IX28" s="228">
        <f>IF(AND(254&gt;=$NR$28,254&lt;=$NS$28),IF($NP$28="Single_Point",IF(254=$NR$28,$NN$28,0),IF($NP$28="Bell_Curve",$NN$28*(254-$NR$28+1)*($NS$28-254+1)/$NU$28,$NN$28/$NT$28)),0)</f>
        <v/>
      </c>
      <c r="IY28" s="228">
        <f>IF(AND(255&gt;=$NR$28,255&lt;=$NS$28),IF($NP$28="Single_Point",IF(255=$NR$28,$NN$28,0),IF($NP$28="Bell_Curve",$NN$28*(255-$NR$28+1)*($NS$28-255+1)/$NU$28,$NN$28/$NT$28)),0)</f>
        <v/>
      </c>
      <c r="IZ28" s="228">
        <f>IF(AND(256&gt;=$NR$28,256&lt;=$NS$28),IF($NP$28="Single_Point",IF(256=$NR$28,$NN$28,0),IF($NP$28="Bell_Curve",$NN$28*(256-$NR$28+1)*($NS$28-256+1)/$NU$28,$NN$28/$NT$28)),0)</f>
        <v/>
      </c>
      <c r="JA28" s="228">
        <f>IF(AND(257&gt;=$NR$28,257&lt;=$NS$28),IF($NP$28="Single_Point",IF(257=$NR$28,$NN$28,0),IF($NP$28="Bell_Curve",$NN$28*(257-$NR$28+1)*($NS$28-257+1)/$NU$28,$NN$28/$NT$28)),0)</f>
        <v/>
      </c>
      <c r="JB28" s="228">
        <f>IF(AND(258&gt;=$NR$28,258&lt;=$NS$28),IF($NP$28="Single_Point",IF(258=$NR$28,$NN$28,0),IF($NP$28="Bell_Curve",$NN$28*(258-$NR$28+1)*($NS$28-258+1)/$NU$28,$NN$28/$NT$28)),0)</f>
        <v/>
      </c>
      <c r="JC28" s="228">
        <f>IF(AND(259&gt;=$NR$28,259&lt;=$NS$28),IF($NP$28="Single_Point",IF(259=$NR$28,$NN$28,0),IF($NP$28="Bell_Curve",$NN$28*(259-$NR$28+1)*($NS$28-259+1)/$NU$28,$NN$28/$NT$28)),0)</f>
        <v/>
      </c>
      <c r="JD28" s="228">
        <f>IF(AND(260&gt;=$NR$28,260&lt;=$NS$28),IF($NP$28="Single_Point",IF(260=$NR$28,$NN$28,0),IF($NP$28="Bell_Curve",$NN$28*(260-$NR$28+1)*($NS$28-260+1)/$NU$28,$NN$28/$NT$28)),0)</f>
        <v/>
      </c>
      <c r="JE28" s="228">
        <f>IF(AND(261&gt;=$NR$28,261&lt;=$NS$28),IF($NP$28="Single_Point",IF(261=$NR$28,$NN$28,0),IF($NP$28="Bell_Curve",$NN$28*(261-$NR$28+1)*($NS$28-261+1)/$NU$28,$NN$28/$NT$28)),0)</f>
        <v/>
      </c>
      <c r="JF28" s="228">
        <f>IF(AND(262&gt;=$NR$28,262&lt;=$NS$28),IF($NP$28="Single_Point",IF(262=$NR$28,$NN$28,0),IF($NP$28="Bell_Curve",$NN$28*(262-$NR$28+1)*($NS$28-262+1)/$NU$28,$NN$28/$NT$28)),0)</f>
        <v/>
      </c>
      <c r="JG28" s="228">
        <f>IF(AND(263&gt;=$NR$28,263&lt;=$NS$28),IF($NP$28="Single_Point",IF(263=$NR$28,$NN$28,0),IF($NP$28="Bell_Curve",$NN$28*(263-$NR$28+1)*($NS$28-263+1)/$NU$28,$NN$28/$NT$28)),0)</f>
        <v/>
      </c>
      <c r="JH28" s="228">
        <f>IF(AND(264&gt;=$NR$28,264&lt;=$NS$28),IF($NP$28="Single_Point",IF(264=$NR$28,$NN$28,0),IF($NP$28="Bell_Curve",$NN$28*(264-$NR$28+1)*($NS$28-264+1)/$NU$28,$NN$28/$NT$28)),0)</f>
        <v/>
      </c>
      <c r="JI28" s="228">
        <f>IF(AND(265&gt;=$NR$28,265&lt;=$NS$28),IF($NP$28="Single_Point",IF(265=$NR$28,$NN$28,0),IF($NP$28="Bell_Curve",$NN$28*(265-$NR$28+1)*($NS$28-265+1)/$NU$28,$NN$28/$NT$28)),0)</f>
        <v/>
      </c>
      <c r="JJ28" s="228">
        <f>IF(AND(266&gt;=$NR$28,266&lt;=$NS$28),IF($NP$28="Single_Point",IF(266=$NR$28,$NN$28,0),IF($NP$28="Bell_Curve",$NN$28*(266-$NR$28+1)*($NS$28-266+1)/$NU$28,$NN$28/$NT$28)),0)</f>
        <v/>
      </c>
      <c r="JK28" s="228">
        <f>IF(AND(267&gt;=$NR$28,267&lt;=$NS$28),IF($NP$28="Single_Point",IF(267=$NR$28,$NN$28,0),IF($NP$28="Bell_Curve",$NN$28*(267-$NR$28+1)*($NS$28-267+1)/$NU$28,$NN$28/$NT$28)),0)</f>
        <v/>
      </c>
      <c r="JL28" s="228">
        <f>IF(AND(268&gt;=$NR$28,268&lt;=$NS$28),IF($NP$28="Single_Point",IF(268=$NR$28,$NN$28,0),IF($NP$28="Bell_Curve",$NN$28*(268-$NR$28+1)*($NS$28-268+1)/$NU$28,$NN$28/$NT$28)),0)</f>
        <v/>
      </c>
      <c r="JM28" s="228">
        <f>IF(AND(269&gt;=$NR$28,269&lt;=$NS$28),IF($NP$28="Single_Point",IF(269=$NR$28,$NN$28,0),IF($NP$28="Bell_Curve",$NN$28*(269-$NR$28+1)*($NS$28-269+1)/$NU$28,$NN$28/$NT$28)),0)</f>
        <v/>
      </c>
      <c r="JN28" s="228">
        <f>IF(AND(270&gt;=$NR$28,270&lt;=$NS$28),IF($NP$28="Single_Point",IF(270=$NR$28,$NN$28,0),IF($NP$28="Bell_Curve",$NN$28*(270-$NR$28+1)*($NS$28-270+1)/$NU$28,$NN$28/$NT$28)),0)</f>
        <v/>
      </c>
      <c r="JO28" s="228">
        <f>IF(AND(271&gt;=$NR$28,271&lt;=$NS$28),IF($NP$28="Single_Point",IF(271=$NR$28,$NN$28,0),IF($NP$28="Bell_Curve",$NN$28*(271-$NR$28+1)*($NS$28-271+1)/$NU$28,$NN$28/$NT$28)),0)</f>
        <v/>
      </c>
      <c r="JP28" s="228">
        <f>IF(AND(272&gt;=$NR$28,272&lt;=$NS$28),IF($NP$28="Single_Point",IF(272=$NR$28,$NN$28,0),IF($NP$28="Bell_Curve",$NN$28*(272-$NR$28+1)*($NS$28-272+1)/$NU$28,$NN$28/$NT$28)),0)</f>
        <v/>
      </c>
      <c r="JQ28" s="228">
        <f>IF(AND(273&gt;=$NR$28,273&lt;=$NS$28),IF($NP$28="Single_Point",IF(273=$NR$28,$NN$28,0),IF($NP$28="Bell_Curve",$NN$28*(273-$NR$28+1)*($NS$28-273+1)/$NU$28,$NN$28/$NT$28)),0)</f>
        <v/>
      </c>
      <c r="JR28" s="228">
        <f>IF(AND(274&gt;=$NR$28,274&lt;=$NS$28),IF($NP$28="Single_Point",IF(274=$NR$28,$NN$28,0),IF($NP$28="Bell_Curve",$NN$28*(274-$NR$28+1)*($NS$28-274+1)/$NU$28,$NN$28/$NT$28)),0)</f>
        <v/>
      </c>
      <c r="JS28" s="228">
        <f>IF(AND(275&gt;=$NR$28,275&lt;=$NS$28),IF($NP$28="Single_Point",IF(275=$NR$28,$NN$28,0),IF($NP$28="Bell_Curve",$NN$28*(275-$NR$28+1)*($NS$28-275+1)/$NU$28,$NN$28/$NT$28)),0)</f>
        <v/>
      </c>
      <c r="JT28" s="228">
        <f>IF(AND(276&gt;=$NR$28,276&lt;=$NS$28),IF($NP$28="Single_Point",IF(276=$NR$28,$NN$28,0),IF($NP$28="Bell_Curve",$NN$28*(276-$NR$28+1)*($NS$28-276+1)/$NU$28,$NN$28/$NT$28)),0)</f>
        <v/>
      </c>
      <c r="JU28" s="228">
        <f>IF(AND(277&gt;=$NR$28,277&lt;=$NS$28),IF($NP$28="Single_Point",IF(277=$NR$28,$NN$28,0),IF($NP$28="Bell_Curve",$NN$28*(277-$NR$28+1)*($NS$28-277+1)/$NU$28,$NN$28/$NT$28)),0)</f>
        <v/>
      </c>
      <c r="JV28" s="228">
        <f>IF(AND(278&gt;=$NR$28,278&lt;=$NS$28),IF($NP$28="Single_Point",IF(278=$NR$28,$NN$28,0),IF($NP$28="Bell_Curve",$NN$28*(278-$NR$28+1)*($NS$28-278+1)/$NU$28,$NN$28/$NT$28)),0)</f>
        <v/>
      </c>
      <c r="JW28" s="228">
        <f>IF(AND(279&gt;=$NR$28,279&lt;=$NS$28),IF($NP$28="Single_Point",IF(279=$NR$28,$NN$28,0),IF($NP$28="Bell_Curve",$NN$28*(279-$NR$28+1)*($NS$28-279+1)/$NU$28,$NN$28/$NT$28)),0)</f>
        <v/>
      </c>
      <c r="JX28" s="228">
        <f>IF(AND(280&gt;=$NR$28,280&lt;=$NS$28),IF($NP$28="Single_Point",IF(280=$NR$28,$NN$28,0),IF($NP$28="Bell_Curve",$NN$28*(280-$NR$28+1)*($NS$28-280+1)/$NU$28,$NN$28/$NT$28)),0)</f>
        <v/>
      </c>
      <c r="JY28" s="228">
        <f>IF(AND(281&gt;=$NR$28,281&lt;=$NS$28),IF($NP$28="Single_Point",IF(281=$NR$28,$NN$28,0),IF($NP$28="Bell_Curve",$NN$28*(281-$NR$28+1)*($NS$28-281+1)/$NU$28,$NN$28/$NT$28)),0)</f>
        <v/>
      </c>
      <c r="JZ28" s="228">
        <f>IF(AND(282&gt;=$NR$28,282&lt;=$NS$28),IF($NP$28="Single_Point",IF(282=$NR$28,$NN$28,0),IF($NP$28="Bell_Curve",$NN$28*(282-$NR$28+1)*($NS$28-282+1)/$NU$28,$NN$28/$NT$28)),0)</f>
        <v/>
      </c>
      <c r="KA28" s="228">
        <f>IF(AND(283&gt;=$NR$28,283&lt;=$NS$28),IF($NP$28="Single_Point",IF(283=$NR$28,$NN$28,0),IF($NP$28="Bell_Curve",$NN$28*(283-$NR$28+1)*($NS$28-283+1)/$NU$28,$NN$28/$NT$28)),0)</f>
        <v/>
      </c>
      <c r="KB28" s="228">
        <f>IF(AND(284&gt;=$NR$28,284&lt;=$NS$28),IF($NP$28="Single_Point",IF(284=$NR$28,$NN$28,0),IF($NP$28="Bell_Curve",$NN$28*(284-$NR$28+1)*($NS$28-284+1)/$NU$28,$NN$28/$NT$28)),0)</f>
        <v/>
      </c>
      <c r="KC28" s="228">
        <f>IF(AND(285&gt;=$NR$28,285&lt;=$NS$28),IF($NP$28="Single_Point",IF(285=$NR$28,$NN$28,0),IF($NP$28="Bell_Curve",$NN$28*(285-$NR$28+1)*($NS$28-285+1)/$NU$28,$NN$28/$NT$28)),0)</f>
        <v/>
      </c>
      <c r="KD28" s="228">
        <f>IF(AND(286&gt;=$NR$28,286&lt;=$NS$28),IF($NP$28="Single_Point",IF(286=$NR$28,$NN$28,0),IF($NP$28="Bell_Curve",$NN$28*(286-$NR$28+1)*($NS$28-286+1)/$NU$28,$NN$28/$NT$28)),0)</f>
        <v/>
      </c>
      <c r="KE28" s="228">
        <f>IF(AND(287&gt;=$NR$28,287&lt;=$NS$28),IF($NP$28="Single_Point",IF(287=$NR$28,$NN$28,0),IF($NP$28="Bell_Curve",$NN$28*(287-$NR$28+1)*($NS$28-287+1)/$NU$28,$NN$28/$NT$28)),0)</f>
        <v/>
      </c>
      <c r="KF28" s="228">
        <f>IF(AND(288&gt;=$NR$28,288&lt;=$NS$28),IF($NP$28="Single_Point",IF(288=$NR$28,$NN$28,0),IF($NP$28="Bell_Curve",$NN$28*(288-$NR$28+1)*($NS$28-288+1)/$NU$28,$NN$28/$NT$28)),0)</f>
        <v/>
      </c>
      <c r="KG28" s="228">
        <f>IF(AND(289&gt;=$NR$28,289&lt;=$NS$28),IF($NP$28="Single_Point",IF(289=$NR$28,$NN$28,0),IF($NP$28="Bell_Curve",$NN$28*(289-$NR$28+1)*($NS$28-289+1)/$NU$28,$NN$28/$NT$28)),0)</f>
        <v/>
      </c>
      <c r="KH28" s="228">
        <f>IF(AND(290&gt;=$NR$28,290&lt;=$NS$28),IF($NP$28="Single_Point",IF(290=$NR$28,$NN$28,0),IF($NP$28="Bell_Curve",$NN$28*(290-$NR$28+1)*($NS$28-290+1)/$NU$28,$NN$28/$NT$28)),0)</f>
        <v/>
      </c>
      <c r="KI28" s="228">
        <f>IF(AND(291&gt;=$NR$28,291&lt;=$NS$28),IF($NP$28="Single_Point",IF(291=$NR$28,$NN$28,0),IF($NP$28="Bell_Curve",$NN$28*(291-$NR$28+1)*($NS$28-291+1)/$NU$28,$NN$28/$NT$28)),0)</f>
        <v/>
      </c>
      <c r="KJ28" s="228">
        <f>IF(AND(292&gt;=$NR$28,292&lt;=$NS$28),IF($NP$28="Single_Point",IF(292=$NR$28,$NN$28,0),IF($NP$28="Bell_Curve",$NN$28*(292-$NR$28+1)*($NS$28-292+1)/$NU$28,$NN$28/$NT$28)),0)</f>
        <v/>
      </c>
      <c r="KK28" s="228">
        <f>IF(AND(293&gt;=$NR$28,293&lt;=$NS$28),IF($NP$28="Single_Point",IF(293=$NR$28,$NN$28,0),IF($NP$28="Bell_Curve",$NN$28*(293-$NR$28+1)*($NS$28-293+1)/$NU$28,$NN$28/$NT$28)),0)</f>
        <v/>
      </c>
      <c r="KL28" s="228">
        <f>IF(AND(294&gt;=$NR$28,294&lt;=$NS$28),IF($NP$28="Single_Point",IF(294=$NR$28,$NN$28,0),IF($NP$28="Bell_Curve",$NN$28*(294-$NR$28+1)*($NS$28-294+1)/$NU$28,$NN$28/$NT$28)),0)</f>
        <v/>
      </c>
      <c r="KM28" s="228">
        <f>IF(AND(295&gt;=$NR$28,295&lt;=$NS$28),IF($NP$28="Single_Point",IF(295=$NR$28,$NN$28,0),IF($NP$28="Bell_Curve",$NN$28*(295-$NR$28+1)*($NS$28-295+1)/$NU$28,$NN$28/$NT$28)),0)</f>
        <v/>
      </c>
      <c r="KN28" s="228">
        <f>IF(AND(296&gt;=$NR$28,296&lt;=$NS$28),IF($NP$28="Single_Point",IF(296=$NR$28,$NN$28,0),IF($NP$28="Bell_Curve",$NN$28*(296-$NR$28+1)*($NS$28-296+1)/$NU$28,$NN$28/$NT$28)),0)</f>
        <v/>
      </c>
      <c r="KO28" s="228">
        <f>IF(AND(297&gt;=$NR$28,297&lt;=$NS$28),IF($NP$28="Single_Point",IF(297=$NR$28,$NN$28,0),IF($NP$28="Bell_Curve",$NN$28*(297-$NR$28+1)*($NS$28-297+1)/$NU$28,$NN$28/$NT$28)),0)</f>
        <v/>
      </c>
      <c r="KP28" s="228">
        <f>IF(AND(298&gt;=$NR$28,298&lt;=$NS$28),IF($NP$28="Single_Point",IF(298=$NR$28,$NN$28,0),IF($NP$28="Bell_Curve",$NN$28*(298-$NR$28+1)*($NS$28-298+1)/$NU$28,$NN$28/$NT$28)),0)</f>
        <v/>
      </c>
      <c r="KQ28" s="228">
        <f>IF(AND(299&gt;=$NR$28,299&lt;=$NS$28),IF($NP$28="Single_Point",IF(299=$NR$28,$NN$28,0),IF($NP$28="Bell_Curve",$NN$28*(299-$NR$28+1)*($NS$28-299+1)/$NU$28,$NN$28/$NT$28)),0)</f>
        <v/>
      </c>
      <c r="KR28" s="228">
        <f>IF(AND(300&gt;=$NR$28,300&lt;=$NS$28),IF($NP$28="Single_Point",IF(300=$NR$28,$NN$28,0),IF($NP$28="Bell_Curve",$NN$28*(300-$NR$28+1)*($NS$28-300+1)/$NU$28,$NN$28/$NT$28)),0)</f>
        <v/>
      </c>
      <c r="KS28" s="228">
        <f>IF(AND(301&gt;=$NR$28,301&lt;=$NS$28),IF($NP$28="Single_Point",IF(301=$NR$28,$NN$28,0),IF($NP$28="Bell_Curve",$NN$28*(301-$NR$28+1)*($NS$28-301+1)/$NU$28,$NN$28/$NT$28)),0)</f>
        <v/>
      </c>
      <c r="KT28" s="228">
        <f>IF(AND(302&gt;=$NR$28,302&lt;=$NS$28),IF($NP$28="Single_Point",IF(302=$NR$28,$NN$28,0),IF($NP$28="Bell_Curve",$NN$28*(302-$NR$28+1)*($NS$28-302+1)/$NU$28,$NN$28/$NT$28)),0)</f>
        <v/>
      </c>
      <c r="KU28" s="228">
        <f>IF(AND(303&gt;=$NR$28,303&lt;=$NS$28),IF($NP$28="Single_Point",IF(303=$NR$28,$NN$28,0),IF($NP$28="Bell_Curve",$NN$28*(303-$NR$28+1)*($NS$28-303+1)/$NU$28,$NN$28/$NT$28)),0)</f>
        <v/>
      </c>
      <c r="KV28" s="228">
        <f>IF(AND(304&gt;=$NR$28,304&lt;=$NS$28),IF($NP$28="Single_Point",IF(304=$NR$28,$NN$28,0),IF($NP$28="Bell_Curve",$NN$28*(304-$NR$28+1)*($NS$28-304+1)/$NU$28,$NN$28/$NT$28)),0)</f>
        <v/>
      </c>
      <c r="KW28" s="228">
        <f>IF(AND(305&gt;=$NR$28,305&lt;=$NS$28),IF($NP$28="Single_Point",IF(305=$NR$28,$NN$28,0),IF($NP$28="Bell_Curve",$NN$28*(305-$NR$28+1)*($NS$28-305+1)/$NU$28,$NN$28/$NT$28)),0)</f>
        <v/>
      </c>
      <c r="KX28" s="228">
        <f>IF(AND(306&gt;=$NR$28,306&lt;=$NS$28),IF($NP$28="Single_Point",IF(306=$NR$28,$NN$28,0),IF($NP$28="Bell_Curve",$NN$28*(306-$NR$28+1)*($NS$28-306+1)/$NU$28,$NN$28/$NT$28)),0)</f>
        <v/>
      </c>
      <c r="KY28" s="228">
        <f>IF(AND(307&gt;=$NR$28,307&lt;=$NS$28),IF($NP$28="Single_Point",IF(307=$NR$28,$NN$28,0),IF($NP$28="Bell_Curve",$NN$28*(307-$NR$28+1)*($NS$28-307+1)/$NU$28,$NN$28/$NT$28)),0)</f>
        <v/>
      </c>
      <c r="KZ28" s="228">
        <f>IF(AND(308&gt;=$NR$28,308&lt;=$NS$28),IF($NP$28="Single_Point",IF(308=$NR$28,$NN$28,0),IF($NP$28="Bell_Curve",$NN$28*(308-$NR$28+1)*($NS$28-308+1)/$NU$28,$NN$28/$NT$28)),0)</f>
        <v/>
      </c>
      <c r="LA28" s="228">
        <f>IF(AND(309&gt;=$NR$28,309&lt;=$NS$28),IF($NP$28="Single_Point",IF(309=$NR$28,$NN$28,0),IF($NP$28="Bell_Curve",$NN$28*(309-$NR$28+1)*($NS$28-309+1)/$NU$28,$NN$28/$NT$28)),0)</f>
        <v/>
      </c>
      <c r="LB28" s="228">
        <f>IF(AND(310&gt;=$NR$28,310&lt;=$NS$28),IF($NP$28="Single_Point",IF(310=$NR$28,$NN$28,0),IF($NP$28="Bell_Curve",$NN$28*(310-$NR$28+1)*($NS$28-310+1)/$NU$28,$NN$28/$NT$28)),0)</f>
        <v/>
      </c>
      <c r="LC28" s="228">
        <f>IF(AND(311&gt;=$NR$28,311&lt;=$NS$28),IF($NP$28="Single_Point",IF(311=$NR$28,$NN$28,0),IF($NP$28="Bell_Curve",$NN$28*(311-$NR$28+1)*($NS$28-311+1)/$NU$28,$NN$28/$NT$28)),0)</f>
        <v/>
      </c>
      <c r="LD28" s="228">
        <f>IF(AND(312&gt;=$NR$28,312&lt;=$NS$28),IF($NP$28="Single_Point",IF(312=$NR$28,$NN$28,0),IF($NP$28="Bell_Curve",$NN$28*(312-$NR$28+1)*($NS$28-312+1)/$NU$28,$NN$28/$NT$28)),0)</f>
        <v/>
      </c>
      <c r="LE28" s="228">
        <f>IF(AND(313&gt;=$NR$28,313&lt;=$NS$28),IF($NP$28="Single_Point",IF(313=$NR$28,$NN$28,0),IF($NP$28="Bell_Curve",$NN$28*(313-$NR$28+1)*($NS$28-313+1)/$NU$28,$NN$28/$NT$28)),0)</f>
        <v/>
      </c>
      <c r="LF28" s="228">
        <f>IF(AND(314&gt;=$NR$28,314&lt;=$NS$28),IF($NP$28="Single_Point",IF(314=$NR$28,$NN$28,0),IF($NP$28="Bell_Curve",$NN$28*(314-$NR$28+1)*($NS$28-314+1)/$NU$28,$NN$28/$NT$28)),0)</f>
        <v/>
      </c>
      <c r="LG28" s="228">
        <f>IF(AND(315&gt;=$NR$28,315&lt;=$NS$28),IF($NP$28="Single_Point",IF(315=$NR$28,$NN$28,0),IF($NP$28="Bell_Curve",$NN$28*(315-$NR$28+1)*($NS$28-315+1)/$NU$28,$NN$28/$NT$28)),0)</f>
        <v/>
      </c>
      <c r="LH28" s="228">
        <f>IF(AND(316&gt;=$NR$28,316&lt;=$NS$28),IF($NP$28="Single_Point",IF(316=$NR$28,$NN$28,0),IF($NP$28="Bell_Curve",$NN$28*(316-$NR$28+1)*($NS$28-316+1)/$NU$28,$NN$28/$NT$28)),0)</f>
        <v/>
      </c>
      <c r="LI28" s="228">
        <f>IF(AND(317&gt;=$NR$28,317&lt;=$NS$28),IF($NP$28="Single_Point",IF(317=$NR$28,$NN$28,0),IF($NP$28="Bell_Curve",$NN$28*(317-$NR$28+1)*($NS$28-317+1)/$NU$28,$NN$28/$NT$28)),0)</f>
        <v/>
      </c>
      <c r="LJ28" s="228">
        <f>IF(AND(318&gt;=$NR$28,318&lt;=$NS$28),IF($NP$28="Single_Point",IF(318=$NR$28,$NN$28,0),IF($NP$28="Bell_Curve",$NN$28*(318-$NR$28+1)*($NS$28-318+1)/$NU$28,$NN$28/$NT$28)),0)</f>
        <v/>
      </c>
      <c r="LK28" s="228">
        <f>IF(AND(319&gt;=$NR$28,319&lt;=$NS$28),IF($NP$28="Single_Point",IF(319=$NR$28,$NN$28,0),IF($NP$28="Bell_Curve",$NN$28*(319-$NR$28+1)*($NS$28-319+1)/$NU$28,$NN$28/$NT$28)),0)</f>
        <v/>
      </c>
      <c r="LL28" s="228">
        <f>IF(AND(320&gt;=$NR$28,320&lt;=$NS$28),IF($NP$28="Single_Point",IF(320=$NR$28,$NN$28,0),IF($NP$28="Bell_Curve",$NN$28*(320-$NR$28+1)*($NS$28-320+1)/$NU$28,$NN$28/$NT$28)),0)</f>
        <v/>
      </c>
      <c r="LM28" s="228">
        <f>IF(AND(321&gt;=$NR$28,321&lt;=$NS$28),IF($NP$28="Single_Point",IF(321=$NR$28,$NN$28,0),IF($NP$28="Bell_Curve",$NN$28*(321-$NR$28+1)*($NS$28-321+1)/$NU$28,$NN$28/$NT$28)),0)</f>
        <v/>
      </c>
      <c r="LN28" s="228">
        <f>IF(AND(322&gt;=$NR$28,322&lt;=$NS$28),IF($NP$28="Single_Point",IF(322=$NR$28,$NN$28,0),IF($NP$28="Bell_Curve",$NN$28*(322-$NR$28+1)*($NS$28-322+1)/$NU$28,$NN$28/$NT$28)),0)</f>
        <v/>
      </c>
      <c r="LO28" s="228">
        <f>IF(AND(323&gt;=$NR$28,323&lt;=$NS$28),IF($NP$28="Single_Point",IF(323=$NR$28,$NN$28,0),IF($NP$28="Bell_Curve",$NN$28*(323-$NR$28+1)*($NS$28-323+1)/$NU$28,$NN$28/$NT$28)),0)</f>
        <v/>
      </c>
      <c r="LP28" s="228">
        <f>IF(AND(324&gt;=$NR$28,324&lt;=$NS$28),IF($NP$28="Single_Point",IF(324=$NR$28,$NN$28,0),IF($NP$28="Bell_Curve",$NN$28*(324-$NR$28+1)*($NS$28-324+1)/$NU$28,$NN$28/$NT$28)),0)</f>
        <v/>
      </c>
      <c r="LQ28" s="228">
        <f>IF(AND(325&gt;=$NR$28,325&lt;=$NS$28),IF($NP$28="Single_Point",IF(325=$NR$28,$NN$28,0),IF($NP$28="Bell_Curve",$NN$28*(325-$NR$28+1)*($NS$28-325+1)/$NU$28,$NN$28/$NT$28)),0)</f>
        <v/>
      </c>
      <c r="LR28" s="228">
        <f>IF(AND(326&gt;=$NR$28,326&lt;=$NS$28),IF($NP$28="Single_Point",IF(326=$NR$28,$NN$28,0),IF($NP$28="Bell_Curve",$NN$28*(326-$NR$28+1)*($NS$28-326+1)/$NU$28,$NN$28/$NT$28)),0)</f>
        <v/>
      </c>
      <c r="LS28" s="228">
        <f>IF(AND(327&gt;=$NR$28,327&lt;=$NS$28),IF($NP$28="Single_Point",IF(327=$NR$28,$NN$28,0),IF($NP$28="Bell_Curve",$NN$28*(327-$NR$28+1)*($NS$28-327+1)/$NU$28,$NN$28/$NT$28)),0)</f>
        <v/>
      </c>
      <c r="LT28" s="228">
        <f>IF(AND(328&gt;=$NR$28,328&lt;=$NS$28),IF($NP$28="Single_Point",IF(328=$NR$28,$NN$28,0),IF($NP$28="Bell_Curve",$NN$28*(328-$NR$28+1)*($NS$28-328+1)/$NU$28,$NN$28/$NT$28)),0)</f>
        <v/>
      </c>
      <c r="LU28" s="228">
        <f>IF(AND(329&gt;=$NR$28,329&lt;=$NS$28),IF($NP$28="Single_Point",IF(329=$NR$28,$NN$28,0),IF($NP$28="Bell_Curve",$NN$28*(329-$NR$28+1)*($NS$28-329+1)/$NU$28,$NN$28/$NT$28)),0)</f>
        <v/>
      </c>
      <c r="LV28" s="228">
        <f>IF(AND(330&gt;=$NR$28,330&lt;=$NS$28),IF($NP$28="Single_Point",IF(330=$NR$28,$NN$28,0),IF($NP$28="Bell_Curve",$NN$28*(330-$NR$28+1)*($NS$28-330+1)/$NU$28,$NN$28/$NT$28)),0)</f>
        <v/>
      </c>
      <c r="LW28" s="228">
        <f>IF(AND(331&gt;=$NR$28,331&lt;=$NS$28),IF($NP$28="Single_Point",IF(331=$NR$28,$NN$28,0),IF($NP$28="Bell_Curve",$NN$28*(331-$NR$28+1)*($NS$28-331+1)/$NU$28,$NN$28/$NT$28)),0)</f>
        <v/>
      </c>
      <c r="LX28" s="228">
        <f>IF(AND(332&gt;=$NR$28,332&lt;=$NS$28),IF($NP$28="Single_Point",IF(332=$NR$28,$NN$28,0),IF($NP$28="Bell_Curve",$NN$28*(332-$NR$28+1)*($NS$28-332+1)/$NU$28,$NN$28/$NT$28)),0)</f>
        <v/>
      </c>
      <c r="LY28" s="228">
        <f>IF(AND(333&gt;=$NR$28,333&lt;=$NS$28),IF($NP$28="Single_Point",IF(333=$NR$28,$NN$28,0),IF($NP$28="Bell_Curve",$NN$28*(333-$NR$28+1)*($NS$28-333+1)/$NU$28,$NN$28/$NT$28)),0)</f>
        <v/>
      </c>
      <c r="LZ28" s="228">
        <f>IF(AND(334&gt;=$NR$28,334&lt;=$NS$28),IF($NP$28="Single_Point",IF(334=$NR$28,$NN$28,0),IF($NP$28="Bell_Curve",$NN$28*(334-$NR$28+1)*($NS$28-334+1)/$NU$28,$NN$28/$NT$28)),0)</f>
        <v/>
      </c>
      <c r="MA28" s="228">
        <f>IF(AND(335&gt;=$NR$28,335&lt;=$NS$28),IF($NP$28="Single_Point",IF(335=$NR$28,$NN$28,0),IF($NP$28="Bell_Curve",$NN$28*(335-$NR$28+1)*($NS$28-335+1)/$NU$28,$NN$28/$NT$28)),0)</f>
        <v/>
      </c>
      <c r="MB28" s="228">
        <f>IF(AND(336&gt;=$NR$28,336&lt;=$NS$28),IF($NP$28="Single_Point",IF(336=$NR$28,$NN$28,0),IF($NP$28="Bell_Curve",$NN$28*(336-$NR$28+1)*($NS$28-336+1)/$NU$28,$NN$28/$NT$28)),0)</f>
        <v/>
      </c>
      <c r="MC28" s="228">
        <f>IF(AND(337&gt;=$NR$28,337&lt;=$NS$28),IF($NP$28="Single_Point",IF(337=$NR$28,$NN$28,0),IF($NP$28="Bell_Curve",$NN$28*(337-$NR$28+1)*($NS$28-337+1)/$NU$28,$NN$28/$NT$28)),0)</f>
        <v/>
      </c>
      <c r="MD28" s="228">
        <f>IF(AND(338&gt;=$NR$28,338&lt;=$NS$28),IF($NP$28="Single_Point",IF(338=$NR$28,$NN$28,0),IF($NP$28="Bell_Curve",$NN$28*(338-$NR$28+1)*($NS$28-338+1)/$NU$28,$NN$28/$NT$28)),0)</f>
        <v/>
      </c>
      <c r="ME28" s="228">
        <f>IF(AND(339&gt;=$NR$28,339&lt;=$NS$28),IF($NP$28="Single_Point",IF(339=$NR$28,$NN$28,0),IF($NP$28="Bell_Curve",$NN$28*(339-$NR$28+1)*($NS$28-339+1)/$NU$28,$NN$28/$NT$28)),0)</f>
        <v/>
      </c>
      <c r="MF28" s="228">
        <f>IF(AND(340&gt;=$NR$28,340&lt;=$NS$28),IF($NP$28="Single_Point",IF(340=$NR$28,$NN$28,0),IF($NP$28="Bell_Curve",$NN$28*(340-$NR$28+1)*($NS$28-340+1)/$NU$28,$NN$28/$NT$28)),0)</f>
        <v/>
      </c>
      <c r="MG28" s="228">
        <f>IF(AND(341&gt;=$NR$28,341&lt;=$NS$28),IF($NP$28="Single_Point",IF(341=$NR$28,$NN$28,0),IF($NP$28="Bell_Curve",$NN$28*(341-$NR$28+1)*($NS$28-341+1)/$NU$28,$NN$28/$NT$28)),0)</f>
        <v/>
      </c>
      <c r="MH28" s="228">
        <f>IF(AND(342&gt;=$NR$28,342&lt;=$NS$28),IF($NP$28="Single_Point",IF(342=$NR$28,$NN$28,0),IF($NP$28="Bell_Curve",$NN$28*(342-$NR$28+1)*($NS$28-342+1)/$NU$28,$NN$28/$NT$28)),0)</f>
        <v/>
      </c>
      <c r="MI28" s="228">
        <f>IF(AND(343&gt;=$NR$28,343&lt;=$NS$28),IF($NP$28="Single_Point",IF(343=$NR$28,$NN$28,0),IF($NP$28="Bell_Curve",$NN$28*(343-$NR$28+1)*($NS$28-343+1)/$NU$28,$NN$28/$NT$28)),0)</f>
        <v/>
      </c>
      <c r="MJ28" s="228">
        <f>IF(AND(344&gt;=$NR$28,344&lt;=$NS$28),IF($NP$28="Single_Point",IF(344=$NR$28,$NN$28,0),IF($NP$28="Bell_Curve",$NN$28*(344-$NR$28+1)*($NS$28-344+1)/$NU$28,$NN$28/$NT$28)),0)</f>
        <v/>
      </c>
      <c r="MK28" s="228">
        <f>IF(AND(345&gt;=$NR$28,345&lt;=$NS$28),IF($NP$28="Single_Point",IF(345=$NR$28,$NN$28,0),IF($NP$28="Bell_Curve",$NN$28*(345-$NR$28+1)*($NS$28-345+1)/$NU$28,$NN$28/$NT$28)),0)</f>
        <v/>
      </c>
      <c r="ML28" s="228">
        <f>IF(AND(346&gt;=$NR$28,346&lt;=$NS$28),IF($NP$28="Single_Point",IF(346=$NR$28,$NN$28,0),IF($NP$28="Bell_Curve",$NN$28*(346-$NR$28+1)*($NS$28-346+1)/$NU$28,$NN$28/$NT$28)),0)</f>
        <v/>
      </c>
      <c r="MM28" s="228">
        <f>IF(AND(347&gt;=$NR$28,347&lt;=$NS$28),IF($NP$28="Single_Point",IF(347=$NR$28,$NN$28,0),IF($NP$28="Bell_Curve",$NN$28*(347-$NR$28+1)*($NS$28-347+1)/$NU$28,$NN$28/$NT$28)),0)</f>
        <v/>
      </c>
      <c r="MN28" s="228">
        <f>IF(AND(348&gt;=$NR$28,348&lt;=$NS$28),IF($NP$28="Single_Point",IF(348=$NR$28,$NN$28,0),IF($NP$28="Bell_Curve",$NN$28*(348-$NR$28+1)*($NS$28-348+1)/$NU$28,$NN$28/$NT$28)),0)</f>
        <v/>
      </c>
      <c r="MO28" s="228">
        <f>IF(AND(349&gt;=$NR$28,349&lt;=$NS$28),IF($NP$28="Single_Point",IF(349=$NR$28,$NN$28,0),IF($NP$28="Bell_Curve",$NN$28*(349-$NR$28+1)*($NS$28-349+1)/$NU$28,$NN$28/$NT$28)),0)</f>
        <v/>
      </c>
      <c r="MP28" s="228">
        <f>IF(AND(350&gt;=$NR$28,350&lt;=$NS$28),IF($NP$28="Single_Point",IF(350=$NR$28,$NN$28,0),IF($NP$28="Bell_Curve",$NN$28*(350-$NR$28+1)*($NS$28-350+1)/$NU$28,$NN$28/$NT$28)),0)</f>
        <v/>
      </c>
      <c r="MQ28" s="228">
        <f>IF(AND(351&gt;=$NR$28,351&lt;=$NS$28),IF($NP$28="Single_Point",IF(351=$NR$28,$NN$28,0),IF($NP$28="Bell_Curve",$NN$28*(351-$NR$28+1)*($NS$28-351+1)/$NU$28,$NN$28/$NT$28)),0)</f>
        <v/>
      </c>
      <c r="MR28" s="228">
        <f>IF(AND(352&gt;=$NR$28,352&lt;=$NS$28),IF($NP$28="Single_Point",IF(352=$NR$28,$NN$28,0),IF($NP$28="Bell_Curve",$NN$28*(352-$NR$28+1)*($NS$28-352+1)/$NU$28,$NN$28/$NT$28)),0)</f>
        <v/>
      </c>
      <c r="MS28" s="228">
        <f>IF(AND(353&gt;=$NR$28,353&lt;=$NS$28),IF($NP$28="Single_Point",IF(353=$NR$28,$NN$28,0),IF($NP$28="Bell_Curve",$NN$28*(353-$NR$28+1)*($NS$28-353+1)/$NU$28,$NN$28/$NT$28)),0)</f>
        <v/>
      </c>
      <c r="MT28" s="228">
        <f>IF(AND(354&gt;=$NR$28,354&lt;=$NS$28),IF($NP$28="Single_Point",IF(354=$NR$28,$NN$28,0),IF($NP$28="Bell_Curve",$NN$28*(354-$NR$28+1)*($NS$28-354+1)/$NU$28,$NN$28/$NT$28)),0)</f>
        <v/>
      </c>
      <c r="MU28" s="228">
        <f>IF(AND(355&gt;=$NR$28,355&lt;=$NS$28),IF($NP$28="Single_Point",IF(355=$NR$28,$NN$28,0),IF($NP$28="Bell_Curve",$NN$28*(355-$NR$28+1)*($NS$28-355+1)/$NU$28,$NN$28/$NT$28)),0)</f>
        <v/>
      </c>
      <c r="MV28" s="228">
        <f>IF(AND(356&gt;=$NR$28,356&lt;=$NS$28),IF($NP$28="Single_Point",IF(356=$NR$28,$NN$28,0),IF($NP$28="Bell_Curve",$NN$28*(356-$NR$28+1)*($NS$28-356+1)/$NU$28,$NN$28/$NT$28)),0)</f>
        <v/>
      </c>
      <c r="MW28" s="228">
        <f>IF(AND(357&gt;=$NR$28,357&lt;=$NS$28),IF($NP$28="Single_Point",IF(357=$NR$28,$NN$28,0),IF($NP$28="Bell_Curve",$NN$28*(357-$NR$28+1)*($NS$28-357+1)/$NU$28,$NN$28/$NT$28)),0)</f>
        <v/>
      </c>
      <c r="MX28" s="228">
        <f>IF(AND(358&gt;=$NR$28,358&lt;=$NS$28),IF($NP$28="Single_Point",IF(358=$NR$28,$NN$28,0),IF($NP$28="Bell_Curve",$NN$28*(358-$NR$28+1)*($NS$28-358+1)/$NU$28,$NN$28/$NT$28)),0)</f>
        <v/>
      </c>
      <c r="MY28" s="228">
        <f>IF(AND(359&gt;=$NR$28,359&lt;=$NS$28),IF($NP$28="Single_Point",IF(359=$NR$28,$NN$28,0),IF($NP$28="Bell_Curve",$NN$28*(359-$NR$28+1)*($NS$28-359+1)/$NU$28,$NN$28/$NT$28)),0)</f>
        <v/>
      </c>
      <c r="MZ28" s="228">
        <f>IF(AND(360&gt;=$NR$28,360&lt;=$NS$28),IF($NP$28="Single_Point",IF(360=$NR$28,$NN$28,0),IF($NP$28="Bell_Curve",$NN$28*(360-$NR$28+1)*($NS$28-360+1)/$NU$28,$NN$28/$NT$28)),0)</f>
        <v/>
      </c>
      <c r="NA28" s="228">
        <f>IF(AND(361&gt;=$NR$28,361&lt;=$NS$28),IF($NP$28="Single_Point",IF(361=$NR$28,$NN$28,0),IF($NP$28="Bell_Curve",$NN$28*(361-$NR$28+1)*($NS$28-361+1)/$NU$28,$NN$28/$NT$28)),0)</f>
        <v/>
      </c>
      <c r="NB28" s="228">
        <f>IF(AND(362&gt;=$NR$28,362&lt;=$NS$28),IF($NP$28="Single_Point",IF(362=$NR$28,$NN$28,0),IF($NP$28="Bell_Curve",$NN$28*(362-$NR$28+1)*($NS$28-362+1)/$NU$28,$NN$28/$NT$28)),0)</f>
        <v/>
      </c>
      <c r="NC28" s="228">
        <f>IF(AND(363&gt;=$NR$28,363&lt;=$NS$28),IF($NP$28="Single_Point",IF(363=$NR$28,$NN$28,0),IF($NP$28="Bell_Curve",$NN$28*(363-$NR$28+1)*($NS$28-363+1)/$NU$28,$NN$28/$NT$28)),0)</f>
        <v/>
      </c>
      <c r="ND28" s="228">
        <f>IF(AND(364&gt;=$NR$28,364&lt;=$NS$28),IF($NP$28="Single_Point",IF(364=$NR$28,$NN$28,0),IF($NP$28="Bell_Curve",$NN$28*(364-$NR$28+1)*($NS$28-364+1)/$NU$28,$NN$28/$NT$28)),0)</f>
        <v/>
      </c>
      <c r="NE28" s="228">
        <f>IF(AND(365&gt;=$NR$28,365&lt;=$NS$28),IF($NP$28="Single_Point",IF(365=$NR$28,$NN$28,0),IF($NP$28="Bell_Curve",$NN$28*(365-$NR$28+1)*($NS$28-365+1)/$NU$28,$NN$28/$NT$28)),0)</f>
        <v/>
      </c>
      <c r="NF28" s="228">
        <f>IF(AND(366&gt;=$NR$28,366&lt;=$NS$28),IF($NP$28="Single_Point",IF(366=$NR$28,$NN$28,0),IF($NP$28="Bell_Curve",$NN$28*(366-$NR$28+1)*($NS$28-366+1)/$NU$28,$NN$28/$NT$28)),0)</f>
        <v/>
      </c>
      <c r="NG28" s="228">
        <f>IF(AND(367&gt;=$NR$28,367&lt;=$NS$28),IF($NP$28="Single_Point",IF(367=$NR$28,$NN$28,0),IF($NP$28="Bell_Curve",$NN$28*(367-$NR$28+1)*($NS$28-367+1)/$NU$28,$NN$28/$NT$28)),0)</f>
        <v/>
      </c>
      <c r="NH28" s="228">
        <f>IF(AND(368&gt;=$NR$28,368&lt;=$NS$28),IF($NP$28="Single_Point",IF(368=$NR$28,$NN$28,0),IF($NP$28="Bell_Curve",$NN$28*(368-$NR$28+1)*($NS$28-368+1)/$NU$28,$NN$28/$NT$28)),0)</f>
        <v/>
      </c>
      <c r="NI28" s="228">
        <f>IF(AND(369&gt;=$NR$28,369&lt;=$NS$28),IF($NP$28="Single_Point",IF(369=$NR$28,$NN$28,0),IF($NP$28="Bell_Curve",$NN$28*(369-$NR$28+1)*($NS$28-369+1)/$NU$28,$NN$28/$NT$28)),0)</f>
        <v/>
      </c>
      <c r="NJ28" s="228">
        <f>IF(AND(370&gt;=$NR$28,370&lt;=$NS$28),IF($NP$28="Single_Point",IF(370=$NR$28,$NN$28,0),IF($NP$28="Bell_Curve",$NN$28*(370-$NR$28+1)*($NS$28-370+1)/$NU$28,$NN$28/$NT$28)),0)</f>
        <v/>
      </c>
      <c r="NK28" s="228">
        <f>IF(AND(371&gt;=$NR$28,371&lt;=$NS$28),IF($NP$28="Single_Point",IF(371=$NR$28,$NN$28,0),IF($NP$28="Bell_Curve",$NN$28*(371-$NR$28+1)*($NS$28-371+1)/$NU$28,$NN$28/$NT$28)),0)</f>
        <v/>
      </c>
      <c r="NL28" s="247">
        <f>IF(AND(372&gt;=$NR$28,372&lt;=$NS$28),IF($NP$28="Single_Point",IF(372=$NR$28,$NN$28,0),IF($NP$28="Bell_Curve",$NN$28*(372-$NR$28+1)*($NS$28-372+1)/$NU$28,$NN$28/$NT$28)),0)</f>
        <v/>
      </c>
      <c r="NN28" s="218">
        <f>Budget!J27</f>
        <v/>
      </c>
      <c r="NO28" s="144">
        <f>Budget!G27</f>
        <v/>
      </c>
      <c r="NP28" s="144">
        <f>Budget!H27</f>
        <v/>
      </c>
      <c r="NQ28" s="85">
        <f>Budget!I27</f>
        <v/>
      </c>
      <c r="NR28" s="248">
        <f>MAX(1,MIN(372,INDEX(MilestoneStart,MATCH(NO28,MilestoneNames,0))+NQ28))</f>
        <v/>
      </c>
      <c r="NS28" s="248">
        <f>MAX(NR28,MIN(372,INDEX(MilestoneEnd,MATCH(NO28,MilestoneNames,0))+NQ28))</f>
        <v/>
      </c>
      <c r="NT28" s="85">
        <f>NS28-NR28+1</f>
        <v/>
      </c>
      <c r="NU28" s="85">
        <f>NT28*(NT28+1)*(NT28+2)/6</f>
        <v/>
      </c>
    </row>
    <row r="29">
      <c r="B29" s="36" t="inlineStr">
        <is>
          <t>Other Hard Cost 3 - Signage</t>
        </is>
      </c>
      <c r="D29" s="246">
        <f>SUM(E29:NL29)</f>
        <v/>
      </c>
      <c r="E29" s="228">
        <f>IF(AND(1&gt;=$NR$29,1&lt;=$NS$29),IF($NP$29="Single_Point",IF(1=$NR$29,$NN$29,0),IF($NP$29="Bell_Curve",$NN$29*(1-$NR$29+1)*($NS$29-1+1)/$NU$29,$NN$29/$NT$29)),0)</f>
        <v/>
      </c>
      <c r="F29" s="228">
        <f>IF(AND(2&gt;=$NR$29,2&lt;=$NS$29),IF($NP$29="Single_Point",IF(2=$NR$29,$NN$29,0),IF($NP$29="Bell_Curve",$NN$29*(2-$NR$29+1)*($NS$29-2+1)/$NU$29,$NN$29/$NT$29)),0)</f>
        <v/>
      </c>
      <c r="G29" s="228">
        <f>IF(AND(3&gt;=$NR$29,3&lt;=$NS$29),IF($NP$29="Single_Point",IF(3=$NR$29,$NN$29,0),IF($NP$29="Bell_Curve",$NN$29*(3-$NR$29+1)*($NS$29-3+1)/$NU$29,$NN$29/$NT$29)),0)</f>
        <v/>
      </c>
      <c r="H29" s="228">
        <f>IF(AND(4&gt;=$NR$29,4&lt;=$NS$29),IF($NP$29="Single_Point",IF(4=$NR$29,$NN$29,0),IF($NP$29="Bell_Curve",$NN$29*(4-$NR$29+1)*($NS$29-4+1)/$NU$29,$NN$29/$NT$29)),0)</f>
        <v/>
      </c>
      <c r="I29" s="228">
        <f>IF(AND(5&gt;=$NR$29,5&lt;=$NS$29),IF($NP$29="Single_Point",IF(5=$NR$29,$NN$29,0),IF($NP$29="Bell_Curve",$NN$29*(5-$NR$29+1)*($NS$29-5+1)/$NU$29,$NN$29/$NT$29)),0)</f>
        <v/>
      </c>
      <c r="J29" s="228">
        <f>IF(AND(6&gt;=$NR$29,6&lt;=$NS$29),IF($NP$29="Single_Point",IF(6=$NR$29,$NN$29,0),IF($NP$29="Bell_Curve",$NN$29*(6-$NR$29+1)*($NS$29-6+1)/$NU$29,$NN$29/$NT$29)),0)</f>
        <v/>
      </c>
      <c r="K29" s="228">
        <f>IF(AND(7&gt;=$NR$29,7&lt;=$NS$29),IF($NP$29="Single_Point",IF(7=$NR$29,$NN$29,0),IF($NP$29="Bell_Curve",$NN$29*(7-$NR$29+1)*($NS$29-7+1)/$NU$29,$NN$29/$NT$29)),0)</f>
        <v/>
      </c>
      <c r="L29" s="228">
        <f>IF(AND(8&gt;=$NR$29,8&lt;=$NS$29),IF($NP$29="Single_Point",IF(8=$NR$29,$NN$29,0),IF($NP$29="Bell_Curve",$NN$29*(8-$NR$29+1)*($NS$29-8+1)/$NU$29,$NN$29/$NT$29)),0)</f>
        <v/>
      </c>
      <c r="M29" s="228">
        <f>IF(AND(9&gt;=$NR$29,9&lt;=$NS$29),IF($NP$29="Single_Point",IF(9=$NR$29,$NN$29,0),IF($NP$29="Bell_Curve",$NN$29*(9-$NR$29+1)*($NS$29-9+1)/$NU$29,$NN$29/$NT$29)),0)</f>
        <v/>
      </c>
      <c r="N29" s="228">
        <f>IF(AND(10&gt;=$NR$29,10&lt;=$NS$29),IF($NP$29="Single_Point",IF(10=$NR$29,$NN$29,0),IF($NP$29="Bell_Curve",$NN$29*(10-$NR$29+1)*($NS$29-10+1)/$NU$29,$NN$29/$NT$29)),0)</f>
        <v/>
      </c>
      <c r="O29" s="228">
        <f>IF(AND(11&gt;=$NR$29,11&lt;=$NS$29),IF($NP$29="Single_Point",IF(11=$NR$29,$NN$29,0),IF($NP$29="Bell_Curve",$NN$29*(11-$NR$29+1)*($NS$29-11+1)/$NU$29,$NN$29/$NT$29)),0)</f>
        <v/>
      </c>
      <c r="P29" s="228">
        <f>IF(AND(12&gt;=$NR$29,12&lt;=$NS$29),IF($NP$29="Single_Point",IF(12=$NR$29,$NN$29,0),IF($NP$29="Bell_Curve",$NN$29*(12-$NR$29+1)*($NS$29-12+1)/$NU$29,$NN$29/$NT$29)),0)</f>
        <v/>
      </c>
      <c r="Q29" s="228">
        <f>IF(AND(13&gt;=$NR$29,13&lt;=$NS$29),IF($NP$29="Single_Point",IF(13=$NR$29,$NN$29,0),IF($NP$29="Bell_Curve",$NN$29*(13-$NR$29+1)*($NS$29-13+1)/$NU$29,$NN$29/$NT$29)),0)</f>
        <v/>
      </c>
      <c r="R29" s="228">
        <f>IF(AND(14&gt;=$NR$29,14&lt;=$NS$29),IF($NP$29="Single_Point",IF(14=$NR$29,$NN$29,0),IF($NP$29="Bell_Curve",$NN$29*(14-$NR$29+1)*($NS$29-14+1)/$NU$29,$NN$29/$NT$29)),0)</f>
        <v/>
      </c>
      <c r="S29" s="228">
        <f>IF(AND(15&gt;=$NR$29,15&lt;=$NS$29),IF($NP$29="Single_Point",IF(15=$NR$29,$NN$29,0),IF($NP$29="Bell_Curve",$NN$29*(15-$NR$29+1)*($NS$29-15+1)/$NU$29,$NN$29/$NT$29)),0)</f>
        <v/>
      </c>
      <c r="T29" s="228">
        <f>IF(AND(16&gt;=$NR$29,16&lt;=$NS$29),IF($NP$29="Single_Point",IF(16=$NR$29,$NN$29,0),IF($NP$29="Bell_Curve",$NN$29*(16-$NR$29+1)*($NS$29-16+1)/$NU$29,$NN$29/$NT$29)),0)</f>
        <v/>
      </c>
      <c r="U29" s="228">
        <f>IF(AND(17&gt;=$NR$29,17&lt;=$NS$29),IF($NP$29="Single_Point",IF(17=$NR$29,$NN$29,0),IF($NP$29="Bell_Curve",$NN$29*(17-$NR$29+1)*($NS$29-17+1)/$NU$29,$NN$29/$NT$29)),0)</f>
        <v/>
      </c>
      <c r="V29" s="228">
        <f>IF(AND(18&gt;=$NR$29,18&lt;=$NS$29),IF($NP$29="Single_Point",IF(18=$NR$29,$NN$29,0),IF($NP$29="Bell_Curve",$NN$29*(18-$NR$29+1)*($NS$29-18+1)/$NU$29,$NN$29/$NT$29)),0)</f>
        <v/>
      </c>
      <c r="W29" s="228">
        <f>IF(AND(19&gt;=$NR$29,19&lt;=$NS$29),IF($NP$29="Single_Point",IF(19=$NR$29,$NN$29,0),IF($NP$29="Bell_Curve",$NN$29*(19-$NR$29+1)*($NS$29-19+1)/$NU$29,$NN$29/$NT$29)),0)</f>
        <v/>
      </c>
      <c r="X29" s="228">
        <f>IF(AND(20&gt;=$NR$29,20&lt;=$NS$29),IF($NP$29="Single_Point",IF(20=$NR$29,$NN$29,0),IF($NP$29="Bell_Curve",$NN$29*(20-$NR$29+1)*($NS$29-20+1)/$NU$29,$NN$29/$NT$29)),0)</f>
        <v/>
      </c>
      <c r="Y29" s="228">
        <f>IF(AND(21&gt;=$NR$29,21&lt;=$NS$29),IF($NP$29="Single_Point",IF(21=$NR$29,$NN$29,0),IF($NP$29="Bell_Curve",$NN$29*(21-$NR$29+1)*($NS$29-21+1)/$NU$29,$NN$29/$NT$29)),0)</f>
        <v/>
      </c>
      <c r="Z29" s="228">
        <f>IF(AND(22&gt;=$NR$29,22&lt;=$NS$29),IF($NP$29="Single_Point",IF(22=$NR$29,$NN$29,0),IF($NP$29="Bell_Curve",$NN$29*(22-$NR$29+1)*($NS$29-22+1)/$NU$29,$NN$29/$NT$29)),0)</f>
        <v/>
      </c>
      <c r="AA29" s="228">
        <f>IF(AND(23&gt;=$NR$29,23&lt;=$NS$29),IF($NP$29="Single_Point",IF(23=$NR$29,$NN$29,0),IF($NP$29="Bell_Curve",$NN$29*(23-$NR$29+1)*($NS$29-23+1)/$NU$29,$NN$29/$NT$29)),0)</f>
        <v/>
      </c>
      <c r="AB29" s="228">
        <f>IF(AND(24&gt;=$NR$29,24&lt;=$NS$29),IF($NP$29="Single_Point",IF(24=$NR$29,$NN$29,0),IF($NP$29="Bell_Curve",$NN$29*(24-$NR$29+1)*($NS$29-24+1)/$NU$29,$NN$29/$NT$29)),0)</f>
        <v/>
      </c>
      <c r="AC29" s="228">
        <f>IF(AND(25&gt;=$NR$29,25&lt;=$NS$29),IF($NP$29="Single_Point",IF(25=$NR$29,$NN$29,0),IF($NP$29="Bell_Curve",$NN$29*(25-$NR$29+1)*($NS$29-25+1)/$NU$29,$NN$29/$NT$29)),0)</f>
        <v/>
      </c>
      <c r="AD29" s="228">
        <f>IF(AND(26&gt;=$NR$29,26&lt;=$NS$29),IF($NP$29="Single_Point",IF(26=$NR$29,$NN$29,0),IF($NP$29="Bell_Curve",$NN$29*(26-$NR$29+1)*($NS$29-26+1)/$NU$29,$NN$29/$NT$29)),0)</f>
        <v/>
      </c>
      <c r="AE29" s="228">
        <f>IF(AND(27&gt;=$NR$29,27&lt;=$NS$29),IF($NP$29="Single_Point",IF(27=$NR$29,$NN$29,0),IF($NP$29="Bell_Curve",$NN$29*(27-$NR$29+1)*($NS$29-27+1)/$NU$29,$NN$29/$NT$29)),0)</f>
        <v/>
      </c>
      <c r="AF29" s="228">
        <f>IF(AND(28&gt;=$NR$29,28&lt;=$NS$29),IF($NP$29="Single_Point",IF(28=$NR$29,$NN$29,0),IF($NP$29="Bell_Curve",$NN$29*(28-$NR$29+1)*($NS$29-28+1)/$NU$29,$NN$29/$NT$29)),0)</f>
        <v/>
      </c>
      <c r="AG29" s="228">
        <f>IF(AND(29&gt;=$NR$29,29&lt;=$NS$29),IF($NP$29="Single_Point",IF(29=$NR$29,$NN$29,0),IF($NP$29="Bell_Curve",$NN$29*(29-$NR$29+1)*($NS$29-29+1)/$NU$29,$NN$29/$NT$29)),0)</f>
        <v/>
      </c>
      <c r="AH29" s="228">
        <f>IF(AND(30&gt;=$NR$29,30&lt;=$NS$29),IF($NP$29="Single_Point",IF(30=$NR$29,$NN$29,0),IF($NP$29="Bell_Curve",$NN$29*(30-$NR$29+1)*($NS$29-30+1)/$NU$29,$NN$29/$NT$29)),0)</f>
        <v/>
      </c>
      <c r="AI29" s="228">
        <f>IF(AND(31&gt;=$NR$29,31&lt;=$NS$29),IF($NP$29="Single_Point",IF(31=$NR$29,$NN$29,0),IF($NP$29="Bell_Curve",$NN$29*(31-$NR$29+1)*($NS$29-31+1)/$NU$29,$NN$29/$NT$29)),0)</f>
        <v/>
      </c>
      <c r="AJ29" s="228">
        <f>IF(AND(32&gt;=$NR$29,32&lt;=$NS$29),IF($NP$29="Single_Point",IF(32=$NR$29,$NN$29,0),IF($NP$29="Bell_Curve",$NN$29*(32-$NR$29+1)*($NS$29-32+1)/$NU$29,$NN$29/$NT$29)),0)</f>
        <v/>
      </c>
      <c r="AK29" s="228">
        <f>IF(AND(33&gt;=$NR$29,33&lt;=$NS$29),IF($NP$29="Single_Point",IF(33=$NR$29,$NN$29,0),IF($NP$29="Bell_Curve",$NN$29*(33-$NR$29+1)*($NS$29-33+1)/$NU$29,$NN$29/$NT$29)),0)</f>
        <v/>
      </c>
      <c r="AL29" s="228">
        <f>IF(AND(34&gt;=$NR$29,34&lt;=$NS$29),IF($NP$29="Single_Point",IF(34=$NR$29,$NN$29,0),IF($NP$29="Bell_Curve",$NN$29*(34-$NR$29+1)*($NS$29-34+1)/$NU$29,$NN$29/$NT$29)),0)</f>
        <v/>
      </c>
      <c r="AM29" s="228">
        <f>IF(AND(35&gt;=$NR$29,35&lt;=$NS$29),IF($NP$29="Single_Point",IF(35=$NR$29,$NN$29,0),IF($NP$29="Bell_Curve",$NN$29*(35-$NR$29+1)*($NS$29-35+1)/$NU$29,$NN$29/$NT$29)),0)</f>
        <v/>
      </c>
      <c r="AN29" s="228">
        <f>IF(AND(36&gt;=$NR$29,36&lt;=$NS$29),IF($NP$29="Single_Point",IF(36=$NR$29,$NN$29,0),IF($NP$29="Bell_Curve",$NN$29*(36-$NR$29+1)*($NS$29-36+1)/$NU$29,$NN$29/$NT$29)),0)</f>
        <v/>
      </c>
      <c r="AO29" s="228">
        <f>IF(AND(37&gt;=$NR$29,37&lt;=$NS$29),IF($NP$29="Single_Point",IF(37=$NR$29,$NN$29,0),IF($NP$29="Bell_Curve",$NN$29*(37-$NR$29+1)*($NS$29-37+1)/$NU$29,$NN$29/$NT$29)),0)</f>
        <v/>
      </c>
      <c r="AP29" s="228">
        <f>IF(AND(38&gt;=$NR$29,38&lt;=$NS$29),IF($NP$29="Single_Point",IF(38=$NR$29,$NN$29,0),IF($NP$29="Bell_Curve",$NN$29*(38-$NR$29+1)*($NS$29-38+1)/$NU$29,$NN$29/$NT$29)),0)</f>
        <v/>
      </c>
      <c r="AQ29" s="228">
        <f>IF(AND(39&gt;=$NR$29,39&lt;=$NS$29),IF($NP$29="Single_Point",IF(39=$NR$29,$NN$29,0),IF($NP$29="Bell_Curve",$NN$29*(39-$NR$29+1)*($NS$29-39+1)/$NU$29,$NN$29/$NT$29)),0)</f>
        <v/>
      </c>
      <c r="AR29" s="228">
        <f>IF(AND(40&gt;=$NR$29,40&lt;=$NS$29),IF($NP$29="Single_Point",IF(40=$NR$29,$NN$29,0),IF($NP$29="Bell_Curve",$NN$29*(40-$NR$29+1)*($NS$29-40+1)/$NU$29,$NN$29/$NT$29)),0)</f>
        <v/>
      </c>
      <c r="AS29" s="228">
        <f>IF(AND(41&gt;=$NR$29,41&lt;=$NS$29),IF($NP$29="Single_Point",IF(41=$NR$29,$NN$29,0),IF($NP$29="Bell_Curve",$NN$29*(41-$NR$29+1)*($NS$29-41+1)/$NU$29,$NN$29/$NT$29)),0)</f>
        <v/>
      </c>
      <c r="AT29" s="228">
        <f>IF(AND(42&gt;=$NR$29,42&lt;=$NS$29),IF($NP$29="Single_Point",IF(42=$NR$29,$NN$29,0),IF($NP$29="Bell_Curve",$NN$29*(42-$NR$29+1)*($NS$29-42+1)/$NU$29,$NN$29/$NT$29)),0)</f>
        <v/>
      </c>
      <c r="AU29" s="228">
        <f>IF(AND(43&gt;=$NR$29,43&lt;=$NS$29),IF($NP$29="Single_Point",IF(43=$NR$29,$NN$29,0),IF($NP$29="Bell_Curve",$NN$29*(43-$NR$29+1)*($NS$29-43+1)/$NU$29,$NN$29/$NT$29)),0)</f>
        <v/>
      </c>
      <c r="AV29" s="228">
        <f>IF(AND(44&gt;=$NR$29,44&lt;=$NS$29),IF($NP$29="Single_Point",IF(44=$NR$29,$NN$29,0),IF($NP$29="Bell_Curve",$NN$29*(44-$NR$29+1)*($NS$29-44+1)/$NU$29,$NN$29/$NT$29)),0)</f>
        <v/>
      </c>
      <c r="AW29" s="228">
        <f>IF(AND(45&gt;=$NR$29,45&lt;=$NS$29),IF($NP$29="Single_Point",IF(45=$NR$29,$NN$29,0),IF($NP$29="Bell_Curve",$NN$29*(45-$NR$29+1)*($NS$29-45+1)/$NU$29,$NN$29/$NT$29)),0)</f>
        <v/>
      </c>
      <c r="AX29" s="228">
        <f>IF(AND(46&gt;=$NR$29,46&lt;=$NS$29),IF($NP$29="Single_Point",IF(46=$NR$29,$NN$29,0),IF($NP$29="Bell_Curve",$NN$29*(46-$NR$29+1)*($NS$29-46+1)/$NU$29,$NN$29/$NT$29)),0)</f>
        <v/>
      </c>
      <c r="AY29" s="228">
        <f>IF(AND(47&gt;=$NR$29,47&lt;=$NS$29),IF($NP$29="Single_Point",IF(47=$NR$29,$NN$29,0),IF($NP$29="Bell_Curve",$NN$29*(47-$NR$29+1)*($NS$29-47+1)/$NU$29,$NN$29/$NT$29)),0)</f>
        <v/>
      </c>
      <c r="AZ29" s="228">
        <f>IF(AND(48&gt;=$NR$29,48&lt;=$NS$29),IF($NP$29="Single_Point",IF(48=$NR$29,$NN$29,0),IF($NP$29="Bell_Curve",$NN$29*(48-$NR$29+1)*($NS$29-48+1)/$NU$29,$NN$29/$NT$29)),0)</f>
        <v/>
      </c>
      <c r="BA29" s="228">
        <f>IF(AND(49&gt;=$NR$29,49&lt;=$NS$29),IF($NP$29="Single_Point",IF(49=$NR$29,$NN$29,0),IF($NP$29="Bell_Curve",$NN$29*(49-$NR$29+1)*($NS$29-49+1)/$NU$29,$NN$29/$NT$29)),0)</f>
        <v/>
      </c>
      <c r="BB29" s="228">
        <f>IF(AND(50&gt;=$NR$29,50&lt;=$NS$29),IF($NP$29="Single_Point",IF(50=$NR$29,$NN$29,0),IF($NP$29="Bell_Curve",$NN$29*(50-$NR$29+1)*($NS$29-50+1)/$NU$29,$NN$29/$NT$29)),0)</f>
        <v/>
      </c>
      <c r="BC29" s="228">
        <f>IF(AND(51&gt;=$NR$29,51&lt;=$NS$29),IF($NP$29="Single_Point",IF(51=$NR$29,$NN$29,0),IF($NP$29="Bell_Curve",$NN$29*(51-$NR$29+1)*($NS$29-51+1)/$NU$29,$NN$29/$NT$29)),0)</f>
        <v/>
      </c>
      <c r="BD29" s="228">
        <f>IF(AND(52&gt;=$NR$29,52&lt;=$NS$29),IF($NP$29="Single_Point",IF(52=$NR$29,$NN$29,0),IF($NP$29="Bell_Curve",$NN$29*(52-$NR$29+1)*($NS$29-52+1)/$NU$29,$NN$29/$NT$29)),0)</f>
        <v/>
      </c>
      <c r="BE29" s="228">
        <f>IF(AND(53&gt;=$NR$29,53&lt;=$NS$29),IF($NP$29="Single_Point",IF(53=$NR$29,$NN$29,0),IF($NP$29="Bell_Curve",$NN$29*(53-$NR$29+1)*($NS$29-53+1)/$NU$29,$NN$29/$NT$29)),0)</f>
        <v/>
      </c>
      <c r="BF29" s="228">
        <f>IF(AND(54&gt;=$NR$29,54&lt;=$NS$29),IF($NP$29="Single_Point",IF(54=$NR$29,$NN$29,0),IF($NP$29="Bell_Curve",$NN$29*(54-$NR$29+1)*($NS$29-54+1)/$NU$29,$NN$29/$NT$29)),0)</f>
        <v/>
      </c>
      <c r="BG29" s="228">
        <f>IF(AND(55&gt;=$NR$29,55&lt;=$NS$29),IF($NP$29="Single_Point",IF(55=$NR$29,$NN$29,0),IF($NP$29="Bell_Curve",$NN$29*(55-$NR$29+1)*($NS$29-55+1)/$NU$29,$NN$29/$NT$29)),0)</f>
        <v/>
      </c>
      <c r="BH29" s="228">
        <f>IF(AND(56&gt;=$NR$29,56&lt;=$NS$29),IF($NP$29="Single_Point",IF(56=$NR$29,$NN$29,0),IF($NP$29="Bell_Curve",$NN$29*(56-$NR$29+1)*($NS$29-56+1)/$NU$29,$NN$29/$NT$29)),0)</f>
        <v/>
      </c>
      <c r="BI29" s="228">
        <f>IF(AND(57&gt;=$NR$29,57&lt;=$NS$29),IF($NP$29="Single_Point",IF(57=$NR$29,$NN$29,0),IF($NP$29="Bell_Curve",$NN$29*(57-$NR$29+1)*($NS$29-57+1)/$NU$29,$NN$29/$NT$29)),0)</f>
        <v/>
      </c>
      <c r="BJ29" s="228">
        <f>IF(AND(58&gt;=$NR$29,58&lt;=$NS$29),IF($NP$29="Single_Point",IF(58=$NR$29,$NN$29,0),IF($NP$29="Bell_Curve",$NN$29*(58-$NR$29+1)*($NS$29-58+1)/$NU$29,$NN$29/$NT$29)),0)</f>
        <v/>
      </c>
      <c r="BK29" s="228">
        <f>IF(AND(59&gt;=$NR$29,59&lt;=$NS$29),IF($NP$29="Single_Point",IF(59=$NR$29,$NN$29,0),IF($NP$29="Bell_Curve",$NN$29*(59-$NR$29+1)*($NS$29-59+1)/$NU$29,$NN$29/$NT$29)),0)</f>
        <v/>
      </c>
      <c r="BL29" s="228">
        <f>IF(AND(60&gt;=$NR$29,60&lt;=$NS$29),IF($NP$29="Single_Point",IF(60=$NR$29,$NN$29,0),IF($NP$29="Bell_Curve",$NN$29*(60-$NR$29+1)*($NS$29-60+1)/$NU$29,$NN$29/$NT$29)),0)</f>
        <v/>
      </c>
      <c r="BM29" s="228">
        <f>IF(AND(61&gt;=$NR$29,61&lt;=$NS$29),IF($NP$29="Single_Point",IF(61=$NR$29,$NN$29,0),IF($NP$29="Bell_Curve",$NN$29*(61-$NR$29+1)*($NS$29-61+1)/$NU$29,$NN$29/$NT$29)),0)</f>
        <v/>
      </c>
      <c r="BN29" s="228">
        <f>IF(AND(62&gt;=$NR$29,62&lt;=$NS$29),IF($NP$29="Single_Point",IF(62=$NR$29,$NN$29,0),IF($NP$29="Bell_Curve",$NN$29*(62-$NR$29+1)*($NS$29-62+1)/$NU$29,$NN$29/$NT$29)),0)</f>
        <v/>
      </c>
      <c r="BO29" s="228">
        <f>IF(AND(63&gt;=$NR$29,63&lt;=$NS$29),IF($NP$29="Single_Point",IF(63=$NR$29,$NN$29,0),IF($NP$29="Bell_Curve",$NN$29*(63-$NR$29+1)*($NS$29-63+1)/$NU$29,$NN$29/$NT$29)),0)</f>
        <v/>
      </c>
      <c r="BP29" s="228">
        <f>IF(AND(64&gt;=$NR$29,64&lt;=$NS$29),IF($NP$29="Single_Point",IF(64=$NR$29,$NN$29,0),IF($NP$29="Bell_Curve",$NN$29*(64-$NR$29+1)*($NS$29-64+1)/$NU$29,$NN$29/$NT$29)),0)</f>
        <v/>
      </c>
      <c r="BQ29" s="228">
        <f>IF(AND(65&gt;=$NR$29,65&lt;=$NS$29),IF($NP$29="Single_Point",IF(65=$NR$29,$NN$29,0),IF($NP$29="Bell_Curve",$NN$29*(65-$NR$29+1)*($NS$29-65+1)/$NU$29,$NN$29/$NT$29)),0)</f>
        <v/>
      </c>
      <c r="BR29" s="228">
        <f>IF(AND(66&gt;=$NR$29,66&lt;=$NS$29),IF($NP$29="Single_Point",IF(66=$NR$29,$NN$29,0),IF($NP$29="Bell_Curve",$NN$29*(66-$NR$29+1)*($NS$29-66+1)/$NU$29,$NN$29/$NT$29)),0)</f>
        <v/>
      </c>
      <c r="BS29" s="228">
        <f>IF(AND(67&gt;=$NR$29,67&lt;=$NS$29),IF($NP$29="Single_Point",IF(67=$NR$29,$NN$29,0),IF($NP$29="Bell_Curve",$NN$29*(67-$NR$29+1)*($NS$29-67+1)/$NU$29,$NN$29/$NT$29)),0)</f>
        <v/>
      </c>
      <c r="BT29" s="228">
        <f>IF(AND(68&gt;=$NR$29,68&lt;=$NS$29),IF($NP$29="Single_Point",IF(68=$NR$29,$NN$29,0),IF($NP$29="Bell_Curve",$NN$29*(68-$NR$29+1)*($NS$29-68+1)/$NU$29,$NN$29/$NT$29)),0)</f>
        <v/>
      </c>
      <c r="BU29" s="228">
        <f>IF(AND(69&gt;=$NR$29,69&lt;=$NS$29),IF($NP$29="Single_Point",IF(69=$NR$29,$NN$29,0),IF($NP$29="Bell_Curve",$NN$29*(69-$NR$29+1)*($NS$29-69+1)/$NU$29,$NN$29/$NT$29)),0)</f>
        <v/>
      </c>
      <c r="BV29" s="228">
        <f>IF(AND(70&gt;=$NR$29,70&lt;=$NS$29),IF($NP$29="Single_Point",IF(70=$NR$29,$NN$29,0),IF($NP$29="Bell_Curve",$NN$29*(70-$NR$29+1)*($NS$29-70+1)/$NU$29,$NN$29/$NT$29)),0)</f>
        <v/>
      </c>
      <c r="BW29" s="228">
        <f>IF(AND(71&gt;=$NR$29,71&lt;=$NS$29),IF($NP$29="Single_Point",IF(71=$NR$29,$NN$29,0),IF($NP$29="Bell_Curve",$NN$29*(71-$NR$29+1)*($NS$29-71+1)/$NU$29,$NN$29/$NT$29)),0)</f>
        <v/>
      </c>
      <c r="BX29" s="228">
        <f>IF(AND(72&gt;=$NR$29,72&lt;=$NS$29),IF($NP$29="Single_Point",IF(72=$NR$29,$NN$29,0),IF($NP$29="Bell_Curve",$NN$29*(72-$NR$29+1)*($NS$29-72+1)/$NU$29,$NN$29/$NT$29)),0)</f>
        <v/>
      </c>
      <c r="BY29" s="228">
        <f>IF(AND(73&gt;=$NR$29,73&lt;=$NS$29),IF($NP$29="Single_Point",IF(73=$NR$29,$NN$29,0),IF($NP$29="Bell_Curve",$NN$29*(73-$NR$29+1)*($NS$29-73+1)/$NU$29,$NN$29/$NT$29)),0)</f>
        <v/>
      </c>
      <c r="BZ29" s="228">
        <f>IF(AND(74&gt;=$NR$29,74&lt;=$NS$29),IF($NP$29="Single_Point",IF(74=$NR$29,$NN$29,0),IF($NP$29="Bell_Curve",$NN$29*(74-$NR$29+1)*($NS$29-74+1)/$NU$29,$NN$29/$NT$29)),0)</f>
        <v/>
      </c>
      <c r="CA29" s="228">
        <f>IF(AND(75&gt;=$NR$29,75&lt;=$NS$29),IF($NP$29="Single_Point",IF(75=$NR$29,$NN$29,0),IF($NP$29="Bell_Curve",$NN$29*(75-$NR$29+1)*($NS$29-75+1)/$NU$29,$NN$29/$NT$29)),0)</f>
        <v/>
      </c>
      <c r="CB29" s="228">
        <f>IF(AND(76&gt;=$NR$29,76&lt;=$NS$29),IF($NP$29="Single_Point",IF(76=$NR$29,$NN$29,0),IF($NP$29="Bell_Curve",$NN$29*(76-$NR$29+1)*($NS$29-76+1)/$NU$29,$NN$29/$NT$29)),0)</f>
        <v/>
      </c>
      <c r="CC29" s="228">
        <f>IF(AND(77&gt;=$NR$29,77&lt;=$NS$29),IF($NP$29="Single_Point",IF(77=$NR$29,$NN$29,0),IF($NP$29="Bell_Curve",$NN$29*(77-$NR$29+1)*($NS$29-77+1)/$NU$29,$NN$29/$NT$29)),0)</f>
        <v/>
      </c>
      <c r="CD29" s="228">
        <f>IF(AND(78&gt;=$NR$29,78&lt;=$NS$29),IF($NP$29="Single_Point",IF(78=$NR$29,$NN$29,0),IF($NP$29="Bell_Curve",$NN$29*(78-$NR$29+1)*($NS$29-78+1)/$NU$29,$NN$29/$NT$29)),0)</f>
        <v/>
      </c>
      <c r="CE29" s="228">
        <f>IF(AND(79&gt;=$NR$29,79&lt;=$NS$29),IF($NP$29="Single_Point",IF(79=$NR$29,$NN$29,0),IF($NP$29="Bell_Curve",$NN$29*(79-$NR$29+1)*($NS$29-79+1)/$NU$29,$NN$29/$NT$29)),0)</f>
        <v/>
      </c>
      <c r="CF29" s="228">
        <f>IF(AND(80&gt;=$NR$29,80&lt;=$NS$29),IF($NP$29="Single_Point",IF(80=$NR$29,$NN$29,0),IF($NP$29="Bell_Curve",$NN$29*(80-$NR$29+1)*($NS$29-80+1)/$NU$29,$NN$29/$NT$29)),0)</f>
        <v/>
      </c>
      <c r="CG29" s="228">
        <f>IF(AND(81&gt;=$NR$29,81&lt;=$NS$29),IF($NP$29="Single_Point",IF(81=$NR$29,$NN$29,0),IF($NP$29="Bell_Curve",$NN$29*(81-$NR$29+1)*($NS$29-81+1)/$NU$29,$NN$29/$NT$29)),0)</f>
        <v/>
      </c>
      <c r="CH29" s="228">
        <f>IF(AND(82&gt;=$NR$29,82&lt;=$NS$29),IF($NP$29="Single_Point",IF(82=$NR$29,$NN$29,0),IF($NP$29="Bell_Curve",$NN$29*(82-$NR$29+1)*($NS$29-82+1)/$NU$29,$NN$29/$NT$29)),0)</f>
        <v/>
      </c>
      <c r="CI29" s="228">
        <f>IF(AND(83&gt;=$NR$29,83&lt;=$NS$29),IF($NP$29="Single_Point",IF(83=$NR$29,$NN$29,0),IF($NP$29="Bell_Curve",$NN$29*(83-$NR$29+1)*($NS$29-83+1)/$NU$29,$NN$29/$NT$29)),0)</f>
        <v/>
      </c>
      <c r="CJ29" s="228">
        <f>IF(AND(84&gt;=$NR$29,84&lt;=$NS$29),IF($NP$29="Single_Point",IF(84=$NR$29,$NN$29,0),IF($NP$29="Bell_Curve",$NN$29*(84-$NR$29+1)*($NS$29-84+1)/$NU$29,$NN$29/$NT$29)),0)</f>
        <v/>
      </c>
      <c r="CK29" s="228">
        <f>IF(AND(85&gt;=$NR$29,85&lt;=$NS$29),IF($NP$29="Single_Point",IF(85=$NR$29,$NN$29,0),IF($NP$29="Bell_Curve",$NN$29*(85-$NR$29+1)*($NS$29-85+1)/$NU$29,$NN$29/$NT$29)),0)</f>
        <v/>
      </c>
      <c r="CL29" s="228">
        <f>IF(AND(86&gt;=$NR$29,86&lt;=$NS$29),IF($NP$29="Single_Point",IF(86=$NR$29,$NN$29,0),IF($NP$29="Bell_Curve",$NN$29*(86-$NR$29+1)*($NS$29-86+1)/$NU$29,$NN$29/$NT$29)),0)</f>
        <v/>
      </c>
      <c r="CM29" s="228">
        <f>IF(AND(87&gt;=$NR$29,87&lt;=$NS$29),IF($NP$29="Single_Point",IF(87=$NR$29,$NN$29,0),IF($NP$29="Bell_Curve",$NN$29*(87-$NR$29+1)*($NS$29-87+1)/$NU$29,$NN$29/$NT$29)),0)</f>
        <v/>
      </c>
      <c r="CN29" s="228">
        <f>IF(AND(88&gt;=$NR$29,88&lt;=$NS$29),IF($NP$29="Single_Point",IF(88=$NR$29,$NN$29,0),IF($NP$29="Bell_Curve",$NN$29*(88-$NR$29+1)*($NS$29-88+1)/$NU$29,$NN$29/$NT$29)),0)</f>
        <v/>
      </c>
      <c r="CO29" s="228">
        <f>IF(AND(89&gt;=$NR$29,89&lt;=$NS$29),IF($NP$29="Single_Point",IF(89=$NR$29,$NN$29,0),IF($NP$29="Bell_Curve",$NN$29*(89-$NR$29+1)*($NS$29-89+1)/$NU$29,$NN$29/$NT$29)),0)</f>
        <v/>
      </c>
      <c r="CP29" s="228">
        <f>IF(AND(90&gt;=$NR$29,90&lt;=$NS$29),IF($NP$29="Single_Point",IF(90=$NR$29,$NN$29,0),IF($NP$29="Bell_Curve",$NN$29*(90-$NR$29+1)*($NS$29-90+1)/$NU$29,$NN$29/$NT$29)),0)</f>
        <v/>
      </c>
      <c r="CQ29" s="228">
        <f>IF(AND(91&gt;=$NR$29,91&lt;=$NS$29),IF($NP$29="Single_Point",IF(91=$NR$29,$NN$29,0),IF($NP$29="Bell_Curve",$NN$29*(91-$NR$29+1)*($NS$29-91+1)/$NU$29,$NN$29/$NT$29)),0)</f>
        <v/>
      </c>
      <c r="CR29" s="228">
        <f>IF(AND(92&gt;=$NR$29,92&lt;=$NS$29),IF($NP$29="Single_Point",IF(92=$NR$29,$NN$29,0),IF($NP$29="Bell_Curve",$NN$29*(92-$NR$29+1)*($NS$29-92+1)/$NU$29,$NN$29/$NT$29)),0)</f>
        <v/>
      </c>
      <c r="CS29" s="228">
        <f>IF(AND(93&gt;=$NR$29,93&lt;=$NS$29),IF($NP$29="Single_Point",IF(93=$NR$29,$NN$29,0),IF($NP$29="Bell_Curve",$NN$29*(93-$NR$29+1)*($NS$29-93+1)/$NU$29,$NN$29/$NT$29)),0)</f>
        <v/>
      </c>
      <c r="CT29" s="228">
        <f>IF(AND(94&gt;=$NR$29,94&lt;=$NS$29),IF($NP$29="Single_Point",IF(94=$NR$29,$NN$29,0),IF($NP$29="Bell_Curve",$NN$29*(94-$NR$29+1)*($NS$29-94+1)/$NU$29,$NN$29/$NT$29)),0)</f>
        <v/>
      </c>
      <c r="CU29" s="228">
        <f>IF(AND(95&gt;=$NR$29,95&lt;=$NS$29),IF($NP$29="Single_Point",IF(95=$NR$29,$NN$29,0),IF($NP$29="Bell_Curve",$NN$29*(95-$NR$29+1)*($NS$29-95+1)/$NU$29,$NN$29/$NT$29)),0)</f>
        <v/>
      </c>
      <c r="CV29" s="228">
        <f>IF(AND(96&gt;=$NR$29,96&lt;=$NS$29),IF($NP$29="Single_Point",IF(96=$NR$29,$NN$29,0),IF($NP$29="Bell_Curve",$NN$29*(96-$NR$29+1)*($NS$29-96+1)/$NU$29,$NN$29/$NT$29)),0)</f>
        <v/>
      </c>
      <c r="CW29" s="228">
        <f>IF(AND(97&gt;=$NR$29,97&lt;=$NS$29),IF($NP$29="Single_Point",IF(97=$NR$29,$NN$29,0),IF($NP$29="Bell_Curve",$NN$29*(97-$NR$29+1)*($NS$29-97+1)/$NU$29,$NN$29/$NT$29)),0)</f>
        <v/>
      </c>
      <c r="CX29" s="228">
        <f>IF(AND(98&gt;=$NR$29,98&lt;=$NS$29),IF($NP$29="Single_Point",IF(98=$NR$29,$NN$29,0),IF($NP$29="Bell_Curve",$NN$29*(98-$NR$29+1)*($NS$29-98+1)/$NU$29,$NN$29/$NT$29)),0)</f>
        <v/>
      </c>
      <c r="CY29" s="228">
        <f>IF(AND(99&gt;=$NR$29,99&lt;=$NS$29),IF($NP$29="Single_Point",IF(99=$NR$29,$NN$29,0),IF($NP$29="Bell_Curve",$NN$29*(99-$NR$29+1)*($NS$29-99+1)/$NU$29,$NN$29/$NT$29)),0)</f>
        <v/>
      </c>
      <c r="CZ29" s="228">
        <f>IF(AND(100&gt;=$NR$29,100&lt;=$NS$29),IF($NP$29="Single_Point",IF(100=$NR$29,$NN$29,0),IF($NP$29="Bell_Curve",$NN$29*(100-$NR$29+1)*($NS$29-100+1)/$NU$29,$NN$29/$NT$29)),0)</f>
        <v/>
      </c>
      <c r="DA29" s="228">
        <f>IF(AND(101&gt;=$NR$29,101&lt;=$NS$29),IF($NP$29="Single_Point",IF(101=$NR$29,$NN$29,0),IF($NP$29="Bell_Curve",$NN$29*(101-$NR$29+1)*($NS$29-101+1)/$NU$29,$NN$29/$NT$29)),0)</f>
        <v/>
      </c>
      <c r="DB29" s="228">
        <f>IF(AND(102&gt;=$NR$29,102&lt;=$NS$29),IF($NP$29="Single_Point",IF(102=$NR$29,$NN$29,0),IF($NP$29="Bell_Curve",$NN$29*(102-$NR$29+1)*($NS$29-102+1)/$NU$29,$NN$29/$NT$29)),0)</f>
        <v/>
      </c>
      <c r="DC29" s="228">
        <f>IF(AND(103&gt;=$NR$29,103&lt;=$NS$29),IF($NP$29="Single_Point",IF(103=$NR$29,$NN$29,0),IF($NP$29="Bell_Curve",$NN$29*(103-$NR$29+1)*($NS$29-103+1)/$NU$29,$NN$29/$NT$29)),0)</f>
        <v/>
      </c>
      <c r="DD29" s="228">
        <f>IF(AND(104&gt;=$NR$29,104&lt;=$NS$29),IF($NP$29="Single_Point",IF(104=$NR$29,$NN$29,0),IF($NP$29="Bell_Curve",$NN$29*(104-$NR$29+1)*($NS$29-104+1)/$NU$29,$NN$29/$NT$29)),0)</f>
        <v/>
      </c>
      <c r="DE29" s="228">
        <f>IF(AND(105&gt;=$NR$29,105&lt;=$NS$29),IF($NP$29="Single_Point",IF(105=$NR$29,$NN$29,0),IF($NP$29="Bell_Curve",$NN$29*(105-$NR$29+1)*($NS$29-105+1)/$NU$29,$NN$29/$NT$29)),0)</f>
        <v/>
      </c>
      <c r="DF29" s="228">
        <f>IF(AND(106&gt;=$NR$29,106&lt;=$NS$29),IF($NP$29="Single_Point",IF(106=$NR$29,$NN$29,0),IF($NP$29="Bell_Curve",$NN$29*(106-$NR$29+1)*($NS$29-106+1)/$NU$29,$NN$29/$NT$29)),0)</f>
        <v/>
      </c>
      <c r="DG29" s="228">
        <f>IF(AND(107&gt;=$NR$29,107&lt;=$NS$29),IF($NP$29="Single_Point",IF(107=$NR$29,$NN$29,0),IF($NP$29="Bell_Curve",$NN$29*(107-$NR$29+1)*($NS$29-107+1)/$NU$29,$NN$29/$NT$29)),0)</f>
        <v/>
      </c>
      <c r="DH29" s="228">
        <f>IF(AND(108&gt;=$NR$29,108&lt;=$NS$29),IF($NP$29="Single_Point",IF(108=$NR$29,$NN$29,0),IF($NP$29="Bell_Curve",$NN$29*(108-$NR$29+1)*($NS$29-108+1)/$NU$29,$NN$29/$NT$29)),0)</f>
        <v/>
      </c>
      <c r="DI29" s="228">
        <f>IF(AND(109&gt;=$NR$29,109&lt;=$NS$29),IF($NP$29="Single_Point",IF(109=$NR$29,$NN$29,0),IF($NP$29="Bell_Curve",$NN$29*(109-$NR$29+1)*($NS$29-109+1)/$NU$29,$NN$29/$NT$29)),0)</f>
        <v/>
      </c>
      <c r="DJ29" s="228">
        <f>IF(AND(110&gt;=$NR$29,110&lt;=$NS$29),IF($NP$29="Single_Point",IF(110=$NR$29,$NN$29,0),IF($NP$29="Bell_Curve",$NN$29*(110-$NR$29+1)*($NS$29-110+1)/$NU$29,$NN$29/$NT$29)),0)</f>
        <v/>
      </c>
      <c r="DK29" s="228">
        <f>IF(AND(111&gt;=$NR$29,111&lt;=$NS$29),IF($NP$29="Single_Point",IF(111=$NR$29,$NN$29,0),IF($NP$29="Bell_Curve",$NN$29*(111-$NR$29+1)*($NS$29-111+1)/$NU$29,$NN$29/$NT$29)),0)</f>
        <v/>
      </c>
      <c r="DL29" s="228">
        <f>IF(AND(112&gt;=$NR$29,112&lt;=$NS$29),IF($NP$29="Single_Point",IF(112=$NR$29,$NN$29,0),IF($NP$29="Bell_Curve",$NN$29*(112-$NR$29+1)*($NS$29-112+1)/$NU$29,$NN$29/$NT$29)),0)</f>
        <v/>
      </c>
      <c r="DM29" s="228">
        <f>IF(AND(113&gt;=$NR$29,113&lt;=$NS$29),IF($NP$29="Single_Point",IF(113=$NR$29,$NN$29,0),IF($NP$29="Bell_Curve",$NN$29*(113-$NR$29+1)*($NS$29-113+1)/$NU$29,$NN$29/$NT$29)),0)</f>
        <v/>
      </c>
      <c r="DN29" s="228">
        <f>IF(AND(114&gt;=$NR$29,114&lt;=$NS$29),IF($NP$29="Single_Point",IF(114=$NR$29,$NN$29,0),IF($NP$29="Bell_Curve",$NN$29*(114-$NR$29+1)*($NS$29-114+1)/$NU$29,$NN$29/$NT$29)),0)</f>
        <v/>
      </c>
      <c r="DO29" s="228">
        <f>IF(AND(115&gt;=$NR$29,115&lt;=$NS$29),IF($NP$29="Single_Point",IF(115=$NR$29,$NN$29,0),IF($NP$29="Bell_Curve",$NN$29*(115-$NR$29+1)*($NS$29-115+1)/$NU$29,$NN$29/$NT$29)),0)</f>
        <v/>
      </c>
      <c r="DP29" s="228">
        <f>IF(AND(116&gt;=$NR$29,116&lt;=$NS$29),IF($NP$29="Single_Point",IF(116=$NR$29,$NN$29,0),IF($NP$29="Bell_Curve",$NN$29*(116-$NR$29+1)*($NS$29-116+1)/$NU$29,$NN$29/$NT$29)),0)</f>
        <v/>
      </c>
      <c r="DQ29" s="228">
        <f>IF(AND(117&gt;=$NR$29,117&lt;=$NS$29),IF($NP$29="Single_Point",IF(117=$NR$29,$NN$29,0),IF($NP$29="Bell_Curve",$NN$29*(117-$NR$29+1)*($NS$29-117+1)/$NU$29,$NN$29/$NT$29)),0)</f>
        <v/>
      </c>
      <c r="DR29" s="228">
        <f>IF(AND(118&gt;=$NR$29,118&lt;=$NS$29),IF($NP$29="Single_Point",IF(118=$NR$29,$NN$29,0),IF($NP$29="Bell_Curve",$NN$29*(118-$NR$29+1)*($NS$29-118+1)/$NU$29,$NN$29/$NT$29)),0)</f>
        <v/>
      </c>
      <c r="DS29" s="228">
        <f>IF(AND(119&gt;=$NR$29,119&lt;=$NS$29),IF($NP$29="Single_Point",IF(119=$NR$29,$NN$29,0),IF($NP$29="Bell_Curve",$NN$29*(119-$NR$29+1)*($NS$29-119+1)/$NU$29,$NN$29/$NT$29)),0)</f>
        <v/>
      </c>
      <c r="DT29" s="228">
        <f>IF(AND(120&gt;=$NR$29,120&lt;=$NS$29),IF($NP$29="Single_Point",IF(120=$NR$29,$NN$29,0),IF($NP$29="Bell_Curve",$NN$29*(120-$NR$29+1)*($NS$29-120+1)/$NU$29,$NN$29/$NT$29)),0)</f>
        <v/>
      </c>
      <c r="DU29" s="228">
        <f>IF(AND(121&gt;=$NR$29,121&lt;=$NS$29),IF($NP$29="Single_Point",IF(121=$NR$29,$NN$29,0),IF($NP$29="Bell_Curve",$NN$29*(121-$NR$29+1)*($NS$29-121+1)/$NU$29,$NN$29/$NT$29)),0)</f>
        <v/>
      </c>
      <c r="DV29" s="228">
        <f>IF(AND(122&gt;=$NR$29,122&lt;=$NS$29),IF($NP$29="Single_Point",IF(122=$NR$29,$NN$29,0),IF($NP$29="Bell_Curve",$NN$29*(122-$NR$29+1)*($NS$29-122+1)/$NU$29,$NN$29/$NT$29)),0)</f>
        <v/>
      </c>
      <c r="DW29" s="228">
        <f>IF(AND(123&gt;=$NR$29,123&lt;=$NS$29),IF($NP$29="Single_Point",IF(123=$NR$29,$NN$29,0),IF($NP$29="Bell_Curve",$NN$29*(123-$NR$29+1)*($NS$29-123+1)/$NU$29,$NN$29/$NT$29)),0)</f>
        <v/>
      </c>
      <c r="DX29" s="228">
        <f>IF(AND(124&gt;=$NR$29,124&lt;=$NS$29),IF($NP$29="Single_Point",IF(124=$NR$29,$NN$29,0),IF($NP$29="Bell_Curve",$NN$29*(124-$NR$29+1)*($NS$29-124+1)/$NU$29,$NN$29/$NT$29)),0)</f>
        <v/>
      </c>
      <c r="DY29" s="228">
        <f>IF(AND(125&gt;=$NR$29,125&lt;=$NS$29),IF($NP$29="Single_Point",IF(125=$NR$29,$NN$29,0),IF($NP$29="Bell_Curve",$NN$29*(125-$NR$29+1)*($NS$29-125+1)/$NU$29,$NN$29/$NT$29)),0)</f>
        <v/>
      </c>
      <c r="DZ29" s="228">
        <f>IF(AND(126&gt;=$NR$29,126&lt;=$NS$29),IF($NP$29="Single_Point",IF(126=$NR$29,$NN$29,0),IF($NP$29="Bell_Curve",$NN$29*(126-$NR$29+1)*($NS$29-126+1)/$NU$29,$NN$29/$NT$29)),0)</f>
        <v/>
      </c>
      <c r="EA29" s="228">
        <f>IF(AND(127&gt;=$NR$29,127&lt;=$NS$29),IF($NP$29="Single_Point",IF(127=$NR$29,$NN$29,0),IF($NP$29="Bell_Curve",$NN$29*(127-$NR$29+1)*($NS$29-127+1)/$NU$29,$NN$29/$NT$29)),0)</f>
        <v/>
      </c>
      <c r="EB29" s="228">
        <f>IF(AND(128&gt;=$NR$29,128&lt;=$NS$29),IF($NP$29="Single_Point",IF(128=$NR$29,$NN$29,0),IF($NP$29="Bell_Curve",$NN$29*(128-$NR$29+1)*($NS$29-128+1)/$NU$29,$NN$29/$NT$29)),0)</f>
        <v/>
      </c>
      <c r="EC29" s="228">
        <f>IF(AND(129&gt;=$NR$29,129&lt;=$NS$29),IF($NP$29="Single_Point",IF(129=$NR$29,$NN$29,0),IF($NP$29="Bell_Curve",$NN$29*(129-$NR$29+1)*($NS$29-129+1)/$NU$29,$NN$29/$NT$29)),0)</f>
        <v/>
      </c>
      <c r="ED29" s="228">
        <f>IF(AND(130&gt;=$NR$29,130&lt;=$NS$29),IF($NP$29="Single_Point",IF(130=$NR$29,$NN$29,0),IF($NP$29="Bell_Curve",$NN$29*(130-$NR$29+1)*($NS$29-130+1)/$NU$29,$NN$29/$NT$29)),0)</f>
        <v/>
      </c>
      <c r="EE29" s="228">
        <f>IF(AND(131&gt;=$NR$29,131&lt;=$NS$29),IF($NP$29="Single_Point",IF(131=$NR$29,$NN$29,0),IF($NP$29="Bell_Curve",$NN$29*(131-$NR$29+1)*($NS$29-131+1)/$NU$29,$NN$29/$NT$29)),0)</f>
        <v/>
      </c>
      <c r="EF29" s="228">
        <f>IF(AND(132&gt;=$NR$29,132&lt;=$NS$29),IF($NP$29="Single_Point",IF(132=$NR$29,$NN$29,0),IF($NP$29="Bell_Curve",$NN$29*(132-$NR$29+1)*($NS$29-132+1)/$NU$29,$NN$29/$NT$29)),0)</f>
        <v/>
      </c>
      <c r="EG29" s="228">
        <f>IF(AND(133&gt;=$NR$29,133&lt;=$NS$29),IF($NP$29="Single_Point",IF(133=$NR$29,$NN$29,0),IF($NP$29="Bell_Curve",$NN$29*(133-$NR$29+1)*($NS$29-133+1)/$NU$29,$NN$29/$NT$29)),0)</f>
        <v/>
      </c>
      <c r="EH29" s="228">
        <f>IF(AND(134&gt;=$NR$29,134&lt;=$NS$29),IF($NP$29="Single_Point",IF(134=$NR$29,$NN$29,0),IF($NP$29="Bell_Curve",$NN$29*(134-$NR$29+1)*($NS$29-134+1)/$NU$29,$NN$29/$NT$29)),0)</f>
        <v/>
      </c>
      <c r="EI29" s="228">
        <f>IF(AND(135&gt;=$NR$29,135&lt;=$NS$29),IF($NP$29="Single_Point",IF(135=$NR$29,$NN$29,0),IF($NP$29="Bell_Curve",$NN$29*(135-$NR$29+1)*($NS$29-135+1)/$NU$29,$NN$29/$NT$29)),0)</f>
        <v/>
      </c>
      <c r="EJ29" s="228">
        <f>IF(AND(136&gt;=$NR$29,136&lt;=$NS$29),IF($NP$29="Single_Point",IF(136=$NR$29,$NN$29,0),IF($NP$29="Bell_Curve",$NN$29*(136-$NR$29+1)*($NS$29-136+1)/$NU$29,$NN$29/$NT$29)),0)</f>
        <v/>
      </c>
      <c r="EK29" s="228">
        <f>IF(AND(137&gt;=$NR$29,137&lt;=$NS$29),IF($NP$29="Single_Point",IF(137=$NR$29,$NN$29,0),IF($NP$29="Bell_Curve",$NN$29*(137-$NR$29+1)*($NS$29-137+1)/$NU$29,$NN$29/$NT$29)),0)</f>
        <v/>
      </c>
      <c r="EL29" s="228">
        <f>IF(AND(138&gt;=$NR$29,138&lt;=$NS$29),IF($NP$29="Single_Point",IF(138=$NR$29,$NN$29,0),IF($NP$29="Bell_Curve",$NN$29*(138-$NR$29+1)*($NS$29-138+1)/$NU$29,$NN$29/$NT$29)),0)</f>
        <v/>
      </c>
      <c r="EM29" s="228">
        <f>IF(AND(139&gt;=$NR$29,139&lt;=$NS$29),IF($NP$29="Single_Point",IF(139=$NR$29,$NN$29,0),IF($NP$29="Bell_Curve",$NN$29*(139-$NR$29+1)*($NS$29-139+1)/$NU$29,$NN$29/$NT$29)),0)</f>
        <v/>
      </c>
      <c r="EN29" s="228">
        <f>IF(AND(140&gt;=$NR$29,140&lt;=$NS$29),IF($NP$29="Single_Point",IF(140=$NR$29,$NN$29,0),IF($NP$29="Bell_Curve",$NN$29*(140-$NR$29+1)*($NS$29-140+1)/$NU$29,$NN$29/$NT$29)),0)</f>
        <v/>
      </c>
      <c r="EO29" s="228">
        <f>IF(AND(141&gt;=$NR$29,141&lt;=$NS$29),IF($NP$29="Single_Point",IF(141=$NR$29,$NN$29,0),IF($NP$29="Bell_Curve",$NN$29*(141-$NR$29+1)*($NS$29-141+1)/$NU$29,$NN$29/$NT$29)),0)</f>
        <v/>
      </c>
      <c r="EP29" s="228">
        <f>IF(AND(142&gt;=$NR$29,142&lt;=$NS$29),IF($NP$29="Single_Point",IF(142=$NR$29,$NN$29,0),IF($NP$29="Bell_Curve",$NN$29*(142-$NR$29+1)*($NS$29-142+1)/$NU$29,$NN$29/$NT$29)),0)</f>
        <v/>
      </c>
      <c r="EQ29" s="228">
        <f>IF(AND(143&gt;=$NR$29,143&lt;=$NS$29),IF($NP$29="Single_Point",IF(143=$NR$29,$NN$29,0),IF($NP$29="Bell_Curve",$NN$29*(143-$NR$29+1)*($NS$29-143+1)/$NU$29,$NN$29/$NT$29)),0)</f>
        <v/>
      </c>
      <c r="ER29" s="228">
        <f>IF(AND(144&gt;=$NR$29,144&lt;=$NS$29),IF($NP$29="Single_Point",IF(144=$NR$29,$NN$29,0),IF($NP$29="Bell_Curve",$NN$29*(144-$NR$29+1)*($NS$29-144+1)/$NU$29,$NN$29/$NT$29)),0)</f>
        <v/>
      </c>
      <c r="ES29" s="228">
        <f>IF(AND(145&gt;=$NR$29,145&lt;=$NS$29),IF($NP$29="Single_Point",IF(145=$NR$29,$NN$29,0),IF($NP$29="Bell_Curve",$NN$29*(145-$NR$29+1)*($NS$29-145+1)/$NU$29,$NN$29/$NT$29)),0)</f>
        <v/>
      </c>
      <c r="ET29" s="228">
        <f>IF(AND(146&gt;=$NR$29,146&lt;=$NS$29),IF($NP$29="Single_Point",IF(146=$NR$29,$NN$29,0),IF($NP$29="Bell_Curve",$NN$29*(146-$NR$29+1)*($NS$29-146+1)/$NU$29,$NN$29/$NT$29)),0)</f>
        <v/>
      </c>
      <c r="EU29" s="228">
        <f>IF(AND(147&gt;=$NR$29,147&lt;=$NS$29),IF($NP$29="Single_Point",IF(147=$NR$29,$NN$29,0),IF($NP$29="Bell_Curve",$NN$29*(147-$NR$29+1)*($NS$29-147+1)/$NU$29,$NN$29/$NT$29)),0)</f>
        <v/>
      </c>
      <c r="EV29" s="228">
        <f>IF(AND(148&gt;=$NR$29,148&lt;=$NS$29),IF($NP$29="Single_Point",IF(148=$NR$29,$NN$29,0),IF($NP$29="Bell_Curve",$NN$29*(148-$NR$29+1)*($NS$29-148+1)/$NU$29,$NN$29/$NT$29)),0)</f>
        <v/>
      </c>
      <c r="EW29" s="228">
        <f>IF(AND(149&gt;=$NR$29,149&lt;=$NS$29),IF($NP$29="Single_Point",IF(149=$NR$29,$NN$29,0),IF($NP$29="Bell_Curve",$NN$29*(149-$NR$29+1)*($NS$29-149+1)/$NU$29,$NN$29/$NT$29)),0)</f>
        <v/>
      </c>
      <c r="EX29" s="228">
        <f>IF(AND(150&gt;=$NR$29,150&lt;=$NS$29),IF($NP$29="Single_Point",IF(150=$NR$29,$NN$29,0),IF($NP$29="Bell_Curve",$NN$29*(150-$NR$29+1)*($NS$29-150+1)/$NU$29,$NN$29/$NT$29)),0)</f>
        <v/>
      </c>
      <c r="EY29" s="228">
        <f>IF(AND(151&gt;=$NR$29,151&lt;=$NS$29),IF($NP$29="Single_Point",IF(151=$NR$29,$NN$29,0),IF($NP$29="Bell_Curve",$NN$29*(151-$NR$29+1)*($NS$29-151+1)/$NU$29,$NN$29/$NT$29)),0)</f>
        <v/>
      </c>
      <c r="EZ29" s="228">
        <f>IF(AND(152&gt;=$NR$29,152&lt;=$NS$29),IF($NP$29="Single_Point",IF(152=$NR$29,$NN$29,0),IF($NP$29="Bell_Curve",$NN$29*(152-$NR$29+1)*($NS$29-152+1)/$NU$29,$NN$29/$NT$29)),0)</f>
        <v/>
      </c>
      <c r="FA29" s="228">
        <f>IF(AND(153&gt;=$NR$29,153&lt;=$NS$29),IF($NP$29="Single_Point",IF(153=$NR$29,$NN$29,0),IF($NP$29="Bell_Curve",$NN$29*(153-$NR$29+1)*($NS$29-153+1)/$NU$29,$NN$29/$NT$29)),0)</f>
        <v/>
      </c>
      <c r="FB29" s="228">
        <f>IF(AND(154&gt;=$NR$29,154&lt;=$NS$29),IF($NP$29="Single_Point",IF(154=$NR$29,$NN$29,0),IF($NP$29="Bell_Curve",$NN$29*(154-$NR$29+1)*($NS$29-154+1)/$NU$29,$NN$29/$NT$29)),0)</f>
        <v/>
      </c>
      <c r="FC29" s="228">
        <f>IF(AND(155&gt;=$NR$29,155&lt;=$NS$29),IF($NP$29="Single_Point",IF(155=$NR$29,$NN$29,0),IF($NP$29="Bell_Curve",$NN$29*(155-$NR$29+1)*($NS$29-155+1)/$NU$29,$NN$29/$NT$29)),0)</f>
        <v/>
      </c>
      <c r="FD29" s="228">
        <f>IF(AND(156&gt;=$NR$29,156&lt;=$NS$29),IF($NP$29="Single_Point",IF(156=$NR$29,$NN$29,0),IF($NP$29="Bell_Curve",$NN$29*(156-$NR$29+1)*($NS$29-156+1)/$NU$29,$NN$29/$NT$29)),0)</f>
        <v/>
      </c>
      <c r="FE29" s="228">
        <f>IF(AND(157&gt;=$NR$29,157&lt;=$NS$29),IF($NP$29="Single_Point",IF(157=$NR$29,$NN$29,0),IF($NP$29="Bell_Curve",$NN$29*(157-$NR$29+1)*($NS$29-157+1)/$NU$29,$NN$29/$NT$29)),0)</f>
        <v/>
      </c>
      <c r="FF29" s="228">
        <f>IF(AND(158&gt;=$NR$29,158&lt;=$NS$29),IF($NP$29="Single_Point",IF(158=$NR$29,$NN$29,0),IF($NP$29="Bell_Curve",$NN$29*(158-$NR$29+1)*($NS$29-158+1)/$NU$29,$NN$29/$NT$29)),0)</f>
        <v/>
      </c>
      <c r="FG29" s="228">
        <f>IF(AND(159&gt;=$NR$29,159&lt;=$NS$29),IF($NP$29="Single_Point",IF(159=$NR$29,$NN$29,0),IF($NP$29="Bell_Curve",$NN$29*(159-$NR$29+1)*($NS$29-159+1)/$NU$29,$NN$29/$NT$29)),0)</f>
        <v/>
      </c>
      <c r="FH29" s="228">
        <f>IF(AND(160&gt;=$NR$29,160&lt;=$NS$29),IF($NP$29="Single_Point",IF(160=$NR$29,$NN$29,0),IF($NP$29="Bell_Curve",$NN$29*(160-$NR$29+1)*($NS$29-160+1)/$NU$29,$NN$29/$NT$29)),0)</f>
        <v/>
      </c>
      <c r="FI29" s="228">
        <f>IF(AND(161&gt;=$NR$29,161&lt;=$NS$29),IF($NP$29="Single_Point",IF(161=$NR$29,$NN$29,0),IF($NP$29="Bell_Curve",$NN$29*(161-$NR$29+1)*($NS$29-161+1)/$NU$29,$NN$29/$NT$29)),0)</f>
        <v/>
      </c>
      <c r="FJ29" s="228">
        <f>IF(AND(162&gt;=$NR$29,162&lt;=$NS$29),IF($NP$29="Single_Point",IF(162=$NR$29,$NN$29,0),IF($NP$29="Bell_Curve",$NN$29*(162-$NR$29+1)*($NS$29-162+1)/$NU$29,$NN$29/$NT$29)),0)</f>
        <v/>
      </c>
      <c r="FK29" s="228">
        <f>IF(AND(163&gt;=$NR$29,163&lt;=$NS$29),IF($NP$29="Single_Point",IF(163=$NR$29,$NN$29,0),IF($NP$29="Bell_Curve",$NN$29*(163-$NR$29+1)*($NS$29-163+1)/$NU$29,$NN$29/$NT$29)),0)</f>
        <v/>
      </c>
      <c r="FL29" s="228">
        <f>IF(AND(164&gt;=$NR$29,164&lt;=$NS$29),IF($NP$29="Single_Point",IF(164=$NR$29,$NN$29,0),IF($NP$29="Bell_Curve",$NN$29*(164-$NR$29+1)*($NS$29-164+1)/$NU$29,$NN$29/$NT$29)),0)</f>
        <v/>
      </c>
      <c r="FM29" s="228">
        <f>IF(AND(165&gt;=$NR$29,165&lt;=$NS$29),IF($NP$29="Single_Point",IF(165=$NR$29,$NN$29,0),IF($NP$29="Bell_Curve",$NN$29*(165-$NR$29+1)*($NS$29-165+1)/$NU$29,$NN$29/$NT$29)),0)</f>
        <v/>
      </c>
      <c r="FN29" s="228">
        <f>IF(AND(166&gt;=$NR$29,166&lt;=$NS$29),IF($NP$29="Single_Point",IF(166=$NR$29,$NN$29,0),IF($NP$29="Bell_Curve",$NN$29*(166-$NR$29+1)*($NS$29-166+1)/$NU$29,$NN$29/$NT$29)),0)</f>
        <v/>
      </c>
      <c r="FO29" s="228">
        <f>IF(AND(167&gt;=$NR$29,167&lt;=$NS$29),IF($NP$29="Single_Point",IF(167=$NR$29,$NN$29,0),IF($NP$29="Bell_Curve",$NN$29*(167-$NR$29+1)*($NS$29-167+1)/$NU$29,$NN$29/$NT$29)),0)</f>
        <v/>
      </c>
      <c r="FP29" s="228">
        <f>IF(AND(168&gt;=$NR$29,168&lt;=$NS$29),IF($NP$29="Single_Point",IF(168=$NR$29,$NN$29,0),IF($NP$29="Bell_Curve",$NN$29*(168-$NR$29+1)*($NS$29-168+1)/$NU$29,$NN$29/$NT$29)),0)</f>
        <v/>
      </c>
      <c r="FQ29" s="228">
        <f>IF(AND(169&gt;=$NR$29,169&lt;=$NS$29),IF($NP$29="Single_Point",IF(169=$NR$29,$NN$29,0),IF($NP$29="Bell_Curve",$NN$29*(169-$NR$29+1)*($NS$29-169+1)/$NU$29,$NN$29/$NT$29)),0)</f>
        <v/>
      </c>
      <c r="FR29" s="228">
        <f>IF(AND(170&gt;=$NR$29,170&lt;=$NS$29),IF($NP$29="Single_Point",IF(170=$NR$29,$NN$29,0),IF($NP$29="Bell_Curve",$NN$29*(170-$NR$29+1)*($NS$29-170+1)/$NU$29,$NN$29/$NT$29)),0)</f>
        <v/>
      </c>
      <c r="FS29" s="228">
        <f>IF(AND(171&gt;=$NR$29,171&lt;=$NS$29),IF($NP$29="Single_Point",IF(171=$NR$29,$NN$29,0),IF($NP$29="Bell_Curve",$NN$29*(171-$NR$29+1)*($NS$29-171+1)/$NU$29,$NN$29/$NT$29)),0)</f>
        <v/>
      </c>
      <c r="FT29" s="228">
        <f>IF(AND(172&gt;=$NR$29,172&lt;=$NS$29),IF($NP$29="Single_Point",IF(172=$NR$29,$NN$29,0),IF($NP$29="Bell_Curve",$NN$29*(172-$NR$29+1)*($NS$29-172+1)/$NU$29,$NN$29/$NT$29)),0)</f>
        <v/>
      </c>
      <c r="FU29" s="228">
        <f>IF(AND(173&gt;=$NR$29,173&lt;=$NS$29),IF($NP$29="Single_Point",IF(173=$NR$29,$NN$29,0),IF($NP$29="Bell_Curve",$NN$29*(173-$NR$29+1)*($NS$29-173+1)/$NU$29,$NN$29/$NT$29)),0)</f>
        <v/>
      </c>
      <c r="FV29" s="228">
        <f>IF(AND(174&gt;=$NR$29,174&lt;=$NS$29),IF($NP$29="Single_Point",IF(174=$NR$29,$NN$29,0),IF($NP$29="Bell_Curve",$NN$29*(174-$NR$29+1)*($NS$29-174+1)/$NU$29,$NN$29/$NT$29)),0)</f>
        <v/>
      </c>
      <c r="FW29" s="228">
        <f>IF(AND(175&gt;=$NR$29,175&lt;=$NS$29),IF($NP$29="Single_Point",IF(175=$NR$29,$NN$29,0),IF($NP$29="Bell_Curve",$NN$29*(175-$NR$29+1)*($NS$29-175+1)/$NU$29,$NN$29/$NT$29)),0)</f>
        <v/>
      </c>
      <c r="FX29" s="228">
        <f>IF(AND(176&gt;=$NR$29,176&lt;=$NS$29),IF($NP$29="Single_Point",IF(176=$NR$29,$NN$29,0),IF($NP$29="Bell_Curve",$NN$29*(176-$NR$29+1)*($NS$29-176+1)/$NU$29,$NN$29/$NT$29)),0)</f>
        <v/>
      </c>
      <c r="FY29" s="228">
        <f>IF(AND(177&gt;=$NR$29,177&lt;=$NS$29),IF($NP$29="Single_Point",IF(177=$NR$29,$NN$29,0),IF($NP$29="Bell_Curve",$NN$29*(177-$NR$29+1)*($NS$29-177+1)/$NU$29,$NN$29/$NT$29)),0)</f>
        <v/>
      </c>
      <c r="FZ29" s="228">
        <f>IF(AND(178&gt;=$NR$29,178&lt;=$NS$29),IF($NP$29="Single_Point",IF(178=$NR$29,$NN$29,0),IF($NP$29="Bell_Curve",$NN$29*(178-$NR$29+1)*($NS$29-178+1)/$NU$29,$NN$29/$NT$29)),0)</f>
        <v/>
      </c>
      <c r="GA29" s="228">
        <f>IF(AND(179&gt;=$NR$29,179&lt;=$NS$29),IF($NP$29="Single_Point",IF(179=$NR$29,$NN$29,0),IF($NP$29="Bell_Curve",$NN$29*(179-$NR$29+1)*($NS$29-179+1)/$NU$29,$NN$29/$NT$29)),0)</f>
        <v/>
      </c>
      <c r="GB29" s="228">
        <f>IF(AND(180&gt;=$NR$29,180&lt;=$NS$29),IF($NP$29="Single_Point",IF(180=$NR$29,$NN$29,0),IF($NP$29="Bell_Curve",$NN$29*(180-$NR$29+1)*($NS$29-180+1)/$NU$29,$NN$29/$NT$29)),0)</f>
        <v/>
      </c>
      <c r="GC29" s="228">
        <f>IF(AND(181&gt;=$NR$29,181&lt;=$NS$29),IF($NP$29="Single_Point",IF(181=$NR$29,$NN$29,0),IF($NP$29="Bell_Curve",$NN$29*(181-$NR$29+1)*($NS$29-181+1)/$NU$29,$NN$29/$NT$29)),0)</f>
        <v/>
      </c>
      <c r="GD29" s="228">
        <f>IF(AND(182&gt;=$NR$29,182&lt;=$NS$29),IF($NP$29="Single_Point",IF(182=$NR$29,$NN$29,0),IF($NP$29="Bell_Curve",$NN$29*(182-$NR$29+1)*($NS$29-182+1)/$NU$29,$NN$29/$NT$29)),0)</f>
        <v/>
      </c>
      <c r="GE29" s="228">
        <f>IF(AND(183&gt;=$NR$29,183&lt;=$NS$29),IF($NP$29="Single_Point",IF(183=$NR$29,$NN$29,0),IF($NP$29="Bell_Curve",$NN$29*(183-$NR$29+1)*($NS$29-183+1)/$NU$29,$NN$29/$NT$29)),0)</f>
        <v/>
      </c>
      <c r="GF29" s="228">
        <f>IF(AND(184&gt;=$NR$29,184&lt;=$NS$29),IF($NP$29="Single_Point",IF(184=$NR$29,$NN$29,0),IF($NP$29="Bell_Curve",$NN$29*(184-$NR$29+1)*($NS$29-184+1)/$NU$29,$NN$29/$NT$29)),0)</f>
        <v/>
      </c>
      <c r="GG29" s="228">
        <f>IF(AND(185&gt;=$NR$29,185&lt;=$NS$29),IF($NP$29="Single_Point",IF(185=$NR$29,$NN$29,0),IF($NP$29="Bell_Curve",$NN$29*(185-$NR$29+1)*($NS$29-185+1)/$NU$29,$NN$29/$NT$29)),0)</f>
        <v/>
      </c>
      <c r="GH29" s="228">
        <f>IF(AND(186&gt;=$NR$29,186&lt;=$NS$29),IF($NP$29="Single_Point",IF(186=$NR$29,$NN$29,0),IF($NP$29="Bell_Curve",$NN$29*(186-$NR$29+1)*($NS$29-186+1)/$NU$29,$NN$29/$NT$29)),0)</f>
        <v/>
      </c>
      <c r="GI29" s="228">
        <f>IF(AND(187&gt;=$NR$29,187&lt;=$NS$29),IF($NP$29="Single_Point",IF(187=$NR$29,$NN$29,0),IF($NP$29="Bell_Curve",$NN$29*(187-$NR$29+1)*($NS$29-187+1)/$NU$29,$NN$29/$NT$29)),0)</f>
        <v/>
      </c>
      <c r="GJ29" s="228">
        <f>IF(AND(188&gt;=$NR$29,188&lt;=$NS$29),IF($NP$29="Single_Point",IF(188=$NR$29,$NN$29,0),IF($NP$29="Bell_Curve",$NN$29*(188-$NR$29+1)*($NS$29-188+1)/$NU$29,$NN$29/$NT$29)),0)</f>
        <v/>
      </c>
      <c r="GK29" s="228">
        <f>IF(AND(189&gt;=$NR$29,189&lt;=$NS$29),IF($NP$29="Single_Point",IF(189=$NR$29,$NN$29,0),IF($NP$29="Bell_Curve",$NN$29*(189-$NR$29+1)*($NS$29-189+1)/$NU$29,$NN$29/$NT$29)),0)</f>
        <v/>
      </c>
      <c r="GL29" s="228">
        <f>IF(AND(190&gt;=$NR$29,190&lt;=$NS$29),IF($NP$29="Single_Point",IF(190=$NR$29,$NN$29,0),IF($NP$29="Bell_Curve",$NN$29*(190-$NR$29+1)*($NS$29-190+1)/$NU$29,$NN$29/$NT$29)),0)</f>
        <v/>
      </c>
      <c r="GM29" s="228">
        <f>IF(AND(191&gt;=$NR$29,191&lt;=$NS$29),IF($NP$29="Single_Point",IF(191=$NR$29,$NN$29,0),IF($NP$29="Bell_Curve",$NN$29*(191-$NR$29+1)*($NS$29-191+1)/$NU$29,$NN$29/$NT$29)),0)</f>
        <v/>
      </c>
      <c r="GN29" s="228">
        <f>IF(AND(192&gt;=$NR$29,192&lt;=$NS$29),IF($NP$29="Single_Point",IF(192=$NR$29,$NN$29,0),IF($NP$29="Bell_Curve",$NN$29*(192-$NR$29+1)*($NS$29-192+1)/$NU$29,$NN$29/$NT$29)),0)</f>
        <v/>
      </c>
      <c r="GO29" s="228">
        <f>IF(AND(193&gt;=$NR$29,193&lt;=$NS$29),IF($NP$29="Single_Point",IF(193=$NR$29,$NN$29,0),IF($NP$29="Bell_Curve",$NN$29*(193-$NR$29+1)*($NS$29-193+1)/$NU$29,$NN$29/$NT$29)),0)</f>
        <v/>
      </c>
      <c r="GP29" s="228">
        <f>IF(AND(194&gt;=$NR$29,194&lt;=$NS$29),IF($NP$29="Single_Point",IF(194=$NR$29,$NN$29,0),IF($NP$29="Bell_Curve",$NN$29*(194-$NR$29+1)*($NS$29-194+1)/$NU$29,$NN$29/$NT$29)),0)</f>
        <v/>
      </c>
      <c r="GQ29" s="228">
        <f>IF(AND(195&gt;=$NR$29,195&lt;=$NS$29),IF($NP$29="Single_Point",IF(195=$NR$29,$NN$29,0),IF($NP$29="Bell_Curve",$NN$29*(195-$NR$29+1)*($NS$29-195+1)/$NU$29,$NN$29/$NT$29)),0)</f>
        <v/>
      </c>
      <c r="GR29" s="228">
        <f>IF(AND(196&gt;=$NR$29,196&lt;=$NS$29),IF($NP$29="Single_Point",IF(196=$NR$29,$NN$29,0),IF($NP$29="Bell_Curve",$NN$29*(196-$NR$29+1)*($NS$29-196+1)/$NU$29,$NN$29/$NT$29)),0)</f>
        <v/>
      </c>
      <c r="GS29" s="228">
        <f>IF(AND(197&gt;=$NR$29,197&lt;=$NS$29),IF($NP$29="Single_Point",IF(197=$NR$29,$NN$29,0),IF($NP$29="Bell_Curve",$NN$29*(197-$NR$29+1)*($NS$29-197+1)/$NU$29,$NN$29/$NT$29)),0)</f>
        <v/>
      </c>
      <c r="GT29" s="228">
        <f>IF(AND(198&gt;=$NR$29,198&lt;=$NS$29),IF($NP$29="Single_Point",IF(198=$NR$29,$NN$29,0),IF($NP$29="Bell_Curve",$NN$29*(198-$NR$29+1)*($NS$29-198+1)/$NU$29,$NN$29/$NT$29)),0)</f>
        <v/>
      </c>
      <c r="GU29" s="228">
        <f>IF(AND(199&gt;=$NR$29,199&lt;=$NS$29),IF($NP$29="Single_Point",IF(199=$NR$29,$NN$29,0),IF($NP$29="Bell_Curve",$NN$29*(199-$NR$29+1)*($NS$29-199+1)/$NU$29,$NN$29/$NT$29)),0)</f>
        <v/>
      </c>
      <c r="GV29" s="228">
        <f>IF(AND(200&gt;=$NR$29,200&lt;=$NS$29),IF($NP$29="Single_Point",IF(200=$NR$29,$NN$29,0),IF($NP$29="Bell_Curve",$NN$29*(200-$NR$29+1)*($NS$29-200+1)/$NU$29,$NN$29/$NT$29)),0)</f>
        <v/>
      </c>
      <c r="GW29" s="228">
        <f>IF(AND(201&gt;=$NR$29,201&lt;=$NS$29),IF($NP$29="Single_Point",IF(201=$NR$29,$NN$29,0),IF($NP$29="Bell_Curve",$NN$29*(201-$NR$29+1)*($NS$29-201+1)/$NU$29,$NN$29/$NT$29)),0)</f>
        <v/>
      </c>
      <c r="GX29" s="228">
        <f>IF(AND(202&gt;=$NR$29,202&lt;=$NS$29),IF($NP$29="Single_Point",IF(202=$NR$29,$NN$29,0),IF($NP$29="Bell_Curve",$NN$29*(202-$NR$29+1)*($NS$29-202+1)/$NU$29,$NN$29/$NT$29)),0)</f>
        <v/>
      </c>
      <c r="GY29" s="228">
        <f>IF(AND(203&gt;=$NR$29,203&lt;=$NS$29),IF($NP$29="Single_Point",IF(203=$NR$29,$NN$29,0),IF($NP$29="Bell_Curve",$NN$29*(203-$NR$29+1)*($NS$29-203+1)/$NU$29,$NN$29/$NT$29)),0)</f>
        <v/>
      </c>
      <c r="GZ29" s="228">
        <f>IF(AND(204&gt;=$NR$29,204&lt;=$NS$29),IF($NP$29="Single_Point",IF(204=$NR$29,$NN$29,0),IF($NP$29="Bell_Curve",$NN$29*(204-$NR$29+1)*($NS$29-204+1)/$NU$29,$NN$29/$NT$29)),0)</f>
        <v/>
      </c>
      <c r="HA29" s="228">
        <f>IF(AND(205&gt;=$NR$29,205&lt;=$NS$29),IF($NP$29="Single_Point",IF(205=$NR$29,$NN$29,0),IF($NP$29="Bell_Curve",$NN$29*(205-$NR$29+1)*($NS$29-205+1)/$NU$29,$NN$29/$NT$29)),0)</f>
        <v/>
      </c>
      <c r="HB29" s="228">
        <f>IF(AND(206&gt;=$NR$29,206&lt;=$NS$29),IF($NP$29="Single_Point",IF(206=$NR$29,$NN$29,0),IF($NP$29="Bell_Curve",$NN$29*(206-$NR$29+1)*($NS$29-206+1)/$NU$29,$NN$29/$NT$29)),0)</f>
        <v/>
      </c>
      <c r="HC29" s="228">
        <f>IF(AND(207&gt;=$NR$29,207&lt;=$NS$29),IF($NP$29="Single_Point",IF(207=$NR$29,$NN$29,0),IF($NP$29="Bell_Curve",$NN$29*(207-$NR$29+1)*($NS$29-207+1)/$NU$29,$NN$29/$NT$29)),0)</f>
        <v/>
      </c>
      <c r="HD29" s="228">
        <f>IF(AND(208&gt;=$NR$29,208&lt;=$NS$29),IF($NP$29="Single_Point",IF(208=$NR$29,$NN$29,0),IF($NP$29="Bell_Curve",$NN$29*(208-$NR$29+1)*($NS$29-208+1)/$NU$29,$NN$29/$NT$29)),0)</f>
        <v/>
      </c>
      <c r="HE29" s="228">
        <f>IF(AND(209&gt;=$NR$29,209&lt;=$NS$29),IF($NP$29="Single_Point",IF(209=$NR$29,$NN$29,0),IF($NP$29="Bell_Curve",$NN$29*(209-$NR$29+1)*($NS$29-209+1)/$NU$29,$NN$29/$NT$29)),0)</f>
        <v/>
      </c>
      <c r="HF29" s="228">
        <f>IF(AND(210&gt;=$NR$29,210&lt;=$NS$29),IF($NP$29="Single_Point",IF(210=$NR$29,$NN$29,0),IF($NP$29="Bell_Curve",$NN$29*(210-$NR$29+1)*($NS$29-210+1)/$NU$29,$NN$29/$NT$29)),0)</f>
        <v/>
      </c>
      <c r="HG29" s="228">
        <f>IF(AND(211&gt;=$NR$29,211&lt;=$NS$29),IF($NP$29="Single_Point",IF(211=$NR$29,$NN$29,0),IF($NP$29="Bell_Curve",$NN$29*(211-$NR$29+1)*($NS$29-211+1)/$NU$29,$NN$29/$NT$29)),0)</f>
        <v/>
      </c>
      <c r="HH29" s="228">
        <f>IF(AND(212&gt;=$NR$29,212&lt;=$NS$29),IF($NP$29="Single_Point",IF(212=$NR$29,$NN$29,0),IF($NP$29="Bell_Curve",$NN$29*(212-$NR$29+1)*($NS$29-212+1)/$NU$29,$NN$29/$NT$29)),0)</f>
        <v/>
      </c>
      <c r="HI29" s="228">
        <f>IF(AND(213&gt;=$NR$29,213&lt;=$NS$29),IF($NP$29="Single_Point",IF(213=$NR$29,$NN$29,0),IF($NP$29="Bell_Curve",$NN$29*(213-$NR$29+1)*($NS$29-213+1)/$NU$29,$NN$29/$NT$29)),0)</f>
        <v/>
      </c>
      <c r="HJ29" s="228">
        <f>IF(AND(214&gt;=$NR$29,214&lt;=$NS$29),IF($NP$29="Single_Point",IF(214=$NR$29,$NN$29,0),IF($NP$29="Bell_Curve",$NN$29*(214-$NR$29+1)*($NS$29-214+1)/$NU$29,$NN$29/$NT$29)),0)</f>
        <v/>
      </c>
      <c r="HK29" s="228">
        <f>IF(AND(215&gt;=$NR$29,215&lt;=$NS$29),IF($NP$29="Single_Point",IF(215=$NR$29,$NN$29,0),IF($NP$29="Bell_Curve",$NN$29*(215-$NR$29+1)*($NS$29-215+1)/$NU$29,$NN$29/$NT$29)),0)</f>
        <v/>
      </c>
      <c r="HL29" s="228">
        <f>IF(AND(216&gt;=$NR$29,216&lt;=$NS$29),IF($NP$29="Single_Point",IF(216=$NR$29,$NN$29,0),IF($NP$29="Bell_Curve",$NN$29*(216-$NR$29+1)*($NS$29-216+1)/$NU$29,$NN$29/$NT$29)),0)</f>
        <v/>
      </c>
      <c r="HM29" s="228">
        <f>IF(AND(217&gt;=$NR$29,217&lt;=$NS$29),IF($NP$29="Single_Point",IF(217=$NR$29,$NN$29,0),IF($NP$29="Bell_Curve",$NN$29*(217-$NR$29+1)*($NS$29-217+1)/$NU$29,$NN$29/$NT$29)),0)</f>
        <v/>
      </c>
      <c r="HN29" s="228">
        <f>IF(AND(218&gt;=$NR$29,218&lt;=$NS$29),IF($NP$29="Single_Point",IF(218=$NR$29,$NN$29,0),IF($NP$29="Bell_Curve",$NN$29*(218-$NR$29+1)*($NS$29-218+1)/$NU$29,$NN$29/$NT$29)),0)</f>
        <v/>
      </c>
      <c r="HO29" s="228">
        <f>IF(AND(219&gt;=$NR$29,219&lt;=$NS$29),IF($NP$29="Single_Point",IF(219=$NR$29,$NN$29,0),IF($NP$29="Bell_Curve",$NN$29*(219-$NR$29+1)*($NS$29-219+1)/$NU$29,$NN$29/$NT$29)),0)</f>
        <v/>
      </c>
      <c r="HP29" s="228">
        <f>IF(AND(220&gt;=$NR$29,220&lt;=$NS$29),IF($NP$29="Single_Point",IF(220=$NR$29,$NN$29,0),IF($NP$29="Bell_Curve",$NN$29*(220-$NR$29+1)*($NS$29-220+1)/$NU$29,$NN$29/$NT$29)),0)</f>
        <v/>
      </c>
      <c r="HQ29" s="228">
        <f>IF(AND(221&gt;=$NR$29,221&lt;=$NS$29),IF($NP$29="Single_Point",IF(221=$NR$29,$NN$29,0),IF($NP$29="Bell_Curve",$NN$29*(221-$NR$29+1)*($NS$29-221+1)/$NU$29,$NN$29/$NT$29)),0)</f>
        <v/>
      </c>
      <c r="HR29" s="228">
        <f>IF(AND(222&gt;=$NR$29,222&lt;=$NS$29),IF($NP$29="Single_Point",IF(222=$NR$29,$NN$29,0),IF($NP$29="Bell_Curve",$NN$29*(222-$NR$29+1)*($NS$29-222+1)/$NU$29,$NN$29/$NT$29)),0)</f>
        <v/>
      </c>
      <c r="HS29" s="228">
        <f>IF(AND(223&gt;=$NR$29,223&lt;=$NS$29),IF($NP$29="Single_Point",IF(223=$NR$29,$NN$29,0),IF($NP$29="Bell_Curve",$NN$29*(223-$NR$29+1)*($NS$29-223+1)/$NU$29,$NN$29/$NT$29)),0)</f>
        <v/>
      </c>
      <c r="HT29" s="228">
        <f>IF(AND(224&gt;=$NR$29,224&lt;=$NS$29),IF($NP$29="Single_Point",IF(224=$NR$29,$NN$29,0),IF($NP$29="Bell_Curve",$NN$29*(224-$NR$29+1)*($NS$29-224+1)/$NU$29,$NN$29/$NT$29)),0)</f>
        <v/>
      </c>
      <c r="HU29" s="228">
        <f>IF(AND(225&gt;=$NR$29,225&lt;=$NS$29),IF($NP$29="Single_Point",IF(225=$NR$29,$NN$29,0),IF($NP$29="Bell_Curve",$NN$29*(225-$NR$29+1)*($NS$29-225+1)/$NU$29,$NN$29/$NT$29)),0)</f>
        <v/>
      </c>
      <c r="HV29" s="228">
        <f>IF(AND(226&gt;=$NR$29,226&lt;=$NS$29),IF($NP$29="Single_Point",IF(226=$NR$29,$NN$29,0),IF($NP$29="Bell_Curve",$NN$29*(226-$NR$29+1)*($NS$29-226+1)/$NU$29,$NN$29/$NT$29)),0)</f>
        <v/>
      </c>
      <c r="HW29" s="228">
        <f>IF(AND(227&gt;=$NR$29,227&lt;=$NS$29),IF($NP$29="Single_Point",IF(227=$NR$29,$NN$29,0),IF($NP$29="Bell_Curve",$NN$29*(227-$NR$29+1)*($NS$29-227+1)/$NU$29,$NN$29/$NT$29)),0)</f>
        <v/>
      </c>
      <c r="HX29" s="228">
        <f>IF(AND(228&gt;=$NR$29,228&lt;=$NS$29),IF($NP$29="Single_Point",IF(228=$NR$29,$NN$29,0),IF($NP$29="Bell_Curve",$NN$29*(228-$NR$29+1)*($NS$29-228+1)/$NU$29,$NN$29/$NT$29)),0)</f>
        <v/>
      </c>
      <c r="HY29" s="228">
        <f>IF(AND(229&gt;=$NR$29,229&lt;=$NS$29),IF($NP$29="Single_Point",IF(229=$NR$29,$NN$29,0),IF($NP$29="Bell_Curve",$NN$29*(229-$NR$29+1)*($NS$29-229+1)/$NU$29,$NN$29/$NT$29)),0)</f>
        <v/>
      </c>
      <c r="HZ29" s="228">
        <f>IF(AND(230&gt;=$NR$29,230&lt;=$NS$29),IF($NP$29="Single_Point",IF(230=$NR$29,$NN$29,0),IF($NP$29="Bell_Curve",$NN$29*(230-$NR$29+1)*($NS$29-230+1)/$NU$29,$NN$29/$NT$29)),0)</f>
        <v/>
      </c>
      <c r="IA29" s="228">
        <f>IF(AND(231&gt;=$NR$29,231&lt;=$NS$29),IF($NP$29="Single_Point",IF(231=$NR$29,$NN$29,0),IF($NP$29="Bell_Curve",$NN$29*(231-$NR$29+1)*($NS$29-231+1)/$NU$29,$NN$29/$NT$29)),0)</f>
        <v/>
      </c>
      <c r="IB29" s="228">
        <f>IF(AND(232&gt;=$NR$29,232&lt;=$NS$29),IF($NP$29="Single_Point",IF(232=$NR$29,$NN$29,0),IF($NP$29="Bell_Curve",$NN$29*(232-$NR$29+1)*($NS$29-232+1)/$NU$29,$NN$29/$NT$29)),0)</f>
        <v/>
      </c>
      <c r="IC29" s="228">
        <f>IF(AND(233&gt;=$NR$29,233&lt;=$NS$29),IF($NP$29="Single_Point",IF(233=$NR$29,$NN$29,0),IF($NP$29="Bell_Curve",$NN$29*(233-$NR$29+1)*($NS$29-233+1)/$NU$29,$NN$29/$NT$29)),0)</f>
        <v/>
      </c>
      <c r="ID29" s="228">
        <f>IF(AND(234&gt;=$NR$29,234&lt;=$NS$29),IF($NP$29="Single_Point",IF(234=$NR$29,$NN$29,0),IF($NP$29="Bell_Curve",$NN$29*(234-$NR$29+1)*($NS$29-234+1)/$NU$29,$NN$29/$NT$29)),0)</f>
        <v/>
      </c>
      <c r="IE29" s="228">
        <f>IF(AND(235&gt;=$NR$29,235&lt;=$NS$29),IF($NP$29="Single_Point",IF(235=$NR$29,$NN$29,0),IF($NP$29="Bell_Curve",$NN$29*(235-$NR$29+1)*($NS$29-235+1)/$NU$29,$NN$29/$NT$29)),0)</f>
        <v/>
      </c>
      <c r="IF29" s="228">
        <f>IF(AND(236&gt;=$NR$29,236&lt;=$NS$29),IF($NP$29="Single_Point",IF(236=$NR$29,$NN$29,0),IF($NP$29="Bell_Curve",$NN$29*(236-$NR$29+1)*($NS$29-236+1)/$NU$29,$NN$29/$NT$29)),0)</f>
        <v/>
      </c>
      <c r="IG29" s="228">
        <f>IF(AND(237&gt;=$NR$29,237&lt;=$NS$29),IF($NP$29="Single_Point",IF(237=$NR$29,$NN$29,0),IF($NP$29="Bell_Curve",$NN$29*(237-$NR$29+1)*($NS$29-237+1)/$NU$29,$NN$29/$NT$29)),0)</f>
        <v/>
      </c>
      <c r="IH29" s="228">
        <f>IF(AND(238&gt;=$NR$29,238&lt;=$NS$29),IF($NP$29="Single_Point",IF(238=$NR$29,$NN$29,0),IF($NP$29="Bell_Curve",$NN$29*(238-$NR$29+1)*($NS$29-238+1)/$NU$29,$NN$29/$NT$29)),0)</f>
        <v/>
      </c>
      <c r="II29" s="228">
        <f>IF(AND(239&gt;=$NR$29,239&lt;=$NS$29),IF($NP$29="Single_Point",IF(239=$NR$29,$NN$29,0),IF($NP$29="Bell_Curve",$NN$29*(239-$NR$29+1)*($NS$29-239+1)/$NU$29,$NN$29/$NT$29)),0)</f>
        <v/>
      </c>
      <c r="IJ29" s="228">
        <f>IF(AND(240&gt;=$NR$29,240&lt;=$NS$29),IF($NP$29="Single_Point",IF(240=$NR$29,$NN$29,0),IF($NP$29="Bell_Curve",$NN$29*(240-$NR$29+1)*($NS$29-240+1)/$NU$29,$NN$29/$NT$29)),0)</f>
        <v/>
      </c>
      <c r="IK29" s="228">
        <f>IF(AND(241&gt;=$NR$29,241&lt;=$NS$29),IF($NP$29="Single_Point",IF(241=$NR$29,$NN$29,0),IF($NP$29="Bell_Curve",$NN$29*(241-$NR$29+1)*($NS$29-241+1)/$NU$29,$NN$29/$NT$29)),0)</f>
        <v/>
      </c>
      <c r="IL29" s="228">
        <f>IF(AND(242&gt;=$NR$29,242&lt;=$NS$29),IF($NP$29="Single_Point",IF(242=$NR$29,$NN$29,0),IF($NP$29="Bell_Curve",$NN$29*(242-$NR$29+1)*($NS$29-242+1)/$NU$29,$NN$29/$NT$29)),0)</f>
        <v/>
      </c>
      <c r="IM29" s="228">
        <f>IF(AND(243&gt;=$NR$29,243&lt;=$NS$29),IF($NP$29="Single_Point",IF(243=$NR$29,$NN$29,0),IF($NP$29="Bell_Curve",$NN$29*(243-$NR$29+1)*($NS$29-243+1)/$NU$29,$NN$29/$NT$29)),0)</f>
        <v/>
      </c>
      <c r="IN29" s="228">
        <f>IF(AND(244&gt;=$NR$29,244&lt;=$NS$29),IF($NP$29="Single_Point",IF(244=$NR$29,$NN$29,0),IF($NP$29="Bell_Curve",$NN$29*(244-$NR$29+1)*($NS$29-244+1)/$NU$29,$NN$29/$NT$29)),0)</f>
        <v/>
      </c>
      <c r="IO29" s="228">
        <f>IF(AND(245&gt;=$NR$29,245&lt;=$NS$29),IF($NP$29="Single_Point",IF(245=$NR$29,$NN$29,0),IF($NP$29="Bell_Curve",$NN$29*(245-$NR$29+1)*($NS$29-245+1)/$NU$29,$NN$29/$NT$29)),0)</f>
        <v/>
      </c>
      <c r="IP29" s="228">
        <f>IF(AND(246&gt;=$NR$29,246&lt;=$NS$29),IF($NP$29="Single_Point",IF(246=$NR$29,$NN$29,0),IF($NP$29="Bell_Curve",$NN$29*(246-$NR$29+1)*($NS$29-246+1)/$NU$29,$NN$29/$NT$29)),0)</f>
        <v/>
      </c>
      <c r="IQ29" s="228">
        <f>IF(AND(247&gt;=$NR$29,247&lt;=$NS$29),IF($NP$29="Single_Point",IF(247=$NR$29,$NN$29,0),IF($NP$29="Bell_Curve",$NN$29*(247-$NR$29+1)*($NS$29-247+1)/$NU$29,$NN$29/$NT$29)),0)</f>
        <v/>
      </c>
      <c r="IR29" s="228">
        <f>IF(AND(248&gt;=$NR$29,248&lt;=$NS$29),IF($NP$29="Single_Point",IF(248=$NR$29,$NN$29,0),IF($NP$29="Bell_Curve",$NN$29*(248-$NR$29+1)*($NS$29-248+1)/$NU$29,$NN$29/$NT$29)),0)</f>
        <v/>
      </c>
      <c r="IS29" s="228">
        <f>IF(AND(249&gt;=$NR$29,249&lt;=$NS$29),IF($NP$29="Single_Point",IF(249=$NR$29,$NN$29,0),IF($NP$29="Bell_Curve",$NN$29*(249-$NR$29+1)*($NS$29-249+1)/$NU$29,$NN$29/$NT$29)),0)</f>
        <v/>
      </c>
      <c r="IT29" s="228">
        <f>IF(AND(250&gt;=$NR$29,250&lt;=$NS$29),IF($NP$29="Single_Point",IF(250=$NR$29,$NN$29,0),IF($NP$29="Bell_Curve",$NN$29*(250-$NR$29+1)*($NS$29-250+1)/$NU$29,$NN$29/$NT$29)),0)</f>
        <v/>
      </c>
      <c r="IU29" s="228">
        <f>IF(AND(251&gt;=$NR$29,251&lt;=$NS$29),IF($NP$29="Single_Point",IF(251=$NR$29,$NN$29,0),IF($NP$29="Bell_Curve",$NN$29*(251-$NR$29+1)*($NS$29-251+1)/$NU$29,$NN$29/$NT$29)),0)</f>
        <v/>
      </c>
      <c r="IV29" s="228">
        <f>IF(AND(252&gt;=$NR$29,252&lt;=$NS$29),IF($NP$29="Single_Point",IF(252=$NR$29,$NN$29,0),IF($NP$29="Bell_Curve",$NN$29*(252-$NR$29+1)*($NS$29-252+1)/$NU$29,$NN$29/$NT$29)),0)</f>
        <v/>
      </c>
      <c r="IW29" s="228">
        <f>IF(AND(253&gt;=$NR$29,253&lt;=$NS$29),IF($NP$29="Single_Point",IF(253=$NR$29,$NN$29,0),IF($NP$29="Bell_Curve",$NN$29*(253-$NR$29+1)*($NS$29-253+1)/$NU$29,$NN$29/$NT$29)),0)</f>
        <v/>
      </c>
      <c r="IX29" s="228">
        <f>IF(AND(254&gt;=$NR$29,254&lt;=$NS$29),IF($NP$29="Single_Point",IF(254=$NR$29,$NN$29,0),IF($NP$29="Bell_Curve",$NN$29*(254-$NR$29+1)*($NS$29-254+1)/$NU$29,$NN$29/$NT$29)),0)</f>
        <v/>
      </c>
      <c r="IY29" s="228">
        <f>IF(AND(255&gt;=$NR$29,255&lt;=$NS$29),IF($NP$29="Single_Point",IF(255=$NR$29,$NN$29,0),IF($NP$29="Bell_Curve",$NN$29*(255-$NR$29+1)*($NS$29-255+1)/$NU$29,$NN$29/$NT$29)),0)</f>
        <v/>
      </c>
      <c r="IZ29" s="228">
        <f>IF(AND(256&gt;=$NR$29,256&lt;=$NS$29),IF($NP$29="Single_Point",IF(256=$NR$29,$NN$29,0),IF($NP$29="Bell_Curve",$NN$29*(256-$NR$29+1)*($NS$29-256+1)/$NU$29,$NN$29/$NT$29)),0)</f>
        <v/>
      </c>
      <c r="JA29" s="228">
        <f>IF(AND(257&gt;=$NR$29,257&lt;=$NS$29),IF($NP$29="Single_Point",IF(257=$NR$29,$NN$29,0),IF($NP$29="Bell_Curve",$NN$29*(257-$NR$29+1)*($NS$29-257+1)/$NU$29,$NN$29/$NT$29)),0)</f>
        <v/>
      </c>
      <c r="JB29" s="228">
        <f>IF(AND(258&gt;=$NR$29,258&lt;=$NS$29),IF($NP$29="Single_Point",IF(258=$NR$29,$NN$29,0),IF($NP$29="Bell_Curve",$NN$29*(258-$NR$29+1)*($NS$29-258+1)/$NU$29,$NN$29/$NT$29)),0)</f>
        <v/>
      </c>
      <c r="JC29" s="228">
        <f>IF(AND(259&gt;=$NR$29,259&lt;=$NS$29),IF($NP$29="Single_Point",IF(259=$NR$29,$NN$29,0),IF($NP$29="Bell_Curve",$NN$29*(259-$NR$29+1)*($NS$29-259+1)/$NU$29,$NN$29/$NT$29)),0)</f>
        <v/>
      </c>
      <c r="JD29" s="228">
        <f>IF(AND(260&gt;=$NR$29,260&lt;=$NS$29),IF($NP$29="Single_Point",IF(260=$NR$29,$NN$29,0),IF($NP$29="Bell_Curve",$NN$29*(260-$NR$29+1)*($NS$29-260+1)/$NU$29,$NN$29/$NT$29)),0)</f>
        <v/>
      </c>
      <c r="JE29" s="228">
        <f>IF(AND(261&gt;=$NR$29,261&lt;=$NS$29),IF($NP$29="Single_Point",IF(261=$NR$29,$NN$29,0),IF($NP$29="Bell_Curve",$NN$29*(261-$NR$29+1)*($NS$29-261+1)/$NU$29,$NN$29/$NT$29)),0)</f>
        <v/>
      </c>
      <c r="JF29" s="228">
        <f>IF(AND(262&gt;=$NR$29,262&lt;=$NS$29),IF($NP$29="Single_Point",IF(262=$NR$29,$NN$29,0),IF($NP$29="Bell_Curve",$NN$29*(262-$NR$29+1)*($NS$29-262+1)/$NU$29,$NN$29/$NT$29)),0)</f>
        <v/>
      </c>
      <c r="JG29" s="228">
        <f>IF(AND(263&gt;=$NR$29,263&lt;=$NS$29),IF($NP$29="Single_Point",IF(263=$NR$29,$NN$29,0),IF($NP$29="Bell_Curve",$NN$29*(263-$NR$29+1)*($NS$29-263+1)/$NU$29,$NN$29/$NT$29)),0)</f>
        <v/>
      </c>
      <c r="JH29" s="228">
        <f>IF(AND(264&gt;=$NR$29,264&lt;=$NS$29),IF($NP$29="Single_Point",IF(264=$NR$29,$NN$29,0),IF($NP$29="Bell_Curve",$NN$29*(264-$NR$29+1)*($NS$29-264+1)/$NU$29,$NN$29/$NT$29)),0)</f>
        <v/>
      </c>
      <c r="JI29" s="228">
        <f>IF(AND(265&gt;=$NR$29,265&lt;=$NS$29),IF($NP$29="Single_Point",IF(265=$NR$29,$NN$29,0),IF($NP$29="Bell_Curve",$NN$29*(265-$NR$29+1)*($NS$29-265+1)/$NU$29,$NN$29/$NT$29)),0)</f>
        <v/>
      </c>
      <c r="JJ29" s="228">
        <f>IF(AND(266&gt;=$NR$29,266&lt;=$NS$29),IF($NP$29="Single_Point",IF(266=$NR$29,$NN$29,0),IF($NP$29="Bell_Curve",$NN$29*(266-$NR$29+1)*($NS$29-266+1)/$NU$29,$NN$29/$NT$29)),0)</f>
        <v/>
      </c>
      <c r="JK29" s="228">
        <f>IF(AND(267&gt;=$NR$29,267&lt;=$NS$29),IF($NP$29="Single_Point",IF(267=$NR$29,$NN$29,0),IF($NP$29="Bell_Curve",$NN$29*(267-$NR$29+1)*($NS$29-267+1)/$NU$29,$NN$29/$NT$29)),0)</f>
        <v/>
      </c>
      <c r="JL29" s="228">
        <f>IF(AND(268&gt;=$NR$29,268&lt;=$NS$29),IF($NP$29="Single_Point",IF(268=$NR$29,$NN$29,0),IF($NP$29="Bell_Curve",$NN$29*(268-$NR$29+1)*($NS$29-268+1)/$NU$29,$NN$29/$NT$29)),0)</f>
        <v/>
      </c>
      <c r="JM29" s="228">
        <f>IF(AND(269&gt;=$NR$29,269&lt;=$NS$29),IF($NP$29="Single_Point",IF(269=$NR$29,$NN$29,0),IF($NP$29="Bell_Curve",$NN$29*(269-$NR$29+1)*($NS$29-269+1)/$NU$29,$NN$29/$NT$29)),0)</f>
        <v/>
      </c>
      <c r="JN29" s="228">
        <f>IF(AND(270&gt;=$NR$29,270&lt;=$NS$29),IF($NP$29="Single_Point",IF(270=$NR$29,$NN$29,0),IF($NP$29="Bell_Curve",$NN$29*(270-$NR$29+1)*($NS$29-270+1)/$NU$29,$NN$29/$NT$29)),0)</f>
        <v/>
      </c>
      <c r="JO29" s="228">
        <f>IF(AND(271&gt;=$NR$29,271&lt;=$NS$29),IF($NP$29="Single_Point",IF(271=$NR$29,$NN$29,0),IF($NP$29="Bell_Curve",$NN$29*(271-$NR$29+1)*($NS$29-271+1)/$NU$29,$NN$29/$NT$29)),0)</f>
        <v/>
      </c>
      <c r="JP29" s="228">
        <f>IF(AND(272&gt;=$NR$29,272&lt;=$NS$29),IF($NP$29="Single_Point",IF(272=$NR$29,$NN$29,0),IF($NP$29="Bell_Curve",$NN$29*(272-$NR$29+1)*($NS$29-272+1)/$NU$29,$NN$29/$NT$29)),0)</f>
        <v/>
      </c>
      <c r="JQ29" s="228">
        <f>IF(AND(273&gt;=$NR$29,273&lt;=$NS$29),IF($NP$29="Single_Point",IF(273=$NR$29,$NN$29,0),IF($NP$29="Bell_Curve",$NN$29*(273-$NR$29+1)*($NS$29-273+1)/$NU$29,$NN$29/$NT$29)),0)</f>
        <v/>
      </c>
      <c r="JR29" s="228">
        <f>IF(AND(274&gt;=$NR$29,274&lt;=$NS$29),IF($NP$29="Single_Point",IF(274=$NR$29,$NN$29,0),IF($NP$29="Bell_Curve",$NN$29*(274-$NR$29+1)*($NS$29-274+1)/$NU$29,$NN$29/$NT$29)),0)</f>
        <v/>
      </c>
      <c r="JS29" s="228">
        <f>IF(AND(275&gt;=$NR$29,275&lt;=$NS$29),IF($NP$29="Single_Point",IF(275=$NR$29,$NN$29,0),IF($NP$29="Bell_Curve",$NN$29*(275-$NR$29+1)*($NS$29-275+1)/$NU$29,$NN$29/$NT$29)),0)</f>
        <v/>
      </c>
      <c r="JT29" s="228">
        <f>IF(AND(276&gt;=$NR$29,276&lt;=$NS$29),IF($NP$29="Single_Point",IF(276=$NR$29,$NN$29,0),IF($NP$29="Bell_Curve",$NN$29*(276-$NR$29+1)*($NS$29-276+1)/$NU$29,$NN$29/$NT$29)),0)</f>
        <v/>
      </c>
      <c r="JU29" s="228">
        <f>IF(AND(277&gt;=$NR$29,277&lt;=$NS$29),IF($NP$29="Single_Point",IF(277=$NR$29,$NN$29,0),IF($NP$29="Bell_Curve",$NN$29*(277-$NR$29+1)*($NS$29-277+1)/$NU$29,$NN$29/$NT$29)),0)</f>
        <v/>
      </c>
      <c r="JV29" s="228">
        <f>IF(AND(278&gt;=$NR$29,278&lt;=$NS$29),IF($NP$29="Single_Point",IF(278=$NR$29,$NN$29,0),IF($NP$29="Bell_Curve",$NN$29*(278-$NR$29+1)*($NS$29-278+1)/$NU$29,$NN$29/$NT$29)),0)</f>
        <v/>
      </c>
      <c r="JW29" s="228">
        <f>IF(AND(279&gt;=$NR$29,279&lt;=$NS$29),IF($NP$29="Single_Point",IF(279=$NR$29,$NN$29,0),IF($NP$29="Bell_Curve",$NN$29*(279-$NR$29+1)*($NS$29-279+1)/$NU$29,$NN$29/$NT$29)),0)</f>
        <v/>
      </c>
      <c r="JX29" s="228">
        <f>IF(AND(280&gt;=$NR$29,280&lt;=$NS$29),IF($NP$29="Single_Point",IF(280=$NR$29,$NN$29,0),IF($NP$29="Bell_Curve",$NN$29*(280-$NR$29+1)*($NS$29-280+1)/$NU$29,$NN$29/$NT$29)),0)</f>
        <v/>
      </c>
      <c r="JY29" s="228">
        <f>IF(AND(281&gt;=$NR$29,281&lt;=$NS$29),IF($NP$29="Single_Point",IF(281=$NR$29,$NN$29,0),IF($NP$29="Bell_Curve",$NN$29*(281-$NR$29+1)*($NS$29-281+1)/$NU$29,$NN$29/$NT$29)),0)</f>
        <v/>
      </c>
      <c r="JZ29" s="228">
        <f>IF(AND(282&gt;=$NR$29,282&lt;=$NS$29),IF($NP$29="Single_Point",IF(282=$NR$29,$NN$29,0),IF($NP$29="Bell_Curve",$NN$29*(282-$NR$29+1)*($NS$29-282+1)/$NU$29,$NN$29/$NT$29)),0)</f>
        <v/>
      </c>
      <c r="KA29" s="228">
        <f>IF(AND(283&gt;=$NR$29,283&lt;=$NS$29),IF($NP$29="Single_Point",IF(283=$NR$29,$NN$29,0),IF($NP$29="Bell_Curve",$NN$29*(283-$NR$29+1)*($NS$29-283+1)/$NU$29,$NN$29/$NT$29)),0)</f>
        <v/>
      </c>
      <c r="KB29" s="228">
        <f>IF(AND(284&gt;=$NR$29,284&lt;=$NS$29),IF($NP$29="Single_Point",IF(284=$NR$29,$NN$29,0),IF($NP$29="Bell_Curve",$NN$29*(284-$NR$29+1)*($NS$29-284+1)/$NU$29,$NN$29/$NT$29)),0)</f>
        <v/>
      </c>
      <c r="KC29" s="228">
        <f>IF(AND(285&gt;=$NR$29,285&lt;=$NS$29),IF($NP$29="Single_Point",IF(285=$NR$29,$NN$29,0),IF($NP$29="Bell_Curve",$NN$29*(285-$NR$29+1)*($NS$29-285+1)/$NU$29,$NN$29/$NT$29)),0)</f>
        <v/>
      </c>
      <c r="KD29" s="228">
        <f>IF(AND(286&gt;=$NR$29,286&lt;=$NS$29),IF($NP$29="Single_Point",IF(286=$NR$29,$NN$29,0),IF($NP$29="Bell_Curve",$NN$29*(286-$NR$29+1)*($NS$29-286+1)/$NU$29,$NN$29/$NT$29)),0)</f>
        <v/>
      </c>
      <c r="KE29" s="228">
        <f>IF(AND(287&gt;=$NR$29,287&lt;=$NS$29),IF($NP$29="Single_Point",IF(287=$NR$29,$NN$29,0),IF($NP$29="Bell_Curve",$NN$29*(287-$NR$29+1)*($NS$29-287+1)/$NU$29,$NN$29/$NT$29)),0)</f>
        <v/>
      </c>
      <c r="KF29" s="228">
        <f>IF(AND(288&gt;=$NR$29,288&lt;=$NS$29),IF($NP$29="Single_Point",IF(288=$NR$29,$NN$29,0),IF($NP$29="Bell_Curve",$NN$29*(288-$NR$29+1)*($NS$29-288+1)/$NU$29,$NN$29/$NT$29)),0)</f>
        <v/>
      </c>
      <c r="KG29" s="228">
        <f>IF(AND(289&gt;=$NR$29,289&lt;=$NS$29),IF($NP$29="Single_Point",IF(289=$NR$29,$NN$29,0),IF($NP$29="Bell_Curve",$NN$29*(289-$NR$29+1)*($NS$29-289+1)/$NU$29,$NN$29/$NT$29)),0)</f>
        <v/>
      </c>
      <c r="KH29" s="228">
        <f>IF(AND(290&gt;=$NR$29,290&lt;=$NS$29),IF($NP$29="Single_Point",IF(290=$NR$29,$NN$29,0),IF($NP$29="Bell_Curve",$NN$29*(290-$NR$29+1)*($NS$29-290+1)/$NU$29,$NN$29/$NT$29)),0)</f>
        <v/>
      </c>
      <c r="KI29" s="228">
        <f>IF(AND(291&gt;=$NR$29,291&lt;=$NS$29),IF($NP$29="Single_Point",IF(291=$NR$29,$NN$29,0),IF($NP$29="Bell_Curve",$NN$29*(291-$NR$29+1)*($NS$29-291+1)/$NU$29,$NN$29/$NT$29)),0)</f>
        <v/>
      </c>
      <c r="KJ29" s="228">
        <f>IF(AND(292&gt;=$NR$29,292&lt;=$NS$29),IF($NP$29="Single_Point",IF(292=$NR$29,$NN$29,0),IF($NP$29="Bell_Curve",$NN$29*(292-$NR$29+1)*($NS$29-292+1)/$NU$29,$NN$29/$NT$29)),0)</f>
        <v/>
      </c>
      <c r="KK29" s="228">
        <f>IF(AND(293&gt;=$NR$29,293&lt;=$NS$29),IF($NP$29="Single_Point",IF(293=$NR$29,$NN$29,0),IF($NP$29="Bell_Curve",$NN$29*(293-$NR$29+1)*($NS$29-293+1)/$NU$29,$NN$29/$NT$29)),0)</f>
        <v/>
      </c>
      <c r="KL29" s="228">
        <f>IF(AND(294&gt;=$NR$29,294&lt;=$NS$29),IF($NP$29="Single_Point",IF(294=$NR$29,$NN$29,0),IF($NP$29="Bell_Curve",$NN$29*(294-$NR$29+1)*($NS$29-294+1)/$NU$29,$NN$29/$NT$29)),0)</f>
        <v/>
      </c>
      <c r="KM29" s="228">
        <f>IF(AND(295&gt;=$NR$29,295&lt;=$NS$29),IF($NP$29="Single_Point",IF(295=$NR$29,$NN$29,0),IF($NP$29="Bell_Curve",$NN$29*(295-$NR$29+1)*($NS$29-295+1)/$NU$29,$NN$29/$NT$29)),0)</f>
        <v/>
      </c>
      <c r="KN29" s="228">
        <f>IF(AND(296&gt;=$NR$29,296&lt;=$NS$29),IF($NP$29="Single_Point",IF(296=$NR$29,$NN$29,0),IF($NP$29="Bell_Curve",$NN$29*(296-$NR$29+1)*($NS$29-296+1)/$NU$29,$NN$29/$NT$29)),0)</f>
        <v/>
      </c>
      <c r="KO29" s="228">
        <f>IF(AND(297&gt;=$NR$29,297&lt;=$NS$29),IF($NP$29="Single_Point",IF(297=$NR$29,$NN$29,0),IF($NP$29="Bell_Curve",$NN$29*(297-$NR$29+1)*($NS$29-297+1)/$NU$29,$NN$29/$NT$29)),0)</f>
        <v/>
      </c>
      <c r="KP29" s="228">
        <f>IF(AND(298&gt;=$NR$29,298&lt;=$NS$29),IF($NP$29="Single_Point",IF(298=$NR$29,$NN$29,0),IF($NP$29="Bell_Curve",$NN$29*(298-$NR$29+1)*($NS$29-298+1)/$NU$29,$NN$29/$NT$29)),0)</f>
        <v/>
      </c>
      <c r="KQ29" s="228">
        <f>IF(AND(299&gt;=$NR$29,299&lt;=$NS$29),IF($NP$29="Single_Point",IF(299=$NR$29,$NN$29,0),IF($NP$29="Bell_Curve",$NN$29*(299-$NR$29+1)*($NS$29-299+1)/$NU$29,$NN$29/$NT$29)),0)</f>
        <v/>
      </c>
      <c r="KR29" s="228">
        <f>IF(AND(300&gt;=$NR$29,300&lt;=$NS$29),IF($NP$29="Single_Point",IF(300=$NR$29,$NN$29,0),IF($NP$29="Bell_Curve",$NN$29*(300-$NR$29+1)*($NS$29-300+1)/$NU$29,$NN$29/$NT$29)),0)</f>
        <v/>
      </c>
      <c r="KS29" s="228">
        <f>IF(AND(301&gt;=$NR$29,301&lt;=$NS$29),IF($NP$29="Single_Point",IF(301=$NR$29,$NN$29,0),IF($NP$29="Bell_Curve",$NN$29*(301-$NR$29+1)*($NS$29-301+1)/$NU$29,$NN$29/$NT$29)),0)</f>
        <v/>
      </c>
      <c r="KT29" s="228">
        <f>IF(AND(302&gt;=$NR$29,302&lt;=$NS$29),IF($NP$29="Single_Point",IF(302=$NR$29,$NN$29,0),IF($NP$29="Bell_Curve",$NN$29*(302-$NR$29+1)*($NS$29-302+1)/$NU$29,$NN$29/$NT$29)),0)</f>
        <v/>
      </c>
      <c r="KU29" s="228">
        <f>IF(AND(303&gt;=$NR$29,303&lt;=$NS$29),IF($NP$29="Single_Point",IF(303=$NR$29,$NN$29,0),IF($NP$29="Bell_Curve",$NN$29*(303-$NR$29+1)*($NS$29-303+1)/$NU$29,$NN$29/$NT$29)),0)</f>
        <v/>
      </c>
      <c r="KV29" s="228">
        <f>IF(AND(304&gt;=$NR$29,304&lt;=$NS$29),IF($NP$29="Single_Point",IF(304=$NR$29,$NN$29,0),IF($NP$29="Bell_Curve",$NN$29*(304-$NR$29+1)*($NS$29-304+1)/$NU$29,$NN$29/$NT$29)),0)</f>
        <v/>
      </c>
      <c r="KW29" s="228">
        <f>IF(AND(305&gt;=$NR$29,305&lt;=$NS$29),IF($NP$29="Single_Point",IF(305=$NR$29,$NN$29,0),IF($NP$29="Bell_Curve",$NN$29*(305-$NR$29+1)*($NS$29-305+1)/$NU$29,$NN$29/$NT$29)),0)</f>
        <v/>
      </c>
      <c r="KX29" s="228">
        <f>IF(AND(306&gt;=$NR$29,306&lt;=$NS$29),IF($NP$29="Single_Point",IF(306=$NR$29,$NN$29,0),IF($NP$29="Bell_Curve",$NN$29*(306-$NR$29+1)*($NS$29-306+1)/$NU$29,$NN$29/$NT$29)),0)</f>
        <v/>
      </c>
      <c r="KY29" s="228">
        <f>IF(AND(307&gt;=$NR$29,307&lt;=$NS$29),IF($NP$29="Single_Point",IF(307=$NR$29,$NN$29,0),IF($NP$29="Bell_Curve",$NN$29*(307-$NR$29+1)*($NS$29-307+1)/$NU$29,$NN$29/$NT$29)),0)</f>
        <v/>
      </c>
      <c r="KZ29" s="228">
        <f>IF(AND(308&gt;=$NR$29,308&lt;=$NS$29),IF($NP$29="Single_Point",IF(308=$NR$29,$NN$29,0),IF($NP$29="Bell_Curve",$NN$29*(308-$NR$29+1)*($NS$29-308+1)/$NU$29,$NN$29/$NT$29)),0)</f>
        <v/>
      </c>
      <c r="LA29" s="228">
        <f>IF(AND(309&gt;=$NR$29,309&lt;=$NS$29),IF($NP$29="Single_Point",IF(309=$NR$29,$NN$29,0),IF($NP$29="Bell_Curve",$NN$29*(309-$NR$29+1)*($NS$29-309+1)/$NU$29,$NN$29/$NT$29)),0)</f>
        <v/>
      </c>
      <c r="LB29" s="228">
        <f>IF(AND(310&gt;=$NR$29,310&lt;=$NS$29),IF($NP$29="Single_Point",IF(310=$NR$29,$NN$29,0),IF($NP$29="Bell_Curve",$NN$29*(310-$NR$29+1)*($NS$29-310+1)/$NU$29,$NN$29/$NT$29)),0)</f>
        <v/>
      </c>
      <c r="LC29" s="228">
        <f>IF(AND(311&gt;=$NR$29,311&lt;=$NS$29),IF($NP$29="Single_Point",IF(311=$NR$29,$NN$29,0),IF($NP$29="Bell_Curve",$NN$29*(311-$NR$29+1)*($NS$29-311+1)/$NU$29,$NN$29/$NT$29)),0)</f>
        <v/>
      </c>
      <c r="LD29" s="228">
        <f>IF(AND(312&gt;=$NR$29,312&lt;=$NS$29),IF($NP$29="Single_Point",IF(312=$NR$29,$NN$29,0),IF($NP$29="Bell_Curve",$NN$29*(312-$NR$29+1)*($NS$29-312+1)/$NU$29,$NN$29/$NT$29)),0)</f>
        <v/>
      </c>
      <c r="LE29" s="228">
        <f>IF(AND(313&gt;=$NR$29,313&lt;=$NS$29),IF($NP$29="Single_Point",IF(313=$NR$29,$NN$29,0),IF($NP$29="Bell_Curve",$NN$29*(313-$NR$29+1)*($NS$29-313+1)/$NU$29,$NN$29/$NT$29)),0)</f>
        <v/>
      </c>
      <c r="LF29" s="228">
        <f>IF(AND(314&gt;=$NR$29,314&lt;=$NS$29),IF($NP$29="Single_Point",IF(314=$NR$29,$NN$29,0),IF($NP$29="Bell_Curve",$NN$29*(314-$NR$29+1)*($NS$29-314+1)/$NU$29,$NN$29/$NT$29)),0)</f>
        <v/>
      </c>
      <c r="LG29" s="228">
        <f>IF(AND(315&gt;=$NR$29,315&lt;=$NS$29),IF($NP$29="Single_Point",IF(315=$NR$29,$NN$29,0),IF($NP$29="Bell_Curve",$NN$29*(315-$NR$29+1)*($NS$29-315+1)/$NU$29,$NN$29/$NT$29)),0)</f>
        <v/>
      </c>
      <c r="LH29" s="228">
        <f>IF(AND(316&gt;=$NR$29,316&lt;=$NS$29),IF($NP$29="Single_Point",IF(316=$NR$29,$NN$29,0),IF($NP$29="Bell_Curve",$NN$29*(316-$NR$29+1)*($NS$29-316+1)/$NU$29,$NN$29/$NT$29)),0)</f>
        <v/>
      </c>
      <c r="LI29" s="228">
        <f>IF(AND(317&gt;=$NR$29,317&lt;=$NS$29),IF($NP$29="Single_Point",IF(317=$NR$29,$NN$29,0),IF($NP$29="Bell_Curve",$NN$29*(317-$NR$29+1)*($NS$29-317+1)/$NU$29,$NN$29/$NT$29)),0)</f>
        <v/>
      </c>
      <c r="LJ29" s="228">
        <f>IF(AND(318&gt;=$NR$29,318&lt;=$NS$29),IF($NP$29="Single_Point",IF(318=$NR$29,$NN$29,0),IF($NP$29="Bell_Curve",$NN$29*(318-$NR$29+1)*($NS$29-318+1)/$NU$29,$NN$29/$NT$29)),0)</f>
        <v/>
      </c>
      <c r="LK29" s="228">
        <f>IF(AND(319&gt;=$NR$29,319&lt;=$NS$29),IF($NP$29="Single_Point",IF(319=$NR$29,$NN$29,0),IF($NP$29="Bell_Curve",$NN$29*(319-$NR$29+1)*($NS$29-319+1)/$NU$29,$NN$29/$NT$29)),0)</f>
        <v/>
      </c>
      <c r="LL29" s="228">
        <f>IF(AND(320&gt;=$NR$29,320&lt;=$NS$29),IF($NP$29="Single_Point",IF(320=$NR$29,$NN$29,0),IF($NP$29="Bell_Curve",$NN$29*(320-$NR$29+1)*($NS$29-320+1)/$NU$29,$NN$29/$NT$29)),0)</f>
        <v/>
      </c>
      <c r="LM29" s="228">
        <f>IF(AND(321&gt;=$NR$29,321&lt;=$NS$29),IF($NP$29="Single_Point",IF(321=$NR$29,$NN$29,0),IF($NP$29="Bell_Curve",$NN$29*(321-$NR$29+1)*($NS$29-321+1)/$NU$29,$NN$29/$NT$29)),0)</f>
        <v/>
      </c>
      <c r="LN29" s="228">
        <f>IF(AND(322&gt;=$NR$29,322&lt;=$NS$29),IF($NP$29="Single_Point",IF(322=$NR$29,$NN$29,0),IF($NP$29="Bell_Curve",$NN$29*(322-$NR$29+1)*($NS$29-322+1)/$NU$29,$NN$29/$NT$29)),0)</f>
        <v/>
      </c>
      <c r="LO29" s="228">
        <f>IF(AND(323&gt;=$NR$29,323&lt;=$NS$29),IF($NP$29="Single_Point",IF(323=$NR$29,$NN$29,0),IF($NP$29="Bell_Curve",$NN$29*(323-$NR$29+1)*($NS$29-323+1)/$NU$29,$NN$29/$NT$29)),0)</f>
        <v/>
      </c>
      <c r="LP29" s="228">
        <f>IF(AND(324&gt;=$NR$29,324&lt;=$NS$29),IF($NP$29="Single_Point",IF(324=$NR$29,$NN$29,0),IF($NP$29="Bell_Curve",$NN$29*(324-$NR$29+1)*($NS$29-324+1)/$NU$29,$NN$29/$NT$29)),0)</f>
        <v/>
      </c>
      <c r="LQ29" s="228">
        <f>IF(AND(325&gt;=$NR$29,325&lt;=$NS$29),IF($NP$29="Single_Point",IF(325=$NR$29,$NN$29,0),IF($NP$29="Bell_Curve",$NN$29*(325-$NR$29+1)*($NS$29-325+1)/$NU$29,$NN$29/$NT$29)),0)</f>
        <v/>
      </c>
      <c r="LR29" s="228">
        <f>IF(AND(326&gt;=$NR$29,326&lt;=$NS$29),IF($NP$29="Single_Point",IF(326=$NR$29,$NN$29,0),IF($NP$29="Bell_Curve",$NN$29*(326-$NR$29+1)*($NS$29-326+1)/$NU$29,$NN$29/$NT$29)),0)</f>
        <v/>
      </c>
      <c r="LS29" s="228">
        <f>IF(AND(327&gt;=$NR$29,327&lt;=$NS$29),IF($NP$29="Single_Point",IF(327=$NR$29,$NN$29,0),IF($NP$29="Bell_Curve",$NN$29*(327-$NR$29+1)*($NS$29-327+1)/$NU$29,$NN$29/$NT$29)),0)</f>
        <v/>
      </c>
      <c r="LT29" s="228">
        <f>IF(AND(328&gt;=$NR$29,328&lt;=$NS$29),IF($NP$29="Single_Point",IF(328=$NR$29,$NN$29,0),IF($NP$29="Bell_Curve",$NN$29*(328-$NR$29+1)*($NS$29-328+1)/$NU$29,$NN$29/$NT$29)),0)</f>
        <v/>
      </c>
      <c r="LU29" s="228">
        <f>IF(AND(329&gt;=$NR$29,329&lt;=$NS$29),IF($NP$29="Single_Point",IF(329=$NR$29,$NN$29,0),IF($NP$29="Bell_Curve",$NN$29*(329-$NR$29+1)*($NS$29-329+1)/$NU$29,$NN$29/$NT$29)),0)</f>
        <v/>
      </c>
      <c r="LV29" s="228">
        <f>IF(AND(330&gt;=$NR$29,330&lt;=$NS$29),IF($NP$29="Single_Point",IF(330=$NR$29,$NN$29,0),IF($NP$29="Bell_Curve",$NN$29*(330-$NR$29+1)*($NS$29-330+1)/$NU$29,$NN$29/$NT$29)),0)</f>
        <v/>
      </c>
      <c r="LW29" s="228">
        <f>IF(AND(331&gt;=$NR$29,331&lt;=$NS$29),IF($NP$29="Single_Point",IF(331=$NR$29,$NN$29,0),IF($NP$29="Bell_Curve",$NN$29*(331-$NR$29+1)*($NS$29-331+1)/$NU$29,$NN$29/$NT$29)),0)</f>
        <v/>
      </c>
      <c r="LX29" s="228">
        <f>IF(AND(332&gt;=$NR$29,332&lt;=$NS$29),IF($NP$29="Single_Point",IF(332=$NR$29,$NN$29,0),IF($NP$29="Bell_Curve",$NN$29*(332-$NR$29+1)*($NS$29-332+1)/$NU$29,$NN$29/$NT$29)),0)</f>
        <v/>
      </c>
      <c r="LY29" s="228">
        <f>IF(AND(333&gt;=$NR$29,333&lt;=$NS$29),IF($NP$29="Single_Point",IF(333=$NR$29,$NN$29,0),IF($NP$29="Bell_Curve",$NN$29*(333-$NR$29+1)*($NS$29-333+1)/$NU$29,$NN$29/$NT$29)),0)</f>
        <v/>
      </c>
      <c r="LZ29" s="228">
        <f>IF(AND(334&gt;=$NR$29,334&lt;=$NS$29),IF($NP$29="Single_Point",IF(334=$NR$29,$NN$29,0),IF($NP$29="Bell_Curve",$NN$29*(334-$NR$29+1)*($NS$29-334+1)/$NU$29,$NN$29/$NT$29)),0)</f>
        <v/>
      </c>
      <c r="MA29" s="228">
        <f>IF(AND(335&gt;=$NR$29,335&lt;=$NS$29),IF($NP$29="Single_Point",IF(335=$NR$29,$NN$29,0),IF($NP$29="Bell_Curve",$NN$29*(335-$NR$29+1)*($NS$29-335+1)/$NU$29,$NN$29/$NT$29)),0)</f>
        <v/>
      </c>
      <c r="MB29" s="228">
        <f>IF(AND(336&gt;=$NR$29,336&lt;=$NS$29),IF($NP$29="Single_Point",IF(336=$NR$29,$NN$29,0),IF($NP$29="Bell_Curve",$NN$29*(336-$NR$29+1)*($NS$29-336+1)/$NU$29,$NN$29/$NT$29)),0)</f>
        <v/>
      </c>
      <c r="MC29" s="228">
        <f>IF(AND(337&gt;=$NR$29,337&lt;=$NS$29),IF($NP$29="Single_Point",IF(337=$NR$29,$NN$29,0),IF($NP$29="Bell_Curve",$NN$29*(337-$NR$29+1)*($NS$29-337+1)/$NU$29,$NN$29/$NT$29)),0)</f>
        <v/>
      </c>
      <c r="MD29" s="228">
        <f>IF(AND(338&gt;=$NR$29,338&lt;=$NS$29),IF($NP$29="Single_Point",IF(338=$NR$29,$NN$29,0),IF($NP$29="Bell_Curve",$NN$29*(338-$NR$29+1)*($NS$29-338+1)/$NU$29,$NN$29/$NT$29)),0)</f>
        <v/>
      </c>
      <c r="ME29" s="228">
        <f>IF(AND(339&gt;=$NR$29,339&lt;=$NS$29),IF($NP$29="Single_Point",IF(339=$NR$29,$NN$29,0),IF($NP$29="Bell_Curve",$NN$29*(339-$NR$29+1)*($NS$29-339+1)/$NU$29,$NN$29/$NT$29)),0)</f>
        <v/>
      </c>
      <c r="MF29" s="228">
        <f>IF(AND(340&gt;=$NR$29,340&lt;=$NS$29),IF($NP$29="Single_Point",IF(340=$NR$29,$NN$29,0),IF($NP$29="Bell_Curve",$NN$29*(340-$NR$29+1)*($NS$29-340+1)/$NU$29,$NN$29/$NT$29)),0)</f>
        <v/>
      </c>
      <c r="MG29" s="228">
        <f>IF(AND(341&gt;=$NR$29,341&lt;=$NS$29),IF($NP$29="Single_Point",IF(341=$NR$29,$NN$29,0),IF($NP$29="Bell_Curve",$NN$29*(341-$NR$29+1)*($NS$29-341+1)/$NU$29,$NN$29/$NT$29)),0)</f>
        <v/>
      </c>
      <c r="MH29" s="228">
        <f>IF(AND(342&gt;=$NR$29,342&lt;=$NS$29),IF($NP$29="Single_Point",IF(342=$NR$29,$NN$29,0),IF($NP$29="Bell_Curve",$NN$29*(342-$NR$29+1)*($NS$29-342+1)/$NU$29,$NN$29/$NT$29)),0)</f>
        <v/>
      </c>
      <c r="MI29" s="228">
        <f>IF(AND(343&gt;=$NR$29,343&lt;=$NS$29),IF($NP$29="Single_Point",IF(343=$NR$29,$NN$29,0),IF($NP$29="Bell_Curve",$NN$29*(343-$NR$29+1)*($NS$29-343+1)/$NU$29,$NN$29/$NT$29)),0)</f>
        <v/>
      </c>
      <c r="MJ29" s="228">
        <f>IF(AND(344&gt;=$NR$29,344&lt;=$NS$29),IF($NP$29="Single_Point",IF(344=$NR$29,$NN$29,0),IF($NP$29="Bell_Curve",$NN$29*(344-$NR$29+1)*($NS$29-344+1)/$NU$29,$NN$29/$NT$29)),0)</f>
        <v/>
      </c>
      <c r="MK29" s="228">
        <f>IF(AND(345&gt;=$NR$29,345&lt;=$NS$29),IF($NP$29="Single_Point",IF(345=$NR$29,$NN$29,0),IF($NP$29="Bell_Curve",$NN$29*(345-$NR$29+1)*($NS$29-345+1)/$NU$29,$NN$29/$NT$29)),0)</f>
        <v/>
      </c>
      <c r="ML29" s="228">
        <f>IF(AND(346&gt;=$NR$29,346&lt;=$NS$29),IF($NP$29="Single_Point",IF(346=$NR$29,$NN$29,0),IF($NP$29="Bell_Curve",$NN$29*(346-$NR$29+1)*($NS$29-346+1)/$NU$29,$NN$29/$NT$29)),0)</f>
        <v/>
      </c>
      <c r="MM29" s="228">
        <f>IF(AND(347&gt;=$NR$29,347&lt;=$NS$29),IF($NP$29="Single_Point",IF(347=$NR$29,$NN$29,0),IF($NP$29="Bell_Curve",$NN$29*(347-$NR$29+1)*($NS$29-347+1)/$NU$29,$NN$29/$NT$29)),0)</f>
        <v/>
      </c>
      <c r="MN29" s="228">
        <f>IF(AND(348&gt;=$NR$29,348&lt;=$NS$29),IF($NP$29="Single_Point",IF(348=$NR$29,$NN$29,0),IF($NP$29="Bell_Curve",$NN$29*(348-$NR$29+1)*($NS$29-348+1)/$NU$29,$NN$29/$NT$29)),0)</f>
        <v/>
      </c>
      <c r="MO29" s="228">
        <f>IF(AND(349&gt;=$NR$29,349&lt;=$NS$29),IF($NP$29="Single_Point",IF(349=$NR$29,$NN$29,0),IF($NP$29="Bell_Curve",$NN$29*(349-$NR$29+1)*($NS$29-349+1)/$NU$29,$NN$29/$NT$29)),0)</f>
        <v/>
      </c>
      <c r="MP29" s="228">
        <f>IF(AND(350&gt;=$NR$29,350&lt;=$NS$29),IF($NP$29="Single_Point",IF(350=$NR$29,$NN$29,0),IF($NP$29="Bell_Curve",$NN$29*(350-$NR$29+1)*($NS$29-350+1)/$NU$29,$NN$29/$NT$29)),0)</f>
        <v/>
      </c>
      <c r="MQ29" s="228">
        <f>IF(AND(351&gt;=$NR$29,351&lt;=$NS$29),IF($NP$29="Single_Point",IF(351=$NR$29,$NN$29,0),IF($NP$29="Bell_Curve",$NN$29*(351-$NR$29+1)*($NS$29-351+1)/$NU$29,$NN$29/$NT$29)),0)</f>
        <v/>
      </c>
      <c r="MR29" s="228">
        <f>IF(AND(352&gt;=$NR$29,352&lt;=$NS$29),IF($NP$29="Single_Point",IF(352=$NR$29,$NN$29,0),IF($NP$29="Bell_Curve",$NN$29*(352-$NR$29+1)*($NS$29-352+1)/$NU$29,$NN$29/$NT$29)),0)</f>
        <v/>
      </c>
      <c r="MS29" s="228">
        <f>IF(AND(353&gt;=$NR$29,353&lt;=$NS$29),IF($NP$29="Single_Point",IF(353=$NR$29,$NN$29,0),IF($NP$29="Bell_Curve",$NN$29*(353-$NR$29+1)*($NS$29-353+1)/$NU$29,$NN$29/$NT$29)),0)</f>
        <v/>
      </c>
      <c r="MT29" s="228">
        <f>IF(AND(354&gt;=$NR$29,354&lt;=$NS$29),IF($NP$29="Single_Point",IF(354=$NR$29,$NN$29,0),IF($NP$29="Bell_Curve",$NN$29*(354-$NR$29+1)*($NS$29-354+1)/$NU$29,$NN$29/$NT$29)),0)</f>
        <v/>
      </c>
      <c r="MU29" s="228">
        <f>IF(AND(355&gt;=$NR$29,355&lt;=$NS$29),IF($NP$29="Single_Point",IF(355=$NR$29,$NN$29,0),IF($NP$29="Bell_Curve",$NN$29*(355-$NR$29+1)*($NS$29-355+1)/$NU$29,$NN$29/$NT$29)),0)</f>
        <v/>
      </c>
      <c r="MV29" s="228">
        <f>IF(AND(356&gt;=$NR$29,356&lt;=$NS$29),IF($NP$29="Single_Point",IF(356=$NR$29,$NN$29,0),IF($NP$29="Bell_Curve",$NN$29*(356-$NR$29+1)*($NS$29-356+1)/$NU$29,$NN$29/$NT$29)),0)</f>
        <v/>
      </c>
      <c r="MW29" s="228">
        <f>IF(AND(357&gt;=$NR$29,357&lt;=$NS$29),IF($NP$29="Single_Point",IF(357=$NR$29,$NN$29,0),IF($NP$29="Bell_Curve",$NN$29*(357-$NR$29+1)*($NS$29-357+1)/$NU$29,$NN$29/$NT$29)),0)</f>
        <v/>
      </c>
      <c r="MX29" s="228">
        <f>IF(AND(358&gt;=$NR$29,358&lt;=$NS$29),IF($NP$29="Single_Point",IF(358=$NR$29,$NN$29,0),IF($NP$29="Bell_Curve",$NN$29*(358-$NR$29+1)*($NS$29-358+1)/$NU$29,$NN$29/$NT$29)),0)</f>
        <v/>
      </c>
      <c r="MY29" s="228">
        <f>IF(AND(359&gt;=$NR$29,359&lt;=$NS$29),IF($NP$29="Single_Point",IF(359=$NR$29,$NN$29,0),IF($NP$29="Bell_Curve",$NN$29*(359-$NR$29+1)*($NS$29-359+1)/$NU$29,$NN$29/$NT$29)),0)</f>
        <v/>
      </c>
      <c r="MZ29" s="228">
        <f>IF(AND(360&gt;=$NR$29,360&lt;=$NS$29),IF($NP$29="Single_Point",IF(360=$NR$29,$NN$29,0),IF($NP$29="Bell_Curve",$NN$29*(360-$NR$29+1)*($NS$29-360+1)/$NU$29,$NN$29/$NT$29)),0)</f>
        <v/>
      </c>
      <c r="NA29" s="228">
        <f>IF(AND(361&gt;=$NR$29,361&lt;=$NS$29),IF($NP$29="Single_Point",IF(361=$NR$29,$NN$29,0),IF($NP$29="Bell_Curve",$NN$29*(361-$NR$29+1)*($NS$29-361+1)/$NU$29,$NN$29/$NT$29)),0)</f>
        <v/>
      </c>
      <c r="NB29" s="228">
        <f>IF(AND(362&gt;=$NR$29,362&lt;=$NS$29),IF($NP$29="Single_Point",IF(362=$NR$29,$NN$29,0),IF($NP$29="Bell_Curve",$NN$29*(362-$NR$29+1)*($NS$29-362+1)/$NU$29,$NN$29/$NT$29)),0)</f>
        <v/>
      </c>
      <c r="NC29" s="228">
        <f>IF(AND(363&gt;=$NR$29,363&lt;=$NS$29),IF($NP$29="Single_Point",IF(363=$NR$29,$NN$29,0),IF($NP$29="Bell_Curve",$NN$29*(363-$NR$29+1)*($NS$29-363+1)/$NU$29,$NN$29/$NT$29)),0)</f>
        <v/>
      </c>
      <c r="ND29" s="228">
        <f>IF(AND(364&gt;=$NR$29,364&lt;=$NS$29),IF($NP$29="Single_Point",IF(364=$NR$29,$NN$29,0),IF($NP$29="Bell_Curve",$NN$29*(364-$NR$29+1)*($NS$29-364+1)/$NU$29,$NN$29/$NT$29)),0)</f>
        <v/>
      </c>
      <c r="NE29" s="228">
        <f>IF(AND(365&gt;=$NR$29,365&lt;=$NS$29),IF($NP$29="Single_Point",IF(365=$NR$29,$NN$29,0),IF($NP$29="Bell_Curve",$NN$29*(365-$NR$29+1)*($NS$29-365+1)/$NU$29,$NN$29/$NT$29)),0)</f>
        <v/>
      </c>
      <c r="NF29" s="228">
        <f>IF(AND(366&gt;=$NR$29,366&lt;=$NS$29),IF($NP$29="Single_Point",IF(366=$NR$29,$NN$29,0),IF($NP$29="Bell_Curve",$NN$29*(366-$NR$29+1)*($NS$29-366+1)/$NU$29,$NN$29/$NT$29)),0)</f>
        <v/>
      </c>
      <c r="NG29" s="228">
        <f>IF(AND(367&gt;=$NR$29,367&lt;=$NS$29),IF($NP$29="Single_Point",IF(367=$NR$29,$NN$29,0),IF($NP$29="Bell_Curve",$NN$29*(367-$NR$29+1)*($NS$29-367+1)/$NU$29,$NN$29/$NT$29)),0)</f>
        <v/>
      </c>
      <c r="NH29" s="228">
        <f>IF(AND(368&gt;=$NR$29,368&lt;=$NS$29),IF($NP$29="Single_Point",IF(368=$NR$29,$NN$29,0),IF($NP$29="Bell_Curve",$NN$29*(368-$NR$29+1)*($NS$29-368+1)/$NU$29,$NN$29/$NT$29)),0)</f>
        <v/>
      </c>
      <c r="NI29" s="228">
        <f>IF(AND(369&gt;=$NR$29,369&lt;=$NS$29),IF($NP$29="Single_Point",IF(369=$NR$29,$NN$29,0),IF($NP$29="Bell_Curve",$NN$29*(369-$NR$29+1)*($NS$29-369+1)/$NU$29,$NN$29/$NT$29)),0)</f>
        <v/>
      </c>
      <c r="NJ29" s="228">
        <f>IF(AND(370&gt;=$NR$29,370&lt;=$NS$29),IF($NP$29="Single_Point",IF(370=$NR$29,$NN$29,0),IF($NP$29="Bell_Curve",$NN$29*(370-$NR$29+1)*($NS$29-370+1)/$NU$29,$NN$29/$NT$29)),0)</f>
        <v/>
      </c>
      <c r="NK29" s="228">
        <f>IF(AND(371&gt;=$NR$29,371&lt;=$NS$29),IF($NP$29="Single_Point",IF(371=$NR$29,$NN$29,0),IF($NP$29="Bell_Curve",$NN$29*(371-$NR$29+1)*($NS$29-371+1)/$NU$29,$NN$29/$NT$29)),0)</f>
        <v/>
      </c>
      <c r="NL29" s="247">
        <f>IF(AND(372&gt;=$NR$29,372&lt;=$NS$29),IF($NP$29="Single_Point",IF(372=$NR$29,$NN$29,0),IF($NP$29="Bell_Curve",$NN$29*(372-$NR$29+1)*($NS$29-372+1)/$NU$29,$NN$29/$NT$29)),0)</f>
        <v/>
      </c>
      <c r="NN29" s="218">
        <f>Budget!J28</f>
        <v/>
      </c>
      <c r="NO29" s="144">
        <f>Budget!G28</f>
        <v/>
      </c>
      <c r="NP29" s="144">
        <f>Budget!H28</f>
        <v/>
      </c>
      <c r="NQ29" s="85">
        <f>Budget!I28</f>
        <v/>
      </c>
      <c r="NR29" s="248">
        <f>MAX(1,MIN(372,INDEX(MilestoneStart,MATCH(NO29,MilestoneNames,0))+NQ29))</f>
        <v/>
      </c>
      <c r="NS29" s="248">
        <f>MAX(NR29,MIN(372,INDEX(MilestoneEnd,MATCH(NO29,MilestoneNames,0))+NQ29))</f>
        <v/>
      </c>
      <c r="NT29" s="85">
        <f>NS29-NR29+1</f>
        <v/>
      </c>
      <c r="NU29" s="85">
        <f>NT29*(NT29+1)*(NT29+2)/6</f>
        <v/>
      </c>
    </row>
    <row r="30">
      <c r="B30" s="36" t="inlineStr">
        <is>
          <t>Other Hard Cost 4</t>
        </is>
      </c>
      <c r="D30" s="246">
        <f>SUM(E30:NL30)</f>
        <v/>
      </c>
      <c r="E30" s="228">
        <f>IF(AND(1&gt;=$NR$30,1&lt;=$NS$30),IF($NP$30="Single_Point",IF(1=$NR$30,$NN$30,0),IF($NP$30="Bell_Curve",$NN$30*(1-$NR$30+1)*($NS$30-1+1)/$NU$30,$NN$30/$NT$30)),0)</f>
        <v/>
      </c>
      <c r="F30" s="228">
        <f>IF(AND(2&gt;=$NR$30,2&lt;=$NS$30),IF($NP$30="Single_Point",IF(2=$NR$30,$NN$30,0),IF($NP$30="Bell_Curve",$NN$30*(2-$NR$30+1)*($NS$30-2+1)/$NU$30,$NN$30/$NT$30)),0)</f>
        <v/>
      </c>
      <c r="G30" s="228">
        <f>IF(AND(3&gt;=$NR$30,3&lt;=$NS$30),IF($NP$30="Single_Point",IF(3=$NR$30,$NN$30,0),IF($NP$30="Bell_Curve",$NN$30*(3-$NR$30+1)*($NS$30-3+1)/$NU$30,$NN$30/$NT$30)),0)</f>
        <v/>
      </c>
      <c r="H30" s="228">
        <f>IF(AND(4&gt;=$NR$30,4&lt;=$NS$30),IF($NP$30="Single_Point",IF(4=$NR$30,$NN$30,0),IF($NP$30="Bell_Curve",$NN$30*(4-$NR$30+1)*($NS$30-4+1)/$NU$30,$NN$30/$NT$30)),0)</f>
        <v/>
      </c>
      <c r="I30" s="228">
        <f>IF(AND(5&gt;=$NR$30,5&lt;=$NS$30),IF($NP$30="Single_Point",IF(5=$NR$30,$NN$30,0),IF($NP$30="Bell_Curve",$NN$30*(5-$NR$30+1)*($NS$30-5+1)/$NU$30,$NN$30/$NT$30)),0)</f>
        <v/>
      </c>
      <c r="J30" s="228">
        <f>IF(AND(6&gt;=$NR$30,6&lt;=$NS$30),IF($NP$30="Single_Point",IF(6=$NR$30,$NN$30,0),IF($NP$30="Bell_Curve",$NN$30*(6-$NR$30+1)*($NS$30-6+1)/$NU$30,$NN$30/$NT$30)),0)</f>
        <v/>
      </c>
      <c r="K30" s="228">
        <f>IF(AND(7&gt;=$NR$30,7&lt;=$NS$30),IF($NP$30="Single_Point",IF(7=$NR$30,$NN$30,0),IF($NP$30="Bell_Curve",$NN$30*(7-$NR$30+1)*($NS$30-7+1)/$NU$30,$NN$30/$NT$30)),0)</f>
        <v/>
      </c>
      <c r="L30" s="228">
        <f>IF(AND(8&gt;=$NR$30,8&lt;=$NS$30),IF($NP$30="Single_Point",IF(8=$NR$30,$NN$30,0),IF($NP$30="Bell_Curve",$NN$30*(8-$NR$30+1)*($NS$30-8+1)/$NU$30,$NN$30/$NT$30)),0)</f>
        <v/>
      </c>
      <c r="M30" s="228">
        <f>IF(AND(9&gt;=$NR$30,9&lt;=$NS$30),IF($NP$30="Single_Point",IF(9=$NR$30,$NN$30,0),IF($NP$30="Bell_Curve",$NN$30*(9-$NR$30+1)*($NS$30-9+1)/$NU$30,$NN$30/$NT$30)),0)</f>
        <v/>
      </c>
      <c r="N30" s="228">
        <f>IF(AND(10&gt;=$NR$30,10&lt;=$NS$30),IF($NP$30="Single_Point",IF(10=$NR$30,$NN$30,0),IF($NP$30="Bell_Curve",$NN$30*(10-$NR$30+1)*($NS$30-10+1)/$NU$30,$NN$30/$NT$30)),0)</f>
        <v/>
      </c>
      <c r="O30" s="228">
        <f>IF(AND(11&gt;=$NR$30,11&lt;=$NS$30),IF($NP$30="Single_Point",IF(11=$NR$30,$NN$30,0),IF($NP$30="Bell_Curve",$NN$30*(11-$NR$30+1)*($NS$30-11+1)/$NU$30,$NN$30/$NT$30)),0)</f>
        <v/>
      </c>
      <c r="P30" s="228">
        <f>IF(AND(12&gt;=$NR$30,12&lt;=$NS$30),IF($NP$30="Single_Point",IF(12=$NR$30,$NN$30,0),IF($NP$30="Bell_Curve",$NN$30*(12-$NR$30+1)*($NS$30-12+1)/$NU$30,$NN$30/$NT$30)),0)</f>
        <v/>
      </c>
      <c r="Q30" s="228">
        <f>IF(AND(13&gt;=$NR$30,13&lt;=$NS$30),IF($NP$30="Single_Point",IF(13=$NR$30,$NN$30,0),IF($NP$30="Bell_Curve",$NN$30*(13-$NR$30+1)*($NS$30-13+1)/$NU$30,$NN$30/$NT$30)),0)</f>
        <v/>
      </c>
      <c r="R30" s="228">
        <f>IF(AND(14&gt;=$NR$30,14&lt;=$NS$30),IF($NP$30="Single_Point",IF(14=$NR$30,$NN$30,0),IF($NP$30="Bell_Curve",$NN$30*(14-$NR$30+1)*($NS$30-14+1)/$NU$30,$NN$30/$NT$30)),0)</f>
        <v/>
      </c>
      <c r="S30" s="228">
        <f>IF(AND(15&gt;=$NR$30,15&lt;=$NS$30),IF($NP$30="Single_Point",IF(15=$NR$30,$NN$30,0),IF($NP$30="Bell_Curve",$NN$30*(15-$NR$30+1)*($NS$30-15+1)/$NU$30,$NN$30/$NT$30)),0)</f>
        <v/>
      </c>
      <c r="T30" s="228">
        <f>IF(AND(16&gt;=$NR$30,16&lt;=$NS$30),IF($NP$30="Single_Point",IF(16=$NR$30,$NN$30,0),IF($NP$30="Bell_Curve",$NN$30*(16-$NR$30+1)*($NS$30-16+1)/$NU$30,$NN$30/$NT$30)),0)</f>
        <v/>
      </c>
      <c r="U30" s="228">
        <f>IF(AND(17&gt;=$NR$30,17&lt;=$NS$30),IF($NP$30="Single_Point",IF(17=$NR$30,$NN$30,0),IF($NP$30="Bell_Curve",$NN$30*(17-$NR$30+1)*($NS$30-17+1)/$NU$30,$NN$30/$NT$30)),0)</f>
        <v/>
      </c>
      <c r="V30" s="228">
        <f>IF(AND(18&gt;=$NR$30,18&lt;=$NS$30),IF($NP$30="Single_Point",IF(18=$NR$30,$NN$30,0),IF($NP$30="Bell_Curve",$NN$30*(18-$NR$30+1)*($NS$30-18+1)/$NU$30,$NN$30/$NT$30)),0)</f>
        <v/>
      </c>
      <c r="W30" s="228">
        <f>IF(AND(19&gt;=$NR$30,19&lt;=$NS$30),IF($NP$30="Single_Point",IF(19=$NR$30,$NN$30,0),IF($NP$30="Bell_Curve",$NN$30*(19-$NR$30+1)*($NS$30-19+1)/$NU$30,$NN$30/$NT$30)),0)</f>
        <v/>
      </c>
      <c r="X30" s="228">
        <f>IF(AND(20&gt;=$NR$30,20&lt;=$NS$30),IF($NP$30="Single_Point",IF(20=$NR$30,$NN$30,0),IF($NP$30="Bell_Curve",$NN$30*(20-$NR$30+1)*($NS$30-20+1)/$NU$30,$NN$30/$NT$30)),0)</f>
        <v/>
      </c>
      <c r="Y30" s="228">
        <f>IF(AND(21&gt;=$NR$30,21&lt;=$NS$30),IF($NP$30="Single_Point",IF(21=$NR$30,$NN$30,0),IF($NP$30="Bell_Curve",$NN$30*(21-$NR$30+1)*($NS$30-21+1)/$NU$30,$NN$30/$NT$30)),0)</f>
        <v/>
      </c>
      <c r="Z30" s="228">
        <f>IF(AND(22&gt;=$NR$30,22&lt;=$NS$30),IF($NP$30="Single_Point",IF(22=$NR$30,$NN$30,0),IF($NP$30="Bell_Curve",$NN$30*(22-$NR$30+1)*($NS$30-22+1)/$NU$30,$NN$30/$NT$30)),0)</f>
        <v/>
      </c>
      <c r="AA30" s="228">
        <f>IF(AND(23&gt;=$NR$30,23&lt;=$NS$30),IF($NP$30="Single_Point",IF(23=$NR$30,$NN$30,0),IF($NP$30="Bell_Curve",$NN$30*(23-$NR$30+1)*($NS$30-23+1)/$NU$30,$NN$30/$NT$30)),0)</f>
        <v/>
      </c>
      <c r="AB30" s="228">
        <f>IF(AND(24&gt;=$NR$30,24&lt;=$NS$30),IF($NP$30="Single_Point",IF(24=$NR$30,$NN$30,0),IF($NP$30="Bell_Curve",$NN$30*(24-$NR$30+1)*($NS$30-24+1)/$NU$30,$NN$30/$NT$30)),0)</f>
        <v/>
      </c>
      <c r="AC30" s="228">
        <f>IF(AND(25&gt;=$NR$30,25&lt;=$NS$30),IF($NP$30="Single_Point",IF(25=$NR$30,$NN$30,0),IF($NP$30="Bell_Curve",$NN$30*(25-$NR$30+1)*($NS$30-25+1)/$NU$30,$NN$30/$NT$30)),0)</f>
        <v/>
      </c>
      <c r="AD30" s="228">
        <f>IF(AND(26&gt;=$NR$30,26&lt;=$NS$30),IF($NP$30="Single_Point",IF(26=$NR$30,$NN$30,0),IF($NP$30="Bell_Curve",$NN$30*(26-$NR$30+1)*($NS$30-26+1)/$NU$30,$NN$30/$NT$30)),0)</f>
        <v/>
      </c>
      <c r="AE30" s="228">
        <f>IF(AND(27&gt;=$NR$30,27&lt;=$NS$30),IF($NP$30="Single_Point",IF(27=$NR$30,$NN$30,0),IF($NP$30="Bell_Curve",$NN$30*(27-$NR$30+1)*($NS$30-27+1)/$NU$30,$NN$30/$NT$30)),0)</f>
        <v/>
      </c>
      <c r="AF30" s="228">
        <f>IF(AND(28&gt;=$NR$30,28&lt;=$NS$30),IF($NP$30="Single_Point",IF(28=$NR$30,$NN$30,0),IF($NP$30="Bell_Curve",$NN$30*(28-$NR$30+1)*($NS$30-28+1)/$NU$30,$NN$30/$NT$30)),0)</f>
        <v/>
      </c>
      <c r="AG30" s="228">
        <f>IF(AND(29&gt;=$NR$30,29&lt;=$NS$30),IF($NP$30="Single_Point",IF(29=$NR$30,$NN$30,0),IF($NP$30="Bell_Curve",$NN$30*(29-$NR$30+1)*($NS$30-29+1)/$NU$30,$NN$30/$NT$30)),0)</f>
        <v/>
      </c>
      <c r="AH30" s="228">
        <f>IF(AND(30&gt;=$NR$30,30&lt;=$NS$30),IF($NP$30="Single_Point",IF(30=$NR$30,$NN$30,0),IF($NP$30="Bell_Curve",$NN$30*(30-$NR$30+1)*($NS$30-30+1)/$NU$30,$NN$30/$NT$30)),0)</f>
        <v/>
      </c>
      <c r="AI30" s="228">
        <f>IF(AND(31&gt;=$NR$30,31&lt;=$NS$30),IF($NP$30="Single_Point",IF(31=$NR$30,$NN$30,0),IF($NP$30="Bell_Curve",$NN$30*(31-$NR$30+1)*($NS$30-31+1)/$NU$30,$NN$30/$NT$30)),0)</f>
        <v/>
      </c>
      <c r="AJ30" s="228">
        <f>IF(AND(32&gt;=$NR$30,32&lt;=$NS$30),IF($NP$30="Single_Point",IF(32=$NR$30,$NN$30,0),IF($NP$30="Bell_Curve",$NN$30*(32-$NR$30+1)*($NS$30-32+1)/$NU$30,$NN$30/$NT$30)),0)</f>
        <v/>
      </c>
      <c r="AK30" s="228">
        <f>IF(AND(33&gt;=$NR$30,33&lt;=$NS$30),IF($NP$30="Single_Point",IF(33=$NR$30,$NN$30,0),IF($NP$30="Bell_Curve",$NN$30*(33-$NR$30+1)*($NS$30-33+1)/$NU$30,$NN$30/$NT$30)),0)</f>
        <v/>
      </c>
      <c r="AL30" s="228">
        <f>IF(AND(34&gt;=$NR$30,34&lt;=$NS$30),IF($NP$30="Single_Point",IF(34=$NR$30,$NN$30,0),IF($NP$30="Bell_Curve",$NN$30*(34-$NR$30+1)*($NS$30-34+1)/$NU$30,$NN$30/$NT$30)),0)</f>
        <v/>
      </c>
      <c r="AM30" s="228">
        <f>IF(AND(35&gt;=$NR$30,35&lt;=$NS$30),IF($NP$30="Single_Point",IF(35=$NR$30,$NN$30,0),IF($NP$30="Bell_Curve",$NN$30*(35-$NR$30+1)*($NS$30-35+1)/$NU$30,$NN$30/$NT$30)),0)</f>
        <v/>
      </c>
      <c r="AN30" s="228">
        <f>IF(AND(36&gt;=$NR$30,36&lt;=$NS$30),IF($NP$30="Single_Point",IF(36=$NR$30,$NN$30,0),IF($NP$30="Bell_Curve",$NN$30*(36-$NR$30+1)*($NS$30-36+1)/$NU$30,$NN$30/$NT$30)),0)</f>
        <v/>
      </c>
      <c r="AO30" s="228">
        <f>IF(AND(37&gt;=$NR$30,37&lt;=$NS$30),IF($NP$30="Single_Point",IF(37=$NR$30,$NN$30,0),IF($NP$30="Bell_Curve",$NN$30*(37-$NR$30+1)*($NS$30-37+1)/$NU$30,$NN$30/$NT$30)),0)</f>
        <v/>
      </c>
      <c r="AP30" s="228">
        <f>IF(AND(38&gt;=$NR$30,38&lt;=$NS$30),IF($NP$30="Single_Point",IF(38=$NR$30,$NN$30,0),IF($NP$30="Bell_Curve",$NN$30*(38-$NR$30+1)*($NS$30-38+1)/$NU$30,$NN$30/$NT$30)),0)</f>
        <v/>
      </c>
      <c r="AQ30" s="228">
        <f>IF(AND(39&gt;=$NR$30,39&lt;=$NS$30),IF($NP$30="Single_Point",IF(39=$NR$30,$NN$30,0),IF($NP$30="Bell_Curve",$NN$30*(39-$NR$30+1)*($NS$30-39+1)/$NU$30,$NN$30/$NT$30)),0)</f>
        <v/>
      </c>
      <c r="AR30" s="228">
        <f>IF(AND(40&gt;=$NR$30,40&lt;=$NS$30),IF($NP$30="Single_Point",IF(40=$NR$30,$NN$30,0),IF($NP$30="Bell_Curve",$NN$30*(40-$NR$30+1)*($NS$30-40+1)/$NU$30,$NN$30/$NT$30)),0)</f>
        <v/>
      </c>
      <c r="AS30" s="228">
        <f>IF(AND(41&gt;=$NR$30,41&lt;=$NS$30),IF($NP$30="Single_Point",IF(41=$NR$30,$NN$30,0),IF($NP$30="Bell_Curve",$NN$30*(41-$NR$30+1)*($NS$30-41+1)/$NU$30,$NN$30/$NT$30)),0)</f>
        <v/>
      </c>
      <c r="AT30" s="228">
        <f>IF(AND(42&gt;=$NR$30,42&lt;=$NS$30),IF($NP$30="Single_Point",IF(42=$NR$30,$NN$30,0),IF($NP$30="Bell_Curve",$NN$30*(42-$NR$30+1)*($NS$30-42+1)/$NU$30,$NN$30/$NT$30)),0)</f>
        <v/>
      </c>
      <c r="AU30" s="228">
        <f>IF(AND(43&gt;=$NR$30,43&lt;=$NS$30),IF($NP$30="Single_Point",IF(43=$NR$30,$NN$30,0),IF($NP$30="Bell_Curve",$NN$30*(43-$NR$30+1)*($NS$30-43+1)/$NU$30,$NN$30/$NT$30)),0)</f>
        <v/>
      </c>
      <c r="AV30" s="228">
        <f>IF(AND(44&gt;=$NR$30,44&lt;=$NS$30),IF($NP$30="Single_Point",IF(44=$NR$30,$NN$30,0),IF($NP$30="Bell_Curve",$NN$30*(44-$NR$30+1)*($NS$30-44+1)/$NU$30,$NN$30/$NT$30)),0)</f>
        <v/>
      </c>
      <c r="AW30" s="228">
        <f>IF(AND(45&gt;=$NR$30,45&lt;=$NS$30),IF($NP$30="Single_Point",IF(45=$NR$30,$NN$30,0),IF($NP$30="Bell_Curve",$NN$30*(45-$NR$30+1)*($NS$30-45+1)/$NU$30,$NN$30/$NT$30)),0)</f>
        <v/>
      </c>
      <c r="AX30" s="228">
        <f>IF(AND(46&gt;=$NR$30,46&lt;=$NS$30),IF($NP$30="Single_Point",IF(46=$NR$30,$NN$30,0),IF($NP$30="Bell_Curve",$NN$30*(46-$NR$30+1)*($NS$30-46+1)/$NU$30,$NN$30/$NT$30)),0)</f>
        <v/>
      </c>
      <c r="AY30" s="228">
        <f>IF(AND(47&gt;=$NR$30,47&lt;=$NS$30),IF($NP$30="Single_Point",IF(47=$NR$30,$NN$30,0),IF($NP$30="Bell_Curve",$NN$30*(47-$NR$30+1)*($NS$30-47+1)/$NU$30,$NN$30/$NT$30)),0)</f>
        <v/>
      </c>
      <c r="AZ30" s="228">
        <f>IF(AND(48&gt;=$NR$30,48&lt;=$NS$30),IF($NP$30="Single_Point",IF(48=$NR$30,$NN$30,0),IF($NP$30="Bell_Curve",$NN$30*(48-$NR$30+1)*($NS$30-48+1)/$NU$30,$NN$30/$NT$30)),0)</f>
        <v/>
      </c>
      <c r="BA30" s="228">
        <f>IF(AND(49&gt;=$NR$30,49&lt;=$NS$30),IF($NP$30="Single_Point",IF(49=$NR$30,$NN$30,0),IF($NP$30="Bell_Curve",$NN$30*(49-$NR$30+1)*($NS$30-49+1)/$NU$30,$NN$30/$NT$30)),0)</f>
        <v/>
      </c>
      <c r="BB30" s="228">
        <f>IF(AND(50&gt;=$NR$30,50&lt;=$NS$30),IF($NP$30="Single_Point",IF(50=$NR$30,$NN$30,0),IF($NP$30="Bell_Curve",$NN$30*(50-$NR$30+1)*($NS$30-50+1)/$NU$30,$NN$30/$NT$30)),0)</f>
        <v/>
      </c>
      <c r="BC30" s="228">
        <f>IF(AND(51&gt;=$NR$30,51&lt;=$NS$30),IF($NP$30="Single_Point",IF(51=$NR$30,$NN$30,0),IF($NP$30="Bell_Curve",$NN$30*(51-$NR$30+1)*($NS$30-51+1)/$NU$30,$NN$30/$NT$30)),0)</f>
        <v/>
      </c>
      <c r="BD30" s="228">
        <f>IF(AND(52&gt;=$NR$30,52&lt;=$NS$30),IF($NP$30="Single_Point",IF(52=$NR$30,$NN$30,0),IF($NP$30="Bell_Curve",$NN$30*(52-$NR$30+1)*($NS$30-52+1)/$NU$30,$NN$30/$NT$30)),0)</f>
        <v/>
      </c>
      <c r="BE30" s="228">
        <f>IF(AND(53&gt;=$NR$30,53&lt;=$NS$30),IF($NP$30="Single_Point",IF(53=$NR$30,$NN$30,0),IF($NP$30="Bell_Curve",$NN$30*(53-$NR$30+1)*($NS$30-53+1)/$NU$30,$NN$30/$NT$30)),0)</f>
        <v/>
      </c>
      <c r="BF30" s="228">
        <f>IF(AND(54&gt;=$NR$30,54&lt;=$NS$30),IF($NP$30="Single_Point",IF(54=$NR$30,$NN$30,0),IF($NP$30="Bell_Curve",$NN$30*(54-$NR$30+1)*($NS$30-54+1)/$NU$30,$NN$30/$NT$30)),0)</f>
        <v/>
      </c>
      <c r="BG30" s="228">
        <f>IF(AND(55&gt;=$NR$30,55&lt;=$NS$30),IF($NP$30="Single_Point",IF(55=$NR$30,$NN$30,0),IF($NP$30="Bell_Curve",$NN$30*(55-$NR$30+1)*($NS$30-55+1)/$NU$30,$NN$30/$NT$30)),0)</f>
        <v/>
      </c>
      <c r="BH30" s="228">
        <f>IF(AND(56&gt;=$NR$30,56&lt;=$NS$30),IF($NP$30="Single_Point",IF(56=$NR$30,$NN$30,0),IF($NP$30="Bell_Curve",$NN$30*(56-$NR$30+1)*($NS$30-56+1)/$NU$30,$NN$30/$NT$30)),0)</f>
        <v/>
      </c>
      <c r="BI30" s="228">
        <f>IF(AND(57&gt;=$NR$30,57&lt;=$NS$30),IF($NP$30="Single_Point",IF(57=$NR$30,$NN$30,0),IF($NP$30="Bell_Curve",$NN$30*(57-$NR$30+1)*($NS$30-57+1)/$NU$30,$NN$30/$NT$30)),0)</f>
        <v/>
      </c>
      <c r="BJ30" s="228">
        <f>IF(AND(58&gt;=$NR$30,58&lt;=$NS$30),IF($NP$30="Single_Point",IF(58=$NR$30,$NN$30,0),IF($NP$30="Bell_Curve",$NN$30*(58-$NR$30+1)*($NS$30-58+1)/$NU$30,$NN$30/$NT$30)),0)</f>
        <v/>
      </c>
      <c r="BK30" s="228">
        <f>IF(AND(59&gt;=$NR$30,59&lt;=$NS$30),IF($NP$30="Single_Point",IF(59=$NR$30,$NN$30,0),IF($NP$30="Bell_Curve",$NN$30*(59-$NR$30+1)*($NS$30-59+1)/$NU$30,$NN$30/$NT$30)),0)</f>
        <v/>
      </c>
      <c r="BL30" s="228">
        <f>IF(AND(60&gt;=$NR$30,60&lt;=$NS$30),IF($NP$30="Single_Point",IF(60=$NR$30,$NN$30,0),IF($NP$30="Bell_Curve",$NN$30*(60-$NR$30+1)*($NS$30-60+1)/$NU$30,$NN$30/$NT$30)),0)</f>
        <v/>
      </c>
      <c r="BM30" s="228">
        <f>IF(AND(61&gt;=$NR$30,61&lt;=$NS$30),IF($NP$30="Single_Point",IF(61=$NR$30,$NN$30,0),IF($NP$30="Bell_Curve",$NN$30*(61-$NR$30+1)*($NS$30-61+1)/$NU$30,$NN$30/$NT$30)),0)</f>
        <v/>
      </c>
      <c r="BN30" s="228">
        <f>IF(AND(62&gt;=$NR$30,62&lt;=$NS$30),IF($NP$30="Single_Point",IF(62=$NR$30,$NN$30,0),IF($NP$30="Bell_Curve",$NN$30*(62-$NR$30+1)*($NS$30-62+1)/$NU$30,$NN$30/$NT$30)),0)</f>
        <v/>
      </c>
      <c r="BO30" s="228">
        <f>IF(AND(63&gt;=$NR$30,63&lt;=$NS$30),IF($NP$30="Single_Point",IF(63=$NR$30,$NN$30,0),IF($NP$30="Bell_Curve",$NN$30*(63-$NR$30+1)*($NS$30-63+1)/$NU$30,$NN$30/$NT$30)),0)</f>
        <v/>
      </c>
      <c r="BP30" s="228">
        <f>IF(AND(64&gt;=$NR$30,64&lt;=$NS$30),IF($NP$30="Single_Point",IF(64=$NR$30,$NN$30,0),IF($NP$30="Bell_Curve",$NN$30*(64-$NR$30+1)*($NS$30-64+1)/$NU$30,$NN$30/$NT$30)),0)</f>
        <v/>
      </c>
      <c r="BQ30" s="228">
        <f>IF(AND(65&gt;=$NR$30,65&lt;=$NS$30),IF($NP$30="Single_Point",IF(65=$NR$30,$NN$30,0),IF($NP$30="Bell_Curve",$NN$30*(65-$NR$30+1)*($NS$30-65+1)/$NU$30,$NN$30/$NT$30)),0)</f>
        <v/>
      </c>
      <c r="BR30" s="228">
        <f>IF(AND(66&gt;=$NR$30,66&lt;=$NS$30),IF($NP$30="Single_Point",IF(66=$NR$30,$NN$30,0),IF($NP$30="Bell_Curve",$NN$30*(66-$NR$30+1)*($NS$30-66+1)/$NU$30,$NN$30/$NT$30)),0)</f>
        <v/>
      </c>
      <c r="BS30" s="228">
        <f>IF(AND(67&gt;=$NR$30,67&lt;=$NS$30),IF($NP$30="Single_Point",IF(67=$NR$30,$NN$30,0),IF($NP$30="Bell_Curve",$NN$30*(67-$NR$30+1)*($NS$30-67+1)/$NU$30,$NN$30/$NT$30)),0)</f>
        <v/>
      </c>
      <c r="BT30" s="228">
        <f>IF(AND(68&gt;=$NR$30,68&lt;=$NS$30),IF($NP$30="Single_Point",IF(68=$NR$30,$NN$30,0),IF($NP$30="Bell_Curve",$NN$30*(68-$NR$30+1)*($NS$30-68+1)/$NU$30,$NN$30/$NT$30)),0)</f>
        <v/>
      </c>
      <c r="BU30" s="228">
        <f>IF(AND(69&gt;=$NR$30,69&lt;=$NS$30),IF($NP$30="Single_Point",IF(69=$NR$30,$NN$30,0),IF($NP$30="Bell_Curve",$NN$30*(69-$NR$30+1)*($NS$30-69+1)/$NU$30,$NN$30/$NT$30)),0)</f>
        <v/>
      </c>
      <c r="BV30" s="228">
        <f>IF(AND(70&gt;=$NR$30,70&lt;=$NS$30),IF($NP$30="Single_Point",IF(70=$NR$30,$NN$30,0),IF($NP$30="Bell_Curve",$NN$30*(70-$NR$30+1)*($NS$30-70+1)/$NU$30,$NN$30/$NT$30)),0)</f>
        <v/>
      </c>
      <c r="BW30" s="228">
        <f>IF(AND(71&gt;=$NR$30,71&lt;=$NS$30),IF($NP$30="Single_Point",IF(71=$NR$30,$NN$30,0),IF($NP$30="Bell_Curve",$NN$30*(71-$NR$30+1)*($NS$30-71+1)/$NU$30,$NN$30/$NT$30)),0)</f>
        <v/>
      </c>
      <c r="BX30" s="228">
        <f>IF(AND(72&gt;=$NR$30,72&lt;=$NS$30),IF($NP$30="Single_Point",IF(72=$NR$30,$NN$30,0),IF($NP$30="Bell_Curve",$NN$30*(72-$NR$30+1)*($NS$30-72+1)/$NU$30,$NN$30/$NT$30)),0)</f>
        <v/>
      </c>
      <c r="BY30" s="228">
        <f>IF(AND(73&gt;=$NR$30,73&lt;=$NS$30),IF($NP$30="Single_Point",IF(73=$NR$30,$NN$30,0),IF($NP$30="Bell_Curve",$NN$30*(73-$NR$30+1)*($NS$30-73+1)/$NU$30,$NN$30/$NT$30)),0)</f>
        <v/>
      </c>
      <c r="BZ30" s="228">
        <f>IF(AND(74&gt;=$NR$30,74&lt;=$NS$30),IF($NP$30="Single_Point",IF(74=$NR$30,$NN$30,0),IF($NP$30="Bell_Curve",$NN$30*(74-$NR$30+1)*($NS$30-74+1)/$NU$30,$NN$30/$NT$30)),0)</f>
        <v/>
      </c>
      <c r="CA30" s="228">
        <f>IF(AND(75&gt;=$NR$30,75&lt;=$NS$30),IF($NP$30="Single_Point",IF(75=$NR$30,$NN$30,0),IF($NP$30="Bell_Curve",$NN$30*(75-$NR$30+1)*($NS$30-75+1)/$NU$30,$NN$30/$NT$30)),0)</f>
        <v/>
      </c>
      <c r="CB30" s="228">
        <f>IF(AND(76&gt;=$NR$30,76&lt;=$NS$30),IF($NP$30="Single_Point",IF(76=$NR$30,$NN$30,0),IF($NP$30="Bell_Curve",$NN$30*(76-$NR$30+1)*($NS$30-76+1)/$NU$30,$NN$30/$NT$30)),0)</f>
        <v/>
      </c>
      <c r="CC30" s="228">
        <f>IF(AND(77&gt;=$NR$30,77&lt;=$NS$30),IF($NP$30="Single_Point",IF(77=$NR$30,$NN$30,0),IF($NP$30="Bell_Curve",$NN$30*(77-$NR$30+1)*($NS$30-77+1)/$NU$30,$NN$30/$NT$30)),0)</f>
        <v/>
      </c>
      <c r="CD30" s="228">
        <f>IF(AND(78&gt;=$NR$30,78&lt;=$NS$30),IF($NP$30="Single_Point",IF(78=$NR$30,$NN$30,0),IF($NP$30="Bell_Curve",$NN$30*(78-$NR$30+1)*($NS$30-78+1)/$NU$30,$NN$30/$NT$30)),0)</f>
        <v/>
      </c>
      <c r="CE30" s="228">
        <f>IF(AND(79&gt;=$NR$30,79&lt;=$NS$30),IF($NP$30="Single_Point",IF(79=$NR$30,$NN$30,0),IF($NP$30="Bell_Curve",$NN$30*(79-$NR$30+1)*($NS$30-79+1)/$NU$30,$NN$30/$NT$30)),0)</f>
        <v/>
      </c>
      <c r="CF30" s="228">
        <f>IF(AND(80&gt;=$NR$30,80&lt;=$NS$30),IF($NP$30="Single_Point",IF(80=$NR$30,$NN$30,0),IF($NP$30="Bell_Curve",$NN$30*(80-$NR$30+1)*($NS$30-80+1)/$NU$30,$NN$30/$NT$30)),0)</f>
        <v/>
      </c>
      <c r="CG30" s="228">
        <f>IF(AND(81&gt;=$NR$30,81&lt;=$NS$30),IF($NP$30="Single_Point",IF(81=$NR$30,$NN$30,0),IF($NP$30="Bell_Curve",$NN$30*(81-$NR$30+1)*($NS$30-81+1)/$NU$30,$NN$30/$NT$30)),0)</f>
        <v/>
      </c>
      <c r="CH30" s="228">
        <f>IF(AND(82&gt;=$NR$30,82&lt;=$NS$30),IF($NP$30="Single_Point",IF(82=$NR$30,$NN$30,0),IF($NP$30="Bell_Curve",$NN$30*(82-$NR$30+1)*($NS$30-82+1)/$NU$30,$NN$30/$NT$30)),0)</f>
        <v/>
      </c>
      <c r="CI30" s="228">
        <f>IF(AND(83&gt;=$NR$30,83&lt;=$NS$30),IF($NP$30="Single_Point",IF(83=$NR$30,$NN$30,0),IF($NP$30="Bell_Curve",$NN$30*(83-$NR$30+1)*($NS$30-83+1)/$NU$30,$NN$30/$NT$30)),0)</f>
        <v/>
      </c>
      <c r="CJ30" s="228">
        <f>IF(AND(84&gt;=$NR$30,84&lt;=$NS$30),IF($NP$30="Single_Point",IF(84=$NR$30,$NN$30,0),IF($NP$30="Bell_Curve",$NN$30*(84-$NR$30+1)*($NS$30-84+1)/$NU$30,$NN$30/$NT$30)),0)</f>
        <v/>
      </c>
      <c r="CK30" s="228">
        <f>IF(AND(85&gt;=$NR$30,85&lt;=$NS$30),IF($NP$30="Single_Point",IF(85=$NR$30,$NN$30,0),IF($NP$30="Bell_Curve",$NN$30*(85-$NR$30+1)*($NS$30-85+1)/$NU$30,$NN$30/$NT$30)),0)</f>
        <v/>
      </c>
      <c r="CL30" s="228">
        <f>IF(AND(86&gt;=$NR$30,86&lt;=$NS$30),IF($NP$30="Single_Point",IF(86=$NR$30,$NN$30,0),IF($NP$30="Bell_Curve",$NN$30*(86-$NR$30+1)*($NS$30-86+1)/$NU$30,$NN$30/$NT$30)),0)</f>
        <v/>
      </c>
      <c r="CM30" s="228">
        <f>IF(AND(87&gt;=$NR$30,87&lt;=$NS$30),IF($NP$30="Single_Point",IF(87=$NR$30,$NN$30,0),IF($NP$30="Bell_Curve",$NN$30*(87-$NR$30+1)*($NS$30-87+1)/$NU$30,$NN$30/$NT$30)),0)</f>
        <v/>
      </c>
      <c r="CN30" s="228">
        <f>IF(AND(88&gt;=$NR$30,88&lt;=$NS$30),IF($NP$30="Single_Point",IF(88=$NR$30,$NN$30,0),IF($NP$30="Bell_Curve",$NN$30*(88-$NR$30+1)*($NS$30-88+1)/$NU$30,$NN$30/$NT$30)),0)</f>
        <v/>
      </c>
      <c r="CO30" s="228">
        <f>IF(AND(89&gt;=$NR$30,89&lt;=$NS$30),IF($NP$30="Single_Point",IF(89=$NR$30,$NN$30,0),IF($NP$30="Bell_Curve",$NN$30*(89-$NR$30+1)*($NS$30-89+1)/$NU$30,$NN$30/$NT$30)),0)</f>
        <v/>
      </c>
      <c r="CP30" s="228">
        <f>IF(AND(90&gt;=$NR$30,90&lt;=$NS$30),IF($NP$30="Single_Point",IF(90=$NR$30,$NN$30,0),IF($NP$30="Bell_Curve",$NN$30*(90-$NR$30+1)*($NS$30-90+1)/$NU$30,$NN$30/$NT$30)),0)</f>
        <v/>
      </c>
      <c r="CQ30" s="228">
        <f>IF(AND(91&gt;=$NR$30,91&lt;=$NS$30),IF($NP$30="Single_Point",IF(91=$NR$30,$NN$30,0),IF($NP$30="Bell_Curve",$NN$30*(91-$NR$30+1)*($NS$30-91+1)/$NU$30,$NN$30/$NT$30)),0)</f>
        <v/>
      </c>
      <c r="CR30" s="228">
        <f>IF(AND(92&gt;=$NR$30,92&lt;=$NS$30),IF($NP$30="Single_Point",IF(92=$NR$30,$NN$30,0),IF($NP$30="Bell_Curve",$NN$30*(92-$NR$30+1)*($NS$30-92+1)/$NU$30,$NN$30/$NT$30)),0)</f>
        <v/>
      </c>
      <c r="CS30" s="228">
        <f>IF(AND(93&gt;=$NR$30,93&lt;=$NS$30),IF($NP$30="Single_Point",IF(93=$NR$30,$NN$30,0),IF($NP$30="Bell_Curve",$NN$30*(93-$NR$30+1)*($NS$30-93+1)/$NU$30,$NN$30/$NT$30)),0)</f>
        <v/>
      </c>
      <c r="CT30" s="228">
        <f>IF(AND(94&gt;=$NR$30,94&lt;=$NS$30),IF($NP$30="Single_Point",IF(94=$NR$30,$NN$30,0),IF($NP$30="Bell_Curve",$NN$30*(94-$NR$30+1)*($NS$30-94+1)/$NU$30,$NN$30/$NT$30)),0)</f>
        <v/>
      </c>
      <c r="CU30" s="228">
        <f>IF(AND(95&gt;=$NR$30,95&lt;=$NS$30),IF($NP$30="Single_Point",IF(95=$NR$30,$NN$30,0),IF($NP$30="Bell_Curve",$NN$30*(95-$NR$30+1)*($NS$30-95+1)/$NU$30,$NN$30/$NT$30)),0)</f>
        <v/>
      </c>
      <c r="CV30" s="228">
        <f>IF(AND(96&gt;=$NR$30,96&lt;=$NS$30),IF($NP$30="Single_Point",IF(96=$NR$30,$NN$30,0),IF($NP$30="Bell_Curve",$NN$30*(96-$NR$30+1)*($NS$30-96+1)/$NU$30,$NN$30/$NT$30)),0)</f>
        <v/>
      </c>
      <c r="CW30" s="228">
        <f>IF(AND(97&gt;=$NR$30,97&lt;=$NS$30),IF($NP$30="Single_Point",IF(97=$NR$30,$NN$30,0),IF($NP$30="Bell_Curve",$NN$30*(97-$NR$30+1)*($NS$30-97+1)/$NU$30,$NN$30/$NT$30)),0)</f>
        <v/>
      </c>
      <c r="CX30" s="228">
        <f>IF(AND(98&gt;=$NR$30,98&lt;=$NS$30),IF($NP$30="Single_Point",IF(98=$NR$30,$NN$30,0),IF($NP$30="Bell_Curve",$NN$30*(98-$NR$30+1)*($NS$30-98+1)/$NU$30,$NN$30/$NT$30)),0)</f>
        <v/>
      </c>
      <c r="CY30" s="228">
        <f>IF(AND(99&gt;=$NR$30,99&lt;=$NS$30),IF($NP$30="Single_Point",IF(99=$NR$30,$NN$30,0),IF($NP$30="Bell_Curve",$NN$30*(99-$NR$30+1)*($NS$30-99+1)/$NU$30,$NN$30/$NT$30)),0)</f>
        <v/>
      </c>
      <c r="CZ30" s="228">
        <f>IF(AND(100&gt;=$NR$30,100&lt;=$NS$30),IF($NP$30="Single_Point",IF(100=$NR$30,$NN$30,0),IF($NP$30="Bell_Curve",$NN$30*(100-$NR$30+1)*($NS$30-100+1)/$NU$30,$NN$30/$NT$30)),0)</f>
        <v/>
      </c>
      <c r="DA30" s="228">
        <f>IF(AND(101&gt;=$NR$30,101&lt;=$NS$30),IF($NP$30="Single_Point",IF(101=$NR$30,$NN$30,0),IF($NP$30="Bell_Curve",$NN$30*(101-$NR$30+1)*($NS$30-101+1)/$NU$30,$NN$30/$NT$30)),0)</f>
        <v/>
      </c>
      <c r="DB30" s="228">
        <f>IF(AND(102&gt;=$NR$30,102&lt;=$NS$30),IF($NP$30="Single_Point",IF(102=$NR$30,$NN$30,0),IF($NP$30="Bell_Curve",$NN$30*(102-$NR$30+1)*($NS$30-102+1)/$NU$30,$NN$30/$NT$30)),0)</f>
        <v/>
      </c>
      <c r="DC30" s="228">
        <f>IF(AND(103&gt;=$NR$30,103&lt;=$NS$30),IF($NP$30="Single_Point",IF(103=$NR$30,$NN$30,0),IF($NP$30="Bell_Curve",$NN$30*(103-$NR$30+1)*($NS$30-103+1)/$NU$30,$NN$30/$NT$30)),0)</f>
        <v/>
      </c>
      <c r="DD30" s="228">
        <f>IF(AND(104&gt;=$NR$30,104&lt;=$NS$30),IF($NP$30="Single_Point",IF(104=$NR$30,$NN$30,0),IF($NP$30="Bell_Curve",$NN$30*(104-$NR$30+1)*($NS$30-104+1)/$NU$30,$NN$30/$NT$30)),0)</f>
        <v/>
      </c>
      <c r="DE30" s="228">
        <f>IF(AND(105&gt;=$NR$30,105&lt;=$NS$30),IF($NP$30="Single_Point",IF(105=$NR$30,$NN$30,0),IF($NP$30="Bell_Curve",$NN$30*(105-$NR$30+1)*($NS$30-105+1)/$NU$30,$NN$30/$NT$30)),0)</f>
        <v/>
      </c>
      <c r="DF30" s="228">
        <f>IF(AND(106&gt;=$NR$30,106&lt;=$NS$30),IF($NP$30="Single_Point",IF(106=$NR$30,$NN$30,0),IF($NP$30="Bell_Curve",$NN$30*(106-$NR$30+1)*($NS$30-106+1)/$NU$30,$NN$30/$NT$30)),0)</f>
        <v/>
      </c>
      <c r="DG30" s="228">
        <f>IF(AND(107&gt;=$NR$30,107&lt;=$NS$30),IF($NP$30="Single_Point",IF(107=$NR$30,$NN$30,0),IF($NP$30="Bell_Curve",$NN$30*(107-$NR$30+1)*($NS$30-107+1)/$NU$30,$NN$30/$NT$30)),0)</f>
        <v/>
      </c>
      <c r="DH30" s="228">
        <f>IF(AND(108&gt;=$NR$30,108&lt;=$NS$30),IF($NP$30="Single_Point",IF(108=$NR$30,$NN$30,0),IF($NP$30="Bell_Curve",$NN$30*(108-$NR$30+1)*($NS$30-108+1)/$NU$30,$NN$30/$NT$30)),0)</f>
        <v/>
      </c>
      <c r="DI30" s="228">
        <f>IF(AND(109&gt;=$NR$30,109&lt;=$NS$30),IF($NP$30="Single_Point",IF(109=$NR$30,$NN$30,0),IF($NP$30="Bell_Curve",$NN$30*(109-$NR$30+1)*($NS$30-109+1)/$NU$30,$NN$30/$NT$30)),0)</f>
        <v/>
      </c>
      <c r="DJ30" s="228">
        <f>IF(AND(110&gt;=$NR$30,110&lt;=$NS$30),IF($NP$30="Single_Point",IF(110=$NR$30,$NN$30,0),IF($NP$30="Bell_Curve",$NN$30*(110-$NR$30+1)*($NS$30-110+1)/$NU$30,$NN$30/$NT$30)),0)</f>
        <v/>
      </c>
      <c r="DK30" s="228">
        <f>IF(AND(111&gt;=$NR$30,111&lt;=$NS$30),IF($NP$30="Single_Point",IF(111=$NR$30,$NN$30,0),IF($NP$30="Bell_Curve",$NN$30*(111-$NR$30+1)*($NS$30-111+1)/$NU$30,$NN$30/$NT$30)),0)</f>
        <v/>
      </c>
      <c r="DL30" s="228">
        <f>IF(AND(112&gt;=$NR$30,112&lt;=$NS$30),IF($NP$30="Single_Point",IF(112=$NR$30,$NN$30,0),IF($NP$30="Bell_Curve",$NN$30*(112-$NR$30+1)*($NS$30-112+1)/$NU$30,$NN$30/$NT$30)),0)</f>
        <v/>
      </c>
      <c r="DM30" s="228">
        <f>IF(AND(113&gt;=$NR$30,113&lt;=$NS$30),IF($NP$30="Single_Point",IF(113=$NR$30,$NN$30,0),IF($NP$30="Bell_Curve",$NN$30*(113-$NR$30+1)*($NS$30-113+1)/$NU$30,$NN$30/$NT$30)),0)</f>
        <v/>
      </c>
      <c r="DN30" s="228">
        <f>IF(AND(114&gt;=$NR$30,114&lt;=$NS$30),IF($NP$30="Single_Point",IF(114=$NR$30,$NN$30,0),IF($NP$30="Bell_Curve",$NN$30*(114-$NR$30+1)*($NS$30-114+1)/$NU$30,$NN$30/$NT$30)),0)</f>
        <v/>
      </c>
      <c r="DO30" s="228">
        <f>IF(AND(115&gt;=$NR$30,115&lt;=$NS$30),IF($NP$30="Single_Point",IF(115=$NR$30,$NN$30,0),IF($NP$30="Bell_Curve",$NN$30*(115-$NR$30+1)*($NS$30-115+1)/$NU$30,$NN$30/$NT$30)),0)</f>
        <v/>
      </c>
      <c r="DP30" s="228">
        <f>IF(AND(116&gt;=$NR$30,116&lt;=$NS$30),IF($NP$30="Single_Point",IF(116=$NR$30,$NN$30,0),IF($NP$30="Bell_Curve",$NN$30*(116-$NR$30+1)*($NS$30-116+1)/$NU$30,$NN$30/$NT$30)),0)</f>
        <v/>
      </c>
      <c r="DQ30" s="228">
        <f>IF(AND(117&gt;=$NR$30,117&lt;=$NS$30),IF($NP$30="Single_Point",IF(117=$NR$30,$NN$30,0),IF($NP$30="Bell_Curve",$NN$30*(117-$NR$30+1)*($NS$30-117+1)/$NU$30,$NN$30/$NT$30)),0)</f>
        <v/>
      </c>
      <c r="DR30" s="228">
        <f>IF(AND(118&gt;=$NR$30,118&lt;=$NS$30),IF($NP$30="Single_Point",IF(118=$NR$30,$NN$30,0),IF($NP$30="Bell_Curve",$NN$30*(118-$NR$30+1)*($NS$30-118+1)/$NU$30,$NN$30/$NT$30)),0)</f>
        <v/>
      </c>
      <c r="DS30" s="228">
        <f>IF(AND(119&gt;=$NR$30,119&lt;=$NS$30),IF($NP$30="Single_Point",IF(119=$NR$30,$NN$30,0),IF($NP$30="Bell_Curve",$NN$30*(119-$NR$30+1)*($NS$30-119+1)/$NU$30,$NN$30/$NT$30)),0)</f>
        <v/>
      </c>
      <c r="DT30" s="228">
        <f>IF(AND(120&gt;=$NR$30,120&lt;=$NS$30),IF($NP$30="Single_Point",IF(120=$NR$30,$NN$30,0),IF($NP$30="Bell_Curve",$NN$30*(120-$NR$30+1)*($NS$30-120+1)/$NU$30,$NN$30/$NT$30)),0)</f>
        <v/>
      </c>
      <c r="DU30" s="228">
        <f>IF(AND(121&gt;=$NR$30,121&lt;=$NS$30),IF($NP$30="Single_Point",IF(121=$NR$30,$NN$30,0),IF($NP$30="Bell_Curve",$NN$30*(121-$NR$30+1)*($NS$30-121+1)/$NU$30,$NN$30/$NT$30)),0)</f>
        <v/>
      </c>
      <c r="DV30" s="228">
        <f>IF(AND(122&gt;=$NR$30,122&lt;=$NS$30),IF($NP$30="Single_Point",IF(122=$NR$30,$NN$30,0),IF($NP$30="Bell_Curve",$NN$30*(122-$NR$30+1)*($NS$30-122+1)/$NU$30,$NN$30/$NT$30)),0)</f>
        <v/>
      </c>
      <c r="DW30" s="228">
        <f>IF(AND(123&gt;=$NR$30,123&lt;=$NS$30),IF($NP$30="Single_Point",IF(123=$NR$30,$NN$30,0),IF($NP$30="Bell_Curve",$NN$30*(123-$NR$30+1)*($NS$30-123+1)/$NU$30,$NN$30/$NT$30)),0)</f>
        <v/>
      </c>
      <c r="DX30" s="228">
        <f>IF(AND(124&gt;=$NR$30,124&lt;=$NS$30),IF($NP$30="Single_Point",IF(124=$NR$30,$NN$30,0),IF($NP$30="Bell_Curve",$NN$30*(124-$NR$30+1)*($NS$30-124+1)/$NU$30,$NN$30/$NT$30)),0)</f>
        <v/>
      </c>
      <c r="DY30" s="228">
        <f>IF(AND(125&gt;=$NR$30,125&lt;=$NS$30),IF($NP$30="Single_Point",IF(125=$NR$30,$NN$30,0),IF($NP$30="Bell_Curve",$NN$30*(125-$NR$30+1)*($NS$30-125+1)/$NU$30,$NN$30/$NT$30)),0)</f>
        <v/>
      </c>
      <c r="DZ30" s="228">
        <f>IF(AND(126&gt;=$NR$30,126&lt;=$NS$30),IF($NP$30="Single_Point",IF(126=$NR$30,$NN$30,0),IF($NP$30="Bell_Curve",$NN$30*(126-$NR$30+1)*($NS$30-126+1)/$NU$30,$NN$30/$NT$30)),0)</f>
        <v/>
      </c>
      <c r="EA30" s="228">
        <f>IF(AND(127&gt;=$NR$30,127&lt;=$NS$30),IF($NP$30="Single_Point",IF(127=$NR$30,$NN$30,0),IF($NP$30="Bell_Curve",$NN$30*(127-$NR$30+1)*($NS$30-127+1)/$NU$30,$NN$30/$NT$30)),0)</f>
        <v/>
      </c>
      <c r="EB30" s="228">
        <f>IF(AND(128&gt;=$NR$30,128&lt;=$NS$30),IF($NP$30="Single_Point",IF(128=$NR$30,$NN$30,0),IF($NP$30="Bell_Curve",$NN$30*(128-$NR$30+1)*($NS$30-128+1)/$NU$30,$NN$30/$NT$30)),0)</f>
        <v/>
      </c>
      <c r="EC30" s="228">
        <f>IF(AND(129&gt;=$NR$30,129&lt;=$NS$30),IF($NP$30="Single_Point",IF(129=$NR$30,$NN$30,0),IF($NP$30="Bell_Curve",$NN$30*(129-$NR$30+1)*($NS$30-129+1)/$NU$30,$NN$30/$NT$30)),0)</f>
        <v/>
      </c>
      <c r="ED30" s="228">
        <f>IF(AND(130&gt;=$NR$30,130&lt;=$NS$30),IF($NP$30="Single_Point",IF(130=$NR$30,$NN$30,0),IF($NP$30="Bell_Curve",$NN$30*(130-$NR$30+1)*($NS$30-130+1)/$NU$30,$NN$30/$NT$30)),0)</f>
        <v/>
      </c>
      <c r="EE30" s="228">
        <f>IF(AND(131&gt;=$NR$30,131&lt;=$NS$30),IF($NP$30="Single_Point",IF(131=$NR$30,$NN$30,0),IF($NP$30="Bell_Curve",$NN$30*(131-$NR$30+1)*($NS$30-131+1)/$NU$30,$NN$30/$NT$30)),0)</f>
        <v/>
      </c>
      <c r="EF30" s="228">
        <f>IF(AND(132&gt;=$NR$30,132&lt;=$NS$30),IF($NP$30="Single_Point",IF(132=$NR$30,$NN$30,0),IF($NP$30="Bell_Curve",$NN$30*(132-$NR$30+1)*($NS$30-132+1)/$NU$30,$NN$30/$NT$30)),0)</f>
        <v/>
      </c>
      <c r="EG30" s="228">
        <f>IF(AND(133&gt;=$NR$30,133&lt;=$NS$30),IF($NP$30="Single_Point",IF(133=$NR$30,$NN$30,0),IF($NP$30="Bell_Curve",$NN$30*(133-$NR$30+1)*($NS$30-133+1)/$NU$30,$NN$30/$NT$30)),0)</f>
        <v/>
      </c>
      <c r="EH30" s="228">
        <f>IF(AND(134&gt;=$NR$30,134&lt;=$NS$30),IF($NP$30="Single_Point",IF(134=$NR$30,$NN$30,0),IF($NP$30="Bell_Curve",$NN$30*(134-$NR$30+1)*($NS$30-134+1)/$NU$30,$NN$30/$NT$30)),0)</f>
        <v/>
      </c>
      <c r="EI30" s="228">
        <f>IF(AND(135&gt;=$NR$30,135&lt;=$NS$30),IF($NP$30="Single_Point",IF(135=$NR$30,$NN$30,0),IF($NP$30="Bell_Curve",$NN$30*(135-$NR$30+1)*($NS$30-135+1)/$NU$30,$NN$30/$NT$30)),0)</f>
        <v/>
      </c>
      <c r="EJ30" s="228">
        <f>IF(AND(136&gt;=$NR$30,136&lt;=$NS$30),IF($NP$30="Single_Point",IF(136=$NR$30,$NN$30,0),IF($NP$30="Bell_Curve",$NN$30*(136-$NR$30+1)*($NS$30-136+1)/$NU$30,$NN$30/$NT$30)),0)</f>
        <v/>
      </c>
      <c r="EK30" s="228">
        <f>IF(AND(137&gt;=$NR$30,137&lt;=$NS$30),IF($NP$30="Single_Point",IF(137=$NR$30,$NN$30,0),IF($NP$30="Bell_Curve",$NN$30*(137-$NR$30+1)*($NS$30-137+1)/$NU$30,$NN$30/$NT$30)),0)</f>
        <v/>
      </c>
      <c r="EL30" s="228">
        <f>IF(AND(138&gt;=$NR$30,138&lt;=$NS$30),IF($NP$30="Single_Point",IF(138=$NR$30,$NN$30,0),IF($NP$30="Bell_Curve",$NN$30*(138-$NR$30+1)*($NS$30-138+1)/$NU$30,$NN$30/$NT$30)),0)</f>
        <v/>
      </c>
      <c r="EM30" s="228">
        <f>IF(AND(139&gt;=$NR$30,139&lt;=$NS$30),IF($NP$30="Single_Point",IF(139=$NR$30,$NN$30,0),IF($NP$30="Bell_Curve",$NN$30*(139-$NR$30+1)*($NS$30-139+1)/$NU$30,$NN$30/$NT$30)),0)</f>
        <v/>
      </c>
      <c r="EN30" s="228">
        <f>IF(AND(140&gt;=$NR$30,140&lt;=$NS$30),IF($NP$30="Single_Point",IF(140=$NR$30,$NN$30,0),IF($NP$30="Bell_Curve",$NN$30*(140-$NR$30+1)*($NS$30-140+1)/$NU$30,$NN$30/$NT$30)),0)</f>
        <v/>
      </c>
      <c r="EO30" s="228">
        <f>IF(AND(141&gt;=$NR$30,141&lt;=$NS$30),IF($NP$30="Single_Point",IF(141=$NR$30,$NN$30,0),IF($NP$30="Bell_Curve",$NN$30*(141-$NR$30+1)*($NS$30-141+1)/$NU$30,$NN$30/$NT$30)),0)</f>
        <v/>
      </c>
      <c r="EP30" s="228">
        <f>IF(AND(142&gt;=$NR$30,142&lt;=$NS$30),IF($NP$30="Single_Point",IF(142=$NR$30,$NN$30,0),IF($NP$30="Bell_Curve",$NN$30*(142-$NR$30+1)*($NS$30-142+1)/$NU$30,$NN$30/$NT$30)),0)</f>
        <v/>
      </c>
      <c r="EQ30" s="228">
        <f>IF(AND(143&gt;=$NR$30,143&lt;=$NS$30),IF($NP$30="Single_Point",IF(143=$NR$30,$NN$30,0),IF($NP$30="Bell_Curve",$NN$30*(143-$NR$30+1)*($NS$30-143+1)/$NU$30,$NN$30/$NT$30)),0)</f>
        <v/>
      </c>
      <c r="ER30" s="228">
        <f>IF(AND(144&gt;=$NR$30,144&lt;=$NS$30),IF($NP$30="Single_Point",IF(144=$NR$30,$NN$30,0),IF($NP$30="Bell_Curve",$NN$30*(144-$NR$30+1)*($NS$30-144+1)/$NU$30,$NN$30/$NT$30)),0)</f>
        <v/>
      </c>
      <c r="ES30" s="228">
        <f>IF(AND(145&gt;=$NR$30,145&lt;=$NS$30),IF($NP$30="Single_Point",IF(145=$NR$30,$NN$30,0),IF($NP$30="Bell_Curve",$NN$30*(145-$NR$30+1)*($NS$30-145+1)/$NU$30,$NN$30/$NT$30)),0)</f>
        <v/>
      </c>
      <c r="ET30" s="228">
        <f>IF(AND(146&gt;=$NR$30,146&lt;=$NS$30),IF($NP$30="Single_Point",IF(146=$NR$30,$NN$30,0),IF($NP$30="Bell_Curve",$NN$30*(146-$NR$30+1)*($NS$30-146+1)/$NU$30,$NN$30/$NT$30)),0)</f>
        <v/>
      </c>
      <c r="EU30" s="228">
        <f>IF(AND(147&gt;=$NR$30,147&lt;=$NS$30),IF($NP$30="Single_Point",IF(147=$NR$30,$NN$30,0),IF($NP$30="Bell_Curve",$NN$30*(147-$NR$30+1)*($NS$30-147+1)/$NU$30,$NN$30/$NT$30)),0)</f>
        <v/>
      </c>
      <c r="EV30" s="228">
        <f>IF(AND(148&gt;=$NR$30,148&lt;=$NS$30),IF($NP$30="Single_Point",IF(148=$NR$30,$NN$30,0),IF($NP$30="Bell_Curve",$NN$30*(148-$NR$30+1)*($NS$30-148+1)/$NU$30,$NN$30/$NT$30)),0)</f>
        <v/>
      </c>
      <c r="EW30" s="228">
        <f>IF(AND(149&gt;=$NR$30,149&lt;=$NS$30),IF($NP$30="Single_Point",IF(149=$NR$30,$NN$30,0),IF($NP$30="Bell_Curve",$NN$30*(149-$NR$30+1)*($NS$30-149+1)/$NU$30,$NN$30/$NT$30)),0)</f>
        <v/>
      </c>
      <c r="EX30" s="228">
        <f>IF(AND(150&gt;=$NR$30,150&lt;=$NS$30),IF($NP$30="Single_Point",IF(150=$NR$30,$NN$30,0),IF($NP$30="Bell_Curve",$NN$30*(150-$NR$30+1)*($NS$30-150+1)/$NU$30,$NN$30/$NT$30)),0)</f>
        <v/>
      </c>
      <c r="EY30" s="228">
        <f>IF(AND(151&gt;=$NR$30,151&lt;=$NS$30),IF($NP$30="Single_Point",IF(151=$NR$30,$NN$30,0),IF($NP$30="Bell_Curve",$NN$30*(151-$NR$30+1)*($NS$30-151+1)/$NU$30,$NN$30/$NT$30)),0)</f>
        <v/>
      </c>
      <c r="EZ30" s="228">
        <f>IF(AND(152&gt;=$NR$30,152&lt;=$NS$30),IF($NP$30="Single_Point",IF(152=$NR$30,$NN$30,0),IF($NP$30="Bell_Curve",$NN$30*(152-$NR$30+1)*($NS$30-152+1)/$NU$30,$NN$30/$NT$30)),0)</f>
        <v/>
      </c>
      <c r="FA30" s="228">
        <f>IF(AND(153&gt;=$NR$30,153&lt;=$NS$30),IF($NP$30="Single_Point",IF(153=$NR$30,$NN$30,0),IF($NP$30="Bell_Curve",$NN$30*(153-$NR$30+1)*($NS$30-153+1)/$NU$30,$NN$30/$NT$30)),0)</f>
        <v/>
      </c>
      <c r="FB30" s="228">
        <f>IF(AND(154&gt;=$NR$30,154&lt;=$NS$30),IF($NP$30="Single_Point",IF(154=$NR$30,$NN$30,0),IF($NP$30="Bell_Curve",$NN$30*(154-$NR$30+1)*($NS$30-154+1)/$NU$30,$NN$30/$NT$30)),0)</f>
        <v/>
      </c>
      <c r="FC30" s="228">
        <f>IF(AND(155&gt;=$NR$30,155&lt;=$NS$30),IF($NP$30="Single_Point",IF(155=$NR$30,$NN$30,0),IF($NP$30="Bell_Curve",$NN$30*(155-$NR$30+1)*($NS$30-155+1)/$NU$30,$NN$30/$NT$30)),0)</f>
        <v/>
      </c>
      <c r="FD30" s="228">
        <f>IF(AND(156&gt;=$NR$30,156&lt;=$NS$30),IF($NP$30="Single_Point",IF(156=$NR$30,$NN$30,0),IF($NP$30="Bell_Curve",$NN$30*(156-$NR$30+1)*($NS$30-156+1)/$NU$30,$NN$30/$NT$30)),0)</f>
        <v/>
      </c>
      <c r="FE30" s="228">
        <f>IF(AND(157&gt;=$NR$30,157&lt;=$NS$30),IF($NP$30="Single_Point",IF(157=$NR$30,$NN$30,0),IF($NP$30="Bell_Curve",$NN$30*(157-$NR$30+1)*($NS$30-157+1)/$NU$30,$NN$30/$NT$30)),0)</f>
        <v/>
      </c>
      <c r="FF30" s="228">
        <f>IF(AND(158&gt;=$NR$30,158&lt;=$NS$30),IF($NP$30="Single_Point",IF(158=$NR$30,$NN$30,0),IF($NP$30="Bell_Curve",$NN$30*(158-$NR$30+1)*($NS$30-158+1)/$NU$30,$NN$30/$NT$30)),0)</f>
        <v/>
      </c>
      <c r="FG30" s="228">
        <f>IF(AND(159&gt;=$NR$30,159&lt;=$NS$30),IF($NP$30="Single_Point",IF(159=$NR$30,$NN$30,0),IF($NP$30="Bell_Curve",$NN$30*(159-$NR$30+1)*($NS$30-159+1)/$NU$30,$NN$30/$NT$30)),0)</f>
        <v/>
      </c>
      <c r="FH30" s="228">
        <f>IF(AND(160&gt;=$NR$30,160&lt;=$NS$30),IF($NP$30="Single_Point",IF(160=$NR$30,$NN$30,0),IF($NP$30="Bell_Curve",$NN$30*(160-$NR$30+1)*($NS$30-160+1)/$NU$30,$NN$30/$NT$30)),0)</f>
        <v/>
      </c>
      <c r="FI30" s="228">
        <f>IF(AND(161&gt;=$NR$30,161&lt;=$NS$30),IF($NP$30="Single_Point",IF(161=$NR$30,$NN$30,0),IF($NP$30="Bell_Curve",$NN$30*(161-$NR$30+1)*($NS$30-161+1)/$NU$30,$NN$30/$NT$30)),0)</f>
        <v/>
      </c>
      <c r="FJ30" s="228">
        <f>IF(AND(162&gt;=$NR$30,162&lt;=$NS$30),IF($NP$30="Single_Point",IF(162=$NR$30,$NN$30,0),IF($NP$30="Bell_Curve",$NN$30*(162-$NR$30+1)*($NS$30-162+1)/$NU$30,$NN$30/$NT$30)),0)</f>
        <v/>
      </c>
      <c r="FK30" s="228">
        <f>IF(AND(163&gt;=$NR$30,163&lt;=$NS$30),IF($NP$30="Single_Point",IF(163=$NR$30,$NN$30,0),IF($NP$30="Bell_Curve",$NN$30*(163-$NR$30+1)*($NS$30-163+1)/$NU$30,$NN$30/$NT$30)),0)</f>
        <v/>
      </c>
      <c r="FL30" s="228">
        <f>IF(AND(164&gt;=$NR$30,164&lt;=$NS$30),IF($NP$30="Single_Point",IF(164=$NR$30,$NN$30,0),IF($NP$30="Bell_Curve",$NN$30*(164-$NR$30+1)*($NS$30-164+1)/$NU$30,$NN$30/$NT$30)),0)</f>
        <v/>
      </c>
      <c r="FM30" s="228">
        <f>IF(AND(165&gt;=$NR$30,165&lt;=$NS$30),IF($NP$30="Single_Point",IF(165=$NR$30,$NN$30,0),IF($NP$30="Bell_Curve",$NN$30*(165-$NR$30+1)*($NS$30-165+1)/$NU$30,$NN$30/$NT$30)),0)</f>
        <v/>
      </c>
      <c r="FN30" s="228">
        <f>IF(AND(166&gt;=$NR$30,166&lt;=$NS$30),IF($NP$30="Single_Point",IF(166=$NR$30,$NN$30,0),IF($NP$30="Bell_Curve",$NN$30*(166-$NR$30+1)*($NS$30-166+1)/$NU$30,$NN$30/$NT$30)),0)</f>
        <v/>
      </c>
      <c r="FO30" s="228">
        <f>IF(AND(167&gt;=$NR$30,167&lt;=$NS$30),IF($NP$30="Single_Point",IF(167=$NR$30,$NN$30,0),IF($NP$30="Bell_Curve",$NN$30*(167-$NR$30+1)*($NS$30-167+1)/$NU$30,$NN$30/$NT$30)),0)</f>
        <v/>
      </c>
      <c r="FP30" s="228">
        <f>IF(AND(168&gt;=$NR$30,168&lt;=$NS$30),IF($NP$30="Single_Point",IF(168=$NR$30,$NN$30,0),IF($NP$30="Bell_Curve",$NN$30*(168-$NR$30+1)*($NS$30-168+1)/$NU$30,$NN$30/$NT$30)),0)</f>
        <v/>
      </c>
      <c r="FQ30" s="228">
        <f>IF(AND(169&gt;=$NR$30,169&lt;=$NS$30),IF($NP$30="Single_Point",IF(169=$NR$30,$NN$30,0),IF($NP$30="Bell_Curve",$NN$30*(169-$NR$30+1)*($NS$30-169+1)/$NU$30,$NN$30/$NT$30)),0)</f>
        <v/>
      </c>
      <c r="FR30" s="228">
        <f>IF(AND(170&gt;=$NR$30,170&lt;=$NS$30),IF($NP$30="Single_Point",IF(170=$NR$30,$NN$30,0),IF($NP$30="Bell_Curve",$NN$30*(170-$NR$30+1)*($NS$30-170+1)/$NU$30,$NN$30/$NT$30)),0)</f>
        <v/>
      </c>
      <c r="FS30" s="228">
        <f>IF(AND(171&gt;=$NR$30,171&lt;=$NS$30),IF($NP$30="Single_Point",IF(171=$NR$30,$NN$30,0),IF($NP$30="Bell_Curve",$NN$30*(171-$NR$30+1)*($NS$30-171+1)/$NU$30,$NN$30/$NT$30)),0)</f>
        <v/>
      </c>
      <c r="FT30" s="228">
        <f>IF(AND(172&gt;=$NR$30,172&lt;=$NS$30),IF($NP$30="Single_Point",IF(172=$NR$30,$NN$30,0),IF($NP$30="Bell_Curve",$NN$30*(172-$NR$30+1)*($NS$30-172+1)/$NU$30,$NN$30/$NT$30)),0)</f>
        <v/>
      </c>
      <c r="FU30" s="228">
        <f>IF(AND(173&gt;=$NR$30,173&lt;=$NS$30),IF($NP$30="Single_Point",IF(173=$NR$30,$NN$30,0),IF($NP$30="Bell_Curve",$NN$30*(173-$NR$30+1)*($NS$30-173+1)/$NU$30,$NN$30/$NT$30)),0)</f>
        <v/>
      </c>
      <c r="FV30" s="228">
        <f>IF(AND(174&gt;=$NR$30,174&lt;=$NS$30),IF($NP$30="Single_Point",IF(174=$NR$30,$NN$30,0),IF($NP$30="Bell_Curve",$NN$30*(174-$NR$30+1)*($NS$30-174+1)/$NU$30,$NN$30/$NT$30)),0)</f>
        <v/>
      </c>
      <c r="FW30" s="228">
        <f>IF(AND(175&gt;=$NR$30,175&lt;=$NS$30),IF($NP$30="Single_Point",IF(175=$NR$30,$NN$30,0),IF($NP$30="Bell_Curve",$NN$30*(175-$NR$30+1)*($NS$30-175+1)/$NU$30,$NN$30/$NT$30)),0)</f>
        <v/>
      </c>
      <c r="FX30" s="228">
        <f>IF(AND(176&gt;=$NR$30,176&lt;=$NS$30),IF($NP$30="Single_Point",IF(176=$NR$30,$NN$30,0),IF($NP$30="Bell_Curve",$NN$30*(176-$NR$30+1)*($NS$30-176+1)/$NU$30,$NN$30/$NT$30)),0)</f>
        <v/>
      </c>
      <c r="FY30" s="228">
        <f>IF(AND(177&gt;=$NR$30,177&lt;=$NS$30),IF($NP$30="Single_Point",IF(177=$NR$30,$NN$30,0),IF($NP$30="Bell_Curve",$NN$30*(177-$NR$30+1)*($NS$30-177+1)/$NU$30,$NN$30/$NT$30)),0)</f>
        <v/>
      </c>
      <c r="FZ30" s="228">
        <f>IF(AND(178&gt;=$NR$30,178&lt;=$NS$30),IF($NP$30="Single_Point",IF(178=$NR$30,$NN$30,0),IF($NP$30="Bell_Curve",$NN$30*(178-$NR$30+1)*($NS$30-178+1)/$NU$30,$NN$30/$NT$30)),0)</f>
        <v/>
      </c>
      <c r="GA30" s="228">
        <f>IF(AND(179&gt;=$NR$30,179&lt;=$NS$30),IF($NP$30="Single_Point",IF(179=$NR$30,$NN$30,0),IF($NP$30="Bell_Curve",$NN$30*(179-$NR$30+1)*($NS$30-179+1)/$NU$30,$NN$30/$NT$30)),0)</f>
        <v/>
      </c>
      <c r="GB30" s="228">
        <f>IF(AND(180&gt;=$NR$30,180&lt;=$NS$30),IF($NP$30="Single_Point",IF(180=$NR$30,$NN$30,0),IF($NP$30="Bell_Curve",$NN$30*(180-$NR$30+1)*($NS$30-180+1)/$NU$30,$NN$30/$NT$30)),0)</f>
        <v/>
      </c>
      <c r="GC30" s="228">
        <f>IF(AND(181&gt;=$NR$30,181&lt;=$NS$30),IF($NP$30="Single_Point",IF(181=$NR$30,$NN$30,0),IF($NP$30="Bell_Curve",$NN$30*(181-$NR$30+1)*($NS$30-181+1)/$NU$30,$NN$30/$NT$30)),0)</f>
        <v/>
      </c>
      <c r="GD30" s="228">
        <f>IF(AND(182&gt;=$NR$30,182&lt;=$NS$30),IF($NP$30="Single_Point",IF(182=$NR$30,$NN$30,0),IF($NP$30="Bell_Curve",$NN$30*(182-$NR$30+1)*($NS$30-182+1)/$NU$30,$NN$30/$NT$30)),0)</f>
        <v/>
      </c>
      <c r="GE30" s="228">
        <f>IF(AND(183&gt;=$NR$30,183&lt;=$NS$30),IF($NP$30="Single_Point",IF(183=$NR$30,$NN$30,0),IF($NP$30="Bell_Curve",$NN$30*(183-$NR$30+1)*($NS$30-183+1)/$NU$30,$NN$30/$NT$30)),0)</f>
        <v/>
      </c>
      <c r="GF30" s="228">
        <f>IF(AND(184&gt;=$NR$30,184&lt;=$NS$30),IF($NP$30="Single_Point",IF(184=$NR$30,$NN$30,0),IF($NP$30="Bell_Curve",$NN$30*(184-$NR$30+1)*($NS$30-184+1)/$NU$30,$NN$30/$NT$30)),0)</f>
        <v/>
      </c>
      <c r="GG30" s="228">
        <f>IF(AND(185&gt;=$NR$30,185&lt;=$NS$30),IF($NP$30="Single_Point",IF(185=$NR$30,$NN$30,0),IF($NP$30="Bell_Curve",$NN$30*(185-$NR$30+1)*($NS$30-185+1)/$NU$30,$NN$30/$NT$30)),0)</f>
        <v/>
      </c>
      <c r="GH30" s="228">
        <f>IF(AND(186&gt;=$NR$30,186&lt;=$NS$30),IF($NP$30="Single_Point",IF(186=$NR$30,$NN$30,0),IF($NP$30="Bell_Curve",$NN$30*(186-$NR$30+1)*($NS$30-186+1)/$NU$30,$NN$30/$NT$30)),0)</f>
        <v/>
      </c>
      <c r="GI30" s="228">
        <f>IF(AND(187&gt;=$NR$30,187&lt;=$NS$30),IF($NP$30="Single_Point",IF(187=$NR$30,$NN$30,0),IF($NP$30="Bell_Curve",$NN$30*(187-$NR$30+1)*($NS$30-187+1)/$NU$30,$NN$30/$NT$30)),0)</f>
        <v/>
      </c>
      <c r="GJ30" s="228">
        <f>IF(AND(188&gt;=$NR$30,188&lt;=$NS$30),IF($NP$30="Single_Point",IF(188=$NR$30,$NN$30,0),IF($NP$30="Bell_Curve",$NN$30*(188-$NR$30+1)*($NS$30-188+1)/$NU$30,$NN$30/$NT$30)),0)</f>
        <v/>
      </c>
      <c r="GK30" s="228">
        <f>IF(AND(189&gt;=$NR$30,189&lt;=$NS$30),IF($NP$30="Single_Point",IF(189=$NR$30,$NN$30,0),IF($NP$30="Bell_Curve",$NN$30*(189-$NR$30+1)*($NS$30-189+1)/$NU$30,$NN$30/$NT$30)),0)</f>
        <v/>
      </c>
      <c r="GL30" s="228">
        <f>IF(AND(190&gt;=$NR$30,190&lt;=$NS$30),IF($NP$30="Single_Point",IF(190=$NR$30,$NN$30,0),IF($NP$30="Bell_Curve",$NN$30*(190-$NR$30+1)*($NS$30-190+1)/$NU$30,$NN$30/$NT$30)),0)</f>
        <v/>
      </c>
      <c r="GM30" s="228">
        <f>IF(AND(191&gt;=$NR$30,191&lt;=$NS$30),IF($NP$30="Single_Point",IF(191=$NR$30,$NN$30,0),IF($NP$30="Bell_Curve",$NN$30*(191-$NR$30+1)*($NS$30-191+1)/$NU$30,$NN$30/$NT$30)),0)</f>
        <v/>
      </c>
      <c r="GN30" s="228">
        <f>IF(AND(192&gt;=$NR$30,192&lt;=$NS$30),IF($NP$30="Single_Point",IF(192=$NR$30,$NN$30,0),IF($NP$30="Bell_Curve",$NN$30*(192-$NR$30+1)*($NS$30-192+1)/$NU$30,$NN$30/$NT$30)),0)</f>
        <v/>
      </c>
      <c r="GO30" s="228">
        <f>IF(AND(193&gt;=$NR$30,193&lt;=$NS$30),IF($NP$30="Single_Point",IF(193=$NR$30,$NN$30,0),IF($NP$30="Bell_Curve",$NN$30*(193-$NR$30+1)*($NS$30-193+1)/$NU$30,$NN$30/$NT$30)),0)</f>
        <v/>
      </c>
      <c r="GP30" s="228">
        <f>IF(AND(194&gt;=$NR$30,194&lt;=$NS$30),IF($NP$30="Single_Point",IF(194=$NR$30,$NN$30,0),IF($NP$30="Bell_Curve",$NN$30*(194-$NR$30+1)*($NS$30-194+1)/$NU$30,$NN$30/$NT$30)),0)</f>
        <v/>
      </c>
      <c r="GQ30" s="228">
        <f>IF(AND(195&gt;=$NR$30,195&lt;=$NS$30),IF($NP$30="Single_Point",IF(195=$NR$30,$NN$30,0),IF($NP$30="Bell_Curve",$NN$30*(195-$NR$30+1)*($NS$30-195+1)/$NU$30,$NN$30/$NT$30)),0)</f>
        <v/>
      </c>
      <c r="GR30" s="228">
        <f>IF(AND(196&gt;=$NR$30,196&lt;=$NS$30),IF($NP$30="Single_Point",IF(196=$NR$30,$NN$30,0),IF($NP$30="Bell_Curve",$NN$30*(196-$NR$30+1)*($NS$30-196+1)/$NU$30,$NN$30/$NT$30)),0)</f>
        <v/>
      </c>
      <c r="GS30" s="228">
        <f>IF(AND(197&gt;=$NR$30,197&lt;=$NS$30),IF($NP$30="Single_Point",IF(197=$NR$30,$NN$30,0),IF($NP$30="Bell_Curve",$NN$30*(197-$NR$30+1)*($NS$30-197+1)/$NU$30,$NN$30/$NT$30)),0)</f>
        <v/>
      </c>
      <c r="GT30" s="228">
        <f>IF(AND(198&gt;=$NR$30,198&lt;=$NS$30),IF($NP$30="Single_Point",IF(198=$NR$30,$NN$30,0),IF($NP$30="Bell_Curve",$NN$30*(198-$NR$30+1)*($NS$30-198+1)/$NU$30,$NN$30/$NT$30)),0)</f>
        <v/>
      </c>
      <c r="GU30" s="228">
        <f>IF(AND(199&gt;=$NR$30,199&lt;=$NS$30),IF($NP$30="Single_Point",IF(199=$NR$30,$NN$30,0),IF($NP$30="Bell_Curve",$NN$30*(199-$NR$30+1)*($NS$30-199+1)/$NU$30,$NN$30/$NT$30)),0)</f>
        <v/>
      </c>
      <c r="GV30" s="228">
        <f>IF(AND(200&gt;=$NR$30,200&lt;=$NS$30),IF($NP$30="Single_Point",IF(200=$NR$30,$NN$30,0),IF($NP$30="Bell_Curve",$NN$30*(200-$NR$30+1)*($NS$30-200+1)/$NU$30,$NN$30/$NT$30)),0)</f>
        <v/>
      </c>
      <c r="GW30" s="228">
        <f>IF(AND(201&gt;=$NR$30,201&lt;=$NS$30),IF($NP$30="Single_Point",IF(201=$NR$30,$NN$30,0),IF($NP$30="Bell_Curve",$NN$30*(201-$NR$30+1)*($NS$30-201+1)/$NU$30,$NN$30/$NT$30)),0)</f>
        <v/>
      </c>
      <c r="GX30" s="228">
        <f>IF(AND(202&gt;=$NR$30,202&lt;=$NS$30),IF($NP$30="Single_Point",IF(202=$NR$30,$NN$30,0),IF($NP$30="Bell_Curve",$NN$30*(202-$NR$30+1)*($NS$30-202+1)/$NU$30,$NN$30/$NT$30)),0)</f>
        <v/>
      </c>
      <c r="GY30" s="228">
        <f>IF(AND(203&gt;=$NR$30,203&lt;=$NS$30),IF($NP$30="Single_Point",IF(203=$NR$30,$NN$30,0),IF($NP$30="Bell_Curve",$NN$30*(203-$NR$30+1)*($NS$30-203+1)/$NU$30,$NN$30/$NT$30)),0)</f>
        <v/>
      </c>
      <c r="GZ30" s="228">
        <f>IF(AND(204&gt;=$NR$30,204&lt;=$NS$30),IF($NP$30="Single_Point",IF(204=$NR$30,$NN$30,0),IF($NP$30="Bell_Curve",$NN$30*(204-$NR$30+1)*($NS$30-204+1)/$NU$30,$NN$30/$NT$30)),0)</f>
        <v/>
      </c>
      <c r="HA30" s="228">
        <f>IF(AND(205&gt;=$NR$30,205&lt;=$NS$30),IF($NP$30="Single_Point",IF(205=$NR$30,$NN$30,0),IF($NP$30="Bell_Curve",$NN$30*(205-$NR$30+1)*($NS$30-205+1)/$NU$30,$NN$30/$NT$30)),0)</f>
        <v/>
      </c>
      <c r="HB30" s="228">
        <f>IF(AND(206&gt;=$NR$30,206&lt;=$NS$30),IF($NP$30="Single_Point",IF(206=$NR$30,$NN$30,0),IF($NP$30="Bell_Curve",$NN$30*(206-$NR$30+1)*($NS$30-206+1)/$NU$30,$NN$30/$NT$30)),0)</f>
        <v/>
      </c>
      <c r="HC30" s="228">
        <f>IF(AND(207&gt;=$NR$30,207&lt;=$NS$30),IF($NP$30="Single_Point",IF(207=$NR$30,$NN$30,0),IF($NP$30="Bell_Curve",$NN$30*(207-$NR$30+1)*($NS$30-207+1)/$NU$30,$NN$30/$NT$30)),0)</f>
        <v/>
      </c>
      <c r="HD30" s="228">
        <f>IF(AND(208&gt;=$NR$30,208&lt;=$NS$30),IF($NP$30="Single_Point",IF(208=$NR$30,$NN$30,0),IF($NP$30="Bell_Curve",$NN$30*(208-$NR$30+1)*($NS$30-208+1)/$NU$30,$NN$30/$NT$30)),0)</f>
        <v/>
      </c>
      <c r="HE30" s="228">
        <f>IF(AND(209&gt;=$NR$30,209&lt;=$NS$30),IF($NP$30="Single_Point",IF(209=$NR$30,$NN$30,0),IF($NP$30="Bell_Curve",$NN$30*(209-$NR$30+1)*($NS$30-209+1)/$NU$30,$NN$30/$NT$30)),0)</f>
        <v/>
      </c>
      <c r="HF30" s="228">
        <f>IF(AND(210&gt;=$NR$30,210&lt;=$NS$30),IF($NP$30="Single_Point",IF(210=$NR$30,$NN$30,0),IF($NP$30="Bell_Curve",$NN$30*(210-$NR$30+1)*($NS$30-210+1)/$NU$30,$NN$30/$NT$30)),0)</f>
        <v/>
      </c>
      <c r="HG30" s="228">
        <f>IF(AND(211&gt;=$NR$30,211&lt;=$NS$30),IF($NP$30="Single_Point",IF(211=$NR$30,$NN$30,0),IF($NP$30="Bell_Curve",$NN$30*(211-$NR$30+1)*($NS$30-211+1)/$NU$30,$NN$30/$NT$30)),0)</f>
        <v/>
      </c>
      <c r="HH30" s="228">
        <f>IF(AND(212&gt;=$NR$30,212&lt;=$NS$30),IF($NP$30="Single_Point",IF(212=$NR$30,$NN$30,0),IF($NP$30="Bell_Curve",$NN$30*(212-$NR$30+1)*($NS$30-212+1)/$NU$30,$NN$30/$NT$30)),0)</f>
        <v/>
      </c>
      <c r="HI30" s="228">
        <f>IF(AND(213&gt;=$NR$30,213&lt;=$NS$30),IF($NP$30="Single_Point",IF(213=$NR$30,$NN$30,0),IF($NP$30="Bell_Curve",$NN$30*(213-$NR$30+1)*($NS$30-213+1)/$NU$30,$NN$30/$NT$30)),0)</f>
        <v/>
      </c>
      <c r="HJ30" s="228">
        <f>IF(AND(214&gt;=$NR$30,214&lt;=$NS$30),IF($NP$30="Single_Point",IF(214=$NR$30,$NN$30,0),IF($NP$30="Bell_Curve",$NN$30*(214-$NR$30+1)*($NS$30-214+1)/$NU$30,$NN$30/$NT$30)),0)</f>
        <v/>
      </c>
      <c r="HK30" s="228">
        <f>IF(AND(215&gt;=$NR$30,215&lt;=$NS$30),IF($NP$30="Single_Point",IF(215=$NR$30,$NN$30,0),IF($NP$30="Bell_Curve",$NN$30*(215-$NR$30+1)*($NS$30-215+1)/$NU$30,$NN$30/$NT$30)),0)</f>
        <v/>
      </c>
      <c r="HL30" s="228">
        <f>IF(AND(216&gt;=$NR$30,216&lt;=$NS$30),IF($NP$30="Single_Point",IF(216=$NR$30,$NN$30,0),IF($NP$30="Bell_Curve",$NN$30*(216-$NR$30+1)*($NS$30-216+1)/$NU$30,$NN$30/$NT$30)),0)</f>
        <v/>
      </c>
      <c r="HM30" s="228">
        <f>IF(AND(217&gt;=$NR$30,217&lt;=$NS$30),IF($NP$30="Single_Point",IF(217=$NR$30,$NN$30,0),IF($NP$30="Bell_Curve",$NN$30*(217-$NR$30+1)*($NS$30-217+1)/$NU$30,$NN$30/$NT$30)),0)</f>
        <v/>
      </c>
      <c r="HN30" s="228">
        <f>IF(AND(218&gt;=$NR$30,218&lt;=$NS$30),IF($NP$30="Single_Point",IF(218=$NR$30,$NN$30,0),IF($NP$30="Bell_Curve",$NN$30*(218-$NR$30+1)*($NS$30-218+1)/$NU$30,$NN$30/$NT$30)),0)</f>
        <v/>
      </c>
      <c r="HO30" s="228">
        <f>IF(AND(219&gt;=$NR$30,219&lt;=$NS$30),IF($NP$30="Single_Point",IF(219=$NR$30,$NN$30,0),IF($NP$30="Bell_Curve",$NN$30*(219-$NR$30+1)*($NS$30-219+1)/$NU$30,$NN$30/$NT$30)),0)</f>
        <v/>
      </c>
      <c r="HP30" s="228">
        <f>IF(AND(220&gt;=$NR$30,220&lt;=$NS$30),IF($NP$30="Single_Point",IF(220=$NR$30,$NN$30,0),IF($NP$30="Bell_Curve",$NN$30*(220-$NR$30+1)*($NS$30-220+1)/$NU$30,$NN$30/$NT$30)),0)</f>
        <v/>
      </c>
      <c r="HQ30" s="228">
        <f>IF(AND(221&gt;=$NR$30,221&lt;=$NS$30),IF($NP$30="Single_Point",IF(221=$NR$30,$NN$30,0),IF($NP$30="Bell_Curve",$NN$30*(221-$NR$30+1)*($NS$30-221+1)/$NU$30,$NN$30/$NT$30)),0)</f>
        <v/>
      </c>
      <c r="HR30" s="228">
        <f>IF(AND(222&gt;=$NR$30,222&lt;=$NS$30),IF($NP$30="Single_Point",IF(222=$NR$30,$NN$30,0),IF($NP$30="Bell_Curve",$NN$30*(222-$NR$30+1)*($NS$30-222+1)/$NU$30,$NN$30/$NT$30)),0)</f>
        <v/>
      </c>
      <c r="HS30" s="228">
        <f>IF(AND(223&gt;=$NR$30,223&lt;=$NS$30),IF($NP$30="Single_Point",IF(223=$NR$30,$NN$30,0),IF($NP$30="Bell_Curve",$NN$30*(223-$NR$30+1)*($NS$30-223+1)/$NU$30,$NN$30/$NT$30)),0)</f>
        <v/>
      </c>
      <c r="HT30" s="228">
        <f>IF(AND(224&gt;=$NR$30,224&lt;=$NS$30),IF($NP$30="Single_Point",IF(224=$NR$30,$NN$30,0),IF($NP$30="Bell_Curve",$NN$30*(224-$NR$30+1)*($NS$30-224+1)/$NU$30,$NN$30/$NT$30)),0)</f>
        <v/>
      </c>
      <c r="HU30" s="228">
        <f>IF(AND(225&gt;=$NR$30,225&lt;=$NS$30),IF($NP$30="Single_Point",IF(225=$NR$30,$NN$30,0),IF($NP$30="Bell_Curve",$NN$30*(225-$NR$30+1)*($NS$30-225+1)/$NU$30,$NN$30/$NT$30)),0)</f>
        <v/>
      </c>
      <c r="HV30" s="228">
        <f>IF(AND(226&gt;=$NR$30,226&lt;=$NS$30),IF($NP$30="Single_Point",IF(226=$NR$30,$NN$30,0),IF($NP$30="Bell_Curve",$NN$30*(226-$NR$30+1)*($NS$30-226+1)/$NU$30,$NN$30/$NT$30)),0)</f>
        <v/>
      </c>
      <c r="HW30" s="228">
        <f>IF(AND(227&gt;=$NR$30,227&lt;=$NS$30),IF($NP$30="Single_Point",IF(227=$NR$30,$NN$30,0),IF($NP$30="Bell_Curve",$NN$30*(227-$NR$30+1)*($NS$30-227+1)/$NU$30,$NN$30/$NT$30)),0)</f>
        <v/>
      </c>
      <c r="HX30" s="228">
        <f>IF(AND(228&gt;=$NR$30,228&lt;=$NS$30),IF($NP$30="Single_Point",IF(228=$NR$30,$NN$30,0),IF($NP$30="Bell_Curve",$NN$30*(228-$NR$30+1)*($NS$30-228+1)/$NU$30,$NN$30/$NT$30)),0)</f>
        <v/>
      </c>
      <c r="HY30" s="228">
        <f>IF(AND(229&gt;=$NR$30,229&lt;=$NS$30),IF($NP$30="Single_Point",IF(229=$NR$30,$NN$30,0),IF($NP$30="Bell_Curve",$NN$30*(229-$NR$30+1)*($NS$30-229+1)/$NU$30,$NN$30/$NT$30)),0)</f>
        <v/>
      </c>
      <c r="HZ30" s="228">
        <f>IF(AND(230&gt;=$NR$30,230&lt;=$NS$30),IF($NP$30="Single_Point",IF(230=$NR$30,$NN$30,0),IF($NP$30="Bell_Curve",$NN$30*(230-$NR$30+1)*($NS$30-230+1)/$NU$30,$NN$30/$NT$30)),0)</f>
        <v/>
      </c>
      <c r="IA30" s="228">
        <f>IF(AND(231&gt;=$NR$30,231&lt;=$NS$30),IF($NP$30="Single_Point",IF(231=$NR$30,$NN$30,0),IF($NP$30="Bell_Curve",$NN$30*(231-$NR$30+1)*($NS$30-231+1)/$NU$30,$NN$30/$NT$30)),0)</f>
        <v/>
      </c>
      <c r="IB30" s="228">
        <f>IF(AND(232&gt;=$NR$30,232&lt;=$NS$30),IF($NP$30="Single_Point",IF(232=$NR$30,$NN$30,0),IF($NP$30="Bell_Curve",$NN$30*(232-$NR$30+1)*($NS$30-232+1)/$NU$30,$NN$30/$NT$30)),0)</f>
        <v/>
      </c>
      <c r="IC30" s="228">
        <f>IF(AND(233&gt;=$NR$30,233&lt;=$NS$30),IF($NP$30="Single_Point",IF(233=$NR$30,$NN$30,0),IF($NP$30="Bell_Curve",$NN$30*(233-$NR$30+1)*($NS$30-233+1)/$NU$30,$NN$30/$NT$30)),0)</f>
        <v/>
      </c>
      <c r="ID30" s="228">
        <f>IF(AND(234&gt;=$NR$30,234&lt;=$NS$30),IF($NP$30="Single_Point",IF(234=$NR$30,$NN$30,0),IF($NP$30="Bell_Curve",$NN$30*(234-$NR$30+1)*($NS$30-234+1)/$NU$30,$NN$30/$NT$30)),0)</f>
        <v/>
      </c>
      <c r="IE30" s="228">
        <f>IF(AND(235&gt;=$NR$30,235&lt;=$NS$30),IF($NP$30="Single_Point",IF(235=$NR$30,$NN$30,0),IF($NP$30="Bell_Curve",$NN$30*(235-$NR$30+1)*($NS$30-235+1)/$NU$30,$NN$30/$NT$30)),0)</f>
        <v/>
      </c>
      <c r="IF30" s="228">
        <f>IF(AND(236&gt;=$NR$30,236&lt;=$NS$30),IF($NP$30="Single_Point",IF(236=$NR$30,$NN$30,0),IF($NP$30="Bell_Curve",$NN$30*(236-$NR$30+1)*($NS$30-236+1)/$NU$30,$NN$30/$NT$30)),0)</f>
        <v/>
      </c>
      <c r="IG30" s="228">
        <f>IF(AND(237&gt;=$NR$30,237&lt;=$NS$30),IF($NP$30="Single_Point",IF(237=$NR$30,$NN$30,0),IF($NP$30="Bell_Curve",$NN$30*(237-$NR$30+1)*($NS$30-237+1)/$NU$30,$NN$30/$NT$30)),0)</f>
        <v/>
      </c>
      <c r="IH30" s="228">
        <f>IF(AND(238&gt;=$NR$30,238&lt;=$NS$30),IF($NP$30="Single_Point",IF(238=$NR$30,$NN$30,0),IF($NP$30="Bell_Curve",$NN$30*(238-$NR$30+1)*($NS$30-238+1)/$NU$30,$NN$30/$NT$30)),0)</f>
        <v/>
      </c>
      <c r="II30" s="228">
        <f>IF(AND(239&gt;=$NR$30,239&lt;=$NS$30),IF($NP$30="Single_Point",IF(239=$NR$30,$NN$30,0),IF($NP$30="Bell_Curve",$NN$30*(239-$NR$30+1)*($NS$30-239+1)/$NU$30,$NN$30/$NT$30)),0)</f>
        <v/>
      </c>
      <c r="IJ30" s="228">
        <f>IF(AND(240&gt;=$NR$30,240&lt;=$NS$30),IF($NP$30="Single_Point",IF(240=$NR$30,$NN$30,0),IF($NP$30="Bell_Curve",$NN$30*(240-$NR$30+1)*($NS$30-240+1)/$NU$30,$NN$30/$NT$30)),0)</f>
        <v/>
      </c>
      <c r="IK30" s="228">
        <f>IF(AND(241&gt;=$NR$30,241&lt;=$NS$30),IF($NP$30="Single_Point",IF(241=$NR$30,$NN$30,0),IF($NP$30="Bell_Curve",$NN$30*(241-$NR$30+1)*($NS$30-241+1)/$NU$30,$NN$30/$NT$30)),0)</f>
        <v/>
      </c>
      <c r="IL30" s="228">
        <f>IF(AND(242&gt;=$NR$30,242&lt;=$NS$30),IF($NP$30="Single_Point",IF(242=$NR$30,$NN$30,0),IF($NP$30="Bell_Curve",$NN$30*(242-$NR$30+1)*($NS$30-242+1)/$NU$30,$NN$30/$NT$30)),0)</f>
        <v/>
      </c>
      <c r="IM30" s="228">
        <f>IF(AND(243&gt;=$NR$30,243&lt;=$NS$30),IF($NP$30="Single_Point",IF(243=$NR$30,$NN$30,0),IF($NP$30="Bell_Curve",$NN$30*(243-$NR$30+1)*($NS$30-243+1)/$NU$30,$NN$30/$NT$30)),0)</f>
        <v/>
      </c>
      <c r="IN30" s="228">
        <f>IF(AND(244&gt;=$NR$30,244&lt;=$NS$30),IF($NP$30="Single_Point",IF(244=$NR$30,$NN$30,0),IF($NP$30="Bell_Curve",$NN$30*(244-$NR$30+1)*($NS$30-244+1)/$NU$30,$NN$30/$NT$30)),0)</f>
        <v/>
      </c>
      <c r="IO30" s="228">
        <f>IF(AND(245&gt;=$NR$30,245&lt;=$NS$30),IF($NP$30="Single_Point",IF(245=$NR$30,$NN$30,0),IF($NP$30="Bell_Curve",$NN$30*(245-$NR$30+1)*($NS$30-245+1)/$NU$30,$NN$30/$NT$30)),0)</f>
        <v/>
      </c>
      <c r="IP30" s="228">
        <f>IF(AND(246&gt;=$NR$30,246&lt;=$NS$30),IF($NP$30="Single_Point",IF(246=$NR$30,$NN$30,0),IF($NP$30="Bell_Curve",$NN$30*(246-$NR$30+1)*($NS$30-246+1)/$NU$30,$NN$30/$NT$30)),0)</f>
        <v/>
      </c>
      <c r="IQ30" s="228">
        <f>IF(AND(247&gt;=$NR$30,247&lt;=$NS$30),IF($NP$30="Single_Point",IF(247=$NR$30,$NN$30,0),IF($NP$30="Bell_Curve",$NN$30*(247-$NR$30+1)*($NS$30-247+1)/$NU$30,$NN$30/$NT$30)),0)</f>
        <v/>
      </c>
      <c r="IR30" s="228">
        <f>IF(AND(248&gt;=$NR$30,248&lt;=$NS$30),IF($NP$30="Single_Point",IF(248=$NR$30,$NN$30,0),IF($NP$30="Bell_Curve",$NN$30*(248-$NR$30+1)*($NS$30-248+1)/$NU$30,$NN$30/$NT$30)),0)</f>
        <v/>
      </c>
      <c r="IS30" s="228">
        <f>IF(AND(249&gt;=$NR$30,249&lt;=$NS$30),IF($NP$30="Single_Point",IF(249=$NR$30,$NN$30,0),IF($NP$30="Bell_Curve",$NN$30*(249-$NR$30+1)*($NS$30-249+1)/$NU$30,$NN$30/$NT$30)),0)</f>
        <v/>
      </c>
      <c r="IT30" s="228">
        <f>IF(AND(250&gt;=$NR$30,250&lt;=$NS$30),IF($NP$30="Single_Point",IF(250=$NR$30,$NN$30,0),IF($NP$30="Bell_Curve",$NN$30*(250-$NR$30+1)*($NS$30-250+1)/$NU$30,$NN$30/$NT$30)),0)</f>
        <v/>
      </c>
      <c r="IU30" s="228">
        <f>IF(AND(251&gt;=$NR$30,251&lt;=$NS$30),IF($NP$30="Single_Point",IF(251=$NR$30,$NN$30,0),IF($NP$30="Bell_Curve",$NN$30*(251-$NR$30+1)*($NS$30-251+1)/$NU$30,$NN$30/$NT$30)),0)</f>
        <v/>
      </c>
      <c r="IV30" s="228">
        <f>IF(AND(252&gt;=$NR$30,252&lt;=$NS$30),IF($NP$30="Single_Point",IF(252=$NR$30,$NN$30,0),IF($NP$30="Bell_Curve",$NN$30*(252-$NR$30+1)*($NS$30-252+1)/$NU$30,$NN$30/$NT$30)),0)</f>
        <v/>
      </c>
      <c r="IW30" s="228">
        <f>IF(AND(253&gt;=$NR$30,253&lt;=$NS$30),IF($NP$30="Single_Point",IF(253=$NR$30,$NN$30,0),IF($NP$30="Bell_Curve",$NN$30*(253-$NR$30+1)*($NS$30-253+1)/$NU$30,$NN$30/$NT$30)),0)</f>
        <v/>
      </c>
      <c r="IX30" s="228">
        <f>IF(AND(254&gt;=$NR$30,254&lt;=$NS$30),IF($NP$30="Single_Point",IF(254=$NR$30,$NN$30,0),IF($NP$30="Bell_Curve",$NN$30*(254-$NR$30+1)*($NS$30-254+1)/$NU$30,$NN$30/$NT$30)),0)</f>
        <v/>
      </c>
      <c r="IY30" s="228">
        <f>IF(AND(255&gt;=$NR$30,255&lt;=$NS$30),IF($NP$30="Single_Point",IF(255=$NR$30,$NN$30,0),IF($NP$30="Bell_Curve",$NN$30*(255-$NR$30+1)*($NS$30-255+1)/$NU$30,$NN$30/$NT$30)),0)</f>
        <v/>
      </c>
      <c r="IZ30" s="228">
        <f>IF(AND(256&gt;=$NR$30,256&lt;=$NS$30),IF($NP$30="Single_Point",IF(256=$NR$30,$NN$30,0),IF($NP$30="Bell_Curve",$NN$30*(256-$NR$30+1)*($NS$30-256+1)/$NU$30,$NN$30/$NT$30)),0)</f>
        <v/>
      </c>
      <c r="JA30" s="228">
        <f>IF(AND(257&gt;=$NR$30,257&lt;=$NS$30),IF($NP$30="Single_Point",IF(257=$NR$30,$NN$30,0),IF($NP$30="Bell_Curve",$NN$30*(257-$NR$30+1)*($NS$30-257+1)/$NU$30,$NN$30/$NT$30)),0)</f>
        <v/>
      </c>
      <c r="JB30" s="228">
        <f>IF(AND(258&gt;=$NR$30,258&lt;=$NS$30),IF($NP$30="Single_Point",IF(258=$NR$30,$NN$30,0),IF($NP$30="Bell_Curve",$NN$30*(258-$NR$30+1)*($NS$30-258+1)/$NU$30,$NN$30/$NT$30)),0)</f>
        <v/>
      </c>
      <c r="JC30" s="228">
        <f>IF(AND(259&gt;=$NR$30,259&lt;=$NS$30),IF($NP$30="Single_Point",IF(259=$NR$30,$NN$30,0),IF($NP$30="Bell_Curve",$NN$30*(259-$NR$30+1)*($NS$30-259+1)/$NU$30,$NN$30/$NT$30)),0)</f>
        <v/>
      </c>
      <c r="JD30" s="228">
        <f>IF(AND(260&gt;=$NR$30,260&lt;=$NS$30),IF($NP$30="Single_Point",IF(260=$NR$30,$NN$30,0),IF($NP$30="Bell_Curve",$NN$30*(260-$NR$30+1)*($NS$30-260+1)/$NU$30,$NN$30/$NT$30)),0)</f>
        <v/>
      </c>
      <c r="JE30" s="228">
        <f>IF(AND(261&gt;=$NR$30,261&lt;=$NS$30),IF($NP$30="Single_Point",IF(261=$NR$30,$NN$30,0),IF($NP$30="Bell_Curve",$NN$30*(261-$NR$30+1)*($NS$30-261+1)/$NU$30,$NN$30/$NT$30)),0)</f>
        <v/>
      </c>
      <c r="JF30" s="228">
        <f>IF(AND(262&gt;=$NR$30,262&lt;=$NS$30),IF($NP$30="Single_Point",IF(262=$NR$30,$NN$30,0),IF($NP$30="Bell_Curve",$NN$30*(262-$NR$30+1)*($NS$30-262+1)/$NU$30,$NN$30/$NT$30)),0)</f>
        <v/>
      </c>
      <c r="JG30" s="228">
        <f>IF(AND(263&gt;=$NR$30,263&lt;=$NS$30),IF($NP$30="Single_Point",IF(263=$NR$30,$NN$30,0),IF($NP$30="Bell_Curve",$NN$30*(263-$NR$30+1)*($NS$30-263+1)/$NU$30,$NN$30/$NT$30)),0)</f>
        <v/>
      </c>
      <c r="JH30" s="228">
        <f>IF(AND(264&gt;=$NR$30,264&lt;=$NS$30),IF($NP$30="Single_Point",IF(264=$NR$30,$NN$30,0),IF($NP$30="Bell_Curve",$NN$30*(264-$NR$30+1)*($NS$30-264+1)/$NU$30,$NN$30/$NT$30)),0)</f>
        <v/>
      </c>
      <c r="JI30" s="228">
        <f>IF(AND(265&gt;=$NR$30,265&lt;=$NS$30),IF($NP$30="Single_Point",IF(265=$NR$30,$NN$30,0),IF($NP$30="Bell_Curve",$NN$30*(265-$NR$30+1)*($NS$30-265+1)/$NU$30,$NN$30/$NT$30)),0)</f>
        <v/>
      </c>
      <c r="JJ30" s="228">
        <f>IF(AND(266&gt;=$NR$30,266&lt;=$NS$30),IF($NP$30="Single_Point",IF(266=$NR$30,$NN$30,0),IF($NP$30="Bell_Curve",$NN$30*(266-$NR$30+1)*($NS$30-266+1)/$NU$30,$NN$30/$NT$30)),0)</f>
        <v/>
      </c>
      <c r="JK30" s="228">
        <f>IF(AND(267&gt;=$NR$30,267&lt;=$NS$30),IF($NP$30="Single_Point",IF(267=$NR$30,$NN$30,0),IF($NP$30="Bell_Curve",$NN$30*(267-$NR$30+1)*($NS$30-267+1)/$NU$30,$NN$30/$NT$30)),0)</f>
        <v/>
      </c>
      <c r="JL30" s="228">
        <f>IF(AND(268&gt;=$NR$30,268&lt;=$NS$30),IF($NP$30="Single_Point",IF(268=$NR$30,$NN$30,0),IF($NP$30="Bell_Curve",$NN$30*(268-$NR$30+1)*($NS$30-268+1)/$NU$30,$NN$30/$NT$30)),0)</f>
        <v/>
      </c>
      <c r="JM30" s="228">
        <f>IF(AND(269&gt;=$NR$30,269&lt;=$NS$30),IF($NP$30="Single_Point",IF(269=$NR$30,$NN$30,0),IF($NP$30="Bell_Curve",$NN$30*(269-$NR$30+1)*($NS$30-269+1)/$NU$30,$NN$30/$NT$30)),0)</f>
        <v/>
      </c>
      <c r="JN30" s="228">
        <f>IF(AND(270&gt;=$NR$30,270&lt;=$NS$30),IF($NP$30="Single_Point",IF(270=$NR$30,$NN$30,0),IF($NP$30="Bell_Curve",$NN$30*(270-$NR$30+1)*($NS$30-270+1)/$NU$30,$NN$30/$NT$30)),0)</f>
        <v/>
      </c>
      <c r="JO30" s="228">
        <f>IF(AND(271&gt;=$NR$30,271&lt;=$NS$30),IF($NP$30="Single_Point",IF(271=$NR$30,$NN$30,0),IF($NP$30="Bell_Curve",$NN$30*(271-$NR$30+1)*($NS$30-271+1)/$NU$30,$NN$30/$NT$30)),0)</f>
        <v/>
      </c>
      <c r="JP30" s="228">
        <f>IF(AND(272&gt;=$NR$30,272&lt;=$NS$30),IF($NP$30="Single_Point",IF(272=$NR$30,$NN$30,0),IF($NP$30="Bell_Curve",$NN$30*(272-$NR$30+1)*($NS$30-272+1)/$NU$30,$NN$30/$NT$30)),0)</f>
        <v/>
      </c>
      <c r="JQ30" s="228">
        <f>IF(AND(273&gt;=$NR$30,273&lt;=$NS$30),IF($NP$30="Single_Point",IF(273=$NR$30,$NN$30,0),IF($NP$30="Bell_Curve",$NN$30*(273-$NR$30+1)*($NS$30-273+1)/$NU$30,$NN$30/$NT$30)),0)</f>
        <v/>
      </c>
      <c r="JR30" s="228">
        <f>IF(AND(274&gt;=$NR$30,274&lt;=$NS$30),IF($NP$30="Single_Point",IF(274=$NR$30,$NN$30,0),IF($NP$30="Bell_Curve",$NN$30*(274-$NR$30+1)*($NS$30-274+1)/$NU$30,$NN$30/$NT$30)),0)</f>
        <v/>
      </c>
      <c r="JS30" s="228">
        <f>IF(AND(275&gt;=$NR$30,275&lt;=$NS$30),IF($NP$30="Single_Point",IF(275=$NR$30,$NN$30,0),IF($NP$30="Bell_Curve",$NN$30*(275-$NR$30+1)*($NS$30-275+1)/$NU$30,$NN$30/$NT$30)),0)</f>
        <v/>
      </c>
      <c r="JT30" s="228">
        <f>IF(AND(276&gt;=$NR$30,276&lt;=$NS$30),IF($NP$30="Single_Point",IF(276=$NR$30,$NN$30,0),IF($NP$30="Bell_Curve",$NN$30*(276-$NR$30+1)*($NS$30-276+1)/$NU$30,$NN$30/$NT$30)),0)</f>
        <v/>
      </c>
      <c r="JU30" s="228">
        <f>IF(AND(277&gt;=$NR$30,277&lt;=$NS$30),IF($NP$30="Single_Point",IF(277=$NR$30,$NN$30,0),IF($NP$30="Bell_Curve",$NN$30*(277-$NR$30+1)*($NS$30-277+1)/$NU$30,$NN$30/$NT$30)),0)</f>
        <v/>
      </c>
      <c r="JV30" s="228">
        <f>IF(AND(278&gt;=$NR$30,278&lt;=$NS$30),IF($NP$30="Single_Point",IF(278=$NR$30,$NN$30,0),IF($NP$30="Bell_Curve",$NN$30*(278-$NR$30+1)*($NS$30-278+1)/$NU$30,$NN$30/$NT$30)),0)</f>
        <v/>
      </c>
      <c r="JW30" s="228">
        <f>IF(AND(279&gt;=$NR$30,279&lt;=$NS$30),IF($NP$30="Single_Point",IF(279=$NR$30,$NN$30,0),IF($NP$30="Bell_Curve",$NN$30*(279-$NR$30+1)*($NS$30-279+1)/$NU$30,$NN$30/$NT$30)),0)</f>
        <v/>
      </c>
      <c r="JX30" s="228">
        <f>IF(AND(280&gt;=$NR$30,280&lt;=$NS$30),IF($NP$30="Single_Point",IF(280=$NR$30,$NN$30,0),IF($NP$30="Bell_Curve",$NN$30*(280-$NR$30+1)*($NS$30-280+1)/$NU$30,$NN$30/$NT$30)),0)</f>
        <v/>
      </c>
      <c r="JY30" s="228">
        <f>IF(AND(281&gt;=$NR$30,281&lt;=$NS$30),IF($NP$30="Single_Point",IF(281=$NR$30,$NN$30,0),IF($NP$30="Bell_Curve",$NN$30*(281-$NR$30+1)*($NS$30-281+1)/$NU$30,$NN$30/$NT$30)),0)</f>
        <v/>
      </c>
      <c r="JZ30" s="228">
        <f>IF(AND(282&gt;=$NR$30,282&lt;=$NS$30),IF($NP$30="Single_Point",IF(282=$NR$30,$NN$30,0),IF($NP$30="Bell_Curve",$NN$30*(282-$NR$30+1)*($NS$30-282+1)/$NU$30,$NN$30/$NT$30)),0)</f>
        <v/>
      </c>
      <c r="KA30" s="228">
        <f>IF(AND(283&gt;=$NR$30,283&lt;=$NS$30),IF($NP$30="Single_Point",IF(283=$NR$30,$NN$30,0),IF($NP$30="Bell_Curve",$NN$30*(283-$NR$30+1)*($NS$30-283+1)/$NU$30,$NN$30/$NT$30)),0)</f>
        <v/>
      </c>
      <c r="KB30" s="228">
        <f>IF(AND(284&gt;=$NR$30,284&lt;=$NS$30),IF($NP$30="Single_Point",IF(284=$NR$30,$NN$30,0),IF($NP$30="Bell_Curve",$NN$30*(284-$NR$30+1)*($NS$30-284+1)/$NU$30,$NN$30/$NT$30)),0)</f>
        <v/>
      </c>
      <c r="KC30" s="228">
        <f>IF(AND(285&gt;=$NR$30,285&lt;=$NS$30),IF($NP$30="Single_Point",IF(285=$NR$30,$NN$30,0),IF($NP$30="Bell_Curve",$NN$30*(285-$NR$30+1)*($NS$30-285+1)/$NU$30,$NN$30/$NT$30)),0)</f>
        <v/>
      </c>
      <c r="KD30" s="228">
        <f>IF(AND(286&gt;=$NR$30,286&lt;=$NS$30),IF($NP$30="Single_Point",IF(286=$NR$30,$NN$30,0),IF($NP$30="Bell_Curve",$NN$30*(286-$NR$30+1)*($NS$30-286+1)/$NU$30,$NN$30/$NT$30)),0)</f>
        <v/>
      </c>
      <c r="KE30" s="228">
        <f>IF(AND(287&gt;=$NR$30,287&lt;=$NS$30),IF($NP$30="Single_Point",IF(287=$NR$30,$NN$30,0),IF($NP$30="Bell_Curve",$NN$30*(287-$NR$30+1)*($NS$30-287+1)/$NU$30,$NN$30/$NT$30)),0)</f>
        <v/>
      </c>
      <c r="KF30" s="228">
        <f>IF(AND(288&gt;=$NR$30,288&lt;=$NS$30),IF($NP$30="Single_Point",IF(288=$NR$30,$NN$30,0),IF($NP$30="Bell_Curve",$NN$30*(288-$NR$30+1)*($NS$30-288+1)/$NU$30,$NN$30/$NT$30)),0)</f>
        <v/>
      </c>
      <c r="KG30" s="228">
        <f>IF(AND(289&gt;=$NR$30,289&lt;=$NS$30),IF($NP$30="Single_Point",IF(289=$NR$30,$NN$30,0),IF($NP$30="Bell_Curve",$NN$30*(289-$NR$30+1)*($NS$30-289+1)/$NU$30,$NN$30/$NT$30)),0)</f>
        <v/>
      </c>
      <c r="KH30" s="228">
        <f>IF(AND(290&gt;=$NR$30,290&lt;=$NS$30),IF($NP$30="Single_Point",IF(290=$NR$30,$NN$30,0),IF($NP$30="Bell_Curve",$NN$30*(290-$NR$30+1)*($NS$30-290+1)/$NU$30,$NN$30/$NT$30)),0)</f>
        <v/>
      </c>
      <c r="KI30" s="228">
        <f>IF(AND(291&gt;=$NR$30,291&lt;=$NS$30),IF($NP$30="Single_Point",IF(291=$NR$30,$NN$30,0),IF($NP$30="Bell_Curve",$NN$30*(291-$NR$30+1)*($NS$30-291+1)/$NU$30,$NN$30/$NT$30)),0)</f>
        <v/>
      </c>
      <c r="KJ30" s="228">
        <f>IF(AND(292&gt;=$NR$30,292&lt;=$NS$30),IF($NP$30="Single_Point",IF(292=$NR$30,$NN$30,0),IF($NP$30="Bell_Curve",$NN$30*(292-$NR$30+1)*($NS$30-292+1)/$NU$30,$NN$30/$NT$30)),0)</f>
        <v/>
      </c>
      <c r="KK30" s="228">
        <f>IF(AND(293&gt;=$NR$30,293&lt;=$NS$30),IF($NP$30="Single_Point",IF(293=$NR$30,$NN$30,0),IF($NP$30="Bell_Curve",$NN$30*(293-$NR$30+1)*($NS$30-293+1)/$NU$30,$NN$30/$NT$30)),0)</f>
        <v/>
      </c>
      <c r="KL30" s="228">
        <f>IF(AND(294&gt;=$NR$30,294&lt;=$NS$30),IF($NP$30="Single_Point",IF(294=$NR$30,$NN$30,0),IF($NP$30="Bell_Curve",$NN$30*(294-$NR$30+1)*($NS$30-294+1)/$NU$30,$NN$30/$NT$30)),0)</f>
        <v/>
      </c>
      <c r="KM30" s="228">
        <f>IF(AND(295&gt;=$NR$30,295&lt;=$NS$30),IF($NP$30="Single_Point",IF(295=$NR$30,$NN$30,0),IF($NP$30="Bell_Curve",$NN$30*(295-$NR$30+1)*($NS$30-295+1)/$NU$30,$NN$30/$NT$30)),0)</f>
        <v/>
      </c>
      <c r="KN30" s="228">
        <f>IF(AND(296&gt;=$NR$30,296&lt;=$NS$30),IF($NP$30="Single_Point",IF(296=$NR$30,$NN$30,0),IF($NP$30="Bell_Curve",$NN$30*(296-$NR$30+1)*($NS$30-296+1)/$NU$30,$NN$30/$NT$30)),0)</f>
        <v/>
      </c>
      <c r="KO30" s="228">
        <f>IF(AND(297&gt;=$NR$30,297&lt;=$NS$30),IF($NP$30="Single_Point",IF(297=$NR$30,$NN$30,0),IF($NP$30="Bell_Curve",$NN$30*(297-$NR$30+1)*($NS$30-297+1)/$NU$30,$NN$30/$NT$30)),0)</f>
        <v/>
      </c>
      <c r="KP30" s="228">
        <f>IF(AND(298&gt;=$NR$30,298&lt;=$NS$30),IF($NP$30="Single_Point",IF(298=$NR$30,$NN$30,0),IF($NP$30="Bell_Curve",$NN$30*(298-$NR$30+1)*($NS$30-298+1)/$NU$30,$NN$30/$NT$30)),0)</f>
        <v/>
      </c>
      <c r="KQ30" s="228">
        <f>IF(AND(299&gt;=$NR$30,299&lt;=$NS$30),IF($NP$30="Single_Point",IF(299=$NR$30,$NN$30,0),IF($NP$30="Bell_Curve",$NN$30*(299-$NR$30+1)*($NS$30-299+1)/$NU$30,$NN$30/$NT$30)),0)</f>
        <v/>
      </c>
      <c r="KR30" s="228">
        <f>IF(AND(300&gt;=$NR$30,300&lt;=$NS$30),IF($NP$30="Single_Point",IF(300=$NR$30,$NN$30,0),IF($NP$30="Bell_Curve",$NN$30*(300-$NR$30+1)*($NS$30-300+1)/$NU$30,$NN$30/$NT$30)),0)</f>
        <v/>
      </c>
      <c r="KS30" s="228">
        <f>IF(AND(301&gt;=$NR$30,301&lt;=$NS$30),IF($NP$30="Single_Point",IF(301=$NR$30,$NN$30,0),IF($NP$30="Bell_Curve",$NN$30*(301-$NR$30+1)*($NS$30-301+1)/$NU$30,$NN$30/$NT$30)),0)</f>
        <v/>
      </c>
      <c r="KT30" s="228">
        <f>IF(AND(302&gt;=$NR$30,302&lt;=$NS$30),IF($NP$30="Single_Point",IF(302=$NR$30,$NN$30,0),IF($NP$30="Bell_Curve",$NN$30*(302-$NR$30+1)*($NS$30-302+1)/$NU$30,$NN$30/$NT$30)),0)</f>
        <v/>
      </c>
      <c r="KU30" s="228">
        <f>IF(AND(303&gt;=$NR$30,303&lt;=$NS$30),IF($NP$30="Single_Point",IF(303=$NR$30,$NN$30,0),IF($NP$30="Bell_Curve",$NN$30*(303-$NR$30+1)*($NS$30-303+1)/$NU$30,$NN$30/$NT$30)),0)</f>
        <v/>
      </c>
      <c r="KV30" s="228">
        <f>IF(AND(304&gt;=$NR$30,304&lt;=$NS$30),IF($NP$30="Single_Point",IF(304=$NR$30,$NN$30,0),IF($NP$30="Bell_Curve",$NN$30*(304-$NR$30+1)*($NS$30-304+1)/$NU$30,$NN$30/$NT$30)),0)</f>
        <v/>
      </c>
      <c r="KW30" s="228">
        <f>IF(AND(305&gt;=$NR$30,305&lt;=$NS$30),IF($NP$30="Single_Point",IF(305=$NR$30,$NN$30,0),IF($NP$30="Bell_Curve",$NN$30*(305-$NR$30+1)*($NS$30-305+1)/$NU$30,$NN$30/$NT$30)),0)</f>
        <v/>
      </c>
      <c r="KX30" s="228">
        <f>IF(AND(306&gt;=$NR$30,306&lt;=$NS$30),IF($NP$30="Single_Point",IF(306=$NR$30,$NN$30,0),IF($NP$30="Bell_Curve",$NN$30*(306-$NR$30+1)*($NS$30-306+1)/$NU$30,$NN$30/$NT$30)),0)</f>
        <v/>
      </c>
      <c r="KY30" s="228">
        <f>IF(AND(307&gt;=$NR$30,307&lt;=$NS$30),IF($NP$30="Single_Point",IF(307=$NR$30,$NN$30,0),IF($NP$30="Bell_Curve",$NN$30*(307-$NR$30+1)*($NS$30-307+1)/$NU$30,$NN$30/$NT$30)),0)</f>
        <v/>
      </c>
      <c r="KZ30" s="228">
        <f>IF(AND(308&gt;=$NR$30,308&lt;=$NS$30),IF($NP$30="Single_Point",IF(308=$NR$30,$NN$30,0),IF($NP$30="Bell_Curve",$NN$30*(308-$NR$30+1)*($NS$30-308+1)/$NU$30,$NN$30/$NT$30)),0)</f>
        <v/>
      </c>
      <c r="LA30" s="228">
        <f>IF(AND(309&gt;=$NR$30,309&lt;=$NS$30),IF($NP$30="Single_Point",IF(309=$NR$30,$NN$30,0),IF($NP$30="Bell_Curve",$NN$30*(309-$NR$30+1)*($NS$30-309+1)/$NU$30,$NN$30/$NT$30)),0)</f>
        <v/>
      </c>
      <c r="LB30" s="228">
        <f>IF(AND(310&gt;=$NR$30,310&lt;=$NS$30),IF($NP$30="Single_Point",IF(310=$NR$30,$NN$30,0),IF($NP$30="Bell_Curve",$NN$30*(310-$NR$30+1)*($NS$30-310+1)/$NU$30,$NN$30/$NT$30)),0)</f>
        <v/>
      </c>
      <c r="LC30" s="228">
        <f>IF(AND(311&gt;=$NR$30,311&lt;=$NS$30),IF($NP$30="Single_Point",IF(311=$NR$30,$NN$30,0),IF($NP$30="Bell_Curve",$NN$30*(311-$NR$30+1)*($NS$30-311+1)/$NU$30,$NN$30/$NT$30)),0)</f>
        <v/>
      </c>
      <c r="LD30" s="228">
        <f>IF(AND(312&gt;=$NR$30,312&lt;=$NS$30),IF($NP$30="Single_Point",IF(312=$NR$30,$NN$30,0),IF($NP$30="Bell_Curve",$NN$30*(312-$NR$30+1)*($NS$30-312+1)/$NU$30,$NN$30/$NT$30)),0)</f>
        <v/>
      </c>
      <c r="LE30" s="228">
        <f>IF(AND(313&gt;=$NR$30,313&lt;=$NS$30),IF($NP$30="Single_Point",IF(313=$NR$30,$NN$30,0),IF($NP$30="Bell_Curve",$NN$30*(313-$NR$30+1)*($NS$30-313+1)/$NU$30,$NN$30/$NT$30)),0)</f>
        <v/>
      </c>
      <c r="LF30" s="228">
        <f>IF(AND(314&gt;=$NR$30,314&lt;=$NS$30),IF($NP$30="Single_Point",IF(314=$NR$30,$NN$30,0),IF($NP$30="Bell_Curve",$NN$30*(314-$NR$30+1)*($NS$30-314+1)/$NU$30,$NN$30/$NT$30)),0)</f>
        <v/>
      </c>
      <c r="LG30" s="228">
        <f>IF(AND(315&gt;=$NR$30,315&lt;=$NS$30),IF($NP$30="Single_Point",IF(315=$NR$30,$NN$30,0),IF($NP$30="Bell_Curve",$NN$30*(315-$NR$30+1)*($NS$30-315+1)/$NU$30,$NN$30/$NT$30)),0)</f>
        <v/>
      </c>
      <c r="LH30" s="228">
        <f>IF(AND(316&gt;=$NR$30,316&lt;=$NS$30),IF($NP$30="Single_Point",IF(316=$NR$30,$NN$30,0),IF($NP$30="Bell_Curve",$NN$30*(316-$NR$30+1)*($NS$30-316+1)/$NU$30,$NN$30/$NT$30)),0)</f>
        <v/>
      </c>
      <c r="LI30" s="228">
        <f>IF(AND(317&gt;=$NR$30,317&lt;=$NS$30),IF($NP$30="Single_Point",IF(317=$NR$30,$NN$30,0),IF($NP$30="Bell_Curve",$NN$30*(317-$NR$30+1)*($NS$30-317+1)/$NU$30,$NN$30/$NT$30)),0)</f>
        <v/>
      </c>
      <c r="LJ30" s="228">
        <f>IF(AND(318&gt;=$NR$30,318&lt;=$NS$30),IF($NP$30="Single_Point",IF(318=$NR$30,$NN$30,0),IF($NP$30="Bell_Curve",$NN$30*(318-$NR$30+1)*($NS$30-318+1)/$NU$30,$NN$30/$NT$30)),0)</f>
        <v/>
      </c>
      <c r="LK30" s="228">
        <f>IF(AND(319&gt;=$NR$30,319&lt;=$NS$30),IF($NP$30="Single_Point",IF(319=$NR$30,$NN$30,0),IF($NP$30="Bell_Curve",$NN$30*(319-$NR$30+1)*($NS$30-319+1)/$NU$30,$NN$30/$NT$30)),0)</f>
        <v/>
      </c>
      <c r="LL30" s="228">
        <f>IF(AND(320&gt;=$NR$30,320&lt;=$NS$30),IF($NP$30="Single_Point",IF(320=$NR$30,$NN$30,0),IF($NP$30="Bell_Curve",$NN$30*(320-$NR$30+1)*($NS$30-320+1)/$NU$30,$NN$30/$NT$30)),0)</f>
        <v/>
      </c>
      <c r="LM30" s="228">
        <f>IF(AND(321&gt;=$NR$30,321&lt;=$NS$30),IF($NP$30="Single_Point",IF(321=$NR$30,$NN$30,0),IF($NP$30="Bell_Curve",$NN$30*(321-$NR$30+1)*($NS$30-321+1)/$NU$30,$NN$30/$NT$30)),0)</f>
        <v/>
      </c>
      <c r="LN30" s="228">
        <f>IF(AND(322&gt;=$NR$30,322&lt;=$NS$30),IF($NP$30="Single_Point",IF(322=$NR$30,$NN$30,0),IF($NP$30="Bell_Curve",$NN$30*(322-$NR$30+1)*($NS$30-322+1)/$NU$30,$NN$30/$NT$30)),0)</f>
        <v/>
      </c>
      <c r="LO30" s="228">
        <f>IF(AND(323&gt;=$NR$30,323&lt;=$NS$30),IF($NP$30="Single_Point",IF(323=$NR$30,$NN$30,0),IF($NP$30="Bell_Curve",$NN$30*(323-$NR$30+1)*($NS$30-323+1)/$NU$30,$NN$30/$NT$30)),0)</f>
        <v/>
      </c>
      <c r="LP30" s="228">
        <f>IF(AND(324&gt;=$NR$30,324&lt;=$NS$30),IF($NP$30="Single_Point",IF(324=$NR$30,$NN$30,0),IF($NP$30="Bell_Curve",$NN$30*(324-$NR$30+1)*($NS$30-324+1)/$NU$30,$NN$30/$NT$30)),0)</f>
        <v/>
      </c>
      <c r="LQ30" s="228">
        <f>IF(AND(325&gt;=$NR$30,325&lt;=$NS$30),IF($NP$30="Single_Point",IF(325=$NR$30,$NN$30,0),IF($NP$30="Bell_Curve",$NN$30*(325-$NR$30+1)*($NS$30-325+1)/$NU$30,$NN$30/$NT$30)),0)</f>
        <v/>
      </c>
      <c r="LR30" s="228">
        <f>IF(AND(326&gt;=$NR$30,326&lt;=$NS$30),IF($NP$30="Single_Point",IF(326=$NR$30,$NN$30,0),IF($NP$30="Bell_Curve",$NN$30*(326-$NR$30+1)*($NS$30-326+1)/$NU$30,$NN$30/$NT$30)),0)</f>
        <v/>
      </c>
      <c r="LS30" s="228">
        <f>IF(AND(327&gt;=$NR$30,327&lt;=$NS$30),IF($NP$30="Single_Point",IF(327=$NR$30,$NN$30,0),IF($NP$30="Bell_Curve",$NN$30*(327-$NR$30+1)*($NS$30-327+1)/$NU$30,$NN$30/$NT$30)),0)</f>
        <v/>
      </c>
      <c r="LT30" s="228">
        <f>IF(AND(328&gt;=$NR$30,328&lt;=$NS$30),IF($NP$30="Single_Point",IF(328=$NR$30,$NN$30,0),IF($NP$30="Bell_Curve",$NN$30*(328-$NR$30+1)*($NS$30-328+1)/$NU$30,$NN$30/$NT$30)),0)</f>
        <v/>
      </c>
      <c r="LU30" s="228">
        <f>IF(AND(329&gt;=$NR$30,329&lt;=$NS$30),IF($NP$30="Single_Point",IF(329=$NR$30,$NN$30,0),IF($NP$30="Bell_Curve",$NN$30*(329-$NR$30+1)*($NS$30-329+1)/$NU$30,$NN$30/$NT$30)),0)</f>
        <v/>
      </c>
      <c r="LV30" s="228">
        <f>IF(AND(330&gt;=$NR$30,330&lt;=$NS$30),IF($NP$30="Single_Point",IF(330=$NR$30,$NN$30,0),IF($NP$30="Bell_Curve",$NN$30*(330-$NR$30+1)*($NS$30-330+1)/$NU$30,$NN$30/$NT$30)),0)</f>
        <v/>
      </c>
      <c r="LW30" s="228">
        <f>IF(AND(331&gt;=$NR$30,331&lt;=$NS$30),IF($NP$30="Single_Point",IF(331=$NR$30,$NN$30,0),IF($NP$30="Bell_Curve",$NN$30*(331-$NR$30+1)*($NS$30-331+1)/$NU$30,$NN$30/$NT$30)),0)</f>
        <v/>
      </c>
      <c r="LX30" s="228">
        <f>IF(AND(332&gt;=$NR$30,332&lt;=$NS$30),IF($NP$30="Single_Point",IF(332=$NR$30,$NN$30,0),IF($NP$30="Bell_Curve",$NN$30*(332-$NR$30+1)*($NS$30-332+1)/$NU$30,$NN$30/$NT$30)),0)</f>
        <v/>
      </c>
      <c r="LY30" s="228">
        <f>IF(AND(333&gt;=$NR$30,333&lt;=$NS$30),IF($NP$30="Single_Point",IF(333=$NR$30,$NN$30,0),IF($NP$30="Bell_Curve",$NN$30*(333-$NR$30+1)*($NS$30-333+1)/$NU$30,$NN$30/$NT$30)),0)</f>
        <v/>
      </c>
      <c r="LZ30" s="228">
        <f>IF(AND(334&gt;=$NR$30,334&lt;=$NS$30),IF($NP$30="Single_Point",IF(334=$NR$30,$NN$30,0),IF($NP$30="Bell_Curve",$NN$30*(334-$NR$30+1)*($NS$30-334+1)/$NU$30,$NN$30/$NT$30)),0)</f>
        <v/>
      </c>
      <c r="MA30" s="228">
        <f>IF(AND(335&gt;=$NR$30,335&lt;=$NS$30),IF($NP$30="Single_Point",IF(335=$NR$30,$NN$30,0),IF($NP$30="Bell_Curve",$NN$30*(335-$NR$30+1)*($NS$30-335+1)/$NU$30,$NN$30/$NT$30)),0)</f>
        <v/>
      </c>
      <c r="MB30" s="228">
        <f>IF(AND(336&gt;=$NR$30,336&lt;=$NS$30),IF($NP$30="Single_Point",IF(336=$NR$30,$NN$30,0),IF($NP$30="Bell_Curve",$NN$30*(336-$NR$30+1)*($NS$30-336+1)/$NU$30,$NN$30/$NT$30)),0)</f>
        <v/>
      </c>
      <c r="MC30" s="228">
        <f>IF(AND(337&gt;=$NR$30,337&lt;=$NS$30),IF($NP$30="Single_Point",IF(337=$NR$30,$NN$30,0),IF($NP$30="Bell_Curve",$NN$30*(337-$NR$30+1)*($NS$30-337+1)/$NU$30,$NN$30/$NT$30)),0)</f>
        <v/>
      </c>
      <c r="MD30" s="228">
        <f>IF(AND(338&gt;=$NR$30,338&lt;=$NS$30),IF($NP$30="Single_Point",IF(338=$NR$30,$NN$30,0),IF($NP$30="Bell_Curve",$NN$30*(338-$NR$30+1)*($NS$30-338+1)/$NU$30,$NN$30/$NT$30)),0)</f>
        <v/>
      </c>
      <c r="ME30" s="228">
        <f>IF(AND(339&gt;=$NR$30,339&lt;=$NS$30),IF($NP$30="Single_Point",IF(339=$NR$30,$NN$30,0),IF($NP$30="Bell_Curve",$NN$30*(339-$NR$30+1)*($NS$30-339+1)/$NU$30,$NN$30/$NT$30)),0)</f>
        <v/>
      </c>
      <c r="MF30" s="228">
        <f>IF(AND(340&gt;=$NR$30,340&lt;=$NS$30),IF($NP$30="Single_Point",IF(340=$NR$30,$NN$30,0),IF($NP$30="Bell_Curve",$NN$30*(340-$NR$30+1)*($NS$30-340+1)/$NU$30,$NN$30/$NT$30)),0)</f>
        <v/>
      </c>
      <c r="MG30" s="228">
        <f>IF(AND(341&gt;=$NR$30,341&lt;=$NS$30),IF($NP$30="Single_Point",IF(341=$NR$30,$NN$30,0),IF($NP$30="Bell_Curve",$NN$30*(341-$NR$30+1)*($NS$30-341+1)/$NU$30,$NN$30/$NT$30)),0)</f>
        <v/>
      </c>
      <c r="MH30" s="228">
        <f>IF(AND(342&gt;=$NR$30,342&lt;=$NS$30),IF($NP$30="Single_Point",IF(342=$NR$30,$NN$30,0),IF($NP$30="Bell_Curve",$NN$30*(342-$NR$30+1)*($NS$30-342+1)/$NU$30,$NN$30/$NT$30)),0)</f>
        <v/>
      </c>
      <c r="MI30" s="228">
        <f>IF(AND(343&gt;=$NR$30,343&lt;=$NS$30),IF($NP$30="Single_Point",IF(343=$NR$30,$NN$30,0),IF($NP$30="Bell_Curve",$NN$30*(343-$NR$30+1)*($NS$30-343+1)/$NU$30,$NN$30/$NT$30)),0)</f>
        <v/>
      </c>
      <c r="MJ30" s="228">
        <f>IF(AND(344&gt;=$NR$30,344&lt;=$NS$30),IF($NP$30="Single_Point",IF(344=$NR$30,$NN$30,0),IF($NP$30="Bell_Curve",$NN$30*(344-$NR$30+1)*($NS$30-344+1)/$NU$30,$NN$30/$NT$30)),0)</f>
        <v/>
      </c>
      <c r="MK30" s="228">
        <f>IF(AND(345&gt;=$NR$30,345&lt;=$NS$30),IF($NP$30="Single_Point",IF(345=$NR$30,$NN$30,0),IF($NP$30="Bell_Curve",$NN$30*(345-$NR$30+1)*($NS$30-345+1)/$NU$30,$NN$30/$NT$30)),0)</f>
        <v/>
      </c>
      <c r="ML30" s="228">
        <f>IF(AND(346&gt;=$NR$30,346&lt;=$NS$30),IF($NP$30="Single_Point",IF(346=$NR$30,$NN$30,0),IF($NP$30="Bell_Curve",$NN$30*(346-$NR$30+1)*($NS$30-346+1)/$NU$30,$NN$30/$NT$30)),0)</f>
        <v/>
      </c>
      <c r="MM30" s="228">
        <f>IF(AND(347&gt;=$NR$30,347&lt;=$NS$30),IF($NP$30="Single_Point",IF(347=$NR$30,$NN$30,0),IF($NP$30="Bell_Curve",$NN$30*(347-$NR$30+1)*($NS$30-347+1)/$NU$30,$NN$30/$NT$30)),0)</f>
        <v/>
      </c>
      <c r="MN30" s="228">
        <f>IF(AND(348&gt;=$NR$30,348&lt;=$NS$30),IF($NP$30="Single_Point",IF(348=$NR$30,$NN$30,0),IF($NP$30="Bell_Curve",$NN$30*(348-$NR$30+1)*($NS$30-348+1)/$NU$30,$NN$30/$NT$30)),0)</f>
        <v/>
      </c>
      <c r="MO30" s="228">
        <f>IF(AND(349&gt;=$NR$30,349&lt;=$NS$30),IF($NP$30="Single_Point",IF(349=$NR$30,$NN$30,0),IF($NP$30="Bell_Curve",$NN$30*(349-$NR$30+1)*($NS$30-349+1)/$NU$30,$NN$30/$NT$30)),0)</f>
        <v/>
      </c>
      <c r="MP30" s="228">
        <f>IF(AND(350&gt;=$NR$30,350&lt;=$NS$30),IF($NP$30="Single_Point",IF(350=$NR$30,$NN$30,0),IF($NP$30="Bell_Curve",$NN$30*(350-$NR$30+1)*($NS$30-350+1)/$NU$30,$NN$30/$NT$30)),0)</f>
        <v/>
      </c>
      <c r="MQ30" s="228">
        <f>IF(AND(351&gt;=$NR$30,351&lt;=$NS$30),IF($NP$30="Single_Point",IF(351=$NR$30,$NN$30,0),IF($NP$30="Bell_Curve",$NN$30*(351-$NR$30+1)*($NS$30-351+1)/$NU$30,$NN$30/$NT$30)),0)</f>
        <v/>
      </c>
      <c r="MR30" s="228">
        <f>IF(AND(352&gt;=$NR$30,352&lt;=$NS$30),IF($NP$30="Single_Point",IF(352=$NR$30,$NN$30,0),IF($NP$30="Bell_Curve",$NN$30*(352-$NR$30+1)*($NS$30-352+1)/$NU$30,$NN$30/$NT$30)),0)</f>
        <v/>
      </c>
      <c r="MS30" s="228">
        <f>IF(AND(353&gt;=$NR$30,353&lt;=$NS$30),IF($NP$30="Single_Point",IF(353=$NR$30,$NN$30,0),IF($NP$30="Bell_Curve",$NN$30*(353-$NR$30+1)*($NS$30-353+1)/$NU$30,$NN$30/$NT$30)),0)</f>
        <v/>
      </c>
      <c r="MT30" s="228">
        <f>IF(AND(354&gt;=$NR$30,354&lt;=$NS$30),IF($NP$30="Single_Point",IF(354=$NR$30,$NN$30,0),IF($NP$30="Bell_Curve",$NN$30*(354-$NR$30+1)*($NS$30-354+1)/$NU$30,$NN$30/$NT$30)),0)</f>
        <v/>
      </c>
      <c r="MU30" s="228">
        <f>IF(AND(355&gt;=$NR$30,355&lt;=$NS$30),IF($NP$30="Single_Point",IF(355=$NR$30,$NN$30,0),IF($NP$30="Bell_Curve",$NN$30*(355-$NR$30+1)*($NS$30-355+1)/$NU$30,$NN$30/$NT$30)),0)</f>
        <v/>
      </c>
      <c r="MV30" s="228">
        <f>IF(AND(356&gt;=$NR$30,356&lt;=$NS$30),IF($NP$30="Single_Point",IF(356=$NR$30,$NN$30,0),IF($NP$30="Bell_Curve",$NN$30*(356-$NR$30+1)*($NS$30-356+1)/$NU$30,$NN$30/$NT$30)),0)</f>
        <v/>
      </c>
      <c r="MW30" s="228">
        <f>IF(AND(357&gt;=$NR$30,357&lt;=$NS$30),IF($NP$30="Single_Point",IF(357=$NR$30,$NN$30,0),IF($NP$30="Bell_Curve",$NN$30*(357-$NR$30+1)*($NS$30-357+1)/$NU$30,$NN$30/$NT$30)),0)</f>
        <v/>
      </c>
      <c r="MX30" s="228">
        <f>IF(AND(358&gt;=$NR$30,358&lt;=$NS$30),IF($NP$30="Single_Point",IF(358=$NR$30,$NN$30,0),IF($NP$30="Bell_Curve",$NN$30*(358-$NR$30+1)*($NS$30-358+1)/$NU$30,$NN$30/$NT$30)),0)</f>
        <v/>
      </c>
      <c r="MY30" s="228">
        <f>IF(AND(359&gt;=$NR$30,359&lt;=$NS$30),IF($NP$30="Single_Point",IF(359=$NR$30,$NN$30,0),IF($NP$30="Bell_Curve",$NN$30*(359-$NR$30+1)*($NS$30-359+1)/$NU$30,$NN$30/$NT$30)),0)</f>
        <v/>
      </c>
      <c r="MZ30" s="228">
        <f>IF(AND(360&gt;=$NR$30,360&lt;=$NS$30),IF($NP$30="Single_Point",IF(360=$NR$30,$NN$30,0),IF($NP$30="Bell_Curve",$NN$30*(360-$NR$30+1)*($NS$30-360+1)/$NU$30,$NN$30/$NT$30)),0)</f>
        <v/>
      </c>
      <c r="NA30" s="228">
        <f>IF(AND(361&gt;=$NR$30,361&lt;=$NS$30),IF($NP$30="Single_Point",IF(361=$NR$30,$NN$30,0),IF($NP$30="Bell_Curve",$NN$30*(361-$NR$30+1)*($NS$30-361+1)/$NU$30,$NN$30/$NT$30)),0)</f>
        <v/>
      </c>
      <c r="NB30" s="228">
        <f>IF(AND(362&gt;=$NR$30,362&lt;=$NS$30),IF($NP$30="Single_Point",IF(362=$NR$30,$NN$30,0),IF($NP$30="Bell_Curve",$NN$30*(362-$NR$30+1)*($NS$30-362+1)/$NU$30,$NN$30/$NT$30)),0)</f>
        <v/>
      </c>
      <c r="NC30" s="228">
        <f>IF(AND(363&gt;=$NR$30,363&lt;=$NS$30),IF($NP$30="Single_Point",IF(363=$NR$30,$NN$30,0),IF($NP$30="Bell_Curve",$NN$30*(363-$NR$30+1)*($NS$30-363+1)/$NU$30,$NN$30/$NT$30)),0)</f>
        <v/>
      </c>
      <c r="ND30" s="228">
        <f>IF(AND(364&gt;=$NR$30,364&lt;=$NS$30),IF($NP$30="Single_Point",IF(364=$NR$30,$NN$30,0),IF($NP$30="Bell_Curve",$NN$30*(364-$NR$30+1)*($NS$30-364+1)/$NU$30,$NN$30/$NT$30)),0)</f>
        <v/>
      </c>
      <c r="NE30" s="228">
        <f>IF(AND(365&gt;=$NR$30,365&lt;=$NS$30),IF($NP$30="Single_Point",IF(365=$NR$30,$NN$30,0),IF($NP$30="Bell_Curve",$NN$30*(365-$NR$30+1)*($NS$30-365+1)/$NU$30,$NN$30/$NT$30)),0)</f>
        <v/>
      </c>
      <c r="NF30" s="228">
        <f>IF(AND(366&gt;=$NR$30,366&lt;=$NS$30),IF($NP$30="Single_Point",IF(366=$NR$30,$NN$30,0),IF($NP$30="Bell_Curve",$NN$30*(366-$NR$30+1)*($NS$30-366+1)/$NU$30,$NN$30/$NT$30)),0)</f>
        <v/>
      </c>
      <c r="NG30" s="228">
        <f>IF(AND(367&gt;=$NR$30,367&lt;=$NS$30),IF($NP$30="Single_Point",IF(367=$NR$30,$NN$30,0),IF($NP$30="Bell_Curve",$NN$30*(367-$NR$30+1)*($NS$30-367+1)/$NU$30,$NN$30/$NT$30)),0)</f>
        <v/>
      </c>
      <c r="NH30" s="228">
        <f>IF(AND(368&gt;=$NR$30,368&lt;=$NS$30),IF($NP$30="Single_Point",IF(368=$NR$30,$NN$30,0),IF($NP$30="Bell_Curve",$NN$30*(368-$NR$30+1)*($NS$30-368+1)/$NU$30,$NN$30/$NT$30)),0)</f>
        <v/>
      </c>
      <c r="NI30" s="228">
        <f>IF(AND(369&gt;=$NR$30,369&lt;=$NS$30),IF($NP$30="Single_Point",IF(369=$NR$30,$NN$30,0),IF($NP$30="Bell_Curve",$NN$30*(369-$NR$30+1)*($NS$30-369+1)/$NU$30,$NN$30/$NT$30)),0)</f>
        <v/>
      </c>
      <c r="NJ30" s="228">
        <f>IF(AND(370&gt;=$NR$30,370&lt;=$NS$30),IF($NP$30="Single_Point",IF(370=$NR$30,$NN$30,0),IF($NP$30="Bell_Curve",$NN$30*(370-$NR$30+1)*($NS$30-370+1)/$NU$30,$NN$30/$NT$30)),0)</f>
        <v/>
      </c>
      <c r="NK30" s="228">
        <f>IF(AND(371&gt;=$NR$30,371&lt;=$NS$30),IF($NP$30="Single_Point",IF(371=$NR$30,$NN$30,0),IF($NP$30="Bell_Curve",$NN$30*(371-$NR$30+1)*($NS$30-371+1)/$NU$30,$NN$30/$NT$30)),0)</f>
        <v/>
      </c>
      <c r="NL30" s="247">
        <f>IF(AND(372&gt;=$NR$30,372&lt;=$NS$30),IF($NP$30="Single_Point",IF(372=$NR$30,$NN$30,0),IF($NP$30="Bell_Curve",$NN$30*(372-$NR$30+1)*($NS$30-372+1)/$NU$30,$NN$30/$NT$30)),0)</f>
        <v/>
      </c>
      <c r="NN30" s="218">
        <f>Budget!J29</f>
        <v/>
      </c>
      <c r="NO30" s="144">
        <f>Budget!G29</f>
        <v/>
      </c>
      <c r="NP30" s="144">
        <f>Budget!H29</f>
        <v/>
      </c>
      <c r="NQ30" s="85">
        <f>Budget!I29</f>
        <v/>
      </c>
      <c r="NR30" s="248">
        <f>MAX(1,MIN(372,INDEX(MilestoneStart,MATCH(NO30,MilestoneNames,0))+NQ30))</f>
        <v/>
      </c>
      <c r="NS30" s="248">
        <f>MAX(NR30,MIN(372,INDEX(MilestoneEnd,MATCH(NO30,MilestoneNames,0))+NQ30))</f>
        <v/>
      </c>
      <c r="NT30" s="85">
        <f>NS30-NR30+1</f>
        <v/>
      </c>
      <c r="NU30" s="85">
        <f>NT30*(NT30+1)*(NT30+2)/6</f>
        <v/>
      </c>
    </row>
    <row r="31">
      <c r="B31" s="36" t="inlineStr">
        <is>
          <t>Other Hard Cost 5</t>
        </is>
      </c>
      <c r="D31" s="246">
        <f>SUM(E31:NL31)</f>
        <v/>
      </c>
      <c r="E31" s="228">
        <f>IF(AND(1&gt;=$NR$31,1&lt;=$NS$31),IF($NP$31="Single_Point",IF(1=$NR$31,$NN$31,0),IF($NP$31="Bell_Curve",$NN$31*(1-$NR$31+1)*($NS$31-1+1)/$NU$31,$NN$31/$NT$31)),0)</f>
        <v/>
      </c>
      <c r="F31" s="228">
        <f>IF(AND(2&gt;=$NR$31,2&lt;=$NS$31),IF($NP$31="Single_Point",IF(2=$NR$31,$NN$31,0),IF($NP$31="Bell_Curve",$NN$31*(2-$NR$31+1)*($NS$31-2+1)/$NU$31,$NN$31/$NT$31)),0)</f>
        <v/>
      </c>
      <c r="G31" s="228">
        <f>IF(AND(3&gt;=$NR$31,3&lt;=$NS$31),IF($NP$31="Single_Point",IF(3=$NR$31,$NN$31,0),IF($NP$31="Bell_Curve",$NN$31*(3-$NR$31+1)*($NS$31-3+1)/$NU$31,$NN$31/$NT$31)),0)</f>
        <v/>
      </c>
      <c r="H31" s="228">
        <f>IF(AND(4&gt;=$NR$31,4&lt;=$NS$31),IF($NP$31="Single_Point",IF(4=$NR$31,$NN$31,0),IF($NP$31="Bell_Curve",$NN$31*(4-$NR$31+1)*($NS$31-4+1)/$NU$31,$NN$31/$NT$31)),0)</f>
        <v/>
      </c>
      <c r="I31" s="228">
        <f>IF(AND(5&gt;=$NR$31,5&lt;=$NS$31),IF($NP$31="Single_Point",IF(5=$NR$31,$NN$31,0),IF($NP$31="Bell_Curve",$NN$31*(5-$NR$31+1)*($NS$31-5+1)/$NU$31,$NN$31/$NT$31)),0)</f>
        <v/>
      </c>
      <c r="J31" s="228">
        <f>IF(AND(6&gt;=$NR$31,6&lt;=$NS$31),IF($NP$31="Single_Point",IF(6=$NR$31,$NN$31,0),IF($NP$31="Bell_Curve",$NN$31*(6-$NR$31+1)*($NS$31-6+1)/$NU$31,$NN$31/$NT$31)),0)</f>
        <v/>
      </c>
      <c r="K31" s="228">
        <f>IF(AND(7&gt;=$NR$31,7&lt;=$NS$31),IF($NP$31="Single_Point",IF(7=$NR$31,$NN$31,0),IF($NP$31="Bell_Curve",$NN$31*(7-$NR$31+1)*($NS$31-7+1)/$NU$31,$NN$31/$NT$31)),0)</f>
        <v/>
      </c>
      <c r="L31" s="228">
        <f>IF(AND(8&gt;=$NR$31,8&lt;=$NS$31),IF($NP$31="Single_Point",IF(8=$NR$31,$NN$31,0),IF($NP$31="Bell_Curve",$NN$31*(8-$NR$31+1)*($NS$31-8+1)/$NU$31,$NN$31/$NT$31)),0)</f>
        <v/>
      </c>
      <c r="M31" s="228">
        <f>IF(AND(9&gt;=$NR$31,9&lt;=$NS$31),IF($NP$31="Single_Point",IF(9=$NR$31,$NN$31,0),IF($NP$31="Bell_Curve",$NN$31*(9-$NR$31+1)*($NS$31-9+1)/$NU$31,$NN$31/$NT$31)),0)</f>
        <v/>
      </c>
      <c r="N31" s="228">
        <f>IF(AND(10&gt;=$NR$31,10&lt;=$NS$31),IF($NP$31="Single_Point",IF(10=$NR$31,$NN$31,0),IF($NP$31="Bell_Curve",$NN$31*(10-$NR$31+1)*($NS$31-10+1)/$NU$31,$NN$31/$NT$31)),0)</f>
        <v/>
      </c>
      <c r="O31" s="228">
        <f>IF(AND(11&gt;=$NR$31,11&lt;=$NS$31),IF($NP$31="Single_Point",IF(11=$NR$31,$NN$31,0),IF($NP$31="Bell_Curve",$NN$31*(11-$NR$31+1)*($NS$31-11+1)/$NU$31,$NN$31/$NT$31)),0)</f>
        <v/>
      </c>
      <c r="P31" s="228">
        <f>IF(AND(12&gt;=$NR$31,12&lt;=$NS$31),IF($NP$31="Single_Point",IF(12=$NR$31,$NN$31,0),IF($NP$31="Bell_Curve",$NN$31*(12-$NR$31+1)*($NS$31-12+1)/$NU$31,$NN$31/$NT$31)),0)</f>
        <v/>
      </c>
      <c r="Q31" s="228">
        <f>IF(AND(13&gt;=$NR$31,13&lt;=$NS$31),IF($NP$31="Single_Point",IF(13=$NR$31,$NN$31,0),IF($NP$31="Bell_Curve",$NN$31*(13-$NR$31+1)*($NS$31-13+1)/$NU$31,$NN$31/$NT$31)),0)</f>
        <v/>
      </c>
      <c r="R31" s="228">
        <f>IF(AND(14&gt;=$NR$31,14&lt;=$NS$31),IF($NP$31="Single_Point",IF(14=$NR$31,$NN$31,0),IF($NP$31="Bell_Curve",$NN$31*(14-$NR$31+1)*($NS$31-14+1)/$NU$31,$NN$31/$NT$31)),0)</f>
        <v/>
      </c>
      <c r="S31" s="228">
        <f>IF(AND(15&gt;=$NR$31,15&lt;=$NS$31),IF($NP$31="Single_Point",IF(15=$NR$31,$NN$31,0),IF($NP$31="Bell_Curve",$NN$31*(15-$NR$31+1)*($NS$31-15+1)/$NU$31,$NN$31/$NT$31)),0)</f>
        <v/>
      </c>
      <c r="T31" s="228">
        <f>IF(AND(16&gt;=$NR$31,16&lt;=$NS$31),IF($NP$31="Single_Point",IF(16=$NR$31,$NN$31,0),IF($NP$31="Bell_Curve",$NN$31*(16-$NR$31+1)*($NS$31-16+1)/$NU$31,$NN$31/$NT$31)),0)</f>
        <v/>
      </c>
      <c r="U31" s="228">
        <f>IF(AND(17&gt;=$NR$31,17&lt;=$NS$31),IF($NP$31="Single_Point",IF(17=$NR$31,$NN$31,0),IF($NP$31="Bell_Curve",$NN$31*(17-$NR$31+1)*($NS$31-17+1)/$NU$31,$NN$31/$NT$31)),0)</f>
        <v/>
      </c>
      <c r="V31" s="228">
        <f>IF(AND(18&gt;=$NR$31,18&lt;=$NS$31),IF($NP$31="Single_Point",IF(18=$NR$31,$NN$31,0),IF($NP$31="Bell_Curve",$NN$31*(18-$NR$31+1)*($NS$31-18+1)/$NU$31,$NN$31/$NT$31)),0)</f>
        <v/>
      </c>
      <c r="W31" s="228">
        <f>IF(AND(19&gt;=$NR$31,19&lt;=$NS$31),IF($NP$31="Single_Point",IF(19=$NR$31,$NN$31,0),IF($NP$31="Bell_Curve",$NN$31*(19-$NR$31+1)*($NS$31-19+1)/$NU$31,$NN$31/$NT$31)),0)</f>
        <v/>
      </c>
      <c r="X31" s="228">
        <f>IF(AND(20&gt;=$NR$31,20&lt;=$NS$31),IF($NP$31="Single_Point",IF(20=$NR$31,$NN$31,0),IF($NP$31="Bell_Curve",$NN$31*(20-$NR$31+1)*($NS$31-20+1)/$NU$31,$NN$31/$NT$31)),0)</f>
        <v/>
      </c>
      <c r="Y31" s="228">
        <f>IF(AND(21&gt;=$NR$31,21&lt;=$NS$31),IF($NP$31="Single_Point",IF(21=$NR$31,$NN$31,0),IF($NP$31="Bell_Curve",$NN$31*(21-$NR$31+1)*($NS$31-21+1)/$NU$31,$NN$31/$NT$31)),0)</f>
        <v/>
      </c>
      <c r="Z31" s="228">
        <f>IF(AND(22&gt;=$NR$31,22&lt;=$NS$31),IF($NP$31="Single_Point",IF(22=$NR$31,$NN$31,0),IF($NP$31="Bell_Curve",$NN$31*(22-$NR$31+1)*($NS$31-22+1)/$NU$31,$NN$31/$NT$31)),0)</f>
        <v/>
      </c>
      <c r="AA31" s="228">
        <f>IF(AND(23&gt;=$NR$31,23&lt;=$NS$31),IF($NP$31="Single_Point",IF(23=$NR$31,$NN$31,0),IF($NP$31="Bell_Curve",$NN$31*(23-$NR$31+1)*($NS$31-23+1)/$NU$31,$NN$31/$NT$31)),0)</f>
        <v/>
      </c>
      <c r="AB31" s="228">
        <f>IF(AND(24&gt;=$NR$31,24&lt;=$NS$31),IF($NP$31="Single_Point",IF(24=$NR$31,$NN$31,0),IF($NP$31="Bell_Curve",$NN$31*(24-$NR$31+1)*($NS$31-24+1)/$NU$31,$NN$31/$NT$31)),0)</f>
        <v/>
      </c>
      <c r="AC31" s="228">
        <f>IF(AND(25&gt;=$NR$31,25&lt;=$NS$31),IF($NP$31="Single_Point",IF(25=$NR$31,$NN$31,0),IF($NP$31="Bell_Curve",$NN$31*(25-$NR$31+1)*($NS$31-25+1)/$NU$31,$NN$31/$NT$31)),0)</f>
        <v/>
      </c>
      <c r="AD31" s="228">
        <f>IF(AND(26&gt;=$NR$31,26&lt;=$NS$31),IF($NP$31="Single_Point",IF(26=$NR$31,$NN$31,0),IF($NP$31="Bell_Curve",$NN$31*(26-$NR$31+1)*($NS$31-26+1)/$NU$31,$NN$31/$NT$31)),0)</f>
        <v/>
      </c>
      <c r="AE31" s="228">
        <f>IF(AND(27&gt;=$NR$31,27&lt;=$NS$31),IF($NP$31="Single_Point",IF(27=$NR$31,$NN$31,0),IF($NP$31="Bell_Curve",$NN$31*(27-$NR$31+1)*($NS$31-27+1)/$NU$31,$NN$31/$NT$31)),0)</f>
        <v/>
      </c>
      <c r="AF31" s="228">
        <f>IF(AND(28&gt;=$NR$31,28&lt;=$NS$31),IF($NP$31="Single_Point",IF(28=$NR$31,$NN$31,0),IF($NP$31="Bell_Curve",$NN$31*(28-$NR$31+1)*($NS$31-28+1)/$NU$31,$NN$31/$NT$31)),0)</f>
        <v/>
      </c>
      <c r="AG31" s="228">
        <f>IF(AND(29&gt;=$NR$31,29&lt;=$NS$31),IF($NP$31="Single_Point",IF(29=$NR$31,$NN$31,0),IF($NP$31="Bell_Curve",$NN$31*(29-$NR$31+1)*($NS$31-29+1)/$NU$31,$NN$31/$NT$31)),0)</f>
        <v/>
      </c>
      <c r="AH31" s="228">
        <f>IF(AND(30&gt;=$NR$31,30&lt;=$NS$31),IF($NP$31="Single_Point",IF(30=$NR$31,$NN$31,0),IF($NP$31="Bell_Curve",$NN$31*(30-$NR$31+1)*($NS$31-30+1)/$NU$31,$NN$31/$NT$31)),0)</f>
        <v/>
      </c>
      <c r="AI31" s="228">
        <f>IF(AND(31&gt;=$NR$31,31&lt;=$NS$31),IF($NP$31="Single_Point",IF(31=$NR$31,$NN$31,0),IF($NP$31="Bell_Curve",$NN$31*(31-$NR$31+1)*($NS$31-31+1)/$NU$31,$NN$31/$NT$31)),0)</f>
        <v/>
      </c>
      <c r="AJ31" s="228">
        <f>IF(AND(32&gt;=$NR$31,32&lt;=$NS$31),IF($NP$31="Single_Point",IF(32=$NR$31,$NN$31,0),IF($NP$31="Bell_Curve",$NN$31*(32-$NR$31+1)*($NS$31-32+1)/$NU$31,$NN$31/$NT$31)),0)</f>
        <v/>
      </c>
      <c r="AK31" s="228">
        <f>IF(AND(33&gt;=$NR$31,33&lt;=$NS$31),IF($NP$31="Single_Point",IF(33=$NR$31,$NN$31,0),IF($NP$31="Bell_Curve",$NN$31*(33-$NR$31+1)*($NS$31-33+1)/$NU$31,$NN$31/$NT$31)),0)</f>
        <v/>
      </c>
      <c r="AL31" s="228">
        <f>IF(AND(34&gt;=$NR$31,34&lt;=$NS$31),IF($NP$31="Single_Point",IF(34=$NR$31,$NN$31,0),IF($NP$31="Bell_Curve",$NN$31*(34-$NR$31+1)*($NS$31-34+1)/$NU$31,$NN$31/$NT$31)),0)</f>
        <v/>
      </c>
      <c r="AM31" s="228">
        <f>IF(AND(35&gt;=$NR$31,35&lt;=$NS$31),IF($NP$31="Single_Point",IF(35=$NR$31,$NN$31,0),IF($NP$31="Bell_Curve",$NN$31*(35-$NR$31+1)*($NS$31-35+1)/$NU$31,$NN$31/$NT$31)),0)</f>
        <v/>
      </c>
      <c r="AN31" s="228">
        <f>IF(AND(36&gt;=$NR$31,36&lt;=$NS$31),IF($NP$31="Single_Point",IF(36=$NR$31,$NN$31,0),IF($NP$31="Bell_Curve",$NN$31*(36-$NR$31+1)*($NS$31-36+1)/$NU$31,$NN$31/$NT$31)),0)</f>
        <v/>
      </c>
      <c r="AO31" s="228">
        <f>IF(AND(37&gt;=$NR$31,37&lt;=$NS$31),IF($NP$31="Single_Point",IF(37=$NR$31,$NN$31,0),IF($NP$31="Bell_Curve",$NN$31*(37-$NR$31+1)*($NS$31-37+1)/$NU$31,$NN$31/$NT$31)),0)</f>
        <v/>
      </c>
      <c r="AP31" s="228">
        <f>IF(AND(38&gt;=$NR$31,38&lt;=$NS$31),IF($NP$31="Single_Point",IF(38=$NR$31,$NN$31,0),IF($NP$31="Bell_Curve",$NN$31*(38-$NR$31+1)*($NS$31-38+1)/$NU$31,$NN$31/$NT$31)),0)</f>
        <v/>
      </c>
      <c r="AQ31" s="228">
        <f>IF(AND(39&gt;=$NR$31,39&lt;=$NS$31),IF($NP$31="Single_Point",IF(39=$NR$31,$NN$31,0),IF($NP$31="Bell_Curve",$NN$31*(39-$NR$31+1)*($NS$31-39+1)/$NU$31,$NN$31/$NT$31)),0)</f>
        <v/>
      </c>
      <c r="AR31" s="228">
        <f>IF(AND(40&gt;=$NR$31,40&lt;=$NS$31),IF($NP$31="Single_Point",IF(40=$NR$31,$NN$31,0),IF($NP$31="Bell_Curve",$NN$31*(40-$NR$31+1)*($NS$31-40+1)/$NU$31,$NN$31/$NT$31)),0)</f>
        <v/>
      </c>
      <c r="AS31" s="228">
        <f>IF(AND(41&gt;=$NR$31,41&lt;=$NS$31),IF($NP$31="Single_Point",IF(41=$NR$31,$NN$31,0),IF($NP$31="Bell_Curve",$NN$31*(41-$NR$31+1)*($NS$31-41+1)/$NU$31,$NN$31/$NT$31)),0)</f>
        <v/>
      </c>
      <c r="AT31" s="228">
        <f>IF(AND(42&gt;=$NR$31,42&lt;=$NS$31),IF($NP$31="Single_Point",IF(42=$NR$31,$NN$31,0),IF($NP$31="Bell_Curve",$NN$31*(42-$NR$31+1)*($NS$31-42+1)/$NU$31,$NN$31/$NT$31)),0)</f>
        <v/>
      </c>
      <c r="AU31" s="228">
        <f>IF(AND(43&gt;=$NR$31,43&lt;=$NS$31),IF($NP$31="Single_Point",IF(43=$NR$31,$NN$31,0),IF($NP$31="Bell_Curve",$NN$31*(43-$NR$31+1)*($NS$31-43+1)/$NU$31,$NN$31/$NT$31)),0)</f>
        <v/>
      </c>
      <c r="AV31" s="228">
        <f>IF(AND(44&gt;=$NR$31,44&lt;=$NS$31),IF($NP$31="Single_Point",IF(44=$NR$31,$NN$31,0),IF($NP$31="Bell_Curve",$NN$31*(44-$NR$31+1)*($NS$31-44+1)/$NU$31,$NN$31/$NT$31)),0)</f>
        <v/>
      </c>
      <c r="AW31" s="228">
        <f>IF(AND(45&gt;=$NR$31,45&lt;=$NS$31),IF($NP$31="Single_Point",IF(45=$NR$31,$NN$31,0),IF($NP$31="Bell_Curve",$NN$31*(45-$NR$31+1)*($NS$31-45+1)/$NU$31,$NN$31/$NT$31)),0)</f>
        <v/>
      </c>
      <c r="AX31" s="228">
        <f>IF(AND(46&gt;=$NR$31,46&lt;=$NS$31),IF($NP$31="Single_Point",IF(46=$NR$31,$NN$31,0),IF($NP$31="Bell_Curve",$NN$31*(46-$NR$31+1)*($NS$31-46+1)/$NU$31,$NN$31/$NT$31)),0)</f>
        <v/>
      </c>
      <c r="AY31" s="228">
        <f>IF(AND(47&gt;=$NR$31,47&lt;=$NS$31),IF($NP$31="Single_Point",IF(47=$NR$31,$NN$31,0),IF($NP$31="Bell_Curve",$NN$31*(47-$NR$31+1)*($NS$31-47+1)/$NU$31,$NN$31/$NT$31)),0)</f>
        <v/>
      </c>
      <c r="AZ31" s="228">
        <f>IF(AND(48&gt;=$NR$31,48&lt;=$NS$31),IF($NP$31="Single_Point",IF(48=$NR$31,$NN$31,0),IF($NP$31="Bell_Curve",$NN$31*(48-$NR$31+1)*($NS$31-48+1)/$NU$31,$NN$31/$NT$31)),0)</f>
        <v/>
      </c>
      <c r="BA31" s="228">
        <f>IF(AND(49&gt;=$NR$31,49&lt;=$NS$31),IF($NP$31="Single_Point",IF(49=$NR$31,$NN$31,0),IF($NP$31="Bell_Curve",$NN$31*(49-$NR$31+1)*($NS$31-49+1)/$NU$31,$NN$31/$NT$31)),0)</f>
        <v/>
      </c>
      <c r="BB31" s="228">
        <f>IF(AND(50&gt;=$NR$31,50&lt;=$NS$31),IF($NP$31="Single_Point",IF(50=$NR$31,$NN$31,0),IF($NP$31="Bell_Curve",$NN$31*(50-$NR$31+1)*($NS$31-50+1)/$NU$31,$NN$31/$NT$31)),0)</f>
        <v/>
      </c>
      <c r="BC31" s="228">
        <f>IF(AND(51&gt;=$NR$31,51&lt;=$NS$31),IF($NP$31="Single_Point",IF(51=$NR$31,$NN$31,0),IF($NP$31="Bell_Curve",$NN$31*(51-$NR$31+1)*($NS$31-51+1)/$NU$31,$NN$31/$NT$31)),0)</f>
        <v/>
      </c>
      <c r="BD31" s="228">
        <f>IF(AND(52&gt;=$NR$31,52&lt;=$NS$31),IF($NP$31="Single_Point",IF(52=$NR$31,$NN$31,0),IF($NP$31="Bell_Curve",$NN$31*(52-$NR$31+1)*($NS$31-52+1)/$NU$31,$NN$31/$NT$31)),0)</f>
        <v/>
      </c>
      <c r="BE31" s="228">
        <f>IF(AND(53&gt;=$NR$31,53&lt;=$NS$31),IF($NP$31="Single_Point",IF(53=$NR$31,$NN$31,0),IF($NP$31="Bell_Curve",$NN$31*(53-$NR$31+1)*($NS$31-53+1)/$NU$31,$NN$31/$NT$31)),0)</f>
        <v/>
      </c>
      <c r="BF31" s="228">
        <f>IF(AND(54&gt;=$NR$31,54&lt;=$NS$31),IF($NP$31="Single_Point",IF(54=$NR$31,$NN$31,0),IF($NP$31="Bell_Curve",$NN$31*(54-$NR$31+1)*($NS$31-54+1)/$NU$31,$NN$31/$NT$31)),0)</f>
        <v/>
      </c>
      <c r="BG31" s="228">
        <f>IF(AND(55&gt;=$NR$31,55&lt;=$NS$31),IF($NP$31="Single_Point",IF(55=$NR$31,$NN$31,0),IF($NP$31="Bell_Curve",$NN$31*(55-$NR$31+1)*($NS$31-55+1)/$NU$31,$NN$31/$NT$31)),0)</f>
        <v/>
      </c>
      <c r="BH31" s="228">
        <f>IF(AND(56&gt;=$NR$31,56&lt;=$NS$31),IF($NP$31="Single_Point",IF(56=$NR$31,$NN$31,0),IF($NP$31="Bell_Curve",$NN$31*(56-$NR$31+1)*($NS$31-56+1)/$NU$31,$NN$31/$NT$31)),0)</f>
        <v/>
      </c>
      <c r="BI31" s="228">
        <f>IF(AND(57&gt;=$NR$31,57&lt;=$NS$31),IF($NP$31="Single_Point",IF(57=$NR$31,$NN$31,0),IF($NP$31="Bell_Curve",$NN$31*(57-$NR$31+1)*($NS$31-57+1)/$NU$31,$NN$31/$NT$31)),0)</f>
        <v/>
      </c>
      <c r="BJ31" s="228">
        <f>IF(AND(58&gt;=$NR$31,58&lt;=$NS$31),IF($NP$31="Single_Point",IF(58=$NR$31,$NN$31,0),IF($NP$31="Bell_Curve",$NN$31*(58-$NR$31+1)*($NS$31-58+1)/$NU$31,$NN$31/$NT$31)),0)</f>
        <v/>
      </c>
      <c r="BK31" s="228">
        <f>IF(AND(59&gt;=$NR$31,59&lt;=$NS$31),IF($NP$31="Single_Point",IF(59=$NR$31,$NN$31,0),IF($NP$31="Bell_Curve",$NN$31*(59-$NR$31+1)*($NS$31-59+1)/$NU$31,$NN$31/$NT$31)),0)</f>
        <v/>
      </c>
      <c r="BL31" s="228">
        <f>IF(AND(60&gt;=$NR$31,60&lt;=$NS$31),IF($NP$31="Single_Point",IF(60=$NR$31,$NN$31,0),IF($NP$31="Bell_Curve",$NN$31*(60-$NR$31+1)*($NS$31-60+1)/$NU$31,$NN$31/$NT$31)),0)</f>
        <v/>
      </c>
      <c r="BM31" s="228">
        <f>IF(AND(61&gt;=$NR$31,61&lt;=$NS$31),IF($NP$31="Single_Point",IF(61=$NR$31,$NN$31,0),IF($NP$31="Bell_Curve",$NN$31*(61-$NR$31+1)*($NS$31-61+1)/$NU$31,$NN$31/$NT$31)),0)</f>
        <v/>
      </c>
      <c r="BN31" s="228">
        <f>IF(AND(62&gt;=$NR$31,62&lt;=$NS$31),IF($NP$31="Single_Point",IF(62=$NR$31,$NN$31,0),IF($NP$31="Bell_Curve",$NN$31*(62-$NR$31+1)*($NS$31-62+1)/$NU$31,$NN$31/$NT$31)),0)</f>
        <v/>
      </c>
      <c r="BO31" s="228">
        <f>IF(AND(63&gt;=$NR$31,63&lt;=$NS$31),IF($NP$31="Single_Point",IF(63=$NR$31,$NN$31,0),IF($NP$31="Bell_Curve",$NN$31*(63-$NR$31+1)*($NS$31-63+1)/$NU$31,$NN$31/$NT$31)),0)</f>
        <v/>
      </c>
      <c r="BP31" s="228">
        <f>IF(AND(64&gt;=$NR$31,64&lt;=$NS$31),IF($NP$31="Single_Point",IF(64=$NR$31,$NN$31,0),IF($NP$31="Bell_Curve",$NN$31*(64-$NR$31+1)*($NS$31-64+1)/$NU$31,$NN$31/$NT$31)),0)</f>
        <v/>
      </c>
      <c r="BQ31" s="228">
        <f>IF(AND(65&gt;=$NR$31,65&lt;=$NS$31),IF($NP$31="Single_Point",IF(65=$NR$31,$NN$31,0),IF($NP$31="Bell_Curve",$NN$31*(65-$NR$31+1)*($NS$31-65+1)/$NU$31,$NN$31/$NT$31)),0)</f>
        <v/>
      </c>
      <c r="BR31" s="228">
        <f>IF(AND(66&gt;=$NR$31,66&lt;=$NS$31),IF($NP$31="Single_Point",IF(66=$NR$31,$NN$31,0),IF($NP$31="Bell_Curve",$NN$31*(66-$NR$31+1)*($NS$31-66+1)/$NU$31,$NN$31/$NT$31)),0)</f>
        <v/>
      </c>
      <c r="BS31" s="228">
        <f>IF(AND(67&gt;=$NR$31,67&lt;=$NS$31),IF($NP$31="Single_Point",IF(67=$NR$31,$NN$31,0),IF($NP$31="Bell_Curve",$NN$31*(67-$NR$31+1)*($NS$31-67+1)/$NU$31,$NN$31/$NT$31)),0)</f>
        <v/>
      </c>
      <c r="BT31" s="228">
        <f>IF(AND(68&gt;=$NR$31,68&lt;=$NS$31),IF($NP$31="Single_Point",IF(68=$NR$31,$NN$31,0),IF($NP$31="Bell_Curve",$NN$31*(68-$NR$31+1)*($NS$31-68+1)/$NU$31,$NN$31/$NT$31)),0)</f>
        <v/>
      </c>
      <c r="BU31" s="228">
        <f>IF(AND(69&gt;=$NR$31,69&lt;=$NS$31),IF($NP$31="Single_Point",IF(69=$NR$31,$NN$31,0),IF($NP$31="Bell_Curve",$NN$31*(69-$NR$31+1)*($NS$31-69+1)/$NU$31,$NN$31/$NT$31)),0)</f>
        <v/>
      </c>
      <c r="BV31" s="228">
        <f>IF(AND(70&gt;=$NR$31,70&lt;=$NS$31),IF($NP$31="Single_Point",IF(70=$NR$31,$NN$31,0),IF($NP$31="Bell_Curve",$NN$31*(70-$NR$31+1)*($NS$31-70+1)/$NU$31,$NN$31/$NT$31)),0)</f>
        <v/>
      </c>
      <c r="BW31" s="228">
        <f>IF(AND(71&gt;=$NR$31,71&lt;=$NS$31),IF($NP$31="Single_Point",IF(71=$NR$31,$NN$31,0),IF($NP$31="Bell_Curve",$NN$31*(71-$NR$31+1)*($NS$31-71+1)/$NU$31,$NN$31/$NT$31)),0)</f>
        <v/>
      </c>
      <c r="BX31" s="228">
        <f>IF(AND(72&gt;=$NR$31,72&lt;=$NS$31),IF($NP$31="Single_Point",IF(72=$NR$31,$NN$31,0),IF($NP$31="Bell_Curve",$NN$31*(72-$NR$31+1)*($NS$31-72+1)/$NU$31,$NN$31/$NT$31)),0)</f>
        <v/>
      </c>
      <c r="BY31" s="228">
        <f>IF(AND(73&gt;=$NR$31,73&lt;=$NS$31),IF($NP$31="Single_Point",IF(73=$NR$31,$NN$31,0),IF($NP$31="Bell_Curve",$NN$31*(73-$NR$31+1)*($NS$31-73+1)/$NU$31,$NN$31/$NT$31)),0)</f>
        <v/>
      </c>
      <c r="BZ31" s="228">
        <f>IF(AND(74&gt;=$NR$31,74&lt;=$NS$31),IF($NP$31="Single_Point",IF(74=$NR$31,$NN$31,0),IF($NP$31="Bell_Curve",$NN$31*(74-$NR$31+1)*($NS$31-74+1)/$NU$31,$NN$31/$NT$31)),0)</f>
        <v/>
      </c>
      <c r="CA31" s="228">
        <f>IF(AND(75&gt;=$NR$31,75&lt;=$NS$31),IF($NP$31="Single_Point",IF(75=$NR$31,$NN$31,0),IF($NP$31="Bell_Curve",$NN$31*(75-$NR$31+1)*($NS$31-75+1)/$NU$31,$NN$31/$NT$31)),0)</f>
        <v/>
      </c>
      <c r="CB31" s="228">
        <f>IF(AND(76&gt;=$NR$31,76&lt;=$NS$31),IF($NP$31="Single_Point",IF(76=$NR$31,$NN$31,0),IF($NP$31="Bell_Curve",$NN$31*(76-$NR$31+1)*($NS$31-76+1)/$NU$31,$NN$31/$NT$31)),0)</f>
        <v/>
      </c>
      <c r="CC31" s="228">
        <f>IF(AND(77&gt;=$NR$31,77&lt;=$NS$31),IF($NP$31="Single_Point",IF(77=$NR$31,$NN$31,0),IF($NP$31="Bell_Curve",$NN$31*(77-$NR$31+1)*($NS$31-77+1)/$NU$31,$NN$31/$NT$31)),0)</f>
        <v/>
      </c>
      <c r="CD31" s="228">
        <f>IF(AND(78&gt;=$NR$31,78&lt;=$NS$31),IF($NP$31="Single_Point",IF(78=$NR$31,$NN$31,0),IF($NP$31="Bell_Curve",$NN$31*(78-$NR$31+1)*($NS$31-78+1)/$NU$31,$NN$31/$NT$31)),0)</f>
        <v/>
      </c>
      <c r="CE31" s="228">
        <f>IF(AND(79&gt;=$NR$31,79&lt;=$NS$31),IF($NP$31="Single_Point",IF(79=$NR$31,$NN$31,0),IF($NP$31="Bell_Curve",$NN$31*(79-$NR$31+1)*($NS$31-79+1)/$NU$31,$NN$31/$NT$31)),0)</f>
        <v/>
      </c>
      <c r="CF31" s="228">
        <f>IF(AND(80&gt;=$NR$31,80&lt;=$NS$31),IF($NP$31="Single_Point",IF(80=$NR$31,$NN$31,0),IF($NP$31="Bell_Curve",$NN$31*(80-$NR$31+1)*($NS$31-80+1)/$NU$31,$NN$31/$NT$31)),0)</f>
        <v/>
      </c>
      <c r="CG31" s="228">
        <f>IF(AND(81&gt;=$NR$31,81&lt;=$NS$31),IF($NP$31="Single_Point",IF(81=$NR$31,$NN$31,0),IF($NP$31="Bell_Curve",$NN$31*(81-$NR$31+1)*($NS$31-81+1)/$NU$31,$NN$31/$NT$31)),0)</f>
        <v/>
      </c>
      <c r="CH31" s="228">
        <f>IF(AND(82&gt;=$NR$31,82&lt;=$NS$31),IF($NP$31="Single_Point",IF(82=$NR$31,$NN$31,0),IF($NP$31="Bell_Curve",$NN$31*(82-$NR$31+1)*($NS$31-82+1)/$NU$31,$NN$31/$NT$31)),0)</f>
        <v/>
      </c>
      <c r="CI31" s="228">
        <f>IF(AND(83&gt;=$NR$31,83&lt;=$NS$31),IF($NP$31="Single_Point",IF(83=$NR$31,$NN$31,0),IF($NP$31="Bell_Curve",$NN$31*(83-$NR$31+1)*($NS$31-83+1)/$NU$31,$NN$31/$NT$31)),0)</f>
        <v/>
      </c>
      <c r="CJ31" s="228">
        <f>IF(AND(84&gt;=$NR$31,84&lt;=$NS$31),IF($NP$31="Single_Point",IF(84=$NR$31,$NN$31,0),IF($NP$31="Bell_Curve",$NN$31*(84-$NR$31+1)*($NS$31-84+1)/$NU$31,$NN$31/$NT$31)),0)</f>
        <v/>
      </c>
      <c r="CK31" s="228">
        <f>IF(AND(85&gt;=$NR$31,85&lt;=$NS$31),IF($NP$31="Single_Point",IF(85=$NR$31,$NN$31,0),IF($NP$31="Bell_Curve",$NN$31*(85-$NR$31+1)*($NS$31-85+1)/$NU$31,$NN$31/$NT$31)),0)</f>
        <v/>
      </c>
      <c r="CL31" s="228">
        <f>IF(AND(86&gt;=$NR$31,86&lt;=$NS$31),IF($NP$31="Single_Point",IF(86=$NR$31,$NN$31,0),IF($NP$31="Bell_Curve",$NN$31*(86-$NR$31+1)*($NS$31-86+1)/$NU$31,$NN$31/$NT$31)),0)</f>
        <v/>
      </c>
      <c r="CM31" s="228">
        <f>IF(AND(87&gt;=$NR$31,87&lt;=$NS$31),IF($NP$31="Single_Point",IF(87=$NR$31,$NN$31,0),IF($NP$31="Bell_Curve",$NN$31*(87-$NR$31+1)*($NS$31-87+1)/$NU$31,$NN$31/$NT$31)),0)</f>
        <v/>
      </c>
      <c r="CN31" s="228">
        <f>IF(AND(88&gt;=$NR$31,88&lt;=$NS$31),IF($NP$31="Single_Point",IF(88=$NR$31,$NN$31,0),IF($NP$31="Bell_Curve",$NN$31*(88-$NR$31+1)*($NS$31-88+1)/$NU$31,$NN$31/$NT$31)),0)</f>
        <v/>
      </c>
      <c r="CO31" s="228">
        <f>IF(AND(89&gt;=$NR$31,89&lt;=$NS$31),IF($NP$31="Single_Point",IF(89=$NR$31,$NN$31,0),IF($NP$31="Bell_Curve",$NN$31*(89-$NR$31+1)*($NS$31-89+1)/$NU$31,$NN$31/$NT$31)),0)</f>
        <v/>
      </c>
      <c r="CP31" s="228">
        <f>IF(AND(90&gt;=$NR$31,90&lt;=$NS$31),IF($NP$31="Single_Point",IF(90=$NR$31,$NN$31,0),IF($NP$31="Bell_Curve",$NN$31*(90-$NR$31+1)*($NS$31-90+1)/$NU$31,$NN$31/$NT$31)),0)</f>
        <v/>
      </c>
      <c r="CQ31" s="228">
        <f>IF(AND(91&gt;=$NR$31,91&lt;=$NS$31),IF($NP$31="Single_Point",IF(91=$NR$31,$NN$31,0),IF($NP$31="Bell_Curve",$NN$31*(91-$NR$31+1)*($NS$31-91+1)/$NU$31,$NN$31/$NT$31)),0)</f>
        <v/>
      </c>
      <c r="CR31" s="228">
        <f>IF(AND(92&gt;=$NR$31,92&lt;=$NS$31),IF($NP$31="Single_Point",IF(92=$NR$31,$NN$31,0),IF($NP$31="Bell_Curve",$NN$31*(92-$NR$31+1)*($NS$31-92+1)/$NU$31,$NN$31/$NT$31)),0)</f>
        <v/>
      </c>
      <c r="CS31" s="228">
        <f>IF(AND(93&gt;=$NR$31,93&lt;=$NS$31),IF($NP$31="Single_Point",IF(93=$NR$31,$NN$31,0),IF($NP$31="Bell_Curve",$NN$31*(93-$NR$31+1)*($NS$31-93+1)/$NU$31,$NN$31/$NT$31)),0)</f>
        <v/>
      </c>
      <c r="CT31" s="228">
        <f>IF(AND(94&gt;=$NR$31,94&lt;=$NS$31),IF($NP$31="Single_Point",IF(94=$NR$31,$NN$31,0),IF($NP$31="Bell_Curve",$NN$31*(94-$NR$31+1)*($NS$31-94+1)/$NU$31,$NN$31/$NT$31)),0)</f>
        <v/>
      </c>
      <c r="CU31" s="228">
        <f>IF(AND(95&gt;=$NR$31,95&lt;=$NS$31),IF($NP$31="Single_Point",IF(95=$NR$31,$NN$31,0),IF($NP$31="Bell_Curve",$NN$31*(95-$NR$31+1)*($NS$31-95+1)/$NU$31,$NN$31/$NT$31)),0)</f>
        <v/>
      </c>
      <c r="CV31" s="228">
        <f>IF(AND(96&gt;=$NR$31,96&lt;=$NS$31),IF($NP$31="Single_Point",IF(96=$NR$31,$NN$31,0),IF($NP$31="Bell_Curve",$NN$31*(96-$NR$31+1)*($NS$31-96+1)/$NU$31,$NN$31/$NT$31)),0)</f>
        <v/>
      </c>
      <c r="CW31" s="228">
        <f>IF(AND(97&gt;=$NR$31,97&lt;=$NS$31),IF($NP$31="Single_Point",IF(97=$NR$31,$NN$31,0),IF($NP$31="Bell_Curve",$NN$31*(97-$NR$31+1)*($NS$31-97+1)/$NU$31,$NN$31/$NT$31)),0)</f>
        <v/>
      </c>
      <c r="CX31" s="228">
        <f>IF(AND(98&gt;=$NR$31,98&lt;=$NS$31),IF($NP$31="Single_Point",IF(98=$NR$31,$NN$31,0),IF($NP$31="Bell_Curve",$NN$31*(98-$NR$31+1)*($NS$31-98+1)/$NU$31,$NN$31/$NT$31)),0)</f>
        <v/>
      </c>
      <c r="CY31" s="228">
        <f>IF(AND(99&gt;=$NR$31,99&lt;=$NS$31),IF($NP$31="Single_Point",IF(99=$NR$31,$NN$31,0),IF($NP$31="Bell_Curve",$NN$31*(99-$NR$31+1)*($NS$31-99+1)/$NU$31,$NN$31/$NT$31)),0)</f>
        <v/>
      </c>
      <c r="CZ31" s="228">
        <f>IF(AND(100&gt;=$NR$31,100&lt;=$NS$31),IF($NP$31="Single_Point",IF(100=$NR$31,$NN$31,0),IF($NP$31="Bell_Curve",$NN$31*(100-$NR$31+1)*($NS$31-100+1)/$NU$31,$NN$31/$NT$31)),0)</f>
        <v/>
      </c>
      <c r="DA31" s="228">
        <f>IF(AND(101&gt;=$NR$31,101&lt;=$NS$31),IF($NP$31="Single_Point",IF(101=$NR$31,$NN$31,0),IF($NP$31="Bell_Curve",$NN$31*(101-$NR$31+1)*($NS$31-101+1)/$NU$31,$NN$31/$NT$31)),0)</f>
        <v/>
      </c>
      <c r="DB31" s="228">
        <f>IF(AND(102&gt;=$NR$31,102&lt;=$NS$31),IF($NP$31="Single_Point",IF(102=$NR$31,$NN$31,0),IF($NP$31="Bell_Curve",$NN$31*(102-$NR$31+1)*($NS$31-102+1)/$NU$31,$NN$31/$NT$31)),0)</f>
        <v/>
      </c>
      <c r="DC31" s="228">
        <f>IF(AND(103&gt;=$NR$31,103&lt;=$NS$31),IF($NP$31="Single_Point",IF(103=$NR$31,$NN$31,0),IF($NP$31="Bell_Curve",$NN$31*(103-$NR$31+1)*($NS$31-103+1)/$NU$31,$NN$31/$NT$31)),0)</f>
        <v/>
      </c>
      <c r="DD31" s="228">
        <f>IF(AND(104&gt;=$NR$31,104&lt;=$NS$31),IF($NP$31="Single_Point",IF(104=$NR$31,$NN$31,0),IF($NP$31="Bell_Curve",$NN$31*(104-$NR$31+1)*($NS$31-104+1)/$NU$31,$NN$31/$NT$31)),0)</f>
        <v/>
      </c>
      <c r="DE31" s="228">
        <f>IF(AND(105&gt;=$NR$31,105&lt;=$NS$31),IF($NP$31="Single_Point",IF(105=$NR$31,$NN$31,0),IF($NP$31="Bell_Curve",$NN$31*(105-$NR$31+1)*($NS$31-105+1)/$NU$31,$NN$31/$NT$31)),0)</f>
        <v/>
      </c>
      <c r="DF31" s="228">
        <f>IF(AND(106&gt;=$NR$31,106&lt;=$NS$31),IF($NP$31="Single_Point",IF(106=$NR$31,$NN$31,0),IF($NP$31="Bell_Curve",$NN$31*(106-$NR$31+1)*($NS$31-106+1)/$NU$31,$NN$31/$NT$31)),0)</f>
        <v/>
      </c>
      <c r="DG31" s="228">
        <f>IF(AND(107&gt;=$NR$31,107&lt;=$NS$31),IF($NP$31="Single_Point",IF(107=$NR$31,$NN$31,0),IF($NP$31="Bell_Curve",$NN$31*(107-$NR$31+1)*($NS$31-107+1)/$NU$31,$NN$31/$NT$31)),0)</f>
        <v/>
      </c>
      <c r="DH31" s="228">
        <f>IF(AND(108&gt;=$NR$31,108&lt;=$NS$31),IF($NP$31="Single_Point",IF(108=$NR$31,$NN$31,0),IF($NP$31="Bell_Curve",$NN$31*(108-$NR$31+1)*($NS$31-108+1)/$NU$31,$NN$31/$NT$31)),0)</f>
        <v/>
      </c>
      <c r="DI31" s="228">
        <f>IF(AND(109&gt;=$NR$31,109&lt;=$NS$31),IF($NP$31="Single_Point",IF(109=$NR$31,$NN$31,0),IF($NP$31="Bell_Curve",$NN$31*(109-$NR$31+1)*($NS$31-109+1)/$NU$31,$NN$31/$NT$31)),0)</f>
        <v/>
      </c>
      <c r="DJ31" s="228">
        <f>IF(AND(110&gt;=$NR$31,110&lt;=$NS$31),IF($NP$31="Single_Point",IF(110=$NR$31,$NN$31,0),IF($NP$31="Bell_Curve",$NN$31*(110-$NR$31+1)*($NS$31-110+1)/$NU$31,$NN$31/$NT$31)),0)</f>
        <v/>
      </c>
      <c r="DK31" s="228">
        <f>IF(AND(111&gt;=$NR$31,111&lt;=$NS$31),IF($NP$31="Single_Point",IF(111=$NR$31,$NN$31,0),IF($NP$31="Bell_Curve",$NN$31*(111-$NR$31+1)*($NS$31-111+1)/$NU$31,$NN$31/$NT$31)),0)</f>
        <v/>
      </c>
      <c r="DL31" s="228">
        <f>IF(AND(112&gt;=$NR$31,112&lt;=$NS$31),IF($NP$31="Single_Point",IF(112=$NR$31,$NN$31,0),IF($NP$31="Bell_Curve",$NN$31*(112-$NR$31+1)*($NS$31-112+1)/$NU$31,$NN$31/$NT$31)),0)</f>
        <v/>
      </c>
      <c r="DM31" s="228">
        <f>IF(AND(113&gt;=$NR$31,113&lt;=$NS$31),IF($NP$31="Single_Point",IF(113=$NR$31,$NN$31,0),IF($NP$31="Bell_Curve",$NN$31*(113-$NR$31+1)*($NS$31-113+1)/$NU$31,$NN$31/$NT$31)),0)</f>
        <v/>
      </c>
      <c r="DN31" s="228">
        <f>IF(AND(114&gt;=$NR$31,114&lt;=$NS$31),IF($NP$31="Single_Point",IF(114=$NR$31,$NN$31,0),IF($NP$31="Bell_Curve",$NN$31*(114-$NR$31+1)*($NS$31-114+1)/$NU$31,$NN$31/$NT$31)),0)</f>
        <v/>
      </c>
      <c r="DO31" s="228">
        <f>IF(AND(115&gt;=$NR$31,115&lt;=$NS$31),IF($NP$31="Single_Point",IF(115=$NR$31,$NN$31,0),IF($NP$31="Bell_Curve",$NN$31*(115-$NR$31+1)*($NS$31-115+1)/$NU$31,$NN$31/$NT$31)),0)</f>
        <v/>
      </c>
      <c r="DP31" s="228">
        <f>IF(AND(116&gt;=$NR$31,116&lt;=$NS$31),IF($NP$31="Single_Point",IF(116=$NR$31,$NN$31,0),IF($NP$31="Bell_Curve",$NN$31*(116-$NR$31+1)*($NS$31-116+1)/$NU$31,$NN$31/$NT$31)),0)</f>
        <v/>
      </c>
      <c r="DQ31" s="228">
        <f>IF(AND(117&gt;=$NR$31,117&lt;=$NS$31),IF($NP$31="Single_Point",IF(117=$NR$31,$NN$31,0),IF($NP$31="Bell_Curve",$NN$31*(117-$NR$31+1)*($NS$31-117+1)/$NU$31,$NN$31/$NT$31)),0)</f>
        <v/>
      </c>
      <c r="DR31" s="228">
        <f>IF(AND(118&gt;=$NR$31,118&lt;=$NS$31),IF($NP$31="Single_Point",IF(118=$NR$31,$NN$31,0),IF($NP$31="Bell_Curve",$NN$31*(118-$NR$31+1)*($NS$31-118+1)/$NU$31,$NN$31/$NT$31)),0)</f>
        <v/>
      </c>
      <c r="DS31" s="228">
        <f>IF(AND(119&gt;=$NR$31,119&lt;=$NS$31),IF($NP$31="Single_Point",IF(119=$NR$31,$NN$31,0),IF($NP$31="Bell_Curve",$NN$31*(119-$NR$31+1)*($NS$31-119+1)/$NU$31,$NN$31/$NT$31)),0)</f>
        <v/>
      </c>
      <c r="DT31" s="228">
        <f>IF(AND(120&gt;=$NR$31,120&lt;=$NS$31),IF($NP$31="Single_Point",IF(120=$NR$31,$NN$31,0),IF($NP$31="Bell_Curve",$NN$31*(120-$NR$31+1)*($NS$31-120+1)/$NU$31,$NN$31/$NT$31)),0)</f>
        <v/>
      </c>
      <c r="DU31" s="228">
        <f>IF(AND(121&gt;=$NR$31,121&lt;=$NS$31),IF($NP$31="Single_Point",IF(121=$NR$31,$NN$31,0),IF($NP$31="Bell_Curve",$NN$31*(121-$NR$31+1)*($NS$31-121+1)/$NU$31,$NN$31/$NT$31)),0)</f>
        <v/>
      </c>
      <c r="DV31" s="228">
        <f>IF(AND(122&gt;=$NR$31,122&lt;=$NS$31),IF($NP$31="Single_Point",IF(122=$NR$31,$NN$31,0),IF($NP$31="Bell_Curve",$NN$31*(122-$NR$31+1)*($NS$31-122+1)/$NU$31,$NN$31/$NT$31)),0)</f>
        <v/>
      </c>
      <c r="DW31" s="228">
        <f>IF(AND(123&gt;=$NR$31,123&lt;=$NS$31),IF($NP$31="Single_Point",IF(123=$NR$31,$NN$31,0),IF($NP$31="Bell_Curve",$NN$31*(123-$NR$31+1)*($NS$31-123+1)/$NU$31,$NN$31/$NT$31)),0)</f>
        <v/>
      </c>
      <c r="DX31" s="228">
        <f>IF(AND(124&gt;=$NR$31,124&lt;=$NS$31),IF($NP$31="Single_Point",IF(124=$NR$31,$NN$31,0),IF($NP$31="Bell_Curve",$NN$31*(124-$NR$31+1)*($NS$31-124+1)/$NU$31,$NN$31/$NT$31)),0)</f>
        <v/>
      </c>
      <c r="DY31" s="228">
        <f>IF(AND(125&gt;=$NR$31,125&lt;=$NS$31),IF($NP$31="Single_Point",IF(125=$NR$31,$NN$31,0),IF($NP$31="Bell_Curve",$NN$31*(125-$NR$31+1)*($NS$31-125+1)/$NU$31,$NN$31/$NT$31)),0)</f>
        <v/>
      </c>
      <c r="DZ31" s="228">
        <f>IF(AND(126&gt;=$NR$31,126&lt;=$NS$31),IF($NP$31="Single_Point",IF(126=$NR$31,$NN$31,0),IF($NP$31="Bell_Curve",$NN$31*(126-$NR$31+1)*($NS$31-126+1)/$NU$31,$NN$31/$NT$31)),0)</f>
        <v/>
      </c>
      <c r="EA31" s="228">
        <f>IF(AND(127&gt;=$NR$31,127&lt;=$NS$31),IF($NP$31="Single_Point",IF(127=$NR$31,$NN$31,0),IF($NP$31="Bell_Curve",$NN$31*(127-$NR$31+1)*($NS$31-127+1)/$NU$31,$NN$31/$NT$31)),0)</f>
        <v/>
      </c>
      <c r="EB31" s="228">
        <f>IF(AND(128&gt;=$NR$31,128&lt;=$NS$31),IF($NP$31="Single_Point",IF(128=$NR$31,$NN$31,0),IF($NP$31="Bell_Curve",$NN$31*(128-$NR$31+1)*($NS$31-128+1)/$NU$31,$NN$31/$NT$31)),0)</f>
        <v/>
      </c>
      <c r="EC31" s="228">
        <f>IF(AND(129&gt;=$NR$31,129&lt;=$NS$31),IF($NP$31="Single_Point",IF(129=$NR$31,$NN$31,0),IF($NP$31="Bell_Curve",$NN$31*(129-$NR$31+1)*($NS$31-129+1)/$NU$31,$NN$31/$NT$31)),0)</f>
        <v/>
      </c>
      <c r="ED31" s="228">
        <f>IF(AND(130&gt;=$NR$31,130&lt;=$NS$31),IF($NP$31="Single_Point",IF(130=$NR$31,$NN$31,0),IF($NP$31="Bell_Curve",$NN$31*(130-$NR$31+1)*($NS$31-130+1)/$NU$31,$NN$31/$NT$31)),0)</f>
        <v/>
      </c>
      <c r="EE31" s="228">
        <f>IF(AND(131&gt;=$NR$31,131&lt;=$NS$31),IF($NP$31="Single_Point",IF(131=$NR$31,$NN$31,0),IF($NP$31="Bell_Curve",$NN$31*(131-$NR$31+1)*($NS$31-131+1)/$NU$31,$NN$31/$NT$31)),0)</f>
        <v/>
      </c>
      <c r="EF31" s="228">
        <f>IF(AND(132&gt;=$NR$31,132&lt;=$NS$31),IF($NP$31="Single_Point",IF(132=$NR$31,$NN$31,0),IF($NP$31="Bell_Curve",$NN$31*(132-$NR$31+1)*($NS$31-132+1)/$NU$31,$NN$31/$NT$31)),0)</f>
        <v/>
      </c>
      <c r="EG31" s="228">
        <f>IF(AND(133&gt;=$NR$31,133&lt;=$NS$31),IF($NP$31="Single_Point",IF(133=$NR$31,$NN$31,0),IF($NP$31="Bell_Curve",$NN$31*(133-$NR$31+1)*($NS$31-133+1)/$NU$31,$NN$31/$NT$31)),0)</f>
        <v/>
      </c>
      <c r="EH31" s="228">
        <f>IF(AND(134&gt;=$NR$31,134&lt;=$NS$31),IF($NP$31="Single_Point",IF(134=$NR$31,$NN$31,0),IF($NP$31="Bell_Curve",$NN$31*(134-$NR$31+1)*($NS$31-134+1)/$NU$31,$NN$31/$NT$31)),0)</f>
        <v/>
      </c>
      <c r="EI31" s="228">
        <f>IF(AND(135&gt;=$NR$31,135&lt;=$NS$31),IF($NP$31="Single_Point",IF(135=$NR$31,$NN$31,0),IF($NP$31="Bell_Curve",$NN$31*(135-$NR$31+1)*($NS$31-135+1)/$NU$31,$NN$31/$NT$31)),0)</f>
        <v/>
      </c>
      <c r="EJ31" s="228">
        <f>IF(AND(136&gt;=$NR$31,136&lt;=$NS$31),IF($NP$31="Single_Point",IF(136=$NR$31,$NN$31,0),IF($NP$31="Bell_Curve",$NN$31*(136-$NR$31+1)*($NS$31-136+1)/$NU$31,$NN$31/$NT$31)),0)</f>
        <v/>
      </c>
      <c r="EK31" s="228">
        <f>IF(AND(137&gt;=$NR$31,137&lt;=$NS$31),IF($NP$31="Single_Point",IF(137=$NR$31,$NN$31,0),IF($NP$31="Bell_Curve",$NN$31*(137-$NR$31+1)*($NS$31-137+1)/$NU$31,$NN$31/$NT$31)),0)</f>
        <v/>
      </c>
      <c r="EL31" s="228">
        <f>IF(AND(138&gt;=$NR$31,138&lt;=$NS$31),IF($NP$31="Single_Point",IF(138=$NR$31,$NN$31,0),IF($NP$31="Bell_Curve",$NN$31*(138-$NR$31+1)*($NS$31-138+1)/$NU$31,$NN$31/$NT$31)),0)</f>
        <v/>
      </c>
      <c r="EM31" s="228">
        <f>IF(AND(139&gt;=$NR$31,139&lt;=$NS$31),IF($NP$31="Single_Point",IF(139=$NR$31,$NN$31,0),IF($NP$31="Bell_Curve",$NN$31*(139-$NR$31+1)*($NS$31-139+1)/$NU$31,$NN$31/$NT$31)),0)</f>
        <v/>
      </c>
      <c r="EN31" s="228">
        <f>IF(AND(140&gt;=$NR$31,140&lt;=$NS$31),IF($NP$31="Single_Point",IF(140=$NR$31,$NN$31,0),IF($NP$31="Bell_Curve",$NN$31*(140-$NR$31+1)*($NS$31-140+1)/$NU$31,$NN$31/$NT$31)),0)</f>
        <v/>
      </c>
      <c r="EO31" s="228">
        <f>IF(AND(141&gt;=$NR$31,141&lt;=$NS$31),IF($NP$31="Single_Point",IF(141=$NR$31,$NN$31,0),IF($NP$31="Bell_Curve",$NN$31*(141-$NR$31+1)*($NS$31-141+1)/$NU$31,$NN$31/$NT$31)),0)</f>
        <v/>
      </c>
      <c r="EP31" s="228">
        <f>IF(AND(142&gt;=$NR$31,142&lt;=$NS$31),IF($NP$31="Single_Point",IF(142=$NR$31,$NN$31,0),IF($NP$31="Bell_Curve",$NN$31*(142-$NR$31+1)*($NS$31-142+1)/$NU$31,$NN$31/$NT$31)),0)</f>
        <v/>
      </c>
      <c r="EQ31" s="228">
        <f>IF(AND(143&gt;=$NR$31,143&lt;=$NS$31),IF($NP$31="Single_Point",IF(143=$NR$31,$NN$31,0),IF($NP$31="Bell_Curve",$NN$31*(143-$NR$31+1)*($NS$31-143+1)/$NU$31,$NN$31/$NT$31)),0)</f>
        <v/>
      </c>
      <c r="ER31" s="228">
        <f>IF(AND(144&gt;=$NR$31,144&lt;=$NS$31),IF($NP$31="Single_Point",IF(144=$NR$31,$NN$31,0),IF($NP$31="Bell_Curve",$NN$31*(144-$NR$31+1)*($NS$31-144+1)/$NU$31,$NN$31/$NT$31)),0)</f>
        <v/>
      </c>
      <c r="ES31" s="228">
        <f>IF(AND(145&gt;=$NR$31,145&lt;=$NS$31),IF($NP$31="Single_Point",IF(145=$NR$31,$NN$31,0),IF($NP$31="Bell_Curve",$NN$31*(145-$NR$31+1)*($NS$31-145+1)/$NU$31,$NN$31/$NT$31)),0)</f>
        <v/>
      </c>
      <c r="ET31" s="228">
        <f>IF(AND(146&gt;=$NR$31,146&lt;=$NS$31),IF($NP$31="Single_Point",IF(146=$NR$31,$NN$31,0),IF($NP$31="Bell_Curve",$NN$31*(146-$NR$31+1)*($NS$31-146+1)/$NU$31,$NN$31/$NT$31)),0)</f>
        <v/>
      </c>
      <c r="EU31" s="228">
        <f>IF(AND(147&gt;=$NR$31,147&lt;=$NS$31),IF($NP$31="Single_Point",IF(147=$NR$31,$NN$31,0),IF($NP$31="Bell_Curve",$NN$31*(147-$NR$31+1)*($NS$31-147+1)/$NU$31,$NN$31/$NT$31)),0)</f>
        <v/>
      </c>
      <c r="EV31" s="228">
        <f>IF(AND(148&gt;=$NR$31,148&lt;=$NS$31),IF($NP$31="Single_Point",IF(148=$NR$31,$NN$31,0),IF($NP$31="Bell_Curve",$NN$31*(148-$NR$31+1)*($NS$31-148+1)/$NU$31,$NN$31/$NT$31)),0)</f>
        <v/>
      </c>
      <c r="EW31" s="228">
        <f>IF(AND(149&gt;=$NR$31,149&lt;=$NS$31),IF($NP$31="Single_Point",IF(149=$NR$31,$NN$31,0),IF($NP$31="Bell_Curve",$NN$31*(149-$NR$31+1)*($NS$31-149+1)/$NU$31,$NN$31/$NT$31)),0)</f>
        <v/>
      </c>
      <c r="EX31" s="228">
        <f>IF(AND(150&gt;=$NR$31,150&lt;=$NS$31),IF($NP$31="Single_Point",IF(150=$NR$31,$NN$31,0),IF($NP$31="Bell_Curve",$NN$31*(150-$NR$31+1)*($NS$31-150+1)/$NU$31,$NN$31/$NT$31)),0)</f>
        <v/>
      </c>
      <c r="EY31" s="228">
        <f>IF(AND(151&gt;=$NR$31,151&lt;=$NS$31),IF($NP$31="Single_Point",IF(151=$NR$31,$NN$31,0),IF($NP$31="Bell_Curve",$NN$31*(151-$NR$31+1)*($NS$31-151+1)/$NU$31,$NN$31/$NT$31)),0)</f>
        <v/>
      </c>
      <c r="EZ31" s="228">
        <f>IF(AND(152&gt;=$NR$31,152&lt;=$NS$31),IF($NP$31="Single_Point",IF(152=$NR$31,$NN$31,0),IF($NP$31="Bell_Curve",$NN$31*(152-$NR$31+1)*($NS$31-152+1)/$NU$31,$NN$31/$NT$31)),0)</f>
        <v/>
      </c>
      <c r="FA31" s="228">
        <f>IF(AND(153&gt;=$NR$31,153&lt;=$NS$31),IF($NP$31="Single_Point",IF(153=$NR$31,$NN$31,0),IF($NP$31="Bell_Curve",$NN$31*(153-$NR$31+1)*($NS$31-153+1)/$NU$31,$NN$31/$NT$31)),0)</f>
        <v/>
      </c>
      <c r="FB31" s="228">
        <f>IF(AND(154&gt;=$NR$31,154&lt;=$NS$31),IF($NP$31="Single_Point",IF(154=$NR$31,$NN$31,0),IF($NP$31="Bell_Curve",$NN$31*(154-$NR$31+1)*($NS$31-154+1)/$NU$31,$NN$31/$NT$31)),0)</f>
        <v/>
      </c>
      <c r="FC31" s="228">
        <f>IF(AND(155&gt;=$NR$31,155&lt;=$NS$31),IF($NP$31="Single_Point",IF(155=$NR$31,$NN$31,0),IF($NP$31="Bell_Curve",$NN$31*(155-$NR$31+1)*($NS$31-155+1)/$NU$31,$NN$31/$NT$31)),0)</f>
        <v/>
      </c>
      <c r="FD31" s="228">
        <f>IF(AND(156&gt;=$NR$31,156&lt;=$NS$31),IF($NP$31="Single_Point",IF(156=$NR$31,$NN$31,0),IF($NP$31="Bell_Curve",$NN$31*(156-$NR$31+1)*($NS$31-156+1)/$NU$31,$NN$31/$NT$31)),0)</f>
        <v/>
      </c>
      <c r="FE31" s="228">
        <f>IF(AND(157&gt;=$NR$31,157&lt;=$NS$31),IF($NP$31="Single_Point",IF(157=$NR$31,$NN$31,0),IF($NP$31="Bell_Curve",$NN$31*(157-$NR$31+1)*($NS$31-157+1)/$NU$31,$NN$31/$NT$31)),0)</f>
        <v/>
      </c>
      <c r="FF31" s="228">
        <f>IF(AND(158&gt;=$NR$31,158&lt;=$NS$31),IF($NP$31="Single_Point",IF(158=$NR$31,$NN$31,0),IF($NP$31="Bell_Curve",$NN$31*(158-$NR$31+1)*($NS$31-158+1)/$NU$31,$NN$31/$NT$31)),0)</f>
        <v/>
      </c>
      <c r="FG31" s="228">
        <f>IF(AND(159&gt;=$NR$31,159&lt;=$NS$31),IF($NP$31="Single_Point",IF(159=$NR$31,$NN$31,0),IF($NP$31="Bell_Curve",$NN$31*(159-$NR$31+1)*($NS$31-159+1)/$NU$31,$NN$31/$NT$31)),0)</f>
        <v/>
      </c>
      <c r="FH31" s="228">
        <f>IF(AND(160&gt;=$NR$31,160&lt;=$NS$31),IF($NP$31="Single_Point",IF(160=$NR$31,$NN$31,0),IF($NP$31="Bell_Curve",$NN$31*(160-$NR$31+1)*($NS$31-160+1)/$NU$31,$NN$31/$NT$31)),0)</f>
        <v/>
      </c>
      <c r="FI31" s="228">
        <f>IF(AND(161&gt;=$NR$31,161&lt;=$NS$31),IF($NP$31="Single_Point",IF(161=$NR$31,$NN$31,0),IF($NP$31="Bell_Curve",$NN$31*(161-$NR$31+1)*($NS$31-161+1)/$NU$31,$NN$31/$NT$31)),0)</f>
        <v/>
      </c>
      <c r="FJ31" s="228">
        <f>IF(AND(162&gt;=$NR$31,162&lt;=$NS$31),IF($NP$31="Single_Point",IF(162=$NR$31,$NN$31,0),IF($NP$31="Bell_Curve",$NN$31*(162-$NR$31+1)*($NS$31-162+1)/$NU$31,$NN$31/$NT$31)),0)</f>
        <v/>
      </c>
      <c r="FK31" s="228">
        <f>IF(AND(163&gt;=$NR$31,163&lt;=$NS$31),IF($NP$31="Single_Point",IF(163=$NR$31,$NN$31,0),IF($NP$31="Bell_Curve",$NN$31*(163-$NR$31+1)*($NS$31-163+1)/$NU$31,$NN$31/$NT$31)),0)</f>
        <v/>
      </c>
      <c r="FL31" s="228">
        <f>IF(AND(164&gt;=$NR$31,164&lt;=$NS$31),IF($NP$31="Single_Point",IF(164=$NR$31,$NN$31,0),IF($NP$31="Bell_Curve",$NN$31*(164-$NR$31+1)*($NS$31-164+1)/$NU$31,$NN$31/$NT$31)),0)</f>
        <v/>
      </c>
      <c r="FM31" s="228">
        <f>IF(AND(165&gt;=$NR$31,165&lt;=$NS$31),IF($NP$31="Single_Point",IF(165=$NR$31,$NN$31,0),IF($NP$31="Bell_Curve",$NN$31*(165-$NR$31+1)*($NS$31-165+1)/$NU$31,$NN$31/$NT$31)),0)</f>
        <v/>
      </c>
      <c r="FN31" s="228">
        <f>IF(AND(166&gt;=$NR$31,166&lt;=$NS$31),IF($NP$31="Single_Point",IF(166=$NR$31,$NN$31,0),IF($NP$31="Bell_Curve",$NN$31*(166-$NR$31+1)*($NS$31-166+1)/$NU$31,$NN$31/$NT$31)),0)</f>
        <v/>
      </c>
      <c r="FO31" s="228">
        <f>IF(AND(167&gt;=$NR$31,167&lt;=$NS$31),IF($NP$31="Single_Point",IF(167=$NR$31,$NN$31,0),IF($NP$31="Bell_Curve",$NN$31*(167-$NR$31+1)*($NS$31-167+1)/$NU$31,$NN$31/$NT$31)),0)</f>
        <v/>
      </c>
      <c r="FP31" s="228">
        <f>IF(AND(168&gt;=$NR$31,168&lt;=$NS$31),IF($NP$31="Single_Point",IF(168=$NR$31,$NN$31,0),IF($NP$31="Bell_Curve",$NN$31*(168-$NR$31+1)*($NS$31-168+1)/$NU$31,$NN$31/$NT$31)),0)</f>
        <v/>
      </c>
      <c r="FQ31" s="228">
        <f>IF(AND(169&gt;=$NR$31,169&lt;=$NS$31),IF($NP$31="Single_Point",IF(169=$NR$31,$NN$31,0),IF($NP$31="Bell_Curve",$NN$31*(169-$NR$31+1)*($NS$31-169+1)/$NU$31,$NN$31/$NT$31)),0)</f>
        <v/>
      </c>
      <c r="FR31" s="228">
        <f>IF(AND(170&gt;=$NR$31,170&lt;=$NS$31),IF($NP$31="Single_Point",IF(170=$NR$31,$NN$31,0),IF($NP$31="Bell_Curve",$NN$31*(170-$NR$31+1)*($NS$31-170+1)/$NU$31,$NN$31/$NT$31)),0)</f>
        <v/>
      </c>
      <c r="FS31" s="228">
        <f>IF(AND(171&gt;=$NR$31,171&lt;=$NS$31),IF($NP$31="Single_Point",IF(171=$NR$31,$NN$31,0),IF($NP$31="Bell_Curve",$NN$31*(171-$NR$31+1)*($NS$31-171+1)/$NU$31,$NN$31/$NT$31)),0)</f>
        <v/>
      </c>
      <c r="FT31" s="228">
        <f>IF(AND(172&gt;=$NR$31,172&lt;=$NS$31),IF($NP$31="Single_Point",IF(172=$NR$31,$NN$31,0),IF($NP$31="Bell_Curve",$NN$31*(172-$NR$31+1)*($NS$31-172+1)/$NU$31,$NN$31/$NT$31)),0)</f>
        <v/>
      </c>
      <c r="FU31" s="228">
        <f>IF(AND(173&gt;=$NR$31,173&lt;=$NS$31),IF($NP$31="Single_Point",IF(173=$NR$31,$NN$31,0),IF($NP$31="Bell_Curve",$NN$31*(173-$NR$31+1)*($NS$31-173+1)/$NU$31,$NN$31/$NT$31)),0)</f>
        <v/>
      </c>
      <c r="FV31" s="228">
        <f>IF(AND(174&gt;=$NR$31,174&lt;=$NS$31),IF($NP$31="Single_Point",IF(174=$NR$31,$NN$31,0),IF($NP$31="Bell_Curve",$NN$31*(174-$NR$31+1)*($NS$31-174+1)/$NU$31,$NN$31/$NT$31)),0)</f>
        <v/>
      </c>
      <c r="FW31" s="228">
        <f>IF(AND(175&gt;=$NR$31,175&lt;=$NS$31),IF($NP$31="Single_Point",IF(175=$NR$31,$NN$31,0),IF($NP$31="Bell_Curve",$NN$31*(175-$NR$31+1)*($NS$31-175+1)/$NU$31,$NN$31/$NT$31)),0)</f>
        <v/>
      </c>
      <c r="FX31" s="228">
        <f>IF(AND(176&gt;=$NR$31,176&lt;=$NS$31),IF($NP$31="Single_Point",IF(176=$NR$31,$NN$31,0),IF($NP$31="Bell_Curve",$NN$31*(176-$NR$31+1)*($NS$31-176+1)/$NU$31,$NN$31/$NT$31)),0)</f>
        <v/>
      </c>
      <c r="FY31" s="228">
        <f>IF(AND(177&gt;=$NR$31,177&lt;=$NS$31),IF($NP$31="Single_Point",IF(177=$NR$31,$NN$31,0),IF($NP$31="Bell_Curve",$NN$31*(177-$NR$31+1)*($NS$31-177+1)/$NU$31,$NN$31/$NT$31)),0)</f>
        <v/>
      </c>
      <c r="FZ31" s="228">
        <f>IF(AND(178&gt;=$NR$31,178&lt;=$NS$31),IF($NP$31="Single_Point",IF(178=$NR$31,$NN$31,0),IF($NP$31="Bell_Curve",$NN$31*(178-$NR$31+1)*($NS$31-178+1)/$NU$31,$NN$31/$NT$31)),0)</f>
        <v/>
      </c>
      <c r="GA31" s="228">
        <f>IF(AND(179&gt;=$NR$31,179&lt;=$NS$31),IF($NP$31="Single_Point",IF(179=$NR$31,$NN$31,0),IF($NP$31="Bell_Curve",$NN$31*(179-$NR$31+1)*($NS$31-179+1)/$NU$31,$NN$31/$NT$31)),0)</f>
        <v/>
      </c>
      <c r="GB31" s="228">
        <f>IF(AND(180&gt;=$NR$31,180&lt;=$NS$31),IF($NP$31="Single_Point",IF(180=$NR$31,$NN$31,0),IF($NP$31="Bell_Curve",$NN$31*(180-$NR$31+1)*($NS$31-180+1)/$NU$31,$NN$31/$NT$31)),0)</f>
        <v/>
      </c>
      <c r="GC31" s="228">
        <f>IF(AND(181&gt;=$NR$31,181&lt;=$NS$31),IF($NP$31="Single_Point",IF(181=$NR$31,$NN$31,0),IF($NP$31="Bell_Curve",$NN$31*(181-$NR$31+1)*($NS$31-181+1)/$NU$31,$NN$31/$NT$31)),0)</f>
        <v/>
      </c>
      <c r="GD31" s="228">
        <f>IF(AND(182&gt;=$NR$31,182&lt;=$NS$31),IF($NP$31="Single_Point",IF(182=$NR$31,$NN$31,0),IF($NP$31="Bell_Curve",$NN$31*(182-$NR$31+1)*($NS$31-182+1)/$NU$31,$NN$31/$NT$31)),0)</f>
        <v/>
      </c>
      <c r="GE31" s="228">
        <f>IF(AND(183&gt;=$NR$31,183&lt;=$NS$31),IF($NP$31="Single_Point",IF(183=$NR$31,$NN$31,0),IF($NP$31="Bell_Curve",$NN$31*(183-$NR$31+1)*($NS$31-183+1)/$NU$31,$NN$31/$NT$31)),0)</f>
        <v/>
      </c>
      <c r="GF31" s="228">
        <f>IF(AND(184&gt;=$NR$31,184&lt;=$NS$31),IF($NP$31="Single_Point",IF(184=$NR$31,$NN$31,0),IF($NP$31="Bell_Curve",$NN$31*(184-$NR$31+1)*($NS$31-184+1)/$NU$31,$NN$31/$NT$31)),0)</f>
        <v/>
      </c>
      <c r="GG31" s="228">
        <f>IF(AND(185&gt;=$NR$31,185&lt;=$NS$31),IF($NP$31="Single_Point",IF(185=$NR$31,$NN$31,0),IF($NP$31="Bell_Curve",$NN$31*(185-$NR$31+1)*($NS$31-185+1)/$NU$31,$NN$31/$NT$31)),0)</f>
        <v/>
      </c>
      <c r="GH31" s="228">
        <f>IF(AND(186&gt;=$NR$31,186&lt;=$NS$31),IF($NP$31="Single_Point",IF(186=$NR$31,$NN$31,0),IF($NP$31="Bell_Curve",$NN$31*(186-$NR$31+1)*($NS$31-186+1)/$NU$31,$NN$31/$NT$31)),0)</f>
        <v/>
      </c>
      <c r="GI31" s="228">
        <f>IF(AND(187&gt;=$NR$31,187&lt;=$NS$31),IF($NP$31="Single_Point",IF(187=$NR$31,$NN$31,0),IF($NP$31="Bell_Curve",$NN$31*(187-$NR$31+1)*($NS$31-187+1)/$NU$31,$NN$31/$NT$31)),0)</f>
        <v/>
      </c>
      <c r="GJ31" s="228">
        <f>IF(AND(188&gt;=$NR$31,188&lt;=$NS$31),IF($NP$31="Single_Point",IF(188=$NR$31,$NN$31,0),IF($NP$31="Bell_Curve",$NN$31*(188-$NR$31+1)*($NS$31-188+1)/$NU$31,$NN$31/$NT$31)),0)</f>
        <v/>
      </c>
      <c r="GK31" s="228">
        <f>IF(AND(189&gt;=$NR$31,189&lt;=$NS$31),IF($NP$31="Single_Point",IF(189=$NR$31,$NN$31,0),IF($NP$31="Bell_Curve",$NN$31*(189-$NR$31+1)*($NS$31-189+1)/$NU$31,$NN$31/$NT$31)),0)</f>
        <v/>
      </c>
      <c r="GL31" s="228">
        <f>IF(AND(190&gt;=$NR$31,190&lt;=$NS$31),IF($NP$31="Single_Point",IF(190=$NR$31,$NN$31,0),IF($NP$31="Bell_Curve",$NN$31*(190-$NR$31+1)*($NS$31-190+1)/$NU$31,$NN$31/$NT$31)),0)</f>
        <v/>
      </c>
      <c r="GM31" s="228">
        <f>IF(AND(191&gt;=$NR$31,191&lt;=$NS$31),IF($NP$31="Single_Point",IF(191=$NR$31,$NN$31,0),IF($NP$31="Bell_Curve",$NN$31*(191-$NR$31+1)*($NS$31-191+1)/$NU$31,$NN$31/$NT$31)),0)</f>
        <v/>
      </c>
      <c r="GN31" s="228">
        <f>IF(AND(192&gt;=$NR$31,192&lt;=$NS$31),IF($NP$31="Single_Point",IF(192=$NR$31,$NN$31,0),IF($NP$31="Bell_Curve",$NN$31*(192-$NR$31+1)*($NS$31-192+1)/$NU$31,$NN$31/$NT$31)),0)</f>
        <v/>
      </c>
      <c r="GO31" s="228">
        <f>IF(AND(193&gt;=$NR$31,193&lt;=$NS$31),IF($NP$31="Single_Point",IF(193=$NR$31,$NN$31,0),IF($NP$31="Bell_Curve",$NN$31*(193-$NR$31+1)*($NS$31-193+1)/$NU$31,$NN$31/$NT$31)),0)</f>
        <v/>
      </c>
      <c r="GP31" s="228">
        <f>IF(AND(194&gt;=$NR$31,194&lt;=$NS$31),IF($NP$31="Single_Point",IF(194=$NR$31,$NN$31,0),IF($NP$31="Bell_Curve",$NN$31*(194-$NR$31+1)*($NS$31-194+1)/$NU$31,$NN$31/$NT$31)),0)</f>
        <v/>
      </c>
      <c r="GQ31" s="228">
        <f>IF(AND(195&gt;=$NR$31,195&lt;=$NS$31),IF($NP$31="Single_Point",IF(195=$NR$31,$NN$31,0),IF($NP$31="Bell_Curve",$NN$31*(195-$NR$31+1)*($NS$31-195+1)/$NU$31,$NN$31/$NT$31)),0)</f>
        <v/>
      </c>
      <c r="GR31" s="228">
        <f>IF(AND(196&gt;=$NR$31,196&lt;=$NS$31),IF($NP$31="Single_Point",IF(196=$NR$31,$NN$31,0),IF($NP$31="Bell_Curve",$NN$31*(196-$NR$31+1)*($NS$31-196+1)/$NU$31,$NN$31/$NT$31)),0)</f>
        <v/>
      </c>
      <c r="GS31" s="228">
        <f>IF(AND(197&gt;=$NR$31,197&lt;=$NS$31),IF($NP$31="Single_Point",IF(197=$NR$31,$NN$31,0),IF($NP$31="Bell_Curve",$NN$31*(197-$NR$31+1)*($NS$31-197+1)/$NU$31,$NN$31/$NT$31)),0)</f>
        <v/>
      </c>
      <c r="GT31" s="228">
        <f>IF(AND(198&gt;=$NR$31,198&lt;=$NS$31),IF($NP$31="Single_Point",IF(198=$NR$31,$NN$31,0),IF($NP$31="Bell_Curve",$NN$31*(198-$NR$31+1)*($NS$31-198+1)/$NU$31,$NN$31/$NT$31)),0)</f>
        <v/>
      </c>
      <c r="GU31" s="228">
        <f>IF(AND(199&gt;=$NR$31,199&lt;=$NS$31),IF($NP$31="Single_Point",IF(199=$NR$31,$NN$31,0),IF($NP$31="Bell_Curve",$NN$31*(199-$NR$31+1)*($NS$31-199+1)/$NU$31,$NN$31/$NT$31)),0)</f>
        <v/>
      </c>
      <c r="GV31" s="228">
        <f>IF(AND(200&gt;=$NR$31,200&lt;=$NS$31),IF($NP$31="Single_Point",IF(200=$NR$31,$NN$31,0),IF($NP$31="Bell_Curve",$NN$31*(200-$NR$31+1)*($NS$31-200+1)/$NU$31,$NN$31/$NT$31)),0)</f>
        <v/>
      </c>
      <c r="GW31" s="228">
        <f>IF(AND(201&gt;=$NR$31,201&lt;=$NS$31),IF($NP$31="Single_Point",IF(201=$NR$31,$NN$31,0),IF($NP$31="Bell_Curve",$NN$31*(201-$NR$31+1)*($NS$31-201+1)/$NU$31,$NN$31/$NT$31)),0)</f>
        <v/>
      </c>
      <c r="GX31" s="228">
        <f>IF(AND(202&gt;=$NR$31,202&lt;=$NS$31),IF($NP$31="Single_Point",IF(202=$NR$31,$NN$31,0),IF($NP$31="Bell_Curve",$NN$31*(202-$NR$31+1)*($NS$31-202+1)/$NU$31,$NN$31/$NT$31)),0)</f>
        <v/>
      </c>
      <c r="GY31" s="228">
        <f>IF(AND(203&gt;=$NR$31,203&lt;=$NS$31),IF($NP$31="Single_Point",IF(203=$NR$31,$NN$31,0),IF($NP$31="Bell_Curve",$NN$31*(203-$NR$31+1)*($NS$31-203+1)/$NU$31,$NN$31/$NT$31)),0)</f>
        <v/>
      </c>
      <c r="GZ31" s="228">
        <f>IF(AND(204&gt;=$NR$31,204&lt;=$NS$31),IF($NP$31="Single_Point",IF(204=$NR$31,$NN$31,0),IF($NP$31="Bell_Curve",$NN$31*(204-$NR$31+1)*($NS$31-204+1)/$NU$31,$NN$31/$NT$31)),0)</f>
        <v/>
      </c>
      <c r="HA31" s="228">
        <f>IF(AND(205&gt;=$NR$31,205&lt;=$NS$31),IF($NP$31="Single_Point",IF(205=$NR$31,$NN$31,0),IF($NP$31="Bell_Curve",$NN$31*(205-$NR$31+1)*($NS$31-205+1)/$NU$31,$NN$31/$NT$31)),0)</f>
        <v/>
      </c>
      <c r="HB31" s="228">
        <f>IF(AND(206&gt;=$NR$31,206&lt;=$NS$31),IF($NP$31="Single_Point",IF(206=$NR$31,$NN$31,0),IF($NP$31="Bell_Curve",$NN$31*(206-$NR$31+1)*($NS$31-206+1)/$NU$31,$NN$31/$NT$31)),0)</f>
        <v/>
      </c>
      <c r="HC31" s="228">
        <f>IF(AND(207&gt;=$NR$31,207&lt;=$NS$31),IF($NP$31="Single_Point",IF(207=$NR$31,$NN$31,0),IF($NP$31="Bell_Curve",$NN$31*(207-$NR$31+1)*($NS$31-207+1)/$NU$31,$NN$31/$NT$31)),0)</f>
        <v/>
      </c>
      <c r="HD31" s="228">
        <f>IF(AND(208&gt;=$NR$31,208&lt;=$NS$31),IF($NP$31="Single_Point",IF(208=$NR$31,$NN$31,0),IF($NP$31="Bell_Curve",$NN$31*(208-$NR$31+1)*($NS$31-208+1)/$NU$31,$NN$31/$NT$31)),0)</f>
        <v/>
      </c>
      <c r="HE31" s="228">
        <f>IF(AND(209&gt;=$NR$31,209&lt;=$NS$31),IF($NP$31="Single_Point",IF(209=$NR$31,$NN$31,0),IF($NP$31="Bell_Curve",$NN$31*(209-$NR$31+1)*($NS$31-209+1)/$NU$31,$NN$31/$NT$31)),0)</f>
        <v/>
      </c>
      <c r="HF31" s="228">
        <f>IF(AND(210&gt;=$NR$31,210&lt;=$NS$31),IF($NP$31="Single_Point",IF(210=$NR$31,$NN$31,0),IF($NP$31="Bell_Curve",$NN$31*(210-$NR$31+1)*($NS$31-210+1)/$NU$31,$NN$31/$NT$31)),0)</f>
        <v/>
      </c>
      <c r="HG31" s="228">
        <f>IF(AND(211&gt;=$NR$31,211&lt;=$NS$31),IF($NP$31="Single_Point",IF(211=$NR$31,$NN$31,0),IF($NP$31="Bell_Curve",$NN$31*(211-$NR$31+1)*($NS$31-211+1)/$NU$31,$NN$31/$NT$31)),0)</f>
        <v/>
      </c>
      <c r="HH31" s="228">
        <f>IF(AND(212&gt;=$NR$31,212&lt;=$NS$31),IF($NP$31="Single_Point",IF(212=$NR$31,$NN$31,0),IF($NP$31="Bell_Curve",$NN$31*(212-$NR$31+1)*($NS$31-212+1)/$NU$31,$NN$31/$NT$31)),0)</f>
        <v/>
      </c>
      <c r="HI31" s="228">
        <f>IF(AND(213&gt;=$NR$31,213&lt;=$NS$31),IF($NP$31="Single_Point",IF(213=$NR$31,$NN$31,0),IF($NP$31="Bell_Curve",$NN$31*(213-$NR$31+1)*($NS$31-213+1)/$NU$31,$NN$31/$NT$31)),0)</f>
        <v/>
      </c>
      <c r="HJ31" s="228">
        <f>IF(AND(214&gt;=$NR$31,214&lt;=$NS$31),IF($NP$31="Single_Point",IF(214=$NR$31,$NN$31,0),IF($NP$31="Bell_Curve",$NN$31*(214-$NR$31+1)*($NS$31-214+1)/$NU$31,$NN$31/$NT$31)),0)</f>
        <v/>
      </c>
      <c r="HK31" s="228">
        <f>IF(AND(215&gt;=$NR$31,215&lt;=$NS$31),IF($NP$31="Single_Point",IF(215=$NR$31,$NN$31,0),IF($NP$31="Bell_Curve",$NN$31*(215-$NR$31+1)*($NS$31-215+1)/$NU$31,$NN$31/$NT$31)),0)</f>
        <v/>
      </c>
      <c r="HL31" s="228">
        <f>IF(AND(216&gt;=$NR$31,216&lt;=$NS$31),IF($NP$31="Single_Point",IF(216=$NR$31,$NN$31,0),IF($NP$31="Bell_Curve",$NN$31*(216-$NR$31+1)*($NS$31-216+1)/$NU$31,$NN$31/$NT$31)),0)</f>
        <v/>
      </c>
      <c r="HM31" s="228">
        <f>IF(AND(217&gt;=$NR$31,217&lt;=$NS$31),IF($NP$31="Single_Point",IF(217=$NR$31,$NN$31,0),IF($NP$31="Bell_Curve",$NN$31*(217-$NR$31+1)*($NS$31-217+1)/$NU$31,$NN$31/$NT$31)),0)</f>
        <v/>
      </c>
      <c r="HN31" s="228">
        <f>IF(AND(218&gt;=$NR$31,218&lt;=$NS$31),IF($NP$31="Single_Point",IF(218=$NR$31,$NN$31,0),IF($NP$31="Bell_Curve",$NN$31*(218-$NR$31+1)*($NS$31-218+1)/$NU$31,$NN$31/$NT$31)),0)</f>
        <v/>
      </c>
      <c r="HO31" s="228">
        <f>IF(AND(219&gt;=$NR$31,219&lt;=$NS$31),IF($NP$31="Single_Point",IF(219=$NR$31,$NN$31,0),IF($NP$31="Bell_Curve",$NN$31*(219-$NR$31+1)*($NS$31-219+1)/$NU$31,$NN$31/$NT$31)),0)</f>
        <v/>
      </c>
      <c r="HP31" s="228">
        <f>IF(AND(220&gt;=$NR$31,220&lt;=$NS$31),IF($NP$31="Single_Point",IF(220=$NR$31,$NN$31,0),IF($NP$31="Bell_Curve",$NN$31*(220-$NR$31+1)*($NS$31-220+1)/$NU$31,$NN$31/$NT$31)),0)</f>
        <v/>
      </c>
      <c r="HQ31" s="228">
        <f>IF(AND(221&gt;=$NR$31,221&lt;=$NS$31),IF($NP$31="Single_Point",IF(221=$NR$31,$NN$31,0),IF($NP$31="Bell_Curve",$NN$31*(221-$NR$31+1)*($NS$31-221+1)/$NU$31,$NN$31/$NT$31)),0)</f>
        <v/>
      </c>
      <c r="HR31" s="228">
        <f>IF(AND(222&gt;=$NR$31,222&lt;=$NS$31),IF($NP$31="Single_Point",IF(222=$NR$31,$NN$31,0),IF($NP$31="Bell_Curve",$NN$31*(222-$NR$31+1)*($NS$31-222+1)/$NU$31,$NN$31/$NT$31)),0)</f>
        <v/>
      </c>
      <c r="HS31" s="228">
        <f>IF(AND(223&gt;=$NR$31,223&lt;=$NS$31),IF($NP$31="Single_Point",IF(223=$NR$31,$NN$31,0),IF($NP$31="Bell_Curve",$NN$31*(223-$NR$31+1)*($NS$31-223+1)/$NU$31,$NN$31/$NT$31)),0)</f>
        <v/>
      </c>
      <c r="HT31" s="228">
        <f>IF(AND(224&gt;=$NR$31,224&lt;=$NS$31),IF($NP$31="Single_Point",IF(224=$NR$31,$NN$31,0),IF($NP$31="Bell_Curve",$NN$31*(224-$NR$31+1)*($NS$31-224+1)/$NU$31,$NN$31/$NT$31)),0)</f>
        <v/>
      </c>
      <c r="HU31" s="228">
        <f>IF(AND(225&gt;=$NR$31,225&lt;=$NS$31),IF($NP$31="Single_Point",IF(225=$NR$31,$NN$31,0),IF($NP$31="Bell_Curve",$NN$31*(225-$NR$31+1)*($NS$31-225+1)/$NU$31,$NN$31/$NT$31)),0)</f>
        <v/>
      </c>
      <c r="HV31" s="228">
        <f>IF(AND(226&gt;=$NR$31,226&lt;=$NS$31),IF($NP$31="Single_Point",IF(226=$NR$31,$NN$31,0),IF($NP$31="Bell_Curve",$NN$31*(226-$NR$31+1)*($NS$31-226+1)/$NU$31,$NN$31/$NT$31)),0)</f>
        <v/>
      </c>
      <c r="HW31" s="228">
        <f>IF(AND(227&gt;=$NR$31,227&lt;=$NS$31),IF($NP$31="Single_Point",IF(227=$NR$31,$NN$31,0),IF($NP$31="Bell_Curve",$NN$31*(227-$NR$31+1)*($NS$31-227+1)/$NU$31,$NN$31/$NT$31)),0)</f>
        <v/>
      </c>
      <c r="HX31" s="228">
        <f>IF(AND(228&gt;=$NR$31,228&lt;=$NS$31),IF($NP$31="Single_Point",IF(228=$NR$31,$NN$31,0),IF($NP$31="Bell_Curve",$NN$31*(228-$NR$31+1)*($NS$31-228+1)/$NU$31,$NN$31/$NT$31)),0)</f>
        <v/>
      </c>
      <c r="HY31" s="228">
        <f>IF(AND(229&gt;=$NR$31,229&lt;=$NS$31),IF($NP$31="Single_Point",IF(229=$NR$31,$NN$31,0),IF($NP$31="Bell_Curve",$NN$31*(229-$NR$31+1)*($NS$31-229+1)/$NU$31,$NN$31/$NT$31)),0)</f>
        <v/>
      </c>
      <c r="HZ31" s="228">
        <f>IF(AND(230&gt;=$NR$31,230&lt;=$NS$31),IF($NP$31="Single_Point",IF(230=$NR$31,$NN$31,0),IF($NP$31="Bell_Curve",$NN$31*(230-$NR$31+1)*($NS$31-230+1)/$NU$31,$NN$31/$NT$31)),0)</f>
        <v/>
      </c>
      <c r="IA31" s="228">
        <f>IF(AND(231&gt;=$NR$31,231&lt;=$NS$31),IF($NP$31="Single_Point",IF(231=$NR$31,$NN$31,0),IF($NP$31="Bell_Curve",$NN$31*(231-$NR$31+1)*($NS$31-231+1)/$NU$31,$NN$31/$NT$31)),0)</f>
        <v/>
      </c>
      <c r="IB31" s="228">
        <f>IF(AND(232&gt;=$NR$31,232&lt;=$NS$31),IF($NP$31="Single_Point",IF(232=$NR$31,$NN$31,0),IF($NP$31="Bell_Curve",$NN$31*(232-$NR$31+1)*($NS$31-232+1)/$NU$31,$NN$31/$NT$31)),0)</f>
        <v/>
      </c>
      <c r="IC31" s="228">
        <f>IF(AND(233&gt;=$NR$31,233&lt;=$NS$31),IF($NP$31="Single_Point",IF(233=$NR$31,$NN$31,0),IF($NP$31="Bell_Curve",$NN$31*(233-$NR$31+1)*($NS$31-233+1)/$NU$31,$NN$31/$NT$31)),0)</f>
        <v/>
      </c>
      <c r="ID31" s="228">
        <f>IF(AND(234&gt;=$NR$31,234&lt;=$NS$31),IF($NP$31="Single_Point",IF(234=$NR$31,$NN$31,0),IF($NP$31="Bell_Curve",$NN$31*(234-$NR$31+1)*($NS$31-234+1)/$NU$31,$NN$31/$NT$31)),0)</f>
        <v/>
      </c>
      <c r="IE31" s="228">
        <f>IF(AND(235&gt;=$NR$31,235&lt;=$NS$31),IF($NP$31="Single_Point",IF(235=$NR$31,$NN$31,0),IF($NP$31="Bell_Curve",$NN$31*(235-$NR$31+1)*($NS$31-235+1)/$NU$31,$NN$31/$NT$31)),0)</f>
        <v/>
      </c>
      <c r="IF31" s="228">
        <f>IF(AND(236&gt;=$NR$31,236&lt;=$NS$31),IF($NP$31="Single_Point",IF(236=$NR$31,$NN$31,0),IF($NP$31="Bell_Curve",$NN$31*(236-$NR$31+1)*($NS$31-236+1)/$NU$31,$NN$31/$NT$31)),0)</f>
        <v/>
      </c>
      <c r="IG31" s="228">
        <f>IF(AND(237&gt;=$NR$31,237&lt;=$NS$31),IF($NP$31="Single_Point",IF(237=$NR$31,$NN$31,0),IF($NP$31="Bell_Curve",$NN$31*(237-$NR$31+1)*($NS$31-237+1)/$NU$31,$NN$31/$NT$31)),0)</f>
        <v/>
      </c>
      <c r="IH31" s="228">
        <f>IF(AND(238&gt;=$NR$31,238&lt;=$NS$31),IF($NP$31="Single_Point",IF(238=$NR$31,$NN$31,0),IF($NP$31="Bell_Curve",$NN$31*(238-$NR$31+1)*($NS$31-238+1)/$NU$31,$NN$31/$NT$31)),0)</f>
        <v/>
      </c>
      <c r="II31" s="228">
        <f>IF(AND(239&gt;=$NR$31,239&lt;=$NS$31),IF($NP$31="Single_Point",IF(239=$NR$31,$NN$31,0),IF($NP$31="Bell_Curve",$NN$31*(239-$NR$31+1)*($NS$31-239+1)/$NU$31,$NN$31/$NT$31)),0)</f>
        <v/>
      </c>
      <c r="IJ31" s="228">
        <f>IF(AND(240&gt;=$NR$31,240&lt;=$NS$31),IF($NP$31="Single_Point",IF(240=$NR$31,$NN$31,0),IF($NP$31="Bell_Curve",$NN$31*(240-$NR$31+1)*($NS$31-240+1)/$NU$31,$NN$31/$NT$31)),0)</f>
        <v/>
      </c>
      <c r="IK31" s="228">
        <f>IF(AND(241&gt;=$NR$31,241&lt;=$NS$31),IF($NP$31="Single_Point",IF(241=$NR$31,$NN$31,0),IF($NP$31="Bell_Curve",$NN$31*(241-$NR$31+1)*($NS$31-241+1)/$NU$31,$NN$31/$NT$31)),0)</f>
        <v/>
      </c>
      <c r="IL31" s="228">
        <f>IF(AND(242&gt;=$NR$31,242&lt;=$NS$31),IF($NP$31="Single_Point",IF(242=$NR$31,$NN$31,0),IF($NP$31="Bell_Curve",$NN$31*(242-$NR$31+1)*($NS$31-242+1)/$NU$31,$NN$31/$NT$31)),0)</f>
        <v/>
      </c>
      <c r="IM31" s="228">
        <f>IF(AND(243&gt;=$NR$31,243&lt;=$NS$31),IF($NP$31="Single_Point",IF(243=$NR$31,$NN$31,0),IF($NP$31="Bell_Curve",$NN$31*(243-$NR$31+1)*($NS$31-243+1)/$NU$31,$NN$31/$NT$31)),0)</f>
        <v/>
      </c>
      <c r="IN31" s="228">
        <f>IF(AND(244&gt;=$NR$31,244&lt;=$NS$31),IF($NP$31="Single_Point",IF(244=$NR$31,$NN$31,0),IF($NP$31="Bell_Curve",$NN$31*(244-$NR$31+1)*($NS$31-244+1)/$NU$31,$NN$31/$NT$31)),0)</f>
        <v/>
      </c>
      <c r="IO31" s="228">
        <f>IF(AND(245&gt;=$NR$31,245&lt;=$NS$31),IF($NP$31="Single_Point",IF(245=$NR$31,$NN$31,0),IF($NP$31="Bell_Curve",$NN$31*(245-$NR$31+1)*($NS$31-245+1)/$NU$31,$NN$31/$NT$31)),0)</f>
        <v/>
      </c>
      <c r="IP31" s="228">
        <f>IF(AND(246&gt;=$NR$31,246&lt;=$NS$31),IF($NP$31="Single_Point",IF(246=$NR$31,$NN$31,0),IF($NP$31="Bell_Curve",$NN$31*(246-$NR$31+1)*($NS$31-246+1)/$NU$31,$NN$31/$NT$31)),0)</f>
        <v/>
      </c>
      <c r="IQ31" s="228">
        <f>IF(AND(247&gt;=$NR$31,247&lt;=$NS$31),IF($NP$31="Single_Point",IF(247=$NR$31,$NN$31,0),IF($NP$31="Bell_Curve",$NN$31*(247-$NR$31+1)*($NS$31-247+1)/$NU$31,$NN$31/$NT$31)),0)</f>
        <v/>
      </c>
      <c r="IR31" s="228">
        <f>IF(AND(248&gt;=$NR$31,248&lt;=$NS$31),IF($NP$31="Single_Point",IF(248=$NR$31,$NN$31,0),IF($NP$31="Bell_Curve",$NN$31*(248-$NR$31+1)*($NS$31-248+1)/$NU$31,$NN$31/$NT$31)),0)</f>
        <v/>
      </c>
      <c r="IS31" s="228">
        <f>IF(AND(249&gt;=$NR$31,249&lt;=$NS$31),IF($NP$31="Single_Point",IF(249=$NR$31,$NN$31,0),IF($NP$31="Bell_Curve",$NN$31*(249-$NR$31+1)*($NS$31-249+1)/$NU$31,$NN$31/$NT$31)),0)</f>
        <v/>
      </c>
      <c r="IT31" s="228">
        <f>IF(AND(250&gt;=$NR$31,250&lt;=$NS$31),IF($NP$31="Single_Point",IF(250=$NR$31,$NN$31,0),IF($NP$31="Bell_Curve",$NN$31*(250-$NR$31+1)*($NS$31-250+1)/$NU$31,$NN$31/$NT$31)),0)</f>
        <v/>
      </c>
      <c r="IU31" s="228">
        <f>IF(AND(251&gt;=$NR$31,251&lt;=$NS$31),IF($NP$31="Single_Point",IF(251=$NR$31,$NN$31,0),IF($NP$31="Bell_Curve",$NN$31*(251-$NR$31+1)*($NS$31-251+1)/$NU$31,$NN$31/$NT$31)),0)</f>
        <v/>
      </c>
      <c r="IV31" s="228">
        <f>IF(AND(252&gt;=$NR$31,252&lt;=$NS$31),IF($NP$31="Single_Point",IF(252=$NR$31,$NN$31,0),IF($NP$31="Bell_Curve",$NN$31*(252-$NR$31+1)*($NS$31-252+1)/$NU$31,$NN$31/$NT$31)),0)</f>
        <v/>
      </c>
      <c r="IW31" s="228">
        <f>IF(AND(253&gt;=$NR$31,253&lt;=$NS$31),IF($NP$31="Single_Point",IF(253=$NR$31,$NN$31,0),IF($NP$31="Bell_Curve",$NN$31*(253-$NR$31+1)*($NS$31-253+1)/$NU$31,$NN$31/$NT$31)),0)</f>
        <v/>
      </c>
      <c r="IX31" s="228">
        <f>IF(AND(254&gt;=$NR$31,254&lt;=$NS$31),IF($NP$31="Single_Point",IF(254=$NR$31,$NN$31,0),IF($NP$31="Bell_Curve",$NN$31*(254-$NR$31+1)*($NS$31-254+1)/$NU$31,$NN$31/$NT$31)),0)</f>
        <v/>
      </c>
      <c r="IY31" s="228">
        <f>IF(AND(255&gt;=$NR$31,255&lt;=$NS$31),IF($NP$31="Single_Point",IF(255=$NR$31,$NN$31,0),IF($NP$31="Bell_Curve",$NN$31*(255-$NR$31+1)*($NS$31-255+1)/$NU$31,$NN$31/$NT$31)),0)</f>
        <v/>
      </c>
      <c r="IZ31" s="228">
        <f>IF(AND(256&gt;=$NR$31,256&lt;=$NS$31),IF($NP$31="Single_Point",IF(256=$NR$31,$NN$31,0),IF($NP$31="Bell_Curve",$NN$31*(256-$NR$31+1)*($NS$31-256+1)/$NU$31,$NN$31/$NT$31)),0)</f>
        <v/>
      </c>
      <c r="JA31" s="228">
        <f>IF(AND(257&gt;=$NR$31,257&lt;=$NS$31),IF($NP$31="Single_Point",IF(257=$NR$31,$NN$31,0),IF($NP$31="Bell_Curve",$NN$31*(257-$NR$31+1)*($NS$31-257+1)/$NU$31,$NN$31/$NT$31)),0)</f>
        <v/>
      </c>
      <c r="JB31" s="228">
        <f>IF(AND(258&gt;=$NR$31,258&lt;=$NS$31),IF($NP$31="Single_Point",IF(258=$NR$31,$NN$31,0),IF($NP$31="Bell_Curve",$NN$31*(258-$NR$31+1)*($NS$31-258+1)/$NU$31,$NN$31/$NT$31)),0)</f>
        <v/>
      </c>
      <c r="JC31" s="228">
        <f>IF(AND(259&gt;=$NR$31,259&lt;=$NS$31),IF($NP$31="Single_Point",IF(259=$NR$31,$NN$31,0),IF($NP$31="Bell_Curve",$NN$31*(259-$NR$31+1)*($NS$31-259+1)/$NU$31,$NN$31/$NT$31)),0)</f>
        <v/>
      </c>
      <c r="JD31" s="228">
        <f>IF(AND(260&gt;=$NR$31,260&lt;=$NS$31),IF($NP$31="Single_Point",IF(260=$NR$31,$NN$31,0),IF($NP$31="Bell_Curve",$NN$31*(260-$NR$31+1)*($NS$31-260+1)/$NU$31,$NN$31/$NT$31)),0)</f>
        <v/>
      </c>
      <c r="JE31" s="228">
        <f>IF(AND(261&gt;=$NR$31,261&lt;=$NS$31),IF($NP$31="Single_Point",IF(261=$NR$31,$NN$31,0),IF($NP$31="Bell_Curve",$NN$31*(261-$NR$31+1)*($NS$31-261+1)/$NU$31,$NN$31/$NT$31)),0)</f>
        <v/>
      </c>
      <c r="JF31" s="228">
        <f>IF(AND(262&gt;=$NR$31,262&lt;=$NS$31),IF($NP$31="Single_Point",IF(262=$NR$31,$NN$31,0),IF($NP$31="Bell_Curve",$NN$31*(262-$NR$31+1)*($NS$31-262+1)/$NU$31,$NN$31/$NT$31)),0)</f>
        <v/>
      </c>
      <c r="JG31" s="228">
        <f>IF(AND(263&gt;=$NR$31,263&lt;=$NS$31),IF($NP$31="Single_Point",IF(263=$NR$31,$NN$31,0),IF($NP$31="Bell_Curve",$NN$31*(263-$NR$31+1)*($NS$31-263+1)/$NU$31,$NN$31/$NT$31)),0)</f>
        <v/>
      </c>
      <c r="JH31" s="228">
        <f>IF(AND(264&gt;=$NR$31,264&lt;=$NS$31),IF($NP$31="Single_Point",IF(264=$NR$31,$NN$31,0),IF($NP$31="Bell_Curve",$NN$31*(264-$NR$31+1)*($NS$31-264+1)/$NU$31,$NN$31/$NT$31)),0)</f>
        <v/>
      </c>
      <c r="JI31" s="228">
        <f>IF(AND(265&gt;=$NR$31,265&lt;=$NS$31),IF($NP$31="Single_Point",IF(265=$NR$31,$NN$31,0),IF($NP$31="Bell_Curve",$NN$31*(265-$NR$31+1)*($NS$31-265+1)/$NU$31,$NN$31/$NT$31)),0)</f>
        <v/>
      </c>
      <c r="JJ31" s="228">
        <f>IF(AND(266&gt;=$NR$31,266&lt;=$NS$31),IF($NP$31="Single_Point",IF(266=$NR$31,$NN$31,0),IF($NP$31="Bell_Curve",$NN$31*(266-$NR$31+1)*($NS$31-266+1)/$NU$31,$NN$31/$NT$31)),0)</f>
        <v/>
      </c>
      <c r="JK31" s="228">
        <f>IF(AND(267&gt;=$NR$31,267&lt;=$NS$31),IF($NP$31="Single_Point",IF(267=$NR$31,$NN$31,0),IF($NP$31="Bell_Curve",$NN$31*(267-$NR$31+1)*($NS$31-267+1)/$NU$31,$NN$31/$NT$31)),0)</f>
        <v/>
      </c>
      <c r="JL31" s="228">
        <f>IF(AND(268&gt;=$NR$31,268&lt;=$NS$31),IF($NP$31="Single_Point",IF(268=$NR$31,$NN$31,0),IF($NP$31="Bell_Curve",$NN$31*(268-$NR$31+1)*($NS$31-268+1)/$NU$31,$NN$31/$NT$31)),0)</f>
        <v/>
      </c>
      <c r="JM31" s="228">
        <f>IF(AND(269&gt;=$NR$31,269&lt;=$NS$31),IF($NP$31="Single_Point",IF(269=$NR$31,$NN$31,0),IF($NP$31="Bell_Curve",$NN$31*(269-$NR$31+1)*($NS$31-269+1)/$NU$31,$NN$31/$NT$31)),0)</f>
        <v/>
      </c>
      <c r="JN31" s="228">
        <f>IF(AND(270&gt;=$NR$31,270&lt;=$NS$31),IF($NP$31="Single_Point",IF(270=$NR$31,$NN$31,0),IF($NP$31="Bell_Curve",$NN$31*(270-$NR$31+1)*($NS$31-270+1)/$NU$31,$NN$31/$NT$31)),0)</f>
        <v/>
      </c>
      <c r="JO31" s="228">
        <f>IF(AND(271&gt;=$NR$31,271&lt;=$NS$31),IF($NP$31="Single_Point",IF(271=$NR$31,$NN$31,0),IF($NP$31="Bell_Curve",$NN$31*(271-$NR$31+1)*($NS$31-271+1)/$NU$31,$NN$31/$NT$31)),0)</f>
        <v/>
      </c>
      <c r="JP31" s="228">
        <f>IF(AND(272&gt;=$NR$31,272&lt;=$NS$31),IF($NP$31="Single_Point",IF(272=$NR$31,$NN$31,0),IF($NP$31="Bell_Curve",$NN$31*(272-$NR$31+1)*($NS$31-272+1)/$NU$31,$NN$31/$NT$31)),0)</f>
        <v/>
      </c>
      <c r="JQ31" s="228">
        <f>IF(AND(273&gt;=$NR$31,273&lt;=$NS$31),IF($NP$31="Single_Point",IF(273=$NR$31,$NN$31,0),IF($NP$31="Bell_Curve",$NN$31*(273-$NR$31+1)*($NS$31-273+1)/$NU$31,$NN$31/$NT$31)),0)</f>
        <v/>
      </c>
      <c r="JR31" s="228">
        <f>IF(AND(274&gt;=$NR$31,274&lt;=$NS$31),IF($NP$31="Single_Point",IF(274=$NR$31,$NN$31,0),IF($NP$31="Bell_Curve",$NN$31*(274-$NR$31+1)*($NS$31-274+1)/$NU$31,$NN$31/$NT$31)),0)</f>
        <v/>
      </c>
      <c r="JS31" s="228">
        <f>IF(AND(275&gt;=$NR$31,275&lt;=$NS$31),IF($NP$31="Single_Point",IF(275=$NR$31,$NN$31,0),IF($NP$31="Bell_Curve",$NN$31*(275-$NR$31+1)*($NS$31-275+1)/$NU$31,$NN$31/$NT$31)),0)</f>
        <v/>
      </c>
      <c r="JT31" s="228">
        <f>IF(AND(276&gt;=$NR$31,276&lt;=$NS$31),IF($NP$31="Single_Point",IF(276=$NR$31,$NN$31,0),IF($NP$31="Bell_Curve",$NN$31*(276-$NR$31+1)*($NS$31-276+1)/$NU$31,$NN$31/$NT$31)),0)</f>
        <v/>
      </c>
      <c r="JU31" s="228">
        <f>IF(AND(277&gt;=$NR$31,277&lt;=$NS$31),IF($NP$31="Single_Point",IF(277=$NR$31,$NN$31,0),IF($NP$31="Bell_Curve",$NN$31*(277-$NR$31+1)*($NS$31-277+1)/$NU$31,$NN$31/$NT$31)),0)</f>
        <v/>
      </c>
      <c r="JV31" s="228">
        <f>IF(AND(278&gt;=$NR$31,278&lt;=$NS$31),IF($NP$31="Single_Point",IF(278=$NR$31,$NN$31,0),IF($NP$31="Bell_Curve",$NN$31*(278-$NR$31+1)*($NS$31-278+1)/$NU$31,$NN$31/$NT$31)),0)</f>
        <v/>
      </c>
      <c r="JW31" s="228">
        <f>IF(AND(279&gt;=$NR$31,279&lt;=$NS$31),IF($NP$31="Single_Point",IF(279=$NR$31,$NN$31,0),IF($NP$31="Bell_Curve",$NN$31*(279-$NR$31+1)*($NS$31-279+1)/$NU$31,$NN$31/$NT$31)),0)</f>
        <v/>
      </c>
      <c r="JX31" s="228">
        <f>IF(AND(280&gt;=$NR$31,280&lt;=$NS$31),IF($NP$31="Single_Point",IF(280=$NR$31,$NN$31,0),IF($NP$31="Bell_Curve",$NN$31*(280-$NR$31+1)*($NS$31-280+1)/$NU$31,$NN$31/$NT$31)),0)</f>
        <v/>
      </c>
      <c r="JY31" s="228">
        <f>IF(AND(281&gt;=$NR$31,281&lt;=$NS$31),IF($NP$31="Single_Point",IF(281=$NR$31,$NN$31,0),IF($NP$31="Bell_Curve",$NN$31*(281-$NR$31+1)*($NS$31-281+1)/$NU$31,$NN$31/$NT$31)),0)</f>
        <v/>
      </c>
      <c r="JZ31" s="228">
        <f>IF(AND(282&gt;=$NR$31,282&lt;=$NS$31),IF($NP$31="Single_Point",IF(282=$NR$31,$NN$31,0),IF($NP$31="Bell_Curve",$NN$31*(282-$NR$31+1)*($NS$31-282+1)/$NU$31,$NN$31/$NT$31)),0)</f>
        <v/>
      </c>
      <c r="KA31" s="228">
        <f>IF(AND(283&gt;=$NR$31,283&lt;=$NS$31),IF($NP$31="Single_Point",IF(283=$NR$31,$NN$31,0),IF($NP$31="Bell_Curve",$NN$31*(283-$NR$31+1)*($NS$31-283+1)/$NU$31,$NN$31/$NT$31)),0)</f>
        <v/>
      </c>
      <c r="KB31" s="228">
        <f>IF(AND(284&gt;=$NR$31,284&lt;=$NS$31),IF($NP$31="Single_Point",IF(284=$NR$31,$NN$31,0),IF($NP$31="Bell_Curve",$NN$31*(284-$NR$31+1)*($NS$31-284+1)/$NU$31,$NN$31/$NT$31)),0)</f>
        <v/>
      </c>
      <c r="KC31" s="228">
        <f>IF(AND(285&gt;=$NR$31,285&lt;=$NS$31),IF($NP$31="Single_Point",IF(285=$NR$31,$NN$31,0),IF($NP$31="Bell_Curve",$NN$31*(285-$NR$31+1)*($NS$31-285+1)/$NU$31,$NN$31/$NT$31)),0)</f>
        <v/>
      </c>
      <c r="KD31" s="228">
        <f>IF(AND(286&gt;=$NR$31,286&lt;=$NS$31),IF($NP$31="Single_Point",IF(286=$NR$31,$NN$31,0),IF($NP$31="Bell_Curve",$NN$31*(286-$NR$31+1)*($NS$31-286+1)/$NU$31,$NN$31/$NT$31)),0)</f>
        <v/>
      </c>
      <c r="KE31" s="228">
        <f>IF(AND(287&gt;=$NR$31,287&lt;=$NS$31),IF($NP$31="Single_Point",IF(287=$NR$31,$NN$31,0),IF($NP$31="Bell_Curve",$NN$31*(287-$NR$31+1)*($NS$31-287+1)/$NU$31,$NN$31/$NT$31)),0)</f>
        <v/>
      </c>
      <c r="KF31" s="228">
        <f>IF(AND(288&gt;=$NR$31,288&lt;=$NS$31),IF($NP$31="Single_Point",IF(288=$NR$31,$NN$31,0),IF($NP$31="Bell_Curve",$NN$31*(288-$NR$31+1)*($NS$31-288+1)/$NU$31,$NN$31/$NT$31)),0)</f>
        <v/>
      </c>
      <c r="KG31" s="228">
        <f>IF(AND(289&gt;=$NR$31,289&lt;=$NS$31),IF($NP$31="Single_Point",IF(289=$NR$31,$NN$31,0),IF($NP$31="Bell_Curve",$NN$31*(289-$NR$31+1)*($NS$31-289+1)/$NU$31,$NN$31/$NT$31)),0)</f>
        <v/>
      </c>
      <c r="KH31" s="228">
        <f>IF(AND(290&gt;=$NR$31,290&lt;=$NS$31),IF($NP$31="Single_Point",IF(290=$NR$31,$NN$31,0),IF($NP$31="Bell_Curve",$NN$31*(290-$NR$31+1)*($NS$31-290+1)/$NU$31,$NN$31/$NT$31)),0)</f>
        <v/>
      </c>
      <c r="KI31" s="228">
        <f>IF(AND(291&gt;=$NR$31,291&lt;=$NS$31),IF($NP$31="Single_Point",IF(291=$NR$31,$NN$31,0),IF($NP$31="Bell_Curve",$NN$31*(291-$NR$31+1)*($NS$31-291+1)/$NU$31,$NN$31/$NT$31)),0)</f>
        <v/>
      </c>
      <c r="KJ31" s="228">
        <f>IF(AND(292&gt;=$NR$31,292&lt;=$NS$31),IF($NP$31="Single_Point",IF(292=$NR$31,$NN$31,0),IF($NP$31="Bell_Curve",$NN$31*(292-$NR$31+1)*($NS$31-292+1)/$NU$31,$NN$31/$NT$31)),0)</f>
        <v/>
      </c>
      <c r="KK31" s="228">
        <f>IF(AND(293&gt;=$NR$31,293&lt;=$NS$31),IF($NP$31="Single_Point",IF(293=$NR$31,$NN$31,0),IF($NP$31="Bell_Curve",$NN$31*(293-$NR$31+1)*($NS$31-293+1)/$NU$31,$NN$31/$NT$31)),0)</f>
        <v/>
      </c>
      <c r="KL31" s="228">
        <f>IF(AND(294&gt;=$NR$31,294&lt;=$NS$31),IF($NP$31="Single_Point",IF(294=$NR$31,$NN$31,0),IF($NP$31="Bell_Curve",$NN$31*(294-$NR$31+1)*($NS$31-294+1)/$NU$31,$NN$31/$NT$31)),0)</f>
        <v/>
      </c>
      <c r="KM31" s="228">
        <f>IF(AND(295&gt;=$NR$31,295&lt;=$NS$31),IF($NP$31="Single_Point",IF(295=$NR$31,$NN$31,0),IF($NP$31="Bell_Curve",$NN$31*(295-$NR$31+1)*($NS$31-295+1)/$NU$31,$NN$31/$NT$31)),0)</f>
        <v/>
      </c>
      <c r="KN31" s="228">
        <f>IF(AND(296&gt;=$NR$31,296&lt;=$NS$31),IF($NP$31="Single_Point",IF(296=$NR$31,$NN$31,0),IF($NP$31="Bell_Curve",$NN$31*(296-$NR$31+1)*($NS$31-296+1)/$NU$31,$NN$31/$NT$31)),0)</f>
        <v/>
      </c>
      <c r="KO31" s="228">
        <f>IF(AND(297&gt;=$NR$31,297&lt;=$NS$31),IF($NP$31="Single_Point",IF(297=$NR$31,$NN$31,0),IF($NP$31="Bell_Curve",$NN$31*(297-$NR$31+1)*($NS$31-297+1)/$NU$31,$NN$31/$NT$31)),0)</f>
        <v/>
      </c>
      <c r="KP31" s="228">
        <f>IF(AND(298&gt;=$NR$31,298&lt;=$NS$31),IF($NP$31="Single_Point",IF(298=$NR$31,$NN$31,0),IF($NP$31="Bell_Curve",$NN$31*(298-$NR$31+1)*($NS$31-298+1)/$NU$31,$NN$31/$NT$31)),0)</f>
        <v/>
      </c>
      <c r="KQ31" s="228">
        <f>IF(AND(299&gt;=$NR$31,299&lt;=$NS$31),IF($NP$31="Single_Point",IF(299=$NR$31,$NN$31,0),IF($NP$31="Bell_Curve",$NN$31*(299-$NR$31+1)*($NS$31-299+1)/$NU$31,$NN$31/$NT$31)),0)</f>
        <v/>
      </c>
      <c r="KR31" s="228">
        <f>IF(AND(300&gt;=$NR$31,300&lt;=$NS$31),IF($NP$31="Single_Point",IF(300=$NR$31,$NN$31,0),IF($NP$31="Bell_Curve",$NN$31*(300-$NR$31+1)*($NS$31-300+1)/$NU$31,$NN$31/$NT$31)),0)</f>
        <v/>
      </c>
      <c r="KS31" s="228">
        <f>IF(AND(301&gt;=$NR$31,301&lt;=$NS$31),IF($NP$31="Single_Point",IF(301=$NR$31,$NN$31,0),IF($NP$31="Bell_Curve",$NN$31*(301-$NR$31+1)*($NS$31-301+1)/$NU$31,$NN$31/$NT$31)),0)</f>
        <v/>
      </c>
      <c r="KT31" s="228">
        <f>IF(AND(302&gt;=$NR$31,302&lt;=$NS$31),IF($NP$31="Single_Point",IF(302=$NR$31,$NN$31,0),IF($NP$31="Bell_Curve",$NN$31*(302-$NR$31+1)*($NS$31-302+1)/$NU$31,$NN$31/$NT$31)),0)</f>
        <v/>
      </c>
      <c r="KU31" s="228">
        <f>IF(AND(303&gt;=$NR$31,303&lt;=$NS$31),IF($NP$31="Single_Point",IF(303=$NR$31,$NN$31,0),IF($NP$31="Bell_Curve",$NN$31*(303-$NR$31+1)*($NS$31-303+1)/$NU$31,$NN$31/$NT$31)),0)</f>
        <v/>
      </c>
      <c r="KV31" s="228">
        <f>IF(AND(304&gt;=$NR$31,304&lt;=$NS$31),IF($NP$31="Single_Point",IF(304=$NR$31,$NN$31,0),IF($NP$31="Bell_Curve",$NN$31*(304-$NR$31+1)*($NS$31-304+1)/$NU$31,$NN$31/$NT$31)),0)</f>
        <v/>
      </c>
      <c r="KW31" s="228">
        <f>IF(AND(305&gt;=$NR$31,305&lt;=$NS$31),IF($NP$31="Single_Point",IF(305=$NR$31,$NN$31,0),IF($NP$31="Bell_Curve",$NN$31*(305-$NR$31+1)*($NS$31-305+1)/$NU$31,$NN$31/$NT$31)),0)</f>
        <v/>
      </c>
      <c r="KX31" s="228">
        <f>IF(AND(306&gt;=$NR$31,306&lt;=$NS$31),IF($NP$31="Single_Point",IF(306=$NR$31,$NN$31,0),IF($NP$31="Bell_Curve",$NN$31*(306-$NR$31+1)*($NS$31-306+1)/$NU$31,$NN$31/$NT$31)),0)</f>
        <v/>
      </c>
      <c r="KY31" s="228">
        <f>IF(AND(307&gt;=$NR$31,307&lt;=$NS$31),IF($NP$31="Single_Point",IF(307=$NR$31,$NN$31,0),IF($NP$31="Bell_Curve",$NN$31*(307-$NR$31+1)*($NS$31-307+1)/$NU$31,$NN$31/$NT$31)),0)</f>
        <v/>
      </c>
      <c r="KZ31" s="228">
        <f>IF(AND(308&gt;=$NR$31,308&lt;=$NS$31),IF($NP$31="Single_Point",IF(308=$NR$31,$NN$31,0),IF($NP$31="Bell_Curve",$NN$31*(308-$NR$31+1)*($NS$31-308+1)/$NU$31,$NN$31/$NT$31)),0)</f>
        <v/>
      </c>
      <c r="LA31" s="228">
        <f>IF(AND(309&gt;=$NR$31,309&lt;=$NS$31),IF($NP$31="Single_Point",IF(309=$NR$31,$NN$31,0),IF($NP$31="Bell_Curve",$NN$31*(309-$NR$31+1)*($NS$31-309+1)/$NU$31,$NN$31/$NT$31)),0)</f>
        <v/>
      </c>
      <c r="LB31" s="228">
        <f>IF(AND(310&gt;=$NR$31,310&lt;=$NS$31),IF($NP$31="Single_Point",IF(310=$NR$31,$NN$31,0),IF($NP$31="Bell_Curve",$NN$31*(310-$NR$31+1)*($NS$31-310+1)/$NU$31,$NN$31/$NT$31)),0)</f>
        <v/>
      </c>
      <c r="LC31" s="228">
        <f>IF(AND(311&gt;=$NR$31,311&lt;=$NS$31),IF($NP$31="Single_Point",IF(311=$NR$31,$NN$31,0),IF($NP$31="Bell_Curve",$NN$31*(311-$NR$31+1)*($NS$31-311+1)/$NU$31,$NN$31/$NT$31)),0)</f>
        <v/>
      </c>
      <c r="LD31" s="228">
        <f>IF(AND(312&gt;=$NR$31,312&lt;=$NS$31),IF($NP$31="Single_Point",IF(312=$NR$31,$NN$31,0),IF($NP$31="Bell_Curve",$NN$31*(312-$NR$31+1)*($NS$31-312+1)/$NU$31,$NN$31/$NT$31)),0)</f>
        <v/>
      </c>
      <c r="LE31" s="228">
        <f>IF(AND(313&gt;=$NR$31,313&lt;=$NS$31),IF($NP$31="Single_Point",IF(313=$NR$31,$NN$31,0),IF($NP$31="Bell_Curve",$NN$31*(313-$NR$31+1)*($NS$31-313+1)/$NU$31,$NN$31/$NT$31)),0)</f>
        <v/>
      </c>
      <c r="LF31" s="228">
        <f>IF(AND(314&gt;=$NR$31,314&lt;=$NS$31),IF($NP$31="Single_Point",IF(314=$NR$31,$NN$31,0),IF($NP$31="Bell_Curve",$NN$31*(314-$NR$31+1)*($NS$31-314+1)/$NU$31,$NN$31/$NT$31)),0)</f>
        <v/>
      </c>
      <c r="LG31" s="228">
        <f>IF(AND(315&gt;=$NR$31,315&lt;=$NS$31),IF($NP$31="Single_Point",IF(315=$NR$31,$NN$31,0),IF($NP$31="Bell_Curve",$NN$31*(315-$NR$31+1)*($NS$31-315+1)/$NU$31,$NN$31/$NT$31)),0)</f>
        <v/>
      </c>
      <c r="LH31" s="228">
        <f>IF(AND(316&gt;=$NR$31,316&lt;=$NS$31),IF($NP$31="Single_Point",IF(316=$NR$31,$NN$31,0),IF($NP$31="Bell_Curve",$NN$31*(316-$NR$31+1)*($NS$31-316+1)/$NU$31,$NN$31/$NT$31)),0)</f>
        <v/>
      </c>
      <c r="LI31" s="228">
        <f>IF(AND(317&gt;=$NR$31,317&lt;=$NS$31),IF($NP$31="Single_Point",IF(317=$NR$31,$NN$31,0),IF($NP$31="Bell_Curve",$NN$31*(317-$NR$31+1)*($NS$31-317+1)/$NU$31,$NN$31/$NT$31)),0)</f>
        <v/>
      </c>
      <c r="LJ31" s="228">
        <f>IF(AND(318&gt;=$NR$31,318&lt;=$NS$31),IF($NP$31="Single_Point",IF(318=$NR$31,$NN$31,0),IF($NP$31="Bell_Curve",$NN$31*(318-$NR$31+1)*($NS$31-318+1)/$NU$31,$NN$31/$NT$31)),0)</f>
        <v/>
      </c>
      <c r="LK31" s="228">
        <f>IF(AND(319&gt;=$NR$31,319&lt;=$NS$31),IF($NP$31="Single_Point",IF(319=$NR$31,$NN$31,0),IF($NP$31="Bell_Curve",$NN$31*(319-$NR$31+1)*($NS$31-319+1)/$NU$31,$NN$31/$NT$31)),0)</f>
        <v/>
      </c>
      <c r="LL31" s="228">
        <f>IF(AND(320&gt;=$NR$31,320&lt;=$NS$31),IF($NP$31="Single_Point",IF(320=$NR$31,$NN$31,0),IF($NP$31="Bell_Curve",$NN$31*(320-$NR$31+1)*($NS$31-320+1)/$NU$31,$NN$31/$NT$31)),0)</f>
        <v/>
      </c>
      <c r="LM31" s="228">
        <f>IF(AND(321&gt;=$NR$31,321&lt;=$NS$31),IF($NP$31="Single_Point",IF(321=$NR$31,$NN$31,0),IF($NP$31="Bell_Curve",$NN$31*(321-$NR$31+1)*($NS$31-321+1)/$NU$31,$NN$31/$NT$31)),0)</f>
        <v/>
      </c>
      <c r="LN31" s="228">
        <f>IF(AND(322&gt;=$NR$31,322&lt;=$NS$31),IF($NP$31="Single_Point",IF(322=$NR$31,$NN$31,0),IF($NP$31="Bell_Curve",$NN$31*(322-$NR$31+1)*($NS$31-322+1)/$NU$31,$NN$31/$NT$31)),0)</f>
        <v/>
      </c>
      <c r="LO31" s="228">
        <f>IF(AND(323&gt;=$NR$31,323&lt;=$NS$31),IF($NP$31="Single_Point",IF(323=$NR$31,$NN$31,0),IF($NP$31="Bell_Curve",$NN$31*(323-$NR$31+1)*($NS$31-323+1)/$NU$31,$NN$31/$NT$31)),0)</f>
        <v/>
      </c>
      <c r="LP31" s="228">
        <f>IF(AND(324&gt;=$NR$31,324&lt;=$NS$31),IF($NP$31="Single_Point",IF(324=$NR$31,$NN$31,0),IF($NP$31="Bell_Curve",$NN$31*(324-$NR$31+1)*($NS$31-324+1)/$NU$31,$NN$31/$NT$31)),0)</f>
        <v/>
      </c>
      <c r="LQ31" s="228">
        <f>IF(AND(325&gt;=$NR$31,325&lt;=$NS$31),IF($NP$31="Single_Point",IF(325=$NR$31,$NN$31,0),IF($NP$31="Bell_Curve",$NN$31*(325-$NR$31+1)*($NS$31-325+1)/$NU$31,$NN$31/$NT$31)),0)</f>
        <v/>
      </c>
      <c r="LR31" s="228">
        <f>IF(AND(326&gt;=$NR$31,326&lt;=$NS$31),IF($NP$31="Single_Point",IF(326=$NR$31,$NN$31,0),IF($NP$31="Bell_Curve",$NN$31*(326-$NR$31+1)*($NS$31-326+1)/$NU$31,$NN$31/$NT$31)),0)</f>
        <v/>
      </c>
      <c r="LS31" s="228">
        <f>IF(AND(327&gt;=$NR$31,327&lt;=$NS$31),IF($NP$31="Single_Point",IF(327=$NR$31,$NN$31,0),IF($NP$31="Bell_Curve",$NN$31*(327-$NR$31+1)*($NS$31-327+1)/$NU$31,$NN$31/$NT$31)),0)</f>
        <v/>
      </c>
      <c r="LT31" s="228">
        <f>IF(AND(328&gt;=$NR$31,328&lt;=$NS$31),IF($NP$31="Single_Point",IF(328=$NR$31,$NN$31,0),IF($NP$31="Bell_Curve",$NN$31*(328-$NR$31+1)*($NS$31-328+1)/$NU$31,$NN$31/$NT$31)),0)</f>
        <v/>
      </c>
      <c r="LU31" s="228">
        <f>IF(AND(329&gt;=$NR$31,329&lt;=$NS$31),IF($NP$31="Single_Point",IF(329=$NR$31,$NN$31,0),IF($NP$31="Bell_Curve",$NN$31*(329-$NR$31+1)*($NS$31-329+1)/$NU$31,$NN$31/$NT$31)),0)</f>
        <v/>
      </c>
      <c r="LV31" s="228">
        <f>IF(AND(330&gt;=$NR$31,330&lt;=$NS$31),IF($NP$31="Single_Point",IF(330=$NR$31,$NN$31,0),IF($NP$31="Bell_Curve",$NN$31*(330-$NR$31+1)*($NS$31-330+1)/$NU$31,$NN$31/$NT$31)),0)</f>
        <v/>
      </c>
      <c r="LW31" s="228">
        <f>IF(AND(331&gt;=$NR$31,331&lt;=$NS$31),IF($NP$31="Single_Point",IF(331=$NR$31,$NN$31,0),IF($NP$31="Bell_Curve",$NN$31*(331-$NR$31+1)*($NS$31-331+1)/$NU$31,$NN$31/$NT$31)),0)</f>
        <v/>
      </c>
      <c r="LX31" s="228">
        <f>IF(AND(332&gt;=$NR$31,332&lt;=$NS$31),IF($NP$31="Single_Point",IF(332=$NR$31,$NN$31,0),IF($NP$31="Bell_Curve",$NN$31*(332-$NR$31+1)*($NS$31-332+1)/$NU$31,$NN$31/$NT$31)),0)</f>
        <v/>
      </c>
      <c r="LY31" s="228">
        <f>IF(AND(333&gt;=$NR$31,333&lt;=$NS$31),IF($NP$31="Single_Point",IF(333=$NR$31,$NN$31,0),IF($NP$31="Bell_Curve",$NN$31*(333-$NR$31+1)*($NS$31-333+1)/$NU$31,$NN$31/$NT$31)),0)</f>
        <v/>
      </c>
      <c r="LZ31" s="228">
        <f>IF(AND(334&gt;=$NR$31,334&lt;=$NS$31),IF($NP$31="Single_Point",IF(334=$NR$31,$NN$31,0),IF($NP$31="Bell_Curve",$NN$31*(334-$NR$31+1)*($NS$31-334+1)/$NU$31,$NN$31/$NT$31)),0)</f>
        <v/>
      </c>
      <c r="MA31" s="228">
        <f>IF(AND(335&gt;=$NR$31,335&lt;=$NS$31),IF($NP$31="Single_Point",IF(335=$NR$31,$NN$31,0),IF($NP$31="Bell_Curve",$NN$31*(335-$NR$31+1)*($NS$31-335+1)/$NU$31,$NN$31/$NT$31)),0)</f>
        <v/>
      </c>
      <c r="MB31" s="228">
        <f>IF(AND(336&gt;=$NR$31,336&lt;=$NS$31),IF($NP$31="Single_Point",IF(336=$NR$31,$NN$31,0),IF($NP$31="Bell_Curve",$NN$31*(336-$NR$31+1)*($NS$31-336+1)/$NU$31,$NN$31/$NT$31)),0)</f>
        <v/>
      </c>
      <c r="MC31" s="228">
        <f>IF(AND(337&gt;=$NR$31,337&lt;=$NS$31),IF($NP$31="Single_Point",IF(337=$NR$31,$NN$31,0),IF($NP$31="Bell_Curve",$NN$31*(337-$NR$31+1)*($NS$31-337+1)/$NU$31,$NN$31/$NT$31)),0)</f>
        <v/>
      </c>
      <c r="MD31" s="228">
        <f>IF(AND(338&gt;=$NR$31,338&lt;=$NS$31),IF($NP$31="Single_Point",IF(338=$NR$31,$NN$31,0),IF($NP$31="Bell_Curve",$NN$31*(338-$NR$31+1)*($NS$31-338+1)/$NU$31,$NN$31/$NT$31)),0)</f>
        <v/>
      </c>
      <c r="ME31" s="228">
        <f>IF(AND(339&gt;=$NR$31,339&lt;=$NS$31),IF($NP$31="Single_Point",IF(339=$NR$31,$NN$31,0),IF($NP$31="Bell_Curve",$NN$31*(339-$NR$31+1)*($NS$31-339+1)/$NU$31,$NN$31/$NT$31)),0)</f>
        <v/>
      </c>
      <c r="MF31" s="228">
        <f>IF(AND(340&gt;=$NR$31,340&lt;=$NS$31),IF($NP$31="Single_Point",IF(340=$NR$31,$NN$31,0),IF($NP$31="Bell_Curve",$NN$31*(340-$NR$31+1)*($NS$31-340+1)/$NU$31,$NN$31/$NT$31)),0)</f>
        <v/>
      </c>
      <c r="MG31" s="228">
        <f>IF(AND(341&gt;=$NR$31,341&lt;=$NS$31),IF($NP$31="Single_Point",IF(341=$NR$31,$NN$31,0),IF($NP$31="Bell_Curve",$NN$31*(341-$NR$31+1)*($NS$31-341+1)/$NU$31,$NN$31/$NT$31)),0)</f>
        <v/>
      </c>
      <c r="MH31" s="228">
        <f>IF(AND(342&gt;=$NR$31,342&lt;=$NS$31),IF($NP$31="Single_Point",IF(342=$NR$31,$NN$31,0),IF($NP$31="Bell_Curve",$NN$31*(342-$NR$31+1)*($NS$31-342+1)/$NU$31,$NN$31/$NT$31)),0)</f>
        <v/>
      </c>
      <c r="MI31" s="228">
        <f>IF(AND(343&gt;=$NR$31,343&lt;=$NS$31),IF($NP$31="Single_Point",IF(343=$NR$31,$NN$31,0),IF($NP$31="Bell_Curve",$NN$31*(343-$NR$31+1)*($NS$31-343+1)/$NU$31,$NN$31/$NT$31)),0)</f>
        <v/>
      </c>
      <c r="MJ31" s="228">
        <f>IF(AND(344&gt;=$NR$31,344&lt;=$NS$31),IF($NP$31="Single_Point",IF(344=$NR$31,$NN$31,0),IF($NP$31="Bell_Curve",$NN$31*(344-$NR$31+1)*($NS$31-344+1)/$NU$31,$NN$31/$NT$31)),0)</f>
        <v/>
      </c>
      <c r="MK31" s="228">
        <f>IF(AND(345&gt;=$NR$31,345&lt;=$NS$31),IF($NP$31="Single_Point",IF(345=$NR$31,$NN$31,0),IF($NP$31="Bell_Curve",$NN$31*(345-$NR$31+1)*($NS$31-345+1)/$NU$31,$NN$31/$NT$31)),0)</f>
        <v/>
      </c>
      <c r="ML31" s="228">
        <f>IF(AND(346&gt;=$NR$31,346&lt;=$NS$31),IF($NP$31="Single_Point",IF(346=$NR$31,$NN$31,0),IF($NP$31="Bell_Curve",$NN$31*(346-$NR$31+1)*($NS$31-346+1)/$NU$31,$NN$31/$NT$31)),0)</f>
        <v/>
      </c>
      <c r="MM31" s="228">
        <f>IF(AND(347&gt;=$NR$31,347&lt;=$NS$31),IF($NP$31="Single_Point",IF(347=$NR$31,$NN$31,0),IF($NP$31="Bell_Curve",$NN$31*(347-$NR$31+1)*($NS$31-347+1)/$NU$31,$NN$31/$NT$31)),0)</f>
        <v/>
      </c>
      <c r="MN31" s="228">
        <f>IF(AND(348&gt;=$NR$31,348&lt;=$NS$31),IF($NP$31="Single_Point",IF(348=$NR$31,$NN$31,0),IF($NP$31="Bell_Curve",$NN$31*(348-$NR$31+1)*($NS$31-348+1)/$NU$31,$NN$31/$NT$31)),0)</f>
        <v/>
      </c>
      <c r="MO31" s="228">
        <f>IF(AND(349&gt;=$NR$31,349&lt;=$NS$31),IF($NP$31="Single_Point",IF(349=$NR$31,$NN$31,0),IF($NP$31="Bell_Curve",$NN$31*(349-$NR$31+1)*($NS$31-349+1)/$NU$31,$NN$31/$NT$31)),0)</f>
        <v/>
      </c>
      <c r="MP31" s="228">
        <f>IF(AND(350&gt;=$NR$31,350&lt;=$NS$31),IF($NP$31="Single_Point",IF(350=$NR$31,$NN$31,0),IF($NP$31="Bell_Curve",$NN$31*(350-$NR$31+1)*($NS$31-350+1)/$NU$31,$NN$31/$NT$31)),0)</f>
        <v/>
      </c>
      <c r="MQ31" s="228">
        <f>IF(AND(351&gt;=$NR$31,351&lt;=$NS$31),IF($NP$31="Single_Point",IF(351=$NR$31,$NN$31,0),IF($NP$31="Bell_Curve",$NN$31*(351-$NR$31+1)*($NS$31-351+1)/$NU$31,$NN$31/$NT$31)),0)</f>
        <v/>
      </c>
      <c r="MR31" s="228">
        <f>IF(AND(352&gt;=$NR$31,352&lt;=$NS$31),IF($NP$31="Single_Point",IF(352=$NR$31,$NN$31,0),IF($NP$31="Bell_Curve",$NN$31*(352-$NR$31+1)*($NS$31-352+1)/$NU$31,$NN$31/$NT$31)),0)</f>
        <v/>
      </c>
      <c r="MS31" s="228">
        <f>IF(AND(353&gt;=$NR$31,353&lt;=$NS$31),IF($NP$31="Single_Point",IF(353=$NR$31,$NN$31,0),IF($NP$31="Bell_Curve",$NN$31*(353-$NR$31+1)*($NS$31-353+1)/$NU$31,$NN$31/$NT$31)),0)</f>
        <v/>
      </c>
      <c r="MT31" s="228">
        <f>IF(AND(354&gt;=$NR$31,354&lt;=$NS$31),IF($NP$31="Single_Point",IF(354=$NR$31,$NN$31,0),IF($NP$31="Bell_Curve",$NN$31*(354-$NR$31+1)*($NS$31-354+1)/$NU$31,$NN$31/$NT$31)),0)</f>
        <v/>
      </c>
      <c r="MU31" s="228">
        <f>IF(AND(355&gt;=$NR$31,355&lt;=$NS$31),IF($NP$31="Single_Point",IF(355=$NR$31,$NN$31,0),IF($NP$31="Bell_Curve",$NN$31*(355-$NR$31+1)*($NS$31-355+1)/$NU$31,$NN$31/$NT$31)),0)</f>
        <v/>
      </c>
      <c r="MV31" s="228">
        <f>IF(AND(356&gt;=$NR$31,356&lt;=$NS$31),IF($NP$31="Single_Point",IF(356=$NR$31,$NN$31,0),IF($NP$31="Bell_Curve",$NN$31*(356-$NR$31+1)*($NS$31-356+1)/$NU$31,$NN$31/$NT$31)),0)</f>
        <v/>
      </c>
      <c r="MW31" s="228">
        <f>IF(AND(357&gt;=$NR$31,357&lt;=$NS$31),IF($NP$31="Single_Point",IF(357=$NR$31,$NN$31,0),IF($NP$31="Bell_Curve",$NN$31*(357-$NR$31+1)*($NS$31-357+1)/$NU$31,$NN$31/$NT$31)),0)</f>
        <v/>
      </c>
      <c r="MX31" s="228">
        <f>IF(AND(358&gt;=$NR$31,358&lt;=$NS$31),IF($NP$31="Single_Point",IF(358=$NR$31,$NN$31,0),IF($NP$31="Bell_Curve",$NN$31*(358-$NR$31+1)*($NS$31-358+1)/$NU$31,$NN$31/$NT$31)),0)</f>
        <v/>
      </c>
      <c r="MY31" s="228">
        <f>IF(AND(359&gt;=$NR$31,359&lt;=$NS$31),IF($NP$31="Single_Point",IF(359=$NR$31,$NN$31,0),IF($NP$31="Bell_Curve",$NN$31*(359-$NR$31+1)*($NS$31-359+1)/$NU$31,$NN$31/$NT$31)),0)</f>
        <v/>
      </c>
      <c r="MZ31" s="228">
        <f>IF(AND(360&gt;=$NR$31,360&lt;=$NS$31),IF($NP$31="Single_Point",IF(360=$NR$31,$NN$31,0),IF($NP$31="Bell_Curve",$NN$31*(360-$NR$31+1)*($NS$31-360+1)/$NU$31,$NN$31/$NT$31)),0)</f>
        <v/>
      </c>
      <c r="NA31" s="228">
        <f>IF(AND(361&gt;=$NR$31,361&lt;=$NS$31),IF($NP$31="Single_Point",IF(361=$NR$31,$NN$31,0),IF($NP$31="Bell_Curve",$NN$31*(361-$NR$31+1)*($NS$31-361+1)/$NU$31,$NN$31/$NT$31)),0)</f>
        <v/>
      </c>
      <c r="NB31" s="228">
        <f>IF(AND(362&gt;=$NR$31,362&lt;=$NS$31),IF($NP$31="Single_Point",IF(362=$NR$31,$NN$31,0),IF($NP$31="Bell_Curve",$NN$31*(362-$NR$31+1)*($NS$31-362+1)/$NU$31,$NN$31/$NT$31)),0)</f>
        <v/>
      </c>
      <c r="NC31" s="228">
        <f>IF(AND(363&gt;=$NR$31,363&lt;=$NS$31),IF($NP$31="Single_Point",IF(363=$NR$31,$NN$31,0),IF($NP$31="Bell_Curve",$NN$31*(363-$NR$31+1)*($NS$31-363+1)/$NU$31,$NN$31/$NT$31)),0)</f>
        <v/>
      </c>
      <c r="ND31" s="228">
        <f>IF(AND(364&gt;=$NR$31,364&lt;=$NS$31),IF($NP$31="Single_Point",IF(364=$NR$31,$NN$31,0),IF($NP$31="Bell_Curve",$NN$31*(364-$NR$31+1)*($NS$31-364+1)/$NU$31,$NN$31/$NT$31)),0)</f>
        <v/>
      </c>
      <c r="NE31" s="228">
        <f>IF(AND(365&gt;=$NR$31,365&lt;=$NS$31),IF($NP$31="Single_Point",IF(365=$NR$31,$NN$31,0),IF($NP$31="Bell_Curve",$NN$31*(365-$NR$31+1)*($NS$31-365+1)/$NU$31,$NN$31/$NT$31)),0)</f>
        <v/>
      </c>
      <c r="NF31" s="228">
        <f>IF(AND(366&gt;=$NR$31,366&lt;=$NS$31),IF($NP$31="Single_Point",IF(366=$NR$31,$NN$31,0),IF($NP$31="Bell_Curve",$NN$31*(366-$NR$31+1)*($NS$31-366+1)/$NU$31,$NN$31/$NT$31)),0)</f>
        <v/>
      </c>
      <c r="NG31" s="228">
        <f>IF(AND(367&gt;=$NR$31,367&lt;=$NS$31),IF($NP$31="Single_Point",IF(367=$NR$31,$NN$31,0),IF($NP$31="Bell_Curve",$NN$31*(367-$NR$31+1)*($NS$31-367+1)/$NU$31,$NN$31/$NT$31)),0)</f>
        <v/>
      </c>
      <c r="NH31" s="228">
        <f>IF(AND(368&gt;=$NR$31,368&lt;=$NS$31),IF($NP$31="Single_Point",IF(368=$NR$31,$NN$31,0),IF($NP$31="Bell_Curve",$NN$31*(368-$NR$31+1)*($NS$31-368+1)/$NU$31,$NN$31/$NT$31)),0)</f>
        <v/>
      </c>
      <c r="NI31" s="228">
        <f>IF(AND(369&gt;=$NR$31,369&lt;=$NS$31),IF($NP$31="Single_Point",IF(369=$NR$31,$NN$31,0),IF($NP$31="Bell_Curve",$NN$31*(369-$NR$31+1)*($NS$31-369+1)/$NU$31,$NN$31/$NT$31)),0)</f>
        <v/>
      </c>
      <c r="NJ31" s="228">
        <f>IF(AND(370&gt;=$NR$31,370&lt;=$NS$31),IF($NP$31="Single_Point",IF(370=$NR$31,$NN$31,0),IF($NP$31="Bell_Curve",$NN$31*(370-$NR$31+1)*($NS$31-370+1)/$NU$31,$NN$31/$NT$31)),0)</f>
        <v/>
      </c>
      <c r="NK31" s="228">
        <f>IF(AND(371&gt;=$NR$31,371&lt;=$NS$31),IF($NP$31="Single_Point",IF(371=$NR$31,$NN$31,0),IF($NP$31="Bell_Curve",$NN$31*(371-$NR$31+1)*($NS$31-371+1)/$NU$31,$NN$31/$NT$31)),0)</f>
        <v/>
      </c>
      <c r="NL31" s="247">
        <f>IF(AND(372&gt;=$NR$31,372&lt;=$NS$31),IF($NP$31="Single_Point",IF(372=$NR$31,$NN$31,0),IF($NP$31="Bell_Curve",$NN$31*(372-$NR$31+1)*($NS$31-372+1)/$NU$31,$NN$31/$NT$31)),0)</f>
        <v/>
      </c>
      <c r="NN31" s="218">
        <f>Budget!J30</f>
        <v/>
      </c>
      <c r="NO31" s="144">
        <f>Budget!G30</f>
        <v/>
      </c>
      <c r="NP31" s="144">
        <f>Budget!H30</f>
        <v/>
      </c>
      <c r="NQ31" s="85">
        <f>Budget!I30</f>
        <v/>
      </c>
      <c r="NR31" s="248">
        <f>MAX(1,MIN(372,INDEX(MilestoneStart,MATCH(NO31,MilestoneNames,0))+NQ31))</f>
        <v/>
      </c>
      <c r="NS31" s="248">
        <f>MAX(NR31,MIN(372,INDEX(MilestoneEnd,MATCH(NO31,MilestoneNames,0))+NQ31))</f>
        <v/>
      </c>
      <c r="NT31" s="85">
        <f>NS31-NR31+1</f>
        <v/>
      </c>
      <c r="NU31" s="85">
        <f>NT31*(NT31+1)*(NT31+2)/6</f>
        <v/>
      </c>
    </row>
    <row r="32">
      <c r="B32" s="36" t="inlineStr">
        <is>
          <t>Other Hard Cost 6</t>
        </is>
      </c>
      <c r="D32" s="246">
        <f>SUM(E32:NL32)</f>
        <v/>
      </c>
      <c r="E32" s="228">
        <f>IF(AND(1&gt;=$NR$32,1&lt;=$NS$32),IF($NP$32="Single_Point",IF(1=$NR$32,$NN$32,0),IF($NP$32="Bell_Curve",$NN$32*(1-$NR$32+1)*($NS$32-1+1)/$NU$32,$NN$32/$NT$32)),0)</f>
        <v/>
      </c>
      <c r="F32" s="228">
        <f>IF(AND(2&gt;=$NR$32,2&lt;=$NS$32),IF($NP$32="Single_Point",IF(2=$NR$32,$NN$32,0),IF($NP$32="Bell_Curve",$NN$32*(2-$NR$32+1)*($NS$32-2+1)/$NU$32,$NN$32/$NT$32)),0)</f>
        <v/>
      </c>
      <c r="G32" s="228">
        <f>IF(AND(3&gt;=$NR$32,3&lt;=$NS$32),IF($NP$32="Single_Point",IF(3=$NR$32,$NN$32,0),IF($NP$32="Bell_Curve",$NN$32*(3-$NR$32+1)*($NS$32-3+1)/$NU$32,$NN$32/$NT$32)),0)</f>
        <v/>
      </c>
      <c r="H32" s="228">
        <f>IF(AND(4&gt;=$NR$32,4&lt;=$NS$32),IF($NP$32="Single_Point",IF(4=$NR$32,$NN$32,0),IF($NP$32="Bell_Curve",$NN$32*(4-$NR$32+1)*($NS$32-4+1)/$NU$32,$NN$32/$NT$32)),0)</f>
        <v/>
      </c>
      <c r="I32" s="228">
        <f>IF(AND(5&gt;=$NR$32,5&lt;=$NS$32),IF($NP$32="Single_Point",IF(5=$NR$32,$NN$32,0),IF($NP$32="Bell_Curve",$NN$32*(5-$NR$32+1)*($NS$32-5+1)/$NU$32,$NN$32/$NT$32)),0)</f>
        <v/>
      </c>
      <c r="J32" s="228">
        <f>IF(AND(6&gt;=$NR$32,6&lt;=$NS$32),IF($NP$32="Single_Point",IF(6=$NR$32,$NN$32,0),IF($NP$32="Bell_Curve",$NN$32*(6-$NR$32+1)*($NS$32-6+1)/$NU$32,$NN$32/$NT$32)),0)</f>
        <v/>
      </c>
      <c r="K32" s="228">
        <f>IF(AND(7&gt;=$NR$32,7&lt;=$NS$32),IF($NP$32="Single_Point",IF(7=$NR$32,$NN$32,0),IF($NP$32="Bell_Curve",$NN$32*(7-$NR$32+1)*($NS$32-7+1)/$NU$32,$NN$32/$NT$32)),0)</f>
        <v/>
      </c>
      <c r="L32" s="228">
        <f>IF(AND(8&gt;=$NR$32,8&lt;=$NS$32),IF($NP$32="Single_Point",IF(8=$NR$32,$NN$32,0),IF($NP$32="Bell_Curve",$NN$32*(8-$NR$32+1)*($NS$32-8+1)/$NU$32,$NN$32/$NT$32)),0)</f>
        <v/>
      </c>
      <c r="M32" s="228">
        <f>IF(AND(9&gt;=$NR$32,9&lt;=$NS$32),IF($NP$32="Single_Point",IF(9=$NR$32,$NN$32,0),IF($NP$32="Bell_Curve",$NN$32*(9-$NR$32+1)*($NS$32-9+1)/$NU$32,$NN$32/$NT$32)),0)</f>
        <v/>
      </c>
      <c r="N32" s="228">
        <f>IF(AND(10&gt;=$NR$32,10&lt;=$NS$32),IF($NP$32="Single_Point",IF(10=$NR$32,$NN$32,0),IF($NP$32="Bell_Curve",$NN$32*(10-$NR$32+1)*($NS$32-10+1)/$NU$32,$NN$32/$NT$32)),0)</f>
        <v/>
      </c>
      <c r="O32" s="228">
        <f>IF(AND(11&gt;=$NR$32,11&lt;=$NS$32),IF($NP$32="Single_Point",IF(11=$NR$32,$NN$32,0),IF($NP$32="Bell_Curve",$NN$32*(11-$NR$32+1)*($NS$32-11+1)/$NU$32,$NN$32/$NT$32)),0)</f>
        <v/>
      </c>
      <c r="P32" s="228">
        <f>IF(AND(12&gt;=$NR$32,12&lt;=$NS$32),IF($NP$32="Single_Point",IF(12=$NR$32,$NN$32,0),IF($NP$32="Bell_Curve",$NN$32*(12-$NR$32+1)*($NS$32-12+1)/$NU$32,$NN$32/$NT$32)),0)</f>
        <v/>
      </c>
      <c r="Q32" s="228">
        <f>IF(AND(13&gt;=$NR$32,13&lt;=$NS$32),IF($NP$32="Single_Point",IF(13=$NR$32,$NN$32,0),IF($NP$32="Bell_Curve",$NN$32*(13-$NR$32+1)*($NS$32-13+1)/$NU$32,$NN$32/$NT$32)),0)</f>
        <v/>
      </c>
      <c r="R32" s="228">
        <f>IF(AND(14&gt;=$NR$32,14&lt;=$NS$32),IF($NP$32="Single_Point",IF(14=$NR$32,$NN$32,0),IF($NP$32="Bell_Curve",$NN$32*(14-$NR$32+1)*($NS$32-14+1)/$NU$32,$NN$32/$NT$32)),0)</f>
        <v/>
      </c>
      <c r="S32" s="228">
        <f>IF(AND(15&gt;=$NR$32,15&lt;=$NS$32),IF($NP$32="Single_Point",IF(15=$NR$32,$NN$32,0),IF($NP$32="Bell_Curve",$NN$32*(15-$NR$32+1)*($NS$32-15+1)/$NU$32,$NN$32/$NT$32)),0)</f>
        <v/>
      </c>
      <c r="T32" s="228">
        <f>IF(AND(16&gt;=$NR$32,16&lt;=$NS$32),IF($NP$32="Single_Point",IF(16=$NR$32,$NN$32,0),IF($NP$32="Bell_Curve",$NN$32*(16-$NR$32+1)*($NS$32-16+1)/$NU$32,$NN$32/$NT$32)),0)</f>
        <v/>
      </c>
      <c r="U32" s="228">
        <f>IF(AND(17&gt;=$NR$32,17&lt;=$NS$32),IF($NP$32="Single_Point",IF(17=$NR$32,$NN$32,0),IF($NP$32="Bell_Curve",$NN$32*(17-$NR$32+1)*($NS$32-17+1)/$NU$32,$NN$32/$NT$32)),0)</f>
        <v/>
      </c>
      <c r="V32" s="228">
        <f>IF(AND(18&gt;=$NR$32,18&lt;=$NS$32),IF($NP$32="Single_Point",IF(18=$NR$32,$NN$32,0),IF($NP$32="Bell_Curve",$NN$32*(18-$NR$32+1)*($NS$32-18+1)/$NU$32,$NN$32/$NT$32)),0)</f>
        <v/>
      </c>
      <c r="W32" s="228">
        <f>IF(AND(19&gt;=$NR$32,19&lt;=$NS$32),IF($NP$32="Single_Point",IF(19=$NR$32,$NN$32,0),IF($NP$32="Bell_Curve",$NN$32*(19-$NR$32+1)*($NS$32-19+1)/$NU$32,$NN$32/$NT$32)),0)</f>
        <v/>
      </c>
      <c r="X32" s="228">
        <f>IF(AND(20&gt;=$NR$32,20&lt;=$NS$32),IF($NP$32="Single_Point",IF(20=$NR$32,$NN$32,0),IF($NP$32="Bell_Curve",$NN$32*(20-$NR$32+1)*($NS$32-20+1)/$NU$32,$NN$32/$NT$32)),0)</f>
        <v/>
      </c>
      <c r="Y32" s="228">
        <f>IF(AND(21&gt;=$NR$32,21&lt;=$NS$32),IF($NP$32="Single_Point",IF(21=$NR$32,$NN$32,0),IF($NP$32="Bell_Curve",$NN$32*(21-$NR$32+1)*($NS$32-21+1)/$NU$32,$NN$32/$NT$32)),0)</f>
        <v/>
      </c>
      <c r="Z32" s="228">
        <f>IF(AND(22&gt;=$NR$32,22&lt;=$NS$32),IF($NP$32="Single_Point",IF(22=$NR$32,$NN$32,0),IF($NP$32="Bell_Curve",$NN$32*(22-$NR$32+1)*($NS$32-22+1)/$NU$32,$NN$32/$NT$32)),0)</f>
        <v/>
      </c>
      <c r="AA32" s="228">
        <f>IF(AND(23&gt;=$NR$32,23&lt;=$NS$32),IF($NP$32="Single_Point",IF(23=$NR$32,$NN$32,0),IF($NP$32="Bell_Curve",$NN$32*(23-$NR$32+1)*($NS$32-23+1)/$NU$32,$NN$32/$NT$32)),0)</f>
        <v/>
      </c>
      <c r="AB32" s="228">
        <f>IF(AND(24&gt;=$NR$32,24&lt;=$NS$32),IF($NP$32="Single_Point",IF(24=$NR$32,$NN$32,0),IF($NP$32="Bell_Curve",$NN$32*(24-$NR$32+1)*($NS$32-24+1)/$NU$32,$NN$32/$NT$32)),0)</f>
        <v/>
      </c>
      <c r="AC32" s="228">
        <f>IF(AND(25&gt;=$NR$32,25&lt;=$NS$32),IF($NP$32="Single_Point",IF(25=$NR$32,$NN$32,0),IF($NP$32="Bell_Curve",$NN$32*(25-$NR$32+1)*($NS$32-25+1)/$NU$32,$NN$32/$NT$32)),0)</f>
        <v/>
      </c>
      <c r="AD32" s="228">
        <f>IF(AND(26&gt;=$NR$32,26&lt;=$NS$32),IF($NP$32="Single_Point",IF(26=$NR$32,$NN$32,0),IF($NP$32="Bell_Curve",$NN$32*(26-$NR$32+1)*($NS$32-26+1)/$NU$32,$NN$32/$NT$32)),0)</f>
        <v/>
      </c>
      <c r="AE32" s="228">
        <f>IF(AND(27&gt;=$NR$32,27&lt;=$NS$32),IF($NP$32="Single_Point",IF(27=$NR$32,$NN$32,0),IF($NP$32="Bell_Curve",$NN$32*(27-$NR$32+1)*($NS$32-27+1)/$NU$32,$NN$32/$NT$32)),0)</f>
        <v/>
      </c>
      <c r="AF32" s="228">
        <f>IF(AND(28&gt;=$NR$32,28&lt;=$NS$32),IF($NP$32="Single_Point",IF(28=$NR$32,$NN$32,0),IF($NP$32="Bell_Curve",$NN$32*(28-$NR$32+1)*($NS$32-28+1)/$NU$32,$NN$32/$NT$32)),0)</f>
        <v/>
      </c>
      <c r="AG32" s="228">
        <f>IF(AND(29&gt;=$NR$32,29&lt;=$NS$32),IF($NP$32="Single_Point",IF(29=$NR$32,$NN$32,0),IF($NP$32="Bell_Curve",$NN$32*(29-$NR$32+1)*($NS$32-29+1)/$NU$32,$NN$32/$NT$32)),0)</f>
        <v/>
      </c>
      <c r="AH32" s="228">
        <f>IF(AND(30&gt;=$NR$32,30&lt;=$NS$32),IF($NP$32="Single_Point",IF(30=$NR$32,$NN$32,0),IF($NP$32="Bell_Curve",$NN$32*(30-$NR$32+1)*($NS$32-30+1)/$NU$32,$NN$32/$NT$32)),0)</f>
        <v/>
      </c>
      <c r="AI32" s="228">
        <f>IF(AND(31&gt;=$NR$32,31&lt;=$NS$32),IF($NP$32="Single_Point",IF(31=$NR$32,$NN$32,0),IF($NP$32="Bell_Curve",$NN$32*(31-$NR$32+1)*($NS$32-31+1)/$NU$32,$NN$32/$NT$32)),0)</f>
        <v/>
      </c>
      <c r="AJ32" s="228">
        <f>IF(AND(32&gt;=$NR$32,32&lt;=$NS$32),IF($NP$32="Single_Point",IF(32=$NR$32,$NN$32,0),IF($NP$32="Bell_Curve",$NN$32*(32-$NR$32+1)*($NS$32-32+1)/$NU$32,$NN$32/$NT$32)),0)</f>
        <v/>
      </c>
      <c r="AK32" s="228">
        <f>IF(AND(33&gt;=$NR$32,33&lt;=$NS$32),IF($NP$32="Single_Point",IF(33=$NR$32,$NN$32,0),IF($NP$32="Bell_Curve",$NN$32*(33-$NR$32+1)*($NS$32-33+1)/$NU$32,$NN$32/$NT$32)),0)</f>
        <v/>
      </c>
      <c r="AL32" s="228">
        <f>IF(AND(34&gt;=$NR$32,34&lt;=$NS$32),IF($NP$32="Single_Point",IF(34=$NR$32,$NN$32,0),IF($NP$32="Bell_Curve",$NN$32*(34-$NR$32+1)*($NS$32-34+1)/$NU$32,$NN$32/$NT$32)),0)</f>
        <v/>
      </c>
      <c r="AM32" s="228">
        <f>IF(AND(35&gt;=$NR$32,35&lt;=$NS$32),IF($NP$32="Single_Point",IF(35=$NR$32,$NN$32,0),IF($NP$32="Bell_Curve",$NN$32*(35-$NR$32+1)*($NS$32-35+1)/$NU$32,$NN$32/$NT$32)),0)</f>
        <v/>
      </c>
      <c r="AN32" s="228">
        <f>IF(AND(36&gt;=$NR$32,36&lt;=$NS$32),IF($NP$32="Single_Point",IF(36=$NR$32,$NN$32,0),IF($NP$32="Bell_Curve",$NN$32*(36-$NR$32+1)*($NS$32-36+1)/$NU$32,$NN$32/$NT$32)),0)</f>
        <v/>
      </c>
      <c r="AO32" s="228">
        <f>IF(AND(37&gt;=$NR$32,37&lt;=$NS$32),IF($NP$32="Single_Point",IF(37=$NR$32,$NN$32,0),IF($NP$32="Bell_Curve",$NN$32*(37-$NR$32+1)*($NS$32-37+1)/$NU$32,$NN$32/$NT$32)),0)</f>
        <v/>
      </c>
      <c r="AP32" s="228">
        <f>IF(AND(38&gt;=$NR$32,38&lt;=$NS$32),IF($NP$32="Single_Point",IF(38=$NR$32,$NN$32,0),IF($NP$32="Bell_Curve",$NN$32*(38-$NR$32+1)*($NS$32-38+1)/$NU$32,$NN$32/$NT$32)),0)</f>
        <v/>
      </c>
      <c r="AQ32" s="228">
        <f>IF(AND(39&gt;=$NR$32,39&lt;=$NS$32),IF($NP$32="Single_Point",IF(39=$NR$32,$NN$32,0),IF($NP$32="Bell_Curve",$NN$32*(39-$NR$32+1)*($NS$32-39+1)/$NU$32,$NN$32/$NT$32)),0)</f>
        <v/>
      </c>
      <c r="AR32" s="228">
        <f>IF(AND(40&gt;=$NR$32,40&lt;=$NS$32),IF($NP$32="Single_Point",IF(40=$NR$32,$NN$32,0),IF($NP$32="Bell_Curve",$NN$32*(40-$NR$32+1)*($NS$32-40+1)/$NU$32,$NN$32/$NT$32)),0)</f>
        <v/>
      </c>
      <c r="AS32" s="228">
        <f>IF(AND(41&gt;=$NR$32,41&lt;=$NS$32),IF($NP$32="Single_Point",IF(41=$NR$32,$NN$32,0),IF($NP$32="Bell_Curve",$NN$32*(41-$NR$32+1)*($NS$32-41+1)/$NU$32,$NN$32/$NT$32)),0)</f>
        <v/>
      </c>
      <c r="AT32" s="228">
        <f>IF(AND(42&gt;=$NR$32,42&lt;=$NS$32),IF($NP$32="Single_Point",IF(42=$NR$32,$NN$32,0),IF($NP$32="Bell_Curve",$NN$32*(42-$NR$32+1)*($NS$32-42+1)/$NU$32,$NN$32/$NT$32)),0)</f>
        <v/>
      </c>
      <c r="AU32" s="228">
        <f>IF(AND(43&gt;=$NR$32,43&lt;=$NS$32),IF($NP$32="Single_Point",IF(43=$NR$32,$NN$32,0),IF($NP$32="Bell_Curve",$NN$32*(43-$NR$32+1)*($NS$32-43+1)/$NU$32,$NN$32/$NT$32)),0)</f>
        <v/>
      </c>
      <c r="AV32" s="228">
        <f>IF(AND(44&gt;=$NR$32,44&lt;=$NS$32),IF($NP$32="Single_Point",IF(44=$NR$32,$NN$32,0),IF($NP$32="Bell_Curve",$NN$32*(44-$NR$32+1)*($NS$32-44+1)/$NU$32,$NN$32/$NT$32)),0)</f>
        <v/>
      </c>
      <c r="AW32" s="228">
        <f>IF(AND(45&gt;=$NR$32,45&lt;=$NS$32),IF($NP$32="Single_Point",IF(45=$NR$32,$NN$32,0),IF($NP$32="Bell_Curve",$NN$32*(45-$NR$32+1)*($NS$32-45+1)/$NU$32,$NN$32/$NT$32)),0)</f>
        <v/>
      </c>
      <c r="AX32" s="228">
        <f>IF(AND(46&gt;=$NR$32,46&lt;=$NS$32),IF($NP$32="Single_Point",IF(46=$NR$32,$NN$32,0),IF($NP$32="Bell_Curve",$NN$32*(46-$NR$32+1)*($NS$32-46+1)/$NU$32,$NN$32/$NT$32)),0)</f>
        <v/>
      </c>
      <c r="AY32" s="228">
        <f>IF(AND(47&gt;=$NR$32,47&lt;=$NS$32),IF($NP$32="Single_Point",IF(47=$NR$32,$NN$32,0),IF($NP$32="Bell_Curve",$NN$32*(47-$NR$32+1)*($NS$32-47+1)/$NU$32,$NN$32/$NT$32)),0)</f>
        <v/>
      </c>
      <c r="AZ32" s="228">
        <f>IF(AND(48&gt;=$NR$32,48&lt;=$NS$32),IF($NP$32="Single_Point",IF(48=$NR$32,$NN$32,0),IF($NP$32="Bell_Curve",$NN$32*(48-$NR$32+1)*($NS$32-48+1)/$NU$32,$NN$32/$NT$32)),0)</f>
        <v/>
      </c>
      <c r="BA32" s="228">
        <f>IF(AND(49&gt;=$NR$32,49&lt;=$NS$32),IF($NP$32="Single_Point",IF(49=$NR$32,$NN$32,0),IF($NP$32="Bell_Curve",$NN$32*(49-$NR$32+1)*($NS$32-49+1)/$NU$32,$NN$32/$NT$32)),0)</f>
        <v/>
      </c>
      <c r="BB32" s="228">
        <f>IF(AND(50&gt;=$NR$32,50&lt;=$NS$32),IF($NP$32="Single_Point",IF(50=$NR$32,$NN$32,0),IF($NP$32="Bell_Curve",$NN$32*(50-$NR$32+1)*($NS$32-50+1)/$NU$32,$NN$32/$NT$32)),0)</f>
        <v/>
      </c>
      <c r="BC32" s="228">
        <f>IF(AND(51&gt;=$NR$32,51&lt;=$NS$32),IF($NP$32="Single_Point",IF(51=$NR$32,$NN$32,0),IF($NP$32="Bell_Curve",$NN$32*(51-$NR$32+1)*($NS$32-51+1)/$NU$32,$NN$32/$NT$32)),0)</f>
        <v/>
      </c>
      <c r="BD32" s="228">
        <f>IF(AND(52&gt;=$NR$32,52&lt;=$NS$32),IF($NP$32="Single_Point",IF(52=$NR$32,$NN$32,0),IF($NP$32="Bell_Curve",$NN$32*(52-$NR$32+1)*($NS$32-52+1)/$NU$32,$NN$32/$NT$32)),0)</f>
        <v/>
      </c>
      <c r="BE32" s="228">
        <f>IF(AND(53&gt;=$NR$32,53&lt;=$NS$32),IF($NP$32="Single_Point",IF(53=$NR$32,$NN$32,0),IF($NP$32="Bell_Curve",$NN$32*(53-$NR$32+1)*($NS$32-53+1)/$NU$32,$NN$32/$NT$32)),0)</f>
        <v/>
      </c>
      <c r="BF32" s="228">
        <f>IF(AND(54&gt;=$NR$32,54&lt;=$NS$32),IF($NP$32="Single_Point",IF(54=$NR$32,$NN$32,0),IF($NP$32="Bell_Curve",$NN$32*(54-$NR$32+1)*($NS$32-54+1)/$NU$32,$NN$32/$NT$32)),0)</f>
        <v/>
      </c>
      <c r="BG32" s="228">
        <f>IF(AND(55&gt;=$NR$32,55&lt;=$NS$32),IF($NP$32="Single_Point",IF(55=$NR$32,$NN$32,0),IF($NP$32="Bell_Curve",$NN$32*(55-$NR$32+1)*($NS$32-55+1)/$NU$32,$NN$32/$NT$32)),0)</f>
        <v/>
      </c>
      <c r="BH32" s="228">
        <f>IF(AND(56&gt;=$NR$32,56&lt;=$NS$32),IF($NP$32="Single_Point",IF(56=$NR$32,$NN$32,0),IF($NP$32="Bell_Curve",$NN$32*(56-$NR$32+1)*($NS$32-56+1)/$NU$32,$NN$32/$NT$32)),0)</f>
        <v/>
      </c>
      <c r="BI32" s="228">
        <f>IF(AND(57&gt;=$NR$32,57&lt;=$NS$32),IF($NP$32="Single_Point",IF(57=$NR$32,$NN$32,0),IF($NP$32="Bell_Curve",$NN$32*(57-$NR$32+1)*($NS$32-57+1)/$NU$32,$NN$32/$NT$32)),0)</f>
        <v/>
      </c>
      <c r="BJ32" s="228">
        <f>IF(AND(58&gt;=$NR$32,58&lt;=$NS$32),IF($NP$32="Single_Point",IF(58=$NR$32,$NN$32,0),IF($NP$32="Bell_Curve",$NN$32*(58-$NR$32+1)*($NS$32-58+1)/$NU$32,$NN$32/$NT$32)),0)</f>
        <v/>
      </c>
      <c r="BK32" s="228">
        <f>IF(AND(59&gt;=$NR$32,59&lt;=$NS$32),IF($NP$32="Single_Point",IF(59=$NR$32,$NN$32,0),IF($NP$32="Bell_Curve",$NN$32*(59-$NR$32+1)*($NS$32-59+1)/$NU$32,$NN$32/$NT$32)),0)</f>
        <v/>
      </c>
      <c r="BL32" s="228">
        <f>IF(AND(60&gt;=$NR$32,60&lt;=$NS$32),IF($NP$32="Single_Point",IF(60=$NR$32,$NN$32,0),IF($NP$32="Bell_Curve",$NN$32*(60-$NR$32+1)*($NS$32-60+1)/$NU$32,$NN$32/$NT$32)),0)</f>
        <v/>
      </c>
      <c r="BM32" s="228">
        <f>IF(AND(61&gt;=$NR$32,61&lt;=$NS$32),IF($NP$32="Single_Point",IF(61=$NR$32,$NN$32,0),IF($NP$32="Bell_Curve",$NN$32*(61-$NR$32+1)*($NS$32-61+1)/$NU$32,$NN$32/$NT$32)),0)</f>
        <v/>
      </c>
      <c r="BN32" s="228">
        <f>IF(AND(62&gt;=$NR$32,62&lt;=$NS$32),IF($NP$32="Single_Point",IF(62=$NR$32,$NN$32,0),IF($NP$32="Bell_Curve",$NN$32*(62-$NR$32+1)*($NS$32-62+1)/$NU$32,$NN$32/$NT$32)),0)</f>
        <v/>
      </c>
      <c r="BO32" s="228">
        <f>IF(AND(63&gt;=$NR$32,63&lt;=$NS$32),IF($NP$32="Single_Point",IF(63=$NR$32,$NN$32,0),IF($NP$32="Bell_Curve",$NN$32*(63-$NR$32+1)*($NS$32-63+1)/$NU$32,$NN$32/$NT$32)),0)</f>
        <v/>
      </c>
      <c r="BP32" s="228">
        <f>IF(AND(64&gt;=$NR$32,64&lt;=$NS$32),IF($NP$32="Single_Point",IF(64=$NR$32,$NN$32,0),IF($NP$32="Bell_Curve",$NN$32*(64-$NR$32+1)*($NS$32-64+1)/$NU$32,$NN$32/$NT$32)),0)</f>
        <v/>
      </c>
      <c r="BQ32" s="228">
        <f>IF(AND(65&gt;=$NR$32,65&lt;=$NS$32),IF($NP$32="Single_Point",IF(65=$NR$32,$NN$32,0),IF($NP$32="Bell_Curve",$NN$32*(65-$NR$32+1)*($NS$32-65+1)/$NU$32,$NN$32/$NT$32)),0)</f>
        <v/>
      </c>
      <c r="BR32" s="228">
        <f>IF(AND(66&gt;=$NR$32,66&lt;=$NS$32),IF($NP$32="Single_Point",IF(66=$NR$32,$NN$32,0),IF($NP$32="Bell_Curve",$NN$32*(66-$NR$32+1)*($NS$32-66+1)/$NU$32,$NN$32/$NT$32)),0)</f>
        <v/>
      </c>
      <c r="BS32" s="228">
        <f>IF(AND(67&gt;=$NR$32,67&lt;=$NS$32),IF($NP$32="Single_Point",IF(67=$NR$32,$NN$32,0),IF($NP$32="Bell_Curve",$NN$32*(67-$NR$32+1)*($NS$32-67+1)/$NU$32,$NN$32/$NT$32)),0)</f>
        <v/>
      </c>
      <c r="BT32" s="228">
        <f>IF(AND(68&gt;=$NR$32,68&lt;=$NS$32),IF($NP$32="Single_Point",IF(68=$NR$32,$NN$32,0),IF($NP$32="Bell_Curve",$NN$32*(68-$NR$32+1)*($NS$32-68+1)/$NU$32,$NN$32/$NT$32)),0)</f>
        <v/>
      </c>
      <c r="BU32" s="228">
        <f>IF(AND(69&gt;=$NR$32,69&lt;=$NS$32),IF($NP$32="Single_Point",IF(69=$NR$32,$NN$32,0),IF($NP$32="Bell_Curve",$NN$32*(69-$NR$32+1)*($NS$32-69+1)/$NU$32,$NN$32/$NT$32)),0)</f>
        <v/>
      </c>
      <c r="BV32" s="228">
        <f>IF(AND(70&gt;=$NR$32,70&lt;=$NS$32),IF($NP$32="Single_Point",IF(70=$NR$32,$NN$32,0),IF($NP$32="Bell_Curve",$NN$32*(70-$NR$32+1)*($NS$32-70+1)/$NU$32,$NN$32/$NT$32)),0)</f>
        <v/>
      </c>
      <c r="BW32" s="228">
        <f>IF(AND(71&gt;=$NR$32,71&lt;=$NS$32),IF($NP$32="Single_Point",IF(71=$NR$32,$NN$32,0),IF($NP$32="Bell_Curve",$NN$32*(71-$NR$32+1)*($NS$32-71+1)/$NU$32,$NN$32/$NT$32)),0)</f>
        <v/>
      </c>
      <c r="BX32" s="228">
        <f>IF(AND(72&gt;=$NR$32,72&lt;=$NS$32),IF($NP$32="Single_Point",IF(72=$NR$32,$NN$32,0),IF($NP$32="Bell_Curve",$NN$32*(72-$NR$32+1)*($NS$32-72+1)/$NU$32,$NN$32/$NT$32)),0)</f>
        <v/>
      </c>
      <c r="BY32" s="228">
        <f>IF(AND(73&gt;=$NR$32,73&lt;=$NS$32),IF($NP$32="Single_Point",IF(73=$NR$32,$NN$32,0),IF($NP$32="Bell_Curve",$NN$32*(73-$NR$32+1)*($NS$32-73+1)/$NU$32,$NN$32/$NT$32)),0)</f>
        <v/>
      </c>
      <c r="BZ32" s="228">
        <f>IF(AND(74&gt;=$NR$32,74&lt;=$NS$32),IF($NP$32="Single_Point",IF(74=$NR$32,$NN$32,0),IF($NP$32="Bell_Curve",$NN$32*(74-$NR$32+1)*($NS$32-74+1)/$NU$32,$NN$32/$NT$32)),0)</f>
        <v/>
      </c>
      <c r="CA32" s="228">
        <f>IF(AND(75&gt;=$NR$32,75&lt;=$NS$32),IF($NP$32="Single_Point",IF(75=$NR$32,$NN$32,0),IF($NP$32="Bell_Curve",$NN$32*(75-$NR$32+1)*($NS$32-75+1)/$NU$32,$NN$32/$NT$32)),0)</f>
        <v/>
      </c>
      <c r="CB32" s="228">
        <f>IF(AND(76&gt;=$NR$32,76&lt;=$NS$32),IF($NP$32="Single_Point",IF(76=$NR$32,$NN$32,0),IF($NP$32="Bell_Curve",$NN$32*(76-$NR$32+1)*($NS$32-76+1)/$NU$32,$NN$32/$NT$32)),0)</f>
        <v/>
      </c>
      <c r="CC32" s="228">
        <f>IF(AND(77&gt;=$NR$32,77&lt;=$NS$32),IF($NP$32="Single_Point",IF(77=$NR$32,$NN$32,0),IF($NP$32="Bell_Curve",$NN$32*(77-$NR$32+1)*($NS$32-77+1)/$NU$32,$NN$32/$NT$32)),0)</f>
        <v/>
      </c>
      <c r="CD32" s="228">
        <f>IF(AND(78&gt;=$NR$32,78&lt;=$NS$32),IF($NP$32="Single_Point",IF(78=$NR$32,$NN$32,0),IF($NP$32="Bell_Curve",$NN$32*(78-$NR$32+1)*($NS$32-78+1)/$NU$32,$NN$32/$NT$32)),0)</f>
        <v/>
      </c>
      <c r="CE32" s="228">
        <f>IF(AND(79&gt;=$NR$32,79&lt;=$NS$32),IF($NP$32="Single_Point",IF(79=$NR$32,$NN$32,0),IF($NP$32="Bell_Curve",$NN$32*(79-$NR$32+1)*($NS$32-79+1)/$NU$32,$NN$32/$NT$32)),0)</f>
        <v/>
      </c>
      <c r="CF32" s="228">
        <f>IF(AND(80&gt;=$NR$32,80&lt;=$NS$32),IF($NP$32="Single_Point",IF(80=$NR$32,$NN$32,0),IF($NP$32="Bell_Curve",$NN$32*(80-$NR$32+1)*($NS$32-80+1)/$NU$32,$NN$32/$NT$32)),0)</f>
        <v/>
      </c>
      <c r="CG32" s="228">
        <f>IF(AND(81&gt;=$NR$32,81&lt;=$NS$32),IF($NP$32="Single_Point",IF(81=$NR$32,$NN$32,0),IF($NP$32="Bell_Curve",$NN$32*(81-$NR$32+1)*($NS$32-81+1)/$NU$32,$NN$32/$NT$32)),0)</f>
        <v/>
      </c>
      <c r="CH32" s="228">
        <f>IF(AND(82&gt;=$NR$32,82&lt;=$NS$32),IF($NP$32="Single_Point",IF(82=$NR$32,$NN$32,0),IF($NP$32="Bell_Curve",$NN$32*(82-$NR$32+1)*($NS$32-82+1)/$NU$32,$NN$32/$NT$32)),0)</f>
        <v/>
      </c>
      <c r="CI32" s="228">
        <f>IF(AND(83&gt;=$NR$32,83&lt;=$NS$32),IF($NP$32="Single_Point",IF(83=$NR$32,$NN$32,0),IF($NP$32="Bell_Curve",$NN$32*(83-$NR$32+1)*($NS$32-83+1)/$NU$32,$NN$32/$NT$32)),0)</f>
        <v/>
      </c>
      <c r="CJ32" s="228">
        <f>IF(AND(84&gt;=$NR$32,84&lt;=$NS$32),IF($NP$32="Single_Point",IF(84=$NR$32,$NN$32,0),IF($NP$32="Bell_Curve",$NN$32*(84-$NR$32+1)*($NS$32-84+1)/$NU$32,$NN$32/$NT$32)),0)</f>
        <v/>
      </c>
      <c r="CK32" s="228">
        <f>IF(AND(85&gt;=$NR$32,85&lt;=$NS$32),IF($NP$32="Single_Point",IF(85=$NR$32,$NN$32,0),IF($NP$32="Bell_Curve",$NN$32*(85-$NR$32+1)*($NS$32-85+1)/$NU$32,$NN$32/$NT$32)),0)</f>
        <v/>
      </c>
      <c r="CL32" s="228">
        <f>IF(AND(86&gt;=$NR$32,86&lt;=$NS$32),IF($NP$32="Single_Point",IF(86=$NR$32,$NN$32,0),IF($NP$32="Bell_Curve",$NN$32*(86-$NR$32+1)*($NS$32-86+1)/$NU$32,$NN$32/$NT$32)),0)</f>
        <v/>
      </c>
      <c r="CM32" s="228">
        <f>IF(AND(87&gt;=$NR$32,87&lt;=$NS$32),IF($NP$32="Single_Point",IF(87=$NR$32,$NN$32,0),IF($NP$32="Bell_Curve",$NN$32*(87-$NR$32+1)*($NS$32-87+1)/$NU$32,$NN$32/$NT$32)),0)</f>
        <v/>
      </c>
      <c r="CN32" s="228">
        <f>IF(AND(88&gt;=$NR$32,88&lt;=$NS$32),IF($NP$32="Single_Point",IF(88=$NR$32,$NN$32,0),IF($NP$32="Bell_Curve",$NN$32*(88-$NR$32+1)*($NS$32-88+1)/$NU$32,$NN$32/$NT$32)),0)</f>
        <v/>
      </c>
      <c r="CO32" s="228">
        <f>IF(AND(89&gt;=$NR$32,89&lt;=$NS$32),IF($NP$32="Single_Point",IF(89=$NR$32,$NN$32,0),IF($NP$32="Bell_Curve",$NN$32*(89-$NR$32+1)*($NS$32-89+1)/$NU$32,$NN$32/$NT$32)),0)</f>
        <v/>
      </c>
      <c r="CP32" s="228">
        <f>IF(AND(90&gt;=$NR$32,90&lt;=$NS$32),IF($NP$32="Single_Point",IF(90=$NR$32,$NN$32,0),IF($NP$32="Bell_Curve",$NN$32*(90-$NR$32+1)*($NS$32-90+1)/$NU$32,$NN$32/$NT$32)),0)</f>
        <v/>
      </c>
      <c r="CQ32" s="228">
        <f>IF(AND(91&gt;=$NR$32,91&lt;=$NS$32),IF($NP$32="Single_Point",IF(91=$NR$32,$NN$32,0),IF($NP$32="Bell_Curve",$NN$32*(91-$NR$32+1)*($NS$32-91+1)/$NU$32,$NN$32/$NT$32)),0)</f>
        <v/>
      </c>
      <c r="CR32" s="228">
        <f>IF(AND(92&gt;=$NR$32,92&lt;=$NS$32),IF($NP$32="Single_Point",IF(92=$NR$32,$NN$32,0),IF($NP$32="Bell_Curve",$NN$32*(92-$NR$32+1)*($NS$32-92+1)/$NU$32,$NN$32/$NT$32)),0)</f>
        <v/>
      </c>
      <c r="CS32" s="228">
        <f>IF(AND(93&gt;=$NR$32,93&lt;=$NS$32),IF($NP$32="Single_Point",IF(93=$NR$32,$NN$32,0),IF($NP$32="Bell_Curve",$NN$32*(93-$NR$32+1)*($NS$32-93+1)/$NU$32,$NN$32/$NT$32)),0)</f>
        <v/>
      </c>
      <c r="CT32" s="228">
        <f>IF(AND(94&gt;=$NR$32,94&lt;=$NS$32),IF($NP$32="Single_Point",IF(94=$NR$32,$NN$32,0),IF($NP$32="Bell_Curve",$NN$32*(94-$NR$32+1)*($NS$32-94+1)/$NU$32,$NN$32/$NT$32)),0)</f>
        <v/>
      </c>
      <c r="CU32" s="228">
        <f>IF(AND(95&gt;=$NR$32,95&lt;=$NS$32),IF($NP$32="Single_Point",IF(95=$NR$32,$NN$32,0),IF($NP$32="Bell_Curve",$NN$32*(95-$NR$32+1)*($NS$32-95+1)/$NU$32,$NN$32/$NT$32)),0)</f>
        <v/>
      </c>
      <c r="CV32" s="228">
        <f>IF(AND(96&gt;=$NR$32,96&lt;=$NS$32),IF($NP$32="Single_Point",IF(96=$NR$32,$NN$32,0),IF($NP$32="Bell_Curve",$NN$32*(96-$NR$32+1)*($NS$32-96+1)/$NU$32,$NN$32/$NT$32)),0)</f>
        <v/>
      </c>
      <c r="CW32" s="228">
        <f>IF(AND(97&gt;=$NR$32,97&lt;=$NS$32),IF($NP$32="Single_Point",IF(97=$NR$32,$NN$32,0),IF($NP$32="Bell_Curve",$NN$32*(97-$NR$32+1)*($NS$32-97+1)/$NU$32,$NN$32/$NT$32)),0)</f>
        <v/>
      </c>
      <c r="CX32" s="228">
        <f>IF(AND(98&gt;=$NR$32,98&lt;=$NS$32),IF($NP$32="Single_Point",IF(98=$NR$32,$NN$32,0),IF($NP$32="Bell_Curve",$NN$32*(98-$NR$32+1)*($NS$32-98+1)/$NU$32,$NN$32/$NT$32)),0)</f>
        <v/>
      </c>
      <c r="CY32" s="228">
        <f>IF(AND(99&gt;=$NR$32,99&lt;=$NS$32),IF($NP$32="Single_Point",IF(99=$NR$32,$NN$32,0),IF($NP$32="Bell_Curve",$NN$32*(99-$NR$32+1)*($NS$32-99+1)/$NU$32,$NN$32/$NT$32)),0)</f>
        <v/>
      </c>
      <c r="CZ32" s="228">
        <f>IF(AND(100&gt;=$NR$32,100&lt;=$NS$32),IF($NP$32="Single_Point",IF(100=$NR$32,$NN$32,0),IF($NP$32="Bell_Curve",$NN$32*(100-$NR$32+1)*($NS$32-100+1)/$NU$32,$NN$32/$NT$32)),0)</f>
        <v/>
      </c>
      <c r="DA32" s="228">
        <f>IF(AND(101&gt;=$NR$32,101&lt;=$NS$32),IF($NP$32="Single_Point",IF(101=$NR$32,$NN$32,0),IF($NP$32="Bell_Curve",$NN$32*(101-$NR$32+1)*($NS$32-101+1)/$NU$32,$NN$32/$NT$32)),0)</f>
        <v/>
      </c>
      <c r="DB32" s="228">
        <f>IF(AND(102&gt;=$NR$32,102&lt;=$NS$32),IF($NP$32="Single_Point",IF(102=$NR$32,$NN$32,0),IF($NP$32="Bell_Curve",$NN$32*(102-$NR$32+1)*($NS$32-102+1)/$NU$32,$NN$32/$NT$32)),0)</f>
        <v/>
      </c>
      <c r="DC32" s="228">
        <f>IF(AND(103&gt;=$NR$32,103&lt;=$NS$32),IF($NP$32="Single_Point",IF(103=$NR$32,$NN$32,0),IF($NP$32="Bell_Curve",$NN$32*(103-$NR$32+1)*($NS$32-103+1)/$NU$32,$NN$32/$NT$32)),0)</f>
        <v/>
      </c>
      <c r="DD32" s="228">
        <f>IF(AND(104&gt;=$NR$32,104&lt;=$NS$32),IF($NP$32="Single_Point",IF(104=$NR$32,$NN$32,0),IF($NP$32="Bell_Curve",$NN$32*(104-$NR$32+1)*($NS$32-104+1)/$NU$32,$NN$32/$NT$32)),0)</f>
        <v/>
      </c>
      <c r="DE32" s="228">
        <f>IF(AND(105&gt;=$NR$32,105&lt;=$NS$32),IF($NP$32="Single_Point",IF(105=$NR$32,$NN$32,0),IF($NP$32="Bell_Curve",$NN$32*(105-$NR$32+1)*($NS$32-105+1)/$NU$32,$NN$32/$NT$32)),0)</f>
        <v/>
      </c>
      <c r="DF32" s="228">
        <f>IF(AND(106&gt;=$NR$32,106&lt;=$NS$32),IF($NP$32="Single_Point",IF(106=$NR$32,$NN$32,0),IF($NP$32="Bell_Curve",$NN$32*(106-$NR$32+1)*($NS$32-106+1)/$NU$32,$NN$32/$NT$32)),0)</f>
        <v/>
      </c>
      <c r="DG32" s="228">
        <f>IF(AND(107&gt;=$NR$32,107&lt;=$NS$32),IF($NP$32="Single_Point",IF(107=$NR$32,$NN$32,0),IF($NP$32="Bell_Curve",$NN$32*(107-$NR$32+1)*($NS$32-107+1)/$NU$32,$NN$32/$NT$32)),0)</f>
        <v/>
      </c>
      <c r="DH32" s="228">
        <f>IF(AND(108&gt;=$NR$32,108&lt;=$NS$32),IF($NP$32="Single_Point",IF(108=$NR$32,$NN$32,0),IF($NP$32="Bell_Curve",$NN$32*(108-$NR$32+1)*($NS$32-108+1)/$NU$32,$NN$32/$NT$32)),0)</f>
        <v/>
      </c>
      <c r="DI32" s="228">
        <f>IF(AND(109&gt;=$NR$32,109&lt;=$NS$32),IF($NP$32="Single_Point",IF(109=$NR$32,$NN$32,0),IF($NP$32="Bell_Curve",$NN$32*(109-$NR$32+1)*($NS$32-109+1)/$NU$32,$NN$32/$NT$32)),0)</f>
        <v/>
      </c>
      <c r="DJ32" s="228">
        <f>IF(AND(110&gt;=$NR$32,110&lt;=$NS$32),IF($NP$32="Single_Point",IF(110=$NR$32,$NN$32,0),IF($NP$32="Bell_Curve",$NN$32*(110-$NR$32+1)*($NS$32-110+1)/$NU$32,$NN$32/$NT$32)),0)</f>
        <v/>
      </c>
      <c r="DK32" s="228">
        <f>IF(AND(111&gt;=$NR$32,111&lt;=$NS$32),IF($NP$32="Single_Point",IF(111=$NR$32,$NN$32,0),IF($NP$32="Bell_Curve",$NN$32*(111-$NR$32+1)*($NS$32-111+1)/$NU$32,$NN$32/$NT$32)),0)</f>
        <v/>
      </c>
      <c r="DL32" s="228">
        <f>IF(AND(112&gt;=$NR$32,112&lt;=$NS$32),IF($NP$32="Single_Point",IF(112=$NR$32,$NN$32,0),IF($NP$32="Bell_Curve",$NN$32*(112-$NR$32+1)*($NS$32-112+1)/$NU$32,$NN$32/$NT$32)),0)</f>
        <v/>
      </c>
      <c r="DM32" s="228">
        <f>IF(AND(113&gt;=$NR$32,113&lt;=$NS$32),IF($NP$32="Single_Point",IF(113=$NR$32,$NN$32,0),IF($NP$32="Bell_Curve",$NN$32*(113-$NR$32+1)*($NS$32-113+1)/$NU$32,$NN$32/$NT$32)),0)</f>
        <v/>
      </c>
      <c r="DN32" s="228">
        <f>IF(AND(114&gt;=$NR$32,114&lt;=$NS$32),IF($NP$32="Single_Point",IF(114=$NR$32,$NN$32,0),IF($NP$32="Bell_Curve",$NN$32*(114-$NR$32+1)*($NS$32-114+1)/$NU$32,$NN$32/$NT$32)),0)</f>
        <v/>
      </c>
      <c r="DO32" s="228">
        <f>IF(AND(115&gt;=$NR$32,115&lt;=$NS$32),IF($NP$32="Single_Point",IF(115=$NR$32,$NN$32,0),IF($NP$32="Bell_Curve",$NN$32*(115-$NR$32+1)*($NS$32-115+1)/$NU$32,$NN$32/$NT$32)),0)</f>
        <v/>
      </c>
      <c r="DP32" s="228">
        <f>IF(AND(116&gt;=$NR$32,116&lt;=$NS$32),IF($NP$32="Single_Point",IF(116=$NR$32,$NN$32,0),IF($NP$32="Bell_Curve",$NN$32*(116-$NR$32+1)*($NS$32-116+1)/$NU$32,$NN$32/$NT$32)),0)</f>
        <v/>
      </c>
      <c r="DQ32" s="228">
        <f>IF(AND(117&gt;=$NR$32,117&lt;=$NS$32),IF($NP$32="Single_Point",IF(117=$NR$32,$NN$32,0),IF($NP$32="Bell_Curve",$NN$32*(117-$NR$32+1)*($NS$32-117+1)/$NU$32,$NN$32/$NT$32)),0)</f>
        <v/>
      </c>
      <c r="DR32" s="228">
        <f>IF(AND(118&gt;=$NR$32,118&lt;=$NS$32),IF($NP$32="Single_Point",IF(118=$NR$32,$NN$32,0),IF($NP$32="Bell_Curve",$NN$32*(118-$NR$32+1)*($NS$32-118+1)/$NU$32,$NN$32/$NT$32)),0)</f>
        <v/>
      </c>
      <c r="DS32" s="228">
        <f>IF(AND(119&gt;=$NR$32,119&lt;=$NS$32),IF($NP$32="Single_Point",IF(119=$NR$32,$NN$32,0),IF($NP$32="Bell_Curve",$NN$32*(119-$NR$32+1)*($NS$32-119+1)/$NU$32,$NN$32/$NT$32)),0)</f>
        <v/>
      </c>
      <c r="DT32" s="228">
        <f>IF(AND(120&gt;=$NR$32,120&lt;=$NS$32),IF($NP$32="Single_Point",IF(120=$NR$32,$NN$32,0),IF($NP$32="Bell_Curve",$NN$32*(120-$NR$32+1)*($NS$32-120+1)/$NU$32,$NN$32/$NT$32)),0)</f>
        <v/>
      </c>
      <c r="DU32" s="228">
        <f>IF(AND(121&gt;=$NR$32,121&lt;=$NS$32),IF($NP$32="Single_Point",IF(121=$NR$32,$NN$32,0),IF($NP$32="Bell_Curve",$NN$32*(121-$NR$32+1)*($NS$32-121+1)/$NU$32,$NN$32/$NT$32)),0)</f>
        <v/>
      </c>
      <c r="DV32" s="228">
        <f>IF(AND(122&gt;=$NR$32,122&lt;=$NS$32),IF($NP$32="Single_Point",IF(122=$NR$32,$NN$32,0),IF($NP$32="Bell_Curve",$NN$32*(122-$NR$32+1)*($NS$32-122+1)/$NU$32,$NN$32/$NT$32)),0)</f>
        <v/>
      </c>
      <c r="DW32" s="228">
        <f>IF(AND(123&gt;=$NR$32,123&lt;=$NS$32),IF($NP$32="Single_Point",IF(123=$NR$32,$NN$32,0),IF($NP$32="Bell_Curve",$NN$32*(123-$NR$32+1)*($NS$32-123+1)/$NU$32,$NN$32/$NT$32)),0)</f>
        <v/>
      </c>
      <c r="DX32" s="228">
        <f>IF(AND(124&gt;=$NR$32,124&lt;=$NS$32),IF($NP$32="Single_Point",IF(124=$NR$32,$NN$32,0),IF($NP$32="Bell_Curve",$NN$32*(124-$NR$32+1)*($NS$32-124+1)/$NU$32,$NN$32/$NT$32)),0)</f>
        <v/>
      </c>
      <c r="DY32" s="228">
        <f>IF(AND(125&gt;=$NR$32,125&lt;=$NS$32),IF($NP$32="Single_Point",IF(125=$NR$32,$NN$32,0),IF($NP$32="Bell_Curve",$NN$32*(125-$NR$32+1)*($NS$32-125+1)/$NU$32,$NN$32/$NT$32)),0)</f>
        <v/>
      </c>
      <c r="DZ32" s="228">
        <f>IF(AND(126&gt;=$NR$32,126&lt;=$NS$32),IF($NP$32="Single_Point",IF(126=$NR$32,$NN$32,0),IF($NP$32="Bell_Curve",$NN$32*(126-$NR$32+1)*($NS$32-126+1)/$NU$32,$NN$32/$NT$32)),0)</f>
        <v/>
      </c>
      <c r="EA32" s="228">
        <f>IF(AND(127&gt;=$NR$32,127&lt;=$NS$32),IF($NP$32="Single_Point",IF(127=$NR$32,$NN$32,0),IF($NP$32="Bell_Curve",$NN$32*(127-$NR$32+1)*($NS$32-127+1)/$NU$32,$NN$32/$NT$32)),0)</f>
        <v/>
      </c>
      <c r="EB32" s="228">
        <f>IF(AND(128&gt;=$NR$32,128&lt;=$NS$32),IF($NP$32="Single_Point",IF(128=$NR$32,$NN$32,0),IF($NP$32="Bell_Curve",$NN$32*(128-$NR$32+1)*($NS$32-128+1)/$NU$32,$NN$32/$NT$32)),0)</f>
        <v/>
      </c>
      <c r="EC32" s="228">
        <f>IF(AND(129&gt;=$NR$32,129&lt;=$NS$32),IF($NP$32="Single_Point",IF(129=$NR$32,$NN$32,0),IF($NP$32="Bell_Curve",$NN$32*(129-$NR$32+1)*($NS$32-129+1)/$NU$32,$NN$32/$NT$32)),0)</f>
        <v/>
      </c>
      <c r="ED32" s="228">
        <f>IF(AND(130&gt;=$NR$32,130&lt;=$NS$32),IF($NP$32="Single_Point",IF(130=$NR$32,$NN$32,0),IF($NP$32="Bell_Curve",$NN$32*(130-$NR$32+1)*($NS$32-130+1)/$NU$32,$NN$32/$NT$32)),0)</f>
        <v/>
      </c>
      <c r="EE32" s="228">
        <f>IF(AND(131&gt;=$NR$32,131&lt;=$NS$32),IF($NP$32="Single_Point",IF(131=$NR$32,$NN$32,0),IF($NP$32="Bell_Curve",$NN$32*(131-$NR$32+1)*($NS$32-131+1)/$NU$32,$NN$32/$NT$32)),0)</f>
        <v/>
      </c>
      <c r="EF32" s="228">
        <f>IF(AND(132&gt;=$NR$32,132&lt;=$NS$32),IF($NP$32="Single_Point",IF(132=$NR$32,$NN$32,0),IF($NP$32="Bell_Curve",$NN$32*(132-$NR$32+1)*($NS$32-132+1)/$NU$32,$NN$32/$NT$32)),0)</f>
        <v/>
      </c>
      <c r="EG32" s="228">
        <f>IF(AND(133&gt;=$NR$32,133&lt;=$NS$32),IF($NP$32="Single_Point",IF(133=$NR$32,$NN$32,0),IF($NP$32="Bell_Curve",$NN$32*(133-$NR$32+1)*($NS$32-133+1)/$NU$32,$NN$32/$NT$32)),0)</f>
        <v/>
      </c>
      <c r="EH32" s="228">
        <f>IF(AND(134&gt;=$NR$32,134&lt;=$NS$32),IF($NP$32="Single_Point",IF(134=$NR$32,$NN$32,0),IF($NP$32="Bell_Curve",$NN$32*(134-$NR$32+1)*($NS$32-134+1)/$NU$32,$NN$32/$NT$32)),0)</f>
        <v/>
      </c>
      <c r="EI32" s="228">
        <f>IF(AND(135&gt;=$NR$32,135&lt;=$NS$32),IF($NP$32="Single_Point",IF(135=$NR$32,$NN$32,0),IF($NP$32="Bell_Curve",$NN$32*(135-$NR$32+1)*($NS$32-135+1)/$NU$32,$NN$32/$NT$32)),0)</f>
        <v/>
      </c>
      <c r="EJ32" s="228">
        <f>IF(AND(136&gt;=$NR$32,136&lt;=$NS$32),IF($NP$32="Single_Point",IF(136=$NR$32,$NN$32,0),IF($NP$32="Bell_Curve",$NN$32*(136-$NR$32+1)*($NS$32-136+1)/$NU$32,$NN$32/$NT$32)),0)</f>
        <v/>
      </c>
      <c r="EK32" s="228">
        <f>IF(AND(137&gt;=$NR$32,137&lt;=$NS$32),IF($NP$32="Single_Point",IF(137=$NR$32,$NN$32,0),IF($NP$32="Bell_Curve",$NN$32*(137-$NR$32+1)*($NS$32-137+1)/$NU$32,$NN$32/$NT$32)),0)</f>
        <v/>
      </c>
      <c r="EL32" s="228">
        <f>IF(AND(138&gt;=$NR$32,138&lt;=$NS$32),IF($NP$32="Single_Point",IF(138=$NR$32,$NN$32,0),IF($NP$32="Bell_Curve",$NN$32*(138-$NR$32+1)*($NS$32-138+1)/$NU$32,$NN$32/$NT$32)),0)</f>
        <v/>
      </c>
      <c r="EM32" s="228">
        <f>IF(AND(139&gt;=$NR$32,139&lt;=$NS$32),IF($NP$32="Single_Point",IF(139=$NR$32,$NN$32,0),IF($NP$32="Bell_Curve",$NN$32*(139-$NR$32+1)*($NS$32-139+1)/$NU$32,$NN$32/$NT$32)),0)</f>
        <v/>
      </c>
      <c r="EN32" s="228">
        <f>IF(AND(140&gt;=$NR$32,140&lt;=$NS$32),IF($NP$32="Single_Point",IF(140=$NR$32,$NN$32,0),IF($NP$32="Bell_Curve",$NN$32*(140-$NR$32+1)*($NS$32-140+1)/$NU$32,$NN$32/$NT$32)),0)</f>
        <v/>
      </c>
      <c r="EO32" s="228">
        <f>IF(AND(141&gt;=$NR$32,141&lt;=$NS$32),IF($NP$32="Single_Point",IF(141=$NR$32,$NN$32,0),IF($NP$32="Bell_Curve",$NN$32*(141-$NR$32+1)*($NS$32-141+1)/$NU$32,$NN$32/$NT$32)),0)</f>
        <v/>
      </c>
      <c r="EP32" s="228">
        <f>IF(AND(142&gt;=$NR$32,142&lt;=$NS$32),IF($NP$32="Single_Point",IF(142=$NR$32,$NN$32,0),IF($NP$32="Bell_Curve",$NN$32*(142-$NR$32+1)*($NS$32-142+1)/$NU$32,$NN$32/$NT$32)),0)</f>
        <v/>
      </c>
      <c r="EQ32" s="228">
        <f>IF(AND(143&gt;=$NR$32,143&lt;=$NS$32),IF($NP$32="Single_Point",IF(143=$NR$32,$NN$32,0),IF($NP$32="Bell_Curve",$NN$32*(143-$NR$32+1)*($NS$32-143+1)/$NU$32,$NN$32/$NT$32)),0)</f>
        <v/>
      </c>
      <c r="ER32" s="228">
        <f>IF(AND(144&gt;=$NR$32,144&lt;=$NS$32),IF($NP$32="Single_Point",IF(144=$NR$32,$NN$32,0),IF($NP$32="Bell_Curve",$NN$32*(144-$NR$32+1)*($NS$32-144+1)/$NU$32,$NN$32/$NT$32)),0)</f>
        <v/>
      </c>
      <c r="ES32" s="228">
        <f>IF(AND(145&gt;=$NR$32,145&lt;=$NS$32),IF($NP$32="Single_Point",IF(145=$NR$32,$NN$32,0),IF($NP$32="Bell_Curve",$NN$32*(145-$NR$32+1)*($NS$32-145+1)/$NU$32,$NN$32/$NT$32)),0)</f>
        <v/>
      </c>
      <c r="ET32" s="228">
        <f>IF(AND(146&gt;=$NR$32,146&lt;=$NS$32),IF($NP$32="Single_Point",IF(146=$NR$32,$NN$32,0),IF($NP$32="Bell_Curve",$NN$32*(146-$NR$32+1)*($NS$32-146+1)/$NU$32,$NN$32/$NT$32)),0)</f>
        <v/>
      </c>
      <c r="EU32" s="228">
        <f>IF(AND(147&gt;=$NR$32,147&lt;=$NS$32),IF($NP$32="Single_Point",IF(147=$NR$32,$NN$32,0),IF($NP$32="Bell_Curve",$NN$32*(147-$NR$32+1)*($NS$32-147+1)/$NU$32,$NN$32/$NT$32)),0)</f>
        <v/>
      </c>
      <c r="EV32" s="228">
        <f>IF(AND(148&gt;=$NR$32,148&lt;=$NS$32),IF($NP$32="Single_Point",IF(148=$NR$32,$NN$32,0),IF($NP$32="Bell_Curve",$NN$32*(148-$NR$32+1)*($NS$32-148+1)/$NU$32,$NN$32/$NT$32)),0)</f>
        <v/>
      </c>
      <c r="EW32" s="228">
        <f>IF(AND(149&gt;=$NR$32,149&lt;=$NS$32),IF($NP$32="Single_Point",IF(149=$NR$32,$NN$32,0),IF($NP$32="Bell_Curve",$NN$32*(149-$NR$32+1)*($NS$32-149+1)/$NU$32,$NN$32/$NT$32)),0)</f>
        <v/>
      </c>
      <c r="EX32" s="228">
        <f>IF(AND(150&gt;=$NR$32,150&lt;=$NS$32),IF($NP$32="Single_Point",IF(150=$NR$32,$NN$32,0),IF($NP$32="Bell_Curve",$NN$32*(150-$NR$32+1)*($NS$32-150+1)/$NU$32,$NN$32/$NT$32)),0)</f>
        <v/>
      </c>
      <c r="EY32" s="228">
        <f>IF(AND(151&gt;=$NR$32,151&lt;=$NS$32),IF($NP$32="Single_Point",IF(151=$NR$32,$NN$32,0),IF($NP$32="Bell_Curve",$NN$32*(151-$NR$32+1)*($NS$32-151+1)/$NU$32,$NN$32/$NT$32)),0)</f>
        <v/>
      </c>
      <c r="EZ32" s="228">
        <f>IF(AND(152&gt;=$NR$32,152&lt;=$NS$32),IF($NP$32="Single_Point",IF(152=$NR$32,$NN$32,0),IF($NP$32="Bell_Curve",$NN$32*(152-$NR$32+1)*($NS$32-152+1)/$NU$32,$NN$32/$NT$32)),0)</f>
        <v/>
      </c>
      <c r="FA32" s="228">
        <f>IF(AND(153&gt;=$NR$32,153&lt;=$NS$32),IF($NP$32="Single_Point",IF(153=$NR$32,$NN$32,0),IF($NP$32="Bell_Curve",$NN$32*(153-$NR$32+1)*($NS$32-153+1)/$NU$32,$NN$32/$NT$32)),0)</f>
        <v/>
      </c>
      <c r="FB32" s="228">
        <f>IF(AND(154&gt;=$NR$32,154&lt;=$NS$32),IF($NP$32="Single_Point",IF(154=$NR$32,$NN$32,0),IF($NP$32="Bell_Curve",$NN$32*(154-$NR$32+1)*($NS$32-154+1)/$NU$32,$NN$32/$NT$32)),0)</f>
        <v/>
      </c>
      <c r="FC32" s="228">
        <f>IF(AND(155&gt;=$NR$32,155&lt;=$NS$32),IF($NP$32="Single_Point",IF(155=$NR$32,$NN$32,0),IF($NP$32="Bell_Curve",$NN$32*(155-$NR$32+1)*($NS$32-155+1)/$NU$32,$NN$32/$NT$32)),0)</f>
        <v/>
      </c>
      <c r="FD32" s="228">
        <f>IF(AND(156&gt;=$NR$32,156&lt;=$NS$32),IF($NP$32="Single_Point",IF(156=$NR$32,$NN$32,0),IF($NP$32="Bell_Curve",$NN$32*(156-$NR$32+1)*($NS$32-156+1)/$NU$32,$NN$32/$NT$32)),0)</f>
        <v/>
      </c>
      <c r="FE32" s="228">
        <f>IF(AND(157&gt;=$NR$32,157&lt;=$NS$32),IF($NP$32="Single_Point",IF(157=$NR$32,$NN$32,0),IF($NP$32="Bell_Curve",$NN$32*(157-$NR$32+1)*($NS$32-157+1)/$NU$32,$NN$32/$NT$32)),0)</f>
        <v/>
      </c>
      <c r="FF32" s="228">
        <f>IF(AND(158&gt;=$NR$32,158&lt;=$NS$32),IF($NP$32="Single_Point",IF(158=$NR$32,$NN$32,0),IF($NP$32="Bell_Curve",$NN$32*(158-$NR$32+1)*($NS$32-158+1)/$NU$32,$NN$32/$NT$32)),0)</f>
        <v/>
      </c>
      <c r="FG32" s="228">
        <f>IF(AND(159&gt;=$NR$32,159&lt;=$NS$32),IF($NP$32="Single_Point",IF(159=$NR$32,$NN$32,0),IF($NP$32="Bell_Curve",$NN$32*(159-$NR$32+1)*($NS$32-159+1)/$NU$32,$NN$32/$NT$32)),0)</f>
        <v/>
      </c>
      <c r="FH32" s="228">
        <f>IF(AND(160&gt;=$NR$32,160&lt;=$NS$32),IF($NP$32="Single_Point",IF(160=$NR$32,$NN$32,0),IF($NP$32="Bell_Curve",$NN$32*(160-$NR$32+1)*($NS$32-160+1)/$NU$32,$NN$32/$NT$32)),0)</f>
        <v/>
      </c>
      <c r="FI32" s="228">
        <f>IF(AND(161&gt;=$NR$32,161&lt;=$NS$32),IF($NP$32="Single_Point",IF(161=$NR$32,$NN$32,0),IF($NP$32="Bell_Curve",$NN$32*(161-$NR$32+1)*($NS$32-161+1)/$NU$32,$NN$32/$NT$32)),0)</f>
        <v/>
      </c>
      <c r="FJ32" s="228">
        <f>IF(AND(162&gt;=$NR$32,162&lt;=$NS$32),IF($NP$32="Single_Point",IF(162=$NR$32,$NN$32,0),IF($NP$32="Bell_Curve",$NN$32*(162-$NR$32+1)*($NS$32-162+1)/$NU$32,$NN$32/$NT$32)),0)</f>
        <v/>
      </c>
      <c r="FK32" s="228">
        <f>IF(AND(163&gt;=$NR$32,163&lt;=$NS$32),IF($NP$32="Single_Point",IF(163=$NR$32,$NN$32,0),IF($NP$32="Bell_Curve",$NN$32*(163-$NR$32+1)*($NS$32-163+1)/$NU$32,$NN$32/$NT$32)),0)</f>
        <v/>
      </c>
      <c r="FL32" s="228">
        <f>IF(AND(164&gt;=$NR$32,164&lt;=$NS$32),IF($NP$32="Single_Point",IF(164=$NR$32,$NN$32,0),IF($NP$32="Bell_Curve",$NN$32*(164-$NR$32+1)*($NS$32-164+1)/$NU$32,$NN$32/$NT$32)),0)</f>
        <v/>
      </c>
      <c r="FM32" s="228">
        <f>IF(AND(165&gt;=$NR$32,165&lt;=$NS$32),IF($NP$32="Single_Point",IF(165=$NR$32,$NN$32,0),IF($NP$32="Bell_Curve",$NN$32*(165-$NR$32+1)*($NS$32-165+1)/$NU$32,$NN$32/$NT$32)),0)</f>
        <v/>
      </c>
      <c r="FN32" s="228">
        <f>IF(AND(166&gt;=$NR$32,166&lt;=$NS$32),IF($NP$32="Single_Point",IF(166=$NR$32,$NN$32,0),IF($NP$32="Bell_Curve",$NN$32*(166-$NR$32+1)*($NS$32-166+1)/$NU$32,$NN$32/$NT$32)),0)</f>
        <v/>
      </c>
      <c r="FO32" s="228">
        <f>IF(AND(167&gt;=$NR$32,167&lt;=$NS$32),IF($NP$32="Single_Point",IF(167=$NR$32,$NN$32,0),IF($NP$32="Bell_Curve",$NN$32*(167-$NR$32+1)*($NS$32-167+1)/$NU$32,$NN$32/$NT$32)),0)</f>
        <v/>
      </c>
      <c r="FP32" s="228">
        <f>IF(AND(168&gt;=$NR$32,168&lt;=$NS$32),IF($NP$32="Single_Point",IF(168=$NR$32,$NN$32,0),IF($NP$32="Bell_Curve",$NN$32*(168-$NR$32+1)*($NS$32-168+1)/$NU$32,$NN$32/$NT$32)),0)</f>
        <v/>
      </c>
      <c r="FQ32" s="228">
        <f>IF(AND(169&gt;=$NR$32,169&lt;=$NS$32),IF($NP$32="Single_Point",IF(169=$NR$32,$NN$32,0),IF($NP$32="Bell_Curve",$NN$32*(169-$NR$32+1)*($NS$32-169+1)/$NU$32,$NN$32/$NT$32)),0)</f>
        <v/>
      </c>
      <c r="FR32" s="228">
        <f>IF(AND(170&gt;=$NR$32,170&lt;=$NS$32),IF($NP$32="Single_Point",IF(170=$NR$32,$NN$32,0),IF($NP$32="Bell_Curve",$NN$32*(170-$NR$32+1)*($NS$32-170+1)/$NU$32,$NN$32/$NT$32)),0)</f>
        <v/>
      </c>
      <c r="FS32" s="228">
        <f>IF(AND(171&gt;=$NR$32,171&lt;=$NS$32),IF($NP$32="Single_Point",IF(171=$NR$32,$NN$32,0),IF($NP$32="Bell_Curve",$NN$32*(171-$NR$32+1)*($NS$32-171+1)/$NU$32,$NN$32/$NT$32)),0)</f>
        <v/>
      </c>
      <c r="FT32" s="228">
        <f>IF(AND(172&gt;=$NR$32,172&lt;=$NS$32),IF($NP$32="Single_Point",IF(172=$NR$32,$NN$32,0),IF($NP$32="Bell_Curve",$NN$32*(172-$NR$32+1)*($NS$32-172+1)/$NU$32,$NN$32/$NT$32)),0)</f>
        <v/>
      </c>
      <c r="FU32" s="228">
        <f>IF(AND(173&gt;=$NR$32,173&lt;=$NS$32),IF($NP$32="Single_Point",IF(173=$NR$32,$NN$32,0),IF($NP$32="Bell_Curve",$NN$32*(173-$NR$32+1)*($NS$32-173+1)/$NU$32,$NN$32/$NT$32)),0)</f>
        <v/>
      </c>
      <c r="FV32" s="228">
        <f>IF(AND(174&gt;=$NR$32,174&lt;=$NS$32),IF($NP$32="Single_Point",IF(174=$NR$32,$NN$32,0),IF($NP$32="Bell_Curve",$NN$32*(174-$NR$32+1)*($NS$32-174+1)/$NU$32,$NN$32/$NT$32)),0)</f>
        <v/>
      </c>
      <c r="FW32" s="228">
        <f>IF(AND(175&gt;=$NR$32,175&lt;=$NS$32),IF($NP$32="Single_Point",IF(175=$NR$32,$NN$32,0),IF($NP$32="Bell_Curve",$NN$32*(175-$NR$32+1)*($NS$32-175+1)/$NU$32,$NN$32/$NT$32)),0)</f>
        <v/>
      </c>
      <c r="FX32" s="228">
        <f>IF(AND(176&gt;=$NR$32,176&lt;=$NS$32),IF($NP$32="Single_Point",IF(176=$NR$32,$NN$32,0),IF($NP$32="Bell_Curve",$NN$32*(176-$NR$32+1)*($NS$32-176+1)/$NU$32,$NN$32/$NT$32)),0)</f>
        <v/>
      </c>
      <c r="FY32" s="228">
        <f>IF(AND(177&gt;=$NR$32,177&lt;=$NS$32),IF($NP$32="Single_Point",IF(177=$NR$32,$NN$32,0),IF($NP$32="Bell_Curve",$NN$32*(177-$NR$32+1)*($NS$32-177+1)/$NU$32,$NN$32/$NT$32)),0)</f>
        <v/>
      </c>
      <c r="FZ32" s="228">
        <f>IF(AND(178&gt;=$NR$32,178&lt;=$NS$32),IF($NP$32="Single_Point",IF(178=$NR$32,$NN$32,0),IF($NP$32="Bell_Curve",$NN$32*(178-$NR$32+1)*($NS$32-178+1)/$NU$32,$NN$32/$NT$32)),0)</f>
        <v/>
      </c>
      <c r="GA32" s="228">
        <f>IF(AND(179&gt;=$NR$32,179&lt;=$NS$32),IF($NP$32="Single_Point",IF(179=$NR$32,$NN$32,0),IF($NP$32="Bell_Curve",$NN$32*(179-$NR$32+1)*($NS$32-179+1)/$NU$32,$NN$32/$NT$32)),0)</f>
        <v/>
      </c>
      <c r="GB32" s="228">
        <f>IF(AND(180&gt;=$NR$32,180&lt;=$NS$32),IF($NP$32="Single_Point",IF(180=$NR$32,$NN$32,0),IF($NP$32="Bell_Curve",$NN$32*(180-$NR$32+1)*($NS$32-180+1)/$NU$32,$NN$32/$NT$32)),0)</f>
        <v/>
      </c>
      <c r="GC32" s="228">
        <f>IF(AND(181&gt;=$NR$32,181&lt;=$NS$32),IF($NP$32="Single_Point",IF(181=$NR$32,$NN$32,0),IF($NP$32="Bell_Curve",$NN$32*(181-$NR$32+1)*($NS$32-181+1)/$NU$32,$NN$32/$NT$32)),0)</f>
        <v/>
      </c>
      <c r="GD32" s="228">
        <f>IF(AND(182&gt;=$NR$32,182&lt;=$NS$32),IF($NP$32="Single_Point",IF(182=$NR$32,$NN$32,0),IF($NP$32="Bell_Curve",$NN$32*(182-$NR$32+1)*($NS$32-182+1)/$NU$32,$NN$32/$NT$32)),0)</f>
        <v/>
      </c>
      <c r="GE32" s="228">
        <f>IF(AND(183&gt;=$NR$32,183&lt;=$NS$32),IF($NP$32="Single_Point",IF(183=$NR$32,$NN$32,0),IF($NP$32="Bell_Curve",$NN$32*(183-$NR$32+1)*($NS$32-183+1)/$NU$32,$NN$32/$NT$32)),0)</f>
        <v/>
      </c>
      <c r="GF32" s="228">
        <f>IF(AND(184&gt;=$NR$32,184&lt;=$NS$32),IF($NP$32="Single_Point",IF(184=$NR$32,$NN$32,0),IF($NP$32="Bell_Curve",$NN$32*(184-$NR$32+1)*($NS$32-184+1)/$NU$32,$NN$32/$NT$32)),0)</f>
        <v/>
      </c>
      <c r="GG32" s="228">
        <f>IF(AND(185&gt;=$NR$32,185&lt;=$NS$32),IF($NP$32="Single_Point",IF(185=$NR$32,$NN$32,0),IF($NP$32="Bell_Curve",$NN$32*(185-$NR$32+1)*($NS$32-185+1)/$NU$32,$NN$32/$NT$32)),0)</f>
        <v/>
      </c>
      <c r="GH32" s="228">
        <f>IF(AND(186&gt;=$NR$32,186&lt;=$NS$32),IF($NP$32="Single_Point",IF(186=$NR$32,$NN$32,0),IF($NP$32="Bell_Curve",$NN$32*(186-$NR$32+1)*($NS$32-186+1)/$NU$32,$NN$32/$NT$32)),0)</f>
        <v/>
      </c>
      <c r="GI32" s="228">
        <f>IF(AND(187&gt;=$NR$32,187&lt;=$NS$32),IF($NP$32="Single_Point",IF(187=$NR$32,$NN$32,0),IF($NP$32="Bell_Curve",$NN$32*(187-$NR$32+1)*($NS$32-187+1)/$NU$32,$NN$32/$NT$32)),0)</f>
        <v/>
      </c>
      <c r="GJ32" s="228">
        <f>IF(AND(188&gt;=$NR$32,188&lt;=$NS$32),IF($NP$32="Single_Point",IF(188=$NR$32,$NN$32,0),IF($NP$32="Bell_Curve",$NN$32*(188-$NR$32+1)*($NS$32-188+1)/$NU$32,$NN$32/$NT$32)),0)</f>
        <v/>
      </c>
      <c r="GK32" s="228">
        <f>IF(AND(189&gt;=$NR$32,189&lt;=$NS$32),IF($NP$32="Single_Point",IF(189=$NR$32,$NN$32,0),IF($NP$32="Bell_Curve",$NN$32*(189-$NR$32+1)*($NS$32-189+1)/$NU$32,$NN$32/$NT$32)),0)</f>
        <v/>
      </c>
      <c r="GL32" s="228">
        <f>IF(AND(190&gt;=$NR$32,190&lt;=$NS$32),IF($NP$32="Single_Point",IF(190=$NR$32,$NN$32,0),IF($NP$32="Bell_Curve",$NN$32*(190-$NR$32+1)*($NS$32-190+1)/$NU$32,$NN$32/$NT$32)),0)</f>
        <v/>
      </c>
      <c r="GM32" s="228">
        <f>IF(AND(191&gt;=$NR$32,191&lt;=$NS$32),IF($NP$32="Single_Point",IF(191=$NR$32,$NN$32,0),IF($NP$32="Bell_Curve",$NN$32*(191-$NR$32+1)*($NS$32-191+1)/$NU$32,$NN$32/$NT$32)),0)</f>
        <v/>
      </c>
      <c r="GN32" s="228">
        <f>IF(AND(192&gt;=$NR$32,192&lt;=$NS$32),IF($NP$32="Single_Point",IF(192=$NR$32,$NN$32,0),IF($NP$32="Bell_Curve",$NN$32*(192-$NR$32+1)*($NS$32-192+1)/$NU$32,$NN$32/$NT$32)),0)</f>
        <v/>
      </c>
      <c r="GO32" s="228">
        <f>IF(AND(193&gt;=$NR$32,193&lt;=$NS$32),IF($NP$32="Single_Point",IF(193=$NR$32,$NN$32,0),IF($NP$32="Bell_Curve",$NN$32*(193-$NR$32+1)*($NS$32-193+1)/$NU$32,$NN$32/$NT$32)),0)</f>
        <v/>
      </c>
      <c r="GP32" s="228">
        <f>IF(AND(194&gt;=$NR$32,194&lt;=$NS$32),IF($NP$32="Single_Point",IF(194=$NR$32,$NN$32,0),IF($NP$32="Bell_Curve",$NN$32*(194-$NR$32+1)*($NS$32-194+1)/$NU$32,$NN$32/$NT$32)),0)</f>
        <v/>
      </c>
      <c r="GQ32" s="228">
        <f>IF(AND(195&gt;=$NR$32,195&lt;=$NS$32),IF($NP$32="Single_Point",IF(195=$NR$32,$NN$32,0),IF($NP$32="Bell_Curve",$NN$32*(195-$NR$32+1)*($NS$32-195+1)/$NU$32,$NN$32/$NT$32)),0)</f>
        <v/>
      </c>
      <c r="GR32" s="228">
        <f>IF(AND(196&gt;=$NR$32,196&lt;=$NS$32),IF($NP$32="Single_Point",IF(196=$NR$32,$NN$32,0),IF($NP$32="Bell_Curve",$NN$32*(196-$NR$32+1)*($NS$32-196+1)/$NU$32,$NN$32/$NT$32)),0)</f>
        <v/>
      </c>
      <c r="GS32" s="228">
        <f>IF(AND(197&gt;=$NR$32,197&lt;=$NS$32),IF($NP$32="Single_Point",IF(197=$NR$32,$NN$32,0),IF($NP$32="Bell_Curve",$NN$32*(197-$NR$32+1)*($NS$32-197+1)/$NU$32,$NN$32/$NT$32)),0)</f>
        <v/>
      </c>
      <c r="GT32" s="228">
        <f>IF(AND(198&gt;=$NR$32,198&lt;=$NS$32),IF($NP$32="Single_Point",IF(198=$NR$32,$NN$32,0),IF($NP$32="Bell_Curve",$NN$32*(198-$NR$32+1)*($NS$32-198+1)/$NU$32,$NN$32/$NT$32)),0)</f>
        <v/>
      </c>
      <c r="GU32" s="228">
        <f>IF(AND(199&gt;=$NR$32,199&lt;=$NS$32),IF($NP$32="Single_Point",IF(199=$NR$32,$NN$32,0),IF($NP$32="Bell_Curve",$NN$32*(199-$NR$32+1)*($NS$32-199+1)/$NU$32,$NN$32/$NT$32)),0)</f>
        <v/>
      </c>
      <c r="GV32" s="228">
        <f>IF(AND(200&gt;=$NR$32,200&lt;=$NS$32),IF($NP$32="Single_Point",IF(200=$NR$32,$NN$32,0),IF($NP$32="Bell_Curve",$NN$32*(200-$NR$32+1)*($NS$32-200+1)/$NU$32,$NN$32/$NT$32)),0)</f>
        <v/>
      </c>
      <c r="GW32" s="228">
        <f>IF(AND(201&gt;=$NR$32,201&lt;=$NS$32),IF($NP$32="Single_Point",IF(201=$NR$32,$NN$32,0),IF($NP$32="Bell_Curve",$NN$32*(201-$NR$32+1)*($NS$32-201+1)/$NU$32,$NN$32/$NT$32)),0)</f>
        <v/>
      </c>
      <c r="GX32" s="228">
        <f>IF(AND(202&gt;=$NR$32,202&lt;=$NS$32),IF($NP$32="Single_Point",IF(202=$NR$32,$NN$32,0),IF($NP$32="Bell_Curve",$NN$32*(202-$NR$32+1)*($NS$32-202+1)/$NU$32,$NN$32/$NT$32)),0)</f>
        <v/>
      </c>
      <c r="GY32" s="228">
        <f>IF(AND(203&gt;=$NR$32,203&lt;=$NS$32),IF($NP$32="Single_Point",IF(203=$NR$32,$NN$32,0),IF($NP$32="Bell_Curve",$NN$32*(203-$NR$32+1)*($NS$32-203+1)/$NU$32,$NN$32/$NT$32)),0)</f>
        <v/>
      </c>
      <c r="GZ32" s="228">
        <f>IF(AND(204&gt;=$NR$32,204&lt;=$NS$32),IF($NP$32="Single_Point",IF(204=$NR$32,$NN$32,0),IF($NP$32="Bell_Curve",$NN$32*(204-$NR$32+1)*($NS$32-204+1)/$NU$32,$NN$32/$NT$32)),0)</f>
        <v/>
      </c>
      <c r="HA32" s="228">
        <f>IF(AND(205&gt;=$NR$32,205&lt;=$NS$32),IF($NP$32="Single_Point",IF(205=$NR$32,$NN$32,0),IF($NP$32="Bell_Curve",$NN$32*(205-$NR$32+1)*($NS$32-205+1)/$NU$32,$NN$32/$NT$32)),0)</f>
        <v/>
      </c>
      <c r="HB32" s="228">
        <f>IF(AND(206&gt;=$NR$32,206&lt;=$NS$32),IF($NP$32="Single_Point",IF(206=$NR$32,$NN$32,0),IF($NP$32="Bell_Curve",$NN$32*(206-$NR$32+1)*($NS$32-206+1)/$NU$32,$NN$32/$NT$32)),0)</f>
        <v/>
      </c>
      <c r="HC32" s="228">
        <f>IF(AND(207&gt;=$NR$32,207&lt;=$NS$32),IF($NP$32="Single_Point",IF(207=$NR$32,$NN$32,0),IF($NP$32="Bell_Curve",$NN$32*(207-$NR$32+1)*($NS$32-207+1)/$NU$32,$NN$32/$NT$32)),0)</f>
        <v/>
      </c>
      <c r="HD32" s="228">
        <f>IF(AND(208&gt;=$NR$32,208&lt;=$NS$32),IF($NP$32="Single_Point",IF(208=$NR$32,$NN$32,0),IF($NP$32="Bell_Curve",$NN$32*(208-$NR$32+1)*($NS$32-208+1)/$NU$32,$NN$32/$NT$32)),0)</f>
        <v/>
      </c>
      <c r="HE32" s="228">
        <f>IF(AND(209&gt;=$NR$32,209&lt;=$NS$32),IF($NP$32="Single_Point",IF(209=$NR$32,$NN$32,0),IF($NP$32="Bell_Curve",$NN$32*(209-$NR$32+1)*($NS$32-209+1)/$NU$32,$NN$32/$NT$32)),0)</f>
        <v/>
      </c>
      <c r="HF32" s="228">
        <f>IF(AND(210&gt;=$NR$32,210&lt;=$NS$32),IF($NP$32="Single_Point",IF(210=$NR$32,$NN$32,0),IF($NP$32="Bell_Curve",$NN$32*(210-$NR$32+1)*($NS$32-210+1)/$NU$32,$NN$32/$NT$32)),0)</f>
        <v/>
      </c>
      <c r="HG32" s="228">
        <f>IF(AND(211&gt;=$NR$32,211&lt;=$NS$32),IF($NP$32="Single_Point",IF(211=$NR$32,$NN$32,0),IF($NP$32="Bell_Curve",$NN$32*(211-$NR$32+1)*($NS$32-211+1)/$NU$32,$NN$32/$NT$32)),0)</f>
        <v/>
      </c>
      <c r="HH32" s="228">
        <f>IF(AND(212&gt;=$NR$32,212&lt;=$NS$32),IF($NP$32="Single_Point",IF(212=$NR$32,$NN$32,0),IF($NP$32="Bell_Curve",$NN$32*(212-$NR$32+1)*($NS$32-212+1)/$NU$32,$NN$32/$NT$32)),0)</f>
        <v/>
      </c>
      <c r="HI32" s="228">
        <f>IF(AND(213&gt;=$NR$32,213&lt;=$NS$32),IF($NP$32="Single_Point",IF(213=$NR$32,$NN$32,0),IF($NP$32="Bell_Curve",$NN$32*(213-$NR$32+1)*($NS$32-213+1)/$NU$32,$NN$32/$NT$32)),0)</f>
        <v/>
      </c>
      <c r="HJ32" s="228">
        <f>IF(AND(214&gt;=$NR$32,214&lt;=$NS$32),IF($NP$32="Single_Point",IF(214=$NR$32,$NN$32,0),IF($NP$32="Bell_Curve",$NN$32*(214-$NR$32+1)*($NS$32-214+1)/$NU$32,$NN$32/$NT$32)),0)</f>
        <v/>
      </c>
      <c r="HK32" s="228">
        <f>IF(AND(215&gt;=$NR$32,215&lt;=$NS$32),IF($NP$32="Single_Point",IF(215=$NR$32,$NN$32,0),IF($NP$32="Bell_Curve",$NN$32*(215-$NR$32+1)*($NS$32-215+1)/$NU$32,$NN$32/$NT$32)),0)</f>
        <v/>
      </c>
      <c r="HL32" s="228">
        <f>IF(AND(216&gt;=$NR$32,216&lt;=$NS$32),IF($NP$32="Single_Point",IF(216=$NR$32,$NN$32,0),IF($NP$32="Bell_Curve",$NN$32*(216-$NR$32+1)*($NS$32-216+1)/$NU$32,$NN$32/$NT$32)),0)</f>
        <v/>
      </c>
      <c r="HM32" s="228">
        <f>IF(AND(217&gt;=$NR$32,217&lt;=$NS$32),IF($NP$32="Single_Point",IF(217=$NR$32,$NN$32,0),IF($NP$32="Bell_Curve",$NN$32*(217-$NR$32+1)*($NS$32-217+1)/$NU$32,$NN$32/$NT$32)),0)</f>
        <v/>
      </c>
      <c r="HN32" s="228">
        <f>IF(AND(218&gt;=$NR$32,218&lt;=$NS$32),IF($NP$32="Single_Point",IF(218=$NR$32,$NN$32,0),IF($NP$32="Bell_Curve",$NN$32*(218-$NR$32+1)*($NS$32-218+1)/$NU$32,$NN$32/$NT$32)),0)</f>
        <v/>
      </c>
      <c r="HO32" s="228">
        <f>IF(AND(219&gt;=$NR$32,219&lt;=$NS$32),IF($NP$32="Single_Point",IF(219=$NR$32,$NN$32,0),IF($NP$32="Bell_Curve",$NN$32*(219-$NR$32+1)*($NS$32-219+1)/$NU$32,$NN$32/$NT$32)),0)</f>
        <v/>
      </c>
      <c r="HP32" s="228">
        <f>IF(AND(220&gt;=$NR$32,220&lt;=$NS$32),IF($NP$32="Single_Point",IF(220=$NR$32,$NN$32,0),IF($NP$32="Bell_Curve",$NN$32*(220-$NR$32+1)*($NS$32-220+1)/$NU$32,$NN$32/$NT$32)),0)</f>
        <v/>
      </c>
      <c r="HQ32" s="228">
        <f>IF(AND(221&gt;=$NR$32,221&lt;=$NS$32),IF($NP$32="Single_Point",IF(221=$NR$32,$NN$32,0),IF($NP$32="Bell_Curve",$NN$32*(221-$NR$32+1)*($NS$32-221+1)/$NU$32,$NN$32/$NT$32)),0)</f>
        <v/>
      </c>
      <c r="HR32" s="228">
        <f>IF(AND(222&gt;=$NR$32,222&lt;=$NS$32),IF($NP$32="Single_Point",IF(222=$NR$32,$NN$32,0),IF($NP$32="Bell_Curve",$NN$32*(222-$NR$32+1)*($NS$32-222+1)/$NU$32,$NN$32/$NT$32)),0)</f>
        <v/>
      </c>
      <c r="HS32" s="228">
        <f>IF(AND(223&gt;=$NR$32,223&lt;=$NS$32),IF($NP$32="Single_Point",IF(223=$NR$32,$NN$32,0),IF($NP$32="Bell_Curve",$NN$32*(223-$NR$32+1)*($NS$32-223+1)/$NU$32,$NN$32/$NT$32)),0)</f>
        <v/>
      </c>
      <c r="HT32" s="228">
        <f>IF(AND(224&gt;=$NR$32,224&lt;=$NS$32),IF($NP$32="Single_Point",IF(224=$NR$32,$NN$32,0),IF($NP$32="Bell_Curve",$NN$32*(224-$NR$32+1)*($NS$32-224+1)/$NU$32,$NN$32/$NT$32)),0)</f>
        <v/>
      </c>
      <c r="HU32" s="228">
        <f>IF(AND(225&gt;=$NR$32,225&lt;=$NS$32),IF($NP$32="Single_Point",IF(225=$NR$32,$NN$32,0),IF($NP$32="Bell_Curve",$NN$32*(225-$NR$32+1)*($NS$32-225+1)/$NU$32,$NN$32/$NT$32)),0)</f>
        <v/>
      </c>
      <c r="HV32" s="228">
        <f>IF(AND(226&gt;=$NR$32,226&lt;=$NS$32),IF($NP$32="Single_Point",IF(226=$NR$32,$NN$32,0),IF($NP$32="Bell_Curve",$NN$32*(226-$NR$32+1)*($NS$32-226+1)/$NU$32,$NN$32/$NT$32)),0)</f>
        <v/>
      </c>
      <c r="HW32" s="228">
        <f>IF(AND(227&gt;=$NR$32,227&lt;=$NS$32),IF($NP$32="Single_Point",IF(227=$NR$32,$NN$32,0),IF($NP$32="Bell_Curve",$NN$32*(227-$NR$32+1)*($NS$32-227+1)/$NU$32,$NN$32/$NT$32)),0)</f>
        <v/>
      </c>
      <c r="HX32" s="228">
        <f>IF(AND(228&gt;=$NR$32,228&lt;=$NS$32),IF($NP$32="Single_Point",IF(228=$NR$32,$NN$32,0),IF($NP$32="Bell_Curve",$NN$32*(228-$NR$32+1)*($NS$32-228+1)/$NU$32,$NN$32/$NT$32)),0)</f>
        <v/>
      </c>
      <c r="HY32" s="228">
        <f>IF(AND(229&gt;=$NR$32,229&lt;=$NS$32),IF($NP$32="Single_Point",IF(229=$NR$32,$NN$32,0),IF($NP$32="Bell_Curve",$NN$32*(229-$NR$32+1)*($NS$32-229+1)/$NU$32,$NN$32/$NT$32)),0)</f>
        <v/>
      </c>
      <c r="HZ32" s="228">
        <f>IF(AND(230&gt;=$NR$32,230&lt;=$NS$32),IF($NP$32="Single_Point",IF(230=$NR$32,$NN$32,0),IF($NP$32="Bell_Curve",$NN$32*(230-$NR$32+1)*($NS$32-230+1)/$NU$32,$NN$32/$NT$32)),0)</f>
        <v/>
      </c>
      <c r="IA32" s="228">
        <f>IF(AND(231&gt;=$NR$32,231&lt;=$NS$32),IF($NP$32="Single_Point",IF(231=$NR$32,$NN$32,0),IF($NP$32="Bell_Curve",$NN$32*(231-$NR$32+1)*($NS$32-231+1)/$NU$32,$NN$32/$NT$32)),0)</f>
        <v/>
      </c>
      <c r="IB32" s="228">
        <f>IF(AND(232&gt;=$NR$32,232&lt;=$NS$32),IF($NP$32="Single_Point",IF(232=$NR$32,$NN$32,0),IF($NP$32="Bell_Curve",$NN$32*(232-$NR$32+1)*($NS$32-232+1)/$NU$32,$NN$32/$NT$32)),0)</f>
        <v/>
      </c>
      <c r="IC32" s="228">
        <f>IF(AND(233&gt;=$NR$32,233&lt;=$NS$32),IF($NP$32="Single_Point",IF(233=$NR$32,$NN$32,0),IF($NP$32="Bell_Curve",$NN$32*(233-$NR$32+1)*($NS$32-233+1)/$NU$32,$NN$32/$NT$32)),0)</f>
        <v/>
      </c>
      <c r="ID32" s="228">
        <f>IF(AND(234&gt;=$NR$32,234&lt;=$NS$32),IF($NP$32="Single_Point",IF(234=$NR$32,$NN$32,0),IF($NP$32="Bell_Curve",$NN$32*(234-$NR$32+1)*($NS$32-234+1)/$NU$32,$NN$32/$NT$32)),0)</f>
        <v/>
      </c>
      <c r="IE32" s="228">
        <f>IF(AND(235&gt;=$NR$32,235&lt;=$NS$32),IF($NP$32="Single_Point",IF(235=$NR$32,$NN$32,0),IF($NP$32="Bell_Curve",$NN$32*(235-$NR$32+1)*($NS$32-235+1)/$NU$32,$NN$32/$NT$32)),0)</f>
        <v/>
      </c>
      <c r="IF32" s="228">
        <f>IF(AND(236&gt;=$NR$32,236&lt;=$NS$32),IF($NP$32="Single_Point",IF(236=$NR$32,$NN$32,0),IF($NP$32="Bell_Curve",$NN$32*(236-$NR$32+1)*($NS$32-236+1)/$NU$32,$NN$32/$NT$32)),0)</f>
        <v/>
      </c>
      <c r="IG32" s="228">
        <f>IF(AND(237&gt;=$NR$32,237&lt;=$NS$32),IF($NP$32="Single_Point",IF(237=$NR$32,$NN$32,0),IF($NP$32="Bell_Curve",$NN$32*(237-$NR$32+1)*($NS$32-237+1)/$NU$32,$NN$32/$NT$32)),0)</f>
        <v/>
      </c>
      <c r="IH32" s="228">
        <f>IF(AND(238&gt;=$NR$32,238&lt;=$NS$32),IF($NP$32="Single_Point",IF(238=$NR$32,$NN$32,0),IF($NP$32="Bell_Curve",$NN$32*(238-$NR$32+1)*($NS$32-238+1)/$NU$32,$NN$32/$NT$32)),0)</f>
        <v/>
      </c>
      <c r="II32" s="228">
        <f>IF(AND(239&gt;=$NR$32,239&lt;=$NS$32),IF($NP$32="Single_Point",IF(239=$NR$32,$NN$32,0),IF($NP$32="Bell_Curve",$NN$32*(239-$NR$32+1)*($NS$32-239+1)/$NU$32,$NN$32/$NT$32)),0)</f>
        <v/>
      </c>
      <c r="IJ32" s="228">
        <f>IF(AND(240&gt;=$NR$32,240&lt;=$NS$32),IF($NP$32="Single_Point",IF(240=$NR$32,$NN$32,0),IF($NP$32="Bell_Curve",$NN$32*(240-$NR$32+1)*($NS$32-240+1)/$NU$32,$NN$32/$NT$32)),0)</f>
        <v/>
      </c>
      <c r="IK32" s="228">
        <f>IF(AND(241&gt;=$NR$32,241&lt;=$NS$32),IF($NP$32="Single_Point",IF(241=$NR$32,$NN$32,0),IF($NP$32="Bell_Curve",$NN$32*(241-$NR$32+1)*($NS$32-241+1)/$NU$32,$NN$32/$NT$32)),0)</f>
        <v/>
      </c>
      <c r="IL32" s="228">
        <f>IF(AND(242&gt;=$NR$32,242&lt;=$NS$32),IF($NP$32="Single_Point",IF(242=$NR$32,$NN$32,0),IF($NP$32="Bell_Curve",$NN$32*(242-$NR$32+1)*($NS$32-242+1)/$NU$32,$NN$32/$NT$32)),0)</f>
        <v/>
      </c>
      <c r="IM32" s="228">
        <f>IF(AND(243&gt;=$NR$32,243&lt;=$NS$32),IF($NP$32="Single_Point",IF(243=$NR$32,$NN$32,0),IF($NP$32="Bell_Curve",$NN$32*(243-$NR$32+1)*($NS$32-243+1)/$NU$32,$NN$32/$NT$32)),0)</f>
        <v/>
      </c>
      <c r="IN32" s="228">
        <f>IF(AND(244&gt;=$NR$32,244&lt;=$NS$32),IF($NP$32="Single_Point",IF(244=$NR$32,$NN$32,0),IF($NP$32="Bell_Curve",$NN$32*(244-$NR$32+1)*($NS$32-244+1)/$NU$32,$NN$32/$NT$32)),0)</f>
        <v/>
      </c>
      <c r="IO32" s="228">
        <f>IF(AND(245&gt;=$NR$32,245&lt;=$NS$32),IF($NP$32="Single_Point",IF(245=$NR$32,$NN$32,0),IF($NP$32="Bell_Curve",$NN$32*(245-$NR$32+1)*($NS$32-245+1)/$NU$32,$NN$32/$NT$32)),0)</f>
        <v/>
      </c>
      <c r="IP32" s="228">
        <f>IF(AND(246&gt;=$NR$32,246&lt;=$NS$32),IF($NP$32="Single_Point",IF(246=$NR$32,$NN$32,0),IF($NP$32="Bell_Curve",$NN$32*(246-$NR$32+1)*($NS$32-246+1)/$NU$32,$NN$32/$NT$32)),0)</f>
        <v/>
      </c>
      <c r="IQ32" s="228">
        <f>IF(AND(247&gt;=$NR$32,247&lt;=$NS$32),IF($NP$32="Single_Point",IF(247=$NR$32,$NN$32,0),IF($NP$32="Bell_Curve",$NN$32*(247-$NR$32+1)*($NS$32-247+1)/$NU$32,$NN$32/$NT$32)),0)</f>
        <v/>
      </c>
      <c r="IR32" s="228">
        <f>IF(AND(248&gt;=$NR$32,248&lt;=$NS$32),IF($NP$32="Single_Point",IF(248=$NR$32,$NN$32,0),IF($NP$32="Bell_Curve",$NN$32*(248-$NR$32+1)*($NS$32-248+1)/$NU$32,$NN$32/$NT$32)),0)</f>
        <v/>
      </c>
      <c r="IS32" s="228">
        <f>IF(AND(249&gt;=$NR$32,249&lt;=$NS$32),IF($NP$32="Single_Point",IF(249=$NR$32,$NN$32,0),IF($NP$32="Bell_Curve",$NN$32*(249-$NR$32+1)*($NS$32-249+1)/$NU$32,$NN$32/$NT$32)),0)</f>
        <v/>
      </c>
      <c r="IT32" s="228">
        <f>IF(AND(250&gt;=$NR$32,250&lt;=$NS$32),IF($NP$32="Single_Point",IF(250=$NR$32,$NN$32,0),IF($NP$32="Bell_Curve",$NN$32*(250-$NR$32+1)*($NS$32-250+1)/$NU$32,$NN$32/$NT$32)),0)</f>
        <v/>
      </c>
      <c r="IU32" s="228">
        <f>IF(AND(251&gt;=$NR$32,251&lt;=$NS$32),IF($NP$32="Single_Point",IF(251=$NR$32,$NN$32,0),IF($NP$32="Bell_Curve",$NN$32*(251-$NR$32+1)*($NS$32-251+1)/$NU$32,$NN$32/$NT$32)),0)</f>
        <v/>
      </c>
      <c r="IV32" s="228">
        <f>IF(AND(252&gt;=$NR$32,252&lt;=$NS$32),IF($NP$32="Single_Point",IF(252=$NR$32,$NN$32,0),IF($NP$32="Bell_Curve",$NN$32*(252-$NR$32+1)*($NS$32-252+1)/$NU$32,$NN$32/$NT$32)),0)</f>
        <v/>
      </c>
      <c r="IW32" s="228">
        <f>IF(AND(253&gt;=$NR$32,253&lt;=$NS$32),IF($NP$32="Single_Point",IF(253=$NR$32,$NN$32,0),IF($NP$32="Bell_Curve",$NN$32*(253-$NR$32+1)*($NS$32-253+1)/$NU$32,$NN$32/$NT$32)),0)</f>
        <v/>
      </c>
      <c r="IX32" s="228">
        <f>IF(AND(254&gt;=$NR$32,254&lt;=$NS$32),IF($NP$32="Single_Point",IF(254=$NR$32,$NN$32,0),IF($NP$32="Bell_Curve",$NN$32*(254-$NR$32+1)*($NS$32-254+1)/$NU$32,$NN$32/$NT$32)),0)</f>
        <v/>
      </c>
      <c r="IY32" s="228">
        <f>IF(AND(255&gt;=$NR$32,255&lt;=$NS$32),IF($NP$32="Single_Point",IF(255=$NR$32,$NN$32,0),IF($NP$32="Bell_Curve",$NN$32*(255-$NR$32+1)*($NS$32-255+1)/$NU$32,$NN$32/$NT$32)),0)</f>
        <v/>
      </c>
      <c r="IZ32" s="228">
        <f>IF(AND(256&gt;=$NR$32,256&lt;=$NS$32),IF($NP$32="Single_Point",IF(256=$NR$32,$NN$32,0),IF($NP$32="Bell_Curve",$NN$32*(256-$NR$32+1)*($NS$32-256+1)/$NU$32,$NN$32/$NT$32)),0)</f>
        <v/>
      </c>
      <c r="JA32" s="228">
        <f>IF(AND(257&gt;=$NR$32,257&lt;=$NS$32),IF($NP$32="Single_Point",IF(257=$NR$32,$NN$32,0),IF($NP$32="Bell_Curve",$NN$32*(257-$NR$32+1)*($NS$32-257+1)/$NU$32,$NN$32/$NT$32)),0)</f>
        <v/>
      </c>
      <c r="JB32" s="228">
        <f>IF(AND(258&gt;=$NR$32,258&lt;=$NS$32),IF($NP$32="Single_Point",IF(258=$NR$32,$NN$32,0),IF($NP$32="Bell_Curve",$NN$32*(258-$NR$32+1)*($NS$32-258+1)/$NU$32,$NN$32/$NT$32)),0)</f>
        <v/>
      </c>
      <c r="JC32" s="228">
        <f>IF(AND(259&gt;=$NR$32,259&lt;=$NS$32),IF($NP$32="Single_Point",IF(259=$NR$32,$NN$32,0),IF($NP$32="Bell_Curve",$NN$32*(259-$NR$32+1)*($NS$32-259+1)/$NU$32,$NN$32/$NT$32)),0)</f>
        <v/>
      </c>
      <c r="JD32" s="228">
        <f>IF(AND(260&gt;=$NR$32,260&lt;=$NS$32),IF($NP$32="Single_Point",IF(260=$NR$32,$NN$32,0),IF($NP$32="Bell_Curve",$NN$32*(260-$NR$32+1)*($NS$32-260+1)/$NU$32,$NN$32/$NT$32)),0)</f>
        <v/>
      </c>
      <c r="JE32" s="228">
        <f>IF(AND(261&gt;=$NR$32,261&lt;=$NS$32),IF($NP$32="Single_Point",IF(261=$NR$32,$NN$32,0),IF($NP$32="Bell_Curve",$NN$32*(261-$NR$32+1)*($NS$32-261+1)/$NU$32,$NN$32/$NT$32)),0)</f>
        <v/>
      </c>
      <c r="JF32" s="228">
        <f>IF(AND(262&gt;=$NR$32,262&lt;=$NS$32),IF($NP$32="Single_Point",IF(262=$NR$32,$NN$32,0),IF($NP$32="Bell_Curve",$NN$32*(262-$NR$32+1)*($NS$32-262+1)/$NU$32,$NN$32/$NT$32)),0)</f>
        <v/>
      </c>
      <c r="JG32" s="228">
        <f>IF(AND(263&gt;=$NR$32,263&lt;=$NS$32),IF($NP$32="Single_Point",IF(263=$NR$32,$NN$32,0),IF($NP$32="Bell_Curve",$NN$32*(263-$NR$32+1)*($NS$32-263+1)/$NU$32,$NN$32/$NT$32)),0)</f>
        <v/>
      </c>
      <c r="JH32" s="228">
        <f>IF(AND(264&gt;=$NR$32,264&lt;=$NS$32),IF($NP$32="Single_Point",IF(264=$NR$32,$NN$32,0),IF($NP$32="Bell_Curve",$NN$32*(264-$NR$32+1)*($NS$32-264+1)/$NU$32,$NN$32/$NT$32)),0)</f>
        <v/>
      </c>
      <c r="JI32" s="228">
        <f>IF(AND(265&gt;=$NR$32,265&lt;=$NS$32),IF($NP$32="Single_Point",IF(265=$NR$32,$NN$32,0),IF($NP$32="Bell_Curve",$NN$32*(265-$NR$32+1)*($NS$32-265+1)/$NU$32,$NN$32/$NT$32)),0)</f>
        <v/>
      </c>
      <c r="JJ32" s="228">
        <f>IF(AND(266&gt;=$NR$32,266&lt;=$NS$32),IF($NP$32="Single_Point",IF(266=$NR$32,$NN$32,0),IF($NP$32="Bell_Curve",$NN$32*(266-$NR$32+1)*($NS$32-266+1)/$NU$32,$NN$32/$NT$32)),0)</f>
        <v/>
      </c>
      <c r="JK32" s="228">
        <f>IF(AND(267&gt;=$NR$32,267&lt;=$NS$32),IF($NP$32="Single_Point",IF(267=$NR$32,$NN$32,0),IF($NP$32="Bell_Curve",$NN$32*(267-$NR$32+1)*($NS$32-267+1)/$NU$32,$NN$32/$NT$32)),0)</f>
        <v/>
      </c>
      <c r="JL32" s="228">
        <f>IF(AND(268&gt;=$NR$32,268&lt;=$NS$32),IF($NP$32="Single_Point",IF(268=$NR$32,$NN$32,0),IF($NP$32="Bell_Curve",$NN$32*(268-$NR$32+1)*($NS$32-268+1)/$NU$32,$NN$32/$NT$32)),0)</f>
        <v/>
      </c>
      <c r="JM32" s="228">
        <f>IF(AND(269&gt;=$NR$32,269&lt;=$NS$32),IF($NP$32="Single_Point",IF(269=$NR$32,$NN$32,0),IF($NP$32="Bell_Curve",$NN$32*(269-$NR$32+1)*($NS$32-269+1)/$NU$32,$NN$32/$NT$32)),0)</f>
        <v/>
      </c>
      <c r="JN32" s="228">
        <f>IF(AND(270&gt;=$NR$32,270&lt;=$NS$32),IF($NP$32="Single_Point",IF(270=$NR$32,$NN$32,0),IF($NP$32="Bell_Curve",$NN$32*(270-$NR$32+1)*($NS$32-270+1)/$NU$32,$NN$32/$NT$32)),0)</f>
        <v/>
      </c>
      <c r="JO32" s="228">
        <f>IF(AND(271&gt;=$NR$32,271&lt;=$NS$32),IF($NP$32="Single_Point",IF(271=$NR$32,$NN$32,0),IF($NP$32="Bell_Curve",$NN$32*(271-$NR$32+1)*($NS$32-271+1)/$NU$32,$NN$32/$NT$32)),0)</f>
        <v/>
      </c>
      <c r="JP32" s="228">
        <f>IF(AND(272&gt;=$NR$32,272&lt;=$NS$32),IF($NP$32="Single_Point",IF(272=$NR$32,$NN$32,0),IF($NP$32="Bell_Curve",$NN$32*(272-$NR$32+1)*($NS$32-272+1)/$NU$32,$NN$32/$NT$32)),0)</f>
        <v/>
      </c>
      <c r="JQ32" s="228">
        <f>IF(AND(273&gt;=$NR$32,273&lt;=$NS$32),IF($NP$32="Single_Point",IF(273=$NR$32,$NN$32,0),IF($NP$32="Bell_Curve",$NN$32*(273-$NR$32+1)*($NS$32-273+1)/$NU$32,$NN$32/$NT$32)),0)</f>
        <v/>
      </c>
      <c r="JR32" s="228">
        <f>IF(AND(274&gt;=$NR$32,274&lt;=$NS$32),IF($NP$32="Single_Point",IF(274=$NR$32,$NN$32,0),IF($NP$32="Bell_Curve",$NN$32*(274-$NR$32+1)*($NS$32-274+1)/$NU$32,$NN$32/$NT$32)),0)</f>
        <v/>
      </c>
      <c r="JS32" s="228">
        <f>IF(AND(275&gt;=$NR$32,275&lt;=$NS$32),IF($NP$32="Single_Point",IF(275=$NR$32,$NN$32,0),IF($NP$32="Bell_Curve",$NN$32*(275-$NR$32+1)*($NS$32-275+1)/$NU$32,$NN$32/$NT$32)),0)</f>
        <v/>
      </c>
      <c r="JT32" s="228">
        <f>IF(AND(276&gt;=$NR$32,276&lt;=$NS$32),IF($NP$32="Single_Point",IF(276=$NR$32,$NN$32,0),IF($NP$32="Bell_Curve",$NN$32*(276-$NR$32+1)*($NS$32-276+1)/$NU$32,$NN$32/$NT$32)),0)</f>
        <v/>
      </c>
      <c r="JU32" s="228">
        <f>IF(AND(277&gt;=$NR$32,277&lt;=$NS$32),IF($NP$32="Single_Point",IF(277=$NR$32,$NN$32,0),IF($NP$32="Bell_Curve",$NN$32*(277-$NR$32+1)*($NS$32-277+1)/$NU$32,$NN$32/$NT$32)),0)</f>
        <v/>
      </c>
      <c r="JV32" s="228">
        <f>IF(AND(278&gt;=$NR$32,278&lt;=$NS$32),IF($NP$32="Single_Point",IF(278=$NR$32,$NN$32,0),IF($NP$32="Bell_Curve",$NN$32*(278-$NR$32+1)*($NS$32-278+1)/$NU$32,$NN$32/$NT$32)),0)</f>
        <v/>
      </c>
      <c r="JW32" s="228">
        <f>IF(AND(279&gt;=$NR$32,279&lt;=$NS$32),IF($NP$32="Single_Point",IF(279=$NR$32,$NN$32,0),IF($NP$32="Bell_Curve",$NN$32*(279-$NR$32+1)*($NS$32-279+1)/$NU$32,$NN$32/$NT$32)),0)</f>
        <v/>
      </c>
      <c r="JX32" s="228">
        <f>IF(AND(280&gt;=$NR$32,280&lt;=$NS$32),IF($NP$32="Single_Point",IF(280=$NR$32,$NN$32,0),IF($NP$32="Bell_Curve",$NN$32*(280-$NR$32+1)*($NS$32-280+1)/$NU$32,$NN$32/$NT$32)),0)</f>
        <v/>
      </c>
      <c r="JY32" s="228">
        <f>IF(AND(281&gt;=$NR$32,281&lt;=$NS$32),IF($NP$32="Single_Point",IF(281=$NR$32,$NN$32,0),IF($NP$32="Bell_Curve",$NN$32*(281-$NR$32+1)*($NS$32-281+1)/$NU$32,$NN$32/$NT$32)),0)</f>
        <v/>
      </c>
      <c r="JZ32" s="228">
        <f>IF(AND(282&gt;=$NR$32,282&lt;=$NS$32),IF($NP$32="Single_Point",IF(282=$NR$32,$NN$32,0),IF($NP$32="Bell_Curve",$NN$32*(282-$NR$32+1)*($NS$32-282+1)/$NU$32,$NN$32/$NT$32)),0)</f>
        <v/>
      </c>
      <c r="KA32" s="228">
        <f>IF(AND(283&gt;=$NR$32,283&lt;=$NS$32),IF($NP$32="Single_Point",IF(283=$NR$32,$NN$32,0),IF($NP$32="Bell_Curve",$NN$32*(283-$NR$32+1)*($NS$32-283+1)/$NU$32,$NN$32/$NT$32)),0)</f>
        <v/>
      </c>
      <c r="KB32" s="228">
        <f>IF(AND(284&gt;=$NR$32,284&lt;=$NS$32),IF($NP$32="Single_Point",IF(284=$NR$32,$NN$32,0),IF($NP$32="Bell_Curve",$NN$32*(284-$NR$32+1)*($NS$32-284+1)/$NU$32,$NN$32/$NT$32)),0)</f>
        <v/>
      </c>
      <c r="KC32" s="228">
        <f>IF(AND(285&gt;=$NR$32,285&lt;=$NS$32),IF($NP$32="Single_Point",IF(285=$NR$32,$NN$32,0),IF($NP$32="Bell_Curve",$NN$32*(285-$NR$32+1)*($NS$32-285+1)/$NU$32,$NN$32/$NT$32)),0)</f>
        <v/>
      </c>
      <c r="KD32" s="228">
        <f>IF(AND(286&gt;=$NR$32,286&lt;=$NS$32),IF($NP$32="Single_Point",IF(286=$NR$32,$NN$32,0),IF($NP$32="Bell_Curve",$NN$32*(286-$NR$32+1)*($NS$32-286+1)/$NU$32,$NN$32/$NT$32)),0)</f>
        <v/>
      </c>
      <c r="KE32" s="228">
        <f>IF(AND(287&gt;=$NR$32,287&lt;=$NS$32),IF($NP$32="Single_Point",IF(287=$NR$32,$NN$32,0),IF($NP$32="Bell_Curve",$NN$32*(287-$NR$32+1)*($NS$32-287+1)/$NU$32,$NN$32/$NT$32)),0)</f>
        <v/>
      </c>
      <c r="KF32" s="228">
        <f>IF(AND(288&gt;=$NR$32,288&lt;=$NS$32),IF($NP$32="Single_Point",IF(288=$NR$32,$NN$32,0),IF($NP$32="Bell_Curve",$NN$32*(288-$NR$32+1)*($NS$32-288+1)/$NU$32,$NN$32/$NT$32)),0)</f>
        <v/>
      </c>
      <c r="KG32" s="228">
        <f>IF(AND(289&gt;=$NR$32,289&lt;=$NS$32),IF($NP$32="Single_Point",IF(289=$NR$32,$NN$32,0),IF($NP$32="Bell_Curve",$NN$32*(289-$NR$32+1)*($NS$32-289+1)/$NU$32,$NN$32/$NT$32)),0)</f>
        <v/>
      </c>
      <c r="KH32" s="228">
        <f>IF(AND(290&gt;=$NR$32,290&lt;=$NS$32),IF($NP$32="Single_Point",IF(290=$NR$32,$NN$32,0),IF($NP$32="Bell_Curve",$NN$32*(290-$NR$32+1)*($NS$32-290+1)/$NU$32,$NN$32/$NT$32)),0)</f>
        <v/>
      </c>
      <c r="KI32" s="228">
        <f>IF(AND(291&gt;=$NR$32,291&lt;=$NS$32),IF($NP$32="Single_Point",IF(291=$NR$32,$NN$32,0),IF($NP$32="Bell_Curve",$NN$32*(291-$NR$32+1)*($NS$32-291+1)/$NU$32,$NN$32/$NT$32)),0)</f>
        <v/>
      </c>
      <c r="KJ32" s="228">
        <f>IF(AND(292&gt;=$NR$32,292&lt;=$NS$32),IF($NP$32="Single_Point",IF(292=$NR$32,$NN$32,0),IF($NP$32="Bell_Curve",$NN$32*(292-$NR$32+1)*($NS$32-292+1)/$NU$32,$NN$32/$NT$32)),0)</f>
        <v/>
      </c>
      <c r="KK32" s="228">
        <f>IF(AND(293&gt;=$NR$32,293&lt;=$NS$32),IF($NP$32="Single_Point",IF(293=$NR$32,$NN$32,0),IF($NP$32="Bell_Curve",$NN$32*(293-$NR$32+1)*($NS$32-293+1)/$NU$32,$NN$32/$NT$32)),0)</f>
        <v/>
      </c>
      <c r="KL32" s="228">
        <f>IF(AND(294&gt;=$NR$32,294&lt;=$NS$32),IF($NP$32="Single_Point",IF(294=$NR$32,$NN$32,0),IF($NP$32="Bell_Curve",$NN$32*(294-$NR$32+1)*($NS$32-294+1)/$NU$32,$NN$32/$NT$32)),0)</f>
        <v/>
      </c>
      <c r="KM32" s="228">
        <f>IF(AND(295&gt;=$NR$32,295&lt;=$NS$32),IF($NP$32="Single_Point",IF(295=$NR$32,$NN$32,0),IF($NP$32="Bell_Curve",$NN$32*(295-$NR$32+1)*($NS$32-295+1)/$NU$32,$NN$32/$NT$32)),0)</f>
        <v/>
      </c>
      <c r="KN32" s="228">
        <f>IF(AND(296&gt;=$NR$32,296&lt;=$NS$32),IF($NP$32="Single_Point",IF(296=$NR$32,$NN$32,0),IF($NP$32="Bell_Curve",$NN$32*(296-$NR$32+1)*($NS$32-296+1)/$NU$32,$NN$32/$NT$32)),0)</f>
        <v/>
      </c>
      <c r="KO32" s="228">
        <f>IF(AND(297&gt;=$NR$32,297&lt;=$NS$32),IF($NP$32="Single_Point",IF(297=$NR$32,$NN$32,0),IF($NP$32="Bell_Curve",$NN$32*(297-$NR$32+1)*($NS$32-297+1)/$NU$32,$NN$32/$NT$32)),0)</f>
        <v/>
      </c>
      <c r="KP32" s="228">
        <f>IF(AND(298&gt;=$NR$32,298&lt;=$NS$32),IF($NP$32="Single_Point",IF(298=$NR$32,$NN$32,0),IF($NP$32="Bell_Curve",$NN$32*(298-$NR$32+1)*($NS$32-298+1)/$NU$32,$NN$32/$NT$32)),0)</f>
        <v/>
      </c>
      <c r="KQ32" s="228">
        <f>IF(AND(299&gt;=$NR$32,299&lt;=$NS$32),IF($NP$32="Single_Point",IF(299=$NR$32,$NN$32,0),IF($NP$32="Bell_Curve",$NN$32*(299-$NR$32+1)*($NS$32-299+1)/$NU$32,$NN$32/$NT$32)),0)</f>
        <v/>
      </c>
      <c r="KR32" s="228">
        <f>IF(AND(300&gt;=$NR$32,300&lt;=$NS$32),IF($NP$32="Single_Point",IF(300=$NR$32,$NN$32,0),IF($NP$32="Bell_Curve",$NN$32*(300-$NR$32+1)*($NS$32-300+1)/$NU$32,$NN$32/$NT$32)),0)</f>
        <v/>
      </c>
      <c r="KS32" s="228">
        <f>IF(AND(301&gt;=$NR$32,301&lt;=$NS$32),IF($NP$32="Single_Point",IF(301=$NR$32,$NN$32,0),IF($NP$32="Bell_Curve",$NN$32*(301-$NR$32+1)*($NS$32-301+1)/$NU$32,$NN$32/$NT$32)),0)</f>
        <v/>
      </c>
      <c r="KT32" s="228">
        <f>IF(AND(302&gt;=$NR$32,302&lt;=$NS$32),IF($NP$32="Single_Point",IF(302=$NR$32,$NN$32,0),IF($NP$32="Bell_Curve",$NN$32*(302-$NR$32+1)*($NS$32-302+1)/$NU$32,$NN$32/$NT$32)),0)</f>
        <v/>
      </c>
      <c r="KU32" s="228">
        <f>IF(AND(303&gt;=$NR$32,303&lt;=$NS$32),IF($NP$32="Single_Point",IF(303=$NR$32,$NN$32,0),IF($NP$32="Bell_Curve",$NN$32*(303-$NR$32+1)*($NS$32-303+1)/$NU$32,$NN$32/$NT$32)),0)</f>
        <v/>
      </c>
      <c r="KV32" s="228">
        <f>IF(AND(304&gt;=$NR$32,304&lt;=$NS$32),IF($NP$32="Single_Point",IF(304=$NR$32,$NN$32,0),IF($NP$32="Bell_Curve",$NN$32*(304-$NR$32+1)*($NS$32-304+1)/$NU$32,$NN$32/$NT$32)),0)</f>
        <v/>
      </c>
      <c r="KW32" s="228">
        <f>IF(AND(305&gt;=$NR$32,305&lt;=$NS$32),IF($NP$32="Single_Point",IF(305=$NR$32,$NN$32,0),IF($NP$32="Bell_Curve",$NN$32*(305-$NR$32+1)*($NS$32-305+1)/$NU$32,$NN$32/$NT$32)),0)</f>
        <v/>
      </c>
      <c r="KX32" s="228">
        <f>IF(AND(306&gt;=$NR$32,306&lt;=$NS$32),IF($NP$32="Single_Point",IF(306=$NR$32,$NN$32,0),IF($NP$32="Bell_Curve",$NN$32*(306-$NR$32+1)*($NS$32-306+1)/$NU$32,$NN$32/$NT$32)),0)</f>
        <v/>
      </c>
      <c r="KY32" s="228">
        <f>IF(AND(307&gt;=$NR$32,307&lt;=$NS$32),IF($NP$32="Single_Point",IF(307=$NR$32,$NN$32,0),IF($NP$32="Bell_Curve",$NN$32*(307-$NR$32+1)*($NS$32-307+1)/$NU$32,$NN$32/$NT$32)),0)</f>
        <v/>
      </c>
      <c r="KZ32" s="228">
        <f>IF(AND(308&gt;=$NR$32,308&lt;=$NS$32),IF($NP$32="Single_Point",IF(308=$NR$32,$NN$32,0),IF($NP$32="Bell_Curve",$NN$32*(308-$NR$32+1)*($NS$32-308+1)/$NU$32,$NN$32/$NT$32)),0)</f>
        <v/>
      </c>
      <c r="LA32" s="228">
        <f>IF(AND(309&gt;=$NR$32,309&lt;=$NS$32),IF($NP$32="Single_Point",IF(309=$NR$32,$NN$32,0),IF($NP$32="Bell_Curve",$NN$32*(309-$NR$32+1)*($NS$32-309+1)/$NU$32,$NN$32/$NT$32)),0)</f>
        <v/>
      </c>
      <c r="LB32" s="228">
        <f>IF(AND(310&gt;=$NR$32,310&lt;=$NS$32),IF($NP$32="Single_Point",IF(310=$NR$32,$NN$32,0),IF($NP$32="Bell_Curve",$NN$32*(310-$NR$32+1)*($NS$32-310+1)/$NU$32,$NN$32/$NT$32)),0)</f>
        <v/>
      </c>
      <c r="LC32" s="228">
        <f>IF(AND(311&gt;=$NR$32,311&lt;=$NS$32),IF($NP$32="Single_Point",IF(311=$NR$32,$NN$32,0),IF($NP$32="Bell_Curve",$NN$32*(311-$NR$32+1)*($NS$32-311+1)/$NU$32,$NN$32/$NT$32)),0)</f>
        <v/>
      </c>
      <c r="LD32" s="228">
        <f>IF(AND(312&gt;=$NR$32,312&lt;=$NS$32),IF($NP$32="Single_Point",IF(312=$NR$32,$NN$32,0),IF($NP$32="Bell_Curve",$NN$32*(312-$NR$32+1)*($NS$32-312+1)/$NU$32,$NN$32/$NT$32)),0)</f>
        <v/>
      </c>
      <c r="LE32" s="228">
        <f>IF(AND(313&gt;=$NR$32,313&lt;=$NS$32),IF($NP$32="Single_Point",IF(313=$NR$32,$NN$32,0),IF($NP$32="Bell_Curve",$NN$32*(313-$NR$32+1)*($NS$32-313+1)/$NU$32,$NN$32/$NT$32)),0)</f>
        <v/>
      </c>
      <c r="LF32" s="228">
        <f>IF(AND(314&gt;=$NR$32,314&lt;=$NS$32),IF($NP$32="Single_Point",IF(314=$NR$32,$NN$32,0),IF($NP$32="Bell_Curve",$NN$32*(314-$NR$32+1)*($NS$32-314+1)/$NU$32,$NN$32/$NT$32)),0)</f>
        <v/>
      </c>
      <c r="LG32" s="228">
        <f>IF(AND(315&gt;=$NR$32,315&lt;=$NS$32),IF($NP$32="Single_Point",IF(315=$NR$32,$NN$32,0),IF($NP$32="Bell_Curve",$NN$32*(315-$NR$32+1)*($NS$32-315+1)/$NU$32,$NN$32/$NT$32)),0)</f>
        <v/>
      </c>
      <c r="LH32" s="228">
        <f>IF(AND(316&gt;=$NR$32,316&lt;=$NS$32),IF($NP$32="Single_Point",IF(316=$NR$32,$NN$32,0),IF($NP$32="Bell_Curve",$NN$32*(316-$NR$32+1)*($NS$32-316+1)/$NU$32,$NN$32/$NT$32)),0)</f>
        <v/>
      </c>
      <c r="LI32" s="228">
        <f>IF(AND(317&gt;=$NR$32,317&lt;=$NS$32),IF($NP$32="Single_Point",IF(317=$NR$32,$NN$32,0),IF($NP$32="Bell_Curve",$NN$32*(317-$NR$32+1)*($NS$32-317+1)/$NU$32,$NN$32/$NT$32)),0)</f>
        <v/>
      </c>
      <c r="LJ32" s="228">
        <f>IF(AND(318&gt;=$NR$32,318&lt;=$NS$32),IF($NP$32="Single_Point",IF(318=$NR$32,$NN$32,0),IF($NP$32="Bell_Curve",$NN$32*(318-$NR$32+1)*($NS$32-318+1)/$NU$32,$NN$32/$NT$32)),0)</f>
        <v/>
      </c>
      <c r="LK32" s="228">
        <f>IF(AND(319&gt;=$NR$32,319&lt;=$NS$32),IF($NP$32="Single_Point",IF(319=$NR$32,$NN$32,0),IF($NP$32="Bell_Curve",$NN$32*(319-$NR$32+1)*($NS$32-319+1)/$NU$32,$NN$32/$NT$32)),0)</f>
        <v/>
      </c>
      <c r="LL32" s="228">
        <f>IF(AND(320&gt;=$NR$32,320&lt;=$NS$32),IF($NP$32="Single_Point",IF(320=$NR$32,$NN$32,0),IF($NP$32="Bell_Curve",$NN$32*(320-$NR$32+1)*($NS$32-320+1)/$NU$32,$NN$32/$NT$32)),0)</f>
        <v/>
      </c>
      <c r="LM32" s="228">
        <f>IF(AND(321&gt;=$NR$32,321&lt;=$NS$32),IF($NP$32="Single_Point",IF(321=$NR$32,$NN$32,0),IF($NP$32="Bell_Curve",$NN$32*(321-$NR$32+1)*($NS$32-321+1)/$NU$32,$NN$32/$NT$32)),0)</f>
        <v/>
      </c>
      <c r="LN32" s="228">
        <f>IF(AND(322&gt;=$NR$32,322&lt;=$NS$32),IF($NP$32="Single_Point",IF(322=$NR$32,$NN$32,0),IF($NP$32="Bell_Curve",$NN$32*(322-$NR$32+1)*($NS$32-322+1)/$NU$32,$NN$32/$NT$32)),0)</f>
        <v/>
      </c>
      <c r="LO32" s="228">
        <f>IF(AND(323&gt;=$NR$32,323&lt;=$NS$32),IF($NP$32="Single_Point",IF(323=$NR$32,$NN$32,0),IF($NP$32="Bell_Curve",$NN$32*(323-$NR$32+1)*($NS$32-323+1)/$NU$32,$NN$32/$NT$32)),0)</f>
        <v/>
      </c>
      <c r="LP32" s="228">
        <f>IF(AND(324&gt;=$NR$32,324&lt;=$NS$32),IF($NP$32="Single_Point",IF(324=$NR$32,$NN$32,0),IF($NP$32="Bell_Curve",$NN$32*(324-$NR$32+1)*($NS$32-324+1)/$NU$32,$NN$32/$NT$32)),0)</f>
        <v/>
      </c>
      <c r="LQ32" s="228">
        <f>IF(AND(325&gt;=$NR$32,325&lt;=$NS$32),IF($NP$32="Single_Point",IF(325=$NR$32,$NN$32,0),IF($NP$32="Bell_Curve",$NN$32*(325-$NR$32+1)*($NS$32-325+1)/$NU$32,$NN$32/$NT$32)),0)</f>
        <v/>
      </c>
      <c r="LR32" s="228">
        <f>IF(AND(326&gt;=$NR$32,326&lt;=$NS$32),IF($NP$32="Single_Point",IF(326=$NR$32,$NN$32,0),IF($NP$32="Bell_Curve",$NN$32*(326-$NR$32+1)*($NS$32-326+1)/$NU$32,$NN$32/$NT$32)),0)</f>
        <v/>
      </c>
      <c r="LS32" s="228">
        <f>IF(AND(327&gt;=$NR$32,327&lt;=$NS$32),IF($NP$32="Single_Point",IF(327=$NR$32,$NN$32,0),IF($NP$32="Bell_Curve",$NN$32*(327-$NR$32+1)*($NS$32-327+1)/$NU$32,$NN$32/$NT$32)),0)</f>
        <v/>
      </c>
      <c r="LT32" s="228">
        <f>IF(AND(328&gt;=$NR$32,328&lt;=$NS$32),IF($NP$32="Single_Point",IF(328=$NR$32,$NN$32,0),IF($NP$32="Bell_Curve",$NN$32*(328-$NR$32+1)*($NS$32-328+1)/$NU$32,$NN$32/$NT$32)),0)</f>
        <v/>
      </c>
      <c r="LU32" s="228">
        <f>IF(AND(329&gt;=$NR$32,329&lt;=$NS$32),IF($NP$32="Single_Point",IF(329=$NR$32,$NN$32,0),IF($NP$32="Bell_Curve",$NN$32*(329-$NR$32+1)*($NS$32-329+1)/$NU$32,$NN$32/$NT$32)),0)</f>
        <v/>
      </c>
      <c r="LV32" s="228">
        <f>IF(AND(330&gt;=$NR$32,330&lt;=$NS$32),IF($NP$32="Single_Point",IF(330=$NR$32,$NN$32,0),IF($NP$32="Bell_Curve",$NN$32*(330-$NR$32+1)*($NS$32-330+1)/$NU$32,$NN$32/$NT$32)),0)</f>
        <v/>
      </c>
      <c r="LW32" s="228">
        <f>IF(AND(331&gt;=$NR$32,331&lt;=$NS$32),IF($NP$32="Single_Point",IF(331=$NR$32,$NN$32,0),IF($NP$32="Bell_Curve",$NN$32*(331-$NR$32+1)*($NS$32-331+1)/$NU$32,$NN$32/$NT$32)),0)</f>
        <v/>
      </c>
      <c r="LX32" s="228">
        <f>IF(AND(332&gt;=$NR$32,332&lt;=$NS$32),IF($NP$32="Single_Point",IF(332=$NR$32,$NN$32,0),IF($NP$32="Bell_Curve",$NN$32*(332-$NR$32+1)*($NS$32-332+1)/$NU$32,$NN$32/$NT$32)),0)</f>
        <v/>
      </c>
      <c r="LY32" s="228">
        <f>IF(AND(333&gt;=$NR$32,333&lt;=$NS$32),IF($NP$32="Single_Point",IF(333=$NR$32,$NN$32,0),IF($NP$32="Bell_Curve",$NN$32*(333-$NR$32+1)*($NS$32-333+1)/$NU$32,$NN$32/$NT$32)),0)</f>
        <v/>
      </c>
      <c r="LZ32" s="228">
        <f>IF(AND(334&gt;=$NR$32,334&lt;=$NS$32),IF($NP$32="Single_Point",IF(334=$NR$32,$NN$32,0),IF($NP$32="Bell_Curve",$NN$32*(334-$NR$32+1)*($NS$32-334+1)/$NU$32,$NN$32/$NT$32)),0)</f>
        <v/>
      </c>
      <c r="MA32" s="228">
        <f>IF(AND(335&gt;=$NR$32,335&lt;=$NS$32),IF($NP$32="Single_Point",IF(335=$NR$32,$NN$32,0),IF($NP$32="Bell_Curve",$NN$32*(335-$NR$32+1)*($NS$32-335+1)/$NU$32,$NN$32/$NT$32)),0)</f>
        <v/>
      </c>
      <c r="MB32" s="228">
        <f>IF(AND(336&gt;=$NR$32,336&lt;=$NS$32),IF($NP$32="Single_Point",IF(336=$NR$32,$NN$32,0),IF($NP$32="Bell_Curve",$NN$32*(336-$NR$32+1)*($NS$32-336+1)/$NU$32,$NN$32/$NT$32)),0)</f>
        <v/>
      </c>
      <c r="MC32" s="228">
        <f>IF(AND(337&gt;=$NR$32,337&lt;=$NS$32),IF($NP$32="Single_Point",IF(337=$NR$32,$NN$32,0),IF($NP$32="Bell_Curve",$NN$32*(337-$NR$32+1)*($NS$32-337+1)/$NU$32,$NN$32/$NT$32)),0)</f>
        <v/>
      </c>
      <c r="MD32" s="228">
        <f>IF(AND(338&gt;=$NR$32,338&lt;=$NS$32),IF($NP$32="Single_Point",IF(338=$NR$32,$NN$32,0),IF($NP$32="Bell_Curve",$NN$32*(338-$NR$32+1)*($NS$32-338+1)/$NU$32,$NN$32/$NT$32)),0)</f>
        <v/>
      </c>
      <c r="ME32" s="228">
        <f>IF(AND(339&gt;=$NR$32,339&lt;=$NS$32),IF($NP$32="Single_Point",IF(339=$NR$32,$NN$32,0),IF($NP$32="Bell_Curve",$NN$32*(339-$NR$32+1)*($NS$32-339+1)/$NU$32,$NN$32/$NT$32)),0)</f>
        <v/>
      </c>
      <c r="MF32" s="228">
        <f>IF(AND(340&gt;=$NR$32,340&lt;=$NS$32),IF($NP$32="Single_Point",IF(340=$NR$32,$NN$32,0),IF($NP$32="Bell_Curve",$NN$32*(340-$NR$32+1)*($NS$32-340+1)/$NU$32,$NN$32/$NT$32)),0)</f>
        <v/>
      </c>
      <c r="MG32" s="228">
        <f>IF(AND(341&gt;=$NR$32,341&lt;=$NS$32),IF($NP$32="Single_Point",IF(341=$NR$32,$NN$32,0),IF($NP$32="Bell_Curve",$NN$32*(341-$NR$32+1)*($NS$32-341+1)/$NU$32,$NN$32/$NT$32)),0)</f>
        <v/>
      </c>
      <c r="MH32" s="228">
        <f>IF(AND(342&gt;=$NR$32,342&lt;=$NS$32),IF($NP$32="Single_Point",IF(342=$NR$32,$NN$32,0),IF($NP$32="Bell_Curve",$NN$32*(342-$NR$32+1)*($NS$32-342+1)/$NU$32,$NN$32/$NT$32)),0)</f>
        <v/>
      </c>
      <c r="MI32" s="228">
        <f>IF(AND(343&gt;=$NR$32,343&lt;=$NS$32),IF($NP$32="Single_Point",IF(343=$NR$32,$NN$32,0),IF($NP$32="Bell_Curve",$NN$32*(343-$NR$32+1)*($NS$32-343+1)/$NU$32,$NN$32/$NT$32)),0)</f>
        <v/>
      </c>
      <c r="MJ32" s="228">
        <f>IF(AND(344&gt;=$NR$32,344&lt;=$NS$32),IF($NP$32="Single_Point",IF(344=$NR$32,$NN$32,0),IF($NP$32="Bell_Curve",$NN$32*(344-$NR$32+1)*($NS$32-344+1)/$NU$32,$NN$32/$NT$32)),0)</f>
        <v/>
      </c>
      <c r="MK32" s="228">
        <f>IF(AND(345&gt;=$NR$32,345&lt;=$NS$32),IF($NP$32="Single_Point",IF(345=$NR$32,$NN$32,0),IF($NP$32="Bell_Curve",$NN$32*(345-$NR$32+1)*($NS$32-345+1)/$NU$32,$NN$32/$NT$32)),0)</f>
        <v/>
      </c>
      <c r="ML32" s="228">
        <f>IF(AND(346&gt;=$NR$32,346&lt;=$NS$32),IF($NP$32="Single_Point",IF(346=$NR$32,$NN$32,0),IF($NP$32="Bell_Curve",$NN$32*(346-$NR$32+1)*($NS$32-346+1)/$NU$32,$NN$32/$NT$32)),0)</f>
        <v/>
      </c>
      <c r="MM32" s="228">
        <f>IF(AND(347&gt;=$NR$32,347&lt;=$NS$32),IF($NP$32="Single_Point",IF(347=$NR$32,$NN$32,0),IF($NP$32="Bell_Curve",$NN$32*(347-$NR$32+1)*($NS$32-347+1)/$NU$32,$NN$32/$NT$32)),0)</f>
        <v/>
      </c>
      <c r="MN32" s="228">
        <f>IF(AND(348&gt;=$NR$32,348&lt;=$NS$32),IF($NP$32="Single_Point",IF(348=$NR$32,$NN$32,0),IF($NP$32="Bell_Curve",$NN$32*(348-$NR$32+1)*($NS$32-348+1)/$NU$32,$NN$32/$NT$32)),0)</f>
        <v/>
      </c>
      <c r="MO32" s="228">
        <f>IF(AND(349&gt;=$NR$32,349&lt;=$NS$32),IF($NP$32="Single_Point",IF(349=$NR$32,$NN$32,0),IF($NP$32="Bell_Curve",$NN$32*(349-$NR$32+1)*($NS$32-349+1)/$NU$32,$NN$32/$NT$32)),0)</f>
        <v/>
      </c>
      <c r="MP32" s="228">
        <f>IF(AND(350&gt;=$NR$32,350&lt;=$NS$32),IF($NP$32="Single_Point",IF(350=$NR$32,$NN$32,0),IF($NP$32="Bell_Curve",$NN$32*(350-$NR$32+1)*($NS$32-350+1)/$NU$32,$NN$32/$NT$32)),0)</f>
        <v/>
      </c>
      <c r="MQ32" s="228">
        <f>IF(AND(351&gt;=$NR$32,351&lt;=$NS$32),IF($NP$32="Single_Point",IF(351=$NR$32,$NN$32,0),IF($NP$32="Bell_Curve",$NN$32*(351-$NR$32+1)*($NS$32-351+1)/$NU$32,$NN$32/$NT$32)),0)</f>
        <v/>
      </c>
      <c r="MR32" s="228">
        <f>IF(AND(352&gt;=$NR$32,352&lt;=$NS$32),IF($NP$32="Single_Point",IF(352=$NR$32,$NN$32,0),IF($NP$32="Bell_Curve",$NN$32*(352-$NR$32+1)*($NS$32-352+1)/$NU$32,$NN$32/$NT$32)),0)</f>
        <v/>
      </c>
      <c r="MS32" s="228">
        <f>IF(AND(353&gt;=$NR$32,353&lt;=$NS$32),IF($NP$32="Single_Point",IF(353=$NR$32,$NN$32,0),IF($NP$32="Bell_Curve",$NN$32*(353-$NR$32+1)*($NS$32-353+1)/$NU$32,$NN$32/$NT$32)),0)</f>
        <v/>
      </c>
      <c r="MT32" s="228">
        <f>IF(AND(354&gt;=$NR$32,354&lt;=$NS$32),IF($NP$32="Single_Point",IF(354=$NR$32,$NN$32,0),IF($NP$32="Bell_Curve",$NN$32*(354-$NR$32+1)*($NS$32-354+1)/$NU$32,$NN$32/$NT$32)),0)</f>
        <v/>
      </c>
      <c r="MU32" s="228">
        <f>IF(AND(355&gt;=$NR$32,355&lt;=$NS$32),IF($NP$32="Single_Point",IF(355=$NR$32,$NN$32,0),IF($NP$32="Bell_Curve",$NN$32*(355-$NR$32+1)*($NS$32-355+1)/$NU$32,$NN$32/$NT$32)),0)</f>
        <v/>
      </c>
      <c r="MV32" s="228">
        <f>IF(AND(356&gt;=$NR$32,356&lt;=$NS$32),IF($NP$32="Single_Point",IF(356=$NR$32,$NN$32,0),IF($NP$32="Bell_Curve",$NN$32*(356-$NR$32+1)*($NS$32-356+1)/$NU$32,$NN$32/$NT$32)),0)</f>
        <v/>
      </c>
      <c r="MW32" s="228">
        <f>IF(AND(357&gt;=$NR$32,357&lt;=$NS$32),IF($NP$32="Single_Point",IF(357=$NR$32,$NN$32,0),IF($NP$32="Bell_Curve",$NN$32*(357-$NR$32+1)*($NS$32-357+1)/$NU$32,$NN$32/$NT$32)),0)</f>
        <v/>
      </c>
      <c r="MX32" s="228">
        <f>IF(AND(358&gt;=$NR$32,358&lt;=$NS$32),IF($NP$32="Single_Point",IF(358=$NR$32,$NN$32,0),IF($NP$32="Bell_Curve",$NN$32*(358-$NR$32+1)*($NS$32-358+1)/$NU$32,$NN$32/$NT$32)),0)</f>
        <v/>
      </c>
      <c r="MY32" s="228">
        <f>IF(AND(359&gt;=$NR$32,359&lt;=$NS$32),IF($NP$32="Single_Point",IF(359=$NR$32,$NN$32,0),IF($NP$32="Bell_Curve",$NN$32*(359-$NR$32+1)*($NS$32-359+1)/$NU$32,$NN$32/$NT$32)),0)</f>
        <v/>
      </c>
      <c r="MZ32" s="228">
        <f>IF(AND(360&gt;=$NR$32,360&lt;=$NS$32),IF($NP$32="Single_Point",IF(360=$NR$32,$NN$32,0),IF($NP$32="Bell_Curve",$NN$32*(360-$NR$32+1)*($NS$32-360+1)/$NU$32,$NN$32/$NT$32)),0)</f>
        <v/>
      </c>
      <c r="NA32" s="228">
        <f>IF(AND(361&gt;=$NR$32,361&lt;=$NS$32),IF($NP$32="Single_Point",IF(361=$NR$32,$NN$32,0),IF($NP$32="Bell_Curve",$NN$32*(361-$NR$32+1)*($NS$32-361+1)/$NU$32,$NN$32/$NT$32)),0)</f>
        <v/>
      </c>
      <c r="NB32" s="228">
        <f>IF(AND(362&gt;=$NR$32,362&lt;=$NS$32),IF($NP$32="Single_Point",IF(362=$NR$32,$NN$32,0),IF($NP$32="Bell_Curve",$NN$32*(362-$NR$32+1)*($NS$32-362+1)/$NU$32,$NN$32/$NT$32)),0)</f>
        <v/>
      </c>
      <c r="NC32" s="228">
        <f>IF(AND(363&gt;=$NR$32,363&lt;=$NS$32),IF($NP$32="Single_Point",IF(363=$NR$32,$NN$32,0),IF($NP$32="Bell_Curve",$NN$32*(363-$NR$32+1)*($NS$32-363+1)/$NU$32,$NN$32/$NT$32)),0)</f>
        <v/>
      </c>
      <c r="ND32" s="228">
        <f>IF(AND(364&gt;=$NR$32,364&lt;=$NS$32),IF($NP$32="Single_Point",IF(364=$NR$32,$NN$32,0),IF($NP$32="Bell_Curve",$NN$32*(364-$NR$32+1)*($NS$32-364+1)/$NU$32,$NN$32/$NT$32)),0)</f>
        <v/>
      </c>
      <c r="NE32" s="228">
        <f>IF(AND(365&gt;=$NR$32,365&lt;=$NS$32),IF($NP$32="Single_Point",IF(365=$NR$32,$NN$32,0),IF($NP$32="Bell_Curve",$NN$32*(365-$NR$32+1)*($NS$32-365+1)/$NU$32,$NN$32/$NT$32)),0)</f>
        <v/>
      </c>
      <c r="NF32" s="228">
        <f>IF(AND(366&gt;=$NR$32,366&lt;=$NS$32),IF($NP$32="Single_Point",IF(366=$NR$32,$NN$32,0),IF($NP$32="Bell_Curve",$NN$32*(366-$NR$32+1)*($NS$32-366+1)/$NU$32,$NN$32/$NT$32)),0)</f>
        <v/>
      </c>
      <c r="NG32" s="228">
        <f>IF(AND(367&gt;=$NR$32,367&lt;=$NS$32),IF($NP$32="Single_Point",IF(367=$NR$32,$NN$32,0),IF($NP$32="Bell_Curve",$NN$32*(367-$NR$32+1)*($NS$32-367+1)/$NU$32,$NN$32/$NT$32)),0)</f>
        <v/>
      </c>
      <c r="NH32" s="228">
        <f>IF(AND(368&gt;=$NR$32,368&lt;=$NS$32),IF($NP$32="Single_Point",IF(368=$NR$32,$NN$32,0),IF($NP$32="Bell_Curve",$NN$32*(368-$NR$32+1)*($NS$32-368+1)/$NU$32,$NN$32/$NT$32)),0)</f>
        <v/>
      </c>
      <c r="NI32" s="228">
        <f>IF(AND(369&gt;=$NR$32,369&lt;=$NS$32),IF($NP$32="Single_Point",IF(369=$NR$32,$NN$32,0),IF($NP$32="Bell_Curve",$NN$32*(369-$NR$32+1)*($NS$32-369+1)/$NU$32,$NN$32/$NT$32)),0)</f>
        <v/>
      </c>
      <c r="NJ32" s="228">
        <f>IF(AND(370&gt;=$NR$32,370&lt;=$NS$32),IF($NP$32="Single_Point",IF(370=$NR$32,$NN$32,0),IF($NP$32="Bell_Curve",$NN$32*(370-$NR$32+1)*($NS$32-370+1)/$NU$32,$NN$32/$NT$32)),0)</f>
        <v/>
      </c>
      <c r="NK32" s="228">
        <f>IF(AND(371&gt;=$NR$32,371&lt;=$NS$32),IF($NP$32="Single_Point",IF(371=$NR$32,$NN$32,0),IF($NP$32="Bell_Curve",$NN$32*(371-$NR$32+1)*($NS$32-371+1)/$NU$32,$NN$32/$NT$32)),0)</f>
        <v/>
      </c>
      <c r="NL32" s="247">
        <f>IF(AND(372&gt;=$NR$32,372&lt;=$NS$32),IF($NP$32="Single_Point",IF(372=$NR$32,$NN$32,0),IF($NP$32="Bell_Curve",$NN$32*(372-$NR$32+1)*($NS$32-372+1)/$NU$32,$NN$32/$NT$32)),0)</f>
        <v/>
      </c>
      <c r="NN32" s="218">
        <f>Budget!J31</f>
        <v/>
      </c>
      <c r="NO32" s="144">
        <f>Budget!G31</f>
        <v/>
      </c>
      <c r="NP32" s="144">
        <f>Budget!H31</f>
        <v/>
      </c>
      <c r="NQ32" s="85">
        <f>Budget!I31</f>
        <v/>
      </c>
      <c r="NR32" s="248">
        <f>MAX(1,MIN(372,INDEX(MilestoneStart,MATCH(NO32,MilestoneNames,0))+NQ32))</f>
        <v/>
      </c>
      <c r="NS32" s="248">
        <f>MAX(NR32,MIN(372,INDEX(MilestoneEnd,MATCH(NO32,MilestoneNames,0))+NQ32))</f>
        <v/>
      </c>
      <c r="NT32" s="85">
        <f>NS32-NR32+1</f>
        <v/>
      </c>
      <c r="NU32" s="85">
        <f>NT32*(NT32+1)*(NT32+2)/6</f>
        <v/>
      </c>
    </row>
    <row r="33">
      <c r="B33" s="52" t="n"/>
      <c r="D33" s="249" t="n"/>
      <c r="E33" s="249" t="n"/>
      <c r="F33" s="249" t="n"/>
      <c r="G33" s="249" t="n"/>
      <c r="H33" s="249" t="n"/>
      <c r="I33" s="249" t="n"/>
      <c r="J33" s="249" t="n"/>
      <c r="K33" s="249" t="n"/>
      <c r="L33" s="249" t="n"/>
      <c r="M33" s="249" t="n"/>
      <c r="N33" s="249" t="n"/>
      <c r="O33" s="249" t="n"/>
      <c r="P33" s="249" t="n"/>
      <c r="Q33" s="249" t="n"/>
      <c r="R33" s="249" t="n"/>
      <c r="S33" s="249" t="n"/>
      <c r="T33" s="249" t="n"/>
      <c r="U33" s="249" t="n"/>
      <c r="V33" s="249" t="n"/>
      <c r="W33" s="249" t="n"/>
      <c r="X33" s="249" t="n"/>
      <c r="Y33" s="249" t="n"/>
      <c r="Z33" s="249" t="n"/>
      <c r="AA33" s="249" t="n"/>
      <c r="AB33" s="249" t="n"/>
      <c r="AC33" s="249" t="n"/>
      <c r="AD33" s="249" t="n"/>
      <c r="AE33" s="249" t="n"/>
      <c r="AF33" s="249" t="n"/>
      <c r="AG33" s="249" t="n"/>
      <c r="AH33" s="249" t="n"/>
      <c r="AI33" s="249" t="n"/>
      <c r="AJ33" s="249" t="n"/>
      <c r="AK33" s="249" t="n"/>
      <c r="AL33" s="249" t="n"/>
      <c r="AM33" s="249" t="n"/>
      <c r="AN33" s="249" t="n"/>
      <c r="AO33" s="249" t="n"/>
      <c r="AP33" s="249" t="n"/>
      <c r="AQ33" s="249" t="n"/>
      <c r="AR33" s="249" t="n"/>
      <c r="AS33" s="249" t="n"/>
      <c r="AT33" s="249" t="n"/>
      <c r="AU33" s="249" t="n"/>
      <c r="AV33" s="249" t="n"/>
      <c r="AW33" s="249" t="n"/>
      <c r="AX33" s="249" t="n"/>
      <c r="AY33" s="249" t="n"/>
      <c r="AZ33" s="249" t="n"/>
      <c r="BA33" s="249" t="n"/>
      <c r="BB33" s="249" t="n"/>
      <c r="BC33" s="249" t="n"/>
      <c r="BD33" s="249" t="n"/>
      <c r="BE33" s="249" t="n"/>
      <c r="BF33" s="249" t="n"/>
      <c r="BG33" s="249" t="n"/>
      <c r="BH33" s="249" t="n"/>
      <c r="BI33" s="249" t="n"/>
      <c r="BJ33" s="249" t="n"/>
      <c r="BK33" s="249" t="n"/>
      <c r="BL33" s="249" t="n"/>
      <c r="BM33" s="249" t="n"/>
      <c r="BN33" s="249" t="n"/>
      <c r="BO33" s="249" t="n"/>
      <c r="BP33" s="249" t="n"/>
      <c r="BQ33" s="249" t="n"/>
      <c r="BR33" s="249" t="n"/>
      <c r="BS33" s="249" t="n"/>
      <c r="BT33" s="249" t="n"/>
      <c r="BU33" s="249" t="n"/>
      <c r="BV33" s="249" t="n"/>
      <c r="BW33" s="249" t="n"/>
      <c r="BX33" s="249" t="n"/>
      <c r="BY33" s="249" t="n"/>
      <c r="BZ33" s="249" t="n"/>
      <c r="CA33" s="249" t="n"/>
      <c r="CB33" s="249" t="n"/>
      <c r="CC33" s="249" t="n"/>
      <c r="CD33" s="249" t="n"/>
      <c r="CE33" s="249" t="n"/>
      <c r="CF33" s="249" t="n"/>
      <c r="CG33" s="249" t="n"/>
      <c r="CH33" s="249" t="n"/>
      <c r="CI33" s="249" t="n"/>
      <c r="CJ33" s="249" t="n"/>
      <c r="CK33" s="249" t="n"/>
      <c r="CL33" s="249" t="n"/>
      <c r="CM33" s="249" t="n"/>
      <c r="CN33" s="249" t="n"/>
      <c r="CO33" s="249" t="n"/>
      <c r="CP33" s="249" t="n"/>
      <c r="CQ33" s="249" t="n"/>
      <c r="CR33" s="249" t="n"/>
      <c r="CS33" s="249" t="n"/>
      <c r="CT33" s="249" t="n"/>
      <c r="CU33" s="249" t="n"/>
      <c r="CV33" s="249" t="n"/>
      <c r="CW33" s="249" t="n"/>
      <c r="CX33" s="249" t="n"/>
      <c r="CY33" s="249" t="n"/>
      <c r="CZ33" s="249" t="n"/>
      <c r="DA33" s="249" t="n"/>
      <c r="DB33" s="249" t="n"/>
      <c r="DC33" s="249" t="n"/>
      <c r="DD33" s="249" t="n"/>
      <c r="DE33" s="249" t="n"/>
      <c r="DF33" s="249" t="n"/>
      <c r="DG33" s="249" t="n"/>
      <c r="DH33" s="249" t="n"/>
      <c r="DI33" s="249" t="n"/>
      <c r="DJ33" s="249" t="n"/>
      <c r="DK33" s="249" t="n"/>
      <c r="DL33" s="249" t="n"/>
      <c r="DM33" s="249" t="n"/>
      <c r="DN33" s="249" t="n"/>
      <c r="DO33" s="249" t="n"/>
      <c r="DP33" s="249" t="n"/>
      <c r="DQ33" s="249" t="n"/>
      <c r="DR33" s="249" t="n"/>
      <c r="DS33" s="249" t="n"/>
      <c r="DT33" s="249" t="n"/>
      <c r="DU33" s="249" t="n"/>
      <c r="DV33" s="249" t="n"/>
      <c r="DW33" s="249" t="n"/>
      <c r="DX33" s="249" t="n"/>
      <c r="DY33" s="249" t="n"/>
      <c r="DZ33" s="249" t="n"/>
      <c r="EA33" s="249" t="n"/>
      <c r="EB33" s="249" t="n"/>
      <c r="EC33" s="249" t="n"/>
      <c r="ED33" s="249" t="n"/>
      <c r="EE33" s="249" t="n"/>
      <c r="EF33" s="249" t="n"/>
      <c r="EG33" s="249" t="n"/>
      <c r="EH33" s="249" t="n"/>
      <c r="EI33" s="249" t="n"/>
      <c r="EJ33" s="249" t="n"/>
      <c r="EK33" s="249" t="n"/>
      <c r="EL33" s="249" t="n"/>
      <c r="EM33" s="249" t="n"/>
      <c r="EN33" s="249" t="n"/>
      <c r="EO33" s="249" t="n"/>
      <c r="EP33" s="249" t="n"/>
      <c r="EQ33" s="249" t="n"/>
      <c r="ER33" s="249" t="n"/>
      <c r="ES33" s="249" t="n"/>
      <c r="ET33" s="249" t="n"/>
      <c r="EU33" s="249" t="n"/>
      <c r="EV33" s="249" t="n"/>
      <c r="EW33" s="249" t="n"/>
      <c r="EX33" s="249" t="n"/>
      <c r="EY33" s="249" t="n"/>
      <c r="EZ33" s="249" t="n"/>
      <c r="FA33" s="249" t="n"/>
      <c r="FB33" s="249" t="n"/>
      <c r="FC33" s="249" t="n"/>
      <c r="FD33" s="249" t="n"/>
      <c r="FE33" s="249" t="n"/>
      <c r="FF33" s="249" t="n"/>
      <c r="FG33" s="249" t="n"/>
      <c r="FH33" s="249" t="n"/>
      <c r="FI33" s="249" t="n"/>
      <c r="FJ33" s="249" t="n"/>
      <c r="FK33" s="249" t="n"/>
      <c r="FL33" s="249" t="n"/>
      <c r="FM33" s="249" t="n"/>
      <c r="FN33" s="249" t="n"/>
      <c r="FO33" s="249" t="n"/>
      <c r="FP33" s="249" t="n"/>
      <c r="FQ33" s="249" t="n"/>
      <c r="FR33" s="249" t="n"/>
      <c r="FS33" s="249" t="n"/>
      <c r="FT33" s="249" t="n"/>
      <c r="FU33" s="249" t="n"/>
      <c r="FV33" s="249" t="n"/>
      <c r="FW33" s="249" t="n"/>
      <c r="FX33" s="249" t="n"/>
      <c r="FY33" s="249" t="n"/>
      <c r="FZ33" s="249" t="n"/>
      <c r="GA33" s="249" t="n"/>
      <c r="GB33" s="249" t="n"/>
      <c r="GC33" s="249" t="n"/>
      <c r="GD33" s="249" t="n"/>
      <c r="GE33" s="249" t="n"/>
      <c r="GF33" s="249" t="n"/>
      <c r="GG33" s="249" t="n"/>
      <c r="GH33" s="249" t="n"/>
      <c r="GI33" s="249" t="n"/>
      <c r="GJ33" s="249" t="n"/>
      <c r="GK33" s="249" t="n"/>
      <c r="GL33" s="249" t="n"/>
      <c r="GM33" s="249" t="n"/>
      <c r="GN33" s="249" t="n"/>
      <c r="GO33" s="249" t="n"/>
      <c r="GP33" s="249" t="n"/>
      <c r="GQ33" s="249" t="n"/>
      <c r="GR33" s="249" t="n"/>
      <c r="GS33" s="249" t="n"/>
      <c r="GT33" s="249" t="n"/>
      <c r="GU33" s="249" t="n"/>
      <c r="GV33" s="249" t="n"/>
      <c r="GW33" s="249" t="n"/>
      <c r="GX33" s="249" t="n"/>
      <c r="GY33" s="249" t="n"/>
      <c r="GZ33" s="249" t="n"/>
      <c r="HA33" s="249" t="n"/>
      <c r="HB33" s="249" t="n"/>
      <c r="HC33" s="249" t="n"/>
      <c r="HD33" s="249" t="n"/>
      <c r="HE33" s="249" t="n"/>
      <c r="HF33" s="249" t="n"/>
      <c r="HG33" s="249" t="n"/>
      <c r="HH33" s="249" t="n"/>
      <c r="HI33" s="249" t="n"/>
      <c r="HJ33" s="249" t="n"/>
      <c r="HK33" s="249" t="n"/>
      <c r="HL33" s="249" t="n"/>
      <c r="HM33" s="249" t="n"/>
      <c r="HN33" s="249" t="n"/>
      <c r="HO33" s="249" t="n"/>
      <c r="HP33" s="249" t="n"/>
      <c r="HQ33" s="249" t="n"/>
      <c r="HR33" s="249" t="n"/>
      <c r="HS33" s="249" t="n"/>
      <c r="HT33" s="249" t="n"/>
      <c r="HU33" s="249" t="n"/>
      <c r="HV33" s="249" t="n"/>
      <c r="HW33" s="249" t="n"/>
      <c r="HX33" s="249" t="n"/>
      <c r="HY33" s="249" t="n"/>
      <c r="HZ33" s="249" t="n"/>
      <c r="IA33" s="249" t="n"/>
      <c r="IB33" s="249" t="n"/>
      <c r="IC33" s="249" t="n"/>
      <c r="ID33" s="249" t="n"/>
      <c r="IE33" s="249" t="n"/>
      <c r="IF33" s="249" t="n"/>
      <c r="IG33" s="249" t="n"/>
      <c r="IH33" s="249" t="n"/>
      <c r="II33" s="249" t="n"/>
      <c r="IJ33" s="249" t="n"/>
      <c r="IK33" s="249" t="n"/>
      <c r="IL33" s="249" t="n"/>
      <c r="IM33" s="249" t="n"/>
      <c r="IN33" s="249" t="n"/>
      <c r="IO33" s="249" t="n"/>
      <c r="IP33" s="249" t="n"/>
      <c r="IQ33" s="249" t="n"/>
      <c r="IR33" s="249" t="n"/>
      <c r="IS33" s="249" t="n"/>
      <c r="IT33" s="249" t="n"/>
      <c r="IU33" s="249" t="n"/>
      <c r="IV33" s="249" t="n"/>
      <c r="IW33" s="249" t="n"/>
      <c r="IX33" s="249" t="n"/>
      <c r="IY33" s="249" t="n"/>
      <c r="IZ33" s="249" t="n"/>
      <c r="JA33" s="249" t="n"/>
      <c r="JB33" s="249" t="n"/>
      <c r="JC33" s="249" t="n"/>
      <c r="JD33" s="249" t="n"/>
      <c r="JE33" s="249" t="n"/>
      <c r="JF33" s="249" t="n"/>
      <c r="JG33" s="249" t="n"/>
      <c r="JH33" s="249" t="n"/>
      <c r="JI33" s="249" t="n"/>
      <c r="JJ33" s="249" t="n"/>
      <c r="JK33" s="249" t="n"/>
      <c r="JL33" s="249" t="n"/>
      <c r="JM33" s="249" t="n"/>
      <c r="JN33" s="249" t="n"/>
      <c r="JO33" s="249" t="n"/>
      <c r="JP33" s="249" t="n"/>
      <c r="JQ33" s="249" t="n"/>
      <c r="JR33" s="249" t="n"/>
      <c r="JS33" s="249" t="n"/>
      <c r="JT33" s="249" t="n"/>
      <c r="JU33" s="249" t="n"/>
      <c r="JV33" s="249" t="n"/>
      <c r="JW33" s="249" t="n"/>
      <c r="JX33" s="249" t="n"/>
      <c r="JY33" s="249" t="n"/>
      <c r="JZ33" s="249" t="n"/>
      <c r="KA33" s="249" t="n"/>
      <c r="KB33" s="249" t="n"/>
      <c r="KC33" s="249" t="n"/>
      <c r="KD33" s="249" t="n"/>
      <c r="KE33" s="249" t="n"/>
      <c r="KF33" s="249" t="n"/>
      <c r="KG33" s="249" t="n"/>
      <c r="KH33" s="249" t="n"/>
      <c r="KI33" s="249" t="n"/>
      <c r="KJ33" s="249" t="n"/>
      <c r="KK33" s="249" t="n"/>
      <c r="KL33" s="249" t="n"/>
      <c r="KM33" s="249" t="n"/>
      <c r="KN33" s="249" t="n"/>
      <c r="KO33" s="249" t="n"/>
      <c r="KP33" s="249" t="n"/>
      <c r="KQ33" s="249" t="n"/>
      <c r="KR33" s="249" t="n"/>
      <c r="KS33" s="249" t="n"/>
      <c r="KT33" s="249" t="n"/>
      <c r="KU33" s="249" t="n"/>
      <c r="KV33" s="249" t="n"/>
      <c r="KW33" s="249" t="n"/>
      <c r="KX33" s="249" t="n"/>
      <c r="KY33" s="249" t="n"/>
      <c r="KZ33" s="249" t="n"/>
      <c r="LA33" s="249" t="n"/>
      <c r="LB33" s="249" t="n"/>
      <c r="LC33" s="249" t="n"/>
      <c r="LD33" s="249" t="n"/>
      <c r="LE33" s="249" t="n"/>
      <c r="LF33" s="249" t="n"/>
      <c r="LG33" s="249" t="n"/>
      <c r="LH33" s="249" t="n"/>
      <c r="LI33" s="249" t="n"/>
      <c r="LJ33" s="249" t="n"/>
      <c r="LK33" s="249" t="n"/>
      <c r="LL33" s="249" t="n"/>
      <c r="LM33" s="249" t="n"/>
      <c r="LN33" s="249" t="n"/>
      <c r="LO33" s="249" t="n"/>
      <c r="LP33" s="249" t="n"/>
      <c r="LQ33" s="249" t="n"/>
      <c r="LR33" s="249" t="n"/>
      <c r="LS33" s="249" t="n"/>
      <c r="LT33" s="249" t="n"/>
      <c r="LU33" s="249" t="n"/>
      <c r="LV33" s="249" t="n"/>
      <c r="LW33" s="249" t="n"/>
      <c r="LX33" s="249" t="n"/>
      <c r="LY33" s="249" t="n"/>
      <c r="LZ33" s="249" t="n"/>
      <c r="MA33" s="249" t="n"/>
      <c r="MB33" s="249" t="n"/>
      <c r="MC33" s="249" t="n"/>
      <c r="MD33" s="249" t="n"/>
      <c r="ME33" s="249" t="n"/>
      <c r="MF33" s="249" t="n"/>
      <c r="MG33" s="249" t="n"/>
      <c r="MH33" s="249" t="n"/>
      <c r="MI33" s="249" t="n"/>
      <c r="MJ33" s="249" t="n"/>
      <c r="MK33" s="249" t="n"/>
      <c r="ML33" s="249" t="n"/>
      <c r="MM33" s="249" t="n"/>
      <c r="MN33" s="249" t="n"/>
      <c r="MO33" s="249" t="n"/>
      <c r="MP33" s="249" t="n"/>
      <c r="MQ33" s="249" t="n"/>
      <c r="MR33" s="249" t="n"/>
      <c r="MS33" s="249" t="n"/>
      <c r="MT33" s="249" t="n"/>
      <c r="MU33" s="249" t="n"/>
      <c r="MV33" s="249" t="n"/>
      <c r="MW33" s="249" t="n"/>
      <c r="MX33" s="249" t="n"/>
      <c r="MY33" s="249" t="n"/>
      <c r="MZ33" s="249" t="n"/>
      <c r="NA33" s="249" t="n"/>
      <c r="NB33" s="249" t="n"/>
      <c r="NC33" s="249" t="n"/>
      <c r="ND33" s="249" t="n"/>
      <c r="NE33" s="249" t="n"/>
      <c r="NF33" s="249" t="n"/>
      <c r="NG33" s="249" t="n"/>
      <c r="NH33" s="249" t="n"/>
      <c r="NI33" s="249" t="n"/>
      <c r="NJ33" s="249" t="n"/>
      <c r="NK33" s="249" t="n"/>
      <c r="NL33" s="250" t="n"/>
    </row>
    <row r="34">
      <c r="B34" s="50" t="inlineStr">
        <is>
          <t>Total Development Spend</t>
        </is>
      </c>
      <c r="D34" s="246">
        <f>SUM(E34:NL34)</f>
        <v/>
      </c>
      <c r="E34" s="251">
        <f>SUM(E6:E32)</f>
        <v/>
      </c>
      <c r="F34" s="251">
        <f>SUM(F6:F32)</f>
        <v/>
      </c>
      <c r="G34" s="251">
        <f>SUM(G6:G32)</f>
        <v/>
      </c>
      <c r="H34" s="251">
        <f>SUM(H6:H32)</f>
        <v/>
      </c>
      <c r="I34" s="251">
        <f>SUM(I6:I32)</f>
        <v/>
      </c>
      <c r="J34" s="251">
        <f>SUM(J6:J32)</f>
        <v/>
      </c>
      <c r="K34" s="251">
        <f>SUM(K6:K32)</f>
        <v/>
      </c>
      <c r="L34" s="251">
        <f>SUM(L6:L32)</f>
        <v/>
      </c>
      <c r="M34" s="251">
        <f>SUM(M6:M32)</f>
        <v/>
      </c>
      <c r="N34" s="251">
        <f>SUM(N6:N32)</f>
        <v/>
      </c>
      <c r="O34" s="251">
        <f>SUM(O6:O32)</f>
        <v/>
      </c>
      <c r="P34" s="251">
        <f>SUM(P6:P32)</f>
        <v/>
      </c>
      <c r="Q34" s="251">
        <f>SUM(Q6:Q32)</f>
        <v/>
      </c>
      <c r="R34" s="251">
        <f>SUM(R6:R32)</f>
        <v/>
      </c>
      <c r="S34" s="251">
        <f>SUM(S6:S32)</f>
        <v/>
      </c>
      <c r="T34" s="251">
        <f>SUM(T6:T32)</f>
        <v/>
      </c>
      <c r="U34" s="251">
        <f>SUM(U6:U32)</f>
        <v/>
      </c>
      <c r="V34" s="251">
        <f>SUM(V6:V32)</f>
        <v/>
      </c>
      <c r="W34" s="251">
        <f>SUM(W6:W32)</f>
        <v/>
      </c>
      <c r="X34" s="251">
        <f>SUM(X6:X32)</f>
        <v/>
      </c>
      <c r="Y34" s="251">
        <f>SUM(Y6:Y32)</f>
        <v/>
      </c>
      <c r="Z34" s="251">
        <f>SUM(Z6:Z32)</f>
        <v/>
      </c>
      <c r="AA34" s="251">
        <f>SUM(AA6:AA32)</f>
        <v/>
      </c>
      <c r="AB34" s="251">
        <f>SUM(AB6:AB32)</f>
        <v/>
      </c>
      <c r="AC34" s="251">
        <f>SUM(AC6:AC32)</f>
        <v/>
      </c>
      <c r="AD34" s="251">
        <f>SUM(AD6:AD32)</f>
        <v/>
      </c>
      <c r="AE34" s="251">
        <f>SUM(AE6:AE32)</f>
        <v/>
      </c>
      <c r="AF34" s="251">
        <f>SUM(AF6:AF32)</f>
        <v/>
      </c>
      <c r="AG34" s="251">
        <f>SUM(AG6:AG32)</f>
        <v/>
      </c>
      <c r="AH34" s="251">
        <f>SUM(AH6:AH32)</f>
        <v/>
      </c>
      <c r="AI34" s="251">
        <f>SUM(AI6:AI32)</f>
        <v/>
      </c>
      <c r="AJ34" s="251">
        <f>SUM(AJ6:AJ32)</f>
        <v/>
      </c>
      <c r="AK34" s="251">
        <f>SUM(AK6:AK32)</f>
        <v/>
      </c>
      <c r="AL34" s="251">
        <f>SUM(AL6:AL32)</f>
        <v/>
      </c>
      <c r="AM34" s="251">
        <f>SUM(AM6:AM32)</f>
        <v/>
      </c>
      <c r="AN34" s="251">
        <f>SUM(AN6:AN32)</f>
        <v/>
      </c>
      <c r="AO34" s="251">
        <f>SUM(AO6:AO32)</f>
        <v/>
      </c>
      <c r="AP34" s="251">
        <f>SUM(AP6:AP32)</f>
        <v/>
      </c>
      <c r="AQ34" s="251">
        <f>SUM(AQ6:AQ32)</f>
        <v/>
      </c>
      <c r="AR34" s="251">
        <f>SUM(AR6:AR32)</f>
        <v/>
      </c>
      <c r="AS34" s="251">
        <f>SUM(AS6:AS32)</f>
        <v/>
      </c>
      <c r="AT34" s="251">
        <f>SUM(AT6:AT32)</f>
        <v/>
      </c>
      <c r="AU34" s="251">
        <f>SUM(AU6:AU32)</f>
        <v/>
      </c>
      <c r="AV34" s="251">
        <f>SUM(AV6:AV32)</f>
        <v/>
      </c>
      <c r="AW34" s="251">
        <f>SUM(AW6:AW32)</f>
        <v/>
      </c>
      <c r="AX34" s="251">
        <f>SUM(AX6:AX32)</f>
        <v/>
      </c>
      <c r="AY34" s="251">
        <f>SUM(AY6:AY32)</f>
        <v/>
      </c>
      <c r="AZ34" s="251">
        <f>SUM(AZ6:AZ32)</f>
        <v/>
      </c>
      <c r="BA34" s="251">
        <f>SUM(BA6:BA32)</f>
        <v/>
      </c>
      <c r="BB34" s="251">
        <f>SUM(BB6:BB32)</f>
        <v/>
      </c>
      <c r="BC34" s="251">
        <f>SUM(BC6:BC32)</f>
        <v/>
      </c>
      <c r="BD34" s="251">
        <f>SUM(BD6:BD32)</f>
        <v/>
      </c>
      <c r="BE34" s="251">
        <f>SUM(BE6:BE32)</f>
        <v/>
      </c>
      <c r="BF34" s="251">
        <f>SUM(BF6:BF32)</f>
        <v/>
      </c>
      <c r="BG34" s="251">
        <f>SUM(BG6:BG32)</f>
        <v/>
      </c>
      <c r="BH34" s="251">
        <f>SUM(BH6:BH32)</f>
        <v/>
      </c>
      <c r="BI34" s="251">
        <f>SUM(BI6:BI32)</f>
        <v/>
      </c>
      <c r="BJ34" s="251">
        <f>SUM(BJ6:BJ32)</f>
        <v/>
      </c>
      <c r="BK34" s="251">
        <f>SUM(BK6:BK32)</f>
        <v/>
      </c>
      <c r="BL34" s="251">
        <f>SUM(BL6:BL32)</f>
        <v/>
      </c>
      <c r="BM34" s="251">
        <f>SUM(BM6:BM32)</f>
        <v/>
      </c>
      <c r="BN34" s="251">
        <f>SUM(BN6:BN32)</f>
        <v/>
      </c>
      <c r="BO34" s="251">
        <f>SUM(BO6:BO32)</f>
        <v/>
      </c>
      <c r="BP34" s="251">
        <f>SUM(BP6:BP32)</f>
        <v/>
      </c>
      <c r="BQ34" s="251">
        <f>SUM(BQ6:BQ32)</f>
        <v/>
      </c>
      <c r="BR34" s="251">
        <f>SUM(BR6:BR32)</f>
        <v/>
      </c>
      <c r="BS34" s="251">
        <f>SUM(BS6:BS32)</f>
        <v/>
      </c>
      <c r="BT34" s="251">
        <f>SUM(BT6:BT32)</f>
        <v/>
      </c>
      <c r="BU34" s="251">
        <f>SUM(BU6:BU32)</f>
        <v/>
      </c>
      <c r="BV34" s="251">
        <f>SUM(BV6:BV32)</f>
        <v/>
      </c>
      <c r="BW34" s="251">
        <f>SUM(BW6:BW32)</f>
        <v/>
      </c>
      <c r="BX34" s="251">
        <f>SUM(BX6:BX32)</f>
        <v/>
      </c>
      <c r="BY34" s="251">
        <f>SUM(BY6:BY32)</f>
        <v/>
      </c>
      <c r="BZ34" s="251">
        <f>SUM(BZ6:BZ32)</f>
        <v/>
      </c>
      <c r="CA34" s="251">
        <f>SUM(CA6:CA32)</f>
        <v/>
      </c>
      <c r="CB34" s="251">
        <f>SUM(CB6:CB32)</f>
        <v/>
      </c>
      <c r="CC34" s="251">
        <f>SUM(CC6:CC32)</f>
        <v/>
      </c>
      <c r="CD34" s="251">
        <f>SUM(CD6:CD32)</f>
        <v/>
      </c>
      <c r="CE34" s="251">
        <f>SUM(CE6:CE32)</f>
        <v/>
      </c>
      <c r="CF34" s="251">
        <f>SUM(CF6:CF32)</f>
        <v/>
      </c>
      <c r="CG34" s="251">
        <f>SUM(CG6:CG32)</f>
        <v/>
      </c>
      <c r="CH34" s="251">
        <f>SUM(CH6:CH32)</f>
        <v/>
      </c>
      <c r="CI34" s="251">
        <f>SUM(CI6:CI32)</f>
        <v/>
      </c>
      <c r="CJ34" s="251">
        <f>SUM(CJ6:CJ32)</f>
        <v/>
      </c>
      <c r="CK34" s="251">
        <f>SUM(CK6:CK32)</f>
        <v/>
      </c>
      <c r="CL34" s="251">
        <f>SUM(CL6:CL32)</f>
        <v/>
      </c>
      <c r="CM34" s="251">
        <f>SUM(CM6:CM32)</f>
        <v/>
      </c>
      <c r="CN34" s="251">
        <f>SUM(CN6:CN32)</f>
        <v/>
      </c>
      <c r="CO34" s="251">
        <f>SUM(CO6:CO32)</f>
        <v/>
      </c>
      <c r="CP34" s="251">
        <f>SUM(CP6:CP32)</f>
        <v/>
      </c>
      <c r="CQ34" s="251">
        <f>SUM(CQ6:CQ32)</f>
        <v/>
      </c>
      <c r="CR34" s="251">
        <f>SUM(CR6:CR32)</f>
        <v/>
      </c>
      <c r="CS34" s="251">
        <f>SUM(CS6:CS32)</f>
        <v/>
      </c>
      <c r="CT34" s="251">
        <f>SUM(CT6:CT32)</f>
        <v/>
      </c>
      <c r="CU34" s="251">
        <f>SUM(CU6:CU32)</f>
        <v/>
      </c>
      <c r="CV34" s="251">
        <f>SUM(CV6:CV32)</f>
        <v/>
      </c>
      <c r="CW34" s="251">
        <f>SUM(CW6:CW32)</f>
        <v/>
      </c>
      <c r="CX34" s="251">
        <f>SUM(CX6:CX32)</f>
        <v/>
      </c>
      <c r="CY34" s="251">
        <f>SUM(CY6:CY32)</f>
        <v/>
      </c>
      <c r="CZ34" s="251">
        <f>SUM(CZ6:CZ32)</f>
        <v/>
      </c>
      <c r="DA34" s="251">
        <f>SUM(DA6:DA32)</f>
        <v/>
      </c>
      <c r="DB34" s="251">
        <f>SUM(DB6:DB32)</f>
        <v/>
      </c>
      <c r="DC34" s="251">
        <f>SUM(DC6:DC32)</f>
        <v/>
      </c>
      <c r="DD34" s="251">
        <f>SUM(DD6:DD32)</f>
        <v/>
      </c>
      <c r="DE34" s="251">
        <f>SUM(DE6:DE32)</f>
        <v/>
      </c>
      <c r="DF34" s="251">
        <f>SUM(DF6:DF32)</f>
        <v/>
      </c>
      <c r="DG34" s="251">
        <f>SUM(DG6:DG32)</f>
        <v/>
      </c>
      <c r="DH34" s="251">
        <f>SUM(DH6:DH32)</f>
        <v/>
      </c>
      <c r="DI34" s="251">
        <f>SUM(DI6:DI32)</f>
        <v/>
      </c>
      <c r="DJ34" s="251">
        <f>SUM(DJ6:DJ32)</f>
        <v/>
      </c>
      <c r="DK34" s="251">
        <f>SUM(DK6:DK32)</f>
        <v/>
      </c>
      <c r="DL34" s="251">
        <f>SUM(DL6:DL32)</f>
        <v/>
      </c>
      <c r="DM34" s="251">
        <f>SUM(DM6:DM32)</f>
        <v/>
      </c>
      <c r="DN34" s="251">
        <f>SUM(DN6:DN32)</f>
        <v/>
      </c>
      <c r="DO34" s="251">
        <f>SUM(DO6:DO32)</f>
        <v/>
      </c>
      <c r="DP34" s="251">
        <f>SUM(DP6:DP32)</f>
        <v/>
      </c>
      <c r="DQ34" s="251">
        <f>SUM(DQ6:DQ32)</f>
        <v/>
      </c>
      <c r="DR34" s="251">
        <f>SUM(DR6:DR32)</f>
        <v/>
      </c>
      <c r="DS34" s="251">
        <f>SUM(DS6:DS32)</f>
        <v/>
      </c>
      <c r="DT34" s="251">
        <f>SUM(DT6:DT32)</f>
        <v/>
      </c>
      <c r="DU34" s="251">
        <f>SUM(DU6:DU32)</f>
        <v/>
      </c>
      <c r="DV34" s="251">
        <f>SUM(DV6:DV32)</f>
        <v/>
      </c>
      <c r="DW34" s="251">
        <f>SUM(DW6:DW32)</f>
        <v/>
      </c>
      <c r="DX34" s="251">
        <f>SUM(DX6:DX32)</f>
        <v/>
      </c>
      <c r="DY34" s="251">
        <f>SUM(DY6:DY32)</f>
        <v/>
      </c>
      <c r="DZ34" s="251">
        <f>SUM(DZ6:DZ32)</f>
        <v/>
      </c>
      <c r="EA34" s="251">
        <f>SUM(EA6:EA32)</f>
        <v/>
      </c>
      <c r="EB34" s="251">
        <f>SUM(EB6:EB32)</f>
        <v/>
      </c>
      <c r="EC34" s="251">
        <f>SUM(EC6:EC32)</f>
        <v/>
      </c>
      <c r="ED34" s="251">
        <f>SUM(ED6:ED32)</f>
        <v/>
      </c>
      <c r="EE34" s="251">
        <f>SUM(EE6:EE32)</f>
        <v/>
      </c>
      <c r="EF34" s="251">
        <f>SUM(EF6:EF32)</f>
        <v/>
      </c>
      <c r="EG34" s="251">
        <f>SUM(EG6:EG32)</f>
        <v/>
      </c>
      <c r="EH34" s="251">
        <f>SUM(EH6:EH32)</f>
        <v/>
      </c>
      <c r="EI34" s="251">
        <f>SUM(EI6:EI32)</f>
        <v/>
      </c>
      <c r="EJ34" s="251">
        <f>SUM(EJ6:EJ32)</f>
        <v/>
      </c>
      <c r="EK34" s="251">
        <f>SUM(EK6:EK32)</f>
        <v/>
      </c>
      <c r="EL34" s="251">
        <f>SUM(EL6:EL32)</f>
        <v/>
      </c>
      <c r="EM34" s="251">
        <f>SUM(EM6:EM32)</f>
        <v/>
      </c>
      <c r="EN34" s="251">
        <f>SUM(EN6:EN32)</f>
        <v/>
      </c>
      <c r="EO34" s="251">
        <f>SUM(EO6:EO32)</f>
        <v/>
      </c>
      <c r="EP34" s="251">
        <f>SUM(EP6:EP32)</f>
        <v/>
      </c>
      <c r="EQ34" s="251">
        <f>SUM(EQ6:EQ32)</f>
        <v/>
      </c>
      <c r="ER34" s="251">
        <f>SUM(ER6:ER32)</f>
        <v/>
      </c>
      <c r="ES34" s="251">
        <f>SUM(ES6:ES32)</f>
        <v/>
      </c>
      <c r="ET34" s="251">
        <f>SUM(ET6:ET32)</f>
        <v/>
      </c>
      <c r="EU34" s="251">
        <f>SUM(EU6:EU32)</f>
        <v/>
      </c>
      <c r="EV34" s="251">
        <f>SUM(EV6:EV32)</f>
        <v/>
      </c>
      <c r="EW34" s="251">
        <f>SUM(EW6:EW32)</f>
        <v/>
      </c>
      <c r="EX34" s="251">
        <f>SUM(EX6:EX32)</f>
        <v/>
      </c>
      <c r="EY34" s="251">
        <f>SUM(EY6:EY32)</f>
        <v/>
      </c>
      <c r="EZ34" s="251">
        <f>SUM(EZ6:EZ32)</f>
        <v/>
      </c>
      <c r="FA34" s="251">
        <f>SUM(FA6:FA32)</f>
        <v/>
      </c>
      <c r="FB34" s="251">
        <f>SUM(FB6:FB32)</f>
        <v/>
      </c>
      <c r="FC34" s="251">
        <f>SUM(FC6:FC32)</f>
        <v/>
      </c>
      <c r="FD34" s="251">
        <f>SUM(FD6:FD32)</f>
        <v/>
      </c>
      <c r="FE34" s="251">
        <f>SUM(FE6:FE32)</f>
        <v/>
      </c>
      <c r="FF34" s="251">
        <f>SUM(FF6:FF32)</f>
        <v/>
      </c>
      <c r="FG34" s="251">
        <f>SUM(FG6:FG32)</f>
        <v/>
      </c>
      <c r="FH34" s="251">
        <f>SUM(FH6:FH32)</f>
        <v/>
      </c>
      <c r="FI34" s="251">
        <f>SUM(FI6:FI32)</f>
        <v/>
      </c>
      <c r="FJ34" s="251">
        <f>SUM(FJ6:FJ32)</f>
        <v/>
      </c>
      <c r="FK34" s="251">
        <f>SUM(FK6:FK32)</f>
        <v/>
      </c>
      <c r="FL34" s="251">
        <f>SUM(FL6:FL32)</f>
        <v/>
      </c>
      <c r="FM34" s="251">
        <f>SUM(FM6:FM32)</f>
        <v/>
      </c>
      <c r="FN34" s="251">
        <f>SUM(FN6:FN32)</f>
        <v/>
      </c>
      <c r="FO34" s="251">
        <f>SUM(FO6:FO32)</f>
        <v/>
      </c>
      <c r="FP34" s="251">
        <f>SUM(FP6:FP32)</f>
        <v/>
      </c>
      <c r="FQ34" s="251">
        <f>SUM(FQ6:FQ32)</f>
        <v/>
      </c>
      <c r="FR34" s="251">
        <f>SUM(FR6:FR32)</f>
        <v/>
      </c>
      <c r="FS34" s="251">
        <f>SUM(FS6:FS32)</f>
        <v/>
      </c>
      <c r="FT34" s="251">
        <f>SUM(FT6:FT32)</f>
        <v/>
      </c>
      <c r="FU34" s="251">
        <f>SUM(FU6:FU32)</f>
        <v/>
      </c>
      <c r="FV34" s="251">
        <f>SUM(FV6:FV32)</f>
        <v/>
      </c>
      <c r="FW34" s="251">
        <f>SUM(FW6:FW32)</f>
        <v/>
      </c>
      <c r="FX34" s="251">
        <f>SUM(FX6:FX32)</f>
        <v/>
      </c>
      <c r="FY34" s="251">
        <f>SUM(FY6:FY32)</f>
        <v/>
      </c>
      <c r="FZ34" s="251">
        <f>SUM(FZ6:FZ32)</f>
        <v/>
      </c>
      <c r="GA34" s="251">
        <f>SUM(GA6:GA32)</f>
        <v/>
      </c>
      <c r="GB34" s="251">
        <f>SUM(GB6:GB32)</f>
        <v/>
      </c>
      <c r="GC34" s="251">
        <f>SUM(GC6:GC32)</f>
        <v/>
      </c>
      <c r="GD34" s="251">
        <f>SUM(GD6:GD32)</f>
        <v/>
      </c>
      <c r="GE34" s="251">
        <f>SUM(GE6:GE32)</f>
        <v/>
      </c>
      <c r="GF34" s="251">
        <f>SUM(GF6:GF32)</f>
        <v/>
      </c>
      <c r="GG34" s="251">
        <f>SUM(GG6:GG32)</f>
        <v/>
      </c>
      <c r="GH34" s="251">
        <f>SUM(GH6:GH32)</f>
        <v/>
      </c>
      <c r="GI34" s="251">
        <f>SUM(GI6:GI32)</f>
        <v/>
      </c>
      <c r="GJ34" s="251">
        <f>SUM(GJ6:GJ32)</f>
        <v/>
      </c>
      <c r="GK34" s="251">
        <f>SUM(GK6:GK32)</f>
        <v/>
      </c>
      <c r="GL34" s="251">
        <f>SUM(GL6:GL32)</f>
        <v/>
      </c>
      <c r="GM34" s="251">
        <f>SUM(GM6:GM32)</f>
        <v/>
      </c>
      <c r="GN34" s="251">
        <f>SUM(GN6:GN32)</f>
        <v/>
      </c>
      <c r="GO34" s="251">
        <f>SUM(GO6:GO32)</f>
        <v/>
      </c>
      <c r="GP34" s="251">
        <f>SUM(GP6:GP32)</f>
        <v/>
      </c>
      <c r="GQ34" s="251">
        <f>SUM(GQ6:GQ32)</f>
        <v/>
      </c>
      <c r="GR34" s="251">
        <f>SUM(GR6:GR32)</f>
        <v/>
      </c>
      <c r="GS34" s="251">
        <f>SUM(GS6:GS32)</f>
        <v/>
      </c>
      <c r="GT34" s="251">
        <f>SUM(GT6:GT32)</f>
        <v/>
      </c>
      <c r="GU34" s="251">
        <f>SUM(GU6:GU32)</f>
        <v/>
      </c>
      <c r="GV34" s="251">
        <f>SUM(GV6:GV32)</f>
        <v/>
      </c>
      <c r="GW34" s="251">
        <f>SUM(GW6:GW32)</f>
        <v/>
      </c>
      <c r="GX34" s="251">
        <f>SUM(GX6:GX32)</f>
        <v/>
      </c>
      <c r="GY34" s="251">
        <f>SUM(GY6:GY32)</f>
        <v/>
      </c>
      <c r="GZ34" s="251">
        <f>SUM(GZ6:GZ32)</f>
        <v/>
      </c>
      <c r="HA34" s="251">
        <f>SUM(HA6:HA32)</f>
        <v/>
      </c>
      <c r="HB34" s="251">
        <f>SUM(HB6:HB32)</f>
        <v/>
      </c>
      <c r="HC34" s="251">
        <f>SUM(HC6:HC32)</f>
        <v/>
      </c>
      <c r="HD34" s="251">
        <f>SUM(HD6:HD32)</f>
        <v/>
      </c>
      <c r="HE34" s="251">
        <f>SUM(HE6:HE32)</f>
        <v/>
      </c>
      <c r="HF34" s="251">
        <f>SUM(HF6:HF32)</f>
        <v/>
      </c>
      <c r="HG34" s="251">
        <f>SUM(HG6:HG32)</f>
        <v/>
      </c>
      <c r="HH34" s="251">
        <f>SUM(HH6:HH32)</f>
        <v/>
      </c>
      <c r="HI34" s="251">
        <f>SUM(HI6:HI32)</f>
        <v/>
      </c>
      <c r="HJ34" s="251">
        <f>SUM(HJ6:HJ32)</f>
        <v/>
      </c>
      <c r="HK34" s="251">
        <f>SUM(HK6:HK32)</f>
        <v/>
      </c>
      <c r="HL34" s="251">
        <f>SUM(HL6:HL32)</f>
        <v/>
      </c>
      <c r="HM34" s="251">
        <f>SUM(HM6:HM32)</f>
        <v/>
      </c>
      <c r="HN34" s="251">
        <f>SUM(HN6:HN32)</f>
        <v/>
      </c>
      <c r="HO34" s="251">
        <f>SUM(HO6:HO32)</f>
        <v/>
      </c>
      <c r="HP34" s="251">
        <f>SUM(HP6:HP32)</f>
        <v/>
      </c>
      <c r="HQ34" s="251">
        <f>SUM(HQ6:HQ32)</f>
        <v/>
      </c>
      <c r="HR34" s="251">
        <f>SUM(HR6:HR32)</f>
        <v/>
      </c>
      <c r="HS34" s="251">
        <f>SUM(HS6:HS32)</f>
        <v/>
      </c>
      <c r="HT34" s="251">
        <f>SUM(HT6:HT32)</f>
        <v/>
      </c>
      <c r="HU34" s="251">
        <f>SUM(HU6:HU32)</f>
        <v/>
      </c>
      <c r="HV34" s="251">
        <f>SUM(HV6:HV32)</f>
        <v/>
      </c>
      <c r="HW34" s="251">
        <f>SUM(HW6:HW32)</f>
        <v/>
      </c>
      <c r="HX34" s="251">
        <f>SUM(HX6:HX32)</f>
        <v/>
      </c>
      <c r="HY34" s="251">
        <f>SUM(HY6:HY32)</f>
        <v/>
      </c>
      <c r="HZ34" s="251">
        <f>SUM(HZ6:HZ32)</f>
        <v/>
      </c>
      <c r="IA34" s="251">
        <f>SUM(IA6:IA32)</f>
        <v/>
      </c>
      <c r="IB34" s="251">
        <f>SUM(IB6:IB32)</f>
        <v/>
      </c>
      <c r="IC34" s="251">
        <f>SUM(IC6:IC32)</f>
        <v/>
      </c>
      <c r="ID34" s="251">
        <f>SUM(ID6:ID32)</f>
        <v/>
      </c>
      <c r="IE34" s="251">
        <f>SUM(IE6:IE32)</f>
        <v/>
      </c>
      <c r="IF34" s="251">
        <f>SUM(IF6:IF32)</f>
        <v/>
      </c>
      <c r="IG34" s="251">
        <f>SUM(IG6:IG32)</f>
        <v/>
      </c>
      <c r="IH34" s="251">
        <f>SUM(IH6:IH32)</f>
        <v/>
      </c>
      <c r="II34" s="251">
        <f>SUM(II6:II32)</f>
        <v/>
      </c>
      <c r="IJ34" s="251">
        <f>SUM(IJ6:IJ32)</f>
        <v/>
      </c>
      <c r="IK34" s="251">
        <f>SUM(IK6:IK32)</f>
        <v/>
      </c>
      <c r="IL34" s="251">
        <f>SUM(IL6:IL32)</f>
        <v/>
      </c>
      <c r="IM34" s="251">
        <f>SUM(IM6:IM32)</f>
        <v/>
      </c>
      <c r="IN34" s="251">
        <f>SUM(IN6:IN32)</f>
        <v/>
      </c>
      <c r="IO34" s="251">
        <f>SUM(IO6:IO32)</f>
        <v/>
      </c>
      <c r="IP34" s="251">
        <f>SUM(IP6:IP32)</f>
        <v/>
      </c>
      <c r="IQ34" s="251">
        <f>SUM(IQ6:IQ32)</f>
        <v/>
      </c>
      <c r="IR34" s="251">
        <f>SUM(IR6:IR32)</f>
        <v/>
      </c>
      <c r="IS34" s="251">
        <f>SUM(IS6:IS32)</f>
        <v/>
      </c>
      <c r="IT34" s="251">
        <f>SUM(IT6:IT32)</f>
        <v/>
      </c>
      <c r="IU34" s="251">
        <f>SUM(IU6:IU32)</f>
        <v/>
      </c>
      <c r="IV34" s="251">
        <f>SUM(IV6:IV32)</f>
        <v/>
      </c>
      <c r="IW34" s="251">
        <f>SUM(IW6:IW32)</f>
        <v/>
      </c>
      <c r="IX34" s="251">
        <f>SUM(IX6:IX32)</f>
        <v/>
      </c>
      <c r="IY34" s="251">
        <f>SUM(IY6:IY32)</f>
        <v/>
      </c>
      <c r="IZ34" s="251">
        <f>SUM(IZ6:IZ32)</f>
        <v/>
      </c>
      <c r="JA34" s="251">
        <f>SUM(JA6:JA32)</f>
        <v/>
      </c>
      <c r="JB34" s="251">
        <f>SUM(JB6:JB32)</f>
        <v/>
      </c>
      <c r="JC34" s="251">
        <f>SUM(JC6:JC32)</f>
        <v/>
      </c>
      <c r="JD34" s="251">
        <f>SUM(JD6:JD32)</f>
        <v/>
      </c>
      <c r="JE34" s="251">
        <f>SUM(JE6:JE32)</f>
        <v/>
      </c>
      <c r="JF34" s="251">
        <f>SUM(JF6:JF32)</f>
        <v/>
      </c>
      <c r="JG34" s="251">
        <f>SUM(JG6:JG32)</f>
        <v/>
      </c>
      <c r="JH34" s="251">
        <f>SUM(JH6:JH32)</f>
        <v/>
      </c>
      <c r="JI34" s="251">
        <f>SUM(JI6:JI32)</f>
        <v/>
      </c>
      <c r="JJ34" s="251">
        <f>SUM(JJ6:JJ32)</f>
        <v/>
      </c>
      <c r="JK34" s="251">
        <f>SUM(JK6:JK32)</f>
        <v/>
      </c>
      <c r="JL34" s="251">
        <f>SUM(JL6:JL32)</f>
        <v/>
      </c>
      <c r="JM34" s="251">
        <f>SUM(JM6:JM32)</f>
        <v/>
      </c>
      <c r="JN34" s="251">
        <f>SUM(JN6:JN32)</f>
        <v/>
      </c>
      <c r="JO34" s="251">
        <f>SUM(JO6:JO32)</f>
        <v/>
      </c>
      <c r="JP34" s="251">
        <f>SUM(JP6:JP32)</f>
        <v/>
      </c>
      <c r="JQ34" s="251">
        <f>SUM(JQ6:JQ32)</f>
        <v/>
      </c>
      <c r="JR34" s="251">
        <f>SUM(JR6:JR32)</f>
        <v/>
      </c>
      <c r="JS34" s="251">
        <f>SUM(JS6:JS32)</f>
        <v/>
      </c>
      <c r="JT34" s="251">
        <f>SUM(JT6:JT32)</f>
        <v/>
      </c>
      <c r="JU34" s="251">
        <f>SUM(JU6:JU32)</f>
        <v/>
      </c>
      <c r="JV34" s="251">
        <f>SUM(JV6:JV32)</f>
        <v/>
      </c>
      <c r="JW34" s="251">
        <f>SUM(JW6:JW32)</f>
        <v/>
      </c>
      <c r="JX34" s="251">
        <f>SUM(JX6:JX32)</f>
        <v/>
      </c>
      <c r="JY34" s="251">
        <f>SUM(JY6:JY32)</f>
        <v/>
      </c>
      <c r="JZ34" s="251">
        <f>SUM(JZ6:JZ32)</f>
        <v/>
      </c>
      <c r="KA34" s="251">
        <f>SUM(KA6:KA32)</f>
        <v/>
      </c>
      <c r="KB34" s="251">
        <f>SUM(KB6:KB32)</f>
        <v/>
      </c>
      <c r="KC34" s="251">
        <f>SUM(KC6:KC32)</f>
        <v/>
      </c>
      <c r="KD34" s="251">
        <f>SUM(KD6:KD32)</f>
        <v/>
      </c>
      <c r="KE34" s="251">
        <f>SUM(KE6:KE32)</f>
        <v/>
      </c>
      <c r="KF34" s="251">
        <f>SUM(KF6:KF32)</f>
        <v/>
      </c>
      <c r="KG34" s="251">
        <f>SUM(KG6:KG32)</f>
        <v/>
      </c>
      <c r="KH34" s="251">
        <f>SUM(KH6:KH32)</f>
        <v/>
      </c>
      <c r="KI34" s="251">
        <f>SUM(KI6:KI32)</f>
        <v/>
      </c>
      <c r="KJ34" s="251">
        <f>SUM(KJ6:KJ32)</f>
        <v/>
      </c>
      <c r="KK34" s="251">
        <f>SUM(KK6:KK32)</f>
        <v/>
      </c>
      <c r="KL34" s="251">
        <f>SUM(KL6:KL32)</f>
        <v/>
      </c>
      <c r="KM34" s="251">
        <f>SUM(KM6:KM32)</f>
        <v/>
      </c>
      <c r="KN34" s="251">
        <f>SUM(KN6:KN32)</f>
        <v/>
      </c>
      <c r="KO34" s="251">
        <f>SUM(KO6:KO32)</f>
        <v/>
      </c>
      <c r="KP34" s="251">
        <f>SUM(KP6:KP32)</f>
        <v/>
      </c>
      <c r="KQ34" s="251">
        <f>SUM(KQ6:KQ32)</f>
        <v/>
      </c>
      <c r="KR34" s="251">
        <f>SUM(KR6:KR32)</f>
        <v/>
      </c>
      <c r="KS34" s="251">
        <f>SUM(KS6:KS32)</f>
        <v/>
      </c>
      <c r="KT34" s="251">
        <f>SUM(KT6:KT32)</f>
        <v/>
      </c>
      <c r="KU34" s="251">
        <f>SUM(KU6:KU32)</f>
        <v/>
      </c>
      <c r="KV34" s="251">
        <f>SUM(KV6:KV32)</f>
        <v/>
      </c>
      <c r="KW34" s="251">
        <f>SUM(KW6:KW32)</f>
        <v/>
      </c>
      <c r="KX34" s="251">
        <f>SUM(KX6:KX32)</f>
        <v/>
      </c>
      <c r="KY34" s="251">
        <f>SUM(KY6:KY32)</f>
        <v/>
      </c>
      <c r="KZ34" s="251">
        <f>SUM(KZ6:KZ32)</f>
        <v/>
      </c>
      <c r="LA34" s="251">
        <f>SUM(LA6:LA32)</f>
        <v/>
      </c>
      <c r="LB34" s="251">
        <f>SUM(LB6:LB32)</f>
        <v/>
      </c>
      <c r="LC34" s="251">
        <f>SUM(LC6:LC32)</f>
        <v/>
      </c>
      <c r="LD34" s="251">
        <f>SUM(LD6:LD32)</f>
        <v/>
      </c>
      <c r="LE34" s="251">
        <f>SUM(LE6:LE32)</f>
        <v/>
      </c>
      <c r="LF34" s="251">
        <f>SUM(LF6:LF32)</f>
        <v/>
      </c>
      <c r="LG34" s="251">
        <f>SUM(LG6:LG32)</f>
        <v/>
      </c>
      <c r="LH34" s="251">
        <f>SUM(LH6:LH32)</f>
        <v/>
      </c>
      <c r="LI34" s="251">
        <f>SUM(LI6:LI32)</f>
        <v/>
      </c>
      <c r="LJ34" s="251">
        <f>SUM(LJ6:LJ32)</f>
        <v/>
      </c>
      <c r="LK34" s="251">
        <f>SUM(LK6:LK32)</f>
        <v/>
      </c>
      <c r="LL34" s="251">
        <f>SUM(LL6:LL32)</f>
        <v/>
      </c>
      <c r="LM34" s="251">
        <f>SUM(LM6:LM32)</f>
        <v/>
      </c>
      <c r="LN34" s="251">
        <f>SUM(LN6:LN32)</f>
        <v/>
      </c>
      <c r="LO34" s="251">
        <f>SUM(LO6:LO32)</f>
        <v/>
      </c>
      <c r="LP34" s="251">
        <f>SUM(LP6:LP32)</f>
        <v/>
      </c>
      <c r="LQ34" s="251">
        <f>SUM(LQ6:LQ32)</f>
        <v/>
      </c>
      <c r="LR34" s="251">
        <f>SUM(LR6:LR32)</f>
        <v/>
      </c>
      <c r="LS34" s="251">
        <f>SUM(LS6:LS32)</f>
        <v/>
      </c>
      <c r="LT34" s="251">
        <f>SUM(LT6:LT32)</f>
        <v/>
      </c>
      <c r="LU34" s="251">
        <f>SUM(LU6:LU32)</f>
        <v/>
      </c>
      <c r="LV34" s="251">
        <f>SUM(LV6:LV32)</f>
        <v/>
      </c>
      <c r="LW34" s="251">
        <f>SUM(LW6:LW32)</f>
        <v/>
      </c>
      <c r="LX34" s="251">
        <f>SUM(LX6:LX32)</f>
        <v/>
      </c>
      <c r="LY34" s="251">
        <f>SUM(LY6:LY32)</f>
        <v/>
      </c>
      <c r="LZ34" s="251">
        <f>SUM(LZ6:LZ32)</f>
        <v/>
      </c>
      <c r="MA34" s="251">
        <f>SUM(MA6:MA32)</f>
        <v/>
      </c>
      <c r="MB34" s="251">
        <f>SUM(MB6:MB32)</f>
        <v/>
      </c>
      <c r="MC34" s="251">
        <f>SUM(MC6:MC32)</f>
        <v/>
      </c>
      <c r="MD34" s="251">
        <f>SUM(MD6:MD32)</f>
        <v/>
      </c>
      <c r="ME34" s="251">
        <f>SUM(ME6:ME32)</f>
        <v/>
      </c>
      <c r="MF34" s="251">
        <f>SUM(MF6:MF32)</f>
        <v/>
      </c>
      <c r="MG34" s="251">
        <f>SUM(MG6:MG32)</f>
        <v/>
      </c>
      <c r="MH34" s="251">
        <f>SUM(MH6:MH32)</f>
        <v/>
      </c>
      <c r="MI34" s="251">
        <f>SUM(MI6:MI32)</f>
        <v/>
      </c>
      <c r="MJ34" s="251">
        <f>SUM(MJ6:MJ32)</f>
        <v/>
      </c>
      <c r="MK34" s="251">
        <f>SUM(MK6:MK32)</f>
        <v/>
      </c>
      <c r="ML34" s="251">
        <f>SUM(ML6:ML32)</f>
        <v/>
      </c>
      <c r="MM34" s="251">
        <f>SUM(MM6:MM32)</f>
        <v/>
      </c>
      <c r="MN34" s="251">
        <f>SUM(MN6:MN32)</f>
        <v/>
      </c>
      <c r="MO34" s="251">
        <f>SUM(MO6:MO32)</f>
        <v/>
      </c>
      <c r="MP34" s="251">
        <f>SUM(MP6:MP32)</f>
        <v/>
      </c>
      <c r="MQ34" s="251">
        <f>SUM(MQ6:MQ32)</f>
        <v/>
      </c>
      <c r="MR34" s="251">
        <f>SUM(MR6:MR32)</f>
        <v/>
      </c>
      <c r="MS34" s="251">
        <f>SUM(MS6:MS32)</f>
        <v/>
      </c>
      <c r="MT34" s="251">
        <f>SUM(MT6:MT32)</f>
        <v/>
      </c>
      <c r="MU34" s="251">
        <f>SUM(MU6:MU32)</f>
        <v/>
      </c>
      <c r="MV34" s="251">
        <f>SUM(MV6:MV32)</f>
        <v/>
      </c>
      <c r="MW34" s="251">
        <f>SUM(MW6:MW32)</f>
        <v/>
      </c>
      <c r="MX34" s="251">
        <f>SUM(MX6:MX32)</f>
        <v/>
      </c>
      <c r="MY34" s="251">
        <f>SUM(MY6:MY32)</f>
        <v/>
      </c>
      <c r="MZ34" s="251">
        <f>SUM(MZ6:MZ32)</f>
        <v/>
      </c>
      <c r="NA34" s="251">
        <f>SUM(NA6:NA32)</f>
        <v/>
      </c>
      <c r="NB34" s="251">
        <f>SUM(NB6:NB32)</f>
        <v/>
      </c>
      <c r="NC34" s="251">
        <f>SUM(NC6:NC32)</f>
        <v/>
      </c>
      <c r="ND34" s="251">
        <f>SUM(ND6:ND32)</f>
        <v/>
      </c>
      <c r="NE34" s="251">
        <f>SUM(NE6:NE32)</f>
        <v/>
      </c>
      <c r="NF34" s="251">
        <f>SUM(NF6:NF32)</f>
        <v/>
      </c>
      <c r="NG34" s="251">
        <f>SUM(NG6:NG32)</f>
        <v/>
      </c>
      <c r="NH34" s="251">
        <f>SUM(NH6:NH32)</f>
        <v/>
      </c>
      <c r="NI34" s="251">
        <f>SUM(NI6:NI32)</f>
        <v/>
      </c>
      <c r="NJ34" s="251">
        <f>SUM(NJ6:NJ32)</f>
        <v/>
      </c>
      <c r="NK34" s="251">
        <f>SUM(NK6:NK32)</f>
        <v/>
      </c>
      <c r="NL34" s="252">
        <f>SUM(NL6:NL32)</f>
        <v/>
      </c>
    </row>
    <row r="35">
      <c r="B35" s="36" t="inlineStr">
        <is>
          <t>Sponsor Development Fee</t>
        </is>
      </c>
      <c r="D35" s="246">
        <f>SUM(E35:NL35)</f>
        <v/>
      </c>
      <c r="E35" s="228">
        <f>IF(AND(1&gt;=MS_Initial_Closing_Start,1&lt;=MS_Stabilization_Start),DevFee/(MS_Stabilization_Start-MS_Initial_Closing_Start+1),0)</f>
        <v/>
      </c>
      <c r="F35" s="228">
        <f>IF(AND(2&gt;=MS_Initial_Closing_Start,2&lt;=MS_Stabilization_Start),DevFee/(MS_Stabilization_Start-MS_Initial_Closing_Start+1),0)</f>
        <v/>
      </c>
      <c r="G35" s="228">
        <f>IF(AND(3&gt;=MS_Initial_Closing_Start,3&lt;=MS_Stabilization_Start),DevFee/(MS_Stabilization_Start-MS_Initial_Closing_Start+1),0)</f>
        <v/>
      </c>
      <c r="H35" s="228">
        <f>IF(AND(4&gt;=MS_Initial_Closing_Start,4&lt;=MS_Stabilization_Start),DevFee/(MS_Stabilization_Start-MS_Initial_Closing_Start+1),0)</f>
        <v/>
      </c>
      <c r="I35" s="228">
        <f>IF(AND(5&gt;=MS_Initial_Closing_Start,5&lt;=MS_Stabilization_Start),DevFee/(MS_Stabilization_Start-MS_Initial_Closing_Start+1),0)</f>
        <v/>
      </c>
      <c r="J35" s="228">
        <f>IF(AND(6&gt;=MS_Initial_Closing_Start,6&lt;=MS_Stabilization_Start),DevFee/(MS_Stabilization_Start-MS_Initial_Closing_Start+1),0)</f>
        <v/>
      </c>
      <c r="K35" s="228">
        <f>IF(AND(7&gt;=MS_Initial_Closing_Start,7&lt;=MS_Stabilization_Start),DevFee/(MS_Stabilization_Start-MS_Initial_Closing_Start+1),0)</f>
        <v/>
      </c>
      <c r="L35" s="228">
        <f>IF(AND(8&gt;=MS_Initial_Closing_Start,8&lt;=MS_Stabilization_Start),DevFee/(MS_Stabilization_Start-MS_Initial_Closing_Start+1),0)</f>
        <v/>
      </c>
      <c r="M35" s="228">
        <f>IF(AND(9&gt;=MS_Initial_Closing_Start,9&lt;=MS_Stabilization_Start),DevFee/(MS_Stabilization_Start-MS_Initial_Closing_Start+1),0)</f>
        <v/>
      </c>
      <c r="N35" s="228">
        <f>IF(AND(10&gt;=MS_Initial_Closing_Start,10&lt;=MS_Stabilization_Start),DevFee/(MS_Stabilization_Start-MS_Initial_Closing_Start+1),0)</f>
        <v/>
      </c>
      <c r="O35" s="228">
        <f>IF(AND(11&gt;=MS_Initial_Closing_Start,11&lt;=MS_Stabilization_Start),DevFee/(MS_Stabilization_Start-MS_Initial_Closing_Start+1),0)</f>
        <v/>
      </c>
      <c r="P35" s="228">
        <f>IF(AND(12&gt;=MS_Initial_Closing_Start,12&lt;=MS_Stabilization_Start),DevFee/(MS_Stabilization_Start-MS_Initial_Closing_Start+1),0)</f>
        <v/>
      </c>
      <c r="Q35" s="228">
        <f>IF(AND(13&gt;=MS_Initial_Closing_Start,13&lt;=MS_Stabilization_Start),DevFee/(MS_Stabilization_Start-MS_Initial_Closing_Start+1),0)</f>
        <v/>
      </c>
      <c r="R35" s="228">
        <f>IF(AND(14&gt;=MS_Initial_Closing_Start,14&lt;=MS_Stabilization_Start),DevFee/(MS_Stabilization_Start-MS_Initial_Closing_Start+1),0)</f>
        <v/>
      </c>
      <c r="S35" s="228">
        <f>IF(AND(15&gt;=MS_Initial_Closing_Start,15&lt;=MS_Stabilization_Start),DevFee/(MS_Stabilization_Start-MS_Initial_Closing_Start+1),0)</f>
        <v/>
      </c>
      <c r="T35" s="228">
        <f>IF(AND(16&gt;=MS_Initial_Closing_Start,16&lt;=MS_Stabilization_Start),DevFee/(MS_Stabilization_Start-MS_Initial_Closing_Start+1),0)</f>
        <v/>
      </c>
      <c r="U35" s="228">
        <f>IF(AND(17&gt;=MS_Initial_Closing_Start,17&lt;=MS_Stabilization_Start),DevFee/(MS_Stabilization_Start-MS_Initial_Closing_Start+1),0)</f>
        <v/>
      </c>
      <c r="V35" s="228">
        <f>IF(AND(18&gt;=MS_Initial_Closing_Start,18&lt;=MS_Stabilization_Start),DevFee/(MS_Stabilization_Start-MS_Initial_Closing_Start+1),0)</f>
        <v/>
      </c>
      <c r="W35" s="228">
        <f>IF(AND(19&gt;=MS_Initial_Closing_Start,19&lt;=MS_Stabilization_Start),DevFee/(MS_Stabilization_Start-MS_Initial_Closing_Start+1),0)</f>
        <v/>
      </c>
      <c r="X35" s="228">
        <f>IF(AND(20&gt;=MS_Initial_Closing_Start,20&lt;=MS_Stabilization_Start),DevFee/(MS_Stabilization_Start-MS_Initial_Closing_Start+1),0)</f>
        <v/>
      </c>
      <c r="Y35" s="228">
        <f>IF(AND(21&gt;=MS_Initial_Closing_Start,21&lt;=MS_Stabilization_Start),DevFee/(MS_Stabilization_Start-MS_Initial_Closing_Start+1),0)</f>
        <v/>
      </c>
      <c r="Z35" s="228">
        <f>IF(AND(22&gt;=MS_Initial_Closing_Start,22&lt;=MS_Stabilization_Start),DevFee/(MS_Stabilization_Start-MS_Initial_Closing_Start+1),0)</f>
        <v/>
      </c>
      <c r="AA35" s="228">
        <f>IF(AND(23&gt;=MS_Initial_Closing_Start,23&lt;=MS_Stabilization_Start),DevFee/(MS_Stabilization_Start-MS_Initial_Closing_Start+1),0)</f>
        <v/>
      </c>
      <c r="AB35" s="228">
        <f>IF(AND(24&gt;=MS_Initial_Closing_Start,24&lt;=MS_Stabilization_Start),DevFee/(MS_Stabilization_Start-MS_Initial_Closing_Start+1),0)</f>
        <v/>
      </c>
      <c r="AC35" s="228">
        <f>IF(AND(25&gt;=MS_Initial_Closing_Start,25&lt;=MS_Stabilization_Start),DevFee/(MS_Stabilization_Start-MS_Initial_Closing_Start+1),0)</f>
        <v/>
      </c>
      <c r="AD35" s="228">
        <f>IF(AND(26&gt;=MS_Initial_Closing_Start,26&lt;=MS_Stabilization_Start),DevFee/(MS_Stabilization_Start-MS_Initial_Closing_Start+1),0)</f>
        <v/>
      </c>
      <c r="AE35" s="228">
        <f>IF(AND(27&gt;=MS_Initial_Closing_Start,27&lt;=MS_Stabilization_Start),DevFee/(MS_Stabilization_Start-MS_Initial_Closing_Start+1),0)</f>
        <v/>
      </c>
      <c r="AF35" s="228">
        <f>IF(AND(28&gt;=MS_Initial_Closing_Start,28&lt;=MS_Stabilization_Start),DevFee/(MS_Stabilization_Start-MS_Initial_Closing_Start+1),0)</f>
        <v/>
      </c>
      <c r="AG35" s="228">
        <f>IF(AND(29&gt;=MS_Initial_Closing_Start,29&lt;=MS_Stabilization_Start),DevFee/(MS_Stabilization_Start-MS_Initial_Closing_Start+1),0)</f>
        <v/>
      </c>
      <c r="AH35" s="228">
        <f>IF(AND(30&gt;=MS_Initial_Closing_Start,30&lt;=MS_Stabilization_Start),DevFee/(MS_Stabilization_Start-MS_Initial_Closing_Start+1),0)</f>
        <v/>
      </c>
      <c r="AI35" s="228">
        <f>IF(AND(31&gt;=MS_Initial_Closing_Start,31&lt;=MS_Stabilization_Start),DevFee/(MS_Stabilization_Start-MS_Initial_Closing_Start+1),0)</f>
        <v/>
      </c>
      <c r="AJ35" s="228">
        <f>IF(AND(32&gt;=MS_Initial_Closing_Start,32&lt;=MS_Stabilization_Start),DevFee/(MS_Stabilization_Start-MS_Initial_Closing_Start+1),0)</f>
        <v/>
      </c>
      <c r="AK35" s="228">
        <f>IF(AND(33&gt;=MS_Initial_Closing_Start,33&lt;=MS_Stabilization_Start),DevFee/(MS_Stabilization_Start-MS_Initial_Closing_Start+1),0)</f>
        <v/>
      </c>
      <c r="AL35" s="228">
        <f>IF(AND(34&gt;=MS_Initial_Closing_Start,34&lt;=MS_Stabilization_Start),DevFee/(MS_Stabilization_Start-MS_Initial_Closing_Start+1),0)</f>
        <v/>
      </c>
      <c r="AM35" s="228">
        <f>IF(AND(35&gt;=MS_Initial_Closing_Start,35&lt;=MS_Stabilization_Start),DevFee/(MS_Stabilization_Start-MS_Initial_Closing_Start+1),0)</f>
        <v/>
      </c>
      <c r="AN35" s="228">
        <f>IF(AND(36&gt;=MS_Initial_Closing_Start,36&lt;=MS_Stabilization_Start),DevFee/(MS_Stabilization_Start-MS_Initial_Closing_Start+1),0)</f>
        <v/>
      </c>
      <c r="AO35" s="228">
        <f>IF(AND(37&gt;=MS_Initial_Closing_Start,37&lt;=MS_Stabilization_Start),DevFee/(MS_Stabilization_Start-MS_Initial_Closing_Start+1),0)</f>
        <v/>
      </c>
      <c r="AP35" s="228">
        <f>IF(AND(38&gt;=MS_Initial_Closing_Start,38&lt;=MS_Stabilization_Start),DevFee/(MS_Stabilization_Start-MS_Initial_Closing_Start+1),0)</f>
        <v/>
      </c>
      <c r="AQ35" s="228">
        <f>IF(AND(39&gt;=MS_Initial_Closing_Start,39&lt;=MS_Stabilization_Start),DevFee/(MS_Stabilization_Start-MS_Initial_Closing_Start+1),0)</f>
        <v/>
      </c>
      <c r="AR35" s="228">
        <f>IF(AND(40&gt;=MS_Initial_Closing_Start,40&lt;=MS_Stabilization_Start),DevFee/(MS_Stabilization_Start-MS_Initial_Closing_Start+1),0)</f>
        <v/>
      </c>
      <c r="AS35" s="228">
        <f>IF(AND(41&gt;=MS_Initial_Closing_Start,41&lt;=MS_Stabilization_Start),DevFee/(MS_Stabilization_Start-MS_Initial_Closing_Start+1),0)</f>
        <v/>
      </c>
      <c r="AT35" s="228">
        <f>IF(AND(42&gt;=MS_Initial_Closing_Start,42&lt;=MS_Stabilization_Start),DevFee/(MS_Stabilization_Start-MS_Initial_Closing_Start+1),0)</f>
        <v/>
      </c>
      <c r="AU35" s="228">
        <f>IF(AND(43&gt;=MS_Initial_Closing_Start,43&lt;=MS_Stabilization_Start),DevFee/(MS_Stabilization_Start-MS_Initial_Closing_Start+1),0)</f>
        <v/>
      </c>
      <c r="AV35" s="228">
        <f>IF(AND(44&gt;=MS_Initial_Closing_Start,44&lt;=MS_Stabilization_Start),DevFee/(MS_Stabilization_Start-MS_Initial_Closing_Start+1),0)</f>
        <v/>
      </c>
      <c r="AW35" s="228">
        <f>IF(AND(45&gt;=MS_Initial_Closing_Start,45&lt;=MS_Stabilization_Start),DevFee/(MS_Stabilization_Start-MS_Initial_Closing_Start+1),0)</f>
        <v/>
      </c>
      <c r="AX35" s="228">
        <f>IF(AND(46&gt;=MS_Initial_Closing_Start,46&lt;=MS_Stabilization_Start),DevFee/(MS_Stabilization_Start-MS_Initial_Closing_Start+1),0)</f>
        <v/>
      </c>
      <c r="AY35" s="228">
        <f>IF(AND(47&gt;=MS_Initial_Closing_Start,47&lt;=MS_Stabilization_Start),DevFee/(MS_Stabilization_Start-MS_Initial_Closing_Start+1),0)</f>
        <v/>
      </c>
      <c r="AZ35" s="228">
        <f>IF(AND(48&gt;=MS_Initial_Closing_Start,48&lt;=MS_Stabilization_Start),DevFee/(MS_Stabilization_Start-MS_Initial_Closing_Start+1),0)</f>
        <v/>
      </c>
      <c r="BA35" s="228">
        <f>IF(AND(49&gt;=MS_Initial_Closing_Start,49&lt;=MS_Stabilization_Start),DevFee/(MS_Stabilization_Start-MS_Initial_Closing_Start+1),0)</f>
        <v/>
      </c>
      <c r="BB35" s="228">
        <f>IF(AND(50&gt;=MS_Initial_Closing_Start,50&lt;=MS_Stabilization_Start),DevFee/(MS_Stabilization_Start-MS_Initial_Closing_Start+1),0)</f>
        <v/>
      </c>
      <c r="BC35" s="228">
        <f>IF(AND(51&gt;=MS_Initial_Closing_Start,51&lt;=MS_Stabilization_Start),DevFee/(MS_Stabilization_Start-MS_Initial_Closing_Start+1),0)</f>
        <v/>
      </c>
      <c r="BD35" s="228">
        <f>IF(AND(52&gt;=MS_Initial_Closing_Start,52&lt;=MS_Stabilization_Start),DevFee/(MS_Stabilization_Start-MS_Initial_Closing_Start+1),0)</f>
        <v/>
      </c>
      <c r="BE35" s="228">
        <f>IF(AND(53&gt;=MS_Initial_Closing_Start,53&lt;=MS_Stabilization_Start),DevFee/(MS_Stabilization_Start-MS_Initial_Closing_Start+1),0)</f>
        <v/>
      </c>
      <c r="BF35" s="228">
        <f>IF(AND(54&gt;=MS_Initial_Closing_Start,54&lt;=MS_Stabilization_Start),DevFee/(MS_Stabilization_Start-MS_Initial_Closing_Start+1),0)</f>
        <v/>
      </c>
      <c r="BG35" s="228">
        <f>IF(AND(55&gt;=MS_Initial_Closing_Start,55&lt;=MS_Stabilization_Start),DevFee/(MS_Stabilization_Start-MS_Initial_Closing_Start+1),0)</f>
        <v/>
      </c>
      <c r="BH35" s="228">
        <f>IF(AND(56&gt;=MS_Initial_Closing_Start,56&lt;=MS_Stabilization_Start),DevFee/(MS_Stabilization_Start-MS_Initial_Closing_Start+1),0)</f>
        <v/>
      </c>
      <c r="BI35" s="228">
        <f>IF(AND(57&gt;=MS_Initial_Closing_Start,57&lt;=MS_Stabilization_Start),DevFee/(MS_Stabilization_Start-MS_Initial_Closing_Start+1),0)</f>
        <v/>
      </c>
      <c r="BJ35" s="228">
        <f>IF(AND(58&gt;=MS_Initial_Closing_Start,58&lt;=MS_Stabilization_Start),DevFee/(MS_Stabilization_Start-MS_Initial_Closing_Start+1),0)</f>
        <v/>
      </c>
      <c r="BK35" s="228">
        <f>IF(AND(59&gt;=MS_Initial_Closing_Start,59&lt;=MS_Stabilization_Start),DevFee/(MS_Stabilization_Start-MS_Initial_Closing_Start+1),0)</f>
        <v/>
      </c>
      <c r="BL35" s="228">
        <f>IF(AND(60&gt;=MS_Initial_Closing_Start,60&lt;=MS_Stabilization_Start),DevFee/(MS_Stabilization_Start-MS_Initial_Closing_Start+1),0)</f>
        <v/>
      </c>
      <c r="BM35" s="228">
        <f>IF(AND(61&gt;=MS_Initial_Closing_Start,61&lt;=MS_Stabilization_Start),DevFee/(MS_Stabilization_Start-MS_Initial_Closing_Start+1),0)</f>
        <v/>
      </c>
      <c r="BN35" s="228">
        <f>IF(AND(62&gt;=MS_Initial_Closing_Start,62&lt;=MS_Stabilization_Start),DevFee/(MS_Stabilization_Start-MS_Initial_Closing_Start+1),0)</f>
        <v/>
      </c>
      <c r="BO35" s="228">
        <f>IF(AND(63&gt;=MS_Initial_Closing_Start,63&lt;=MS_Stabilization_Start),DevFee/(MS_Stabilization_Start-MS_Initial_Closing_Start+1),0)</f>
        <v/>
      </c>
      <c r="BP35" s="228">
        <f>IF(AND(64&gt;=MS_Initial_Closing_Start,64&lt;=MS_Stabilization_Start),DevFee/(MS_Stabilization_Start-MS_Initial_Closing_Start+1),0)</f>
        <v/>
      </c>
      <c r="BQ35" s="228">
        <f>IF(AND(65&gt;=MS_Initial_Closing_Start,65&lt;=MS_Stabilization_Start),DevFee/(MS_Stabilization_Start-MS_Initial_Closing_Start+1),0)</f>
        <v/>
      </c>
      <c r="BR35" s="228">
        <f>IF(AND(66&gt;=MS_Initial_Closing_Start,66&lt;=MS_Stabilization_Start),DevFee/(MS_Stabilization_Start-MS_Initial_Closing_Start+1),0)</f>
        <v/>
      </c>
      <c r="BS35" s="228">
        <f>IF(AND(67&gt;=MS_Initial_Closing_Start,67&lt;=MS_Stabilization_Start),DevFee/(MS_Stabilization_Start-MS_Initial_Closing_Start+1),0)</f>
        <v/>
      </c>
      <c r="BT35" s="228">
        <f>IF(AND(68&gt;=MS_Initial_Closing_Start,68&lt;=MS_Stabilization_Start),DevFee/(MS_Stabilization_Start-MS_Initial_Closing_Start+1),0)</f>
        <v/>
      </c>
      <c r="BU35" s="228">
        <f>IF(AND(69&gt;=MS_Initial_Closing_Start,69&lt;=MS_Stabilization_Start),DevFee/(MS_Stabilization_Start-MS_Initial_Closing_Start+1),0)</f>
        <v/>
      </c>
      <c r="BV35" s="228">
        <f>IF(AND(70&gt;=MS_Initial_Closing_Start,70&lt;=MS_Stabilization_Start),DevFee/(MS_Stabilization_Start-MS_Initial_Closing_Start+1),0)</f>
        <v/>
      </c>
      <c r="BW35" s="228">
        <f>IF(AND(71&gt;=MS_Initial_Closing_Start,71&lt;=MS_Stabilization_Start),DevFee/(MS_Stabilization_Start-MS_Initial_Closing_Start+1),0)</f>
        <v/>
      </c>
      <c r="BX35" s="228">
        <f>IF(AND(72&gt;=MS_Initial_Closing_Start,72&lt;=MS_Stabilization_Start),DevFee/(MS_Stabilization_Start-MS_Initial_Closing_Start+1),0)</f>
        <v/>
      </c>
      <c r="BY35" s="228">
        <f>IF(AND(73&gt;=MS_Initial_Closing_Start,73&lt;=MS_Stabilization_Start),DevFee/(MS_Stabilization_Start-MS_Initial_Closing_Start+1),0)</f>
        <v/>
      </c>
      <c r="BZ35" s="228">
        <f>IF(AND(74&gt;=MS_Initial_Closing_Start,74&lt;=MS_Stabilization_Start),DevFee/(MS_Stabilization_Start-MS_Initial_Closing_Start+1),0)</f>
        <v/>
      </c>
      <c r="CA35" s="228">
        <f>IF(AND(75&gt;=MS_Initial_Closing_Start,75&lt;=MS_Stabilization_Start),DevFee/(MS_Stabilization_Start-MS_Initial_Closing_Start+1),0)</f>
        <v/>
      </c>
      <c r="CB35" s="228">
        <f>IF(AND(76&gt;=MS_Initial_Closing_Start,76&lt;=MS_Stabilization_Start),DevFee/(MS_Stabilization_Start-MS_Initial_Closing_Start+1),0)</f>
        <v/>
      </c>
      <c r="CC35" s="228">
        <f>IF(AND(77&gt;=MS_Initial_Closing_Start,77&lt;=MS_Stabilization_Start),DevFee/(MS_Stabilization_Start-MS_Initial_Closing_Start+1),0)</f>
        <v/>
      </c>
      <c r="CD35" s="228">
        <f>IF(AND(78&gt;=MS_Initial_Closing_Start,78&lt;=MS_Stabilization_Start),DevFee/(MS_Stabilization_Start-MS_Initial_Closing_Start+1),0)</f>
        <v/>
      </c>
      <c r="CE35" s="228">
        <f>IF(AND(79&gt;=MS_Initial_Closing_Start,79&lt;=MS_Stabilization_Start),DevFee/(MS_Stabilization_Start-MS_Initial_Closing_Start+1),0)</f>
        <v/>
      </c>
      <c r="CF35" s="228">
        <f>IF(AND(80&gt;=MS_Initial_Closing_Start,80&lt;=MS_Stabilization_Start),DevFee/(MS_Stabilization_Start-MS_Initial_Closing_Start+1),0)</f>
        <v/>
      </c>
      <c r="CG35" s="228">
        <f>IF(AND(81&gt;=MS_Initial_Closing_Start,81&lt;=MS_Stabilization_Start),DevFee/(MS_Stabilization_Start-MS_Initial_Closing_Start+1),0)</f>
        <v/>
      </c>
      <c r="CH35" s="228">
        <f>IF(AND(82&gt;=MS_Initial_Closing_Start,82&lt;=MS_Stabilization_Start),DevFee/(MS_Stabilization_Start-MS_Initial_Closing_Start+1),0)</f>
        <v/>
      </c>
      <c r="CI35" s="228">
        <f>IF(AND(83&gt;=MS_Initial_Closing_Start,83&lt;=MS_Stabilization_Start),DevFee/(MS_Stabilization_Start-MS_Initial_Closing_Start+1),0)</f>
        <v/>
      </c>
      <c r="CJ35" s="228">
        <f>IF(AND(84&gt;=MS_Initial_Closing_Start,84&lt;=MS_Stabilization_Start),DevFee/(MS_Stabilization_Start-MS_Initial_Closing_Start+1),0)</f>
        <v/>
      </c>
      <c r="CK35" s="228">
        <f>IF(AND(85&gt;=MS_Initial_Closing_Start,85&lt;=MS_Stabilization_Start),DevFee/(MS_Stabilization_Start-MS_Initial_Closing_Start+1),0)</f>
        <v/>
      </c>
      <c r="CL35" s="228">
        <f>IF(AND(86&gt;=MS_Initial_Closing_Start,86&lt;=MS_Stabilization_Start),DevFee/(MS_Stabilization_Start-MS_Initial_Closing_Start+1),0)</f>
        <v/>
      </c>
      <c r="CM35" s="228">
        <f>IF(AND(87&gt;=MS_Initial_Closing_Start,87&lt;=MS_Stabilization_Start),DevFee/(MS_Stabilization_Start-MS_Initial_Closing_Start+1),0)</f>
        <v/>
      </c>
      <c r="CN35" s="228">
        <f>IF(AND(88&gt;=MS_Initial_Closing_Start,88&lt;=MS_Stabilization_Start),DevFee/(MS_Stabilization_Start-MS_Initial_Closing_Start+1),0)</f>
        <v/>
      </c>
      <c r="CO35" s="228">
        <f>IF(AND(89&gt;=MS_Initial_Closing_Start,89&lt;=MS_Stabilization_Start),DevFee/(MS_Stabilization_Start-MS_Initial_Closing_Start+1),0)</f>
        <v/>
      </c>
      <c r="CP35" s="228">
        <f>IF(AND(90&gt;=MS_Initial_Closing_Start,90&lt;=MS_Stabilization_Start),DevFee/(MS_Stabilization_Start-MS_Initial_Closing_Start+1),0)</f>
        <v/>
      </c>
      <c r="CQ35" s="228">
        <f>IF(AND(91&gt;=MS_Initial_Closing_Start,91&lt;=MS_Stabilization_Start),DevFee/(MS_Stabilization_Start-MS_Initial_Closing_Start+1),0)</f>
        <v/>
      </c>
      <c r="CR35" s="228">
        <f>IF(AND(92&gt;=MS_Initial_Closing_Start,92&lt;=MS_Stabilization_Start),DevFee/(MS_Stabilization_Start-MS_Initial_Closing_Start+1),0)</f>
        <v/>
      </c>
      <c r="CS35" s="228">
        <f>IF(AND(93&gt;=MS_Initial_Closing_Start,93&lt;=MS_Stabilization_Start),DevFee/(MS_Stabilization_Start-MS_Initial_Closing_Start+1),0)</f>
        <v/>
      </c>
      <c r="CT35" s="228">
        <f>IF(AND(94&gt;=MS_Initial_Closing_Start,94&lt;=MS_Stabilization_Start),DevFee/(MS_Stabilization_Start-MS_Initial_Closing_Start+1),0)</f>
        <v/>
      </c>
      <c r="CU35" s="228">
        <f>IF(AND(95&gt;=MS_Initial_Closing_Start,95&lt;=MS_Stabilization_Start),DevFee/(MS_Stabilization_Start-MS_Initial_Closing_Start+1),0)</f>
        <v/>
      </c>
      <c r="CV35" s="228">
        <f>IF(AND(96&gt;=MS_Initial_Closing_Start,96&lt;=MS_Stabilization_Start),DevFee/(MS_Stabilization_Start-MS_Initial_Closing_Start+1),0)</f>
        <v/>
      </c>
      <c r="CW35" s="228">
        <f>IF(AND(97&gt;=MS_Initial_Closing_Start,97&lt;=MS_Stabilization_Start),DevFee/(MS_Stabilization_Start-MS_Initial_Closing_Start+1),0)</f>
        <v/>
      </c>
      <c r="CX35" s="228">
        <f>IF(AND(98&gt;=MS_Initial_Closing_Start,98&lt;=MS_Stabilization_Start),DevFee/(MS_Stabilization_Start-MS_Initial_Closing_Start+1),0)</f>
        <v/>
      </c>
      <c r="CY35" s="228">
        <f>IF(AND(99&gt;=MS_Initial_Closing_Start,99&lt;=MS_Stabilization_Start),DevFee/(MS_Stabilization_Start-MS_Initial_Closing_Start+1),0)</f>
        <v/>
      </c>
      <c r="CZ35" s="228">
        <f>IF(AND(100&gt;=MS_Initial_Closing_Start,100&lt;=MS_Stabilization_Start),DevFee/(MS_Stabilization_Start-MS_Initial_Closing_Start+1),0)</f>
        <v/>
      </c>
      <c r="DA35" s="228">
        <f>IF(AND(101&gt;=MS_Initial_Closing_Start,101&lt;=MS_Stabilization_Start),DevFee/(MS_Stabilization_Start-MS_Initial_Closing_Start+1),0)</f>
        <v/>
      </c>
      <c r="DB35" s="228">
        <f>IF(AND(102&gt;=MS_Initial_Closing_Start,102&lt;=MS_Stabilization_Start),DevFee/(MS_Stabilization_Start-MS_Initial_Closing_Start+1),0)</f>
        <v/>
      </c>
      <c r="DC35" s="228">
        <f>IF(AND(103&gt;=MS_Initial_Closing_Start,103&lt;=MS_Stabilization_Start),DevFee/(MS_Stabilization_Start-MS_Initial_Closing_Start+1),0)</f>
        <v/>
      </c>
      <c r="DD35" s="228">
        <f>IF(AND(104&gt;=MS_Initial_Closing_Start,104&lt;=MS_Stabilization_Start),DevFee/(MS_Stabilization_Start-MS_Initial_Closing_Start+1),0)</f>
        <v/>
      </c>
      <c r="DE35" s="228">
        <f>IF(AND(105&gt;=MS_Initial_Closing_Start,105&lt;=MS_Stabilization_Start),DevFee/(MS_Stabilization_Start-MS_Initial_Closing_Start+1),0)</f>
        <v/>
      </c>
      <c r="DF35" s="228">
        <f>IF(AND(106&gt;=MS_Initial_Closing_Start,106&lt;=MS_Stabilization_Start),DevFee/(MS_Stabilization_Start-MS_Initial_Closing_Start+1),0)</f>
        <v/>
      </c>
      <c r="DG35" s="228">
        <f>IF(AND(107&gt;=MS_Initial_Closing_Start,107&lt;=MS_Stabilization_Start),DevFee/(MS_Stabilization_Start-MS_Initial_Closing_Start+1),0)</f>
        <v/>
      </c>
      <c r="DH35" s="228">
        <f>IF(AND(108&gt;=MS_Initial_Closing_Start,108&lt;=MS_Stabilization_Start),DevFee/(MS_Stabilization_Start-MS_Initial_Closing_Start+1),0)</f>
        <v/>
      </c>
      <c r="DI35" s="228">
        <f>IF(AND(109&gt;=MS_Initial_Closing_Start,109&lt;=MS_Stabilization_Start),DevFee/(MS_Stabilization_Start-MS_Initial_Closing_Start+1),0)</f>
        <v/>
      </c>
      <c r="DJ35" s="228">
        <f>IF(AND(110&gt;=MS_Initial_Closing_Start,110&lt;=MS_Stabilization_Start),DevFee/(MS_Stabilization_Start-MS_Initial_Closing_Start+1),0)</f>
        <v/>
      </c>
      <c r="DK35" s="228">
        <f>IF(AND(111&gt;=MS_Initial_Closing_Start,111&lt;=MS_Stabilization_Start),DevFee/(MS_Stabilization_Start-MS_Initial_Closing_Start+1),0)</f>
        <v/>
      </c>
      <c r="DL35" s="228">
        <f>IF(AND(112&gt;=MS_Initial_Closing_Start,112&lt;=MS_Stabilization_Start),DevFee/(MS_Stabilization_Start-MS_Initial_Closing_Start+1),0)</f>
        <v/>
      </c>
      <c r="DM35" s="228">
        <f>IF(AND(113&gt;=MS_Initial_Closing_Start,113&lt;=MS_Stabilization_Start),DevFee/(MS_Stabilization_Start-MS_Initial_Closing_Start+1),0)</f>
        <v/>
      </c>
      <c r="DN35" s="228">
        <f>IF(AND(114&gt;=MS_Initial_Closing_Start,114&lt;=MS_Stabilization_Start),DevFee/(MS_Stabilization_Start-MS_Initial_Closing_Start+1),0)</f>
        <v/>
      </c>
      <c r="DO35" s="228">
        <f>IF(AND(115&gt;=MS_Initial_Closing_Start,115&lt;=MS_Stabilization_Start),DevFee/(MS_Stabilization_Start-MS_Initial_Closing_Start+1),0)</f>
        <v/>
      </c>
      <c r="DP35" s="228">
        <f>IF(AND(116&gt;=MS_Initial_Closing_Start,116&lt;=MS_Stabilization_Start),DevFee/(MS_Stabilization_Start-MS_Initial_Closing_Start+1),0)</f>
        <v/>
      </c>
      <c r="DQ35" s="228">
        <f>IF(AND(117&gt;=MS_Initial_Closing_Start,117&lt;=MS_Stabilization_Start),DevFee/(MS_Stabilization_Start-MS_Initial_Closing_Start+1),0)</f>
        <v/>
      </c>
      <c r="DR35" s="228">
        <f>IF(AND(118&gt;=MS_Initial_Closing_Start,118&lt;=MS_Stabilization_Start),DevFee/(MS_Stabilization_Start-MS_Initial_Closing_Start+1),0)</f>
        <v/>
      </c>
      <c r="DS35" s="228">
        <f>IF(AND(119&gt;=MS_Initial_Closing_Start,119&lt;=MS_Stabilization_Start),DevFee/(MS_Stabilization_Start-MS_Initial_Closing_Start+1),0)</f>
        <v/>
      </c>
      <c r="DT35" s="228">
        <f>IF(AND(120&gt;=MS_Initial_Closing_Start,120&lt;=MS_Stabilization_Start),DevFee/(MS_Stabilization_Start-MS_Initial_Closing_Start+1),0)</f>
        <v/>
      </c>
      <c r="DU35" s="228">
        <f>IF(AND(121&gt;=MS_Initial_Closing_Start,121&lt;=MS_Stabilization_Start),DevFee/(MS_Stabilization_Start-MS_Initial_Closing_Start+1),0)</f>
        <v/>
      </c>
      <c r="DV35" s="228">
        <f>IF(AND(122&gt;=MS_Initial_Closing_Start,122&lt;=MS_Stabilization_Start),DevFee/(MS_Stabilization_Start-MS_Initial_Closing_Start+1),0)</f>
        <v/>
      </c>
      <c r="DW35" s="228">
        <f>IF(AND(123&gt;=MS_Initial_Closing_Start,123&lt;=MS_Stabilization_Start),DevFee/(MS_Stabilization_Start-MS_Initial_Closing_Start+1),0)</f>
        <v/>
      </c>
      <c r="DX35" s="228">
        <f>IF(AND(124&gt;=MS_Initial_Closing_Start,124&lt;=MS_Stabilization_Start),DevFee/(MS_Stabilization_Start-MS_Initial_Closing_Start+1),0)</f>
        <v/>
      </c>
      <c r="DY35" s="228">
        <f>IF(AND(125&gt;=MS_Initial_Closing_Start,125&lt;=MS_Stabilization_Start),DevFee/(MS_Stabilization_Start-MS_Initial_Closing_Start+1),0)</f>
        <v/>
      </c>
      <c r="DZ35" s="228">
        <f>IF(AND(126&gt;=MS_Initial_Closing_Start,126&lt;=MS_Stabilization_Start),DevFee/(MS_Stabilization_Start-MS_Initial_Closing_Start+1),0)</f>
        <v/>
      </c>
      <c r="EA35" s="228">
        <f>IF(AND(127&gt;=MS_Initial_Closing_Start,127&lt;=MS_Stabilization_Start),DevFee/(MS_Stabilization_Start-MS_Initial_Closing_Start+1),0)</f>
        <v/>
      </c>
      <c r="EB35" s="228">
        <f>IF(AND(128&gt;=MS_Initial_Closing_Start,128&lt;=MS_Stabilization_Start),DevFee/(MS_Stabilization_Start-MS_Initial_Closing_Start+1),0)</f>
        <v/>
      </c>
      <c r="EC35" s="228">
        <f>IF(AND(129&gt;=MS_Initial_Closing_Start,129&lt;=MS_Stabilization_Start),DevFee/(MS_Stabilization_Start-MS_Initial_Closing_Start+1),0)</f>
        <v/>
      </c>
      <c r="ED35" s="228">
        <f>IF(AND(130&gt;=MS_Initial_Closing_Start,130&lt;=MS_Stabilization_Start),DevFee/(MS_Stabilization_Start-MS_Initial_Closing_Start+1),0)</f>
        <v/>
      </c>
      <c r="EE35" s="228">
        <f>IF(AND(131&gt;=MS_Initial_Closing_Start,131&lt;=MS_Stabilization_Start),DevFee/(MS_Stabilization_Start-MS_Initial_Closing_Start+1),0)</f>
        <v/>
      </c>
      <c r="EF35" s="228">
        <f>IF(AND(132&gt;=MS_Initial_Closing_Start,132&lt;=MS_Stabilization_Start),DevFee/(MS_Stabilization_Start-MS_Initial_Closing_Start+1),0)</f>
        <v/>
      </c>
      <c r="EG35" s="228">
        <f>IF(AND(133&gt;=MS_Initial_Closing_Start,133&lt;=MS_Stabilization_Start),DevFee/(MS_Stabilization_Start-MS_Initial_Closing_Start+1),0)</f>
        <v/>
      </c>
      <c r="EH35" s="228">
        <f>IF(AND(134&gt;=MS_Initial_Closing_Start,134&lt;=MS_Stabilization_Start),DevFee/(MS_Stabilization_Start-MS_Initial_Closing_Start+1),0)</f>
        <v/>
      </c>
      <c r="EI35" s="228">
        <f>IF(AND(135&gt;=MS_Initial_Closing_Start,135&lt;=MS_Stabilization_Start),DevFee/(MS_Stabilization_Start-MS_Initial_Closing_Start+1),0)</f>
        <v/>
      </c>
      <c r="EJ35" s="228">
        <f>IF(AND(136&gt;=MS_Initial_Closing_Start,136&lt;=MS_Stabilization_Start),DevFee/(MS_Stabilization_Start-MS_Initial_Closing_Start+1),0)</f>
        <v/>
      </c>
      <c r="EK35" s="228">
        <f>IF(AND(137&gt;=MS_Initial_Closing_Start,137&lt;=MS_Stabilization_Start),DevFee/(MS_Stabilization_Start-MS_Initial_Closing_Start+1),0)</f>
        <v/>
      </c>
      <c r="EL35" s="228">
        <f>IF(AND(138&gt;=MS_Initial_Closing_Start,138&lt;=MS_Stabilization_Start),DevFee/(MS_Stabilization_Start-MS_Initial_Closing_Start+1),0)</f>
        <v/>
      </c>
      <c r="EM35" s="228">
        <f>IF(AND(139&gt;=MS_Initial_Closing_Start,139&lt;=MS_Stabilization_Start),DevFee/(MS_Stabilization_Start-MS_Initial_Closing_Start+1),0)</f>
        <v/>
      </c>
      <c r="EN35" s="228">
        <f>IF(AND(140&gt;=MS_Initial_Closing_Start,140&lt;=MS_Stabilization_Start),DevFee/(MS_Stabilization_Start-MS_Initial_Closing_Start+1),0)</f>
        <v/>
      </c>
      <c r="EO35" s="228">
        <f>IF(AND(141&gt;=MS_Initial_Closing_Start,141&lt;=MS_Stabilization_Start),DevFee/(MS_Stabilization_Start-MS_Initial_Closing_Start+1),0)</f>
        <v/>
      </c>
      <c r="EP35" s="228">
        <f>IF(AND(142&gt;=MS_Initial_Closing_Start,142&lt;=MS_Stabilization_Start),DevFee/(MS_Stabilization_Start-MS_Initial_Closing_Start+1),0)</f>
        <v/>
      </c>
      <c r="EQ35" s="228">
        <f>IF(AND(143&gt;=MS_Initial_Closing_Start,143&lt;=MS_Stabilization_Start),DevFee/(MS_Stabilization_Start-MS_Initial_Closing_Start+1),0)</f>
        <v/>
      </c>
      <c r="ER35" s="228">
        <f>IF(AND(144&gt;=MS_Initial_Closing_Start,144&lt;=MS_Stabilization_Start),DevFee/(MS_Stabilization_Start-MS_Initial_Closing_Start+1),0)</f>
        <v/>
      </c>
      <c r="ES35" s="228">
        <f>IF(AND(145&gt;=MS_Initial_Closing_Start,145&lt;=MS_Stabilization_Start),DevFee/(MS_Stabilization_Start-MS_Initial_Closing_Start+1),0)</f>
        <v/>
      </c>
      <c r="ET35" s="228">
        <f>IF(AND(146&gt;=MS_Initial_Closing_Start,146&lt;=MS_Stabilization_Start),DevFee/(MS_Stabilization_Start-MS_Initial_Closing_Start+1),0)</f>
        <v/>
      </c>
      <c r="EU35" s="228">
        <f>IF(AND(147&gt;=MS_Initial_Closing_Start,147&lt;=MS_Stabilization_Start),DevFee/(MS_Stabilization_Start-MS_Initial_Closing_Start+1),0)</f>
        <v/>
      </c>
      <c r="EV35" s="228">
        <f>IF(AND(148&gt;=MS_Initial_Closing_Start,148&lt;=MS_Stabilization_Start),DevFee/(MS_Stabilization_Start-MS_Initial_Closing_Start+1),0)</f>
        <v/>
      </c>
      <c r="EW35" s="228">
        <f>IF(AND(149&gt;=MS_Initial_Closing_Start,149&lt;=MS_Stabilization_Start),DevFee/(MS_Stabilization_Start-MS_Initial_Closing_Start+1),0)</f>
        <v/>
      </c>
      <c r="EX35" s="228">
        <f>IF(AND(150&gt;=MS_Initial_Closing_Start,150&lt;=MS_Stabilization_Start),DevFee/(MS_Stabilization_Start-MS_Initial_Closing_Start+1),0)</f>
        <v/>
      </c>
      <c r="EY35" s="228">
        <f>IF(AND(151&gt;=MS_Initial_Closing_Start,151&lt;=MS_Stabilization_Start),DevFee/(MS_Stabilization_Start-MS_Initial_Closing_Start+1),0)</f>
        <v/>
      </c>
      <c r="EZ35" s="228">
        <f>IF(AND(152&gt;=MS_Initial_Closing_Start,152&lt;=MS_Stabilization_Start),DevFee/(MS_Stabilization_Start-MS_Initial_Closing_Start+1),0)</f>
        <v/>
      </c>
      <c r="FA35" s="228">
        <f>IF(AND(153&gt;=MS_Initial_Closing_Start,153&lt;=MS_Stabilization_Start),DevFee/(MS_Stabilization_Start-MS_Initial_Closing_Start+1),0)</f>
        <v/>
      </c>
      <c r="FB35" s="228">
        <f>IF(AND(154&gt;=MS_Initial_Closing_Start,154&lt;=MS_Stabilization_Start),DevFee/(MS_Stabilization_Start-MS_Initial_Closing_Start+1),0)</f>
        <v/>
      </c>
      <c r="FC35" s="228">
        <f>IF(AND(155&gt;=MS_Initial_Closing_Start,155&lt;=MS_Stabilization_Start),DevFee/(MS_Stabilization_Start-MS_Initial_Closing_Start+1),0)</f>
        <v/>
      </c>
      <c r="FD35" s="228">
        <f>IF(AND(156&gt;=MS_Initial_Closing_Start,156&lt;=MS_Stabilization_Start),DevFee/(MS_Stabilization_Start-MS_Initial_Closing_Start+1),0)</f>
        <v/>
      </c>
      <c r="FE35" s="228">
        <f>IF(AND(157&gt;=MS_Initial_Closing_Start,157&lt;=MS_Stabilization_Start),DevFee/(MS_Stabilization_Start-MS_Initial_Closing_Start+1),0)</f>
        <v/>
      </c>
      <c r="FF35" s="228">
        <f>IF(AND(158&gt;=MS_Initial_Closing_Start,158&lt;=MS_Stabilization_Start),DevFee/(MS_Stabilization_Start-MS_Initial_Closing_Start+1),0)</f>
        <v/>
      </c>
      <c r="FG35" s="228">
        <f>IF(AND(159&gt;=MS_Initial_Closing_Start,159&lt;=MS_Stabilization_Start),DevFee/(MS_Stabilization_Start-MS_Initial_Closing_Start+1),0)</f>
        <v/>
      </c>
      <c r="FH35" s="228">
        <f>IF(AND(160&gt;=MS_Initial_Closing_Start,160&lt;=MS_Stabilization_Start),DevFee/(MS_Stabilization_Start-MS_Initial_Closing_Start+1),0)</f>
        <v/>
      </c>
      <c r="FI35" s="228">
        <f>IF(AND(161&gt;=MS_Initial_Closing_Start,161&lt;=MS_Stabilization_Start),DevFee/(MS_Stabilization_Start-MS_Initial_Closing_Start+1),0)</f>
        <v/>
      </c>
      <c r="FJ35" s="228">
        <f>IF(AND(162&gt;=MS_Initial_Closing_Start,162&lt;=MS_Stabilization_Start),DevFee/(MS_Stabilization_Start-MS_Initial_Closing_Start+1),0)</f>
        <v/>
      </c>
      <c r="FK35" s="228">
        <f>IF(AND(163&gt;=MS_Initial_Closing_Start,163&lt;=MS_Stabilization_Start),DevFee/(MS_Stabilization_Start-MS_Initial_Closing_Start+1),0)</f>
        <v/>
      </c>
      <c r="FL35" s="228">
        <f>IF(AND(164&gt;=MS_Initial_Closing_Start,164&lt;=MS_Stabilization_Start),DevFee/(MS_Stabilization_Start-MS_Initial_Closing_Start+1),0)</f>
        <v/>
      </c>
      <c r="FM35" s="228">
        <f>IF(AND(165&gt;=MS_Initial_Closing_Start,165&lt;=MS_Stabilization_Start),DevFee/(MS_Stabilization_Start-MS_Initial_Closing_Start+1),0)</f>
        <v/>
      </c>
      <c r="FN35" s="228">
        <f>IF(AND(166&gt;=MS_Initial_Closing_Start,166&lt;=MS_Stabilization_Start),DevFee/(MS_Stabilization_Start-MS_Initial_Closing_Start+1),0)</f>
        <v/>
      </c>
      <c r="FO35" s="228">
        <f>IF(AND(167&gt;=MS_Initial_Closing_Start,167&lt;=MS_Stabilization_Start),DevFee/(MS_Stabilization_Start-MS_Initial_Closing_Start+1),0)</f>
        <v/>
      </c>
      <c r="FP35" s="228">
        <f>IF(AND(168&gt;=MS_Initial_Closing_Start,168&lt;=MS_Stabilization_Start),DevFee/(MS_Stabilization_Start-MS_Initial_Closing_Start+1),0)</f>
        <v/>
      </c>
      <c r="FQ35" s="228">
        <f>IF(AND(169&gt;=MS_Initial_Closing_Start,169&lt;=MS_Stabilization_Start),DevFee/(MS_Stabilization_Start-MS_Initial_Closing_Start+1),0)</f>
        <v/>
      </c>
      <c r="FR35" s="228">
        <f>IF(AND(170&gt;=MS_Initial_Closing_Start,170&lt;=MS_Stabilization_Start),DevFee/(MS_Stabilization_Start-MS_Initial_Closing_Start+1),0)</f>
        <v/>
      </c>
      <c r="FS35" s="228">
        <f>IF(AND(171&gt;=MS_Initial_Closing_Start,171&lt;=MS_Stabilization_Start),DevFee/(MS_Stabilization_Start-MS_Initial_Closing_Start+1),0)</f>
        <v/>
      </c>
      <c r="FT35" s="228">
        <f>IF(AND(172&gt;=MS_Initial_Closing_Start,172&lt;=MS_Stabilization_Start),DevFee/(MS_Stabilization_Start-MS_Initial_Closing_Start+1),0)</f>
        <v/>
      </c>
      <c r="FU35" s="228">
        <f>IF(AND(173&gt;=MS_Initial_Closing_Start,173&lt;=MS_Stabilization_Start),DevFee/(MS_Stabilization_Start-MS_Initial_Closing_Start+1),0)</f>
        <v/>
      </c>
      <c r="FV35" s="228">
        <f>IF(AND(174&gt;=MS_Initial_Closing_Start,174&lt;=MS_Stabilization_Start),DevFee/(MS_Stabilization_Start-MS_Initial_Closing_Start+1),0)</f>
        <v/>
      </c>
      <c r="FW35" s="228">
        <f>IF(AND(175&gt;=MS_Initial_Closing_Start,175&lt;=MS_Stabilization_Start),DevFee/(MS_Stabilization_Start-MS_Initial_Closing_Start+1),0)</f>
        <v/>
      </c>
      <c r="FX35" s="228">
        <f>IF(AND(176&gt;=MS_Initial_Closing_Start,176&lt;=MS_Stabilization_Start),DevFee/(MS_Stabilization_Start-MS_Initial_Closing_Start+1),0)</f>
        <v/>
      </c>
      <c r="FY35" s="228">
        <f>IF(AND(177&gt;=MS_Initial_Closing_Start,177&lt;=MS_Stabilization_Start),DevFee/(MS_Stabilization_Start-MS_Initial_Closing_Start+1),0)</f>
        <v/>
      </c>
      <c r="FZ35" s="228">
        <f>IF(AND(178&gt;=MS_Initial_Closing_Start,178&lt;=MS_Stabilization_Start),DevFee/(MS_Stabilization_Start-MS_Initial_Closing_Start+1),0)</f>
        <v/>
      </c>
      <c r="GA35" s="228">
        <f>IF(AND(179&gt;=MS_Initial_Closing_Start,179&lt;=MS_Stabilization_Start),DevFee/(MS_Stabilization_Start-MS_Initial_Closing_Start+1),0)</f>
        <v/>
      </c>
      <c r="GB35" s="228">
        <f>IF(AND(180&gt;=MS_Initial_Closing_Start,180&lt;=MS_Stabilization_Start),DevFee/(MS_Stabilization_Start-MS_Initial_Closing_Start+1),0)</f>
        <v/>
      </c>
      <c r="GC35" s="228">
        <f>IF(AND(181&gt;=MS_Initial_Closing_Start,181&lt;=MS_Stabilization_Start),DevFee/(MS_Stabilization_Start-MS_Initial_Closing_Start+1),0)</f>
        <v/>
      </c>
      <c r="GD35" s="228">
        <f>IF(AND(182&gt;=MS_Initial_Closing_Start,182&lt;=MS_Stabilization_Start),DevFee/(MS_Stabilization_Start-MS_Initial_Closing_Start+1),0)</f>
        <v/>
      </c>
      <c r="GE35" s="228">
        <f>IF(AND(183&gt;=MS_Initial_Closing_Start,183&lt;=MS_Stabilization_Start),DevFee/(MS_Stabilization_Start-MS_Initial_Closing_Start+1),0)</f>
        <v/>
      </c>
      <c r="GF35" s="228">
        <f>IF(AND(184&gt;=MS_Initial_Closing_Start,184&lt;=MS_Stabilization_Start),DevFee/(MS_Stabilization_Start-MS_Initial_Closing_Start+1),0)</f>
        <v/>
      </c>
      <c r="GG35" s="228">
        <f>IF(AND(185&gt;=MS_Initial_Closing_Start,185&lt;=MS_Stabilization_Start),DevFee/(MS_Stabilization_Start-MS_Initial_Closing_Start+1),0)</f>
        <v/>
      </c>
      <c r="GH35" s="228">
        <f>IF(AND(186&gt;=MS_Initial_Closing_Start,186&lt;=MS_Stabilization_Start),DevFee/(MS_Stabilization_Start-MS_Initial_Closing_Start+1),0)</f>
        <v/>
      </c>
      <c r="GI35" s="228">
        <f>IF(AND(187&gt;=MS_Initial_Closing_Start,187&lt;=MS_Stabilization_Start),DevFee/(MS_Stabilization_Start-MS_Initial_Closing_Start+1),0)</f>
        <v/>
      </c>
      <c r="GJ35" s="228">
        <f>IF(AND(188&gt;=MS_Initial_Closing_Start,188&lt;=MS_Stabilization_Start),DevFee/(MS_Stabilization_Start-MS_Initial_Closing_Start+1),0)</f>
        <v/>
      </c>
      <c r="GK35" s="228">
        <f>IF(AND(189&gt;=MS_Initial_Closing_Start,189&lt;=MS_Stabilization_Start),DevFee/(MS_Stabilization_Start-MS_Initial_Closing_Start+1),0)</f>
        <v/>
      </c>
      <c r="GL35" s="228">
        <f>IF(AND(190&gt;=MS_Initial_Closing_Start,190&lt;=MS_Stabilization_Start),DevFee/(MS_Stabilization_Start-MS_Initial_Closing_Start+1),0)</f>
        <v/>
      </c>
      <c r="GM35" s="228">
        <f>IF(AND(191&gt;=MS_Initial_Closing_Start,191&lt;=MS_Stabilization_Start),DevFee/(MS_Stabilization_Start-MS_Initial_Closing_Start+1),0)</f>
        <v/>
      </c>
      <c r="GN35" s="228">
        <f>IF(AND(192&gt;=MS_Initial_Closing_Start,192&lt;=MS_Stabilization_Start),DevFee/(MS_Stabilization_Start-MS_Initial_Closing_Start+1),0)</f>
        <v/>
      </c>
      <c r="GO35" s="228">
        <f>IF(AND(193&gt;=MS_Initial_Closing_Start,193&lt;=MS_Stabilization_Start),DevFee/(MS_Stabilization_Start-MS_Initial_Closing_Start+1),0)</f>
        <v/>
      </c>
      <c r="GP35" s="228">
        <f>IF(AND(194&gt;=MS_Initial_Closing_Start,194&lt;=MS_Stabilization_Start),DevFee/(MS_Stabilization_Start-MS_Initial_Closing_Start+1),0)</f>
        <v/>
      </c>
      <c r="GQ35" s="228">
        <f>IF(AND(195&gt;=MS_Initial_Closing_Start,195&lt;=MS_Stabilization_Start),DevFee/(MS_Stabilization_Start-MS_Initial_Closing_Start+1),0)</f>
        <v/>
      </c>
      <c r="GR35" s="228">
        <f>IF(AND(196&gt;=MS_Initial_Closing_Start,196&lt;=MS_Stabilization_Start),DevFee/(MS_Stabilization_Start-MS_Initial_Closing_Start+1),0)</f>
        <v/>
      </c>
      <c r="GS35" s="228">
        <f>IF(AND(197&gt;=MS_Initial_Closing_Start,197&lt;=MS_Stabilization_Start),DevFee/(MS_Stabilization_Start-MS_Initial_Closing_Start+1),0)</f>
        <v/>
      </c>
      <c r="GT35" s="228">
        <f>IF(AND(198&gt;=MS_Initial_Closing_Start,198&lt;=MS_Stabilization_Start),DevFee/(MS_Stabilization_Start-MS_Initial_Closing_Start+1),0)</f>
        <v/>
      </c>
      <c r="GU35" s="228">
        <f>IF(AND(199&gt;=MS_Initial_Closing_Start,199&lt;=MS_Stabilization_Start),DevFee/(MS_Stabilization_Start-MS_Initial_Closing_Start+1),0)</f>
        <v/>
      </c>
      <c r="GV35" s="228">
        <f>IF(AND(200&gt;=MS_Initial_Closing_Start,200&lt;=MS_Stabilization_Start),DevFee/(MS_Stabilization_Start-MS_Initial_Closing_Start+1),0)</f>
        <v/>
      </c>
      <c r="GW35" s="228">
        <f>IF(AND(201&gt;=MS_Initial_Closing_Start,201&lt;=MS_Stabilization_Start),DevFee/(MS_Stabilization_Start-MS_Initial_Closing_Start+1),0)</f>
        <v/>
      </c>
      <c r="GX35" s="228">
        <f>IF(AND(202&gt;=MS_Initial_Closing_Start,202&lt;=MS_Stabilization_Start),DevFee/(MS_Stabilization_Start-MS_Initial_Closing_Start+1),0)</f>
        <v/>
      </c>
      <c r="GY35" s="228">
        <f>IF(AND(203&gt;=MS_Initial_Closing_Start,203&lt;=MS_Stabilization_Start),DevFee/(MS_Stabilization_Start-MS_Initial_Closing_Start+1),0)</f>
        <v/>
      </c>
      <c r="GZ35" s="228">
        <f>IF(AND(204&gt;=MS_Initial_Closing_Start,204&lt;=MS_Stabilization_Start),DevFee/(MS_Stabilization_Start-MS_Initial_Closing_Start+1),0)</f>
        <v/>
      </c>
      <c r="HA35" s="228">
        <f>IF(AND(205&gt;=MS_Initial_Closing_Start,205&lt;=MS_Stabilization_Start),DevFee/(MS_Stabilization_Start-MS_Initial_Closing_Start+1),0)</f>
        <v/>
      </c>
      <c r="HB35" s="228">
        <f>IF(AND(206&gt;=MS_Initial_Closing_Start,206&lt;=MS_Stabilization_Start),DevFee/(MS_Stabilization_Start-MS_Initial_Closing_Start+1),0)</f>
        <v/>
      </c>
      <c r="HC35" s="228">
        <f>IF(AND(207&gt;=MS_Initial_Closing_Start,207&lt;=MS_Stabilization_Start),DevFee/(MS_Stabilization_Start-MS_Initial_Closing_Start+1),0)</f>
        <v/>
      </c>
      <c r="HD35" s="228">
        <f>IF(AND(208&gt;=MS_Initial_Closing_Start,208&lt;=MS_Stabilization_Start),DevFee/(MS_Stabilization_Start-MS_Initial_Closing_Start+1),0)</f>
        <v/>
      </c>
      <c r="HE35" s="228">
        <f>IF(AND(209&gt;=MS_Initial_Closing_Start,209&lt;=MS_Stabilization_Start),DevFee/(MS_Stabilization_Start-MS_Initial_Closing_Start+1),0)</f>
        <v/>
      </c>
      <c r="HF35" s="228">
        <f>IF(AND(210&gt;=MS_Initial_Closing_Start,210&lt;=MS_Stabilization_Start),DevFee/(MS_Stabilization_Start-MS_Initial_Closing_Start+1),0)</f>
        <v/>
      </c>
      <c r="HG35" s="228">
        <f>IF(AND(211&gt;=MS_Initial_Closing_Start,211&lt;=MS_Stabilization_Start),DevFee/(MS_Stabilization_Start-MS_Initial_Closing_Start+1),0)</f>
        <v/>
      </c>
      <c r="HH35" s="228">
        <f>IF(AND(212&gt;=MS_Initial_Closing_Start,212&lt;=MS_Stabilization_Start),DevFee/(MS_Stabilization_Start-MS_Initial_Closing_Start+1),0)</f>
        <v/>
      </c>
      <c r="HI35" s="228">
        <f>IF(AND(213&gt;=MS_Initial_Closing_Start,213&lt;=MS_Stabilization_Start),DevFee/(MS_Stabilization_Start-MS_Initial_Closing_Start+1),0)</f>
        <v/>
      </c>
      <c r="HJ35" s="228">
        <f>IF(AND(214&gt;=MS_Initial_Closing_Start,214&lt;=MS_Stabilization_Start),DevFee/(MS_Stabilization_Start-MS_Initial_Closing_Start+1),0)</f>
        <v/>
      </c>
      <c r="HK35" s="228">
        <f>IF(AND(215&gt;=MS_Initial_Closing_Start,215&lt;=MS_Stabilization_Start),DevFee/(MS_Stabilization_Start-MS_Initial_Closing_Start+1),0)</f>
        <v/>
      </c>
      <c r="HL35" s="228">
        <f>IF(AND(216&gt;=MS_Initial_Closing_Start,216&lt;=MS_Stabilization_Start),DevFee/(MS_Stabilization_Start-MS_Initial_Closing_Start+1),0)</f>
        <v/>
      </c>
      <c r="HM35" s="228">
        <f>IF(AND(217&gt;=MS_Initial_Closing_Start,217&lt;=MS_Stabilization_Start),DevFee/(MS_Stabilization_Start-MS_Initial_Closing_Start+1),0)</f>
        <v/>
      </c>
      <c r="HN35" s="228">
        <f>IF(AND(218&gt;=MS_Initial_Closing_Start,218&lt;=MS_Stabilization_Start),DevFee/(MS_Stabilization_Start-MS_Initial_Closing_Start+1),0)</f>
        <v/>
      </c>
      <c r="HO35" s="228">
        <f>IF(AND(219&gt;=MS_Initial_Closing_Start,219&lt;=MS_Stabilization_Start),DevFee/(MS_Stabilization_Start-MS_Initial_Closing_Start+1),0)</f>
        <v/>
      </c>
      <c r="HP35" s="228">
        <f>IF(AND(220&gt;=MS_Initial_Closing_Start,220&lt;=MS_Stabilization_Start),DevFee/(MS_Stabilization_Start-MS_Initial_Closing_Start+1),0)</f>
        <v/>
      </c>
      <c r="HQ35" s="228">
        <f>IF(AND(221&gt;=MS_Initial_Closing_Start,221&lt;=MS_Stabilization_Start),DevFee/(MS_Stabilization_Start-MS_Initial_Closing_Start+1),0)</f>
        <v/>
      </c>
      <c r="HR35" s="228">
        <f>IF(AND(222&gt;=MS_Initial_Closing_Start,222&lt;=MS_Stabilization_Start),DevFee/(MS_Stabilization_Start-MS_Initial_Closing_Start+1),0)</f>
        <v/>
      </c>
      <c r="HS35" s="228">
        <f>IF(AND(223&gt;=MS_Initial_Closing_Start,223&lt;=MS_Stabilization_Start),DevFee/(MS_Stabilization_Start-MS_Initial_Closing_Start+1),0)</f>
        <v/>
      </c>
      <c r="HT35" s="228">
        <f>IF(AND(224&gt;=MS_Initial_Closing_Start,224&lt;=MS_Stabilization_Start),DevFee/(MS_Stabilization_Start-MS_Initial_Closing_Start+1),0)</f>
        <v/>
      </c>
      <c r="HU35" s="228">
        <f>IF(AND(225&gt;=MS_Initial_Closing_Start,225&lt;=MS_Stabilization_Start),DevFee/(MS_Stabilization_Start-MS_Initial_Closing_Start+1),0)</f>
        <v/>
      </c>
      <c r="HV35" s="228">
        <f>IF(AND(226&gt;=MS_Initial_Closing_Start,226&lt;=MS_Stabilization_Start),DevFee/(MS_Stabilization_Start-MS_Initial_Closing_Start+1),0)</f>
        <v/>
      </c>
      <c r="HW35" s="228">
        <f>IF(AND(227&gt;=MS_Initial_Closing_Start,227&lt;=MS_Stabilization_Start),DevFee/(MS_Stabilization_Start-MS_Initial_Closing_Start+1),0)</f>
        <v/>
      </c>
      <c r="HX35" s="228">
        <f>IF(AND(228&gt;=MS_Initial_Closing_Start,228&lt;=MS_Stabilization_Start),DevFee/(MS_Stabilization_Start-MS_Initial_Closing_Start+1),0)</f>
        <v/>
      </c>
      <c r="HY35" s="228">
        <f>IF(AND(229&gt;=MS_Initial_Closing_Start,229&lt;=MS_Stabilization_Start),DevFee/(MS_Stabilization_Start-MS_Initial_Closing_Start+1),0)</f>
        <v/>
      </c>
      <c r="HZ35" s="228">
        <f>IF(AND(230&gt;=MS_Initial_Closing_Start,230&lt;=MS_Stabilization_Start),DevFee/(MS_Stabilization_Start-MS_Initial_Closing_Start+1),0)</f>
        <v/>
      </c>
      <c r="IA35" s="228">
        <f>IF(AND(231&gt;=MS_Initial_Closing_Start,231&lt;=MS_Stabilization_Start),DevFee/(MS_Stabilization_Start-MS_Initial_Closing_Start+1),0)</f>
        <v/>
      </c>
      <c r="IB35" s="228">
        <f>IF(AND(232&gt;=MS_Initial_Closing_Start,232&lt;=MS_Stabilization_Start),DevFee/(MS_Stabilization_Start-MS_Initial_Closing_Start+1),0)</f>
        <v/>
      </c>
      <c r="IC35" s="228">
        <f>IF(AND(233&gt;=MS_Initial_Closing_Start,233&lt;=MS_Stabilization_Start),DevFee/(MS_Stabilization_Start-MS_Initial_Closing_Start+1),0)</f>
        <v/>
      </c>
      <c r="ID35" s="228">
        <f>IF(AND(234&gt;=MS_Initial_Closing_Start,234&lt;=MS_Stabilization_Start),DevFee/(MS_Stabilization_Start-MS_Initial_Closing_Start+1),0)</f>
        <v/>
      </c>
      <c r="IE35" s="228">
        <f>IF(AND(235&gt;=MS_Initial_Closing_Start,235&lt;=MS_Stabilization_Start),DevFee/(MS_Stabilization_Start-MS_Initial_Closing_Start+1),0)</f>
        <v/>
      </c>
      <c r="IF35" s="228">
        <f>IF(AND(236&gt;=MS_Initial_Closing_Start,236&lt;=MS_Stabilization_Start),DevFee/(MS_Stabilization_Start-MS_Initial_Closing_Start+1),0)</f>
        <v/>
      </c>
      <c r="IG35" s="228">
        <f>IF(AND(237&gt;=MS_Initial_Closing_Start,237&lt;=MS_Stabilization_Start),DevFee/(MS_Stabilization_Start-MS_Initial_Closing_Start+1),0)</f>
        <v/>
      </c>
      <c r="IH35" s="228">
        <f>IF(AND(238&gt;=MS_Initial_Closing_Start,238&lt;=MS_Stabilization_Start),DevFee/(MS_Stabilization_Start-MS_Initial_Closing_Start+1),0)</f>
        <v/>
      </c>
      <c r="II35" s="228">
        <f>IF(AND(239&gt;=MS_Initial_Closing_Start,239&lt;=MS_Stabilization_Start),DevFee/(MS_Stabilization_Start-MS_Initial_Closing_Start+1),0)</f>
        <v/>
      </c>
      <c r="IJ35" s="228">
        <f>IF(AND(240&gt;=MS_Initial_Closing_Start,240&lt;=MS_Stabilization_Start),DevFee/(MS_Stabilization_Start-MS_Initial_Closing_Start+1),0)</f>
        <v/>
      </c>
      <c r="IK35" s="228">
        <f>IF(AND(241&gt;=MS_Initial_Closing_Start,241&lt;=MS_Stabilization_Start),DevFee/(MS_Stabilization_Start-MS_Initial_Closing_Start+1),0)</f>
        <v/>
      </c>
      <c r="IL35" s="228">
        <f>IF(AND(242&gt;=MS_Initial_Closing_Start,242&lt;=MS_Stabilization_Start),DevFee/(MS_Stabilization_Start-MS_Initial_Closing_Start+1),0)</f>
        <v/>
      </c>
      <c r="IM35" s="228">
        <f>IF(AND(243&gt;=MS_Initial_Closing_Start,243&lt;=MS_Stabilization_Start),DevFee/(MS_Stabilization_Start-MS_Initial_Closing_Start+1),0)</f>
        <v/>
      </c>
      <c r="IN35" s="228">
        <f>IF(AND(244&gt;=MS_Initial_Closing_Start,244&lt;=MS_Stabilization_Start),DevFee/(MS_Stabilization_Start-MS_Initial_Closing_Start+1),0)</f>
        <v/>
      </c>
      <c r="IO35" s="228">
        <f>IF(AND(245&gt;=MS_Initial_Closing_Start,245&lt;=MS_Stabilization_Start),DevFee/(MS_Stabilization_Start-MS_Initial_Closing_Start+1),0)</f>
        <v/>
      </c>
      <c r="IP35" s="228">
        <f>IF(AND(246&gt;=MS_Initial_Closing_Start,246&lt;=MS_Stabilization_Start),DevFee/(MS_Stabilization_Start-MS_Initial_Closing_Start+1),0)</f>
        <v/>
      </c>
      <c r="IQ35" s="228">
        <f>IF(AND(247&gt;=MS_Initial_Closing_Start,247&lt;=MS_Stabilization_Start),DevFee/(MS_Stabilization_Start-MS_Initial_Closing_Start+1),0)</f>
        <v/>
      </c>
      <c r="IR35" s="228">
        <f>IF(AND(248&gt;=MS_Initial_Closing_Start,248&lt;=MS_Stabilization_Start),DevFee/(MS_Stabilization_Start-MS_Initial_Closing_Start+1),0)</f>
        <v/>
      </c>
      <c r="IS35" s="228">
        <f>IF(AND(249&gt;=MS_Initial_Closing_Start,249&lt;=MS_Stabilization_Start),DevFee/(MS_Stabilization_Start-MS_Initial_Closing_Start+1),0)</f>
        <v/>
      </c>
      <c r="IT35" s="228">
        <f>IF(AND(250&gt;=MS_Initial_Closing_Start,250&lt;=MS_Stabilization_Start),DevFee/(MS_Stabilization_Start-MS_Initial_Closing_Start+1),0)</f>
        <v/>
      </c>
      <c r="IU35" s="228">
        <f>IF(AND(251&gt;=MS_Initial_Closing_Start,251&lt;=MS_Stabilization_Start),DevFee/(MS_Stabilization_Start-MS_Initial_Closing_Start+1),0)</f>
        <v/>
      </c>
      <c r="IV35" s="228">
        <f>IF(AND(252&gt;=MS_Initial_Closing_Start,252&lt;=MS_Stabilization_Start),DevFee/(MS_Stabilization_Start-MS_Initial_Closing_Start+1),0)</f>
        <v/>
      </c>
      <c r="IW35" s="228">
        <f>IF(AND(253&gt;=MS_Initial_Closing_Start,253&lt;=MS_Stabilization_Start),DevFee/(MS_Stabilization_Start-MS_Initial_Closing_Start+1),0)</f>
        <v/>
      </c>
      <c r="IX35" s="228">
        <f>IF(AND(254&gt;=MS_Initial_Closing_Start,254&lt;=MS_Stabilization_Start),DevFee/(MS_Stabilization_Start-MS_Initial_Closing_Start+1),0)</f>
        <v/>
      </c>
      <c r="IY35" s="228">
        <f>IF(AND(255&gt;=MS_Initial_Closing_Start,255&lt;=MS_Stabilization_Start),DevFee/(MS_Stabilization_Start-MS_Initial_Closing_Start+1),0)</f>
        <v/>
      </c>
      <c r="IZ35" s="228">
        <f>IF(AND(256&gt;=MS_Initial_Closing_Start,256&lt;=MS_Stabilization_Start),DevFee/(MS_Stabilization_Start-MS_Initial_Closing_Start+1),0)</f>
        <v/>
      </c>
      <c r="JA35" s="228">
        <f>IF(AND(257&gt;=MS_Initial_Closing_Start,257&lt;=MS_Stabilization_Start),DevFee/(MS_Stabilization_Start-MS_Initial_Closing_Start+1),0)</f>
        <v/>
      </c>
      <c r="JB35" s="228">
        <f>IF(AND(258&gt;=MS_Initial_Closing_Start,258&lt;=MS_Stabilization_Start),DevFee/(MS_Stabilization_Start-MS_Initial_Closing_Start+1),0)</f>
        <v/>
      </c>
      <c r="JC35" s="228">
        <f>IF(AND(259&gt;=MS_Initial_Closing_Start,259&lt;=MS_Stabilization_Start),DevFee/(MS_Stabilization_Start-MS_Initial_Closing_Start+1),0)</f>
        <v/>
      </c>
      <c r="JD35" s="228">
        <f>IF(AND(260&gt;=MS_Initial_Closing_Start,260&lt;=MS_Stabilization_Start),DevFee/(MS_Stabilization_Start-MS_Initial_Closing_Start+1),0)</f>
        <v/>
      </c>
      <c r="JE35" s="228">
        <f>IF(AND(261&gt;=MS_Initial_Closing_Start,261&lt;=MS_Stabilization_Start),DevFee/(MS_Stabilization_Start-MS_Initial_Closing_Start+1),0)</f>
        <v/>
      </c>
      <c r="JF35" s="228">
        <f>IF(AND(262&gt;=MS_Initial_Closing_Start,262&lt;=MS_Stabilization_Start),DevFee/(MS_Stabilization_Start-MS_Initial_Closing_Start+1),0)</f>
        <v/>
      </c>
      <c r="JG35" s="228">
        <f>IF(AND(263&gt;=MS_Initial_Closing_Start,263&lt;=MS_Stabilization_Start),DevFee/(MS_Stabilization_Start-MS_Initial_Closing_Start+1),0)</f>
        <v/>
      </c>
      <c r="JH35" s="228">
        <f>IF(AND(264&gt;=MS_Initial_Closing_Start,264&lt;=MS_Stabilization_Start),DevFee/(MS_Stabilization_Start-MS_Initial_Closing_Start+1),0)</f>
        <v/>
      </c>
      <c r="JI35" s="228">
        <f>IF(AND(265&gt;=MS_Initial_Closing_Start,265&lt;=MS_Stabilization_Start),DevFee/(MS_Stabilization_Start-MS_Initial_Closing_Start+1),0)</f>
        <v/>
      </c>
      <c r="JJ35" s="228">
        <f>IF(AND(266&gt;=MS_Initial_Closing_Start,266&lt;=MS_Stabilization_Start),DevFee/(MS_Stabilization_Start-MS_Initial_Closing_Start+1),0)</f>
        <v/>
      </c>
      <c r="JK35" s="228">
        <f>IF(AND(267&gt;=MS_Initial_Closing_Start,267&lt;=MS_Stabilization_Start),DevFee/(MS_Stabilization_Start-MS_Initial_Closing_Start+1),0)</f>
        <v/>
      </c>
      <c r="JL35" s="228">
        <f>IF(AND(268&gt;=MS_Initial_Closing_Start,268&lt;=MS_Stabilization_Start),DevFee/(MS_Stabilization_Start-MS_Initial_Closing_Start+1),0)</f>
        <v/>
      </c>
      <c r="JM35" s="228">
        <f>IF(AND(269&gt;=MS_Initial_Closing_Start,269&lt;=MS_Stabilization_Start),DevFee/(MS_Stabilization_Start-MS_Initial_Closing_Start+1),0)</f>
        <v/>
      </c>
      <c r="JN35" s="228">
        <f>IF(AND(270&gt;=MS_Initial_Closing_Start,270&lt;=MS_Stabilization_Start),DevFee/(MS_Stabilization_Start-MS_Initial_Closing_Start+1),0)</f>
        <v/>
      </c>
      <c r="JO35" s="228">
        <f>IF(AND(271&gt;=MS_Initial_Closing_Start,271&lt;=MS_Stabilization_Start),DevFee/(MS_Stabilization_Start-MS_Initial_Closing_Start+1),0)</f>
        <v/>
      </c>
      <c r="JP35" s="228">
        <f>IF(AND(272&gt;=MS_Initial_Closing_Start,272&lt;=MS_Stabilization_Start),DevFee/(MS_Stabilization_Start-MS_Initial_Closing_Start+1),0)</f>
        <v/>
      </c>
      <c r="JQ35" s="228">
        <f>IF(AND(273&gt;=MS_Initial_Closing_Start,273&lt;=MS_Stabilization_Start),DevFee/(MS_Stabilization_Start-MS_Initial_Closing_Start+1),0)</f>
        <v/>
      </c>
      <c r="JR35" s="228">
        <f>IF(AND(274&gt;=MS_Initial_Closing_Start,274&lt;=MS_Stabilization_Start),DevFee/(MS_Stabilization_Start-MS_Initial_Closing_Start+1),0)</f>
        <v/>
      </c>
      <c r="JS35" s="228">
        <f>IF(AND(275&gt;=MS_Initial_Closing_Start,275&lt;=MS_Stabilization_Start),DevFee/(MS_Stabilization_Start-MS_Initial_Closing_Start+1),0)</f>
        <v/>
      </c>
      <c r="JT35" s="228">
        <f>IF(AND(276&gt;=MS_Initial_Closing_Start,276&lt;=MS_Stabilization_Start),DevFee/(MS_Stabilization_Start-MS_Initial_Closing_Start+1),0)</f>
        <v/>
      </c>
      <c r="JU35" s="228">
        <f>IF(AND(277&gt;=MS_Initial_Closing_Start,277&lt;=MS_Stabilization_Start),DevFee/(MS_Stabilization_Start-MS_Initial_Closing_Start+1),0)</f>
        <v/>
      </c>
      <c r="JV35" s="228">
        <f>IF(AND(278&gt;=MS_Initial_Closing_Start,278&lt;=MS_Stabilization_Start),DevFee/(MS_Stabilization_Start-MS_Initial_Closing_Start+1),0)</f>
        <v/>
      </c>
      <c r="JW35" s="228">
        <f>IF(AND(279&gt;=MS_Initial_Closing_Start,279&lt;=MS_Stabilization_Start),DevFee/(MS_Stabilization_Start-MS_Initial_Closing_Start+1),0)</f>
        <v/>
      </c>
      <c r="JX35" s="228">
        <f>IF(AND(280&gt;=MS_Initial_Closing_Start,280&lt;=MS_Stabilization_Start),DevFee/(MS_Stabilization_Start-MS_Initial_Closing_Start+1),0)</f>
        <v/>
      </c>
      <c r="JY35" s="228">
        <f>IF(AND(281&gt;=MS_Initial_Closing_Start,281&lt;=MS_Stabilization_Start),DevFee/(MS_Stabilization_Start-MS_Initial_Closing_Start+1),0)</f>
        <v/>
      </c>
      <c r="JZ35" s="228">
        <f>IF(AND(282&gt;=MS_Initial_Closing_Start,282&lt;=MS_Stabilization_Start),DevFee/(MS_Stabilization_Start-MS_Initial_Closing_Start+1),0)</f>
        <v/>
      </c>
      <c r="KA35" s="228">
        <f>IF(AND(283&gt;=MS_Initial_Closing_Start,283&lt;=MS_Stabilization_Start),DevFee/(MS_Stabilization_Start-MS_Initial_Closing_Start+1),0)</f>
        <v/>
      </c>
      <c r="KB35" s="228">
        <f>IF(AND(284&gt;=MS_Initial_Closing_Start,284&lt;=MS_Stabilization_Start),DevFee/(MS_Stabilization_Start-MS_Initial_Closing_Start+1),0)</f>
        <v/>
      </c>
      <c r="KC35" s="228">
        <f>IF(AND(285&gt;=MS_Initial_Closing_Start,285&lt;=MS_Stabilization_Start),DevFee/(MS_Stabilization_Start-MS_Initial_Closing_Start+1),0)</f>
        <v/>
      </c>
      <c r="KD35" s="228">
        <f>IF(AND(286&gt;=MS_Initial_Closing_Start,286&lt;=MS_Stabilization_Start),DevFee/(MS_Stabilization_Start-MS_Initial_Closing_Start+1),0)</f>
        <v/>
      </c>
      <c r="KE35" s="228">
        <f>IF(AND(287&gt;=MS_Initial_Closing_Start,287&lt;=MS_Stabilization_Start),DevFee/(MS_Stabilization_Start-MS_Initial_Closing_Start+1),0)</f>
        <v/>
      </c>
      <c r="KF35" s="228">
        <f>IF(AND(288&gt;=MS_Initial_Closing_Start,288&lt;=MS_Stabilization_Start),DevFee/(MS_Stabilization_Start-MS_Initial_Closing_Start+1),0)</f>
        <v/>
      </c>
      <c r="KG35" s="228">
        <f>IF(AND(289&gt;=MS_Initial_Closing_Start,289&lt;=MS_Stabilization_Start),DevFee/(MS_Stabilization_Start-MS_Initial_Closing_Start+1),0)</f>
        <v/>
      </c>
      <c r="KH35" s="228">
        <f>IF(AND(290&gt;=MS_Initial_Closing_Start,290&lt;=MS_Stabilization_Start),DevFee/(MS_Stabilization_Start-MS_Initial_Closing_Start+1),0)</f>
        <v/>
      </c>
      <c r="KI35" s="228">
        <f>IF(AND(291&gt;=MS_Initial_Closing_Start,291&lt;=MS_Stabilization_Start),DevFee/(MS_Stabilization_Start-MS_Initial_Closing_Start+1),0)</f>
        <v/>
      </c>
      <c r="KJ35" s="228">
        <f>IF(AND(292&gt;=MS_Initial_Closing_Start,292&lt;=MS_Stabilization_Start),DevFee/(MS_Stabilization_Start-MS_Initial_Closing_Start+1),0)</f>
        <v/>
      </c>
      <c r="KK35" s="228">
        <f>IF(AND(293&gt;=MS_Initial_Closing_Start,293&lt;=MS_Stabilization_Start),DevFee/(MS_Stabilization_Start-MS_Initial_Closing_Start+1),0)</f>
        <v/>
      </c>
      <c r="KL35" s="228">
        <f>IF(AND(294&gt;=MS_Initial_Closing_Start,294&lt;=MS_Stabilization_Start),DevFee/(MS_Stabilization_Start-MS_Initial_Closing_Start+1),0)</f>
        <v/>
      </c>
      <c r="KM35" s="228">
        <f>IF(AND(295&gt;=MS_Initial_Closing_Start,295&lt;=MS_Stabilization_Start),DevFee/(MS_Stabilization_Start-MS_Initial_Closing_Start+1),0)</f>
        <v/>
      </c>
      <c r="KN35" s="228">
        <f>IF(AND(296&gt;=MS_Initial_Closing_Start,296&lt;=MS_Stabilization_Start),DevFee/(MS_Stabilization_Start-MS_Initial_Closing_Start+1),0)</f>
        <v/>
      </c>
      <c r="KO35" s="228">
        <f>IF(AND(297&gt;=MS_Initial_Closing_Start,297&lt;=MS_Stabilization_Start),DevFee/(MS_Stabilization_Start-MS_Initial_Closing_Start+1),0)</f>
        <v/>
      </c>
      <c r="KP35" s="228">
        <f>IF(AND(298&gt;=MS_Initial_Closing_Start,298&lt;=MS_Stabilization_Start),DevFee/(MS_Stabilization_Start-MS_Initial_Closing_Start+1),0)</f>
        <v/>
      </c>
      <c r="KQ35" s="228">
        <f>IF(AND(299&gt;=MS_Initial_Closing_Start,299&lt;=MS_Stabilization_Start),DevFee/(MS_Stabilization_Start-MS_Initial_Closing_Start+1),0)</f>
        <v/>
      </c>
      <c r="KR35" s="228">
        <f>IF(AND(300&gt;=MS_Initial_Closing_Start,300&lt;=MS_Stabilization_Start),DevFee/(MS_Stabilization_Start-MS_Initial_Closing_Start+1),0)</f>
        <v/>
      </c>
      <c r="KS35" s="228">
        <f>IF(AND(301&gt;=MS_Initial_Closing_Start,301&lt;=MS_Stabilization_Start),DevFee/(MS_Stabilization_Start-MS_Initial_Closing_Start+1),0)</f>
        <v/>
      </c>
      <c r="KT35" s="228">
        <f>IF(AND(302&gt;=MS_Initial_Closing_Start,302&lt;=MS_Stabilization_Start),DevFee/(MS_Stabilization_Start-MS_Initial_Closing_Start+1),0)</f>
        <v/>
      </c>
      <c r="KU35" s="228">
        <f>IF(AND(303&gt;=MS_Initial_Closing_Start,303&lt;=MS_Stabilization_Start),DevFee/(MS_Stabilization_Start-MS_Initial_Closing_Start+1),0)</f>
        <v/>
      </c>
      <c r="KV35" s="228">
        <f>IF(AND(304&gt;=MS_Initial_Closing_Start,304&lt;=MS_Stabilization_Start),DevFee/(MS_Stabilization_Start-MS_Initial_Closing_Start+1),0)</f>
        <v/>
      </c>
      <c r="KW35" s="228">
        <f>IF(AND(305&gt;=MS_Initial_Closing_Start,305&lt;=MS_Stabilization_Start),DevFee/(MS_Stabilization_Start-MS_Initial_Closing_Start+1),0)</f>
        <v/>
      </c>
      <c r="KX35" s="228">
        <f>IF(AND(306&gt;=MS_Initial_Closing_Start,306&lt;=MS_Stabilization_Start),DevFee/(MS_Stabilization_Start-MS_Initial_Closing_Start+1),0)</f>
        <v/>
      </c>
      <c r="KY35" s="228">
        <f>IF(AND(307&gt;=MS_Initial_Closing_Start,307&lt;=MS_Stabilization_Start),DevFee/(MS_Stabilization_Start-MS_Initial_Closing_Start+1),0)</f>
        <v/>
      </c>
      <c r="KZ35" s="228">
        <f>IF(AND(308&gt;=MS_Initial_Closing_Start,308&lt;=MS_Stabilization_Start),DevFee/(MS_Stabilization_Start-MS_Initial_Closing_Start+1),0)</f>
        <v/>
      </c>
      <c r="LA35" s="228">
        <f>IF(AND(309&gt;=MS_Initial_Closing_Start,309&lt;=MS_Stabilization_Start),DevFee/(MS_Stabilization_Start-MS_Initial_Closing_Start+1),0)</f>
        <v/>
      </c>
      <c r="LB35" s="228">
        <f>IF(AND(310&gt;=MS_Initial_Closing_Start,310&lt;=MS_Stabilization_Start),DevFee/(MS_Stabilization_Start-MS_Initial_Closing_Start+1),0)</f>
        <v/>
      </c>
      <c r="LC35" s="228">
        <f>IF(AND(311&gt;=MS_Initial_Closing_Start,311&lt;=MS_Stabilization_Start),DevFee/(MS_Stabilization_Start-MS_Initial_Closing_Start+1),0)</f>
        <v/>
      </c>
      <c r="LD35" s="228">
        <f>IF(AND(312&gt;=MS_Initial_Closing_Start,312&lt;=MS_Stabilization_Start),DevFee/(MS_Stabilization_Start-MS_Initial_Closing_Start+1),0)</f>
        <v/>
      </c>
      <c r="LE35" s="228">
        <f>IF(AND(313&gt;=MS_Initial_Closing_Start,313&lt;=MS_Stabilization_Start),DevFee/(MS_Stabilization_Start-MS_Initial_Closing_Start+1),0)</f>
        <v/>
      </c>
      <c r="LF35" s="228">
        <f>IF(AND(314&gt;=MS_Initial_Closing_Start,314&lt;=MS_Stabilization_Start),DevFee/(MS_Stabilization_Start-MS_Initial_Closing_Start+1),0)</f>
        <v/>
      </c>
      <c r="LG35" s="228">
        <f>IF(AND(315&gt;=MS_Initial_Closing_Start,315&lt;=MS_Stabilization_Start),DevFee/(MS_Stabilization_Start-MS_Initial_Closing_Start+1),0)</f>
        <v/>
      </c>
      <c r="LH35" s="228">
        <f>IF(AND(316&gt;=MS_Initial_Closing_Start,316&lt;=MS_Stabilization_Start),DevFee/(MS_Stabilization_Start-MS_Initial_Closing_Start+1),0)</f>
        <v/>
      </c>
      <c r="LI35" s="228">
        <f>IF(AND(317&gt;=MS_Initial_Closing_Start,317&lt;=MS_Stabilization_Start),DevFee/(MS_Stabilization_Start-MS_Initial_Closing_Start+1),0)</f>
        <v/>
      </c>
      <c r="LJ35" s="228">
        <f>IF(AND(318&gt;=MS_Initial_Closing_Start,318&lt;=MS_Stabilization_Start),DevFee/(MS_Stabilization_Start-MS_Initial_Closing_Start+1),0)</f>
        <v/>
      </c>
      <c r="LK35" s="228">
        <f>IF(AND(319&gt;=MS_Initial_Closing_Start,319&lt;=MS_Stabilization_Start),DevFee/(MS_Stabilization_Start-MS_Initial_Closing_Start+1),0)</f>
        <v/>
      </c>
      <c r="LL35" s="228">
        <f>IF(AND(320&gt;=MS_Initial_Closing_Start,320&lt;=MS_Stabilization_Start),DevFee/(MS_Stabilization_Start-MS_Initial_Closing_Start+1),0)</f>
        <v/>
      </c>
      <c r="LM35" s="228">
        <f>IF(AND(321&gt;=MS_Initial_Closing_Start,321&lt;=MS_Stabilization_Start),DevFee/(MS_Stabilization_Start-MS_Initial_Closing_Start+1),0)</f>
        <v/>
      </c>
      <c r="LN35" s="228">
        <f>IF(AND(322&gt;=MS_Initial_Closing_Start,322&lt;=MS_Stabilization_Start),DevFee/(MS_Stabilization_Start-MS_Initial_Closing_Start+1),0)</f>
        <v/>
      </c>
      <c r="LO35" s="228">
        <f>IF(AND(323&gt;=MS_Initial_Closing_Start,323&lt;=MS_Stabilization_Start),DevFee/(MS_Stabilization_Start-MS_Initial_Closing_Start+1),0)</f>
        <v/>
      </c>
      <c r="LP35" s="228">
        <f>IF(AND(324&gt;=MS_Initial_Closing_Start,324&lt;=MS_Stabilization_Start),DevFee/(MS_Stabilization_Start-MS_Initial_Closing_Start+1),0)</f>
        <v/>
      </c>
      <c r="LQ35" s="228">
        <f>IF(AND(325&gt;=MS_Initial_Closing_Start,325&lt;=MS_Stabilization_Start),DevFee/(MS_Stabilization_Start-MS_Initial_Closing_Start+1),0)</f>
        <v/>
      </c>
      <c r="LR35" s="228">
        <f>IF(AND(326&gt;=MS_Initial_Closing_Start,326&lt;=MS_Stabilization_Start),DevFee/(MS_Stabilization_Start-MS_Initial_Closing_Start+1),0)</f>
        <v/>
      </c>
      <c r="LS35" s="228">
        <f>IF(AND(327&gt;=MS_Initial_Closing_Start,327&lt;=MS_Stabilization_Start),DevFee/(MS_Stabilization_Start-MS_Initial_Closing_Start+1),0)</f>
        <v/>
      </c>
      <c r="LT35" s="228">
        <f>IF(AND(328&gt;=MS_Initial_Closing_Start,328&lt;=MS_Stabilization_Start),DevFee/(MS_Stabilization_Start-MS_Initial_Closing_Start+1),0)</f>
        <v/>
      </c>
      <c r="LU35" s="228">
        <f>IF(AND(329&gt;=MS_Initial_Closing_Start,329&lt;=MS_Stabilization_Start),DevFee/(MS_Stabilization_Start-MS_Initial_Closing_Start+1),0)</f>
        <v/>
      </c>
      <c r="LV35" s="228">
        <f>IF(AND(330&gt;=MS_Initial_Closing_Start,330&lt;=MS_Stabilization_Start),DevFee/(MS_Stabilization_Start-MS_Initial_Closing_Start+1),0)</f>
        <v/>
      </c>
      <c r="LW35" s="228">
        <f>IF(AND(331&gt;=MS_Initial_Closing_Start,331&lt;=MS_Stabilization_Start),DevFee/(MS_Stabilization_Start-MS_Initial_Closing_Start+1),0)</f>
        <v/>
      </c>
      <c r="LX35" s="228">
        <f>IF(AND(332&gt;=MS_Initial_Closing_Start,332&lt;=MS_Stabilization_Start),DevFee/(MS_Stabilization_Start-MS_Initial_Closing_Start+1),0)</f>
        <v/>
      </c>
      <c r="LY35" s="228">
        <f>IF(AND(333&gt;=MS_Initial_Closing_Start,333&lt;=MS_Stabilization_Start),DevFee/(MS_Stabilization_Start-MS_Initial_Closing_Start+1),0)</f>
        <v/>
      </c>
      <c r="LZ35" s="228">
        <f>IF(AND(334&gt;=MS_Initial_Closing_Start,334&lt;=MS_Stabilization_Start),DevFee/(MS_Stabilization_Start-MS_Initial_Closing_Start+1),0)</f>
        <v/>
      </c>
      <c r="MA35" s="228">
        <f>IF(AND(335&gt;=MS_Initial_Closing_Start,335&lt;=MS_Stabilization_Start),DevFee/(MS_Stabilization_Start-MS_Initial_Closing_Start+1),0)</f>
        <v/>
      </c>
      <c r="MB35" s="228">
        <f>IF(AND(336&gt;=MS_Initial_Closing_Start,336&lt;=MS_Stabilization_Start),DevFee/(MS_Stabilization_Start-MS_Initial_Closing_Start+1),0)</f>
        <v/>
      </c>
      <c r="MC35" s="228">
        <f>IF(AND(337&gt;=MS_Initial_Closing_Start,337&lt;=MS_Stabilization_Start),DevFee/(MS_Stabilization_Start-MS_Initial_Closing_Start+1),0)</f>
        <v/>
      </c>
      <c r="MD35" s="228">
        <f>IF(AND(338&gt;=MS_Initial_Closing_Start,338&lt;=MS_Stabilization_Start),DevFee/(MS_Stabilization_Start-MS_Initial_Closing_Start+1),0)</f>
        <v/>
      </c>
      <c r="ME35" s="228">
        <f>IF(AND(339&gt;=MS_Initial_Closing_Start,339&lt;=MS_Stabilization_Start),DevFee/(MS_Stabilization_Start-MS_Initial_Closing_Start+1),0)</f>
        <v/>
      </c>
      <c r="MF35" s="228">
        <f>IF(AND(340&gt;=MS_Initial_Closing_Start,340&lt;=MS_Stabilization_Start),DevFee/(MS_Stabilization_Start-MS_Initial_Closing_Start+1),0)</f>
        <v/>
      </c>
      <c r="MG35" s="228">
        <f>IF(AND(341&gt;=MS_Initial_Closing_Start,341&lt;=MS_Stabilization_Start),DevFee/(MS_Stabilization_Start-MS_Initial_Closing_Start+1),0)</f>
        <v/>
      </c>
      <c r="MH35" s="228">
        <f>IF(AND(342&gt;=MS_Initial_Closing_Start,342&lt;=MS_Stabilization_Start),DevFee/(MS_Stabilization_Start-MS_Initial_Closing_Start+1),0)</f>
        <v/>
      </c>
      <c r="MI35" s="228">
        <f>IF(AND(343&gt;=MS_Initial_Closing_Start,343&lt;=MS_Stabilization_Start),DevFee/(MS_Stabilization_Start-MS_Initial_Closing_Start+1),0)</f>
        <v/>
      </c>
      <c r="MJ35" s="228">
        <f>IF(AND(344&gt;=MS_Initial_Closing_Start,344&lt;=MS_Stabilization_Start),DevFee/(MS_Stabilization_Start-MS_Initial_Closing_Start+1),0)</f>
        <v/>
      </c>
      <c r="MK35" s="228">
        <f>IF(AND(345&gt;=MS_Initial_Closing_Start,345&lt;=MS_Stabilization_Start),DevFee/(MS_Stabilization_Start-MS_Initial_Closing_Start+1),0)</f>
        <v/>
      </c>
      <c r="ML35" s="228">
        <f>IF(AND(346&gt;=MS_Initial_Closing_Start,346&lt;=MS_Stabilization_Start),DevFee/(MS_Stabilization_Start-MS_Initial_Closing_Start+1),0)</f>
        <v/>
      </c>
      <c r="MM35" s="228">
        <f>IF(AND(347&gt;=MS_Initial_Closing_Start,347&lt;=MS_Stabilization_Start),DevFee/(MS_Stabilization_Start-MS_Initial_Closing_Start+1),0)</f>
        <v/>
      </c>
      <c r="MN35" s="228">
        <f>IF(AND(348&gt;=MS_Initial_Closing_Start,348&lt;=MS_Stabilization_Start),DevFee/(MS_Stabilization_Start-MS_Initial_Closing_Start+1),0)</f>
        <v/>
      </c>
      <c r="MO35" s="228">
        <f>IF(AND(349&gt;=MS_Initial_Closing_Start,349&lt;=MS_Stabilization_Start),DevFee/(MS_Stabilization_Start-MS_Initial_Closing_Start+1),0)</f>
        <v/>
      </c>
      <c r="MP35" s="228">
        <f>IF(AND(350&gt;=MS_Initial_Closing_Start,350&lt;=MS_Stabilization_Start),DevFee/(MS_Stabilization_Start-MS_Initial_Closing_Start+1),0)</f>
        <v/>
      </c>
      <c r="MQ35" s="228">
        <f>IF(AND(351&gt;=MS_Initial_Closing_Start,351&lt;=MS_Stabilization_Start),DevFee/(MS_Stabilization_Start-MS_Initial_Closing_Start+1),0)</f>
        <v/>
      </c>
      <c r="MR35" s="228">
        <f>IF(AND(352&gt;=MS_Initial_Closing_Start,352&lt;=MS_Stabilization_Start),DevFee/(MS_Stabilization_Start-MS_Initial_Closing_Start+1),0)</f>
        <v/>
      </c>
      <c r="MS35" s="228">
        <f>IF(AND(353&gt;=MS_Initial_Closing_Start,353&lt;=MS_Stabilization_Start),DevFee/(MS_Stabilization_Start-MS_Initial_Closing_Start+1),0)</f>
        <v/>
      </c>
      <c r="MT35" s="228">
        <f>IF(AND(354&gt;=MS_Initial_Closing_Start,354&lt;=MS_Stabilization_Start),DevFee/(MS_Stabilization_Start-MS_Initial_Closing_Start+1),0)</f>
        <v/>
      </c>
      <c r="MU35" s="228">
        <f>IF(AND(355&gt;=MS_Initial_Closing_Start,355&lt;=MS_Stabilization_Start),DevFee/(MS_Stabilization_Start-MS_Initial_Closing_Start+1),0)</f>
        <v/>
      </c>
      <c r="MV35" s="228">
        <f>IF(AND(356&gt;=MS_Initial_Closing_Start,356&lt;=MS_Stabilization_Start),DevFee/(MS_Stabilization_Start-MS_Initial_Closing_Start+1),0)</f>
        <v/>
      </c>
      <c r="MW35" s="228">
        <f>IF(AND(357&gt;=MS_Initial_Closing_Start,357&lt;=MS_Stabilization_Start),DevFee/(MS_Stabilization_Start-MS_Initial_Closing_Start+1),0)</f>
        <v/>
      </c>
      <c r="MX35" s="228">
        <f>IF(AND(358&gt;=MS_Initial_Closing_Start,358&lt;=MS_Stabilization_Start),DevFee/(MS_Stabilization_Start-MS_Initial_Closing_Start+1),0)</f>
        <v/>
      </c>
      <c r="MY35" s="228">
        <f>IF(AND(359&gt;=MS_Initial_Closing_Start,359&lt;=MS_Stabilization_Start),DevFee/(MS_Stabilization_Start-MS_Initial_Closing_Start+1),0)</f>
        <v/>
      </c>
      <c r="MZ35" s="228">
        <f>IF(AND(360&gt;=MS_Initial_Closing_Start,360&lt;=MS_Stabilization_Start),DevFee/(MS_Stabilization_Start-MS_Initial_Closing_Start+1),0)</f>
        <v/>
      </c>
      <c r="NA35" s="228">
        <f>IF(AND(361&gt;=MS_Initial_Closing_Start,361&lt;=MS_Stabilization_Start),DevFee/(MS_Stabilization_Start-MS_Initial_Closing_Start+1),0)</f>
        <v/>
      </c>
      <c r="NB35" s="228">
        <f>IF(AND(362&gt;=MS_Initial_Closing_Start,362&lt;=MS_Stabilization_Start),DevFee/(MS_Stabilization_Start-MS_Initial_Closing_Start+1),0)</f>
        <v/>
      </c>
      <c r="NC35" s="228">
        <f>IF(AND(363&gt;=MS_Initial_Closing_Start,363&lt;=MS_Stabilization_Start),DevFee/(MS_Stabilization_Start-MS_Initial_Closing_Start+1),0)</f>
        <v/>
      </c>
      <c r="ND35" s="228">
        <f>IF(AND(364&gt;=MS_Initial_Closing_Start,364&lt;=MS_Stabilization_Start),DevFee/(MS_Stabilization_Start-MS_Initial_Closing_Start+1),0)</f>
        <v/>
      </c>
      <c r="NE35" s="228">
        <f>IF(AND(365&gt;=MS_Initial_Closing_Start,365&lt;=MS_Stabilization_Start),DevFee/(MS_Stabilization_Start-MS_Initial_Closing_Start+1),0)</f>
        <v/>
      </c>
      <c r="NF35" s="228">
        <f>IF(AND(366&gt;=MS_Initial_Closing_Start,366&lt;=MS_Stabilization_Start),DevFee/(MS_Stabilization_Start-MS_Initial_Closing_Start+1),0)</f>
        <v/>
      </c>
      <c r="NG35" s="228">
        <f>IF(AND(367&gt;=MS_Initial_Closing_Start,367&lt;=MS_Stabilization_Start),DevFee/(MS_Stabilization_Start-MS_Initial_Closing_Start+1),0)</f>
        <v/>
      </c>
      <c r="NH35" s="228">
        <f>IF(AND(368&gt;=MS_Initial_Closing_Start,368&lt;=MS_Stabilization_Start),DevFee/(MS_Stabilization_Start-MS_Initial_Closing_Start+1),0)</f>
        <v/>
      </c>
      <c r="NI35" s="228">
        <f>IF(AND(369&gt;=MS_Initial_Closing_Start,369&lt;=MS_Stabilization_Start),DevFee/(MS_Stabilization_Start-MS_Initial_Closing_Start+1),0)</f>
        <v/>
      </c>
      <c r="NJ35" s="228">
        <f>IF(AND(370&gt;=MS_Initial_Closing_Start,370&lt;=MS_Stabilization_Start),DevFee/(MS_Stabilization_Start-MS_Initial_Closing_Start+1),0)</f>
        <v/>
      </c>
      <c r="NK35" s="228">
        <f>IF(AND(371&gt;=MS_Initial_Closing_Start,371&lt;=MS_Stabilization_Start),DevFee/(MS_Stabilization_Start-MS_Initial_Closing_Start+1),0)</f>
        <v/>
      </c>
      <c r="NL35" s="247">
        <f>IF(AND(372&gt;=MS_Initial_Closing_Start,372&lt;=MS_Stabilization_Start),DevFee/(MS_Stabilization_Start-MS_Initial_Closing_Start+1),0)</f>
        <v/>
      </c>
    </row>
    <row r="36">
      <c r="B36" s="36" t="inlineStr">
        <is>
          <t>Hard Cost Spend</t>
        </is>
      </c>
      <c r="D36" s="246">
        <f>SUM(E36:NL36)</f>
        <v/>
      </c>
      <c r="E36" s="228">
        <f>E$15+E$16+E$17+E$18+E$19+E$20+E$27+E$28+E$29+E$30+E$31+E$32</f>
        <v/>
      </c>
      <c r="F36" s="228">
        <f>F$15+F$16+F$17+F$18+F$19+F$20+F$27+F$28+F$29+F$30+F$31+F$32</f>
        <v/>
      </c>
      <c r="G36" s="228">
        <f>G$15+G$16+G$17+G$18+G$19+G$20+G$27+G$28+G$29+G$30+G$31+G$32</f>
        <v/>
      </c>
      <c r="H36" s="228">
        <f>H$15+H$16+H$17+H$18+H$19+H$20+H$27+H$28+H$29+H$30+H$31+H$32</f>
        <v/>
      </c>
      <c r="I36" s="228">
        <f>I$15+I$16+I$17+I$18+I$19+I$20+I$27+I$28+I$29+I$30+I$31+I$32</f>
        <v/>
      </c>
      <c r="J36" s="228">
        <f>J$15+J$16+J$17+J$18+J$19+J$20+J$27+J$28+J$29+J$30+J$31+J$32</f>
        <v/>
      </c>
      <c r="K36" s="228">
        <f>K$15+K$16+K$17+K$18+K$19+K$20+K$27+K$28+K$29+K$30+K$31+K$32</f>
        <v/>
      </c>
      <c r="L36" s="228">
        <f>L$15+L$16+L$17+L$18+L$19+L$20+L$27+L$28+L$29+L$30+L$31+L$32</f>
        <v/>
      </c>
      <c r="M36" s="228">
        <f>M$15+M$16+M$17+M$18+M$19+M$20+M$27+M$28+M$29+M$30+M$31+M$32</f>
        <v/>
      </c>
      <c r="N36" s="228">
        <f>N$15+N$16+N$17+N$18+N$19+N$20+N$27+N$28+N$29+N$30+N$31+N$32</f>
        <v/>
      </c>
      <c r="O36" s="228">
        <f>O$15+O$16+O$17+O$18+O$19+O$20+O$27+O$28+O$29+O$30+O$31+O$32</f>
        <v/>
      </c>
      <c r="P36" s="228">
        <f>P$15+P$16+P$17+P$18+P$19+P$20+P$27+P$28+P$29+P$30+P$31+P$32</f>
        <v/>
      </c>
      <c r="Q36" s="228">
        <f>Q$15+Q$16+Q$17+Q$18+Q$19+Q$20+Q$27+Q$28+Q$29+Q$30+Q$31+Q$32</f>
        <v/>
      </c>
      <c r="R36" s="228">
        <f>R$15+R$16+R$17+R$18+R$19+R$20+R$27+R$28+R$29+R$30+R$31+R$32</f>
        <v/>
      </c>
      <c r="S36" s="228">
        <f>S$15+S$16+S$17+S$18+S$19+S$20+S$27+S$28+S$29+S$30+S$31+S$32</f>
        <v/>
      </c>
      <c r="T36" s="228">
        <f>T$15+T$16+T$17+T$18+T$19+T$20+T$27+T$28+T$29+T$30+T$31+T$32</f>
        <v/>
      </c>
      <c r="U36" s="228">
        <f>U$15+U$16+U$17+U$18+U$19+U$20+U$27+U$28+U$29+U$30+U$31+U$32</f>
        <v/>
      </c>
      <c r="V36" s="228">
        <f>V$15+V$16+V$17+V$18+V$19+V$20+V$27+V$28+V$29+V$30+V$31+V$32</f>
        <v/>
      </c>
      <c r="W36" s="228">
        <f>W$15+W$16+W$17+W$18+W$19+W$20+W$27+W$28+W$29+W$30+W$31+W$32</f>
        <v/>
      </c>
      <c r="X36" s="228">
        <f>X$15+X$16+X$17+X$18+X$19+X$20+X$27+X$28+X$29+X$30+X$31+X$32</f>
        <v/>
      </c>
      <c r="Y36" s="228">
        <f>Y$15+Y$16+Y$17+Y$18+Y$19+Y$20+Y$27+Y$28+Y$29+Y$30+Y$31+Y$32</f>
        <v/>
      </c>
      <c r="Z36" s="228">
        <f>Z$15+Z$16+Z$17+Z$18+Z$19+Z$20+Z$27+Z$28+Z$29+Z$30+Z$31+Z$32</f>
        <v/>
      </c>
      <c r="AA36" s="228">
        <f>AA$15+AA$16+AA$17+AA$18+AA$19+AA$20+AA$27+AA$28+AA$29+AA$30+AA$31+AA$32</f>
        <v/>
      </c>
      <c r="AB36" s="228">
        <f>AB$15+AB$16+AB$17+AB$18+AB$19+AB$20+AB$27+AB$28+AB$29+AB$30+AB$31+AB$32</f>
        <v/>
      </c>
      <c r="AC36" s="228">
        <f>AC$15+AC$16+AC$17+AC$18+AC$19+AC$20+AC$27+AC$28+AC$29+AC$30+AC$31+AC$32</f>
        <v/>
      </c>
      <c r="AD36" s="228">
        <f>AD$15+AD$16+AD$17+AD$18+AD$19+AD$20+AD$27+AD$28+AD$29+AD$30+AD$31+AD$32</f>
        <v/>
      </c>
      <c r="AE36" s="228">
        <f>AE$15+AE$16+AE$17+AE$18+AE$19+AE$20+AE$27+AE$28+AE$29+AE$30+AE$31+AE$32</f>
        <v/>
      </c>
      <c r="AF36" s="228">
        <f>AF$15+AF$16+AF$17+AF$18+AF$19+AF$20+AF$27+AF$28+AF$29+AF$30+AF$31+AF$32</f>
        <v/>
      </c>
      <c r="AG36" s="228">
        <f>AG$15+AG$16+AG$17+AG$18+AG$19+AG$20+AG$27+AG$28+AG$29+AG$30+AG$31+AG$32</f>
        <v/>
      </c>
      <c r="AH36" s="228">
        <f>AH$15+AH$16+AH$17+AH$18+AH$19+AH$20+AH$27+AH$28+AH$29+AH$30+AH$31+AH$32</f>
        <v/>
      </c>
      <c r="AI36" s="228">
        <f>AI$15+AI$16+AI$17+AI$18+AI$19+AI$20+AI$27+AI$28+AI$29+AI$30+AI$31+AI$32</f>
        <v/>
      </c>
      <c r="AJ36" s="228">
        <f>AJ$15+AJ$16+AJ$17+AJ$18+AJ$19+AJ$20+AJ$27+AJ$28+AJ$29+AJ$30+AJ$31+AJ$32</f>
        <v/>
      </c>
      <c r="AK36" s="228">
        <f>AK$15+AK$16+AK$17+AK$18+AK$19+AK$20+AK$27+AK$28+AK$29+AK$30+AK$31+AK$32</f>
        <v/>
      </c>
      <c r="AL36" s="228">
        <f>AL$15+AL$16+AL$17+AL$18+AL$19+AL$20+AL$27+AL$28+AL$29+AL$30+AL$31+AL$32</f>
        <v/>
      </c>
      <c r="AM36" s="228">
        <f>AM$15+AM$16+AM$17+AM$18+AM$19+AM$20+AM$27+AM$28+AM$29+AM$30+AM$31+AM$32</f>
        <v/>
      </c>
      <c r="AN36" s="228">
        <f>AN$15+AN$16+AN$17+AN$18+AN$19+AN$20+AN$27+AN$28+AN$29+AN$30+AN$31+AN$32</f>
        <v/>
      </c>
      <c r="AO36" s="228">
        <f>AO$15+AO$16+AO$17+AO$18+AO$19+AO$20+AO$27+AO$28+AO$29+AO$30+AO$31+AO$32</f>
        <v/>
      </c>
      <c r="AP36" s="228">
        <f>AP$15+AP$16+AP$17+AP$18+AP$19+AP$20+AP$27+AP$28+AP$29+AP$30+AP$31+AP$32</f>
        <v/>
      </c>
      <c r="AQ36" s="228">
        <f>AQ$15+AQ$16+AQ$17+AQ$18+AQ$19+AQ$20+AQ$27+AQ$28+AQ$29+AQ$30+AQ$31+AQ$32</f>
        <v/>
      </c>
      <c r="AR36" s="228">
        <f>AR$15+AR$16+AR$17+AR$18+AR$19+AR$20+AR$27+AR$28+AR$29+AR$30+AR$31+AR$32</f>
        <v/>
      </c>
      <c r="AS36" s="228">
        <f>AS$15+AS$16+AS$17+AS$18+AS$19+AS$20+AS$27+AS$28+AS$29+AS$30+AS$31+AS$32</f>
        <v/>
      </c>
      <c r="AT36" s="228">
        <f>AT$15+AT$16+AT$17+AT$18+AT$19+AT$20+AT$27+AT$28+AT$29+AT$30+AT$31+AT$32</f>
        <v/>
      </c>
      <c r="AU36" s="228">
        <f>AU$15+AU$16+AU$17+AU$18+AU$19+AU$20+AU$27+AU$28+AU$29+AU$30+AU$31+AU$32</f>
        <v/>
      </c>
      <c r="AV36" s="228">
        <f>AV$15+AV$16+AV$17+AV$18+AV$19+AV$20+AV$27+AV$28+AV$29+AV$30+AV$31+AV$32</f>
        <v/>
      </c>
      <c r="AW36" s="228">
        <f>AW$15+AW$16+AW$17+AW$18+AW$19+AW$20+AW$27+AW$28+AW$29+AW$30+AW$31+AW$32</f>
        <v/>
      </c>
      <c r="AX36" s="228">
        <f>AX$15+AX$16+AX$17+AX$18+AX$19+AX$20+AX$27+AX$28+AX$29+AX$30+AX$31+AX$32</f>
        <v/>
      </c>
      <c r="AY36" s="228">
        <f>AY$15+AY$16+AY$17+AY$18+AY$19+AY$20+AY$27+AY$28+AY$29+AY$30+AY$31+AY$32</f>
        <v/>
      </c>
      <c r="AZ36" s="228">
        <f>AZ$15+AZ$16+AZ$17+AZ$18+AZ$19+AZ$20+AZ$27+AZ$28+AZ$29+AZ$30+AZ$31+AZ$32</f>
        <v/>
      </c>
      <c r="BA36" s="228">
        <f>BA$15+BA$16+BA$17+BA$18+BA$19+BA$20+BA$27+BA$28+BA$29+BA$30+BA$31+BA$32</f>
        <v/>
      </c>
      <c r="BB36" s="228">
        <f>BB$15+BB$16+BB$17+BB$18+BB$19+BB$20+BB$27+BB$28+BB$29+BB$30+BB$31+BB$32</f>
        <v/>
      </c>
      <c r="BC36" s="228">
        <f>BC$15+BC$16+BC$17+BC$18+BC$19+BC$20+BC$27+BC$28+BC$29+BC$30+BC$31+BC$32</f>
        <v/>
      </c>
      <c r="BD36" s="228">
        <f>BD$15+BD$16+BD$17+BD$18+BD$19+BD$20+BD$27+BD$28+BD$29+BD$30+BD$31+BD$32</f>
        <v/>
      </c>
      <c r="BE36" s="228">
        <f>BE$15+BE$16+BE$17+BE$18+BE$19+BE$20+BE$27+BE$28+BE$29+BE$30+BE$31+BE$32</f>
        <v/>
      </c>
      <c r="BF36" s="228">
        <f>BF$15+BF$16+BF$17+BF$18+BF$19+BF$20+BF$27+BF$28+BF$29+BF$30+BF$31+BF$32</f>
        <v/>
      </c>
      <c r="BG36" s="228">
        <f>BG$15+BG$16+BG$17+BG$18+BG$19+BG$20+BG$27+BG$28+BG$29+BG$30+BG$31+BG$32</f>
        <v/>
      </c>
      <c r="BH36" s="228">
        <f>BH$15+BH$16+BH$17+BH$18+BH$19+BH$20+BH$27+BH$28+BH$29+BH$30+BH$31+BH$32</f>
        <v/>
      </c>
      <c r="BI36" s="228">
        <f>BI$15+BI$16+BI$17+BI$18+BI$19+BI$20+BI$27+BI$28+BI$29+BI$30+BI$31+BI$32</f>
        <v/>
      </c>
      <c r="BJ36" s="228">
        <f>BJ$15+BJ$16+BJ$17+BJ$18+BJ$19+BJ$20+BJ$27+BJ$28+BJ$29+BJ$30+BJ$31+BJ$32</f>
        <v/>
      </c>
      <c r="BK36" s="228">
        <f>BK$15+BK$16+BK$17+BK$18+BK$19+BK$20+BK$27+BK$28+BK$29+BK$30+BK$31+BK$32</f>
        <v/>
      </c>
      <c r="BL36" s="228">
        <f>BL$15+BL$16+BL$17+BL$18+BL$19+BL$20+BL$27+BL$28+BL$29+BL$30+BL$31+BL$32</f>
        <v/>
      </c>
      <c r="BM36" s="228">
        <f>BM$15+BM$16+BM$17+BM$18+BM$19+BM$20+BM$27+BM$28+BM$29+BM$30+BM$31+BM$32</f>
        <v/>
      </c>
      <c r="BN36" s="228">
        <f>BN$15+BN$16+BN$17+BN$18+BN$19+BN$20+BN$27+BN$28+BN$29+BN$30+BN$31+BN$32</f>
        <v/>
      </c>
      <c r="BO36" s="228">
        <f>BO$15+BO$16+BO$17+BO$18+BO$19+BO$20+BO$27+BO$28+BO$29+BO$30+BO$31+BO$32</f>
        <v/>
      </c>
      <c r="BP36" s="228">
        <f>BP$15+BP$16+BP$17+BP$18+BP$19+BP$20+BP$27+BP$28+BP$29+BP$30+BP$31+BP$32</f>
        <v/>
      </c>
      <c r="BQ36" s="228">
        <f>BQ$15+BQ$16+BQ$17+BQ$18+BQ$19+BQ$20+BQ$27+BQ$28+BQ$29+BQ$30+BQ$31+BQ$32</f>
        <v/>
      </c>
      <c r="BR36" s="228">
        <f>BR$15+BR$16+BR$17+BR$18+BR$19+BR$20+BR$27+BR$28+BR$29+BR$30+BR$31+BR$32</f>
        <v/>
      </c>
      <c r="BS36" s="228">
        <f>BS$15+BS$16+BS$17+BS$18+BS$19+BS$20+BS$27+BS$28+BS$29+BS$30+BS$31+BS$32</f>
        <v/>
      </c>
      <c r="BT36" s="228">
        <f>BT$15+BT$16+BT$17+BT$18+BT$19+BT$20+BT$27+BT$28+BT$29+BT$30+BT$31+BT$32</f>
        <v/>
      </c>
      <c r="BU36" s="228">
        <f>BU$15+BU$16+BU$17+BU$18+BU$19+BU$20+BU$27+BU$28+BU$29+BU$30+BU$31+BU$32</f>
        <v/>
      </c>
      <c r="BV36" s="228">
        <f>BV$15+BV$16+BV$17+BV$18+BV$19+BV$20+BV$27+BV$28+BV$29+BV$30+BV$31+BV$32</f>
        <v/>
      </c>
      <c r="BW36" s="228">
        <f>BW$15+BW$16+BW$17+BW$18+BW$19+BW$20+BW$27+BW$28+BW$29+BW$30+BW$31+BW$32</f>
        <v/>
      </c>
      <c r="BX36" s="228">
        <f>BX$15+BX$16+BX$17+BX$18+BX$19+BX$20+BX$27+BX$28+BX$29+BX$30+BX$31+BX$32</f>
        <v/>
      </c>
      <c r="BY36" s="228">
        <f>BY$15+BY$16+BY$17+BY$18+BY$19+BY$20+BY$27+BY$28+BY$29+BY$30+BY$31+BY$32</f>
        <v/>
      </c>
      <c r="BZ36" s="228">
        <f>BZ$15+BZ$16+BZ$17+BZ$18+BZ$19+BZ$20+BZ$27+BZ$28+BZ$29+BZ$30+BZ$31+BZ$32</f>
        <v/>
      </c>
      <c r="CA36" s="228">
        <f>CA$15+CA$16+CA$17+CA$18+CA$19+CA$20+CA$27+CA$28+CA$29+CA$30+CA$31+CA$32</f>
        <v/>
      </c>
      <c r="CB36" s="228">
        <f>CB$15+CB$16+CB$17+CB$18+CB$19+CB$20+CB$27+CB$28+CB$29+CB$30+CB$31+CB$32</f>
        <v/>
      </c>
      <c r="CC36" s="228">
        <f>CC$15+CC$16+CC$17+CC$18+CC$19+CC$20+CC$27+CC$28+CC$29+CC$30+CC$31+CC$32</f>
        <v/>
      </c>
      <c r="CD36" s="228">
        <f>CD$15+CD$16+CD$17+CD$18+CD$19+CD$20+CD$27+CD$28+CD$29+CD$30+CD$31+CD$32</f>
        <v/>
      </c>
      <c r="CE36" s="228">
        <f>CE$15+CE$16+CE$17+CE$18+CE$19+CE$20+CE$27+CE$28+CE$29+CE$30+CE$31+CE$32</f>
        <v/>
      </c>
      <c r="CF36" s="228">
        <f>CF$15+CF$16+CF$17+CF$18+CF$19+CF$20+CF$27+CF$28+CF$29+CF$30+CF$31+CF$32</f>
        <v/>
      </c>
      <c r="CG36" s="228">
        <f>CG$15+CG$16+CG$17+CG$18+CG$19+CG$20+CG$27+CG$28+CG$29+CG$30+CG$31+CG$32</f>
        <v/>
      </c>
      <c r="CH36" s="228">
        <f>CH$15+CH$16+CH$17+CH$18+CH$19+CH$20+CH$27+CH$28+CH$29+CH$30+CH$31+CH$32</f>
        <v/>
      </c>
      <c r="CI36" s="228">
        <f>CI$15+CI$16+CI$17+CI$18+CI$19+CI$20+CI$27+CI$28+CI$29+CI$30+CI$31+CI$32</f>
        <v/>
      </c>
      <c r="CJ36" s="228">
        <f>CJ$15+CJ$16+CJ$17+CJ$18+CJ$19+CJ$20+CJ$27+CJ$28+CJ$29+CJ$30+CJ$31+CJ$32</f>
        <v/>
      </c>
      <c r="CK36" s="228">
        <f>CK$15+CK$16+CK$17+CK$18+CK$19+CK$20+CK$27+CK$28+CK$29+CK$30+CK$31+CK$32</f>
        <v/>
      </c>
      <c r="CL36" s="228">
        <f>CL$15+CL$16+CL$17+CL$18+CL$19+CL$20+CL$27+CL$28+CL$29+CL$30+CL$31+CL$32</f>
        <v/>
      </c>
      <c r="CM36" s="228">
        <f>CM$15+CM$16+CM$17+CM$18+CM$19+CM$20+CM$27+CM$28+CM$29+CM$30+CM$31+CM$32</f>
        <v/>
      </c>
      <c r="CN36" s="228">
        <f>CN$15+CN$16+CN$17+CN$18+CN$19+CN$20+CN$27+CN$28+CN$29+CN$30+CN$31+CN$32</f>
        <v/>
      </c>
      <c r="CO36" s="228">
        <f>CO$15+CO$16+CO$17+CO$18+CO$19+CO$20+CO$27+CO$28+CO$29+CO$30+CO$31+CO$32</f>
        <v/>
      </c>
      <c r="CP36" s="228">
        <f>CP$15+CP$16+CP$17+CP$18+CP$19+CP$20+CP$27+CP$28+CP$29+CP$30+CP$31+CP$32</f>
        <v/>
      </c>
      <c r="CQ36" s="228">
        <f>CQ$15+CQ$16+CQ$17+CQ$18+CQ$19+CQ$20+CQ$27+CQ$28+CQ$29+CQ$30+CQ$31+CQ$32</f>
        <v/>
      </c>
      <c r="CR36" s="228">
        <f>CR$15+CR$16+CR$17+CR$18+CR$19+CR$20+CR$27+CR$28+CR$29+CR$30+CR$31+CR$32</f>
        <v/>
      </c>
      <c r="CS36" s="228">
        <f>CS$15+CS$16+CS$17+CS$18+CS$19+CS$20+CS$27+CS$28+CS$29+CS$30+CS$31+CS$32</f>
        <v/>
      </c>
      <c r="CT36" s="228">
        <f>CT$15+CT$16+CT$17+CT$18+CT$19+CT$20+CT$27+CT$28+CT$29+CT$30+CT$31+CT$32</f>
        <v/>
      </c>
      <c r="CU36" s="228">
        <f>CU$15+CU$16+CU$17+CU$18+CU$19+CU$20+CU$27+CU$28+CU$29+CU$30+CU$31+CU$32</f>
        <v/>
      </c>
      <c r="CV36" s="228">
        <f>CV$15+CV$16+CV$17+CV$18+CV$19+CV$20+CV$27+CV$28+CV$29+CV$30+CV$31+CV$32</f>
        <v/>
      </c>
      <c r="CW36" s="228">
        <f>CW$15+CW$16+CW$17+CW$18+CW$19+CW$20+CW$27+CW$28+CW$29+CW$30+CW$31+CW$32</f>
        <v/>
      </c>
      <c r="CX36" s="228">
        <f>CX$15+CX$16+CX$17+CX$18+CX$19+CX$20+CX$27+CX$28+CX$29+CX$30+CX$31+CX$32</f>
        <v/>
      </c>
      <c r="CY36" s="228">
        <f>CY$15+CY$16+CY$17+CY$18+CY$19+CY$20+CY$27+CY$28+CY$29+CY$30+CY$31+CY$32</f>
        <v/>
      </c>
      <c r="CZ36" s="228">
        <f>CZ$15+CZ$16+CZ$17+CZ$18+CZ$19+CZ$20+CZ$27+CZ$28+CZ$29+CZ$30+CZ$31+CZ$32</f>
        <v/>
      </c>
      <c r="DA36" s="228">
        <f>DA$15+DA$16+DA$17+DA$18+DA$19+DA$20+DA$27+DA$28+DA$29+DA$30+DA$31+DA$32</f>
        <v/>
      </c>
      <c r="DB36" s="228">
        <f>DB$15+DB$16+DB$17+DB$18+DB$19+DB$20+DB$27+DB$28+DB$29+DB$30+DB$31+DB$32</f>
        <v/>
      </c>
      <c r="DC36" s="228">
        <f>DC$15+DC$16+DC$17+DC$18+DC$19+DC$20+DC$27+DC$28+DC$29+DC$30+DC$31+DC$32</f>
        <v/>
      </c>
      <c r="DD36" s="228">
        <f>DD$15+DD$16+DD$17+DD$18+DD$19+DD$20+DD$27+DD$28+DD$29+DD$30+DD$31+DD$32</f>
        <v/>
      </c>
      <c r="DE36" s="228">
        <f>DE$15+DE$16+DE$17+DE$18+DE$19+DE$20+DE$27+DE$28+DE$29+DE$30+DE$31+DE$32</f>
        <v/>
      </c>
      <c r="DF36" s="228">
        <f>DF$15+DF$16+DF$17+DF$18+DF$19+DF$20+DF$27+DF$28+DF$29+DF$30+DF$31+DF$32</f>
        <v/>
      </c>
      <c r="DG36" s="228">
        <f>DG$15+DG$16+DG$17+DG$18+DG$19+DG$20+DG$27+DG$28+DG$29+DG$30+DG$31+DG$32</f>
        <v/>
      </c>
      <c r="DH36" s="228">
        <f>DH$15+DH$16+DH$17+DH$18+DH$19+DH$20+DH$27+DH$28+DH$29+DH$30+DH$31+DH$32</f>
        <v/>
      </c>
      <c r="DI36" s="228">
        <f>DI$15+DI$16+DI$17+DI$18+DI$19+DI$20+DI$27+DI$28+DI$29+DI$30+DI$31+DI$32</f>
        <v/>
      </c>
      <c r="DJ36" s="228">
        <f>DJ$15+DJ$16+DJ$17+DJ$18+DJ$19+DJ$20+DJ$27+DJ$28+DJ$29+DJ$30+DJ$31+DJ$32</f>
        <v/>
      </c>
      <c r="DK36" s="228">
        <f>DK$15+DK$16+DK$17+DK$18+DK$19+DK$20+DK$27+DK$28+DK$29+DK$30+DK$31+DK$32</f>
        <v/>
      </c>
      <c r="DL36" s="228">
        <f>DL$15+DL$16+DL$17+DL$18+DL$19+DL$20+DL$27+DL$28+DL$29+DL$30+DL$31+DL$32</f>
        <v/>
      </c>
      <c r="DM36" s="228">
        <f>DM$15+DM$16+DM$17+DM$18+DM$19+DM$20+DM$27+DM$28+DM$29+DM$30+DM$31+DM$32</f>
        <v/>
      </c>
      <c r="DN36" s="228">
        <f>DN$15+DN$16+DN$17+DN$18+DN$19+DN$20+DN$27+DN$28+DN$29+DN$30+DN$31+DN$32</f>
        <v/>
      </c>
      <c r="DO36" s="228">
        <f>DO$15+DO$16+DO$17+DO$18+DO$19+DO$20+DO$27+DO$28+DO$29+DO$30+DO$31+DO$32</f>
        <v/>
      </c>
      <c r="DP36" s="228">
        <f>DP$15+DP$16+DP$17+DP$18+DP$19+DP$20+DP$27+DP$28+DP$29+DP$30+DP$31+DP$32</f>
        <v/>
      </c>
      <c r="DQ36" s="228">
        <f>DQ$15+DQ$16+DQ$17+DQ$18+DQ$19+DQ$20+DQ$27+DQ$28+DQ$29+DQ$30+DQ$31+DQ$32</f>
        <v/>
      </c>
      <c r="DR36" s="228">
        <f>DR$15+DR$16+DR$17+DR$18+DR$19+DR$20+DR$27+DR$28+DR$29+DR$30+DR$31+DR$32</f>
        <v/>
      </c>
      <c r="DS36" s="228">
        <f>DS$15+DS$16+DS$17+DS$18+DS$19+DS$20+DS$27+DS$28+DS$29+DS$30+DS$31+DS$32</f>
        <v/>
      </c>
      <c r="DT36" s="228">
        <f>DT$15+DT$16+DT$17+DT$18+DT$19+DT$20+DT$27+DT$28+DT$29+DT$30+DT$31+DT$32</f>
        <v/>
      </c>
      <c r="DU36" s="228">
        <f>DU$15+DU$16+DU$17+DU$18+DU$19+DU$20+DU$27+DU$28+DU$29+DU$30+DU$31+DU$32</f>
        <v/>
      </c>
      <c r="DV36" s="228">
        <f>DV$15+DV$16+DV$17+DV$18+DV$19+DV$20+DV$27+DV$28+DV$29+DV$30+DV$31+DV$32</f>
        <v/>
      </c>
      <c r="DW36" s="228">
        <f>DW$15+DW$16+DW$17+DW$18+DW$19+DW$20+DW$27+DW$28+DW$29+DW$30+DW$31+DW$32</f>
        <v/>
      </c>
      <c r="DX36" s="228">
        <f>DX$15+DX$16+DX$17+DX$18+DX$19+DX$20+DX$27+DX$28+DX$29+DX$30+DX$31+DX$32</f>
        <v/>
      </c>
      <c r="DY36" s="228">
        <f>DY$15+DY$16+DY$17+DY$18+DY$19+DY$20+DY$27+DY$28+DY$29+DY$30+DY$31+DY$32</f>
        <v/>
      </c>
      <c r="DZ36" s="228">
        <f>DZ$15+DZ$16+DZ$17+DZ$18+DZ$19+DZ$20+DZ$27+DZ$28+DZ$29+DZ$30+DZ$31+DZ$32</f>
        <v/>
      </c>
      <c r="EA36" s="228">
        <f>EA$15+EA$16+EA$17+EA$18+EA$19+EA$20+EA$27+EA$28+EA$29+EA$30+EA$31+EA$32</f>
        <v/>
      </c>
      <c r="EB36" s="228">
        <f>EB$15+EB$16+EB$17+EB$18+EB$19+EB$20+EB$27+EB$28+EB$29+EB$30+EB$31+EB$32</f>
        <v/>
      </c>
      <c r="EC36" s="228">
        <f>EC$15+EC$16+EC$17+EC$18+EC$19+EC$20+EC$27+EC$28+EC$29+EC$30+EC$31+EC$32</f>
        <v/>
      </c>
      <c r="ED36" s="228">
        <f>ED$15+ED$16+ED$17+ED$18+ED$19+ED$20+ED$27+ED$28+ED$29+ED$30+ED$31+ED$32</f>
        <v/>
      </c>
      <c r="EE36" s="228">
        <f>EE$15+EE$16+EE$17+EE$18+EE$19+EE$20+EE$27+EE$28+EE$29+EE$30+EE$31+EE$32</f>
        <v/>
      </c>
      <c r="EF36" s="228">
        <f>EF$15+EF$16+EF$17+EF$18+EF$19+EF$20+EF$27+EF$28+EF$29+EF$30+EF$31+EF$32</f>
        <v/>
      </c>
      <c r="EG36" s="228">
        <f>EG$15+EG$16+EG$17+EG$18+EG$19+EG$20+EG$27+EG$28+EG$29+EG$30+EG$31+EG$32</f>
        <v/>
      </c>
      <c r="EH36" s="228">
        <f>EH$15+EH$16+EH$17+EH$18+EH$19+EH$20+EH$27+EH$28+EH$29+EH$30+EH$31+EH$32</f>
        <v/>
      </c>
      <c r="EI36" s="228">
        <f>EI$15+EI$16+EI$17+EI$18+EI$19+EI$20+EI$27+EI$28+EI$29+EI$30+EI$31+EI$32</f>
        <v/>
      </c>
      <c r="EJ36" s="228">
        <f>EJ$15+EJ$16+EJ$17+EJ$18+EJ$19+EJ$20+EJ$27+EJ$28+EJ$29+EJ$30+EJ$31+EJ$32</f>
        <v/>
      </c>
      <c r="EK36" s="228">
        <f>EK$15+EK$16+EK$17+EK$18+EK$19+EK$20+EK$27+EK$28+EK$29+EK$30+EK$31+EK$32</f>
        <v/>
      </c>
      <c r="EL36" s="228">
        <f>EL$15+EL$16+EL$17+EL$18+EL$19+EL$20+EL$27+EL$28+EL$29+EL$30+EL$31+EL$32</f>
        <v/>
      </c>
      <c r="EM36" s="228">
        <f>EM$15+EM$16+EM$17+EM$18+EM$19+EM$20+EM$27+EM$28+EM$29+EM$30+EM$31+EM$32</f>
        <v/>
      </c>
      <c r="EN36" s="228">
        <f>EN$15+EN$16+EN$17+EN$18+EN$19+EN$20+EN$27+EN$28+EN$29+EN$30+EN$31+EN$32</f>
        <v/>
      </c>
      <c r="EO36" s="228">
        <f>EO$15+EO$16+EO$17+EO$18+EO$19+EO$20+EO$27+EO$28+EO$29+EO$30+EO$31+EO$32</f>
        <v/>
      </c>
      <c r="EP36" s="228">
        <f>EP$15+EP$16+EP$17+EP$18+EP$19+EP$20+EP$27+EP$28+EP$29+EP$30+EP$31+EP$32</f>
        <v/>
      </c>
      <c r="EQ36" s="228">
        <f>EQ$15+EQ$16+EQ$17+EQ$18+EQ$19+EQ$20+EQ$27+EQ$28+EQ$29+EQ$30+EQ$31+EQ$32</f>
        <v/>
      </c>
      <c r="ER36" s="228">
        <f>ER$15+ER$16+ER$17+ER$18+ER$19+ER$20+ER$27+ER$28+ER$29+ER$30+ER$31+ER$32</f>
        <v/>
      </c>
      <c r="ES36" s="228">
        <f>ES$15+ES$16+ES$17+ES$18+ES$19+ES$20+ES$27+ES$28+ES$29+ES$30+ES$31+ES$32</f>
        <v/>
      </c>
      <c r="ET36" s="228">
        <f>ET$15+ET$16+ET$17+ET$18+ET$19+ET$20+ET$27+ET$28+ET$29+ET$30+ET$31+ET$32</f>
        <v/>
      </c>
      <c r="EU36" s="228">
        <f>EU$15+EU$16+EU$17+EU$18+EU$19+EU$20+EU$27+EU$28+EU$29+EU$30+EU$31+EU$32</f>
        <v/>
      </c>
      <c r="EV36" s="228">
        <f>EV$15+EV$16+EV$17+EV$18+EV$19+EV$20+EV$27+EV$28+EV$29+EV$30+EV$31+EV$32</f>
        <v/>
      </c>
      <c r="EW36" s="228">
        <f>EW$15+EW$16+EW$17+EW$18+EW$19+EW$20+EW$27+EW$28+EW$29+EW$30+EW$31+EW$32</f>
        <v/>
      </c>
      <c r="EX36" s="228">
        <f>EX$15+EX$16+EX$17+EX$18+EX$19+EX$20+EX$27+EX$28+EX$29+EX$30+EX$31+EX$32</f>
        <v/>
      </c>
      <c r="EY36" s="228">
        <f>EY$15+EY$16+EY$17+EY$18+EY$19+EY$20+EY$27+EY$28+EY$29+EY$30+EY$31+EY$32</f>
        <v/>
      </c>
      <c r="EZ36" s="228">
        <f>EZ$15+EZ$16+EZ$17+EZ$18+EZ$19+EZ$20+EZ$27+EZ$28+EZ$29+EZ$30+EZ$31+EZ$32</f>
        <v/>
      </c>
      <c r="FA36" s="228">
        <f>FA$15+FA$16+FA$17+FA$18+FA$19+FA$20+FA$27+FA$28+FA$29+FA$30+FA$31+FA$32</f>
        <v/>
      </c>
      <c r="FB36" s="228">
        <f>FB$15+FB$16+FB$17+FB$18+FB$19+FB$20+FB$27+FB$28+FB$29+FB$30+FB$31+FB$32</f>
        <v/>
      </c>
      <c r="FC36" s="228">
        <f>FC$15+FC$16+FC$17+FC$18+FC$19+FC$20+FC$27+FC$28+FC$29+FC$30+FC$31+FC$32</f>
        <v/>
      </c>
      <c r="FD36" s="228">
        <f>FD$15+FD$16+FD$17+FD$18+FD$19+FD$20+FD$27+FD$28+FD$29+FD$30+FD$31+FD$32</f>
        <v/>
      </c>
      <c r="FE36" s="228">
        <f>FE$15+FE$16+FE$17+FE$18+FE$19+FE$20+FE$27+FE$28+FE$29+FE$30+FE$31+FE$32</f>
        <v/>
      </c>
      <c r="FF36" s="228">
        <f>FF$15+FF$16+FF$17+FF$18+FF$19+FF$20+FF$27+FF$28+FF$29+FF$30+FF$31+FF$32</f>
        <v/>
      </c>
      <c r="FG36" s="228">
        <f>FG$15+FG$16+FG$17+FG$18+FG$19+FG$20+FG$27+FG$28+FG$29+FG$30+FG$31+FG$32</f>
        <v/>
      </c>
      <c r="FH36" s="228">
        <f>FH$15+FH$16+FH$17+FH$18+FH$19+FH$20+FH$27+FH$28+FH$29+FH$30+FH$31+FH$32</f>
        <v/>
      </c>
      <c r="FI36" s="228">
        <f>FI$15+FI$16+FI$17+FI$18+FI$19+FI$20+FI$27+FI$28+FI$29+FI$30+FI$31+FI$32</f>
        <v/>
      </c>
      <c r="FJ36" s="228">
        <f>FJ$15+FJ$16+FJ$17+FJ$18+FJ$19+FJ$20+FJ$27+FJ$28+FJ$29+FJ$30+FJ$31+FJ$32</f>
        <v/>
      </c>
      <c r="FK36" s="228">
        <f>FK$15+FK$16+FK$17+FK$18+FK$19+FK$20+FK$27+FK$28+FK$29+FK$30+FK$31+FK$32</f>
        <v/>
      </c>
      <c r="FL36" s="228">
        <f>FL$15+FL$16+FL$17+FL$18+FL$19+FL$20+FL$27+FL$28+FL$29+FL$30+FL$31+FL$32</f>
        <v/>
      </c>
      <c r="FM36" s="228">
        <f>FM$15+FM$16+FM$17+FM$18+FM$19+FM$20+FM$27+FM$28+FM$29+FM$30+FM$31+FM$32</f>
        <v/>
      </c>
      <c r="FN36" s="228">
        <f>FN$15+FN$16+FN$17+FN$18+FN$19+FN$20+FN$27+FN$28+FN$29+FN$30+FN$31+FN$32</f>
        <v/>
      </c>
      <c r="FO36" s="228">
        <f>FO$15+FO$16+FO$17+FO$18+FO$19+FO$20+FO$27+FO$28+FO$29+FO$30+FO$31+FO$32</f>
        <v/>
      </c>
      <c r="FP36" s="228">
        <f>FP$15+FP$16+FP$17+FP$18+FP$19+FP$20+FP$27+FP$28+FP$29+FP$30+FP$31+FP$32</f>
        <v/>
      </c>
      <c r="FQ36" s="228">
        <f>FQ$15+FQ$16+FQ$17+FQ$18+FQ$19+FQ$20+FQ$27+FQ$28+FQ$29+FQ$30+FQ$31+FQ$32</f>
        <v/>
      </c>
      <c r="FR36" s="228">
        <f>FR$15+FR$16+FR$17+FR$18+FR$19+FR$20+FR$27+FR$28+FR$29+FR$30+FR$31+FR$32</f>
        <v/>
      </c>
      <c r="FS36" s="228">
        <f>FS$15+FS$16+FS$17+FS$18+FS$19+FS$20+FS$27+FS$28+FS$29+FS$30+FS$31+FS$32</f>
        <v/>
      </c>
      <c r="FT36" s="228">
        <f>FT$15+FT$16+FT$17+FT$18+FT$19+FT$20+FT$27+FT$28+FT$29+FT$30+FT$31+FT$32</f>
        <v/>
      </c>
      <c r="FU36" s="228">
        <f>FU$15+FU$16+FU$17+FU$18+FU$19+FU$20+FU$27+FU$28+FU$29+FU$30+FU$31+FU$32</f>
        <v/>
      </c>
      <c r="FV36" s="228">
        <f>FV$15+FV$16+FV$17+FV$18+FV$19+FV$20+FV$27+FV$28+FV$29+FV$30+FV$31+FV$32</f>
        <v/>
      </c>
      <c r="FW36" s="228">
        <f>FW$15+FW$16+FW$17+FW$18+FW$19+FW$20+FW$27+FW$28+FW$29+FW$30+FW$31+FW$32</f>
        <v/>
      </c>
      <c r="FX36" s="228">
        <f>FX$15+FX$16+FX$17+FX$18+FX$19+FX$20+FX$27+FX$28+FX$29+FX$30+FX$31+FX$32</f>
        <v/>
      </c>
      <c r="FY36" s="228">
        <f>FY$15+FY$16+FY$17+FY$18+FY$19+FY$20+FY$27+FY$28+FY$29+FY$30+FY$31+FY$32</f>
        <v/>
      </c>
      <c r="FZ36" s="228">
        <f>FZ$15+FZ$16+FZ$17+FZ$18+FZ$19+FZ$20+FZ$27+FZ$28+FZ$29+FZ$30+FZ$31+FZ$32</f>
        <v/>
      </c>
      <c r="GA36" s="228">
        <f>GA$15+GA$16+GA$17+GA$18+GA$19+GA$20+GA$27+GA$28+GA$29+GA$30+GA$31+GA$32</f>
        <v/>
      </c>
      <c r="GB36" s="228">
        <f>GB$15+GB$16+GB$17+GB$18+GB$19+GB$20+GB$27+GB$28+GB$29+GB$30+GB$31+GB$32</f>
        <v/>
      </c>
      <c r="GC36" s="228">
        <f>GC$15+GC$16+GC$17+GC$18+GC$19+GC$20+GC$27+GC$28+GC$29+GC$30+GC$31+GC$32</f>
        <v/>
      </c>
      <c r="GD36" s="228">
        <f>GD$15+GD$16+GD$17+GD$18+GD$19+GD$20+GD$27+GD$28+GD$29+GD$30+GD$31+GD$32</f>
        <v/>
      </c>
      <c r="GE36" s="228">
        <f>GE$15+GE$16+GE$17+GE$18+GE$19+GE$20+GE$27+GE$28+GE$29+GE$30+GE$31+GE$32</f>
        <v/>
      </c>
      <c r="GF36" s="228">
        <f>GF$15+GF$16+GF$17+GF$18+GF$19+GF$20+GF$27+GF$28+GF$29+GF$30+GF$31+GF$32</f>
        <v/>
      </c>
      <c r="GG36" s="228">
        <f>GG$15+GG$16+GG$17+GG$18+GG$19+GG$20+GG$27+GG$28+GG$29+GG$30+GG$31+GG$32</f>
        <v/>
      </c>
      <c r="GH36" s="228">
        <f>GH$15+GH$16+GH$17+GH$18+GH$19+GH$20+GH$27+GH$28+GH$29+GH$30+GH$31+GH$32</f>
        <v/>
      </c>
      <c r="GI36" s="228">
        <f>GI$15+GI$16+GI$17+GI$18+GI$19+GI$20+GI$27+GI$28+GI$29+GI$30+GI$31+GI$32</f>
        <v/>
      </c>
      <c r="GJ36" s="228">
        <f>GJ$15+GJ$16+GJ$17+GJ$18+GJ$19+GJ$20+GJ$27+GJ$28+GJ$29+GJ$30+GJ$31+GJ$32</f>
        <v/>
      </c>
      <c r="GK36" s="228">
        <f>GK$15+GK$16+GK$17+GK$18+GK$19+GK$20+GK$27+GK$28+GK$29+GK$30+GK$31+GK$32</f>
        <v/>
      </c>
      <c r="GL36" s="228">
        <f>GL$15+GL$16+GL$17+GL$18+GL$19+GL$20+GL$27+GL$28+GL$29+GL$30+GL$31+GL$32</f>
        <v/>
      </c>
      <c r="GM36" s="228">
        <f>GM$15+GM$16+GM$17+GM$18+GM$19+GM$20+GM$27+GM$28+GM$29+GM$30+GM$31+GM$32</f>
        <v/>
      </c>
      <c r="GN36" s="228">
        <f>GN$15+GN$16+GN$17+GN$18+GN$19+GN$20+GN$27+GN$28+GN$29+GN$30+GN$31+GN$32</f>
        <v/>
      </c>
      <c r="GO36" s="228">
        <f>GO$15+GO$16+GO$17+GO$18+GO$19+GO$20+GO$27+GO$28+GO$29+GO$30+GO$31+GO$32</f>
        <v/>
      </c>
      <c r="GP36" s="228">
        <f>GP$15+GP$16+GP$17+GP$18+GP$19+GP$20+GP$27+GP$28+GP$29+GP$30+GP$31+GP$32</f>
        <v/>
      </c>
      <c r="GQ36" s="228">
        <f>GQ$15+GQ$16+GQ$17+GQ$18+GQ$19+GQ$20+GQ$27+GQ$28+GQ$29+GQ$30+GQ$31+GQ$32</f>
        <v/>
      </c>
      <c r="GR36" s="228">
        <f>GR$15+GR$16+GR$17+GR$18+GR$19+GR$20+GR$27+GR$28+GR$29+GR$30+GR$31+GR$32</f>
        <v/>
      </c>
      <c r="GS36" s="228">
        <f>GS$15+GS$16+GS$17+GS$18+GS$19+GS$20+GS$27+GS$28+GS$29+GS$30+GS$31+GS$32</f>
        <v/>
      </c>
      <c r="GT36" s="228">
        <f>GT$15+GT$16+GT$17+GT$18+GT$19+GT$20+GT$27+GT$28+GT$29+GT$30+GT$31+GT$32</f>
        <v/>
      </c>
      <c r="GU36" s="228">
        <f>GU$15+GU$16+GU$17+GU$18+GU$19+GU$20+GU$27+GU$28+GU$29+GU$30+GU$31+GU$32</f>
        <v/>
      </c>
      <c r="GV36" s="228">
        <f>GV$15+GV$16+GV$17+GV$18+GV$19+GV$20+GV$27+GV$28+GV$29+GV$30+GV$31+GV$32</f>
        <v/>
      </c>
      <c r="GW36" s="228">
        <f>GW$15+GW$16+GW$17+GW$18+GW$19+GW$20+GW$27+GW$28+GW$29+GW$30+GW$31+GW$32</f>
        <v/>
      </c>
      <c r="GX36" s="228">
        <f>GX$15+GX$16+GX$17+GX$18+GX$19+GX$20+GX$27+GX$28+GX$29+GX$30+GX$31+GX$32</f>
        <v/>
      </c>
      <c r="GY36" s="228">
        <f>GY$15+GY$16+GY$17+GY$18+GY$19+GY$20+GY$27+GY$28+GY$29+GY$30+GY$31+GY$32</f>
        <v/>
      </c>
      <c r="GZ36" s="228">
        <f>GZ$15+GZ$16+GZ$17+GZ$18+GZ$19+GZ$20+GZ$27+GZ$28+GZ$29+GZ$30+GZ$31+GZ$32</f>
        <v/>
      </c>
      <c r="HA36" s="228">
        <f>HA$15+HA$16+HA$17+HA$18+HA$19+HA$20+HA$27+HA$28+HA$29+HA$30+HA$31+HA$32</f>
        <v/>
      </c>
      <c r="HB36" s="228">
        <f>HB$15+HB$16+HB$17+HB$18+HB$19+HB$20+HB$27+HB$28+HB$29+HB$30+HB$31+HB$32</f>
        <v/>
      </c>
      <c r="HC36" s="228">
        <f>HC$15+HC$16+HC$17+HC$18+HC$19+HC$20+HC$27+HC$28+HC$29+HC$30+HC$31+HC$32</f>
        <v/>
      </c>
      <c r="HD36" s="228">
        <f>HD$15+HD$16+HD$17+HD$18+HD$19+HD$20+HD$27+HD$28+HD$29+HD$30+HD$31+HD$32</f>
        <v/>
      </c>
      <c r="HE36" s="228">
        <f>HE$15+HE$16+HE$17+HE$18+HE$19+HE$20+HE$27+HE$28+HE$29+HE$30+HE$31+HE$32</f>
        <v/>
      </c>
      <c r="HF36" s="228">
        <f>HF$15+HF$16+HF$17+HF$18+HF$19+HF$20+HF$27+HF$28+HF$29+HF$30+HF$31+HF$32</f>
        <v/>
      </c>
      <c r="HG36" s="228">
        <f>HG$15+HG$16+HG$17+HG$18+HG$19+HG$20+HG$27+HG$28+HG$29+HG$30+HG$31+HG$32</f>
        <v/>
      </c>
      <c r="HH36" s="228">
        <f>HH$15+HH$16+HH$17+HH$18+HH$19+HH$20+HH$27+HH$28+HH$29+HH$30+HH$31+HH$32</f>
        <v/>
      </c>
      <c r="HI36" s="228">
        <f>HI$15+HI$16+HI$17+HI$18+HI$19+HI$20+HI$27+HI$28+HI$29+HI$30+HI$31+HI$32</f>
        <v/>
      </c>
      <c r="HJ36" s="228">
        <f>HJ$15+HJ$16+HJ$17+HJ$18+HJ$19+HJ$20+HJ$27+HJ$28+HJ$29+HJ$30+HJ$31+HJ$32</f>
        <v/>
      </c>
      <c r="HK36" s="228">
        <f>HK$15+HK$16+HK$17+HK$18+HK$19+HK$20+HK$27+HK$28+HK$29+HK$30+HK$31+HK$32</f>
        <v/>
      </c>
      <c r="HL36" s="228">
        <f>HL$15+HL$16+HL$17+HL$18+HL$19+HL$20+HL$27+HL$28+HL$29+HL$30+HL$31+HL$32</f>
        <v/>
      </c>
      <c r="HM36" s="228">
        <f>HM$15+HM$16+HM$17+HM$18+HM$19+HM$20+HM$27+HM$28+HM$29+HM$30+HM$31+HM$32</f>
        <v/>
      </c>
      <c r="HN36" s="228">
        <f>HN$15+HN$16+HN$17+HN$18+HN$19+HN$20+HN$27+HN$28+HN$29+HN$30+HN$31+HN$32</f>
        <v/>
      </c>
      <c r="HO36" s="228">
        <f>HO$15+HO$16+HO$17+HO$18+HO$19+HO$20+HO$27+HO$28+HO$29+HO$30+HO$31+HO$32</f>
        <v/>
      </c>
      <c r="HP36" s="228">
        <f>HP$15+HP$16+HP$17+HP$18+HP$19+HP$20+HP$27+HP$28+HP$29+HP$30+HP$31+HP$32</f>
        <v/>
      </c>
      <c r="HQ36" s="228">
        <f>HQ$15+HQ$16+HQ$17+HQ$18+HQ$19+HQ$20+HQ$27+HQ$28+HQ$29+HQ$30+HQ$31+HQ$32</f>
        <v/>
      </c>
      <c r="HR36" s="228">
        <f>HR$15+HR$16+HR$17+HR$18+HR$19+HR$20+HR$27+HR$28+HR$29+HR$30+HR$31+HR$32</f>
        <v/>
      </c>
      <c r="HS36" s="228">
        <f>HS$15+HS$16+HS$17+HS$18+HS$19+HS$20+HS$27+HS$28+HS$29+HS$30+HS$31+HS$32</f>
        <v/>
      </c>
      <c r="HT36" s="228">
        <f>HT$15+HT$16+HT$17+HT$18+HT$19+HT$20+HT$27+HT$28+HT$29+HT$30+HT$31+HT$32</f>
        <v/>
      </c>
      <c r="HU36" s="228">
        <f>HU$15+HU$16+HU$17+HU$18+HU$19+HU$20+HU$27+HU$28+HU$29+HU$30+HU$31+HU$32</f>
        <v/>
      </c>
      <c r="HV36" s="228">
        <f>HV$15+HV$16+HV$17+HV$18+HV$19+HV$20+HV$27+HV$28+HV$29+HV$30+HV$31+HV$32</f>
        <v/>
      </c>
      <c r="HW36" s="228">
        <f>HW$15+HW$16+HW$17+HW$18+HW$19+HW$20+HW$27+HW$28+HW$29+HW$30+HW$31+HW$32</f>
        <v/>
      </c>
      <c r="HX36" s="228">
        <f>HX$15+HX$16+HX$17+HX$18+HX$19+HX$20+HX$27+HX$28+HX$29+HX$30+HX$31+HX$32</f>
        <v/>
      </c>
      <c r="HY36" s="228">
        <f>HY$15+HY$16+HY$17+HY$18+HY$19+HY$20+HY$27+HY$28+HY$29+HY$30+HY$31+HY$32</f>
        <v/>
      </c>
      <c r="HZ36" s="228">
        <f>HZ$15+HZ$16+HZ$17+HZ$18+HZ$19+HZ$20+HZ$27+HZ$28+HZ$29+HZ$30+HZ$31+HZ$32</f>
        <v/>
      </c>
      <c r="IA36" s="228">
        <f>IA$15+IA$16+IA$17+IA$18+IA$19+IA$20+IA$27+IA$28+IA$29+IA$30+IA$31+IA$32</f>
        <v/>
      </c>
      <c r="IB36" s="228">
        <f>IB$15+IB$16+IB$17+IB$18+IB$19+IB$20+IB$27+IB$28+IB$29+IB$30+IB$31+IB$32</f>
        <v/>
      </c>
      <c r="IC36" s="228">
        <f>IC$15+IC$16+IC$17+IC$18+IC$19+IC$20+IC$27+IC$28+IC$29+IC$30+IC$31+IC$32</f>
        <v/>
      </c>
      <c r="ID36" s="228">
        <f>ID$15+ID$16+ID$17+ID$18+ID$19+ID$20+ID$27+ID$28+ID$29+ID$30+ID$31+ID$32</f>
        <v/>
      </c>
      <c r="IE36" s="228">
        <f>IE$15+IE$16+IE$17+IE$18+IE$19+IE$20+IE$27+IE$28+IE$29+IE$30+IE$31+IE$32</f>
        <v/>
      </c>
      <c r="IF36" s="228">
        <f>IF$15+IF$16+IF$17+IF$18+IF$19+IF$20+IF$27+IF$28+IF$29+IF$30+IF$31+IF$32</f>
        <v/>
      </c>
      <c r="IG36" s="228">
        <f>IG$15+IG$16+IG$17+IG$18+IG$19+IG$20+IG$27+IG$28+IG$29+IG$30+IG$31+IG$32</f>
        <v/>
      </c>
      <c r="IH36" s="228">
        <f>IH$15+IH$16+IH$17+IH$18+IH$19+IH$20+IH$27+IH$28+IH$29+IH$30+IH$31+IH$32</f>
        <v/>
      </c>
      <c r="II36" s="228">
        <f>II$15+II$16+II$17+II$18+II$19+II$20+II$27+II$28+II$29+II$30+II$31+II$32</f>
        <v/>
      </c>
      <c r="IJ36" s="228">
        <f>IJ$15+IJ$16+IJ$17+IJ$18+IJ$19+IJ$20+IJ$27+IJ$28+IJ$29+IJ$30+IJ$31+IJ$32</f>
        <v/>
      </c>
      <c r="IK36" s="228">
        <f>IK$15+IK$16+IK$17+IK$18+IK$19+IK$20+IK$27+IK$28+IK$29+IK$30+IK$31+IK$32</f>
        <v/>
      </c>
      <c r="IL36" s="228">
        <f>IL$15+IL$16+IL$17+IL$18+IL$19+IL$20+IL$27+IL$28+IL$29+IL$30+IL$31+IL$32</f>
        <v/>
      </c>
      <c r="IM36" s="228">
        <f>IM$15+IM$16+IM$17+IM$18+IM$19+IM$20+IM$27+IM$28+IM$29+IM$30+IM$31+IM$32</f>
        <v/>
      </c>
      <c r="IN36" s="228">
        <f>IN$15+IN$16+IN$17+IN$18+IN$19+IN$20+IN$27+IN$28+IN$29+IN$30+IN$31+IN$32</f>
        <v/>
      </c>
      <c r="IO36" s="228">
        <f>IO$15+IO$16+IO$17+IO$18+IO$19+IO$20+IO$27+IO$28+IO$29+IO$30+IO$31+IO$32</f>
        <v/>
      </c>
      <c r="IP36" s="228">
        <f>IP$15+IP$16+IP$17+IP$18+IP$19+IP$20+IP$27+IP$28+IP$29+IP$30+IP$31+IP$32</f>
        <v/>
      </c>
      <c r="IQ36" s="228">
        <f>IQ$15+IQ$16+IQ$17+IQ$18+IQ$19+IQ$20+IQ$27+IQ$28+IQ$29+IQ$30+IQ$31+IQ$32</f>
        <v/>
      </c>
      <c r="IR36" s="228">
        <f>IR$15+IR$16+IR$17+IR$18+IR$19+IR$20+IR$27+IR$28+IR$29+IR$30+IR$31+IR$32</f>
        <v/>
      </c>
      <c r="IS36" s="228">
        <f>IS$15+IS$16+IS$17+IS$18+IS$19+IS$20+IS$27+IS$28+IS$29+IS$30+IS$31+IS$32</f>
        <v/>
      </c>
      <c r="IT36" s="228">
        <f>IT$15+IT$16+IT$17+IT$18+IT$19+IT$20+IT$27+IT$28+IT$29+IT$30+IT$31+IT$32</f>
        <v/>
      </c>
      <c r="IU36" s="228">
        <f>IU$15+IU$16+IU$17+IU$18+IU$19+IU$20+IU$27+IU$28+IU$29+IU$30+IU$31+IU$32</f>
        <v/>
      </c>
      <c r="IV36" s="228">
        <f>IV$15+IV$16+IV$17+IV$18+IV$19+IV$20+IV$27+IV$28+IV$29+IV$30+IV$31+IV$32</f>
        <v/>
      </c>
      <c r="IW36" s="228">
        <f>IW$15+IW$16+IW$17+IW$18+IW$19+IW$20+IW$27+IW$28+IW$29+IW$30+IW$31+IW$32</f>
        <v/>
      </c>
      <c r="IX36" s="228">
        <f>IX$15+IX$16+IX$17+IX$18+IX$19+IX$20+IX$27+IX$28+IX$29+IX$30+IX$31+IX$32</f>
        <v/>
      </c>
      <c r="IY36" s="228">
        <f>IY$15+IY$16+IY$17+IY$18+IY$19+IY$20+IY$27+IY$28+IY$29+IY$30+IY$31+IY$32</f>
        <v/>
      </c>
      <c r="IZ36" s="228">
        <f>IZ$15+IZ$16+IZ$17+IZ$18+IZ$19+IZ$20+IZ$27+IZ$28+IZ$29+IZ$30+IZ$31+IZ$32</f>
        <v/>
      </c>
      <c r="JA36" s="228">
        <f>JA$15+JA$16+JA$17+JA$18+JA$19+JA$20+JA$27+JA$28+JA$29+JA$30+JA$31+JA$32</f>
        <v/>
      </c>
      <c r="JB36" s="228">
        <f>JB$15+JB$16+JB$17+JB$18+JB$19+JB$20+JB$27+JB$28+JB$29+JB$30+JB$31+JB$32</f>
        <v/>
      </c>
      <c r="JC36" s="228">
        <f>JC$15+JC$16+JC$17+JC$18+JC$19+JC$20+JC$27+JC$28+JC$29+JC$30+JC$31+JC$32</f>
        <v/>
      </c>
      <c r="JD36" s="228">
        <f>JD$15+JD$16+JD$17+JD$18+JD$19+JD$20+JD$27+JD$28+JD$29+JD$30+JD$31+JD$32</f>
        <v/>
      </c>
      <c r="JE36" s="228">
        <f>JE$15+JE$16+JE$17+JE$18+JE$19+JE$20+JE$27+JE$28+JE$29+JE$30+JE$31+JE$32</f>
        <v/>
      </c>
      <c r="JF36" s="228">
        <f>JF$15+JF$16+JF$17+JF$18+JF$19+JF$20+JF$27+JF$28+JF$29+JF$30+JF$31+JF$32</f>
        <v/>
      </c>
      <c r="JG36" s="228">
        <f>JG$15+JG$16+JG$17+JG$18+JG$19+JG$20+JG$27+JG$28+JG$29+JG$30+JG$31+JG$32</f>
        <v/>
      </c>
      <c r="JH36" s="228">
        <f>JH$15+JH$16+JH$17+JH$18+JH$19+JH$20+JH$27+JH$28+JH$29+JH$30+JH$31+JH$32</f>
        <v/>
      </c>
      <c r="JI36" s="228">
        <f>JI$15+JI$16+JI$17+JI$18+JI$19+JI$20+JI$27+JI$28+JI$29+JI$30+JI$31+JI$32</f>
        <v/>
      </c>
      <c r="JJ36" s="228">
        <f>JJ$15+JJ$16+JJ$17+JJ$18+JJ$19+JJ$20+JJ$27+JJ$28+JJ$29+JJ$30+JJ$31+JJ$32</f>
        <v/>
      </c>
      <c r="JK36" s="228">
        <f>JK$15+JK$16+JK$17+JK$18+JK$19+JK$20+JK$27+JK$28+JK$29+JK$30+JK$31+JK$32</f>
        <v/>
      </c>
      <c r="JL36" s="228">
        <f>JL$15+JL$16+JL$17+JL$18+JL$19+JL$20+JL$27+JL$28+JL$29+JL$30+JL$31+JL$32</f>
        <v/>
      </c>
      <c r="JM36" s="228">
        <f>JM$15+JM$16+JM$17+JM$18+JM$19+JM$20+JM$27+JM$28+JM$29+JM$30+JM$31+JM$32</f>
        <v/>
      </c>
      <c r="JN36" s="228">
        <f>JN$15+JN$16+JN$17+JN$18+JN$19+JN$20+JN$27+JN$28+JN$29+JN$30+JN$31+JN$32</f>
        <v/>
      </c>
      <c r="JO36" s="228">
        <f>JO$15+JO$16+JO$17+JO$18+JO$19+JO$20+JO$27+JO$28+JO$29+JO$30+JO$31+JO$32</f>
        <v/>
      </c>
      <c r="JP36" s="228">
        <f>JP$15+JP$16+JP$17+JP$18+JP$19+JP$20+JP$27+JP$28+JP$29+JP$30+JP$31+JP$32</f>
        <v/>
      </c>
      <c r="JQ36" s="228">
        <f>JQ$15+JQ$16+JQ$17+JQ$18+JQ$19+JQ$20+JQ$27+JQ$28+JQ$29+JQ$30+JQ$31+JQ$32</f>
        <v/>
      </c>
      <c r="JR36" s="228">
        <f>JR$15+JR$16+JR$17+JR$18+JR$19+JR$20+JR$27+JR$28+JR$29+JR$30+JR$31+JR$32</f>
        <v/>
      </c>
      <c r="JS36" s="228">
        <f>JS$15+JS$16+JS$17+JS$18+JS$19+JS$20+JS$27+JS$28+JS$29+JS$30+JS$31+JS$32</f>
        <v/>
      </c>
      <c r="JT36" s="228">
        <f>JT$15+JT$16+JT$17+JT$18+JT$19+JT$20+JT$27+JT$28+JT$29+JT$30+JT$31+JT$32</f>
        <v/>
      </c>
      <c r="JU36" s="228">
        <f>JU$15+JU$16+JU$17+JU$18+JU$19+JU$20+JU$27+JU$28+JU$29+JU$30+JU$31+JU$32</f>
        <v/>
      </c>
      <c r="JV36" s="228">
        <f>JV$15+JV$16+JV$17+JV$18+JV$19+JV$20+JV$27+JV$28+JV$29+JV$30+JV$31+JV$32</f>
        <v/>
      </c>
      <c r="JW36" s="228">
        <f>JW$15+JW$16+JW$17+JW$18+JW$19+JW$20+JW$27+JW$28+JW$29+JW$30+JW$31+JW$32</f>
        <v/>
      </c>
      <c r="JX36" s="228">
        <f>JX$15+JX$16+JX$17+JX$18+JX$19+JX$20+JX$27+JX$28+JX$29+JX$30+JX$31+JX$32</f>
        <v/>
      </c>
      <c r="JY36" s="228">
        <f>JY$15+JY$16+JY$17+JY$18+JY$19+JY$20+JY$27+JY$28+JY$29+JY$30+JY$31+JY$32</f>
        <v/>
      </c>
      <c r="JZ36" s="228">
        <f>JZ$15+JZ$16+JZ$17+JZ$18+JZ$19+JZ$20+JZ$27+JZ$28+JZ$29+JZ$30+JZ$31+JZ$32</f>
        <v/>
      </c>
      <c r="KA36" s="228">
        <f>KA$15+KA$16+KA$17+KA$18+KA$19+KA$20+KA$27+KA$28+KA$29+KA$30+KA$31+KA$32</f>
        <v/>
      </c>
      <c r="KB36" s="228">
        <f>KB$15+KB$16+KB$17+KB$18+KB$19+KB$20+KB$27+KB$28+KB$29+KB$30+KB$31+KB$32</f>
        <v/>
      </c>
      <c r="KC36" s="228">
        <f>KC$15+KC$16+KC$17+KC$18+KC$19+KC$20+KC$27+KC$28+KC$29+KC$30+KC$31+KC$32</f>
        <v/>
      </c>
      <c r="KD36" s="228">
        <f>KD$15+KD$16+KD$17+KD$18+KD$19+KD$20+KD$27+KD$28+KD$29+KD$30+KD$31+KD$32</f>
        <v/>
      </c>
      <c r="KE36" s="228">
        <f>KE$15+KE$16+KE$17+KE$18+KE$19+KE$20+KE$27+KE$28+KE$29+KE$30+KE$31+KE$32</f>
        <v/>
      </c>
      <c r="KF36" s="228">
        <f>KF$15+KF$16+KF$17+KF$18+KF$19+KF$20+KF$27+KF$28+KF$29+KF$30+KF$31+KF$32</f>
        <v/>
      </c>
      <c r="KG36" s="228">
        <f>KG$15+KG$16+KG$17+KG$18+KG$19+KG$20+KG$27+KG$28+KG$29+KG$30+KG$31+KG$32</f>
        <v/>
      </c>
      <c r="KH36" s="228">
        <f>KH$15+KH$16+KH$17+KH$18+KH$19+KH$20+KH$27+KH$28+KH$29+KH$30+KH$31+KH$32</f>
        <v/>
      </c>
      <c r="KI36" s="228">
        <f>KI$15+KI$16+KI$17+KI$18+KI$19+KI$20+KI$27+KI$28+KI$29+KI$30+KI$31+KI$32</f>
        <v/>
      </c>
      <c r="KJ36" s="228">
        <f>KJ$15+KJ$16+KJ$17+KJ$18+KJ$19+KJ$20+KJ$27+KJ$28+KJ$29+KJ$30+KJ$31+KJ$32</f>
        <v/>
      </c>
      <c r="KK36" s="228">
        <f>KK$15+KK$16+KK$17+KK$18+KK$19+KK$20+KK$27+KK$28+KK$29+KK$30+KK$31+KK$32</f>
        <v/>
      </c>
      <c r="KL36" s="228">
        <f>KL$15+KL$16+KL$17+KL$18+KL$19+KL$20+KL$27+KL$28+KL$29+KL$30+KL$31+KL$32</f>
        <v/>
      </c>
      <c r="KM36" s="228">
        <f>KM$15+KM$16+KM$17+KM$18+KM$19+KM$20+KM$27+KM$28+KM$29+KM$30+KM$31+KM$32</f>
        <v/>
      </c>
      <c r="KN36" s="228">
        <f>KN$15+KN$16+KN$17+KN$18+KN$19+KN$20+KN$27+KN$28+KN$29+KN$30+KN$31+KN$32</f>
        <v/>
      </c>
      <c r="KO36" s="228">
        <f>KO$15+KO$16+KO$17+KO$18+KO$19+KO$20+KO$27+KO$28+KO$29+KO$30+KO$31+KO$32</f>
        <v/>
      </c>
      <c r="KP36" s="228">
        <f>KP$15+KP$16+KP$17+KP$18+KP$19+KP$20+KP$27+KP$28+KP$29+KP$30+KP$31+KP$32</f>
        <v/>
      </c>
      <c r="KQ36" s="228">
        <f>KQ$15+KQ$16+KQ$17+KQ$18+KQ$19+KQ$20+KQ$27+KQ$28+KQ$29+KQ$30+KQ$31+KQ$32</f>
        <v/>
      </c>
      <c r="KR36" s="228">
        <f>KR$15+KR$16+KR$17+KR$18+KR$19+KR$20+KR$27+KR$28+KR$29+KR$30+KR$31+KR$32</f>
        <v/>
      </c>
      <c r="KS36" s="228">
        <f>KS$15+KS$16+KS$17+KS$18+KS$19+KS$20+KS$27+KS$28+KS$29+KS$30+KS$31+KS$32</f>
        <v/>
      </c>
      <c r="KT36" s="228">
        <f>KT$15+KT$16+KT$17+KT$18+KT$19+KT$20+KT$27+KT$28+KT$29+KT$30+KT$31+KT$32</f>
        <v/>
      </c>
      <c r="KU36" s="228">
        <f>KU$15+KU$16+KU$17+KU$18+KU$19+KU$20+KU$27+KU$28+KU$29+KU$30+KU$31+KU$32</f>
        <v/>
      </c>
      <c r="KV36" s="228">
        <f>KV$15+KV$16+KV$17+KV$18+KV$19+KV$20+KV$27+KV$28+KV$29+KV$30+KV$31+KV$32</f>
        <v/>
      </c>
      <c r="KW36" s="228">
        <f>KW$15+KW$16+KW$17+KW$18+KW$19+KW$20+KW$27+KW$28+KW$29+KW$30+KW$31+KW$32</f>
        <v/>
      </c>
      <c r="KX36" s="228">
        <f>KX$15+KX$16+KX$17+KX$18+KX$19+KX$20+KX$27+KX$28+KX$29+KX$30+KX$31+KX$32</f>
        <v/>
      </c>
      <c r="KY36" s="228">
        <f>KY$15+KY$16+KY$17+KY$18+KY$19+KY$20+KY$27+KY$28+KY$29+KY$30+KY$31+KY$32</f>
        <v/>
      </c>
      <c r="KZ36" s="228">
        <f>KZ$15+KZ$16+KZ$17+KZ$18+KZ$19+KZ$20+KZ$27+KZ$28+KZ$29+KZ$30+KZ$31+KZ$32</f>
        <v/>
      </c>
      <c r="LA36" s="228">
        <f>LA$15+LA$16+LA$17+LA$18+LA$19+LA$20+LA$27+LA$28+LA$29+LA$30+LA$31+LA$32</f>
        <v/>
      </c>
      <c r="LB36" s="228">
        <f>LB$15+LB$16+LB$17+LB$18+LB$19+LB$20+LB$27+LB$28+LB$29+LB$30+LB$31+LB$32</f>
        <v/>
      </c>
      <c r="LC36" s="228">
        <f>LC$15+LC$16+LC$17+LC$18+LC$19+LC$20+LC$27+LC$28+LC$29+LC$30+LC$31+LC$32</f>
        <v/>
      </c>
      <c r="LD36" s="228">
        <f>LD$15+LD$16+LD$17+LD$18+LD$19+LD$20+LD$27+LD$28+LD$29+LD$30+LD$31+LD$32</f>
        <v/>
      </c>
      <c r="LE36" s="228">
        <f>LE$15+LE$16+LE$17+LE$18+LE$19+LE$20+LE$27+LE$28+LE$29+LE$30+LE$31+LE$32</f>
        <v/>
      </c>
      <c r="LF36" s="228">
        <f>LF$15+LF$16+LF$17+LF$18+LF$19+LF$20+LF$27+LF$28+LF$29+LF$30+LF$31+LF$32</f>
        <v/>
      </c>
      <c r="LG36" s="228">
        <f>LG$15+LG$16+LG$17+LG$18+LG$19+LG$20+LG$27+LG$28+LG$29+LG$30+LG$31+LG$32</f>
        <v/>
      </c>
      <c r="LH36" s="228">
        <f>LH$15+LH$16+LH$17+LH$18+LH$19+LH$20+LH$27+LH$28+LH$29+LH$30+LH$31+LH$32</f>
        <v/>
      </c>
      <c r="LI36" s="228">
        <f>LI$15+LI$16+LI$17+LI$18+LI$19+LI$20+LI$27+LI$28+LI$29+LI$30+LI$31+LI$32</f>
        <v/>
      </c>
      <c r="LJ36" s="228">
        <f>LJ$15+LJ$16+LJ$17+LJ$18+LJ$19+LJ$20+LJ$27+LJ$28+LJ$29+LJ$30+LJ$31+LJ$32</f>
        <v/>
      </c>
      <c r="LK36" s="228">
        <f>LK$15+LK$16+LK$17+LK$18+LK$19+LK$20+LK$27+LK$28+LK$29+LK$30+LK$31+LK$32</f>
        <v/>
      </c>
      <c r="LL36" s="228">
        <f>LL$15+LL$16+LL$17+LL$18+LL$19+LL$20+LL$27+LL$28+LL$29+LL$30+LL$31+LL$32</f>
        <v/>
      </c>
      <c r="LM36" s="228">
        <f>LM$15+LM$16+LM$17+LM$18+LM$19+LM$20+LM$27+LM$28+LM$29+LM$30+LM$31+LM$32</f>
        <v/>
      </c>
      <c r="LN36" s="228">
        <f>LN$15+LN$16+LN$17+LN$18+LN$19+LN$20+LN$27+LN$28+LN$29+LN$30+LN$31+LN$32</f>
        <v/>
      </c>
      <c r="LO36" s="228">
        <f>LO$15+LO$16+LO$17+LO$18+LO$19+LO$20+LO$27+LO$28+LO$29+LO$30+LO$31+LO$32</f>
        <v/>
      </c>
      <c r="LP36" s="228">
        <f>LP$15+LP$16+LP$17+LP$18+LP$19+LP$20+LP$27+LP$28+LP$29+LP$30+LP$31+LP$32</f>
        <v/>
      </c>
      <c r="LQ36" s="228">
        <f>LQ$15+LQ$16+LQ$17+LQ$18+LQ$19+LQ$20+LQ$27+LQ$28+LQ$29+LQ$30+LQ$31+LQ$32</f>
        <v/>
      </c>
      <c r="LR36" s="228">
        <f>LR$15+LR$16+LR$17+LR$18+LR$19+LR$20+LR$27+LR$28+LR$29+LR$30+LR$31+LR$32</f>
        <v/>
      </c>
      <c r="LS36" s="228">
        <f>LS$15+LS$16+LS$17+LS$18+LS$19+LS$20+LS$27+LS$28+LS$29+LS$30+LS$31+LS$32</f>
        <v/>
      </c>
      <c r="LT36" s="228">
        <f>LT$15+LT$16+LT$17+LT$18+LT$19+LT$20+LT$27+LT$28+LT$29+LT$30+LT$31+LT$32</f>
        <v/>
      </c>
      <c r="LU36" s="228">
        <f>LU$15+LU$16+LU$17+LU$18+LU$19+LU$20+LU$27+LU$28+LU$29+LU$30+LU$31+LU$32</f>
        <v/>
      </c>
      <c r="LV36" s="228">
        <f>LV$15+LV$16+LV$17+LV$18+LV$19+LV$20+LV$27+LV$28+LV$29+LV$30+LV$31+LV$32</f>
        <v/>
      </c>
      <c r="LW36" s="228">
        <f>LW$15+LW$16+LW$17+LW$18+LW$19+LW$20+LW$27+LW$28+LW$29+LW$30+LW$31+LW$32</f>
        <v/>
      </c>
      <c r="LX36" s="228">
        <f>LX$15+LX$16+LX$17+LX$18+LX$19+LX$20+LX$27+LX$28+LX$29+LX$30+LX$31+LX$32</f>
        <v/>
      </c>
      <c r="LY36" s="228">
        <f>LY$15+LY$16+LY$17+LY$18+LY$19+LY$20+LY$27+LY$28+LY$29+LY$30+LY$31+LY$32</f>
        <v/>
      </c>
      <c r="LZ36" s="228">
        <f>LZ$15+LZ$16+LZ$17+LZ$18+LZ$19+LZ$20+LZ$27+LZ$28+LZ$29+LZ$30+LZ$31+LZ$32</f>
        <v/>
      </c>
      <c r="MA36" s="228">
        <f>MA$15+MA$16+MA$17+MA$18+MA$19+MA$20+MA$27+MA$28+MA$29+MA$30+MA$31+MA$32</f>
        <v/>
      </c>
      <c r="MB36" s="228">
        <f>MB$15+MB$16+MB$17+MB$18+MB$19+MB$20+MB$27+MB$28+MB$29+MB$30+MB$31+MB$32</f>
        <v/>
      </c>
      <c r="MC36" s="228">
        <f>MC$15+MC$16+MC$17+MC$18+MC$19+MC$20+MC$27+MC$28+MC$29+MC$30+MC$31+MC$32</f>
        <v/>
      </c>
      <c r="MD36" s="228">
        <f>MD$15+MD$16+MD$17+MD$18+MD$19+MD$20+MD$27+MD$28+MD$29+MD$30+MD$31+MD$32</f>
        <v/>
      </c>
      <c r="ME36" s="228">
        <f>ME$15+ME$16+ME$17+ME$18+ME$19+ME$20+ME$27+ME$28+ME$29+ME$30+ME$31+ME$32</f>
        <v/>
      </c>
      <c r="MF36" s="228">
        <f>MF$15+MF$16+MF$17+MF$18+MF$19+MF$20+MF$27+MF$28+MF$29+MF$30+MF$31+MF$32</f>
        <v/>
      </c>
      <c r="MG36" s="228">
        <f>MG$15+MG$16+MG$17+MG$18+MG$19+MG$20+MG$27+MG$28+MG$29+MG$30+MG$31+MG$32</f>
        <v/>
      </c>
      <c r="MH36" s="228">
        <f>MH$15+MH$16+MH$17+MH$18+MH$19+MH$20+MH$27+MH$28+MH$29+MH$30+MH$31+MH$32</f>
        <v/>
      </c>
      <c r="MI36" s="228">
        <f>MI$15+MI$16+MI$17+MI$18+MI$19+MI$20+MI$27+MI$28+MI$29+MI$30+MI$31+MI$32</f>
        <v/>
      </c>
      <c r="MJ36" s="228">
        <f>MJ$15+MJ$16+MJ$17+MJ$18+MJ$19+MJ$20+MJ$27+MJ$28+MJ$29+MJ$30+MJ$31+MJ$32</f>
        <v/>
      </c>
      <c r="MK36" s="228">
        <f>MK$15+MK$16+MK$17+MK$18+MK$19+MK$20+MK$27+MK$28+MK$29+MK$30+MK$31+MK$32</f>
        <v/>
      </c>
      <c r="ML36" s="228">
        <f>ML$15+ML$16+ML$17+ML$18+ML$19+ML$20+ML$27+ML$28+ML$29+ML$30+ML$31+ML$32</f>
        <v/>
      </c>
      <c r="MM36" s="228">
        <f>MM$15+MM$16+MM$17+MM$18+MM$19+MM$20+MM$27+MM$28+MM$29+MM$30+MM$31+MM$32</f>
        <v/>
      </c>
      <c r="MN36" s="228">
        <f>MN$15+MN$16+MN$17+MN$18+MN$19+MN$20+MN$27+MN$28+MN$29+MN$30+MN$31+MN$32</f>
        <v/>
      </c>
      <c r="MO36" s="228">
        <f>MO$15+MO$16+MO$17+MO$18+MO$19+MO$20+MO$27+MO$28+MO$29+MO$30+MO$31+MO$32</f>
        <v/>
      </c>
      <c r="MP36" s="228">
        <f>MP$15+MP$16+MP$17+MP$18+MP$19+MP$20+MP$27+MP$28+MP$29+MP$30+MP$31+MP$32</f>
        <v/>
      </c>
      <c r="MQ36" s="228">
        <f>MQ$15+MQ$16+MQ$17+MQ$18+MQ$19+MQ$20+MQ$27+MQ$28+MQ$29+MQ$30+MQ$31+MQ$32</f>
        <v/>
      </c>
      <c r="MR36" s="228">
        <f>MR$15+MR$16+MR$17+MR$18+MR$19+MR$20+MR$27+MR$28+MR$29+MR$30+MR$31+MR$32</f>
        <v/>
      </c>
      <c r="MS36" s="228">
        <f>MS$15+MS$16+MS$17+MS$18+MS$19+MS$20+MS$27+MS$28+MS$29+MS$30+MS$31+MS$32</f>
        <v/>
      </c>
      <c r="MT36" s="228">
        <f>MT$15+MT$16+MT$17+MT$18+MT$19+MT$20+MT$27+MT$28+MT$29+MT$30+MT$31+MT$32</f>
        <v/>
      </c>
      <c r="MU36" s="228">
        <f>MU$15+MU$16+MU$17+MU$18+MU$19+MU$20+MU$27+MU$28+MU$29+MU$30+MU$31+MU$32</f>
        <v/>
      </c>
      <c r="MV36" s="228">
        <f>MV$15+MV$16+MV$17+MV$18+MV$19+MV$20+MV$27+MV$28+MV$29+MV$30+MV$31+MV$32</f>
        <v/>
      </c>
      <c r="MW36" s="228">
        <f>MW$15+MW$16+MW$17+MW$18+MW$19+MW$20+MW$27+MW$28+MW$29+MW$30+MW$31+MW$32</f>
        <v/>
      </c>
      <c r="MX36" s="228">
        <f>MX$15+MX$16+MX$17+MX$18+MX$19+MX$20+MX$27+MX$28+MX$29+MX$30+MX$31+MX$32</f>
        <v/>
      </c>
      <c r="MY36" s="228">
        <f>MY$15+MY$16+MY$17+MY$18+MY$19+MY$20+MY$27+MY$28+MY$29+MY$30+MY$31+MY$32</f>
        <v/>
      </c>
      <c r="MZ36" s="228">
        <f>MZ$15+MZ$16+MZ$17+MZ$18+MZ$19+MZ$20+MZ$27+MZ$28+MZ$29+MZ$30+MZ$31+MZ$32</f>
        <v/>
      </c>
      <c r="NA36" s="228">
        <f>NA$15+NA$16+NA$17+NA$18+NA$19+NA$20+NA$27+NA$28+NA$29+NA$30+NA$31+NA$32</f>
        <v/>
      </c>
      <c r="NB36" s="228">
        <f>NB$15+NB$16+NB$17+NB$18+NB$19+NB$20+NB$27+NB$28+NB$29+NB$30+NB$31+NB$32</f>
        <v/>
      </c>
      <c r="NC36" s="228">
        <f>NC$15+NC$16+NC$17+NC$18+NC$19+NC$20+NC$27+NC$28+NC$29+NC$30+NC$31+NC$32</f>
        <v/>
      </c>
      <c r="ND36" s="228">
        <f>ND$15+ND$16+ND$17+ND$18+ND$19+ND$20+ND$27+ND$28+ND$29+ND$30+ND$31+ND$32</f>
        <v/>
      </c>
      <c r="NE36" s="228">
        <f>NE$15+NE$16+NE$17+NE$18+NE$19+NE$20+NE$27+NE$28+NE$29+NE$30+NE$31+NE$32</f>
        <v/>
      </c>
      <c r="NF36" s="228">
        <f>NF$15+NF$16+NF$17+NF$18+NF$19+NF$20+NF$27+NF$28+NF$29+NF$30+NF$31+NF$32</f>
        <v/>
      </c>
      <c r="NG36" s="228">
        <f>NG$15+NG$16+NG$17+NG$18+NG$19+NG$20+NG$27+NG$28+NG$29+NG$30+NG$31+NG$32</f>
        <v/>
      </c>
      <c r="NH36" s="228">
        <f>NH$15+NH$16+NH$17+NH$18+NH$19+NH$20+NH$27+NH$28+NH$29+NH$30+NH$31+NH$32</f>
        <v/>
      </c>
      <c r="NI36" s="228">
        <f>NI$15+NI$16+NI$17+NI$18+NI$19+NI$20+NI$27+NI$28+NI$29+NI$30+NI$31+NI$32</f>
        <v/>
      </c>
      <c r="NJ36" s="228">
        <f>NJ$15+NJ$16+NJ$17+NJ$18+NJ$19+NJ$20+NJ$27+NJ$28+NJ$29+NJ$30+NJ$31+NJ$32</f>
        <v/>
      </c>
      <c r="NK36" s="228">
        <f>NK$15+NK$16+NK$17+NK$18+NK$19+NK$20+NK$27+NK$28+NK$29+NK$30+NK$31+NK$32</f>
        <v/>
      </c>
      <c r="NL36" s="247">
        <f>NL$15+NL$16+NL$17+NL$18+NL$19+NL$20+NL$27+NL$28+NL$29+NL$30+NL$31+NL$32</f>
        <v/>
      </c>
    </row>
    <row r="37">
      <c r="B37" s="36" t="inlineStr">
        <is>
          <t>Cumulative Hard Cost in Place</t>
        </is>
      </c>
      <c r="D37" s="251" t="n"/>
      <c r="E37" s="228">
        <f>E$36</f>
        <v/>
      </c>
      <c r="F37" s="228">
        <f>E$37+F$36</f>
        <v/>
      </c>
      <c r="G37" s="228">
        <f>F$37+G$36</f>
        <v/>
      </c>
      <c r="H37" s="228">
        <f>G$37+H$36</f>
        <v/>
      </c>
      <c r="I37" s="228">
        <f>H$37+I$36</f>
        <v/>
      </c>
      <c r="J37" s="228">
        <f>I$37+J$36</f>
        <v/>
      </c>
      <c r="K37" s="228">
        <f>J$37+K$36</f>
        <v/>
      </c>
      <c r="L37" s="228">
        <f>K$37+L$36</f>
        <v/>
      </c>
      <c r="M37" s="228">
        <f>L$37+M$36</f>
        <v/>
      </c>
      <c r="N37" s="228">
        <f>M$37+N$36</f>
        <v/>
      </c>
      <c r="O37" s="228">
        <f>N$37+O$36</f>
        <v/>
      </c>
      <c r="P37" s="228">
        <f>O$37+P$36</f>
        <v/>
      </c>
      <c r="Q37" s="228">
        <f>P$37+Q$36</f>
        <v/>
      </c>
      <c r="R37" s="228">
        <f>Q$37+R$36</f>
        <v/>
      </c>
      <c r="S37" s="228">
        <f>R$37+S$36</f>
        <v/>
      </c>
      <c r="T37" s="228">
        <f>S$37+T$36</f>
        <v/>
      </c>
      <c r="U37" s="228">
        <f>T$37+U$36</f>
        <v/>
      </c>
      <c r="V37" s="228">
        <f>U$37+V$36</f>
        <v/>
      </c>
      <c r="W37" s="228">
        <f>V$37+W$36</f>
        <v/>
      </c>
      <c r="X37" s="228">
        <f>W$37+X$36</f>
        <v/>
      </c>
      <c r="Y37" s="228">
        <f>X$37+Y$36</f>
        <v/>
      </c>
      <c r="Z37" s="228">
        <f>Y$37+Z$36</f>
        <v/>
      </c>
      <c r="AA37" s="228">
        <f>Z$37+AA$36</f>
        <v/>
      </c>
      <c r="AB37" s="228">
        <f>AA$37+AB$36</f>
        <v/>
      </c>
      <c r="AC37" s="228">
        <f>AB$37+AC$36</f>
        <v/>
      </c>
      <c r="AD37" s="228">
        <f>AC$37+AD$36</f>
        <v/>
      </c>
      <c r="AE37" s="228">
        <f>AD$37+AE$36</f>
        <v/>
      </c>
      <c r="AF37" s="228">
        <f>AE$37+AF$36</f>
        <v/>
      </c>
      <c r="AG37" s="228">
        <f>AF$37+AG$36</f>
        <v/>
      </c>
      <c r="AH37" s="228">
        <f>AG$37+AH$36</f>
        <v/>
      </c>
      <c r="AI37" s="228">
        <f>AH$37+AI$36</f>
        <v/>
      </c>
      <c r="AJ37" s="228">
        <f>AI$37+AJ$36</f>
        <v/>
      </c>
      <c r="AK37" s="228">
        <f>AJ$37+AK$36</f>
        <v/>
      </c>
      <c r="AL37" s="228">
        <f>AK$37+AL$36</f>
        <v/>
      </c>
      <c r="AM37" s="228">
        <f>AL$37+AM$36</f>
        <v/>
      </c>
      <c r="AN37" s="228">
        <f>AM$37+AN$36</f>
        <v/>
      </c>
      <c r="AO37" s="228">
        <f>AN$37+AO$36</f>
        <v/>
      </c>
      <c r="AP37" s="228">
        <f>AO$37+AP$36</f>
        <v/>
      </c>
      <c r="AQ37" s="228">
        <f>AP$37+AQ$36</f>
        <v/>
      </c>
      <c r="AR37" s="228">
        <f>AQ$37+AR$36</f>
        <v/>
      </c>
      <c r="AS37" s="228">
        <f>AR$37+AS$36</f>
        <v/>
      </c>
      <c r="AT37" s="228">
        <f>AS$37+AT$36</f>
        <v/>
      </c>
      <c r="AU37" s="228">
        <f>AT$37+AU$36</f>
        <v/>
      </c>
      <c r="AV37" s="228">
        <f>AU$37+AV$36</f>
        <v/>
      </c>
      <c r="AW37" s="228">
        <f>AV$37+AW$36</f>
        <v/>
      </c>
      <c r="AX37" s="228">
        <f>AW$37+AX$36</f>
        <v/>
      </c>
      <c r="AY37" s="228">
        <f>AX$37+AY$36</f>
        <v/>
      </c>
      <c r="AZ37" s="228">
        <f>AY$37+AZ$36</f>
        <v/>
      </c>
      <c r="BA37" s="228">
        <f>AZ$37+BA$36</f>
        <v/>
      </c>
      <c r="BB37" s="228">
        <f>BA$37+BB$36</f>
        <v/>
      </c>
      <c r="BC37" s="228">
        <f>BB$37+BC$36</f>
        <v/>
      </c>
      <c r="BD37" s="228">
        <f>BC$37+BD$36</f>
        <v/>
      </c>
      <c r="BE37" s="228">
        <f>BD$37+BE$36</f>
        <v/>
      </c>
      <c r="BF37" s="228">
        <f>BE$37+BF$36</f>
        <v/>
      </c>
      <c r="BG37" s="228">
        <f>BF$37+BG$36</f>
        <v/>
      </c>
      <c r="BH37" s="228">
        <f>BG$37+BH$36</f>
        <v/>
      </c>
      <c r="BI37" s="228">
        <f>BH$37+BI$36</f>
        <v/>
      </c>
      <c r="BJ37" s="228">
        <f>BI$37+BJ$36</f>
        <v/>
      </c>
      <c r="BK37" s="228">
        <f>BJ$37+BK$36</f>
        <v/>
      </c>
      <c r="BL37" s="228">
        <f>BK$37+BL$36</f>
        <v/>
      </c>
      <c r="BM37" s="228">
        <f>BL$37+BM$36</f>
        <v/>
      </c>
      <c r="BN37" s="228">
        <f>BM$37+BN$36</f>
        <v/>
      </c>
      <c r="BO37" s="228">
        <f>BN$37+BO$36</f>
        <v/>
      </c>
      <c r="BP37" s="228">
        <f>BO$37+BP$36</f>
        <v/>
      </c>
      <c r="BQ37" s="228">
        <f>BP$37+BQ$36</f>
        <v/>
      </c>
      <c r="BR37" s="228">
        <f>BQ$37+BR$36</f>
        <v/>
      </c>
      <c r="BS37" s="228">
        <f>BR$37+BS$36</f>
        <v/>
      </c>
      <c r="BT37" s="228">
        <f>BS$37+BT$36</f>
        <v/>
      </c>
      <c r="BU37" s="228">
        <f>BT$37+BU$36</f>
        <v/>
      </c>
      <c r="BV37" s="228">
        <f>BU$37+BV$36</f>
        <v/>
      </c>
      <c r="BW37" s="228">
        <f>BV$37+BW$36</f>
        <v/>
      </c>
      <c r="BX37" s="228">
        <f>BW$37+BX$36</f>
        <v/>
      </c>
      <c r="BY37" s="228">
        <f>BX$37+BY$36</f>
        <v/>
      </c>
      <c r="BZ37" s="228">
        <f>BY$37+BZ$36</f>
        <v/>
      </c>
      <c r="CA37" s="228">
        <f>BZ$37+CA$36</f>
        <v/>
      </c>
      <c r="CB37" s="228">
        <f>CA$37+CB$36</f>
        <v/>
      </c>
      <c r="CC37" s="228">
        <f>CB$37+CC$36</f>
        <v/>
      </c>
      <c r="CD37" s="228">
        <f>CC$37+CD$36</f>
        <v/>
      </c>
      <c r="CE37" s="228">
        <f>CD$37+CE$36</f>
        <v/>
      </c>
      <c r="CF37" s="228">
        <f>CE$37+CF$36</f>
        <v/>
      </c>
      <c r="CG37" s="228">
        <f>CF$37+CG$36</f>
        <v/>
      </c>
      <c r="CH37" s="228">
        <f>CG$37+CH$36</f>
        <v/>
      </c>
      <c r="CI37" s="228">
        <f>CH$37+CI$36</f>
        <v/>
      </c>
      <c r="CJ37" s="228">
        <f>CI$37+CJ$36</f>
        <v/>
      </c>
      <c r="CK37" s="228">
        <f>CJ$37+CK$36</f>
        <v/>
      </c>
      <c r="CL37" s="228">
        <f>CK$37+CL$36</f>
        <v/>
      </c>
      <c r="CM37" s="228">
        <f>CL$37+CM$36</f>
        <v/>
      </c>
      <c r="CN37" s="228">
        <f>CM$37+CN$36</f>
        <v/>
      </c>
      <c r="CO37" s="228">
        <f>CN$37+CO$36</f>
        <v/>
      </c>
      <c r="CP37" s="228">
        <f>CO$37+CP$36</f>
        <v/>
      </c>
      <c r="CQ37" s="228">
        <f>CP$37+CQ$36</f>
        <v/>
      </c>
      <c r="CR37" s="228">
        <f>CQ$37+CR$36</f>
        <v/>
      </c>
      <c r="CS37" s="228">
        <f>CR$37+CS$36</f>
        <v/>
      </c>
      <c r="CT37" s="228">
        <f>CS$37+CT$36</f>
        <v/>
      </c>
      <c r="CU37" s="228">
        <f>CT$37+CU$36</f>
        <v/>
      </c>
      <c r="CV37" s="228">
        <f>CU$37+CV$36</f>
        <v/>
      </c>
      <c r="CW37" s="228">
        <f>CV$37+CW$36</f>
        <v/>
      </c>
      <c r="CX37" s="228">
        <f>CW$37+CX$36</f>
        <v/>
      </c>
      <c r="CY37" s="228">
        <f>CX$37+CY$36</f>
        <v/>
      </c>
      <c r="CZ37" s="228">
        <f>CY$37+CZ$36</f>
        <v/>
      </c>
      <c r="DA37" s="228">
        <f>CZ$37+DA$36</f>
        <v/>
      </c>
      <c r="DB37" s="228">
        <f>DA$37+DB$36</f>
        <v/>
      </c>
      <c r="DC37" s="228">
        <f>DB$37+DC$36</f>
        <v/>
      </c>
      <c r="DD37" s="228">
        <f>DC$37+DD$36</f>
        <v/>
      </c>
      <c r="DE37" s="228">
        <f>DD$37+DE$36</f>
        <v/>
      </c>
      <c r="DF37" s="228">
        <f>DE$37+DF$36</f>
        <v/>
      </c>
      <c r="DG37" s="228">
        <f>DF$37+DG$36</f>
        <v/>
      </c>
      <c r="DH37" s="228">
        <f>DG$37+DH$36</f>
        <v/>
      </c>
      <c r="DI37" s="228">
        <f>DH$37+DI$36</f>
        <v/>
      </c>
      <c r="DJ37" s="228">
        <f>DI$37+DJ$36</f>
        <v/>
      </c>
      <c r="DK37" s="228">
        <f>DJ$37+DK$36</f>
        <v/>
      </c>
      <c r="DL37" s="228">
        <f>DK$37+DL$36</f>
        <v/>
      </c>
      <c r="DM37" s="228">
        <f>DL$37+DM$36</f>
        <v/>
      </c>
      <c r="DN37" s="228">
        <f>DM$37+DN$36</f>
        <v/>
      </c>
      <c r="DO37" s="228">
        <f>DN$37+DO$36</f>
        <v/>
      </c>
      <c r="DP37" s="228">
        <f>DO$37+DP$36</f>
        <v/>
      </c>
      <c r="DQ37" s="228">
        <f>DP$37+DQ$36</f>
        <v/>
      </c>
      <c r="DR37" s="228">
        <f>DQ$37+DR$36</f>
        <v/>
      </c>
      <c r="DS37" s="228">
        <f>DR$37+DS$36</f>
        <v/>
      </c>
      <c r="DT37" s="228">
        <f>DS$37+DT$36</f>
        <v/>
      </c>
      <c r="DU37" s="228">
        <f>DT$37+DU$36</f>
        <v/>
      </c>
      <c r="DV37" s="228">
        <f>DU$37+DV$36</f>
        <v/>
      </c>
      <c r="DW37" s="228">
        <f>DV$37+DW$36</f>
        <v/>
      </c>
      <c r="DX37" s="228">
        <f>DW$37+DX$36</f>
        <v/>
      </c>
      <c r="DY37" s="228">
        <f>DX$37+DY$36</f>
        <v/>
      </c>
      <c r="DZ37" s="228">
        <f>DY$37+DZ$36</f>
        <v/>
      </c>
      <c r="EA37" s="228">
        <f>DZ$37+EA$36</f>
        <v/>
      </c>
      <c r="EB37" s="228">
        <f>EA$37+EB$36</f>
        <v/>
      </c>
      <c r="EC37" s="228">
        <f>EB$37+EC$36</f>
        <v/>
      </c>
      <c r="ED37" s="228">
        <f>EC$37+ED$36</f>
        <v/>
      </c>
      <c r="EE37" s="228">
        <f>ED$37+EE$36</f>
        <v/>
      </c>
      <c r="EF37" s="228">
        <f>EE$37+EF$36</f>
        <v/>
      </c>
      <c r="EG37" s="228">
        <f>EF$37+EG$36</f>
        <v/>
      </c>
      <c r="EH37" s="228">
        <f>EG$37+EH$36</f>
        <v/>
      </c>
      <c r="EI37" s="228">
        <f>EH$37+EI$36</f>
        <v/>
      </c>
      <c r="EJ37" s="228">
        <f>EI$37+EJ$36</f>
        <v/>
      </c>
      <c r="EK37" s="228">
        <f>EJ$37+EK$36</f>
        <v/>
      </c>
      <c r="EL37" s="228">
        <f>EK$37+EL$36</f>
        <v/>
      </c>
      <c r="EM37" s="228">
        <f>EL$37+EM$36</f>
        <v/>
      </c>
      <c r="EN37" s="228">
        <f>EM$37+EN$36</f>
        <v/>
      </c>
      <c r="EO37" s="228">
        <f>EN$37+EO$36</f>
        <v/>
      </c>
      <c r="EP37" s="228">
        <f>EO$37+EP$36</f>
        <v/>
      </c>
      <c r="EQ37" s="228">
        <f>EP$37+EQ$36</f>
        <v/>
      </c>
      <c r="ER37" s="228">
        <f>EQ$37+ER$36</f>
        <v/>
      </c>
      <c r="ES37" s="228">
        <f>ER$37+ES$36</f>
        <v/>
      </c>
      <c r="ET37" s="228">
        <f>ES$37+ET$36</f>
        <v/>
      </c>
      <c r="EU37" s="228">
        <f>ET$37+EU$36</f>
        <v/>
      </c>
      <c r="EV37" s="228">
        <f>EU$37+EV$36</f>
        <v/>
      </c>
      <c r="EW37" s="228">
        <f>EV$37+EW$36</f>
        <v/>
      </c>
      <c r="EX37" s="228">
        <f>EW$37+EX$36</f>
        <v/>
      </c>
      <c r="EY37" s="228">
        <f>EX$37+EY$36</f>
        <v/>
      </c>
      <c r="EZ37" s="228">
        <f>EY$37+EZ$36</f>
        <v/>
      </c>
      <c r="FA37" s="228">
        <f>EZ$37+FA$36</f>
        <v/>
      </c>
      <c r="FB37" s="228">
        <f>FA$37+FB$36</f>
        <v/>
      </c>
      <c r="FC37" s="228">
        <f>FB$37+FC$36</f>
        <v/>
      </c>
      <c r="FD37" s="228">
        <f>FC$37+FD$36</f>
        <v/>
      </c>
      <c r="FE37" s="228">
        <f>FD$37+FE$36</f>
        <v/>
      </c>
      <c r="FF37" s="228">
        <f>FE$37+FF$36</f>
        <v/>
      </c>
      <c r="FG37" s="228">
        <f>FF$37+FG$36</f>
        <v/>
      </c>
      <c r="FH37" s="228">
        <f>FG$37+FH$36</f>
        <v/>
      </c>
      <c r="FI37" s="228">
        <f>FH$37+FI$36</f>
        <v/>
      </c>
      <c r="FJ37" s="228">
        <f>FI$37+FJ$36</f>
        <v/>
      </c>
      <c r="FK37" s="228">
        <f>FJ$37+FK$36</f>
        <v/>
      </c>
      <c r="FL37" s="228">
        <f>FK$37+FL$36</f>
        <v/>
      </c>
      <c r="FM37" s="228">
        <f>FL$37+FM$36</f>
        <v/>
      </c>
      <c r="FN37" s="228">
        <f>FM$37+FN$36</f>
        <v/>
      </c>
      <c r="FO37" s="228">
        <f>FN$37+FO$36</f>
        <v/>
      </c>
      <c r="FP37" s="228">
        <f>FO$37+FP$36</f>
        <v/>
      </c>
      <c r="FQ37" s="228">
        <f>FP$37+FQ$36</f>
        <v/>
      </c>
      <c r="FR37" s="228">
        <f>FQ$37+FR$36</f>
        <v/>
      </c>
      <c r="FS37" s="228">
        <f>FR$37+FS$36</f>
        <v/>
      </c>
      <c r="FT37" s="228">
        <f>FS$37+FT$36</f>
        <v/>
      </c>
      <c r="FU37" s="228">
        <f>FT$37+FU$36</f>
        <v/>
      </c>
      <c r="FV37" s="228">
        <f>FU$37+FV$36</f>
        <v/>
      </c>
      <c r="FW37" s="228">
        <f>FV$37+FW$36</f>
        <v/>
      </c>
      <c r="FX37" s="228">
        <f>FW$37+FX$36</f>
        <v/>
      </c>
      <c r="FY37" s="228">
        <f>FX$37+FY$36</f>
        <v/>
      </c>
      <c r="FZ37" s="228">
        <f>FY$37+FZ$36</f>
        <v/>
      </c>
      <c r="GA37" s="228">
        <f>FZ$37+GA$36</f>
        <v/>
      </c>
      <c r="GB37" s="228">
        <f>GA$37+GB$36</f>
        <v/>
      </c>
      <c r="GC37" s="228">
        <f>GB$37+GC$36</f>
        <v/>
      </c>
      <c r="GD37" s="228">
        <f>GC$37+GD$36</f>
        <v/>
      </c>
      <c r="GE37" s="228">
        <f>GD$37+GE$36</f>
        <v/>
      </c>
      <c r="GF37" s="228">
        <f>GE$37+GF$36</f>
        <v/>
      </c>
      <c r="GG37" s="228">
        <f>GF$37+GG$36</f>
        <v/>
      </c>
      <c r="GH37" s="228">
        <f>GG$37+GH$36</f>
        <v/>
      </c>
      <c r="GI37" s="228">
        <f>GH$37+GI$36</f>
        <v/>
      </c>
      <c r="GJ37" s="228">
        <f>GI$37+GJ$36</f>
        <v/>
      </c>
      <c r="GK37" s="228">
        <f>GJ$37+GK$36</f>
        <v/>
      </c>
      <c r="GL37" s="228">
        <f>GK$37+GL$36</f>
        <v/>
      </c>
      <c r="GM37" s="228">
        <f>GL$37+GM$36</f>
        <v/>
      </c>
      <c r="GN37" s="228">
        <f>GM$37+GN$36</f>
        <v/>
      </c>
      <c r="GO37" s="228">
        <f>GN$37+GO$36</f>
        <v/>
      </c>
      <c r="GP37" s="228">
        <f>GO$37+GP$36</f>
        <v/>
      </c>
      <c r="GQ37" s="228">
        <f>GP$37+GQ$36</f>
        <v/>
      </c>
      <c r="GR37" s="228">
        <f>GQ$37+GR$36</f>
        <v/>
      </c>
      <c r="GS37" s="228">
        <f>GR$37+GS$36</f>
        <v/>
      </c>
      <c r="GT37" s="228">
        <f>GS$37+GT$36</f>
        <v/>
      </c>
      <c r="GU37" s="228">
        <f>GT$37+GU$36</f>
        <v/>
      </c>
      <c r="GV37" s="228">
        <f>GU$37+GV$36</f>
        <v/>
      </c>
      <c r="GW37" s="228">
        <f>GV$37+GW$36</f>
        <v/>
      </c>
      <c r="GX37" s="228">
        <f>GW$37+GX$36</f>
        <v/>
      </c>
      <c r="GY37" s="228">
        <f>GX$37+GY$36</f>
        <v/>
      </c>
      <c r="GZ37" s="228">
        <f>GY$37+GZ$36</f>
        <v/>
      </c>
      <c r="HA37" s="228">
        <f>GZ$37+HA$36</f>
        <v/>
      </c>
      <c r="HB37" s="228">
        <f>HA$37+HB$36</f>
        <v/>
      </c>
      <c r="HC37" s="228">
        <f>HB$37+HC$36</f>
        <v/>
      </c>
      <c r="HD37" s="228">
        <f>HC$37+HD$36</f>
        <v/>
      </c>
      <c r="HE37" s="228">
        <f>HD$37+HE$36</f>
        <v/>
      </c>
      <c r="HF37" s="228">
        <f>HE$37+HF$36</f>
        <v/>
      </c>
      <c r="HG37" s="228">
        <f>HF$37+HG$36</f>
        <v/>
      </c>
      <c r="HH37" s="228">
        <f>HG$37+HH$36</f>
        <v/>
      </c>
      <c r="HI37" s="228">
        <f>HH$37+HI$36</f>
        <v/>
      </c>
      <c r="HJ37" s="228">
        <f>HI$37+HJ$36</f>
        <v/>
      </c>
      <c r="HK37" s="228">
        <f>HJ$37+HK$36</f>
        <v/>
      </c>
      <c r="HL37" s="228">
        <f>HK$37+HL$36</f>
        <v/>
      </c>
      <c r="HM37" s="228">
        <f>HL$37+HM$36</f>
        <v/>
      </c>
      <c r="HN37" s="228">
        <f>HM$37+HN$36</f>
        <v/>
      </c>
      <c r="HO37" s="228">
        <f>HN$37+HO$36</f>
        <v/>
      </c>
      <c r="HP37" s="228">
        <f>HO$37+HP$36</f>
        <v/>
      </c>
      <c r="HQ37" s="228">
        <f>HP$37+HQ$36</f>
        <v/>
      </c>
      <c r="HR37" s="228">
        <f>HQ$37+HR$36</f>
        <v/>
      </c>
      <c r="HS37" s="228">
        <f>HR$37+HS$36</f>
        <v/>
      </c>
      <c r="HT37" s="228">
        <f>HS$37+HT$36</f>
        <v/>
      </c>
      <c r="HU37" s="228">
        <f>HT$37+HU$36</f>
        <v/>
      </c>
      <c r="HV37" s="228">
        <f>HU$37+HV$36</f>
        <v/>
      </c>
      <c r="HW37" s="228">
        <f>HV$37+HW$36</f>
        <v/>
      </c>
      <c r="HX37" s="228">
        <f>HW$37+HX$36</f>
        <v/>
      </c>
      <c r="HY37" s="228">
        <f>HX$37+HY$36</f>
        <v/>
      </c>
      <c r="HZ37" s="228">
        <f>HY$37+HZ$36</f>
        <v/>
      </c>
      <c r="IA37" s="228">
        <f>HZ$37+IA$36</f>
        <v/>
      </c>
      <c r="IB37" s="228">
        <f>IA$37+IB$36</f>
        <v/>
      </c>
      <c r="IC37" s="228">
        <f>IB$37+IC$36</f>
        <v/>
      </c>
      <c r="ID37" s="228">
        <f>IC$37+ID$36</f>
        <v/>
      </c>
      <c r="IE37" s="228">
        <f>ID$37+IE$36</f>
        <v/>
      </c>
      <c r="IF37" s="228">
        <f>IE$37+IF$36</f>
        <v/>
      </c>
      <c r="IG37" s="228">
        <f>IF$37+IG$36</f>
        <v/>
      </c>
      <c r="IH37" s="228">
        <f>IG$37+IH$36</f>
        <v/>
      </c>
      <c r="II37" s="228">
        <f>IH$37+II$36</f>
        <v/>
      </c>
      <c r="IJ37" s="228">
        <f>II$37+IJ$36</f>
        <v/>
      </c>
      <c r="IK37" s="228">
        <f>IJ$37+IK$36</f>
        <v/>
      </c>
      <c r="IL37" s="228">
        <f>IK$37+IL$36</f>
        <v/>
      </c>
      <c r="IM37" s="228">
        <f>IL$37+IM$36</f>
        <v/>
      </c>
      <c r="IN37" s="228">
        <f>IM$37+IN$36</f>
        <v/>
      </c>
      <c r="IO37" s="228">
        <f>IN$37+IO$36</f>
        <v/>
      </c>
      <c r="IP37" s="228">
        <f>IO$37+IP$36</f>
        <v/>
      </c>
      <c r="IQ37" s="228">
        <f>IP$37+IQ$36</f>
        <v/>
      </c>
      <c r="IR37" s="228">
        <f>IQ$37+IR$36</f>
        <v/>
      </c>
      <c r="IS37" s="228">
        <f>IR$37+IS$36</f>
        <v/>
      </c>
      <c r="IT37" s="228">
        <f>IS$37+IT$36</f>
        <v/>
      </c>
      <c r="IU37" s="228">
        <f>IT$37+IU$36</f>
        <v/>
      </c>
      <c r="IV37" s="228">
        <f>IU$37+IV$36</f>
        <v/>
      </c>
      <c r="IW37" s="228">
        <f>IV$37+IW$36</f>
        <v/>
      </c>
      <c r="IX37" s="228">
        <f>IW$37+IX$36</f>
        <v/>
      </c>
      <c r="IY37" s="228">
        <f>IX$37+IY$36</f>
        <v/>
      </c>
      <c r="IZ37" s="228">
        <f>IY$37+IZ$36</f>
        <v/>
      </c>
      <c r="JA37" s="228">
        <f>IZ$37+JA$36</f>
        <v/>
      </c>
      <c r="JB37" s="228">
        <f>JA$37+JB$36</f>
        <v/>
      </c>
      <c r="JC37" s="228">
        <f>JB$37+JC$36</f>
        <v/>
      </c>
      <c r="JD37" s="228">
        <f>JC$37+JD$36</f>
        <v/>
      </c>
      <c r="JE37" s="228">
        <f>JD$37+JE$36</f>
        <v/>
      </c>
      <c r="JF37" s="228">
        <f>JE$37+JF$36</f>
        <v/>
      </c>
      <c r="JG37" s="228">
        <f>JF$37+JG$36</f>
        <v/>
      </c>
      <c r="JH37" s="228">
        <f>JG$37+JH$36</f>
        <v/>
      </c>
      <c r="JI37" s="228">
        <f>JH$37+JI$36</f>
        <v/>
      </c>
      <c r="JJ37" s="228">
        <f>JI$37+JJ$36</f>
        <v/>
      </c>
      <c r="JK37" s="228">
        <f>JJ$37+JK$36</f>
        <v/>
      </c>
      <c r="JL37" s="228">
        <f>JK$37+JL$36</f>
        <v/>
      </c>
      <c r="JM37" s="228">
        <f>JL$37+JM$36</f>
        <v/>
      </c>
      <c r="JN37" s="228">
        <f>JM$37+JN$36</f>
        <v/>
      </c>
      <c r="JO37" s="228">
        <f>JN$37+JO$36</f>
        <v/>
      </c>
      <c r="JP37" s="228">
        <f>JO$37+JP$36</f>
        <v/>
      </c>
      <c r="JQ37" s="228">
        <f>JP$37+JQ$36</f>
        <v/>
      </c>
      <c r="JR37" s="228">
        <f>JQ$37+JR$36</f>
        <v/>
      </c>
      <c r="JS37" s="228">
        <f>JR$37+JS$36</f>
        <v/>
      </c>
      <c r="JT37" s="228">
        <f>JS$37+JT$36</f>
        <v/>
      </c>
      <c r="JU37" s="228">
        <f>JT$37+JU$36</f>
        <v/>
      </c>
      <c r="JV37" s="228">
        <f>JU$37+JV$36</f>
        <v/>
      </c>
      <c r="JW37" s="228">
        <f>JV$37+JW$36</f>
        <v/>
      </c>
      <c r="JX37" s="228">
        <f>JW$37+JX$36</f>
        <v/>
      </c>
      <c r="JY37" s="228">
        <f>JX$37+JY$36</f>
        <v/>
      </c>
      <c r="JZ37" s="228">
        <f>JY$37+JZ$36</f>
        <v/>
      </c>
      <c r="KA37" s="228">
        <f>JZ$37+KA$36</f>
        <v/>
      </c>
      <c r="KB37" s="228">
        <f>KA$37+KB$36</f>
        <v/>
      </c>
      <c r="KC37" s="228">
        <f>KB$37+KC$36</f>
        <v/>
      </c>
      <c r="KD37" s="228">
        <f>KC$37+KD$36</f>
        <v/>
      </c>
      <c r="KE37" s="228">
        <f>KD$37+KE$36</f>
        <v/>
      </c>
      <c r="KF37" s="228">
        <f>KE$37+KF$36</f>
        <v/>
      </c>
      <c r="KG37" s="228">
        <f>KF$37+KG$36</f>
        <v/>
      </c>
      <c r="KH37" s="228">
        <f>KG$37+KH$36</f>
        <v/>
      </c>
      <c r="KI37" s="228">
        <f>KH$37+KI$36</f>
        <v/>
      </c>
      <c r="KJ37" s="228">
        <f>KI$37+KJ$36</f>
        <v/>
      </c>
      <c r="KK37" s="228">
        <f>KJ$37+KK$36</f>
        <v/>
      </c>
      <c r="KL37" s="228">
        <f>KK$37+KL$36</f>
        <v/>
      </c>
      <c r="KM37" s="228">
        <f>KL$37+KM$36</f>
        <v/>
      </c>
      <c r="KN37" s="228">
        <f>KM$37+KN$36</f>
        <v/>
      </c>
      <c r="KO37" s="228">
        <f>KN$37+KO$36</f>
        <v/>
      </c>
      <c r="KP37" s="228">
        <f>KO$37+KP$36</f>
        <v/>
      </c>
      <c r="KQ37" s="228">
        <f>KP$37+KQ$36</f>
        <v/>
      </c>
      <c r="KR37" s="228">
        <f>KQ$37+KR$36</f>
        <v/>
      </c>
      <c r="KS37" s="228">
        <f>KR$37+KS$36</f>
        <v/>
      </c>
      <c r="KT37" s="228">
        <f>KS$37+KT$36</f>
        <v/>
      </c>
      <c r="KU37" s="228">
        <f>KT$37+KU$36</f>
        <v/>
      </c>
      <c r="KV37" s="228">
        <f>KU$37+KV$36</f>
        <v/>
      </c>
      <c r="KW37" s="228">
        <f>KV$37+KW$36</f>
        <v/>
      </c>
      <c r="KX37" s="228">
        <f>KW$37+KX$36</f>
        <v/>
      </c>
      <c r="KY37" s="228">
        <f>KX$37+KY$36</f>
        <v/>
      </c>
      <c r="KZ37" s="228">
        <f>KY$37+KZ$36</f>
        <v/>
      </c>
      <c r="LA37" s="228">
        <f>KZ$37+LA$36</f>
        <v/>
      </c>
      <c r="LB37" s="228">
        <f>LA$37+LB$36</f>
        <v/>
      </c>
      <c r="LC37" s="228">
        <f>LB$37+LC$36</f>
        <v/>
      </c>
      <c r="LD37" s="228">
        <f>LC$37+LD$36</f>
        <v/>
      </c>
      <c r="LE37" s="228">
        <f>LD$37+LE$36</f>
        <v/>
      </c>
      <c r="LF37" s="228">
        <f>LE$37+LF$36</f>
        <v/>
      </c>
      <c r="LG37" s="228">
        <f>LF$37+LG$36</f>
        <v/>
      </c>
      <c r="LH37" s="228">
        <f>LG$37+LH$36</f>
        <v/>
      </c>
      <c r="LI37" s="228">
        <f>LH$37+LI$36</f>
        <v/>
      </c>
      <c r="LJ37" s="228">
        <f>LI$37+LJ$36</f>
        <v/>
      </c>
      <c r="LK37" s="228">
        <f>LJ$37+LK$36</f>
        <v/>
      </c>
      <c r="LL37" s="228">
        <f>LK$37+LL$36</f>
        <v/>
      </c>
      <c r="LM37" s="228">
        <f>LL$37+LM$36</f>
        <v/>
      </c>
      <c r="LN37" s="228">
        <f>LM$37+LN$36</f>
        <v/>
      </c>
      <c r="LO37" s="228">
        <f>LN$37+LO$36</f>
        <v/>
      </c>
      <c r="LP37" s="228">
        <f>LO$37+LP$36</f>
        <v/>
      </c>
      <c r="LQ37" s="228">
        <f>LP$37+LQ$36</f>
        <v/>
      </c>
      <c r="LR37" s="228">
        <f>LQ$37+LR$36</f>
        <v/>
      </c>
      <c r="LS37" s="228">
        <f>LR$37+LS$36</f>
        <v/>
      </c>
      <c r="LT37" s="228">
        <f>LS$37+LT$36</f>
        <v/>
      </c>
      <c r="LU37" s="228">
        <f>LT$37+LU$36</f>
        <v/>
      </c>
      <c r="LV37" s="228">
        <f>LU$37+LV$36</f>
        <v/>
      </c>
      <c r="LW37" s="228">
        <f>LV$37+LW$36</f>
        <v/>
      </c>
      <c r="LX37" s="228">
        <f>LW$37+LX$36</f>
        <v/>
      </c>
      <c r="LY37" s="228">
        <f>LX$37+LY$36</f>
        <v/>
      </c>
      <c r="LZ37" s="228">
        <f>LY$37+LZ$36</f>
        <v/>
      </c>
      <c r="MA37" s="228">
        <f>LZ$37+MA$36</f>
        <v/>
      </c>
      <c r="MB37" s="228">
        <f>MA$37+MB$36</f>
        <v/>
      </c>
      <c r="MC37" s="228">
        <f>MB$37+MC$36</f>
        <v/>
      </c>
      <c r="MD37" s="228">
        <f>MC$37+MD$36</f>
        <v/>
      </c>
      <c r="ME37" s="228">
        <f>MD$37+ME$36</f>
        <v/>
      </c>
      <c r="MF37" s="228">
        <f>ME$37+MF$36</f>
        <v/>
      </c>
      <c r="MG37" s="228">
        <f>MF$37+MG$36</f>
        <v/>
      </c>
      <c r="MH37" s="228">
        <f>MG$37+MH$36</f>
        <v/>
      </c>
      <c r="MI37" s="228">
        <f>MH$37+MI$36</f>
        <v/>
      </c>
      <c r="MJ37" s="228">
        <f>MI$37+MJ$36</f>
        <v/>
      </c>
      <c r="MK37" s="228">
        <f>MJ$37+MK$36</f>
        <v/>
      </c>
      <c r="ML37" s="228">
        <f>MK$37+ML$36</f>
        <v/>
      </c>
      <c r="MM37" s="228">
        <f>ML$37+MM$36</f>
        <v/>
      </c>
      <c r="MN37" s="228">
        <f>MM$37+MN$36</f>
        <v/>
      </c>
      <c r="MO37" s="228">
        <f>MN$37+MO$36</f>
        <v/>
      </c>
      <c r="MP37" s="228">
        <f>MO$37+MP$36</f>
        <v/>
      </c>
      <c r="MQ37" s="228">
        <f>MP$37+MQ$36</f>
        <v/>
      </c>
      <c r="MR37" s="228">
        <f>MQ$37+MR$36</f>
        <v/>
      </c>
      <c r="MS37" s="228">
        <f>MR$37+MS$36</f>
        <v/>
      </c>
      <c r="MT37" s="228">
        <f>MS$37+MT$36</f>
        <v/>
      </c>
      <c r="MU37" s="228">
        <f>MT$37+MU$36</f>
        <v/>
      </c>
      <c r="MV37" s="228">
        <f>MU$37+MV$36</f>
        <v/>
      </c>
      <c r="MW37" s="228">
        <f>MV$37+MW$36</f>
        <v/>
      </c>
      <c r="MX37" s="228">
        <f>MW$37+MX$36</f>
        <v/>
      </c>
      <c r="MY37" s="228">
        <f>MX$37+MY$36</f>
        <v/>
      </c>
      <c r="MZ37" s="228">
        <f>MY$37+MZ$36</f>
        <v/>
      </c>
      <c r="NA37" s="228">
        <f>MZ$37+NA$36</f>
        <v/>
      </c>
      <c r="NB37" s="228">
        <f>NA$37+NB$36</f>
        <v/>
      </c>
      <c r="NC37" s="228">
        <f>NB$37+NC$36</f>
        <v/>
      </c>
      <c r="ND37" s="228">
        <f>NC$37+ND$36</f>
        <v/>
      </c>
      <c r="NE37" s="228">
        <f>ND$37+NE$36</f>
        <v/>
      </c>
      <c r="NF37" s="228">
        <f>NE$37+NF$36</f>
        <v/>
      </c>
      <c r="NG37" s="228">
        <f>NF$37+NG$36</f>
        <v/>
      </c>
      <c r="NH37" s="228">
        <f>NG$37+NH$36</f>
        <v/>
      </c>
      <c r="NI37" s="228">
        <f>NH$37+NI$36</f>
        <v/>
      </c>
      <c r="NJ37" s="228">
        <f>NI$37+NJ$36</f>
        <v/>
      </c>
      <c r="NK37" s="228">
        <f>NJ$37+NK$36</f>
        <v/>
      </c>
      <c r="NL37" s="247">
        <f>NK$37+NL$36</f>
        <v/>
      </c>
    </row>
    <row r="38">
      <c r="B38" s="36" t="inlineStr">
        <is>
          <t>Construction-Period Property Tax</t>
        </is>
      </c>
      <c r="D38" s="246">
        <f>SUM(E38:NL38)</f>
        <v/>
      </c>
      <c r="E38" s="228">
        <f>IF(AND(1&gt;=MS_Initial_Closing_Start,1&lt;TaxOpStartMonth),(LandCost+E$37)*EffTaxRateOnValue/12,0)</f>
        <v/>
      </c>
      <c r="F38" s="228">
        <f>IF(AND(2&gt;=MS_Initial_Closing_Start,2&lt;TaxOpStartMonth),(LandCost+F$37)*EffTaxRateOnValue/12,0)</f>
        <v/>
      </c>
      <c r="G38" s="228">
        <f>IF(AND(3&gt;=MS_Initial_Closing_Start,3&lt;TaxOpStartMonth),(LandCost+G$37)*EffTaxRateOnValue/12,0)</f>
        <v/>
      </c>
      <c r="H38" s="228">
        <f>IF(AND(4&gt;=MS_Initial_Closing_Start,4&lt;TaxOpStartMonth),(LandCost+H$37)*EffTaxRateOnValue/12,0)</f>
        <v/>
      </c>
      <c r="I38" s="228">
        <f>IF(AND(5&gt;=MS_Initial_Closing_Start,5&lt;TaxOpStartMonth),(LandCost+I$37)*EffTaxRateOnValue/12,0)</f>
        <v/>
      </c>
      <c r="J38" s="228">
        <f>IF(AND(6&gt;=MS_Initial_Closing_Start,6&lt;TaxOpStartMonth),(LandCost+J$37)*EffTaxRateOnValue/12,0)</f>
        <v/>
      </c>
      <c r="K38" s="228">
        <f>IF(AND(7&gt;=MS_Initial_Closing_Start,7&lt;TaxOpStartMonth),(LandCost+K$37)*EffTaxRateOnValue/12,0)</f>
        <v/>
      </c>
      <c r="L38" s="228">
        <f>IF(AND(8&gt;=MS_Initial_Closing_Start,8&lt;TaxOpStartMonth),(LandCost+L$37)*EffTaxRateOnValue/12,0)</f>
        <v/>
      </c>
      <c r="M38" s="228">
        <f>IF(AND(9&gt;=MS_Initial_Closing_Start,9&lt;TaxOpStartMonth),(LandCost+M$37)*EffTaxRateOnValue/12,0)</f>
        <v/>
      </c>
      <c r="N38" s="228">
        <f>IF(AND(10&gt;=MS_Initial_Closing_Start,10&lt;TaxOpStartMonth),(LandCost+N$37)*EffTaxRateOnValue/12,0)</f>
        <v/>
      </c>
      <c r="O38" s="228">
        <f>IF(AND(11&gt;=MS_Initial_Closing_Start,11&lt;TaxOpStartMonth),(LandCost+O$37)*EffTaxRateOnValue/12,0)</f>
        <v/>
      </c>
      <c r="P38" s="228">
        <f>IF(AND(12&gt;=MS_Initial_Closing_Start,12&lt;TaxOpStartMonth),(LandCost+P$37)*EffTaxRateOnValue/12,0)</f>
        <v/>
      </c>
      <c r="Q38" s="228">
        <f>IF(AND(13&gt;=MS_Initial_Closing_Start,13&lt;TaxOpStartMonth),(LandCost+Q$37)*EffTaxRateOnValue/12,0)</f>
        <v/>
      </c>
      <c r="R38" s="228">
        <f>IF(AND(14&gt;=MS_Initial_Closing_Start,14&lt;TaxOpStartMonth),(LandCost+R$37)*EffTaxRateOnValue/12,0)</f>
        <v/>
      </c>
      <c r="S38" s="228">
        <f>IF(AND(15&gt;=MS_Initial_Closing_Start,15&lt;TaxOpStartMonth),(LandCost+S$37)*EffTaxRateOnValue/12,0)</f>
        <v/>
      </c>
      <c r="T38" s="228">
        <f>IF(AND(16&gt;=MS_Initial_Closing_Start,16&lt;TaxOpStartMonth),(LandCost+T$37)*EffTaxRateOnValue/12,0)</f>
        <v/>
      </c>
      <c r="U38" s="228">
        <f>IF(AND(17&gt;=MS_Initial_Closing_Start,17&lt;TaxOpStartMonth),(LandCost+U$37)*EffTaxRateOnValue/12,0)</f>
        <v/>
      </c>
      <c r="V38" s="228">
        <f>IF(AND(18&gt;=MS_Initial_Closing_Start,18&lt;TaxOpStartMonth),(LandCost+V$37)*EffTaxRateOnValue/12,0)</f>
        <v/>
      </c>
      <c r="W38" s="228">
        <f>IF(AND(19&gt;=MS_Initial_Closing_Start,19&lt;TaxOpStartMonth),(LandCost+W$37)*EffTaxRateOnValue/12,0)</f>
        <v/>
      </c>
      <c r="X38" s="228">
        <f>IF(AND(20&gt;=MS_Initial_Closing_Start,20&lt;TaxOpStartMonth),(LandCost+X$37)*EffTaxRateOnValue/12,0)</f>
        <v/>
      </c>
      <c r="Y38" s="228">
        <f>IF(AND(21&gt;=MS_Initial_Closing_Start,21&lt;TaxOpStartMonth),(LandCost+Y$37)*EffTaxRateOnValue/12,0)</f>
        <v/>
      </c>
      <c r="Z38" s="228">
        <f>IF(AND(22&gt;=MS_Initial_Closing_Start,22&lt;TaxOpStartMonth),(LandCost+Z$37)*EffTaxRateOnValue/12,0)</f>
        <v/>
      </c>
      <c r="AA38" s="228">
        <f>IF(AND(23&gt;=MS_Initial_Closing_Start,23&lt;TaxOpStartMonth),(LandCost+AA$37)*EffTaxRateOnValue/12,0)</f>
        <v/>
      </c>
      <c r="AB38" s="228">
        <f>IF(AND(24&gt;=MS_Initial_Closing_Start,24&lt;TaxOpStartMonth),(LandCost+AB$37)*EffTaxRateOnValue/12,0)</f>
        <v/>
      </c>
      <c r="AC38" s="228">
        <f>IF(AND(25&gt;=MS_Initial_Closing_Start,25&lt;TaxOpStartMonth),(LandCost+AC$37)*EffTaxRateOnValue/12,0)</f>
        <v/>
      </c>
      <c r="AD38" s="228">
        <f>IF(AND(26&gt;=MS_Initial_Closing_Start,26&lt;TaxOpStartMonth),(LandCost+AD$37)*EffTaxRateOnValue/12,0)</f>
        <v/>
      </c>
      <c r="AE38" s="228">
        <f>IF(AND(27&gt;=MS_Initial_Closing_Start,27&lt;TaxOpStartMonth),(LandCost+AE$37)*EffTaxRateOnValue/12,0)</f>
        <v/>
      </c>
      <c r="AF38" s="228">
        <f>IF(AND(28&gt;=MS_Initial_Closing_Start,28&lt;TaxOpStartMonth),(LandCost+AF$37)*EffTaxRateOnValue/12,0)</f>
        <v/>
      </c>
      <c r="AG38" s="228">
        <f>IF(AND(29&gt;=MS_Initial_Closing_Start,29&lt;TaxOpStartMonth),(LandCost+AG$37)*EffTaxRateOnValue/12,0)</f>
        <v/>
      </c>
      <c r="AH38" s="228">
        <f>IF(AND(30&gt;=MS_Initial_Closing_Start,30&lt;TaxOpStartMonth),(LandCost+AH$37)*EffTaxRateOnValue/12,0)</f>
        <v/>
      </c>
      <c r="AI38" s="228">
        <f>IF(AND(31&gt;=MS_Initial_Closing_Start,31&lt;TaxOpStartMonth),(LandCost+AI$37)*EffTaxRateOnValue/12,0)</f>
        <v/>
      </c>
      <c r="AJ38" s="228">
        <f>IF(AND(32&gt;=MS_Initial_Closing_Start,32&lt;TaxOpStartMonth),(LandCost+AJ$37)*EffTaxRateOnValue/12,0)</f>
        <v/>
      </c>
      <c r="AK38" s="228">
        <f>IF(AND(33&gt;=MS_Initial_Closing_Start,33&lt;TaxOpStartMonth),(LandCost+AK$37)*EffTaxRateOnValue/12,0)</f>
        <v/>
      </c>
      <c r="AL38" s="228">
        <f>IF(AND(34&gt;=MS_Initial_Closing_Start,34&lt;TaxOpStartMonth),(LandCost+AL$37)*EffTaxRateOnValue/12,0)</f>
        <v/>
      </c>
      <c r="AM38" s="228">
        <f>IF(AND(35&gt;=MS_Initial_Closing_Start,35&lt;TaxOpStartMonth),(LandCost+AM$37)*EffTaxRateOnValue/12,0)</f>
        <v/>
      </c>
      <c r="AN38" s="228">
        <f>IF(AND(36&gt;=MS_Initial_Closing_Start,36&lt;TaxOpStartMonth),(LandCost+AN$37)*EffTaxRateOnValue/12,0)</f>
        <v/>
      </c>
      <c r="AO38" s="228">
        <f>IF(AND(37&gt;=MS_Initial_Closing_Start,37&lt;TaxOpStartMonth),(LandCost+AO$37)*EffTaxRateOnValue/12,0)</f>
        <v/>
      </c>
      <c r="AP38" s="228">
        <f>IF(AND(38&gt;=MS_Initial_Closing_Start,38&lt;TaxOpStartMonth),(LandCost+AP$37)*EffTaxRateOnValue/12,0)</f>
        <v/>
      </c>
      <c r="AQ38" s="228">
        <f>IF(AND(39&gt;=MS_Initial_Closing_Start,39&lt;TaxOpStartMonth),(LandCost+AQ$37)*EffTaxRateOnValue/12,0)</f>
        <v/>
      </c>
      <c r="AR38" s="228">
        <f>IF(AND(40&gt;=MS_Initial_Closing_Start,40&lt;TaxOpStartMonth),(LandCost+AR$37)*EffTaxRateOnValue/12,0)</f>
        <v/>
      </c>
      <c r="AS38" s="228">
        <f>IF(AND(41&gt;=MS_Initial_Closing_Start,41&lt;TaxOpStartMonth),(LandCost+AS$37)*EffTaxRateOnValue/12,0)</f>
        <v/>
      </c>
      <c r="AT38" s="228">
        <f>IF(AND(42&gt;=MS_Initial_Closing_Start,42&lt;TaxOpStartMonth),(LandCost+AT$37)*EffTaxRateOnValue/12,0)</f>
        <v/>
      </c>
      <c r="AU38" s="228">
        <f>IF(AND(43&gt;=MS_Initial_Closing_Start,43&lt;TaxOpStartMonth),(LandCost+AU$37)*EffTaxRateOnValue/12,0)</f>
        <v/>
      </c>
      <c r="AV38" s="228">
        <f>IF(AND(44&gt;=MS_Initial_Closing_Start,44&lt;TaxOpStartMonth),(LandCost+AV$37)*EffTaxRateOnValue/12,0)</f>
        <v/>
      </c>
      <c r="AW38" s="228">
        <f>IF(AND(45&gt;=MS_Initial_Closing_Start,45&lt;TaxOpStartMonth),(LandCost+AW$37)*EffTaxRateOnValue/12,0)</f>
        <v/>
      </c>
      <c r="AX38" s="228">
        <f>IF(AND(46&gt;=MS_Initial_Closing_Start,46&lt;TaxOpStartMonth),(LandCost+AX$37)*EffTaxRateOnValue/12,0)</f>
        <v/>
      </c>
      <c r="AY38" s="228">
        <f>IF(AND(47&gt;=MS_Initial_Closing_Start,47&lt;TaxOpStartMonth),(LandCost+AY$37)*EffTaxRateOnValue/12,0)</f>
        <v/>
      </c>
      <c r="AZ38" s="228">
        <f>IF(AND(48&gt;=MS_Initial_Closing_Start,48&lt;TaxOpStartMonth),(LandCost+AZ$37)*EffTaxRateOnValue/12,0)</f>
        <v/>
      </c>
      <c r="BA38" s="228">
        <f>IF(AND(49&gt;=MS_Initial_Closing_Start,49&lt;TaxOpStartMonth),(LandCost+BA$37)*EffTaxRateOnValue/12,0)</f>
        <v/>
      </c>
      <c r="BB38" s="228">
        <f>IF(AND(50&gt;=MS_Initial_Closing_Start,50&lt;TaxOpStartMonth),(LandCost+BB$37)*EffTaxRateOnValue/12,0)</f>
        <v/>
      </c>
      <c r="BC38" s="228">
        <f>IF(AND(51&gt;=MS_Initial_Closing_Start,51&lt;TaxOpStartMonth),(LandCost+BC$37)*EffTaxRateOnValue/12,0)</f>
        <v/>
      </c>
      <c r="BD38" s="228">
        <f>IF(AND(52&gt;=MS_Initial_Closing_Start,52&lt;TaxOpStartMonth),(LandCost+BD$37)*EffTaxRateOnValue/12,0)</f>
        <v/>
      </c>
      <c r="BE38" s="228">
        <f>IF(AND(53&gt;=MS_Initial_Closing_Start,53&lt;TaxOpStartMonth),(LandCost+BE$37)*EffTaxRateOnValue/12,0)</f>
        <v/>
      </c>
      <c r="BF38" s="228">
        <f>IF(AND(54&gt;=MS_Initial_Closing_Start,54&lt;TaxOpStartMonth),(LandCost+BF$37)*EffTaxRateOnValue/12,0)</f>
        <v/>
      </c>
      <c r="BG38" s="228">
        <f>IF(AND(55&gt;=MS_Initial_Closing_Start,55&lt;TaxOpStartMonth),(LandCost+BG$37)*EffTaxRateOnValue/12,0)</f>
        <v/>
      </c>
      <c r="BH38" s="228">
        <f>IF(AND(56&gt;=MS_Initial_Closing_Start,56&lt;TaxOpStartMonth),(LandCost+BH$37)*EffTaxRateOnValue/12,0)</f>
        <v/>
      </c>
      <c r="BI38" s="228">
        <f>IF(AND(57&gt;=MS_Initial_Closing_Start,57&lt;TaxOpStartMonth),(LandCost+BI$37)*EffTaxRateOnValue/12,0)</f>
        <v/>
      </c>
      <c r="BJ38" s="228">
        <f>IF(AND(58&gt;=MS_Initial_Closing_Start,58&lt;TaxOpStartMonth),(LandCost+BJ$37)*EffTaxRateOnValue/12,0)</f>
        <v/>
      </c>
      <c r="BK38" s="228">
        <f>IF(AND(59&gt;=MS_Initial_Closing_Start,59&lt;TaxOpStartMonth),(LandCost+BK$37)*EffTaxRateOnValue/12,0)</f>
        <v/>
      </c>
      <c r="BL38" s="228">
        <f>IF(AND(60&gt;=MS_Initial_Closing_Start,60&lt;TaxOpStartMonth),(LandCost+BL$37)*EffTaxRateOnValue/12,0)</f>
        <v/>
      </c>
      <c r="BM38" s="228">
        <f>IF(AND(61&gt;=MS_Initial_Closing_Start,61&lt;TaxOpStartMonth),(LandCost+BM$37)*EffTaxRateOnValue/12,0)</f>
        <v/>
      </c>
      <c r="BN38" s="228">
        <f>IF(AND(62&gt;=MS_Initial_Closing_Start,62&lt;TaxOpStartMonth),(LandCost+BN$37)*EffTaxRateOnValue/12,0)</f>
        <v/>
      </c>
      <c r="BO38" s="228">
        <f>IF(AND(63&gt;=MS_Initial_Closing_Start,63&lt;TaxOpStartMonth),(LandCost+BO$37)*EffTaxRateOnValue/12,0)</f>
        <v/>
      </c>
      <c r="BP38" s="228">
        <f>IF(AND(64&gt;=MS_Initial_Closing_Start,64&lt;TaxOpStartMonth),(LandCost+BP$37)*EffTaxRateOnValue/12,0)</f>
        <v/>
      </c>
      <c r="BQ38" s="228">
        <f>IF(AND(65&gt;=MS_Initial_Closing_Start,65&lt;TaxOpStartMonth),(LandCost+BQ$37)*EffTaxRateOnValue/12,0)</f>
        <v/>
      </c>
      <c r="BR38" s="228">
        <f>IF(AND(66&gt;=MS_Initial_Closing_Start,66&lt;TaxOpStartMonth),(LandCost+BR$37)*EffTaxRateOnValue/12,0)</f>
        <v/>
      </c>
      <c r="BS38" s="228">
        <f>IF(AND(67&gt;=MS_Initial_Closing_Start,67&lt;TaxOpStartMonth),(LandCost+BS$37)*EffTaxRateOnValue/12,0)</f>
        <v/>
      </c>
      <c r="BT38" s="228">
        <f>IF(AND(68&gt;=MS_Initial_Closing_Start,68&lt;TaxOpStartMonth),(LandCost+BT$37)*EffTaxRateOnValue/12,0)</f>
        <v/>
      </c>
      <c r="BU38" s="228">
        <f>IF(AND(69&gt;=MS_Initial_Closing_Start,69&lt;TaxOpStartMonth),(LandCost+BU$37)*EffTaxRateOnValue/12,0)</f>
        <v/>
      </c>
      <c r="BV38" s="228">
        <f>IF(AND(70&gt;=MS_Initial_Closing_Start,70&lt;TaxOpStartMonth),(LandCost+BV$37)*EffTaxRateOnValue/12,0)</f>
        <v/>
      </c>
      <c r="BW38" s="228">
        <f>IF(AND(71&gt;=MS_Initial_Closing_Start,71&lt;TaxOpStartMonth),(LandCost+BW$37)*EffTaxRateOnValue/12,0)</f>
        <v/>
      </c>
      <c r="BX38" s="228">
        <f>IF(AND(72&gt;=MS_Initial_Closing_Start,72&lt;TaxOpStartMonth),(LandCost+BX$37)*EffTaxRateOnValue/12,0)</f>
        <v/>
      </c>
      <c r="BY38" s="228">
        <f>IF(AND(73&gt;=MS_Initial_Closing_Start,73&lt;TaxOpStartMonth),(LandCost+BY$37)*EffTaxRateOnValue/12,0)</f>
        <v/>
      </c>
      <c r="BZ38" s="228">
        <f>IF(AND(74&gt;=MS_Initial_Closing_Start,74&lt;TaxOpStartMonth),(LandCost+BZ$37)*EffTaxRateOnValue/12,0)</f>
        <v/>
      </c>
      <c r="CA38" s="228">
        <f>IF(AND(75&gt;=MS_Initial_Closing_Start,75&lt;TaxOpStartMonth),(LandCost+CA$37)*EffTaxRateOnValue/12,0)</f>
        <v/>
      </c>
      <c r="CB38" s="228">
        <f>IF(AND(76&gt;=MS_Initial_Closing_Start,76&lt;TaxOpStartMonth),(LandCost+CB$37)*EffTaxRateOnValue/12,0)</f>
        <v/>
      </c>
      <c r="CC38" s="228">
        <f>IF(AND(77&gt;=MS_Initial_Closing_Start,77&lt;TaxOpStartMonth),(LandCost+CC$37)*EffTaxRateOnValue/12,0)</f>
        <v/>
      </c>
      <c r="CD38" s="228">
        <f>IF(AND(78&gt;=MS_Initial_Closing_Start,78&lt;TaxOpStartMonth),(LandCost+CD$37)*EffTaxRateOnValue/12,0)</f>
        <v/>
      </c>
      <c r="CE38" s="228">
        <f>IF(AND(79&gt;=MS_Initial_Closing_Start,79&lt;TaxOpStartMonth),(LandCost+CE$37)*EffTaxRateOnValue/12,0)</f>
        <v/>
      </c>
      <c r="CF38" s="228">
        <f>IF(AND(80&gt;=MS_Initial_Closing_Start,80&lt;TaxOpStartMonth),(LandCost+CF$37)*EffTaxRateOnValue/12,0)</f>
        <v/>
      </c>
      <c r="CG38" s="228">
        <f>IF(AND(81&gt;=MS_Initial_Closing_Start,81&lt;TaxOpStartMonth),(LandCost+CG$37)*EffTaxRateOnValue/12,0)</f>
        <v/>
      </c>
      <c r="CH38" s="228">
        <f>IF(AND(82&gt;=MS_Initial_Closing_Start,82&lt;TaxOpStartMonth),(LandCost+CH$37)*EffTaxRateOnValue/12,0)</f>
        <v/>
      </c>
      <c r="CI38" s="228">
        <f>IF(AND(83&gt;=MS_Initial_Closing_Start,83&lt;TaxOpStartMonth),(LandCost+CI$37)*EffTaxRateOnValue/12,0)</f>
        <v/>
      </c>
      <c r="CJ38" s="228">
        <f>IF(AND(84&gt;=MS_Initial_Closing_Start,84&lt;TaxOpStartMonth),(LandCost+CJ$37)*EffTaxRateOnValue/12,0)</f>
        <v/>
      </c>
      <c r="CK38" s="228">
        <f>IF(AND(85&gt;=MS_Initial_Closing_Start,85&lt;TaxOpStartMonth),(LandCost+CK$37)*EffTaxRateOnValue/12,0)</f>
        <v/>
      </c>
      <c r="CL38" s="228">
        <f>IF(AND(86&gt;=MS_Initial_Closing_Start,86&lt;TaxOpStartMonth),(LandCost+CL$37)*EffTaxRateOnValue/12,0)</f>
        <v/>
      </c>
      <c r="CM38" s="228">
        <f>IF(AND(87&gt;=MS_Initial_Closing_Start,87&lt;TaxOpStartMonth),(LandCost+CM$37)*EffTaxRateOnValue/12,0)</f>
        <v/>
      </c>
      <c r="CN38" s="228">
        <f>IF(AND(88&gt;=MS_Initial_Closing_Start,88&lt;TaxOpStartMonth),(LandCost+CN$37)*EffTaxRateOnValue/12,0)</f>
        <v/>
      </c>
      <c r="CO38" s="228">
        <f>IF(AND(89&gt;=MS_Initial_Closing_Start,89&lt;TaxOpStartMonth),(LandCost+CO$37)*EffTaxRateOnValue/12,0)</f>
        <v/>
      </c>
      <c r="CP38" s="228">
        <f>IF(AND(90&gt;=MS_Initial_Closing_Start,90&lt;TaxOpStartMonth),(LandCost+CP$37)*EffTaxRateOnValue/12,0)</f>
        <v/>
      </c>
      <c r="CQ38" s="228">
        <f>IF(AND(91&gt;=MS_Initial_Closing_Start,91&lt;TaxOpStartMonth),(LandCost+CQ$37)*EffTaxRateOnValue/12,0)</f>
        <v/>
      </c>
      <c r="CR38" s="228">
        <f>IF(AND(92&gt;=MS_Initial_Closing_Start,92&lt;TaxOpStartMonth),(LandCost+CR$37)*EffTaxRateOnValue/12,0)</f>
        <v/>
      </c>
      <c r="CS38" s="228">
        <f>IF(AND(93&gt;=MS_Initial_Closing_Start,93&lt;TaxOpStartMonth),(LandCost+CS$37)*EffTaxRateOnValue/12,0)</f>
        <v/>
      </c>
      <c r="CT38" s="228">
        <f>IF(AND(94&gt;=MS_Initial_Closing_Start,94&lt;TaxOpStartMonth),(LandCost+CT$37)*EffTaxRateOnValue/12,0)</f>
        <v/>
      </c>
      <c r="CU38" s="228">
        <f>IF(AND(95&gt;=MS_Initial_Closing_Start,95&lt;TaxOpStartMonth),(LandCost+CU$37)*EffTaxRateOnValue/12,0)</f>
        <v/>
      </c>
      <c r="CV38" s="228">
        <f>IF(AND(96&gt;=MS_Initial_Closing_Start,96&lt;TaxOpStartMonth),(LandCost+CV$37)*EffTaxRateOnValue/12,0)</f>
        <v/>
      </c>
      <c r="CW38" s="228">
        <f>IF(AND(97&gt;=MS_Initial_Closing_Start,97&lt;TaxOpStartMonth),(LandCost+CW$37)*EffTaxRateOnValue/12,0)</f>
        <v/>
      </c>
      <c r="CX38" s="228">
        <f>IF(AND(98&gt;=MS_Initial_Closing_Start,98&lt;TaxOpStartMonth),(LandCost+CX$37)*EffTaxRateOnValue/12,0)</f>
        <v/>
      </c>
      <c r="CY38" s="228">
        <f>IF(AND(99&gt;=MS_Initial_Closing_Start,99&lt;TaxOpStartMonth),(LandCost+CY$37)*EffTaxRateOnValue/12,0)</f>
        <v/>
      </c>
      <c r="CZ38" s="228">
        <f>IF(AND(100&gt;=MS_Initial_Closing_Start,100&lt;TaxOpStartMonth),(LandCost+CZ$37)*EffTaxRateOnValue/12,0)</f>
        <v/>
      </c>
      <c r="DA38" s="228">
        <f>IF(AND(101&gt;=MS_Initial_Closing_Start,101&lt;TaxOpStartMonth),(LandCost+DA$37)*EffTaxRateOnValue/12,0)</f>
        <v/>
      </c>
      <c r="DB38" s="228">
        <f>IF(AND(102&gt;=MS_Initial_Closing_Start,102&lt;TaxOpStartMonth),(LandCost+DB$37)*EffTaxRateOnValue/12,0)</f>
        <v/>
      </c>
      <c r="DC38" s="228">
        <f>IF(AND(103&gt;=MS_Initial_Closing_Start,103&lt;TaxOpStartMonth),(LandCost+DC$37)*EffTaxRateOnValue/12,0)</f>
        <v/>
      </c>
      <c r="DD38" s="228">
        <f>IF(AND(104&gt;=MS_Initial_Closing_Start,104&lt;TaxOpStartMonth),(LandCost+DD$37)*EffTaxRateOnValue/12,0)</f>
        <v/>
      </c>
      <c r="DE38" s="228">
        <f>IF(AND(105&gt;=MS_Initial_Closing_Start,105&lt;TaxOpStartMonth),(LandCost+DE$37)*EffTaxRateOnValue/12,0)</f>
        <v/>
      </c>
      <c r="DF38" s="228">
        <f>IF(AND(106&gt;=MS_Initial_Closing_Start,106&lt;TaxOpStartMonth),(LandCost+DF$37)*EffTaxRateOnValue/12,0)</f>
        <v/>
      </c>
      <c r="DG38" s="228">
        <f>IF(AND(107&gt;=MS_Initial_Closing_Start,107&lt;TaxOpStartMonth),(LandCost+DG$37)*EffTaxRateOnValue/12,0)</f>
        <v/>
      </c>
      <c r="DH38" s="228">
        <f>IF(AND(108&gt;=MS_Initial_Closing_Start,108&lt;TaxOpStartMonth),(LandCost+DH$37)*EffTaxRateOnValue/12,0)</f>
        <v/>
      </c>
      <c r="DI38" s="228">
        <f>IF(AND(109&gt;=MS_Initial_Closing_Start,109&lt;TaxOpStartMonth),(LandCost+DI$37)*EffTaxRateOnValue/12,0)</f>
        <v/>
      </c>
      <c r="DJ38" s="228">
        <f>IF(AND(110&gt;=MS_Initial_Closing_Start,110&lt;TaxOpStartMonth),(LandCost+DJ$37)*EffTaxRateOnValue/12,0)</f>
        <v/>
      </c>
      <c r="DK38" s="228">
        <f>IF(AND(111&gt;=MS_Initial_Closing_Start,111&lt;TaxOpStartMonth),(LandCost+DK$37)*EffTaxRateOnValue/12,0)</f>
        <v/>
      </c>
      <c r="DL38" s="228">
        <f>IF(AND(112&gt;=MS_Initial_Closing_Start,112&lt;TaxOpStartMonth),(LandCost+DL$37)*EffTaxRateOnValue/12,0)</f>
        <v/>
      </c>
      <c r="DM38" s="228">
        <f>IF(AND(113&gt;=MS_Initial_Closing_Start,113&lt;TaxOpStartMonth),(LandCost+DM$37)*EffTaxRateOnValue/12,0)</f>
        <v/>
      </c>
      <c r="DN38" s="228">
        <f>IF(AND(114&gt;=MS_Initial_Closing_Start,114&lt;TaxOpStartMonth),(LandCost+DN$37)*EffTaxRateOnValue/12,0)</f>
        <v/>
      </c>
      <c r="DO38" s="228">
        <f>IF(AND(115&gt;=MS_Initial_Closing_Start,115&lt;TaxOpStartMonth),(LandCost+DO$37)*EffTaxRateOnValue/12,0)</f>
        <v/>
      </c>
      <c r="DP38" s="228">
        <f>IF(AND(116&gt;=MS_Initial_Closing_Start,116&lt;TaxOpStartMonth),(LandCost+DP$37)*EffTaxRateOnValue/12,0)</f>
        <v/>
      </c>
      <c r="DQ38" s="228">
        <f>IF(AND(117&gt;=MS_Initial_Closing_Start,117&lt;TaxOpStartMonth),(LandCost+DQ$37)*EffTaxRateOnValue/12,0)</f>
        <v/>
      </c>
      <c r="DR38" s="228">
        <f>IF(AND(118&gt;=MS_Initial_Closing_Start,118&lt;TaxOpStartMonth),(LandCost+DR$37)*EffTaxRateOnValue/12,0)</f>
        <v/>
      </c>
      <c r="DS38" s="228">
        <f>IF(AND(119&gt;=MS_Initial_Closing_Start,119&lt;TaxOpStartMonth),(LandCost+DS$37)*EffTaxRateOnValue/12,0)</f>
        <v/>
      </c>
      <c r="DT38" s="228">
        <f>IF(AND(120&gt;=MS_Initial_Closing_Start,120&lt;TaxOpStartMonth),(LandCost+DT$37)*EffTaxRateOnValue/12,0)</f>
        <v/>
      </c>
      <c r="DU38" s="228">
        <f>IF(AND(121&gt;=MS_Initial_Closing_Start,121&lt;TaxOpStartMonth),(LandCost+DU$37)*EffTaxRateOnValue/12,0)</f>
        <v/>
      </c>
      <c r="DV38" s="228">
        <f>IF(AND(122&gt;=MS_Initial_Closing_Start,122&lt;TaxOpStartMonth),(LandCost+DV$37)*EffTaxRateOnValue/12,0)</f>
        <v/>
      </c>
      <c r="DW38" s="228">
        <f>IF(AND(123&gt;=MS_Initial_Closing_Start,123&lt;TaxOpStartMonth),(LandCost+DW$37)*EffTaxRateOnValue/12,0)</f>
        <v/>
      </c>
      <c r="DX38" s="228">
        <f>IF(AND(124&gt;=MS_Initial_Closing_Start,124&lt;TaxOpStartMonth),(LandCost+DX$37)*EffTaxRateOnValue/12,0)</f>
        <v/>
      </c>
      <c r="DY38" s="228">
        <f>IF(AND(125&gt;=MS_Initial_Closing_Start,125&lt;TaxOpStartMonth),(LandCost+DY$37)*EffTaxRateOnValue/12,0)</f>
        <v/>
      </c>
      <c r="DZ38" s="228">
        <f>IF(AND(126&gt;=MS_Initial_Closing_Start,126&lt;TaxOpStartMonth),(LandCost+DZ$37)*EffTaxRateOnValue/12,0)</f>
        <v/>
      </c>
      <c r="EA38" s="228">
        <f>IF(AND(127&gt;=MS_Initial_Closing_Start,127&lt;TaxOpStartMonth),(LandCost+EA$37)*EffTaxRateOnValue/12,0)</f>
        <v/>
      </c>
      <c r="EB38" s="228">
        <f>IF(AND(128&gt;=MS_Initial_Closing_Start,128&lt;TaxOpStartMonth),(LandCost+EB$37)*EffTaxRateOnValue/12,0)</f>
        <v/>
      </c>
      <c r="EC38" s="228">
        <f>IF(AND(129&gt;=MS_Initial_Closing_Start,129&lt;TaxOpStartMonth),(LandCost+EC$37)*EffTaxRateOnValue/12,0)</f>
        <v/>
      </c>
      <c r="ED38" s="228">
        <f>IF(AND(130&gt;=MS_Initial_Closing_Start,130&lt;TaxOpStartMonth),(LandCost+ED$37)*EffTaxRateOnValue/12,0)</f>
        <v/>
      </c>
      <c r="EE38" s="228">
        <f>IF(AND(131&gt;=MS_Initial_Closing_Start,131&lt;TaxOpStartMonth),(LandCost+EE$37)*EffTaxRateOnValue/12,0)</f>
        <v/>
      </c>
      <c r="EF38" s="228">
        <f>IF(AND(132&gt;=MS_Initial_Closing_Start,132&lt;TaxOpStartMonth),(LandCost+EF$37)*EffTaxRateOnValue/12,0)</f>
        <v/>
      </c>
      <c r="EG38" s="228">
        <f>IF(AND(133&gt;=MS_Initial_Closing_Start,133&lt;TaxOpStartMonth),(LandCost+EG$37)*EffTaxRateOnValue/12,0)</f>
        <v/>
      </c>
      <c r="EH38" s="228">
        <f>IF(AND(134&gt;=MS_Initial_Closing_Start,134&lt;TaxOpStartMonth),(LandCost+EH$37)*EffTaxRateOnValue/12,0)</f>
        <v/>
      </c>
      <c r="EI38" s="228">
        <f>IF(AND(135&gt;=MS_Initial_Closing_Start,135&lt;TaxOpStartMonth),(LandCost+EI$37)*EffTaxRateOnValue/12,0)</f>
        <v/>
      </c>
      <c r="EJ38" s="228">
        <f>IF(AND(136&gt;=MS_Initial_Closing_Start,136&lt;TaxOpStartMonth),(LandCost+EJ$37)*EffTaxRateOnValue/12,0)</f>
        <v/>
      </c>
      <c r="EK38" s="228">
        <f>IF(AND(137&gt;=MS_Initial_Closing_Start,137&lt;TaxOpStartMonth),(LandCost+EK$37)*EffTaxRateOnValue/12,0)</f>
        <v/>
      </c>
      <c r="EL38" s="228">
        <f>IF(AND(138&gt;=MS_Initial_Closing_Start,138&lt;TaxOpStartMonth),(LandCost+EL$37)*EffTaxRateOnValue/12,0)</f>
        <v/>
      </c>
      <c r="EM38" s="228">
        <f>IF(AND(139&gt;=MS_Initial_Closing_Start,139&lt;TaxOpStartMonth),(LandCost+EM$37)*EffTaxRateOnValue/12,0)</f>
        <v/>
      </c>
      <c r="EN38" s="228">
        <f>IF(AND(140&gt;=MS_Initial_Closing_Start,140&lt;TaxOpStartMonth),(LandCost+EN$37)*EffTaxRateOnValue/12,0)</f>
        <v/>
      </c>
      <c r="EO38" s="228">
        <f>IF(AND(141&gt;=MS_Initial_Closing_Start,141&lt;TaxOpStartMonth),(LandCost+EO$37)*EffTaxRateOnValue/12,0)</f>
        <v/>
      </c>
      <c r="EP38" s="228">
        <f>IF(AND(142&gt;=MS_Initial_Closing_Start,142&lt;TaxOpStartMonth),(LandCost+EP$37)*EffTaxRateOnValue/12,0)</f>
        <v/>
      </c>
      <c r="EQ38" s="228">
        <f>IF(AND(143&gt;=MS_Initial_Closing_Start,143&lt;TaxOpStartMonth),(LandCost+EQ$37)*EffTaxRateOnValue/12,0)</f>
        <v/>
      </c>
      <c r="ER38" s="228">
        <f>IF(AND(144&gt;=MS_Initial_Closing_Start,144&lt;TaxOpStartMonth),(LandCost+ER$37)*EffTaxRateOnValue/12,0)</f>
        <v/>
      </c>
      <c r="ES38" s="228">
        <f>IF(AND(145&gt;=MS_Initial_Closing_Start,145&lt;TaxOpStartMonth),(LandCost+ES$37)*EffTaxRateOnValue/12,0)</f>
        <v/>
      </c>
      <c r="ET38" s="228">
        <f>IF(AND(146&gt;=MS_Initial_Closing_Start,146&lt;TaxOpStartMonth),(LandCost+ET$37)*EffTaxRateOnValue/12,0)</f>
        <v/>
      </c>
      <c r="EU38" s="228">
        <f>IF(AND(147&gt;=MS_Initial_Closing_Start,147&lt;TaxOpStartMonth),(LandCost+EU$37)*EffTaxRateOnValue/12,0)</f>
        <v/>
      </c>
      <c r="EV38" s="228">
        <f>IF(AND(148&gt;=MS_Initial_Closing_Start,148&lt;TaxOpStartMonth),(LandCost+EV$37)*EffTaxRateOnValue/12,0)</f>
        <v/>
      </c>
      <c r="EW38" s="228">
        <f>IF(AND(149&gt;=MS_Initial_Closing_Start,149&lt;TaxOpStartMonth),(LandCost+EW$37)*EffTaxRateOnValue/12,0)</f>
        <v/>
      </c>
      <c r="EX38" s="228">
        <f>IF(AND(150&gt;=MS_Initial_Closing_Start,150&lt;TaxOpStartMonth),(LandCost+EX$37)*EffTaxRateOnValue/12,0)</f>
        <v/>
      </c>
      <c r="EY38" s="228">
        <f>IF(AND(151&gt;=MS_Initial_Closing_Start,151&lt;TaxOpStartMonth),(LandCost+EY$37)*EffTaxRateOnValue/12,0)</f>
        <v/>
      </c>
      <c r="EZ38" s="228">
        <f>IF(AND(152&gt;=MS_Initial_Closing_Start,152&lt;TaxOpStartMonth),(LandCost+EZ$37)*EffTaxRateOnValue/12,0)</f>
        <v/>
      </c>
      <c r="FA38" s="228">
        <f>IF(AND(153&gt;=MS_Initial_Closing_Start,153&lt;TaxOpStartMonth),(LandCost+FA$37)*EffTaxRateOnValue/12,0)</f>
        <v/>
      </c>
      <c r="FB38" s="228">
        <f>IF(AND(154&gt;=MS_Initial_Closing_Start,154&lt;TaxOpStartMonth),(LandCost+FB$37)*EffTaxRateOnValue/12,0)</f>
        <v/>
      </c>
      <c r="FC38" s="228">
        <f>IF(AND(155&gt;=MS_Initial_Closing_Start,155&lt;TaxOpStartMonth),(LandCost+FC$37)*EffTaxRateOnValue/12,0)</f>
        <v/>
      </c>
      <c r="FD38" s="228">
        <f>IF(AND(156&gt;=MS_Initial_Closing_Start,156&lt;TaxOpStartMonth),(LandCost+FD$37)*EffTaxRateOnValue/12,0)</f>
        <v/>
      </c>
      <c r="FE38" s="228">
        <f>IF(AND(157&gt;=MS_Initial_Closing_Start,157&lt;TaxOpStartMonth),(LandCost+FE$37)*EffTaxRateOnValue/12,0)</f>
        <v/>
      </c>
      <c r="FF38" s="228">
        <f>IF(AND(158&gt;=MS_Initial_Closing_Start,158&lt;TaxOpStartMonth),(LandCost+FF$37)*EffTaxRateOnValue/12,0)</f>
        <v/>
      </c>
      <c r="FG38" s="228">
        <f>IF(AND(159&gt;=MS_Initial_Closing_Start,159&lt;TaxOpStartMonth),(LandCost+FG$37)*EffTaxRateOnValue/12,0)</f>
        <v/>
      </c>
      <c r="FH38" s="228">
        <f>IF(AND(160&gt;=MS_Initial_Closing_Start,160&lt;TaxOpStartMonth),(LandCost+FH$37)*EffTaxRateOnValue/12,0)</f>
        <v/>
      </c>
      <c r="FI38" s="228">
        <f>IF(AND(161&gt;=MS_Initial_Closing_Start,161&lt;TaxOpStartMonth),(LandCost+FI$37)*EffTaxRateOnValue/12,0)</f>
        <v/>
      </c>
      <c r="FJ38" s="228">
        <f>IF(AND(162&gt;=MS_Initial_Closing_Start,162&lt;TaxOpStartMonth),(LandCost+FJ$37)*EffTaxRateOnValue/12,0)</f>
        <v/>
      </c>
      <c r="FK38" s="228">
        <f>IF(AND(163&gt;=MS_Initial_Closing_Start,163&lt;TaxOpStartMonth),(LandCost+FK$37)*EffTaxRateOnValue/12,0)</f>
        <v/>
      </c>
      <c r="FL38" s="228">
        <f>IF(AND(164&gt;=MS_Initial_Closing_Start,164&lt;TaxOpStartMonth),(LandCost+FL$37)*EffTaxRateOnValue/12,0)</f>
        <v/>
      </c>
      <c r="FM38" s="228">
        <f>IF(AND(165&gt;=MS_Initial_Closing_Start,165&lt;TaxOpStartMonth),(LandCost+FM$37)*EffTaxRateOnValue/12,0)</f>
        <v/>
      </c>
      <c r="FN38" s="228">
        <f>IF(AND(166&gt;=MS_Initial_Closing_Start,166&lt;TaxOpStartMonth),(LandCost+FN$37)*EffTaxRateOnValue/12,0)</f>
        <v/>
      </c>
      <c r="FO38" s="228">
        <f>IF(AND(167&gt;=MS_Initial_Closing_Start,167&lt;TaxOpStartMonth),(LandCost+FO$37)*EffTaxRateOnValue/12,0)</f>
        <v/>
      </c>
      <c r="FP38" s="228">
        <f>IF(AND(168&gt;=MS_Initial_Closing_Start,168&lt;TaxOpStartMonth),(LandCost+FP$37)*EffTaxRateOnValue/12,0)</f>
        <v/>
      </c>
      <c r="FQ38" s="228">
        <f>IF(AND(169&gt;=MS_Initial_Closing_Start,169&lt;TaxOpStartMonth),(LandCost+FQ$37)*EffTaxRateOnValue/12,0)</f>
        <v/>
      </c>
      <c r="FR38" s="228">
        <f>IF(AND(170&gt;=MS_Initial_Closing_Start,170&lt;TaxOpStartMonth),(LandCost+FR$37)*EffTaxRateOnValue/12,0)</f>
        <v/>
      </c>
      <c r="FS38" s="228">
        <f>IF(AND(171&gt;=MS_Initial_Closing_Start,171&lt;TaxOpStartMonth),(LandCost+FS$37)*EffTaxRateOnValue/12,0)</f>
        <v/>
      </c>
      <c r="FT38" s="228">
        <f>IF(AND(172&gt;=MS_Initial_Closing_Start,172&lt;TaxOpStartMonth),(LandCost+FT$37)*EffTaxRateOnValue/12,0)</f>
        <v/>
      </c>
      <c r="FU38" s="228">
        <f>IF(AND(173&gt;=MS_Initial_Closing_Start,173&lt;TaxOpStartMonth),(LandCost+FU$37)*EffTaxRateOnValue/12,0)</f>
        <v/>
      </c>
      <c r="FV38" s="228">
        <f>IF(AND(174&gt;=MS_Initial_Closing_Start,174&lt;TaxOpStartMonth),(LandCost+FV$37)*EffTaxRateOnValue/12,0)</f>
        <v/>
      </c>
      <c r="FW38" s="228">
        <f>IF(AND(175&gt;=MS_Initial_Closing_Start,175&lt;TaxOpStartMonth),(LandCost+FW$37)*EffTaxRateOnValue/12,0)</f>
        <v/>
      </c>
      <c r="FX38" s="228">
        <f>IF(AND(176&gt;=MS_Initial_Closing_Start,176&lt;TaxOpStartMonth),(LandCost+FX$37)*EffTaxRateOnValue/12,0)</f>
        <v/>
      </c>
      <c r="FY38" s="228">
        <f>IF(AND(177&gt;=MS_Initial_Closing_Start,177&lt;TaxOpStartMonth),(LandCost+FY$37)*EffTaxRateOnValue/12,0)</f>
        <v/>
      </c>
      <c r="FZ38" s="228">
        <f>IF(AND(178&gt;=MS_Initial_Closing_Start,178&lt;TaxOpStartMonth),(LandCost+FZ$37)*EffTaxRateOnValue/12,0)</f>
        <v/>
      </c>
      <c r="GA38" s="228">
        <f>IF(AND(179&gt;=MS_Initial_Closing_Start,179&lt;TaxOpStartMonth),(LandCost+GA$37)*EffTaxRateOnValue/12,0)</f>
        <v/>
      </c>
      <c r="GB38" s="228">
        <f>IF(AND(180&gt;=MS_Initial_Closing_Start,180&lt;TaxOpStartMonth),(LandCost+GB$37)*EffTaxRateOnValue/12,0)</f>
        <v/>
      </c>
      <c r="GC38" s="228">
        <f>IF(AND(181&gt;=MS_Initial_Closing_Start,181&lt;TaxOpStartMonth),(LandCost+GC$37)*EffTaxRateOnValue/12,0)</f>
        <v/>
      </c>
      <c r="GD38" s="228">
        <f>IF(AND(182&gt;=MS_Initial_Closing_Start,182&lt;TaxOpStartMonth),(LandCost+GD$37)*EffTaxRateOnValue/12,0)</f>
        <v/>
      </c>
      <c r="GE38" s="228">
        <f>IF(AND(183&gt;=MS_Initial_Closing_Start,183&lt;TaxOpStartMonth),(LandCost+GE$37)*EffTaxRateOnValue/12,0)</f>
        <v/>
      </c>
      <c r="GF38" s="228">
        <f>IF(AND(184&gt;=MS_Initial_Closing_Start,184&lt;TaxOpStartMonth),(LandCost+GF$37)*EffTaxRateOnValue/12,0)</f>
        <v/>
      </c>
      <c r="GG38" s="228">
        <f>IF(AND(185&gt;=MS_Initial_Closing_Start,185&lt;TaxOpStartMonth),(LandCost+GG$37)*EffTaxRateOnValue/12,0)</f>
        <v/>
      </c>
      <c r="GH38" s="228">
        <f>IF(AND(186&gt;=MS_Initial_Closing_Start,186&lt;TaxOpStartMonth),(LandCost+GH$37)*EffTaxRateOnValue/12,0)</f>
        <v/>
      </c>
      <c r="GI38" s="228">
        <f>IF(AND(187&gt;=MS_Initial_Closing_Start,187&lt;TaxOpStartMonth),(LandCost+GI$37)*EffTaxRateOnValue/12,0)</f>
        <v/>
      </c>
      <c r="GJ38" s="228">
        <f>IF(AND(188&gt;=MS_Initial_Closing_Start,188&lt;TaxOpStartMonth),(LandCost+GJ$37)*EffTaxRateOnValue/12,0)</f>
        <v/>
      </c>
      <c r="GK38" s="228">
        <f>IF(AND(189&gt;=MS_Initial_Closing_Start,189&lt;TaxOpStartMonth),(LandCost+GK$37)*EffTaxRateOnValue/12,0)</f>
        <v/>
      </c>
      <c r="GL38" s="228">
        <f>IF(AND(190&gt;=MS_Initial_Closing_Start,190&lt;TaxOpStartMonth),(LandCost+GL$37)*EffTaxRateOnValue/12,0)</f>
        <v/>
      </c>
      <c r="GM38" s="228">
        <f>IF(AND(191&gt;=MS_Initial_Closing_Start,191&lt;TaxOpStartMonth),(LandCost+GM$37)*EffTaxRateOnValue/12,0)</f>
        <v/>
      </c>
      <c r="GN38" s="228">
        <f>IF(AND(192&gt;=MS_Initial_Closing_Start,192&lt;TaxOpStartMonth),(LandCost+GN$37)*EffTaxRateOnValue/12,0)</f>
        <v/>
      </c>
      <c r="GO38" s="228">
        <f>IF(AND(193&gt;=MS_Initial_Closing_Start,193&lt;TaxOpStartMonth),(LandCost+GO$37)*EffTaxRateOnValue/12,0)</f>
        <v/>
      </c>
      <c r="GP38" s="228">
        <f>IF(AND(194&gt;=MS_Initial_Closing_Start,194&lt;TaxOpStartMonth),(LandCost+GP$37)*EffTaxRateOnValue/12,0)</f>
        <v/>
      </c>
      <c r="GQ38" s="228">
        <f>IF(AND(195&gt;=MS_Initial_Closing_Start,195&lt;TaxOpStartMonth),(LandCost+GQ$37)*EffTaxRateOnValue/12,0)</f>
        <v/>
      </c>
      <c r="GR38" s="228">
        <f>IF(AND(196&gt;=MS_Initial_Closing_Start,196&lt;TaxOpStartMonth),(LandCost+GR$37)*EffTaxRateOnValue/12,0)</f>
        <v/>
      </c>
      <c r="GS38" s="228">
        <f>IF(AND(197&gt;=MS_Initial_Closing_Start,197&lt;TaxOpStartMonth),(LandCost+GS$37)*EffTaxRateOnValue/12,0)</f>
        <v/>
      </c>
      <c r="GT38" s="228">
        <f>IF(AND(198&gt;=MS_Initial_Closing_Start,198&lt;TaxOpStartMonth),(LandCost+GT$37)*EffTaxRateOnValue/12,0)</f>
        <v/>
      </c>
      <c r="GU38" s="228">
        <f>IF(AND(199&gt;=MS_Initial_Closing_Start,199&lt;TaxOpStartMonth),(LandCost+GU$37)*EffTaxRateOnValue/12,0)</f>
        <v/>
      </c>
      <c r="GV38" s="228">
        <f>IF(AND(200&gt;=MS_Initial_Closing_Start,200&lt;TaxOpStartMonth),(LandCost+GV$37)*EffTaxRateOnValue/12,0)</f>
        <v/>
      </c>
      <c r="GW38" s="228">
        <f>IF(AND(201&gt;=MS_Initial_Closing_Start,201&lt;TaxOpStartMonth),(LandCost+GW$37)*EffTaxRateOnValue/12,0)</f>
        <v/>
      </c>
      <c r="GX38" s="228">
        <f>IF(AND(202&gt;=MS_Initial_Closing_Start,202&lt;TaxOpStartMonth),(LandCost+GX$37)*EffTaxRateOnValue/12,0)</f>
        <v/>
      </c>
      <c r="GY38" s="228">
        <f>IF(AND(203&gt;=MS_Initial_Closing_Start,203&lt;TaxOpStartMonth),(LandCost+GY$37)*EffTaxRateOnValue/12,0)</f>
        <v/>
      </c>
      <c r="GZ38" s="228">
        <f>IF(AND(204&gt;=MS_Initial_Closing_Start,204&lt;TaxOpStartMonth),(LandCost+GZ$37)*EffTaxRateOnValue/12,0)</f>
        <v/>
      </c>
      <c r="HA38" s="228">
        <f>IF(AND(205&gt;=MS_Initial_Closing_Start,205&lt;TaxOpStartMonth),(LandCost+HA$37)*EffTaxRateOnValue/12,0)</f>
        <v/>
      </c>
      <c r="HB38" s="228">
        <f>IF(AND(206&gt;=MS_Initial_Closing_Start,206&lt;TaxOpStartMonth),(LandCost+HB$37)*EffTaxRateOnValue/12,0)</f>
        <v/>
      </c>
      <c r="HC38" s="228">
        <f>IF(AND(207&gt;=MS_Initial_Closing_Start,207&lt;TaxOpStartMonth),(LandCost+HC$37)*EffTaxRateOnValue/12,0)</f>
        <v/>
      </c>
      <c r="HD38" s="228">
        <f>IF(AND(208&gt;=MS_Initial_Closing_Start,208&lt;TaxOpStartMonth),(LandCost+HD$37)*EffTaxRateOnValue/12,0)</f>
        <v/>
      </c>
      <c r="HE38" s="228">
        <f>IF(AND(209&gt;=MS_Initial_Closing_Start,209&lt;TaxOpStartMonth),(LandCost+HE$37)*EffTaxRateOnValue/12,0)</f>
        <v/>
      </c>
      <c r="HF38" s="228">
        <f>IF(AND(210&gt;=MS_Initial_Closing_Start,210&lt;TaxOpStartMonth),(LandCost+HF$37)*EffTaxRateOnValue/12,0)</f>
        <v/>
      </c>
      <c r="HG38" s="228">
        <f>IF(AND(211&gt;=MS_Initial_Closing_Start,211&lt;TaxOpStartMonth),(LandCost+HG$37)*EffTaxRateOnValue/12,0)</f>
        <v/>
      </c>
      <c r="HH38" s="228">
        <f>IF(AND(212&gt;=MS_Initial_Closing_Start,212&lt;TaxOpStartMonth),(LandCost+HH$37)*EffTaxRateOnValue/12,0)</f>
        <v/>
      </c>
      <c r="HI38" s="228">
        <f>IF(AND(213&gt;=MS_Initial_Closing_Start,213&lt;TaxOpStartMonth),(LandCost+HI$37)*EffTaxRateOnValue/12,0)</f>
        <v/>
      </c>
      <c r="HJ38" s="228">
        <f>IF(AND(214&gt;=MS_Initial_Closing_Start,214&lt;TaxOpStartMonth),(LandCost+HJ$37)*EffTaxRateOnValue/12,0)</f>
        <v/>
      </c>
      <c r="HK38" s="228">
        <f>IF(AND(215&gt;=MS_Initial_Closing_Start,215&lt;TaxOpStartMonth),(LandCost+HK$37)*EffTaxRateOnValue/12,0)</f>
        <v/>
      </c>
      <c r="HL38" s="228">
        <f>IF(AND(216&gt;=MS_Initial_Closing_Start,216&lt;TaxOpStartMonth),(LandCost+HL$37)*EffTaxRateOnValue/12,0)</f>
        <v/>
      </c>
      <c r="HM38" s="228">
        <f>IF(AND(217&gt;=MS_Initial_Closing_Start,217&lt;TaxOpStartMonth),(LandCost+HM$37)*EffTaxRateOnValue/12,0)</f>
        <v/>
      </c>
      <c r="HN38" s="228">
        <f>IF(AND(218&gt;=MS_Initial_Closing_Start,218&lt;TaxOpStartMonth),(LandCost+HN$37)*EffTaxRateOnValue/12,0)</f>
        <v/>
      </c>
      <c r="HO38" s="228">
        <f>IF(AND(219&gt;=MS_Initial_Closing_Start,219&lt;TaxOpStartMonth),(LandCost+HO$37)*EffTaxRateOnValue/12,0)</f>
        <v/>
      </c>
      <c r="HP38" s="228">
        <f>IF(AND(220&gt;=MS_Initial_Closing_Start,220&lt;TaxOpStartMonth),(LandCost+HP$37)*EffTaxRateOnValue/12,0)</f>
        <v/>
      </c>
      <c r="HQ38" s="228">
        <f>IF(AND(221&gt;=MS_Initial_Closing_Start,221&lt;TaxOpStartMonth),(LandCost+HQ$37)*EffTaxRateOnValue/12,0)</f>
        <v/>
      </c>
      <c r="HR38" s="228">
        <f>IF(AND(222&gt;=MS_Initial_Closing_Start,222&lt;TaxOpStartMonth),(LandCost+HR$37)*EffTaxRateOnValue/12,0)</f>
        <v/>
      </c>
      <c r="HS38" s="228">
        <f>IF(AND(223&gt;=MS_Initial_Closing_Start,223&lt;TaxOpStartMonth),(LandCost+HS$37)*EffTaxRateOnValue/12,0)</f>
        <v/>
      </c>
      <c r="HT38" s="228">
        <f>IF(AND(224&gt;=MS_Initial_Closing_Start,224&lt;TaxOpStartMonth),(LandCost+HT$37)*EffTaxRateOnValue/12,0)</f>
        <v/>
      </c>
      <c r="HU38" s="228">
        <f>IF(AND(225&gt;=MS_Initial_Closing_Start,225&lt;TaxOpStartMonth),(LandCost+HU$37)*EffTaxRateOnValue/12,0)</f>
        <v/>
      </c>
      <c r="HV38" s="228">
        <f>IF(AND(226&gt;=MS_Initial_Closing_Start,226&lt;TaxOpStartMonth),(LandCost+HV$37)*EffTaxRateOnValue/12,0)</f>
        <v/>
      </c>
      <c r="HW38" s="228">
        <f>IF(AND(227&gt;=MS_Initial_Closing_Start,227&lt;TaxOpStartMonth),(LandCost+HW$37)*EffTaxRateOnValue/12,0)</f>
        <v/>
      </c>
      <c r="HX38" s="228">
        <f>IF(AND(228&gt;=MS_Initial_Closing_Start,228&lt;TaxOpStartMonth),(LandCost+HX$37)*EffTaxRateOnValue/12,0)</f>
        <v/>
      </c>
      <c r="HY38" s="228">
        <f>IF(AND(229&gt;=MS_Initial_Closing_Start,229&lt;TaxOpStartMonth),(LandCost+HY$37)*EffTaxRateOnValue/12,0)</f>
        <v/>
      </c>
      <c r="HZ38" s="228">
        <f>IF(AND(230&gt;=MS_Initial_Closing_Start,230&lt;TaxOpStartMonth),(LandCost+HZ$37)*EffTaxRateOnValue/12,0)</f>
        <v/>
      </c>
      <c r="IA38" s="228">
        <f>IF(AND(231&gt;=MS_Initial_Closing_Start,231&lt;TaxOpStartMonth),(LandCost+IA$37)*EffTaxRateOnValue/12,0)</f>
        <v/>
      </c>
      <c r="IB38" s="228">
        <f>IF(AND(232&gt;=MS_Initial_Closing_Start,232&lt;TaxOpStartMonth),(LandCost+IB$37)*EffTaxRateOnValue/12,0)</f>
        <v/>
      </c>
      <c r="IC38" s="228">
        <f>IF(AND(233&gt;=MS_Initial_Closing_Start,233&lt;TaxOpStartMonth),(LandCost+IC$37)*EffTaxRateOnValue/12,0)</f>
        <v/>
      </c>
      <c r="ID38" s="228">
        <f>IF(AND(234&gt;=MS_Initial_Closing_Start,234&lt;TaxOpStartMonth),(LandCost+ID$37)*EffTaxRateOnValue/12,0)</f>
        <v/>
      </c>
      <c r="IE38" s="228">
        <f>IF(AND(235&gt;=MS_Initial_Closing_Start,235&lt;TaxOpStartMonth),(LandCost+IE$37)*EffTaxRateOnValue/12,0)</f>
        <v/>
      </c>
      <c r="IF38" s="228">
        <f>IF(AND(236&gt;=MS_Initial_Closing_Start,236&lt;TaxOpStartMonth),(LandCost+IF$37)*EffTaxRateOnValue/12,0)</f>
        <v/>
      </c>
      <c r="IG38" s="228">
        <f>IF(AND(237&gt;=MS_Initial_Closing_Start,237&lt;TaxOpStartMonth),(LandCost+IG$37)*EffTaxRateOnValue/12,0)</f>
        <v/>
      </c>
      <c r="IH38" s="228">
        <f>IF(AND(238&gt;=MS_Initial_Closing_Start,238&lt;TaxOpStartMonth),(LandCost+IH$37)*EffTaxRateOnValue/12,0)</f>
        <v/>
      </c>
      <c r="II38" s="228">
        <f>IF(AND(239&gt;=MS_Initial_Closing_Start,239&lt;TaxOpStartMonth),(LandCost+II$37)*EffTaxRateOnValue/12,0)</f>
        <v/>
      </c>
      <c r="IJ38" s="228">
        <f>IF(AND(240&gt;=MS_Initial_Closing_Start,240&lt;TaxOpStartMonth),(LandCost+IJ$37)*EffTaxRateOnValue/12,0)</f>
        <v/>
      </c>
      <c r="IK38" s="228">
        <f>IF(AND(241&gt;=MS_Initial_Closing_Start,241&lt;TaxOpStartMonth),(LandCost+IK$37)*EffTaxRateOnValue/12,0)</f>
        <v/>
      </c>
      <c r="IL38" s="228">
        <f>IF(AND(242&gt;=MS_Initial_Closing_Start,242&lt;TaxOpStartMonth),(LandCost+IL$37)*EffTaxRateOnValue/12,0)</f>
        <v/>
      </c>
      <c r="IM38" s="228">
        <f>IF(AND(243&gt;=MS_Initial_Closing_Start,243&lt;TaxOpStartMonth),(LandCost+IM$37)*EffTaxRateOnValue/12,0)</f>
        <v/>
      </c>
      <c r="IN38" s="228">
        <f>IF(AND(244&gt;=MS_Initial_Closing_Start,244&lt;TaxOpStartMonth),(LandCost+IN$37)*EffTaxRateOnValue/12,0)</f>
        <v/>
      </c>
      <c r="IO38" s="228">
        <f>IF(AND(245&gt;=MS_Initial_Closing_Start,245&lt;TaxOpStartMonth),(LandCost+IO$37)*EffTaxRateOnValue/12,0)</f>
        <v/>
      </c>
      <c r="IP38" s="228">
        <f>IF(AND(246&gt;=MS_Initial_Closing_Start,246&lt;TaxOpStartMonth),(LandCost+IP$37)*EffTaxRateOnValue/12,0)</f>
        <v/>
      </c>
      <c r="IQ38" s="228">
        <f>IF(AND(247&gt;=MS_Initial_Closing_Start,247&lt;TaxOpStartMonth),(LandCost+IQ$37)*EffTaxRateOnValue/12,0)</f>
        <v/>
      </c>
      <c r="IR38" s="228">
        <f>IF(AND(248&gt;=MS_Initial_Closing_Start,248&lt;TaxOpStartMonth),(LandCost+IR$37)*EffTaxRateOnValue/12,0)</f>
        <v/>
      </c>
      <c r="IS38" s="228">
        <f>IF(AND(249&gt;=MS_Initial_Closing_Start,249&lt;TaxOpStartMonth),(LandCost+IS$37)*EffTaxRateOnValue/12,0)</f>
        <v/>
      </c>
      <c r="IT38" s="228">
        <f>IF(AND(250&gt;=MS_Initial_Closing_Start,250&lt;TaxOpStartMonth),(LandCost+IT$37)*EffTaxRateOnValue/12,0)</f>
        <v/>
      </c>
      <c r="IU38" s="228">
        <f>IF(AND(251&gt;=MS_Initial_Closing_Start,251&lt;TaxOpStartMonth),(LandCost+IU$37)*EffTaxRateOnValue/12,0)</f>
        <v/>
      </c>
      <c r="IV38" s="228">
        <f>IF(AND(252&gt;=MS_Initial_Closing_Start,252&lt;TaxOpStartMonth),(LandCost+IV$37)*EffTaxRateOnValue/12,0)</f>
        <v/>
      </c>
      <c r="IW38" s="228">
        <f>IF(AND(253&gt;=MS_Initial_Closing_Start,253&lt;TaxOpStartMonth),(LandCost+IW$37)*EffTaxRateOnValue/12,0)</f>
        <v/>
      </c>
      <c r="IX38" s="228">
        <f>IF(AND(254&gt;=MS_Initial_Closing_Start,254&lt;TaxOpStartMonth),(LandCost+IX$37)*EffTaxRateOnValue/12,0)</f>
        <v/>
      </c>
      <c r="IY38" s="228">
        <f>IF(AND(255&gt;=MS_Initial_Closing_Start,255&lt;TaxOpStartMonth),(LandCost+IY$37)*EffTaxRateOnValue/12,0)</f>
        <v/>
      </c>
      <c r="IZ38" s="228">
        <f>IF(AND(256&gt;=MS_Initial_Closing_Start,256&lt;TaxOpStartMonth),(LandCost+IZ$37)*EffTaxRateOnValue/12,0)</f>
        <v/>
      </c>
      <c r="JA38" s="228">
        <f>IF(AND(257&gt;=MS_Initial_Closing_Start,257&lt;TaxOpStartMonth),(LandCost+JA$37)*EffTaxRateOnValue/12,0)</f>
        <v/>
      </c>
      <c r="JB38" s="228">
        <f>IF(AND(258&gt;=MS_Initial_Closing_Start,258&lt;TaxOpStartMonth),(LandCost+JB$37)*EffTaxRateOnValue/12,0)</f>
        <v/>
      </c>
      <c r="JC38" s="228">
        <f>IF(AND(259&gt;=MS_Initial_Closing_Start,259&lt;TaxOpStartMonth),(LandCost+JC$37)*EffTaxRateOnValue/12,0)</f>
        <v/>
      </c>
      <c r="JD38" s="228">
        <f>IF(AND(260&gt;=MS_Initial_Closing_Start,260&lt;TaxOpStartMonth),(LandCost+JD$37)*EffTaxRateOnValue/12,0)</f>
        <v/>
      </c>
      <c r="JE38" s="228">
        <f>IF(AND(261&gt;=MS_Initial_Closing_Start,261&lt;TaxOpStartMonth),(LandCost+JE$37)*EffTaxRateOnValue/12,0)</f>
        <v/>
      </c>
      <c r="JF38" s="228">
        <f>IF(AND(262&gt;=MS_Initial_Closing_Start,262&lt;TaxOpStartMonth),(LandCost+JF$37)*EffTaxRateOnValue/12,0)</f>
        <v/>
      </c>
      <c r="JG38" s="228">
        <f>IF(AND(263&gt;=MS_Initial_Closing_Start,263&lt;TaxOpStartMonth),(LandCost+JG$37)*EffTaxRateOnValue/12,0)</f>
        <v/>
      </c>
      <c r="JH38" s="228">
        <f>IF(AND(264&gt;=MS_Initial_Closing_Start,264&lt;TaxOpStartMonth),(LandCost+JH$37)*EffTaxRateOnValue/12,0)</f>
        <v/>
      </c>
      <c r="JI38" s="228">
        <f>IF(AND(265&gt;=MS_Initial_Closing_Start,265&lt;TaxOpStartMonth),(LandCost+JI$37)*EffTaxRateOnValue/12,0)</f>
        <v/>
      </c>
      <c r="JJ38" s="228">
        <f>IF(AND(266&gt;=MS_Initial_Closing_Start,266&lt;TaxOpStartMonth),(LandCost+JJ$37)*EffTaxRateOnValue/12,0)</f>
        <v/>
      </c>
      <c r="JK38" s="228">
        <f>IF(AND(267&gt;=MS_Initial_Closing_Start,267&lt;TaxOpStartMonth),(LandCost+JK$37)*EffTaxRateOnValue/12,0)</f>
        <v/>
      </c>
      <c r="JL38" s="228">
        <f>IF(AND(268&gt;=MS_Initial_Closing_Start,268&lt;TaxOpStartMonth),(LandCost+JL$37)*EffTaxRateOnValue/12,0)</f>
        <v/>
      </c>
      <c r="JM38" s="228">
        <f>IF(AND(269&gt;=MS_Initial_Closing_Start,269&lt;TaxOpStartMonth),(LandCost+JM$37)*EffTaxRateOnValue/12,0)</f>
        <v/>
      </c>
      <c r="JN38" s="228">
        <f>IF(AND(270&gt;=MS_Initial_Closing_Start,270&lt;TaxOpStartMonth),(LandCost+JN$37)*EffTaxRateOnValue/12,0)</f>
        <v/>
      </c>
      <c r="JO38" s="228">
        <f>IF(AND(271&gt;=MS_Initial_Closing_Start,271&lt;TaxOpStartMonth),(LandCost+JO$37)*EffTaxRateOnValue/12,0)</f>
        <v/>
      </c>
      <c r="JP38" s="228">
        <f>IF(AND(272&gt;=MS_Initial_Closing_Start,272&lt;TaxOpStartMonth),(LandCost+JP$37)*EffTaxRateOnValue/12,0)</f>
        <v/>
      </c>
      <c r="JQ38" s="228">
        <f>IF(AND(273&gt;=MS_Initial_Closing_Start,273&lt;TaxOpStartMonth),(LandCost+JQ$37)*EffTaxRateOnValue/12,0)</f>
        <v/>
      </c>
      <c r="JR38" s="228">
        <f>IF(AND(274&gt;=MS_Initial_Closing_Start,274&lt;TaxOpStartMonth),(LandCost+JR$37)*EffTaxRateOnValue/12,0)</f>
        <v/>
      </c>
      <c r="JS38" s="228">
        <f>IF(AND(275&gt;=MS_Initial_Closing_Start,275&lt;TaxOpStartMonth),(LandCost+JS$37)*EffTaxRateOnValue/12,0)</f>
        <v/>
      </c>
      <c r="JT38" s="228">
        <f>IF(AND(276&gt;=MS_Initial_Closing_Start,276&lt;TaxOpStartMonth),(LandCost+JT$37)*EffTaxRateOnValue/12,0)</f>
        <v/>
      </c>
      <c r="JU38" s="228">
        <f>IF(AND(277&gt;=MS_Initial_Closing_Start,277&lt;TaxOpStartMonth),(LandCost+JU$37)*EffTaxRateOnValue/12,0)</f>
        <v/>
      </c>
      <c r="JV38" s="228">
        <f>IF(AND(278&gt;=MS_Initial_Closing_Start,278&lt;TaxOpStartMonth),(LandCost+JV$37)*EffTaxRateOnValue/12,0)</f>
        <v/>
      </c>
      <c r="JW38" s="228">
        <f>IF(AND(279&gt;=MS_Initial_Closing_Start,279&lt;TaxOpStartMonth),(LandCost+JW$37)*EffTaxRateOnValue/12,0)</f>
        <v/>
      </c>
      <c r="JX38" s="228">
        <f>IF(AND(280&gt;=MS_Initial_Closing_Start,280&lt;TaxOpStartMonth),(LandCost+JX$37)*EffTaxRateOnValue/12,0)</f>
        <v/>
      </c>
      <c r="JY38" s="228">
        <f>IF(AND(281&gt;=MS_Initial_Closing_Start,281&lt;TaxOpStartMonth),(LandCost+JY$37)*EffTaxRateOnValue/12,0)</f>
        <v/>
      </c>
      <c r="JZ38" s="228">
        <f>IF(AND(282&gt;=MS_Initial_Closing_Start,282&lt;TaxOpStartMonth),(LandCost+JZ$37)*EffTaxRateOnValue/12,0)</f>
        <v/>
      </c>
      <c r="KA38" s="228">
        <f>IF(AND(283&gt;=MS_Initial_Closing_Start,283&lt;TaxOpStartMonth),(LandCost+KA$37)*EffTaxRateOnValue/12,0)</f>
        <v/>
      </c>
      <c r="KB38" s="228">
        <f>IF(AND(284&gt;=MS_Initial_Closing_Start,284&lt;TaxOpStartMonth),(LandCost+KB$37)*EffTaxRateOnValue/12,0)</f>
        <v/>
      </c>
      <c r="KC38" s="228">
        <f>IF(AND(285&gt;=MS_Initial_Closing_Start,285&lt;TaxOpStartMonth),(LandCost+KC$37)*EffTaxRateOnValue/12,0)</f>
        <v/>
      </c>
      <c r="KD38" s="228">
        <f>IF(AND(286&gt;=MS_Initial_Closing_Start,286&lt;TaxOpStartMonth),(LandCost+KD$37)*EffTaxRateOnValue/12,0)</f>
        <v/>
      </c>
      <c r="KE38" s="228">
        <f>IF(AND(287&gt;=MS_Initial_Closing_Start,287&lt;TaxOpStartMonth),(LandCost+KE$37)*EffTaxRateOnValue/12,0)</f>
        <v/>
      </c>
      <c r="KF38" s="228">
        <f>IF(AND(288&gt;=MS_Initial_Closing_Start,288&lt;TaxOpStartMonth),(LandCost+KF$37)*EffTaxRateOnValue/12,0)</f>
        <v/>
      </c>
      <c r="KG38" s="228">
        <f>IF(AND(289&gt;=MS_Initial_Closing_Start,289&lt;TaxOpStartMonth),(LandCost+KG$37)*EffTaxRateOnValue/12,0)</f>
        <v/>
      </c>
      <c r="KH38" s="228">
        <f>IF(AND(290&gt;=MS_Initial_Closing_Start,290&lt;TaxOpStartMonth),(LandCost+KH$37)*EffTaxRateOnValue/12,0)</f>
        <v/>
      </c>
      <c r="KI38" s="228">
        <f>IF(AND(291&gt;=MS_Initial_Closing_Start,291&lt;TaxOpStartMonth),(LandCost+KI$37)*EffTaxRateOnValue/12,0)</f>
        <v/>
      </c>
      <c r="KJ38" s="228">
        <f>IF(AND(292&gt;=MS_Initial_Closing_Start,292&lt;TaxOpStartMonth),(LandCost+KJ$37)*EffTaxRateOnValue/12,0)</f>
        <v/>
      </c>
      <c r="KK38" s="228">
        <f>IF(AND(293&gt;=MS_Initial_Closing_Start,293&lt;TaxOpStartMonth),(LandCost+KK$37)*EffTaxRateOnValue/12,0)</f>
        <v/>
      </c>
      <c r="KL38" s="228">
        <f>IF(AND(294&gt;=MS_Initial_Closing_Start,294&lt;TaxOpStartMonth),(LandCost+KL$37)*EffTaxRateOnValue/12,0)</f>
        <v/>
      </c>
      <c r="KM38" s="228">
        <f>IF(AND(295&gt;=MS_Initial_Closing_Start,295&lt;TaxOpStartMonth),(LandCost+KM$37)*EffTaxRateOnValue/12,0)</f>
        <v/>
      </c>
      <c r="KN38" s="228">
        <f>IF(AND(296&gt;=MS_Initial_Closing_Start,296&lt;TaxOpStartMonth),(LandCost+KN$37)*EffTaxRateOnValue/12,0)</f>
        <v/>
      </c>
      <c r="KO38" s="228">
        <f>IF(AND(297&gt;=MS_Initial_Closing_Start,297&lt;TaxOpStartMonth),(LandCost+KO$37)*EffTaxRateOnValue/12,0)</f>
        <v/>
      </c>
      <c r="KP38" s="228">
        <f>IF(AND(298&gt;=MS_Initial_Closing_Start,298&lt;TaxOpStartMonth),(LandCost+KP$37)*EffTaxRateOnValue/12,0)</f>
        <v/>
      </c>
      <c r="KQ38" s="228">
        <f>IF(AND(299&gt;=MS_Initial_Closing_Start,299&lt;TaxOpStartMonth),(LandCost+KQ$37)*EffTaxRateOnValue/12,0)</f>
        <v/>
      </c>
      <c r="KR38" s="228">
        <f>IF(AND(300&gt;=MS_Initial_Closing_Start,300&lt;TaxOpStartMonth),(LandCost+KR$37)*EffTaxRateOnValue/12,0)</f>
        <v/>
      </c>
      <c r="KS38" s="228">
        <f>IF(AND(301&gt;=MS_Initial_Closing_Start,301&lt;TaxOpStartMonth),(LandCost+KS$37)*EffTaxRateOnValue/12,0)</f>
        <v/>
      </c>
      <c r="KT38" s="228">
        <f>IF(AND(302&gt;=MS_Initial_Closing_Start,302&lt;TaxOpStartMonth),(LandCost+KT$37)*EffTaxRateOnValue/12,0)</f>
        <v/>
      </c>
      <c r="KU38" s="228">
        <f>IF(AND(303&gt;=MS_Initial_Closing_Start,303&lt;TaxOpStartMonth),(LandCost+KU$37)*EffTaxRateOnValue/12,0)</f>
        <v/>
      </c>
      <c r="KV38" s="228">
        <f>IF(AND(304&gt;=MS_Initial_Closing_Start,304&lt;TaxOpStartMonth),(LandCost+KV$37)*EffTaxRateOnValue/12,0)</f>
        <v/>
      </c>
      <c r="KW38" s="228">
        <f>IF(AND(305&gt;=MS_Initial_Closing_Start,305&lt;TaxOpStartMonth),(LandCost+KW$37)*EffTaxRateOnValue/12,0)</f>
        <v/>
      </c>
      <c r="KX38" s="228">
        <f>IF(AND(306&gt;=MS_Initial_Closing_Start,306&lt;TaxOpStartMonth),(LandCost+KX$37)*EffTaxRateOnValue/12,0)</f>
        <v/>
      </c>
      <c r="KY38" s="228">
        <f>IF(AND(307&gt;=MS_Initial_Closing_Start,307&lt;TaxOpStartMonth),(LandCost+KY$37)*EffTaxRateOnValue/12,0)</f>
        <v/>
      </c>
      <c r="KZ38" s="228">
        <f>IF(AND(308&gt;=MS_Initial_Closing_Start,308&lt;TaxOpStartMonth),(LandCost+KZ$37)*EffTaxRateOnValue/12,0)</f>
        <v/>
      </c>
      <c r="LA38" s="228">
        <f>IF(AND(309&gt;=MS_Initial_Closing_Start,309&lt;TaxOpStartMonth),(LandCost+LA$37)*EffTaxRateOnValue/12,0)</f>
        <v/>
      </c>
      <c r="LB38" s="228">
        <f>IF(AND(310&gt;=MS_Initial_Closing_Start,310&lt;TaxOpStartMonth),(LandCost+LB$37)*EffTaxRateOnValue/12,0)</f>
        <v/>
      </c>
      <c r="LC38" s="228">
        <f>IF(AND(311&gt;=MS_Initial_Closing_Start,311&lt;TaxOpStartMonth),(LandCost+LC$37)*EffTaxRateOnValue/12,0)</f>
        <v/>
      </c>
      <c r="LD38" s="228">
        <f>IF(AND(312&gt;=MS_Initial_Closing_Start,312&lt;TaxOpStartMonth),(LandCost+LD$37)*EffTaxRateOnValue/12,0)</f>
        <v/>
      </c>
      <c r="LE38" s="228">
        <f>IF(AND(313&gt;=MS_Initial_Closing_Start,313&lt;TaxOpStartMonth),(LandCost+LE$37)*EffTaxRateOnValue/12,0)</f>
        <v/>
      </c>
      <c r="LF38" s="228">
        <f>IF(AND(314&gt;=MS_Initial_Closing_Start,314&lt;TaxOpStartMonth),(LandCost+LF$37)*EffTaxRateOnValue/12,0)</f>
        <v/>
      </c>
      <c r="LG38" s="228">
        <f>IF(AND(315&gt;=MS_Initial_Closing_Start,315&lt;TaxOpStartMonth),(LandCost+LG$37)*EffTaxRateOnValue/12,0)</f>
        <v/>
      </c>
      <c r="LH38" s="228">
        <f>IF(AND(316&gt;=MS_Initial_Closing_Start,316&lt;TaxOpStartMonth),(LandCost+LH$37)*EffTaxRateOnValue/12,0)</f>
        <v/>
      </c>
      <c r="LI38" s="228">
        <f>IF(AND(317&gt;=MS_Initial_Closing_Start,317&lt;TaxOpStartMonth),(LandCost+LI$37)*EffTaxRateOnValue/12,0)</f>
        <v/>
      </c>
      <c r="LJ38" s="228">
        <f>IF(AND(318&gt;=MS_Initial_Closing_Start,318&lt;TaxOpStartMonth),(LandCost+LJ$37)*EffTaxRateOnValue/12,0)</f>
        <v/>
      </c>
      <c r="LK38" s="228">
        <f>IF(AND(319&gt;=MS_Initial_Closing_Start,319&lt;TaxOpStartMonth),(LandCost+LK$37)*EffTaxRateOnValue/12,0)</f>
        <v/>
      </c>
      <c r="LL38" s="228">
        <f>IF(AND(320&gt;=MS_Initial_Closing_Start,320&lt;TaxOpStartMonth),(LandCost+LL$37)*EffTaxRateOnValue/12,0)</f>
        <v/>
      </c>
      <c r="LM38" s="228">
        <f>IF(AND(321&gt;=MS_Initial_Closing_Start,321&lt;TaxOpStartMonth),(LandCost+LM$37)*EffTaxRateOnValue/12,0)</f>
        <v/>
      </c>
      <c r="LN38" s="228">
        <f>IF(AND(322&gt;=MS_Initial_Closing_Start,322&lt;TaxOpStartMonth),(LandCost+LN$37)*EffTaxRateOnValue/12,0)</f>
        <v/>
      </c>
      <c r="LO38" s="228">
        <f>IF(AND(323&gt;=MS_Initial_Closing_Start,323&lt;TaxOpStartMonth),(LandCost+LO$37)*EffTaxRateOnValue/12,0)</f>
        <v/>
      </c>
      <c r="LP38" s="228">
        <f>IF(AND(324&gt;=MS_Initial_Closing_Start,324&lt;TaxOpStartMonth),(LandCost+LP$37)*EffTaxRateOnValue/12,0)</f>
        <v/>
      </c>
      <c r="LQ38" s="228">
        <f>IF(AND(325&gt;=MS_Initial_Closing_Start,325&lt;TaxOpStartMonth),(LandCost+LQ$37)*EffTaxRateOnValue/12,0)</f>
        <v/>
      </c>
      <c r="LR38" s="228">
        <f>IF(AND(326&gt;=MS_Initial_Closing_Start,326&lt;TaxOpStartMonth),(LandCost+LR$37)*EffTaxRateOnValue/12,0)</f>
        <v/>
      </c>
      <c r="LS38" s="228">
        <f>IF(AND(327&gt;=MS_Initial_Closing_Start,327&lt;TaxOpStartMonth),(LandCost+LS$37)*EffTaxRateOnValue/12,0)</f>
        <v/>
      </c>
      <c r="LT38" s="228">
        <f>IF(AND(328&gt;=MS_Initial_Closing_Start,328&lt;TaxOpStartMonth),(LandCost+LT$37)*EffTaxRateOnValue/12,0)</f>
        <v/>
      </c>
      <c r="LU38" s="228">
        <f>IF(AND(329&gt;=MS_Initial_Closing_Start,329&lt;TaxOpStartMonth),(LandCost+LU$37)*EffTaxRateOnValue/12,0)</f>
        <v/>
      </c>
      <c r="LV38" s="228">
        <f>IF(AND(330&gt;=MS_Initial_Closing_Start,330&lt;TaxOpStartMonth),(LandCost+LV$37)*EffTaxRateOnValue/12,0)</f>
        <v/>
      </c>
      <c r="LW38" s="228">
        <f>IF(AND(331&gt;=MS_Initial_Closing_Start,331&lt;TaxOpStartMonth),(LandCost+LW$37)*EffTaxRateOnValue/12,0)</f>
        <v/>
      </c>
      <c r="LX38" s="228">
        <f>IF(AND(332&gt;=MS_Initial_Closing_Start,332&lt;TaxOpStartMonth),(LandCost+LX$37)*EffTaxRateOnValue/12,0)</f>
        <v/>
      </c>
      <c r="LY38" s="228">
        <f>IF(AND(333&gt;=MS_Initial_Closing_Start,333&lt;TaxOpStartMonth),(LandCost+LY$37)*EffTaxRateOnValue/12,0)</f>
        <v/>
      </c>
      <c r="LZ38" s="228">
        <f>IF(AND(334&gt;=MS_Initial_Closing_Start,334&lt;TaxOpStartMonth),(LandCost+LZ$37)*EffTaxRateOnValue/12,0)</f>
        <v/>
      </c>
      <c r="MA38" s="228">
        <f>IF(AND(335&gt;=MS_Initial_Closing_Start,335&lt;TaxOpStartMonth),(LandCost+MA$37)*EffTaxRateOnValue/12,0)</f>
        <v/>
      </c>
      <c r="MB38" s="228">
        <f>IF(AND(336&gt;=MS_Initial_Closing_Start,336&lt;TaxOpStartMonth),(LandCost+MB$37)*EffTaxRateOnValue/12,0)</f>
        <v/>
      </c>
      <c r="MC38" s="228">
        <f>IF(AND(337&gt;=MS_Initial_Closing_Start,337&lt;TaxOpStartMonth),(LandCost+MC$37)*EffTaxRateOnValue/12,0)</f>
        <v/>
      </c>
      <c r="MD38" s="228">
        <f>IF(AND(338&gt;=MS_Initial_Closing_Start,338&lt;TaxOpStartMonth),(LandCost+MD$37)*EffTaxRateOnValue/12,0)</f>
        <v/>
      </c>
      <c r="ME38" s="228">
        <f>IF(AND(339&gt;=MS_Initial_Closing_Start,339&lt;TaxOpStartMonth),(LandCost+ME$37)*EffTaxRateOnValue/12,0)</f>
        <v/>
      </c>
      <c r="MF38" s="228">
        <f>IF(AND(340&gt;=MS_Initial_Closing_Start,340&lt;TaxOpStartMonth),(LandCost+MF$37)*EffTaxRateOnValue/12,0)</f>
        <v/>
      </c>
      <c r="MG38" s="228">
        <f>IF(AND(341&gt;=MS_Initial_Closing_Start,341&lt;TaxOpStartMonth),(LandCost+MG$37)*EffTaxRateOnValue/12,0)</f>
        <v/>
      </c>
      <c r="MH38" s="228">
        <f>IF(AND(342&gt;=MS_Initial_Closing_Start,342&lt;TaxOpStartMonth),(LandCost+MH$37)*EffTaxRateOnValue/12,0)</f>
        <v/>
      </c>
      <c r="MI38" s="228">
        <f>IF(AND(343&gt;=MS_Initial_Closing_Start,343&lt;TaxOpStartMonth),(LandCost+MI$37)*EffTaxRateOnValue/12,0)</f>
        <v/>
      </c>
      <c r="MJ38" s="228">
        <f>IF(AND(344&gt;=MS_Initial_Closing_Start,344&lt;TaxOpStartMonth),(LandCost+MJ$37)*EffTaxRateOnValue/12,0)</f>
        <v/>
      </c>
      <c r="MK38" s="228">
        <f>IF(AND(345&gt;=MS_Initial_Closing_Start,345&lt;TaxOpStartMonth),(LandCost+MK$37)*EffTaxRateOnValue/12,0)</f>
        <v/>
      </c>
      <c r="ML38" s="228">
        <f>IF(AND(346&gt;=MS_Initial_Closing_Start,346&lt;TaxOpStartMonth),(LandCost+ML$37)*EffTaxRateOnValue/12,0)</f>
        <v/>
      </c>
      <c r="MM38" s="228">
        <f>IF(AND(347&gt;=MS_Initial_Closing_Start,347&lt;TaxOpStartMonth),(LandCost+MM$37)*EffTaxRateOnValue/12,0)</f>
        <v/>
      </c>
      <c r="MN38" s="228">
        <f>IF(AND(348&gt;=MS_Initial_Closing_Start,348&lt;TaxOpStartMonth),(LandCost+MN$37)*EffTaxRateOnValue/12,0)</f>
        <v/>
      </c>
      <c r="MO38" s="228">
        <f>IF(AND(349&gt;=MS_Initial_Closing_Start,349&lt;TaxOpStartMonth),(LandCost+MO$37)*EffTaxRateOnValue/12,0)</f>
        <v/>
      </c>
      <c r="MP38" s="228">
        <f>IF(AND(350&gt;=MS_Initial_Closing_Start,350&lt;TaxOpStartMonth),(LandCost+MP$37)*EffTaxRateOnValue/12,0)</f>
        <v/>
      </c>
      <c r="MQ38" s="228">
        <f>IF(AND(351&gt;=MS_Initial_Closing_Start,351&lt;TaxOpStartMonth),(LandCost+MQ$37)*EffTaxRateOnValue/12,0)</f>
        <v/>
      </c>
      <c r="MR38" s="228">
        <f>IF(AND(352&gt;=MS_Initial_Closing_Start,352&lt;TaxOpStartMonth),(LandCost+MR$37)*EffTaxRateOnValue/12,0)</f>
        <v/>
      </c>
      <c r="MS38" s="228">
        <f>IF(AND(353&gt;=MS_Initial_Closing_Start,353&lt;TaxOpStartMonth),(LandCost+MS$37)*EffTaxRateOnValue/12,0)</f>
        <v/>
      </c>
      <c r="MT38" s="228">
        <f>IF(AND(354&gt;=MS_Initial_Closing_Start,354&lt;TaxOpStartMonth),(LandCost+MT$37)*EffTaxRateOnValue/12,0)</f>
        <v/>
      </c>
      <c r="MU38" s="228">
        <f>IF(AND(355&gt;=MS_Initial_Closing_Start,355&lt;TaxOpStartMonth),(LandCost+MU$37)*EffTaxRateOnValue/12,0)</f>
        <v/>
      </c>
      <c r="MV38" s="228">
        <f>IF(AND(356&gt;=MS_Initial_Closing_Start,356&lt;TaxOpStartMonth),(LandCost+MV$37)*EffTaxRateOnValue/12,0)</f>
        <v/>
      </c>
      <c r="MW38" s="228">
        <f>IF(AND(357&gt;=MS_Initial_Closing_Start,357&lt;TaxOpStartMonth),(LandCost+MW$37)*EffTaxRateOnValue/12,0)</f>
        <v/>
      </c>
      <c r="MX38" s="228">
        <f>IF(AND(358&gt;=MS_Initial_Closing_Start,358&lt;TaxOpStartMonth),(LandCost+MX$37)*EffTaxRateOnValue/12,0)</f>
        <v/>
      </c>
      <c r="MY38" s="228">
        <f>IF(AND(359&gt;=MS_Initial_Closing_Start,359&lt;TaxOpStartMonth),(LandCost+MY$37)*EffTaxRateOnValue/12,0)</f>
        <v/>
      </c>
      <c r="MZ38" s="228">
        <f>IF(AND(360&gt;=MS_Initial_Closing_Start,360&lt;TaxOpStartMonth),(LandCost+MZ$37)*EffTaxRateOnValue/12,0)</f>
        <v/>
      </c>
      <c r="NA38" s="228">
        <f>IF(AND(361&gt;=MS_Initial_Closing_Start,361&lt;TaxOpStartMonth),(LandCost+NA$37)*EffTaxRateOnValue/12,0)</f>
        <v/>
      </c>
      <c r="NB38" s="228">
        <f>IF(AND(362&gt;=MS_Initial_Closing_Start,362&lt;TaxOpStartMonth),(LandCost+NB$37)*EffTaxRateOnValue/12,0)</f>
        <v/>
      </c>
      <c r="NC38" s="228">
        <f>IF(AND(363&gt;=MS_Initial_Closing_Start,363&lt;TaxOpStartMonth),(LandCost+NC$37)*EffTaxRateOnValue/12,0)</f>
        <v/>
      </c>
      <c r="ND38" s="228">
        <f>IF(AND(364&gt;=MS_Initial_Closing_Start,364&lt;TaxOpStartMonth),(LandCost+ND$37)*EffTaxRateOnValue/12,0)</f>
        <v/>
      </c>
      <c r="NE38" s="228">
        <f>IF(AND(365&gt;=MS_Initial_Closing_Start,365&lt;TaxOpStartMonth),(LandCost+NE$37)*EffTaxRateOnValue/12,0)</f>
        <v/>
      </c>
      <c r="NF38" s="228">
        <f>IF(AND(366&gt;=MS_Initial_Closing_Start,366&lt;TaxOpStartMonth),(LandCost+NF$37)*EffTaxRateOnValue/12,0)</f>
        <v/>
      </c>
      <c r="NG38" s="228">
        <f>IF(AND(367&gt;=MS_Initial_Closing_Start,367&lt;TaxOpStartMonth),(LandCost+NG$37)*EffTaxRateOnValue/12,0)</f>
        <v/>
      </c>
      <c r="NH38" s="228">
        <f>IF(AND(368&gt;=MS_Initial_Closing_Start,368&lt;TaxOpStartMonth),(LandCost+NH$37)*EffTaxRateOnValue/12,0)</f>
        <v/>
      </c>
      <c r="NI38" s="228">
        <f>IF(AND(369&gt;=MS_Initial_Closing_Start,369&lt;TaxOpStartMonth),(LandCost+NI$37)*EffTaxRateOnValue/12,0)</f>
        <v/>
      </c>
      <c r="NJ38" s="228">
        <f>IF(AND(370&gt;=MS_Initial_Closing_Start,370&lt;TaxOpStartMonth),(LandCost+NJ$37)*EffTaxRateOnValue/12,0)</f>
        <v/>
      </c>
      <c r="NK38" s="228">
        <f>IF(AND(371&gt;=MS_Initial_Closing_Start,371&lt;TaxOpStartMonth),(LandCost+NK$37)*EffTaxRateOnValue/12,0)</f>
        <v/>
      </c>
      <c r="NL38" s="247">
        <f>IF(AND(372&gt;=MS_Initial_Closing_Start,372&lt;TaxOpStartMonth),(LandCost+NL$37)*EffTaxRateOnValue/12,0)</f>
        <v/>
      </c>
    </row>
    <row r="39">
      <c r="B39" s="57" t="inlineStr">
        <is>
          <t>Construction-Period Tax — Total</t>
        </is>
      </c>
      <c r="C39" s="79" t="n"/>
      <c r="D39" s="236">
        <f>DevSpend!$D$38</f>
        <v/>
      </c>
      <c r="E39" s="79" t="n"/>
      <c r="F39" s="79" t="n"/>
      <c r="G39" s="79" t="n"/>
      <c r="H39" s="79" t="n"/>
      <c r="I39" s="79" t="n"/>
      <c r="J39" s="79" t="n"/>
      <c r="K39" s="79" t="n"/>
      <c r="L39" s="79" t="n"/>
      <c r="M39" s="79" t="n"/>
      <c r="N39" s="79" t="n"/>
      <c r="O39" s="79" t="n"/>
      <c r="P39" s="79" t="n"/>
      <c r="Q39" s="79" t="n"/>
      <c r="R39" s="79" t="n"/>
      <c r="S39" s="79" t="n"/>
      <c r="T39" s="79" t="n"/>
      <c r="U39" s="79" t="n"/>
      <c r="V39" s="79" t="n"/>
      <c r="W39" s="79" t="n"/>
      <c r="X39" s="79" t="n"/>
      <c r="Y39" s="79" t="n"/>
      <c r="Z39" s="79" t="n"/>
      <c r="AA39" s="79" t="n"/>
      <c r="AB39" s="79" t="n"/>
      <c r="AC39" s="79" t="n"/>
      <c r="AD39" s="79" t="n"/>
      <c r="AE39" s="79" t="n"/>
      <c r="AF39" s="79" t="n"/>
      <c r="AG39" s="79" t="n"/>
      <c r="AH39" s="79" t="n"/>
      <c r="AI39" s="79" t="n"/>
      <c r="AJ39" s="79" t="n"/>
      <c r="AK39" s="79" t="n"/>
      <c r="AL39" s="79" t="n"/>
      <c r="AM39" s="79" t="n"/>
      <c r="AN39" s="79" t="n"/>
      <c r="AO39" s="79" t="n"/>
      <c r="AP39" s="79" t="n"/>
      <c r="AQ39" s="79" t="n"/>
      <c r="AR39" s="79" t="n"/>
      <c r="AS39" s="79" t="n"/>
      <c r="AT39" s="79" t="n"/>
      <c r="AU39" s="79" t="n"/>
      <c r="AV39" s="79" t="n"/>
      <c r="AW39" s="79" t="n"/>
      <c r="AX39" s="79" t="n"/>
      <c r="AY39" s="79" t="n"/>
      <c r="AZ39" s="79" t="n"/>
      <c r="BA39" s="79" t="n"/>
      <c r="BB39" s="79" t="n"/>
      <c r="BC39" s="79" t="n"/>
      <c r="BD39" s="79" t="n"/>
      <c r="BE39" s="79" t="n"/>
      <c r="BF39" s="79" t="n"/>
      <c r="BG39" s="79" t="n"/>
      <c r="BH39" s="79" t="n"/>
      <c r="BI39" s="79" t="n"/>
      <c r="BJ39" s="79" t="n"/>
      <c r="BK39" s="79" t="n"/>
      <c r="BL39" s="79" t="n"/>
      <c r="BM39" s="79" t="n"/>
      <c r="BN39" s="79" t="n"/>
      <c r="BO39" s="79" t="n"/>
      <c r="BP39" s="79" t="n"/>
      <c r="BQ39" s="79" t="n"/>
      <c r="BR39" s="79" t="n"/>
      <c r="BS39" s="79" t="n"/>
      <c r="BT39" s="79" t="n"/>
      <c r="BU39" s="79" t="n"/>
      <c r="BV39" s="79" t="n"/>
      <c r="BW39" s="79" t="n"/>
      <c r="BX39" s="79" t="n"/>
      <c r="BY39" s="79" t="n"/>
      <c r="BZ39" s="79" t="n"/>
      <c r="CA39" s="79" t="n"/>
      <c r="CB39" s="79" t="n"/>
      <c r="CC39" s="79" t="n"/>
      <c r="CD39" s="79" t="n"/>
      <c r="CE39" s="79" t="n"/>
      <c r="CF39" s="79" t="n"/>
      <c r="CG39" s="79" t="n"/>
      <c r="CH39" s="79" t="n"/>
      <c r="CI39" s="79" t="n"/>
      <c r="CJ39" s="79" t="n"/>
      <c r="CK39" s="79" t="n"/>
      <c r="CL39" s="79" t="n"/>
      <c r="CM39" s="79" t="n"/>
      <c r="CN39" s="79" t="n"/>
      <c r="CO39" s="79" t="n"/>
      <c r="CP39" s="79" t="n"/>
      <c r="CQ39" s="79" t="n"/>
      <c r="CR39" s="79" t="n"/>
      <c r="CS39" s="79" t="n"/>
      <c r="CT39" s="79" t="n"/>
      <c r="CU39" s="79" t="n"/>
      <c r="CV39" s="79" t="n"/>
      <c r="CW39" s="79" t="n"/>
      <c r="CX39" s="79" t="n"/>
      <c r="CY39" s="79" t="n"/>
      <c r="CZ39" s="79" t="n"/>
      <c r="DA39" s="79" t="n"/>
      <c r="DB39" s="79" t="n"/>
      <c r="DC39" s="79" t="n"/>
      <c r="DD39" s="79" t="n"/>
      <c r="DE39" s="79" t="n"/>
      <c r="DF39" s="79" t="n"/>
      <c r="DG39" s="79" t="n"/>
      <c r="DH39" s="79" t="n"/>
      <c r="DI39" s="79" t="n"/>
      <c r="DJ39" s="79" t="n"/>
      <c r="DK39" s="79" t="n"/>
      <c r="DL39" s="79" t="n"/>
      <c r="DM39" s="79" t="n"/>
      <c r="DN39" s="79" t="n"/>
      <c r="DO39" s="79" t="n"/>
      <c r="DP39" s="79" t="n"/>
      <c r="DQ39" s="79" t="n"/>
      <c r="DR39" s="79" t="n"/>
      <c r="DS39" s="79" t="n"/>
      <c r="DT39" s="79" t="n"/>
      <c r="DU39" s="79" t="n"/>
      <c r="DV39" s="79" t="n"/>
      <c r="DW39" s="79" t="n"/>
      <c r="DX39" s="79" t="n"/>
      <c r="DY39" s="79" t="n"/>
      <c r="DZ39" s="79" t="n"/>
      <c r="EA39" s="79" t="n"/>
      <c r="EB39" s="79" t="n"/>
      <c r="EC39" s="79" t="n"/>
      <c r="ED39" s="79" t="n"/>
      <c r="EE39" s="79" t="n"/>
      <c r="EF39" s="79" t="n"/>
      <c r="EG39" s="79" t="n"/>
      <c r="EH39" s="79" t="n"/>
      <c r="EI39" s="79" t="n"/>
      <c r="EJ39" s="79" t="n"/>
      <c r="EK39" s="79" t="n"/>
      <c r="EL39" s="79" t="n"/>
      <c r="EM39" s="79" t="n"/>
      <c r="EN39" s="79" t="n"/>
      <c r="EO39" s="79" t="n"/>
      <c r="EP39" s="79" t="n"/>
      <c r="EQ39" s="79" t="n"/>
      <c r="ER39" s="79" t="n"/>
      <c r="ES39" s="79" t="n"/>
      <c r="ET39" s="79" t="n"/>
      <c r="EU39" s="79" t="n"/>
      <c r="EV39" s="79" t="n"/>
      <c r="EW39" s="79" t="n"/>
      <c r="EX39" s="79" t="n"/>
      <c r="EY39" s="79" t="n"/>
      <c r="EZ39" s="79" t="n"/>
      <c r="FA39" s="79" t="n"/>
      <c r="FB39" s="79" t="n"/>
      <c r="FC39" s="79" t="n"/>
      <c r="FD39" s="79" t="n"/>
      <c r="FE39" s="79" t="n"/>
      <c r="FF39" s="79" t="n"/>
      <c r="FG39" s="79" t="n"/>
      <c r="FH39" s="79" t="n"/>
      <c r="FI39" s="79" t="n"/>
      <c r="FJ39" s="79" t="n"/>
      <c r="FK39" s="79" t="n"/>
      <c r="FL39" s="79" t="n"/>
      <c r="FM39" s="79" t="n"/>
      <c r="FN39" s="79" t="n"/>
      <c r="FO39" s="79" t="n"/>
      <c r="FP39" s="79" t="n"/>
      <c r="FQ39" s="79" t="n"/>
      <c r="FR39" s="79" t="n"/>
      <c r="FS39" s="79" t="n"/>
      <c r="FT39" s="79" t="n"/>
      <c r="FU39" s="79" t="n"/>
      <c r="FV39" s="79" t="n"/>
      <c r="FW39" s="79" t="n"/>
      <c r="FX39" s="79" t="n"/>
      <c r="FY39" s="79" t="n"/>
      <c r="FZ39" s="79" t="n"/>
      <c r="GA39" s="79" t="n"/>
      <c r="GB39" s="79" t="n"/>
      <c r="GC39" s="79" t="n"/>
      <c r="GD39" s="79" t="n"/>
      <c r="GE39" s="79" t="n"/>
      <c r="GF39" s="79" t="n"/>
      <c r="GG39" s="79" t="n"/>
      <c r="GH39" s="79" t="n"/>
      <c r="GI39" s="79" t="n"/>
      <c r="GJ39" s="79" t="n"/>
      <c r="GK39" s="79" t="n"/>
      <c r="GL39" s="79" t="n"/>
      <c r="GM39" s="79" t="n"/>
      <c r="GN39" s="79" t="n"/>
      <c r="GO39" s="79" t="n"/>
      <c r="GP39" s="79" t="n"/>
      <c r="GQ39" s="79" t="n"/>
      <c r="GR39" s="79" t="n"/>
      <c r="GS39" s="79" t="n"/>
      <c r="GT39" s="79" t="n"/>
      <c r="GU39" s="79" t="n"/>
      <c r="GV39" s="79" t="n"/>
      <c r="GW39" s="79" t="n"/>
      <c r="GX39" s="79" t="n"/>
      <c r="GY39" s="79" t="n"/>
      <c r="GZ39" s="79" t="n"/>
      <c r="HA39" s="79" t="n"/>
      <c r="HB39" s="79" t="n"/>
      <c r="HC39" s="79" t="n"/>
      <c r="HD39" s="79" t="n"/>
      <c r="HE39" s="79" t="n"/>
      <c r="HF39" s="79" t="n"/>
      <c r="HG39" s="79" t="n"/>
      <c r="HH39" s="79" t="n"/>
      <c r="HI39" s="79" t="n"/>
      <c r="HJ39" s="79" t="n"/>
      <c r="HK39" s="79" t="n"/>
      <c r="HL39" s="79" t="n"/>
      <c r="HM39" s="79" t="n"/>
      <c r="HN39" s="79" t="n"/>
      <c r="HO39" s="79" t="n"/>
      <c r="HP39" s="79" t="n"/>
      <c r="HQ39" s="79" t="n"/>
      <c r="HR39" s="79" t="n"/>
      <c r="HS39" s="79" t="n"/>
      <c r="HT39" s="79" t="n"/>
      <c r="HU39" s="79" t="n"/>
      <c r="HV39" s="79" t="n"/>
      <c r="HW39" s="79" t="n"/>
      <c r="HX39" s="79" t="n"/>
      <c r="HY39" s="79" t="n"/>
      <c r="HZ39" s="79" t="n"/>
      <c r="IA39" s="79" t="n"/>
      <c r="IB39" s="79" t="n"/>
      <c r="IC39" s="79" t="n"/>
      <c r="ID39" s="79" t="n"/>
      <c r="IE39" s="79" t="n"/>
      <c r="IF39" s="79" t="n"/>
      <c r="IG39" s="79" t="n"/>
      <c r="IH39" s="79" t="n"/>
      <c r="II39" s="79" t="n"/>
      <c r="IJ39" s="79" t="n"/>
      <c r="IK39" s="79" t="n"/>
      <c r="IL39" s="79" t="n"/>
      <c r="IM39" s="79" t="n"/>
      <c r="IN39" s="79" t="n"/>
      <c r="IO39" s="79" t="n"/>
      <c r="IP39" s="79" t="n"/>
      <c r="IQ39" s="79" t="n"/>
      <c r="IR39" s="79" t="n"/>
      <c r="IS39" s="79" t="n"/>
      <c r="IT39" s="79" t="n"/>
      <c r="IU39" s="79" t="n"/>
      <c r="IV39" s="79" t="n"/>
      <c r="IW39" s="79" t="n"/>
      <c r="IX39" s="79" t="n"/>
      <c r="IY39" s="79" t="n"/>
      <c r="IZ39" s="79" t="n"/>
      <c r="JA39" s="79" t="n"/>
      <c r="JB39" s="79" t="n"/>
      <c r="JC39" s="79" t="n"/>
      <c r="JD39" s="79" t="n"/>
      <c r="JE39" s="79" t="n"/>
      <c r="JF39" s="79" t="n"/>
      <c r="JG39" s="79" t="n"/>
      <c r="JH39" s="79" t="n"/>
      <c r="JI39" s="79" t="n"/>
      <c r="JJ39" s="79" t="n"/>
      <c r="JK39" s="79" t="n"/>
      <c r="JL39" s="79" t="n"/>
      <c r="JM39" s="79" t="n"/>
      <c r="JN39" s="79" t="n"/>
      <c r="JO39" s="79" t="n"/>
      <c r="JP39" s="79" t="n"/>
      <c r="JQ39" s="79" t="n"/>
      <c r="JR39" s="79" t="n"/>
      <c r="JS39" s="79" t="n"/>
      <c r="JT39" s="79" t="n"/>
      <c r="JU39" s="79" t="n"/>
      <c r="JV39" s="79" t="n"/>
      <c r="JW39" s="79" t="n"/>
      <c r="JX39" s="79" t="n"/>
      <c r="JY39" s="79" t="n"/>
      <c r="JZ39" s="79" t="n"/>
      <c r="KA39" s="79" t="n"/>
      <c r="KB39" s="79" t="n"/>
      <c r="KC39" s="79" t="n"/>
      <c r="KD39" s="79" t="n"/>
      <c r="KE39" s="79" t="n"/>
      <c r="KF39" s="79" t="n"/>
      <c r="KG39" s="79" t="n"/>
      <c r="KH39" s="79" t="n"/>
      <c r="KI39" s="79" t="n"/>
      <c r="KJ39" s="79" t="n"/>
      <c r="KK39" s="79" t="n"/>
      <c r="KL39" s="79" t="n"/>
      <c r="KM39" s="79" t="n"/>
      <c r="KN39" s="79" t="n"/>
      <c r="KO39" s="79" t="n"/>
      <c r="KP39" s="79" t="n"/>
      <c r="KQ39" s="79" t="n"/>
      <c r="KR39" s="79" t="n"/>
      <c r="KS39" s="79" t="n"/>
      <c r="KT39" s="79" t="n"/>
      <c r="KU39" s="79" t="n"/>
      <c r="KV39" s="79" t="n"/>
      <c r="KW39" s="79" t="n"/>
      <c r="KX39" s="79" t="n"/>
      <c r="KY39" s="79" t="n"/>
      <c r="KZ39" s="79" t="n"/>
      <c r="LA39" s="79" t="n"/>
      <c r="LB39" s="79" t="n"/>
      <c r="LC39" s="79" t="n"/>
      <c r="LD39" s="79" t="n"/>
      <c r="LE39" s="79" t="n"/>
      <c r="LF39" s="79" t="n"/>
      <c r="LG39" s="79" t="n"/>
      <c r="LH39" s="79" t="n"/>
      <c r="LI39" s="79" t="n"/>
      <c r="LJ39" s="79" t="n"/>
      <c r="LK39" s="79" t="n"/>
      <c r="LL39" s="79" t="n"/>
      <c r="LM39" s="79" t="n"/>
      <c r="LN39" s="79" t="n"/>
      <c r="LO39" s="79" t="n"/>
      <c r="LP39" s="79" t="n"/>
      <c r="LQ39" s="79" t="n"/>
      <c r="LR39" s="79" t="n"/>
      <c r="LS39" s="79" t="n"/>
      <c r="LT39" s="79" t="n"/>
      <c r="LU39" s="79" t="n"/>
      <c r="LV39" s="79" t="n"/>
      <c r="LW39" s="79" t="n"/>
      <c r="LX39" s="79" t="n"/>
      <c r="LY39" s="79" t="n"/>
      <c r="LZ39" s="79" t="n"/>
      <c r="MA39" s="79" t="n"/>
      <c r="MB39" s="79" t="n"/>
      <c r="MC39" s="79" t="n"/>
      <c r="MD39" s="79" t="n"/>
      <c r="ME39" s="79" t="n"/>
      <c r="MF39" s="79" t="n"/>
      <c r="MG39" s="79" t="n"/>
      <c r="MH39" s="79" t="n"/>
      <c r="MI39" s="79" t="n"/>
      <c r="MJ39" s="79" t="n"/>
      <c r="MK39" s="79" t="n"/>
      <c r="ML39" s="79" t="n"/>
      <c r="MM39" s="79" t="n"/>
      <c r="MN39" s="79" t="n"/>
      <c r="MO39" s="79" t="n"/>
      <c r="MP39" s="79" t="n"/>
      <c r="MQ39" s="79" t="n"/>
      <c r="MR39" s="79" t="n"/>
      <c r="MS39" s="79" t="n"/>
      <c r="MT39" s="79" t="n"/>
      <c r="MU39" s="79" t="n"/>
      <c r="MV39" s="79" t="n"/>
      <c r="MW39" s="79" t="n"/>
      <c r="MX39" s="79" t="n"/>
      <c r="MY39" s="79" t="n"/>
      <c r="MZ39" s="79" t="n"/>
      <c r="NA39" s="79" t="n"/>
      <c r="NB39" s="79" t="n"/>
      <c r="NC39" s="79" t="n"/>
      <c r="ND39" s="79" t="n"/>
      <c r="NE39" s="79" t="n"/>
      <c r="NF39" s="79" t="n"/>
      <c r="NG39" s="79" t="n"/>
      <c r="NH39" s="79" t="n"/>
      <c r="NI39" s="79" t="n"/>
      <c r="NJ39" s="79" t="n"/>
      <c r="NK39" s="79" t="n"/>
      <c r="NL39" s="66" t="n"/>
    </row>
    <row r="41">
      <c r="B41" s="34" t="inlineStr">
        <is>
          <t>Cost-Curve Reconciliation</t>
        </is>
      </c>
      <c r="C41" s="60" t="n"/>
      <c r="D41" s="35" t="n"/>
    </row>
    <row r="42">
      <c r="B42" s="36" t="inlineStr">
        <is>
          <t>Max |line curve sum − Budget total|</t>
        </is>
      </c>
      <c r="D42" s="253">
        <f>MAX(ABS(DevSpend!$D$6-Budget!J5),ABS(DevSpend!$D$7-Budget!J6),ABS(DevSpend!$D$8-Budget!J7),ABS(DevSpend!$D$9-Budget!J8),ABS(DevSpend!$D$10-Budget!J9),ABS(DevSpend!$D$11-Budget!J10),ABS(DevSpend!$D$12-Budget!J11),ABS(DevSpend!$D$13-Budget!J12),ABS(DevSpend!$D$14-Budget!J13),ABS(DevSpend!$D$15-Budget!J14),ABS(DevSpend!$D$16-Budget!J15),ABS(DevSpend!$D$17-Budget!J16),ABS(DevSpend!$D$18-Budget!J17),ABS(DevSpend!$D$19-Budget!J18),ABS(DevSpend!$D$20-Budget!J19),ABS(DevSpend!$D$21-Budget!J20),ABS(DevSpend!$D$22-Budget!J21),ABS(DevSpend!$D$23-Budget!J22),ABS(DevSpend!$D$24-Budget!J23),ABS(DevSpend!$D$25-Budget!J24),ABS(DevSpend!$D$26-Budget!J25),ABS(DevSpend!$D$27-Budget!J26),ABS(DevSpend!$D$28-Budget!J27),ABS(DevSpend!$D$29-Budget!J28),ABS(DevSpend!$D$30-Budget!J29),ABS(DevSpend!$D$31-Budget!J30),ABS(DevSpend!$D$32-Budget!J31))</f>
        <v/>
      </c>
    </row>
    <row r="43">
      <c r="B43" s="40" t="inlineStr">
        <is>
          <t>Dev fee curve sum − DevFee</t>
        </is>
      </c>
      <c r="C43" s="79" t="n"/>
      <c r="D43" s="254">
        <f>DevSpend!$D$35-DevFee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B1:NL48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4" customWidth="1" style="97" min="2" max="2"/>
    <col width="18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Construction Loan — Sizing &amp; Monthly Draw Schedule</t>
        </is>
      </c>
    </row>
    <row r="3">
      <c r="B3" s="71" t="inlineStr">
        <is>
          <t>Loan Sizing (min of LTC / Debt Yield / DSCR)</t>
        </is>
      </c>
      <c r="C3" s="72" t="n"/>
      <c r="D3" s="80" t="n"/>
    </row>
    <row r="4">
      <c r="B4" s="36" t="inlineStr">
        <is>
          <t>Cost Basis for LTC (excl. cap. int.)</t>
        </is>
      </c>
      <c r="C4" s="255">
        <f>DirectCosts+DevFee+ConOtherCosts+ConTaxTotal+OpReserve</f>
        <v/>
      </c>
      <c r="D4" s="53" t="n"/>
    </row>
    <row r="5">
      <c r="B5" s="36" t="inlineStr">
        <is>
          <t>Max Loan by Target LTC</t>
        </is>
      </c>
      <c r="C5" s="255">
        <f>TargetLTC*ConCostBasis</f>
        <v/>
      </c>
      <c r="D5" s="53" t="n"/>
    </row>
    <row r="6">
      <c r="B6" s="36" t="inlineStr">
        <is>
          <t>Max Loan by Min Debt Yield</t>
        </is>
      </c>
      <c r="C6" s="255">
        <f>StabNOI/ConMinDebtYield</f>
        <v/>
      </c>
      <c r="D6" s="53" t="n"/>
    </row>
    <row r="7">
      <c r="B7" s="36" t="inlineStr">
        <is>
          <t>Max Loan by Min DSCR (I/O)</t>
        </is>
      </c>
      <c r="C7" s="255">
        <f>StabNOI/(ConMinDSCR*ConRate)</f>
        <v/>
      </c>
      <c r="D7" s="53" t="n"/>
    </row>
    <row r="8">
      <c r="B8" s="36" t="inlineStr">
        <is>
          <t>Construction Loan Commitment</t>
        </is>
      </c>
      <c r="C8" s="255">
        <f>MIN(MaxByLTC,MaxByDebtYield,MaxByDSCR)</f>
        <v/>
      </c>
      <c r="D8" s="53" t="n"/>
    </row>
    <row r="9">
      <c r="B9" s="36" t="inlineStr">
        <is>
          <t>Origination Points</t>
        </is>
      </c>
      <c r="C9" s="255">
        <f>ConPointsPct*ConCostCommit</f>
        <v/>
      </c>
      <c r="D9" s="53" t="n"/>
    </row>
    <row r="10">
      <c r="B10" s="36" t="inlineStr">
        <is>
          <t>Loan Recourse / Indemnity Fee</t>
        </is>
      </c>
      <c r="C10" s="255">
        <f>RecourseFeePct*ConCostCommit</f>
        <v/>
      </c>
      <c r="D10" s="53" t="n"/>
    </row>
    <row r="11">
      <c r="B11" s="36" t="inlineStr">
        <is>
          <t>Total Uses ex-Interest (final)</t>
        </is>
      </c>
      <c r="C11" s="255">
        <f>DirectCosts+DevFee+ConOtherCosts+ConTaxTotal+ConPoints+RecourseFee+OpReserve</f>
        <v/>
      </c>
      <c r="D11" s="53" t="n"/>
    </row>
    <row r="12">
      <c r="B12" s="36" t="inlineStr">
        <is>
          <t>Debt Share of Uses</t>
        </is>
      </c>
      <c r="C12" s="140">
        <f>ConCostCommit/ConCostExInt</f>
        <v/>
      </c>
      <c r="D12" s="53" t="n"/>
    </row>
    <row r="13">
      <c r="B13" s="40" t="inlineStr">
        <is>
          <t>Equity Budget (ex-Interest)</t>
        </is>
      </c>
      <c r="C13" s="256">
        <f>ConCostExInt-ConCostCommit</f>
        <v/>
      </c>
      <c r="D13" s="66" t="n"/>
    </row>
    <row r="15">
      <c r="B15" s="71" t="inlineStr">
        <is>
          <t>Construction Sizing Tests</t>
        </is>
      </c>
      <c r="C15" s="72" t="n"/>
      <c r="D15" s="80" t="n"/>
    </row>
    <row r="16">
      <c r="B16" s="36" t="inlineStr">
        <is>
          <t>Debt Yield at Commitment</t>
        </is>
      </c>
      <c r="C16" s="142">
        <f>StabNOI/ConCostCommit</f>
        <v/>
      </c>
      <c r="D16" s="53" t="n"/>
    </row>
    <row r="17">
      <c r="B17" s="36" t="inlineStr">
        <is>
          <t>DSCR at Commitment (I/O)</t>
        </is>
      </c>
      <c r="C17" s="257">
        <f>StabNOI/(ConRate*ConCostCommit)</f>
        <v/>
      </c>
      <c r="D17" s="53" t="n"/>
    </row>
    <row r="18">
      <c r="B18" s="36" t="inlineStr">
        <is>
          <t>Realized LTC (incl. int.)</t>
        </is>
      </c>
      <c r="C18" s="142">
        <f>ConLoanTotal/TDC_Total</f>
        <v/>
      </c>
      <c r="D18" s="53" t="n"/>
    </row>
    <row r="19">
      <c r="B19" s="36" t="inlineStr">
        <is>
          <t>Debt Yield Test Pass</t>
        </is>
      </c>
      <c r="C19" s="144">
        <f>IF(ConDYtest&gt;=ConMinDebtYield,"PASS","FAIL")</f>
        <v/>
      </c>
      <c r="D19" s="53" t="n"/>
    </row>
    <row r="20">
      <c r="B20" s="40" t="inlineStr">
        <is>
          <t>DSCR Test Pass</t>
        </is>
      </c>
      <c r="C20" s="145">
        <f>IF(ConDSCRtest&gt;=ConMinDSCR,"PASS","FAIL")</f>
        <v/>
      </c>
      <c r="D20" s="66" t="n"/>
    </row>
    <row r="21">
      <c r="B21" s="316" t="inlineStr">
        <is>
          <t>Binding Constraint</t>
        </is>
      </c>
      <c r="C21" s="338">
        <f>IF(ConCostCommit=MaxByLTC,"LTC",IF(ConCostCommit=MaxByDebtYield,"Debt Yield","DSCR"))</f>
        <v/>
      </c>
    </row>
    <row r="22">
      <c r="B22" s="34" t="inlineStr">
        <is>
          <t>Monthly Draw Schedule</t>
        </is>
      </c>
      <c r="C22" s="60" t="n"/>
      <c r="D22" s="35" t="n"/>
    </row>
    <row r="23">
      <c r="B23" s="122" t="inlineStr">
        <is>
          <t>Period →</t>
        </is>
      </c>
      <c r="D23" s="75" t="inlineStr">
        <is>
          <t>Total</t>
        </is>
      </c>
      <c r="E23" s="27" t="n">
        <v>1</v>
      </c>
      <c r="F23" s="27" t="n">
        <v>2</v>
      </c>
      <c r="G23" s="27" t="n">
        <v>3</v>
      </c>
      <c r="H23" s="27" t="n">
        <v>4</v>
      </c>
      <c r="I23" s="27" t="n">
        <v>5</v>
      </c>
      <c r="J23" s="27" t="n">
        <v>6</v>
      </c>
      <c r="K23" s="27" t="n">
        <v>7</v>
      </c>
      <c r="L23" s="27" t="n">
        <v>8</v>
      </c>
      <c r="M23" s="27" t="n">
        <v>9</v>
      </c>
      <c r="N23" s="27" t="n">
        <v>10</v>
      </c>
      <c r="O23" s="27" t="n">
        <v>11</v>
      </c>
      <c r="P23" s="27" t="n">
        <v>12</v>
      </c>
      <c r="Q23" s="27" t="n">
        <v>13</v>
      </c>
      <c r="R23" s="27" t="n">
        <v>14</v>
      </c>
      <c r="S23" s="27" t="n">
        <v>15</v>
      </c>
      <c r="T23" s="27" t="n">
        <v>16</v>
      </c>
      <c r="U23" s="27" t="n">
        <v>17</v>
      </c>
      <c r="V23" s="27" t="n">
        <v>18</v>
      </c>
      <c r="W23" s="27" t="n">
        <v>19</v>
      </c>
      <c r="X23" s="27" t="n">
        <v>20</v>
      </c>
      <c r="Y23" s="27" t="n">
        <v>21</v>
      </c>
      <c r="Z23" s="27" t="n">
        <v>22</v>
      </c>
      <c r="AA23" s="27" t="n">
        <v>23</v>
      </c>
      <c r="AB23" s="27" t="n">
        <v>24</v>
      </c>
      <c r="AC23" s="27" t="n">
        <v>25</v>
      </c>
      <c r="AD23" s="27" t="n">
        <v>26</v>
      </c>
      <c r="AE23" s="27" t="n">
        <v>27</v>
      </c>
      <c r="AF23" s="27" t="n">
        <v>28</v>
      </c>
      <c r="AG23" s="27" t="n">
        <v>29</v>
      </c>
      <c r="AH23" s="27" t="n">
        <v>30</v>
      </c>
      <c r="AI23" s="27" t="n">
        <v>31</v>
      </c>
      <c r="AJ23" s="27" t="n">
        <v>32</v>
      </c>
      <c r="AK23" s="27" t="n">
        <v>33</v>
      </c>
      <c r="AL23" s="27" t="n">
        <v>34</v>
      </c>
      <c r="AM23" s="27" t="n">
        <v>35</v>
      </c>
      <c r="AN23" s="27" t="n">
        <v>36</v>
      </c>
      <c r="AO23" s="27" t="n">
        <v>37</v>
      </c>
      <c r="AP23" s="27" t="n">
        <v>38</v>
      </c>
      <c r="AQ23" s="27" t="n">
        <v>39</v>
      </c>
      <c r="AR23" s="27" t="n">
        <v>40</v>
      </c>
      <c r="AS23" s="27" t="n">
        <v>41</v>
      </c>
      <c r="AT23" s="27" t="n">
        <v>42</v>
      </c>
      <c r="AU23" s="27" t="n">
        <v>43</v>
      </c>
      <c r="AV23" s="27" t="n">
        <v>44</v>
      </c>
      <c r="AW23" s="27" t="n">
        <v>45</v>
      </c>
      <c r="AX23" s="27" t="n">
        <v>46</v>
      </c>
      <c r="AY23" s="27" t="n">
        <v>47</v>
      </c>
      <c r="AZ23" s="27" t="n">
        <v>48</v>
      </c>
      <c r="BA23" s="27" t="n">
        <v>49</v>
      </c>
      <c r="BB23" s="27" t="n">
        <v>50</v>
      </c>
      <c r="BC23" s="27" t="n">
        <v>51</v>
      </c>
      <c r="BD23" s="27" t="n">
        <v>52</v>
      </c>
      <c r="BE23" s="27" t="n">
        <v>53</v>
      </c>
      <c r="BF23" s="27" t="n">
        <v>54</v>
      </c>
      <c r="BG23" s="27" t="n">
        <v>55</v>
      </c>
      <c r="BH23" s="27" t="n">
        <v>56</v>
      </c>
      <c r="BI23" s="27" t="n">
        <v>57</v>
      </c>
      <c r="BJ23" s="27" t="n">
        <v>58</v>
      </c>
      <c r="BK23" s="27" t="n">
        <v>59</v>
      </c>
      <c r="BL23" s="27" t="n">
        <v>60</v>
      </c>
      <c r="BM23" s="27" t="n">
        <v>61</v>
      </c>
      <c r="BN23" s="27" t="n">
        <v>62</v>
      </c>
      <c r="BO23" s="27" t="n">
        <v>63</v>
      </c>
      <c r="BP23" s="27" t="n">
        <v>64</v>
      </c>
      <c r="BQ23" s="27" t="n">
        <v>65</v>
      </c>
      <c r="BR23" s="27" t="n">
        <v>66</v>
      </c>
      <c r="BS23" s="27" t="n">
        <v>67</v>
      </c>
      <c r="BT23" s="27" t="n">
        <v>68</v>
      </c>
      <c r="BU23" s="27" t="n">
        <v>69</v>
      </c>
      <c r="BV23" s="27" t="n">
        <v>70</v>
      </c>
      <c r="BW23" s="27" t="n">
        <v>71</v>
      </c>
      <c r="BX23" s="27" t="n">
        <v>72</v>
      </c>
      <c r="BY23" s="27" t="n">
        <v>73</v>
      </c>
      <c r="BZ23" s="27" t="n">
        <v>74</v>
      </c>
      <c r="CA23" s="27" t="n">
        <v>75</v>
      </c>
      <c r="CB23" s="27" t="n">
        <v>76</v>
      </c>
      <c r="CC23" s="27" t="n">
        <v>77</v>
      </c>
      <c r="CD23" s="27" t="n">
        <v>78</v>
      </c>
      <c r="CE23" s="27" t="n">
        <v>79</v>
      </c>
      <c r="CF23" s="27" t="n">
        <v>80</v>
      </c>
      <c r="CG23" s="27" t="n">
        <v>81</v>
      </c>
      <c r="CH23" s="27" t="n">
        <v>82</v>
      </c>
      <c r="CI23" s="27" t="n">
        <v>83</v>
      </c>
      <c r="CJ23" s="27" t="n">
        <v>84</v>
      </c>
      <c r="CK23" s="27" t="n">
        <v>85</v>
      </c>
      <c r="CL23" s="27" t="n">
        <v>86</v>
      </c>
      <c r="CM23" s="27" t="n">
        <v>87</v>
      </c>
      <c r="CN23" s="27" t="n">
        <v>88</v>
      </c>
      <c r="CO23" s="27" t="n">
        <v>89</v>
      </c>
      <c r="CP23" s="27" t="n">
        <v>90</v>
      </c>
      <c r="CQ23" s="27" t="n">
        <v>91</v>
      </c>
      <c r="CR23" s="27" t="n">
        <v>92</v>
      </c>
      <c r="CS23" s="27" t="n">
        <v>93</v>
      </c>
      <c r="CT23" s="27" t="n">
        <v>94</v>
      </c>
      <c r="CU23" s="27" t="n">
        <v>95</v>
      </c>
      <c r="CV23" s="27" t="n">
        <v>96</v>
      </c>
      <c r="CW23" s="27" t="n">
        <v>97</v>
      </c>
      <c r="CX23" s="27" t="n">
        <v>98</v>
      </c>
      <c r="CY23" s="27" t="n">
        <v>99</v>
      </c>
      <c r="CZ23" s="27" t="n">
        <v>100</v>
      </c>
      <c r="DA23" s="27" t="n">
        <v>101</v>
      </c>
      <c r="DB23" s="27" t="n">
        <v>102</v>
      </c>
      <c r="DC23" s="27" t="n">
        <v>103</v>
      </c>
      <c r="DD23" s="27" t="n">
        <v>104</v>
      </c>
      <c r="DE23" s="27" t="n">
        <v>105</v>
      </c>
      <c r="DF23" s="27" t="n">
        <v>106</v>
      </c>
      <c r="DG23" s="27" t="n">
        <v>107</v>
      </c>
      <c r="DH23" s="27" t="n">
        <v>108</v>
      </c>
      <c r="DI23" s="27" t="n">
        <v>109</v>
      </c>
      <c r="DJ23" s="27" t="n">
        <v>110</v>
      </c>
      <c r="DK23" s="27" t="n">
        <v>111</v>
      </c>
      <c r="DL23" s="27" t="n">
        <v>112</v>
      </c>
      <c r="DM23" s="27" t="n">
        <v>113</v>
      </c>
      <c r="DN23" s="27" t="n">
        <v>114</v>
      </c>
      <c r="DO23" s="27" t="n">
        <v>115</v>
      </c>
      <c r="DP23" s="27" t="n">
        <v>116</v>
      </c>
      <c r="DQ23" s="27" t="n">
        <v>117</v>
      </c>
      <c r="DR23" s="27" t="n">
        <v>118</v>
      </c>
      <c r="DS23" s="27" t="n">
        <v>119</v>
      </c>
      <c r="DT23" s="27" t="n">
        <v>120</v>
      </c>
      <c r="DU23" s="27" t="n">
        <v>121</v>
      </c>
      <c r="DV23" s="27" t="n">
        <v>122</v>
      </c>
      <c r="DW23" s="27" t="n">
        <v>123</v>
      </c>
      <c r="DX23" s="27" t="n">
        <v>124</v>
      </c>
      <c r="DY23" s="27" t="n">
        <v>125</v>
      </c>
      <c r="DZ23" s="27" t="n">
        <v>126</v>
      </c>
      <c r="EA23" s="27" t="n">
        <v>127</v>
      </c>
      <c r="EB23" s="27" t="n">
        <v>128</v>
      </c>
      <c r="EC23" s="27" t="n">
        <v>129</v>
      </c>
      <c r="ED23" s="27" t="n">
        <v>130</v>
      </c>
      <c r="EE23" s="27" t="n">
        <v>131</v>
      </c>
      <c r="EF23" s="27" t="n">
        <v>132</v>
      </c>
      <c r="EG23" s="27" t="n">
        <v>133</v>
      </c>
      <c r="EH23" s="27" t="n">
        <v>134</v>
      </c>
      <c r="EI23" s="27" t="n">
        <v>135</v>
      </c>
      <c r="EJ23" s="27" t="n">
        <v>136</v>
      </c>
      <c r="EK23" s="27" t="n">
        <v>137</v>
      </c>
      <c r="EL23" s="27" t="n">
        <v>138</v>
      </c>
      <c r="EM23" s="27" t="n">
        <v>139</v>
      </c>
      <c r="EN23" s="27" t="n">
        <v>140</v>
      </c>
      <c r="EO23" s="27" t="n">
        <v>141</v>
      </c>
      <c r="EP23" s="27" t="n">
        <v>142</v>
      </c>
      <c r="EQ23" s="27" t="n">
        <v>143</v>
      </c>
      <c r="ER23" s="27" t="n">
        <v>144</v>
      </c>
      <c r="ES23" s="27" t="n">
        <v>145</v>
      </c>
      <c r="ET23" s="27" t="n">
        <v>146</v>
      </c>
      <c r="EU23" s="27" t="n">
        <v>147</v>
      </c>
      <c r="EV23" s="27" t="n">
        <v>148</v>
      </c>
      <c r="EW23" s="27" t="n">
        <v>149</v>
      </c>
      <c r="EX23" s="27" t="n">
        <v>150</v>
      </c>
      <c r="EY23" s="27" t="n">
        <v>151</v>
      </c>
      <c r="EZ23" s="27" t="n">
        <v>152</v>
      </c>
      <c r="FA23" s="27" t="n">
        <v>153</v>
      </c>
      <c r="FB23" s="27" t="n">
        <v>154</v>
      </c>
      <c r="FC23" s="27" t="n">
        <v>155</v>
      </c>
      <c r="FD23" s="27" t="n">
        <v>156</v>
      </c>
      <c r="FE23" s="27" t="n">
        <v>157</v>
      </c>
      <c r="FF23" s="27" t="n">
        <v>158</v>
      </c>
      <c r="FG23" s="27" t="n">
        <v>159</v>
      </c>
      <c r="FH23" s="27" t="n">
        <v>160</v>
      </c>
      <c r="FI23" s="27" t="n">
        <v>161</v>
      </c>
      <c r="FJ23" s="27" t="n">
        <v>162</v>
      </c>
      <c r="FK23" s="27" t="n">
        <v>163</v>
      </c>
      <c r="FL23" s="27" t="n">
        <v>164</v>
      </c>
      <c r="FM23" s="27" t="n">
        <v>165</v>
      </c>
      <c r="FN23" s="27" t="n">
        <v>166</v>
      </c>
      <c r="FO23" s="27" t="n">
        <v>167</v>
      </c>
      <c r="FP23" s="27" t="n">
        <v>168</v>
      </c>
      <c r="FQ23" s="27" t="n">
        <v>169</v>
      </c>
      <c r="FR23" s="27" t="n">
        <v>170</v>
      </c>
      <c r="FS23" s="27" t="n">
        <v>171</v>
      </c>
      <c r="FT23" s="27" t="n">
        <v>172</v>
      </c>
      <c r="FU23" s="27" t="n">
        <v>173</v>
      </c>
      <c r="FV23" s="27" t="n">
        <v>174</v>
      </c>
      <c r="FW23" s="27" t="n">
        <v>175</v>
      </c>
      <c r="FX23" s="27" t="n">
        <v>176</v>
      </c>
      <c r="FY23" s="27" t="n">
        <v>177</v>
      </c>
      <c r="FZ23" s="27" t="n">
        <v>178</v>
      </c>
      <c r="GA23" s="27" t="n">
        <v>179</v>
      </c>
      <c r="GB23" s="27" t="n">
        <v>180</v>
      </c>
      <c r="GC23" s="27" t="n">
        <v>181</v>
      </c>
      <c r="GD23" s="27" t="n">
        <v>182</v>
      </c>
      <c r="GE23" s="27" t="n">
        <v>183</v>
      </c>
      <c r="GF23" s="27" t="n">
        <v>184</v>
      </c>
      <c r="GG23" s="27" t="n">
        <v>185</v>
      </c>
      <c r="GH23" s="27" t="n">
        <v>186</v>
      </c>
      <c r="GI23" s="27" t="n">
        <v>187</v>
      </c>
      <c r="GJ23" s="27" t="n">
        <v>188</v>
      </c>
      <c r="GK23" s="27" t="n">
        <v>189</v>
      </c>
      <c r="GL23" s="27" t="n">
        <v>190</v>
      </c>
      <c r="GM23" s="27" t="n">
        <v>191</v>
      </c>
      <c r="GN23" s="27" t="n">
        <v>192</v>
      </c>
      <c r="GO23" s="27" t="n">
        <v>193</v>
      </c>
      <c r="GP23" s="27" t="n">
        <v>194</v>
      </c>
      <c r="GQ23" s="27" t="n">
        <v>195</v>
      </c>
      <c r="GR23" s="27" t="n">
        <v>196</v>
      </c>
      <c r="GS23" s="27" t="n">
        <v>197</v>
      </c>
      <c r="GT23" s="27" t="n">
        <v>198</v>
      </c>
      <c r="GU23" s="27" t="n">
        <v>199</v>
      </c>
      <c r="GV23" s="27" t="n">
        <v>200</v>
      </c>
      <c r="GW23" s="27" t="n">
        <v>201</v>
      </c>
      <c r="GX23" s="27" t="n">
        <v>202</v>
      </c>
      <c r="GY23" s="27" t="n">
        <v>203</v>
      </c>
      <c r="GZ23" s="27" t="n">
        <v>204</v>
      </c>
      <c r="HA23" s="27" t="n">
        <v>205</v>
      </c>
      <c r="HB23" s="27" t="n">
        <v>206</v>
      </c>
      <c r="HC23" s="27" t="n">
        <v>207</v>
      </c>
      <c r="HD23" s="27" t="n">
        <v>208</v>
      </c>
      <c r="HE23" s="27" t="n">
        <v>209</v>
      </c>
      <c r="HF23" s="27" t="n">
        <v>210</v>
      </c>
      <c r="HG23" s="27" t="n">
        <v>211</v>
      </c>
      <c r="HH23" s="27" t="n">
        <v>212</v>
      </c>
      <c r="HI23" s="27" t="n">
        <v>213</v>
      </c>
      <c r="HJ23" s="27" t="n">
        <v>214</v>
      </c>
      <c r="HK23" s="27" t="n">
        <v>215</v>
      </c>
      <c r="HL23" s="27" t="n">
        <v>216</v>
      </c>
      <c r="HM23" s="27" t="n">
        <v>217</v>
      </c>
      <c r="HN23" s="27" t="n">
        <v>218</v>
      </c>
      <c r="HO23" s="27" t="n">
        <v>219</v>
      </c>
      <c r="HP23" s="27" t="n">
        <v>220</v>
      </c>
      <c r="HQ23" s="27" t="n">
        <v>221</v>
      </c>
      <c r="HR23" s="27" t="n">
        <v>222</v>
      </c>
      <c r="HS23" s="27" t="n">
        <v>223</v>
      </c>
      <c r="HT23" s="27" t="n">
        <v>224</v>
      </c>
      <c r="HU23" s="27" t="n">
        <v>225</v>
      </c>
      <c r="HV23" s="27" t="n">
        <v>226</v>
      </c>
      <c r="HW23" s="27" t="n">
        <v>227</v>
      </c>
      <c r="HX23" s="27" t="n">
        <v>228</v>
      </c>
      <c r="HY23" s="27" t="n">
        <v>229</v>
      </c>
      <c r="HZ23" s="27" t="n">
        <v>230</v>
      </c>
      <c r="IA23" s="27" t="n">
        <v>231</v>
      </c>
      <c r="IB23" s="27" t="n">
        <v>232</v>
      </c>
      <c r="IC23" s="27" t="n">
        <v>233</v>
      </c>
      <c r="ID23" s="27" t="n">
        <v>234</v>
      </c>
      <c r="IE23" s="27" t="n">
        <v>235</v>
      </c>
      <c r="IF23" s="27" t="n">
        <v>236</v>
      </c>
      <c r="IG23" s="27" t="n">
        <v>237</v>
      </c>
      <c r="IH23" s="27" t="n">
        <v>238</v>
      </c>
      <c r="II23" s="27" t="n">
        <v>239</v>
      </c>
      <c r="IJ23" s="27" t="n">
        <v>240</v>
      </c>
      <c r="IK23" s="27" t="n">
        <v>241</v>
      </c>
      <c r="IL23" s="27" t="n">
        <v>242</v>
      </c>
      <c r="IM23" s="27" t="n">
        <v>243</v>
      </c>
      <c r="IN23" s="27" t="n">
        <v>244</v>
      </c>
      <c r="IO23" s="27" t="n">
        <v>245</v>
      </c>
      <c r="IP23" s="27" t="n">
        <v>246</v>
      </c>
      <c r="IQ23" s="27" t="n">
        <v>247</v>
      </c>
      <c r="IR23" s="27" t="n">
        <v>248</v>
      </c>
      <c r="IS23" s="27" t="n">
        <v>249</v>
      </c>
      <c r="IT23" s="27" t="n">
        <v>250</v>
      </c>
      <c r="IU23" s="27" t="n">
        <v>251</v>
      </c>
      <c r="IV23" s="27" t="n">
        <v>252</v>
      </c>
      <c r="IW23" s="27" t="n">
        <v>253</v>
      </c>
      <c r="IX23" s="27" t="n">
        <v>254</v>
      </c>
      <c r="IY23" s="27" t="n">
        <v>255</v>
      </c>
      <c r="IZ23" s="27" t="n">
        <v>256</v>
      </c>
      <c r="JA23" s="27" t="n">
        <v>257</v>
      </c>
      <c r="JB23" s="27" t="n">
        <v>258</v>
      </c>
      <c r="JC23" s="27" t="n">
        <v>259</v>
      </c>
      <c r="JD23" s="27" t="n">
        <v>260</v>
      </c>
      <c r="JE23" s="27" t="n">
        <v>261</v>
      </c>
      <c r="JF23" s="27" t="n">
        <v>262</v>
      </c>
      <c r="JG23" s="27" t="n">
        <v>263</v>
      </c>
      <c r="JH23" s="27" t="n">
        <v>264</v>
      </c>
      <c r="JI23" s="27" t="n">
        <v>265</v>
      </c>
      <c r="JJ23" s="27" t="n">
        <v>266</v>
      </c>
      <c r="JK23" s="27" t="n">
        <v>267</v>
      </c>
      <c r="JL23" s="27" t="n">
        <v>268</v>
      </c>
      <c r="JM23" s="27" t="n">
        <v>269</v>
      </c>
      <c r="JN23" s="27" t="n">
        <v>270</v>
      </c>
      <c r="JO23" s="27" t="n">
        <v>271</v>
      </c>
      <c r="JP23" s="27" t="n">
        <v>272</v>
      </c>
      <c r="JQ23" s="27" t="n">
        <v>273</v>
      </c>
      <c r="JR23" s="27" t="n">
        <v>274</v>
      </c>
      <c r="JS23" s="27" t="n">
        <v>275</v>
      </c>
      <c r="JT23" s="27" t="n">
        <v>276</v>
      </c>
      <c r="JU23" s="27" t="n">
        <v>277</v>
      </c>
      <c r="JV23" s="27" t="n">
        <v>278</v>
      </c>
      <c r="JW23" s="27" t="n">
        <v>279</v>
      </c>
      <c r="JX23" s="27" t="n">
        <v>280</v>
      </c>
      <c r="JY23" s="27" t="n">
        <v>281</v>
      </c>
      <c r="JZ23" s="27" t="n">
        <v>282</v>
      </c>
      <c r="KA23" s="27" t="n">
        <v>283</v>
      </c>
      <c r="KB23" s="27" t="n">
        <v>284</v>
      </c>
      <c r="KC23" s="27" t="n">
        <v>285</v>
      </c>
      <c r="KD23" s="27" t="n">
        <v>286</v>
      </c>
      <c r="KE23" s="27" t="n">
        <v>287</v>
      </c>
      <c r="KF23" s="27" t="n">
        <v>288</v>
      </c>
      <c r="KG23" s="27" t="n">
        <v>289</v>
      </c>
      <c r="KH23" s="27" t="n">
        <v>290</v>
      </c>
      <c r="KI23" s="27" t="n">
        <v>291</v>
      </c>
      <c r="KJ23" s="27" t="n">
        <v>292</v>
      </c>
      <c r="KK23" s="27" t="n">
        <v>293</v>
      </c>
      <c r="KL23" s="27" t="n">
        <v>294</v>
      </c>
      <c r="KM23" s="27" t="n">
        <v>295</v>
      </c>
      <c r="KN23" s="27" t="n">
        <v>296</v>
      </c>
      <c r="KO23" s="27" t="n">
        <v>297</v>
      </c>
      <c r="KP23" s="27" t="n">
        <v>298</v>
      </c>
      <c r="KQ23" s="27" t="n">
        <v>299</v>
      </c>
      <c r="KR23" s="27" t="n">
        <v>300</v>
      </c>
      <c r="KS23" s="27" t="n">
        <v>301</v>
      </c>
      <c r="KT23" s="27" t="n">
        <v>302</v>
      </c>
      <c r="KU23" s="27" t="n">
        <v>303</v>
      </c>
      <c r="KV23" s="27" t="n">
        <v>304</v>
      </c>
      <c r="KW23" s="27" t="n">
        <v>305</v>
      </c>
      <c r="KX23" s="27" t="n">
        <v>306</v>
      </c>
      <c r="KY23" s="27" t="n">
        <v>307</v>
      </c>
      <c r="KZ23" s="27" t="n">
        <v>308</v>
      </c>
      <c r="LA23" s="27" t="n">
        <v>309</v>
      </c>
      <c r="LB23" s="27" t="n">
        <v>310</v>
      </c>
      <c r="LC23" s="27" t="n">
        <v>311</v>
      </c>
      <c r="LD23" s="27" t="n">
        <v>312</v>
      </c>
      <c r="LE23" s="27" t="n">
        <v>313</v>
      </c>
      <c r="LF23" s="27" t="n">
        <v>314</v>
      </c>
      <c r="LG23" s="27" t="n">
        <v>315</v>
      </c>
      <c r="LH23" s="27" t="n">
        <v>316</v>
      </c>
      <c r="LI23" s="27" t="n">
        <v>317</v>
      </c>
      <c r="LJ23" s="27" t="n">
        <v>318</v>
      </c>
      <c r="LK23" s="27" t="n">
        <v>319</v>
      </c>
      <c r="LL23" s="27" t="n">
        <v>320</v>
      </c>
      <c r="LM23" s="27" t="n">
        <v>321</v>
      </c>
      <c r="LN23" s="27" t="n">
        <v>322</v>
      </c>
      <c r="LO23" s="27" t="n">
        <v>323</v>
      </c>
      <c r="LP23" s="27" t="n">
        <v>324</v>
      </c>
      <c r="LQ23" s="27" t="n">
        <v>325</v>
      </c>
      <c r="LR23" s="27" t="n">
        <v>326</v>
      </c>
      <c r="LS23" s="27" t="n">
        <v>327</v>
      </c>
      <c r="LT23" s="27" t="n">
        <v>328</v>
      </c>
      <c r="LU23" s="27" t="n">
        <v>329</v>
      </c>
      <c r="LV23" s="27" t="n">
        <v>330</v>
      </c>
      <c r="LW23" s="27" t="n">
        <v>331</v>
      </c>
      <c r="LX23" s="27" t="n">
        <v>332</v>
      </c>
      <c r="LY23" s="27" t="n">
        <v>333</v>
      </c>
      <c r="LZ23" s="27" t="n">
        <v>334</v>
      </c>
      <c r="MA23" s="27" t="n">
        <v>335</v>
      </c>
      <c r="MB23" s="27" t="n">
        <v>336</v>
      </c>
      <c r="MC23" s="27" t="n">
        <v>337</v>
      </c>
      <c r="MD23" s="27" t="n">
        <v>338</v>
      </c>
      <c r="ME23" s="27" t="n">
        <v>339</v>
      </c>
      <c r="MF23" s="27" t="n">
        <v>340</v>
      </c>
      <c r="MG23" s="27" t="n">
        <v>341</v>
      </c>
      <c r="MH23" s="27" t="n">
        <v>342</v>
      </c>
      <c r="MI23" s="27" t="n">
        <v>343</v>
      </c>
      <c r="MJ23" s="27" t="n">
        <v>344</v>
      </c>
      <c r="MK23" s="27" t="n">
        <v>345</v>
      </c>
      <c r="ML23" s="27" t="n">
        <v>346</v>
      </c>
      <c r="MM23" s="27" t="n">
        <v>347</v>
      </c>
      <c r="MN23" s="27" t="n">
        <v>348</v>
      </c>
      <c r="MO23" s="27" t="n">
        <v>349</v>
      </c>
      <c r="MP23" s="27" t="n">
        <v>350</v>
      </c>
      <c r="MQ23" s="27" t="n">
        <v>351</v>
      </c>
      <c r="MR23" s="27" t="n">
        <v>352</v>
      </c>
      <c r="MS23" s="27" t="n">
        <v>353</v>
      </c>
      <c r="MT23" s="27" t="n">
        <v>354</v>
      </c>
      <c r="MU23" s="27" t="n">
        <v>355</v>
      </c>
      <c r="MV23" s="27" t="n">
        <v>356</v>
      </c>
      <c r="MW23" s="27" t="n">
        <v>357</v>
      </c>
      <c r="MX23" s="27" t="n">
        <v>358</v>
      </c>
      <c r="MY23" s="27" t="n">
        <v>359</v>
      </c>
      <c r="MZ23" s="27" t="n">
        <v>360</v>
      </c>
      <c r="NA23" s="27" t="n">
        <v>361</v>
      </c>
      <c r="NB23" s="27" t="n">
        <v>362</v>
      </c>
      <c r="NC23" s="27" t="n">
        <v>363</v>
      </c>
      <c r="ND23" s="27" t="n">
        <v>364</v>
      </c>
      <c r="NE23" s="27" t="n">
        <v>365</v>
      </c>
      <c r="NF23" s="27" t="n">
        <v>366</v>
      </c>
      <c r="NG23" s="27" t="n">
        <v>367</v>
      </c>
      <c r="NH23" s="27" t="n">
        <v>368</v>
      </c>
      <c r="NI23" s="27" t="n">
        <v>369</v>
      </c>
      <c r="NJ23" s="27" t="n">
        <v>370</v>
      </c>
      <c r="NK23" s="27" t="n">
        <v>371</v>
      </c>
      <c r="NL23" s="27" t="n">
        <v>372</v>
      </c>
    </row>
    <row r="24">
      <c r="B24" s="123" t="inlineStr">
        <is>
          <t>Month Start</t>
        </is>
      </c>
      <c r="D24" s="53" t="n"/>
      <c r="E24" s="128">
        <f>EDATE(InceptionDate,0)</f>
        <v/>
      </c>
      <c r="F24" s="128">
        <f>EDATE(InceptionDate,1)</f>
        <v/>
      </c>
      <c r="G24" s="128">
        <f>EDATE(InceptionDate,2)</f>
        <v/>
      </c>
      <c r="H24" s="128">
        <f>EDATE(InceptionDate,3)</f>
        <v/>
      </c>
      <c r="I24" s="128">
        <f>EDATE(InceptionDate,4)</f>
        <v/>
      </c>
      <c r="J24" s="128">
        <f>EDATE(InceptionDate,5)</f>
        <v/>
      </c>
      <c r="K24" s="128">
        <f>EDATE(InceptionDate,6)</f>
        <v/>
      </c>
      <c r="L24" s="128">
        <f>EDATE(InceptionDate,7)</f>
        <v/>
      </c>
      <c r="M24" s="128">
        <f>EDATE(InceptionDate,8)</f>
        <v/>
      </c>
      <c r="N24" s="128">
        <f>EDATE(InceptionDate,9)</f>
        <v/>
      </c>
      <c r="O24" s="128">
        <f>EDATE(InceptionDate,10)</f>
        <v/>
      </c>
      <c r="P24" s="128">
        <f>EDATE(InceptionDate,11)</f>
        <v/>
      </c>
      <c r="Q24" s="128">
        <f>EDATE(InceptionDate,12)</f>
        <v/>
      </c>
      <c r="R24" s="128">
        <f>EDATE(InceptionDate,13)</f>
        <v/>
      </c>
      <c r="S24" s="128">
        <f>EDATE(InceptionDate,14)</f>
        <v/>
      </c>
      <c r="T24" s="128">
        <f>EDATE(InceptionDate,15)</f>
        <v/>
      </c>
      <c r="U24" s="128">
        <f>EDATE(InceptionDate,16)</f>
        <v/>
      </c>
      <c r="V24" s="128">
        <f>EDATE(InceptionDate,17)</f>
        <v/>
      </c>
      <c r="W24" s="128">
        <f>EDATE(InceptionDate,18)</f>
        <v/>
      </c>
      <c r="X24" s="128">
        <f>EDATE(InceptionDate,19)</f>
        <v/>
      </c>
      <c r="Y24" s="128">
        <f>EDATE(InceptionDate,20)</f>
        <v/>
      </c>
      <c r="Z24" s="128">
        <f>EDATE(InceptionDate,21)</f>
        <v/>
      </c>
      <c r="AA24" s="128">
        <f>EDATE(InceptionDate,22)</f>
        <v/>
      </c>
      <c r="AB24" s="128">
        <f>EDATE(InceptionDate,23)</f>
        <v/>
      </c>
      <c r="AC24" s="128">
        <f>EDATE(InceptionDate,24)</f>
        <v/>
      </c>
      <c r="AD24" s="128">
        <f>EDATE(InceptionDate,25)</f>
        <v/>
      </c>
      <c r="AE24" s="128">
        <f>EDATE(InceptionDate,26)</f>
        <v/>
      </c>
      <c r="AF24" s="128">
        <f>EDATE(InceptionDate,27)</f>
        <v/>
      </c>
      <c r="AG24" s="128">
        <f>EDATE(InceptionDate,28)</f>
        <v/>
      </c>
      <c r="AH24" s="128">
        <f>EDATE(InceptionDate,29)</f>
        <v/>
      </c>
      <c r="AI24" s="128">
        <f>EDATE(InceptionDate,30)</f>
        <v/>
      </c>
      <c r="AJ24" s="128">
        <f>EDATE(InceptionDate,31)</f>
        <v/>
      </c>
      <c r="AK24" s="128">
        <f>EDATE(InceptionDate,32)</f>
        <v/>
      </c>
      <c r="AL24" s="128">
        <f>EDATE(InceptionDate,33)</f>
        <v/>
      </c>
      <c r="AM24" s="128">
        <f>EDATE(InceptionDate,34)</f>
        <v/>
      </c>
      <c r="AN24" s="128">
        <f>EDATE(InceptionDate,35)</f>
        <v/>
      </c>
      <c r="AO24" s="128">
        <f>EDATE(InceptionDate,36)</f>
        <v/>
      </c>
      <c r="AP24" s="128">
        <f>EDATE(InceptionDate,37)</f>
        <v/>
      </c>
      <c r="AQ24" s="128">
        <f>EDATE(InceptionDate,38)</f>
        <v/>
      </c>
      <c r="AR24" s="128">
        <f>EDATE(InceptionDate,39)</f>
        <v/>
      </c>
      <c r="AS24" s="128">
        <f>EDATE(InceptionDate,40)</f>
        <v/>
      </c>
      <c r="AT24" s="128">
        <f>EDATE(InceptionDate,41)</f>
        <v/>
      </c>
      <c r="AU24" s="128">
        <f>EDATE(InceptionDate,42)</f>
        <v/>
      </c>
      <c r="AV24" s="128">
        <f>EDATE(InceptionDate,43)</f>
        <v/>
      </c>
      <c r="AW24" s="128">
        <f>EDATE(InceptionDate,44)</f>
        <v/>
      </c>
      <c r="AX24" s="128">
        <f>EDATE(InceptionDate,45)</f>
        <v/>
      </c>
      <c r="AY24" s="128">
        <f>EDATE(InceptionDate,46)</f>
        <v/>
      </c>
      <c r="AZ24" s="128">
        <f>EDATE(InceptionDate,47)</f>
        <v/>
      </c>
      <c r="BA24" s="128">
        <f>EDATE(InceptionDate,48)</f>
        <v/>
      </c>
      <c r="BB24" s="128">
        <f>EDATE(InceptionDate,49)</f>
        <v/>
      </c>
      <c r="BC24" s="128">
        <f>EDATE(InceptionDate,50)</f>
        <v/>
      </c>
      <c r="BD24" s="128">
        <f>EDATE(InceptionDate,51)</f>
        <v/>
      </c>
      <c r="BE24" s="128">
        <f>EDATE(InceptionDate,52)</f>
        <v/>
      </c>
      <c r="BF24" s="128">
        <f>EDATE(InceptionDate,53)</f>
        <v/>
      </c>
      <c r="BG24" s="128">
        <f>EDATE(InceptionDate,54)</f>
        <v/>
      </c>
      <c r="BH24" s="128">
        <f>EDATE(InceptionDate,55)</f>
        <v/>
      </c>
      <c r="BI24" s="128">
        <f>EDATE(InceptionDate,56)</f>
        <v/>
      </c>
      <c r="BJ24" s="128">
        <f>EDATE(InceptionDate,57)</f>
        <v/>
      </c>
      <c r="BK24" s="128">
        <f>EDATE(InceptionDate,58)</f>
        <v/>
      </c>
      <c r="BL24" s="128">
        <f>EDATE(InceptionDate,59)</f>
        <v/>
      </c>
      <c r="BM24" s="128">
        <f>EDATE(InceptionDate,60)</f>
        <v/>
      </c>
      <c r="BN24" s="128">
        <f>EDATE(InceptionDate,61)</f>
        <v/>
      </c>
      <c r="BO24" s="128">
        <f>EDATE(InceptionDate,62)</f>
        <v/>
      </c>
      <c r="BP24" s="128">
        <f>EDATE(InceptionDate,63)</f>
        <v/>
      </c>
      <c r="BQ24" s="128">
        <f>EDATE(InceptionDate,64)</f>
        <v/>
      </c>
      <c r="BR24" s="128">
        <f>EDATE(InceptionDate,65)</f>
        <v/>
      </c>
      <c r="BS24" s="128">
        <f>EDATE(InceptionDate,66)</f>
        <v/>
      </c>
      <c r="BT24" s="128">
        <f>EDATE(InceptionDate,67)</f>
        <v/>
      </c>
      <c r="BU24" s="128">
        <f>EDATE(InceptionDate,68)</f>
        <v/>
      </c>
      <c r="BV24" s="128">
        <f>EDATE(InceptionDate,69)</f>
        <v/>
      </c>
      <c r="BW24" s="128">
        <f>EDATE(InceptionDate,70)</f>
        <v/>
      </c>
      <c r="BX24" s="128">
        <f>EDATE(InceptionDate,71)</f>
        <v/>
      </c>
      <c r="BY24" s="128">
        <f>EDATE(InceptionDate,72)</f>
        <v/>
      </c>
      <c r="BZ24" s="128">
        <f>EDATE(InceptionDate,73)</f>
        <v/>
      </c>
      <c r="CA24" s="128">
        <f>EDATE(InceptionDate,74)</f>
        <v/>
      </c>
      <c r="CB24" s="128">
        <f>EDATE(InceptionDate,75)</f>
        <v/>
      </c>
      <c r="CC24" s="128">
        <f>EDATE(InceptionDate,76)</f>
        <v/>
      </c>
      <c r="CD24" s="128">
        <f>EDATE(InceptionDate,77)</f>
        <v/>
      </c>
      <c r="CE24" s="128">
        <f>EDATE(InceptionDate,78)</f>
        <v/>
      </c>
      <c r="CF24" s="128">
        <f>EDATE(InceptionDate,79)</f>
        <v/>
      </c>
      <c r="CG24" s="128">
        <f>EDATE(InceptionDate,80)</f>
        <v/>
      </c>
      <c r="CH24" s="128">
        <f>EDATE(InceptionDate,81)</f>
        <v/>
      </c>
      <c r="CI24" s="128">
        <f>EDATE(InceptionDate,82)</f>
        <v/>
      </c>
      <c r="CJ24" s="128">
        <f>EDATE(InceptionDate,83)</f>
        <v/>
      </c>
      <c r="CK24" s="128">
        <f>EDATE(InceptionDate,84)</f>
        <v/>
      </c>
      <c r="CL24" s="128">
        <f>EDATE(InceptionDate,85)</f>
        <v/>
      </c>
      <c r="CM24" s="128">
        <f>EDATE(InceptionDate,86)</f>
        <v/>
      </c>
      <c r="CN24" s="128">
        <f>EDATE(InceptionDate,87)</f>
        <v/>
      </c>
      <c r="CO24" s="128">
        <f>EDATE(InceptionDate,88)</f>
        <v/>
      </c>
      <c r="CP24" s="128">
        <f>EDATE(InceptionDate,89)</f>
        <v/>
      </c>
      <c r="CQ24" s="128">
        <f>EDATE(InceptionDate,90)</f>
        <v/>
      </c>
      <c r="CR24" s="128">
        <f>EDATE(InceptionDate,91)</f>
        <v/>
      </c>
      <c r="CS24" s="128">
        <f>EDATE(InceptionDate,92)</f>
        <v/>
      </c>
      <c r="CT24" s="128">
        <f>EDATE(InceptionDate,93)</f>
        <v/>
      </c>
      <c r="CU24" s="128">
        <f>EDATE(InceptionDate,94)</f>
        <v/>
      </c>
      <c r="CV24" s="128">
        <f>EDATE(InceptionDate,95)</f>
        <v/>
      </c>
      <c r="CW24" s="128">
        <f>EDATE(InceptionDate,96)</f>
        <v/>
      </c>
      <c r="CX24" s="128">
        <f>EDATE(InceptionDate,97)</f>
        <v/>
      </c>
      <c r="CY24" s="128">
        <f>EDATE(InceptionDate,98)</f>
        <v/>
      </c>
      <c r="CZ24" s="128">
        <f>EDATE(InceptionDate,99)</f>
        <v/>
      </c>
      <c r="DA24" s="128">
        <f>EDATE(InceptionDate,100)</f>
        <v/>
      </c>
      <c r="DB24" s="128">
        <f>EDATE(InceptionDate,101)</f>
        <v/>
      </c>
      <c r="DC24" s="128">
        <f>EDATE(InceptionDate,102)</f>
        <v/>
      </c>
      <c r="DD24" s="128">
        <f>EDATE(InceptionDate,103)</f>
        <v/>
      </c>
      <c r="DE24" s="128">
        <f>EDATE(InceptionDate,104)</f>
        <v/>
      </c>
      <c r="DF24" s="128">
        <f>EDATE(InceptionDate,105)</f>
        <v/>
      </c>
      <c r="DG24" s="128">
        <f>EDATE(InceptionDate,106)</f>
        <v/>
      </c>
      <c r="DH24" s="128">
        <f>EDATE(InceptionDate,107)</f>
        <v/>
      </c>
      <c r="DI24" s="128">
        <f>EDATE(InceptionDate,108)</f>
        <v/>
      </c>
      <c r="DJ24" s="128">
        <f>EDATE(InceptionDate,109)</f>
        <v/>
      </c>
      <c r="DK24" s="128">
        <f>EDATE(InceptionDate,110)</f>
        <v/>
      </c>
      <c r="DL24" s="128">
        <f>EDATE(InceptionDate,111)</f>
        <v/>
      </c>
      <c r="DM24" s="128">
        <f>EDATE(InceptionDate,112)</f>
        <v/>
      </c>
      <c r="DN24" s="128">
        <f>EDATE(InceptionDate,113)</f>
        <v/>
      </c>
      <c r="DO24" s="128">
        <f>EDATE(InceptionDate,114)</f>
        <v/>
      </c>
      <c r="DP24" s="128">
        <f>EDATE(InceptionDate,115)</f>
        <v/>
      </c>
      <c r="DQ24" s="128">
        <f>EDATE(InceptionDate,116)</f>
        <v/>
      </c>
      <c r="DR24" s="128">
        <f>EDATE(InceptionDate,117)</f>
        <v/>
      </c>
      <c r="DS24" s="128">
        <f>EDATE(InceptionDate,118)</f>
        <v/>
      </c>
      <c r="DT24" s="128">
        <f>EDATE(InceptionDate,119)</f>
        <v/>
      </c>
      <c r="DU24" s="128">
        <f>EDATE(InceptionDate,120)</f>
        <v/>
      </c>
      <c r="DV24" s="128">
        <f>EDATE(InceptionDate,121)</f>
        <v/>
      </c>
      <c r="DW24" s="128">
        <f>EDATE(InceptionDate,122)</f>
        <v/>
      </c>
      <c r="DX24" s="128">
        <f>EDATE(InceptionDate,123)</f>
        <v/>
      </c>
      <c r="DY24" s="128">
        <f>EDATE(InceptionDate,124)</f>
        <v/>
      </c>
      <c r="DZ24" s="128">
        <f>EDATE(InceptionDate,125)</f>
        <v/>
      </c>
      <c r="EA24" s="128">
        <f>EDATE(InceptionDate,126)</f>
        <v/>
      </c>
      <c r="EB24" s="128">
        <f>EDATE(InceptionDate,127)</f>
        <v/>
      </c>
      <c r="EC24" s="128">
        <f>EDATE(InceptionDate,128)</f>
        <v/>
      </c>
      <c r="ED24" s="128">
        <f>EDATE(InceptionDate,129)</f>
        <v/>
      </c>
      <c r="EE24" s="128">
        <f>EDATE(InceptionDate,130)</f>
        <v/>
      </c>
      <c r="EF24" s="128">
        <f>EDATE(InceptionDate,131)</f>
        <v/>
      </c>
      <c r="EG24" s="128">
        <f>EDATE(InceptionDate,132)</f>
        <v/>
      </c>
      <c r="EH24" s="128">
        <f>EDATE(InceptionDate,133)</f>
        <v/>
      </c>
      <c r="EI24" s="128">
        <f>EDATE(InceptionDate,134)</f>
        <v/>
      </c>
      <c r="EJ24" s="128">
        <f>EDATE(InceptionDate,135)</f>
        <v/>
      </c>
      <c r="EK24" s="128">
        <f>EDATE(InceptionDate,136)</f>
        <v/>
      </c>
      <c r="EL24" s="128">
        <f>EDATE(InceptionDate,137)</f>
        <v/>
      </c>
      <c r="EM24" s="128">
        <f>EDATE(InceptionDate,138)</f>
        <v/>
      </c>
      <c r="EN24" s="128">
        <f>EDATE(InceptionDate,139)</f>
        <v/>
      </c>
      <c r="EO24" s="128">
        <f>EDATE(InceptionDate,140)</f>
        <v/>
      </c>
      <c r="EP24" s="128">
        <f>EDATE(InceptionDate,141)</f>
        <v/>
      </c>
      <c r="EQ24" s="128">
        <f>EDATE(InceptionDate,142)</f>
        <v/>
      </c>
      <c r="ER24" s="128">
        <f>EDATE(InceptionDate,143)</f>
        <v/>
      </c>
      <c r="ES24" s="128">
        <f>EDATE(InceptionDate,144)</f>
        <v/>
      </c>
      <c r="ET24" s="128">
        <f>EDATE(InceptionDate,145)</f>
        <v/>
      </c>
      <c r="EU24" s="128">
        <f>EDATE(InceptionDate,146)</f>
        <v/>
      </c>
      <c r="EV24" s="128">
        <f>EDATE(InceptionDate,147)</f>
        <v/>
      </c>
      <c r="EW24" s="128">
        <f>EDATE(InceptionDate,148)</f>
        <v/>
      </c>
      <c r="EX24" s="128">
        <f>EDATE(InceptionDate,149)</f>
        <v/>
      </c>
      <c r="EY24" s="128">
        <f>EDATE(InceptionDate,150)</f>
        <v/>
      </c>
      <c r="EZ24" s="128">
        <f>EDATE(InceptionDate,151)</f>
        <v/>
      </c>
      <c r="FA24" s="128">
        <f>EDATE(InceptionDate,152)</f>
        <v/>
      </c>
      <c r="FB24" s="128">
        <f>EDATE(InceptionDate,153)</f>
        <v/>
      </c>
      <c r="FC24" s="128">
        <f>EDATE(InceptionDate,154)</f>
        <v/>
      </c>
      <c r="FD24" s="128">
        <f>EDATE(InceptionDate,155)</f>
        <v/>
      </c>
      <c r="FE24" s="128">
        <f>EDATE(InceptionDate,156)</f>
        <v/>
      </c>
      <c r="FF24" s="128">
        <f>EDATE(InceptionDate,157)</f>
        <v/>
      </c>
      <c r="FG24" s="128">
        <f>EDATE(InceptionDate,158)</f>
        <v/>
      </c>
      <c r="FH24" s="128">
        <f>EDATE(InceptionDate,159)</f>
        <v/>
      </c>
      <c r="FI24" s="128">
        <f>EDATE(InceptionDate,160)</f>
        <v/>
      </c>
      <c r="FJ24" s="128">
        <f>EDATE(InceptionDate,161)</f>
        <v/>
      </c>
      <c r="FK24" s="128">
        <f>EDATE(InceptionDate,162)</f>
        <v/>
      </c>
      <c r="FL24" s="128">
        <f>EDATE(InceptionDate,163)</f>
        <v/>
      </c>
      <c r="FM24" s="128">
        <f>EDATE(InceptionDate,164)</f>
        <v/>
      </c>
      <c r="FN24" s="128">
        <f>EDATE(InceptionDate,165)</f>
        <v/>
      </c>
      <c r="FO24" s="128">
        <f>EDATE(InceptionDate,166)</f>
        <v/>
      </c>
      <c r="FP24" s="128">
        <f>EDATE(InceptionDate,167)</f>
        <v/>
      </c>
      <c r="FQ24" s="128">
        <f>EDATE(InceptionDate,168)</f>
        <v/>
      </c>
      <c r="FR24" s="128">
        <f>EDATE(InceptionDate,169)</f>
        <v/>
      </c>
      <c r="FS24" s="128">
        <f>EDATE(InceptionDate,170)</f>
        <v/>
      </c>
      <c r="FT24" s="128">
        <f>EDATE(InceptionDate,171)</f>
        <v/>
      </c>
      <c r="FU24" s="128">
        <f>EDATE(InceptionDate,172)</f>
        <v/>
      </c>
      <c r="FV24" s="128">
        <f>EDATE(InceptionDate,173)</f>
        <v/>
      </c>
      <c r="FW24" s="128">
        <f>EDATE(InceptionDate,174)</f>
        <v/>
      </c>
      <c r="FX24" s="128">
        <f>EDATE(InceptionDate,175)</f>
        <v/>
      </c>
      <c r="FY24" s="128">
        <f>EDATE(InceptionDate,176)</f>
        <v/>
      </c>
      <c r="FZ24" s="128">
        <f>EDATE(InceptionDate,177)</f>
        <v/>
      </c>
      <c r="GA24" s="128">
        <f>EDATE(InceptionDate,178)</f>
        <v/>
      </c>
      <c r="GB24" s="128">
        <f>EDATE(InceptionDate,179)</f>
        <v/>
      </c>
      <c r="GC24" s="128">
        <f>EDATE(InceptionDate,180)</f>
        <v/>
      </c>
      <c r="GD24" s="128">
        <f>EDATE(InceptionDate,181)</f>
        <v/>
      </c>
      <c r="GE24" s="128">
        <f>EDATE(InceptionDate,182)</f>
        <v/>
      </c>
      <c r="GF24" s="128">
        <f>EDATE(InceptionDate,183)</f>
        <v/>
      </c>
      <c r="GG24" s="128">
        <f>EDATE(InceptionDate,184)</f>
        <v/>
      </c>
      <c r="GH24" s="128">
        <f>EDATE(InceptionDate,185)</f>
        <v/>
      </c>
      <c r="GI24" s="128">
        <f>EDATE(InceptionDate,186)</f>
        <v/>
      </c>
      <c r="GJ24" s="128">
        <f>EDATE(InceptionDate,187)</f>
        <v/>
      </c>
      <c r="GK24" s="128">
        <f>EDATE(InceptionDate,188)</f>
        <v/>
      </c>
      <c r="GL24" s="128">
        <f>EDATE(InceptionDate,189)</f>
        <v/>
      </c>
      <c r="GM24" s="128">
        <f>EDATE(InceptionDate,190)</f>
        <v/>
      </c>
      <c r="GN24" s="128">
        <f>EDATE(InceptionDate,191)</f>
        <v/>
      </c>
      <c r="GO24" s="128">
        <f>EDATE(InceptionDate,192)</f>
        <v/>
      </c>
      <c r="GP24" s="128">
        <f>EDATE(InceptionDate,193)</f>
        <v/>
      </c>
      <c r="GQ24" s="128">
        <f>EDATE(InceptionDate,194)</f>
        <v/>
      </c>
      <c r="GR24" s="128">
        <f>EDATE(InceptionDate,195)</f>
        <v/>
      </c>
      <c r="GS24" s="128">
        <f>EDATE(InceptionDate,196)</f>
        <v/>
      </c>
      <c r="GT24" s="128">
        <f>EDATE(InceptionDate,197)</f>
        <v/>
      </c>
      <c r="GU24" s="128">
        <f>EDATE(InceptionDate,198)</f>
        <v/>
      </c>
      <c r="GV24" s="128">
        <f>EDATE(InceptionDate,199)</f>
        <v/>
      </c>
      <c r="GW24" s="128">
        <f>EDATE(InceptionDate,200)</f>
        <v/>
      </c>
      <c r="GX24" s="128">
        <f>EDATE(InceptionDate,201)</f>
        <v/>
      </c>
      <c r="GY24" s="128">
        <f>EDATE(InceptionDate,202)</f>
        <v/>
      </c>
      <c r="GZ24" s="128">
        <f>EDATE(InceptionDate,203)</f>
        <v/>
      </c>
      <c r="HA24" s="128">
        <f>EDATE(InceptionDate,204)</f>
        <v/>
      </c>
      <c r="HB24" s="128">
        <f>EDATE(InceptionDate,205)</f>
        <v/>
      </c>
      <c r="HC24" s="128">
        <f>EDATE(InceptionDate,206)</f>
        <v/>
      </c>
      <c r="HD24" s="128">
        <f>EDATE(InceptionDate,207)</f>
        <v/>
      </c>
      <c r="HE24" s="128">
        <f>EDATE(InceptionDate,208)</f>
        <v/>
      </c>
      <c r="HF24" s="128">
        <f>EDATE(InceptionDate,209)</f>
        <v/>
      </c>
      <c r="HG24" s="128">
        <f>EDATE(InceptionDate,210)</f>
        <v/>
      </c>
      <c r="HH24" s="128">
        <f>EDATE(InceptionDate,211)</f>
        <v/>
      </c>
      <c r="HI24" s="128">
        <f>EDATE(InceptionDate,212)</f>
        <v/>
      </c>
      <c r="HJ24" s="128">
        <f>EDATE(InceptionDate,213)</f>
        <v/>
      </c>
      <c r="HK24" s="128">
        <f>EDATE(InceptionDate,214)</f>
        <v/>
      </c>
      <c r="HL24" s="128">
        <f>EDATE(InceptionDate,215)</f>
        <v/>
      </c>
      <c r="HM24" s="128">
        <f>EDATE(InceptionDate,216)</f>
        <v/>
      </c>
      <c r="HN24" s="128">
        <f>EDATE(InceptionDate,217)</f>
        <v/>
      </c>
      <c r="HO24" s="128">
        <f>EDATE(InceptionDate,218)</f>
        <v/>
      </c>
      <c r="HP24" s="128">
        <f>EDATE(InceptionDate,219)</f>
        <v/>
      </c>
      <c r="HQ24" s="128">
        <f>EDATE(InceptionDate,220)</f>
        <v/>
      </c>
      <c r="HR24" s="128">
        <f>EDATE(InceptionDate,221)</f>
        <v/>
      </c>
      <c r="HS24" s="128">
        <f>EDATE(InceptionDate,222)</f>
        <v/>
      </c>
      <c r="HT24" s="128">
        <f>EDATE(InceptionDate,223)</f>
        <v/>
      </c>
      <c r="HU24" s="128">
        <f>EDATE(InceptionDate,224)</f>
        <v/>
      </c>
      <c r="HV24" s="128">
        <f>EDATE(InceptionDate,225)</f>
        <v/>
      </c>
      <c r="HW24" s="128">
        <f>EDATE(InceptionDate,226)</f>
        <v/>
      </c>
      <c r="HX24" s="128">
        <f>EDATE(InceptionDate,227)</f>
        <v/>
      </c>
      <c r="HY24" s="128">
        <f>EDATE(InceptionDate,228)</f>
        <v/>
      </c>
      <c r="HZ24" s="128">
        <f>EDATE(InceptionDate,229)</f>
        <v/>
      </c>
      <c r="IA24" s="128">
        <f>EDATE(InceptionDate,230)</f>
        <v/>
      </c>
      <c r="IB24" s="128">
        <f>EDATE(InceptionDate,231)</f>
        <v/>
      </c>
      <c r="IC24" s="128">
        <f>EDATE(InceptionDate,232)</f>
        <v/>
      </c>
      <c r="ID24" s="128">
        <f>EDATE(InceptionDate,233)</f>
        <v/>
      </c>
      <c r="IE24" s="128">
        <f>EDATE(InceptionDate,234)</f>
        <v/>
      </c>
      <c r="IF24" s="128">
        <f>EDATE(InceptionDate,235)</f>
        <v/>
      </c>
      <c r="IG24" s="128">
        <f>EDATE(InceptionDate,236)</f>
        <v/>
      </c>
      <c r="IH24" s="128">
        <f>EDATE(InceptionDate,237)</f>
        <v/>
      </c>
      <c r="II24" s="128">
        <f>EDATE(InceptionDate,238)</f>
        <v/>
      </c>
      <c r="IJ24" s="128">
        <f>EDATE(InceptionDate,239)</f>
        <v/>
      </c>
      <c r="IK24" s="128">
        <f>EDATE(InceptionDate,240)</f>
        <v/>
      </c>
      <c r="IL24" s="128">
        <f>EDATE(InceptionDate,241)</f>
        <v/>
      </c>
      <c r="IM24" s="128">
        <f>EDATE(InceptionDate,242)</f>
        <v/>
      </c>
      <c r="IN24" s="128">
        <f>EDATE(InceptionDate,243)</f>
        <v/>
      </c>
      <c r="IO24" s="128">
        <f>EDATE(InceptionDate,244)</f>
        <v/>
      </c>
      <c r="IP24" s="128">
        <f>EDATE(InceptionDate,245)</f>
        <v/>
      </c>
      <c r="IQ24" s="128">
        <f>EDATE(InceptionDate,246)</f>
        <v/>
      </c>
      <c r="IR24" s="128">
        <f>EDATE(InceptionDate,247)</f>
        <v/>
      </c>
      <c r="IS24" s="128">
        <f>EDATE(InceptionDate,248)</f>
        <v/>
      </c>
      <c r="IT24" s="128">
        <f>EDATE(InceptionDate,249)</f>
        <v/>
      </c>
      <c r="IU24" s="128">
        <f>EDATE(InceptionDate,250)</f>
        <v/>
      </c>
      <c r="IV24" s="128">
        <f>EDATE(InceptionDate,251)</f>
        <v/>
      </c>
      <c r="IW24" s="128">
        <f>EDATE(InceptionDate,252)</f>
        <v/>
      </c>
      <c r="IX24" s="128">
        <f>EDATE(InceptionDate,253)</f>
        <v/>
      </c>
      <c r="IY24" s="128">
        <f>EDATE(InceptionDate,254)</f>
        <v/>
      </c>
      <c r="IZ24" s="128">
        <f>EDATE(InceptionDate,255)</f>
        <v/>
      </c>
      <c r="JA24" s="128">
        <f>EDATE(InceptionDate,256)</f>
        <v/>
      </c>
      <c r="JB24" s="128">
        <f>EDATE(InceptionDate,257)</f>
        <v/>
      </c>
      <c r="JC24" s="128">
        <f>EDATE(InceptionDate,258)</f>
        <v/>
      </c>
      <c r="JD24" s="128">
        <f>EDATE(InceptionDate,259)</f>
        <v/>
      </c>
      <c r="JE24" s="128">
        <f>EDATE(InceptionDate,260)</f>
        <v/>
      </c>
      <c r="JF24" s="128">
        <f>EDATE(InceptionDate,261)</f>
        <v/>
      </c>
      <c r="JG24" s="128">
        <f>EDATE(InceptionDate,262)</f>
        <v/>
      </c>
      <c r="JH24" s="128">
        <f>EDATE(InceptionDate,263)</f>
        <v/>
      </c>
      <c r="JI24" s="128">
        <f>EDATE(InceptionDate,264)</f>
        <v/>
      </c>
      <c r="JJ24" s="128">
        <f>EDATE(InceptionDate,265)</f>
        <v/>
      </c>
      <c r="JK24" s="128">
        <f>EDATE(InceptionDate,266)</f>
        <v/>
      </c>
      <c r="JL24" s="128">
        <f>EDATE(InceptionDate,267)</f>
        <v/>
      </c>
      <c r="JM24" s="128">
        <f>EDATE(InceptionDate,268)</f>
        <v/>
      </c>
      <c r="JN24" s="128">
        <f>EDATE(InceptionDate,269)</f>
        <v/>
      </c>
      <c r="JO24" s="128">
        <f>EDATE(InceptionDate,270)</f>
        <v/>
      </c>
      <c r="JP24" s="128">
        <f>EDATE(InceptionDate,271)</f>
        <v/>
      </c>
      <c r="JQ24" s="128">
        <f>EDATE(InceptionDate,272)</f>
        <v/>
      </c>
      <c r="JR24" s="128">
        <f>EDATE(InceptionDate,273)</f>
        <v/>
      </c>
      <c r="JS24" s="128">
        <f>EDATE(InceptionDate,274)</f>
        <v/>
      </c>
      <c r="JT24" s="128">
        <f>EDATE(InceptionDate,275)</f>
        <v/>
      </c>
      <c r="JU24" s="128">
        <f>EDATE(InceptionDate,276)</f>
        <v/>
      </c>
      <c r="JV24" s="128">
        <f>EDATE(InceptionDate,277)</f>
        <v/>
      </c>
      <c r="JW24" s="128">
        <f>EDATE(InceptionDate,278)</f>
        <v/>
      </c>
      <c r="JX24" s="128">
        <f>EDATE(InceptionDate,279)</f>
        <v/>
      </c>
      <c r="JY24" s="128">
        <f>EDATE(InceptionDate,280)</f>
        <v/>
      </c>
      <c r="JZ24" s="128">
        <f>EDATE(InceptionDate,281)</f>
        <v/>
      </c>
      <c r="KA24" s="128">
        <f>EDATE(InceptionDate,282)</f>
        <v/>
      </c>
      <c r="KB24" s="128">
        <f>EDATE(InceptionDate,283)</f>
        <v/>
      </c>
      <c r="KC24" s="128">
        <f>EDATE(InceptionDate,284)</f>
        <v/>
      </c>
      <c r="KD24" s="128">
        <f>EDATE(InceptionDate,285)</f>
        <v/>
      </c>
      <c r="KE24" s="128">
        <f>EDATE(InceptionDate,286)</f>
        <v/>
      </c>
      <c r="KF24" s="128">
        <f>EDATE(InceptionDate,287)</f>
        <v/>
      </c>
      <c r="KG24" s="128">
        <f>EDATE(InceptionDate,288)</f>
        <v/>
      </c>
      <c r="KH24" s="128">
        <f>EDATE(InceptionDate,289)</f>
        <v/>
      </c>
      <c r="KI24" s="128">
        <f>EDATE(InceptionDate,290)</f>
        <v/>
      </c>
      <c r="KJ24" s="128">
        <f>EDATE(InceptionDate,291)</f>
        <v/>
      </c>
      <c r="KK24" s="128">
        <f>EDATE(InceptionDate,292)</f>
        <v/>
      </c>
      <c r="KL24" s="128">
        <f>EDATE(InceptionDate,293)</f>
        <v/>
      </c>
      <c r="KM24" s="128">
        <f>EDATE(InceptionDate,294)</f>
        <v/>
      </c>
      <c r="KN24" s="128">
        <f>EDATE(InceptionDate,295)</f>
        <v/>
      </c>
      <c r="KO24" s="128">
        <f>EDATE(InceptionDate,296)</f>
        <v/>
      </c>
      <c r="KP24" s="128">
        <f>EDATE(InceptionDate,297)</f>
        <v/>
      </c>
      <c r="KQ24" s="128">
        <f>EDATE(InceptionDate,298)</f>
        <v/>
      </c>
      <c r="KR24" s="128">
        <f>EDATE(InceptionDate,299)</f>
        <v/>
      </c>
      <c r="KS24" s="128">
        <f>EDATE(InceptionDate,300)</f>
        <v/>
      </c>
      <c r="KT24" s="128">
        <f>EDATE(InceptionDate,301)</f>
        <v/>
      </c>
      <c r="KU24" s="128">
        <f>EDATE(InceptionDate,302)</f>
        <v/>
      </c>
      <c r="KV24" s="128">
        <f>EDATE(InceptionDate,303)</f>
        <v/>
      </c>
      <c r="KW24" s="128">
        <f>EDATE(InceptionDate,304)</f>
        <v/>
      </c>
      <c r="KX24" s="128">
        <f>EDATE(InceptionDate,305)</f>
        <v/>
      </c>
      <c r="KY24" s="128">
        <f>EDATE(InceptionDate,306)</f>
        <v/>
      </c>
      <c r="KZ24" s="128">
        <f>EDATE(InceptionDate,307)</f>
        <v/>
      </c>
      <c r="LA24" s="128">
        <f>EDATE(InceptionDate,308)</f>
        <v/>
      </c>
      <c r="LB24" s="128">
        <f>EDATE(InceptionDate,309)</f>
        <v/>
      </c>
      <c r="LC24" s="128">
        <f>EDATE(InceptionDate,310)</f>
        <v/>
      </c>
      <c r="LD24" s="128">
        <f>EDATE(InceptionDate,311)</f>
        <v/>
      </c>
      <c r="LE24" s="128">
        <f>EDATE(InceptionDate,312)</f>
        <v/>
      </c>
      <c r="LF24" s="128">
        <f>EDATE(InceptionDate,313)</f>
        <v/>
      </c>
      <c r="LG24" s="128">
        <f>EDATE(InceptionDate,314)</f>
        <v/>
      </c>
      <c r="LH24" s="128">
        <f>EDATE(InceptionDate,315)</f>
        <v/>
      </c>
      <c r="LI24" s="128">
        <f>EDATE(InceptionDate,316)</f>
        <v/>
      </c>
      <c r="LJ24" s="128">
        <f>EDATE(InceptionDate,317)</f>
        <v/>
      </c>
      <c r="LK24" s="128">
        <f>EDATE(InceptionDate,318)</f>
        <v/>
      </c>
      <c r="LL24" s="128">
        <f>EDATE(InceptionDate,319)</f>
        <v/>
      </c>
      <c r="LM24" s="128">
        <f>EDATE(InceptionDate,320)</f>
        <v/>
      </c>
      <c r="LN24" s="128">
        <f>EDATE(InceptionDate,321)</f>
        <v/>
      </c>
      <c r="LO24" s="128">
        <f>EDATE(InceptionDate,322)</f>
        <v/>
      </c>
      <c r="LP24" s="128">
        <f>EDATE(InceptionDate,323)</f>
        <v/>
      </c>
      <c r="LQ24" s="128">
        <f>EDATE(InceptionDate,324)</f>
        <v/>
      </c>
      <c r="LR24" s="128">
        <f>EDATE(InceptionDate,325)</f>
        <v/>
      </c>
      <c r="LS24" s="128">
        <f>EDATE(InceptionDate,326)</f>
        <v/>
      </c>
      <c r="LT24" s="128">
        <f>EDATE(InceptionDate,327)</f>
        <v/>
      </c>
      <c r="LU24" s="128">
        <f>EDATE(InceptionDate,328)</f>
        <v/>
      </c>
      <c r="LV24" s="128">
        <f>EDATE(InceptionDate,329)</f>
        <v/>
      </c>
      <c r="LW24" s="128">
        <f>EDATE(InceptionDate,330)</f>
        <v/>
      </c>
      <c r="LX24" s="128">
        <f>EDATE(InceptionDate,331)</f>
        <v/>
      </c>
      <c r="LY24" s="128">
        <f>EDATE(InceptionDate,332)</f>
        <v/>
      </c>
      <c r="LZ24" s="128">
        <f>EDATE(InceptionDate,333)</f>
        <v/>
      </c>
      <c r="MA24" s="128">
        <f>EDATE(InceptionDate,334)</f>
        <v/>
      </c>
      <c r="MB24" s="128">
        <f>EDATE(InceptionDate,335)</f>
        <v/>
      </c>
      <c r="MC24" s="128">
        <f>EDATE(InceptionDate,336)</f>
        <v/>
      </c>
      <c r="MD24" s="128">
        <f>EDATE(InceptionDate,337)</f>
        <v/>
      </c>
      <c r="ME24" s="128">
        <f>EDATE(InceptionDate,338)</f>
        <v/>
      </c>
      <c r="MF24" s="128">
        <f>EDATE(InceptionDate,339)</f>
        <v/>
      </c>
      <c r="MG24" s="128">
        <f>EDATE(InceptionDate,340)</f>
        <v/>
      </c>
      <c r="MH24" s="128">
        <f>EDATE(InceptionDate,341)</f>
        <v/>
      </c>
      <c r="MI24" s="128">
        <f>EDATE(InceptionDate,342)</f>
        <v/>
      </c>
      <c r="MJ24" s="128">
        <f>EDATE(InceptionDate,343)</f>
        <v/>
      </c>
      <c r="MK24" s="128">
        <f>EDATE(InceptionDate,344)</f>
        <v/>
      </c>
      <c r="ML24" s="128">
        <f>EDATE(InceptionDate,345)</f>
        <v/>
      </c>
      <c r="MM24" s="128">
        <f>EDATE(InceptionDate,346)</f>
        <v/>
      </c>
      <c r="MN24" s="128">
        <f>EDATE(InceptionDate,347)</f>
        <v/>
      </c>
      <c r="MO24" s="128">
        <f>EDATE(InceptionDate,348)</f>
        <v/>
      </c>
      <c r="MP24" s="128">
        <f>EDATE(InceptionDate,349)</f>
        <v/>
      </c>
      <c r="MQ24" s="128">
        <f>EDATE(InceptionDate,350)</f>
        <v/>
      </c>
      <c r="MR24" s="128">
        <f>EDATE(InceptionDate,351)</f>
        <v/>
      </c>
      <c r="MS24" s="128">
        <f>EDATE(InceptionDate,352)</f>
        <v/>
      </c>
      <c r="MT24" s="128">
        <f>EDATE(InceptionDate,353)</f>
        <v/>
      </c>
      <c r="MU24" s="128">
        <f>EDATE(InceptionDate,354)</f>
        <v/>
      </c>
      <c r="MV24" s="128">
        <f>EDATE(InceptionDate,355)</f>
        <v/>
      </c>
      <c r="MW24" s="128">
        <f>EDATE(InceptionDate,356)</f>
        <v/>
      </c>
      <c r="MX24" s="128">
        <f>EDATE(InceptionDate,357)</f>
        <v/>
      </c>
      <c r="MY24" s="128">
        <f>EDATE(InceptionDate,358)</f>
        <v/>
      </c>
      <c r="MZ24" s="128">
        <f>EDATE(InceptionDate,359)</f>
        <v/>
      </c>
      <c r="NA24" s="128">
        <f>EDATE(InceptionDate,360)</f>
        <v/>
      </c>
      <c r="NB24" s="128">
        <f>EDATE(InceptionDate,361)</f>
        <v/>
      </c>
      <c r="NC24" s="128">
        <f>EDATE(InceptionDate,362)</f>
        <v/>
      </c>
      <c r="ND24" s="128">
        <f>EDATE(InceptionDate,363)</f>
        <v/>
      </c>
      <c r="NE24" s="128">
        <f>EDATE(InceptionDate,364)</f>
        <v/>
      </c>
      <c r="NF24" s="128">
        <f>EDATE(InceptionDate,365)</f>
        <v/>
      </c>
      <c r="NG24" s="128">
        <f>EDATE(InceptionDate,366)</f>
        <v/>
      </c>
      <c r="NH24" s="128">
        <f>EDATE(InceptionDate,367)</f>
        <v/>
      </c>
      <c r="NI24" s="128">
        <f>EDATE(InceptionDate,368)</f>
        <v/>
      </c>
      <c r="NJ24" s="128">
        <f>EDATE(InceptionDate,369)</f>
        <v/>
      </c>
      <c r="NK24" s="128">
        <f>EDATE(InceptionDate,370)</f>
        <v/>
      </c>
      <c r="NL24" s="128">
        <f>EDATE(InceptionDate,371)</f>
        <v/>
      </c>
    </row>
    <row r="25">
      <c r="B25" s="36" t="inlineStr">
        <is>
          <t>Days in Month</t>
        </is>
      </c>
      <c r="D25" s="124" t="n"/>
      <c r="E25" s="85">
        <f>DAY(EOMONTH(EDATE(InceptionDate,1-1),0))</f>
        <v/>
      </c>
      <c r="F25" s="85">
        <f>DAY(EOMONTH(EDATE(InceptionDate,2-1),0))</f>
        <v/>
      </c>
      <c r="G25" s="85">
        <f>DAY(EOMONTH(EDATE(InceptionDate,3-1),0))</f>
        <v/>
      </c>
      <c r="H25" s="85">
        <f>DAY(EOMONTH(EDATE(InceptionDate,4-1),0))</f>
        <v/>
      </c>
      <c r="I25" s="85">
        <f>DAY(EOMONTH(EDATE(InceptionDate,5-1),0))</f>
        <v/>
      </c>
      <c r="J25" s="85">
        <f>DAY(EOMONTH(EDATE(InceptionDate,6-1),0))</f>
        <v/>
      </c>
      <c r="K25" s="85">
        <f>DAY(EOMONTH(EDATE(InceptionDate,7-1),0))</f>
        <v/>
      </c>
      <c r="L25" s="85">
        <f>DAY(EOMONTH(EDATE(InceptionDate,8-1),0))</f>
        <v/>
      </c>
      <c r="M25" s="85">
        <f>DAY(EOMONTH(EDATE(InceptionDate,9-1),0))</f>
        <v/>
      </c>
      <c r="N25" s="85">
        <f>DAY(EOMONTH(EDATE(InceptionDate,10-1),0))</f>
        <v/>
      </c>
      <c r="O25" s="85">
        <f>DAY(EOMONTH(EDATE(InceptionDate,11-1),0))</f>
        <v/>
      </c>
      <c r="P25" s="85">
        <f>DAY(EOMONTH(EDATE(InceptionDate,12-1),0))</f>
        <v/>
      </c>
      <c r="Q25" s="85">
        <f>DAY(EOMONTH(EDATE(InceptionDate,13-1),0))</f>
        <v/>
      </c>
      <c r="R25" s="85">
        <f>DAY(EOMONTH(EDATE(InceptionDate,14-1),0))</f>
        <v/>
      </c>
      <c r="S25" s="85">
        <f>DAY(EOMONTH(EDATE(InceptionDate,15-1),0))</f>
        <v/>
      </c>
      <c r="T25" s="85">
        <f>DAY(EOMONTH(EDATE(InceptionDate,16-1),0))</f>
        <v/>
      </c>
      <c r="U25" s="85">
        <f>DAY(EOMONTH(EDATE(InceptionDate,17-1),0))</f>
        <v/>
      </c>
      <c r="V25" s="85">
        <f>DAY(EOMONTH(EDATE(InceptionDate,18-1),0))</f>
        <v/>
      </c>
      <c r="W25" s="85">
        <f>DAY(EOMONTH(EDATE(InceptionDate,19-1),0))</f>
        <v/>
      </c>
      <c r="X25" s="85">
        <f>DAY(EOMONTH(EDATE(InceptionDate,20-1),0))</f>
        <v/>
      </c>
      <c r="Y25" s="85">
        <f>DAY(EOMONTH(EDATE(InceptionDate,21-1),0))</f>
        <v/>
      </c>
      <c r="Z25" s="85">
        <f>DAY(EOMONTH(EDATE(InceptionDate,22-1),0))</f>
        <v/>
      </c>
      <c r="AA25" s="85">
        <f>DAY(EOMONTH(EDATE(InceptionDate,23-1),0))</f>
        <v/>
      </c>
      <c r="AB25" s="85">
        <f>DAY(EOMONTH(EDATE(InceptionDate,24-1),0))</f>
        <v/>
      </c>
      <c r="AC25" s="85">
        <f>DAY(EOMONTH(EDATE(InceptionDate,25-1),0))</f>
        <v/>
      </c>
      <c r="AD25" s="85">
        <f>DAY(EOMONTH(EDATE(InceptionDate,26-1),0))</f>
        <v/>
      </c>
      <c r="AE25" s="85">
        <f>DAY(EOMONTH(EDATE(InceptionDate,27-1),0))</f>
        <v/>
      </c>
      <c r="AF25" s="85">
        <f>DAY(EOMONTH(EDATE(InceptionDate,28-1),0))</f>
        <v/>
      </c>
      <c r="AG25" s="85">
        <f>DAY(EOMONTH(EDATE(InceptionDate,29-1),0))</f>
        <v/>
      </c>
      <c r="AH25" s="85">
        <f>DAY(EOMONTH(EDATE(InceptionDate,30-1),0))</f>
        <v/>
      </c>
      <c r="AI25" s="85">
        <f>DAY(EOMONTH(EDATE(InceptionDate,31-1),0))</f>
        <v/>
      </c>
      <c r="AJ25" s="85">
        <f>DAY(EOMONTH(EDATE(InceptionDate,32-1),0))</f>
        <v/>
      </c>
      <c r="AK25" s="85">
        <f>DAY(EOMONTH(EDATE(InceptionDate,33-1),0))</f>
        <v/>
      </c>
      <c r="AL25" s="85">
        <f>DAY(EOMONTH(EDATE(InceptionDate,34-1),0))</f>
        <v/>
      </c>
      <c r="AM25" s="85">
        <f>DAY(EOMONTH(EDATE(InceptionDate,35-1),0))</f>
        <v/>
      </c>
      <c r="AN25" s="85">
        <f>DAY(EOMONTH(EDATE(InceptionDate,36-1),0))</f>
        <v/>
      </c>
      <c r="AO25" s="85">
        <f>DAY(EOMONTH(EDATE(InceptionDate,37-1),0))</f>
        <v/>
      </c>
      <c r="AP25" s="85">
        <f>DAY(EOMONTH(EDATE(InceptionDate,38-1),0))</f>
        <v/>
      </c>
      <c r="AQ25" s="85">
        <f>DAY(EOMONTH(EDATE(InceptionDate,39-1),0))</f>
        <v/>
      </c>
      <c r="AR25" s="85">
        <f>DAY(EOMONTH(EDATE(InceptionDate,40-1),0))</f>
        <v/>
      </c>
      <c r="AS25" s="85">
        <f>DAY(EOMONTH(EDATE(InceptionDate,41-1),0))</f>
        <v/>
      </c>
      <c r="AT25" s="85">
        <f>DAY(EOMONTH(EDATE(InceptionDate,42-1),0))</f>
        <v/>
      </c>
      <c r="AU25" s="85">
        <f>DAY(EOMONTH(EDATE(InceptionDate,43-1),0))</f>
        <v/>
      </c>
      <c r="AV25" s="85">
        <f>DAY(EOMONTH(EDATE(InceptionDate,44-1),0))</f>
        <v/>
      </c>
      <c r="AW25" s="85">
        <f>DAY(EOMONTH(EDATE(InceptionDate,45-1),0))</f>
        <v/>
      </c>
      <c r="AX25" s="85">
        <f>DAY(EOMONTH(EDATE(InceptionDate,46-1),0))</f>
        <v/>
      </c>
      <c r="AY25" s="85">
        <f>DAY(EOMONTH(EDATE(InceptionDate,47-1),0))</f>
        <v/>
      </c>
      <c r="AZ25" s="85">
        <f>DAY(EOMONTH(EDATE(InceptionDate,48-1),0))</f>
        <v/>
      </c>
      <c r="BA25" s="85">
        <f>DAY(EOMONTH(EDATE(InceptionDate,49-1),0))</f>
        <v/>
      </c>
      <c r="BB25" s="85">
        <f>DAY(EOMONTH(EDATE(InceptionDate,50-1),0))</f>
        <v/>
      </c>
      <c r="BC25" s="85">
        <f>DAY(EOMONTH(EDATE(InceptionDate,51-1),0))</f>
        <v/>
      </c>
      <c r="BD25" s="85">
        <f>DAY(EOMONTH(EDATE(InceptionDate,52-1),0))</f>
        <v/>
      </c>
      <c r="BE25" s="85">
        <f>DAY(EOMONTH(EDATE(InceptionDate,53-1),0))</f>
        <v/>
      </c>
      <c r="BF25" s="85">
        <f>DAY(EOMONTH(EDATE(InceptionDate,54-1),0))</f>
        <v/>
      </c>
      <c r="BG25" s="85">
        <f>DAY(EOMONTH(EDATE(InceptionDate,55-1),0))</f>
        <v/>
      </c>
      <c r="BH25" s="85">
        <f>DAY(EOMONTH(EDATE(InceptionDate,56-1),0))</f>
        <v/>
      </c>
      <c r="BI25" s="85">
        <f>DAY(EOMONTH(EDATE(InceptionDate,57-1),0))</f>
        <v/>
      </c>
      <c r="BJ25" s="85">
        <f>DAY(EOMONTH(EDATE(InceptionDate,58-1),0))</f>
        <v/>
      </c>
      <c r="BK25" s="85">
        <f>DAY(EOMONTH(EDATE(InceptionDate,59-1),0))</f>
        <v/>
      </c>
      <c r="BL25" s="85">
        <f>DAY(EOMONTH(EDATE(InceptionDate,60-1),0))</f>
        <v/>
      </c>
      <c r="BM25" s="85">
        <f>DAY(EOMONTH(EDATE(InceptionDate,61-1),0))</f>
        <v/>
      </c>
      <c r="BN25" s="85">
        <f>DAY(EOMONTH(EDATE(InceptionDate,62-1),0))</f>
        <v/>
      </c>
      <c r="BO25" s="85">
        <f>DAY(EOMONTH(EDATE(InceptionDate,63-1),0))</f>
        <v/>
      </c>
      <c r="BP25" s="85">
        <f>DAY(EOMONTH(EDATE(InceptionDate,64-1),0))</f>
        <v/>
      </c>
      <c r="BQ25" s="85">
        <f>DAY(EOMONTH(EDATE(InceptionDate,65-1),0))</f>
        <v/>
      </c>
      <c r="BR25" s="85">
        <f>DAY(EOMONTH(EDATE(InceptionDate,66-1),0))</f>
        <v/>
      </c>
      <c r="BS25" s="85">
        <f>DAY(EOMONTH(EDATE(InceptionDate,67-1),0))</f>
        <v/>
      </c>
      <c r="BT25" s="85">
        <f>DAY(EOMONTH(EDATE(InceptionDate,68-1),0))</f>
        <v/>
      </c>
      <c r="BU25" s="85">
        <f>DAY(EOMONTH(EDATE(InceptionDate,69-1),0))</f>
        <v/>
      </c>
      <c r="BV25" s="85">
        <f>DAY(EOMONTH(EDATE(InceptionDate,70-1),0))</f>
        <v/>
      </c>
      <c r="BW25" s="85">
        <f>DAY(EOMONTH(EDATE(InceptionDate,71-1),0))</f>
        <v/>
      </c>
      <c r="BX25" s="85">
        <f>DAY(EOMONTH(EDATE(InceptionDate,72-1),0))</f>
        <v/>
      </c>
      <c r="BY25" s="85">
        <f>DAY(EOMONTH(EDATE(InceptionDate,73-1),0))</f>
        <v/>
      </c>
      <c r="BZ25" s="85">
        <f>DAY(EOMONTH(EDATE(InceptionDate,74-1),0))</f>
        <v/>
      </c>
      <c r="CA25" s="85">
        <f>DAY(EOMONTH(EDATE(InceptionDate,75-1),0))</f>
        <v/>
      </c>
      <c r="CB25" s="85">
        <f>DAY(EOMONTH(EDATE(InceptionDate,76-1),0))</f>
        <v/>
      </c>
      <c r="CC25" s="85">
        <f>DAY(EOMONTH(EDATE(InceptionDate,77-1),0))</f>
        <v/>
      </c>
      <c r="CD25" s="85">
        <f>DAY(EOMONTH(EDATE(InceptionDate,78-1),0))</f>
        <v/>
      </c>
      <c r="CE25" s="85">
        <f>DAY(EOMONTH(EDATE(InceptionDate,79-1),0))</f>
        <v/>
      </c>
      <c r="CF25" s="85">
        <f>DAY(EOMONTH(EDATE(InceptionDate,80-1),0))</f>
        <v/>
      </c>
      <c r="CG25" s="85">
        <f>DAY(EOMONTH(EDATE(InceptionDate,81-1),0))</f>
        <v/>
      </c>
      <c r="CH25" s="85">
        <f>DAY(EOMONTH(EDATE(InceptionDate,82-1),0))</f>
        <v/>
      </c>
      <c r="CI25" s="85">
        <f>DAY(EOMONTH(EDATE(InceptionDate,83-1),0))</f>
        <v/>
      </c>
      <c r="CJ25" s="85">
        <f>DAY(EOMONTH(EDATE(InceptionDate,84-1),0))</f>
        <v/>
      </c>
      <c r="CK25" s="85">
        <f>DAY(EOMONTH(EDATE(InceptionDate,85-1),0))</f>
        <v/>
      </c>
      <c r="CL25" s="85">
        <f>DAY(EOMONTH(EDATE(InceptionDate,86-1),0))</f>
        <v/>
      </c>
      <c r="CM25" s="85">
        <f>DAY(EOMONTH(EDATE(InceptionDate,87-1),0))</f>
        <v/>
      </c>
      <c r="CN25" s="85">
        <f>DAY(EOMONTH(EDATE(InceptionDate,88-1),0))</f>
        <v/>
      </c>
      <c r="CO25" s="85">
        <f>DAY(EOMONTH(EDATE(InceptionDate,89-1),0))</f>
        <v/>
      </c>
      <c r="CP25" s="85">
        <f>DAY(EOMONTH(EDATE(InceptionDate,90-1),0))</f>
        <v/>
      </c>
      <c r="CQ25" s="85">
        <f>DAY(EOMONTH(EDATE(InceptionDate,91-1),0))</f>
        <v/>
      </c>
      <c r="CR25" s="85">
        <f>DAY(EOMONTH(EDATE(InceptionDate,92-1),0))</f>
        <v/>
      </c>
      <c r="CS25" s="85">
        <f>DAY(EOMONTH(EDATE(InceptionDate,93-1),0))</f>
        <v/>
      </c>
      <c r="CT25" s="85">
        <f>DAY(EOMONTH(EDATE(InceptionDate,94-1),0))</f>
        <v/>
      </c>
      <c r="CU25" s="85">
        <f>DAY(EOMONTH(EDATE(InceptionDate,95-1),0))</f>
        <v/>
      </c>
      <c r="CV25" s="85">
        <f>DAY(EOMONTH(EDATE(InceptionDate,96-1),0))</f>
        <v/>
      </c>
      <c r="CW25" s="85">
        <f>DAY(EOMONTH(EDATE(InceptionDate,97-1),0))</f>
        <v/>
      </c>
      <c r="CX25" s="85">
        <f>DAY(EOMONTH(EDATE(InceptionDate,98-1),0))</f>
        <v/>
      </c>
      <c r="CY25" s="85">
        <f>DAY(EOMONTH(EDATE(InceptionDate,99-1),0))</f>
        <v/>
      </c>
      <c r="CZ25" s="85">
        <f>DAY(EOMONTH(EDATE(InceptionDate,100-1),0))</f>
        <v/>
      </c>
      <c r="DA25" s="85">
        <f>DAY(EOMONTH(EDATE(InceptionDate,101-1),0))</f>
        <v/>
      </c>
      <c r="DB25" s="85">
        <f>DAY(EOMONTH(EDATE(InceptionDate,102-1),0))</f>
        <v/>
      </c>
      <c r="DC25" s="85">
        <f>DAY(EOMONTH(EDATE(InceptionDate,103-1),0))</f>
        <v/>
      </c>
      <c r="DD25" s="85">
        <f>DAY(EOMONTH(EDATE(InceptionDate,104-1),0))</f>
        <v/>
      </c>
      <c r="DE25" s="85">
        <f>DAY(EOMONTH(EDATE(InceptionDate,105-1),0))</f>
        <v/>
      </c>
      <c r="DF25" s="85">
        <f>DAY(EOMONTH(EDATE(InceptionDate,106-1),0))</f>
        <v/>
      </c>
      <c r="DG25" s="85">
        <f>DAY(EOMONTH(EDATE(InceptionDate,107-1),0))</f>
        <v/>
      </c>
      <c r="DH25" s="85">
        <f>DAY(EOMONTH(EDATE(InceptionDate,108-1),0))</f>
        <v/>
      </c>
      <c r="DI25" s="85">
        <f>DAY(EOMONTH(EDATE(InceptionDate,109-1),0))</f>
        <v/>
      </c>
      <c r="DJ25" s="85">
        <f>DAY(EOMONTH(EDATE(InceptionDate,110-1),0))</f>
        <v/>
      </c>
      <c r="DK25" s="85">
        <f>DAY(EOMONTH(EDATE(InceptionDate,111-1),0))</f>
        <v/>
      </c>
      <c r="DL25" s="85">
        <f>DAY(EOMONTH(EDATE(InceptionDate,112-1),0))</f>
        <v/>
      </c>
      <c r="DM25" s="85">
        <f>DAY(EOMONTH(EDATE(InceptionDate,113-1),0))</f>
        <v/>
      </c>
      <c r="DN25" s="85">
        <f>DAY(EOMONTH(EDATE(InceptionDate,114-1),0))</f>
        <v/>
      </c>
      <c r="DO25" s="85">
        <f>DAY(EOMONTH(EDATE(InceptionDate,115-1),0))</f>
        <v/>
      </c>
      <c r="DP25" s="85">
        <f>DAY(EOMONTH(EDATE(InceptionDate,116-1),0))</f>
        <v/>
      </c>
      <c r="DQ25" s="85">
        <f>DAY(EOMONTH(EDATE(InceptionDate,117-1),0))</f>
        <v/>
      </c>
      <c r="DR25" s="85">
        <f>DAY(EOMONTH(EDATE(InceptionDate,118-1),0))</f>
        <v/>
      </c>
      <c r="DS25" s="85">
        <f>DAY(EOMONTH(EDATE(InceptionDate,119-1),0))</f>
        <v/>
      </c>
      <c r="DT25" s="85">
        <f>DAY(EOMONTH(EDATE(InceptionDate,120-1),0))</f>
        <v/>
      </c>
      <c r="DU25" s="85">
        <f>DAY(EOMONTH(EDATE(InceptionDate,121-1),0))</f>
        <v/>
      </c>
      <c r="DV25" s="85">
        <f>DAY(EOMONTH(EDATE(InceptionDate,122-1),0))</f>
        <v/>
      </c>
      <c r="DW25" s="85">
        <f>DAY(EOMONTH(EDATE(InceptionDate,123-1),0))</f>
        <v/>
      </c>
      <c r="DX25" s="85">
        <f>DAY(EOMONTH(EDATE(InceptionDate,124-1),0))</f>
        <v/>
      </c>
      <c r="DY25" s="85">
        <f>DAY(EOMONTH(EDATE(InceptionDate,125-1),0))</f>
        <v/>
      </c>
      <c r="DZ25" s="85">
        <f>DAY(EOMONTH(EDATE(InceptionDate,126-1),0))</f>
        <v/>
      </c>
      <c r="EA25" s="85">
        <f>DAY(EOMONTH(EDATE(InceptionDate,127-1),0))</f>
        <v/>
      </c>
      <c r="EB25" s="85">
        <f>DAY(EOMONTH(EDATE(InceptionDate,128-1),0))</f>
        <v/>
      </c>
      <c r="EC25" s="85">
        <f>DAY(EOMONTH(EDATE(InceptionDate,129-1),0))</f>
        <v/>
      </c>
      <c r="ED25" s="85">
        <f>DAY(EOMONTH(EDATE(InceptionDate,130-1),0))</f>
        <v/>
      </c>
      <c r="EE25" s="85">
        <f>DAY(EOMONTH(EDATE(InceptionDate,131-1),0))</f>
        <v/>
      </c>
      <c r="EF25" s="85">
        <f>DAY(EOMONTH(EDATE(InceptionDate,132-1),0))</f>
        <v/>
      </c>
      <c r="EG25" s="85">
        <f>DAY(EOMONTH(EDATE(InceptionDate,133-1),0))</f>
        <v/>
      </c>
      <c r="EH25" s="85">
        <f>DAY(EOMONTH(EDATE(InceptionDate,134-1),0))</f>
        <v/>
      </c>
      <c r="EI25" s="85">
        <f>DAY(EOMONTH(EDATE(InceptionDate,135-1),0))</f>
        <v/>
      </c>
      <c r="EJ25" s="85">
        <f>DAY(EOMONTH(EDATE(InceptionDate,136-1),0))</f>
        <v/>
      </c>
      <c r="EK25" s="85">
        <f>DAY(EOMONTH(EDATE(InceptionDate,137-1),0))</f>
        <v/>
      </c>
      <c r="EL25" s="85">
        <f>DAY(EOMONTH(EDATE(InceptionDate,138-1),0))</f>
        <v/>
      </c>
      <c r="EM25" s="85">
        <f>DAY(EOMONTH(EDATE(InceptionDate,139-1),0))</f>
        <v/>
      </c>
      <c r="EN25" s="85">
        <f>DAY(EOMONTH(EDATE(InceptionDate,140-1),0))</f>
        <v/>
      </c>
      <c r="EO25" s="85">
        <f>DAY(EOMONTH(EDATE(InceptionDate,141-1),0))</f>
        <v/>
      </c>
      <c r="EP25" s="85">
        <f>DAY(EOMONTH(EDATE(InceptionDate,142-1),0))</f>
        <v/>
      </c>
      <c r="EQ25" s="85">
        <f>DAY(EOMONTH(EDATE(InceptionDate,143-1),0))</f>
        <v/>
      </c>
      <c r="ER25" s="85">
        <f>DAY(EOMONTH(EDATE(InceptionDate,144-1),0))</f>
        <v/>
      </c>
      <c r="ES25" s="85">
        <f>DAY(EOMONTH(EDATE(InceptionDate,145-1),0))</f>
        <v/>
      </c>
      <c r="ET25" s="85">
        <f>DAY(EOMONTH(EDATE(InceptionDate,146-1),0))</f>
        <v/>
      </c>
      <c r="EU25" s="85">
        <f>DAY(EOMONTH(EDATE(InceptionDate,147-1),0))</f>
        <v/>
      </c>
      <c r="EV25" s="85">
        <f>DAY(EOMONTH(EDATE(InceptionDate,148-1),0))</f>
        <v/>
      </c>
      <c r="EW25" s="85">
        <f>DAY(EOMONTH(EDATE(InceptionDate,149-1),0))</f>
        <v/>
      </c>
      <c r="EX25" s="85">
        <f>DAY(EOMONTH(EDATE(InceptionDate,150-1),0))</f>
        <v/>
      </c>
      <c r="EY25" s="85">
        <f>DAY(EOMONTH(EDATE(InceptionDate,151-1),0))</f>
        <v/>
      </c>
      <c r="EZ25" s="85">
        <f>DAY(EOMONTH(EDATE(InceptionDate,152-1),0))</f>
        <v/>
      </c>
      <c r="FA25" s="85">
        <f>DAY(EOMONTH(EDATE(InceptionDate,153-1),0))</f>
        <v/>
      </c>
      <c r="FB25" s="85">
        <f>DAY(EOMONTH(EDATE(InceptionDate,154-1),0))</f>
        <v/>
      </c>
      <c r="FC25" s="85">
        <f>DAY(EOMONTH(EDATE(InceptionDate,155-1),0))</f>
        <v/>
      </c>
      <c r="FD25" s="85">
        <f>DAY(EOMONTH(EDATE(InceptionDate,156-1),0))</f>
        <v/>
      </c>
      <c r="FE25" s="85">
        <f>DAY(EOMONTH(EDATE(InceptionDate,157-1),0))</f>
        <v/>
      </c>
      <c r="FF25" s="85">
        <f>DAY(EOMONTH(EDATE(InceptionDate,158-1),0))</f>
        <v/>
      </c>
      <c r="FG25" s="85">
        <f>DAY(EOMONTH(EDATE(InceptionDate,159-1),0))</f>
        <v/>
      </c>
      <c r="FH25" s="85">
        <f>DAY(EOMONTH(EDATE(InceptionDate,160-1),0))</f>
        <v/>
      </c>
      <c r="FI25" s="85">
        <f>DAY(EOMONTH(EDATE(InceptionDate,161-1),0))</f>
        <v/>
      </c>
      <c r="FJ25" s="85">
        <f>DAY(EOMONTH(EDATE(InceptionDate,162-1),0))</f>
        <v/>
      </c>
      <c r="FK25" s="85">
        <f>DAY(EOMONTH(EDATE(InceptionDate,163-1),0))</f>
        <v/>
      </c>
      <c r="FL25" s="85">
        <f>DAY(EOMONTH(EDATE(InceptionDate,164-1),0))</f>
        <v/>
      </c>
      <c r="FM25" s="85">
        <f>DAY(EOMONTH(EDATE(InceptionDate,165-1),0))</f>
        <v/>
      </c>
      <c r="FN25" s="85">
        <f>DAY(EOMONTH(EDATE(InceptionDate,166-1),0))</f>
        <v/>
      </c>
      <c r="FO25" s="85">
        <f>DAY(EOMONTH(EDATE(InceptionDate,167-1),0))</f>
        <v/>
      </c>
      <c r="FP25" s="85">
        <f>DAY(EOMONTH(EDATE(InceptionDate,168-1),0))</f>
        <v/>
      </c>
      <c r="FQ25" s="85">
        <f>DAY(EOMONTH(EDATE(InceptionDate,169-1),0))</f>
        <v/>
      </c>
      <c r="FR25" s="85">
        <f>DAY(EOMONTH(EDATE(InceptionDate,170-1),0))</f>
        <v/>
      </c>
      <c r="FS25" s="85">
        <f>DAY(EOMONTH(EDATE(InceptionDate,171-1),0))</f>
        <v/>
      </c>
      <c r="FT25" s="85">
        <f>DAY(EOMONTH(EDATE(InceptionDate,172-1),0))</f>
        <v/>
      </c>
      <c r="FU25" s="85">
        <f>DAY(EOMONTH(EDATE(InceptionDate,173-1),0))</f>
        <v/>
      </c>
      <c r="FV25" s="85">
        <f>DAY(EOMONTH(EDATE(InceptionDate,174-1),0))</f>
        <v/>
      </c>
      <c r="FW25" s="85">
        <f>DAY(EOMONTH(EDATE(InceptionDate,175-1),0))</f>
        <v/>
      </c>
      <c r="FX25" s="85">
        <f>DAY(EOMONTH(EDATE(InceptionDate,176-1),0))</f>
        <v/>
      </c>
      <c r="FY25" s="85">
        <f>DAY(EOMONTH(EDATE(InceptionDate,177-1),0))</f>
        <v/>
      </c>
      <c r="FZ25" s="85">
        <f>DAY(EOMONTH(EDATE(InceptionDate,178-1),0))</f>
        <v/>
      </c>
      <c r="GA25" s="85">
        <f>DAY(EOMONTH(EDATE(InceptionDate,179-1),0))</f>
        <v/>
      </c>
      <c r="GB25" s="85">
        <f>DAY(EOMONTH(EDATE(InceptionDate,180-1),0))</f>
        <v/>
      </c>
      <c r="GC25" s="85">
        <f>DAY(EOMONTH(EDATE(InceptionDate,181-1),0))</f>
        <v/>
      </c>
      <c r="GD25" s="85">
        <f>DAY(EOMONTH(EDATE(InceptionDate,182-1),0))</f>
        <v/>
      </c>
      <c r="GE25" s="85">
        <f>DAY(EOMONTH(EDATE(InceptionDate,183-1),0))</f>
        <v/>
      </c>
      <c r="GF25" s="85">
        <f>DAY(EOMONTH(EDATE(InceptionDate,184-1),0))</f>
        <v/>
      </c>
      <c r="GG25" s="85">
        <f>DAY(EOMONTH(EDATE(InceptionDate,185-1),0))</f>
        <v/>
      </c>
      <c r="GH25" s="85">
        <f>DAY(EOMONTH(EDATE(InceptionDate,186-1),0))</f>
        <v/>
      </c>
      <c r="GI25" s="85">
        <f>DAY(EOMONTH(EDATE(InceptionDate,187-1),0))</f>
        <v/>
      </c>
      <c r="GJ25" s="85">
        <f>DAY(EOMONTH(EDATE(InceptionDate,188-1),0))</f>
        <v/>
      </c>
      <c r="GK25" s="85">
        <f>DAY(EOMONTH(EDATE(InceptionDate,189-1),0))</f>
        <v/>
      </c>
      <c r="GL25" s="85">
        <f>DAY(EOMONTH(EDATE(InceptionDate,190-1),0))</f>
        <v/>
      </c>
      <c r="GM25" s="85">
        <f>DAY(EOMONTH(EDATE(InceptionDate,191-1),0))</f>
        <v/>
      </c>
      <c r="GN25" s="85">
        <f>DAY(EOMONTH(EDATE(InceptionDate,192-1),0))</f>
        <v/>
      </c>
      <c r="GO25" s="85">
        <f>DAY(EOMONTH(EDATE(InceptionDate,193-1),0))</f>
        <v/>
      </c>
      <c r="GP25" s="85">
        <f>DAY(EOMONTH(EDATE(InceptionDate,194-1),0))</f>
        <v/>
      </c>
      <c r="GQ25" s="85">
        <f>DAY(EOMONTH(EDATE(InceptionDate,195-1),0))</f>
        <v/>
      </c>
      <c r="GR25" s="85">
        <f>DAY(EOMONTH(EDATE(InceptionDate,196-1),0))</f>
        <v/>
      </c>
      <c r="GS25" s="85">
        <f>DAY(EOMONTH(EDATE(InceptionDate,197-1),0))</f>
        <v/>
      </c>
      <c r="GT25" s="85">
        <f>DAY(EOMONTH(EDATE(InceptionDate,198-1),0))</f>
        <v/>
      </c>
      <c r="GU25" s="85">
        <f>DAY(EOMONTH(EDATE(InceptionDate,199-1),0))</f>
        <v/>
      </c>
      <c r="GV25" s="85">
        <f>DAY(EOMONTH(EDATE(InceptionDate,200-1),0))</f>
        <v/>
      </c>
      <c r="GW25" s="85">
        <f>DAY(EOMONTH(EDATE(InceptionDate,201-1),0))</f>
        <v/>
      </c>
      <c r="GX25" s="85">
        <f>DAY(EOMONTH(EDATE(InceptionDate,202-1),0))</f>
        <v/>
      </c>
      <c r="GY25" s="85">
        <f>DAY(EOMONTH(EDATE(InceptionDate,203-1),0))</f>
        <v/>
      </c>
      <c r="GZ25" s="85">
        <f>DAY(EOMONTH(EDATE(InceptionDate,204-1),0))</f>
        <v/>
      </c>
      <c r="HA25" s="85">
        <f>DAY(EOMONTH(EDATE(InceptionDate,205-1),0))</f>
        <v/>
      </c>
      <c r="HB25" s="85">
        <f>DAY(EOMONTH(EDATE(InceptionDate,206-1),0))</f>
        <v/>
      </c>
      <c r="HC25" s="85">
        <f>DAY(EOMONTH(EDATE(InceptionDate,207-1),0))</f>
        <v/>
      </c>
      <c r="HD25" s="85">
        <f>DAY(EOMONTH(EDATE(InceptionDate,208-1),0))</f>
        <v/>
      </c>
      <c r="HE25" s="85">
        <f>DAY(EOMONTH(EDATE(InceptionDate,209-1),0))</f>
        <v/>
      </c>
      <c r="HF25" s="85">
        <f>DAY(EOMONTH(EDATE(InceptionDate,210-1),0))</f>
        <v/>
      </c>
      <c r="HG25" s="85">
        <f>DAY(EOMONTH(EDATE(InceptionDate,211-1),0))</f>
        <v/>
      </c>
      <c r="HH25" s="85">
        <f>DAY(EOMONTH(EDATE(InceptionDate,212-1),0))</f>
        <v/>
      </c>
      <c r="HI25" s="85">
        <f>DAY(EOMONTH(EDATE(InceptionDate,213-1),0))</f>
        <v/>
      </c>
      <c r="HJ25" s="85">
        <f>DAY(EOMONTH(EDATE(InceptionDate,214-1),0))</f>
        <v/>
      </c>
      <c r="HK25" s="85">
        <f>DAY(EOMONTH(EDATE(InceptionDate,215-1),0))</f>
        <v/>
      </c>
      <c r="HL25" s="85">
        <f>DAY(EOMONTH(EDATE(InceptionDate,216-1),0))</f>
        <v/>
      </c>
      <c r="HM25" s="85">
        <f>DAY(EOMONTH(EDATE(InceptionDate,217-1),0))</f>
        <v/>
      </c>
      <c r="HN25" s="85">
        <f>DAY(EOMONTH(EDATE(InceptionDate,218-1),0))</f>
        <v/>
      </c>
      <c r="HO25" s="85">
        <f>DAY(EOMONTH(EDATE(InceptionDate,219-1),0))</f>
        <v/>
      </c>
      <c r="HP25" s="85">
        <f>DAY(EOMONTH(EDATE(InceptionDate,220-1),0))</f>
        <v/>
      </c>
      <c r="HQ25" s="85">
        <f>DAY(EOMONTH(EDATE(InceptionDate,221-1),0))</f>
        <v/>
      </c>
      <c r="HR25" s="85">
        <f>DAY(EOMONTH(EDATE(InceptionDate,222-1),0))</f>
        <v/>
      </c>
      <c r="HS25" s="85">
        <f>DAY(EOMONTH(EDATE(InceptionDate,223-1),0))</f>
        <v/>
      </c>
      <c r="HT25" s="85">
        <f>DAY(EOMONTH(EDATE(InceptionDate,224-1),0))</f>
        <v/>
      </c>
      <c r="HU25" s="85">
        <f>DAY(EOMONTH(EDATE(InceptionDate,225-1),0))</f>
        <v/>
      </c>
      <c r="HV25" s="85">
        <f>DAY(EOMONTH(EDATE(InceptionDate,226-1),0))</f>
        <v/>
      </c>
      <c r="HW25" s="85">
        <f>DAY(EOMONTH(EDATE(InceptionDate,227-1),0))</f>
        <v/>
      </c>
      <c r="HX25" s="85">
        <f>DAY(EOMONTH(EDATE(InceptionDate,228-1),0))</f>
        <v/>
      </c>
      <c r="HY25" s="85">
        <f>DAY(EOMONTH(EDATE(InceptionDate,229-1),0))</f>
        <v/>
      </c>
      <c r="HZ25" s="85">
        <f>DAY(EOMONTH(EDATE(InceptionDate,230-1),0))</f>
        <v/>
      </c>
      <c r="IA25" s="85">
        <f>DAY(EOMONTH(EDATE(InceptionDate,231-1),0))</f>
        <v/>
      </c>
      <c r="IB25" s="85">
        <f>DAY(EOMONTH(EDATE(InceptionDate,232-1),0))</f>
        <v/>
      </c>
      <c r="IC25" s="85">
        <f>DAY(EOMONTH(EDATE(InceptionDate,233-1),0))</f>
        <v/>
      </c>
      <c r="ID25" s="85">
        <f>DAY(EOMONTH(EDATE(InceptionDate,234-1),0))</f>
        <v/>
      </c>
      <c r="IE25" s="85">
        <f>DAY(EOMONTH(EDATE(InceptionDate,235-1),0))</f>
        <v/>
      </c>
      <c r="IF25" s="85">
        <f>DAY(EOMONTH(EDATE(InceptionDate,236-1),0))</f>
        <v/>
      </c>
      <c r="IG25" s="85">
        <f>DAY(EOMONTH(EDATE(InceptionDate,237-1),0))</f>
        <v/>
      </c>
      <c r="IH25" s="85">
        <f>DAY(EOMONTH(EDATE(InceptionDate,238-1),0))</f>
        <v/>
      </c>
      <c r="II25" s="85">
        <f>DAY(EOMONTH(EDATE(InceptionDate,239-1),0))</f>
        <v/>
      </c>
      <c r="IJ25" s="85">
        <f>DAY(EOMONTH(EDATE(InceptionDate,240-1),0))</f>
        <v/>
      </c>
      <c r="IK25" s="85">
        <f>DAY(EOMONTH(EDATE(InceptionDate,241-1),0))</f>
        <v/>
      </c>
      <c r="IL25" s="85">
        <f>DAY(EOMONTH(EDATE(InceptionDate,242-1),0))</f>
        <v/>
      </c>
      <c r="IM25" s="85">
        <f>DAY(EOMONTH(EDATE(InceptionDate,243-1),0))</f>
        <v/>
      </c>
      <c r="IN25" s="85">
        <f>DAY(EOMONTH(EDATE(InceptionDate,244-1),0))</f>
        <v/>
      </c>
      <c r="IO25" s="85">
        <f>DAY(EOMONTH(EDATE(InceptionDate,245-1),0))</f>
        <v/>
      </c>
      <c r="IP25" s="85">
        <f>DAY(EOMONTH(EDATE(InceptionDate,246-1),0))</f>
        <v/>
      </c>
      <c r="IQ25" s="85">
        <f>DAY(EOMONTH(EDATE(InceptionDate,247-1),0))</f>
        <v/>
      </c>
      <c r="IR25" s="85">
        <f>DAY(EOMONTH(EDATE(InceptionDate,248-1),0))</f>
        <v/>
      </c>
      <c r="IS25" s="85">
        <f>DAY(EOMONTH(EDATE(InceptionDate,249-1),0))</f>
        <v/>
      </c>
      <c r="IT25" s="85">
        <f>DAY(EOMONTH(EDATE(InceptionDate,250-1),0))</f>
        <v/>
      </c>
      <c r="IU25" s="85">
        <f>DAY(EOMONTH(EDATE(InceptionDate,251-1),0))</f>
        <v/>
      </c>
      <c r="IV25" s="85">
        <f>DAY(EOMONTH(EDATE(InceptionDate,252-1),0))</f>
        <v/>
      </c>
      <c r="IW25" s="85">
        <f>DAY(EOMONTH(EDATE(InceptionDate,253-1),0))</f>
        <v/>
      </c>
      <c r="IX25" s="85">
        <f>DAY(EOMONTH(EDATE(InceptionDate,254-1),0))</f>
        <v/>
      </c>
      <c r="IY25" s="85">
        <f>DAY(EOMONTH(EDATE(InceptionDate,255-1),0))</f>
        <v/>
      </c>
      <c r="IZ25" s="85">
        <f>DAY(EOMONTH(EDATE(InceptionDate,256-1),0))</f>
        <v/>
      </c>
      <c r="JA25" s="85">
        <f>DAY(EOMONTH(EDATE(InceptionDate,257-1),0))</f>
        <v/>
      </c>
      <c r="JB25" s="85">
        <f>DAY(EOMONTH(EDATE(InceptionDate,258-1),0))</f>
        <v/>
      </c>
      <c r="JC25" s="85">
        <f>DAY(EOMONTH(EDATE(InceptionDate,259-1),0))</f>
        <v/>
      </c>
      <c r="JD25" s="85">
        <f>DAY(EOMONTH(EDATE(InceptionDate,260-1),0))</f>
        <v/>
      </c>
      <c r="JE25" s="85">
        <f>DAY(EOMONTH(EDATE(InceptionDate,261-1),0))</f>
        <v/>
      </c>
      <c r="JF25" s="85">
        <f>DAY(EOMONTH(EDATE(InceptionDate,262-1),0))</f>
        <v/>
      </c>
      <c r="JG25" s="85">
        <f>DAY(EOMONTH(EDATE(InceptionDate,263-1),0))</f>
        <v/>
      </c>
      <c r="JH25" s="85">
        <f>DAY(EOMONTH(EDATE(InceptionDate,264-1),0))</f>
        <v/>
      </c>
      <c r="JI25" s="85">
        <f>DAY(EOMONTH(EDATE(InceptionDate,265-1),0))</f>
        <v/>
      </c>
      <c r="JJ25" s="85">
        <f>DAY(EOMONTH(EDATE(InceptionDate,266-1),0))</f>
        <v/>
      </c>
      <c r="JK25" s="85">
        <f>DAY(EOMONTH(EDATE(InceptionDate,267-1),0))</f>
        <v/>
      </c>
      <c r="JL25" s="85">
        <f>DAY(EOMONTH(EDATE(InceptionDate,268-1),0))</f>
        <v/>
      </c>
      <c r="JM25" s="85">
        <f>DAY(EOMONTH(EDATE(InceptionDate,269-1),0))</f>
        <v/>
      </c>
      <c r="JN25" s="85">
        <f>DAY(EOMONTH(EDATE(InceptionDate,270-1),0))</f>
        <v/>
      </c>
      <c r="JO25" s="85">
        <f>DAY(EOMONTH(EDATE(InceptionDate,271-1),0))</f>
        <v/>
      </c>
      <c r="JP25" s="85">
        <f>DAY(EOMONTH(EDATE(InceptionDate,272-1),0))</f>
        <v/>
      </c>
      <c r="JQ25" s="85">
        <f>DAY(EOMONTH(EDATE(InceptionDate,273-1),0))</f>
        <v/>
      </c>
      <c r="JR25" s="85">
        <f>DAY(EOMONTH(EDATE(InceptionDate,274-1),0))</f>
        <v/>
      </c>
      <c r="JS25" s="85">
        <f>DAY(EOMONTH(EDATE(InceptionDate,275-1),0))</f>
        <v/>
      </c>
      <c r="JT25" s="85">
        <f>DAY(EOMONTH(EDATE(InceptionDate,276-1),0))</f>
        <v/>
      </c>
      <c r="JU25" s="85">
        <f>DAY(EOMONTH(EDATE(InceptionDate,277-1),0))</f>
        <v/>
      </c>
      <c r="JV25" s="85">
        <f>DAY(EOMONTH(EDATE(InceptionDate,278-1),0))</f>
        <v/>
      </c>
      <c r="JW25" s="85">
        <f>DAY(EOMONTH(EDATE(InceptionDate,279-1),0))</f>
        <v/>
      </c>
      <c r="JX25" s="85">
        <f>DAY(EOMONTH(EDATE(InceptionDate,280-1),0))</f>
        <v/>
      </c>
      <c r="JY25" s="85">
        <f>DAY(EOMONTH(EDATE(InceptionDate,281-1),0))</f>
        <v/>
      </c>
      <c r="JZ25" s="85">
        <f>DAY(EOMONTH(EDATE(InceptionDate,282-1),0))</f>
        <v/>
      </c>
      <c r="KA25" s="85">
        <f>DAY(EOMONTH(EDATE(InceptionDate,283-1),0))</f>
        <v/>
      </c>
      <c r="KB25" s="85">
        <f>DAY(EOMONTH(EDATE(InceptionDate,284-1),0))</f>
        <v/>
      </c>
      <c r="KC25" s="85">
        <f>DAY(EOMONTH(EDATE(InceptionDate,285-1),0))</f>
        <v/>
      </c>
      <c r="KD25" s="85">
        <f>DAY(EOMONTH(EDATE(InceptionDate,286-1),0))</f>
        <v/>
      </c>
      <c r="KE25" s="85">
        <f>DAY(EOMONTH(EDATE(InceptionDate,287-1),0))</f>
        <v/>
      </c>
      <c r="KF25" s="85">
        <f>DAY(EOMONTH(EDATE(InceptionDate,288-1),0))</f>
        <v/>
      </c>
      <c r="KG25" s="85">
        <f>DAY(EOMONTH(EDATE(InceptionDate,289-1),0))</f>
        <v/>
      </c>
      <c r="KH25" s="85">
        <f>DAY(EOMONTH(EDATE(InceptionDate,290-1),0))</f>
        <v/>
      </c>
      <c r="KI25" s="85">
        <f>DAY(EOMONTH(EDATE(InceptionDate,291-1),0))</f>
        <v/>
      </c>
      <c r="KJ25" s="85">
        <f>DAY(EOMONTH(EDATE(InceptionDate,292-1),0))</f>
        <v/>
      </c>
      <c r="KK25" s="85">
        <f>DAY(EOMONTH(EDATE(InceptionDate,293-1),0))</f>
        <v/>
      </c>
      <c r="KL25" s="85">
        <f>DAY(EOMONTH(EDATE(InceptionDate,294-1),0))</f>
        <v/>
      </c>
      <c r="KM25" s="85">
        <f>DAY(EOMONTH(EDATE(InceptionDate,295-1),0))</f>
        <v/>
      </c>
      <c r="KN25" s="85">
        <f>DAY(EOMONTH(EDATE(InceptionDate,296-1),0))</f>
        <v/>
      </c>
      <c r="KO25" s="85">
        <f>DAY(EOMONTH(EDATE(InceptionDate,297-1),0))</f>
        <v/>
      </c>
      <c r="KP25" s="85">
        <f>DAY(EOMONTH(EDATE(InceptionDate,298-1),0))</f>
        <v/>
      </c>
      <c r="KQ25" s="85">
        <f>DAY(EOMONTH(EDATE(InceptionDate,299-1),0))</f>
        <v/>
      </c>
      <c r="KR25" s="85">
        <f>DAY(EOMONTH(EDATE(InceptionDate,300-1),0))</f>
        <v/>
      </c>
      <c r="KS25" s="85">
        <f>DAY(EOMONTH(EDATE(InceptionDate,301-1),0))</f>
        <v/>
      </c>
      <c r="KT25" s="85">
        <f>DAY(EOMONTH(EDATE(InceptionDate,302-1),0))</f>
        <v/>
      </c>
      <c r="KU25" s="85">
        <f>DAY(EOMONTH(EDATE(InceptionDate,303-1),0))</f>
        <v/>
      </c>
      <c r="KV25" s="85">
        <f>DAY(EOMONTH(EDATE(InceptionDate,304-1),0))</f>
        <v/>
      </c>
      <c r="KW25" s="85">
        <f>DAY(EOMONTH(EDATE(InceptionDate,305-1),0))</f>
        <v/>
      </c>
      <c r="KX25" s="85">
        <f>DAY(EOMONTH(EDATE(InceptionDate,306-1),0))</f>
        <v/>
      </c>
      <c r="KY25" s="85">
        <f>DAY(EOMONTH(EDATE(InceptionDate,307-1),0))</f>
        <v/>
      </c>
      <c r="KZ25" s="85">
        <f>DAY(EOMONTH(EDATE(InceptionDate,308-1),0))</f>
        <v/>
      </c>
      <c r="LA25" s="85">
        <f>DAY(EOMONTH(EDATE(InceptionDate,309-1),0))</f>
        <v/>
      </c>
      <c r="LB25" s="85">
        <f>DAY(EOMONTH(EDATE(InceptionDate,310-1),0))</f>
        <v/>
      </c>
      <c r="LC25" s="85">
        <f>DAY(EOMONTH(EDATE(InceptionDate,311-1),0))</f>
        <v/>
      </c>
      <c r="LD25" s="85">
        <f>DAY(EOMONTH(EDATE(InceptionDate,312-1),0))</f>
        <v/>
      </c>
      <c r="LE25" s="85">
        <f>DAY(EOMONTH(EDATE(InceptionDate,313-1),0))</f>
        <v/>
      </c>
      <c r="LF25" s="85">
        <f>DAY(EOMONTH(EDATE(InceptionDate,314-1),0))</f>
        <v/>
      </c>
      <c r="LG25" s="85">
        <f>DAY(EOMONTH(EDATE(InceptionDate,315-1),0))</f>
        <v/>
      </c>
      <c r="LH25" s="85">
        <f>DAY(EOMONTH(EDATE(InceptionDate,316-1),0))</f>
        <v/>
      </c>
      <c r="LI25" s="85">
        <f>DAY(EOMONTH(EDATE(InceptionDate,317-1),0))</f>
        <v/>
      </c>
      <c r="LJ25" s="85">
        <f>DAY(EOMONTH(EDATE(InceptionDate,318-1),0))</f>
        <v/>
      </c>
      <c r="LK25" s="85">
        <f>DAY(EOMONTH(EDATE(InceptionDate,319-1),0))</f>
        <v/>
      </c>
      <c r="LL25" s="85">
        <f>DAY(EOMONTH(EDATE(InceptionDate,320-1),0))</f>
        <v/>
      </c>
      <c r="LM25" s="85">
        <f>DAY(EOMONTH(EDATE(InceptionDate,321-1),0))</f>
        <v/>
      </c>
      <c r="LN25" s="85">
        <f>DAY(EOMONTH(EDATE(InceptionDate,322-1),0))</f>
        <v/>
      </c>
      <c r="LO25" s="85">
        <f>DAY(EOMONTH(EDATE(InceptionDate,323-1),0))</f>
        <v/>
      </c>
      <c r="LP25" s="85">
        <f>DAY(EOMONTH(EDATE(InceptionDate,324-1),0))</f>
        <v/>
      </c>
      <c r="LQ25" s="85">
        <f>DAY(EOMONTH(EDATE(InceptionDate,325-1),0))</f>
        <v/>
      </c>
      <c r="LR25" s="85">
        <f>DAY(EOMONTH(EDATE(InceptionDate,326-1),0))</f>
        <v/>
      </c>
      <c r="LS25" s="85">
        <f>DAY(EOMONTH(EDATE(InceptionDate,327-1),0))</f>
        <v/>
      </c>
      <c r="LT25" s="85">
        <f>DAY(EOMONTH(EDATE(InceptionDate,328-1),0))</f>
        <v/>
      </c>
      <c r="LU25" s="85">
        <f>DAY(EOMONTH(EDATE(InceptionDate,329-1),0))</f>
        <v/>
      </c>
      <c r="LV25" s="85">
        <f>DAY(EOMONTH(EDATE(InceptionDate,330-1),0))</f>
        <v/>
      </c>
      <c r="LW25" s="85">
        <f>DAY(EOMONTH(EDATE(InceptionDate,331-1),0))</f>
        <v/>
      </c>
      <c r="LX25" s="85">
        <f>DAY(EOMONTH(EDATE(InceptionDate,332-1),0))</f>
        <v/>
      </c>
      <c r="LY25" s="85">
        <f>DAY(EOMONTH(EDATE(InceptionDate,333-1),0))</f>
        <v/>
      </c>
      <c r="LZ25" s="85">
        <f>DAY(EOMONTH(EDATE(InceptionDate,334-1),0))</f>
        <v/>
      </c>
      <c r="MA25" s="85">
        <f>DAY(EOMONTH(EDATE(InceptionDate,335-1),0))</f>
        <v/>
      </c>
      <c r="MB25" s="85">
        <f>DAY(EOMONTH(EDATE(InceptionDate,336-1),0))</f>
        <v/>
      </c>
      <c r="MC25" s="85">
        <f>DAY(EOMONTH(EDATE(InceptionDate,337-1),0))</f>
        <v/>
      </c>
      <c r="MD25" s="85">
        <f>DAY(EOMONTH(EDATE(InceptionDate,338-1),0))</f>
        <v/>
      </c>
      <c r="ME25" s="85">
        <f>DAY(EOMONTH(EDATE(InceptionDate,339-1),0))</f>
        <v/>
      </c>
      <c r="MF25" s="85">
        <f>DAY(EOMONTH(EDATE(InceptionDate,340-1),0))</f>
        <v/>
      </c>
      <c r="MG25" s="85">
        <f>DAY(EOMONTH(EDATE(InceptionDate,341-1),0))</f>
        <v/>
      </c>
      <c r="MH25" s="85">
        <f>DAY(EOMONTH(EDATE(InceptionDate,342-1),0))</f>
        <v/>
      </c>
      <c r="MI25" s="85">
        <f>DAY(EOMONTH(EDATE(InceptionDate,343-1),0))</f>
        <v/>
      </c>
      <c r="MJ25" s="85">
        <f>DAY(EOMONTH(EDATE(InceptionDate,344-1),0))</f>
        <v/>
      </c>
      <c r="MK25" s="85">
        <f>DAY(EOMONTH(EDATE(InceptionDate,345-1),0))</f>
        <v/>
      </c>
      <c r="ML25" s="85">
        <f>DAY(EOMONTH(EDATE(InceptionDate,346-1),0))</f>
        <v/>
      </c>
      <c r="MM25" s="85">
        <f>DAY(EOMONTH(EDATE(InceptionDate,347-1),0))</f>
        <v/>
      </c>
      <c r="MN25" s="85">
        <f>DAY(EOMONTH(EDATE(InceptionDate,348-1),0))</f>
        <v/>
      </c>
      <c r="MO25" s="85">
        <f>DAY(EOMONTH(EDATE(InceptionDate,349-1),0))</f>
        <v/>
      </c>
      <c r="MP25" s="85">
        <f>DAY(EOMONTH(EDATE(InceptionDate,350-1),0))</f>
        <v/>
      </c>
      <c r="MQ25" s="85">
        <f>DAY(EOMONTH(EDATE(InceptionDate,351-1),0))</f>
        <v/>
      </c>
      <c r="MR25" s="85">
        <f>DAY(EOMONTH(EDATE(InceptionDate,352-1),0))</f>
        <v/>
      </c>
      <c r="MS25" s="85">
        <f>DAY(EOMONTH(EDATE(InceptionDate,353-1),0))</f>
        <v/>
      </c>
      <c r="MT25" s="85">
        <f>DAY(EOMONTH(EDATE(InceptionDate,354-1),0))</f>
        <v/>
      </c>
      <c r="MU25" s="85">
        <f>DAY(EOMONTH(EDATE(InceptionDate,355-1),0))</f>
        <v/>
      </c>
      <c r="MV25" s="85">
        <f>DAY(EOMONTH(EDATE(InceptionDate,356-1),0))</f>
        <v/>
      </c>
      <c r="MW25" s="85">
        <f>DAY(EOMONTH(EDATE(InceptionDate,357-1),0))</f>
        <v/>
      </c>
      <c r="MX25" s="85">
        <f>DAY(EOMONTH(EDATE(InceptionDate,358-1),0))</f>
        <v/>
      </c>
      <c r="MY25" s="85">
        <f>DAY(EOMONTH(EDATE(InceptionDate,359-1),0))</f>
        <v/>
      </c>
      <c r="MZ25" s="85">
        <f>DAY(EOMONTH(EDATE(InceptionDate,360-1),0))</f>
        <v/>
      </c>
      <c r="NA25" s="85">
        <f>DAY(EOMONTH(EDATE(InceptionDate,361-1),0))</f>
        <v/>
      </c>
      <c r="NB25" s="85">
        <f>DAY(EOMONTH(EDATE(InceptionDate,362-1),0))</f>
        <v/>
      </c>
      <c r="NC25" s="85">
        <f>DAY(EOMONTH(EDATE(InceptionDate,363-1),0))</f>
        <v/>
      </c>
      <c r="ND25" s="85">
        <f>DAY(EOMONTH(EDATE(InceptionDate,364-1),0))</f>
        <v/>
      </c>
      <c r="NE25" s="85">
        <f>DAY(EOMONTH(EDATE(InceptionDate,365-1),0))</f>
        <v/>
      </c>
      <c r="NF25" s="85">
        <f>DAY(EOMONTH(EDATE(InceptionDate,366-1),0))</f>
        <v/>
      </c>
      <c r="NG25" s="85">
        <f>DAY(EOMONTH(EDATE(InceptionDate,367-1),0))</f>
        <v/>
      </c>
      <c r="NH25" s="85">
        <f>DAY(EOMONTH(EDATE(InceptionDate,368-1),0))</f>
        <v/>
      </c>
      <c r="NI25" s="85">
        <f>DAY(EOMONTH(EDATE(InceptionDate,369-1),0))</f>
        <v/>
      </c>
      <c r="NJ25" s="85">
        <f>DAY(EOMONTH(EDATE(InceptionDate,370-1),0))</f>
        <v/>
      </c>
      <c r="NK25" s="85">
        <f>DAY(EOMONTH(EDATE(InceptionDate,371-1),0))</f>
        <v/>
      </c>
      <c r="NL25" s="85">
        <f>DAY(EOMONTH(EDATE(InceptionDate,372-1),0))</f>
        <v/>
      </c>
    </row>
    <row r="26">
      <c r="B26" s="36" t="inlineStr">
        <is>
          <t>Fundable Uses</t>
        </is>
      </c>
      <c r="D26" s="258">
        <f>SUM(E26:NL26)</f>
        <v/>
      </c>
      <c r="E26" s="218">
        <f>DevSpend!E$34+DevSpend!E$35+DevSpend!E$38+IF(1=MS_Initial_Closing_Start,ConOtherCosts+ConPoints+RecourseFee+OpReserve,0)</f>
        <v/>
      </c>
      <c r="F26" s="218">
        <f>DevSpend!F$34+DevSpend!F$35+DevSpend!F$38+IF(2=MS_Initial_Closing_Start,ConOtherCosts+ConPoints+RecourseFee+OpReserve,0)</f>
        <v/>
      </c>
      <c r="G26" s="218">
        <f>DevSpend!G$34+DevSpend!G$35+DevSpend!G$38+IF(3=MS_Initial_Closing_Start,ConOtherCosts+ConPoints+RecourseFee+OpReserve,0)</f>
        <v/>
      </c>
      <c r="H26" s="218">
        <f>DevSpend!H$34+DevSpend!H$35+DevSpend!H$38+IF(4=MS_Initial_Closing_Start,ConOtherCosts+ConPoints+RecourseFee+OpReserve,0)</f>
        <v/>
      </c>
      <c r="I26" s="218">
        <f>DevSpend!I$34+DevSpend!I$35+DevSpend!I$38+IF(5=MS_Initial_Closing_Start,ConOtherCosts+ConPoints+RecourseFee+OpReserve,0)</f>
        <v/>
      </c>
      <c r="J26" s="218">
        <f>DevSpend!J$34+DevSpend!J$35+DevSpend!J$38+IF(6=MS_Initial_Closing_Start,ConOtherCosts+ConPoints+RecourseFee+OpReserve,0)</f>
        <v/>
      </c>
      <c r="K26" s="218">
        <f>DevSpend!K$34+DevSpend!K$35+DevSpend!K$38+IF(7=MS_Initial_Closing_Start,ConOtherCosts+ConPoints+RecourseFee+OpReserve,0)</f>
        <v/>
      </c>
      <c r="L26" s="218">
        <f>DevSpend!L$34+DevSpend!L$35+DevSpend!L$38+IF(8=MS_Initial_Closing_Start,ConOtherCosts+ConPoints+RecourseFee+OpReserve,0)</f>
        <v/>
      </c>
      <c r="M26" s="218">
        <f>DevSpend!M$34+DevSpend!M$35+DevSpend!M$38+IF(9=MS_Initial_Closing_Start,ConOtherCosts+ConPoints+RecourseFee+OpReserve,0)</f>
        <v/>
      </c>
      <c r="N26" s="218">
        <f>DevSpend!N$34+DevSpend!N$35+DevSpend!N$38+IF(10=MS_Initial_Closing_Start,ConOtherCosts+ConPoints+RecourseFee+OpReserve,0)</f>
        <v/>
      </c>
      <c r="O26" s="218">
        <f>DevSpend!O$34+DevSpend!O$35+DevSpend!O$38+IF(11=MS_Initial_Closing_Start,ConOtherCosts+ConPoints+RecourseFee+OpReserve,0)</f>
        <v/>
      </c>
      <c r="P26" s="218">
        <f>DevSpend!P$34+DevSpend!P$35+DevSpend!P$38+IF(12=MS_Initial_Closing_Start,ConOtherCosts+ConPoints+RecourseFee+OpReserve,0)</f>
        <v/>
      </c>
      <c r="Q26" s="218">
        <f>DevSpend!Q$34+DevSpend!Q$35+DevSpend!Q$38+IF(13=MS_Initial_Closing_Start,ConOtherCosts+ConPoints+RecourseFee+OpReserve,0)</f>
        <v/>
      </c>
      <c r="R26" s="218">
        <f>DevSpend!R$34+DevSpend!R$35+DevSpend!R$38+IF(14=MS_Initial_Closing_Start,ConOtherCosts+ConPoints+RecourseFee+OpReserve,0)</f>
        <v/>
      </c>
      <c r="S26" s="218">
        <f>DevSpend!S$34+DevSpend!S$35+DevSpend!S$38+IF(15=MS_Initial_Closing_Start,ConOtherCosts+ConPoints+RecourseFee+OpReserve,0)</f>
        <v/>
      </c>
      <c r="T26" s="218">
        <f>DevSpend!T$34+DevSpend!T$35+DevSpend!T$38+IF(16=MS_Initial_Closing_Start,ConOtherCosts+ConPoints+RecourseFee+OpReserve,0)</f>
        <v/>
      </c>
      <c r="U26" s="218">
        <f>DevSpend!U$34+DevSpend!U$35+DevSpend!U$38+IF(17=MS_Initial_Closing_Start,ConOtherCosts+ConPoints+RecourseFee+OpReserve,0)</f>
        <v/>
      </c>
      <c r="V26" s="218">
        <f>DevSpend!V$34+DevSpend!V$35+DevSpend!V$38+IF(18=MS_Initial_Closing_Start,ConOtherCosts+ConPoints+RecourseFee+OpReserve,0)</f>
        <v/>
      </c>
      <c r="W26" s="218">
        <f>DevSpend!W$34+DevSpend!W$35+DevSpend!W$38+IF(19=MS_Initial_Closing_Start,ConOtherCosts+ConPoints+RecourseFee+OpReserve,0)</f>
        <v/>
      </c>
      <c r="X26" s="218">
        <f>DevSpend!X$34+DevSpend!X$35+DevSpend!X$38+IF(20=MS_Initial_Closing_Start,ConOtherCosts+ConPoints+RecourseFee+OpReserve,0)</f>
        <v/>
      </c>
      <c r="Y26" s="218">
        <f>DevSpend!Y$34+DevSpend!Y$35+DevSpend!Y$38+IF(21=MS_Initial_Closing_Start,ConOtherCosts+ConPoints+RecourseFee+OpReserve,0)</f>
        <v/>
      </c>
      <c r="Z26" s="218">
        <f>DevSpend!Z$34+DevSpend!Z$35+DevSpend!Z$38+IF(22=MS_Initial_Closing_Start,ConOtherCosts+ConPoints+RecourseFee+OpReserve,0)</f>
        <v/>
      </c>
      <c r="AA26" s="218">
        <f>DevSpend!AA$34+DevSpend!AA$35+DevSpend!AA$38+IF(23=MS_Initial_Closing_Start,ConOtherCosts+ConPoints+RecourseFee+OpReserve,0)</f>
        <v/>
      </c>
      <c r="AB26" s="218">
        <f>DevSpend!AB$34+DevSpend!AB$35+DevSpend!AB$38+IF(24=MS_Initial_Closing_Start,ConOtherCosts+ConPoints+RecourseFee+OpReserve,0)</f>
        <v/>
      </c>
      <c r="AC26" s="218">
        <f>DevSpend!AC$34+DevSpend!AC$35+DevSpend!AC$38+IF(25=MS_Initial_Closing_Start,ConOtherCosts+ConPoints+RecourseFee+OpReserve,0)</f>
        <v/>
      </c>
      <c r="AD26" s="218">
        <f>DevSpend!AD$34+DevSpend!AD$35+DevSpend!AD$38+IF(26=MS_Initial_Closing_Start,ConOtherCosts+ConPoints+RecourseFee+OpReserve,0)</f>
        <v/>
      </c>
      <c r="AE26" s="218">
        <f>DevSpend!AE$34+DevSpend!AE$35+DevSpend!AE$38+IF(27=MS_Initial_Closing_Start,ConOtherCosts+ConPoints+RecourseFee+OpReserve,0)</f>
        <v/>
      </c>
      <c r="AF26" s="218">
        <f>DevSpend!AF$34+DevSpend!AF$35+DevSpend!AF$38+IF(28=MS_Initial_Closing_Start,ConOtherCosts+ConPoints+RecourseFee+OpReserve,0)</f>
        <v/>
      </c>
      <c r="AG26" s="218">
        <f>DevSpend!AG$34+DevSpend!AG$35+DevSpend!AG$38+IF(29=MS_Initial_Closing_Start,ConOtherCosts+ConPoints+RecourseFee+OpReserve,0)</f>
        <v/>
      </c>
      <c r="AH26" s="218">
        <f>DevSpend!AH$34+DevSpend!AH$35+DevSpend!AH$38+IF(30=MS_Initial_Closing_Start,ConOtherCosts+ConPoints+RecourseFee+OpReserve,0)</f>
        <v/>
      </c>
      <c r="AI26" s="218">
        <f>DevSpend!AI$34+DevSpend!AI$35+DevSpend!AI$38+IF(31=MS_Initial_Closing_Start,ConOtherCosts+ConPoints+RecourseFee+OpReserve,0)</f>
        <v/>
      </c>
      <c r="AJ26" s="218">
        <f>DevSpend!AJ$34+DevSpend!AJ$35+DevSpend!AJ$38+IF(32=MS_Initial_Closing_Start,ConOtherCosts+ConPoints+RecourseFee+OpReserve,0)</f>
        <v/>
      </c>
      <c r="AK26" s="218">
        <f>DevSpend!AK$34+DevSpend!AK$35+DevSpend!AK$38+IF(33=MS_Initial_Closing_Start,ConOtherCosts+ConPoints+RecourseFee+OpReserve,0)</f>
        <v/>
      </c>
      <c r="AL26" s="218">
        <f>DevSpend!AL$34+DevSpend!AL$35+DevSpend!AL$38+IF(34=MS_Initial_Closing_Start,ConOtherCosts+ConPoints+RecourseFee+OpReserve,0)</f>
        <v/>
      </c>
      <c r="AM26" s="218">
        <f>DevSpend!AM$34+DevSpend!AM$35+DevSpend!AM$38+IF(35=MS_Initial_Closing_Start,ConOtherCosts+ConPoints+RecourseFee+OpReserve,0)</f>
        <v/>
      </c>
      <c r="AN26" s="218">
        <f>DevSpend!AN$34+DevSpend!AN$35+DevSpend!AN$38+IF(36=MS_Initial_Closing_Start,ConOtherCosts+ConPoints+RecourseFee+OpReserve,0)</f>
        <v/>
      </c>
      <c r="AO26" s="218">
        <f>DevSpend!AO$34+DevSpend!AO$35+DevSpend!AO$38+IF(37=MS_Initial_Closing_Start,ConOtherCosts+ConPoints+RecourseFee+OpReserve,0)</f>
        <v/>
      </c>
      <c r="AP26" s="218">
        <f>DevSpend!AP$34+DevSpend!AP$35+DevSpend!AP$38+IF(38=MS_Initial_Closing_Start,ConOtherCosts+ConPoints+RecourseFee+OpReserve,0)</f>
        <v/>
      </c>
      <c r="AQ26" s="218">
        <f>DevSpend!AQ$34+DevSpend!AQ$35+DevSpend!AQ$38+IF(39=MS_Initial_Closing_Start,ConOtherCosts+ConPoints+RecourseFee+OpReserve,0)</f>
        <v/>
      </c>
      <c r="AR26" s="218">
        <f>DevSpend!AR$34+DevSpend!AR$35+DevSpend!AR$38+IF(40=MS_Initial_Closing_Start,ConOtherCosts+ConPoints+RecourseFee+OpReserve,0)</f>
        <v/>
      </c>
      <c r="AS26" s="218">
        <f>DevSpend!AS$34+DevSpend!AS$35+DevSpend!AS$38+IF(41=MS_Initial_Closing_Start,ConOtherCosts+ConPoints+RecourseFee+OpReserve,0)</f>
        <v/>
      </c>
      <c r="AT26" s="218">
        <f>DevSpend!AT$34+DevSpend!AT$35+DevSpend!AT$38+IF(42=MS_Initial_Closing_Start,ConOtherCosts+ConPoints+RecourseFee+OpReserve,0)</f>
        <v/>
      </c>
      <c r="AU26" s="218">
        <f>DevSpend!AU$34+DevSpend!AU$35+DevSpend!AU$38+IF(43=MS_Initial_Closing_Start,ConOtherCosts+ConPoints+RecourseFee+OpReserve,0)</f>
        <v/>
      </c>
      <c r="AV26" s="218">
        <f>DevSpend!AV$34+DevSpend!AV$35+DevSpend!AV$38+IF(44=MS_Initial_Closing_Start,ConOtherCosts+ConPoints+RecourseFee+OpReserve,0)</f>
        <v/>
      </c>
      <c r="AW26" s="218">
        <f>DevSpend!AW$34+DevSpend!AW$35+DevSpend!AW$38+IF(45=MS_Initial_Closing_Start,ConOtherCosts+ConPoints+RecourseFee+OpReserve,0)</f>
        <v/>
      </c>
      <c r="AX26" s="218">
        <f>DevSpend!AX$34+DevSpend!AX$35+DevSpend!AX$38+IF(46=MS_Initial_Closing_Start,ConOtherCosts+ConPoints+RecourseFee+OpReserve,0)</f>
        <v/>
      </c>
      <c r="AY26" s="218">
        <f>DevSpend!AY$34+DevSpend!AY$35+DevSpend!AY$38+IF(47=MS_Initial_Closing_Start,ConOtherCosts+ConPoints+RecourseFee+OpReserve,0)</f>
        <v/>
      </c>
      <c r="AZ26" s="218">
        <f>DevSpend!AZ$34+DevSpend!AZ$35+DevSpend!AZ$38+IF(48=MS_Initial_Closing_Start,ConOtherCosts+ConPoints+RecourseFee+OpReserve,0)</f>
        <v/>
      </c>
      <c r="BA26" s="218">
        <f>DevSpend!BA$34+DevSpend!BA$35+DevSpend!BA$38+IF(49=MS_Initial_Closing_Start,ConOtherCosts+ConPoints+RecourseFee+OpReserve,0)</f>
        <v/>
      </c>
      <c r="BB26" s="218">
        <f>DevSpend!BB$34+DevSpend!BB$35+DevSpend!BB$38+IF(50=MS_Initial_Closing_Start,ConOtherCosts+ConPoints+RecourseFee+OpReserve,0)</f>
        <v/>
      </c>
      <c r="BC26" s="218">
        <f>DevSpend!BC$34+DevSpend!BC$35+DevSpend!BC$38+IF(51=MS_Initial_Closing_Start,ConOtherCosts+ConPoints+RecourseFee+OpReserve,0)</f>
        <v/>
      </c>
      <c r="BD26" s="218">
        <f>DevSpend!BD$34+DevSpend!BD$35+DevSpend!BD$38+IF(52=MS_Initial_Closing_Start,ConOtherCosts+ConPoints+RecourseFee+OpReserve,0)</f>
        <v/>
      </c>
      <c r="BE26" s="218">
        <f>DevSpend!BE$34+DevSpend!BE$35+DevSpend!BE$38+IF(53=MS_Initial_Closing_Start,ConOtherCosts+ConPoints+RecourseFee+OpReserve,0)</f>
        <v/>
      </c>
      <c r="BF26" s="218">
        <f>DevSpend!BF$34+DevSpend!BF$35+DevSpend!BF$38+IF(54=MS_Initial_Closing_Start,ConOtherCosts+ConPoints+RecourseFee+OpReserve,0)</f>
        <v/>
      </c>
      <c r="BG26" s="218">
        <f>DevSpend!BG$34+DevSpend!BG$35+DevSpend!BG$38+IF(55=MS_Initial_Closing_Start,ConOtherCosts+ConPoints+RecourseFee+OpReserve,0)</f>
        <v/>
      </c>
      <c r="BH26" s="218">
        <f>DevSpend!BH$34+DevSpend!BH$35+DevSpend!BH$38+IF(56=MS_Initial_Closing_Start,ConOtherCosts+ConPoints+RecourseFee+OpReserve,0)</f>
        <v/>
      </c>
      <c r="BI26" s="218">
        <f>DevSpend!BI$34+DevSpend!BI$35+DevSpend!BI$38+IF(57=MS_Initial_Closing_Start,ConOtherCosts+ConPoints+RecourseFee+OpReserve,0)</f>
        <v/>
      </c>
      <c r="BJ26" s="218">
        <f>DevSpend!BJ$34+DevSpend!BJ$35+DevSpend!BJ$38+IF(58=MS_Initial_Closing_Start,ConOtherCosts+ConPoints+RecourseFee+OpReserve,0)</f>
        <v/>
      </c>
      <c r="BK26" s="218">
        <f>DevSpend!BK$34+DevSpend!BK$35+DevSpend!BK$38+IF(59=MS_Initial_Closing_Start,ConOtherCosts+ConPoints+RecourseFee+OpReserve,0)</f>
        <v/>
      </c>
      <c r="BL26" s="218">
        <f>DevSpend!BL$34+DevSpend!BL$35+DevSpend!BL$38+IF(60=MS_Initial_Closing_Start,ConOtherCosts+ConPoints+RecourseFee+OpReserve,0)</f>
        <v/>
      </c>
      <c r="BM26" s="218">
        <f>DevSpend!BM$34+DevSpend!BM$35+DevSpend!BM$38+IF(61=MS_Initial_Closing_Start,ConOtherCosts+ConPoints+RecourseFee+OpReserve,0)</f>
        <v/>
      </c>
      <c r="BN26" s="218">
        <f>DevSpend!BN$34+DevSpend!BN$35+DevSpend!BN$38+IF(62=MS_Initial_Closing_Start,ConOtherCosts+ConPoints+RecourseFee+OpReserve,0)</f>
        <v/>
      </c>
      <c r="BO26" s="218">
        <f>DevSpend!BO$34+DevSpend!BO$35+DevSpend!BO$38+IF(63=MS_Initial_Closing_Start,ConOtherCosts+ConPoints+RecourseFee+OpReserve,0)</f>
        <v/>
      </c>
      <c r="BP26" s="218">
        <f>DevSpend!BP$34+DevSpend!BP$35+DevSpend!BP$38+IF(64=MS_Initial_Closing_Start,ConOtherCosts+ConPoints+RecourseFee+OpReserve,0)</f>
        <v/>
      </c>
      <c r="BQ26" s="218">
        <f>DevSpend!BQ$34+DevSpend!BQ$35+DevSpend!BQ$38+IF(65=MS_Initial_Closing_Start,ConOtherCosts+ConPoints+RecourseFee+OpReserve,0)</f>
        <v/>
      </c>
      <c r="BR26" s="218">
        <f>DevSpend!BR$34+DevSpend!BR$35+DevSpend!BR$38+IF(66=MS_Initial_Closing_Start,ConOtherCosts+ConPoints+RecourseFee+OpReserve,0)</f>
        <v/>
      </c>
      <c r="BS26" s="218">
        <f>DevSpend!BS$34+DevSpend!BS$35+DevSpend!BS$38+IF(67=MS_Initial_Closing_Start,ConOtherCosts+ConPoints+RecourseFee+OpReserve,0)</f>
        <v/>
      </c>
      <c r="BT26" s="218">
        <f>DevSpend!BT$34+DevSpend!BT$35+DevSpend!BT$38+IF(68=MS_Initial_Closing_Start,ConOtherCosts+ConPoints+RecourseFee+OpReserve,0)</f>
        <v/>
      </c>
      <c r="BU26" s="218">
        <f>DevSpend!BU$34+DevSpend!BU$35+DevSpend!BU$38+IF(69=MS_Initial_Closing_Start,ConOtherCosts+ConPoints+RecourseFee+OpReserve,0)</f>
        <v/>
      </c>
      <c r="BV26" s="218">
        <f>DevSpend!BV$34+DevSpend!BV$35+DevSpend!BV$38+IF(70=MS_Initial_Closing_Start,ConOtherCosts+ConPoints+RecourseFee+OpReserve,0)</f>
        <v/>
      </c>
      <c r="BW26" s="218">
        <f>DevSpend!BW$34+DevSpend!BW$35+DevSpend!BW$38+IF(71=MS_Initial_Closing_Start,ConOtherCosts+ConPoints+RecourseFee+OpReserve,0)</f>
        <v/>
      </c>
      <c r="BX26" s="218">
        <f>DevSpend!BX$34+DevSpend!BX$35+DevSpend!BX$38+IF(72=MS_Initial_Closing_Start,ConOtherCosts+ConPoints+RecourseFee+OpReserve,0)</f>
        <v/>
      </c>
      <c r="BY26" s="218">
        <f>DevSpend!BY$34+DevSpend!BY$35+DevSpend!BY$38+IF(73=MS_Initial_Closing_Start,ConOtherCosts+ConPoints+RecourseFee+OpReserve,0)</f>
        <v/>
      </c>
      <c r="BZ26" s="218">
        <f>DevSpend!BZ$34+DevSpend!BZ$35+DevSpend!BZ$38+IF(74=MS_Initial_Closing_Start,ConOtherCosts+ConPoints+RecourseFee+OpReserve,0)</f>
        <v/>
      </c>
      <c r="CA26" s="218">
        <f>DevSpend!CA$34+DevSpend!CA$35+DevSpend!CA$38+IF(75=MS_Initial_Closing_Start,ConOtherCosts+ConPoints+RecourseFee+OpReserve,0)</f>
        <v/>
      </c>
      <c r="CB26" s="218">
        <f>DevSpend!CB$34+DevSpend!CB$35+DevSpend!CB$38+IF(76=MS_Initial_Closing_Start,ConOtherCosts+ConPoints+RecourseFee+OpReserve,0)</f>
        <v/>
      </c>
      <c r="CC26" s="218">
        <f>DevSpend!CC$34+DevSpend!CC$35+DevSpend!CC$38+IF(77=MS_Initial_Closing_Start,ConOtherCosts+ConPoints+RecourseFee+OpReserve,0)</f>
        <v/>
      </c>
      <c r="CD26" s="218">
        <f>DevSpend!CD$34+DevSpend!CD$35+DevSpend!CD$38+IF(78=MS_Initial_Closing_Start,ConOtherCosts+ConPoints+RecourseFee+OpReserve,0)</f>
        <v/>
      </c>
      <c r="CE26" s="218">
        <f>DevSpend!CE$34+DevSpend!CE$35+DevSpend!CE$38+IF(79=MS_Initial_Closing_Start,ConOtherCosts+ConPoints+RecourseFee+OpReserve,0)</f>
        <v/>
      </c>
      <c r="CF26" s="218">
        <f>DevSpend!CF$34+DevSpend!CF$35+DevSpend!CF$38+IF(80=MS_Initial_Closing_Start,ConOtherCosts+ConPoints+RecourseFee+OpReserve,0)</f>
        <v/>
      </c>
      <c r="CG26" s="218">
        <f>DevSpend!CG$34+DevSpend!CG$35+DevSpend!CG$38+IF(81=MS_Initial_Closing_Start,ConOtherCosts+ConPoints+RecourseFee+OpReserve,0)</f>
        <v/>
      </c>
      <c r="CH26" s="218">
        <f>DevSpend!CH$34+DevSpend!CH$35+DevSpend!CH$38+IF(82=MS_Initial_Closing_Start,ConOtherCosts+ConPoints+RecourseFee+OpReserve,0)</f>
        <v/>
      </c>
      <c r="CI26" s="218">
        <f>DevSpend!CI$34+DevSpend!CI$35+DevSpend!CI$38+IF(83=MS_Initial_Closing_Start,ConOtherCosts+ConPoints+RecourseFee+OpReserve,0)</f>
        <v/>
      </c>
      <c r="CJ26" s="218">
        <f>DevSpend!CJ$34+DevSpend!CJ$35+DevSpend!CJ$38+IF(84=MS_Initial_Closing_Start,ConOtherCosts+ConPoints+RecourseFee+OpReserve,0)</f>
        <v/>
      </c>
      <c r="CK26" s="218">
        <f>DevSpend!CK$34+DevSpend!CK$35+DevSpend!CK$38+IF(85=MS_Initial_Closing_Start,ConOtherCosts+ConPoints+RecourseFee+OpReserve,0)</f>
        <v/>
      </c>
      <c r="CL26" s="218">
        <f>DevSpend!CL$34+DevSpend!CL$35+DevSpend!CL$38+IF(86=MS_Initial_Closing_Start,ConOtherCosts+ConPoints+RecourseFee+OpReserve,0)</f>
        <v/>
      </c>
      <c r="CM26" s="218">
        <f>DevSpend!CM$34+DevSpend!CM$35+DevSpend!CM$38+IF(87=MS_Initial_Closing_Start,ConOtherCosts+ConPoints+RecourseFee+OpReserve,0)</f>
        <v/>
      </c>
      <c r="CN26" s="218">
        <f>DevSpend!CN$34+DevSpend!CN$35+DevSpend!CN$38+IF(88=MS_Initial_Closing_Start,ConOtherCosts+ConPoints+RecourseFee+OpReserve,0)</f>
        <v/>
      </c>
      <c r="CO26" s="218">
        <f>DevSpend!CO$34+DevSpend!CO$35+DevSpend!CO$38+IF(89=MS_Initial_Closing_Start,ConOtherCosts+ConPoints+RecourseFee+OpReserve,0)</f>
        <v/>
      </c>
      <c r="CP26" s="218">
        <f>DevSpend!CP$34+DevSpend!CP$35+DevSpend!CP$38+IF(90=MS_Initial_Closing_Start,ConOtherCosts+ConPoints+RecourseFee+OpReserve,0)</f>
        <v/>
      </c>
      <c r="CQ26" s="218">
        <f>DevSpend!CQ$34+DevSpend!CQ$35+DevSpend!CQ$38+IF(91=MS_Initial_Closing_Start,ConOtherCosts+ConPoints+RecourseFee+OpReserve,0)</f>
        <v/>
      </c>
      <c r="CR26" s="218">
        <f>DevSpend!CR$34+DevSpend!CR$35+DevSpend!CR$38+IF(92=MS_Initial_Closing_Start,ConOtherCosts+ConPoints+RecourseFee+OpReserve,0)</f>
        <v/>
      </c>
      <c r="CS26" s="218">
        <f>DevSpend!CS$34+DevSpend!CS$35+DevSpend!CS$38+IF(93=MS_Initial_Closing_Start,ConOtherCosts+ConPoints+RecourseFee+OpReserve,0)</f>
        <v/>
      </c>
      <c r="CT26" s="218">
        <f>DevSpend!CT$34+DevSpend!CT$35+DevSpend!CT$38+IF(94=MS_Initial_Closing_Start,ConOtherCosts+ConPoints+RecourseFee+OpReserve,0)</f>
        <v/>
      </c>
      <c r="CU26" s="218">
        <f>DevSpend!CU$34+DevSpend!CU$35+DevSpend!CU$38+IF(95=MS_Initial_Closing_Start,ConOtherCosts+ConPoints+RecourseFee+OpReserve,0)</f>
        <v/>
      </c>
      <c r="CV26" s="218">
        <f>DevSpend!CV$34+DevSpend!CV$35+DevSpend!CV$38+IF(96=MS_Initial_Closing_Start,ConOtherCosts+ConPoints+RecourseFee+OpReserve,0)</f>
        <v/>
      </c>
      <c r="CW26" s="218">
        <f>DevSpend!CW$34+DevSpend!CW$35+DevSpend!CW$38+IF(97=MS_Initial_Closing_Start,ConOtherCosts+ConPoints+RecourseFee+OpReserve,0)</f>
        <v/>
      </c>
      <c r="CX26" s="218">
        <f>DevSpend!CX$34+DevSpend!CX$35+DevSpend!CX$38+IF(98=MS_Initial_Closing_Start,ConOtherCosts+ConPoints+RecourseFee+OpReserve,0)</f>
        <v/>
      </c>
      <c r="CY26" s="218">
        <f>DevSpend!CY$34+DevSpend!CY$35+DevSpend!CY$38+IF(99=MS_Initial_Closing_Start,ConOtherCosts+ConPoints+RecourseFee+OpReserve,0)</f>
        <v/>
      </c>
      <c r="CZ26" s="218">
        <f>DevSpend!CZ$34+DevSpend!CZ$35+DevSpend!CZ$38+IF(100=MS_Initial_Closing_Start,ConOtherCosts+ConPoints+RecourseFee+OpReserve,0)</f>
        <v/>
      </c>
      <c r="DA26" s="218">
        <f>DevSpend!DA$34+DevSpend!DA$35+DevSpend!DA$38+IF(101=MS_Initial_Closing_Start,ConOtherCosts+ConPoints+RecourseFee+OpReserve,0)</f>
        <v/>
      </c>
      <c r="DB26" s="218">
        <f>DevSpend!DB$34+DevSpend!DB$35+DevSpend!DB$38+IF(102=MS_Initial_Closing_Start,ConOtherCosts+ConPoints+RecourseFee+OpReserve,0)</f>
        <v/>
      </c>
      <c r="DC26" s="218">
        <f>DevSpend!DC$34+DevSpend!DC$35+DevSpend!DC$38+IF(103=MS_Initial_Closing_Start,ConOtherCosts+ConPoints+RecourseFee+OpReserve,0)</f>
        <v/>
      </c>
      <c r="DD26" s="218">
        <f>DevSpend!DD$34+DevSpend!DD$35+DevSpend!DD$38+IF(104=MS_Initial_Closing_Start,ConOtherCosts+ConPoints+RecourseFee+OpReserve,0)</f>
        <v/>
      </c>
      <c r="DE26" s="218">
        <f>DevSpend!DE$34+DevSpend!DE$35+DevSpend!DE$38+IF(105=MS_Initial_Closing_Start,ConOtherCosts+ConPoints+RecourseFee+OpReserve,0)</f>
        <v/>
      </c>
      <c r="DF26" s="218">
        <f>DevSpend!DF$34+DevSpend!DF$35+DevSpend!DF$38+IF(106=MS_Initial_Closing_Start,ConOtherCosts+ConPoints+RecourseFee+OpReserve,0)</f>
        <v/>
      </c>
      <c r="DG26" s="218">
        <f>DevSpend!DG$34+DevSpend!DG$35+DevSpend!DG$38+IF(107=MS_Initial_Closing_Start,ConOtherCosts+ConPoints+RecourseFee+OpReserve,0)</f>
        <v/>
      </c>
      <c r="DH26" s="218">
        <f>DevSpend!DH$34+DevSpend!DH$35+DevSpend!DH$38+IF(108=MS_Initial_Closing_Start,ConOtherCosts+ConPoints+RecourseFee+OpReserve,0)</f>
        <v/>
      </c>
      <c r="DI26" s="218">
        <f>DevSpend!DI$34+DevSpend!DI$35+DevSpend!DI$38+IF(109=MS_Initial_Closing_Start,ConOtherCosts+ConPoints+RecourseFee+OpReserve,0)</f>
        <v/>
      </c>
      <c r="DJ26" s="218">
        <f>DevSpend!DJ$34+DevSpend!DJ$35+DevSpend!DJ$38+IF(110=MS_Initial_Closing_Start,ConOtherCosts+ConPoints+RecourseFee+OpReserve,0)</f>
        <v/>
      </c>
      <c r="DK26" s="218">
        <f>DevSpend!DK$34+DevSpend!DK$35+DevSpend!DK$38+IF(111=MS_Initial_Closing_Start,ConOtherCosts+ConPoints+RecourseFee+OpReserve,0)</f>
        <v/>
      </c>
      <c r="DL26" s="218">
        <f>DevSpend!DL$34+DevSpend!DL$35+DevSpend!DL$38+IF(112=MS_Initial_Closing_Start,ConOtherCosts+ConPoints+RecourseFee+OpReserve,0)</f>
        <v/>
      </c>
      <c r="DM26" s="218">
        <f>DevSpend!DM$34+DevSpend!DM$35+DevSpend!DM$38+IF(113=MS_Initial_Closing_Start,ConOtherCosts+ConPoints+RecourseFee+OpReserve,0)</f>
        <v/>
      </c>
      <c r="DN26" s="218">
        <f>DevSpend!DN$34+DevSpend!DN$35+DevSpend!DN$38+IF(114=MS_Initial_Closing_Start,ConOtherCosts+ConPoints+RecourseFee+OpReserve,0)</f>
        <v/>
      </c>
      <c r="DO26" s="218">
        <f>DevSpend!DO$34+DevSpend!DO$35+DevSpend!DO$38+IF(115=MS_Initial_Closing_Start,ConOtherCosts+ConPoints+RecourseFee+OpReserve,0)</f>
        <v/>
      </c>
      <c r="DP26" s="218">
        <f>DevSpend!DP$34+DevSpend!DP$35+DevSpend!DP$38+IF(116=MS_Initial_Closing_Start,ConOtherCosts+ConPoints+RecourseFee+OpReserve,0)</f>
        <v/>
      </c>
      <c r="DQ26" s="218">
        <f>DevSpend!DQ$34+DevSpend!DQ$35+DevSpend!DQ$38+IF(117=MS_Initial_Closing_Start,ConOtherCosts+ConPoints+RecourseFee+OpReserve,0)</f>
        <v/>
      </c>
      <c r="DR26" s="218">
        <f>DevSpend!DR$34+DevSpend!DR$35+DevSpend!DR$38+IF(118=MS_Initial_Closing_Start,ConOtherCosts+ConPoints+RecourseFee+OpReserve,0)</f>
        <v/>
      </c>
      <c r="DS26" s="218">
        <f>DevSpend!DS$34+DevSpend!DS$35+DevSpend!DS$38+IF(119=MS_Initial_Closing_Start,ConOtherCosts+ConPoints+RecourseFee+OpReserve,0)</f>
        <v/>
      </c>
      <c r="DT26" s="218">
        <f>DevSpend!DT$34+DevSpend!DT$35+DevSpend!DT$38+IF(120=MS_Initial_Closing_Start,ConOtherCosts+ConPoints+RecourseFee+OpReserve,0)</f>
        <v/>
      </c>
      <c r="DU26" s="218">
        <f>DevSpend!DU$34+DevSpend!DU$35+DevSpend!DU$38+IF(121=MS_Initial_Closing_Start,ConOtherCosts+ConPoints+RecourseFee+OpReserve,0)</f>
        <v/>
      </c>
      <c r="DV26" s="218">
        <f>DevSpend!DV$34+DevSpend!DV$35+DevSpend!DV$38+IF(122=MS_Initial_Closing_Start,ConOtherCosts+ConPoints+RecourseFee+OpReserve,0)</f>
        <v/>
      </c>
      <c r="DW26" s="218">
        <f>DevSpend!DW$34+DevSpend!DW$35+DevSpend!DW$38+IF(123=MS_Initial_Closing_Start,ConOtherCosts+ConPoints+RecourseFee+OpReserve,0)</f>
        <v/>
      </c>
      <c r="DX26" s="218">
        <f>DevSpend!DX$34+DevSpend!DX$35+DevSpend!DX$38+IF(124=MS_Initial_Closing_Start,ConOtherCosts+ConPoints+RecourseFee+OpReserve,0)</f>
        <v/>
      </c>
      <c r="DY26" s="218">
        <f>DevSpend!DY$34+DevSpend!DY$35+DevSpend!DY$38+IF(125=MS_Initial_Closing_Start,ConOtherCosts+ConPoints+RecourseFee+OpReserve,0)</f>
        <v/>
      </c>
      <c r="DZ26" s="218">
        <f>DevSpend!DZ$34+DevSpend!DZ$35+DevSpend!DZ$38+IF(126=MS_Initial_Closing_Start,ConOtherCosts+ConPoints+RecourseFee+OpReserve,0)</f>
        <v/>
      </c>
      <c r="EA26" s="218">
        <f>DevSpend!EA$34+DevSpend!EA$35+DevSpend!EA$38+IF(127=MS_Initial_Closing_Start,ConOtherCosts+ConPoints+RecourseFee+OpReserve,0)</f>
        <v/>
      </c>
      <c r="EB26" s="218">
        <f>DevSpend!EB$34+DevSpend!EB$35+DevSpend!EB$38+IF(128=MS_Initial_Closing_Start,ConOtherCosts+ConPoints+RecourseFee+OpReserve,0)</f>
        <v/>
      </c>
      <c r="EC26" s="218">
        <f>DevSpend!EC$34+DevSpend!EC$35+DevSpend!EC$38+IF(129=MS_Initial_Closing_Start,ConOtherCosts+ConPoints+RecourseFee+OpReserve,0)</f>
        <v/>
      </c>
      <c r="ED26" s="218">
        <f>DevSpend!ED$34+DevSpend!ED$35+DevSpend!ED$38+IF(130=MS_Initial_Closing_Start,ConOtherCosts+ConPoints+RecourseFee+OpReserve,0)</f>
        <v/>
      </c>
      <c r="EE26" s="218">
        <f>DevSpend!EE$34+DevSpend!EE$35+DevSpend!EE$38+IF(131=MS_Initial_Closing_Start,ConOtherCosts+ConPoints+RecourseFee+OpReserve,0)</f>
        <v/>
      </c>
      <c r="EF26" s="218">
        <f>DevSpend!EF$34+DevSpend!EF$35+DevSpend!EF$38+IF(132=MS_Initial_Closing_Start,ConOtherCosts+ConPoints+RecourseFee+OpReserve,0)</f>
        <v/>
      </c>
      <c r="EG26" s="218">
        <f>DevSpend!EG$34+DevSpend!EG$35+DevSpend!EG$38+IF(133=MS_Initial_Closing_Start,ConOtherCosts+ConPoints+RecourseFee+OpReserve,0)</f>
        <v/>
      </c>
      <c r="EH26" s="218">
        <f>DevSpend!EH$34+DevSpend!EH$35+DevSpend!EH$38+IF(134=MS_Initial_Closing_Start,ConOtherCosts+ConPoints+RecourseFee+OpReserve,0)</f>
        <v/>
      </c>
      <c r="EI26" s="218">
        <f>DevSpend!EI$34+DevSpend!EI$35+DevSpend!EI$38+IF(135=MS_Initial_Closing_Start,ConOtherCosts+ConPoints+RecourseFee+OpReserve,0)</f>
        <v/>
      </c>
      <c r="EJ26" s="218">
        <f>DevSpend!EJ$34+DevSpend!EJ$35+DevSpend!EJ$38+IF(136=MS_Initial_Closing_Start,ConOtherCosts+ConPoints+RecourseFee+OpReserve,0)</f>
        <v/>
      </c>
      <c r="EK26" s="218">
        <f>DevSpend!EK$34+DevSpend!EK$35+DevSpend!EK$38+IF(137=MS_Initial_Closing_Start,ConOtherCosts+ConPoints+RecourseFee+OpReserve,0)</f>
        <v/>
      </c>
      <c r="EL26" s="218">
        <f>DevSpend!EL$34+DevSpend!EL$35+DevSpend!EL$38+IF(138=MS_Initial_Closing_Start,ConOtherCosts+ConPoints+RecourseFee+OpReserve,0)</f>
        <v/>
      </c>
      <c r="EM26" s="218">
        <f>DevSpend!EM$34+DevSpend!EM$35+DevSpend!EM$38+IF(139=MS_Initial_Closing_Start,ConOtherCosts+ConPoints+RecourseFee+OpReserve,0)</f>
        <v/>
      </c>
      <c r="EN26" s="218">
        <f>DevSpend!EN$34+DevSpend!EN$35+DevSpend!EN$38+IF(140=MS_Initial_Closing_Start,ConOtherCosts+ConPoints+RecourseFee+OpReserve,0)</f>
        <v/>
      </c>
      <c r="EO26" s="218">
        <f>DevSpend!EO$34+DevSpend!EO$35+DevSpend!EO$38+IF(141=MS_Initial_Closing_Start,ConOtherCosts+ConPoints+RecourseFee+OpReserve,0)</f>
        <v/>
      </c>
      <c r="EP26" s="218">
        <f>DevSpend!EP$34+DevSpend!EP$35+DevSpend!EP$38+IF(142=MS_Initial_Closing_Start,ConOtherCosts+ConPoints+RecourseFee+OpReserve,0)</f>
        <v/>
      </c>
      <c r="EQ26" s="218">
        <f>DevSpend!EQ$34+DevSpend!EQ$35+DevSpend!EQ$38+IF(143=MS_Initial_Closing_Start,ConOtherCosts+ConPoints+RecourseFee+OpReserve,0)</f>
        <v/>
      </c>
      <c r="ER26" s="218">
        <f>DevSpend!ER$34+DevSpend!ER$35+DevSpend!ER$38+IF(144=MS_Initial_Closing_Start,ConOtherCosts+ConPoints+RecourseFee+OpReserve,0)</f>
        <v/>
      </c>
      <c r="ES26" s="218">
        <f>DevSpend!ES$34+DevSpend!ES$35+DevSpend!ES$38+IF(145=MS_Initial_Closing_Start,ConOtherCosts+ConPoints+RecourseFee+OpReserve,0)</f>
        <v/>
      </c>
      <c r="ET26" s="218">
        <f>DevSpend!ET$34+DevSpend!ET$35+DevSpend!ET$38+IF(146=MS_Initial_Closing_Start,ConOtherCosts+ConPoints+RecourseFee+OpReserve,0)</f>
        <v/>
      </c>
      <c r="EU26" s="218">
        <f>DevSpend!EU$34+DevSpend!EU$35+DevSpend!EU$38+IF(147=MS_Initial_Closing_Start,ConOtherCosts+ConPoints+RecourseFee+OpReserve,0)</f>
        <v/>
      </c>
      <c r="EV26" s="218">
        <f>DevSpend!EV$34+DevSpend!EV$35+DevSpend!EV$38+IF(148=MS_Initial_Closing_Start,ConOtherCosts+ConPoints+RecourseFee+OpReserve,0)</f>
        <v/>
      </c>
      <c r="EW26" s="218">
        <f>DevSpend!EW$34+DevSpend!EW$35+DevSpend!EW$38+IF(149=MS_Initial_Closing_Start,ConOtherCosts+ConPoints+RecourseFee+OpReserve,0)</f>
        <v/>
      </c>
      <c r="EX26" s="218">
        <f>DevSpend!EX$34+DevSpend!EX$35+DevSpend!EX$38+IF(150=MS_Initial_Closing_Start,ConOtherCosts+ConPoints+RecourseFee+OpReserve,0)</f>
        <v/>
      </c>
      <c r="EY26" s="218">
        <f>DevSpend!EY$34+DevSpend!EY$35+DevSpend!EY$38+IF(151=MS_Initial_Closing_Start,ConOtherCosts+ConPoints+RecourseFee+OpReserve,0)</f>
        <v/>
      </c>
      <c r="EZ26" s="218">
        <f>DevSpend!EZ$34+DevSpend!EZ$35+DevSpend!EZ$38+IF(152=MS_Initial_Closing_Start,ConOtherCosts+ConPoints+RecourseFee+OpReserve,0)</f>
        <v/>
      </c>
      <c r="FA26" s="218">
        <f>DevSpend!FA$34+DevSpend!FA$35+DevSpend!FA$38+IF(153=MS_Initial_Closing_Start,ConOtherCosts+ConPoints+RecourseFee+OpReserve,0)</f>
        <v/>
      </c>
      <c r="FB26" s="218">
        <f>DevSpend!FB$34+DevSpend!FB$35+DevSpend!FB$38+IF(154=MS_Initial_Closing_Start,ConOtherCosts+ConPoints+RecourseFee+OpReserve,0)</f>
        <v/>
      </c>
      <c r="FC26" s="218">
        <f>DevSpend!FC$34+DevSpend!FC$35+DevSpend!FC$38+IF(155=MS_Initial_Closing_Start,ConOtherCosts+ConPoints+RecourseFee+OpReserve,0)</f>
        <v/>
      </c>
      <c r="FD26" s="218">
        <f>DevSpend!FD$34+DevSpend!FD$35+DevSpend!FD$38+IF(156=MS_Initial_Closing_Start,ConOtherCosts+ConPoints+RecourseFee+OpReserve,0)</f>
        <v/>
      </c>
      <c r="FE26" s="218">
        <f>DevSpend!FE$34+DevSpend!FE$35+DevSpend!FE$38+IF(157=MS_Initial_Closing_Start,ConOtherCosts+ConPoints+RecourseFee+OpReserve,0)</f>
        <v/>
      </c>
      <c r="FF26" s="218">
        <f>DevSpend!FF$34+DevSpend!FF$35+DevSpend!FF$38+IF(158=MS_Initial_Closing_Start,ConOtherCosts+ConPoints+RecourseFee+OpReserve,0)</f>
        <v/>
      </c>
      <c r="FG26" s="218">
        <f>DevSpend!FG$34+DevSpend!FG$35+DevSpend!FG$38+IF(159=MS_Initial_Closing_Start,ConOtherCosts+ConPoints+RecourseFee+OpReserve,0)</f>
        <v/>
      </c>
      <c r="FH26" s="218">
        <f>DevSpend!FH$34+DevSpend!FH$35+DevSpend!FH$38+IF(160=MS_Initial_Closing_Start,ConOtherCosts+ConPoints+RecourseFee+OpReserve,0)</f>
        <v/>
      </c>
      <c r="FI26" s="218">
        <f>DevSpend!FI$34+DevSpend!FI$35+DevSpend!FI$38+IF(161=MS_Initial_Closing_Start,ConOtherCosts+ConPoints+RecourseFee+OpReserve,0)</f>
        <v/>
      </c>
      <c r="FJ26" s="218">
        <f>DevSpend!FJ$34+DevSpend!FJ$35+DevSpend!FJ$38+IF(162=MS_Initial_Closing_Start,ConOtherCosts+ConPoints+RecourseFee+OpReserve,0)</f>
        <v/>
      </c>
      <c r="FK26" s="218">
        <f>DevSpend!FK$34+DevSpend!FK$35+DevSpend!FK$38+IF(163=MS_Initial_Closing_Start,ConOtherCosts+ConPoints+RecourseFee+OpReserve,0)</f>
        <v/>
      </c>
      <c r="FL26" s="218">
        <f>DevSpend!FL$34+DevSpend!FL$35+DevSpend!FL$38+IF(164=MS_Initial_Closing_Start,ConOtherCosts+ConPoints+RecourseFee+OpReserve,0)</f>
        <v/>
      </c>
      <c r="FM26" s="218">
        <f>DevSpend!FM$34+DevSpend!FM$35+DevSpend!FM$38+IF(165=MS_Initial_Closing_Start,ConOtherCosts+ConPoints+RecourseFee+OpReserve,0)</f>
        <v/>
      </c>
      <c r="FN26" s="218">
        <f>DevSpend!FN$34+DevSpend!FN$35+DevSpend!FN$38+IF(166=MS_Initial_Closing_Start,ConOtherCosts+ConPoints+RecourseFee+OpReserve,0)</f>
        <v/>
      </c>
      <c r="FO26" s="218">
        <f>DevSpend!FO$34+DevSpend!FO$35+DevSpend!FO$38+IF(167=MS_Initial_Closing_Start,ConOtherCosts+ConPoints+RecourseFee+OpReserve,0)</f>
        <v/>
      </c>
      <c r="FP26" s="218">
        <f>DevSpend!FP$34+DevSpend!FP$35+DevSpend!FP$38+IF(168=MS_Initial_Closing_Start,ConOtherCosts+ConPoints+RecourseFee+OpReserve,0)</f>
        <v/>
      </c>
      <c r="FQ26" s="218">
        <f>DevSpend!FQ$34+DevSpend!FQ$35+DevSpend!FQ$38+IF(169=MS_Initial_Closing_Start,ConOtherCosts+ConPoints+RecourseFee+OpReserve,0)</f>
        <v/>
      </c>
      <c r="FR26" s="218">
        <f>DevSpend!FR$34+DevSpend!FR$35+DevSpend!FR$38+IF(170=MS_Initial_Closing_Start,ConOtherCosts+ConPoints+RecourseFee+OpReserve,0)</f>
        <v/>
      </c>
      <c r="FS26" s="218">
        <f>DevSpend!FS$34+DevSpend!FS$35+DevSpend!FS$38+IF(171=MS_Initial_Closing_Start,ConOtherCosts+ConPoints+RecourseFee+OpReserve,0)</f>
        <v/>
      </c>
      <c r="FT26" s="218">
        <f>DevSpend!FT$34+DevSpend!FT$35+DevSpend!FT$38+IF(172=MS_Initial_Closing_Start,ConOtherCosts+ConPoints+RecourseFee+OpReserve,0)</f>
        <v/>
      </c>
      <c r="FU26" s="218">
        <f>DevSpend!FU$34+DevSpend!FU$35+DevSpend!FU$38+IF(173=MS_Initial_Closing_Start,ConOtherCosts+ConPoints+RecourseFee+OpReserve,0)</f>
        <v/>
      </c>
      <c r="FV26" s="218">
        <f>DevSpend!FV$34+DevSpend!FV$35+DevSpend!FV$38+IF(174=MS_Initial_Closing_Start,ConOtherCosts+ConPoints+RecourseFee+OpReserve,0)</f>
        <v/>
      </c>
      <c r="FW26" s="218">
        <f>DevSpend!FW$34+DevSpend!FW$35+DevSpend!FW$38+IF(175=MS_Initial_Closing_Start,ConOtherCosts+ConPoints+RecourseFee+OpReserve,0)</f>
        <v/>
      </c>
      <c r="FX26" s="218">
        <f>DevSpend!FX$34+DevSpend!FX$35+DevSpend!FX$38+IF(176=MS_Initial_Closing_Start,ConOtherCosts+ConPoints+RecourseFee+OpReserve,0)</f>
        <v/>
      </c>
      <c r="FY26" s="218">
        <f>DevSpend!FY$34+DevSpend!FY$35+DevSpend!FY$38+IF(177=MS_Initial_Closing_Start,ConOtherCosts+ConPoints+RecourseFee+OpReserve,0)</f>
        <v/>
      </c>
      <c r="FZ26" s="218">
        <f>DevSpend!FZ$34+DevSpend!FZ$35+DevSpend!FZ$38+IF(178=MS_Initial_Closing_Start,ConOtherCosts+ConPoints+RecourseFee+OpReserve,0)</f>
        <v/>
      </c>
      <c r="GA26" s="218">
        <f>DevSpend!GA$34+DevSpend!GA$35+DevSpend!GA$38+IF(179=MS_Initial_Closing_Start,ConOtherCosts+ConPoints+RecourseFee+OpReserve,0)</f>
        <v/>
      </c>
      <c r="GB26" s="218">
        <f>DevSpend!GB$34+DevSpend!GB$35+DevSpend!GB$38+IF(180=MS_Initial_Closing_Start,ConOtherCosts+ConPoints+RecourseFee+OpReserve,0)</f>
        <v/>
      </c>
      <c r="GC26" s="218">
        <f>DevSpend!GC$34+DevSpend!GC$35+DevSpend!GC$38+IF(181=MS_Initial_Closing_Start,ConOtherCosts+ConPoints+RecourseFee+OpReserve,0)</f>
        <v/>
      </c>
      <c r="GD26" s="218">
        <f>DevSpend!GD$34+DevSpend!GD$35+DevSpend!GD$38+IF(182=MS_Initial_Closing_Start,ConOtherCosts+ConPoints+RecourseFee+OpReserve,0)</f>
        <v/>
      </c>
      <c r="GE26" s="218">
        <f>DevSpend!GE$34+DevSpend!GE$35+DevSpend!GE$38+IF(183=MS_Initial_Closing_Start,ConOtherCosts+ConPoints+RecourseFee+OpReserve,0)</f>
        <v/>
      </c>
      <c r="GF26" s="218">
        <f>DevSpend!GF$34+DevSpend!GF$35+DevSpend!GF$38+IF(184=MS_Initial_Closing_Start,ConOtherCosts+ConPoints+RecourseFee+OpReserve,0)</f>
        <v/>
      </c>
      <c r="GG26" s="218">
        <f>DevSpend!GG$34+DevSpend!GG$35+DevSpend!GG$38+IF(185=MS_Initial_Closing_Start,ConOtherCosts+ConPoints+RecourseFee+OpReserve,0)</f>
        <v/>
      </c>
      <c r="GH26" s="218">
        <f>DevSpend!GH$34+DevSpend!GH$35+DevSpend!GH$38+IF(186=MS_Initial_Closing_Start,ConOtherCosts+ConPoints+RecourseFee+OpReserve,0)</f>
        <v/>
      </c>
      <c r="GI26" s="218">
        <f>DevSpend!GI$34+DevSpend!GI$35+DevSpend!GI$38+IF(187=MS_Initial_Closing_Start,ConOtherCosts+ConPoints+RecourseFee+OpReserve,0)</f>
        <v/>
      </c>
      <c r="GJ26" s="218">
        <f>DevSpend!GJ$34+DevSpend!GJ$35+DevSpend!GJ$38+IF(188=MS_Initial_Closing_Start,ConOtherCosts+ConPoints+RecourseFee+OpReserve,0)</f>
        <v/>
      </c>
      <c r="GK26" s="218">
        <f>DevSpend!GK$34+DevSpend!GK$35+DevSpend!GK$38+IF(189=MS_Initial_Closing_Start,ConOtherCosts+ConPoints+RecourseFee+OpReserve,0)</f>
        <v/>
      </c>
      <c r="GL26" s="218">
        <f>DevSpend!GL$34+DevSpend!GL$35+DevSpend!GL$38+IF(190=MS_Initial_Closing_Start,ConOtherCosts+ConPoints+RecourseFee+OpReserve,0)</f>
        <v/>
      </c>
      <c r="GM26" s="218">
        <f>DevSpend!GM$34+DevSpend!GM$35+DevSpend!GM$38+IF(191=MS_Initial_Closing_Start,ConOtherCosts+ConPoints+RecourseFee+OpReserve,0)</f>
        <v/>
      </c>
      <c r="GN26" s="218">
        <f>DevSpend!GN$34+DevSpend!GN$35+DevSpend!GN$38+IF(192=MS_Initial_Closing_Start,ConOtherCosts+ConPoints+RecourseFee+OpReserve,0)</f>
        <v/>
      </c>
      <c r="GO26" s="218">
        <f>DevSpend!GO$34+DevSpend!GO$35+DevSpend!GO$38+IF(193=MS_Initial_Closing_Start,ConOtherCosts+ConPoints+RecourseFee+OpReserve,0)</f>
        <v/>
      </c>
      <c r="GP26" s="218">
        <f>DevSpend!GP$34+DevSpend!GP$35+DevSpend!GP$38+IF(194=MS_Initial_Closing_Start,ConOtherCosts+ConPoints+RecourseFee+OpReserve,0)</f>
        <v/>
      </c>
      <c r="GQ26" s="218">
        <f>DevSpend!GQ$34+DevSpend!GQ$35+DevSpend!GQ$38+IF(195=MS_Initial_Closing_Start,ConOtherCosts+ConPoints+RecourseFee+OpReserve,0)</f>
        <v/>
      </c>
      <c r="GR26" s="218">
        <f>DevSpend!GR$34+DevSpend!GR$35+DevSpend!GR$38+IF(196=MS_Initial_Closing_Start,ConOtherCosts+ConPoints+RecourseFee+OpReserve,0)</f>
        <v/>
      </c>
      <c r="GS26" s="218">
        <f>DevSpend!GS$34+DevSpend!GS$35+DevSpend!GS$38+IF(197=MS_Initial_Closing_Start,ConOtherCosts+ConPoints+RecourseFee+OpReserve,0)</f>
        <v/>
      </c>
      <c r="GT26" s="218">
        <f>DevSpend!GT$34+DevSpend!GT$35+DevSpend!GT$38+IF(198=MS_Initial_Closing_Start,ConOtherCosts+ConPoints+RecourseFee+OpReserve,0)</f>
        <v/>
      </c>
      <c r="GU26" s="218">
        <f>DevSpend!GU$34+DevSpend!GU$35+DevSpend!GU$38+IF(199=MS_Initial_Closing_Start,ConOtherCosts+ConPoints+RecourseFee+OpReserve,0)</f>
        <v/>
      </c>
      <c r="GV26" s="218">
        <f>DevSpend!GV$34+DevSpend!GV$35+DevSpend!GV$38+IF(200=MS_Initial_Closing_Start,ConOtherCosts+ConPoints+RecourseFee+OpReserve,0)</f>
        <v/>
      </c>
      <c r="GW26" s="218">
        <f>DevSpend!GW$34+DevSpend!GW$35+DevSpend!GW$38+IF(201=MS_Initial_Closing_Start,ConOtherCosts+ConPoints+RecourseFee+OpReserve,0)</f>
        <v/>
      </c>
      <c r="GX26" s="218">
        <f>DevSpend!GX$34+DevSpend!GX$35+DevSpend!GX$38+IF(202=MS_Initial_Closing_Start,ConOtherCosts+ConPoints+RecourseFee+OpReserve,0)</f>
        <v/>
      </c>
      <c r="GY26" s="218">
        <f>DevSpend!GY$34+DevSpend!GY$35+DevSpend!GY$38+IF(203=MS_Initial_Closing_Start,ConOtherCosts+ConPoints+RecourseFee+OpReserve,0)</f>
        <v/>
      </c>
      <c r="GZ26" s="218">
        <f>DevSpend!GZ$34+DevSpend!GZ$35+DevSpend!GZ$38+IF(204=MS_Initial_Closing_Start,ConOtherCosts+ConPoints+RecourseFee+OpReserve,0)</f>
        <v/>
      </c>
      <c r="HA26" s="218">
        <f>DevSpend!HA$34+DevSpend!HA$35+DevSpend!HA$38+IF(205=MS_Initial_Closing_Start,ConOtherCosts+ConPoints+RecourseFee+OpReserve,0)</f>
        <v/>
      </c>
      <c r="HB26" s="218">
        <f>DevSpend!HB$34+DevSpend!HB$35+DevSpend!HB$38+IF(206=MS_Initial_Closing_Start,ConOtherCosts+ConPoints+RecourseFee+OpReserve,0)</f>
        <v/>
      </c>
      <c r="HC26" s="218">
        <f>DevSpend!HC$34+DevSpend!HC$35+DevSpend!HC$38+IF(207=MS_Initial_Closing_Start,ConOtherCosts+ConPoints+RecourseFee+OpReserve,0)</f>
        <v/>
      </c>
      <c r="HD26" s="218">
        <f>DevSpend!HD$34+DevSpend!HD$35+DevSpend!HD$38+IF(208=MS_Initial_Closing_Start,ConOtherCosts+ConPoints+RecourseFee+OpReserve,0)</f>
        <v/>
      </c>
      <c r="HE26" s="218">
        <f>DevSpend!HE$34+DevSpend!HE$35+DevSpend!HE$38+IF(209=MS_Initial_Closing_Start,ConOtherCosts+ConPoints+RecourseFee+OpReserve,0)</f>
        <v/>
      </c>
      <c r="HF26" s="218">
        <f>DevSpend!HF$34+DevSpend!HF$35+DevSpend!HF$38+IF(210=MS_Initial_Closing_Start,ConOtherCosts+ConPoints+RecourseFee+OpReserve,0)</f>
        <v/>
      </c>
      <c r="HG26" s="218">
        <f>DevSpend!HG$34+DevSpend!HG$35+DevSpend!HG$38+IF(211=MS_Initial_Closing_Start,ConOtherCosts+ConPoints+RecourseFee+OpReserve,0)</f>
        <v/>
      </c>
      <c r="HH26" s="218">
        <f>DevSpend!HH$34+DevSpend!HH$35+DevSpend!HH$38+IF(212=MS_Initial_Closing_Start,ConOtherCosts+ConPoints+RecourseFee+OpReserve,0)</f>
        <v/>
      </c>
      <c r="HI26" s="218">
        <f>DevSpend!HI$34+DevSpend!HI$35+DevSpend!HI$38+IF(213=MS_Initial_Closing_Start,ConOtherCosts+ConPoints+RecourseFee+OpReserve,0)</f>
        <v/>
      </c>
      <c r="HJ26" s="218">
        <f>DevSpend!HJ$34+DevSpend!HJ$35+DevSpend!HJ$38+IF(214=MS_Initial_Closing_Start,ConOtherCosts+ConPoints+RecourseFee+OpReserve,0)</f>
        <v/>
      </c>
      <c r="HK26" s="218">
        <f>DevSpend!HK$34+DevSpend!HK$35+DevSpend!HK$38+IF(215=MS_Initial_Closing_Start,ConOtherCosts+ConPoints+RecourseFee+OpReserve,0)</f>
        <v/>
      </c>
      <c r="HL26" s="218">
        <f>DevSpend!HL$34+DevSpend!HL$35+DevSpend!HL$38+IF(216=MS_Initial_Closing_Start,ConOtherCosts+ConPoints+RecourseFee+OpReserve,0)</f>
        <v/>
      </c>
      <c r="HM26" s="218">
        <f>DevSpend!HM$34+DevSpend!HM$35+DevSpend!HM$38+IF(217=MS_Initial_Closing_Start,ConOtherCosts+ConPoints+RecourseFee+OpReserve,0)</f>
        <v/>
      </c>
      <c r="HN26" s="218">
        <f>DevSpend!HN$34+DevSpend!HN$35+DevSpend!HN$38+IF(218=MS_Initial_Closing_Start,ConOtherCosts+ConPoints+RecourseFee+OpReserve,0)</f>
        <v/>
      </c>
      <c r="HO26" s="218">
        <f>DevSpend!HO$34+DevSpend!HO$35+DevSpend!HO$38+IF(219=MS_Initial_Closing_Start,ConOtherCosts+ConPoints+RecourseFee+OpReserve,0)</f>
        <v/>
      </c>
      <c r="HP26" s="218">
        <f>DevSpend!HP$34+DevSpend!HP$35+DevSpend!HP$38+IF(220=MS_Initial_Closing_Start,ConOtherCosts+ConPoints+RecourseFee+OpReserve,0)</f>
        <v/>
      </c>
      <c r="HQ26" s="218">
        <f>DevSpend!HQ$34+DevSpend!HQ$35+DevSpend!HQ$38+IF(221=MS_Initial_Closing_Start,ConOtherCosts+ConPoints+RecourseFee+OpReserve,0)</f>
        <v/>
      </c>
      <c r="HR26" s="218">
        <f>DevSpend!HR$34+DevSpend!HR$35+DevSpend!HR$38+IF(222=MS_Initial_Closing_Start,ConOtherCosts+ConPoints+RecourseFee+OpReserve,0)</f>
        <v/>
      </c>
      <c r="HS26" s="218">
        <f>DevSpend!HS$34+DevSpend!HS$35+DevSpend!HS$38+IF(223=MS_Initial_Closing_Start,ConOtherCosts+ConPoints+RecourseFee+OpReserve,0)</f>
        <v/>
      </c>
      <c r="HT26" s="218">
        <f>DevSpend!HT$34+DevSpend!HT$35+DevSpend!HT$38+IF(224=MS_Initial_Closing_Start,ConOtherCosts+ConPoints+RecourseFee+OpReserve,0)</f>
        <v/>
      </c>
      <c r="HU26" s="218">
        <f>DevSpend!HU$34+DevSpend!HU$35+DevSpend!HU$38+IF(225=MS_Initial_Closing_Start,ConOtherCosts+ConPoints+RecourseFee+OpReserve,0)</f>
        <v/>
      </c>
      <c r="HV26" s="218">
        <f>DevSpend!HV$34+DevSpend!HV$35+DevSpend!HV$38+IF(226=MS_Initial_Closing_Start,ConOtherCosts+ConPoints+RecourseFee+OpReserve,0)</f>
        <v/>
      </c>
      <c r="HW26" s="218">
        <f>DevSpend!HW$34+DevSpend!HW$35+DevSpend!HW$38+IF(227=MS_Initial_Closing_Start,ConOtherCosts+ConPoints+RecourseFee+OpReserve,0)</f>
        <v/>
      </c>
      <c r="HX26" s="218">
        <f>DevSpend!HX$34+DevSpend!HX$35+DevSpend!HX$38+IF(228=MS_Initial_Closing_Start,ConOtherCosts+ConPoints+RecourseFee+OpReserve,0)</f>
        <v/>
      </c>
      <c r="HY26" s="218">
        <f>DevSpend!HY$34+DevSpend!HY$35+DevSpend!HY$38+IF(229=MS_Initial_Closing_Start,ConOtherCosts+ConPoints+RecourseFee+OpReserve,0)</f>
        <v/>
      </c>
      <c r="HZ26" s="218">
        <f>DevSpend!HZ$34+DevSpend!HZ$35+DevSpend!HZ$38+IF(230=MS_Initial_Closing_Start,ConOtherCosts+ConPoints+RecourseFee+OpReserve,0)</f>
        <v/>
      </c>
      <c r="IA26" s="218">
        <f>DevSpend!IA$34+DevSpend!IA$35+DevSpend!IA$38+IF(231=MS_Initial_Closing_Start,ConOtherCosts+ConPoints+RecourseFee+OpReserve,0)</f>
        <v/>
      </c>
      <c r="IB26" s="218">
        <f>DevSpend!IB$34+DevSpend!IB$35+DevSpend!IB$38+IF(232=MS_Initial_Closing_Start,ConOtherCosts+ConPoints+RecourseFee+OpReserve,0)</f>
        <v/>
      </c>
      <c r="IC26" s="218">
        <f>DevSpend!IC$34+DevSpend!IC$35+DevSpend!IC$38+IF(233=MS_Initial_Closing_Start,ConOtherCosts+ConPoints+RecourseFee+OpReserve,0)</f>
        <v/>
      </c>
      <c r="ID26" s="218">
        <f>DevSpend!ID$34+DevSpend!ID$35+DevSpend!ID$38+IF(234=MS_Initial_Closing_Start,ConOtherCosts+ConPoints+RecourseFee+OpReserve,0)</f>
        <v/>
      </c>
      <c r="IE26" s="218">
        <f>DevSpend!IE$34+DevSpend!IE$35+DevSpend!IE$38+IF(235=MS_Initial_Closing_Start,ConOtherCosts+ConPoints+RecourseFee+OpReserve,0)</f>
        <v/>
      </c>
      <c r="IF26" s="218">
        <f>DevSpend!IF$34+DevSpend!IF$35+DevSpend!IF$38+IF(236=MS_Initial_Closing_Start,ConOtherCosts+ConPoints+RecourseFee+OpReserve,0)</f>
        <v/>
      </c>
      <c r="IG26" s="218">
        <f>DevSpend!IG$34+DevSpend!IG$35+DevSpend!IG$38+IF(237=MS_Initial_Closing_Start,ConOtherCosts+ConPoints+RecourseFee+OpReserve,0)</f>
        <v/>
      </c>
      <c r="IH26" s="218">
        <f>DevSpend!IH$34+DevSpend!IH$35+DevSpend!IH$38+IF(238=MS_Initial_Closing_Start,ConOtherCosts+ConPoints+RecourseFee+OpReserve,0)</f>
        <v/>
      </c>
      <c r="II26" s="218">
        <f>DevSpend!II$34+DevSpend!II$35+DevSpend!II$38+IF(239=MS_Initial_Closing_Start,ConOtherCosts+ConPoints+RecourseFee+OpReserve,0)</f>
        <v/>
      </c>
      <c r="IJ26" s="218">
        <f>DevSpend!IJ$34+DevSpend!IJ$35+DevSpend!IJ$38+IF(240=MS_Initial_Closing_Start,ConOtherCosts+ConPoints+RecourseFee+OpReserve,0)</f>
        <v/>
      </c>
      <c r="IK26" s="218">
        <f>DevSpend!IK$34+DevSpend!IK$35+DevSpend!IK$38+IF(241=MS_Initial_Closing_Start,ConOtherCosts+ConPoints+RecourseFee+OpReserve,0)</f>
        <v/>
      </c>
      <c r="IL26" s="218">
        <f>DevSpend!IL$34+DevSpend!IL$35+DevSpend!IL$38+IF(242=MS_Initial_Closing_Start,ConOtherCosts+ConPoints+RecourseFee+OpReserve,0)</f>
        <v/>
      </c>
      <c r="IM26" s="218">
        <f>DevSpend!IM$34+DevSpend!IM$35+DevSpend!IM$38+IF(243=MS_Initial_Closing_Start,ConOtherCosts+ConPoints+RecourseFee+OpReserve,0)</f>
        <v/>
      </c>
      <c r="IN26" s="218">
        <f>DevSpend!IN$34+DevSpend!IN$35+DevSpend!IN$38+IF(244=MS_Initial_Closing_Start,ConOtherCosts+ConPoints+RecourseFee+OpReserve,0)</f>
        <v/>
      </c>
      <c r="IO26" s="218">
        <f>DevSpend!IO$34+DevSpend!IO$35+DevSpend!IO$38+IF(245=MS_Initial_Closing_Start,ConOtherCosts+ConPoints+RecourseFee+OpReserve,0)</f>
        <v/>
      </c>
      <c r="IP26" s="218">
        <f>DevSpend!IP$34+DevSpend!IP$35+DevSpend!IP$38+IF(246=MS_Initial_Closing_Start,ConOtherCosts+ConPoints+RecourseFee+OpReserve,0)</f>
        <v/>
      </c>
      <c r="IQ26" s="218">
        <f>DevSpend!IQ$34+DevSpend!IQ$35+DevSpend!IQ$38+IF(247=MS_Initial_Closing_Start,ConOtherCosts+ConPoints+RecourseFee+OpReserve,0)</f>
        <v/>
      </c>
      <c r="IR26" s="218">
        <f>DevSpend!IR$34+DevSpend!IR$35+DevSpend!IR$38+IF(248=MS_Initial_Closing_Start,ConOtherCosts+ConPoints+RecourseFee+OpReserve,0)</f>
        <v/>
      </c>
      <c r="IS26" s="218">
        <f>DevSpend!IS$34+DevSpend!IS$35+DevSpend!IS$38+IF(249=MS_Initial_Closing_Start,ConOtherCosts+ConPoints+RecourseFee+OpReserve,0)</f>
        <v/>
      </c>
      <c r="IT26" s="218">
        <f>DevSpend!IT$34+DevSpend!IT$35+DevSpend!IT$38+IF(250=MS_Initial_Closing_Start,ConOtherCosts+ConPoints+RecourseFee+OpReserve,0)</f>
        <v/>
      </c>
      <c r="IU26" s="218">
        <f>DevSpend!IU$34+DevSpend!IU$35+DevSpend!IU$38+IF(251=MS_Initial_Closing_Start,ConOtherCosts+ConPoints+RecourseFee+OpReserve,0)</f>
        <v/>
      </c>
      <c r="IV26" s="218">
        <f>DevSpend!IV$34+DevSpend!IV$35+DevSpend!IV$38+IF(252=MS_Initial_Closing_Start,ConOtherCosts+ConPoints+RecourseFee+OpReserve,0)</f>
        <v/>
      </c>
      <c r="IW26" s="218">
        <f>DevSpend!IW$34+DevSpend!IW$35+DevSpend!IW$38+IF(253=MS_Initial_Closing_Start,ConOtherCosts+ConPoints+RecourseFee+OpReserve,0)</f>
        <v/>
      </c>
      <c r="IX26" s="218">
        <f>DevSpend!IX$34+DevSpend!IX$35+DevSpend!IX$38+IF(254=MS_Initial_Closing_Start,ConOtherCosts+ConPoints+RecourseFee+OpReserve,0)</f>
        <v/>
      </c>
      <c r="IY26" s="218">
        <f>DevSpend!IY$34+DevSpend!IY$35+DevSpend!IY$38+IF(255=MS_Initial_Closing_Start,ConOtherCosts+ConPoints+RecourseFee+OpReserve,0)</f>
        <v/>
      </c>
      <c r="IZ26" s="218">
        <f>DevSpend!IZ$34+DevSpend!IZ$35+DevSpend!IZ$38+IF(256=MS_Initial_Closing_Start,ConOtherCosts+ConPoints+RecourseFee+OpReserve,0)</f>
        <v/>
      </c>
      <c r="JA26" s="218">
        <f>DevSpend!JA$34+DevSpend!JA$35+DevSpend!JA$38+IF(257=MS_Initial_Closing_Start,ConOtherCosts+ConPoints+RecourseFee+OpReserve,0)</f>
        <v/>
      </c>
      <c r="JB26" s="218">
        <f>DevSpend!JB$34+DevSpend!JB$35+DevSpend!JB$38+IF(258=MS_Initial_Closing_Start,ConOtherCosts+ConPoints+RecourseFee+OpReserve,0)</f>
        <v/>
      </c>
      <c r="JC26" s="218">
        <f>DevSpend!JC$34+DevSpend!JC$35+DevSpend!JC$38+IF(259=MS_Initial_Closing_Start,ConOtherCosts+ConPoints+RecourseFee+OpReserve,0)</f>
        <v/>
      </c>
      <c r="JD26" s="218">
        <f>DevSpend!JD$34+DevSpend!JD$35+DevSpend!JD$38+IF(260=MS_Initial_Closing_Start,ConOtherCosts+ConPoints+RecourseFee+OpReserve,0)</f>
        <v/>
      </c>
      <c r="JE26" s="218">
        <f>DevSpend!JE$34+DevSpend!JE$35+DevSpend!JE$38+IF(261=MS_Initial_Closing_Start,ConOtherCosts+ConPoints+RecourseFee+OpReserve,0)</f>
        <v/>
      </c>
      <c r="JF26" s="218">
        <f>DevSpend!JF$34+DevSpend!JF$35+DevSpend!JF$38+IF(262=MS_Initial_Closing_Start,ConOtherCosts+ConPoints+RecourseFee+OpReserve,0)</f>
        <v/>
      </c>
      <c r="JG26" s="218">
        <f>DevSpend!JG$34+DevSpend!JG$35+DevSpend!JG$38+IF(263=MS_Initial_Closing_Start,ConOtherCosts+ConPoints+RecourseFee+OpReserve,0)</f>
        <v/>
      </c>
      <c r="JH26" s="218">
        <f>DevSpend!JH$34+DevSpend!JH$35+DevSpend!JH$38+IF(264=MS_Initial_Closing_Start,ConOtherCosts+ConPoints+RecourseFee+OpReserve,0)</f>
        <v/>
      </c>
      <c r="JI26" s="218">
        <f>DevSpend!JI$34+DevSpend!JI$35+DevSpend!JI$38+IF(265=MS_Initial_Closing_Start,ConOtherCosts+ConPoints+RecourseFee+OpReserve,0)</f>
        <v/>
      </c>
      <c r="JJ26" s="218">
        <f>DevSpend!JJ$34+DevSpend!JJ$35+DevSpend!JJ$38+IF(266=MS_Initial_Closing_Start,ConOtherCosts+ConPoints+RecourseFee+OpReserve,0)</f>
        <v/>
      </c>
      <c r="JK26" s="218">
        <f>DevSpend!JK$34+DevSpend!JK$35+DevSpend!JK$38+IF(267=MS_Initial_Closing_Start,ConOtherCosts+ConPoints+RecourseFee+OpReserve,0)</f>
        <v/>
      </c>
      <c r="JL26" s="218">
        <f>DevSpend!JL$34+DevSpend!JL$35+DevSpend!JL$38+IF(268=MS_Initial_Closing_Start,ConOtherCosts+ConPoints+RecourseFee+OpReserve,0)</f>
        <v/>
      </c>
      <c r="JM26" s="218">
        <f>DevSpend!JM$34+DevSpend!JM$35+DevSpend!JM$38+IF(269=MS_Initial_Closing_Start,ConOtherCosts+ConPoints+RecourseFee+OpReserve,0)</f>
        <v/>
      </c>
      <c r="JN26" s="218">
        <f>DevSpend!JN$34+DevSpend!JN$35+DevSpend!JN$38+IF(270=MS_Initial_Closing_Start,ConOtherCosts+ConPoints+RecourseFee+OpReserve,0)</f>
        <v/>
      </c>
      <c r="JO26" s="218">
        <f>DevSpend!JO$34+DevSpend!JO$35+DevSpend!JO$38+IF(271=MS_Initial_Closing_Start,ConOtherCosts+ConPoints+RecourseFee+OpReserve,0)</f>
        <v/>
      </c>
      <c r="JP26" s="218">
        <f>DevSpend!JP$34+DevSpend!JP$35+DevSpend!JP$38+IF(272=MS_Initial_Closing_Start,ConOtherCosts+ConPoints+RecourseFee+OpReserve,0)</f>
        <v/>
      </c>
      <c r="JQ26" s="218">
        <f>DevSpend!JQ$34+DevSpend!JQ$35+DevSpend!JQ$38+IF(273=MS_Initial_Closing_Start,ConOtherCosts+ConPoints+RecourseFee+OpReserve,0)</f>
        <v/>
      </c>
      <c r="JR26" s="218">
        <f>DevSpend!JR$34+DevSpend!JR$35+DevSpend!JR$38+IF(274=MS_Initial_Closing_Start,ConOtherCosts+ConPoints+RecourseFee+OpReserve,0)</f>
        <v/>
      </c>
      <c r="JS26" s="218">
        <f>DevSpend!JS$34+DevSpend!JS$35+DevSpend!JS$38+IF(275=MS_Initial_Closing_Start,ConOtherCosts+ConPoints+RecourseFee+OpReserve,0)</f>
        <v/>
      </c>
      <c r="JT26" s="218">
        <f>DevSpend!JT$34+DevSpend!JT$35+DevSpend!JT$38+IF(276=MS_Initial_Closing_Start,ConOtherCosts+ConPoints+RecourseFee+OpReserve,0)</f>
        <v/>
      </c>
      <c r="JU26" s="218">
        <f>DevSpend!JU$34+DevSpend!JU$35+DevSpend!JU$38+IF(277=MS_Initial_Closing_Start,ConOtherCosts+ConPoints+RecourseFee+OpReserve,0)</f>
        <v/>
      </c>
      <c r="JV26" s="218">
        <f>DevSpend!JV$34+DevSpend!JV$35+DevSpend!JV$38+IF(278=MS_Initial_Closing_Start,ConOtherCosts+ConPoints+RecourseFee+OpReserve,0)</f>
        <v/>
      </c>
      <c r="JW26" s="218">
        <f>DevSpend!JW$34+DevSpend!JW$35+DevSpend!JW$38+IF(279=MS_Initial_Closing_Start,ConOtherCosts+ConPoints+RecourseFee+OpReserve,0)</f>
        <v/>
      </c>
      <c r="JX26" s="218">
        <f>DevSpend!JX$34+DevSpend!JX$35+DevSpend!JX$38+IF(280=MS_Initial_Closing_Start,ConOtherCosts+ConPoints+RecourseFee+OpReserve,0)</f>
        <v/>
      </c>
      <c r="JY26" s="218">
        <f>DevSpend!JY$34+DevSpend!JY$35+DevSpend!JY$38+IF(281=MS_Initial_Closing_Start,ConOtherCosts+ConPoints+RecourseFee+OpReserve,0)</f>
        <v/>
      </c>
      <c r="JZ26" s="218">
        <f>DevSpend!JZ$34+DevSpend!JZ$35+DevSpend!JZ$38+IF(282=MS_Initial_Closing_Start,ConOtherCosts+ConPoints+RecourseFee+OpReserve,0)</f>
        <v/>
      </c>
      <c r="KA26" s="218">
        <f>DevSpend!KA$34+DevSpend!KA$35+DevSpend!KA$38+IF(283=MS_Initial_Closing_Start,ConOtherCosts+ConPoints+RecourseFee+OpReserve,0)</f>
        <v/>
      </c>
      <c r="KB26" s="218">
        <f>DevSpend!KB$34+DevSpend!KB$35+DevSpend!KB$38+IF(284=MS_Initial_Closing_Start,ConOtherCosts+ConPoints+RecourseFee+OpReserve,0)</f>
        <v/>
      </c>
      <c r="KC26" s="218">
        <f>DevSpend!KC$34+DevSpend!KC$35+DevSpend!KC$38+IF(285=MS_Initial_Closing_Start,ConOtherCosts+ConPoints+RecourseFee+OpReserve,0)</f>
        <v/>
      </c>
      <c r="KD26" s="218">
        <f>DevSpend!KD$34+DevSpend!KD$35+DevSpend!KD$38+IF(286=MS_Initial_Closing_Start,ConOtherCosts+ConPoints+RecourseFee+OpReserve,0)</f>
        <v/>
      </c>
      <c r="KE26" s="218">
        <f>DevSpend!KE$34+DevSpend!KE$35+DevSpend!KE$38+IF(287=MS_Initial_Closing_Start,ConOtherCosts+ConPoints+RecourseFee+OpReserve,0)</f>
        <v/>
      </c>
      <c r="KF26" s="218">
        <f>DevSpend!KF$34+DevSpend!KF$35+DevSpend!KF$38+IF(288=MS_Initial_Closing_Start,ConOtherCosts+ConPoints+RecourseFee+OpReserve,0)</f>
        <v/>
      </c>
      <c r="KG26" s="218">
        <f>DevSpend!KG$34+DevSpend!KG$35+DevSpend!KG$38+IF(289=MS_Initial_Closing_Start,ConOtherCosts+ConPoints+RecourseFee+OpReserve,0)</f>
        <v/>
      </c>
      <c r="KH26" s="218">
        <f>DevSpend!KH$34+DevSpend!KH$35+DevSpend!KH$38+IF(290=MS_Initial_Closing_Start,ConOtherCosts+ConPoints+RecourseFee+OpReserve,0)</f>
        <v/>
      </c>
      <c r="KI26" s="218">
        <f>DevSpend!KI$34+DevSpend!KI$35+DevSpend!KI$38+IF(291=MS_Initial_Closing_Start,ConOtherCosts+ConPoints+RecourseFee+OpReserve,0)</f>
        <v/>
      </c>
      <c r="KJ26" s="218">
        <f>DevSpend!KJ$34+DevSpend!KJ$35+DevSpend!KJ$38+IF(292=MS_Initial_Closing_Start,ConOtherCosts+ConPoints+RecourseFee+OpReserve,0)</f>
        <v/>
      </c>
      <c r="KK26" s="218">
        <f>DevSpend!KK$34+DevSpend!KK$35+DevSpend!KK$38+IF(293=MS_Initial_Closing_Start,ConOtherCosts+ConPoints+RecourseFee+OpReserve,0)</f>
        <v/>
      </c>
      <c r="KL26" s="218">
        <f>DevSpend!KL$34+DevSpend!KL$35+DevSpend!KL$38+IF(294=MS_Initial_Closing_Start,ConOtherCosts+ConPoints+RecourseFee+OpReserve,0)</f>
        <v/>
      </c>
      <c r="KM26" s="218">
        <f>DevSpend!KM$34+DevSpend!KM$35+DevSpend!KM$38+IF(295=MS_Initial_Closing_Start,ConOtherCosts+ConPoints+RecourseFee+OpReserve,0)</f>
        <v/>
      </c>
      <c r="KN26" s="218">
        <f>DevSpend!KN$34+DevSpend!KN$35+DevSpend!KN$38+IF(296=MS_Initial_Closing_Start,ConOtherCosts+ConPoints+RecourseFee+OpReserve,0)</f>
        <v/>
      </c>
      <c r="KO26" s="218">
        <f>DevSpend!KO$34+DevSpend!KO$35+DevSpend!KO$38+IF(297=MS_Initial_Closing_Start,ConOtherCosts+ConPoints+RecourseFee+OpReserve,0)</f>
        <v/>
      </c>
      <c r="KP26" s="218">
        <f>DevSpend!KP$34+DevSpend!KP$35+DevSpend!KP$38+IF(298=MS_Initial_Closing_Start,ConOtherCosts+ConPoints+RecourseFee+OpReserve,0)</f>
        <v/>
      </c>
      <c r="KQ26" s="218">
        <f>DevSpend!KQ$34+DevSpend!KQ$35+DevSpend!KQ$38+IF(299=MS_Initial_Closing_Start,ConOtherCosts+ConPoints+RecourseFee+OpReserve,0)</f>
        <v/>
      </c>
      <c r="KR26" s="218">
        <f>DevSpend!KR$34+DevSpend!KR$35+DevSpend!KR$38+IF(300=MS_Initial_Closing_Start,ConOtherCosts+ConPoints+RecourseFee+OpReserve,0)</f>
        <v/>
      </c>
      <c r="KS26" s="218">
        <f>DevSpend!KS$34+DevSpend!KS$35+DevSpend!KS$38+IF(301=MS_Initial_Closing_Start,ConOtherCosts+ConPoints+RecourseFee+OpReserve,0)</f>
        <v/>
      </c>
      <c r="KT26" s="218">
        <f>DevSpend!KT$34+DevSpend!KT$35+DevSpend!KT$38+IF(302=MS_Initial_Closing_Start,ConOtherCosts+ConPoints+RecourseFee+OpReserve,0)</f>
        <v/>
      </c>
      <c r="KU26" s="218">
        <f>DevSpend!KU$34+DevSpend!KU$35+DevSpend!KU$38+IF(303=MS_Initial_Closing_Start,ConOtherCosts+ConPoints+RecourseFee+OpReserve,0)</f>
        <v/>
      </c>
      <c r="KV26" s="218">
        <f>DevSpend!KV$34+DevSpend!KV$35+DevSpend!KV$38+IF(304=MS_Initial_Closing_Start,ConOtherCosts+ConPoints+RecourseFee+OpReserve,0)</f>
        <v/>
      </c>
      <c r="KW26" s="218">
        <f>DevSpend!KW$34+DevSpend!KW$35+DevSpend!KW$38+IF(305=MS_Initial_Closing_Start,ConOtherCosts+ConPoints+RecourseFee+OpReserve,0)</f>
        <v/>
      </c>
      <c r="KX26" s="218">
        <f>DevSpend!KX$34+DevSpend!KX$35+DevSpend!KX$38+IF(306=MS_Initial_Closing_Start,ConOtherCosts+ConPoints+RecourseFee+OpReserve,0)</f>
        <v/>
      </c>
      <c r="KY26" s="218">
        <f>DevSpend!KY$34+DevSpend!KY$35+DevSpend!KY$38+IF(307=MS_Initial_Closing_Start,ConOtherCosts+ConPoints+RecourseFee+OpReserve,0)</f>
        <v/>
      </c>
      <c r="KZ26" s="218">
        <f>DevSpend!KZ$34+DevSpend!KZ$35+DevSpend!KZ$38+IF(308=MS_Initial_Closing_Start,ConOtherCosts+ConPoints+RecourseFee+OpReserve,0)</f>
        <v/>
      </c>
      <c r="LA26" s="218">
        <f>DevSpend!LA$34+DevSpend!LA$35+DevSpend!LA$38+IF(309=MS_Initial_Closing_Start,ConOtherCosts+ConPoints+RecourseFee+OpReserve,0)</f>
        <v/>
      </c>
      <c r="LB26" s="218">
        <f>DevSpend!LB$34+DevSpend!LB$35+DevSpend!LB$38+IF(310=MS_Initial_Closing_Start,ConOtherCosts+ConPoints+RecourseFee+OpReserve,0)</f>
        <v/>
      </c>
      <c r="LC26" s="218">
        <f>DevSpend!LC$34+DevSpend!LC$35+DevSpend!LC$38+IF(311=MS_Initial_Closing_Start,ConOtherCosts+ConPoints+RecourseFee+OpReserve,0)</f>
        <v/>
      </c>
      <c r="LD26" s="218">
        <f>DevSpend!LD$34+DevSpend!LD$35+DevSpend!LD$38+IF(312=MS_Initial_Closing_Start,ConOtherCosts+ConPoints+RecourseFee+OpReserve,0)</f>
        <v/>
      </c>
      <c r="LE26" s="218">
        <f>DevSpend!LE$34+DevSpend!LE$35+DevSpend!LE$38+IF(313=MS_Initial_Closing_Start,ConOtherCosts+ConPoints+RecourseFee+OpReserve,0)</f>
        <v/>
      </c>
      <c r="LF26" s="218">
        <f>DevSpend!LF$34+DevSpend!LF$35+DevSpend!LF$38+IF(314=MS_Initial_Closing_Start,ConOtherCosts+ConPoints+RecourseFee+OpReserve,0)</f>
        <v/>
      </c>
      <c r="LG26" s="218">
        <f>DevSpend!LG$34+DevSpend!LG$35+DevSpend!LG$38+IF(315=MS_Initial_Closing_Start,ConOtherCosts+ConPoints+RecourseFee+OpReserve,0)</f>
        <v/>
      </c>
      <c r="LH26" s="218">
        <f>DevSpend!LH$34+DevSpend!LH$35+DevSpend!LH$38+IF(316=MS_Initial_Closing_Start,ConOtherCosts+ConPoints+RecourseFee+OpReserve,0)</f>
        <v/>
      </c>
      <c r="LI26" s="218">
        <f>DevSpend!LI$34+DevSpend!LI$35+DevSpend!LI$38+IF(317=MS_Initial_Closing_Start,ConOtherCosts+ConPoints+RecourseFee+OpReserve,0)</f>
        <v/>
      </c>
      <c r="LJ26" s="218">
        <f>DevSpend!LJ$34+DevSpend!LJ$35+DevSpend!LJ$38+IF(318=MS_Initial_Closing_Start,ConOtherCosts+ConPoints+RecourseFee+OpReserve,0)</f>
        <v/>
      </c>
      <c r="LK26" s="218">
        <f>DevSpend!LK$34+DevSpend!LK$35+DevSpend!LK$38+IF(319=MS_Initial_Closing_Start,ConOtherCosts+ConPoints+RecourseFee+OpReserve,0)</f>
        <v/>
      </c>
      <c r="LL26" s="218">
        <f>DevSpend!LL$34+DevSpend!LL$35+DevSpend!LL$38+IF(320=MS_Initial_Closing_Start,ConOtherCosts+ConPoints+RecourseFee+OpReserve,0)</f>
        <v/>
      </c>
      <c r="LM26" s="218">
        <f>DevSpend!LM$34+DevSpend!LM$35+DevSpend!LM$38+IF(321=MS_Initial_Closing_Start,ConOtherCosts+ConPoints+RecourseFee+OpReserve,0)</f>
        <v/>
      </c>
      <c r="LN26" s="218">
        <f>DevSpend!LN$34+DevSpend!LN$35+DevSpend!LN$38+IF(322=MS_Initial_Closing_Start,ConOtherCosts+ConPoints+RecourseFee+OpReserve,0)</f>
        <v/>
      </c>
      <c r="LO26" s="218">
        <f>DevSpend!LO$34+DevSpend!LO$35+DevSpend!LO$38+IF(323=MS_Initial_Closing_Start,ConOtherCosts+ConPoints+RecourseFee+OpReserve,0)</f>
        <v/>
      </c>
      <c r="LP26" s="218">
        <f>DevSpend!LP$34+DevSpend!LP$35+DevSpend!LP$38+IF(324=MS_Initial_Closing_Start,ConOtherCosts+ConPoints+RecourseFee+OpReserve,0)</f>
        <v/>
      </c>
      <c r="LQ26" s="218">
        <f>DevSpend!LQ$34+DevSpend!LQ$35+DevSpend!LQ$38+IF(325=MS_Initial_Closing_Start,ConOtherCosts+ConPoints+RecourseFee+OpReserve,0)</f>
        <v/>
      </c>
      <c r="LR26" s="218">
        <f>DevSpend!LR$34+DevSpend!LR$35+DevSpend!LR$38+IF(326=MS_Initial_Closing_Start,ConOtherCosts+ConPoints+RecourseFee+OpReserve,0)</f>
        <v/>
      </c>
      <c r="LS26" s="218">
        <f>DevSpend!LS$34+DevSpend!LS$35+DevSpend!LS$38+IF(327=MS_Initial_Closing_Start,ConOtherCosts+ConPoints+RecourseFee+OpReserve,0)</f>
        <v/>
      </c>
      <c r="LT26" s="218">
        <f>DevSpend!LT$34+DevSpend!LT$35+DevSpend!LT$38+IF(328=MS_Initial_Closing_Start,ConOtherCosts+ConPoints+RecourseFee+OpReserve,0)</f>
        <v/>
      </c>
      <c r="LU26" s="218">
        <f>DevSpend!LU$34+DevSpend!LU$35+DevSpend!LU$38+IF(329=MS_Initial_Closing_Start,ConOtherCosts+ConPoints+RecourseFee+OpReserve,0)</f>
        <v/>
      </c>
      <c r="LV26" s="218">
        <f>DevSpend!LV$34+DevSpend!LV$35+DevSpend!LV$38+IF(330=MS_Initial_Closing_Start,ConOtherCosts+ConPoints+RecourseFee+OpReserve,0)</f>
        <v/>
      </c>
      <c r="LW26" s="218">
        <f>DevSpend!LW$34+DevSpend!LW$35+DevSpend!LW$38+IF(331=MS_Initial_Closing_Start,ConOtherCosts+ConPoints+RecourseFee+OpReserve,0)</f>
        <v/>
      </c>
      <c r="LX26" s="218">
        <f>DevSpend!LX$34+DevSpend!LX$35+DevSpend!LX$38+IF(332=MS_Initial_Closing_Start,ConOtherCosts+ConPoints+RecourseFee+OpReserve,0)</f>
        <v/>
      </c>
      <c r="LY26" s="218">
        <f>DevSpend!LY$34+DevSpend!LY$35+DevSpend!LY$38+IF(333=MS_Initial_Closing_Start,ConOtherCosts+ConPoints+RecourseFee+OpReserve,0)</f>
        <v/>
      </c>
      <c r="LZ26" s="218">
        <f>DevSpend!LZ$34+DevSpend!LZ$35+DevSpend!LZ$38+IF(334=MS_Initial_Closing_Start,ConOtherCosts+ConPoints+RecourseFee+OpReserve,0)</f>
        <v/>
      </c>
      <c r="MA26" s="218">
        <f>DevSpend!MA$34+DevSpend!MA$35+DevSpend!MA$38+IF(335=MS_Initial_Closing_Start,ConOtherCosts+ConPoints+RecourseFee+OpReserve,0)</f>
        <v/>
      </c>
      <c r="MB26" s="218">
        <f>DevSpend!MB$34+DevSpend!MB$35+DevSpend!MB$38+IF(336=MS_Initial_Closing_Start,ConOtherCosts+ConPoints+RecourseFee+OpReserve,0)</f>
        <v/>
      </c>
      <c r="MC26" s="218">
        <f>DevSpend!MC$34+DevSpend!MC$35+DevSpend!MC$38+IF(337=MS_Initial_Closing_Start,ConOtherCosts+ConPoints+RecourseFee+OpReserve,0)</f>
        <v/>
      </c>
      <c r="MD26" s="218">
        <f>DevSpend!MD$34+DevSpend!MD$35+DevSpend!MD$38+IF(338=MS_Initial_Closing_Start,ConOtherCosts+ConPoints+RecourseFee+OpReserve,0)</f>
        <v/>
      </c>
      <c r="ME26" s="218">
        <f>DevSpend!ME$34+DevSpend!ME$35+DevSpend!ME$38+IF(339=MS_Initial_Closing_Start,ConOtherCosts+ConPoints+RecourseFee+OpReserve,0)</f>
        <v/>
      </c>
      <c r="MF26" s="218">
        <f>DevSpend!MF$34+DevSpend!MF$35+DevSpend!MF$38+IF(340=MS_Initial_Closing_Start,ConOtherCosts+ConPoints+RecourseFee+OpReserve,0)</f>
        <v/>
      </c>
      <c r="MG26" s="218">
        <f>DevSpend!MG$34+DevSpend!MG$35+DevSpend!MG$38+IF(341=MS_Initial_Closing_Start,ConOtherCosts+ConPoints+RecourseFee+OpReserve,0)</f>
        <v/>
      </c>
      <c r="MH26" s="218">
        <f>DevSpend!MH$34+DevSpend!MH$35+DevSpend!MH$38+IF(342=MS_Initial_Closing_Start,ConOtherCosts+ConPoints+RecourseFee+OpReserve,0)</f>
        <v/>
      </c>
      <c r="MI26" s="218">
        <f>DevSpend!MI$34+DevSpend!MI$35+DevSpend!MI$38+IF(343=MS_Initial_Closing_Start,ConOtherCosts+ConPoints+RecourseFee+OpReserve,0)</f>
        <v/>
      </c>
      <c r="MJ26" s="218">
        <f>DevSpend!MJ$34+DevSpend!MJ$35+DevSpend!MJ$38+IF(344=MS_Initial_Closing_Start,ConOtherCosts+ConPoints+RecourseFee+OpReserve,0)</f>
        <v/>
      </c>
      <c r="MK26" s="218">
        <f>DevSpend!MK$34+DevSpend!MK$35+DevSpend!MK$38+IF(345=MS_Initial_Closing_Start,ConOtherCosts+ConPoints+RecourseFee+OpReserve,0)</f>
        <v/>
      </c>
      <c r="ML26" s="218">
        <f>DevSpend!ML$34+DevSpend!ML$35+DevSpend!ML$38+IF(346=MS_Initial_Closing_Start,ConOtherCosts+ConPoints+RecourseFee+OpReserve,0)</f>
        <v/>
      </c>
      <c r="MM26" s="218">
        <f>DevSpend!MM$34+DevSpend!MM$35+DevSpend!MM$38+IF(347=MS_Initial_Closing_Start,ConOtherCosts+ConPoints+RecourseFee+OpReserve,0)</f>
        <v/>
      </c>
      <c r="MN26" s="218">
        <f>DevSpend!MN$34+DevSpend!MN$35+DevSpend!MN$38+IF(348=MS_Initial_Closing_Start,ConOtherCosts+ConPoints+RecourseFee+OpReserve,0)</f>
        <v/>
      </c>
      <c r="MO26" s="218">
        <f>DevSpend!MO$34+DevSpend!MO$35+DevSpend!MO$38+IF(349=MS_Initial_Closing_Start,ConOtherCosts+ConPoints+RecourseFee+OpReserve,0)</f>
        <v/>
      </c>
      <c r="MP26" s="218">
        <f>DevSpend!MP$34+DevSpend!MP$35+DevSpend!MP$38+IF(350=MS_Initial_Closing_Start,ConOtherCosts+ConPoints+RecourseFee+OpReserve,0)</f>
        <v/>
      </c>
      <c r="MQ26" s="218">
        <f>DevSpend!MQ$34+DevSpend!MQ$35+DevSpend!MQ$38+IF(351=MS_Initial_Closing_Start,ConOtherCosts+ConPoints+RecourseFee+OpReserve,0)</f>
        <v/>
      </c>
      <c r="MR26" s="218">
        <f>DevSpend!MR$34+DevSpend!MR$35+DevSpend!MR$38+IF(352=MS_Initial_Closing_Start,ConOtherCosts+ConPoints+RecourseFee+OpReserve,0)</f>
        <v/>
      </c>
      <c r="MS26" s="218">
        <f>DevSpend!MS$34+DevSpend!MS$35+DevSpend!MS$38+IF(353=MS_Initial_Closing_Start,ConOtherCosts+ConPoints+RecourseFee+OpReserve,0)</f>
        <v/>
      </c>
      <c r="MT26" s="218">
        <f>DevSpend!MT$34+DevSpend!MT$35+DevSpend!MT$38+IF(354=MS_Initial_Closing_Start,ConOtherCosts+ConPoints+RecourseFee+OpReserve,0)</f>
        <v/>
      </c>
      <c r="MU26" s="218">
        <f>DevSpend!MU$34+DevSpend!MU$35+DevSpend!MU$38+IF(355=MS_Initial_Closing_Start,ConOtherCosts+ConPoints+RecourseFee+OpReserve,0)</f>
        <v/>
      </c>
      <c r="MV26" s="218">
        <f>DevSpend!MV$34+DevSpend!MV$35+DevSpend!MV$38+IF(356=MS_Initial_Closing_Start,ConOtherCosts+ConPoints+RecourseFee+OpReserve,0)</f>
        <v/>
      </c>
      <c r="MW26" s="218">
        <f>DevSpend!MW$34+DevSpend!MW$35+DevSpend!MW$38+IF(357=MS_Initial_Closing_Start,ConOtherCosts+ConPoints+RecourseFee+OpReserve,0)</f>
        <v/>
      </c>
      <c r="MX26" s="218">
        <f>DevSpend!MX$34+DevSpend!MX$35+DevSpend!MX$38+IF(358=MS_Initial_Closing_Start,ConOtherCosts+ConPoints+RecourseFee+OpReserve,0)</f>
        <v/>
      </c>
      <c r="MY26" s="218">
        <f>DevSpend!MY$34+DevSpend!MY$35+DevSpend!MY$38+IF(359=MS_Initial_Closing_Start,ConOtherCosts+ConPoints+RecourseFee+OpReserve,0)</f>
        <v/>
      </c>
      <c r="MZ26" s="218">
        <f>DevSpend!MZ$34+DevSpend!MZ$35+DevSpend!MZ$38+IF(360=MS_Initial_Closing_Start,ConOtherCosts+ConPoints+RecourseFee+OpReserve,0)</f>
        <v/>
      </c>
      <c r="NA26" s="218">
        <f>DevSpend!NA$34+DevSpend!NA$35+DevSpend!NA$38+IF(361=MS_Initial_Closing_Start,ConOtherCosts+ConPoints+RecourseFee+OpReserve,0)</f>
        <v/>
      </c>
      <c r="NB26" s="218">
        <f>DevSpend!NB$34+DevSpend!NB$35+DevSpend!NB$38+IF(362=MS_Initial_Closing_Start,ConOtherCosts+ConPoints+RecourseFee+OpReserve,0)</f>
        <v/>
      </c>
      <c r="NC26" s="218">
        <f>DevSpend!NC$34+DevSpend!NC$35+DevSpend!NC$38+IF(363=MS_Initial_Closing_Start,ConOtherCosts+ConPoints+RecourseFee+OpReserve,0)</f>
        <v/>
      </c>
      <c r="ND26" s="218">
        <f>DevSpend!ND$34+DevSpend!ND$35+DevSpend!ND$38+IF(364=MS_Initial_Closing_Start,ConOtherCosts+ConPoints+RecourseFee+OpReserve,0)</f>
        <v/>
      </c>
      <c r="NE26" s="218">
        <f>DevSpend!NE$34+DevSpend!NE$35+DevSpend!NE$38+IF(365=MS_Initial_Closing_Start,ConOtherCosts+ConPoints+RecourseFee+OpReserve,0)</f>
        <v/>
      </c>
      <c r="NF26" s="218">
        <f>DevSpend!NF$34+DevSpend!NF$35+DevSpend!NF$38+IF(366=MS_Initial_Closing_Start,ConOtherCosts+ConPoints+RecourseFee+OpReserve,0)</f>
        <v/>
      </c>
      <c r="NG26" s="218">
        <f>DevSpend!NG$34+DevSpend!NG$35+DevSpend!NG$38+IF(367=MS_Initial_Closing_Start,ConOtherCosts+ConPoints+RecourseFee+OpReserve,0)</f>
        <v/>
      </c>
      <c r="NH26" s="218">
        <f>DevSpend!NH$34+DevSpend!NH$35+DevSpend!NH$38+IF(368=MS_Initial_Closing_Start,ConOtherCosts+ConPoints+RecourseFee+OpReserve,0)</f>
        <v/>
      </c>
      <c r="NI26" s="218">
        <f>DevSpend!NI$34+DevSpend!NI$35+DevSpend!NI$38+IF(369=MS_Initial_Closing_Start,ConOtherCosts+ConPoints+RecourseFee+OpReserve,0)</f>
        <v/>
      </c>
      <c r="NJ26" s="218">
        <f>DevSpend!NJ$34+DevSpend!NJ$35+DevSpend!NJ$38+IF(370=MS_Initial_Closing_Start,ConOtherCosts+ConPoints+RecourseFee+OpReserve,0)</f>
        <v/>
      </c>
      <c r="NK26" s="218">
        <f>DevSpend!NK$34+DevSpend!NK$35+DevSpend!NK$38+IF(371=MS_Initial_Closing_Start,ConOtherCosts+ConPoints+RecourseFee+OpReserve,0)</f>
        <v/>
      </c>
      <c r="NL26" s="218">
        <f>DevSpend!NL$34+DevSpend!NL$35+DevSpend!NL$38+IF(372=MS_Initial_Closing_Start,ConOtherCosts+ConPoints+RecourseFee+OpReserve,0)</f>
        <v/>
      </c>
    </row>
    <row r="27">
      <c r="B27" s="36" t="inlineStr">
        <is>
          <t>Equity Draw</t>
        </is>
      </c>
      <c r="D27" s="258">
        <f>SUM(E27:NL27)</f>
        <v/>
      </c>
      <c r="E27" s="218">
        <f>IF(FundingOrderPari=1,(1-DebtShare)*E$26,MIN(E$26,MAX(0,EquityBudget-(0))))</f>
        <v/>
      </c>
      <c r="F27" s="218">
        <f>IF(FundingOrderPari=1,(1-DebtShare)*F$26,MIN(F$26,MAX(0,EquityBudget-(E$28))))</f>
        <v/>
      </c>
      <c r="G27" s="218">
        <f>IF(FundingOrderPari=1,(1-DebtShare)*G$26,MIN(G$26,MAX(0,EquityBudget-(F$28))))</f>
        <v/>
      </c>
      <c r="H27" s="218">
        <f>IF(FundingOrderPari=1,(1-DebtShare)*H$26,MIN(H$26,MAX(0,EquityBudget-(G$28))))</f>
        <v/>
      </c>
      <c r="I27" s="218">
        <f>IF(FundingOrderPari=1,(1-DebtShare)*I$26,MIN(I$26,MAX(0,EquityBudget-(H$28))))</f>
        <v/>
      </c>
      <c r="J27" s="218">
        <f>IF(FundingOrderPari=1,(1-DebtShare)*J$26,MIN(J$26,MAX(0,EquityBudget-(I$28))))</f>
        <v/>
      </c>
      <c r="K27" s="218">
        <f>IF(FundingOrderPari=1,(1-DebtShare)*K$26,MIN(K$26,MAX(0,EquityBudget-(J$28))))</f>
        <v/>
      </c>
      <c r="L27" s="218">
        <f>IF(FundingOrderPari=1,(1-DebtShare)*L$26,MIN(L$26,MAX(0,EquityBudget-(K$28))))</f>
        <v/>
      </c>
      <c r="M27" s="218">
        <f>IF(FundingOrderPari=1,(1-DebtShare)*M$26,MIN(M$26,MAX(0,EquityBudget-(L$28))))</f>
        <v/>
      </c>
      <c r="N27" s="218">
        <f>IF(FundingOrderPari=1,(1-DebtShare)*N$26,MIN(N$26,MAX(0,EquityBudget-(M$28))))</f>
        <v/>
      </c>
      <c r="O27" s="218">
        <f>IF(FundingOrderPari=1,(1-DebtShare)*O$26,MIN(O$26,MAX(0,EquityBudget-(N$28))))</f>
        <v/>
      </c>
      <c r="P27" s="218">
        <f>IF(FundingOrderPari=1,(1-DebtShare)*P$26,MIN(P$26,MAX(0,EquityBudget-(O$28))))</f>
        <v/>
      </c>
      <c r="Q27" s="218">
        <f>IF(FundingOrderPari=1,(1-DebtShare)*Q$26,MIN(Q$26,MAX(0,EquityBudget-(P$28))))</f>
        <v/>
      </c>
      <c r="R27" s="218">
        <f>IF(FundingOrderPari=1,(1-DebtShare)*R$26,MIN(R$26,MAX(0,EquityBudget-(Q$28))))</f>
        <v/>
      </c>
      <c r="S27" s="218">
        <f>IF(FundingOrderPari=1,(1-DebtShare)*S$26,MIN(S$26,MAX(0,EquityBudget-(R$28))))</f>
        <v/>
      </c>
      <c r="T27" s="218">
        <f>IF(FundingOrderPari=1,(1-DebtShare)*T$26,MIN(T$26,MAX(0,EquityBudget-(S$28))))</f>
        <v/>
      </c>
      <c r="U27" s="218">
        <f>IF(FundingOrderPari=1,(1-DebtShare)*U$26,MIN(U$26,MAX(0,EquityBudget-(T$28))))</f>
        <v/>
      </c>
      <c r="V27" s="218">
        <f>IF(FundingOrderPari=1,(1-DebtShare)*V$26,MIN(V$26,MAX(0,EquityBudget-(U$28))))</f>
        <v/>
      </c>
      <c r="W27" s="218">
        <f>IF(FundingOrderPari=1,(1-DebtShare)*W$26,MIN(W$26,MAX(0,EquityBudget-(V$28))))</f>
        <v/>
      </c>
      <c r="X27" s="218">
        <f>IF(FundingOrderPari=1,(1-DebtShare)*X$26,MIN(X$26,MAX(0,EquityBudget-(W$28))))</f>
        <v/>
      </c>
      <c r="Y27" s="218">
        <f>IF(FundingOrderPari=1,(1-DebtShare)*Y$26,MIN(Y$26,MAX(0,EquityBudget-(X$28))))</f>
        <v/>
      </c>
      <c r="Z27" s="218">
        <f>IF(FundingOrderPari=1,(1-DebtShare)*Z$26,MIN(Z$26,MAX(0,EquityBudget-(Y$28))))</f>
        <v/>
      </c>
      <c r="AA27" s="218">
        <f>IF(FundingOrderPari=1,(1-DebtShare)*AA$26,MIN(AA$26,MAX(0,EquityBudget-(Z$28))))</f>
        <v/>
      </c>
      <c r="AB27" s="218">
        <f>IF(FundingOrderPari=1,(1-DebtShare)*AB$26,MIN(AB$26,MAX(0,EquityBudget-(AA$28))))</f>
        <v/>
      </c>
      <c r="AC27" s="218">
        <f>IF(FundingOrderPari=1,(1-DebtShare)*AC$26,MIN(AC$26,MAX(0,EquityBudget-(AB$28))))</f>
        <v/>
      </c>
      <c r="AD27" s="218">
        <f>IF(FundingOrderPari=1,(1-DebtShare)*AD$26,MIN(AD$26,MAX(0,EquityBudget-(AC$28))))</f>
        <v/>
      </c>
      <c r="AE27" s="218">
        <f>IF(FundingOrderPari=1,(1-DebtShare)*AE$26,MIN(AE$26,MAX(0,EquityBudget-(AD$28))))</f>
        <v/>
      </c>
      <c r="AF27" s="218">
        <f>IF(FundingOrderPari=1,(1-DebtShare)*AF$26,MIN(AF$26,MAX(0,EquityBudget-(AE$28))))</f>
        <v/>
      </c>
      <c r="AG27" s="218">
        <f>IF(FundingOrderPari=1,(1-DebtShare)*AG$26,MIN(AG$26,MAX(0,EquityBudget-(AF$28))))</f>
        <v/>
      </c>
      <c r="AH27" s="218">
        <f>IF(FundingOrderPari=1,(1-DebtShare)*AH$26,MIN(AH$26,MAX(0,EquityBudget-(AG$28))))</f>
        <v/>
      </c>
      <c r="AI27" s="218">
        <f>IF(FundingOrderPari=1,(1-DebtShare)*AI$26,MIN(AI$26,MAX(0,EquityBudget-(AH$28))))</f>
        <v/>
      </c>
      <c r="AJ27" s="218">
        <f>IF(FundingOrderPari=1,(1-DebtShare)*AJ$26,MIN(AJ$26,MAX(0,EquityBudget-(AI$28))))</f>
        <v/>
      </c>
      <c r="AK27" s="218">
        <f>IF(FundingOrderPari=1,(1-DebtShare)*AK$26,MIN(AK$26,MAX(0,EquityBudget-(AJ$28))))</f>
        <v/>
      </c>
      <c r="AL27" s="218">
        <f>IF(FundingOrderPari=1,(1-DebtShare)*AL$26,MIN(AL$26,MAX(0,EquityBudget-(AK$28))))</f>
        <v/>
      </c>
      <c r="AM27" s="218">
        <f>IF(FundingOrderPari=1,(1-DebtShare)*AM$26,MIN(AM$26,MAX(0,EquityBudget-(AL$28))))</f>
        <v/>
      </c>
      <c r="AN27" s="218">
        <f>IF(FundingOrderPari=1,(1-DebtShare)*AN$26,MIN(AN$26,MAX(0,EquityBudget-(AM$28))))</f>
        <v/>
      </c>
      <c r="AO27" s="218">
        <f>IF(FundingOrderPari=1,(1-DebtShare)*AO$26,MIN(AO$26,MAX(0,EquityBudget-(AN$28))))</f>
        <v/>
      </c>
      <c r="AP27" s="218">
        <f>IF(FundingOrderPari=1,(1-DebtShare)*AP$26,MIN(AP$26,MAX(0,EquityBudget-(AO$28))))</f>
        <v/>
      </c>
      <c r="AQ27" s="218">
        <f>IF(FundingOrderPari=1,(1-DebtShare)*AQ$26,MIN(AQ$26,MAX(0,EquityBudget-(AP$28))))</f>
        <v/>
      </c>
      <c r="AR27" s="218">
        <f>IF(FundingOrderPari=1,(1-DebtShare)*AR$26,MIN(AR$26,MAX(0,EquityBudget-(AQ$28))))</f>
        <v/>
      </c>
      <c r="AS27" s="218">
        <f>IF(FundingOrderPari=1,(1-DebtShare)*AS$26,MIN(AS$26,MAX(0,EquityBudget-(AR$28))))</f>
        <v/>
      </c>
      <c r="AT27" s="218">
        <f>IF(FundingOrderPari=1,(1-DebtShare)*AT$26,MIN(AT$26,MAX(0,EquityBudget-(AS$28))))</f>
        <v/>
      </c>
      <c r="AU27" s="218">
        <f>IF(FundingOrderPari=1,(1-DebtShare)*AU$26,MIN(AU$26,MAX(0,EquityBudget-(AT$28))))</f>
        <v/>
      </c>
      <c r="AV27" s="218">
        <f>IF(FundingOrderPari=1,(1-DebtShare)*AV$26,MIN(AV$26,MAX(0,EquityBudget-(AU$28))))</f>
        <v/>
      </c>
      <c r="AW27" s="218">
        <f>IF(FundingOrderPari=1,(1-DebtShare)*AW$26,MIN(AW$26,MAX(0,EquityBudget-(AV$28))))</f>
        <v/>
      </c>
      <c r="AX27" s="218">
        <f>IF(FundingOrderPari=1,(1-DebtShare)*AX$26,MIN(AX$26,MAX(0,EquityBudget-(AW$28))))</f>
        <v/>
      </c>
      <c r="AY27" s="218">
        <f>IF(FundingOrderPari=1,(1-DebtShare)*AY$26,MIN(AY$26,MAX(0,EquityBudget-(AX$28))))</f>
        <v/>
      </c>
      <c r="AZ27" s="218">
        <f>IF(FundingOrderPari=1,(1-DebtShare)*AZ$26,MIN(AZ$26,MAX(0,EquityBudget-(AY$28))))</f>
        <v/>
      </c>
      <c r="BA27" s="218">
        <f>IF(FundingOrderPari=1,(1-DebtShare)*BA$26,MIN(BA$26,MAX(0,EquityBudget-(AZ$28))))</f>
        <v/>
      </c>
      <c r="BB27" s="218">
        <f>IF(FundingOrderPari=1,(1-DebtShare)*BB$26,MIN(BB$26,MAX(0,EquityBudget-(BA$28))))</f>
        <v/>
      </c>
      <c r="BC27" s="218">
        <f>IF(FundingOrderPari=1,(1-DebtShare)*BC$26,MIN(BC$26,MAX(0,EquityBudget-(BB$28))))</f>
        <v/>
      </c>
      <c r="BD27" s="218">
        <f>IF(FundingOrderPari=1,(1-DebtShare)*BD$26,MIN(BD$26,MAX(0,EquityBudget-(BC$28))))</f>
        <v/>
      </c>
      <c r="BE27" s="218">
        <f>IF(FundingOrderPari=1,(1-DebtShare)*BE$26,MIN(BE$26,MAX(0,EquityBudget-(BD$28))))</f>
        <v/>
      </c>
      <c r="BF27" s="218">
        <f>IF(FundingOrderPari=1,(1-DebtShare)*BF$26,MIN(BF$26,MAX(0,EquityBudget-(BE$28))))</f>
        <v/>
      </c>
      <c r="BG27" s="218">
        <f>IF(FundingOrderPari=1,(1-DebtShare)*BG$26,MIN(BG$26,MAX(0,EquityBudget-(BF$28))))</f>
        <v/>
      </c>
      <c r="BH27" s="218">
        <f>IF(FundingOrderPari=1,(1-DebtShare)*BH$26,MIN(BH$26,MAX(0,EquityBudget-(BG$28))))</f>
        <v/>
      </c>
      <c r="BI27" s="218">
        <f>IF(FundingOrderPari=1,(1-DebtShare)*BI$26,MIN(BI$26,MAX(0,EquityBudget-(BH$28))))</f>
        <v/>
      </c>
      <c r="BJ27" s="218">
        <f>IF(FundingOrderPari=1,(1-DebtShare)*BJ$26,MIN(BJ$26,MAX(0,EquityBudget-(BI$28))))</f>
        <v/>
      </c>
      <c r="BK27" s="218">
        <f>IF(FundingOrderPari=1,(1-DebtShare)*BK$26,MIN(BK$26,MAX(0,EquityBudget-(BJ$28))))</f>
        <v/>
      </c>
      <c r="BL27" s="218">
        <f>IF(FundingOrderPari=1,(1-DebtShare)*BL$26,MIN(BL$26,MAX(0,EquityBudget-(BK$28))))</f>
        <v/>
      </c>
      <c r="BM27" s="218">
        <f>IF(FundingOrderPari=1,(1-DebtShare)*BM$26,MIN(BM$26,MAX(0,EquityBudget-(BL$28))))</f>
        <v/>
      </c>
      <c r="BN27" s="218">
        <f>IF(FundingOrderPari=1,(1-DebtShare)*BN$26,MIN(BN$26,MAX(0,EquityBudget-(BM$28))))</f>
        <v/>
      </c>
      <c r="BO27" s="218">
        <f>IF(FundingOrderPari=1,(1-DebtShare)*BO$26,MIN(BO$26,MAX(0,EquityBudget-(BN$28))))</f>
        <v/>
      </c>
      <c r="BP27" s="218">
        <f>IF(FundingOrderPari=1,(1-DebtShare)*BP$26,MIN(BP$26,MAX(0,EquityBudget-(BO$28))))</f>
        <v/>
      </c>
      <c r="BQ27" s="218">
        <f>IF(FundingOrderPari=1,(1-DebtShare)*BQ$26,MIN(BQ$26,MAX(0,EquityBudget-(BP$28))))</f>
        <v/>
      </c>
      <c r="BR27" s="218">
        <f>IF(FundingOrderPari=1,(1-DebtShare)*BR$26,MIN(BR$26,MAX(0,EquityBudget-(BQ$28))))</f>
        <v/>
      </c>
      <c r="BS27" s="218">
        <f>IF(FundingOrderPari=1,(1-DebtShare)*BS$26,MIN(BS$26,MAX(0,EquityBudget-(BR$28))))</f>
        <v/>
      </c>
      <c r="BT27" s="218">
        <f>IF(FundingOrderPari=1,(1-DebtShare)*BT$26,MIN(BT$26,MAX(0,EquityBudget-(BS$28))))</f>
        <v/>
      </c>
      <c r="BU27" s="218">
        <f>IF(FundingOrderPari=1,(1-DebtShare)*BU$26,MIN(BU$26,MAX(0,EquityBudget-(BT$28))))</f>
        <v/>
      </c>
      <c r="BV27" s="218">
        <f>IF(FundingOrderPari=1,(1-DebtShare)*BV$26,MIN(BV$26,MAX(0,EquityBudget-(BU$28))))</f>
        <v/>
      </c>
      <c r="BW27" s="218">
        <f>IF(FundingOrderPari=1,(1-DebtShare)*BW$26,MIN(BW$26,MAX(0,EquityBudget-(BV$28))))</f>
        <v/>
      </c>
      <c r="BX27" s="218">
        <f>IF(FundingOrderPari=1,(1-DebtShare)*BX$26,MIN(BX$26,MAX(0,EquityBudget-(BW$28))))</f>
        <v/>
      </c>
      <c r="BY27" s="218">
        <f>IF(FundingOrderPari=1,(1-DebtShare)*BY$26,MIN(BY$26,MAX(0,EquityBudget-(BX$28))))</f>
        <v/>
      </c>
      <c r="BZ27" s="218">
        <f>IF(FundingOrderPari=1,(1-DebtShare)*BZ$26,MIN(BZ$26,MAX(0,EquityBudget-(BY$28))))</f>
        <v/>
      </c>
      <c r="CA27" s="218">
        <f>IF(FundingOrderPari=1,(1-DebtShare)*CA$26,MIN(CA$26,MAX(0,EquityBudget-(BZ$28))))</f>
        <v/>
      </c>
      <c r="CB27" s="218">
        <f>IF(FundingOrderPari=1,(1-DebtShare)*CB$26,MIN(CB$26,MAX(0,EquityBudget-(CA$28))))</f>
        <v/>
      </c>
      <c r="CC27" s="218">
        <f>IF(FundingOrderPari=1,(1-DebtShare)*CC$26,MIN(CC$26,MAX(0,EquityBudget-(CB$28))))</f>
        <v/>
      </c>
      <c r="CD27" s="218">
        <f>IF(FundingOrderPari=1,(1-DebtShare)*CD$26,MIN(CD$26,MAX(0,EquityBudget-(CC$28))))</f>
        <v/>
      </c>
      <c r="CE27" s="218">
        <f>IF(FundingOrderPari=1,(1-DebtShare)*CE$26,MIN(CE$26,MAX(0,EquityBudget-(CD$28))))</f>
        <v/>
      </c>
      <c r="CF27" s="218">
        <f>IF(FundingOrderPari=1,(1-DebtShare)*CF$26,MIN(CF$26,MAX(0,EquityBudget-(CE$28))))</f>
        <v/>
      </c>
      <c r="CG27" s="218">
        <f>IF(FundingOrderPari=1,(1-DebtShare)*CG$26,MIN(CG$26,MAX(0,EquityBudget-(CF$28))))</f>
        <v/>
      </c>
      <c r="CH27" s="218">
        <f>IF(FundingOrderPari=1,(1-DebtShare)*CH$26,MIN(CH$26,MAX(0,EquityBudget-(CG$28))))</f>
        <v/>
      </c>
      <c r="CI27" s="218">
        <f>IF(FundingOrderPari=1,(1-DebtShare)*CI$26,MIN(CI$26,MAX(0,EquityBudget-(CH$28))))</f>
        <v/>
      </c>
      <c r="CJ27" s="218">
        <f>IF(FundingOrderPari=1,(1-DebtShare)*CJ$26,MIN(CJ$26,MAX(0,EquityBudget-(CI$28))))</f>
        <v/>
      </c>
      <c r="CK27" s="218">
        <f>IF(FundingOrderPari=1,(1-DebtShare)*CK$26,MIN(CK$26,MAX(0,EquityBudget-(CJ$28))))</f>
        <v/>
      </c>
      <c r="CL27" s="218">
        <f>IF(FundingOrderPari=1,(1-DebtShare)*CL$26,MIN(CL$26,MAX(0,EquityBudget-(CK$28))))</f>
        <v/>
      </c>
      <c r="CM27" s="218">
        <f>IF(FundingOrderPari=1,(1-DebtShare)*CM$26,MIN(CM$26,MAX(0,EquityBudget-(CL$28))))</f>
        <v/>
      </c>
      <c r="CN27" s="218">
        <f>IF(FundingOrderPari=1,(1-DebtShare)*CN$26,MIN(CN$26,MAX(0,EquityBudget-(CM$28))))</f>
        <v/>
      </c>
      <c r="CO27" s="218">
        <f>IF(FundingOrderPari=1,(1-DebtShare)*CO$26,MIN(CO$26,MAX(0,EquityBudget-(CN$28))))</f>
        <v/>
      </c>
      <c r="CP27" s="218">
        <f>IF(FundingOrderPari=1,(1-DebtShare)*CP$26,MIN(CP$26,MAX(0,EquityBudget-(CO$28))))</f>
        <v/>
      </c>
      <c r="CQ27" s="218">
        <f>IF(FundingOrderPari=1,(1-DebtShare)*CQ$26,MIN(CQ$26,MAX(0,EquityBudget-(CP$28))))</f>
        <v/>
      </c>
      <c r="CR27" s="218">
        <f>IF(FundingOrderPari=1,(1-DebtShare)*CR$26,MIN(CR$26,MAX(0,EquityBudget-(CQ$28))))</f>
        <v/>
      </c>
      <c r="CS27" s="218">
        <f>IF(FundingOrderPari=1,(1-DebtShare)*CS$26,MIN(CS$26,MAX(0,EquityBudget-(CR$28))))</f>
        <v/>
      </c>
      <c r="CT27" s="218">
        <f>IF(FundingOrderPari=1,(1-DebtShare)*CT$26,MIN(CT$26,MAX(0,EquityBudget-(CS$28))))</f>
        <v/>
      </c>
      <c r="CU27" s="218">
        <f>IF(FundingOrderPari=1,(1-DebtShare)*CU$26,MIN(CU$26,MAX(0,EquityBudget-(CT$28))))</f>
        <v/>
      </c>
      <c r="CV27" s="218">
        <f>IF(FundingOrderPari=1,(1-DebtShare)*CV$26,MIN(CV$26,MAX(0,EquityBudget-(CU$28))))</f>
        <v/>
      </c>
      <c r="CW27" s="218">
        <f>IF(FundingOrderPari=1,(1-DebtShare)*CW$26,MIN(CW$26,MAX(0,EquityBudget-(CV$28))))</f>
        <v/>
      </c>
      <c r="CX27" s="218">
        <f>IF(FundingOrderPari=1,(1-DebtShare)*CX$26,MIN(CX$26,MAX(0,EquityBudget-(CW$28))))</f>
        <v/>
      </c>
      <c r="CY27" s="218">
        <f>IF(FundingOrderPari=1,(1-DebtShare)*CY$26,MIN(CY$26,MAX(0,EquityBudget-(CX$28))))</f>
        <v/>
      </c>
      <c r="CZ27" s="218">
        <f>IF(FundingOrderPari=1,(1-DebtShare)*CZ$26,MIN(CZ$26,MAX(0,EquityBudget-(CY$28))))</f>
        <v/>
      </c>
      <c r="DA27" s="218">
        <f>IF(FundingOrderPari=1,(1-DebtShare)*DA$26,MIN(DA$26,MAX(0,EquityBudget-(CZ$28))))</f>
        <v/>
      </c>
      <c r="DB27" s="218">
        <f>IF(FundingOrderPari=1,(1-DebtShare)*DB$26,MIN(DB$26,MAX(0,EquityBudget-(DA$28))))</f>
        <v/>
      </c>
      <c r="DC27" s="218">
        <f>IF(FundingOrderPari=1,(1-DebtShare)*DC$26,MIN(DC$26,MAX(0,EquityBudget-(DB$28))))</f>
        <v/>
      </c>
      <c r="DD27" s="218">
        <f>IF(FundingOrderPari=1,(1-DebtShare)*DD$26,MIN(DD$26,MAX(0,EquityBudget-(DC$28))))</f>
        <v/>
      </c>
      <c r="DE27" s="218">
        <f>IF(FundingOrderPari=1,(1-DebtShare)*DE$26,MIN(DE$26,MAX(0,EquityBudget-(DD$28))))</f>
        <v/>
      </c>
      <c r="DF27" s="218">
        <f>IF(FundingOrderPari=1,(1-DebtShare)*DF$26,MIN(DF$26,MAX(0,EquityBudget-(DE$28))))</f>
        <v/>
      </c>
      <c r="DG27" s="218">
        <f>IF(FundingOrderPari=1,(1-DebtShare)*DG$26,MIN(DG$26,MAX(0,EquityBudget-(DF$28))))</f>
        <v/>
      </c>
      <c r="DH27" s="218">
        <f>IF(FundingOrderPari=1,(1-DebtShare)*DH$26,MIN(DH$26,MAX(0,EquityBudget-(DG$28))))</f>
        <v/>
      </c>
      <c r="DI27" s="218">
        <f>IF(FundingOrderPari=1,(1-DebtShare)*DI$26,MIN(DI$26,MAX(0,EquityBudget-(DH$28))))</f>
        <v/>
      </c>
      <c r="DJ27" s="218">
        <f>IF(FundingOrderPari=1,(1-DebtShare)*DJ$26,MIN(DJ$26,MAX(0,EquityBudget-(DI$28))))</f>
        <v/>
      </c>
      <c r="DK27" s="218">
        <f>IF(FundingOrderPari=1,(1-DebtShare)*DK$26,MIN(DK$26,MAX(0,EquityBudget-(DJ$28))))</f>
        <v/>
      </c>
      <c r="DL27" s="218">
        <f>IF(FundingOrderPari=1,(1-DebtShare)*DL$26,MIN(DL$26,MAX(0,EquityBudget-(DK$28))))</f>
        <v/>
      </c>
      <c r="DM27" s="218">
        <f>IF(FundingOrderPari=1,(1-DebtShare)*DM$26,MIN(DM$26,MAX(0,EquityBudget-(DL$28))))</f>
        <v/>
      </c>
      <c r="DN27" s="218">
        <f>IF(FundingOrderPari=1,(1-DebtShare)*DN$26,MIN(DN$26,MAX(0,EquityBudget-(DM$28))))</f>
        <v/>
      </c>
      <c r="DO27" s="218">
        <f>IF(FundingOrderPari=1,(1-DebtShare)*DO$26,MIN(DO$26,MAX(0,EquityBudget-(DN$28))))</f>
        <v/>
      </c>
      <c r="DP27" s="218">
        <f>IF(FundingOrderPari=1,(1-DebtShare)*DP$26,MIN(DP$26,MAX(0,EquityBudget-(DO$28))))</f>
        <v/>
      </c>
      <c r="DQ27" s="218">
        <f>IF(FundingOrderPari=1,(1-DebtShare)*DQ$26,MIN(DQ$26,MAX(0,EquityBudget-(DP$28))))</f>
        <v/>
      </c>
      <c r="DR27" s="218">
        <f>IF(FundingOrderPari=1,(1-DebtShare)*DR$26,MIN(DR$26,MAX(0,EquityBudget-(DQ$28))))</f>
        <v/>
      </c>
      <c r="DS27" s="218">
        <f>IF(FundingOrderPari=1,(1-DebtShare)*DS$26,MIN(DS$26,MAX(0,EquityBudget-(DR$28))))</f>
        <v/>
      </c>
      <c r="DT27" s="218">
        <f>IF(FundingOrderPari=1,(1-DebtShare)*DT$26,MIN(DT$26,MAX(0,EquityBudget-(DS$28))))</f>
        <v/>
      </c>
      <c r="DU27" s="218">
        <f>IF(FundingOrderPari=1,(1-DebtShare)*DU$26,MIN(DU$26,MAX(0,EquityBudget-(DT$28))))</f>
        <v/>
      </c>
      <c r="DV27" s="218">
        <f>IF(FundingOrderPari=1,(1-DebtShare)*DV$26,MIN(DV$26,MAX(0,EquityBudget-(DU$28))))</f>
        <v/>
      </c>
      <c r="DW27" s="218">
        <f>IF(FundingOrderPari=1,(1-DebtShare)*DW$26,MIN(DW$26,MAX(0,EquityBudget-(DV$28))))</f>
        <v/>
      </c>
      <c r="DX27" s="218">
        <f>IF(FundingOrderPari=1,(1-DebtShare)*DX$26,MIN(DX$26,MAX(0,EquityBudget-(DW$28))))</f>
        <v/>
      </c>
      <c r="DY27" s="218">
        <f>IF(FundingOrderPari=1,(1-DebtShare)*DY$26,MIN(DY$26,MAX(0,EquityBudget-(DX$28))))</f>
        <v/>
      </c>
      <c r="DZ27" s="218">
        <f>IF(FundingOrderPari=1,(1-DebtShare)*DZ$26,MIN(DZ$26,MAX(0,EquityBudget-(DY$28))))</f>
        <v/>
      </c>
      <c r="EA27" s="218">
        <f>IF(FundingOrderPari=1,(1-DebtShare)*EA$26,MIN(EA$26,MAX(0,EquityBudget-(DZ$28))))</f>
        <v/>
      </c>
      <c r="EB27" s="218">
        <f>IF(FundingOrderPari=1,(1-DebtShare)*EB$26,MIN(EB$26,MAX(0,EquityBudget-(EA$28))))</f>
        <v/>
      </c>
      <c r="EC27" s="218">
        <f>IF(FundingOrderPari=1,(1-DebtShare)*EC$26,MIN(EC$26,MAX(0,EquityBudget-(EB$28))))</f>
        <v/>
      </c>
      <c r="ED27" s="218">
        <f>IF(FundingOrderPari=1,(1-DebtShare)*ED$26,MIN(ED$26,MAX(0,EquityBudget-(EC$28))))</f>
        <v/>
      </c>
      <c r="EE27" s="218">
        <f>IF(FundingOrderPari=1,(1-DebtShare)*EE$26,MIN(EE$26,MAX(0,EquityBudget-(ED$28))))</f>
        <v/>
      </c>
      <c r="EF27" s="218">
        <f>IF(FundingOrderPari=1,(1-DebtShare)*EF$26,MIN(EF$26,MAX(0,EquityBudget-(EE$28))))</f>
        <v/>
      </c>
      <c r="EG27" s="218">
        <f>IF(FundingOrderPari=1,(1-DebtShare)*EG$26,MIN(EG$26,MAX(0,EquityBudget-(EF$28))))</f>
        <v/>
      </c>
      <c r="EH27" s="218">
        <f>IF(FundingOrderPari=1,(1-DebtShare)*EH$26,MIN(EH$26,MAX(0,EquityBudget-(EG$28))))</f>
        <v/>
      </c>
      <c r="EI27" s="218">
        <f>IF(FundingOrderPari=1,(1-DebtShare)*EI$26,MIN(EI$26,MAX(0,EquityBudget-(EH$28))))</f>
        <v/>
      </c>
      <c r="EJ27" s="218">
        <f>IF(FundingOrderPari=1,(1-DebtShare)*EJ$26,MIN(EJ$26,MAX(0,EquityBudget-(EI$28))))</f>
        <v/>
      </c>
      <c r="EK27" s="218">
        <f>IF(FundingOrderPari=1,(1-DebtShare)*EK$26,MIN(EK$26,MAX(0,EquityBudget-(EJ$28))))</f>
        <v/>
      </c>
      <c r="EL27" s="218">
        <f>IF(FundingOrderPari=1,(1-DebtShare)*EL$26,MIN(EL$26,MAX(0,EquityBudget-(EK$28))))</f>
        <v/>
      </c>
      <c r="EM27" s="218">
        <f>IF(FundingOrderPari=1,(1-DebtShare)*EM$26,MIN(EM$26,MAX(0,EquityBudget-(EL$28))))</f>
        <v/>
      </c>
      <c r="EN27" s="218">
        <f>IF(FundingOrderPari=1,(1-DebtShare)*EN$26,MIN(EN$26,MAX(0,EquityBudget-(EM$28))))</f>
        <v/>
      </c>
      <c r="EO27" s="218">
        <f>IF(FundingOrderPari=1,(1-DebtShare)*EO$26,MIN(EO$26,MAX(0,EquityBudget-(EN$28))))</f>
        <v/>
      </c>
      <c r="EP27" s="218">
        <f>IF(FundingOrderPari=1,(1-DebtShare)*EP$26,MIN(EP$26,MAX(0,EquityBudget-(EO$28))))</f>
        <v/>
      </c>
      <c r="EQ27" s="218">
        <f>IF(FundingOrderPari=1,(1-DebtShare)*EQ$26,MIN(EQ$26,MAX(0,EquityBudget-(EP$28))))</f>
        <v/>
      </c>
      <c r="ER27" s="218">
        <f>IF(FundingOrderPari=1,(1-DebtShare)*ER$26,MIN(ER$26,MAX(0,EquityBudget-(EQ$28))))</f>
        <v/>
      </c>
      <c r="ES27" s="218">
        <f>IF(FundingOrderPari=1,(1-DebtShare)*ES$26,MIN(ES$26,MAX(0,EquityBudget-(ER$28))))</f>
        <v/>
      </c>
      <c r="ET27" s="218">
        <f>IF(FundingOrderPari=1,(1-DebtShare)*ET$26,MIN(ET$26,MAX(0,EquityBudget-(ES$28))))</f>
        <v/>
      </c>
      <c r="EU27" s="218">
        <f>IF(FundingOrderPari=1,(1-DebtShare)*EU$26,MIN(EU$26,MAX(0,EquityBudget-(ET$28))))</f>
        <v/>
      </c>
      <c r="EV27" s="218">
        <f>IF(FundingOrderPari=1,(1-DebtShare)*EV$26,MIN(EV$26,MAX(0,EquityBudget-(EU$28))))</f>
        <v/>
      </c>
      <c r="EW27" s="218">
        <f>IF(FundingOrderPari=1,(1-DebtShare)*EW$26,MIN(EW$26,MAX(0,EquityBudget-(EV$28))))</f>
        <v/>
      </c>
      <c r="EX27" s="218">
        <f>IF(FundingOrderPari=1,(1-DebtShare)*EX$26,MIN(EX$26,MAX(0,EquityBudget-(EW$28))))</f>
        <v/>
      </c>
      <c r="EY27" s="218">
        <f>IF(FundingOrderPari=1,(1-DebtShare)*EY$26,MIN(EY$26,MAX(0,EquityBudget-(EX$28))))</f>
        <v/>
      </c>
      <c r="EZ27" s="218">
        <f>IF(FundingOrderPari=1,(1-DebtShare)*EZ$26,MIN(EZ$26,MAX(0,EquityBudget-(EY$28))))</f>
        <v/>
      </c>
      <c r="FA27" s="218">
        <f>IF(FundingOrderPari=1,(1-DebtShare)*FA$26,MIN(FA$26,MAX(0,EquityBudget-(EZ$28))))</f>
        <v/>
      </c>
      <c r="FB27" s="218">
        <f>IF(FundingOrderPari=1,(1-DebtShare)*FB$26,MIN(FB$26,MAX(0,EquityBudget-(FA$28))))</f>
        <v/>
      </c>
      <c r="FC27" s="218">
        <f>IF(FundingOrderPari=1,(1-DebtShare)*FC$26,MIN(FC$26,MAX(0,EquityBudget-(FB$28))))</f>
        <v/>
      </c>
      <c r="FD27" s="218">
        <f>IF(FundingOrderPari=1,(1-DebtShare)*FD$26,MIN(FD$26,MAX(0,EquityBudget-(FC$28))))</f>
        <v/>
      </c>
      <c r="FE27" s="218">
        <f>IF(FundingOrderPari=1,(1-DebtShare)*FE$26,MIN(FE$26,MAX(0,EquityBudget-(FD$28))))</f>
        <v/>
      </c>
      <c r="FF27" s="218">
        <f>IF(FundingOrderPari=1,(1-DebtShare)*FF$26,MIN(FF$26,MAX(0,EquityBudget-(FE$28))))</f>
        <v/>
      </c>
      <c r="FG27" s="218">
        <f>IF(FundingOrderPari=1,(1-DebtShare)*FG$26,MIN(FG$26,MAX(0,EquityBudget-(FF$28))))</f>
        <v/>
      </c>
      <c r="FH27" s="218">
        <f>IF(FundingOrderPari=1,(1-DebtShare)*FH$26,MIN(FH$26,MAX(0,EquityBudget-(FG$28))))</f>
        <v/>
      </c>
      <c r="FI27" s="218">
        <f>IF(FundingOrderPari=1,(1-DebtShare)*FI$26,MIN(FI$26,MAX(0,EquityBudget-(FH$28))))</f>
        <v/>
      </c>
      <c r="FJ27" s="218">
        <f>IF(FundingOrderPari=1,(1-DebtShare)*FJ$26,MIN(FJ$26,MAX(0,EquityBudget-(FI$28))))</f>
        <v/>
      </c>
      <c r="FK27" s="218">
        <f>IF(FundingOrderPari=1,(1-DebtShare)*FK$26,MIN(FK$26,MAX(0,EquityBudget-(FJ$28))))</f>
        <v/>
      </c>
      <c r="FL27" s="218">
        <f>IF(FundingOrderPari=1,(1-DebtShare)*FL$26,MIN(FL$26,MAX(0,EquityBudget-(FK$28))))</f>
        <v/>
      </c>
      <c r="FM27" s="218">
        <f>IF(FundingOrderPari=1,(1-DebtShare)*FM$26,MIN(FM$26,MAX(0,EquityBudget-(FL$28))))</f>
        <v/>
      </c>
      <c r="FN27" s="218">
        <f>IF(FundingOrderPari=1,(1-DebtShare)*FN$26,MIN(FN$26,MAX(0,EquityBudget-(FM$28))))</f>
        <v/>
      </c>
      <c r="FO27" s="218">
        <f>IF(FundingOrderPari=1,(1-DebtShare)*FO$26,MIN(FO$26,MAX(0,EquityBudget-(FN$28))))</f>
        <v/>
      </c>
      <c r="FP27" s="218">
        <f>IF(FundingOrderPari=1,(1-DebtShare)*FP$26,MIN(FP$26,MAX(0,EquityBudget-(FO$28))))</f>
        <v/>
      </c>
      <c r="FQ27" s="218">
        <f>IF(FundingOrderPari=1,(1-DebtShare)*FQ$26,MIN(FQ$26,MAX(0,EquityBudget-(FP$28))))</f>
        <v/>
      </c>
      <c r="FR27" s="218">
        <f>IF(FundingOrderPari=1,(1-DebtShare)*FR$26,MIN(FR$26,MAX(0,EquityBudget-(FQ$28))))</f>
        <v/>
      </c>
      <c r="FS27" s="218">
        <f>IF(FundingOrderPari=1,(1-DebtShare)*FS$26,MIN(FS$26,MAX(0,EquityBudget-(FR$28))))</f>
        <v/>
      </c>
      <c r="FT27" s="218">
        <f>IF(FundingOrderPari=1,(1-DebtShare)*FT$26,MIN(FT$26,MAX(0,EquityBudget-(FS$28))))</f>
        <v/>
      </c>
      <c r="FU27" s="218">
        <f>IF(FundingOrderPari=1,(1-DebtShare)*FU$26,MIN(FU$26,MAX(0,EquityBudget-(FT$28))))</f>
        <v/>
      </c>
      <c r="FV27" s="218">
        <f>IF(FundingOrderPari=1,(1-DebtShare)*FV$26,MIN(FV$26,MAX(0,EquityBudget-(FU$28))))</f>
        <v/>
      </c>
      <c r="FW27" s="218">
        <f>IF(FundingOrderPari=1,(1-DebtShare)*FW$26,MIN(FW$26,MAX(0,EquityBudget-(FV$28))))</f>
        <v/>
      </c>
      <c r="FX27" s="218">
        <f>IF(FundingOrderPari=1,(1-DebtShare)*FX$26,MIN(FX$26,MAX(0,EquityBudget-(FW$28))))</f>
        <v/>
      </c>
      <c r="FY27" s="218">
        <f>IF(FundingOrderPari=1,(1-DebtShare)*FY$26,MIN(FY$26,MAX(0,EquityBudget-(FX$28))))</f>
        <v/>
      </c>
      <c r="FZ27" s="218">
        <f>IF(FundingOrderPari=1,(1-DebtShare)*FZ$26,MIN(FZ$26,MAX(0,EquityBudget-(FY$28))))</f>
        <v/>
      </c>
      <c r="GA27" s="218">
        <f>IF(FundingOrderPari=1,(1-DebtShare)*GA$26,MIN(GA$26,MAX(0,EquityBudget-(FZ$28))))</f>
        <v/>
      </c>
      <c r="GB27" s="218">
        <f>IF(FundingOrderPari=1,(1-DebtShare)*GB$26,MIN(GB$26,MAX(0,EquityBudget-(GA$28))))</f>
        <v/>
      </c>
      <c r="GC27" s="218">
        <f>IF(FundingOrderPari=1,(1-DebtShare)*GC$26,MIN(GC$26,MAX(0,EquityBudget-(GB$28))))</f>
        <v/>
      </c>
      <c r="GD27" s="218">
        <f>IF(FundingOrderPari=1,(1-DebtShare)*GD$26,MIN(GD$26,MAX(0,EquityBudget-(GC$28))))</f>
        <v/>
      </c>
      <c r="GE27" s="218">
        <f>IF(FundingOrderPari=1,(1-DebtShare)*GE$26,MIN(GE$26,MAX(0,EquityBudget-(GD$28))))</f>
        <v/>
      </c>
      <c r="GF27" s="218">
        <f>IF(FundingOrderPari=1,(1-DebtShare)*GF$26,MIN(GF$26,MAX(0,EquityBudget-(GE$28))))</f>
        <v/>
      </c>
      <c r="GG27" s="218">
        <f>IF(FundingOrderPari=1,(1-DebtShare)*GG$26,MIN(GG$26,MAX(0,EquityBudget-(GF$28))))</f>
        <v/>
      </c>
      <c r="GH27" s="218">
        <f>IF(FundingOrderPari=1,(1-DebtShare)*GH$26,MIN(GH$26,MAX(0,EquityBudget-(GG$28))))</f>
        <v/>
      </c>
      <c r="GI27" s="218">
        <f>IF(FundingOrderPari=1,(1-DebtShare)*GI$26,MIN(GI$26,MAX(0,EquityBudget-(GH$28))))</f>
        <v/>
      </c>
      <c r="GJ27" s="218">
        <f>IF(FundingOrderPari=1,(1-DebtShare)*GJ$26,MIN(GJ$26,MAX(0,EquityBudget-(GI$28))))</f>
        <v/>
      </c>
      <c r="GK27" s="218">
        <f>IF(FundingOrderPari=1,(1-DebtShare)*GK$26,MIN(GK$26,MAX(0,EquityBudget-(GJ$28))))</f>
        <v/>
      </c>
      <c r="GL27" s="218">
        <f>IF(FundingOrderPari=1,(1-DebtShare)*GL$26,MIN(GL$26,MAX(0,EquityBudget-(GK$28))))</f>
        <v/>
      </c>
      <c r="GM27" s="218">
        <f>IF(FundingOrderPari=1,(1-DebtShare)*GM$26,MIN(GM$26,MAX(0,EquityBudget-(GL$28))))</f>
        <v/>
      </c>
      <c r="GN27" s="218">
        <f>IF(FundingOrderPari=1,(1-DebtShare)*GN$26,MIN(GN$26,MAX(0,EquityBudget-(GM$28))))</f>
        <v/>
      </c>
      <c r="GO27" s="218">
        <f>IF(FundingOrderPari=1,(1-DebtShare)*GO$26,MIN(GO$26,MAX(0,EquityBudget-(GN$28))))</f>
        <v/>
      </c>
      <c r="GP27" s="218">
        <f>IF(FundingOrderPari=1,(1-DebtShare)*GP$26,MIN(GP$26,MAX(0,EquityBudget-(GO$28))))</f>
        <v/>
      </c>
      <c r="GQ27" s="218">
        <f>IF(FundingOrderPari=1,(1-DebtShare)*GQ$26,MIN(GQ$26,MAX(0,EquityBudget-(GP$28))))</f>
        <v/>
      </c>
      <c r="GR27" s="218">
        <f>IF(FundingOrderPari=1,(1-DebtShare)*GR$26,MIN(GR$26,MAX(0,EquityBudget-(GQ$28))))</f>
        <v/>
      </c>
      <c r="GS27" s="218">
        <f>IF(FundingOrderPari=1,(1-DebtShare)*GS$26,MIN(GS$26,MAX(0,EquityBudget-(GR$28))))</f>
        <v/>
      </c>
      <c r="GT27" s="218">
        <f>IF(FundingOrderPari=1,(1-DebtShare)*GT$26,MIN(GT$26,MAX(0,EquityBudget-(GS$28))))</f>
        <v/>
      </c>
      <c r="GU27" s="218">
        <f>IF(FundingOrderPari=1,(1-DebtShare)*GU$26,MIN(GU$26,MAX(0,EquityBudget-(GT$28))))</f>
        <v/>
      </c>
      <c r="GV27" s="218">
        <f>IF(FundingOrderPari=1,(1-DebtShare)*GV$26,MIN(GV$26,MAX(0,EquityBudget-(GU$28))))</f>
        <v/>
      </c>
      <c r="GW27" s="218">
        <f>IF(FundingOrderPari=1,(1-DebtShare)*GW$26,MIN(GW$26,MAX(0,EquityBudget-(GV$28))))</f>
        <v/>
      </c>
      <c r="GX27" s="218">
        <f>IF(FundingOrderPari=1,(1-DebtShare)*GX$26,MIN(GX$26,MAX(0,EquityBudget-(GW$28))))</f>
        <v/>
      </c>
      <c r="GY27" s="218">
        <f>IF(FundingOrderPari=1,(1-DebtShare)*GY$26,MIN(GY$26,MAX(0,EquityBudget-(GX$28))))</f>
        <v/>
      </c>
      <c r="GZ27" s="218">
        <f>IF(FundingOrderPari=1,(1-DebtShare)*GZ$26,MIN(GZ$26,MAX(0,EquityBudget-(GY$28))))</f>
        <v/>
      </c>
      <c r="HA27" s="218">
        <f>IF(FundingOrderPari=1,(1-DebtShare)*HA$26,MIN(HA$26,MAX(0,EquityBudget-(GZ$28))))</f>
        <v/>
      </c>
      <c r="HB27" s="218">
        <f>IF(FundingOrderPari=1,(1-DebtShare)*HB$26,MIN(HB$26,MAX(0,EquityBudget-(HA$28))))</f>
        <v/>
      </c>
      <c r="HC27" s="218">
        <f>IF(FundingOrderPari=1,(1-DebtShare)*HC$26,MIN(HC$26,MAX(0,EquityBudget-(HB$28))))</f>
        <v/>
      </c>
      <c r="HD27" s="218">
        <f>IF(FundingOrderPari=1,(1-DebtShare)*HD$26,MIN(HD$26,MAX(0,EquityBudget-(HC$28))))</f>
        <v/>
      </c>
      <c r="HE27" s="218">
        <f>IF(FundingOrderPari=1,(1-DebtShare)*HE$26,MIN(HE$26,MAX(0,EquityBudget-(HD$28))))</f>
        <v/>
      </c>
      <c r="HF27" s="218">
        <f>IF(FundingOrderPari=1,(1-DebtShare)*HF$26,MIN(HF$26,MAX(0,EquityBudget-(HE$28))))</f>
        <v/>
      </c>
      <c r="HG27" s="218">
        <f>IF(FundingOrderPari=1,(1-DebtShare)*HG$26,MIN(HG$26,MAX(0,EquityBudget-(HF$28))))</f>
        <v/>
      </c>
      <c r="HH27" s="218">
        <f>IF(FundingOrderPari=1,(1-DebtShare)*HH$26,MIN(HH$26,MAX(0,EquityBudget-(HG$28))))</f>
        <v/>
      </c>
      <c r="HI27" s="218">
        <f>IF(FundingOrderPari=1,(1-DebtShare)*HI$26,MIN(HI$26,MAX(0,EquityBudget-(HH$28))))</f>
        <v/>
      </c>
      <c r="HJ27" s="218">
        <f>IF(FundingOrderPari=1,(1-DebtShare)*HJ$26,MIN(HJ$26,MAX(0,EquityBudget-(HI$28))))</f>
        <v/>
      </c>
      <c r="HK27" s="218">
        <f>IF(FundingOrderPari=1,(1-DebtShare)*HK$26,MIN(HK$26,MAX(0,EquityBudget-(HJ$28))))</f>
        <v/>
      </c>
      <c r="HL27" s="218">
        <f>IF(FundingOrderPari=1,(1-DebtShare)*HL$26,MIN(HL$26,MAX(0,EquityBudget-(HK$28))))</f>
        <v/>
      </c>
      <c r="HM27" s="218">
        <f>IF(FundingOrderPari=1,(1-DebtShare)*HM$26,MIN(HM$26,MAX(0,EquityBudget-(HL$28))))</f>
        <v/>
      </c>
      <c r="HN27" s="218">
        <f>IF(FundingOrderPari=1,(1-DebtShare)*HN$26,MIN(HN$26,MAX(0,EquityBudget-(HM$28))))</f>
        <v/>
      </c>
      <c r="HO27" s="218">
        <f>IF(FundingOrderPari=1,(1-DebtShare)*HO$26,MIN(HO$26,MAX(0,EquityBudget-(HN$28))))</f>
        <v/>
      </c>
      <c r="HP27" s="218">
        <f>IF(FundingOrderPari=1,(1-DebtShare)*HP$26,MIN(HP$26,MAX(0,EquityBudget-(HO$28))))</f>
        <v/>
      </c>
      <c r="HQ27" s="218">
        <f>IF(FundingOrderPari=1,(1-DebtShare)*HQ$26,MIN(HQ$26,MAX(0,EquityBudget-(HP$28))))</f>
        <v/>
      </c>
      <c r="HR27" s="218">
        <f>IF(FundingOrderPari=1,(1-DebtShare)*HR$26,MIN(HR$26,MAX(0,EquityBudget-(HQ$28))))</f>
        <v/>
      </c>
      <c r="HS27" s="218">
        <f>IF(FundingOrderPari=1,(1-DebtShare)*HS$26,MIN(HS$26,MAX(0,EquityBudget-(HR$28))))</f>
        <v/>
      </c>
      <c r="HT27" s="218">
        <f>IF(FundingOrderPari=1,(1-DebtShare)*HT$26,MIN(HT$26,MAX(0,EquityBudget-(HS$28))))</f>
        <v/>
      </c>
      <c r="HU27" s="218">
        <f>IF(FundingOrderPari=1,(1-DebtShare)*HU$26,MIN(HU$26,MAX(0,EquityBudget-(HT$28))))</f>
        <v/>
      </c>
      <c r="HV27" s="218">
        <f>IF(FundingOrderPari=1,(1-DebtShare)*HV$26,MIN(HV$26,MAX(0,EquityBudget-(HU$28))))</f>
        <v/>
      </c>
      <c r="HW27" s="218">
        <f>IF(FundingOrderPari=1,(1-DebtShare)*HW$26,MIN(HW$26,MAX(0,EquityBudget-(HV$28))))</f>
        <v/>
      </c>
      <c r="HX27" s="218">
        <f>IF(FundingOrderPari=1,(1-DebtShare)*HX$26,MIN(HX$26,MAX(0,EquityBudget-(HW$28))))</f>
        <v/>
      </c>
      <c r="HY27" s="218">
        <f>IF(FundingOrderPari=1,(1-DebtShare)*HY$26,MIN(HY$26,MAX(0,EquityBudget-(HX$28))))</f>
        <v/>
      </c>
      <c r="HZ27" s="218">
        <f>IF(FundingOrderPari=1,(1-DebtShare)*HZ$26,MIN(HZ$26,MAX(0,EquityBudget-(HY$28))))</f>
        <v/>
      </c>
      <c r="IA27" s="218">
        <f>IF(FundingOrderPari=1,(1-DebtShare)*IA$26,MIN(IA$26,MAX(0,EquityBudget-(HZ$28))))</f>
        <v/>
      </c>
      <c r="IB27" s="218">
        <f>IF(FundingOrderPari=1,(1-DebtShare)*IB$26,MIN(IB$26,MAX(0,EquityBudget-(IA$28))))</f>
        <v/>
      </c>
      <c r="IC27" s="218">
        <f>IF(FundingOrderPari=1,(1-DebtShare)*IC$26,MIN(IC$26,MAX(0,EquityBudget-(IB$28))))</f>
        <v/>
      </c>
      <c r="ID27" s="218">
        <f>IF(FundingOrderPari=1,(1-DebtShare)*ID$26,MIN(ID$26,MAX(0,EquityBudget-(IC$28))))</f>
        <v/>
      </c>
      <c r="IE27" s="218">
        <f>IF(FundingOrderPari=1,(1-DebtShare)*IE$26,MIN(IE$26,MAX(0,EquityBudget-(ID$28))))</f>
        <v/>
      </c>
      <c r="IF27" s="218">
        <f>IF(FundingOrderPari=1,(1-DebtShare)*IF$26,MIN(IF$26,MAX(0,EquityBudget-(IE$28))))</f>
        <v/>
      </c>
      <c r="IG27" s="218">
        <f>IF(FundingOrderPari=1,(1-DebtShare)*IG$26,MIN(IG$26,MAX(0,EquityBudget-(IF$28))))</f>
        <v/>
      </c>
      <c r="IH27" s="218">
        <f>IF(FundingOrderPari=1,(1-DebtShare)*IH$26,MIN(IH$26,MAX(0,EquityBudget-(IG$28))))</f>
        <v/>
      </c>
      <c r="II27" s="218">
        <f>IF(FundingOrderPari=1,(1-DebtShare)*II$26,MIN(II$26,MAX(0,EquityBudget-(IH$28))))</f>
        <v/>
      </c>
      <c r="IJ27" s="218">
        <f>IF(FundingOrderPari=1,(1-DebtShare)*IJ$26,MIN(IJ$26,MAX(0,EquityBudget-(II$28))))</f>
        <v/>
      </c>
      <c r="IK27" s="218">
        <f>IF(FundingOrderPari=1,(1-DebtShare)*IK$26,MIN(IK$26,MAX(0,EquityBudget-(IJ$28))))</f>
        <v/>
      </c>
      <c r="IL27" s="218">
        <f>IF(FundingOrderPari=1,(1-DebtShare)*IL$26,MIN(IL$26,MAX(0,EquityBudget-(IK$28))))</f>
        <v/>
      </c>
      <c r="IM27" s="218">
        <f>IF(FundingOrderPari=1,(1-DebtShare)*IM$26,MIN(IM$26,MAX(0,EquityBudget-(IL$28))))</f>
        <v/>
      </c>
      <c r="IN27" s="218">
        <f>IF(FundingOrderPari=1,(1-DebtShare)*IN$26,MIN(IN$26,MAX(0,EquityBudget-(IM$28))))</f>
        <v/>
      </c>
      <c r="IO27" s="218">
        <f>IF(FundingOrderPari=1,(1-DebtShare)*IO$26,MIN(IO$26,MAX(0,EquityBudget-(IN$28))))</f>
        <v/>
      </c>
      <c r="IP27" s="218">
        <f>IF(FundingOrderPari=1,(1-DebtShare)*IP$26,MIN(IP$26,MAX(0,EquityBudget-(IO$28))))</f>
        <v/>
      </c>
      <c r="IQ27" s="218">
        <f>IF(FundingOrderPari=1,(1-DebtShare)*IQ$26,MIN(IQ$26,MAX(0,EquityBudget-(IP$28))))</f>
        <v/>
      </c>
      <c r="IR27" s="218">
        <f>IF(FundingOrderPari=1,(1-DebtShare)*IR$26,MIN(IR$26,MAX(0,EquityBudget-(IQ$28))))</f>
        <v/>
      </c>
      <c r="IS27" s="218">
        <f>IF(FundingOrderPari=1,(1-DebtShare)*IS$26,MIN(IS$26,MAX(0,EquityBudget-(IR$28))))</f>
        <v/>
      </c>
      <c r="IT27" s="218">
        <f>IF(FundingOrderPari=1,(1-DebtShare)*IT$26,MIN(IT$26,MAX(0,EquityBudget-(IS$28))))</f>
        <v/>
      </c>
      <c r="IU27" s="218">
        <f>IF(FundingOrderPari=1,(1-DebtShare)*IU$26,MIN(IU$26,MAX(0,EquityBudget-(IT$28))))</f>
        <v/>
      </c>
      <c r="IV27" s="218">
        <f>IF(FundingOrderPari=1,(1-DebtShare)*IV$26,MIN(IV$26,MAX(0,EquityBudget-(IU$28))))</f>
        <v/>
      </c>
      <c r="IW27" s="218">
        <f>IF(FundingOrderPari=1,(1-DebtShare)*IW$26,MIN(IW$26,MAX(0,EquityBudget-(IV$28))))</f>
        <v/>
      </c>
      <c r="IX27" s="218">
        <f>IF(FundingOrderPari=1,(1-DebtShare)*IX$26,MIN(IX$26,MAX(0,EquityBudget-(IW$28))))</f>
        <v/>
      </c>
      <c r="IY27" s="218">
        <f>IF(FundingOrderPari=1,(1-DebtShare)*IY$26,MIN(IY$26,MAX(0,EquityBudget-(IX$28))))</f>
        <v/>
      </c>
      <c r="IZ27" s="218">
        <f>IF(FundingOrderPari=1,(1-DebtShare)*IZ$26,MIN(IZ$26,MAX(0,EquityBudget-(IY$28))))</f>
        <v/>
      </c>
      <c r="JA27" s="218">
        <f>IF(FundingOrderPari=1,(1-DebtShare)*JA$26,MIN(JA$26,MAX(0,EquityBudget-(IZ$28))))</f>
        <v/>
      </c>
      <c r="JB27" s="218">
        <f>IF(FundingOrderPari=1,(1-DebtShare)*JB$26,MIN(JB$26,MAX(0,EquityBudget-(JA$28))))</f>
        <v/>
      </c>
      <c r="JC27" s="218">
        <f>IF(FundingOrderPari=1,(1-DebtShare)*JC$26,MIN(JC$26,MAX(0,EquityBudget-(JB$28))))</f>
        <v/>
      </c>
      <c r="JD27" s="218">
        <f>IF(FundingOrderPari=1,(1-DebtShare)*JD$26,MIN(JD$26,MAX(0,EquityBudget-(JC$28))))</f>
        <v/>
      </c>
      <c r="JE27" s="218">
        <f>IF(FundingOrderPari=1,(1-DebtShare)*JE$26,MIN(JE$26,MAX(0,EquityBudget-(JD$28))))</f>
        <v/>
      </c>
      <c r="JF27" s="218">
        <f>IF(FundingOrderPari=1,(1-DebtShare)*JF$26,MIN(JF$26,MAX(0,EquityBudget-(JE$28))))</f>
        <v/>
      </c>
      <c r="JG27" s="218">
        <f>IF(FundingOrderPari=1,(1-DebtShare)*JG$26,MIN(JG$26,MAX(0,EquityBudget-(JF$28))))</f>
        <v/>
      </c>
      <c r="JH27" s="218">
        <f>IF(FundingOrderPari=1,(1-DebtShare)*JH$26,MIN(JH$26,MAX(0,EquityBudget-(JG$28))))</f>
        <v/>
      </c>
      <c r="JI27" s="218">
        <f>IF(FundingOrderPari=1,(1-DebtShare)*JI$26,MIN(JI$26,MAX(0,EquityBudget-(JH$28))))</f>
        <v/>
      </c>
      <c r="JJ27" s="218">
        <f>IF(FundingOrderPari=1,(1-DebtShare)*JJ$26,MIN(JJ$26,MAX(0,EquityBudget-(JI$28))))</f>
        <v/>
      </c>
      <c r="JK27" s="218">
        <f>IF(FundingOrderPari=1,(1-DebtShare)*JK$26,MIN(JK$26,MAX(0,EquityBudget-(JJ$28))))</f>
        <v/>
      </c>
      <c r="JL27" s="218">
        <f>IF(FundingOrderPari=1,(1-DebtShare)*JL$26,MIN(JL$26,MAX(0,EquityBudget-(JK$28))))</f>
        <v/>
      </c>
      <c r="JM27" s="218">
        <f>IF(FundingOrderPari=1,(1-DebtShare)*JM$26,MIN(JM$26,MAX(0,EquityBudget-(JL$28))))</f>
        <v/>
      </c>
      <c r="JN27" s="218">
        <f>IF(FundingOrderPari=1,(1-DebtShare)*JN$26,MIN(JN$26,MAX(0,EquityBudget-(JM$28))))</f>
        <v/>
      </c>
      <c r="JO27" s="218">
        <f>IF(FundingOrderPari=1,(1-DebtShare)*JO$26,MIN(JO$26,MAX(0,EquityBudget-(JN$28))))</f>
        <v/>
      </c>
      <c r="JP27" s="218">
        <f>IF(FundingOrderPari=1,(1-DebtShare)*JP$26,MIN(JP$26,MAX(0,EquityBudget-(JO$28))))</f>
        <v/>
      </c>
      <c r="JQ27" s="218">
        <f>IF(FundingOrderPari=1,(1-DebtShare)*JQ$26,MIN(JQ$26,MAX(0,EquityBudget-(JP$28))))</f>
        <v/>
      </c>
      <c r="JR27" s="218">
        <f>IF(FundingOrderPari=1,(1-DebtShare)*JR$26,MIN(JR$26,MAX(0,EquityBudget-(JQ$28))))</f>
        <v/>
      </c>
      <c r="JS27" s="218">
        <f>IF(FundingOrderPari=1,(1-DebtShare)*JS$26,MIN(JS$26,MAX(0,EquityBudget-(JR$28))))</f>
        <v/>
      </c>
      <c r="JT27" s="218">
        <f>IF(FundingOrderPari=1,(1-DebtShare)*JT$26,MIN(JT$26,MAX(0,EquityBudget-(JS$28))))</f>
        <v/>
      </c>
      <c r="JU27" s="218">
        <f>IF(FundingOrderPari=1,(1-DebtShare)*JU$26,MIN(JU$26,MAX(0,EquityBudget-(JT$28))))</f>
        <v/>
      </c>
      <c r="JV27" s="218">
        <f>IF(FundingOrderPari=1,(1-DebtShare)*JV$26,MIN(JV$26,MAX(0,EquityBudget-(JU$28))))</f>
        <v/>
      </c>
      <c r="JW27" s="218">
        <f>IF(FundingOrderPari=1,(1-DebtShare)*JW$26,MIN(JW$26,MAX(0,EquityBudget-(JV$28))))</f>
        <v/>
      </c>
      <c r="JX27" s="218">
        <f>IF(FundingOrderPari=1,(1-DebtShare)*JX$26,MIN(JX$26,MAX(0,EquityBudget-(JW$28))))</f>
        <v/>
      </c>
      <c r="JY27" s="218">
        <f>IF(FundingOrderPari=1,(1-DebtShare)*JY$26,MIN(JY$26,MAX(0,EquityBudget-(JX$28))))</f>
        <v/>
      </c>
      <c r="JZ27" s="218">
        <f>IF(FundingOrderPari=1,(1-DebtShare)*JZ$26,MIN(JZ$26,MAX(0,EquityBudget-(JY$28))))</f>
        <v/>
      </c>
      <c r="KA27" s="218">
        <f>IF(FundingOrderPari=1,(1-DebtShare)*KA$26,MIN(KA$26,MAX(0,EquityBudget-(JZ$28))))</f>
        <v/>
      </c>
      <c r="KB27" s="218">
        <f>IF(FundingOrderPari=1,(1-DebtShare)*KB$26,MIN(KB$26,MAX(0,EquityBudget-(KA$28))))</f>
        <v/>
      </c>
      <c r="KC27" s="218">
        <f>IF(FundingOrderPari=1,(1-DebtShare)*KC$26,MIN(KC$26,MAX(0,EquityBudget-(KB$28))))</f>
        <v/>
      </c>
      <c r="KD27" s="218">
        <f>IF(FundingOrderPari=1,(1-DebtShare)*KD$26,MIN(KD$26,MAX(0,EquityBudget-(KC$28))))</f>
        <v/>
      </c>
      <c r="KE27" s="218">
        <f>IF(FundingOrderPari=1,(1-DebtShare)*KE$26,MIN(KE$26,MAX(0,EquityBudget-(KD$28))))</f>
        <v/>
      </c>
      <c r="KF27" s="218">
        <f>IF(FundingOrderPari=1,(1-DebtShare)*KF$26,MIN(KF$26,MAX(0,EquityBudget-(KE$28))))</f>
        <v/>
      </c>
      <c r="KG27" s="218">
        <f>IF(FundingOrderPari=1,(1-DebtShare)*KG$26,MIN(KG$26,MAX(0,EquityBudget-(KF$28))))</f>
        <v/>
      </c>
      <c r="KH27" s="218">
        <f>IF(FundingOrderPari=1,(1-DebtShare)*KH$26,MIN(KH$26,MAX(0,EquityBudget-(KG$28))))</f>
        <v/>
      </c>
      <c r="KI27" s="218">
        <f>IF(FundingOrderPari=1,(1-DebtShare)*KI$26,MIN(KI$26,MAX(0,EquityBudget-(KH$28))))</f>
        <v/>
      </c>
      <c r="KJ27" s="218">
        <f>IF(FundingOrderPari=1,(1-DebtShare)*KJ$26,MIN(KJ$26,MAX(0,EquityBudget-(KI$28))))</f>
        <v/>
      </c>
      <c r="KK27" s="218">
        <f>IF(FundingOrderPari=1,(1-DebtShare)*KK$26,MIN(KK$26,MAX(0,EquityBudget-(KJ$28))))</f>
        <v/>
      </c>
      <c r="KL27" s="218">
        <f>IF(FundingOrderPari=1,(1-DebtShare)*KL$26,MIN(KL$26,MAX(0,EquityBudget-(KK$28))))</f>
        <v/>
      </c>
      <c r="KM27" s="218">
        <f>IF(FundingOrderPari=1,(1-DebtShare)*KM$26,MIN(KM$26,MAX(0,EquityBudget-(KL$28))))</f>
        <v/>
      </c>
      <c r="KN27" s="218">
        <f>IF(FundingOrderPari=1,(1-DebtShare)*KN$26,MIN(KN$26,MAX(0,EquityBudget-(KM$28))))</f>
        <v/>
      </c>
      <c r="KO27" s="218">
        <f>IF(FundingOrderPari=1,(1-DebtShare)*KO$26,MIN(KO$26,MAX(0,EquityBudget-(KN$28))))</f>
        <v/>
      </c>
      <c r="KP27" s="218">
        <f>IF(FundingOrderPari=1,(1-DebtShare)*KP$26,MIN(KP$26,MAX(0,EquityBudget-(KO$28))))</f>
        <v/>
      </c>
      <c r="KQ27" s="218">
        <f>IF(FundingOrderPari=1,(1-DebtShare)*KQ$26,MIN(KQ$26,MAX(0,EquityBudget-(KP$28))))</f>
        <v/>
      </c>
      <c r="KR27" s="218">
        <f>IF(FundingOrderPari=1,(1-DebtShare)*KR$26,MIN(KR$26,MAX(0,EquityBudget-(KQ$28))))</f>
        <v/>
      </c>
      <c r="KS27" s="218">
        <f>IF(FundingOrderPari=1,(1-DebtShare)*KS$26,MIN(KS$26,MAX(0,EquityBudget-(KR$28))))</f>
        <v/>
      </c>
      <c r="KT27" s="218">
        <f>IF(FundingOrderPari=1,(1-DebtShare)*KT$26,MIN(KT$26,MAX(0,EquityBudget-(KS$28))))</f>
        <v/>
      </c>
      <c r="KU27" s="218">
        <f>IF(FundingOrderPari=1,(1-DebtShare)*KU$26,MIN(KU$26,MAX(0,EquityBudget-(KT$28))))</f>
        <v/>
      </c>
      <c r="KV27" s="218">
        <f>IF(FundingOrderPari=1,(1-DebtShare)*KV$26,MIN(KV$26,MAX(0,EquityBudget-(KU$28))))</f>
        <v/>
      </c>
      <c r="KW27" s="218">
        <f>IF(FundingOrderPari=1,(1-DebtShare)*KW$26,MIN(KW$26,MAX(0,EquityBudget-(KV$28))))</f>
        <v/>
      </c>
      <c r="KX27" s="218">
        <f>IF(FundingOrderPari=1,(1-DebtShare)*KX$26,MIN(KX$26,MAX(0,EquityBudget-(KW$28))))</f>
        <v/>
      </c>
      <c r="KY27" s="218">
        <f>IF(FundingOrderPari=1,(1-DebtShare)*KY$26,MIN(KY$26,MAX(0,EquityBudget-(KX$28))))</f>
        <v/>
      </c>
      <c r="KZ27" s="218">
        <f>IF(FundingOrderPari=1,(1-DebtShare)*KZ$26,MIN(KZ$26,MAX(0,EquityBudget-(KY$28))))</f>
        <v/>
      </c>
      <c r="LA27" s="218">
        <f>IF(FundingOrderPari=1,(1-DebtShare)*LA$26,MIN(LA$26,MAX(0,EquityBudget-(KZ$28))))</f>
        <v/>
      </c>
      <c r="LB27" s="218">
        <f>IF(FundingOrderPari=1,(1-DebtShare)*LB$26,MIN(LB$26,MAX(0,EquityBudget-(LA$28))))</f>
        <v/>
      </c>
      <c r="LC27" s="218">
        <f>IF(FundingOrderPari=1,(1-DebtShare)*LC$26,MIN(LC$26,MAX(0,EquityBudget-(LB$28))))</f>
        <v/>
      </c>
      <c r="LD27" s="218">
        <f>IF(FundingOrderPari=1,(1-DebtShare)*LD$26,MIN(LD$26,MAX(0,EquityBudget-(LC$28))))</f>
        <v/>
      </c>
      <c r="LE27" s="218">
        <f>IF(FundingOrderPari=1,(1-DebtShare)*LE$26,MIN(LE$26,MAX(0,EquityBudget-(LD$28))))</f>
        <v/>
      </c>
      <c r="LF27" s="218">
        <f>IF(FundingOrderPari=1,(1-DebtShare)*LF$26,MIN(LF$26,MAX(0,EquityBudget-(LE$28))))</f>
        <v/>
      </c>
      <c r="LG27" s="218">
        <f>IF(FundingOrderPari=1,(1-DebtShare)*LG$26,MIN(LG$26,MAX(0,EquityBudget-(LF$28))))</f>
        <v/>
      </c>
      <c r="LH27" s="218">
        <f>IF(FundingOrderPari=1,(1-DebtShare)*LH$26,MIN(LH$26,MAX(0,EquityBudget-(LG$28))))</f>
        <v/>
      </c>
      <c r="LI27" s="218">
        <f>IF(FundingOrderPari=1,(1-DebtShare)*LI$26,MIN(LI$26,MAX(0,EquityBudget-(LH$28))))</f>
        <v/>
      </c>
      <c r="LJ27" s="218">
        <f>IF(FundingOrderPari=1,(1-DebtShare)*LJ$26,MIN(LJ$26,MAX(0,EquityBudget-(LI$28))))</f>
        <v/>
      </c>
      <c r="LK27" s="218">
        <f>IF(FundingOrderPari=1,(1-DebtShare)*LK$26,MIN(LK$26,MAX(0,EquityBudget-(LJ$28))))</f>
        <v/>
      </c>
      <c r="LL27" s="218">
        <f>IF(FundingOrderPari=1,(1-DebtShare)*LL$26,MIN(LL$26,MAX(0,EquityBudget-(LK$28))))</f>
        <v/>
      </c>
      <c r="LM27" s="218">
        <f>IF(FundingOrderPari=1,(1-DebtShare)*LM$26,MIN(LM$26,MAX(0,EquityBudget-(LL$28))))</f>
        <v/>
      </c>
      <c r="LN27" s="218">
        <f>IF(FundingOrderPari=1,(1-DebtShare)*LN$26,MIN(LN$26,MAX(0,EquityBudget-(LM$28))))</f>
        <v/>
      </c>
      <c r="LO27" s="218">
        <f>IF(FundingOrderPari=1,(1-DebtShare)*LO$26,MIN(LO$26,MAX(0,EquityBudget-(LN$28))))</f>
        <v/>
      </c>
      <c r="LP27" s="218">
        <f>IF(FundingOrderPari=1,(1-DebtShare)*LP$26,MIN(LP$26,MAX(0,EquityBudget-(LO$28))))</f>
        <v/>
      </c>
      <c r="LQ27" s="218">
        <f>IF(FundingOrderPari=1,(1-DebtShare)*LQ$26,MIN(LQ$26,MAX(0,EquityBudget-(LP$28))))</f>
        <v/>
      </c>
      <c r="LR27" s="218">
        <f>IF(FundingOrderPari=1,(1-DebtShare)*LR$26,MIN(LR$26,MAX(0,EquityBudget-(LQ$28))))</f>
        <v/>
      </c>
      <c r="LS27" s="218">
        <f>IF(FundingOrderPari=1,(1-DebtShare)*LS$26,MIN(LS$26,MAX(0,EquityBudget-(LR$28))))</f>
        <v/>
      </c>
      <c r="LT27" s="218">
        <f>IF(FundingOrderPari=1,(1-DebtShare)*LT$26,MIN(LT$26,MAX(0,EquityBudget-(LS$28))))</f>
        <v/>
      </c>
      <c r="LU27" s="218">
        <f>IF(FundingOrderPari=1,(1-DebtShare)*LU$26,MIN(LU$26,MAX(0,EquityBudget-(LT$28))))</f>
        <v/>
      </c>
      <c r="LV27" s="218">
        <f>IF(FundingOrderPari=1,(1-DebtShare)*LV$26,MIN(LV$26,MAX(0,EquityBudget-(LU$28))))</f>
        <v/>
      </c>
      <c r="LW27" s="218">
        <f>IF(FundingOrderPari=1,(1-DebtShare)*LW$26,MIN(LW$26,MAX(0,EquityBudget-(LV$28))))</f>
        <v/>
      </c>
      <c r="LX27" s="218">
        <f>IF(FundingOrderPari=1,(1-DebtShare)*LX$26,MIN(LX$26,MAX(0,EquityBudget-(LW$28))))</f>
        <v/>
      </c>
      <c r="LY27" s="218">
        <f>IF(FundingOrderPari=1,(1-DebtShare)*LY$26,MIN(LY$26,MAX(0,EquityBudget-(LX$28))))</f>
        <v/>
      </c>
      <c r="LZ27" s="218">
        <f>IF(FundingOrderPari=1,(1-DebtShare)*LZ$26,MIN(LZ$26,MAX(0,EquityBudget-(LY$28))))</f>
        <v/>
      </c>
      <c r="MA27" s="218">
        <f>IF(FundingOrderPari=1,(1-DebtShare)*MA$26,MIN(MA$26,MAX(0,EquityBudget-(LZ$28))))</f>
        <v/>
      </c>
      <c r="MB27" s="218">
        <f>IF(FundingOrderPari=1,(1-DebtShare)*MB$26,MIN(MB$26,MAX(0,EquityBudget-(MA$28))))</f>
        <v/>
      </c>
      <c r="MC27" s="218">
        <f>IF(FundingOrderPari=1,(1-DebtShare)*MC$26,MIN(MC$26,MAX(0,EquityBudget-(MB$28))))</f>
        <v/>
      </c>
      <c r="MD27" s="218">
        <f>IF(FundingOrderPari=1,(1-DebtShare)*MD$26,MIN(MD$26,MAX(0,EquityBudget-(MC$28))))</f>
        <v/>
      </c>
      <c r="ME27" s="218">
        <f>IF(FundingOrderPari=1,(1-DebtShare)*ME$26,MIN(ME$26,MAX(0,EquityBudget-(MD$28))))</f>
        <v/>
      </c>
      <c r="MF27" s="218">
        <f>IF(FundingOrderPari=1,(1-DebtShare)*MF$26,MIN(MF$26,MAX(0,EquityBudget-(ME$28))))</f>
        <v/>
      </c>
      <c r="MG27" s="218">
        <f>IF(FundingOrderPari=1,(1-DebtShare)*MG$26,MIN(MG$26,MAX(0,EquityBudget-(MF$28))))</f>
        <v/>
      </c>
      <c r="MH27" s="218">
        <f>IF(FundingOrderPari=1,(1-DebtShare)*MH$26,MIN(MH$26,MAX(0,EquityBudget-(MG$28))))</f>
        <v/>
      </c>
      <c r="MI27" s="218">
        <f>IF(FundingOrderPari=1,(1-DebtShare)*MI$26,MIN(MI$26,MAX(0,EquityBudget-(MH$28))))</f>
        <v/>
      </c>
      <c r="MJ27" s="218">
        <f>IF(FundingOrderPari=1,(1-DebtShare)*MJ$26,MIN(MJ$26,MAX(0,EquityBudget-(MI$28))))</f>
        <v/>
      </c>
      <c r="MK27" s="218">
        <f>IF(FundingOrderPari=1,(1-DebtShare)*MK$26,MIN(MK$26,MAX(0,EquityBudget-(MJ$28))))</f>
        <v/>
      </c>
      <c r="ML27" s="218">
        <f>IF(FundingOrderPari=1,(1-DebtShare)*ML$26,MIN(ML$26,MAX(0,EquityBudget-(MK$28))))</f>
        <v/>
      </c>
      <c r="MM27" s="218">
        <f>IF(FundingOrderPari=1,(1-DebtShare)*MM$26,MIN(MM$26,MAX(0,EquityBudget-(ML$28))))</f>
        <v/>
      </c>
      <c r="MN27" s="218">
        <f>IF(FundingOrderPari=1,(1-DebtShare)*MN$26,MIN(MN$26,MAX(0,EquityBudget-(MM$28))))</f>
        <v/>
      </c>
      <c r="MO27" s="218">
        <f>IF(FundingOrderPari=1,(1-DebtShare)*MO$26,MIN(MO$26,MAX(0,EquityBudget-(MN$28))))</f>
        <v/>
      </c>
      <c r="MP27" s="218">
        <f>IF(FundingOrderPari=1,(1-DebtShare)*MP$26,MIN(MP$26,MAX(0,EquityBudget-(MO$28))))</f>
        <v/>
      </c>
      <c r="MQ27" s="218">
        <f>IF(FundingOrderPari=1,(1-DebtShare)*MQ$26,MIN(MQ$26,MAX(0,EquityBudget-(MP$28))))</f>
        <v/>
      </c>
      <c r="MR27" s="218">
        <f>IF(FundingOrderPari=1,(1-DebtShare)*MR$26,MIN(MR$26,MAX(0,EquityBudget-(MQ$28))))</f>
        <v/>
      </c>
      <c r="MS27" s="218">
        <f>IF(FundingOrderPari=1,(1-DebtShare)*MS$26,MIN(MS$26,MAX(0,EquityBudget-(MR$28))))</f>
        <v/>
      </c>
      <c r="MT27" s="218">
        <f>IF(FundingOrderPari=1,(1-DebtShare)*MT$26,MIN(MT$26,MAX(0,EquityBudget-(MS$28))))</f>
        <v/>
      </c>
      <c r="MU27" s="218">
        <f>IF(FundingOrderPari=1,(1-DebtShare)*MU$26,MIN(MU$26,MAX(0,EquityBudget-(MT$28))))</f>
        <v/>
      </c>
      <c r="MV27" s="218">
        <f>IF(FundingOrderPari=1,(1-DebtShare)*MV$26,MIN(MV$26,MAX(0,EquityBudget-(MU$28))))</f>
        <v/>
      </c>
      <c r="MW27" s="218">
        <f>IF(FundingOrderPari=1,(1-DebtShare)*MW$26,MIN(MW$26,MAX(0,EquityBudget-(MV$28))))</f>
        <v/>
      </c>
      <c r="MX27" s="218">
        <f>IF(FundingOrderPari=1,(1-DebtShare)*MX$26,MIN(MX$26,MAX(0,EquityBudget-(MW$28))))</f>
        <v/>
      </c>
      <c r="MY27" s="218">
        <f>IF(FundingOrderPari=1,(1-DebtShare)*MY$26,MIN(MY$26,MAX(0,EquityBudget-(MX$28))))</f>
        <v/>
      </c>
      <c r="MZ27" s="218">
        <f>IF(FundingOrderPari=1,(1-DebtShare)*MZ$26,MIN(MZ$26,MAX(0,EquityBudget-(MY$28))))</f>
        <v/>
      </c>
      <c r="NA27" s="218">
        <f>IF(FundingOrderPari=1,(1-DebtShare)*NA$26,MIN(NA$26,MAX(0,EquityBudget-(MZ$28))))</f>
        <v/>
      </c>
      <c r="NB27" s="218">
        <f>IF(FundingOrderPari=1,(1-DebtShare)*NB$26,MIN(NB$26,MAX(0,EquityBudget-(NA$28))))</f>
        <v/>
      </c>
      <c r="NC27" s="218">
        <f>IF(FundingOrderPari=1,(1-DebtShare)*NC$26,MIN(NC$26,MAX(0,EquityBudget-(NB$28))))</f>
        <v/>
      </c>
      <c r="ND27" s="218">
        <f>IF(FundingOrderPari=1,(1-DebtShare)*ND$26,MIN(ND$26,MAX(0,EquityBudget-(NC$28))))</f>
        <v/>
      </c>
      <c r="NE27" s="218">
        <f>IF(FundingOrderPari=1,(1-DebtShare)*NE$26,MIN(NE$26,MAX(0,EquityBudget-(ND$28))))</f>
        <v/>
      </c>
      <c r="NF27" s="218">
        <f>IF(FundingOrderPari=1,(1-DebtShare)*NF$26,MIN(NF$26,MAX(0,EquityBudget-(NE$28))))</f>
        <v/>
      </c>
      <c r="NG27" s="218">
        <f>IF(FundingOrderPari=1,(1-DebtShare)*NG$26,MIN(NG$26,MAX(0,EquityBudget-(NF$28))))</f>
        <v/>
      </c>
      <c r="NH27" s="218">
        <f>IF(FundingOrderPari=1,(1-DebtShare)*NH$26,MIN(NH$26,MAX(0,EquityBudget-(NG$28))))</f>
        <v/>
      </c>
      <c r="NI27" s="218">
        <f>IF(FundingOrderPari=1,(1-DebtShare)*NI$26,MIN(NI$26,MAX(0,EquityBudget-(NH$28))))</f>
        <v/>
      </c>
      <c r="NJ27" s="218">
        <f>IF(FundingOrderPari=1,(1-DebtShare)*NJ$26,MIN(NJ$26,MAX(0,EquityBudget-(NI$28))))</f>
        <v/>
      </c>
      <c r="NK27" s="218">
        <f>IF(FundingOrderPari=1,(1-DebtShare)*NK$26,MIN(NK$26,MAX(0,EquityBudget-(NJ$28))))</f>
        <v/>
      </c>
      <c r="NL27" s="218">
        <f>IF(FundingOrderPari=1,(1-DebtShare)*NL$26,MIN(NL$26,MAX(0,EquityBudget-(NK$28))))</f>
        <v/>
      </c>
    </row>
    <row r="28">
      <c r="B28" s="36" t="inlineStr">
        <is>
          <t>Cumulative Equity</t>
        </is>
      </c>
      <c r="D28" s="253" t="n"/>
      <c r="E28" s="218">
        <f>0+E$27</f>
        <v/>
      </c>
      <c r="F28" s="218">
        <f>E$28+F$27</f>
        <v/>
      </c>
      <c r="G28" s="218">
        <f>F$28+G$27</f>
        <v/>
      </c>
      <c r="H28" s="218">
        <f>G$28+H$27</f>
        <v/>
      </c>
      <c r="I28" s="218">
        <f>H$28+I$27</f>
        <v/>
      </c>
      <c r="J28" s="218">
        <f>I$28+J$27</f>
        <v/>
      </c>
      <c r="K28" s="218">
        <f>J$28+K$27</f>
        <v/>
      </c>
      <c r="L28" s="218">
        <f>K$28+L$27</f>
        <v/>
      </c>
      <c r="M28" s="218">
        <f>L$28+M$27</f>
        <v/>
      </c>
      <c r="N28" s="218">
        <f>M$28+N$27</f>
        <v/>
      </c>
      <c r="O28" s="218">
        <f>N$28+O$27</f>
        <v/>
      </c>
      <c r="P28" s="218">
        <f>O$28+P$27</f>
        <v/>
      </c>
      <c r="Q28" s="218">
        <f>P$28+Q$27</f>
        <v/>
      </c>
      <c r="R28" s="218">
        <f>Q$28+R$27</f>
        <v/>
      </c>
      <c r="S28" s="218">
        <f>R$28+S$27</f>
        <v/>
      </c>
      <c r="T28" s="218">
        <f>S$28+T$27</f>
        <v/>
      </c>
      <c r="U28" s="218">
        <f>T$28+U$27</f>
        <v/>
      </c>
      <c r="V28" s="218">
        <f>U$28+V$27</f>
        <v/>
      </c>
      <c r="W28" s="218">
        <f>V$28+W$27</f>
        <v/>
      </c>
      <c r="X28" s="218">
        <f>W$28+X$27</f>
        <v/>
      </c>
      <c r="Y28" s="218">
        <f>X$28+Y$27</f>
        <v/>
      </c>
      <c r="Z28" s="218">
        <f>Y$28+Z$27</f>
        <v/>
      </c>
      <c r="AA28" s="218">
        <f>Z$28+AA$27</f>
        <v/>
      </c>
      <c r="AB28" s="218">
        <f>AA$28+AB$27</f>
        <v/>
      </c>
      <c r="AC28" s="218">
        <f>AB$28+AC$27</f>
        <v/>
      </c>
      <c r="AD28" s="218">
        <f>AC$28+AD$27</f>
        <v/>
      </c>
      <c r="AE28" s="218">
        <f>AD$28+AE$27</f>
        <v/>
      </c>
      <c r="AF28" s="218">
        <f>AE$28+AF$27</f>
        <v/>
      </c>
      <c r="AG28" s="218">
        <f>AF$28+AG$27</f>
        <v/>
      </c>
      <c r="AH28" s="218">
        <f>AG$28+AH$27</f>
        <v/>
      </c>
      <c r="AI28" s="218">
        <f>AH$28+AI$27</f>
        <v/>
      </c>
      <c r="AJ28" s="218">
        <f>AI$28+AJ$27</f>
        <v/>
      </c>
      <c r="AK28" s="218">
        <f>AJ$28+AK$27</f>
        <v/>
      </c>
      <c r="AL28" s="218">
        <f>AK$28+AL$27</f>
        <v/>
      </c>
      <c r="AM28" s="218">
        <f>AL$28+AM$27</f>
        <v/>
      </c>
      <c r="AN28" s="218">
        <f>AM$28+AN$27</f>
        <v/>
      </c>
      <c r="AO28" s="218">
        <f>AN$28+AO$27</f>
        <v/>
      </c>
      <c r="AP28" s="218">
        <f>AO$28+AP$27</f>
        <v/>
      </c>
      <c r="AQ28" s="218">
        <f>AP$28+AQ$27</f>
        <v/>
      </c>
      <c r="AR28" s="218">
        <f>AQ$28+AR$27</f>
        <v/>
      </c>
      <c r="AS28" s="218">
        <f>AR$28+AS$27</f>
        <v/>
      </c>
      <c r="AT28" s="218">
        <f>AS$28+AT$27</f>
        <v/>
      </c>
      <c r="AU28" s="218">
        <f>AT$28+AU$27</f>
        <v/>
      </c>
      <c r="AV28" s="218">
        <f>AU$28+AV$27</f>
        <v/>
      </c>
      <c r="AW28" s="218">
        <f>AV$28+AW$27</f>
        <v/>
      </c>
      <c r="AX28" s="218">
        <f>AW$28+AX$27</f>
        <v/>
      </c>
      <c r="AY28" s="218">
        <f>AX$28+AY$27</f>
        <v/>
      </c>
      <c r="AZ28" s="218">
        <f>AY$28+AZ$27</f>
        <v/>
      </c>
      <c r="BA28" s="218">
        <f>AZ$28+BA$27</f>
        <v/>
      </c>
      <c r="BB28" s="218">
        <f>BA$28+BB$27</f>
        <v/>
      </c>
      <c r="BC28" s="218">
        <f>BB$28+BC$27</f>
        <v/>
      </c>
      <c r="BD28" s="218">
        <f>BC$28+BD$27</f>
        <v/>
      </c>
      <c r="BE28" s="218">
        <f>BD$28+BE$27</f>
        <v/>
      </c>
      <c r="BF28" s="218">
        <f>BE$28+BF$27</f>
        <v/>
      </c>
      <c r="BG28" s="218">
        <f>BF$28+BG$27</f>
        <v/>
      </c>
      <c r="BH28" s="218">
        <f>BG$28+BH$27</f>
        <v/>
      </c>
      <c r="BI28" s="218">
        <f>BH$28+BI$27</f>
        <v/>
      </c>
      <c r="BJ28" s="218">
        <f>BI$28+BJ$27</f>
        <v/>
      </c>
      <c r="BK28" s="218">
        <f>BJ$28+BK$27</f>
        <v/>
      </c>
      <c r="BL28" s="218">
        <f>BK$28+BL$27</f>
        <v/>
      </c>
      <c r="BM28" s="218">
        <f>BL$28+BM$27</f>
        <v/>
      </c>
      <c r="BN28" s="218">
        <f>BM$28+BN$27</f>
        <v/>
      </c>
      <c r="BO28" s="218">
        <f>BN$28+BO$27</f>
        <v/>
      </c>
      <c r="BP28" s="218">
        <f>BO$28+BP$27</f>
        <v/>
      </c>
      <c r="BQ28" s="218">
        <f>BP$28+BQ$27</f>
        <v/>
      </c>
      <c r="BR28" s="218">
        <f>BQ$28+BR$27</f>
        <v/>
      </c>
      <c r="BS28" s="218">
        <f>BR$28+BS$27</f>
        <v/>
      </c>
      <c r="BT28" s="218">
        <f>BS$28+BT$27</f>
        <v/>
      </c>
      <c r="BU28" s="218">
        <f>BT$28+BU$27</f>
        <v/>
      </c>
      <c r="BV28" s="218">
        <f>BU$28+BV$27</f>
        <v/>
      </c>
      <c r="BW28" s="218">
        <f>BV$28+BW$27</f>
        <v/>
      </c>
      <c r="BX28" s="218">
        <f>BW$28+BX$27</f>
        <v/>
      </c>
      <c r="BY28" s="218">
        <f>BX$28+BY$27</f>
        <v/>
      </c>
      <c r="BZ28" s="218">
        <f>BY$28+BZ$27</f>
        <v/>
      </c>
      <c r="CA28" s="218">
        <f>BZ$28+CA$27</f>
        <v/>
      </c>
      <c r="CB28" s="218">
        <f>CA$28+CB$27</f>
        <v/>
      </c>
      <c r="CC28" s="218">
        <f>CB$28+CC$27</f>
        <v/>
      </c>
      <c r="CD28" s="218">
        <f>CC$28+CD$27</f>
        <v/>
      </c>
      <c r="CE28" s="218">
        <f>CD$28+CE$27</f>
        <v/>
      </c>
      <c r="CF28" s="218">
        <f>CE$28+CF$27</f>
        <v/>
      </c>
      <c r="CG28" s="218">
        <f>CF$28+CG$27</f>
        <v/>
      </c>
      <c r="CH28" s="218">
        <f>CG$28+CH$27</f>
        <v/>
      </c>
      <c r="CI28" s="218">
        <f>CH$28+CI$27</f>
        <v/>
      </c>
      <c r="CJ28" s="218">
        <f>CI$28+CJ$27</f>
        <v/>
      </c>
      <c r="CK28" s="218">
        <f>CJ$28+CK$27</f>
        <v/>
      </c>
      <c r="CL28" s="218">
        <f>CK$28+CL$27</f>
        <v/>
      </c>
      <c r="CM28" s="218">
        <f>CL$28+CM$27</f>
        <v/>
      </c>
      <c r="CN28" s="218">
        <f>CM$28+CN$27</f>
        <v/>
      </c>
      <c r="CO28" s="218">
        <f>CN$28+CO$27</f>
        <v/>
      </c>
      <c r="CP28" s="218">
        <f>CO$28+CP$27</f>
        <v/>
      </c>
      <c r="CQ28" s="218">
        <f>CP$28+CQ$27</f>
        <v/>
      </c>
      <c r="CR28" s="218">
        <f>CQ$28+CR$27</f>
        <v/>
      </c>
      <c r="CS28" s="218">
        <f>CR$28+CS$27</f>
        <v/>
      </c>
      <c r="CT28" s="218">
        <f>CS$28+CT$27</f>
        <v/>
      </c>
      <c r="CU28" s="218">
        <f>CT$28+CU$27</f>
        <v/>
      </c>
      <c r="CV28" s="218">
        <f>CU$28+CV$27</f>
        <v/>
      </c>
      <c r="CW28" s="218">
        <f>CV$28+CW$27</f>
        <v/>
      </c>
      <c r="CX28" s="218">
        <f>CW$28+CX$27</f>
        <v/>
      </c>
      <c r="CY28" s="218">
        <f>CX$28+CY$27</f>
        <v/>
      </c>
      <c r="CZ28" s="218">
        <f>CY$28+CZ$27</f>
        <v/>
      </c>
      <c r="DA28" s="218">
        <f>CZ$28+DA$27</f>
        <v/>
      </c>
      <c r="DB28" s="218">
        <f>DA$28+DB$27</f>
        <v/>
      </c>
      <c r="DC28" s="218">
        <f>DB$28+DC$27</f>
        <v/>
      </c>
      <c r="DD28" s="218">
        <f>DC$28+DD$27</f>
        <v/>
      </c>
      <c r="DE28" s="218">
        <f>DD$28+DE$27</f>
        <v/>
      </c>
      <c r="DF28" s="218">
        <f>DE$28+DF$27</f>
        <v/>
      </c>
      <c r="DG28" s="218">
        <f>DF$28+DG$27</f>
        <v/>
      </c>
      <c r="DH28" s="218">
        <f>DG$28+DH$27</f>
        <v/>
      </c>
      <c r="DI28" s="218">
        <f>DH$28+DI$27</f>
        <v/>
      </c>
      <c r="DJ28" s="218">
        <f>DI$28+DJ$27</f>
        <v/>
      </c>
      <c r="DK28" s="218">
        <f>DJ$28+DK$27</f>
        <v/>
      </c>
      <c r="DL28" s="218">
        <f>DK$28+DL$27</f>
        <v/>
      </c>
      <c r="DM28" s="218">
        <f>DL$28+DM$27</f>
        <v/>
      </c>
      <c r="DN28" s="218">
        <f>DM$28+DN$27</f>
        <v/>
      </c>
      <c r="DO28" s="218">
        <f>DN$28+DO$27</f>
        <v/>
      </c>
      <c r="DP28" s="218">
        <f>DO$28+DP$27</f>
        <v/>
      </c>
      <c r="DQ28" s="218">
        <f>DP$28+DQ$27</f>
        <v/>
      </c>
      <c r="DR28" s="218">
        <f>DQ$28+DR$27</f>
        <v/>
      </c>
      <c r="DS28" s="218">
        <f>DR$28+DS$27</f>
        <v/>
      </c>
      <c r="DT28" s="218">
        <f>DS$28+DT$27</f>
        <v/>
      </c>
      <c r="DU28" s="218">
        <f>DT$28+DU$27</f>
        <v/>
      </c>
      <c r="DV28" s="218">
        <f>DU$28+DV$27</f>
        <v/>
      </c>
      <c r="DW28" s="218">
        <f>DV$28+DW$27</f>
        <v/>
      </c>
      <c r="DX28" s="218">
        <f>DW$28+DX$27</f>
        <v/>
      </c>
      <c r="DY28" s="218">
        <f>DX$28+DY$27</f>
        <v/>
      </c>
      <c r="DZ28" s="218">
        <f>DY$28+DZ$27</f>
        <v/>
      </c>
      <c r="EA28" s="218">
        <f>DZ$28+EA$27</f>
        <v/>
      </c>
      <c r="EB28" s="218">
        <f>EA$28+EB$27</f>
        <v/>
      </c>
      <c r="EC28" s="218">
        <f>EB$28+EC$27</f>
        <v/>
      </c>
      <c r="ED28" s="218">
        <f>EC$28+ED$27</f>
        <v/>
      </c>
      <c r="EE28" s="218">
        <f>ED$28+EE$27</f>
        <v/>
      </c>
      <c r="EF28" s="218">
        <f>EE$28+EF$27</f>
        <v/>
      </c>
      <c r="EG28" s="218">
        <f>EF$28+EG$27</f>
        <v/>
      </c>
      <c r="EH28" s="218">
        <f>EG$28+EH$27</f>
        <v/>
      </c>
      <c r="EI28" s="218">
        <f>EH$28+EI$27</f>
        <v/>
      </c>
      <c r="EJ28" s="218">
        <f>EI$28+EJ$27</f>
        <v/>
      </c>
      <c r="EK28" s="218">
        <f>EJ$28+EK$27</f>
        <v/>
      </c>
      <c r="EL28" s="218">
        <f>EK$28+EL$27</f>
        <v/>
      </c>
      <c r="EM28" s="218">
        <f>EL$28+EM$27</f>
        <v/>
      </c>
      <c r="EN28" s="218">
        <f>EM$28+EN$27</f>
        <v/>
      </c>
      <c r="EO28" s="218">
        <f>EN$28+EO$27</f>
        <v/>
      </c>
      <c r="EP28" s="218">
        <f>EO$28+EP$27</f>
        <v/>
      </c>
      <c r="EQ28" s="218">
        <f>EP$28+EQ$27</f>
        <v/>
      </c>
      <c r="ER28" s="218">
        <f>EQ$28+ER$27</f>
        <v/>
      </c>
      <c r="ES28" s="218">
        <f>ER$28+ES$27</f>
        <v/>
      </c>
      <c r="ET28" s="218">
        <f>ES$28+ET$27</f>
        <v/>
      </c>
      <c r="EU28" s="218">
        <f>ET$28+EU$27</f>
        <v/>
      </c>
      <c r="EV28" s="218">
        <f>EU$28+EV$27</f>
        <v/>
      </c>
      <c r="EW28" s="218">
        <f>EV$28+EW$27</f>
        <v/>
      </c>
      <c r="EX28" s="218">
        <f>EW$28+EX$27</f>
        <v/>
      </c>
      <c r="EY28" s="218">
        <f>EX$28+EY$27</f>
        <v/>
      </c>
      <c r="EZ28" s="218">
        <f>EY$28+EZ$27</f>
        <v/>
      </c>
      <c r="FA28" s="218">
        <f>EZ$28+FA$27</f>
        <v/>
      </c>
      <c r="FB28" s="218">
        <f>FA$28+FB$27</f>
        <v/>
      </c>
      <c r="FC28" s="218">
        <f>FB$28+FC$27</f>
        <v/>
      </c>
      <c r="FD28" s="218">
        <f>FC$28+FD$27</f>
        <v/>
      </c>
      <c r="FE28" s="218">
        <f>FD$28+FE$27</f>
        <v/>
      </c>
      <c r="FF28" s="218">
        <f>FE$28+FF$27</f>
        <v/>
      </c>
      <c r="FG28" s="218">
        <f>FF$28+FG$27</f>
        <v/>
      </c>
      <c r="FH28" s="218">
        <f>FG$28+FH$27</f>
        <v/>
      </c>
      <c r="FI28" s="218">
        <f>FH$28+FI$27</f>
        <v/>
      </c>
      <c r="FJ28" s="218">
        <f>FI$28+FJ$27</f>
        <v/>
      </c>
      <c r="FK28" s="218">
        <f>FJ$28+FK$27</f>
        <v/>
      </c>
      <c r="FL28" s="218">
        <f>FK$28+FL$27</f>
        <v/>
      </c>
      <c r="FM28" s="218">
        <f>FL$28+FM$27</f>
        <v/>
      </c>
      <c r="FN28" s="218">
        <f>FM$28+FN$27</f>
        <v/>
      </c>
      <c r="FO28" s="218">
        <f>FN$28+FO$27</f>
        <v/>
      </c>
      <c r="FP28" s="218">
        <f>FO$28+FP$27</f>
        <v/>
      </c>
      <c r="FQ28" s="218">
        <f>FP$28+FQ$27</f>
        <v/>
      </c>
      <c r="FR28" s="218">
        <f>FQ$28+FR$27</f>
        <v/>
      </c>
      <c r="FS28" s="218">
        <f>FR$28+FS$27</f>
        <v/>
      </c>
      <c r="FT28" s="218">
        <f>FS$28+FT$27</f>
        <v/>
      </c>
      <c r="FU28" s="218">
        <f>FT$28+FU$27</f>
        <v/>
      </c>
      <c r="FV28" s="218">
        <f>FU$28+FV$27</f>
        <v/>
      </c>
      <c r="FW28" s="218">
        <f>FV$28+FW$27</f>
        <v/>
      </c>
      <c r="FX28" s="218">
        <f>FW$28+FX$27</f>
        <v/>
      </c>
      <c r="FY28" s="218">
        <f>FX$28+FY$27</f>
        <v/>
      </c>
      <c r="FZ28" s="218">
        <f>FY$28+FZ$27</f>
        <v/>
      </c>
      <c r="GA28" s="218">
        <f>FZ$28+GA$27</f>
        <v/>
      </c>
      <c r="GB28" s="218">
        <f>GA$28+GB$27</f>
        <v/>
      </c>
      <c r="GC28" s="218">
        <f>GB$28+GC$27</f>
        <v/>
      </c>
      <c r="GD28" s="218">
        <f>GC$28+GD$27</f>
        <v/>
      </c>
      <c r="GE28" s="218">
        <f>GD$28+GE$27</f>
        <v/>
      </c>
      <c r="GF28" s="218">
        <f>GE$28+GF$27</f>
        <v/>
      </c>
      <c r="GG28" s="218">
        <f>GF$28+GG$27</f>
        <v/>
      </c>
      <c r="GH28" s="218">
        <f>GG$28+GH$27</f>
        <v/>
      </c>
      <c r="GI28" s="218">
        <f>GH$28+GI$27</f>
        <v/>
      </c>
      <c r="GJ28" s="218">
        <f>GI$28+GJ$27</f>
        <v/>
      </c>
      <c r="GK28" s="218">
        <f>GJ$28+GK$27</f>
        <v/>
      </c>
      <c r="GL28" s="218">
        <f>GK$28+GL$27</f>
        <v/>
      </c>
      <c r="GM28" s="218">
        <f>GL$28+GM$27</f>
        <v/>
      </c>
      <c r="GN28" s="218">
        <f>GM$28+GN$27</f>
        <v/>
      </c>
      <c r="GO28" s="218">
        <f>GN$28+GO$27</f>
        <v/>
      </c>
      <c r="GP28" s="218">
        <f>GO$28+GP$27</f>
        <v/>
      </c>
      <c r="GQ28" s="218">
        <f>GP$28+GQ$27</f>
        <v/>
      </c>
      <c r="GR28" s="218">
        <f>GQ$28+GR$27</f>
        <v/>
      </c>
      <c r="GS28" s="218">
        <f>GR$28+GS$27</f>
        <v/>
      </c>
      <c r="GT28" s="218">
        <f>GS$28+GT$27</f>
        <v/>
      </c>
      <c r="GU28" s="218">
        <f>GT$28+GU$27</f>
        <v/>
      </c>
      <c r="GV28" s="218">
        <f>GU$28+GV$27</f>
        <v/>
      </c>
      <c r="GW28" s="218">
        <f>GV$28+GW$27</f>
        <v/>
      </c>
      <c r="GX28" s="218">
        <f>GW$28+GX$27</f>
        <v/>
      </c>
      <c r="GY28" s="218">
        <f>GX$28+GY$27</f>
        <v/>
      </c>
      <c r="GZ28" s="218">
        <f>GY$28+GZ$27</f>
        <v/>
      </c>
      <c r="HA28" s="218">
        <f>GZ$28+HA$27</f>
        <v/>
      </c>
      <c r="HB28" s="218">
        <f>HA$28+HB$27</f>
        <v/>
      </c>
      <c r="HC28" s="218">
        <f>HB$28+HC$27</f>
        <v/>
      </c>
      <c r="HD28" s="218">
        <f>HC$28+HD$27</f>
        <v/>
      </c>
      <c r="HE28" s="218">
        <f>HD$28+HE$27</f>
        <v/>
      </c>
      <c r="HF28" s="218">
        <f>HE$28+HF$27</f>
        <v/>
      </c>
      <c r="HG28" s="218">
        <f>HF$28+HG$27</f>
        <v/>
      </c>
      <c r="HH28" s="218">
        <f>HG$28+HH$27</f>
        <v/>
      </c>
      <c r="HI28" s="218">
        <f>HH$28+HI$27</f>
        <v/>
      </c>
      <c r="HJ28" s="218">
        <f>HI$28+HJ$27</f>
        <v/>
      </c>
      <c r="HK28" s="218">
        <f>HJ$28+HK$27</f>
        <v/>
      </c>
      <c r="HL28" s="218">
        <f>HK$28+HL$27</f>
        <v/>
      </c>
      <c r="HM28" s="218">
        <f>HL$28+HM$27</f>
        <v/>
      </c>
      <c r="HN28" s="218">
        <f>HM$28+HN$27</f>
        <v/>
      </c>
      <c r="HO28" s="218">
        <f>HN$28+HO$27</f>
        <v/>
      </c>
      <c r="HP28" s="218">
        <f>HO$28+HP$27</f>
        <v/>
      </c>
      <c r="HQ28" s="218">
        <f>HP$28+HQ$27</f>
        <v/>
      </c>
      <c r="HR28" s="218">
        <f>HQ$28+HR$27</f>
        <v/>
      </c>
      <c r="HS28" s="218">
        <f>HR$28+HS$27</f>
        <v/>
      </c>
      <c r="HT28" s="218">
        <f>HS$28+HT$27</f>
        <v/>
      </c>
      <c r="HU28" s="218">
        <f>HT$28+HU$27</f>
        <v/>
      </c>
      <c r="HV28" s="218">
        <f>HU$28+HV$27</f>
        <v/>
      </c>
      <c r="HW28" s="218">
        <f>HV$28+HW$27</f>
        <v/>
      </c>
      <c r="HX28" s="218">
        <f>HW$28+HX$27</f>
        <v/>
      </c>
      <c r="HY28" s="218">
        <f>HX$28+HY$27</f>
        <v/>
      </c>
      <c r="HZ28" s="218">
        <f>HY$28+HZ$27</f>
        <v/>
      </c>
      <c r="IA28" s="218">
        <f>HZ$28+IA$27</f>
        <v/>
      </c>
      <c r="IB28" s="218">
        <f>IA$28+IB$27</f>
        <v/>
      </c>
      <c r="IC28" s="218">
        <f>IB$28+IC$27</f>
        <v/>
      </c>
      <c r="ID28" s="218">
        <f>IC$28+ID$27</f>
        <v/>
      </c>
      <c r="IE28" s="218">
        <f>ID$28+IE$27</f>
        <v/>
      </c>
      <c r="IF28" s="218">
        <f>IE$28+IF$27</f>
        <v/>
      </c>
      <c r="IG28" s="218">
        <f>IF$28+IG$27</f>
        <v/>
      </c>
      <c r="IH28" s="218">
        <f>IG$28+IH$27</f>
        <v/>
      </c>
      <c r="II28" s="218">
        <f>IH$28+II$27</f>
        <v/>
      </c>
      <c r="IJ28" s="218">
        <f>II$28+IJ$27</f>
        <v/>
      </c>
      <c r="IK28" s="218">
        <f>IJ$28+IK$27</f>
        <v/>
      </c>
      <c r="IL28" s="218">
        <f>IK$28+IL$27</f>
        <v/>
      </c>
      <c r="IM28" s="218">
        <f>IL$28+IM$27</f>
        <v/>
      </c>
      <c r="IN28" s="218">
        <f>IM$28+IN$27</f>
        <v/>
      </c>
      <c r="IO28" s="218">
        <f>IN$28+IO$27</f>
        <v/>
      </c>
      <c r="IP28" s="218">
        <f>IO$28+IP$27</f>
        <v/>
      </c>
      <c r="IQ28" s="218">
        <f>IP$28+IQ$27</f>
        <v/>
      </c>
      <c r="IR28" s="218">
        <f>IQ$28+IR$27</f>
        <v/>
      </c>
      <c r="IS28" s="218">
        <f>IR$28+IS$27</f>
        <v/>
      </c>
      <c r="IT28" s="218">
        <f>IS$28+IT$27</f>
        <v/>
      </c>
      <c r="IU28" s="218">
        <f>IT$28+IU$27</f>
        <v/>
      </c>
      <c r="IV28" s="218">
        <f>IU$28+IV$27</f>
        <v/>
      </c>
      <c r="IW28" s="218">
        <f>IV$28+IW$27</f>
        <v/>
      </c>
      <c r="IX28" s="218">
        <f>IW$28+IX$27</f>
        <v/>
      </c>
      <c r="IY28" s="218">
        <f>IX$28+IY$27</f>
        <v/>
      </c>
      <c r="IZ28" s="218">
        <f>IY$28+IZ$27</f>
        <v/>
      </c>
      <c r="JA28" s="218">
        <f>IZ$28+JA$27</f>
        <v/>
      </c>
      <c r="JB28" s="218">
        <f>JA$28+JB$27</f>
        <v/>
      </c>
      <c r="JC28" s="218">
        <f>JB$28+JC$27</f>
        <v/>
      </c>
      <c r="JD28" s="218">
        <f>JC$28+JD$27</f>
        <v/>
      </c>
      <c r="JE28" s="218">
        <f>JD$28+JE$27</f>
        <v/>
      </c>
      <c r="JF28" s="218">
        <f>JE$28+JF$27</f>
        <v/>
      </c>
      <c r="JG28" s="218">
        <f>JF$28+JG$27</f>
        <v/>
      </c>
      <c r="JH28" s="218">
        <f>JG$28+JH$27</f>
        <v/>
      </c>
      <c r="JI28" s="218">
        <f>JH$28+JI$27</f>
        <v/>
      </c>
      <c r="JJ28" s="218">
        <f>JI$28+JJ$27</f>
        <v/>
      </c>
      <c r="JK28" s="218">
        <f>JJ$28+JK$27</f>
        <v/>
      </c>
      <c r="JL28" s="218">
        <f>JK$28+JL$27</f>
        <v/>
      </c>
      <c r="JM28" s="218">
        <f>JL$28+JM$27</f>
        <v/>
      </c>
      <c r="JN28" s="218">
        <f>JM$28+JN$27</f>
        <v/>
      </c>
      <c r="JO28" s="218">
        <f>JN$28+JO$27</f>
        <v/>
      </c>
      <c r="JP28" s="218">
        <f>JO$28+JP$27</f>
        <v/>
      </c>
      <c r="JQ28" s="218">
        <f>JP$28+JQ$27</f>
        <v/>
      </c>
      <c r="JR28" s="218">
        <f>JQ$28+JR$27</f>
        <v/>
      </c>
      <c r="JS28" s="218">
        <f>JR$28+JS$27</f>
        <v/>
      </c>
      <c r="JT28" s="218">
        <f>JS$28+JT$27</f>
        <v/>
      </c>
      <c r="JU28" s="218">
        <f>JT$28+JU$27</f>
        <v/>
      </c>
      <c r="JV28" s="218">
        <f>JU$28+JV$27</f>
        <v/>
      </c>
      <c r="JW28" s="218">
        <f>JV$28+JW$27</f>
        <v/>
      </c>
      <c r="JX28" s="218">
        <f>JW$28+JX$27</f>
        <v/>
      </c>
      <c r="JY28" s="218">
        <f>JX$28+JY$27</f>
        <v/>
      </c>
      <c r="JZ28" s="218">
        <f>JY$28+JZ$27</f>
        <v/>
      </c>
      <c r="KA28" s="218">
        <f>JZ$28+KA$27</f>
        <v/>
      </c>
      <c r="KB28" s="218">
        <f>KA$28+KB$27</f>
        <v/>
      </c>
      <c r="KC28" s="218">
        <f>KB$28+KC$27</f>
        <v/>
      </c>
      <c r="KD28" s="218">
        <f>KC$28+KD$27</f>
        <v/>
      </c>
      <c r="KE28" s="218">
        <f>KD$28+KE$27</f>
        <v/>
      </c>
      <c r="KF28" s="218">
        <f>KE$28+KF$27</f>
        <v/>
      </c>
      <c r="KG28" s="218">
        <f>KF$28+KG$27</f>
        <v/>
      </c>
      <c r="KH28" s="218">
        <f>KG$28+KH$27</f>
        <v/>
      </c>
      <c r="KI28" s="218">
        <f>KH$28+KI$27</f>
        <v/>
      </c>
      <c r="KJ28" s="218">
        <f>KI$28+KJ$27</f>
        <v/>
      </c>
      <c r="KK28" s="218">
        <f>KJ$28+KK$27</f>
        <v/>
      </c>
      <c r="KL28" s="218">
        <f>KK$28+KL$27</f>
        <v/>
      </c>
      <c r="KM28" s="218">
        <f>KL$28+KM$27</f>
        <v/>
      </c>
      <c r="KN28" s="218">
        <f>KM$28+KN$27</f>
        <v/>
      </c>
      <c r="KO28" s="218">
        <f>KN$28+KO$27</f>
        <v/>
      </c>
      <c r="KP28" s="218">
        <f>KO$28+KP$27</f>
        <v/>
      </c>
      <c r="KQ28" s="218">
        <f>KP$28+KQ$27</f>
        <v/>
      </c>
      <c r="KR28" s="218">
        <f>KQ$28+KR$27</f>
        <v/>
      </c>
      <c r="KS28" s="218">
        <f>KR$28+KS$27</f>
        <v/>
      </c>
      <c r="KT28" s="218">
        <f>KS$28+KT$27</f>
        <v/>
      </c>
      <c r="KU28" s="218">
        <f>KT$28+KU$27</f>
        <v/>
      </c>
      <c r="KV28" s="218">
        <f>KU$28+KV$27</f>
        <v/>
      </c>
      <c r="KW28" s="218">
        <f>KV$28+KW$27</f>
        <v/>
      </c>
      <c r="KX28" s="218">
        <f>KW$28+KX$27</f>
        <v/>
      </c>
      <c r="KY28" s="218">
        <f>KX$28+KY$27</f>
        <v/>
      </c>
      <c r="KZ28" s="218">
        <f>KY$28+KZ$27</f>
        <v/>
      </c>
      <c r="LA28" s="218">
        <f>KZ$28+LA$27</f>
        <v/>
      </c>
      <c r="LB28" s="218">
        <f>LA$28+LB$27</f>
        <v/>
      </c>
      <c r="LC28" s="218">
        <f>LB$28+LC$27</f>
        <v/>
      </c>
      <c r="LD28" s="218">
        <f>LC$28+LD$27</f>
        <v/>
      </c>
      <c r="LE28" s="218">
        <f>LD$28+LE$27</f>
        <v/>
      </c>
      <c r="LF28" s="218">
        <f>LE$28+LF$27</f>
        <v/>
      </c>
      <c r="LG28" s="218">
        <f>LF$28+LG$27</f>
        <v/>
      </c>
      <c r="LH28" s="218">
        <f>LG$28+LH$27</f>
        <v/>
      </c>
      <c r="LI28" s="218">
        <f>LH$28+LI$27</f>
        <v/>
      </c>
      <c r="LJ28" s="218">
        <f>LI$28+LJ$27</f>
        <v/>
      </c>
      <c r="LK28" s="218">
        <f>LJ$28+LK$27</f>
        <v/>
      </c>
      <c r="LL28" s="218">
        <f>LK$28+LL$27</f>
        <v/>
      </c>
      <c r="LM28" s="218">
        <f>LL$28+LM$27</f>
        <v/>
      </c>
      <c r="LN28" s="218">
        <f>LM$28+LN$27</f>
        <v/>
      </c>
      <c r="LO28" s="218">
        <f>LN$28+LO$27</f>
        <v/>
      </c>
      <c r="LP28" s="218">
        <f>LO$28+LP$27</f>
        <v/>
      </c>
      <c r="LQ28" s="218">
        <f>LP$28+LQ$27</f>
        <v/>
      </c>
      <c r="LR28" s="218">
        <f>LQ$28+LR$27</f>
        <v/>
      </c>
      <c r="LS28" s="218">
        <f>LR$28+LS$27</f>
        <v/>
      </c>
      <c r="LT28" s="218">
        <f>LS$28+LT$27</f>
        <v/>
      </c>
      <c r="LU28" s="218">
        <f>LT$28+LU$27</f>
        <v/>
      </c>
      <c r="LV28" s="218">
        <f>LU$28+LV$27</f>
        <v/>
      </c>
      <c r="LW28" s="218">
        <f>LV$28+LW$27</f>
        <v/>
      </c>
      <c r="LX28" s="218">
        <f>LW$28+LX$27</f>
        <v/>
      </c>
      <c r="LY28" s="218">
        <f>LX$28+LY$27</f>
        <v/>
      </c>
      <c r="LZ28" s="218">
        <f>LY$28+LZ$27</f>
        <v/>
      </c>
      <c r="MA28" s="218">
        <f>LZ$28+MA$27</f>
        <v/>
      </c>
      <c r="MB28" s="218">
        <f>MA$28+MB$27</f>
        <v/>
      </c>
      <c r="MC28" s="218">
        <f>MB$28+MC$27</f>
        <v/>
      </c>
      <c r="MD28" s="218">
        <f>MC$28+MD$27</f>
        <v/>
      </c>
      <c r="ME28" s="218">
        <f>MD$28+ME$27</f>
        <v/>
      </c>
      <c r="MF28" s="218">
        <f>ME$28+MF$27</f>
        <v/>
      </c>
      <c r="MG28" s="218">
        <f>MF$28+MG$27</f>
        <v/>
      </c>
      <c r="MH28" s="218">
        <f>MG$28+MH$27</f>
        <v/>
      </c>
      <c r="MI28" s="218">
        <f>MH$28+MI$27</f>
        <v/>
      </c>
      <c r="MJ28" s="218">
        <f>MI$28+MJ$27</f>
        <v/>
      </c>
      <c r="MK28" s="218">
        <f>MJ$28+MK$27</f>
        <v/>
      </c>
      <c r="ML28" s="218">
        <f>MK$28+ML$27</f>
        <v/>
      </c>
      <c r="MM28" s="218">
        <f>ML$28+MM$27</f>
        <v/>
      </c>
      <c r="MN28" s="218">
        <f>MM$28+MN$27</f>
        <v/>
      </c>
      <c r="MO28" s="218">
        <f>MN$28+MO$27</f>
        <v/>
      </c>
      <c r="MP28" s="218">
        <f>MO$28+MP$27</f>
        <v/>
      </c>
      <c r="MQ28" s="218">
        <f>MP$28+MQ$27</f>
        <v/>
      </c>
      <c r="MR28" s="218">
        <f>MQ$28+MR$27</f>
        <v/>
      </c>
      <c r="MS28" s="218">
        <f>MR$28+MS$27</f>
        <v/>
      </c>
      <c r="MT28" s="218">
        <f>MS$28+MT$27</f>
        <v/>
      </c>
      <c r="MU28" s="218">
        <f>MT$28+MU$27</f>
        <v/>
      </c>
      <c r="MV28" s="218">
        <f>MU$28+MV$27</f>
        <v/>
      </c>
      <c r="MW28" s="218">
        <f>MV$28+MW$27</f>
        <v/>
      </c>
      <c r="MX28" s="218">
        <f>MW$28+MX$27</f>
        <v/>
      </c>
      <c r="MY28" s="218">
        <f>MX$28+MY$27</f>
        <v/>
      </c>
      <c r="MZ28" s="218">
        <f>MY$28+MZ$27</f>
        <v/>
      </c>
      <c r="NA28" s="218">
        <f>MZ$28+NA$27</f>
        <v/>
      </c>
      <c r="NB28" s="218">
        <f>NA$28+NB$27</f>
        <v/>
      </c>
      <c r="NC28" s="218">
        <f>NB$28+NC$27</f>
        <v/>
      </c>
      <c r="ND28" s="218">
        <f>NC$28+ND$27</f>
        <v/>
      </c>
      <c r="NE28" s="218">
        <f>ND$28+NE$27</f>
        <v/>
      </c>
      <c r="NF28" s="218">
        <f>NE$28+NF$27</f>
        <v/>
      </c>
      <c r="NG28" s="218">
        <f>NF$28+NG$27</f>
        <v/>
      </c>
      <c r="NH28" s="218">
        <f>NG$28+NH$27</f>
        <v/>
      </c>
      <c r="NI28" s="218">
        <f>NH$28+NI$27</f>
        <v/>
      </c>
      <c r="NJ28" s="218">
        <f>NI$28+NJ$27</f>
        <v/>
      </c>
      <c r="NK28" s="218">
        <f>NJ$28+NK$27</f>
        <v/>
      </c>
      <c r="NL28" s="218">
        <f>NK$28+NL$27</f>
        <v/>
      </c>
    </row>
    <row r="29">
      <c r="B29" s="36" t="inlineStr">
        <is>
          <t>Debt Draw</t>
        </is>
      </c>
      <c r="D29" s="258">
        <f>SUM(E29:NL29)</f>
        <v/>
      </c>
      <c r="E29" s="218">
        <f>E$26-E$27</f>
        <v/>
      </c>
      <c r="F29" s="218">
        <f>F$26-F$27</f>
        <v/>
      </c>
      <c r="G29" s="218">
        <f>G$26-G$27</f>
        <v/>
      </c>
      <c r="H29" s="218">
        <f>H$26-H$27</f>
        <v/>
      </c>
      <c r="I29" s="218">
        <f>I$26-I$27</f>
        <v/>
      </c>
      <c r="J29" s="218">
        <f>J$26-J$27</f>
        <v/>
      </c>
      <c r="K29" s="218">
        <f>K$26-K$27</f>
        <v/>
      </c>
      <c r="L29" s="218">
        <f>L$26-L$27</f>
        <v/>
      </c>
      <c r="M29" s="218">
        <f>M$26-M$27</f>
        <v/>
      </c>
      <c r="N29" s="218">
        <f>N$26-N$27</f>
        <v/>
      </c>
      <c r="O29" s="218">
        <f>O$26-O$27</f>
        <v/>
      </c>
      <c r="P29" s="218">
        <f>P$26-P$27</f>
        <v/>
      </c>
      <c r="Q29" s="218">
        <f>Q$26-Q$27</f>
        <v/>
      </c>
      <c r="R29" s="218">
        <f>R$26-R$27</f>
        <v/>
      </c>
      <c r="S29" s="218">
        <f>S$26-S$27</f>
        <v/>
      </c>
      <c r="T29" s="218">
        <f>T$26-T$27</f>
        <v/>
      </c>
      <c r="U29" s="218">
        <f>U$26-U$27</f>
        <v/>
      </c>
      <c r="V29" s="218">
        <f>V$26-V$27</f>
        <v/>
      </c>
      <c r="W29" s="218">
        <f>W$26-W$27</f>
        <v/>
      </c>
      <c r="X29" s="218">
        <f>X$26-X$27</f>
        <v/>
      </c>
      <c r="Y29" s="218">
        <f>Y$26-Y$27</f>
        <v/>
      </c>
      <c r="Z29" s="218">
        <f>Z$26-Z$27</f>
        <v/>
      </c>
      <c r="AA29" s="218">
        <f>AA$26-AA$27</f>
        <v/>
      </c>
      <c r="AB29" s="218">
        <f>AB$26-AB$27</f>
        <v/>
      </c>
      <c r="AC29" s="218">
        <f>AC$26-AC$27</f>
        <v/>
      </c>
      <c r="AD29" s="218">
        <f>AD$26-AD$27</f>
        <v/>
      </c>
      <c r="AE29" s="218">
        <f>AE$26-AE$27</f>
        <v/>
      </c>
      <c r="AF29" s="218">
        <f>AF$26-AF$27</f>
        <v/>
      </c>
      <c r="AG29" s="218">
        <f>AG$26-AG$27</f>
        <v/>
      </c>
      <c r="AH29" s="218">
        <f>AH$26-AH$27</f>
        <v/>
      </c>
      <c r="AI29" s="218">
        <f>AI$26-AI$27</f>
        <v/>
      </c>
      <c r="AJ29" s="218">
        <f>AJ$26-AJ$27</f>
        <v/>
      </c>
      <c r="AK29" s="218">
        <f>AK$26-AK$27</f>
        <v/>
      </c>
      <c r="AL29" s="218">
        <f>AL$26-AL$27</f>
        <v/>
      </c>
      <c r="AM29" s="218">
        <f>AM$26-AM$27</f>
        <v/>
      </c>
      <c r="AN29" s="218">
        <f>AN$26-AN$27</f>
        <v/>
      </c>
      <c r="AO29" s="218">
        <f>AO$26-AO$27</f>
        <v/>
      </c>
      <c r="AP29" s="218">
        <f>AP$26-AP$27</f>
        <v/>
      </c>
      <c r="AQ29" s="218">
        <f>AQ$26-AQ$27</f>
        <v/>
      </c>
      <c r="AR29" s="218">
        <f>AR$26-AR$27</f>
        <v/>
      </c>
      <c r="AS29" s="218">
        <f>AS$26-AS$27</f>
        <v/>
      </c>
      <c r="AT29" s="218">
        <f>AT$26-AT$27</f>
        <v/>
      </c>
      <c r="AU29" s="218">
        <f>AU$26-AU$27</f>
        <v/>
      </c>
      <c r="AV29" s="218">
        <f>AV$26-AV$27</f>
        <v/>
      </c>
      <c r="AW29" s="218">
        <f>AW$26-AW$27</f>
        <v/>
      </c>
      <c r="AX29" s="218">
        <f>AX$26-AX$27</f>
        <v/>
      </c>
      <c r="AY29" s="218">
        <f>AY$26-AY$27</f>
        <v/>
      </c>
      <c r="AZ29" s="218">
        <f>AZ$26-AZ$27</f>
        <v/>
      </c>
      <c r="BA29" s="218">
        <f>BA$26-BA$27</f>
        <v/>
      </c>
      <c r="BB29" s="218">
        <f>BB$26-BB$27</f>
        <v/>
      </c>
      <c r="BC29" s="218">
        <f>BC$26-BC$27</f>
        <v/>
      </c>
      <c r="BD29" s="218">
        <f>BD$26-BD$27</f>
        <v/>
      </c>
      <c r="BE29" s="218">
        <f>BE$26-BE$27</f>
        <v/>
      </c>
      <c r="BF29" s="218">
        <f>BF$26-BF$27</f>
        <v/>
      </c>
      <c r="BG29" s="218">
        <f>BG$26-BG$27</f>
        <v/>
      </c>
      <c r="BH29" s="218">
        <f>BH$26-BH$27</f>
        <v/>
      </c>
      <c r="BI29" s="218">
        <f>BI$26-BI$27</f>
        <v/>
      </c>
      <c r="BJ29" s="218">
        <f>BJ$26-BJ$27</f>
        <v/>
      </c>
      <c r="BK29" s="218">
        <f>BK$26-BK$27</f>
        <v/>
      </c>
      <c r="BL29" s="218">
        <f>BL$26-BL$27</f>
        <v/>
      </c>
      <c r="BM29" s="218">
        <f>BM$26-BM$27</f>
        <v/>
      </c>
      <c r="BN29" s="218">
        <f>BN$26-BN$27</f>
        <v/>
      </c>
      <c r="BO29" s="218">
        <f>BO$26-BO$27</f>
        <v/>
      </c>
      <c r="BP29" s="218">
        <f>BP$26-BP$27</f>
        <v/>
      </c>
      <c r="BQ29" s="218">
        <f>BQ$26-BQ$27</f>
        <v/>
      </c>
      <c r="BR29" s="218">
        <f>BR$26-BR$27</f>
        <v/>
      </c>
      <c r="BS29" s="218">
        <f>BS$26-BS$27</f>
        <v/>
      </c>
      <c r="BT29" s="218">
        <f>BT$26-BT$27</f>
        <v/>
      </c>
      <c r="BU29" s="218">
        <f>BU$26-BU$27</f>
        <v/>
      </c>
      <c r="BV29" s="218">
        <f>BV$26-BV$27</f>
        <v/>
      </c>
      <c r="BW29" s="218">
        <f>BW$26-BW$27</f>
        <v/>
      </c>
      <c r="BX29" s="218">
        <f>BX$26-BX$27</f>
        <v/>
      </c>
      <c r="BY29" s="218">
        <f>BY$26-BY$27</f>
        <v/>
      </c>
      <c r="BZ29" s="218">
        <f>BZ$26-BZ$27</f>
        <v/>
      </c>
      <c r="CA29" s="218">
        <f>CA$26-CA$27</f>
        <v/>
      </c>
      <c r="CB29" s="218">
        <f>CB$26-CB$27</f>
        <v/>
      </c>
      <c r="CC29" s="218">
        <f>CC$26-CC$27</f>
        <v/>
      </c>
      <c r="CD29" s="218">
        <f>CD$26-CD$27</f>
        <v/>
      </c>
      <c r="CE29" s="218">
        <f>CE$26-CE$27</f>
        <v/>
      </c>
      <c r="CF29" s="218">
        <f>CF$26-CF$27</f>
        <v/>
      </c>
      <c r="CG29" s="218">
        <f>CG$26-CG$27</f>
        <v/>
      </c>
      <c r="CH29" s="218">
        <f>CH$26-CH$27</f>
        <v/>
      </c>
      <c r="CI29" s="218">
        <f>CI$26-CI$27</f>
        <v/>
      </c>
      <c r="CJ29" s="218">
        <f>CJ$26-CJ$27</f>
        <v/>
      </c>
      <c r="CK29" s="218">
        <f>CK$26-CK$27</f>
        <v/>
      </c>
      <c r="CL29" s="218">
        <f>CL$26-CL$27</f>
        <v/>
      </c>
      <c r="CM29" s="218">
        <f>CM$26-CM$27</f>
        <v/>
      </c>
      <c r="CN29" s="218">
        <f>CN$26-CN$27</f>
        <v/>
      </c>
      <c r="CO29" s="218">
        <f>CO$26-CO$27</f>
        <v/>
      </c>
      <c r="CP29" s="218">
        <f>CP$26-CP$27</f>
        <v/>
      </c>
      <c r="CQ29" s="218">
        <f>CQ$26-CQ$27</f>
        <v/>
      </c>
      <c r="CR29" s="218">
        <f>CR$26-CR$27</f>
        <v/>
      </c>
      <c r="CS29" s="218">
        <f>CS$26-CS$27</f>
        <v/>
      </c>
      <c r="CT29" s="218">
        <f>CT$26-CT$27</f>
        <v/>
      </c>
      <c r="CU29" s="218">
        <f>CU$26-CU$27</f>
        <v/>
      </c>
      <c r="CV29" s="218">
        <f>CV$26-CV$27</f>
        <v/>
      </c>
      <c r="CW29" s="218">
        <f>CW$26-CW$27</f>
        <v/>
      </c>
      <c r="CX29" s="218">
        <f>CX$26-CX$27</f>
        <v/>
      </c>
      <c r="CY29" s="218">
        <f>CY$26-CY$27</f>
        <v/>
      </c>
      <c r="CZ29" s="218">
        <f>CZ$26-CZ$27</f>
        <v/>
      </c>
      <c r="DA29" s="218">
        <f>DA$26-DA$27</f>
        <v/>
      </c>
      <c r="DB29" s="218">
        <f>DB$26-DB$27</f>
        <v/>
      </c>
      <c r="DC29" s="218">
        <f>DC$26-DC$27</f>
        <v/>
      </c>
      <c r="DD29" s="218">
        <f>DD$26-DD$27</f>
        <v/>
      </c>
      <c r="DE29" s="218">
        <f>DE$26-DE$27</f>
        <v/>
      </c>
      <c r="DF29" s="218">
        <f>DF$26-DF$27</f>
        <v/>
      </c>
      <c r="DG29" s="218">
        <f>DG$26-DG$27</f>
        <v/>
      </c>
      <c r="DH29" s="218">
        <f>DH$26-DH$27</f>
        <v/>
      </c>
      <c r="DI29" s="218">
        <f>DI$26-DI$27</f>
        <v/>
      </c>
      <c r="DJ29" s="218">
        <f>DJ$26-DJ$27</f>
        <v/>
      </c>
      <c r="DK29" s="218">
        <f>DK$26-DK$27</f>
        <v/>
      </c>
      <c r="DL29" s="218">
        <f>DL$26-DL$27</f>
        <v/>
      </c>
      <c r="DM29" s="218">
        <f>DM$26-DM$27</f>
        <v/>
      </c>
      <c r="DN29" s="218">
        <f>DN$26-DN$27</f>
        <v/>
      </c>
      <c r="DO29" s="218">
        <f>DO$26-DO$27</f>
        <v/>
      </c>
      <c r="DP29" s="218">
        <f>DP$26-DP$27</f>
        <v/>
      </c>
      <c r="DQ29" s="218">
        <f>DQ$26-DQ$27</f>
        <v/>
      </c>
      <c r="DR29" s="218">
        <f>DR$26-DR$27</f>
        <v/>
      </c>
      <c r="DS29" s="218">
        <f>DS$26-DS$27</f>
        <v/>
      </c>
      <c r="DT29" s="218">
        <f>DT$26-DT$27</f>
        <v/>
      </c>
      <c r="DU29" s="218">
        <f>DU$26-DU$27</f>
        <v/>
      </c>
      <c r="DV29" s="218">
        <f>DV$26-DV$27</f>
        <v/>
      </c>
      <c r="DW29" s="218">
        <f>DW$26-DW$27</f>
        <v/>
      </c>
      <c r="DX29" s="218">
        <f>DX$26-DX$27</f>
        <v/>
      </c>
      <c r="DY29" s="218">
        <f>DY$26-DY$27</f>
        <v/>
      </c>
      <c r="DZ29" s="218">
        <f>DZ$26-DZ$27</f>
        <v/>
      </c>
      <c r="EA29" s="218">
        <f>EA$26-EA$27</f>
        <v/>
      </c>
      <c r="EB29" s="218">
        <f>EB$26-EB$27</f>
        <v/>
      </c>
      <c r="EC29" s="218">
        <f>EC$26-EC$27</f>
        <v/>
      </c>
      <c r="ED29" s="218">
        <f>ED$26-ED$27</f>
        <v/>
      </c>
      <c r="EE29" s="218">
        <f>EE$26-EE$27</f>
        <v/>
      </c>
      <c r="EF29" s="218">
        <f>EF$26-EF$27</f>
        <v/>
      </c>
      <c r="EG29" s="218">
        <f>EG$26-EG$27</f>
        <v/>
      </c>
      <c r="EH29" s="218">
        <f>EH$26-EH$27</f>
        <v/>
      </c>
      <c r="EI29" s="218">
        <f>EI$26-EI$27</f>
        <v/>
      </c>
      <c r="EJ29" s="218">
        <f>EJ$26-EJ$27</f>
        <v/>
      </c>
      <c r="EK29" s="218">
        <f>EK$26-EK$27</f>
        <v/>
      </c>
      <c r="EL29" s="218">
        <f>EL$26-EL$27</f>
        <v/>
      </c>
      <c r="EM29" s="218">
        <f>EM$26-EM$27</f>
        <v/>
      </c>
      <c r="EN29" s="218">
        <f>EN$26-EN$27</f>
        <v/>
      </c>
      <c r="EO29" s="218">
        <f>EO$26-EO$27</f>
        <v/>
      </c>
      <c r="EP29" s="218">
        <f>EP$26-EP$27</f>
        <v/>
      </c>
      <c r="EQ29" s="218">
        <f>EQ$26-EQ$27</f>
        <v/>
      </c>
      <c r="ER29" s="218">
        <f>ER$26-ER$27</f>
        <v/>
      </c>
      <c r="ES29" s="218">
        <f>ES$26-ES$27</f>
        <v/>
      </c>
      <c r="ET29" s="218">
        <f>ET$26-ET$27</f>
        <v/>
      </c>
      <c r="EU29" s="218">
        <f>EU$26-EU$27</f>
        <v/>
      </c>
      <c r="EV29" s="218">
        <f>EV$26-EV$27</f>
        <v/>
      </c>
      <c r="EW29" s="218">
        <f>EW$26-EW$27</f>
        <v/>
      </c>
      <c r="EX29" s="218">
        <f>EX$26-EX$27</f>
        <v/>
      </c>
      <c r="EY29" s="218">
        <f>EY$26-EY$27</f>
        <v/>
      </c>
      <c r="EZ29" s="218">
        <f>EZ$26-EZ$27</f>
        <v/>
      </c>
      <c r="FA29" s="218">
        <f>FA$26-FA$27</f>
        <v/>
      </c>
      <c r="FB29" s="218">
        <f>FB$26-FB$27</f>
        <v/>
      </c>
      <c r="FC29" s="218">
        <f>FC$26-FC$27</f>
        <v/>
      </c>
      <c r="FD29" s="218">
        <f>FD$26-FD$27</f>
        <v/>
      </c>
      <c r="FE29" s="218">
        <f>FE$26-FE$27</f>
        <v/>
      </c>
      <c r="FF29" s="218">
        <f>FF$26-FF$27</f>
        <v/>
      </c>
      <c r="FG29" s="218">
        <f>FG$26-FG$27</f>
        <v/>
      </c>
      <c r="FH29" s="218">
        <f>FH$26-FH$27</f>
        <v/>
      </c>
      <c r="FI29" s="218">
        <f>FI$26-FI$27</f>
        <v/>
      </c>
      <c r="FJ29" s="218">
        <f>FJ$26-FJ$27</f>
        <v/>
      </c>
      <c r="FK29" s="218">
        <f>FK$26-FK$27</f>
        <v/>
      </c>
      <c r="FL29" s="218">
        <f>FL$26-FL$27</f>
        <v/>
      </c>
      <c r="FM29" s="218">
        <f>FM$26-FM$27</f>
        <v/>
      </c>
      <c r="FN29" s="218">
        <f>FN$26-FN$27</f>
        <v/>
      </c>
      <c r="FO29" s="218">
        <f>FO$26-FO$27</f>
        <v/>
      </c>
      <c r="FP29" s="218">
        <f>FP$26-FP$27</f>
        <v/>
      </c>
      <c r="FQ29" s="218">
        <f>FQ$26-FQ$27</f>
        <v/>
      </c>
      <c r="FR29" s="218">
        <f>FR$26-FR$27</f>
        <v/>
      </c>
      <c r="FS29" s="218">
        <f>FS$26-FS$27</f>
        <v/>
      </c>
      <c r="FT29" s="218">
        <f>FT$26-FT$27</f>
        <v/>
      </c>
      <c r="FU29" s="218">
        <f>FU$26-FU$27</f>
        <v/>
      </c>
      <c r="FV29" s="218">
        <f>FV$26-FV$27</f>
        <v/>
      </c>
      <c r="FW29" s="218">
        <f>FW$26-FW$27</f>
        <v/>
      </c>
      <c r="FX29" s="218">
        <f>FX$26-FX$27</f>
        <v/>
      </c>
      <c r="FY29" s="218">
        <f>FY$26-FY$27</f>
        <v/>
      </c>
      <c r="FZ29" s="218">
        <f>FZ$26-FZ$27</f>
        <v/>
      </c>
      <c r="GA29" s="218">
        <f>GA$26-GA$27</f>
        <v/>
      </c>
      <c r="GB29" s="218">
        <f>GB$26-GB$27</f>
        <v/>
      </c>
      <c r="GC29" s="218">
        <f>GC$26-GC$27</f>
        <v/>
      </c>
      <c r="GD29" s="218">
        <f>GD$26-GD$27</f>
        <v/>
      </c>
      <c r="GE29" s="218">
        <f>GE$26-GE$27</f>
        <v/>
      </c>
      <c r="GF29" s="218">
        <f>GF$26-GF$27</f>
        <v/>
      </c>
      <c r="GG29" s="218">
        <f>GG$26-GG$27</f>
        <v/>
      </c>
      <c r="GH29" s="218">
        <f>GH$26-GH$27</f>
        <v/>
      </c>
      <c r="GI29" s="218">
        <f>GI$26-GI$27</f>
        <v/>
      </c>
      <c r="GJ29" s="218">
        <f>GJ$26-GJ$27</f>
        <v/>
      </c>
      <c r="GK29" s="218">
        <f>GK$26-GK$27</f>
        <v/>
      </c>
      <c r="GL29" s="218">
        <f>GL$26-GL$27</f>
        <v/>
      </c>
      <c r="GM29" s="218">
        <f>GM$26-GM$27</f>
        <v/>
      </c>
      <c r="GN29" s="218">
        <f>GN$26-GN$27</f>
        <v/>
      </c>
      <c r="GO29" s="218">
        <f>GO$26-GO$27</f>
        <v/>
      </c>
      <c r="GP29" s="218">
        <f>GP$26-GP$27</f>
        <v/>
      </c>
      <c r="GQ29" s="218">
        <f>GQ$26-GQ$27</f>
        <v/>
      </c>
      <c r="GR29" s="218">
        <f>GR$26-GR$27</f>
        <v/>
      </c>
      <c r="GS29" s="218">
        <f>GS$26-GS$27</f>
        <v/>
      </c>
      <c r="GT29" s="218">
        <f>GT$26-GT$27</f>
        <v/>
      </c>
      <c r="GU29" s="218">
        <f>GU$26-GU$27</f>
        <v/>
      </c>
      <c r="GV29" s="218">
        <f>GV$26-GV$27</f>
        <v/>
      </c>
      <c r="GW29" s="218">
        <f>GW$26-GW$27</f>
        <v/>
      </c>
      <c r="GX29" s="218">
        <f>GX$26-GX$27</f>
        <v/>
      </c>
      <c r="GY29" s="218">
        <f>GY$26-GY$27</f>
        <v/>
      </c>
      <c r="GZ29" s="218">
        <f>GZ$26-GZ$27</f>
        <v/>
      </c>
      <c r="HA29" s="218">
        <f>HA$26-HA$27</f>
        <v/>
      </c>
      <c r="HB29" s="218">
        <f>HB$26-HB$27</f>
        <v/>
      </c>
      <c r="HC29" s="218">
        <f>HC$26-HC$27</f>
        <v/>
      </c>
      <c r="HD29" s="218">
        <f>HD$26-HD$27</f>
        <v/>
      </c>
      <c r="HE29" s="218">
        <f>HE$26-HE$27</f>
        <v/>
      </c>
      <c r="HF29" s="218">
        <f>HF$26-HF$27</f>
        <v/>
      </c>
      <c r="HG29" s="218">
        <f>HG$26-HG$27</f>
        <v/>
      </c>
      <c r="HH29" s="218">
        <f>HH$26-HH$27</f>
        <v/>
      </c>
      <c r="HI29" s="218">
        <f>HI$26-HI$27</f>
        <v/>
      </c>
      <c r="HJ29" s="218">
        <f>HJ$26-HJ$27</f>
        <v/>
      </c>
      <c r="HK29" s="218">
        <f>HK$26-HK$27</f>
        <v/>
      </c>
      <c r="HL29" s="218">
        <f>HL$26-HL$27</f>
        <v/>
      </c>
      <c r="HM29" s="218">
        <f>HM$26-HM$27</f>
        <v/>
      </c>
      <c r="HN29" s="218">
        <f>HN$26-HN$27</f>
        <v/>
      </c>
      <c r="HO29" s="218">
        <f>HO$26-HO$27</f>
        <v/>
      </c>
      <c r="HP29" s="218">
        <f>HP$26-HP$27</f>
        <v/>
      </c>
      <c r="HQ29" s="218">
        <f>HQ$26-HQ$27</f>
        <v/>
      </c>
      <c r="HR29" s="218">
        <f>HR$26-HR$27</f>
        <v/>
      </c>
      <c r="HS29" s="218">
        <f>HS$26-HS$27</f>
        <v/>
      </c>
      <c r="HT29" s="218">
        <f>HT$26-HT$27</f>
        <v/>
      </c>
      <c r="HU29" s="218">
        <f>HU$26-HU$27</f>
        <v/>
      </c>
      <c r="HV29" s="218">
        <f>HV$26-HV$27</f>
        <v/>
      </c>
      <c r="HW29" s="218">
        <f>HW$26-HW$27</f>
        <v/>
      </c>
      <c r="HX29" s="218">
        <f>HX$26-HX$27</f>
        <v/>
      </c>
      <c r="HY29" s="218">
        <f>HY$26-HY$27</f>
        <v/>
      </c>
      <c r="HZ29" s="218">
        <f>HZ$26-HZ$27</f>
        <v/>
      </c>
      <c r="IA29" s="218">
        <f>IA$26-IA$27</f>
        <v/>
      </c>
      <c r="IB29" s="218">
        <f>IB$26-IB$27</f>
        <v/>
      </c>
      <c r="IC29" s="218">
        <f>IC$26-IC$27</f>
        <v/>
      </c>
      <c r="ID29" s="218">
        <f>ID$26-ID$27</f>
        <v/>
      </c>
      <c r="IE29" s="218">
        <f>IE$26-IE$27</f>
        <v/>
      </c>
      <c r="IF29" s="218">
        <f>IF$26-IF$27</f>
        <v/>
      </c>
      <c r="IG29" s="218">
        <f>IG$26-IG$27</f>
        <v/>
      </c>
      <c r="IH29" s="218">
        <f>IH$26-IH$27</f>
        <v/>
      </c>
      <c r="II29" s="218">
        <f>II$26-II$27</f>
        <v/>
      </c>
      <c r="IJ29" s="218">
        <f>IJ$26-IJ$27</f>
        <v/>
      </c>
      <c r="IK29" s="218">
        <f>IK$26-IK$27</f>
        <v/>
      </c>
      <c r="IL29" s="218">
        <f>IL$26-IL$27</f>
        <v/>
      </c>
      <c r="IM29" s="218">
        <f>IM$26-IM$27</f>
        <v/>
      </c>
      <c r="IN29" s="218">
        <f>IN$26-IN$27</f>
        <v/>
      </c>
      <c r="IO29" s="218">
        <f>IO$26-IO$27</f>
        <v/>
      </c>
      <c r="IP29" s="218">
        <f>IP$26-IP$27</f>
        <v/>
      </c>
      <c r="IQ29" s="218">
        <f>IQ$26-IQ$27</f>
        <v/>
      </c>
      <c r="IR29" s="218">
        <f>IR$26-IR$27</f>
        <v/>
      </c>
      <c r="IS29" s="218">
        <f>IS$26-IS$27</f>
        <v/>
      </c>
      <c r="IT29" s="218">
        <f>IT$26-IT$27</f>
        <v/>
      </c>
      <c r="IU29" s="218">
        <f>IU$26-IU$27</f>
        <v/>
      </c>
      <c r="IV29" s="218">
        <f>IV$26-IV$27</f>
        <v/>
      </c>
      <c r="IW29" s="218">
        <f>IW$26-IW$27</f>
        <v/>
      </c>
      <c r="IX29" s="218">
        <f>IX$26-IX$27</f>
        <v/>
      </c>
      <c r="IY29" s="218">
        <f>IY$26-IY$27</f>
        <v/>
      </c>
      <c r="IZ29" s="218">
        <f>IZ$26-IZ$27</f>
        <v/>
      </c>
      <c r="JA29" s="218">
        <f>JA$26-JA$27</f>
        <v/>
      </c>
      <c r="JB29" s="218">
        <f>JB$26-JB$27</f>
        <v/>
      </c>
      <c r="JC29" s="218">
        <f>JC$26-JC$27</f>
        <v/>
      </c>
      <c r="JD29" s="218">
        <f>JD$26-JD$27</f>
        <v/>
      </c>
      <c r="JE29" s="218">
        <f>JE$26-JE$27</f>
        <v/>
      </c>
      <c r="JF29" s="218">
        <f>JF$26-JF$27</f>
        <v/>
      </c>
      <c r="JG29" s="218">
        <f>JG$26-JG$27</f>
        <v/>
      </c>
      <c r="JH29" s="218">
        <f>JH$26-JH$27</f>
        <v/>
      </c>
      <c r="JI29" s="218">
        <f>JI$26-JI$27</f>
        <v/>
      </c>
      <c r="JJ29" s="218">
        <f>JJ$26-JJ$27</f>
        <v/>
      </c>
      <c r="JK29" s="218">
        <f>JK$26-JK$27</f>
        <v/>
      </c>
      <c r="JL29" s="218">
        <f>JL$26-JL$27</f>
        <v/>
      </c>
      <c r="JM29" s="218">
        <f>JM$26-JM$27</f>
        <v/>
      </c>
      <c r="JN29" s="218">
        <f>JN$26-JN$27</f>
        <v/>
      </c>
      <c r="JO29" s="218">
        <f>JO$26-JO$27</f>
        <v/>
      </c>
      <c r="JP29" s="218">
        <f>JP$26-JP$27</f>
        <v/>
      </c>
      <c r="JQ29" s="218">
        <f>JQ$26-JQ$27</f>
        <v/>
      </c>
      <c r="JR29" s="218">
        <f>JR$26-JR$27</f>
        <v/>
      </c>
      <c r="JS29" s="218">
        <f>JS$26-JS$27</f>
        <v/>
      </c>
      <c r="JT29" s="218">
        <f>JT$26-JT$27</f>
        <v/>
      </c>
      <c r="JU29" s="218">
        <f>JU$26-JU$27</f>
        <v/>
      </c>
      <c r="JV29" s="218">
        <f>JV$26-JV$27</f>
        <v/>
      </c>
      <c r="JW29" s="218">
        <f>JW$26-JW$27</f>
        <v/>
      </c>
      <c r="JX29" s="218">
        <f>JX$26-JX$27</f>
        <v/>
      </c>
      <c r="JY29" s="218">
        <f>JY$26-JY$27</f>
        <v/>
      </c>
      <c r="JZ29" s="218">
        <f>JZ$26-JZ$27</f>
        <v/>
      </c>
      <c r="KA29" s="218">
        <f>KA$26-KA$27</f>
        <v/>
      </c>
      <c r="KB29" s="218">
        <f>KB$26-KB$27</f>
        <v/>
      </c>
      <c r="KC29" s="218">
        <f>KC$26-KC$27</f>
        <v/>
      </c>
      <c r="KD29" s="218">
        <f>KD$26-KD$27</f>
        <v/>
      </c>
      <c r="KE29" s="218">
        <f>KE$26-KE$27</f>
        <v/>
      </c>
      <c r="KF29" s="218">
        <f>KF$26-KF$27</f>
        <v/>
      </c>
      <c r="KG29" s="218">
        <f>KG$26-KG$27</f>
        <v/>
      </c>
      <c r="KH29" s="218">
        <f>KH$26-KH$27</f>
        <v/>
      </c>
      <c r="KI29" s="218">
        <f>KI$26-KI$27</f>
        <v/>
      </c>
      <c r="KJ29" s="218">
        <f>KJ$26-KJ$27</f>
        <v/>
      </c>
      <c r="KK29" s="218">
        <f>KK$26-KK$27</f>
        <v/>
      </c>
      <c r="KL29" s="218">
        <f>KL$26-KL$27</f>
        <v/>
      </c>
      <c r="KM29" s="218">
        <f>KM$26-KM$27</f>
        <v/>
      </c>
      <c r="KN29" s="218">
        <f>KN$26-KN$27</f>
        <v/>
      </c>
      <c r="KO29" s="218">
        <f>KO$26-KO$27</f>
        <v/>
      </c>
      <c r="KP29" s="218">
        <f>KP$26-KP$27</f>
        <v/>
      </c>
      <c r="KQ29" s="218">
        <f>KQ$26-KQ$27</f>
        <v/>
      </c>
      <c r="KR29" s="218">
        <f>KR$26-KR$27</f>
        <v/>
      </c>
      <c r="KS29" s="218">
        <f>KS$26-KS$27</f>
        <v/>
      </c>
      <c r="KT29" s="218">
        <f>KT$26-KT$27</f>
        <v/>
      </c>
      <c r="KU29" s="218">
        <f>KU$26-KU$27</f>
        <v/>
      </c>
      <c r="KV29" s="218">
        <f>KV$26-KV$27</f>
        <v/>
      </c>
      <c r="KW29" s="218">
        <f>KW$26-KW$27</f>
        <v/>
      </c>
      <c r="KX29" s="218">
        <f>KX$26-KX$27</f>
        <v/>
      </c>
      <c r="KY29" s="218">
        <f>KY$26-KY$27</f>
        <v/>
      </c>
      <c r="KZ29" s="218">
        <f>KZ$26-KZ$27</f>
        <v/>
      </c>
      <c r="LA29" s="218">
        <f>LA$26-LA$27</f>
        <v/>
      </c>
      <c r="LB29" s="218">
        <f>LB$26-LB$27</f>
        <v/>
      </c>
      <c r="LC29" s="218">
        <f>LC$26-LC$27</f>
        <v/>
      </c>
      <c r="LD29" s="218">
        <f>LD$26-LD$27</f>
        <v/>
      </c>
      <c r="LE29" s="218">
        <f>LE$26-LE$27</f>
        <v/>
      </c>
      <c r="LF29" s="218">
        <f>LF$26-LF$27</f>
        <v/>
      </c>
      <c r="LG29" s="218">
        <f>LG$26-LG$27</f>
        <v/>
      </c>
      <c r="LH29" s="218">
        <f>LH$26-LH$27</f>
        <v/>
      </c>
      <c r="LI29" s="218">
        <f>LI$26-LI$27</f>
        <v/>
      </c>
      <c r="LJ29" s="218">
        <f>LJ$26-LJ$27</f>
        <v/>
      </c>
      <c r="LK29" s="218">
        <f>LK$26-LK$27</f>
        <v/>
      </c>
      <c r="LL29" s="218">
        <f>LL$26-LL$27</f>
        <v/>
      </c>
      <c r="LM29" s="218">
        <f>LM$26-LM$27</f>
        <v/>
      </c>
      <c r="LN29" s="218">
        <f>LN$26-LN$27</f>
        <v/>
      </c>
      <c r="LO29" s="218">
        <f>LO$26-LO$27</f>
        <v/>
      </c>
      <c r="LP29" s="218">
        <f>LP$26-LP$27</f>
        <v/>
      </c>
      <c r="LQ29" s="218">
        <f>LQ$26-LQ$27</f>
        <v/>
      </c>
      <c r="LR29" s="218">
        <f>LR$26-LR$27</f>
        <v/>
      </c>
      <c r="LS29" s="218">
        <f>LS$26-LS$27</f>
        <v/>
      </c>
      <c r="LT29" s="218">
        <f>LT$26-LT$27</f>
        <v/>
      </c>
      <c r="LU29" s="218">
        <f>LU$26-LU$27</f>
        <v/>
      </c>
      <c r="LV29" s="218">
        <f>LV$26-LV$27</f>
        <v/>
      </c>
      <c r="LW29" s="218">
        <f>LW$26-LW$27</f>
        <v/>
      </c>
      <c r="LX29" s="218">
        <f>LX$26-LX$27</f>
        <v/>
      </c>
      <c r="LY29" s="218">
        <f>LY$26-LY$27</f>
        <v/>
      </c>
      <c r="LZ29" s="218">
        <f>LZ$26-LZ$27</f>
        <v/>
      </c>
      <c r="MA29" s="218">
        <f>MA$26-MA$27</f>
        <v/>
      </c>
      <c r="MB29" s="218">
        <f>MB$26-MB$27</f>
        <v/>
      </c>
      <c r="MC29" s="218">
        <f>MC$26-MC$27</f>
        <v/>
      </c>
      <c r="MD29" s="218">
        <f>MD$26-MD$27</f>
        <v/>
      </c>
      <c r="ME29" s="218">
        <f>ME$26-ME$27</f>
        <v/>
      </c>
      <c r="MF29" s="218">
        <f>MF$26-MF$27</f>
        <v/>
      </c>
      <c r="MG29" s="218">
        <f>MG$26-MG$27</f>
        <v/>
      </c>
      <c r="MH29" s="218">
        <f>MH$26-MH$27</f>
        <v/>
      </c>
      <c r="MI29" s="218">
        <f>MI$26-MI$27</f>
        <v/>
      </c>
      <c r="MJ29" s="218">
        <f>MJ$26-MJ$27</f>
        <v/>
      </c>
      <c r="MK29" s="218">
        <f>MK$26-MK$27</f>
        <v/>
      </c>
      <c r="ML29" s="218">
        <f>ML$26-ML$27</f>
        <v/>
      </c>
      <c r="MM29" s="218">
        <f>MM$26-MM$27</f>
        <v/>
      </c>
      <c r="MN29" s="218">
        <f>MN$26-MN$27</f>
        <v/>
      </c>
      <c r="MO29" s="218">
        <f>MO$26-MO$27</f>
        <v/>
      </c>
      <c r="MP29" s="218">
        <f>MP$26-MP$27</f>
        <v/>
      </c>
      <c r="MQ29" s="218">
        <f>MQ$26-MQ$27</f>
        <v/>
      </c>
      <c r="MR29" s="218">
        <f>MR$26-MR$27</f>
        <v/>
      </c>
      <c r="MS29" s="218">
        <f>MS$26-MS$27</f>
        <v/>
      </c>
      <c r="MT29" s="218">
        <f>MT$26-MT$27</f>
        <v/>
      </c>
      <c r="MU29" s="218">
        <f>MU$26-MU$27</f>
        <v/>
      </c>
      <c r="MV29" s="218">
        <f>MV$26-MV$27</f>
        <v/>
      </c>
      <c r="MW29" s="218">
        <f>MW$26-MW$27</f>
        <v/>
      </c>
      <c r="MX29" s="218">
        <f>MX$26-MX$27</f>
        <v/>
      </c>
      <c r="MY29" s="218">
        <f>MY$26-MY$27</f>
        <v/>
      </c>
      <c r="MZ29" s="218">
        <f>MZ$26-MZ$27</f>
        <v/>
      </c>
      <c r="NA29" s="218">
        <f>NA$26-NA$27</f>
        <v/>
      </c>
      <c r="NB29" s="218">
        <f>NB$26-NB$27</f>
        <v/>
      </c>
      <c r="NC29" s="218">
        <f>NC$26-NC$27</f>
        <v/>
      </c>
      <c r="ND29" s="218">
        <f>ND$26-ND$27</f>
        <v/>
      </c>
      <c r="NE29" s="218">
        <f>NE$26-NE$27</f>
        <v/>
      </c>
      <c r="NF29" s="218">
        <f>NF$26-NF$27</f>
        <v/>
      </c>
      <c r="NG29" s="218">
        <f>NG$26-NG$27</f>
        <v/>
      </c>
      <c r="NH29" s="218">
        <f>NH$26-NH$27</f>
        <v/>
      </c>
      <c r="NI29" s="218">
        <f>NI$26-NI$27</f>
        <v/>
      </c>
      <c r="NJ29" s="218">
        <f>NJ$26-NJ$27</f>
        <v/>
      </c>
      <c r="NK29" s="218">
        <f>NK$26-NK$27</f>
        <v/>
      </c>
      <c r="NL29" s="218">
        <f>NL$26-NL$27</f>
        <v/>
      </c>
    </row>
    <row r="30">
      <c r="B30" s="36" t="inlineStr">
        <is>
          <t>Monthly Interest Rate</t>
        </is>
      </c>
      <c r="D30" s="259" t="n"/>
      <c r="E30" s="260">
        <f>IF(Timeline!E$42=1,IF(ConActual360=1,ConRate*E$25/360,ConRate/12),0)</f>
        <v/>
      </c>
      <c r="F30" s="260">
        <f>IF(Timeline!F$42=1,IF(ConActual360=1,ConRate*F$25/360,ConRate/12),0)</f>
        <v/>
      </c>
      <c r="G30" s="260">
        <f>IF(Timeline!G$42=1,IF(ConActual360=1,ConRate*G$25/360,ConRate/12),0)</f>
        <v/>
      </c>
      <c r="H30" s="260">
        <f>IF(Timeline!H$42=1,IF(ConActual360=1,ConRate*H$25/360,ConRate/12),0)</f>
        <v/>
      </c>
      <c r="I30" s="260">
        <f>IF(Timeline!I$42=1,IF(ConActual360=1,ConRate*I$25/360,ConRate/12),0)</f>
        <v/>
      </c>
      <c r="J30" s="260">
        <f>IF(Timeline!J$42=1,IF(ConActual360=1,ConRate*J$25/360,ConRate/12),0)</f>
        <v/>
      </c>
      <c r="K30" s="260">
        <f>IF(Timeline!K$42=1,IF(ConActual360=1,ConRate*K$25/360,ConRate/12),0)</f>
        <v/>
      </c>
      <c r="L30" s="260">
        <f>IF(Timeline!L$42=1,IF(ConActual360=1,ConRate*L$25/360,ConRate/12),0)</f>
        <v/>
      </c>
      <c r="M30" s="260">
        <f>IF(Timeline!M$42=1,IF(ConActual360=1,ConRate*M$25/360,ConRate/12),0)</f>
        <v/>
      </c>
      <c r="N30" s="260">
        <f>IF(Timeline!N$42=1,IF(ConActual360=1,ConRate*N$25/360,ConRate/12),0)</f>
        <v/>
      </c>
      <c r="O30" s="260">
        <f>IF(Timeline!O$42=1,IF(ConActual360=1,ConRate*O$25/360,ConRate/12),0)</f>
        <v/>
      </c>
      <c r="P30" s="260">
        <f>IF(Timeline!P$42=1,IF(ConActual360=1,ConRate*P$25/360,ConRate/12),0)</f>
        <v/>
      </c>
      <c r="Q30" s="260">
        <f>IF(Timeline!Q$42=1,IF(ConActual360=1,ConRate*Q$25/360,ConRate/12),0)</f>
        <v/>
      </c>
      <c r="R30" s="260">
        <f>IF(Timeline!R$42=1,IF(ConActual360=1,ConRate*R$25/360,ConRate/12),0)</f>
        <v/>
      </c>
      <c r="S30" s="260">
        <f>IF(Timeline!S$42=1,IF(ConActual360=1,ConRate*S$25/360,ConRate/12),0)</f>
        <v/>
      </c>
      <c r="T30" s="260">
        <f>IF(Timeline!T$42=1,IF(ConActual360=1,ConRate*T$25/360,ConRate/12),0)</f>
        <v/>
      </c>
      <c r="U30" s="260">
        <f>IF(Timeline!U$42=1,IF(ConActual360=1,ConRate*U$25/360,ConRate/12),0)</f>
        <v/>
      </c>
      <c r="V30" s="260">
        <f>IF(Timeline!V$42=1,IF(ConActual360=1,ConRate*V$25/360,ConRate/12),0)</f>
        <v/>
      </c>
      <c r="W30" s="260">
        <f>IF(Timeline!W$42=1,IF(ConActual360=1,ConRate*W$25/360,ConRate/12),0)</f>
        <v/>
      </c>
      <c r="X30" s="260">
        <f>IF(Timeline!X$42=1,IF(ConActual360=1,ConRate*X$25/360,ConRate/12),0)</f>
        <v/>
      </c>
      <c r="Y30" s="260">
        <f>IF(Timeline!Y$42=1,IF(ConActual360=1,ConRate*Y$25/360,ConRate/12),0)</f>
        <v/>
      </c>
      <c r="Z30" s="260">
        <f>IF(Timeline!Z$42=1,IF(ConActual360=1,ConRate*Z$25/360,ConRate/12),0)</f>
        <v/>
      </c>
      <c r="AA30" s="260">
        <f>IF(Timeline!AA$42=1,IF(ConActual360=1,ConRate*AA$25/360,ConRate/12),0)</f>
        <v/>
      </c>
      <c r="AB30" s="260">
        <f>IF(Timeline!AB$42=1,IF(ConActual360=1,ConRate*AB$25/360,ConRate/12),0)</f>
        <v/>
      </c>
      <c r="AC30" s="260">
        <f>IF(Timeline!AC$42=1,IF(ConActual360=1,ConRate*AC$25/360,ConRate/12),0)</f>
        <v/>
      </c>
      <c r="AD30" s="260">
        <f>IF(Timeline!AD$42=1,IF(ConActual360=1,ConRate*AD$25/360,ConRate/12),0)</f>
        <v/>
      </c>
      <c r="AE30" s="260">
        <f>IF(Timeline!AE$42=1,IF(ConActual360=1,ConRate*AE$25/360,ConRate/12),0)</f>
        <v/>
      </c>
      <c r="AF30" s="260">
        <f>IF(Timeline!AF$42=1,IF(ConActual360=1,ConRate*AF$25/360,ConRate/12),0)</f>
        <v/>
      </c>
      <c r="AG30" s="260">
        <f>IF(Timeline!AG$42=1,IF(ConActual360=1,ConRate*AG$25/360,ConRate/12),0)</f>
        <v/>
      </c>
      <c r="AH30" s="260">
        <f>IF(Timeline!AH$42=1,IF(ConActual360=1,ConRate*AH$25/360,ConRate/12),0)</f>
        <v/>
      </c>
      <c r="AI30" s="260">
        <f>IF(Timeline!AI$42=1,IF(ConActual360=1,ConRate*AI$25/360,ConRate/12),0)</f>
        <v/>
      </c>
      <c r="AJ30" s="260">
        <f>IF(Timeline!AJ$42=1,IF(ConActual360=1,ConRate*AJ$25/360,ConRate/12),0)</f>
        <v/>
      </c>
      <c r="AK30" s="260">
        <f>IF(Timeline!AK$42=1,IF(ConActual360=1,ConRate*AK$25/360,ConRate/12),0)</f>
        <v/>
      </c>
      <c r="AL30" s="260">
        <f>IF(Timeline!AL$42=1,IF(ConActual360=1,ConRate*AL$25/360,ConRate/12),0)</f>
        <v/>
      </c>
      <c r="AM30" s="260">
        <f>IF(Timeline!AM$42=1,IF(ConActual360=1,ConRate*AM$25/360,ConRate/12),0)</f>
        <v/>
      </c>
      <c r="AN30" s="260">
        <f>IF(Timeline!AN$42=1,IF(ConActual360=1,ConRate*AN$25/360,ConRate/12),0)</f>
        <v/>
      </c>
      <c r="AO30" s="260">
        <f>IF(Timeline!AO$42=1,IF(ConActual360=1,ConRate*AO$25/360,ConRate/12),0)</f>
        <v/>
      </c>
      <c r="AP30" s="260">
        <f>IF(Timeline!AP$42=1,IF(ConActual360=1,ConRate*AP$25/360,ConRate/12),0)</f>
        <v/>
      </c>
      <c r="AQ30" s="260">
        <f>IF(Timeline!AQ$42=1,IF(ConActual360=1,ConRate*AQ$25/360,ConRate/12),0)</f>
        <v/>
      </c>
      <c r="AR30" s="260">
        <f>IF(Timeline!AR$42=1,IF(ConActual360=1,ConRate*AR$25/360,ConRate/12),0)</f>
        <v/>
      </c>
      <c r="AS30" s="260">
        <f>IF(Timeline!AS$42=1,IF(ConActual360=1,ConRate*AS$25/360,ConRate/12),0)</f>
        <v/>
      </c>
      <c r="AT30" s="260">
        <f>IF(Timeline!AT$42=1,IF(ConActual360=1,ConRate*AT$25/360,ConRate/12),0)</f>
        <v/>
      </c>
      <c r="AU30" s="260">
        <f>IF(Timeline!AU$42=1,IF(ConActual360=1,ConRate*AU$25/360,ConRate/12),0)</f>
        <v/>
      </c>
      <c r="AV30" s="260">
        <f>IF(Timeline!AV$42=1,IF(ConActual360=1,ConRate*AV$25/360,ConRate/12),0)</f>
        <v/>
      </c>
      <c r="AW30" s="260">
        <f>IF(Timeline!AW$42=1,IF(ConActual360=1,ConRate*AW$25/360,ConRate/12),0)</f>
        <v/>
      </c>
      <c r="AX30" s="260">
        <f>IF(Timeline!AX$42=1,IF(ConActual360=1,ConRate*AX$25/360,ConRate/12),0)</f>
        <v/>
      </c>
      <c r="AY30" s="260">
        <f>IF(Timeline!AY$42=1,IF(ConActual360=1,ConRate*AY$25/360,ConRate/12),0)</f>
        <v/>
      </c>
      <c r="AZ30" s="260">
        <f>IF(Timeline!AZ$42=1,IF(ConActual360=1,ConRate*AZ$25/360,ConRate/12),0)</f>
        <v/>
      </c>
      <c r="BA30" s="260">
        <f>IF(Timeline!BA$42=1,IF(ConActual360=1,ConRate*BA$25/360,ConRate/12),0)</f>
        <v/>
      </c>
      <c r="BB30" s="260">
        <f>IF(Timeline!BB$42=1,IF(ConActual360=1,ConRate*BB$25/360,ConRate/12),0)</f>
        <v/>
      </c>
      <c r="BC30" s="260">
        <f>IF(Timeline!BC$42=1,IF(ConActual360=1,ConRate*BC$25/360,ConRate/12),0)</f>
        <v/>
      </c>
      <c r="BD30" s="260">
        <f>IF(Timeline!BD$42=1,IF(ConActual360=1,ConRate*BD$25/360,ConRate/12),0)</f>
        <v/>
      </c>
      <c r="BE30" s="260">
        <f>IF(Timeline!BE$42=1,IF(ConActual360=1,ConRate*BE$25/360,ConRate/12),0)</f>
        <v/>
      </c>
      <c r="BF30" s="260">
        <f>IF(Timeline!BF$42=1,IF(ConActual360=1,ConRate*BF$25/360,ConRate/12),0)</f>
        <v/>
      </c>
      <c r="BG30" s="260">
        <f>IF(Timeline!BG$42=1,IF(ConActual360=1,ConRate*BG$25/360,ConRate/12),0)</f>
        <v/>
      </c>
      <c r="BH30" s="260">
        <f>IF(Timeline!BH$42=1,IF(ConActual360=1,ConRate*BH$25/360,ConRate/12),0)</f>
        <v/>
      </c>
      <c r="BI30" s="260">
        <f>IF(Timeline!BI$42=1,IF(ConActual360=1,ConRate*BI$25/360,ConRate/12),0)</f>
        <v/>
      </c>
      <c r="BJ30" s="260">
        <f>IF(Timeline!BJ$42=1,IF(ConActual360=1,ConRate*BJ$25/360,ConRate/12),0)</f>
        <v/>
      </c>
      <c r="BK30" s="260">
        <f>IF(Timeline!BK$42=1,IF(ConActual360=1,ConRate*BK$25/360,ConRate/12),0)</f>
        <v/>
      </c>
      <c r="BL30" s="260">
        <f>IF(Timeline!BL$42=1,IF(ConActual360=1,ConRate*BL$25/360,ConRate/12),0)</f>
        <v/>
      </c>
      <c r="BM30" s="260">
        <f>IF(Timeline!BM$42=1,IF(ConActual360=1,ConRate*BM$25/360,ConRate/12),0)</f>
        <v/>
      </c>
      <c r="BN30" s="260">
        <f>IF(Timeline!BN$42=1,IF(ConActual360=1,ConRate*BN$25/360,ConRate/12),0)</f>
        <v/>
      </c>
      <c r="BO30" s="260">
        <f>IF(Timeline!BO$42=1,IF(ConActual360=1,ConRate*BO$25/360,ConRate/12),0)</f>
        <v/>
      </c>
      <c r="BP30" s="260">
        <f>IF(Timeline!BP$42=1,IF(ConActual360=1,ConRate*BP$25/360,ConRate/12),0)</f>
        <v/>
      </c>
      <c r="BQ30" s="260">
        <f>IF(Timeline!BQ$42=1,IF(ConActual360=1,ConRate*BQ$25/360,ConRate/12),0)</f>
        <v/>
      </c>
      <c r="BR30" s="260">
        <f>IF(Timeline!BR$42=1,IF(ConActual360=1,ConRate*BR$25/360,ConRate/12),0)</f>
        <v/>
      </c>
      <c r="BS30" s="260">
        <f>IF(Timeline!BS$42=1,IF(ConActual360=1,ConRate*BS$25/360,ConRate/12),0)</f>
        <v/>
      </c>
      <c r="BT30" s="260">
        <f>IF(Timeline!BT$42=1,IF(ConActual360=1,ConRate*BT$25/360,ConRate/12),0)</f>
        <v/>
      </c>
      <c r="BU30" s="260">
        <f>IF(Timeline!BU$42=1,IF(ConActual360=1,ConRate*BU$25/360,ConRate/12),0)</f>
        <v/>
      </c>
      <c r="BV30" s="260">
        <f>IF(Timeline!BV$42=1,IF(ConActual360=1,ConRate*BV$25/360,ConRate/12),0)</f>
        <v/>
      </c>
      <c r="BW30" s="260">
        <f>IF(Timeline!BW$42=1,IF(ConActual360=1,ConRate*BW$25/360,ConRate/12),0)</f>
        <v/>
      </c>
      <c r="BX30" s="260">
        <f>IF(Timeline!BX$42=1,IF(ConActual360=1,ConRate*BX$25/360,ConRate/12),0)</f>
        <v/>
      </c>
      <c r="BY30" s="260">
        <f>IF(Timeline!BY$42=1,IF(ConActual360=1,ConRate*BY$25/360,ConRate/12),0)</f>
        <v/>
      </c>
      <c r="BZ30" s="260">
        <f>IF(Timeline!BZ$42=1,IF(ConActual360=1,ConRate*BZ$25/360,ConRate/12),0)</f>
        <v/>
      </c>
      <c r="CA30" s="260">
        <f>IF(Timeline!CA$42=1,IF(ConActual360=1,ConRate*CA$25/360,ConRate/12),0)</f>
        <v/>
      </c>
      <c r="CB30" s="260">
        <f>IF(Timeline!CB$42=1,IF(ConActual360=1,ConRate*CB$25/360,ConRate/12),0)</f>
        <v/>
      </c>
      <c r="CC30" s="260">
        <f>IF(Timeline!CC$42=1,IF(ConActual360=1,ConRate*CC$25/360,ConRate/12),0)</f>
        <v/>
      </c>
      <c r="CD30" s="260">
        <f>IF(Timeline!CD$42=1,IF(ConActual360=1,ConRate*CD$25/360,ConRate/12),0)</f>
        <v/>
      </c>
      <c r="CE30" s="260">
        <f>IF(Timeline!CE$42=1,IF(ConActual360=1,ConRate*CE$25/360,ConRate/12),0)</f>
        <v/>
      </c>
      <c r="CF30" s="260">
        <f>IF(Timeline!CF$42=1,IF(ConActual360=1,ConRate*CF$25/360,ConRate/12),0)</f>
        <v/>
      </c>
      <c r="CG30" s="260">
        <f>IF(Timeline!CG$42=1,IF(ConActual360=1,ConRate*CG$25/360,ConRate/12),0)</f>
        <v/>
      </c>
      <c r="CH30" s="260">
        <f>IF(Timeline!CH$42=1,IF(ConActual360=1,ConRate*CH$25/360,ConRate/12),0)</f>
        <v/>
      </c>
      <c r="CI30" s="260">
        <f>IF(Timeline!CI$42=1,IF(ConActual360=1,ConRate*CI$25/360,ConRate/12),0)</f>
        <v/>
      </c>
      <c r="CJ30" s="260">
        <f>IF(Timeline!CJ$42=1,IF(ConActual360=1,ConRate*CJ$25/360,ConRate/12),0)</f>
        <v/>
      </c>
      <c r="CK30" s="260">
        <f>IF(Timeline!CK$42=1,IF(ConActual360=1,ConRate*CK$25/360,ConRate/12),0)</f>
        <v/>
      </c>
      <c r="CL30" s="260">
        <f>IF(Timeline!CL$42=1,IF(ConActual360=1,ConRate*CL$25/360,ConRate/12),0)</f>
        <v/>
      </c>
      <c r="CM30" s="260">
        <f>IF(Timeline!CM$42=1,IF(ConActual360=1,ConRate*CM$25/360,ConRate/12),0)</f>
        <v/>
      </c>
      <c r="CN30" s="260">
        <f>IF(Timeline!CN$42=1,IF(ConActual360=1,ConRate*CN$25/360,ConRate/12),0)</f>
        <v/>
      </c>
      <c r="CO30" s="260">
        <f>IF(Timeline!CO$42=1,IF(ConActual360=1,ConRate*CO$25/360,ConRate/12),0)</f>
        <v/>
      </c>
      <c r="CP30" s="260">
        <f>IF(Timeline!CP$42=1,IF(ConActual360=1,ConRate*CP$25/360,ConRate/12),0)</f>
        <v/>
      </c>
      <c r="CQ30" s="260">
        <f>IF(Timeline!CQ$42=1,IF(ConActual360=1,ConRate*CQ$25/360,ConRate/12),0)</f>
        <v/>
      </c>
      <c r="CR30" s="260">
        <f>IF(Timeline!CR$42=1,IF(ConActual360=1,ConRate*CR$25/360,ConRate/12),0)</f>
        <v/>
      </c>
      <c r="CS30" s="260">
        <f>IF(Timeline!CS$42=1,IF(ConActual360=1,ConRate*CS$25/360,ConRate/12),0)</f>
        <v/>
      </c>
      <c r="CT30" s="260">
        <f>IF(Timeline!CT$42=1,IF(ConActual360=1,ConRate*CT$25/360,ConRate/12),0)</f>
        <v/>
      </c>
      <c r="CU30" s="260">
        <f>IF(Timeline!CU$42=1,IF(ConActual360=1,ConRate*CU$25/360,ConRate/12),0)</f>
        <v/>
      </c>
      <c r="CV30" s="260">
        <f>IF(Timeline!CV$42=1,IF(ConActual360=1,ConRate*CV$25/360,ConRate/12),0)</f>
        <v/>
      </c>
      <c r="CW30" s="260">
        <f>IF(Timeline!CW$42=1,IF(ConActual360=1,ConRate*CW$25/360,ConRate/12),0)</f>
        <v/>
      </c>
      <c r="CX30" s="260">
        <f>IF(Timeline!CX$42=1,IF(ConActual360=1,ConRate*CX$25/360,ConRate/12),0)</f>
        <v/>
      </c>
      <c r="CY30" s="260">
        <f>IF(Timeline!CY$42=1,IF(ConActual360=1,ConRate*CY$25/360,ConRate/12),0)</f>
        <v/>
      </c>
      <c r="CZ30" s="260">
        <f>IF(Timeline!CZ$42=1,IF(ConActual360=1,ConRate*CZ$25/360,ConRate/12),0)</f>
        <v/>
      </c>
      <c r="DA30" s="260">
        <f>IF(Timeline!DA$42=1,IF(ConActual360=1,ConRate*DA$25/360,ConRate/12),0)</f>
        <v/>
      </c>
      <c r="DB30" s="260">
        <f>IF(Timeline!DB$42=1,IF(ConActual360=1,ConRate*DB$25/360,ConRate/12),0)</f>
        <v/>
      </c>
      <c r="DC30" s="260">
        <f>IF(Timeline!DC$42=1,IF(ConActual360=1,ConRate*DC$25/360,ConRate/12),0)</f>
        <v/>
      </c>
      <c r="DD30" s="260">
        <f>IF(Timeline!DD$42=1,IF(ConActual360=1,ConRate*DD$25/360,ConRate/12),0)</f>
        <v/>
      </c>
      <c r="DE30" s="260">
        <f>IF(Timeline!DE$42=1,IF(ConActual360=1,ConRate*DE$25/360,ConRate/12),0)</f>
        <v/>
      </c>
      <c r="DF30" s="260">
        <f>IF(Timeline!DF$42=1,IF(ConActual360=1,ConRate*DF$25/360,ConRate/12),0)</f>
        <v/>
      </c>
      <c r="DG30" s="260">
        <f>IF(Timeline!DG$42=1,IF(ConActual360=1,ConRate*DG$25/360,ConRate/12),0)</f>
        <v/>
      </c>
      <c r="DH30" s="260">
        <f>IF(Timeline!DH$42=1,IF(ConActual360=1,ConRate*DH$25/360,ConRate/12),0)</f>
        <v/>
      </c>
      <c r="DI30" s="260">
        <f>IF(Timeline!DI$42=1,IF(ConActual360=1,ConRate*DI$25/360,ConRate/12),0)</f>
        <v/>
      </c>
      <c r="DJ30" s="260">
        <f>IF(Timeline!DJ$42=1,IF(ConActual360=1,ConRate*DJ$25/360,ConRate/12),0)</f>
        <v/>
      </c>
      <c r="DK30" s="260">
        <f>IF(Timeline!DK$42=1,IF(ConActual360=1,ConRate*DK$25/360,ConRate/12),0)</f>
        <v/>
      </c>
      <c r="DL30" s="260">
        <f>IF(Timeline!DL$42=1,IF(ConActual360=1,ConRate*DL$25/360,ConRate/12),0)</f>
        <v/>
      </c>
      <c r="DM30" s="260">
        <f>IF(Timeline!DM$42=1,IF(ConActual360=1,ConRate*DM$25/360,ConRate/12),0)</f>
        <v/>
      </c>
      <c r="DN30" s="260">
        <f>IF(Timeline!DN$42=1,IF(ConActual360=1,ConRate*DN$25/360,ConRate/12),0)</f>
        <v/>
      </c>
      <c r="DO30" s="260">
        <f>IF(Timeline!DO$42=1,IF(ConActual360=1,ConRate*DO$25/360,ConRate/12),0)</f>
        <v/>
      </c>
      <c r="DP30" s="260">
        <f>IF(Timeline!DP$42=1,IF(ConActual360=1,ConRate*DP$25/360,ConRate/12),0)</f>
        <v/>
      </c>
      <c r="DQ30" s="260">
        <f>IF(Timeline!DQ$42=1,IF(ConActual360=1,ConRate*DQ$25/360,ConRate/12),0)</f>
        <v/>
      </c>
      <c r="DR30" s="260">
        <f>IF(Timeline!DR$42=1,IF(ConActual360=1,ConRate*DR$25/360,ConRate/12),0)</f>
        <v/>
      </c>
      <c r="DS30" s="260">
        <f>IF(Timeline!DS$42=1,IF(ConActual360=1,ConRate*DS$25/360,ConRate/12),0)</f>
        <v/>
      </c>
      <c r="DT30" s="260">
        <f>IF(Timeline!DT$42=1,IF(ConActual360=1,ConRate*DT$25/360,ConRate/12),0)</f>
        <v/>
      </c>
      <c r="DU30" s="260">
        <f>IF(Timeline!DU$42=1,IF(ConActual360=1,ConRate*DU$25/360,ConRate/12),0)</f>
        <v/>
      </c>
      <c r="DV30" s="260">
        <f>IF(Timeline!DV$42=1,IF(ConActual360=1,ConRate*DV$25/360,ConRate/12),0)</f>
        <v/>
      </c>
      <c r="DW30" s="260">
        <f>IF(Timeline!DW$42=1,IF(ConActual360=1,ConRate*DW$25/360,ConRate/12),0)</f>
        <v/>
      </c>
      <c r="DX30" s="260">
        <f>IF(Timeline!DX$42=1,IF(ConActual360=1,ConRate*DX$25/360,ConRate/12),0)</f>
        <v/>
      </c>
      <c r="DY30" s="260">
        <f>IF(Timeline!DY$42=1,IF(ConActual360=1,ConRate*DY$25/360,ConRate/12),0)</f>
        <v/>
      </c>
      <c r="DZ30" s="260">
        <f>IF(Timeline!DZ$42=1,IF(ConActual360=1,ConRate*DZ$25/360,ConRate/12),0)</f>
        <v/>
      </c>
      <c r="EA30" s="260">
        <f>IF(Timeline!EA$42=1,IF(ConActual360=1,ConRate*EA$25/360,ConRate/12),0)</f>
        <v/>
      </c>
      <c r="EB30" s="260">
        <f>IF(Timeline!EB$42=1,IF(ConActual360=1,ConRate*EB$25/360,ConRate/12),0)</f>
        <v/>
      </c>
      <c r="EC30" s="260">
        <f>IF(Timeline!EC$42=1,IF(ConActual360=1,ConRate*EC$25/360,ConRate/12),0)</f>
        <v/>
      </c>
      <c r="ED30" s="260">
        <f>IF(Timeline!ED$42=1,IF(ConActual360=1,ConRate*ED$25/360,ConRate/12),0)</f>
        <v/>
      </c>
      <c r="EE30" s="260">
        <f>IF(Timeline!EE$42=1,IF(ConActual360=1,ConRate*EE$25/360,ConRate/12),0)</f>
        <v/>
      </c>
      <c r="EF30" s="260">
        <f>IF(Timeline!EF$42=1,IF(ConActual360=1,ConRate*EF$25/360,ConRate/12),0)</f>
        <v/>
      </c>
      <c r="EG30" s="260">
        <f>IF(Timeline!EG$42=1,IF(ConActual360=1,ConRate*EG$25/360,ConRate/12),0)</f>
        <v/>
      </c>
      <c r="EH30" s="260">
        <f>IF(Timeline!EH$42=1,IF(ConActual360=1,ConRate*EH$25/360,ConRate/12),0)</f>
        <v/>
      </c>
      <c r="EI30" s="260">
        <f>IF(Timeline!EI$42=1,IF(ConActual360=1,ConRate*EI$25/360,ConRate/12),0)</f>
        <v/>
      </c>
      <c r="EJ30" s="260">
        <f>IF(Timeline!EJ$42=1,IF(ConActual360=1,ConRate*EJ$25/360,ConRate/12),0)</f>
        <v/>
      </c>
      <c r="EK30" s="260">
        <f>IF(Timeline!EK$42=1,IF(ConActual360=1,ConRate*EK$25/360,ConRate/12),0)</f>
        <v/>
      </c>
      <c r="EL30" s="260">
        <f>IF(Timeline!EL$42=1,IF(ConActual360=1,ConRate*EL$25/360,ConRate/12),0)</f>
        <v/>
      </c>
      <c r="EM30" s="260">
        <f>IF(Timeline!EM$42=1,IF(ConActual360=1,ConRate*EM$25/360,ConRate/12),0)</f>
        <v/>
      </c>
      <c r="EN30" s="260">
        <f>IF(Timeline!EN$42=1,IF(ConActual360=1,ConRate*EN$25/360,ConRate/12),0)</f>
        <v/>
      </c>
      <c r="EO30" s="260">
        <f>IF(Timeline!EO$42=1,IF(ConActual360=1,ConRate*EO$25/360,ConRate/12),0)</f>
        <v/>
      </c>
      <c r="EP30" s="260">
        <f>IF(Timeline!EP$42=1,IF(ConActual360=1,ConRate*EP$25/360,ConRate/12),0)</f>
        <v/>
      </c>
      <c r="EQ30" s="260">
        <f>IF(Timeline!EQ$42=1,IF(ConActual360=1,ConRate*EQ$25/360,ConRate/12),0)</f>
        <v/>
      </c>
      <c r="ER30" s="260">
        <f>IF(Timeline!ER$42=1,IF(ConActual360=1,ConRate*ER$25/360,ConRate/12),0)</f>
        <v/>
      </c>
      <c r="ES30" s="260">
        <f>IF(Timeline!ES$42=1,IF(ConActual360=1,ConRate*ES$25/360,ConRate/12),0)</f>
        <v/>
      </c>
      <c r="ET30" s="260">
        <f>IF(Timeline!ET$42=1,IF(ConActual360=1,ConRate*ET$25/360,ConRate/12),0)</f>
        <v/>
      </c>
      <c r="EU30" s="260">
        <f>IF(Timeline!EU$42=1,IF(ConActual360=1,ConRate*EU$25/360,ConRate/12),0)</f>
        <v/>
      </c>
      <c r="EV30" s="260">
        <f>IF(Timeline!EV$42=1,IF(ConActual360=1,ConRate*EV$25/360,ConRate/12),0)</f>
        <v/>
      </c>
      <c r="EW30" s="260">
        <f>IF(Timeline!EW$42=1,IF(ConActual360=1,ConRate*EW$25/360,ConRate/12),0)</f>
        <v/>
      </c>
      <c r="EX30" s="260">
        <f>IF(Timeline!EX$42=1,IF(ConActual360=1,ConRate*EX$25/360,ConRate/12),0)</f>
        <v/>
      </c>
      <c r="EY30" s="260">
        <f>IF(Timeline!EY$42=1,IF(ConActual360=1,ConRate*EY$25/360,ConRate/12),0)</f>
        <v/>
      </c>
      <c r="EZ30" s="260">
        <f>IF(Timeline!EZ$42=1,IF(ConActual360=1,ConRate*EZ$25/360,ConRate/12),0)</f>
        <v/>
      </c>
      <c r="FA30" s="260">
        <f>IF(Timeline!FA$42=1,IF(ConActual360=1,ConRate*FA$25/360,ConRate/12),0)</f>
        <v/>
      </c>
      <c r="FB30" s="260">
        <f>IF(Timeline!FB$42=1,IF(ConActual360=1,ConRate*FB$25/360,ConRate/12),0)</f>
        <v/>
      </c>
      <c r="FC30" s="260">
        <f>IF(Timeline!FC$42=1,IF(ConActual360=1,ConRate*FC$25/360,ConRate/12),0)</f>
        <v/>
      </c>
      <c r="FD30" s="260">
        <f>IF(Timeline!FD$42=1,IF(ConActual360=1,ConRate*FD$25/360,ConRate/12),0)</f>
        <v/>
      </c>
      <c r="FE30" s="260">
        <f>IF(Timeline!FE$42=1,IF(ConActual360=1,ConRate*FE$25/360,ConRate/12),0)</f>
        <v/>
      </c>
      <c r="FF30" s="260">
        <f>IF(Timeline!FF$42=1,IF(ConActual360=1,ConRate*FF$25/360,ConRate/12),0)</f>
        <v/>
      </c>
      <c r="FG30" s="260">
        <f>IF(Timeline!FG$42=1,IF(ConActual360=1,ConRate*FG$25/360,ConRate/12),0)</f>
        <v/>
      </c>
      <c r="FH30" s="260">
        <f>IF(Timeline!FH$42=1,IF(ConActual360=1,ConRate*FH$25/360,ConRate/12),0)</f>
        <v/>
      </c>
      <c r="FI30" s="260">
        <f>IF(Timeline!FI$42=1,IF(ConActual360=1,ConRate*FI$25/360,ConRate/12),0)</f>
        <v/>
      </c>
      <c r="FJ30" s="260">
        <f>IF(Timeline!FJ$42=1,IF(ConActual360=1,ConRate*FJ$25/360,ConRate/12),0)</f>
        <v/>
      </c>
      <c r="FK30" s="260">
        <f>IF(Timeline!FK$42=1,IF(ConActual360=1,ConRate*FK$25/360,ConRate/12),0)</f>
        <v/>
      </c>
      <c r="FL30" s="260">
        <f>IF(Timeline!FL$42=1,IF(ConActual360=1,ConRate*FL$25/360,ConRate/12),0)</f>
        <v/>
      </c>
      <c r="FM30" s="260">
        <f>IF(Timeline!FM$42=1,IF(ConActual360=1,ConRate*FM$25/360,ConRate/12),0)</f>
        <v/>
      </c>
      <c r="FN30" s="260">
        <f>IF(Timeline!FN$42=1,IF(ConActual360=1,ConRate*FN$25/360,ConRate/12),0)</f>
        <v/>
      </c>
      <c r="FO30" s="260">
        <f>IF(Timeline!FO$42=1,IF(ConActual360=1,ConRate*FO$25/360,ConRate/12),0)</f>
        <v/>
      </c>
      <c r="FP30" s="260">
        <f>IF(Timeline!FP$42=1,IF(ConActual360=1,ConRate*FP$25/360,ConRate/12),0)</f>
        <v/>
      </c>
      <c r="FQ30" s="260">
        <f>IF(Timeline!FQ$42=1,IF(ConActual360=1,ConRate*FQ$25/360,ConRate/12),0)</f>
        <v/>
      </c>
      <c r="FR30" s="260">
        <f>IF(Timeline!FR$42=1,IF(ConActual360=1,ConRate*FR$25/360,ConRate/12),0)</f>
        <v/>
      </c>
      <c r="FS30" s="260">
        <f>IF(Timeline!FS$42=1,IF(ConActual360=1,ConRate*FS$25/360,ConRate/12),0)</f>
        <v/>
      </c>
      <c r="FT30" s="260">
        <f>IF(Timeline!FT$42=1,IF(ConActual360=1,ConRate*FT$25/360,ConRate/12),0)</f>
        <v/>
      </c>
      <c r="FU30" s="260">
        <f>IF(Timeline!FU$42=1,IF(ConActual360=1,ConRate*FU$25/360,ConRate/12),0)</f>
        <v/>
      </c>
      <c r="FV30" s="260">
        <f>IF(Timeline!FV$42=1,IF(ConActual360=1,ConRate*FV$25/360,ConRate/12),0)</f>
        <v/>
      </c>
      <c r="FW30" s="260">
        <f>IF(Timeline!FW$42=1,IF(ConActual360=1,ConRate*FW$25/360,ConRate/12),0)</f>
        <v/>
      </c>
      <c r="FX30" s="260">
        <f>IF(Timeline!FX$42=1,IF(ConActual360=1,ConRate*FX$25/360,ConRate/12),0)</f>
        <v/>
      </c>
      <c r="FY30" s="260">
        <f>IF(Timeline!FY$42=1,IF(ConActual360=1,ConRate*FY$25/360,ConRate/12),0)</f>
        <v/>
      </c>
      <c r="FZ30" s="260">
        <f>IF(Timeline!FZ$42=1,IF(ConActual360=1,ConRate*FZ$25/360,ConRate/12),0)</f>
        <v/>
      </c>
      <c r="GA30" s="260">
        <f>IF(Timeline!GA$42=1,IF(ConActual360=1,ConRate*GA$25/360,ConRate/12),0)</f>
        <v/>
      </c>
      <c r="GB30" s="260">
        <f>IF(Timeline!GB$42=1,IF(ConActual360=1,ConRate*GB$25/360,ConRate/12),0)</f>
        <v/>
      </c>
      <c r="GC30" s="260">
        <f>IF(Timeline!GC$42=1,IF(ConActual360=1,ConRate*GC$25/360,ConRate/12),0)</f>
        <v/>
      </c>
      <c r="GD30" s="260">
        <f>IF(Timeline!GD$42=1,IF(ConActual360=1,ConRate*GD$25/360,ConRate/12),0)</f>
        <v/>
      </c>
      <c r="GE30" s="260">
        <f>IF(Timeline!GE$42=1,IF(ConActual360=1,ConRate*GE$25/360,ConRate/12),0)</f>
        <v/>
      </c>
      <c r="GF30" s="260">
        <f>IF(Timeline!GF$42=1,IF(ConActual360=1,ConRate*GF$25/360,ConRate/12),0)</f>
        <v/>
      </c>
      <c r="GG30" s="260">
        <f>IF(Timeline!GG$42=1,IF(ConActual360=1,ConRate*GG$25/360,ConRate/12),0)</f>
        <v/>
      </c>
      <c r="GH30" s="260">
        <f>IF(Timeline!GH$42=1,IF(ConActual360=1,ConRate*GH$25/360,ConRate/12),0)</f>
        <v/>
      </c>
      <c r="GI30" s="260">
        <f>IF(Timeline!GI$42=1,IF(ConActual360=1,ConRate*GI$25/360,ConRate/12),0)</f>
        <v/>
      </c>
      <c r="GJ30" s="260">
        <f>IF(Timeline!GJ$42=1,IF(ConActual360=1,ConRate*GJ$25/360,ConRate/12),0)</f>
        <v/>
      </c>
      <c r="GK30" s="260">
        <f>IF(Timeline!GK$42=1,IF(ConActual360=1,ConRate*GK$25/360,ConRate/12),0)</f>
        <v/>
      </c>
      <c r="GL30" s="260">
        <f>IF(Timeline!GL$42=1,IF(ConActual360=1,ConRate*GL$25/360,ConRate/12),0)</f>
        <v/>
      </c>
      <c r="GM30" s="260">
        <f>IF(Timeline!GM$42=1,IF(ConActual360=1,ConRate*GM$25/360,ConRate/12),0)</f>
        <v/>
      </c>
      <c r="GN30" s="260">
        <f>IF(Timeline!GN$42=1,IF(ConActual360=1,ConRate*GN$25/360,ConRate/12),0)</f>
        <v/>
      </c>
      <c r="GO30" s="260">
        <f>IF(Timeline!GO$42=1,IF(ConActual360=1,ConRate*GO$25/360,ConRate/12),0)</f>
        <v/>
      </c>
      <c r="GP30" s="260">
        <f>IF(Timeline!GP$42=1,IF(ConActual360=1,ConRate*GP$25/360,ConRate/12),0)</f>
        <v/>
      </c>
      <c r="GQ30" s="260">
        <f>IF(Timeline!GQ$42=1,IF(ConActual360=1,ConRate*GQ$25/360,ConRate/12),0)</f>
        <v/>
      </c>
      <c r="GR30" s="260">
        <f>IF(Timeline!GR$42=1,IF(ConActual360=1,ConRate*GR$25/360,ConRate/12),0)</f>
        <v/>
      </c>
      <c r="GS30" s="260">
        <f>IF(Timeline!GS$42=1,IF(ConActual360=1,ConRate*GS$25/360,ConRate/12),0)</f>
        <v/>
      </c>
      <c r="GT30" s="260">
        <f>IF(Timeline!GT$42=1,IF(ConActual360=1,ConRate*GT$25/360,ConRate/12),0)</f>
        <v/>
      </c>
      <c r="GU30" s="260">
        <f>IF(Timeline!GU$42=1,IF(ConActual360=1,ConRate*GU$25/360,ConRate/12),0)</f>
        <v/>
      </c>
      <c r="GV30" s="260">
        <f>IF(Timeline!GV$42=1,IF(ConActual360=1,ConRate*GV$25/360,ConRate/12),0)</f>
        <v/>
      </c>
      <c r="GW30" s="260">
        <f>IF(Timeline!GW$42=1,IF(ConActual360=1,ConRate*GW$25/360,ConRate/12),0)</f>
        <v/>
      </c>
      <c r="GX30" s="260">
        <f>IF(Timeline!GX$42=1,IF(ConActual360=1,ConRate*GX$25/360,ConRate/12),0)</f>
        <v/>
      </c>
      <c r="GY30" s="260">
        <f>IF(Timeline!GY$42=1,IF(ConActual360=1,ConRate*GY$25/360,ConRate/12),0)</f>
        <v/>
      </c>
      <c r="GZ30" s="260">
        <f>IF(Timeline!GZ$42=1,IF(ConActual360=1,ConRate*GZ$25/360,ConRate/12),0)</f>
        <v/>
      </c>
      <c r="HA30" s="260">
        <f>IF(Timeline!HA$42=1,IF(ConActual360=1,ConRate*HA$25/360,ConRate/12),0)</f>
        <v/>
      </c>
      <c r="HB30" s="260">
        <f>IF(Timeline!HB$42=1,IF(ConActual360=1,ConRate*HB$25/360,ConRate/12),0)</f>
        <v/>
      </c>
      <c r="HC30" s="260">
        <f>IF(Timeline!HC$42=1,IF(ConActual360=1,ConRate*HC$25/360,ConRate/12),0)</f>
        <v/>
      </c>
      <c r="HD30" s="260">
        <f>IF(Timeline!HD$42=1,IF(ConActual360=1,ConRate*HD$25/360,ConRate/12),0)</f>
        <v/>
      </c>
      <c r="HE30" s="260">
        <f>IF(Timeline!HE$42=1,IF(ConActual360=1,ConRate*HE$25/360,ConRate/12),0)</f>
        <v/>
      </c>
      <c r="HF30" s="260">
        <f>IF(Timeline!HF$42=1,IF(ConActual360=1,ConRate*HF$25/360,ConRate/12),0)</f>
        <v/>
      </c>
      <c r="HG30" s="260">
        <f>IF(Timeline!HG$42=1,IF(ConActual360=1,ConRate*HG$25/360,ConRate/12),0)</f>
        <v/>
      </c>
      <c r="HH30" s="260">
        <f>IF(Timeline!HH$42=1,IF(ConActual360=1,ConRate*HH$25/360,ConRate/12),0)</f>
        <v/>
      </c>
      <c r="HI30" s="260">
        <f>IF(Timeline!HI$42=1,IF(ConActual360=1,ConRate*HI$25/360,ConRate/12),0)</f>
        <v/>
      </c>
      <c r="HJ30" s="260">
        <f>IF(Timeline!HJ$42=1,IF(ConActual360=1,ConRate*HJ$25/360,ConRate/12),0)</f>
        <v/>
      </c>
      <c r="HK30" s="260">
        <f>IF(Timeline!HK$42=1,IF(ConActual360=1,ConRate*HK$25/360,ConRate/12),0)</f>
        <v/>
      </c>
      <c r="HL30" s="260">
        <f>IF(Timeline!HL$42=1,IF(ConActual360=1,ConRate*HL$25/360,ConRate/12),0)</f>
        <v/>
      </c>
      <c r="HM30" s="260">
        <f>IF(Timeline!HM$42=1,IF(ConActual360=1,ConRate*HM$25/360,ConRate/12),0)</f>
        <v/>
      </c>
      <c r="HN30" s="260">
        <f>IF(Timeline!HN$42=1,IF(ConActual360=1,ConRate*HN$25/360,ConRate/12),0)</f>
        <v/>
      </c>
      <c r="HO30" s="260">
        <f>IF(Timeline!HO$42=1,IF(ConActual360=1,ConRate*HO$25/360,ConRate/12),0)</f>
        <v/>
      </c>
      <c r="HP30" s="260">
        <f>IF(Timeline!HP$42=1,IF(ConActual360=1,ConRate*HP$25/360,ConRate/12),0)</f>
        <v/>
      </c>
      <c r="HQ30" s="260">
        <f>IF(Timeline!HQ$42=1,IF(ConActual360=1,ConRate*HQ$25/360,ConRate/12),0)</f>
        <v/>
      </c>
      <c r="HR30" s="260">
        <f>IF(Timeline!HR$42=1,IF(ConActual360=1,ConRate*HR$25/360,ConRate/12),0)</f>
        <v/>
      </c>
      <c r="HS30" s="260">
        <f>IF(Timeline!HS$42=1,IF(ConActual360=1,ConRate*HS$25/360,ConRate/12),0)</f>
        <v/>
      </c>
      <c r="HT30" s="260">
        <f>IF(Timeline!HT$42=1,IF(ConActual360=1,ConRate*HT$25/360,ConRate/12),0)</f>
        <v/>
      </c>
      <c r="HU30" s="260">
        <f>IF(Timeline!HU$42=1,IF(ConActual360=1,ConRate*HU$25/360,ConRate/12),0)</f>
        <v/>
      </c>
      <c r="HV30" s="260">
        <f>IF(Timeline!HV$42=1,IF(ConActual360=1,ConRate*HV$25/360,ConRate/12),0)</f>
        <v/>
      </c>
      <c r="HW30" s="260">
        <f>IF(Timeline!HW$42=1,IF(ConActual360=1,ConRate*HW$25/360,ConRate/12),0)</f>
        <v/>
      </c>
      <c r="HX30" s="260">
        <f>IF(Timeline!HX$42=1,IF(ConActual360=1,ConRate*HX$25/360,ConRate/12),0)</f>
        <v/>
      </c>
      <c r="HY30" s="260">
        <f>IF(Timeline!HY$42=1,IF(ConActual360=1,ConRate*HY$25/360,ConRate/12),0)</f>
        <v/>
      </c>
      <c r="HZ30" s="260">
        <f>IF(Timeline!HZ$42=1,IF(ConActual360=1,ConRate*HZ$25/360,ConRate/12),0)</f>
        <v/>
      </c>
      <c r="IA30" s="260">
        <f>IF(Timeline!IA$42=1,IF(ConActual360=1,ConRate*IA$25/360,ConRate/12),0)</f>
        <v/>
      </c>
      <c r="IB30" s="260">
        <f>IF(Timeline!IB$42=1,IF(ConActual360=1,ConRate*IB$25/360,ConRate/12),0)</f>
        <v/>
      </c>
      <c r="IC30" s="260">
        <f>IF(Timeline!IC$42=1,IF(ConActual360=1,ConRate*IC$25/360,ConRate/12),0)</f>
        <v/>
      </c>
      <c r="ID30" s="260">
        <f>IF(Timeline!ID$42=1,IF(ConActual360=1,ConRate*ID$25/360,ConRate/12),0)</f>
        <v/>
      </c>
      <c r="IE30" s="260">
        <f>IF(Timeline!IE$42=1,IF(ConActual360=1,ConRate*IE$25/360,ConRate/12),0)</f>
        <v/>
      </c>
      <c r="IF30" s="260">
        <f>IF(Timeline!IF$42=1,IF(ConActual360=1,ConRate*IF$25/360,ConRate/12),0)</f>
        <v/>
      </c>
      <c r="IG30" s="260">
        <f>IF(Timeline!IG$42=1,IF(ConActual360=1,ConRate*IG$25/360,ConRate/12),0)</f>
        <v/>
      </c>
      <c r="IH30" s="260">
        <f>IF(Timeline!IH$42=1,IF(ConActual360=1,ConRate*IH$25/360,ConRate/12),0)</f>
        <v/>
      </c>
      <c r="II30" s="260">
        <f>IF(Timeline!II$42=1,IF(ConActual360=1,ConRate*II$25/360,ConRate/12),0)</f>
        <v/>
      </c>
      <c r="IJ30" s="260">
        <f>IF(Timeline!IJ$42=1,IF(ConActual360=1,ConRate*IJ$25/360,ConRate/12),0)</f>
        <v/>
      </c>
      <c r="IK30" s="260">
        <f>IF(Timeline!IK$42=1,IF(ConActual360=1,ConRate*IK$25/360,ConRate/12),0)</f>
        <v/>
      </c>
      <c r="IL30" s="260">
        <f>IF(Timeline!IL$42=1,IF(ConActual360=1,ConRate*IL$25/360,ConRate/12),0)</f>
        <v/>
      </c>
      <c r="IM30" s="260">
        <f>IF(Timeline!IM$42=1,IF(ConActual360=1,ConRate*IM$25/360,ConRate/12),0)</f>
        <v/>
      </c>
      <c r="IN30" s="260">
        <f>IF(Timeline!IN$42=1,IF(ConActual360=1,ConRate*IN$25/360,ConRate/12),0)</f>
        <v/>
      </c>
      <c r="IO30" s="260">
        <f>IF(Timeline!IO$42=1,IF(ConActual360=1,ConRate*IO$25/360,ConRate/12),0)</f>
        <v/>
      </c>
      <c r="IP30" s="260">
        <f>IF(Timeline!IP$42=1,IF(ConActual360=1,ConRate*IP$25/360,ConRate/12),0)</f>
        <v/>
      </c>
      <c r="IQ30" s="260">
        <f>IF(Timeline!IQ$42=1,IF(ConActual360=1,ConRate*IQ$25/360,ConRate/12),0)</f>
        <v/>
      </c>
      <c r="IR30" s="260">
        <f>IF(Timeline!IR$42=1,IF(ConActual360=1,ConRate*IR$25/360,ConRate/12),0)</f>
        <v/>
      </c>
      <c r="IS30" s="260">
        <f>IF(Timeline!IS$42=1,IF(ConActual360=1,ConRate*IS$25/360,ConRate/12),0)</f>
        <v/>
      </c>
      <c r="IT30" s="260">
        <f>IF(Timeline!IT$42=1,IF(ConActual360=1,ConRate*IT$25/360,ConRate/12),0)</f>
        <v/>
      </c>
      <c r="IU30" s="260">
        <f>IF(Timeline!IU$42=1,IF(ConActual360=1,ConRate*IU$25/360,ConRate/12),0)</f>
        <v/>
      </c>
      <c r="IV30" s="260">
        <f>IF(Timeline!IV$42=1,IF(ConActual360=1,ConRate*IV$25/360,ConRate/12),0)</f>
        <v/>
      </c>
      <c r="IW30" s="260">
        <f>IF(Timeline!IW$42=1,IF(ConActual360=1,ConRate*IW$25/360,ConRate/12),0)</f>
        <v/>
      </c>
      <c r="IX30" s="260">
        <f>IF(Timeline!IX$42=1,IF(ConActual360=1,ConRate*IX$25/360,ConRate/12),0)</f>
        <v/>
      </c>
      <c r="IY30" s="260">
        <f>IF(Timeline!IY$42=1,IF(ConActual360=1,ConRate*IY$25/360,ConRate/12),0)</f>
        <v/>
      </c>
      <c r="IZ30" s="260">
        <f>IF(Timeline!IZ$42=1,IF(ConActual360=1,ConRate*IZ$25/360,ConRate/12),0)</f>
        <v/>
      </c>
      <c r="JA30" s="260">
        <f>IF(Timeline!JA$42=1,IF(ConActual360=1,ConRate*JA$25/360,ConRate/12),0)</f>
        <v/>
      </c>
      <c r="JB30" s="260">
        <f>IF(Timeline!JB$42=1,IF(ConActual360=1,ConRate*JB$25/360,ConRate/12),0)</f>
        <v/>
      </c>
      <c r="JC30" s="260">
        <f>IF(Timeline!JC$42=1,IF(ConActual360=1,ConRate*JC$25/360,ConRate/12),0)</f>
        <v/>
      </c>
      <c r="JD30" s="260">
        <f>IF(Timeline!JD$42=1,IF(ConActual360=1,ConRate*JD$25/360,ConRate/12),0)</f>
        <v/>
      </c>
      <c r="JE30" s="260">
        <f>IF(Timeline!JE$42=1,IF(ConActual360=1,ConRate*JE$25/360,ConRate/12),0)</f>
        <v/>
      </c>
      <c r="JF30" s="260">
        <f>IF(Timeline!JF$42=1,IF(ConActual360=1,ConRate*JF$25/360,ConRate/12),0)</f>
        <v/>
      </c>
      <c r="JG30" s="260">
        <f>IF(Timeline!JG$42=1,IF(ConActual360=1,ConRate*JG$25/360,ConRate/12),0)</f>
        <v/>
      </c>
      <c r="JH30" s="260">
        <f>IF(Timeline!JH$42=1,IF(ConActual360=1,ConRate*JH$25/360,ConRate/12),0)</f>
        <v/>
      </c>
      <c r="JI30" s="260">
        <f>IF(Timeline!JI$42=1,IF(ConActual360=1,ConRate*JI$25/360,ConRate/12),0)</f>
        <v/>
      </c>
      <c r="JJ30" s="260">
        <f>IF(Timeline!JJ$42=1,IF(ConActual360=1,ConRate*JJ$25/360,ConRate/12),0)</f>
        <v/>
      </c>
      <c r="JK30" s="260">
        <f>IF(Timeline!JK$42=1,IF(ConActual360=1,ConRate*JK$25/360,ConRate/12),0)</f>
        <v/>
      </c>
      <c r="JL30" s="260">
        <f>IF(Timeline!JL$42=1,IF(ConActual360=1,ConRate*JL$25/360,ConRate/12),0)</f>
        <v/>
      </c>
      <c r="JM30" s="260">
        <f>IF(Timeline!JM$42=1,IF(ConActual360=1,ConRate*JM$25/360,ConRate/12),0)</f>
        <v/>
      </c>
      <c r="JN30" s="260">
        <f>IF(Timeline!JN$42=1,IF(ConActual360=1,ConRate*JN$25/360,ConRate/12),0)</f>
        <v/>
      </c>
      <c r="JO30" s="260">
        <f>IF(Timeline!JO$42=1,IF(ConActual360=1,ConRate*JO$25/360,ConRate/12),0)</f>
        <v/>
      </c>
      <c r="JP30" s="260">
        <f>IF(Timeline!JP$42=1,IF(ConActual360=1,ConRate*JP$25/360,ConRate/12),0)</f>
        <v/>
      </c>
      <c r="JQ30" s="260">
        <f>IF(Timeline!JQ$42=1,IF(ConActual360=1,ConRate*JQ$25/360,ConRate/12),0)</f>
        <v/>
      </c>
      <c r="JR30" s="260">
        <f>IF(Timeline!JR$42=1,IF(ConActual360=1,ConRate*JR$25/360,ConRate/12),0)</f>
        <v/>
      </c>
      <c r="JS30" s="260">
        <f>IF(Timeline!JS$42=1,IF(ConActual360=1,ConRate*JS$25/360,ConRate/12),0)</f>
        <v/>
      </c>
      <c r="JT30" s="260">
        <f>IF(Timeline!JT$42=1,IF(ConActual360=1,ConRate*JT$25/360,ConRate/12),0)</f>
        <v/>
      </c>
      <c r="JU30" s="260">
        <f>IF(Timeline!JU$42=1,IF(ConActual360=1,ConRate*JU$25/360,ConRate/12),0)</f>
        <v/>
      </c>
      <c r="JV30" s="260">
        <f>IF(Timeline!JV$42=1,IF(ConActual360=1,ConRate*JV$25/360,ConRate/12),0)</f>
        <v/>
      </c>
      <c r="JW30" s="260">
        <f>IF(Timeline!JW$42=1,IF(ConActual360=1,ConRate*JW$25/360,ConRate/12),0)</f>
        <v/>
      </c>
      <c r="JX30" s="260">
        <f>IF(Timeline!JX$42=1,IF(ConActual360=1,ConRate*JX$25/360,ConRate/12),0)</f>
        <v/>
      </c>
      <c r="JY30" s="260">
        <f>IF(Timeline!JY$42=1,IF(ConActual360=1,ConRate*JY$25/360,ConRate/12),0)</f>
        <v/>
      </c>
      <c r="JZ30" s="260">
        <f>IF(Timeline!JZ$42=1,IF(ConActual360=1,ConRate*JZ$25/360,ConRate/12),0)</f>
        <v/>
      </c>
      <c r="KA30" s="260">
        <f>IF(Timeline!KA$42=1,IF(ConActual360=1,ConRate*KA$25/360,ConRate/12),0)</f>
        <v/>
      </c>
      <c r="KB30" s="260">
        <f>IF(Timeline!KB$42=1,IF(ConActual360=1,ConRate*KB$25/360,ConRate/12),0)</f>
        <v/>
      </c>
      <c r="KC30" s="260">
        <f>IF(Timeline!KC$42=1,IF(ConActual360=1,ConRate*KC$25/360,ConRate/12),0)</f>
        <v/>
      </c>
      <c r="KD30" s="260">
        <f>IF(Timeline!KD$42=1,IF(ConActual360=1,ConRate*KD$25/360,ConRate/12),0)</f>
        <v/>
      </c>
      <c r="KE30" s="260">
        <f>IF(Timeline!KE$42=1,IF(ConActual360=1,ConRate*KE$25/360,ConRate/12),0)</f>
        <v/>
      </c>
      <c r="KF30" s="260">
        <f>IF(Timeline!KF$42=1,IF(ConActual360=1,ConRate*KF$25/360,ConRate/12),0)</f>
        <v/>
      </c>
      <c r="KG30" s="260">
        <f>IF(Timeline!KG$42=1,IF(ConActual360=1,ConRate*KG$25/360,ConRate/12),0)</f>
        <v/>
      </c>
      <c r="KH30" s="260">
        <f>IF(Timeline!KH$42=1,IF(ConActual360=1,ConRate*KH$25/360,ConRate/12),0)</f>
        <v/>
      </c>
      <c r="KI30" s="260">
        <f>IF(Timeline!KI$42=1,IF(ConActual360=1,ConRate*KI$25/360,ConRate/12),0)</f>
        <v/>
      </c>
      <c r="KJ30" s="260">
        <f>IF(Timeline!KJ$42=1,IF(ConActual360=1,ConRate*KJ$25/360,ConRate/12),0)</f>
        <v/>
      </c>
      <c r="KK30" s="260">
        <f>IF(Timeline!KK$42=1,IF(ConActual360=1,ConRate*KK$25/360,ConRate/12),0)</f>
        <v/>
      </c>
      <c r="KL30" s="260">
        <f>IF(Timeline!KL$42=1,IF(ConActual360=1,ConRate*KL$25/360,ConRate/12),0)</f>
        <v/>
      </c>
      <c r="KM30" s="260">
        <f>IF(Timeline!KM$42=1,IF(ConActual360=1,ConRate*KM$25/360,ConRate/12),0)</f>
        <v/>
      </c>
      <c r="KN30" s="260">
        <f>IF(Timeline!KN$42=1,IF(ConActual360=1,ConRate*KN$25/360,ConRate/12),0)</f>
        <v/>
      </c>
      <c r="KO30" s="260">
        <f>IF(Timeline!KO$42=1,IF(ConActual360=1,ConRate*KO$25/360,ConRate/12),0)</f>
        <v/>
      </c>
      <c r="KP30" s="260">
        <f>IF(Timeline!KP$42=1,IF(ConActual360=1,ConRate*KP$25/360,ConRate/12),0)</f>
        <v/>
      </c>
      <c r="KQ30" s="260">
        <f>IF(Timeline!KQ$42=1,IF(ConActual360=1,ConRate*KQ$25/360,ConRate/12),0)</f>
        <v/>
      </c>
      <c r="KR30" s="260">
        <f>IF(Timeline!KR$42=1,IF(ConActual360=1,ConRate*KR$25/360,ConRate/12),0)</f>
        <v/>
      </c>
      <c r="KS30" s="260">
        <f>IF(Timeline!KS$42=1,IF(ConActual360=1,ConRate*KS$25/360,ConRate/12),0)</f>
        <v/>
      </c>
      <c r="KT30" s="260">
        <f>IF(Timeline!KT$42=1,IF(ConActual360=1,ConRate*KT$25/360,ConRate/12),0)</f>
        <v/>
      </c>
      <c r="KU30" s="260">
        <f>IF(Timeline!KU$42=1,IF(ConActual360=1,ConRate*KU$25/360,ConRate/12),0)</f>
        <v/>
      </c>
      <c r="KV30" s="260">
        <f>IF(Timeline!KV$42=1,IF(ConActual360=1,ConRate*KV$25/360,ConRate/12),0)</f>
        <v/>
      </c>
      <c r="KW30" s="260">
        <f>IF(Timeline!KW$42=1,IF(ConActual360=1,ConRate*KW$25/360,ConRate/12),0)</f>
        <v/>
      </c>
      <c r="KX30" s="260">
        <f>IF(Timeline!KX$42=1,IF(ConActual360=1,ConRate*KX$25/360,ConRate/12),0)</f>
        <v/>
      </c>
      <c r="KY30" s="260">
        <f>IF(Timeline!KY$42=1,IF(ConActual360=1,ConRate*KY$25/360,ConRate/12),0)</f>
        <v/>
      </c>
      <c r="KZ30" s="260">
        <f>IF(Timeline!KZ$42=1,IF(ConActual360=1,ConRate*KZ$25/360,ConRate/12),0)</f>
        <v/>
      </c>
      <c r="LA30" s="260">
        <f>IF(Timeline!LA$42=1,IF(ConActual360=1,ConRate*LA$25/360,ConRate/12),0)</f>
        <v/>
      </c>
      <c r="LB30" s="260">
        <f>IF(Timeline!LB$42=1,IF(ConActual360=1,ConRate*LB$25/360,ConRate/12),0)</f>
        <v/>
      </c>
      <c r="LC30" s="260">
        <f>IF(Timeline!LC$42=1,IF(ConActual360=1,ConRate*LC$25/360,ConRate/12),0)</f>
        <v/>
      </c>
      <c r="LD30" s="260">
        <f>IF(Timeline!LD$42=1,IF(ConActual360=1,ConRate*LD$25/360,ConRate/12),0)</f>
        <v/>
      </c>
      <c r="LE30" s="260">
        <f>IF(Timeline!LE$42=1,IF(ConActual360=1,ConRate*LE$25/360,ConRate/12),0)</f>
        <v/>
      </c>
      <c r="LF30" s="260">
        <f>IF(Timeline!LF$42=1,IF(ConActual360=1,ConRate*LF$25/360,ConRate/12),0)</f>
        <v/>
      </c>
      <c r="LG30" s="260">
        <f>IF(Timeline!LG$42=1,IF(ConActual360=1,ConRate*LG$25/360,ConRate/12),0)</f>
        <v/>
      </c>
      <c r="LH30" s="260">
        <f>IF(Timeline!LH$42=1,IF(ConActual360=1,ConRate*LH$25/360,ConRate/12),0)</f>
        <v/>
      </c>
      <c r="LI30" s="260">
        <f>IF(Timeline!LI$42=1,IF(ConActual360=1,ConRate*LI$25/360,ConRate/12),0)</f>
        <v/>
      </c>
      <c r="LJ30" s="260">
        <f>IF(Timeline!LJ$42=1,IF(ConActual360=1,ConRate*LJ$25/360,ConRate/12),0)</f>
        <v/>
      </c>
      <c r="LK30" s="260">
        <f>IF(Timeline!LK$42=1,IF(ConActual360=1,ConRate*LK$25/360,ConRate/12),0)</f>
        <v/>
      </c>
      <c r="LL30" s="260">
        <f>IF(Timeline!LL$42=1,IF(ConActual360=1,ConRate*LL$25/360,ConRate/12),0)</f>
        <v/>
      </c>
      <c r="LM30" s="260">
        <f>IF(Timeline!LM$42=1,IF(ConActual360=1,ConRate*LM$25/360,ConRate/12),0)</f>
        <v/>
      </c>
      <c r="LN30" s="260">
        <f>IF(Timeline!LN$42=1,IF(ConActual360=1,ConRate*LN$25/360,ConRate/12),0)</f>
        <v/>
      </c>
      <c r="LO30" s="260">
        <f>IF(Timeline!LO$42=1,IF(ConActual360=1,ConRate*LO$25/360,ConRate/12),0)</f>
        <v/>
      </c>
      <c r="LP30" s="260">
        <f>IF(Timeline!LP$42=1,IF(ConActual360=1,ConRate*LP$25/360,ConRate/12),0)</f>
        <v/>
      </c>
      <c r="LQ30" s="260">
        <f>IF(Timeline!LQ$42=1,IF(ConActual360=1,ConRate*LQ$25/360,ConRate/12),0)</f>
        <v/>
      </c>
      <c r="LR30" s="260">
        <f>IF(Timeline!LR$42=1,IF(ConActual360=1,ConRate*LR$25/360,ConRate/12),0)</f>
        <v/>
      </c>
      <c r="LS30" s="260">
        <f>IF(Timeline!LS$42=1,IF(ConActual360=1,ConRate*LS$25/360,ConRate/12),0)</f>
        <v/>
      </c>
      <c r="LT30" s="260">
        <f>IF(Timeline!LT$42=1,IF(ConActual360=1,ConRate*LT$25/360,ConRate/12),0)</f>
        <v/>
      </c>
      <c r="LU30" s="260">
        <f>IF(Timeline!LU$42=1,IF(ConActual360=1,ConRate*LU$25/360,ConRate/12),0)</f>
        <v/>
      </c>
      <c r="LV30" s="260">
        <f>IF(Timeline!LV$42=1,IF(ConActual360=1,ConRate*LV$25/360,ConRate/12),0)</f>
        <v/>
      </c>
      <c r="LW30" s="260">
        <f>IF(Timeline!LW$42=1,IF(ConActual360=1,ConRate*LW$25/360,ConRate/12),0)</f>
        <v/>
      </c>
      <c r="LX30" s="260">
        <f>IF(Timeline!LX$42=1,IF(ConActual360=1,ConRate*LX$25/360,ConRate/12),0)</f>
        <v/>
      </c>
      <c r="LY30" s="260">
        <f>IF(Timeline!LY$42=1,IF(ConActual360=1,ConRate*LY$25/360,ConRate/12),0)</f>
        <v/>
      </c>
      <c r="LZ30" s="260">
        <f>IF(Timeline!LZ$42=1,IF(ConActual360=1,ConRate*LZ$25/360,ConRate/12),0)</f>
        <v/>
      </c>
      <c r="MA30" s="260">
        <f>IF(Timeline!MA$42=1,IF(ConActual360=1,ConRate*MA$25/360,ConRate/12),0)</f>
        <v/>
      </c>
      <c r="MB30" s="260">
        <f>IF(Timeline!MB$42=1,IF(ConActual360=1,ConRate*MB$25/360,ConRate/12),0)</f>
        <v/>
      </c>
      <c r="MC30" s="260">
        <f>IF(Timeline!MC$42=1,IF(ConActual360=1,ConRate*MC$25/360,ConRate/12),0)</f>
        <v/>
      </c>
      <c r="MD30" s="260">
        <f>IF(Timeline!MD$42=1,IF(ConActual360=1,ConRate*MD$25/360,ConRate/12),0)</f>
        <v/>
      </c>
      <c r="ME30" s="260">
        <f>IF(Timeline!ME$42=1,IF(ConActual360=1,ConRate*ME$25/360,ConRate/12),0)</f>
        <v/>
      </c>
      <c r="MF30" s="260">
        <f>IF(Timeline!MF$42=1,IF(ConActual360=1,ConRate*MF$25/360,ConRate/12),0)</f>
        <v/>
      </c>
      <c r="MG30" s="260">
        <f>IF(Timeline!MG$42=1,IF(ConActual360=1,ConRate*MG$25/360,ConRate/12),0)</f>
        <v/>
      </c>
      <c r="MH30" s="260">
        <f>IF(Timeline!MH$42=1,IF(ConActual360=1,ConRate*MH$25/360,ConRate/12),0)</f>
        <v/>
      </c>
      <c r="MI30" s="260">
        <f>IF(Timeline!MI$42=1,IF(ConActual360=1,ConRate*MI$25/360,ConRate/12),0)</f>
        <v/>
      </c>
      <c r="MJ30" s="260">
        <f>IF(Timeline!MJ$42=1,IF(ConActual360=1,ConRate*MJ$25/360,ConRate/12),0)</f>
        <v/>
      </c>
      <c r="MK30" s="260">
        <f>IF(Timeline!MK$42=1,IF(ConActual360=1,ConRate*MK$25/360,ConRate/12),0)</f>
        <v/>
      </c>
      <c r="ML30" s="260">
        <f>IF(Timeline!ML$42=1,IF(ConActual360=1,ConRate*ML$25/360,ConRate/12),0)</f>
        <v/>
      </c>
      <c r="MM30" s="260">
        <f>IF(Timeline!MM$42=1,IF(ConActual360=1,ConRate*MM$25/360,ConRate/12),0)</f>
        <v/>
      </c>
      <c r="MN30" s="260">
        <f>IF(Timeline!MN$42=1,IF(ConActual360=1,ConRate*MN$25/360,ConRate/12),0)</f>
        <v/>
      </c>
      <c r="MO30" s="260">
        <f>IF(Timeline!MO$42=1,IF(ConActual360=1,ConRate*MO$25/360,ConRate/12),0)</f>
        <v/>
      </c>
      <c r="MP30" s="260">
        <f>IF(Timeline!MP$42=1,IF(ConActual360=1,ConRate*MP$25/360,ConRate/12),0)</f>
        <v/>
      </c>
      <c r="MQ30" s="260">
        <f>IF(Timeline!MQ$42=1,IF(ConActual360=1,ConRate*MQ$25/360,ConRate/12),0)</f>
        <v/>
      </c>
      <c r="MR30" s="260">
        <f>IF(Timeline!MR$42=1,IF(ConActual360=1,ConRate*MR$25/360,ConRate/12),0)</f>
        <v/>
      </c>
      <c r="MS30" s="260">
        <f>IF(Timeline!MS$42=1,IF(ConActual360=1,ConRate*MS$25/360,ConRate/12),0)</f>
        <v/>
      </c>
      <c r="MT30" s="260">
        <f>IF(Timeline!MT$42=1,IF(ConActual360=1,ConRate*MT$25/360,ConRate/12),0)</f>
        <v/>
      </c>
      <c r="MU30" s="260">
        <f>IF(Timeline!MU$42=1,IF(ConActual360=1,ConRate*MU$25/360,ConRate/12),0)</f>
        <v/>
      </c>
      <c r="MV30" s="260">
        <f>IF(Timeline!MV$42=1,IF(ConActual360=1,ConRate*MV$25/360,ConRate/12),0)</f>
        <v/>
      </c>
      <c r="MW30" s="260">
        <f>IF(Timeline!MW$42=1,IF(ConActual360=1,ConRate*MW$25/360,ConRate/12),0)</f>
        <v/>
      </c>
      <c r="MX30" s="260">
        <f>IF(Timeline!MX$42=1,IF(ConActual360=1,ConRate*MX$25/360,ConRate/12),0)</f>
        <v/>
      </c>
      <c r="MY30" s="260">
        <f>IF(Timeline!MY$42=1,IF(ConActual360=1,ConRate*MY$25/360,ConRate/12),0)</f>
        <v/>
      </c>
      <c r="MZ30" s="260">
        <f>IF(Timeline!MZ$42=1,IF(ConActual360=1,ConRate*MZ$25/360,ConRate/12),0)</f>
        <v/>
      </c>
      <c r="NA30" s="260">
        <f>IF(Timeline!NA$42=1,IF(ConActual360=1,ConRate*NA$25/360,ConRate/12),0)</f>
        <v/>
      </c>
      <c r="NB30" s="260">
        <f>IF(Timeline!NB$42=1,IF(ConActual360=1,ConRate*NB$25/360,ConRate/12),0)</f>
        <v/>
      </c>
      <c r="NC30" s="260">
        <f>IF(Timeline!NC$42=1,IF(ConActual360=1,ConRate*NC$25/360,ConRate/12),0)</f>
        <v/>
      </c>
      <c r="ND30" s="260">
        <f>IF(Timeline!ND$42=1,IF(ConActual360=1,ConRate*ND$25/360,ConRate/12),0)</f>
        <v/>
      </c>
      <c r="NE30" s="260">
        <f>IF(Timeline!NE$42=1,IF(ConActual360=1,ConRate*NE$25/360,ConRate/12),0)</f>
        <v/>
      </c>
      <c r="NF30" s="260">
        <f>IF(Timeline!NF$42=1,IF(ConActual360=1,ConRate*NF$25/360,ConRate/12),0)</f>
        <v/>
      </c>
      <c r="NG30" s="260">
        <f>IF(Timeline!NG$42=1,IF(ConActual360=1,ConRate*NG$25/360,ConRate/12),0)</f>
        <v/>
      </c>
      <c r="NH30" s="260">
        <f>IF(Timeline!NH$42=1,IF(ConActual360=1,ConRate*NH$25/360,ConRate/12),0)</f>
        <v/>
      </c>
      <c r="NI30" s="260">
        <f>IF(Timeline!NI$42=1,IF(ConActual360=1,ConRate*NI$25/360,ConRate/12),0)</f>
        <v/>
      </c>
      <c r="NJ30" s="260">
        <f>IF(Timeline!NJ$42=1,IF(ConActual360=1,ConRate*NJ$25/360,ConRate/12),0)</f>
        <v/>
      </c>
      <c r="NK30" s="260">
        <f>IF(Timeline!NK$42=1,IF(ConActual360=1,ConRate*NK$25/360,ConRate/12),0)</f>
        <v/>
      </c>
      <c r="NL30" s="260">
        <f>IF(Timeline!NL$42=1,IF(ConActual360=1,ConRate*NL$25/360,ConRate/12),0)</f>
        <v/>
      </c>
    </row>
    <row r="31">
      <c r="B31" s="36" t="inlineStr">
        <is>
          <t>Interest Accrued (capitalized)</t>
        </is>
      </c>
      <c r="D31" s="258">
        <f>SUM(E31:NL31)</f>
        <v/>
      </c>
      <c r="E31" s="218">
        <f>E$30*(0)</f>
        <v/>
      </c>
      <c r="F31" s="218">
        <f>F$30*(E$32)</f>
        <v/>
      </c>
      <c r="G31" s="218">
        <f>G$30*(F$32)</f>
        <v/>
      </c>
      <c r="H31" s="218">
        <f>H$30*(G$32)</f>
        <v/>
      </c>
      <c r="I31" s="218">
        <f>I$30*(H$32)</f>
        <v/>
      </c>
      <c r="J31" s="218">
        <f>J$30*(I$32)</f>
        <v/>
      </c>
      <c r="K31" s="218">
        <f>K$30*(J$32)</f>
        <v/>
      </c>
      <c r="L31" s="218">
        <f>L$30*(K$32)</f>
        <v/>
      </c>
      <c r="M31" s="218">
        <f>M$30*(L$32)</f>
        <v/>
      </c>
      <c r="N31" s="218">
        <f>N$30*(M$32)</f>
        <v/>
      </c>
      <c r="O31" s="218">
        <f>O$30*(N$32)</f>
        <v/>
      </c>
      <c r="P31" s="218">
        <f>P$30*(O$32)</f>
        <v/>
      </c>
      <c r="Q31" s="218">
        <f>Q$30*(P$32)</f>
        <v/>
      </c>
      <c r="R31" s="218">
        <f>R$30*(Q$32)</f>
        <v/>
      </c>
      <c r="S31" s="218">
        <f>S$30*(R$32)</f>
        <v/>
      </c>
      <c r="T31" s="218">
        <f>T$30*(S$32)</f>
        <v/>
      </c>
      <c r="U31" s="218">
        <f>U$30*(T$32)</f>
        <v/>
      </c>
      <c r="V31" s="218">
        <f>V$30*(U$32)</f>
        <v/>
      </c>
      <c r="W31" s="218">
        <f>W$30*(V$32)</f>
        <v/>
      </c>
      <c r="X31" s="218">
        <f>X$30*(W$32)</f>
        <v/>
      </c>
      <c r="Y31" s="218">
        <f>Y$30*(X$32)</f>
        <v/>
      </c>
      <c r="Z31" s="218">
        <f>Z$30*(Y$32)</f>
        <v/>
      </c>
      <c r="AA31" s="218">
        <f>AA$30*(Z$32)</f>
        <v/>
      </c>
      <c r="AB31" s="218">
        <f>AB$30*(AA$32)</f>
        <v/>
      </c>
      <c r="AC31" s="218">
        <f>AC$30*(AB$32)</f>
        <v/>
      </c>
      <c r="AD31" s="218">
        <f>AD$30*(AC$32)</f>
        <v/>
      </c>
      <c r="AE31" s="218">
        <f>AE$30*(AD$32)</f>
        <v/>
      </c>
      <c r="AF31" s="218">
        <f>AF$30*(AE$32)</f>
        <v/>
      </c>
      <c r="AG31" s="218">
        <f>AG$30*(AF$32)</f>
        <v/>
      </c>
      <c r="AH31" s="218">
        <f>AH$30*(AG$32)</f>
        <v/>
      </c>
      <c r="AI31" s="218">
        <f>AI$30*(AH$32)</f>
        <v/>
      </c>
      <c r="AJ31" s="218">
        <f>AJ$30*(AI$32)</f>
        <v/>
      </c>
      <c r="AK31" s="218">
        <f>AK$30*(AJ$32)</f>
        <v/>
      </c>
      <c r="AL31" s="218">
        <f>AL$30*(AK$32)</f>
        <v/>
      </c>
      <c r="AM31" s="218">
        <f>AM$30*(AL$32)</f>
        <v/>
      </c>
      <c r="AN31" s="218">
        <f>AN$30*(AM$32)</f>
        <v/>
      </c>
      <c r="AO31" s="218">
        <f>AO$30*(AN$32)</f>
        <v/>
      </c>
      <c r="AP31" s="218">
        <f>AP$30*(AO$32)</f>
        <v/>
      </c>
      <c r="AQ31" s="218">
        <f>AQ$30*(AP$32)</f>
        <v/>
      </c>
      <c r="AR31" s="218">
        <f>AR$30*(AQ$32)</f>
        <v/>
      </c>
      <c r="AS31" s="218">
        <f>AS$30*(AR$32)</f>
        <v/>
      </c>
      <c r="AT31" s="218">
        <f>AT$30*(AS$32)</f>
        <v/>
      </c>
      <c r="AU31" s="218">
        <f>AU$30*(AT$32)</f>
        <v/>
      </c>
      <c r="AV31" s="218">
        <f>AV$30*(AU$32)</f>
        <v/>
      </c>
      <c r="AW31" s="218">
        <f>AW$30*(AV$32)</f>
        <v/>
      </c>
      <c r="AX31" s="218">
        <f>AX$30*(AW$32)</f>
        <v/>
      </c>
      <c r="AY31" s="218">
        <f>AY$30*(AX$32)</f>
        <v/>
      </c>
      <c r="AZ31" s="218">
        <f>AZ$30*(AY$32)</f>
        <v/>
      </c>
      <c r="BA31" s="218">
        <f>BA$30*(AZ$32)</f>
        <v/>
      </c>
      <c r="BB31" s="218">
        <f>BB$30*(BA$32)</f>
        <v/>
      </c>
      <c r="BC31" s="218">
        <f>BC$30*(BB$32)</f>
        <v/>
      </c>
      <c r="BD31" s="218">
        <f>BD$30*(BC$32)</f>
        <v/>
      </c>
      <c r="BE31" s="218">
        <f>BE$30*(BD$32)</f>
        <v/>
      </c>
      <c r="BF31" s="218">
        <f>BF$30*(BE$32)</f>
        <v/>
      </c>
      <c r="BG31" s="218">
        <f>BG$30*(BF$32)</f>
        <v/>
      </c>
      <c r="BH31" s="218">
        <f>BH$30*(BG$32)</f>
        <v/>
      </c>
      <c r="BI31" s="218">
        <f>BI$30*(BH$32)</f>
        <v/>
      </c>
      <c r="BJ31" s="218">
        <f>BJ$30*(BI$32)</f>
        <v/>
      </c>
      <c r="BK31" s="218">
        <f>BK$30*(BJ$32)</f>
        <v/>
      </c>
      <c r="BL31" s="218">
        <f>BL$30*(BK$32)</f>
        <v/>
      </c>
      <c r="BM31" s="218">
        <f>BM$30*(BL$32)</f>
        <v/>
      </c>
      <c r="BN31" s="218">
        <f>BN$30*(BM$32)</f>
        <v/>
      </c>
      <c r="BO31" s="218">
        <f>BO$30*(BN$32)</f>
        <v/>
      </c>
      <c r="BP31" s="218">
        <f>BP$30*(BO$32)</f>
        <v/>
      </c>
      <c r="BQ31" s="218">
        <f>BQ$30*(BP$32)</f>
        <v/>
      </c>
      <c r="BR31" s="218">
        <f>BR$30*(BQ$32)</f>
        <v/>
      </c>
      <c r="BS31" s="218">
        <f>BS$30*(BR$32)</f>
        <v/>
      </c>
      <c r="BT31" s="218">
        <f>BT$30*(BS$32)</f>
        <v/>
      </c>
      <c r="BU31" s="218">
        <f>BU$30*(BT$32)</f>
        <v/>
      </c>
      <c r="BV31" s="218">
        <f>BV$30*(BU$32)</f>
        <v/>
      </c>
      <c r="BW31" s="218">
        <f>BW$30*(BV$32)</f>
        <v/>
      </c>
      <c r="BX31" s="218">
        <f>BX$30*(BW$32)</f>
        <v/>
      </c>
      <c r="BY31" s="218">
        <f>BY$30*(BX$32)</f>
        <v/>
      </c>
      <c r="BZ31" s="218">
        <f>BZ$30*(BY$32)</f>
        <v/>
      </c>
      <c r="CA31" s="218">
        <f>CA$30*(BZ$32)</f>
        <v/>
      </c>
      <c r="CB31" s="218">
        <f>CB$30*(CA$32)</f>
        <v/>
      </c>
      <c r="CC31" s="218">
        <f>CC$30*(CB$32)</f>
        <v/>
      </c>
      <c r="CD31" s="218">
        <f>CD$30*(CC$32)</f>
        <v/>
      </c>
      <c r="CE31" s="218">
        <f>CE$30*(CD$32)</f>
        <v/>
      </c>
      <c r="CF31" s="218">
        <f>CF$30*(CE$32)</f>
        <v/>
      </c>
      <c r="CG31" s="218">
        <f>CG$30*(CF$32)</f>
        <v/>
      </c>
      <c r="CH31" s="218">
        <f>CH$30*(CG$32)</f>
        <v/>
      </c>
      <c r="CI31" s="218">
        <f>CI$30*(CH$32)</f>
        <v/>
      </c>
      <c r="CJ31" s="218">
        <f>CJ$30*(CI$32)</f>
        <v/>
      </c>
      <c r="CK31" s="218">
        <f>CK$30*(CJ$32)</f>
        <v/>
      </c>
      <c r="CL31" s="218">
        <f>CL$30*(CK$32)</f>
        <v/>
      </c>
      <c r="CM31" s="218">
        <f>CM$30*(CL$32)</f>
        <v/>
      </c>
      <c r="CN31" s="218">
        <f>CN$30*(CM$32)</f>
        <v/>
      </c>
      <c r="CO31" s="218">
        <f>CO$30*(CN$32)</f>
        <v/>
      </c>
      <c r="CP31" s="218">
        <f>CP$30*(CO$32)</f>
        <v/>
      </c>
      <c r="CQ31" s="218">
        <f>CQ$30*(CP$32)</f>
        <v/>
      </c>
      <c r="CR31" s="218">
        <f>CR$30*(CQ$32)</f>
        <v/>
      </c>
      <c r="CS31" s="218">
        <f>CS$30*(CR$32)</f>
        <v/>
      </c>
      <c r="CT31" s="218">
        <f>CT$30*(CS$32)</f>
        <v/>
      </c>
      <c r="CU31" s="218">
        <f>CU$30*(CT$32)</f>
        <v/>
      </c>
      <c r="CV31" s="218">
        <f>CV$30*(CU$32)</f>
        <v/>
      </c>
      <c r="CW31" s="218">
        <f>CW$30*(CV$32)</f>
        <v/>
      </c>
      <c r="CX31" s="218">
        <f>CX$30*(CW$32)</f>
        <v/>
      </c>
      <c r="CY31" s="218">
        <f>CY$30*(CX$32)</f>
        <v/>
      </c>
      <c r="CZ31" s="218">
        <f>CZ$30*(CY$32)</f>
        <v/>
      </c>
      <c r="DA31" s="218">
        <f>DA$30*(CZ$32)</f>
        <v/>
      </c>
      <c r="DB31" s="218">
        <f>DB$30*(DA$32)</f>
        <v/>
      </c>
      <c r="DC31" s="218">
        <f>DC$30*(DB$32)</f>
        <v/>
      </c>
      <c r="DD31" s="218">
        <f>DD$30*(DC$32)</f>
        <v/>
      </c>
      <c r="DE31" s="218">
        <f>DE$30*(DD$32)</f>
        <v/>
      </c>
      <c r="DF31" s="218">
        <f>DF$30*(DE$32)</f>
        <v/>
      </c>
      <c r="DG31" s="218">
        <f>DG$30*(DF$32)</f>
        <v/>
      </c>
      <c r="DH31" s="218">
        <f>DH$30*(DG$32)</f>
        <v/>
      </c>
      <c r="DI31" s="218">
        <f>DI$30*(DH$32)</f>
        <v/>
      </c>
      <c r="DJ31" s="218">
        <f>DJ$30*(DI$32)</f>
        <v/>
      </c>
      <c r="DK31" s="218">
        <f>DK$30*(DJ$32)</f>
        <v/>
      </c>
      <c r="DL31" s="218">
        <f>DL$30*(DK$32)</f>
        <v/>
      </c>
      <c r="DM31" s="218">
        <f>DM$30*(DL$32)</f>
        <v/>
      </c>
      <c r="DN31" s="218">
        <f>DN$30*(DM$32)</f>
        <v/>
      </c>
      <c r="DO31" s="218">
        <f>DO$30*(DN$32)</f>
        <v/>
      </c>
      <c r="DP31" s="218">
        <f>DP$30*(DO$32)</f>
        <v/>
      </c>
      <c r="DQ31" s="218">
        <f>DQ$30*(DP$32)</f>
        <v/>
      </c>
      <c r="DR31" s="218">
        <f>DR$30*(DQ$32)</f>
        <v/>
      </c>
      <c r="DS31" s="218">
        <f>DS$30*(DR$32)</f>
        <v/>
      </c>
      <c r="DT31" s="218">
        <f>DT$30*(DS$32)</f>
        <v/>
      </c>
      <c r="DU31" s="218">
        <f>DU$30*(DT$32)</f>
        <v/>
      </c>
      <c r="DV31" s="218">
        <f>DV$30*(DU$32)</f>
        <v/>
      </c>
      <c r="DW31" s="218">
        <f>DW$30*(DV$32)</f>
        <v/>
      </c>
      <c r="DX31" s="218">
        <f>DX$30*(DW$32)</f>
        <v/>
      </c>
      <c r="DY31" s="218">
        <f>DY$30*(DX$32)</f>
        <v/>
      </c>
      <c r="DZ31" s="218">
        <f>DZ$30*(DY$32)</f>
        <v/>
      </c>
      <c r="EA31" s="218">
        <f>EA$30*(DZ$32)</f>
        <v/>
      </c>
      <c r="EB31" s="218">
        <f>EB$30*(EA$32)</f>
        <v/>
      </c>
      <c r="EC31" s="218">
        <f>EC$30*(EB$32)</f>
        <v/>
      </c>
      <c r="ED31" s="218">
        <f>ED$30*(EC$32)</f>
        <v/>
      </c>
      <c r="EE31" s="218">
        <f>EE$30*(ED$32)</f>
        <v/>
      </c>
      <c r="EF31" s="218">
        <f>EF$30*(EE$32)</f>
        <v/>
      </c>
      <c r="EG31" s="218">
        <f>EG$30*(EF$32)</f>
        <v/>
      </c>
      <c r="EH31" s="218">
        <f>EH$30*(EG$32)</f>
        <v/>
      </c>
      <c r="EI31" s="218">
        <f>EI$30*(EH$32)</f>
        <v/>
      </c>
      <c r="EJ31" s="218">
        <f>EJ$30*(EI$32)</f>
        <v/>
      </c>
      <c r="EK31" s="218">
        <f>EK$30*(EJ$32)</f>
        <v/>
      </c>
      <c r="EL31" s="218">
        <f>EL$30*(EK$32)</f>
        <v/>
      </c>
      <c r="EM31" s="218">
        <f>EM$30*(EL$32)</f>
        <v/>
      </c>
      <c r="EN31" s="218">
        <f>EN$30*(EM$32)</f>
        <v/>
      </c>
      <c r="EO31" s="218">
        <f>EO$30*(EN$32)</f>
        <v/>
      </c>
      <c r="EP31" s="218">
        <f>EP$30*(EO$32)</f>
        <v/>
      </c>
      <c r="EQ31" s="218">
        <f>EQ$30*(EP$32)</f>
        <v/>
      </c>
      <c r="ER31" s="218">
        <f>ER$30*(EQ$32)</f>
        <v/>
      </c>
      <c r="ES31" s="218">
        <f>ES$30*(ER$32)</f>
        <v/>
      </c>
      <c r="ET31" s="218">
        <f>ET$30*(ES$32)</f>
        <v/>
      </c>
      <c r="EU31" s="218">
        <f>EU$30*(ET$32)</f>
        <v/>
      </c>
      <c r="EV31" s="218">
        <f>EV$30*(EU$32)</f>
        <v/>
      </c>
      <c r="EW31" s="218">
        <f>EW$30*(EV$32)</f>
        <v/>
      </c>
      <c r="EX31" s="218">
        <f>EX$30*(EW$32)</f>
        <v/>
      </c>
      <c r="EY31" s="218">
        <f>EY$30*(EX$32)</f>
        <v/>
      </c>
      <c r="EZ31" s="218">
        <f>EZ$30*(EY$32)</f>
        <v/>
      </c>
      <c r="FA31" s="218">
        <f>FA$30*(EZ$32)</f>
        <v/>
      </c>
      <c r="FB31" s="218">
        <f>FB$30*(FA$32)</f>
        <v/>
      </c>
      <c r="FC31" s="218">
        <f>FC$30*(FB$32)</f>
        <v/>
      </c>
      <c r="FD31" s="218">
        <f>FD$30*(FC$32)</f>
        <v/>
      </c>
      <c r="FE31" s="218">
        <f>FE$30*(FD$32)</f>
        <v/>
      </c>
      <c r="FF31" s="218">
        <f>FF$30*(FE$32)</f>
        <v/>
      </c>
      <c r="FG31" s="218">
        <f>FG$30*(FF$32)</f>
        <v/>
      </c>
      <c r="FH31" s="218">
        <f>FH$30*(FG$32)</f>
        <v/>
      </c>
      <c r="FI31" s="218">
        <f>FI$30*(FH$32)</f>
        <v/>
      </c>
      <c r="FJ31" s="218">
        <f>FJ$30*(FI$32)</f>
        <v/>
      </c>
      <c r="FK31" s="218">
        <f>FK$30*(FJ$32)</f>
        <v/>
      </c>
      <c r="FL31" s="218">
        <f>FL$30*(FK$32)</f>
        <v/>
      </c>
      <c r="FM31" s="218">
        <f>FM$30*(FL$32)</f>
        <v/>
      </c>
      <c r="FN31" s="218">
        <f>FN$30*(FM$32)</f>
        <v/>
      </c>
      <c r="FO31" s="218">
        <f>FO$30*(FN$32)</f>
        <v/>
      </c>
      <c r="FP31" s="218">
        <f>FP$30*(FO$32)</f>
        <v/>
      </c>
      <c r="FQ31" s="218">
        <f>FQ$30*(FP$32)</f>
        <v/>
      </c>
      <c r="FR31" s="218">
        <f>FR$30*(FQ$32)</f>
        <v/>
      </c>
      <c r="FS31" s="218">
        <f>FS$30*(FR$32)</f>
        <v/>
      </c>
      <c r="FT31" s="218">
        <f>FT$30*(FS$32)</f>
        <v/>
      </c>
      <c r="FU31" s="218">
        <f>FU$30*(FT$32)</f>
        <v/>
      </c>
      <c r="FV31" s="218">
        <f>FV$30*(FU$32)</f>
        <v/>
      </c>
      <c r="FW31" s="218">
        <f>FW$30*(FV$32)</f>
        <v/>
      </c>
      <c r="FX31" s="218">
        <f>FX$30*(FW$32)</f>
        <v/>
      </c>
      <c r="FY31" s="218">
        <f>FY$30*(FX$32)</f>
        <v/>
      </c>
      <c r="FZ31" s="218">
        <f>FZ$30*(FY$32)</f>
        <v/>
      </c>
      <c r="GA31" s="218">
        <f>GA$30*(FZ$32)</f>
        <v/>
      </c>
      <c r="GB31" s="218">
        <f>GB$30*(GA$32)</f>
        <v/>
      </c>
      <c r="GC31" s="218">
        <f>GC$30*(GB$32)</f>
        <v/>
      </c>
      <c r="GD31" s="218">
        <f>GD$30*(GC$32)</f>
        <v/>
      </c>
      <c r="GE31" s="218">
        <f>GE$30*(GD$32)</f>
        <v/>
      </c>
      <c r="GF31" s="218">
        <f>GF$30*(GE$32)</f>
        <v/>
      </c>
      <c r="GG31" s="218">
        <f>GG$30*(GF$32)</f>
        <v/>
      </c>
      <c r="GH31" s="218">
        <f>GH$30*(GG$32)</f>
        <v/>
      </c>
      <c r="GI31" s="218">
        <f>GI$30*(GH$32)</f>
        <v/>
      </c>
      <c r="GJ31" s="218">
        <f>GJ$30*(GI$32)</f>
        <v/>
      </c>
      <c r="GK31" s="218">
        <f>GK$30*(GJ$32)</f>
        <v/>
      </c>
      <c r="GL31" s="218">
        <f>GL$30*(GK$32)</f>
        <v/>
      </c>
      <c r="GM31" s="218">
        <f>GM$30*(GL$32)</f>
        <v/>
      </c>
      <c r="GN31" s="218">
        <f>GN$30*(GM$32)</f>
        <v/>
      </c>
      <c r="GO31" s="218">
        <f>GO$30*(GN$32)</f>
        <v/>
      </c>
      <c r="GP31" s="218">
        <f>GP$30*(GO$32)</f>
        <v/>
      </c>
      <c r="GQ31" s="218">
        <f>GQ$30*(GP$32)</f>
        <v/>
      </c>
      <c r="GR31" s="218">
        <f>GR$30*(GQ$32)</f>
        <v/>
      </c>
      <c r="GS31" s="218">
        <f>GS$30*(GR$32)</f>
        <v/>
      </c>
      <c r="GT31" s="218">
        <f>GT$30*(GS$32)</f>
        <v/>
      </c>
      <c r="GU31" s="218">
        <f>GU$30*(GT$32)</f>
        <v/>
      </c>
      <c r="GV31" s="218">
        <f>GV$30*(GU$32)</f>
        <v/>
      </c>
      <c r="GW31" s="218">
        <f>GW$30*(GV$32)</f>
        <v/>
      </c>
      <c r="GX31" s="218">
        <f>GX$30*(GW$32)</f>
        <v/>
      </c>
      <c r="GY31" s="218">
        <f>GY$30*(GX$32)</f>
        <v/>
      </c>
      <c r="GZ31" s="218">
        <f>GZ$30*(GY$32)</f>
        <v/>
      </c>
      <c r="HA31" s="218">
        <f>HA$30*(GZ$32)</f>
        <v/>
      </c>
      <c r="HB31" s="218">
        <f>HB$30*(HA$32)</f>
        <v/>
      </c>
      <c r="HC31" s="218">
        <f>HC$30*(HB$32)</f>
        <v/>
      </c>
      <c r="HD31" s="218">
        <f>HD$30*(HC$32)</f>
        <v/>
      </c>
      <c r="HE31" s="218">
        <f>HE$30*(HD$32)</f>
        <v/>
      </c>
      <c r="HF31" s="218">
        <f>HF$30*(HE$32)</f>
        <v/>
      </c>
      <c r="HG31" s="218">
        <f>HG$30*(HF$32)</f>
        <v/>
      </c>
      <c r="HH31" s="218">
        <f>HH$30*(HG$32)</f>
        <v/>
      </c>
      <c r="HI31" s="218">
        <f>HI$30*(HH$32)</f>
        <v/>
      </c>
      <c r="HJ31" s="218">
        <f>HJ$30*(HI$32)</f>
        <v/>
      </c>
      <c r="HK31" s="218">
        <f>HK$30*(HJ$32)</f>
        <v/>
      </c>
      <c r="HL31" s="218">
        <f>HL$30*(HK$32)</f>
        <v/>
      </c>
      <c r="HM31" s="218">
        <f>HM$30*(HL$32)</f>
        <v/>
      </c>
      <c r="HN31" s="218">
        <f>HN$30*(HM$32)</f>
        <v/>
      </c>
      <c r="HO31" s="218">
        <f>HO$30*(HN$32)</f>
        <v/>
      </c>
      <c r="HP31" s="218">
        <f>HP$30*(HO$32)</f>
        <v/>
      </c>
      <c r="HQ31" s="218">
        <f>HQ$30*(HP$32)</f>
        <v/>
      </c>
      <c r="HR31" s="218">
        <f>HR$30*(HQ$32)</f>
        <v/>
      </c>
      <c r="HS31" s="218">
        <f>HS$30*(HR$32)</f>
        <v/>
      </c>
      <c r="HT31" s="218">
        <f>HT$30*(HS$32)</f>
        <v/>
      </c>
      <c r="HU31" s="218">
        <f>HU$30*(HT$32)</f>
        <v/>
      </c>
      <c r="HV31" s="218">
        <f>HV$30*(HU$32)</f>
        <v/>
      </c>
      <c r="HW31" s="218">
        <f>HW$30*(HV$32)</f>
        <v/>
      </c>
      <c r="HX31" s="218">
        <f>HX$30*(HW$32)</f>
        <v/>
      </c>
      <c r="HY31" s="218">
        <f>HY$30*(HX$32)</f>
        <v/>
      </c>
      <c r="HZ31" s="218">
        <f>HZ$30*(HY$32)</f>
        <v/>
      </c>
      <c r="IA31" s="218">
        <f>IA$30*(HZ$32)</f>
        <v/>
      </c>
      <c r="IB31" s="218">
        <f>IB$30*(IA$32)</f>
        <v/>
      </c>
      <c r="IC31" s="218">
        <f>IC$30*(IB$32)</f>
        <v/>
      </c>
      <c r="ID31" s="218">
        <f>ID$30*(IC$32)</f>
        <v/>
      </c>
      <c r="IE31" s="218">
        <f>IE$30*(ID$32)</f>
        <v/>
      </c>
      <c r="IF31" s="218">
        <f>IF$30*(IE$32)</f>
        <v/>
      </c>
      <c r="IG31" s="218">
        <f>IG$30*(IF$32)</f>
        <v/>
      </c>
      <c r="IH31" s="218">
        <f>IH$30*(IG$32)</f>
        <v/>
      </c>
      <c r="II31" s="218">
        <f>II$30*(IH$32)</f>
        <v/>
      </c>
      <c r="IJ31" s="218">
        <f>IJ$30*(II$32)</f>
        <v/>
      </c>
      <c r="IK31" s="218">
        <f>IK$30*(IJ$32)</f>
        <v/>
      </c>
      <c r="IL31" s="218">
        <f>IL$30*(IK$32)</f>
        <v/>
      </c>
      <c r="IM31" s="218">
        <f>IM$30*(IL$32)</f>
        <v/>
      </c>
      <c r="IN31" s="218">
        <f>IN$30*(IM$32)</f>
        <v/>
      </c>
      <c r="IO31" s="218">
        <f>IO$30*(IN$32)</f>
        <v/>
      </c>
      <c r="IP31" s="218">
        <f>IP$30*(IO$32)</f>
        <v/>
      </c>
      <c r="IQ31" s="218">
        <f>IQ$30*(IP$32)</f>
        <v/>
      </c>
      <c r="IR31" s="218">
        <f>IR$30*(IQ$32)</f>
        <v/>
      </c>
      <c r="IS31" s="218">
        <f>IS$30*(IR$32)</f>
        <v/>
      </c>
      <c r="IT31" s="218">
        <f>IT$30*(IS$32)</f>
        <v/>
      </c>
      <c r="IU31" s="218">
        <f>IU$30*(IT$32)</f>
        <v/>
      </c>
      <c r="IV31" s="218">
        <f>IV$30*(IU$32)</f>
        <v/>
      </c>
      <c r="IW31" s="218">
        <f>IW$30*(IV$32)</f>
        <v/>
      </c>
      <c r="IX31" s="218">
        <f>IX$30*(IW$32)</f>
        <v/>
      </c>
      <c r="IY31" s="218">
        <f>IY$30*(IX$32)</f>
        <v/>
      </c>
      <c r="IZ31" s="218">
        <f>IZ$30*(IY$32)</f>
        <v/>
      </c>
      <c r="JA31" s="218">
        <f>JA$30*(IZ$32)</f>
        <v/>
      </c>
      <c r="JB31" s="218">
        <f>JB$30*(JA$32)</f>
        <v/>
      </c>
      <c r="JC31" s="218">
        <f>JC$30*(JB$32)</f>
        <v/>
      </c>
      <c r="JD31" s="218">
        <f>JD$30*(JC$32)</f>
        <v/>
      </c>
      <c r="JE31" s="218">
        <f>JE$30*(JD$32)</f>
        <v/>
      </c>
      <c r="JF31" s="218">
        <f>JF$30*(JE$32)</f>
        <v/>
      </c>
      <c r="JG31" s="218">
        <f>JG$30*(JF$32)</f>
        <v/>
      </c>
      <c r="JH31" s="218">
        <f>JH$30*(JG$32)</f>
        <v/>
      </c>
      <c r="JI31" s="218">
        <f>JI$30*(JH$32)</f>
        <v/>
      </c>
      <c r="JJ31" s="218">
        <f>JJ$30*(JI$32)</f>
        <v/>
      </c>
      <c r="JK31" s="218">
        <f>JK$30*(JJ$32)</f>
        <v/>
      </c>
      <c r="JL31" s="218">
        <f>JL$30*(JK$32)</f>
        <v/>
      </c>
      <c r="JM31" s="218">
        <f>JM$30*(JL$32)</f>
        <v/>
      </c>
      <c r="JN31" s="218">
        <f>JN$30*(JM$32)</f>
        <v/>
      </c>
      <c r="JO31" s="218">
        <f>JO$30*(JN$32)</f>
        <v/>
      </c>
      <c r="JP31" s="218">
        <f>JP$30*(JO$32)</f>
        <v/>
      </c>
      <c r="JQ31" s="218">
        <f>JQ$30*(JP$32)</f>
        <v/>
      </c>
      <c r="JR31" s="218">
        <f>JR$30*(JQ$32)</f>
        <v/>
      </c>
      <c r="JS31" s="218">
        <f>JS$30*(JR$32)</f>
        <v/>
      </c>
      <c r="JT31" s="218">
        <f>JT$30*(JS$32)</f>
        <v/>
      </c>
      <c r="JU31" s="218">
        <f>JU$30*(JT$32)</f>
        <v/>
      </c>
      <c r="JV31" s="218">
        <f>JV$30*(JU$32)</f>
        <v/>
      </c>
      <c r="JW31" s="218">
        <f>JW$30*(JV$32)</f>
        <v/>
      </c>
      <c r="JX31" s="218">
        <f>JX$30*(JW$32)</f>
        <v/>
      </c>
      <c r="JY31" s="218">
        <f>JY$30*(JX$32)</f>
        <v/>
      </c>
      <c r="JZ31" s="218">
        <f>JZ$30*(JY$32)</f>
        <v/>
      </c>
      <c r="KA31" s="218">
        <f>KA$30*(JZ$32)</f>
        <v/>
      </c>
      <c r="KB31" s="218">
        <f>KB$30*(KA$32)</f>
        <v/>
      </c>
      <c r="KC31" s="218">
        <f>KC$30*(KB$32)</f>
        <v/>
      </c>
      <c r="KD31" s="218">
        <f>KD$30*(KC$32)</f>
        <v/>
      </c>
      <c r="KE31" s="218">
        <f>KE$30*(KD$32)</f>
        <v/>
      </c>
      <c r="KF31" s="218">
        <f>KF$30*(KE$32)</f>
        <v/>
      </c>
      <c r="KG31" s="218">
        <f>KG$30*(KF$32)</f>
        <v/>
      </c>
      <c r="KH31" s="218">
        <f>KH$30*(KG$32)</f>
        <v/>
      </c>
      <c r="KI31" s="218">
        <f>KI$30*(KH$32)</f>
        <v/>
      </c>
      <c r="KJ31" s="218">
        <f>KJ$30*(KI$32)</f>
        <v/>
      </c>
      <c r="KK31" s="218">
        <f>KK$30*(KJ$32)</f>
        <v/>
      </c>
      <c r="KL31" s="218">
        <f>KL$30*(KK$32)</f>
        <v/>
      </c>
      <c r="KM31" s="218">
        <f>KM$30*(KL$32)</f>
        <v/>
      </c>
      <c r="KN31" s="218">
        <f>KN$30*(KM$32)</f>
        <v/>
      </c>
      <c r="KO31" s="218">
        <f>KO$30*(KN$32)</f>
        <v/>
      </c>
      <c r="KP31" s="218">
        <f>KP$30*(KO$32)</f>
        <v/>
      </c>
      <c r="KQ31" s="218">
        <f>KQ$30*(KP$32)</f>
        <v/>
      </c>
      <c r="KR31" s="218">
        <f>KR$30*(KQ$32)</f>
        <v/>
      </c>
      <c r="KS31" s="218">
        <f>KS$30*(KR$32)</f>
        <v/>
      </c>
      <c r="KT31" s="218">
        <f>KT$30*(KS$32)</f>
        <v/>
      </c>
      <c r="KU31" s="218">
        <f>KU$30*(KT$32)</f>
        <v/>
      </c>
      <c r="KV31" s="218">
        <f>KV$30*(KU$32)</f>
        <v/>
      </c>
      <c r="KW31" s="218">
        <f>KW$30*(KV$32)</f>
        <v/>
      </c>
      <c r="KX31" s="218">
        <f>KX$30*(KW$32)</f>
        <v/>
      </c>
      <c r="KY31" s="218">
        <f>KY$30*(KX$32)</f>
        <v/>
      </c>
      <c r="KZ31" s="218">
        <f>KZ$30*(KY$32)</f>
        <v/>
      </c>
      <c r="LA31" s="218">
        <f>LA$30*(KZ$32)</f>
        <v/>
      </c>
      <c r="LB31" s="218">
        <f>LB$30*(LA$32)</f>
        <v/>
      </c>
      <c r="LC31" s="218">
        <f>LC$30*(LB$32)</f>
        <v/>
      </c>
      <c r="LD31" s="218">
        <f>LD$30*(LC$32)</f>
        <v/>
      </c>
      <c r="LE31" s="218">
        <f>LE$30*(LD$32)</f>
        <v/>
      </c>
      <c r="LF31" s="218">
        <f>LF$30*(LE$32)</f>
        <v/>
      </c>
      <c r="LG31" s="218">
        <f>LG$30*(LF$32)</f>
        <v/>
      </c>
      <c r="LH31" s="218">
        <f>LH$30*(LG$32)</f>
        <v/>
      </c>
      <c r="LI31" s="218">
        <f>LI$30*(LH$32)</f>
        <v/>
      </c>
      <c r="LJ31" s="218">
        <f>LJ$30*(LI$32)</f>
        <v/>
      </c>
      <c r="LK31" s="218">
        <f>LK$30*(LJ$32)</f>
        <v/>
      </c>
      <c r="LL31" s="218">
        <f>LL$30*(LK$32)</f>
        <v/>
      </c>
      <c r="LM31" s="218">
        <f>LM$30*(LL$32)</f>
        <v/>
      </c>
      <c r="LN31" s="218">
        <f>LN$30*(LM$32)</f>
        <v/>
      </c>
      <c r="LO31" s="218">
        <f>LO$30*(LN$32)</f>
        <v/>
      </c>
      <c r="LP31" s="218">
        <f>LP$30*(LO$32)</f>
        <v/>
      </c>
      <c r="LQ31" s="218">
        <f>LQ$30*(LP$32)</f>
        <v/>
      </c>
      <c r="LR31" s="218">
        <f>LR$30*(LQ$32)</f>
        <v/>
      </c>
      <c r="LS31" s="218">
        <f>LS$30*(LR$32)</f>
        <v/>
      </c>
      <c r="LT31" s="218">
        <f>LT$30*(LS$32)</f>
        <v/>
      </c>
      <c r="LU31" s="218">
        <f>LU$30*(LT$32)</f>
        <v/>
      </c>
      <c r="LV31" s="218">
        <f>LV$30*(LU$32)</f>
        <v/>
      </c>
      <c r="LW31" s="218">
        <f>LW$30*(LV$32)</f>
        <v/>
      </c>
      <c r="LX31" s="218">
        <f>LX$30*(LW$32)</f>
        <v/>
      </c>
      <c r="LY31" s="218">
        <f>LY$30*(LX$32)</f>
        <v/>
      </c>
      <c r="LZ31" s="218">
        <f>LZ$30*(LY$32)</f>
        <v/>
      </c>
      <c r="MA31" s="218">
        <f>MA$30*(LZ$32)</f>
        <v/>
      </c>
      <c r="MB31" s="218">
        <f>MB$30*(MA$32)</f>
        <v/>
      </c>
      <c r="MC31" s="218">
        <f>MC$30*(MB$32)</f>
        <v/>
      </c>
      <c r="MD31" s="218">
        <f>MD$30*(MC$32)</f>
        <v/>
      </c>
      <c r="ME31" s="218">
        <f>ME$30*(MD$32)</f>
        <v/>
      </c>
      <c r="MF31" s="218">
        <f>MF$30*(ME$32)</f>
        <v/>
      </c>
      <c r="MG31" s="218">
        <f>MG$30*(MF$32)</f>
        <v/>
      </c>
      <c r="MH31" s="218">
        <f>MH$30*(MG$32)</f>
        <v/>
      </c>
      <c r="MI31" s="218">
        <f>MI$30*(MH$32)</f>
        <v/>
      </c>
      <c r="MJ31" s="218">
        <f>MJ$30*(MI$32)</f>
        <v/>
      </c>
      <c r="MK31" s="218">
        <f>MK$30*(MJ$32)</f>
        <v/>
      </c>
      <c r="ML31" s="218">
        <f>ML$30*(MK$32)</f>
        <v/>
      </c>
      <c r="MM31" s="218">
        <f>MM$30*(ML$32)</f>
        <v/>
      </c>
      <c r="MN31" s="218">
        <f>MN$30*(MM$32)</f>
        <v/>
      </c>
      <c r="MO31" s="218">
        <f>MO$30*(MN$32)</f>
        <v/>
      </c>
      <c r="MP31" s="218">
        <f>MP$30*(MO$32)</f>
        <v/>
      </c>
      <c r="MQ31" s="218">
        <f>MQ$30*(MP$32)</f>
        <v/>
      </c>
      <c r="MR31" s="218">
        <f>MR$30*(MQ$32)</f>
        <v/>
      </c>
      <c r="MS31" s="218">
        <f>MS$30*(MR$32)</f>
        <v/>
      </c>
      <c r="MT31" s="218">
        <f>MT$30*(MS$32)</f>
        <v/>
      </c>
      <c r="MU31" s="218">
        <f>MU$30*(MT$32)</f>
        <v/>
      </c>
      <c r="MV31" s="218">
        <f>MV$30*(MU$32)</f>
        <v/>
      </c>
      <c r="MW31" s="218">
        <f>MW$30*(MV$32)</f>
        <v/>
      </c>
      <c r="MX31" s="218">
        <f>MX$30*(MW$32)</f>
        <v/>
      </c>
      <c r="MY31" s="218">
        <f>MY$30*(MX$32)</f>
        <v/>
      </c>
      <c r="MZ31" s="218">
        <f>MZ$30*(MY$32)</f>
        <v/>
      </c>
      <c r="NA31" s="218">
        <f>NA$30*(MZ$32)</f>
        <v/>
      </c>
      <c r="NB31" s="218">
        <f>NB$30*(NA$32)</f>
        <v/>
      </c>
      <c r="NC31" s="218">
        <f>NC$30*(NB$32)</f>
        <v/>
      </c>
      <c r="ND31" s="218">
        <f>ND$30*(NC$32)</f>
        <v/>
      </c>
      <c r="NE31" s="218">
        <f>NE$30*(ND$32)</f>
        <v/>
      </c>
      <c r="NF31" s="218">
        <f>NF$30*(NE$32)</f>
        <v/>
      </c>
      <c r="NG31" s="218">
        <f>NG$30*(NF$32)</f>
        <v/>
      </c>
      <c r="NH31" s="218">
        <f>NH$30*(NG$32)</f>
        <v/>
      </c>
      <c r="NI31" s="218">
        <f>NI$30*(NH$32)</f>
        <v/>
      </c>
      <c r="NJ31" s="218">
        <f>NJ$30*(NI$32)</f>
        <v/>
      </c>
      <c r="NK31" s="218">
        <f>NK$30*(NJ$32)</f>
        <v/>
      </c>
      <c r="NL31" s="218">
        <f>NL$30*(NK$32)</f>
        <v/>
      </c>
    </row>
    <row r="32">
      <c r="B32" s="40" t="inlineStr">
        <is>
          <t>Construction Loan Balance</t>
        </is>
      </c>
      <c r="C32" s="79" t="n"/>
      <c r="D32" s="261" t="n"/>
      <c r="E32" s="218">
        <f>IF(1&gt;ConPayoffMonth,0,0+E$29+E$31)</f>
        <v/>
      </c>
      <c r="F32" s="218">
        <f>IF(2&gt;ConPayoffMonth,0,E$32+F$29+F$31)</f>
        <v/>
      </c>
      <c r="G32" s="218">
        <f>IF(3&gt;ConPayoffMonth,0,F$32+G$29+G$31)</f>
        <v/>
      </c>
      <c r="H32" s="218">
        <f>IF(4&gt;ConPayoffMonth,0,G$32+H$29+H$31)</f>
        <v/>
      </c>
      <c r="I32" s="218">
        <f>IF(5&gt;ConPayoffMonth,0,H$32+I$29+I$31)</f>
        <v/>
      </c>
      <c r="J32" s="218">
        <f>IF(6&gt;ConPayoffMonth,0,I$32+J$29+J$31)</f>
        <v/>
      </c>
      <c r="K32" s="218">
        <f>IF(7&gt;ConPayoffMonth,0,J$32+K$29+K$31)</f>
        <v/>
      </c>
      <c r="L32" s="218">
        <f>IF(8&gt;ConPayoffMonth,0,K$32+L$29+L$31)</f>
        <v/>
      </c>
      <c r="M32" s="218">
        <f>IF(9&gt;ConPayoffMonth,0,L$32+M$29+M$31)</f>
        <v/>
      </c>
      <c r="N32" s="218">
        <f>IF(10&gt;ConPayoffMonth,0,M$32+N$29+N$31)</f>
        <v/>
      </c>
      <c r="O32" s="218">
        <f>IF(11&gt;ConPayoffMonth,0,N$32+O$29+O$31)</f>
        <v/>
      </c>
      <c r="P32" s="218">
        <f>IF(12&gt;ConPayoffMonth,0,O$32+P$29+P$31)</f>
        <v/>
      </c>
      <c r="Q32" s="218">
        <f>IF(13&gt;ConPayoffMonth,0,P$32+Q$29+Q$31)</f>
        <v/>
      </c>
      <c r="R32" s="218">
        <f>IF(14&gt;ConPayoffMonth,0,Q$32+R$29+R$31)</f>
        <v/>
      </c>
      <c r="S32" s="218">
        <f>IF(15&gt;ConPayoffMonth,0,R$32+S$29+S$31)</f>
        <v/>
      </c>
      <c r="T32" s="218">
        <f>IF(16&gt;ConPayoffMonth,0,S$32+T$29+T$31)</f>
        <v/>
      </c>
      <c r="U32" s="218">
        <f>IF(17&gt;ConPayoffMonth,0,T$32+U$29+U$31)</f>
        <v/>
      </c>
      <c r="V32" s="218">
        <f>IF(18&gt;ConPayoffMonth,0,U$32+V$29+V$31)</f>
        <v/>
      </c>
      <c r="W32" s="218">
        <f>IF(19&gt;ConPayoffMonth,0,V$32+W$29+W$31)</f>
        <v/>
      </c>
      <c r="X32" s="218">
        <f>IF(20&gt;ConPayoffMonth,0,W$32+X$29+X$31)</f>
        <v/>
      </c>
      <c r="Y32" s="218">
        <f>IF(21&gt;ConPayoffMonth,0,X$32+Y$29+Y$31)</f>
        <v/>
      </c>
      <c r="Z32" s="218">
        <f>IF(22&gt;ConPayoffMonth,0,Y$32+Z$29+Z$31)</f>
        <v/>
      </c>
      <c r="AA32" s="218">
        <f>IF(23&gt;ConPayoffMonth,0,Z$32+AA$29+AA$31)</f>
        <v/>
      </c>
      <c r="AB32" s="218">
        <f>IF(24&gt;ConPayoffMonth,0,AA$32+AB$29+AB$31)</f>
        <v/>
      </c>
      <c r="AC32" s="218">
        <f>IF(25&gt;ConPayoffMonth,0,AB$32+AC$29+AC$31)</f>
        <v/>
      </c>
      <c r="AD32" s="218">
        <f>IF(26&gt;ConPayoffMonth,0,AC$32+AD$29+AD$31)</f>
        <v/>
      </c>
      <c r="AE32" s="218">
        <f>IF(27&gt;ConPayoffMonth,0,AD$32+AE$29+AE$31)</f>
        <v/>
      </c>
      <c r="AF32" s="218">
        <f>IF(28&gt;ConPayoffMonth,0,AE$32+AF$29+AF$31)</f>
        <v/>
      </c>
      <c r="AG32" s="218">
        <f>IF(29&gt;ConPayoffMonth,0,AF$32+AG$29+AG$31)</f>
        <v/>
      </c>
      <c r="AH32" s="218">
        <f>IF(30&gt;ConPayoffMonth,0,AG$32+AH$29+AH$31)</f>
        <v/>
      </c>
      <c r="AI32" s="218">
        <f>IF(31&gt;ConPayoffMonth,0,AH$32+AI$29+AI$31)</f>
        <v/>
      </c>
      <c r="AJ32" s="218">
        <f>IF(32&gt;ConPayoffMonth,0,AI$32+AJ$29+AJ$31)</f>
        <v/>
      </c>
      <c r="AK32" s="218">
        <f>IF(33&gt;ConPayoffMonth,0,AJ$32+AK$29+AK$31)</f>
        <v/>
      </c>
      <c r="AL32" s="218">
        <f>IF(34&gt;ConPayoffMonth,0,AK$32+AL$29+AL$31)</f>
        <v/>
      </c>
      <c r="AM32" s="218">
        <f>IF(35&gt;ConPayoffMonth,0,AL$32+AM$29+AM$31)</f>
        <v/>
      </c>
      <c r="AN32" s="218">
        <f>IF(36&gt;ConPayoffMonth,0,AM$32+AN$29+AN$31)</f>
        <v/>
      </c>
      <c r="AO32" s="218">
        <f>IF(37&gt;ConPayoffMonth,0,AN$32+AO$29+AO$31)</f>
        <v/>
      </c>
      <c r="AP32" s="218">
        <f>IF(38&gt;ConPayoffMonth,0,AO$32+AP$29+AP$31)</f>
        <v/>
      </c>
      <c r="AQ32" s="218">
        <f>IF(39&gt;ConPayoffMonth,0,AP$32+AQ$29+AQ$31)</f>
        <v/>
      </c>
      <c r="AR32" s="218">
        <f>IF(40&gt;ConPayoffMonth,0,AQ$32+AR$29+AR$31)</f>
        <v/>
      </c>
      <c r="AS32" s="218">
        <f>IF(41&gt;ConPayoffMonth,0,AR$32+AS$29+AS$31)</f>
        <v/>
      </c>
      <c r="AT32" s="218">
        <f>IF(42&gt;ConPayoffMonth,0,AS$32+AT$29+AT$31)</f>
        <v/>
      </c>
      <c r="AU32" s="218">
        <f>IF(43&gt;ConPayoffMonth,0,AT$32+AU$29+AU$31)</f>
        <v/>
      </c>
      <c r="AV32" s="218">
        <f>IF(44&gt;ConPayoffMonth,0,AU$32+AV$29+AV$31)</f>
        <v/>
      </c>
      <c r="AW32" s="218">
        <f>IF(45&gt;ConPayoffMonth,0,AV$32+AW$29+AW$31)</f>
        <v/>
      </c>
      <c r="AX32" s="218">
        <f>IF(46&gt;ConPayoffMonth,0,AW$32+AX$29+AX$31)</f>
        <v/>
      </c>
      <c r="AY32" s="218">
        <f>IF(47&gt;ConPayoffMonth,0,AX$32+AY$29+AY$31)</f>
        <v/>
      </c>
      <c r="AZ32" s="218">
        <f>IF(48&gt;ConPayoffMonth,0,AY$32+AZ$29+AZ$31)</f>
        <v/>
      </c>
      <c r="BA32" s="218">
        <f>IF(49&gt;ConPayoffMonth,0,AZ$32+BA$29+BA$31)</f>
        <v/>
      </c>
      <c r="BB32" s="218">
        <f>IF(50&gt;ConPayoffMonth,0,BA$32+BB$29+BB$31)</f>
        <v/>
      </c>
      <c r="BC32" s="218">
        <f>IF(51&gt;ConPayoffMonth,0,BB$32+BC$29+BC$31)</f>
        <v/>
      </c>
      <c r="BD32" s="218">
        <f>IF(52&gt;ConPayoffMonth,0,BC$32+BD$29+BD$31)</f>
        <v/>
      </c>
      <c r="BE32" s="218">
        <f>IF(53&gt;ConPayoffMonth,0,BD$32+BE$29+BE$31)</f>
        <v/>
      </c>
      <c r="BF32" s="218">
        <f>IF(54&gt;ConPayoffMonth,0,BE$32+BF$29+BF$31)</f>
        <v/>
      </c>
      <c r="BG32" s="218">
        <f>IF(55&gt;ConPayoffMonth,0,BF$32+BG$29+BG$31)</f>
        <v/>
      </c>
      <c r="BH32" s="218">
        <f>IF(56&gt;ConPayoffMonth,0,BG$32+BH$29+BH$31)</f>
        <v/>
      </c>
      <c r="BI32" s="218">
        <f>IF(57&gt;ConPayoffMonth,0,BH$32+BI$29+BI$31)</f>
        <v/>
      </c>
      <c r="BJ32" s="218">
        <f>IF(58&gt;ConPayoffMonth,0,BI$32+BJ$29+BJ$31)</f>
        <v/>
      </c>
      <c r="BK32" s="218">
        <f>IF(59&gt;ConPayoffMonth,0,BJ$32+BK$29+BK$31)</f>
        <v/>
      </c>
      <c r="BL32" s="218">
        <f>IF(60&gt;ConPayoffMonth,0,BK$32+BL$29+BL$31)</f>
        <v/>
      </c>
      <c r="BM32" s="218">
        <f>IF(61&gt;ConPayoffMonth,0,BL$32+BM$29+BM$31)</f>
        <v/>
      </c>
      <c r="BN32" s="218">
        <f>IF(62&gt;ConPayoffMonth,0,BM$32+BN$29+BN$31)</f>
        <v/>
      </c>
      <c r="BO32" s="218">
        <f>IF(63&gt;ConPayoffMonth,0,BN$32+BO$29+BO$31)</f>
        <v/>
      </c>
      <c r="BP32" s="218">
        <f>IF(64&gt;ConPayoffMonth,0,BO$32+BP$29+BP$31)</f>
        <v/>
      </c>
      <c r="BQ32" s="218">
        <f>IF(65&gt;ConPayoffMonth,0,BP$32+BQ$29+BQ$31)</f>
        <v/>
      </c>
      <c r="BR32" s="218">
        <f>IF(66&gt;ConPayoffMonth,0,BQ$32+BR$29+BR$31)</f>
        <v/>
      </c>
      <c r="BS32" s="218">
        <f>IF(67&gt;ConPayoffMonth,0,BR$32+BS$29+BS$31)</f>
        <v/>
      </c>
      <c r="BT32" s="218">
        <f>IF(68&gt;ConPayoffMonth,0,BS$32+BT$29+BT$31)</f>
        <v/>
      </c>
      <c r="BU32" s="218">
        <f>IF(69&gt;ConPayoffMonth,0,BT$32+BU$29+BU$31)</f>
        <v/>
      </c>
      <c r="BV32" s="218">
        <f>IF(70&gt;ConPayoffMonth,0,BU$32+BV$29+BV$31)</f>
        <v/>
      </c>
      <c r="BW32" s="218">
        <f>IF(71&gt;ConPayoffMonth,0,BV$32+BW$29+BW$31)</f>
        <v/>
      </c>
      <c r="BX32" s="218">
        <f>IF(72&gt;ConPayoffMonth,0,BW$32+BX$29+BX$31)</f>
        <v/>
      </c>
      <c r="BY32" s="218">
        <f>IF(73&gt;ConPayoffMonth,0,BX$32+BY$29+BY$31)</f>
        <v/>
      </c>
      <c r="BZ32" s="218">
        <f>IF(74&gt;ConPayoffMonth,0,BY$32+BZ$29+BZ$31)</f>
        <v/>
      </c>
      <c r="CA32" s="218">
        <f>IF(75&gt;ConPayoffMonth,0,BZ$32+CA$29+CA$31)</f>
        <v/>
      </c>
      <c r="CB32" s="218">
        <f>IF(76&gt;ConPayoffMonth,0,CA$32+CB$29+CB$31)</f>
        <v/>
      </c>
      <c r="CC32" s="218">
        <f>IF(77&gt;ConPayoffMonth,0,CB$32+CC$29+CC$31)</f>
        <v/>
      </c>
      <c r="CD32" s="218">
        <f>IF(78&gt;ConPayoffMonth,0,CC$32+CD$29+CD$31)</f>
        <v/>
      </c>
      <c r="CE32" s="218">
        <f>IF(79&gt;ConPayoffMonth,0,CD$32+CE$29+CE$31)</f>
        <v/>
      </c>
      <c r="CF32" s="218">
        <f>IF(80&gt;ConPayoffMonth,0,CE$32+CF$29+CF$31)</f>
        <v/>
      </c>
      <c r="CG32" s="218">
        <f>IF(81&gt;ConPayoffMonth,0,CF$32+CG$29+CG$31)</f>
        <v/>
      </c>
      <c r="CH32" s="218">
        <f>IF(82&gt;ConPayoffMonth,0,CG$32+CH$29+CH$31)</f>
        <v/>
      </c>
      <c r="CI32" s="218">
        <f>IF(83&gt;ConPayoffMonth,0,CH$32+CI$29+CI$31)</f>
        <v/>
      </c>
      <c r="CJ32" s="218">
        <f>IF(84&gt;ConPayoffMonth,0,CI$32+CJ$29+CJ$31)</f>
        <v/>
      </c>
      <c r="CK32" s="218">
        <f>IF(85&gt;ConPayoffMonth,0,CJ$32+CK$29+CK$31)</f>
        <v/>
      </c>
      <c r="CL32" s="218">
        <f>IF(86&gt;ConPayoffMonth,0,CK$32+CL$29+CL$31)</f>
        <v/>
      </c>
      <c r="CM32" s="218">
        <f>IF(87&gt;ConPayoffMonth,0,CL$32+CM$29+CM$31)</f>
        <v/>
      </c>
      <c r="CN32" s="218">
        <f>IF(88&gt;ConPayoffMonth,0,CM$32+CN$29+CN$31)</f>
        <v/>
      </c>
      <c r="CO32" s="218">
        <f>IF(89&gt;ConPayoffMonth,0,CN$32+CO$29+CO$31)</f>
        <v/>
      </c>
      <c r="CP32" s="218">
        <f>IF(90&gt;ConPayoffMonth,0,CO$32+CP$29+CP$31)</f>
        <v/>
      </c>
      <c r="CQ32" s="218">
        <f>IF(91&gt;ConPayoffMonth,0,CP$32+CQ$29+CQ$31)</f>
        <v/>
      </c>
      <c r="CR32" s="218">
        <f>IF(92&gt;ConPayoffMonth,0,CQ$32+CR$29+CR$31)</f>
        <v/>
      </c>
      <c r="CS32" s="218">
        <f>IF(93&gt;ConPayoffMonth,0,CR$32+CS$29+CS$31)</f>
        <v/>
      </c>
      <c r="CT32" s="218">
        <f>IF(94&gt;ConPayoffMonth,0,CS$32+CT$29+CT$31)</f>
        <v/>
      </c>
      <c r="CU32" s="218">
        <f>IF(95&gt;ConPayoffMonth,0,CT$32+CU$29+CU$31)</f>
        <v/>
      </c>
      <c r="CV32" s="218">
        <f>IF(96&gt;ConPayoffMonth,0,CU$32+CV$29+CV$31)</f>
        <v/>
      </c>
      <c r="CW32" s="218">
        <f>IF(97&gt;ConPayoffMonth,0,CV$32+CW$29+CW$31)</f>
        <v/>
      </c>
      <c r="CX32" s="218">
        <f>IF(98&gt;ConPayoffMonth,0,CW$32+CX$29+CX$31)</f>
        <v/>
      </c>
      <c r="CY32" s="218">
        <f>IF(99&gt;ConPayoffMonth,0,CX$32+CY$29+CY$31)</f>
        <v/>
      </c>
      <c r="CZ32" s="218">
        <f>IF(100&gt;ConPayoffMonth,0,CY$32+CZ$29+CZ$31)</f>
        <v/>
      </c>
      <c r="DA32" s="218">
        <f>IF(101&gt;ConPayoffMonth,0,CZ$32+DA$29+DA$31)</f>
        <v/>
      </c>
      <c r="DB32" s="218">
        <f>IF(102&gt;ConPayoffMonth,0,DA$32+DB$29+DB$31)</f>
        <v/>
      </c>
      <c r="DC32" s="218">
        <f>IF(103&gt;ConPayoffMonth,0,DB$32+DC$29+DC$31)</f>
        <v/>
      </c>
      <c r="DD32" s="218">
        <f>IF(104&gt;ConPayoffMonth,0,DC$32+DD$29+DD$31)</f>
        <v/>
      </c>
      <c r="DE32" s="218">
        <f>IF(105&gt;ConPayoffMonth,0,DD$32+DE$29+DE$31)</f>
        <v/>
      </c>
      <c r="DF32" s="218">
        <f>IF(106&gt;ConPayoffMonth,0,DE$32+DF$29+DF$31)</f>
        <v/>
      </c>
      <c r="DG32" s="218">
        <f>IF(107&gt;ConPayoffMonth,0,DF$32+DG$29+DG$31)</f>
        <v/>
      </c>
      <c r="DH32" s="218">
        <f>IF(108&gt;ConPayoffMonth,0,DG$32+DH$29+DH$31)</f>
        <v/>
      </c>
      <c r="DI32" s="218">
        <f>IF(109&gt;ConPayoffMonth,0,DH$32+DI$29+DI$31)</f>
        <v/>
      </c>
      <c r="DJ32" s="218">
        <f>IF(110&gt;ConPayoffMonth,0,DI$32+DJ$29+DJ$31)</f>
        <v/>
      </c>
      <c r="DK32" s="218">
        <f>IF(111&gt;ConPayoffMonth,0,DJ$32+DK$29+DK$31)</f>
        <v/>
      </c>
      <c r="DL32" s="218">
        <f>IF(112&gt;ConPayoffMonth,0,DK$32+DL$29+DL$31)</f>
        <v/>
      </c>
      <c r="DM32" s="218">
        <f>IF(113&gt;ConPayoffMonth,0,DL$32+DM$29+DM$31)</f>
        <v/>
      </c>
      <c r="DN32" s="218">
        <f>IF(114&gt;ConPayoffMonth,0,DM$32+DN$29+DN$31)</f>
        <v/>
      </c>
      <c r="DO32" s="218">
        <f>IF(115&gt;ConPayoffMonth,0,DN$32+DO$29+DO$31)</f>
        <v/>
      </c>
      <c r="DP32" s="218">
        <f>IF(116&gt;ConPayoffMonth,0,DO$32+DP$29+DP$31)</f>
        <v/>
      </c>
      <c r="DQ32" s="218">
        <f>IF(117&gt;ConPayoffMonth,0,DP$32+DQ$29+DQ$31)</f>
        <v/>
      </c>
      <c r="DR32" s="218">
        <f>IF(118&gt;ConPayoffMonth,0,DQ$32+DR$29+DR$31)</f>
        <v/>
      </c>
      <c r="DS32" s="218">
        <f>IF(119&gt;ConPayoffMonth,0,DR$32+DS$29+DS$31)</f>
        <v/>
      </c>
      <c r="DT32" s="218">
        <f>IF(120&gt;ConPayoffMonth,0,DS$32+DT$29+DT$31)</f>
        <v/>
      </c>
      <c r="DU32" s="218">
        <f>IF(121&gt;ConPayoffMonth,0,DT$32+DU$29+DU$31)</f>
        <v/>
      </c>
      <c r="DV32" s="218">
        <f>IF(122&gt;ConPayoffMonth,0,DU$32+DV$29+DV$31)</f>
        <v/>
      </c>
      <c r="DW32" s="218">
        <f>IF(123&gt;ConPayoffMonth,0,DV$32+DW$29+DW$31)</f>
        <v/>
      </c>
      <c r="DX32" s="218">
        <f>IF(124&gt;ConPayoffMonth,0,DW$32+DX$29+DX$31)</f>
        <v/>
      </c>
      <c r="DY32" s="218">
        <f>IF(125&gt;ConPayoffMonth,0,DX$32+DY$29+DY$31)</f>
        <v/>
      </c>
      <c r="DZ32" s="218">
        <f>IF(126&gt;ConPayoffMonth,0,DY$32+DZ$29+DZ$31)</f>
        <v/>
      </c>
      <c r="EA32" s="218">
        <f>IF(127&gt;ConPayoffMonth,0,DZ$32+EA$29+EA$31)</f>
        <v/>
      </c>
      <c r="EB32" s="218">
        <f>IF(128&gt;ConPayoffMonth,0,EA$32+EB$29+EB$31)</f>
        <v/>
      </c>
      <c r="EC32" s="218">
        <f>IF(129&gt;ConPayoffMonth,0,EB$32+EC$29+EC$31)</f>
        <v/>
      </c>
      <c r="ED32" s="218">
        <f>IF(130&gt;ConPayoffMonth,0,EC$32+ED$29+ED$31)</f>
        <v/>
      </c>
      <c r="EE32" s="218">
        <f>IF(131&gt;ConPayoffMonth,0,ED$32+EE$29+EE$31)</f>
        <v/>
      </c>
      <c r="EF32" s="218">
        <f>IF(132&gt;ConPayoffMonth,0,EE$32+EF$29+EF$31)</f>
        <v/>
      </c>
      <c r="EG32" s="218">
        <f>IF(133&gt;ConPayoffMonth,0,EF$32+EG$29+EG$31)</f>
        <v/>
      </c>
      <c r="EH32" s="218">
        <f>IF(134&gt;ConPayoffMonth,0,EG$32+EH$29+EH$31)</f>
        <v/>
      </c>
      <c r="EI32" s="218">
        <f>IF(135&gt;ConPayoffMonth,0,EH$32+EI$29+EI$31)</f>
        <v/>
      </c>
      <c r="EJ32" s="218">
        <f>IF(136&gt;ConPayoffMonth,0,EI$32+EJ$29+EJ$31)</f>
        <v/>
      </c>
      <c r="EK32" s="218">
        <f>IF(137&gt;ConPayoffMonth,0,EJ$32+EK$29+EK$31)</f>
        <v/>
      </c>
      <c r="EL32" s="218">
        <f>IF(138&gt;ConPayoffMonth,0,EK$32+EL$29+EL$31)</f>
        <v/>
      </c>
      <c r="EM32" s="218">
        <f>IF(139&gt;ConPayoffMonth,0,EL$32+EM$29+EM$31)</f>
        <v/>
      </c>
      <c r="EN32" s="218">
        <f>IF(140&gt;ConPayoffMonth,0,EM$32+EN$29+EN$31)</f>
        <v/>
      </c>
      <c r="EO32" s="218">
        <f>IF(141&gt;ConPayoffMonth,0,EN$32+EO$29+EO$31)</f>
        <v/>
      </c>
      <c r="EP32" s="218">
        <f>IF(142&gt;ConPayoffMonth,0,EO$32+EP$29+EP$31)</f>
        <v/>
      </c>
      <c r="EQ32" s="218">
        <f>IF(143&gt;ConPayoffMonth,0,EP$32+EQ$29+EQ$31)</f>
        <v/>
      </c>
      <c r="ER32" s="218">
        <f>IF(144&gt;ConPayoffMonth,0,EQ$32+ER$29+ER$31)</f>
        <v/>
      </c>
      <c r="ES32" s="218">
        <f>IF(145&gt;ConPayoffMonth,0,ER$32+ES$29+ES$31)</f>
        <v/>
      </c>
      <c r="ET32" s="218">
        <f>IF(146&gt;ConPayoffMonth,0,ES$32+ET$29+ET$31)</f>
        <v/>
      </c>
      <c r="EU32" s="218">
        <f>IF(147&gt;ConPayoffMonth,0,ET$32+EU$29+EU$31)</f>
        <v/>
      </c>
      <c r="EV32" s="218">
        <f>IF(148&gt;ConPayoffMonth,0,EU$32+EV$29+EV$31)</f>
        <v/>
      </c>
      <c r="EW32" s="218">
        <f>IF(149&gt;ConPayoffMonth,0,EV$32+EW$29+EW$31)</f>
        <v/>
      </c>
      <c r="EX32" s="218">
        <f>IF(150&gt;ConPayoffMonth,0,EW$32+EX$29+EX$31)</f>
        <v/>
      </c>
      <c r="EY32" s="218">
        <f>IF(151&gt;ConPayoffMonth,0,EX$32+EY$29+EY$31)</f>
        <v/>
      </c>
      <c r="EZ32" s="218">
        <f>IF(152&gt;ConPayoffMonth,0,EY$32+EZ$29+EZ$31)</f>
        <v/>
      </c>
      <c r="FA32" s="218">
        <f>IF(153&gt;ConPayoffMonth,0,EZ$32+FA$29+FA$31)</f>
        <v/>
      </c>
      <c r="FB32" s="218">
        <f>IF(154&gt;ConPayoffMonth,0,FA$32+FB$29+FB$31)</f>
        <v/>
      </c>
      <c r="FC32" s="218">
        <f>IF(155&gt;ConPayoffMonth,0,FB$32+FC$29+FC$31)</f>
        <v/>
      </c>
      <c r="FD32" s="218">
        <f>IF(156&gt;ConPayoffMonth,0,FC$32+FD$29+FD$31)</f>
        <v/>
      </c>
      <c r="FE32" s="218">
        <f>IF(157&gt;ConPayoffMonth,0,FD$32+FE$29+FE$31)</f>
        <v/>
      </c>
      <c r="FF32" s="218">
        <f>IF(158&gt;ConPayoffMonth,0,FE$32+FF$29+FF$31)</f>
        <v/>
      </c>
      <c r="FG32" s="218">
        <f>IF(159&gt;ConPayoffMonth,0,FF$32+FG$29+FG$31)</f>
        <v/>
      </c>
      <c r="FH32" s="218">
        <f>IF(160&gt;ConPayoffMonth,0,FG$32+FH$29+FH$31)</f>
        <v/>
      </c>
      <c r="FI32" s="218">
        <f>IF(161&gt;ConPayoffMonth,0,FH$32+FI$29+FI$31)</f>
        <v/>
      </c>
      <c r="FJ32" s="218">
        <f>IF(162&gt;ConPayoffMonth,0,FI$32+FJ$29+FJ$31)</f>
        <v/>
      </c>
      <c r="FK32" s="218">
        <f>IF(163&gt;ConPayoffMonth,0,FJ$32+FK$29+FK$31)</f>
        <v/>
      </c>
      <c r="FL32" s="218">
        <f>IF(164&gt;ConPayoffMonth,0,FK$32+FL$29+FL$31)</f>
        <v/>
      </c>
      <c r="FM32" s="218">
        <f>IF(165&gt;ConPayoffMonth,0,FL$32+FM$29+FM$31)</f>
        <v/>
      </c>
      <c r="FN32" s="218">
        <f>IF(166&gt;ConPayoffMonth,0,FM$32+FN$29+FN$31)</f>
        <v/>
      </c>
      <c r="FO32" s="218">
        <f>IF(167&gt;ConPayoffMonth,0,FN$32+FO$29+FO$31)</f>
        <v/>
      </c>
      <c r="FP32" s="218">
        <f>IF(168&gt;ConPayoffMonth,0,FO$32+FP$29+FP$31)</f>
        <v/>
      </c>
      <c r="FQ32" s="218">
        <f>IF(169&gt;ConPayoffMonth,0,FP$32+FQ$29+FQ$31)</f>
        <v/>
      </c>
      <c r="FR32" s="218">
        <f>IF(170&gt;ConPayoffMonth,0,FQ$32+FR$29+FR$31)</f>
        <v/>
      </c>
      <c r="FS32" s="218">
        <f>IF(171&gt;ConPayoffMonth,0,FR$32+FS$29+FS$31)</f>
        <v/>
      </c>
      <c r="FT32" s="218">
        <f>IF(172&gt;ConPayoffMonth,0,FS$32+FT$29+FT$31)</f>
        <v/>
      </c>
      <c r="FU32" s="218">
        <f>IF(173&gt;ConPayoffMonth,0,FT$32+FU$29+FU$31)</f>
        <v/>
      </c>
      <c r="FV32" s="218">
        <f>IF(174&gt;ConPayoffMonth,0,FU$32+FV$29+FV$31)</f>
        <v/>
      </c>
      <c r="FW32" s="218">
        <f>IF(175&gt;ConPayoffMonth,0,FV$32+FW$29+FW$31)</f>
        <v/>
      </c>
      <c r="FX32" s="218">
        <f>IF(176&gt;ConPayoffMonth,0,FW$32+FX$29+FX$31)</f>
        <v/>
      </c>
      <c r="FY32" s="218">
        <f>IF(177&gt;ConPayoffMonth,0,FX$32+FY$29+FY$31)</f>
        <v/>
      </c>
      <c r="FZ32" s="218">
        <f>IF(178&gt;ConPayoffMonth,0,FY$32+FZ$29+FZ$31)</f>
        <v/>
      </c>
      <c r="GA32" s="218">
        <f>IF(179&gt;ConPayoffMonth,0,FZ$32+GA$29+GA$31)</f>
        <v/>
      </c>
      <c r="GB32" s="218">
        <f>IF(180&gt;ConPayoffMonth,0,GA$32+GB$29+GB$31)</f>
        <v/>
      </c>
      <c r="GC32" s="218">
        <f>IF(181&gt;ConPayoffMonth,0,GB$32+GC$29+GC$31)</f>
        <v/>
      </c>
      <c r="GD32" s="218">
        <f>IF(182&gt;ConPayoffMonth,0,GC$32+GD$29+GD$31)</f>
        <v/>
      </c>
      <c r="GE32" s="218">
        <f>IF(183&gt;ConPayoffMonth,0,GD$32+GE$29+GE$31)</f>
        <v/>
      </c>
      <c r="GF32" s="218">
        <f>IF(184&gt;ConPayoffMonth,0,GE$32+GF$29+GF$31)</f>
        <v/>
      </c>
      <c r="GG32" s="218">
        <f>IF(185&gt;ConPayoffMonth,0,GF$32+GG$29+GG$31)</f>
        <v/>
      </c>
      <c r="GH32" s="218">
        <f>IF(186&gt;ConPayoffMonth,0,GG$32+GH$29+GH$31)</f>
        <v/>
      </c>
      <c r="GI32" s="218">
        <f>IF(187&gt;ConPayoffMonth,0,GH$32+GI$29+GI$31)</f>
        <v/>
      </c>
      <c r="GJ32" s="218">
        <f>IF(188&gt;ConPayoffMonth,0,GI$32+GJ$29+GJ$31)</f>
        <v/>
      </c>
      <c r="GK32" s="218">
        <f>IF(189&gt;ConPayoffMonth,0,GJ$32+GK$29+GK$31)</f>
        <v/>
      </c>
      <c r="GL32" s="218">
        <f>IF(190&gt;ConPayoffMonth,0,GK$32+GL$29+GL$31)</f>
        <v/>
      </c>
      <c r="GM32" s="218">
        <f>IF(191&gt;ConPayoffMonth,0,GL$32+GM$29+GM$31)</f>
        <v/>
      </c>
      <c r="GN32" s="218">
        <f>IF(192&gt;ConPayoffMonth,0,GM$32+GN$29+GN$31)</f>
        <v/>
      </c>
      <c r="GO32" s="218">
        <f>IF(193&gt;ConPayoffMonth,0,GN$32+GO$29+GO$31)</f>
        <v/>
      </c>
      <c r="GP32" s="218">
        <f>IF(194&gt;ConPayoffMonth,0,GO$32+GP$29+GP$31)</f>
        <v/>
      </c>
      <c r="GQ32" s="218">
        <f>IF(195&gt;ConPayoffMonth,0,GP$32+GQ$29+GQ$31)</f>
        <v/>
      </c>
      <c r="GR32" s="218">
        <f>IF(196&gt;ConPayoffMonth,0,GQ$32+GR$29+GR$31)</f>
        <v/>
      </c>
      <c r="GS32" s="218">
        <f>IF(197&gt;ConPayoffMonth,0,GR$32+GS$29+GS$31)</f>
        <v/>
      </c>
      <c r="GT32" s="218">
        <f>IF(198&gt;ConPayoffMonth,0,GS$32+GT$29+GT$31)</f>
        <v/>
      </c>
      <c r="GU32" s="218">
        <f>IF(199&gt;ConPayoffMonth,0,GT$32+GU$29+GU$31)</f>
        <v/>
      </c>
      <c r="GV32" s="218">
        <f>IF(200&gt;ConPayoffMonth,0,GU$32+GV$29+GV$31)</f>
        <v/>
      </c>
      <c r="GW32" s="218">
        <f>IF(201&gt;ConPayoffMonth,0,GV$32+GW$29+GW$31)</f>
        <v/>
      </c>
      <c r="GX32" s="218">
        <f>IF(202&gt;ConPayoffMonth,0,GW$32+GX$29+GX$31)</f>
        <v/>
      </c>
      <c r="GY32" s="218">
        <f>IF(203&gt;ConPayoffMonth,0,GX$32+GY$29+GY$31)</f>
        <v/>
      </c>
      <c r="GZ32" s="218">
        <f>IF(204&gt;ConPayoffMonth,0,GY$32+GZ$29+GZ$31)</f>
        <v/>
      </c>
      <c r="HA32" s="218">
        <f>IF(205&gt;ConPayoffMonth,0,GZ$32+HA$29+HA$31)</f>
        <v/>
      </c>
      <c r="HB32" s="218">
        <f>IF(206&gt;ConPayoffMonth,0,HA$32+HB$29+HB$31)</f>
        <v/>
      </c>
      <c r="HC32" s="218">
        <f>IF(207&gt;ConPayoffMonth,0,HB$32+HC$29+HC$31)</f>
        <v/>
      </c>
      <c r="HD32" s="218">
        <f>IF(208&gt;ConPayoffMonth,0,HC$32+HD$29+HD$31)</f>
        <v/>
      </c>
      <c r="HE32" s="218">
        <f>IF(209&gt;ConPayoffMonth,0,HD$32+HE$29+HE$31)</f>
        <v/>
      </c>
      <c r="HF32" s="218">
        <f>IF(210&gt;ConPayoffMonth,0,HE$32+HF$29+HF$31)</f>
        <v/>
      </c>
      <c r="HG32" s="218">
        <f>IF(211&gt;ConPayoffMonth,0,HF$32+HG$29+HG$31)</f>
        <v/>
      </c>
      <c r="HH32" s="218">
        <f>IF(212&gt;ConPayoffMonth,0,HG$32+HH$29+HH$31)</f>
        <v/>
      </c>
      <c r="HI32" s="218">
        <f>IF(213&gt;ConPayoffMonth,0,HH$32+HI$29+HI$31)</f>
        <v/>
      </c>
      <c r="HJ32" s="218">
        <f>IF(214&gt;ConPayoffMonth,0,HI$32+HJ$29+HJ$31)</f>
        <v/>
      </c>
      <c r="HK32" s="218">
        <f>IF(215&gt;ConPayoffMonth,0,HJ$32+HK$29+HK$31)</f>
        <v/>
      </c>
      <c r="HL32" s="218">
        <f>IF(216&gt;ConPayoffMonth,0,HK$32+HL$29+HL$31)</f>
        <v/>
      </c>
      <c r="HM32" s="218">
        <f>IF(217&gt;ConPayoffMonth,0,HL$32+HM$29+HM$31)</f>
        <v/>
      </c>
      <c r="HN32" s="218">
        <f>IF(218&gt;ConPayoffMonth,0,HM$32+HN$29+HN$31)</f>
        <v/>
      </c>
      <c r="HO32" s="218">
        <f>IF(219&gt;ConPayoffMonth,0,HN$32+HO$29+HO$31)</f>
        <v/>
      </c>
      <c r="HP32" s="218">
        <f>IF(220&gt;ConPayoffMonth,0,HO$32+HP$29+HP$31)</f>
        <v/>
      </c>
      <c r="HQ32" s="218">
        <f>IF(221&gt;ConPayoffMonth,0,HP$32+HQ$29+HQ$31)</f>
        <v/>
      </c>
      <c r="HR32" s="218">
        <f>IF(222&gt;ConPayoffMonth,0,HQ$32+HR$29+HR$31)</f>
        <v/>
      </c>
      <c r="HS32" s="218">
        <f>IF(223&gt;ConPayoffMonth,0,HR$32+HS$29+HS$31)</f>
        <v/>
      </c>
      <c r="HT32" s="218">
        <f>IF(224&gt;ConPayoffMonth,0,HS$32+HT$29+HT$31)</f>
        <v/>
      </c>
      <c r="HU32" s="218">
        <f>IF(225&gt;ConPayoffMonth,0,HT$32+HU$29+HU$31)</f>
        <v/>
      </c>
      <c r="HV32" s="218">
        <f>IF(226&gt;ConPayoffMonth,0,HU$32+HV$29+HV$31)</f>
        <v/>
      </c>
      <c r="HW32" s="218">
        <f>IF(227&gt;ConPayoffMonth,0,HV$32+HW$29+HW$31)</f>
        <v/>
      </c>
      <c r="HX32" s="218">
        <f>IF(228&gt;ConPayoffMonth,0,HW$32+HX$29+HX$31)</f>
        <v/>
      </c>
      <c r="HY32" s="218">
        <f>IF(229&gt;ConPayoffMonth,0,HX$32+HY$29+HY$31)</f>
        <v/>
      </c>
      <c r="HZ32" s="218">
        <f>IF(230&gt;ConPayoffMonth,0,HY$32+HZ$29+HZ$31)</f>
        <v/>
      </c>
      <c r="IA32" s="218">
        <f>IF(231&gt;ConPayoffMonth,0,HZ$32+IA$29+IA$31)</f>
        <v/>
      </c>
      <c r="IB32" s="218">
        <f>IF(232&gt;ConPayoffMonth,0,IA$32+IB$29+IB$31)</f>
        <v/>
      </c>
      <c r="IC32" s="218">
        <f>IF(233&gt;ConPayoffMonth,0,IB$32+IC$29+IC$31)</f>
        <v/>
      </c>
      <c r="ID32" s="218">
        <f>IF(234&gt;ConPayoffMonth,0,IC$32+ID$29+ID$31)</f>
        <v/>
      </c>
      <c r="IE32" s="218">
        <f>IF(235&gt;ConPayoffMonth,0,ID$32+IE$29+IE$31)</f>
        <v/>
      </c>
      <c r="IF32" s="218">
        <f>IF(236&gt;ConPayoffMonth,0,IE$32+IF$29+IF$31)</f>
        <v/>
      </c>
      <c r="IG32" s="218">
        <f>IF(237&gt;ConPayoffMonth,0,IF$32+IG$29+IG$31)</f>
        <v/>
      </c>
      <c r="IH32" s="218">
        <f>IF(238&gt;ConPayoffMonth,0,IG$32+IH$29+IH$31)</f>
        <v/>
      </c>
      <c r="II32" s="218">
        <f>IF(239&gt;ConPayoffMonth,0,IH$32+II$29+II$31)</f>
        <v/>
      </c>
      <c r="IJ32" s="218">
        <f>IF(240&gt;ConPayoffMonth,0,II$32+IJ$29+IJ$31)</f>
        <v/>
      </c>
      <c r="IK32" s="218">
        <f>IF(241&gt;ConPayoffMonth,0,IJ$32+IK$29+IK$31)</f>
        <v/>
      </c>
      <c r="IL32" s="218">
        <f>IF(242&gt;ConPayoffMonth,0,IK$32+IL$29+IL$31)</f>
        <v/>
      </c>
      <c r="IM32" s="218">
        <f>IF(243&gt;ConPayoffMonth,0,IL$32+IM$29+IM$31)</f>
        <v/>
      </c>
      <c r="IN32" s="218">
        <f>IF(244&gt;ConPayoffMonth,0,IM$32+IN$29+IN$31)</f>
        <v/>
      </c>
      <c r="IO32" s="218">
        <f>IF(245&gt;ConPayoffMonth,0,IN$32+IO$29+IO$31)</f>
        <v/>
      </c>
      <c r="IP32" s="218">
        <f>IF(246&gt;ConPayoffMonth,0,IO$32+IP$29+IP$31)</f>
        <v/>
      </c>
      <c r="IQ32" s="218">
        <f>IF(247&gt;ConPayoffMonth,0,IP$32+IQ$29+IQ$31)</f>
        <v/>
      </c>
      <c r="IR32" s="218">
        <f>IF(248&gt;ConPayoffMonth,0,IQ$32+IR$29+IR$31)</f>
        <v/>
      </c>
      <c r="IS32" s="218">
        <f>IF(249&gt;ConPayoffMonth,0,IR$32+IS$29+IS$31)</f>
        <v/>
      </c>
      <c r="IT32" s="218">
        <f>IF(250&gt;ConPayoffMonth,0,IS$32+IT$29+IT$31)</f>
        <v/>
      </c>
      <c r="IU32" s="218">
        <f>IF(251&gt;ConPayoffMonth,0,IT$32+IU$29+IU$31)</f>
        <v/>
      </c>
      <c r="IV32" s="218">
        <f>IF(252&gt;ConPayoffMonth,0,IU$32+IV$29+IV$31)</f>
        <v/>
      </c>
      <c r="IW32" s="218">
        <f>IF(253&gt;ConPayoffMonth,0,IV$32+IW$29+IW$31)</f>
        <v/>
      </c>
      <c r="IX32" s="218">
        <f>IF(254&gt;ConPayoffMonth,0,IW$32+IX$29+IX$31)</f>
        <v/>
      </c>
      <c r="IY32" s="218">
        <f>IF(255&gt;ConPayoffMonth,0,IX$32+IY$29+IY$31)</f>
        <v/>
      </c>
      <c r="IZ32" s="218">
        <f>IF(256&gt;ConPayoffMonth,0,IY$32+IZ$29+IZ$31)</f>
        <v/>
      </c>
      <c r="JA32" s="218">
        <f>IF(257&gt;ConPayoffMonth,0,IZ$32+JA$29+JA$31)</f>
        <v/>
      </c>
      <c r="JB32" s="218">
        <f>IF(258&gt;ConPayoffMonth,0,JA$32+JB$29+JB$31)</f>
        <v/>
      </c>
      <c r="JC32" s="218">
        <f>IF(259&gt;ConPayoffMonth,0,JB$32+JC$29+JC$31)</f>
        <v/>
      </c>
      <c r="JD32" s="218">
        <f>IF(260&gt;ConPayoffMonth,0,JC$32+JD$29+JD$31)</f>
        <v/>
      </c>
      <c r="JE32" s="218">
        <f>IF(261&gt;ConPayoffMonth,0,JD$32+JE$29+JE$31)</f>
        <v/>
      </c>
      <c r="JF32" s="218">
        <f>IF(262&gt;ConPayoffMonth,0,JE$32+JF$29+JF$31)</f>
        <v/>
      </c>
      <c r="JG32" s="218">
        <f>IF(263&gt;ConPayoffMonth,0,JF$32+JG$29+JG$31)</f>
        <v/>
      </c>
      <c r="JH32" s="218">
        <f>IF(264&gt;ConPayoffMonth,0,JG$32+JH$29+JH$31)</f>
        <v/>
      </c>
      <c r="JI32" s="218">
        <f>IF(265&gt;ConPayoffMonth,0,JH$32+JI$29+JI$31)</f>
        <v/>
      </c>
      <c r="JJ32" s="218">
        <f>IF(266&gt;ConPayoffMonth,0,JI$32+JJ$29+JJ$31)</f>
        <v/>
      </c>
      <c r="JK32" s="218">
        <f>IF(267&gt;ConPayoffMonth,0,JJ$32+JK$29+JK$31)</f>
        <v/>
      </c>
      <c r="JL32" s="218">
        <f>IF(268&gt;ConPayoffMonth,0,JK$32+JL$29+JL$31)</f>
        <v/>
      </c>
      <c r="JM32" s="218">
        <f>IF(269&gt;ConPayoffMonth,0,JL$32+JM$29+JM$31)</f>
        <v/>
      </c>
      <c r="JN32" s="218">
        <f>IF(270&gt;ConPayoffMonth,0,JM$32+JN$29+JN$31)</f>
        <v/>
      </c>
      <c r="JO32" s="218">
        <f>IF(271&gt;ConPayoffMonth,0,JN$32+JO$29+JO$31)</f>
        <v/>
      </c>
      <c r="JP32" s="218">
        <f>IF(272&gt;ConPayoffMonth,0,JO$32+JP$29+JP$31)</f>
        <v/>
      </c>
      <c r="JQ32" s="218">
        <f>IF(273&gt;ConPayoffMonth,0,JP$32+JQ$29+JQ$31)</f>
        <v/>
      </c>
      <c r="JR32" s="218">
        <f>IF(274&gt;ConPayoffMonth,0,JQ$32+JR$29+JR$31)</f>
        <v/>
      </c>
      <c r="JS32" s="218">
        <f>IF(275&gt;ConPayoffMonth,0,JR$32+JS$29+JS$31)</f>
        <v/>
      </c>
      <c r="JT32" s="218">
        <f>IF(276&gt;ConPayoffMonth,0,JS$32+JT$29+JT$31)</f>
        <v/>
      </c>
      <c r="JU32" s="218">
        <f>IF(277&gt;ConPayoffMonth,0,JT$32+JU$29+JU$31)</f>
        <v/>
      </c>
      <c r="JV32" s="218">
        <f>IF(278&gt;ConPayoffMonth,0,JU$32+JV$29+JV$31)</f>
        <v/>
      </c>
      <c r="JW32" s="218">
        <f>IF(279&gt;ConPayoffMonth,0,JV$32+JW$29+JW$31)</f>
        <v/>
      </c>
      <c r="JX32" s="218">
        <f>IF(280&gt;ConPayoffMonth,0,JW$32+JX$29+JX$31)</f>
        <v/>
      </c>
      <c r="JY32" s="218">
        <f>IF(281&gt;ConPayoffMonth,0,JX$32+JY$29+JY$31)</f>
        <v/>
      </c>
      <c r="JZ32" s="218">
        <f>IF(282&gt;ConPayoffMonth,0,JY$32+JZ$29+JZ$31)</f>
        <v/>
      </c>
      <c r="KA32" s="218">
        <f>IF(283&gt;ConPayoffMonth,0,JZ$32+KA$29+KA$31)</f>
        <v/>
      </c>
      <c r="KB32" s="218">
        <f>IF(284&gt;ConPayoffMonth,0,KA$32+KB$29+KB$31)</f>
        <v/>
      </c>
      <c r="KC32" s="218">
        <f>IF(285&gt;ConPayoffMonth,0,KB$32+KC$29+KC$31)</f>
        <v/>
      </c>
      <c r="KD32" s="218">
        <f>IF(286&gt;ConPayoffMonth,0,KC$32+KD$29+KD$31)</f>
        <v/>
      </c>
      <c r="KE32" s="218">
        <f>IF(287&gt;ConPayoffMonth,0,KD$32+KE$29+KE$31)</f>
        <v/>
      </c>
      <c r="KF32" s="218">
        <f>IF(288&gt;ConPayoffMonth,0,KE$32+KF$29+KF$31)</f>
        <v/>
      </c>
      <c r="KG32" s="218">
        <f>IF(289&gt;ConPayoffMonth,0,KF$32+KG$29+KG$31)</f>
        <v/>
      </c>
      <c r="KH32" s="218">
        <f>IF(290&gt;ConPayoffMonth,0,KG$32+KH$29+KH$31)</f>
        <v/>
      </c>
      <c r="KI32" s="218">
        <f>IF(291&gt;ConPayoffMonth,0,KH$32+KI$29+KI$31)</f>
        <v/>
      </c>
      <c r="KJ32" s="218">
        <f>IF(292&gt;ConPayoffMonth,0,KI$32+KJ$29+KJ$31)</f>
        <v/>
      </c>
      <c r="KK32" s="218">
        <f>IF(293&gt;ConPayoffMonth,0,KJ$32+KK$29+KK$31)</f>
        <v/>
      </c>
      <c r="KL32" s="218">
        <f>IF(294&gt;ConPayoffMonth,0,KK$32+KL$29+KL$31)</f>
        <v/>
      </c>
      <c r="KM32" s="218">
        <f>IF(295&gt;ConPayoffMonth,0,KL$32+KM$29+KM$31)</f>
        <v/>
      </c>
      <c r="KN32" s="218">
        <f>IF(296&gt;ConPayoffMonth,0,KM$32+KN$29+KN$31)</f>
        <v/>
      </c>
      <c r="KO32" s="218">
        <f>IF(297&gt;ConPayoffMonth,0,KN$32+KO$29+KO$31)</f>
        <v/>
      </c>
      <c r="KP32" s="218">
        <f>IF(298&gt;ConPayoffMonth,0,KO$32+KP$29+KP$31)</f>
        <v/>
      </c>
      <c r="KQ32" s="218">
        <f>IF(299&gt;ConPayoffMonth,0,KP$32+KQ$29+KQ$31)</f>
        <v/>
      </c>
      <c r="KR32" s="218">
        <f>IF(300&gt;ConPayoffMonth,0,KQ$32+KR$29+KR$31)</f>
        <v/>
      </c>
      <c r="KS32" s="218">
        <f>IF(301&gt;ConPayoffMonth,0,KR$32+KS$29+KS$31)</f>
        <v/>
      </c>
      <c r="KT32" s="218">
        <f>IF(302&gt;ConPayoffMonth,0,KS$32+KT$29+KT$31)</f>
        <v/>
      </c>
      <c r="KU32" s="218">
        <f>IF(303&gt;ConPayoffMonth,0,KT$32+KU$29+KU$31)</f>
        <v/>
      </c>
      <c r="KV32" s="218">
        <f>IF(304&gt;ConPayoffMonth,0,KU$32+KV$29+KV$31)</f>
        <v/>
      </c>
      <c r="KW32" s="218">
        <f>IF(305&gt;ConPayoffMonth,0,KV$32+KW$29+KW$31)</f>
        <v/>
      </c>
      <c r="KX32" s="218">
        <f>IF(306&gt;ConPayoffMonth,0,KW$32+KX$29+KX$31)</f>
        <v/>
      </c>
      <c r="KY32" s="218">
        <f>IF(307&gt;ConPayoffMonth,0,KX$32+KY$29+KY$31)</f>
        <v/>
      </c>
      <c r="KZ32" s="218">
        <f>IF(308&gt;ConPayoffMonth,0,KY$32+KZ$29+KZ$31)</f>
        <v/>
      </c>
      <c r="LA32" s="218">
        <f>IF(309&gt;ConPayoffMonth,0,KZ$32+LA$29+LA$31)</f>
        <v/>
      </c>
      <c r="LB32" s="218">
        <f>IF(310&gt;ConPayoffMonth,0,LA$32+LB$29+LB$31)</f>
        <v/>
      </c>
      <c r="LC32" s="218">
        <f>IF(311&gt;ConPayoffMonth,0,LB$32+LC$29+LC$31)</f>
        <v/>
      </c>
      <c r="LD32" s="218">
        <f>IF(312&gt;ConPayoffMonth,0,LC$32+LD$29+LD$31)</f>
        <v/>
      </c>
      <c r="LE32" s="218">
        <f>IF(313&gt;ConPayoffMonth,0,LD$32+LE$29+LE$31)</f>
        <v/>
      </c>
      <c r="LF32" s="218">
        <f>IF(314&gt;ConPayoffMonth,0,LE$32+LF$29+LF$31)</f>
        <v/>
      </c>
      <c r="LG32" s="218">
        <f>IF(315&gt;ConPayoffMonth,0,LF$32+LG$29+LG$31)</f>
        <v/>
      </c>
      <c r="LH32" s="218">
        <f>IF(316&gt;ConPayoffMonth,0,LG$32+LH$29+LH$31)</f>
        <v/>
      </c>
      <c r="LI32" s="218">
        <f>IF(317&gt;ConPayoffMonth,0,LH$32+LI$29+LI$31)</f>
        <v/>
      </c>
      <c r="LJ32" s="218">
        <f>IF(318&gt;ConPayoffMonth,0,LI$32+LJ$29+LJ$31)</f>
        <v/>
      </c>
      <c r="LK32" s="218">
        <f>IF(319&gt;ConPayoffMonth,0,LJ$32+LK$29+LK$31)</f>
        <v/>
      </c>
      <c r="LL32" s="218">
        <f>IF(320&gt;ConPayoffMonth,0,LK$32+LL$29+LL$31)</f>
        <v/>
      </c>
      <c r="LM32" s="218">
        <f>IF(321&gt;ConPayoffMonth,0,LL$32+LM$29+LM$31)</f>
        <v/>
      </c>
      <c r="LN32" s="218">
        <f>IF(322&gt;ConPayoffMonth,0,LM$32+LN$29+LN$31)</f>
        <v/>
      </c>
      <c r="LO32" s="218">
        <f>IF(323&gt;ConPayoffMonth,0,LN$32+LO$29+LO$31)</f>
        <v/>
      </c>
      <c r="LP32" s="218">
        <f>IF(324&gt;ConPayoffMonth,0,LO$32+LP$29+LP$31)</f>
        <v/>
      </c>
      <c r="LQ32" s="218">
        <f>IF(325&gt;ConPayoffMonth,0,LP$32+LQ$29+LQ$31)</f>
        <v/>
      </c>
      <c r="LR32" s="218">
        <f>IF(326&gt;ConPayoffMonth,0,LQ$32+LR$29+LR$31)</f>
        <v/>
      </c>
      <c r="LS32" s="218">
        <f>IF(327&gt;ConPayoffMonth,0,LR$32+LS$29+LS$31)</f>
        <v/>
      </c>
      <c r="LT32" s="218">
        <f>IF(328&gt;ConPayoffMonth,0,LS$32+LT$29+LT$31)</f>
        <v/>
      </c>
      <c r="LU32" s="218">
        <f>IF(329&gt;ConPayoffMonth,0,LT$32+LU$29+LU$31)</f>
        <v/>
      </c>
      <c r="LV32" s="218">
        <f>IF(330&gt;ConPayoffMonth,0,LU$32+LV$29+LV$31)</f>
        <v/>
      </c>
      <c r="LW32" s="218">
        <f>IF(331&gt;ConPayoffMonth,0,LV$32+LW$29+LW$31)</f>
        <v/>
      </c>
      <c r="LX32" s="218">
        <f>IF(332&gt;ConPayoffMonth,0,LW$32+LX$29+LX$31)</f>
        <v/>
      </c>
      <c r="LY32" s="218">
        <f>IF(333&gt;ConPayoffMonth,0,LX$32+LY$29+LY$31)</f>
        <v/>
      </c>
      <c r="LZ32" s="218">
        <f>IF(334&gt;ConPayoffMonth,0,LY$32+LZ$29+LZ$31)</f>
        <v/>
      </c>
      <c r="MA32" s="218">
        <f>IF(335&gt;ConPayoffMonth,0,LZ$32+MA$29+MA$31)</f>
        <v/>
      </c>
      <c r="MB32" s="218">
        <f>IF(336&gt;ConPayoffMonth,0,MA$32+MB$29+MB$31)</f>
        <v/>
      </c>
      <c r="MC32" s="218">
        <f>IF(337&gt;ConPayoffMonth,0,MB$32+MC$29+MC$31)</f>
        <v/>
      </c>
      <c r="MD32" s="218">
        <f>IF(338&gt;ConPayoffMonth,0,MC$32+MD$29+MD$31)</f>
        <v/>
      </c>
      <c r="ME32" s="218">
        <f>IF(339&gt;ConPayoffMonth,0,MD$32+ME$29+ME$31)</f>
        <v/>
      </c>
      <c r="MF32" s="218">
        <f>IF(340&gt;ConPayoffMonth,0,ME$32+MF$29+MF$31)</f>
        <v/>
      </c>
      <c r="MG32" s="218">
        <f>IF(341&gt;ConPayoffMonth,0,MF$32+MG$29+MG$31)</f>
        <v/>
      </c>
      <c r="MH32" s="218">
        <f>IF(342&gt;ConPayoffMonth,0,MG$32+MH$29+MH$31)</f>
        <v/>
      </c>
      <c r="MI32" s="218">
        <f>IF(343&gt;ConPayoffMonth,0,MH$32+MI$29+MI$31)</f>
        <v/>
      </c>
      <c r="MJ32" s="218">
        <f>IF(344&gt;ConPayoffMonth,0,MI$32+MJ$29+MJ$31)</f>
        <v/>
      </c>
      <c r="MK32" s="218">
        <f>IF(345&gt;ConPayoffMonth,0,MJ$32+MK$29+MK$31)</f>
        <v/>
      </c>
      <c r="ML32" s="218">
        <f>IF(346&gt;ConPayoffMonth,0,MK$32+ML$29+ML$31)</f>
        <v/>
      </c>
      <c r="MM32" s="218">
        <f>IF(347&gt;ConPayoffMonth,0,ML$32+MM$29+MM$31)</f>
        <v/>
      </c>
      <c r="MN32" s="218">
        <f>IF(348&gt;ConPayoffMonth,0,MM$32+MN$29+MN$31)</f>
        <v/>
      </c>
      <c r="MO32" s="218">
        <f>IF(349&gt;ConPayoffMonth,0,MN$32+MO$29+MO$31)</f>
        <v/>
      </c>
      <c r="MP32" s="218">
        <f>IF(350&gt;ConPayoffMonth,0,MO$32+MP$29+MP$31)</f>
        <v/>
      </c>
      <c r="MQ32" s="218">
        <f>IF(351&gt;ConPayoffMonth,0,MP$32+MQ$29+MQ$31)</f>
        <v/>
      </c>
      <c r="MR32" s="218">
        <f>IF(352&gt;ConPayoffMonth,0,MQ$32+MR$29+MR$31)</f>
        <v/>
      </c>
      <c r="MS32" s="218">
        <f>IF(353&gt;ConPayoffMonth,0,MR$32+MS$29+MS$31)</f>
        <v/>
      </c>
      <c r="MT32" s="218">
        <f>IF(354&gt;ConPayoffMonth,0,MS$32+MT$29+MT$31)</f>
        <v/>
      </c>
      <c r="MU32" s="218">
        <f>IF(355&gt;ConPayoffMonth,0,MT$32+MU$29+MU$31)</f>
        <v/>
      </c>
      <c r="MV32" s="218">
        <f>IF(356&gt;ConPayoffMonth,0,MU$32+MV$29+MV$31)</f>
        <v/>
      </c>
      <c r="MW32" s="218">
        <f>IF(357&gt;ConPayoffMonth,0,MV$32+MW$29+MW$31)</f>
        <v/>
      </c>
      <c r="MX32" s="218">
        <f>IF(358&gt;ConPayoffMonth,0,MW$32+MX$29+MX$31)</f>
        <v/>
      </c>
      <c r="MY32" s="218">
        <f>IF(359&gt;ConPayoffMonth,0,MX$32+MY$29+MY$31)</f>
        <v/>
      </c>
      <c r="MZ32" s="218">
        <f>IF(360&gt;ConPayoffMonth,0,MY$32+MZ$29+MZ$31)</f>
        <v/>
      </c>
      <c r="NA32" s="218">
        <f>IF(361&gt;ConPayoffMonth,0,MZ$32+NA$29+NA$31)</f>
        <v/>
      </c>
      <c r="NB32" s="218">
        <f>IF(362&gt;ConPayoffMonth,0,NA$32+NB$29+NB$31)</f>
        <v/>
      </c>
      <c r="NC32" s="218">
        <f>IF(363&gt;ConPayoffMonth,0,NB$32+NC$29+NC$31)</f>
        <v/>
      </c>
      <c r="ND32" s="218">
        <f>IF(364&gt;ConPayoffMonth,0,NC$32+ND$29+ND$31)</f>
        <v/>
      </c>
      <c r="NE32" s="218">
        <f>IF(365&gt;ConPayoffMonth,0,ND$32+NE$29+NE$31)</f>
        <v/>
      </c>
      <c r="NF32" s="218">
        <f>IF(366&gt;ConPayoffMonth,0,NE$32+NF$29+NF$31)</f>
        <v/>
      </c>
      <c r="NG32" s="218">
        <f>IF(367&gt;ConPayoffMonth,0,NF$32+NG$29+NG$31)</f>
        <v/>
      </c>
      <c r="NH32" s="218">
        <f>IF(368&gt;ConPayoffMonth,0,NG$32+NH$29+NH$31)</f>
        <v/>
      </c>
      <c r="NI32" s="218">
        <f>IF(369&gt;ConPayoffMonth,0,NH$32+NI$29+NI$31)</f>
        <v/>
      </c>
      <c r="NJ32" s="218">
        <f>IF(370&gt;ConPayoffMonth,0,NI$32+NJ$29+NJ$31)</f>
        <v/>
      </c>
      <c r="NK32" s="218">
        <f>IF(371&gt;ConPayoffMonth,0,NJ$32+NK$29+NK$31)</f>
        <v/>
      </c>
      <c r="NL32" s="218">
        <f>IF(372&gt;ConPayoffMonth,0,NK$32+NL$29+NL$31)</f>
        <v/>
      </c>
    </row>
    <row r="34">
      <c r="B34" s="34" t="inlineStr">
        <is>
          <t>Interest Reserve &amp; Loan Totals</t>
        </is>
      </c>
      <c r="C34" s="60" t="n"/>
      <c r="D34" s="35" t="n"/>
    </row>
    <row r="35">
      <c r="B35" s="36" t="inlineStr">
        <is>
          <t>Interest Reserve — Accrued</t>
        </is>
      </c>
      <c r="C35" s="262">
        <f>ConLoan!$D$31</f>
        <v/>
      </c>
      <c r="D35" s="53" t="n"/>
    </row>
    <row r="36">
      <c r="B36" s="36" t="inlineStr">
        <is>
          <t>Interest Reserve — Funded (w/ override)</t>
        </is>
      </c>
      <c r="C36" s="262">
        <f>IF(LenderReqReserveOverride&gt;0,LenderReqReserveOverride,InterestReserveAccrued)</f>
        <v/>
      </c>
      <c r="D36" s="53" t="n"/>
    </row>
    <row r="37">
      <c r="B37" s="36" t="inlineStr">
        <is>
          <t>Construction Loan Total</t>
        </is>
      </c>
      <c r="C37" s="262">
        <f>ConCostCommit+InterestReserveFunded</f>
        <v/>
      </c>
      <c r="D37" s="53" t="n"/>
    </row>
    <row r="38">
      <c r="B38" s="36" t="inlineStr">
        <is>
          <t>Construction Loan Payoff Balance</t>
        </is>
      </c>
      <c r="C38" s="262">
        <f>INDEX(E32:NL32,ConPayoffMonth)</f>
        <v/>
      </c>
      <c r="D38" s="53" t="n"/>
    </row>
    <row r="39">
      <c r="B39" s="36" t="inlineStr">
        <is>
          <t>Total Development Cost (TDC)</t>
        </is>
      </c>
      <c r="C39" s="262">
        <f>ConCostExInt+InterestReserveFunded</f>
        <v/>
      </c>
      <c r="D39" s="53" t="n"/>
    </row>
    <row r="40">
      <c r="B40" s="36" t="inlineStr">
        <is>
          <t>Total Equity</t>
        </is>
      </c>
      <c r="C40" s="262">
        <f>TDC_Total-ConLoanTotal</f>
        <v/>
      </c>
      <c r="D40" s="53" t="n"/>
    </row>
    <row r="41">
      <c r="B41" s="40" t="inlineStr">
        <is>
          <t>Loan-to-Cost (realized)</t>
        </is>
      </c>
      <c r="C41" s="150">
        <f>ConLoanTotal/TDC_Total</f>
        <v/>
      </c>
      <c r="D41" s="66" t="n"/>
    </row>
    <row r="43">
      <c r="B43" s="71" t="inlineStr">
        <is>
          <t>Construction Reconciliation</t>
        </is>
      </c>
      <c r="C43" s="72" t="n"/>
      <c r="D43" s="80" t="n"/>
    </row>
    <row r="44">
      <c r="B44" s="36" t="inlineStr">
        <is>
          <t>Σ Debt Draws − Commitment</t>
        </is>
      </c>
      <c r="C44" s="218">
        <f>ConLoan!$D$29-ConCostCommit</f>
        <v/>
      </c>
      <c r="D44" s="53" t="n"/>
    </row>
    <row r="45">
      <c r="B45" s="36" t="inlineStr">
        <is>
          <t>Σ Equity Draws − Equity Budget</t>
        </is>
      </c>
      <c r="C45" s="218">
        <f>ConLoan!$D$27-EquityBudget</f>
        <v/>
      </c>
      <c r="D45" s="53" t="n"/>
    </row>
    <row r="46">
      <c r="B46" s="36" t="inlineStr">
        <is>
          <t>Σ Uses − Total Uses ex-Int</t>
        </is>
      </c>
      <c r="C46" s="218">
        <f>ConLoan!$D$26-ConCostExInt</f>
        <v/>
      </c>
      <c r="D46" s="53" t="n"/>
    </row>
    <row r="47">
      <c r="B47" s="36" t="inlineStr">
        <is>
          <t>Ending Balance (must be 0)</t>
        </is>
      </c>
      <c r="C47" s="218">
        <f>INDEX(E32:NL32,372)</f>
        <v/>
      </c>
      <c r="D47" s="53" t="n"/>
    </row>
    <row r="48">
      <c r="B48" s="40" t="inlineStr">
        <is>
          <t>Reserve Funded − Accrued (&gt;=0)</t>
        </is>
      </c>
      <c r="C48" s="263">
        <f>InterestReserveFunded-InterestReserveAccrued</f>
        <v/>
      </c>
      <c r="D48" s="66" t="n"/>
    </row>
  </sheetData>
  <conditionalFormatting sqref="C19:C2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conditionalFormatting sqref="D19:D20">
    <cfRule type="cellIs" priority="6" operator="equal" dxfId="7">
      <formula>"PASS"</formula>
    </cfRule>
    <cfRule type="cellIs" priority="7" operator="equal" dxfId="7">
      <formula>"OK"</formula>
    </cfRule>
    <cfRule type="cellIs" priority="8" operator="equal" dxfId="5">
      <formula>"FAIL"</formula>
    </cfRule>
    <cfRule type="cellIs" priority="9" operator="equal" dxfId="8">
      <formula>"WARN"</formula>
    </cfRule>
    <cfRule type="cellIs" priority="10" operator="equal" dxfId="8">
      <formula>"CHECK"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/>
  </sheetPr>
  <dimension ref="B1:NL14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D9" sqref="AD9"/>
    </sheetView>
  </sheetViews>
  <sheetFormatPr baseColWidth="8" defaultRowHeight="15"/>
  <cols>
    <col width="3.7109375" customWidth="1" style="97" min="1" max="1"/>
    <col width="30" customWidth="1" style="97" min="2" max="2"/>
    <col width="10" customWidth="1" style="97" min="3" max="3"/>
    <col width="14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Unit Delivery &amp; Lease-Up Engine</t>
        </is>
      </c>
    </row>
    <row r="3">
      <c r="B3" s="84" t="inlineStr">
        <is>
          <t>Stabilized Leased Target (units)</t>
        </is>
      </c>
      <c r="C3" s="19">
        <f>ROUND(StabilizedOccupancy*TotalUnits,0)</f>
        <v/>
      </c>
    </row>
    <row r="5">
      <c r="B5" s="34" t="inlineStr">
        <is>
          <t>Monthly Delivery &amp; Absorption</t>
        </is>
      </c>
      <c r="C5" s="60" t="n"/>
      <c r="D5" s="35" t="n"/>
    </row>
    <row r="6">
      <c r="B6" s="122" t="inlineStr">
        <is>
          <t>Period →</t>
        </is>
      </c>
      <c r="D6" s="75" t="inlineStr">
        <is>
          <t>Total</t>
        </is>
      </c>
      <c r="E6" s="27" t="n">
        <v>1</v>
      </c>
      <c r="F6" s="27" t="n">
        <v>2</v>
      </c>
      <c r="G6" s="27" t="n">
        <v>3</v>
      </c>
      <c r="H6" s="27" t="n">
        <v>4</v>
      </c>
      <c r="I6" s="27" t="n">
        <v>5</v>
      </c>
      <c r="J6" s="27" t="n">
        <v>6</v>
      </c>
      <c r="K6" s="27" t="n">
        <v>7</v>
      </c>
      <c r="L6" s="27" t="n">
        <v>8</v>
      </c>
      <c r="M6" s="27" t="n">
        <v>9</v>
      </c>
      <c r="N6" s="27" t="n">
        <v>10</v>
      </c>
      <c r="O6" s="27" t="n">
        <v>11</v>
      </c>
      <c r="P6" s="27" t="n">
        <v>12</v>
      </c>
      <c r="Q6" s="27" t="n">
        <v>13</v>
      </c>
      <c r="R6" s="27" t="n">
        <v>14</v>
      </c>
      <c r="S6" s="27" t="n">
        <v>15</v>
      </c>
      <c r="T6" s="27" t="n">
        <v>16</v>
      </c>
      <c r="U6" s="27" t="n">
        <v>17</v>
      </c>
      <c r="V6" s="27" t="n">
        <v>18</v>
      </c>
      <c r="W6" s="27" t="n">
        <v>19</v>
      </c>
      <c r="X6" s="27" t="n">
        <v>20</v>
      </c>
      <c r="Y6" s="27" t="n">
        <v>21</v>
      </c>
      <c r="Z6" s="27" t="n">
        <v>22</v>
      </c>
      <c r="AA6" s="27" t="n">
        <v>23</v>
      </c>
      <c r="AB6" s="27" t="n">
        <v>24</v>
      </c>
      <c r="AC6" s="27" t="n">
        <v>25</v>
      </c>
      <c r="AD6" s="27" t="n">
        <v>26</v>
      </c>
      <c r="AE6" s="27" t="n">
        <v>27</v>
      </c>
      <c r="AF6" s="27" t="n">
        <v>28</v>
      </c>
      <c r="AG6" s="27" t="n">
        <v>29</v>
      </c>
      <c r="AH6" s="27" t="n">
        <v>30</v>
      </c>
      <c r="AI6" s="27" t="n">
        <v>31</v>
      </c>
      <c r="AJ6" s="27" t="n">
        <v>32</v>
      </c>
      <c r="AK6" s="27" t="n">
        <v>33</v>
      </c>
      <c r="AL6" s="27" t="n">
        <v>34</v>
      </c>
      <c r="AM6" s="27" t="n">
        <v>35</v>
      </c>
      <c r="AN6" s="27" t="n">
        <v>36</v>
      </c>
      <c r="AO6" s="27" t="n">
        <v>37</v>
      </c>
      <c r="AP6" s="27" t="n">
        <v>38</v>
      </c>
      <c r="AQ6" s="27" t="n">
        <v>39</v>
      </c>
      <c r="AR6" s="27" t="n">
        <v>40</v>
      </c>
      <c r="AS6" s="27" t="n">
        <v>41</v>
      </c>
      <c r="AT6" s="27" t="n">
        <v>42</v>
      </c>
      <c r="AU6" s="27" t="n">
        <v>43</v>
      </c>
      <c r="AV6" s="27" t="n">
        <v>44</v>
      </c>
      <c r="AW6" s="27" t="n">
        <v>45</v>
      </c>
      <c r="AX6" s="27" t="n">
        <v>46</v>
      </c>
      <c r="AY6" s="27" t="n">
        <v>47</v>
      </c>
      <c r="AZ6" s="27" t="n">
        <v>48</v>
      </c>
      <c r="BA6" s="27" t="n">
        <v>49</v>
      </c>
      <c r="BB6" s="27" t="n">
        <v>50</v>
      </c>
      <c r="BC6" s="27" t="n">
        <v>51</v>
      </c>
      <c r="BD6" s="27" t="n">
        <v>52</v>
      </c>
      <c r="BE6" s="27" t="n">
        <v>53</v>
      </c>
      <c r="BF6" s="27" t="n">
        <v>54</v>
      </c>
      <c r="BG6" s="27" t="n">
        <v>55</v>
      </c>
      <c r="BH6" s="27" t="n">
        <v>56</v>
      </c>
      <c r="BI6" s="27" t="n">
        <v>57</v>
      </c>
      <c r="BJ6" s="27" t="n">
        <v>58</v>
      </c>
      <c r="BK6" s="27" t="n">
        <v>59</v>
      </c>
      <c r="BL6" s="27" t="n">
        <v>60</v>
      </c>
      <c r="BM6" s="27" t="n">
        <v>61</v>
      </c>
      <c r="BN6" s="27" t="n">
        <v>62</v>
      </c>
      <c r="BO6" s="27" t="n">
        <v>63</v>
      </c>
      <c r="BP6" s="27" t="n">
        <v>64</v>
      </c>
      <c r="BQ6" s="27" t="n">
        <v>65</v>
      </c>
      <c r="BR6" s="27" t="n">
        <v>66</v>
      </c>
      <c r="BS6" s="27" t="n">
        <v>67</v>
      </c>
      <c r="BT6" s="27" t="n">
        <v>68</v>
      </c>
      <c r="BU6" s="27" t="n">
        <v>69</v>
      </c>
      <c r="BV6" s="27" t="n">
        <v>70</v>
      </c>
      <c r="BW6" s="27" t="n">
        <v>71</v>
      </c>
      <c r="BX6" s="27" t="n">
        <v>72</v>
      </c>
      <c r="BY6" s="27" t="n">
        <v>73</v>
      </c>
      <c r="BZ6" s="27" t="n">
        <v>74</v>
      </c>
      <c r="CA6" s="27" t="n">
        <v>75</v>
      </c>
      <c r="CB6" s="27" t="n">
        <v>76</v>
      </c>
      <c r="CC6" s="27" t="n">
        <v>77</v>
      </c>
      <c r="CD6" s="27" t="n">
        <v>78</v>
      </c>
      <c r="CE6" s="27" t="n">
        <v>79</v>
      </c>
      <c r="CF6" s="27" t="n">
        <v>80</v>
      </c>
      <c r="CG6" s="27" t="n">
        <v>81</v>
      </c>
      <c r="CH6" s="27" t="n">
        <v>82</v>
      </c>
      <c r="CI6" s="27" t="n">
        <v>83</v>
      </c>
      <c r="CJ6" s="27" t="n">
        <v>84</v>
      </c>
      <c r="CK6" s="27" t="n">
        <v>85</v>
      </c>
      <c r="CL6" s="27" t="n">
        <v>86</v>
      </c>
      <c r="CM6" s="27" t="n">
        <v>87</v>
      </c>
      <c r="CN6" s="27" t="n">
        <v>88</v>
      </c>
      <c r="CO6" s="27" t="n">
        <v>89</v>
      </c>
      <c r="CP6" s="27" t="n">
        <v>90</v>
      </c>
      <c r="CQ6" s="27" t="n">
        <v>91</v>
      </c>
      <c r="CR6" s="27" t="n">
        <v>92</v>
      </c>
      <c r="CS6" s="27" t="n">
        <v>93</v>
      </c>
      <c r="CT6" s="27" t="n">
        <v>94</v>
      </c>
      <c r="CU6" s="27" t="n">
        <v>95</v>
      </c>
      <c r="CV6" s="27" t="n">
        <v>96</v>
      </c>
      <c r="CW6" s="27" t="n">
        <v>97</v>
      </c>
      <c r="CX6" s="27" t="n">
        <v>98</v>
      </c>
      <c r="CY6" s="27" t="n">
        <v>99</v>
      </c>
      <c r="CZ6" s="27" t="n">
        <v>100</v>
      </c>
      <c r="DA6" s="27" t="n">
        <v>101</v>
      </c>
      <c r="DB6" s="27" t="n">
        <v>102</v>
      </c>
      <c r="DC6" s="27" t="n">
        <v>103</v>
      </c>
      <c r="DD6" s="27" t="n">
        <v>104</v>
      </c>
      <c r="DE6" s="27" t="n">
        <v>105</v>
      </c>
      <c r="DF6" s="27" t="n">
        <v>106</v>
      </c>
      <c r="DG6" s="27" t="n">
        <v>107</v>
      </c>
      <c r="DH6" s="27" t="n">
        <v>108</v>
      </c>
      <c r="DI6" s="27" t="n">
        <v>109</v>
      </c>
      <c r="DJ6" s="27" t="n">
        <v>110</v>
      </c>
      <c r="DK6" s="27" t="n">
        <v>111</v>
      </c>
      <c r="DL6" s="27" t="n">
        <v>112</v>
      </c>
      <c r="DM6" s="27" t="n">
        <v>113</v>
      </c>
      <c r="DN6" s="27" t="n">
        <v>114</v>
      </c>
      <c r="DO6" s="27" t="n">
        <v>115</v>
      </c>
      <c r="DP6" s="27" t="n">
        <v>116</v>
      </c>
      <c r="DQ6" s="27" t="n">
        <v>117</v>
      </c>
      <c r="DR6" s="27" t="n">
        <v>118</v>
      </c>
      <c r="DS6" s="27" t="n">
        <v>119</v>
      </c>
      <c r="DT6" s="27" t="n">
        <v>120</v>
      </c>
      <c r="DU6" s="27" t="n">
        <v>121</v>
      </c>
      <c r="DV6" s="27" t="n">
        <v>122</v>
      </c>
      <c r="DW6" s="27" t="n">
        <v>123</v>
      </c>
      <c r="DX6" s="27" t="n">
        <v>124</v>
      </c>
      <c r="DY6" s="27" t="n">
        <v>125</v>
      </c>
      <c r="DZ6" s="27" t="n">
        <v>126</v>
      </c>
      <c r="EA6" s="27" t="n">
        <v>127</v>
      </c>
      <c r="EB6" s="27" t="n">
        <v>128</v>
      </c>
      <c r="EC6" s="27" t="n">
        <v>129</v>
      </c>
      <c r="ED6" s="27" t="n">
        <v>130</v>
      </c>
      <c r="EE6" s="27" t="n">
        <v>131</v>
      </c>
      <c r="EF6" s="27" t="n">
        <v>132</v>
      </c>
      <c r="EG6" s="27" t="n">
        <v>133</v>
      </c>
      <c r="EH6" s="27" t="n">
        <v>134</v>
      </c>
      <c r="EI6" s="27" t="n">
        <v>135</v>
      </c>
      <c r="EJ6" s="27" t="n">
        <v>136</v>
      </c>
      <c r="EK6" s="27" t="n">
        <v>137</v>
      </c>
      <c r="EL6" s="27" t="n">
        <v>138</v>
      </c>
      <c r="EM6" s="27" t="n">
        <v>139</v>
      </c>
      <c r="EN6" s="27" t="n">
        <v>140</v>
      </c>
      <c r="EO6" s="27" t="n">
        <v>141</v>
      </c>
      <c r="EP6" s="27" t="n">
        <v>142</v>
      </c>
      <c r="EQ6" s="27" t="n">
        <v>143</v>
      </c>
      <c r="ER6" s="27" t="n">
        <v>144</v>
      </c>
      <c r="ES6" s="27" t="n">
        <v>145</v>
      </c>
      <c r="ET6" s="27" t="n">
        <v>146</v>
      </c>
      <c r="EU6" s="27" t="n">
        <v>147</v>
      </c>
      <c r="EV6" s="27" t="n">
        <v>148</v>
      </c>
      <c r="EW6" s="27" t="n">
        <v>149</v>
      </c>
      <c r="EX6" s="27" t="n">
        <v>150</v>
      </c>
      <c r="EY6" s="27" t="n">
        <v>151</v>
      </c>
      <c r="EZ6" s="27" t="n">
        <v>152</v>
      </c>
      <c r="FA6" s="27" t="n">
        <v>153</v>
      </c>
      <c r="FB6" s="27" t="n">
        <v>154</v>
      </c>
      <c r="FC6" s="27" t="n">
        <v>155</v>
      </c>
      <c r="FD6" s="27" t="n">
        <v>156</v>
      </c>
      <c r="FE6" s="27" t="n">
        <v>157</v>
      </c>
      <c r="FF6" s="27" t="n">
        <v>158</v>
      </c>
      <c r="FG6" s="27" t="n">
        <v>159</v>
      </c>
      <c r="FH6" s="27" t="n">
        <v>160</v>
      </c>
      <c r="FI6" s="27" t="n">
        <v>161</v>
      </c>
      <c r="FJ6" s="27" t="n">
        <v>162</v>
      </c>
      <c r="FK6" s="27" t="n">
        <v>163</v>
      </c>
      <c r="FL6" s="27" t="n">
        <v>164</v>
      </c>
      <c r="FM6" s="27" t="n">
        <v>165</v>
      </c>
      <c r="FN6" s="27" t="n">
        <v>166</v>
      </c>
      <c r="FO6" s="27" t="n">
        <v>167</v>
      </c>
      <c r="FP6" s="27" t="n">
        <v>168</v>
      </c>
      <c r="FQ6" s="27" t="n">
        <v>169</v>
      </c>
      <c r="FR6" s="27" t="n">
        <v>170</v>
      </c>
      <c r="FS6" s="27" t="n">
        <v>171</v>
      </c>
      <c r="FT6" s="27" t="n">
        <v>172</v>
      </c>
      <c r="FU6" s="27" t="n">
        <v>173</v>
      </c>
      <c r="FV6" s="27" t="n">
        <v>174</v>
      </c>
      <c r="FW6" s="27" t="n">
        <v>175</v>
      </c>
      <c r="FX6" s="27" t="n">
        <v>176</v>
      </c>
      <c r="FY6" s="27" t="n">
        <v>177</v>
      </c>
      <c r="FZ6" s="27" t="n">
        <v>178</v>
      </c>
      <c r="GA6" s="27" t="n">
        <v>179</v>
      </c>
      <c r="GB6" s="27" t="n">
        <v>180</v>
      </c>
      <c r="GC6" s="27" t="n">
        <v>181</v>
      </c>
      <c r="GD6" s="27" t="n">
        <v>182</v>
      </c>
      <c r="GE6" s="27" t="n">
        <v>183</v>
      </c>
      <c r="GF6" s="27" t="n">
        <v>184</v>
      </c>
      <c r="GG6" s="27" t="n">
        <v>185</v>
      </c>
      <c r="GH6" s="27" t="n">
        <v>186</v>
      </c>
      <c r="GI6" s="27" t="n">
        <v>187</v>
      </c>
      <c r="GJ6" s="27" t="n">
        <v>188</v>
      </c>
      <c r="GK6" s="27" t="n">
        <v>189</v>
      </c>
      <c r="GL6" s="27" t="n">
        <v>190</v>
      </c>
      <c r="GM6" s="27" t="n">
        <v>191</v>
      </c>
      <c r="GN6" s="27" t="n">
        <v>192</v>
      </c>
      <c r="GO6" s="27" t="n">
        <v>193</v>
      </c>
      <c r="GP6" s="27" t="n">
        <v>194</v>
      </c>
      <c r="GQ6" s="27" t="n">
        <v>195</v>
      </c>
      <c r="GR6" s="27" t="n">
        <v>196</v>
      </c>
      <c r="GS6" s="27" t="n">
        <v>197</v>
      </c>
      <c r="GT6" s="27" t="n">
        <v>198</v>
      </c>
      <c r="GU6" s="27" t="n">
        <v>199</v>
      </c>
      <c r="GV6" s="27" t="n">
        <v>200</v>
      </c>
      <c r="GW6" s="27" t="n">
        <v>201</v>
      </c>
      <c r="GX6" s="27" t="n">
        <v>202</v>
      </c>
      <c r="GY6" s="27" t="n">
        <v>203</v>
      </c>
      <c r="GZ6" s="27" t="n">
        <v>204</v>
      </c>
      <c r="HA6" s="27" t="n">
        <v>205</v>
      </c>
      <c r="HB6" s="27" t="n">
        <v>206</v>
      </c>
      <c r="HC6" s="27" t="n">
        <v>207</v>
      </c>
      <c r="HD6" s="27" t="n">
        <v>208</v>
      </c>
      <c r="HE6" s="27" t="n">
        <v>209</v>
      </c>
      <c r="HF6" s="27" t="n">
        <v>210</v>
      </c>
      <c r="HG6" s="27" t="n">
        <v>211</v>
      </c>
      <c r="HH6" s="27" t="n">
        <v>212</v>
      </c>
      <c r="HI6" s="27" t="n">
        <v>213</v>
      </c>
      <c r="HJ6" s="27" t="n">
        <v>214</v>
      </c>
      <c r="HK6" s="27" t="n">
        <v>215</v>
      </c>
      <c r="HL6" s="27" t="n">
        <v>216</v>
      </c>
      <c r="HM6" s="27" t="n">
        <v>217</v>
      </c>
      <c r="HN6" s="27" t="n">
        <v>218</v>
      </c>
      <c r="HO6" s="27" t="n">
        <v>219</v>
      </c>
      <c r="HP6" s="27" t="n">
        <v>220</v>
      </c>
      <c r="HQ6" s="27" t="n">
        <v>221</v>
      </c>
      <c r="HR6" s="27" t="n">
        <v>222</v>
      </c>
      <c r="HS6" s="27" t="n">
        <v>223</v>
      </c>
      <c r="HT6" s="27" t="n">
        <v>224</v>
      </c>
      <c r="HU6" s="27" t="n">
        <v>225</v>
      </c>
      <c r="HV6" s="27" t="n">
        <v>226</v>
      </c>
      <c r="HW6" s="27" t="n">
        <v>227</v>
      </c>
      <c r="HX6" s="27" t="n">
        <v>228</v>
      </c>
      <c r="HY6" s="27" t="n">
        <v>229</v>
      </c>
      <c r="HZ6" s="27" t="n">
        <v>230</v>
      </c>
      <c r="IA6" s="27" t="n">
        <v>231</v>
      </c>
      <c r="IB6" s="27" t="n">
        <v>232</v>
      </c>
      <c r="IC6" s="27" t="n">
        <v>233</v>
      </c>
      <c r="ID6" s="27" t="n">
        <v>234</v>
      </c>
      <c r="IE6" s="27" t="n">
        <v>235</v>
      </c>
      <c r="IF6" s="27" t="n">
        <v>236</v>
      </c>
      <c r="IG6" s="27" t="n">
        <v>237</v>
      </c>
      <c r="IH6" s="27" t="n">
        <v>238</v>
      </c>
      <c r="II6" s="27" t="n">
        <v>239</v>
      </c>
      <c r="IJ6" s="27" t="n">
        <v>240</v>
      </c>
      <c r="IK6" s="27" t="n">
        <v>241</v>
      </c>
      <c r="IL6" s="27" t="n">
        <v>242</v>
      </c>
      <c r="IM6" s="27" t="n">
        <v>243</v>
      </c>
      <c r="IN6" s="27" t="n">
        <v>244</v>
      </c>
      <c r="IO6" s="27" t="n">
        <v>245</v>
      </c>
      <c r="IP6" s="27" t="n">
        <v>246</v>
      </c>
      <c r="IQ6" s="27" t="n">
        <v>247</v>
      </c>
      <c r="IR6" s="27" t="n">
        <v>248</v>
      </c>
      <c r="IS6" s="27" t="n">
        <v>249</v>
      </c>
      <c r="IT6" s="27" t="n">
        <v>250</v>
      </c>
      <c r="IU6" s="27" t="n">
        <v>251</v>
      </c>
      <c r="IV6" s="27" t="n">
        <v>252</v>
      </c>
      <c r="IW6" s="27" t="n">
        <v>253</v>
      </c>
      <c r="IX6" s="27" t="n">
        <v>254</v>
      </c>
      <c r="IY6" s="27" t="n">
        <v>255</v>
      </c>
      <c r="IZ6" s="27" t="n">
        <v>256</v>
      </c>
      <c r="JA6" s="27" t="n">
        <v>257</v>
      </c>
      <c r="JB6" s="27" t="n">
        <v>258</v>
      </c>
      <c r="JC6" s="27" t="n">
        <v>259</v>
      </c>
      <c r="JD6" s="27" t="n">
        <v>260</v>
      </c>
      <c r="JE6" s="27" t="n">
        <v>261</v>
      </c>
      <c r="JF6" s="27" t="n">
        <v>262</v>
      </c>
      <c r="JG6" s="27" t="n">
        <v>263</v>
      </c>
      <c r="JH6" s="27" t="n">
        <v>264</v>
      </c>
      <c r="JI6" s="27" t="n">
        <v>265</v>
      </c>
      <c r="JJ6" s="27" t="n">
        <v>266</v>
      </c>
      <c r="JK6" s="27" t="n">
        <v>267</v>
      </c>
      <c r="JL6" s="27" t="n">
        <v>268</v>
      </c>
      <c r="JM6" s="27" t="n">
        <v>269</v>
      </c>
      <c r="JN6" s="27" t="n">
        <v>270</v>
      </c>
      <c r="JO6" s="27" t="n">
        <v>271</v>
      </c>
      <c r="JP6" s="27" t="n">
        <v>272</v>
      </c>
      <c r="JQ6" s="27" t="n">
        <v>273</v>
      </c>
      <c r="JR6" s="27" t="n">
        <v>274</v>
      </c>
      <c r="JS6" s="27" t="n">
        <v>275</v>
      </c>
      <c r="JT6" s="27" t="n">
        <v>276</v>
      </c>
      <c r="JU6" s="27" t="n">
        <v>277</v>
      </c>
      <c r="JV6" s="27" t="n">
        <v>278</v>
      </c>
      <c r="JW6" s="27" t="n">
        <v>279</v>
      </c>
      <c r="JX6" s="27" t="n">
        <v>280</v>
      </c>
      <c r="JY6" s="27" t="n">
        <v>281</v>
      </c>
      <c r="JZ6" s="27" t="n">
        <v>282</v>
      </c>
      <c r="KA6" s="27" t="n">
        <v>283</v>
      </c>
      <c r="KB6" s="27" t="n">
        <v>284</v>
      </c>
      <c r="KC6" s="27" t="n">
        <v>285</v>
      </c>
      <c r="KD6" s="27" t="n">
        <v>286</v>
      </c>
      <c r="KE6" s="27" t="n">
        <v>287</v>
      </c>
      <c r="KF6" s="27" t="n">
        <v>288</v>
      </c>
      <c r="KG6" s="27" t="n">
        <v>289</v>
      </c>
      <c r="KH6" s="27" t="n">
        <v>290</v>
      </c>
      <c r="KI6" s="27" t="n">
        <v>291</v>
      </c>
      <c r="KJ6" s="27" t="n">
        <v>292</v>
      </c>
      <c r="KK6" s="27" t="n">
        <v>293</v>
      </c>
      <c r="KL6" s="27" t="n">
        <v>294</v>
      </c>
      <c r="KM6" s="27" t="n">
        <v>295</v>
      </c>
      <c r="KN6" s="27" t="n">
        <v>296</v>
      </c>
      <c r="KO6" s="27" t="n">
        <v>297</v>
      </c>
      <c r="KP6" s="27" t="n">
        <v>298</v>
      </c>
      <c r="KQ6" s="27" t="n">
        <v>299</v>
      </c>
      <c r="KR6" s="27" t="n">
        <v>300</v>
      </c>
      <c r="KS6" s="27" t="n">
        <v>301</v>
      </c>
      <c r="KT6" s="27" t="n">
        <v>302</v>
      </c>
      <c r="KU6" s="27" t="n">
        <v>303</v>
      </c>
      <c r="KV6" s="27" t="n">
        <v>304</v>
      </c>
      <c r="KW6" s="27" t="n">
        <v>305</v>
      </c>
      <c r="KX6" s="27" t="n">
        <v>306</v>
      </c>
      <c r="KY6" s="27" t="n">
        <v>307</v>
      </c>
      <c r="KZ6" s="27" t="n">
        <v>308</v>
      </c>
      <c r="LA6" s="27" t="n">
        <v>309</v>
      </c>
      <c r="LB6" s="27" t="n">
        <v>310</v>
      </c>
      <c r="LC6" s="27" t="n">
        <v>311</v>
      </c>
      <c r="LD6" s="27" t="n">
        <v>312</v>
      </c>
      <c r="LE6" s="27" t="n">
        <v>313</v>
      </c>
      <c r="LF6" s="27" t="n">
        <v>314</v>
      </c>
      <c r="LG6" s="27" t="n">
        <v>315</v>
      </c>
      <c r="LH6" s="27" t="n">
        <v>316</v>
      </c>
      <c r="LI6" s="27" t="n">
        <v>317</v>
      </c>
      <c r="LJ6" s="27" t="n">
        <v>318</v>
      </c>
      <c r="LK6" s="27" t="n">
        <v>319</v>
      </c>
      <c r="LL6" s="27" t="n">
        <v>320</v>
      </c>
      <c r="LM6" s="27" t="n">
        <v>321</v>
      </c>
      <c r="LN6" s="27" t="n">
        <v>322</v>
      </c>
      <c r="LO6" s="27" t="n">
        <v>323</v>
      </c>
      <c r="LP6" s="27" t="n">
        <v>324</v>
      </c>
      <c r="LQ6" s="27" t="n">
        <v>325</v>
      </c>
      <c r="LR6" s="27" t="n">
        <v>326</v>
      </c>
      <c r="LS6" s="27" t="n">
        <v>327</v>
      </c>
      <c r="LT6" s="27" t="n">
        <v>328</v>
      </c>
      <c r="LU6" s="27" t="n">
        <v>329</v>
      </c>
      <c r="LV6" s="27" t="n">
        <v>330</v>
      </c>
      <c r="LW6" s="27" t="n">
        <v>331</v>
      </c>
      <c r="LX6" s="27" t="n">
        <v>332</v>
      </c>
      <c r="LY6" s="27" t="n">
        <v>333</v>
      </c>
      <c r="LZ6" s="27" t="n">
        <v>334</v>
      </c>
      <c r="MA6" s="27" t="n">
        <v>335</v>
      </c>
      <c r="MB6" s="27" t="n">
        <v>336</v>
      </c>
      <c r="MC6" s="27" t="n">
        <v>337</v>
      </c>
      <c r="MD6" s="27" t="n">
        <v>338</v>
      </c>
      <c r="ME6" s="27" t="n">
        <v>339</v>
      </c>
      <c r="MF6" s="27" t="n">
        <v>340</v>
      </c>
      <c r="MG6" s="27" t="n">
        <v>341</v>
      </c>
      <c r="MH6" s="27" t="n">
        <v>342</v>
      </c>
      <c r="MI6" s="27" t="n">
        <v>343</v>
      </c>
      <c r="MJ6" s="27" t="n">
        <v>344</v>
      </c>
      <c r="MK6" s="27" t="n">
        <v>345</v>
      </c>
      <c r="ML6" s="27" t="n">
        <v>346</v>
      </c>
      <c r="MM6" s="27" t="n">
        <v>347</v>
      </c>
      <c r="MN6" s="27" t="n">
        <v>348</v>
      </c>
      <c r="MO6" s="27" t="n">
        <v>349</v>
      </c>
      <c r="MP6" s="27" t="n">
        <v>350</v>
      </c>
      <c r="MQ6" s="27" t="n">
        <v>351</v>
      </c>
      <c r="MR6" s="27" t="n">
        <v>352</v>
      </c>
      <c r="MS6" s="27" t="n">
        <v>353</v>
      </c>
      <c r="MT6" s="27" t="n">
        <v>354</v>
      </c>
      <c r="MU6" s="27" t="n">
        <v>355</v>
      </c>
      <c r="MV6" s="27" t="n">
        <v>356</v>
      </c>
      <c r="MW6" s="27" t="n">
        <v>357</v>
      </c>
      <c r="MX6" s="27" t="n">
        <v>358</v>
      </c>
      <c r="MY6" s="27" t="n">
        <v>359</v>
      </c>
      <c r="MZ6" s="27" t="n">
        <v>360</v>
      </c>
      <c r="NA6" s="27" t="n">
        <v>361</v>
      </c>
      <c r="NB6" s="27" t="n">
        <v>362</v>
      </c>
      <c r="NC6" s="27" t="n">
        <v>363</v>
      </c>
      <c r="ND6" s="27" t="n">
        <v>364</v>
      </c>
      <c r="NE6" s="27" t="n">
        <v>365</v>
      </c>
      <c r="NF6" s="27" t="n">
        <v>366</v>
      </c>
      <c r="NG6" s="27" t="n">
        <v>367</v>
      </c>
      <c r="NH6" s="27" t="n">
        <v>368</v>
      </c>
      <c r="NI6" s="27" t="n">
        <v>369</v>
      </c>
      <c r="NJ6" s="27" t="n">
        <v>370</v>
      </c>
      <c r="NK6" s="27" t="n">
        <v>371</v>
      </c>
      <c r="NL6" s="27" t="n">
        <v>372</v>
      </c>
    </row>
    <row r="7">
      <c r="B7" s="123" t="inlineStr">
        <is>
          <t>Month Start</t>
        </is>
      </c>
      <c r="D7" s="53" t="n"/>
      <c r="E7" s="128">
        <f>EDATE(InceptionDate,0)</f>
        <v/>
      </c>
      <c r="F7" s="128">
        <f>EDATE(InceptionDate,1)</f>
        <v/>
      </c>
      <c r="G7" s="128">
        <f>EDATE(InceptionDate,2)</f>
        <v/>
      </c>
      <c r="H7" s="128">
        <f>EDATE(InceptionDate,3)</f>
        <v/>
      </c>
      <c r="I7" s="128">
        <f>EDATE(InceptionDate,4)</f>
        <v/>
      </c>
      <c r="J7" s="128">
        <f>EDATE(InceptionDate,5)</f>
        <v/>
      </c>
      <c r="K7" s="128">
        <f>EDATE(InceptionDate,6)</f>
        <v/>
      </c>
      <c r="L7" s="128">
        <f>EDATE(InceptionDate,7)</f>
        <v/>
      </c>
      <c r="M7" s="128">
        <f>EDATE(InceptionDate,8)</f>
        <v/>
      </c>
      <c r="N7" s="128">
        <f>EDATE(InceptionDate,9)</f>
        <v/>
      </c>
      <c r="O7" s="128">
        <f>EDATE(InceptionDate,10)</f>
        <v/>
      </c>
      <c r="P7" s="128">
        <f>EDATE(InceptionDate,11)</f>
        <v/>
      </c>
      <c r="Q7" s="128">
        <f>EDATE(InceptionDate,12)</f>
        <v/>
      </c>
      <c r="R7" s="128">
        <f>EDATE(InceptionDate,13)</f>
        <v/>
      </c>
      <c r="S7" s="128">
        <f>EDATE(InceptionDate,14)</f>
        <v/>
      </c>
      <c r="T7" s="128">
        <f>EDATE(InceptionDate,15)</f>
        <v/>
      </c>
      <c r="U7" s="128">
        <f>EDATE(InceptionDate,16)</f>
        <v/>
      </c>
      <c r="V7" s="128">
        <f>EDATE(InceptionDate,17)</f>
        <v/>
      </c>
      <c r="W7" s="128">
        <f>EDATE(InceptionDate,18)</f>
        <v/>
      </c>
      <c r="X7" s="128">
        <f>EDATE(InceptionDate,19)</f>
        <v/>
      </c>
      <c r="Y7" s="128">
        <f>EDATE(InceptionDate,20)</f>
        <v/>
      </c>
      <c r="Z7" s="128">
        <f>EDATE(InceptionDate,21)</f>
        <v/>
      </c>
      <c r="AA7" s="128">
        <f>EDATE(InceptionDate,22)</f>
        <v/>
      </c>
      <c r="AB7" s="128">
        <f>EDATE(InceptionDate,23)</f>
        <v/>
      </c>
      <c r="AC7" s="128">
        <f>EDATE(InceptionDate,24)</f>
        <v/>
      </c>
      <c r="AD7" s="128">
        <f>EDATE(InceptionDate,25)</f>
        <v/>
      </c>
      <c r="AE7" s="128">
        <f>EDATE(InceptionDate,26)</f>
        <v/>
      </c>
      <c r="AF7" s="128">
        <f>EDATE(InceptionDate,27)</f>
        <v/>
      </c>
      <c r="AG7" s="128">
        <f>EDATE(InceptionDate,28)</f>
        <v/>
      </c>
      <c r="AH7" s="128">
        <f>EDATE(InceptionDate,29)</f>
        <v/>
      </c>
      <c r="AI7" s="128">
        <f>EDATE(InceptionDate,30)</f>
        <v/>
      </c>
      <c r="AJ7" s="128">
        <f>EDATE(InceptionDate,31)</f>
        <v/>
      </c>
      <c r="AK7" s="128">
        <f>EDATE(InceptionDate,32)</f>
        <v/>
      </c>
      <c r="AL7" s="128">
        <f>EDATE(InceptionDate,33)</f>
        <v/>
      </c>
      <c r="AM7" s="128">
        <f>EDATE(InceptionDate,34)</f>
        <v/>
      </c>
      <c r="AN7" s="128">
        <f>EDATE(InceptionDate,35)</f>
        <v/>
      </c>
      <c r="AO7" s="128">
        <f>EDATE(InceptionDate,36)</f>
        <v/>
      </c>
      <c r="AP7" s="128">
        <f>EDATE(InceptionDate,37)</f>
        <v/>
      </c>
      <c r="AQ7" s="128">
        <f>EDATE(InceptionDate,38)</f>
        <v/>
      </c>
      <c r="AR7" s="128">
        <f>EDATE(InceptionDate,39)</f>
        <v/>
      </c>
      <c r="AS7" s="128">
        <f>EDATE(InceptionDate,40)</f>
        <v/>
      </c>
      <c r="AT7" s="128">
        <f>EDATE(InceptionDate,41)</f>
        <v/>
      </c>
      <c r="AU7" s="128">
        <f>EDATE(InceptionDate,42)</f>
        <v/>
      </c>
      <c r="AV7" s="128">
        <f>EDATE(InceptionDate,43)</f>
        <v/>
      </c>
      <c r="AW7" s="128">
        <f>EDATE(InceptionDate,44)</f>
        <v/>
      </c>
      <c r="AX7" s="128">
        <f>EDATE(InceptionDate,45)</f>
        <v/>
      </c>
      <c r="AY7" s="128">
        <f>EDATE(InceptionDate,46)</f>
        <v/>
      </c>
      <c r="AZ7" s="128">
        <f>EDATE(InceptionDate,47)</f>
        <v/>
      </c>
      <c r="BA7" s="128">
        <f>EDATE(InceptionDate,48)</f>
        <v/>
      </c>
      <c r="BB7" s="128">
        <f>EDATE(InceptionDate,49)</f>
        <v/>
      </c>
      <c r="BC7" s="128">
        <f>EDATE(InceptionDate,50)</f>
        <v/>
      </c>
      <c r="BD7" s="128">
        <f>EDATE(InceptionDate,51)</f>
        <v/>
      </c>
      <c r="BE7" s="128">
        <f>EDATE(InceptionDate,52)</f>
        <v/>
      </c>
      <c r="BF7" s="128">
        <f>EDATE(InceptionDate,53)</f>
        <v/>
      </c>
      <c r="BG7" s="128">
        <f>EDATE(InceptionDate,54)</f>
        <v/>
      </c>
      <c r="BH7" s="128">
        <f>EDATE(InceptionDate,55)</f>
        <v/>
      </c>
      <c r="BI7" s="128">
        <f>EDATE(InceptionDate,56)</f>
        <v/>
      </c>
      <c r="BJ7" s="128">
        <f>EDATE(InceptionDate,57)</f>
        <v/>
      </c>
      <c r="BK7" s="128">
        <f>EDATE(InceptionDate,58)</f>
        <v/>
      </c>
      <c r="BL7" s="128">
        <f>EDATE(InceptionDate,59)</f>
        <v/>
      </c>
      <c r="BM7" s="128">
        <f>EDATE(InceptionDate,60)</f>
        <v/>
      </c>
      <c r="BN7" s="128">
        <f>EDATE(InceptionDate,61)</f>
        <v/>
      </c>
      <c r="BO7" s="128">
        <f>EDATE(InceptionDate,62)</f>
        <v/>
      </c>
      <c r="BP7" s="128">
        <f>EDATE(InceptionDate,63)</f>
        <v/>
      </c>
      <c r="BQ7" s="128">
        <f>EDATE(InceptionDate,64)</f>
        <v/>
      </c>
      <c r="BR7" s="128">
        <f>EDATE(InceptionDate,65)</f>
        <v/>
      </c>
      <c r="BS7" s="128">
        <f>EDATE(InceptionDate,66)</f>
        <v/>
      </c>
      <c r="BT7" s="128">
        <f>EDATE(InceptionDate,67)</f>
        <v/>
      </c>
      <c r="BU7" s="128">
        <f>EDATE(InceptionDate,68)</f>
        <v/>
      </c>
      <c r="BV7" s="128">
        <f>EDATE(InceptionDate,69)</f>
        <v/>
      </c>
      <c r="BW7" s="128">
        <f>EDATE(InceptionDate,70)</f>
        <v/>
      </c>
      <c r="BX7" s="128">
        <f>EDATE(InceptionDate,71)</f>
        <v/>
      </c>
      <c r="BY7" s="128">
        <f>EDATE(InceptionDate,72)</f>
        <v/>
      </c>
      <c r="BZ7" s="128">
        <f>EDATE(InceptionDate,73)</f>
        <v/>
      </c>
      <c r="CA7" s="128">
        <f>EDATE(InceptionDate,74)</f>
        <v/>
      </c>
      <c r="CB7" s="128">
        <f>EDATE(InceptionDate,75)</f>
        <v/>
      </c>
      <c r="CC7" s="128">
        <f>EDATE(InceptionDate,76)</f>
        <v/>
      </c>
      <c r="CD7" s="128">
        <f>EDATE(InceptionDate,77)</f>
        <v/>
      </c>
      <c r="CE7" s="128">
        <f>EDATE(InceptionDate,78)</f>
        <v/>
      </c>
      <c r="CF7" s="128">
        <f>EDATE(InceptionDate,79)</f>
        <v/>
      </c>
      <c r="CG7" s="128">
        <f>EDATE(InceptionDate,80)</f>
        <v/>
      </c>
      <c r="CH7" s="128">
        <f>EDATE(InceptionDate,81)</f>
        <v/>
      </c>
      <c r="CI7" s="128">
        <f>EDATE(InceptionDate,82)</f>
        <v/>
      </c>
      <c r="CJ7" s="128">
        <f>EDATE(InceptionDate,83)</f>
        <v/>
      </c>
      <c r="CK7" s="128">
        <f>EDATE(InceptionDate,84)</f>
        <v/>
      </c>
      <c r="CL7" s="128">
        <f>EDATE(InceptionDate,85)</f>
        <v/>
      </c>
      <c r="CM7" s="128">
        <f>EDATE(InceptionDate,86)</f>
        <v/>
      </c>
      <c r="CN7" s="128">
        <f>EDATE(InceptionDate,87)</f>
        <v/>
      </c>
      <c r="CO7" s="128">
        <f>EDATE(InceptionDate,88)</f>
        <v/>
      </c>
      <c r="CP7" s="128">
        <f>EDATE(InceptionDate,89)</f>
        <v/>
      </c>
      <c r="CQ7" s="128">
        <f>EDATE(InceptionDate,90)</f>
        <v/>
      </c>
      <c r="CR7" s="128">
        <f>EDATE(InceptionDate,91)</f>
        <v/>
      </c>
      <c r="CS7" s="128">
        <f>EDATE(InceptionDate,92)</f>
        <v/>
      </c>
      <c r="CT7" s="128">
        <f>EDATE(InceptionDate,93)</f>
        <v/>
      </c>
      <c r="CU7" s="128">
        <f>EDATE(InceptionDate,94)</f>
        <v/>
      </c>
      <c r="CV7" s="128">
        <f>EDATE(InceptionDate,95)</f>
        <v/>
      </c>
      <c r="CW7" s="128">
        <f>EDATE(InceptionDate,96)</f>
        <v/>
      </c>
      <c r="CX7" s="128">
        <f>EDATE(InceptionDate,97)</f>
        <v/>
      </c>
      <c r="CY7" s="128">
        <f>EDATE(InceptionDate,98)</f>
        <v/>
      </c>
      <c r="CZ7" s="128">
        <f>EDATE(InceptionDate,99)</f>
        <v/>
      </c>
      <c r="DA7" s="128">
        <f>EDATE(InceptionDate,100)</f>
        <v/>
      </c>
      <c r="DB7" s="128">
        <f>EDATE(InceptionDate,101)</f>
        <v/>
      </c>
      <c r="DC7" s="128">
        <f>EDATE(InceptionDate,102)</f>
        <v/>
      </c>
      <c r="DD7" s="128">
        <f>EDATE(InceptionDate,103)</f>
        <v/>
      </c>
      <c r="DE7" s="128">
        <f>EDATE(InceptionDate,104)</f>
        <v/>
      </c>
      <c r="DF7" s="128">
        <f>EDATE(InceptionDate,105)</f>
        <v/>
      </c>
      <c r="DG7" s="128">
        <f>EDATE(InceptionDate,106)</f>
        <v/>
      </c>
      <c r="DH7" s="128">
        <f>EDATE(InceptionDate,107)</f>
        <v/>
      </c>
      <c r="DI7" s="128">
        <f>EDATE(InceptionDate,108)</f>
        <v/>
      </c>
      <c r="DJ7" s="128">
        <f>EDATE(InceptionDate,109)</f>
        <v/>
      </c>
      <c r="DK7" s="128">
        <f>EDATE(InceptionDate,110)</f>
        <v/>
      </c>
      <c r="DL7" s="128">
        <f>EDATE(InceptionDate,111)</f>
        <v/>
      </c>
      <c r="DM7" s="128">
        <f>EDATE(InceptionDate,112)</f>
        <v/>
      </c>
      <c r="DN7" s="128">
        <f>EDATE(InceptionDate,113)</f>
        <v/>
      </c>
      <c r="DO7" s="128">
        <f>EDATE(InceptionDate,114)</f>
        <v/>
      </c>
      <c r="DP7" s="128">
        <f>EDATE(InceptionDate,115)</f>
        <v/>
      </c>
      <c r="DQ7" s="128">
        <f>EDATE(InceptionDate,116)</f>
        <v/>
      </c>
      <c r="DR7" s="128">
        <f>EDATE(InceptionDate,117)</f>
        <v/>
      </c>
      <c r="DS7" s="128">
        <f>EDATE(InceptionDate,118)</f>
        <v/>
      </c>
      <c r="DT7" s="128">
        <f>EDATE(InceptionDate,119)</f>
        <v/>
      </c>
      <c r="DU7" s="128">
        <f>EDATE(InceptionDate,120)</f>
        <v/>
      </c>
      <c r="DV7" s="128">
        <f>EDATE(InceptionDate,121)</f>
        <v/>
      </c>
      <c r="DW7" s="128">
        <f>EDATE(InceptionDate,122)</f>
        <v/>
      </c>
      <c r="DX7" s="128">
        <f>EDATE(InceptionDate,123)</f>
        <v/>
      </c>
      <c r="DY7" s="128">
        <f>EDATE(InceptionDate,124)</f>
        <v/>
      </c>
      <c r="DZ7" s="128">
        <f>EDATE(InceptionDate,125)</f>
        <v/>
      </c>
      <c r="EA7" s="128">
        <f>EDATE(InceptionDate,126)</f>
        <v/>
      </c>
      <c r="EB7" s="128">
        <f>EDATE(InceptionDate,127)</f>
        <v/>
      </c>
      <c r="EC7" s="128">
        <f>EDATE(InceptionDate,128)</f>
        <v/>
      </c>
      <c r="ED7" s="128">
        <f>EDATE(InceptionDate,129)</f>
        <v/>
      </c>
      <c r="EE7" s="128">
        <f>EDATE(InceptionDate,130)</f>
        <v/>
      </c>
      <c r="EF7" s="128">
        <f>EDATE(InceptionDate,131)</f>
        <v/>
      </c>
      <c r="EG7" s="128">
        <f>EDATE(InceptionDate,132)</f>
        <v/>
      </c>
      <c r="EH7" s="128">
        <f>EDATE(InceptionDate,133)</f>
        <v/>
      </c>
      <c r="EI7" s="128">
        <f>EDATE(InceptionDate,134)</f>
        <v/>
      </c>
      <c r="EJ7" s="128">
        <f>EDATE(InceptionDate,135)</f>
        <v/>
      </c>
      <c r="EK7" s="128">
        <f>EDATE(InceptionDate,136)</f>
        <v/>
      </c>
      <c r="EL7" s="128">
        <f>EDATE(InceptionDate,137)</f>
        <v/>
      </c>
      <c r="EM7" s="128">
        <f>EDATE(InceptionDate,138)</f>
        <v/>
      </c>
      <c r="EN7" s="128">
        <f>EDATE(InceptionDate,139)</f>
        <v/>
      </c>
      <c r="EO7" s="128">
        <f>EDATE(InceptionDate,140)</f>
        <v/>
      </c>
      <c r="EP7" s="128">
        <f>EDATE(InceptionDate,141)</f>
        <v/>
      </c>
      <c r="EQ7" s="128">
        <f>EDATE(InceptionDate,142)</f>
        <v/>
      </c>
      <c r="ER7" s="128">
        <f>EDATE(InceptionDate,143)</f>
        <v/>
      </c>
      <c r="ES7" s="128">
        <f>EDATE(InceptionDate,144)</f>
        <v/>
      </c>
      <c r="ET7" s="128">
        <f>EDATE(InceptionDate,145)</f>
        <v/>
      </c>
      <c r="EU7" s="128">
        <f>EDATE(InceptionDate,146)</f>
        <v/>
      </c>
      <c r="EV7" s="128">
        <f>EDATE(InceptionDate,147)</f>
        <v/>
      </c>
      <c r="EW7" s="128">
        <f>EDATE(InceptionDate,148)</f>
        <v/>
      </c>
      <c r="EX7" s="128">
        <f>EDATE(InceptionDate,149)</f>
        <v/>
      </c>
      <c r="EY7" s="128">
        <f>EDATE(InceptionDate,150)</f>
        <v/>
      </c>
      <c r="EZ7" s="128">
        <f>EDATE(InceptionDate,151)</f>
        <v/>
      </c>
      <c r="FA7" s="128">
        <f>EDATE(InceptionDate,152)</f>
        <v/>
      </c>
      <c r="FB7" s="128">
        <f>EDATE(InceptionDate,153)</f>
        <v/>
      </c>
      <c r="FC7" s="128">
        <f>EDATE(InceptionDate,154)</f>
        <v/>
      </c>
      <c r="FD7" s="128">
        <f>EDATE(InceptionDate,155)</f>
        <v/>
      </c>
      <c r="FE7" s="128">
        <f>EDATE(InceptionDate,156)</f>
        <v/>
      </c>
      <c r="FF7" s="128">
        <f>EDATE(InceptionDate,157)</f>
        <v/>
      </c>
      <c r="FG7" s="128">
        <f>EDATE(InceptionDate,158)</f>
        <v/>
      </c>
      <c r="FH7" s="128">
        <f>EDATE(InceptionDate,159)</f>
        <v/>
      </c>
      <c r="FI7" s="128">
        <f>EDATE(InceptionDate,160)</f>
        <v/>
      </c>
      <c r="FJ7" s="128">
        <f>EDATE(InceptionDate,161)</f>
        <v/>
      </c>
      <c r="FK7" s="128">
        <f>EDATE(InceptionDate,162)</f>
        <v/>
      </c>
      <c r="FL7" s="128">
        <f>EDATE(InceptionDate,163)</f>
        <v/>
      </c>
      <c r="FM7" s="128">
        <f>EDATE(InceptionDate,164)</f>
        <v/>
      </c>
      <c r="FN7" s="128">
        <f>EDATE(InceptionDate,165)</f>
        <v/>
      </c>
      <c r="FO7" s="128">
        <f>EDATE(InceptionDate,166)</f>
        <v/>
      </c>
      <c r="FP7" s="128">
        <f>EDATE(InceptionDate,167)</f>
        <v/>
      </c>
      <c r="FQ7" s="128">
        <f>EDATE(InceptionDate,168)</f>
        <v/>
      </c>
      <c r="FR7" s="128">
        <f>EDATE(InceptionDate,169)</f>
        <v/>
      </c>
      <c r="FS7" s="128">
        <f>EDATE(InceptionDate,170)</f>
        <v/>
      </c>
      <c r="FT7" s="128">
        <f>EDATE(InceptionDate,171)</f>
        <v/>
      </c>
      <c r="FU7" s="128">
        <f>EDATE(InceptionDate,172)</f>
        <v/>
      </c>
      <c r="FV7" s="128">
        <f>EDATE(InceptionDate,173)</f>
        <v/>
      </c>
      <c r="FW7" s="128">
        <f>EDATE(InceptionDate,174)</f>
        <v/>
      </c>
      <c r="FX7" s="128">
        <f>EDATE(InceptionDate,175)</f>
        <v/>
      </c>
      <c r="FY7" s="128">
        <f>EDATE(InceptionDate,176)</f>
        <v/>
      </c>
      <c r="FZ7" s="128">
        <f>EDATE(InceptionDate,177)</f>
        <v/>
      </c>
      <c r="GA7" s="128">
        <f>EDATE(InceptionDate,178)</f>
        <v/>
      </c>
      <c r="GB7" s="128">
        <f>EDATE(InceptionDate,179)</f>
        <v/>
      </c>
      <c r="GC7" s="128">
        <f>EDATE(InceptionDate,180)</f>
        <v/>
      </c>
      <c r="GD7" s="128">
        <f>EDATE(InceptionDate,181)</f>
        <v/>
      </c>
      <c r="GE7" s="128">
        <f>EDATE(InceptionDate,182)</f>
        <v/>
      </c>
      <c r="GF7" s="128">
        <f>EDATE(InceptionDate,183)</f>
        <v/>
      </c>
      <c r="GG7" s="128">
        <f>EDATE(InceptionDate,184)</f>
        <v/>
      </c>
      <c r="GH7" s="128">
        <f>EDATE(InceptionDate,185)</f>
        <v/>
      </c>
      <c r="GI7" s="128">
        <f>EDATE(InceptionDate,186)</f>
        <v/>
      </c>
      <c r="GJ7" s="128">
        <f>EDATE(InceptionDate,187)</f>
        <v/>
      </c>
      <c r="GK7" s="128">
        <f>EDATE(InceptionDate,188)</f>
        <v/>
      </c>
      <c r="GL7" s="128">
        <f>EDATE(InceptionDate,189)</f>
        <v/>
      </c>
      <c r="GM7" s="128">
        <f>EDATE(InceptionDate,190)</f>
        <v/>
      </c>
      <c r="GN7" s="128">
        <f>EDATE(InceptionDate,191)</f>
        <v/>
      </c>
      <c r="GO7" s="128">
        <f>EDATE(InceptionDate,192)</f>
        <v/>
      </c>
      <c r="GP7" s="128">
        <f>EDATE(InceptionDate,193)</f>
        <v/>
      </c>
      <c r="GQ7" s="128">
        <f>EDATE(InceptionDate,194)</f>
        <v/>
      </c>
      <c r="GR7" s="128">
        <f>EDATE(InceptionDate,195)</f>
        <v/>
      </c>
      <c r="GS7" s="128">
        <f>EDATE(InceptionDate,196)</f>
        <v/>
      </c>
      <c r="GT7" s="128">
        <f>EDATE(InceptionDate,197)</f>
        <v/>
      </c>
      <c r="GU7" s="128">
        <f>EDATE(InceptionDate,198)</f>
        <v/>
      </c>
      <c r="GV7" s="128">
        <f>EDATE(InceptionDate,199)</f>
        <v/>
      </c>
      <c r="GW7" s="128">
        <f>EDATE(InceptionDate,200)</f>
        <v/>
      </c>
      <c r="GX7" s="128">
        <f>EDATE(InceptionDate,201)</f>
        <v/>
      </c>
      <c r="GY7" s="128">
        <f>EDATE(InceptionDate,202)</f>
        <v/>
      </c>
      <c r="GZ7" s="128">
        <f>EDATE(InceptionDate,203)</f>
        <v/>
      </c>
      <c r="HA7" s="128">
        <f>EDATE(InceptionDate,204)</f>
        <v/>
      </c>
      <c r="HB7" s="128">
        <f>EDATE(InceptionDate,205)</f>
        <v/>
      </c>
      <c r="HC7" s="128">
        <f>EDATE(InceptionDate,206)</f>
        <v/>
      </c>
      <c r="HD7" s="128">
        <f>EDATE(InceptionDate,207)</f>
        <v/>
      </c>
      <c r="HE7" s="128">
        <f>EDATE(InceptionDate,208)</f>
        <v/>
      </c>
      <c r="HF7" s="128">
        <f>EDATE(InceptionDate,209)</f>
        <v/>
      </c>
      <c r="HG7" s="128">
        <f>EDATE(InceptionDate,210)</f>
        <v/>
      </c>
      <c r="HH7" s="128">
        <f>EDATE(InceptionDate,211)</f>
        <v/>
      </c>
      <c r="HI7" s="128">
        <f>EDATE(InceptionDate,212)</f>
        <v/>
      </c>
      <c r="HJ7" s="128">
        <f>EDATE(InceptionDate,213)</f>
        <v/>
      </c>
      <c r="HK7" s="128">
        <f>EDATE(InceptionDate,214)</f>
        <v/>
      </c>
      <c r="HL7" s="128">
        <f>EDATE(InceptionDate,215)</f>
        <v/>
      </c>
      <c r="HM7" s="128">
        <f>EDATE(InceptionDate,216)</f>
        <v/>
      </c>
      <c r="HN7" s="128">
        <f>EDATE(InceptionDate,217)</f>
        <v/>
      </c>
      <c r="HO7" s="128">
        <f>EDATE(InceptionDate,218)</f>
        <v/>
      </c>
      <c r="HP7" s="128">
        <f>EDATE(InceptionDate,219)</f>
        <v/>
      </c>
      <c r="HQ7" s="128">
        <f>EDATE(InceptionDate,220)</f>
        <v/>
      </c>
      <c r="HR7" s="128">
        <f>EDATE(InceptionDate,221)</f>
        <v/>
      </c>
      <c r="HS7" s="128">
        <f>EDATE(InceptionDate,222)</f>
        <v/>
      </c>
      <c r="HT7" s="128">
        <f>EDATE(InceptionDate,223)</f>
        <v/>
      </c>
      <c r="HU7" s="128">
        <f>EDATE(InceptionDate,224)</f>
        <v/>
      </c>
      <c r="HV7" s="128">
        <f>EDATE(InceptionDate,225)</f>
        <v/>
      </c>
      <c r="HW7" s="128">
        <f>EDATE(InceptionDate,226)</f>
        <v/>
      </c>
      <c r="HX7" s="128">
        <f>EDATE(InceptionDate,227)</f>
        <v/>
      </c>
      <c r="HY7" s="128">
        <f>EDATE(InceptionDate,228)</f>
        <v/>
      </c>
      <c r="HZ7" s="128">
        <f>EDATE(InceptionDate,229)</f>
        <v/>
      </c>
      <c r="IA7" s="128">
        <f>EDATE(InceptionDate,230)</f>
        <v/>
      </c>
      <c r="IB7" s="128">
        <f>EDATE(InceptionDate,231)</f>
        <v/>
      </c>
      <c r="IC7" s="128">
        <f>EDATE(InceptionDate,232)</f>
        <v/>
      </c>
      <c r="ID7" s="128">
        <f>EDATE(InceptionDate,233)</f>
        <v/>
      </c>
      <c r="IE7" s="128">
        <f>EDATE(InceptionDate,234)</f>
        <v/>
      </c>
      <c r="IF7" s="128">
        <f>EDATE(InceptionDate,235)</f>
        <v/>
      </c>
      <c r="IG7" s="128">
        <f>EDATE(InceptionDate,236)</f>
        <v/>
      </c>
      <c r="IH7" s="128">
        <f>EDATE(InceptionDate,237)</f>
        <v/>
      </c>
      <c r="II7" s="128">
        <f>EDATE(InceptionDate,238)</f>
        <v/>
      </c>
      <c r="IJ7" s="128">
        <f>EDATE(InceptionDate,239)</f>
        <v/>
      </c>
      <c r="IK7" s="128">
        <f>EDATE(InceptionDate,240)</f>
        <v/>
      </c>
      <c r="IL7" s="128">
        <f>EDATE(InceptionDate,241)</f>
        <v/>
      </c>
      <c r="IM7" s="128">
        <f>EDATE(InceptionDate,242)</f>
        <v/>
      </c>
      <c r="IN7" s="128">
        <f>EDATE(InceptionDate,243)</f>
        <v/>
      </c>
      <c r="IO7" s="128">
        <f>EDATE(InceptionDate,244)</f>
        <v/>
      </c>
      <c r="IP7" s="128">
        <f>EDATE(InceptionDate,245)</f>
        <v/>
      </c>
      <c r="IQ7" s="128">
        <f>EDATE(InceptionDate,246)</f>
        <v/>
      </c>
      <c r="IR7" s="128">
        <f>EDATE(InceptionDate,247)</f>
        <v/>
      </c>
      <c r="IS7" s="128">
        <f>EDATE(InceptionDate,248)</f>
        <v/>
      </c>
      <c r="IT7" s="128">
        <f>EDATE(InceptionDate,249)</f>
        <v/>
      </c>
      <c r="IU7" s="128">
        <f>EDATE(InceptionDate,250)</f>
        <v/>
      </c>
      <c r="IV7" s="128">
        <f>EDATE(InceptionDate,251)</f>
        <v/>
      </c>
      <c r="IW7" s="128">
        <f>EDATE(InceptionDate,252)</f>
        <v/>
      </c>
      <c r="IX7" s="128">
        <f>EDATE(InceptionDate,253)</f>
        <v/>
      </c>
      <c r="IY7" s="128">
        <f>EDATE(InceptionDate,254)</f>
        <v/>
      </c>
      <c r="IZ7" s="128">
        <f>EDATE(InceptionDate,255)</f>
        <v/>
      </c>
      <c r="JA7" s="128">
        <f>EDATE(InceptionDate,256)</f>
        <v/>
      </c>
      <c r="JB7" s="128">
        <f>EDATE(InceptionDate,257)</f>
        <v/>
      </c>
      <c r="JC7" s="128">
        <f>EDATE(InceptionDate,258)</f>
        <v/>
      </c>
      <c r="JD7" s="128">
        <f>EDATE(InceptionDate,259)</f>
        <v/>
      </c>
      <c r="JE7" s="128">
        <f>EDATE(InceptionDate,260)</f>
        <v/>
      </c>
      <c r="JF7" s="128">
        <f>EDATE(InceptionDate,261)</f>
        <v/>
      </c>
      <c r="JG7" s="128">
        <f>EDATE(InceptionDate,262)</f>
        <v/>
      </c>
      <c r="JH7" s="128">
        <f>EDATE(InceptionDate,263)</f>
        <v/>
      </c>
      <c r="JI7" s="128">
        <f>EDATE(InceptionDate,264)</f>
        <v/>
      </c>
      <c r="JJ7" s="128">
        <f>EDATE(InceptionDate,265)</f>
        <v/>
      </c>
      <c r="JK7" s="128">
        <f>EDATE(InceptionDate,266)</f>
        <v/>
      </c>
      <c r="JL7" s="128">
        <f>EDATE(InceptionDate,267)</f>
        <v/>
      </c>
      <c r="JM7" s="128">
        <f>EDATE(InceptionDate,268)</f>
        <v/>
      </c>
      <c r="JN7" s="128">
        <f>EDATE(InceptionDate,269)</f>
        <v/>
      </c>
      <c r="JO7" s="128">
        <f>EDATE(InceptionDate,270)</f>
        <v/>
      </c>
      <c r="JP7" s="128">
        <f>EDATE(InceptionDate,271)</f>
        <v/>
      </c>
      <c r="JQ7" s="128">
        <f>EDATE(InceptionDate,272)</f>
        <v/>
      </c>
      <c r="JR7" s="128">
        <f>EDATE(InceptionDate,273)</f>
        <v/>
      </c>
      <c r="JS7" s="128">
        <f>EDATE(InceptionDate,274)</f>
        <v/>
      </c>
      <c r="JT7" s="128">
        <f>EDATE(InceptionDate,275)</f>
        <v/>
      </c>
      <c r="JU7" s="128">
        <f>EDATE(InceptionDate,276)</f>
        <v/>
      </c>
      <c r="JV7" s="128">
        <f>EDATE(InceptionDate,277)</f>
        <v/>
      </c>
      <c r="JW7" s="128">
        <f>EDATE(InceptionDate,278)</f>
        <v/>
      </c>
      <c r="JX7" s="128">
        <f>EDATE(InceptionDate,279)</f>
        <v/>
      </c>
      <c r="JY7" s="128">
        <f>EDATE(InceptionDate,280)</f>
        <v/>
      </c>
      <c r="JZ7" s="128">
        <f>EDATE(InceptionDate,281)</f>
        <v/>
      </c>
      <c r="KA7" s="128">
        <f>EDATE(InceptionDate,282)</f>
        <v/>
      </c>
      <c r="KB7" s="128">
        <f>EDATE(InceptionDate,283)</f>
        <v/>
      </c>
      <c r="KC7" s="128">
        <f>EDATE(InceptionDate,284)</f>
        <v/>
      </c>
      <c r="KD7" s="128">
        <f>EDATE(InceptionDate,285)</f>
        <v/>
      </c>
      <c r="KE7" s="128">
        <f>EDATE(InceptionDate,286)</f>
        <v/>
      </c>
      <c r="KF7" s="128">
        <f>EDATE(InceptionDate,287)</f>
        <v/>
      </c>
      <c r="KG7" s="128">
        <f>EDATE(InceptionDate,288)</f>
        <v/>
      </c>
      <c r="KH7" s="128">
        <f>EDATE(InceptionDate,289)</f>
        <v/>
      </c>
      <c r="KI7" s="128">
        <f>EDATE(InceptionDate,290)</f>
        <v/>
      </c>
      <c r="KJ7" s="128">
        <f>EDATE(InceptionDate,291)</f>
        <v/>
      </c>
      <c r="KK7" s="128">
        <f>EDATE(InceptionDate,292)</f>
        <v/>
      </c>
      <c r="KL7" s="128">
        <f>EDATE(InceptionDate,293)</f>
        <v/>
      </c>
      <c r="KM7" s="128">
        <f>EDATE(InceptionDate,294)</f>
        <v/>
      </c>
      <c r="KN7" s="128">
        <f>EDATE(InceptionDate,295)</f>
        <v/>
      </c>
      <c r="KO7" s="128">
        <f>EDATE(InceptionDate,296)</f>
        <v/>
      </c>
      <c r="KP7" s="128">
        <f>EDATE(InceptionDate,297)</f>
        <v/>
      </c>
      <c r="KQ7" s="128">
        <f>EDATE(InceptionDate,298)</f>
        <v/>
      </c>
      <c r="KR7" s="128">
        <f>EDATE(InceptionDate,299)</f>
        <v/>
      </c>
      <c r="KS7" s="128">
        <f>EDATE(InceptionDate,300)</f>
        <v/>
      </c>
      <c r="KT7" s="128">
        <f>EDATE(InceptionDate,301)</f>
        <v/>
      </c>
      <c r="KU7" s="128">
        <f>EDATE(InceptionDate,302)</f>
        <v/>
      </c>
      <c r="KV7" s="128">
        <f>EDATE(InceptionDate,303)</f>
        <v/>
      </c>
      <c r="KW7" s="128">
        <f>EDATE(InceptionDate,304)</f>
        <v/>
      </c>
      <c r="KX7" s="128">
        <f>EDATE(InceptionDate,305)</f>
        <v/>
      </c>
      <c r="KY7" s="128">
        <f>EDATE(InceptionDate,306)</f>
        <v/>
      </c>
      <c r="KZ7" s="128">
        <f>EDATE(InceptionDate,307)</f>
        <v/>
      </c>
      <c r="LA7" s="128">
        <f>EDATE(InceptionDate,308)</f>
        <v/>
      </c>
      <c r="LB7" s="128">
        <f>EDATE(InceptionDate,309)</f>
        <v/>
      </c>
      <c r="LC7" s="128">
        <f>EDATE(InceptionDate,310)</f>
        <v/>
      </c>
      <c r="LD7" s="128">
        <f>EDATE(InceptionDate,311)</f>
        <v/>
      </c>
      <c r="LE7" s="128">
        <f>EDATE(InceptionDate,312)</f>
        <v/>
      </c>
      <c r="LF7" s="128">
        <f>EDATE(InceptionDate,313)</f>
        <v/>
      </c>
      <c r="LG7" s="128">
        <f>EDATE(InceptionDate,314)</f>
        <v/>
      </c>
      <c r="LH7" s="128">
        <f>EDATE(InceptionDate,315)</f>
        <v/>
      </c>
      <c r="LI7" s="128">
        <f>EDATE(InceptionDate,316)</f>
        <v/>
      </c>
      <c r="LJ7" s="128">
        <f>EDATE(InceptionDate,317)</f>
        <v/>
      </c>
      <c r="LK7" s="128">
        <f>EDATE(InceptionDate,318)</f>
        <v/>
      </c>
      <c r="LL7" s="128">
        <f>EDATE(InceptionDate,319)</f>
        <v/>
      </c>
      <c r="LM7" s="128">
        <f>EDATE(InceptionDate,320)</f>
        <v/>
      </c>
      <c r="LN7" s="128">
        <f>EDATE(InceptionDate,321)</f>
        <v/>
      </c>
      <c r="LO7" s="128">
        <f>EDATE(InceptionDate,322)</f>
        <v/>
      </c>
      <c r="LP7" s="128">
        <f>EDATE(InceptionDate,323)</f>
        <v/>
      </c>
      <c r="LQ7" s="128">
        <f>EDATE(InceptionDate,324)</f>
        <v/>
      </c>
      <c r="LR7" s="128">
        <f>EDATE(InceptionDate,325)</f>
        <v/>
      </c>
      <c r="LS7" s="128">
        <f>EDATE(InceptionDate,326)</f>
        <v/>
      </c>
      <c r="LT7" s="128">
        <f>EDATE(InceptionDate,327)</f>
        <v/>
      </c>
      <c r="LU7" s="128">
        <f>EDATE(InceptionDate,328)</f>
        <v/>
      </c>
      <c r="LV7" s="128">
        <f>EDATE(InceptionDate,329)</f>
        <v/>
      </c>
      <c r="LW7" s="128">
        <f>EDATE(InceptionDate,330)</f>
        <v/>
      </c>
      <c r="LX7" s="128">
        <f>EDATE(InceptionDate,331)</f>
        <v/>
      </c>
      <c r="LY7" s="128">
        <f>EDATE(InceptionDate,332)</f>
        <v/>
      </c>
      <c r="LZ7" s="128">
        <f>EDATE(InceptionDate,333)</f>
        <v/>
      </c>
      <c r="MA7" s="128">
        <f>EDATE(InceptionDate,334)</f>
        <v/>
      </c>
      <c r="MB7" s="128">
        <f>EDATE(InceptionDate,335)</f>
        <v/>
      </c>
      <c r="MC7" s="128">
        <f>EDATE(InceptionDate,336)</f>
        <v/>
      </c>
      <c r="MD7" s="128">
        <f>EDATE(InceptionDate,337)</f>
        <v/>
      </c>
      <c r="ME7" s="128">
        <f>EDATE(InceptionDate,338)</f>
        <v/>
      </c>
      <c r="MF7" s="128">
        <f>EDATE(InceptionDate,339)</f>
        <v/>
      </c>
      <c r="MG7" s="128">
        <f>EDATE(InceptionDate,340)</f>
        <v/>
      </c>
      <c r="MH7" s="128">
        <f>EDATE(InceptionDate,341)</f>
        <v/>
      </c>
      <c r="MI7" s="128">
        <f>EDATE(InceptionDate,342)</f>
        <v/>
      </c>
      <c r="MJ7" s="128">
        <f>EDATE(InceptionDate,343)</f>
        <v/>
      </c>
      <c r="MK7" s="128">
        <f>EDATE(InceptionDate,344)</f>
        <v/>
      </c>
      <c r="ML7" s="128">
        <f>EDATE(InceptionDate,345)</f>
        <v/>
      </c>
      <c r="MM7" s="128">
        <f>EDATE(InceptionDate,346)</f>
        <v/>
      </c>
      <c r="MN7" s="128">
        <f>EDATE(InceptionDate,347)</f>
        <v/>
      </c>
      <c r="MO7" s="128">
        <f>EDATE(InceptionDate,348)</f>
        <v/>
      </c>
      <c r="MP7" s="128">
        <f>EDATE(InceptionDate,349)</f>
        <v/>
      </c>
      <c r="MQ7" s="128">
        <f>EDATE(InceptionDate,350)</f>
        <v/>
      </c>
      <c r="MR7" s="128">
        <f>EDATE(InceptionDate,351)</f>
        <v/>
      </c>
      <c r="MS7" s="128">
        <f>EDATE(InceptionDate,352)</f>
        <v/>
      </c>
      <c r="MT7" s="128">
        <f>EDATE(InceptionDate,353)</f>
        <v/>
      </c>
      <c r="MU7" s="128">
        <f>EDATE(InceptionDate,354)</f>
        <v/>
      </c>
      <c r="MV7" s="128">
        <f>EDATE(InceptionDate,355)</f>
        <v/>
      </c>
      <c r="MW7" s="128">
        <f>EDATE(InceptionDate,356)</f>
        <v/>
      </c>
      <c r="MX7" s="128">
        <f>EDATE(InceptionDate,357)</f>
        <v/>
      </c>
      <c r="MY7" s="128">
        <f>EDATE(InceptionDate,358)</f>
        <v/>
      </c>
      <c r="MZ7" s="128">
        <f>EDATE(InceptionDate,359)</f>
        <v/>
      </c>
      <c r="NA7" s="128">
        <f>EDATE(InceptionDate,360)</f>
        <v/>
      </c>
      <c r="NB7" s="128">
        <f>EDATE(InceptionDate,361)</f>
        <v/>
      </c>
      <c r="NC7" s="128">
        <f>EDATE(InceptionDate,362)</f>
        <v/>
      </c>
      <c r="ND7" s="128">
        <f>EDATE(InceptionDate,363)</f>
        <v/>
      </c>
      <c r="NE7" s="128">
        <f>EDATE(InceptionDate,364)</f>
        <v/>
      </c>
      <c r="NF7" s="128">
        <f>EDATE(InceptionDate,365)</f>
        <v/>
      </c>
      <c r="NG7" s="128">
        <f>EDATE(InceptionDate,366)</f>
        <v/>
      </c>
      <c r="NH7" s="128">
        <f>EDATE(InceptionDate,367)</f>
        <v/>
      </c>
      <c r="NI7" s="128">
        <f>EDATE(InceptionDate,368)</f>
        <v/>
      </c>
      <c r="NJ7" s="128">
        <f>EDATE(InceptionDate,369)</f>
        <v/>
      </c>
      <c r="NK7" s="128">
        <f>EDATE(InceptionDate,370)</f>
        <v/>
      </c>
      <c r="NL7" s="128">
        <f>EDATE(InceptionDate,371)</f>
        <v/>
      </c>
    </row>
    <row r="8">
      <c r="B8" s="36" t="inlineStr">
        <is>
          <t>Cumulative Units Delivered</t>
        </is>
      </c>
      <c r="D8" s="124" t="n"/>
      <c r="E8" s="85">
        <f>IF(1&lt;DeliverStart,0,MIN(TotalUnits,(1-DeliverStart+1)*UnitsDeliveredPerMo))</f>
        <v/>
      </c>
      <c r="F8" s="85">
        <f>IF(2&lt;DeliverStart,0,MIN(TotalUnits,(2-DeliverStart+1)*UnitsDeliveredPerMo))</f>
        <v/>
      </c>
      <c r="G8" s="85">
        <f>IF(3&lt;DeliverStart,0,MIN(TotalUnits,(3-DeliverStart+1)*UnitsDeliveredPerMo))</f>
        <v/>
      </c>
      <c r="H8" s="85">
        <f>IF(4&lt;DeliverStart,0,MIN(TotalUnits,(4-DeliverStart+1)*UnitsDeliveredPerMo))</f>
        <v/>
      </c>
      <c r="I8" s="85">
        <f>IF(5&lt;DeliverStart,0,MIN(TotalUnits,(5-DeliverStart+1)*UnitsDeliveredPerMo))</f>
        <v/>
      </c>
      <c r="J8" s="85">
        <f>IF(6&lt;DeliverStart,0,MIN(TotalUnits,(6-DeliverStart+1)*UnitsDeliveredPerMo))</f>
        <v/>
      </c>
      <c r="K8" s="85">
        <f>IF(7&lt;DeliverStart,0,MIN(TotalUnits,(7-DeliverStart+1)*UnitsDeliveredPerMo))</f>
        <v/>
      </c>
      <c r="L8" s="85">
        <f>IF(8&lt;DeliverStart,0,MIN(TotalUnits,(8-DeliverStart+1)*UnitsDeliveredPerMo))</f>
        <v/>
      </c>
      <c r="M8" s="85">
        <f>IF(9&lt;DeliverStart,0,MIN(TotalUnits,(9-DeliverStart+1)*UnitsDeliveredPerMo))</f>
        <v/>
      </c>
      <c r="N8" s="85">
        <f>IF(10&lt;DeliverStart,0,MIN(TotalUnits,(10-DeliverStart+1)*UnitsDeliveredPerMo))</f>
        <v/>
      </c>
      <c r="O8" s="85">
        <f>IF(11&lt;DeliverStart,0,MIN(TotalUnits,(11-DeliverStart+1)*UnitsDeliveredPerMo))</f>
        <v/>
      </c>
      <c r="P8" s="85">
        <f>IF(12&lt;DeliverStart,0,MIN(TotalUnits,(12-DeliverStart+1)*UnitsDeliveredPerMo))</f>
        <v/>
      </c>
      <c r="Q8" s="85">
        <f>IF(13&lt;DeliverStart,0,MIN(TotalUnits,(13-DeliverStart+1)*UnitsDeliveredPerMo))</f>
        <v/>
      </c>
      <c r="R8" s="85">
        <f>IF(14&lt;DeliverStart,0,MIN(TotalUnits,(14-DeliverStart+1)*UnitsDeliveredPerMo))</f>
        <v/>
      </c>
      <c r="S8" s="85">
        <f>IF(15&lt;DeliverStart,0,MIN(TotalUnits,(15-DeliverStart+1)*UnitsDeliveredPerMo))</f>
        <v/>
      </c>
      <c r="T8" s="85">
        <f>IF(16&lt;DeliverStart,0,MIN(TotalUnits,(16-DeliverStart+1)*UnitsDeliveredPerMo))</f>
        <v/>
      </c>
      <c r="U8" s="85">
        <f>IF(17&lt;DeliverStart,0,MIN(TotalUnits,(17-DeliverStart+1)*UnitsDeliveredPerMo))</f>
        <v/>
      </c>
      <c r="V8" s="85">
        <f>IF(18&lt;DeliverStart,0,MIN(TotalUnits,(18-DeliverStart+1)*UnitsDeliveredPerMo))</f>
        <v/>
      </c>
      <c r="W8" s="85">
        <f>IF(19&lt;DeliverStart,0,MIN(TotalUnits,(19-DeliverStart+1)*UnitsDeliveredPerMo))</f>
        <v/>
      </c>
      <c r="X8" s="85">
        <f>IF(20&lt;DeliverStart,0,MIN(TotalUnits,(20-DeliverStart+1)*UnitsDeliveredPerMo))</f>
        <v/>
      </c>
      <c r="Y8" s="85">
        <f>IF(21&lt;DeliverStart,0,MIN(TotalUnits,(21-DeliverStart+1)*UnitsDeliveredPerMo))</f>
        <v/>
      </c>
      <c r="Z8" s="85">
        <f>IF(22&lt;DeliverStart,0,MIN(TotalUnits,(22-DeliverStart+1)*UnitsDeliveredPerMo))</f>
        <v/>
      </c>
      <c r="AA8" s="85">
        <f>IF(23&lt;DeliverStart,0,MIN(TotalUnits,(23-DeliverStart+1)*UnitsDeliveredPerMo))</f>
        <v/>
      </c>
      <c r="AB8" s="85">
        <f>IF(24&lt;DeliverStart,0,MIN(TotalUnits,(24-DeliverStart+1)*UnitsDeliveredPerMo))</f>
        <v/>
      </c>
      <c r="AC8" s="85">
        <f>IF(25&lt;DeliverStart,0,MIN(TotalUnits,(25-DeliverStart+1)*UnitsDeliveredPerMo))</f>
        <v/>
      </c>
      <c r="AD8" s="85">
        <f>IF(26&lt;DeliverStart,0,MIN(TotalUnits,(26-DeliverStart+1)*UnitsDeliveredPerMo))</f>
        <v/>
      </c>
      <c r="AE8" s="85">
        <f>IF(27&lt;DeliverStart,0,MIN(TotalUnits,(27-DeliverStart+1)*UnitsDeliveredPerMo))</f>
        <v/>
      </c>
      <c r="AF8" s="85">
        <f>IF(28&lt;DeliverStart,0,MIN(TotalUnits,(28-DeliverStart+1)*UnitsDeliveredPerMo))</f>
        <v/>
      </c>
      <c r="AG8" s="85">
        <f>IF(29&lt;DeliverStart,0,MIN(TotalUnits,(29-DeliverStart+1)*UnitsDeliveredPerMo))</f>
        <v/>
      </c>
      <c r="AH8" s="85">
        <f>IF(30&lt;DeliverStart,0,MIN(TotalUnits,(30-DeliverStart+1)*UnitsDeliveredPerMo))</f>
        <v/>
      </c>
      <c r="AI8" s="85">
        <f>IF(31&lt;DeliverStart,0,MIN(TotalUnits,(31-DeliverStart+1)*UnitsDeliveredPerMo))</f>
        <v/>
      </c>
      <c r="AJ8" s="85">
        <f>IF(32&lt;DeliverStart,0,MIN(TotalUnits,(32-DeliverStart+1)*UnitsDeliveredPerMo))</f>
        <v/>
      </c>
      <c r="AK8" s="85">
        <f>IF(33&lt;DeliverStart,0,MIN(TotalUnits,(33-DeliverStart+1)*UnitsDeliveredPerMo))</f>
        <v/>
      </c>
      <c r="AL8" s="85">
        <f>IF(34&lt;DeliverStart,0,MIN(TotalUnits,(34-DeliverStart+1)*UnitsDeliveredPerMo))</f>
        <v/>
      </c>
      <c r="AM8" s="85">
        <f>IF(35&lt;DeliverStart,0,MIN(TotalUnits,(35-DeliverStart+1)*UnitsDeliveredPerMo))</f>
        <v/>
      </c>
      <c r="AN8" s="85">
        <f>IF(36&lt;DeliverStart,0,MIN(TotalUnits,(36-DeliverStart+1)*UnitsDeliveredPerMo))</f>
        <v/>
      </c>
      <c r="AO8" s="85">
        <f>IF(37&lt;DeliverStart,0,MIN(TotalUnits,(37-DeliverStart+1)*UnitsDeliveredPerMo))</f>
        <v/>
      </c>
      <c r="AP8" s="85">
        <f>IF(38&lt;DeliverStart,0,MIN(TotalUnits,(38-DeliverStart+1)*UnitsDeliveredPerMo))</f>
        <v/>
      </c>
      <c r="AQ8" s="85">
        <f>IF(39&lt;DeliverStart,0,MIN(TotalUnits,(39-DeliverStart+1)*UnitsDeliveredPerMo))</f>
        <v/>
      </c>
      <c r="AR8" s="85">
        <f>IF(40&lt;DeliverStart,0,MIN(TotalUnits,(40-DeliverStart+1)*UnitsDeliveredPerMo))</f>
        <v/>
      </c>
      <c r="AS8" s="85">
        <f>IF(41&lt;DeliverStart,0,MIN(TotalUnits,(41-DeliverStart+1)*UnitsDeliveredPerMo))</f>
        <v/>
      </c>
      <c r="AT8" s="85">
        <f>IF(42&lt;DeliverStart,0,MIN(TotalUnits,(42-DeliverStart+1)*UnitsDeliveredPerMo))</f>
        <v/>
      </c>
      <c r="AU8" s="85">
        <f>IF(43&lt;DeliverStart,0,MIN(TotalUnits,(43-DeliverStart+1)*UnitsDeliveredPerMo))</f>
        <v/>
      </c>
      <c r="AV8" s="85">
        <f>IF(44&lt;DeliverStart,0,MIN(TotalUnits,(44-DeliverStart+1)*UnitsDeliveredPerMo))</f>
        <v/>
      </c>
      <c r="AW8" s="85">
        <f>IF(45&lt;DeliverStart,0,MIN(TotalUnits,(45-DeliverStart+1)*UnitsDeliveredPerMo))</f>
        <v/>
      </c>
      <c r="AX8" s="85">
        <f>IF(46&lt;DeliverStart,0,MIN(TotalUnits,(46-DeliverStart+1)*UnitsDeliveredPerMo))</f>
        <v/>
      </c>
      <c r="AY8" s="85">
        <f>IF(47&lt;DeliverStart,0,MIN(TotalUnits,(47-DeliverStart+1)*UnitsDeliveredPerMo))</f>
        <v/>
      </c>
      <c r="AZ8" s="85">
        <f>IF(48&lt;DeliverStart,0,MIN(TotalUnits,(48-DeliverStart+1)*UnitsDeliveredPerMo))</f>
        <v/>
      </c>
      <c r="BA8" s="85">
        <f>IF(49&lt;DeliverStart,0,MIN(TotalUnits,(49-DeliverStart+1)*UnitsDeliveredPerMo))</f>
        <v/>
      </c>
      <c r="BB8" s="85">
        <f>IF(50&lt;DeliverStart,0,MIN(TotalUnits,(50-DeliverStart+1)*UnitsDeliveredPerMo))</f>
        <v/>
      </c>
      <c r="BC8" s="85">
        <f>IF(51&lt;DeliverStart,0,MIN(TotalUnits,(51-DeliverStart+1)*UnitsDeliveredPerMo))</f>
        <v/>
      </c>
      <c r="BD8" s="85">
        <f>IF(52&lt;DeliverStart,0,MIN(TotalUnits,(52-DeliverStart+1)*UnitsDeliveredPerMo))</f>
        <v/>
      </c>
      <c r="BE8" s="85">
        <f>IF(53&lt;DeliverStart,0,MIN(TotalUnits,(53-DeliverStart+1)*UnitsDeliveredPerMo))</f>
        <v/>
      </c>
      <c r="BF8" s="85">
        <f>IF(54&lt;DeliverStart,0,MIN(TotalUnits,(54-DeliverStart+1)*UnitsDeliveredPerMo))</f>
        <v/>
      </c>
      <c r="BG8" s="85">
        <f>IF(55&lt;DeliverStart,0,MIN(TotalUnits,(55-DeliverStart+1)*UnitsDeliveredPerMo))</f>
        <v/>
      </c>
      <c r="BH8" s="85">
        <f>IF(56&lt;DeliverStart,0,MIN(TotalUnits,(56-DeliverStart+1)*UnitsDeliveredPerMo))</f>
        <v/>
      </c>
      <c r="BI8" s="85">
        <f>IF(57&lt;DeliverStart,0,MIN(TotalUnits,(57-DeliverStart+1)*UnitsDeliveredPerMo))</f>
        <v/>
      </c>
      <c r="BJ8" s="85">
        <f>IF(58&lt;DeliverStart,0,MIN(TotalUnits,(58-DeliverStart+1)*UnitsDeliveredPerMo))</f>
        <v/>
      </c>
      <c r="BK8" s="85">
        <f>IF(59&lt;DeliverStart,0,MIN(TotalUnits,(59-DeliverStart+1)*UnitsDeliveredPerMo))</f>
        <v/>
      </c>
      <c r="BL8" s="85">
        <f>IF(60&lt;DeliverStart,0,MIN(TotalUnits,(60-DeliverStart+1)*UnitsDeliveredPerMo))</f>
        <v/>
      </c>
      <c r="BM8" s="85">
        <f>IF(61&lt;DeliverStart,0,MIN(TotalUnits,(61-DeliverStart+1)*UnitsDeliveredPerMo))</f>
        <v/>
      </c>
      <c r="BN8" s="85">
        <f>IF(62&lt;DeliverStart,0,MIN(TotalUnits,(62-DeliverStart+1)*UnitsDeliveredPerMo))</f>
        <v/>
      </c>
      <c r="BO8" s="85">
        <f>IF(63&lt;DeliverStart,0,MIN(TotalUnits,(63-DeliverStart+1)*UnitsDeliveredPerMo))</f>
        <v/>
      </c>
      <c r="BP8" s="85">
        <f>IF(64&lt;DeliverStart,0,MIN(TotalUnits,(64-DeliverStart+1)*UnitsDeliveredPerMo))</f>
        <v/>
      </c>
      <c r="BQ8" s="85">
        <f>IF(65&lt;DeliverStart,0,MIN(TotalUnits,(65-DeliverStart+1)*UnitsDeliveredPerMo))</f>
        <v/>
      </c>
      <c r="BR8" s="85">
        <f>IF(66&lt;DeliverStart,0,MIN(TotalUnits,(66-DeliverStart+1)*UnitsDeliveredPerMo))</f>
        <v/>
      </c>
      <c r="BS8" s="85">
        <f>IF(67&lt;DeliverStart,0,MIN(TotalUnits,(67-DeliverStart+1)*UnitsDeliveredPerMo))</f>
        <v/>
      </c>
      <c r="BT8" s="85">
        <f>IF(68&lt;DeliverStart,0,MIN(TotalUnits,(68-DeliverStart+1)*UnitsDeliveredPerMo))</f>
        <v/>
      </c>
      <c r="BU8" s="85">
        <f>IF(69&lt;DeliverStart,0,MIN(TotalUnits,(69-DeliverStart+1)*UnitsDeliveredPerMo))</f>
        <v/>
      </c>
      <c r="BV8" s="85">
        <f>IF(70&lt;DeliverStart,0,MIN(TotalUnits,(70-DeliverStart+1)*UnitsDeliveredPerMo))</f>
        <v/>
      </c>
      <c r="BW8" s="85">
        <f>IF(71&lt;DeliverStart,0,MIN(TotalUnits,(71-DeliverStart+1)*UnitsDeliveredPerMo))</f>
        <v/>
      </c>
      <c r="BX8" s="85">
        <f>IF(72&lt;DeliverStart,0,MIN(TotalUnits,(72-DeliverStart+1)*UnitsDeliveredPerMo))</f>
        <v/>
      </c>
      <c r="BY8" s="85">
        <f>IF(73&lt;DeliverStart,0,MIN(TotalUnits,(73-DeliverStart+1)*UnitsDeliveredPerMo))</f>
        <v/>
      </c>
      <c r="BZ8" s="85">
        <f>IF(74&lt;DeliverStart,0,MIN(TotalUnits,(74-DeliverStart+1)*UnitsDeliveredPerMo))</f>
        <v/>
      </c>
      <c r="CA8" s="85">
        <f>IF(75&lt;DeliverStart,0,MIN(TotalUnits,(75-DeliverStart+1)*UnitsDeliveredPerMo))</f>
        <v/>
      </c>
      <c r="CB8" s="85">
        <f>IF(76&lt;DeliverStart,0,MIN(TotalUnits,(76-DeliverStart+1)*UnitsDeliveredPerMo))</f>
        <v/>
      </c>
      <c r="CC8" s="85">
        <f>IF(77&lt;DeliverStart,0,MIN(TotalUnits,(77-DeliverStart+1)*UnitsDeliveredPerMo))</f>
        <v/>
      </c>
      <c r="CD8" s="85">
        <f>IF(78&lt;DeliverStart,0,MIN(TotalUnits,(78-DeliverStart+1)*UnitsDeliveredPerMo))</f>
        <v/>
      </c>
      <c r="CE8" s="85">
        <f>IF(79&lt;DeliverStart,0,MIN(TotalUnits,(79-DeliverStart+1)*UnitsDeliveredPerMo))</f>
        <v/>
      </c>
      <c r="CF8" s="85">
        <f>IF(80&lt;DeliverStart,0,MIN(TotalUnits,(80-DeliverStart+1)*UnitsDeliveredPerMo))</f>
        <v/>
      </c>
      <c r="CG8" s="85">
        <f>IF(81&lt;DeliverStart,0,MIN(TotalUnits,(81-DeliverStart+1)*UnitsDeliveredPerMo))</f>
        <v/>
      </c>
      <c r="CH8" s="85">
        <f>IF(82&lt;DeliverStart,0,MIN(TotalUnits,(82-DeliverStart+1)*UnitsDeliveredPerMo))</f>
        <v/>
      </c>
      <c r="CI8" s="85">
        <f>IF(83&lt;DeliverStart,0,MIN(TotalUnits,(83-DeliverStart+1)*UnitsDeliveredPerMo))</f>
        <v/>
      </c>
      <c r="CJ8" s="85">
        <f>IF(84&lt;DeliverStart,0,MIN(TotalUnits,(84-DeliverStart+1)*UnitsDeliveredPerMo))</f>
        <v/>
      </c>
      <c r="CK8" s="85">
        <f>IF(85&lt;DeliverStart,0,MIN(TotalUnits,(85-DeliverStart+1)*UnitsDeliveredPerMo))</f>
        <v/>
      </c>
      <c r="CL8" s="85">
        <f>IF(86&lt;DeliverStart,0,MIN(TotalUnits,(86-DeliverStart+1)*UnitsDeliveredPerMo))</f>
        <v/>
      </c>
      <c r="CM8" s="85">
        <f>IF(87&lt;DeliverStart,0,MIN(TotalUnits,(87-DeliverStart+1)*UnitsDeliveredPerMo))</f>
        <v/>
      </c>
      <c r="CN8" s="85">
        <f>IF(88&lt;DeliverStart,0,MIN(TotalUnits,(88-DeliverStart+1)*UnitsDeliveredPerMo))</f>
        <v/>
      </c>
      <c r="CO8" s="85">
        <f>IF(89&lt;DeliverStart,0,MIN(TotalUnits,(89-DeliverStart+1)*UnitsDeliveredPerMo))</f>
        <v/>
      </c>
      <c r="CP8" s="85">
        <f>IF(90&lt;DeliverStart,0,MIN(TotalUnits,(90-DeliverStart+1)*UnitsDeliveredPerMo))</f>
        <v/>
      </c>
      <c r="CQ8" s="85">
        <f>IF(91&lt;DeliverStart,0,MIN(TotalUnits,(91-DeliverStart+1)*UnitsDeliveredPerMo))</f>
        <v/>
      </c>
      <c r="CR8" s="85">
        <f>IF(92&lt;DeliverStart,0,MIN(TotalUnits,(92-DeliverStart+1)*UnitsDeliveredPerMo))</f>
        <v/>
      </c>
      <c r="CS8" s="85">
        <f>IF(93&lt;DeliverStart,0,MIN(TotalUnits,(93-DeliverStart+1)*UnitsDeliveredPerMo))</f>
        <v/>
      </c>
      <c r="CT8" s="85">
        <f>IF(94&lt;DeliverStart,0,MIN(TotalUnits,(94-DeliverStart+1)*UnitsDeliveredPerMo))</f>
        <v/>
      </c>
      <c r="CU8" s="85">
        <f>IF(95&lt;DeliverStart,0,MIN(TotalUnits,(95-DeliverStart+1)*UnitsDeliveredPerMo))</f>
        <v/>
      </c>
      <c r="CV8" s="85">
        <f>IF(96&lt;DeliverStart,0,MIN(TotalUnits,(96-DeliverStart+1)*UnitsDeliveredPerMo))</f>
        <v/>
      </c>
      <c r="CW8" s="85">
        <f>IF(97&lt;DeliverStart,0,MIN(TotalUnits,(97-DeliverStart+1)*UnitsDeliveredPerMo))</f>
        <v/>
      </c>
      <c r="CX8" s="85">
        <f>IF(98&lt;DeliverStart,0,MIN(TotalUnits,(98-DeliverStart+1)*UnitsDeliveredPerMo))</f>
        <v/>
      </c>
      <c r="CY8" s="85">
        <f>IF(99&lt;DeliverStart,0,MIN(TotalUnits,(99-DeliverStart+1)*UnitsDeliveredPerMo))</f>
        <v/>
      </c>
      <c r="CZ8" s="85">
        <f>IF(100&lt;DeliverStart,0,MIN(TotalUnits,(100-DeliverStart+1)*UnitsDeliveredPerMo))</f>
        <v/>
      </c>
      <c r="DA8" s="85">
        <f>IF(101&lt;DeliverStart,0,MIN(TotalUnits,(101-DeliverStart+1)*UnitsDeliveredPerMo))</f>
        <v/>
      </c>
      <c r="DB8" s="85">
        <f>IF(102&lt;DeliverStart,0,MIN(TotalUnits,(102-DeliverStart+1)*UnitsDeliveredPerMo))</f>
        <v/>
      </c>
      <c r="DC8" s="85">
        <f>IF(103&lt;DeliverStart,0,MIN(TotalUnits,(103-DeliverStart+1)*UnitsDeliveredPerMo))</f>
        <v/>
      </c>
      <c r="DD8" s="85">
        <f>IF(104&lt;DeliverStart,0,MIN(TotalUnits,(104-DeliverStart+1)*UnitsDeliveredPerMo))</f>
        <v/>
      </c>
      <c r="DE8" s="85">
        <f>IF(105&lt;DeliverStart,0,MIN(TotalUnits,(105-DeliverStart+1)*UnitsDeliveredPerMo))</f>
        <v/>
      </c>
      <c r="DF8" s="85">
        <f>IF(106&lt;DeliverStart,0,MIN(TotalUnits,(106-DeliverStart+1)*UnitsDeliveredPerMo))</f>
        <v/>
      </c>
      <c r="DG8" s="85">
        <f>IF(107&lt;DeliverStart,0,MIN(TotalUnits,(107-DeliverStart+1)*UnitsDeliveredPerMo))</f>
        <v/>
      </c>
      <c r="DH8" s="85">
        <f>IF(108&lt;DeliverStart,0,MIN(TotalUnits,(108-DeliverStart+1)*UnitsDeliveredPerMo))</f>
        <v/>
      </c>
      <c r="DI8" s="85">
        <f>IF(109&lt;DeliverStart,0,MIN(TotalUnits,(109-DeliverStart+1)*UnitsDeliveredPerMo))</f>
        <v/>
      </c>
      <c r="DJ8" s="85">
        <f>IF(110&lt;DeliverStart,0,MIN(TotalUnits,(110-DeliverStart+1)*UnitsDeliveredPerMo))</f>
        <v/>
      </c>
      <c r="DK8" s="85">
        <f>IF(111&lt;DeliverStart,0,MIN(TotalUnits,(111-DeliverStart+1)*UnitsDeliveredPerMo))</f>
        <v/>
      </c>
      <c r="DL8" s="85">
        <f>IF(112&lt;DeliverStart,0,MIN(TotalUnits,(112-DeliverStart+1)*UnitsDeliveredPerMo))</f>
        <v/>
      </c>
      <c r="DM8" s="85">
        <f>IF(113&lt;DeliverStart,0,MIN(TotalUnits,(113-DeliverStart+1)*UnitsDeliveredPerMo))</f>
        <v/>
      </c>
      <c r="DN8" s="85">
        <f>IF(114&lt;DeliverStart,0,MIN(TotalUnits,(114-DeliverStart+1)*UnitsDeliveredPerMo))</f>
        <v/>
      </c>
      <c r="DO8" s="85">
        <f>IF(115&lt;DeliverStart,0,MIN(TotalUnits,(115-DeliverStart+1)*UnitsDeliveredPerMo))</f>
        <v/>
      </c>
      <c r="DP8" s="85">
        <f>IF(116&lt;DeliverStart,0,MIN(TotalUnits,(116-DeliverStart+1)*UnitsDeliveredPerMo))</f>
        <v/>
      </c>
      <c r="DQ8" s="85">
        <f>IF(117&lt;DeliverStart,0,MIN(TotalUnits,(117-DeliverStart+1)*UnitsDeliveredPerMo))</f>
        <v/>
      </c>
      <c r="DR8" s="85">
        <f>IF(118&lt;DeliverStart,0,MIN(TotalUnits,(118-DeliverStart+1)*UnitsDeliveredPerMo))</f>
        <v/>
      </c>
      <c r="DS8" s="85">
        <f>IF(119&lt;DeliverStart,0,MIN(TotalUnits,(119-DeliverStart+1)*UnitsDeliveredPerMo))</f>
        <v/>
      </c>
      <c r="DT8" s="85">
        <f>IF(120&lt;DeliverStart,0,MIN(TotalUnits,(120-DeliverStart+1)*UnitsDeliveredPerMo))</f>
        <v/>
      </c>
      <c r="DU8" s="85">
        <f>IF(121&lt;DeliverStart,0,MIN(TotalUnits,(121-DeliverStart+1)*UnitsDeliveredPerMo))</f>
        <v/>
      </c>
      <c r="DV8" s="85">
        <f>IF(122&lt;DeliverStart,0,MIN(TotalUnits,(122-DeliverStart+1)*UnitsDeliveredPerMo))</f>
        <v/>
      </c>
      <c r="DW8" s="85">
        <f>IF(123&lt;DeliverStart,0,MIN(TotalUnits,(123-DeliverStart+1)*UnitsDeliveredPerMo))</f>
        <v/>
      </c>
      <c r="DX8" s="85">
        <f>IF(124&lt;DeliverStart,0,MIN(TotalUnits,(124-DeliverStart+1)*UnitsDeliveredPerMo))</f>
        <v/>
      </c>
      <c r="DY8" s="85">
        <f>IF(125&lt;DeliverStart,0,MIN(TotalUnits,(125-DeliverStart+1)*UnitsDeliveredPerMo))</f>
        <v/>
      </c>
      <c r="DZ8" s="85">
        <f>IF(126&lt;DeliverStart,0,MIN(TotalUnits,(126-DeliverStart+1)*UnitsDeliveredPerMo))</f>
        <v/>
      </c>
      <c r="EA8" s="85">
        <f>IF(127&lt;DeliverStart,0,MIN(TotalUnits,(127-DeliverStart+1)*UnitsDeliveredPerMo))</f>
        <v/>
      </c>
      <c r="EB8" s="85">
        <f>IF(128&lt;DeliverStart,0,MIN(TotalUnits,(128-DeliverStart+1)*UnitsDeliveredPerMo))</f>
        <v/>
      </c>
      <c r="EC8" s="85">
        <f>IF(129&lt;DeliverStart,0,MIN(TotalUnits,(129-DeliverStart+1)*UnitsDeliveredPerMo))</f>
        <v/>
      </c>
      <c r="ED8" s="85">
        <f>IF(130&lt;DeliverStart,0,MIN(TotalUnits,(130-DeliverStart+1)*UnitsDeliveredPerMo))</f>
        <v/>
      </c>
      <c r="EE8" s="85">
        <f>IF(131&lt;DeliverStart,0,MIN(TotalUnits,(131-DeliverStart+1)*UnitsDeliveredPerMo))</f>
        <v/>
      </c>
      <c r="EF8" s="85">
        <f>IF(132&lt;DeliverStart,0,MIN(TotalUnits,(132-DeliverStart+1)*UnitsDeliveredPerMo))</f>
        <v/>
      </c>
      <c r="EG8" s="85">
        <f>IF(133&lt;DeliverStart,0,MIN(TotalUnits,(133-DeliverStart+1)*UnitsDeliveredPerMo))</f>
        <v/>
      </c>
      <c r="EH8" s="85">
        <f>IF(134&lt;DeliverStart,0,MIN(TotalUnits,(134-DeliverStart+1)*UnitsDeliveredPerMo))</f>
        <v/>
      </c>
      <c r="EI8" s="85">
        <f>IF(135&lt;DeliverStart,0,MIN(TotalUnits,(135-DeliverStart+1)*UnitsDeliveredPerMo))</f>
        <v/>
      </c>
      <c r="EJ8" s="85">
        <f>IF(136&lt;DeliverStart,0,MIN(TotalUnits,(136-DeliverStart+1)*UnitsDeliveredPerMo))</f>
        <v/>
      </c>
      <c r="EK8" s="85">
        <f>IF(137&lt;DeliverStart,0,MIN(TotalUnits,(137-DeliverStart+1)*UnitsDeliveredPerMo))</f>
        <v/>
      </c>
      <c r="EL8" s="85">
        <f>IF(138&lt;DeliverStart,0,MIN(TotalUnits,(138-DeliverStart+1)*UnitsDeliveredPerMo))</f>
        <v/>
      </c>
      <c r="EM8" s="85">
        <f>IF(139&lt;DeliverStart,0,MIN(TotalUnits,(139-DeliverStart+1)*UnitsDeliveredPerMo))</f>
        <v/>
      </c>
      <c r="EN8" s="85">
        <f>IF(140&lt;DeliverStart,0,MIN(TotalUnits,(140-DeliverStart+1)*UnitsDeliveredPerMo))</f>
        <v/>
      </c>
      <c r="EO8" s="85">
        <f>IF(141&lt;DeliverStart,0,MIN(TotalUnits,(141-DeliverStart+1)*UnitsDeliveredPerMo))</f>
        <v/>
      </c>
      <c r="EP8" s="85">
        <f>IF(142&lt;DeliverStart,0,MIN(TotalUnits,(142-DeliverStart+1)*UnitsDeliveredPerMo))</f>
        <v/>
      </c>
      <c r="EQ8" s="85">
        <f>IF(143&lt;DeliverStart,0,MIN(TotalUnits,(143-DeliverStart+1)*UnitsDeliveredPerMo))</f>
        <v/>
      </c>
      <c r="ER8" s="85">
        <f>IF(144&lt;DeliverStart,0,MIN(TotalUnits,(144-DeliverStart+1)*UnitsDeliveredPerMo))</f>
        <v/>
      </c>
      <c r="ES8" s="85">
        <f>IF(145&lt;DeliverStart,0,MIN(TotalUnits,(145-DeliverStart+1)*UnitsDeliveredPerMo))</f>
        <v/>
      </c>
      <c r="ET8" s="85">
        <f>IF(146&lt;DeliverStart,0,MIN(TotalUnits,(146-DeliverStart+1)*UnitsDeliveredPerMo))</f>
        <v/>
      </c>
      <c r="EU8" s="85">
        <f>IF(147&lt;DeliverStart,0,MIN(TotalUnits,(147-DeliverStart+1)*UnitsDeliveredPerMo))</f>
        <v/>
      </c>
      <c r="EV8" s="85">
        <f>IF(148&lt;DeliverStart,0,MIN(TotalUnits,(148-DeliverStart+1)*UnitsDeliveredPerMo))</f>
        <v/>
      </c>
      <c r="EW8" s="85">
        <f>IF(149&lt;DeliverStart,0,MIN(TotalUnits,(149-DeliverStart+1)*UnitsDeliveredPerMo))</f>
        <v/>
      </c>
      <c r="EX8" s="85">
        <f>IF(150&lt;DeliverStart,0,MIN(TotalUnits,(150-DeliverStart+1)*UnitsDeliveredPerMo))</f>
        <v/>
      </c>
      <c r="EY8" s="85">
        <f>IF(151&lt;DeliverStart,0,MIN(TotalUnits,(151-DeliverStart+1)*UnitsDeliveredPerMo))</f>
        <v/>
      </c>
      <c r="EZ8" s="85">
        <f>IF(152&lt;DeliverStart,0,MIN(TotalUnits,(152-DeliverStart+1)*UnitsDeliveredPerMo))</f>
        <v/>
      </c>
      <c r="FA8" s="85">
        <f>IF(153&lt;DeliverStart,0,MIN(TotalUnits,(153-DeliverStart+1)*UnitsDeliveredPerMo))</f>
        <v/>
      </c>
      <c r="FB8" s="85">
        <f>IF(154&lt;DeliverStart,0,MIN(TotalUnits,(154-DeliverStart+1)*UnitsDeliveredPerMo))</f>
        <v/>
      </c>
      <c r="FC8" s="85">
        <f>IF(155&lt;DeliverStart,0,MIN(TotalUnits,(155-DeliverStart+1)*UnitsDeliveredPerMo))</f>
        <v/>
      </c>
      <c r="FD8" s="85">
        <f>IF(156&lt;DeliverStart,0,MIN(TotalUnits,(156-DeliverStart+1)*UnitsDeliveredPerMo))</f>
        <v/>
      </c>
      <c r="FE8" s="85">
        <f>IF(157&lt;DeliverStart,0,MIN(TotalUnits,(157-DeliverStart+1)*UnitsDeliveredPerMo))</f>
        <v/>
      </c>
      <c r="FF8" s="85">
        <f>IF(158&lt;DeliverStart,0,MIN(TotalUnits,(158-DeliverStart+1)*UnitsDeliveredPerMo))</f>
        <v/>
      </c>
      <c r="FG8" s="85">
        <f>IF(159&lt;DeliverStart,0,MIN(TotalUnits,(159-DeliverStart+1)*UnitsDeliveredPerMo))</f>
        <v/>
      </c>
      <c r="FH8" s="85">
        <f>IF(160&lt;DeliverStart,0,MIN(TotalUnits,(160-DeliverStart+1)*UnitsDeliveredPerMo))</f>
        <v/>
      </c>
      <c r="FI8" s="85">
        <f>IF(161&lt;DeliverStart,0,MIN(TotalUnits,(161-DeliverStart+1)*UnitsDeliveredPerMo))</f>
        <v/>
      </c>
      <c r="FJ8" s="85">
        <f>IF(162&lt;DeliverStart,0,MIN(TotalUnits,(162-DeliverStart+1)*UnitsDeliveredPerMo))</f>
        <v/>
      </c>
      <c r="FK8" s="85">
        <f>IF(163&lt;DeliverStart,0,MIN(TotalUnits,(163-DeliverStart+1)*UnitsDeliveredPerMo))</f>
        <v/>
      </c>
      <c r="FL8" s="85">
        <f>IF(164&lt;DeliverStart,0,MIN(TotalUnits,(164-DeliverStart+1)*UnitsDeliveredPerMo))</f>
        <v/>
      </c>
      <c r="FM8" s="85">
        <f>IF(165&lt;DeliverStart,0,MIN(TotalUnits,(165-DeliverStart+1)*UnitsDeliveredPerMo))</f>
        <v/>
      </c>
      <c r="FN8" s="85">
        <f>IF(166&lt;DeliverStart,0,MIN(TotalUnits,(166-DeliverStart+1)*UnitsDeliveredPerMo))</f>
        <v/>
      </c>
      <c r="FO8" s="85">
        <f>IF(167&lt;DeliverStart,0,MIN(TotalUnits,(167-DeliverStart+1)*UnitsDeliveredPerMo))</f>
        <v/>
      </c>
      <c r="FP8" s="85">
        <f>IF(168&lt;DeliverStart,0,MIN(TotalUnits,(168-DeliverStart+1)*UnitsDeliveredPerMo))</f>
        <v/>
      </c>
      <c r="FQ8" s="85">
        <f>IF(169&lt;DeliverStart,0,MIN(TotalUnits,(169-DeliverStart+1)*UnitsDeliveredPerMo))</f>
        <v/>
      </c>
      <c r="FR8" s="85">
        <f>IF(170&lt;DeliverStart,0,MIN(TotalUnits,(170-DeliverStart+1)*UnitsDeliveredPerMo))</f>
        <v/>
      </c>
      <c r="FS8" s="85">
        <f>IF(171&lt;DeliverStart,0,MIN(TotalUnits,(171-DeliverStart+1)*UnitsDeliveredPerMo))</f>
        <v/>
      </c>
      <c r="FT8" s="85">
        <f>IF(172&lt;DeliverStart,0,MIN(TotalUnits,(172-DeliverStart+1)*UnitsDeliveredPerMo))</f>
        <v/>
      </c>
      <c r="FU8" s="85">
        <f>IF(173&lt;DeliverStart,0,MIN(TotalUnits,(173-DeliverStart+1)*UnitsDeliveredPerMo))</f>
        <v/>
      </c>
      <c r="FV8" s="85">
        <f>IF(174&lt;DeliverStart,0,MIN(TotalUnits,(174-DeliverStart+1)*UnitsDeliveredPerMo))</f>
        <v/>
      </c>
      <c r="FW8" s="85">
        <f>IF(175&lt;DeliverStart,0,MIN(TotalUnits,(175-DeliverStart+1)*UnitsDeliveredPerMo))</f>
        <v/>
      </c>
      <c r="FX8" s="85">
        <f>IF(176&lt;DeliverStart,0,MIN(TotalUnits,(176-DeliverStart+1)*UnitsDeliveredPerMo))</f>
        <v/>
      </c>
      <c r="FY8" s="85">
        <f>IF(177&lt;DeliverStart,0,MIN(TotalUnits,(177-DeliverStart+1)*UnitsDeliveredPerMo))</f>
        <v/>
      </c>
      <c r="FZ8" s="85">
        <f>IF(178&lt;DeliverStart,0,MIN(TotalUnits,(178-DeliverStart+1)*UnitsDeliveredPerMo))</f>
        <v/>
      </c>
      <c r="GA8" s="85">
        <f>IF(179&lt;DeliverStart,0,MIN(TotalUnits,(179-DeliverStart+1)*UnitsDeliveredPerMo))</f>
        <v/>
      </c>
      <c r="GB8" s="85">
        <f>IF(180&lt;DeliverStart,0,MIN(TotalUnits,(180-DeliverStart+1)*UnitsDeliveredPerMo))</f>
        <v/>
      </c>
      <c r="GC8" s="85">
        <f>IF(181&lt;DeliverStart,0,MIN(TotalUnits,(181-DeliverStart+1)*UnitsDeliveredPerMo))</f>
        <v/>
      </c>
      <c r="GD8" s="85">
        <f>IF(182&lt;DeliverStart,0,MIN(TotalUnits,(182-DeliverStart+1)*UnitsDeliveredPerMo))</f>
        <v/>
      </c>
      <c r="GE8" s="85">
        <f>IF(183&lt;DeliverStart,0,MIN(TotalUnits,(183-DeliverStart+1)*UnitsDeliveredPerMo))</f>
        <v/>
      </c>
      <c r="GF8" s="85">
        <f>IF(184&lt;DeliverStart,0,MIN(TotalUnits,(184-DeliverStart+1)*UnitsDeliveredPerMo))</f>
        <v/>
      </c>
      <c r="GG8" s="85">
        <f>IF(185&lt;DeliverStart,0,MIN(TotalUnits,(185-DeliverStart+1)*UnitsDeliveredPerMo))</f>
        <v/>
      </c>
      <c r="GH8" s="85">
        <f>IF(186&lt;DeliverStart,0,MIN(TotalUnits,(186-DeliverStart+1)*UnitsDeliveredPerMo))</f>
        <v/>
      </c>
      <c r="GI8" s="85">
        <f>IF(187&lt;DeliverStart,0,MIN(TotalUnits,(187-DeliverStart+1)*UnitsDeliveredPerMo))</f>
        <v/>
      </c>
      <c r="GJ8" s="85">
        <f>IF(188&lt;DeliverStart,0,MIN(TotalUnits,(188-DeliverStart+1)*UnitsDeliveredPerMo))</f>
        <v/>
      </c>
      <c r="GK8" s="85">
        <f>IF(189&lt;DeliverStart,0,MIN(TotalUnits,(189-DeliverStart+1)*UnitsDeliveredPerMo))</f>
        <v/>
      </c>
      <c r="GL8" s="85">
        <f>IF(190&lt;DeliverStart,0,MIN(TotalUnits,(190-DeliverStart+1)*UnitsDeliveredPerMo))</f>
        <v/>
      </c>
      <c r="GM8" s="85">
        <f>IF(191&lt;DeliverStart,0,MIN(TotalUnits,(191-DeliverStart+1)*UnitsDeliveredPerMo))</f>
        <v/>
      </c>
      <c r="GN8" s="85">
        <f>IF(192&lt;DeliverStart,0,MIN(TotalUnits,(192-DeliverStart+1)*UnitsDeliveredPerMo))</f>
        <v/>
      </c>
      <c r="GO8" s="85">
        <f>IF(193&lt;DeliverStart,0,MIN(TotalUnits,(193-DeliverStart+1)*UnitsDeliveredPerMo))</f>
        <v/>
      </c>
      <c r="GP8" s="85">
        <f>IF(194&lt;DeliverStart,0,MIN(TotalUnits,(194-DeliverStart+1)*UnitsDeliveredPerMo))</f>
        <v/>
      </c>
      <c r="GQ8" s="85">
        <f>IF(195&lt;DeliverStart,0,MIN(TotalUnits,(195-DeliverStart+1)*UnitsDeliveredPerMo))</f>
        <v/>
      </c>
      <c r="GR8" s="85">
        <f>IF(196&lt;DeliverStart,0,MIN(TotalUnits,(196-DeliverStart+1)*UnitsDeliveredPerMo))</f>
        <v/>
      </c>
      <c r="GS8" s="85">
        <f>IF(197&lt;DeliverStart,0,MIN(TotalUnits,(197-DeliverStart+1)*UnitsDeliveredPerMo))</f>
        <v/>
      </c>
      <c r="GT8" s="85">
        <f>IF(198&lt;DeliverStart,0,MIN(TotalUnits,(198-DeliverStart+1)*UnitsDeliveredPerMo))</f>
        <v/>
      </c>
      <c r="GU8" s="85">
        <f>IF(199&lt;DeliverStart,0,MIN(TotalUnits,(199-DeliverStart+1)*UnitsDeliveredPerMo))</f>
        <v/>
      </c>
      <c r="GV8" s="85">
        <f>IF(200&lt;DeliverStart,0,MIN(TotalUnits,(200-DeliverStart+1)*UnitsDeliveredPerMo))</f>
        <v/>
      </c>
      <c r="GW8" s="85">
        <f>IF(201&lt;DeliverStart,0,MIN(TotalUnits,(201-DeliverStart+1)*UnitsDeliveredPerMo))</f>
        <v/>
      </c>
      <c r="GX8" s="85">
        <f>IF(202&lt;DeliverStart,0,MIN(TotalUnits,(202-DeliverStart+1)*UnitsDeliveredPerMo))</f>
        <v/>
      </c>
      <c r="GY8" s="85">
        <f>IF(203&lt;DeliverStart,0,MIN(TotalUnits,(203-DeliverStart+1)*UnitsDeliveredPerMo))</f>
        <v/>
      </c>
      <c r="GZ8" s="85">
        <f>IF(204&lt;DeliverStart,0,MIN(TotalUnits,(204-DeliverStart+1)*UnitsDeliveredPerMo))</f>
        <v/>
      </c>
      <c r="HA8" s="85">
        <f>IF(205&lt;DeliverStart,0,MIN(TotalUnits,(205-DeliverStart+1)*UnitsDeliveredPerMo))</f>
        <v/>
      </c>
      <c r="HB8" s="85">
        <f>IF(206&lt;DeliverStart,0,MIN(TotalUnits,(206-DeliverStart+1)*UnitsDeliveredPerMo))</f>
        <v/>
      </c>
      <c r="HC8" s="85">
        <f>IF(207&lt;DeliverStart,0,MIN(TotalUnits,(207-DeliverStart+1)*UnitsDeliveredPerMo))</f>
        <v/>
      </c>
      <c r="HD8" s="85">
        <f>IF(208&lt;DeliverStart,0,MIN(TotalUnits,(208-DeliverStart+1)*UnitsDeliveredPerMo))</f>
        <v/>
      </c>
      <c r="HE8" s="85">
        <f>IF(209&lt;DeliverStart,0,MIN(TotalUnits,(209-DeliverStart+1)*UnitsDeliveredPerMo))</f>
        <v/>
      </c>
      <c r="HF8" s="85">
        <f>IF(210&lt;DeliverStart,0,MIN(TotalUnits,(210-DeliverStart+1)*UnitsDeliveredPerMo))</f>
        <v/>
      </c>
      <c r="HG8" s="85">
        <f>IF(211&lt;DeliverStart,0,MIN(TotalUnits,(211-DeliverStart+1)*UnitsDeliveredPerMo))</f>
        <v/>
      </c>
      <c r="HH8" s="85">
        <f>IF(212&lt;DeliverStart,0,MIN(TotalUnits,(212-DeliverStart+1)*UnitsDeliveredPerMo))</f>
        <v/>
      </c>
      <c r="HI8" s="85">
        <f>IF(213&lt;DeliverStart,0,MIN(TotalUnits,(213-DeliverStart+1)*UnitsDeliveredPerMo))</f>
        <v/>
      </c>
      <c r="HJ8" s="85">
        <f>IF(214&lt;DeliverStart,0,MIN(TotalUnits,(214-DeliverStart+1)*UnitsDeliveredPerMo))</f>
        <v/>
      </c>
      <c r="HK8" s="85">
        <f>IF(215&lt;DeliverStart,0,MIN(TotalUnits,(215-DeliverStart+1)*UnitsDeliveredPerMo))</f>
        <v/>
      </c>
      <c r="HL8" s="85">
        <f>IF(216&lt;DeliverStart,0,MIN(TotalUnits,(216-DeliverStart+1)*UnitsDeliveredPerMo))</f>
        <v/>
      </c>
      <c r="HM8" s="85">
        <f>IF(217&lt;DeliverStart,0,MIN(TotalUnits,(217-DeliverStart+1)*UnitsDeliveredPerMo))</f>
        <v/>
      </c>
      <c r="HN8" s="85">
        <f>IF(218&lt;DeliverStart,0,MIN(TotalUnits,(218-DeliverStart+1)*UnitsDeliveredPerMo))</f>
        <v/>
      </c>
      <c r="HO8" s="85">
        <f>IF(219&lt;DeliverStart,0,MIN(TotalUnits,(219-DeliverStart+1)*UnitsDeliveredPerMo))</f>
        <v/>
      </c>
      <c r="HP8" s="85">
        <f>IF(220&lt;DeliverStart,0,MIN(TotalUnits,(220-DeliverStart+1)*UnitsDeliveredPerMo))</f>
        <v/>
      </c>
      <c r="HQ8" s="85">
        <f>IF(221&lt;DeliverStart,0,MIN(TotalUnits,(221-DeliverStart+1)*UnitsDeliveredPerMo))</f>
        <v/>
      </c>
      <c r="HR8" s="85">
        <f>IF(222&lt;DeliverStart,0,MIN(TotalUnits,(222-DeliverStart+1)*UnitsDeliveredPerMo))</f>
        <v/>
      </c>
      <c r="HS8" s="85">
        <f>IF(223&lt;DeliverStart,0,MIN(TotalUnits,(223-DeliverStart+1)*UnitsDeliveredPerMo))</f>
        <v/>
      </c>
      <c r="HT8" s="85">
        <f>IF(224&lt;DeliverStart,0,MIN(TotalUnits,(224-DeliverStart+1)*UnitsDeliveredPerMo))</f>
        <v/>
      </c>
      <c r="HU8" s="85">
        <f>IF(225&lt;DeliverStart,0,MIN(TotalUnits,(225-DeliverStart+1)*UnitsDeliveredPerMo))</f>
        <v/>
      </c>
      <c r="HV8" s="85">
        <f>IF(226&lt;DeliverStart,0,MIN(TotalUnits,(226-DeliverStart+1)*UnitsDeliveredPerMo))</f>
        <v/>
      </c>
      <c r="HW8" s="85">
        <f>IF(227&lt;DeliverStart,0,MIN(TotalUnits,(227-DeliverStart+1)*UnitsDeliveredPerMo))</f>
        <v/>
      </c>
      <c r="HX8" s="85">
        <f>IF(228&lt;DeliverStart,0,MIN(TotalUnits,(228-DeliverStart+1)*UnitsDeliveredPerMo))</f>
        <v/>
      </c>
      <c r="HY8" s="85">
        <f>IF(229&lt;DeliverStart,0,MIN(TotalUnits,(229-DeliverStart+1)*UnitsDeliveredPerMo))</f>
        <v/>
      </c>
      <c r="HZ8" s="85">
        <f>IF(230&lt;DeliverStart,0,MIN(TotalUnits,(230-DeliverStart+1)*UnitsDeliveredPerMo))</f>
        <v/>
      </c>
      <c r="IA8" s="85">
        <f>IF(231&lt;DeliverStart,0,MIN(TotalUnits,(231-DeliverStart+1)*UnitsDeliveredPerMo))</f>
        <v/>
      </c>
      <c r="IB8" s="85">
        <f>IF(232&lt;DeliverStart,0,MIN(TotalUnits,(232-DeliverStart+1)*UnitsDeliveredPerMo))</f>
        <v/>
      </c>
      <c r="IC8" s="85">
        <f>IF(233&lt;DeliverStart,0,MIN(TotalUnits,(233-DeliverStart+1)*UnitsDeliveredPerMo))</f>
        <v/>
      </c>
      <c r="ID8" s="85">
        <f>IF(234&lt;DeliverStart,0,MIN(TotalUnits,(234-DeliverStart+1)*UnitsDeliveredPerMo))</f>
        <v/>
      </c>
      <c r="IE8" s="85">
        <f>IF(235&lt;DeliverStart,0,MIN(TotalUnits,(235-DeliverStart+1)*UnitsDeliveredPerMo))</f>
        <v/>
      </c>
      <c r="IF8" s="85">
        <f>IF(236&lt;DeliverStart,0,MIN(TotalUnits,(236-DeliverStart+1)*UnitsDeliveredPerMo))</f>
        <v/>
      </c>
      <c r="IG8" s="85">
        <f>IF(237&lt;DeliverStart,0,MIN(TotalUnits,(237-DeliverStart+1)*UnitsDeliveredPerMo))</f>
        <v/>
      </c>
      <c r="IH8" s="85">
        <f>IF(238&lt;DeliverStart,0,MIN(TotalUnits,(238-DeliverStart+1)*UnitsDeliveredPerMo))</f>
        <v/>
      </c>
      <c r="II8" s="85">
        <f>IF(239&lt;DeliverStart,0,MIN(TotalUnits,(239-DeliverStart+1)*UnitsDeliveredPerMo))</f>
        <v/>
      </c>
      <c r="IJ8" s="85">
        <f>IF(240&lt;DeliverStart,0,MIN(TotalUnits,(240-DeliverStart+1)*UnitsDeliveredPerMo))</f>
        <v/>
      </c>
      <c r="IK8" s="85">
        <f>IF(241&lt;DeliverStart,0,MIN(TotalUnits,(241-DeliverStart+1)*UnitsDeliveredPerMo))</f>
        <v/>
      </c>
      <c r="IL8" s="85">
        <f>IF(242&lt;DeliverStart,0,MIN(TotalUnits,(242-DeliverStart+1)*UnitsDeliveredPerMo))</f>
        <v/>
      </c>
      <c r="IM8" s="85">
        <f>IF(243&lt;DeliverStart,0,MIN(TotalUnits,(243-DeliverStart+1)*UnitsDeliveredPerMo))</f>
        <v/>
      </c>
      <c r="IN8" s="85">
        <f>IF(244&lt;DeliverStart,0,MIN(TotalUnits,(244-DeliverStart+1)*UnitsDeliveredPerMo))</f>
        <v/>
      </c>
      <c r="IO8" s="85">
        <f>IF(245&lt;DeliverStart,0,MIN(TotalUnits,(245-DeliverStart+1)*UnitsDeliveredPerMo))</f>
        <v/>
      </c>
      <c r="IP8" s="85">
        <f>IF(246&lt;DeliverStart,0,MIN(TotalUnits,(246-DeliverStart+1)*UnitsDeliveredPerMo))</f>
        <v/>
      </c>
      <c r="IQ8" s="85">
        <f>IF(247&lt;DeliverStart,0,MIN(TotalUnits,(247-DeliverStart+1)*UnitsDeliveredPerMo))</f>
        <v/>
      </c>
      <c r="IR8" s="85">
        <f>IF(248&lt;DeliverStart,0,MIN(TotalUnits,(248-DeliverStart+1)*UnitsDeliveredPerMo))</f>
        <v/>
      </c>
      <c r="IS8" s="85">
        <f>IF(249&lt;DeliverStart,0,MIN(TotalUnits,(249-DeliverStart+1)*UnitsDeliveredPerMo))</f>
        <v/>
      </c>
      <c r="IT8" s="85">
        <f>IF(250&lt;DeliverStart,0,MIN(TotalUnits,(250-DeliverStart+1)*UnitsDeliveredPerMo))</f>
        <v/>
      </c>
      <c r="IU8" s="85">
        <f>IF(251&lt;DeliverStart,0,MIN(TotalUnits,(251-DeliverStart+1)*UnitsDeliveredPerMo))</f>
        <v/>
      </c>
      <c r="IV8" s="85">
        <f>IF(252&lt;DeliverStart,0,MIN(TotalUnits,(252-DeliverStart+1)*UnitsDeliveredPerMo))</f>
        <v/>
      </c>
      <c r="IW8" s="85">
        <f>IF(253&lt;DeliverStart,0,MIN(TotalUnits,(253-DeliverStart+1)*UnitsDeliveredPerMo))</f>
        <v/>
      </c>
      <c r="IX8" s="85">
        <f>IF(254&lt;DeliverStart,0,MIN(TotalUnits,(254-DeliverStart+1)*UnitsDeliveredPerMo))</f>
        <v/>
      </c>
      <c r="IY8" s="85">
        <f>IF(255&lt;DeliverStart,0,MIN(TotalUnits,(255-DeliverStart+1)*UnitsDeliveredPerMo))</f>
        <v/>
      </c>
      <c r="IZ8" s="85">
        <f>IF(256&lt;DeliverStart,0,MIN(TotalUnits,(256-DeliverStart+1)*UnitsDeliveredPerMo))</f>
        <v/>
      </c>
      <c r="JA8" s="85">
        <f>IF(257&lt;DeliverStart,0,MIN(TotalUnits,(257-DeliverStart+1)*UnitsDeliveredPerMo))</f>
        <v/>
      </c>
      <c r="JB8" s="85">
        <f>IF(258&lt;DeliverStart,0,MIN(TotalUnits,(258-DeliverStart+1)*UnitsDeliveredPerMo))</f>
        <v/>
      </c>
      <c r="JC8" s="85">
        <f>IF(259&lt;DeliverStart,0,MIN(TotalUnits,(259-DeliverStart+1)*UnitsDeliveredPerMo))</f>
        <v/>
      </c>
      <c r="JD8" s="85">
        <f>IF(260&lt;DeliverStart,0,MIN(TotalUnits,(260-DeliverStart+1)*UnitsDeliveredPerMo))</f>
        <v/>
      </c>
      <c r="JE8" s="85">
        <f>IF(261&lt;DeliverStart,0,MIN(TotalUnits,(261-DeliverStart+1)*UnitsDeliveredPerMo))</f>
        <v/>
      </c>
      <c r="JF8" s="85">
        <f>IF(262&lt;DeliverStart,0,MIN(TotalUnits,(262-DeliverStart+1)*UnitsDeliveredPerMo))</f>
        <v/>
      </c>
      <c r="JG8" s="85">
        <f>IF(263&lt;DeliverStart,0,MIN(TotalUnits,(263-DeliverStart+1)*UnitsDeliveredPerMo))</f>
        <v/>
      </c>
      <c r="JH8" s="85">
        <f>IF(264&lt;DeliverStart,0,MIN(TotalUnits,(264-DeliverStart+1)*UnitsDeliveredPerMo))</f>
        <v/>
      </c>
      <c r="JI8" s="85">
        <f>IF(265&lt;DeliverStart,0,MIN(TotalUnits,(265-DeliverStart+1)*UnitsDeliveredPerMo))</f>
        <v/>
      </c>
      <c r="JJ8" s="85">
        <f>IF(266&lt;DeliverStart,0,MIN(TotalUnits,(266-DeliverStart+1)*UnitsDeliveredPerMo))</f>
        <v/>
      </c>
      <c r="JK8" s="85">
        <f>IF(267&lt;DeliverStart,0,MIN(TotalUnits,(267-DeliverStart+1)*UnitsDeliveredPerMo))</f>
        <v/>
      </c>
      <c r="JL8" s="85">
        <f>IF(268&lt;DeliverStart,0,MIN(TotalUnits,(268-DeliverStart+1)*UnitsDeliveredPerMo))</f>
        <v/>
      </c>
      <c r="JM8" s="85">
        <f>IF(269&lt;DeliverStart,0,MIN(TotalUnits,(269-DeliverStart+1)*UnitsDeliveredPerMo))</f>
        <v/>
      </c>
      <c r="JN8" s="85">
        <f>IF(270&lt;DeliverStart,0,MIN(TotalUnits,(270-DeliverStart+1)*UnitsDeliveredPerMo))</f>
        <v/>
      </c>
      <c r="JO8" s="85">
        <f>IF(271&lt;DeliverStart,0,MIN(TotalUnits,(271-DeliverStart+1)*UnitsDeliveredPerMo))</f>
        <v/>
      </c>
      <c r="JP8" s="85">
        <f>IF(272&lt;DeliverStart,0,MIN(TotalUnits,(272-DeliverStart+1)*UnitsDeliveredPerMo))</f>
        <v/>
      </c>
      <c r="JQ8" s="85">
        <f>IF(273&lt;DeliverStart,0,MIN(TotalUnits,(273-DeliverStart+1)*UnitsDeliveredPerMo))</f>
        <v/>
      </c>
      <c r="JR8" s="85">
        <f>IF(274&lt;DeliverStart,0,MIN(TotalUnits,(274-DeliverStart+1)*UnitsDeliveredPerMo))</f>
        <v/>
      </c>
      <c r="JS8" s="85">
        <f>IF(275&lt;DeliverStart,0,MIN(TotalUnits,(275-DeliverStart+1)*UnitsDeliveredPerMo))</f>
        <v/>
      </c>
      <c r="JT8" s="85">
        <f>IF(276&lt;DeliverStart,0,MIN(TotalUnits,(276-DeliverStart+1)*UnitsDeliveredPerMo))</f>
        <v/>
      </c>
      <c r="JU8" s="85">
        <f>IF(277&lt;DeliverStart,0,MIN(TotalUnits,(277-DeliverStart+1)*UnitsDeliveredPerMo))</f>
        <v/>
      </c>
      <c r="JV8" s="85">
        <f>IF(278&lt;DeliverStart,0,MIN(TotalUnits,(278-DeliverStart+1)*UnitsDeliveredPerMo))</f>
        <v/>
      </c>
      <c r="JW8" s="85">
        <f>IF(279&lt;DeliverStart,0,MIN(TotalUnits,(279-DeliverStart+1)*UnitsDeliveredPerMo))</f>
        <v/>
      </c>
      <c r="JX8" s="85">
        <f>IF(280&lt;DeliverStart,0,MIN(TotalUnits,(280-DeliverStart+1)*UnitsDeliveredPerMo))</f>
        <v/>
      </c>
      <c r="JY8" s="85">
        <f>IF(281&lt;DeliverStart,0,MIN(TotalUnits,(281-DeliverStart+1)*UnitsDeliveredPerMo))</f>
        <v/>
      </c>
      <c r="JZ8" s="85">
        <f>IF(282&lt;DeliverStart,0,MIN(TotalUnits,(282-DeliverStart+1)*UnitsDeliveredPerMo))</f>
        <v/>
      </c>
      <c r="KA8" s="85">
        <f>IF(283&lt;DeliverStart,0,MIN(TotalUnits,(283-DeliverStart+1)*UnitsDeliveredPerMo))</f>
        <v/>
      </c>
      <c r="KB8" s="85">
        <f>IF(284&lt;DeliverStart,0,MIN(TotalUnits,(284-DeliverStart+1)*UnitsDeliveredPerMo))</f>
        <v/>
      </c>
      <c r="KC8" s="85">
        <f>IF(285&lt;DeliverStart,0,MIN(TotalUnits,(285-DeliverStart+1)*UnitsDeliveredPerMo))</f>
        <v/>
      </c>
      <c r="KD8" s="85">
        <f>IF(286&lt;DeliverStart,0,MIN(TotalUnits,(286-DeliverStart+1)*UnitsDeliveredPerMo))</f>
        <v/>
      </c>
      <c r="KE8" s="85">
        <f>IF(287&lt;DeliverStart,0,MIN(TotalUnits,(287-DeliverStart+1)*UnitsDeliveredPerMo))</f>
        <v/>
      </c>
      <c r="KF8" s="85">
        <f>IF(288&lt;DeliverStart,0,MIN(TotalUnits,(288-DeliverStart+1)*UnitsDeliveredPerMo))</f>
        <v/>
      </c>
      <c r="KG8" s="85">
        <f>IF(289&lt;DeliverStart,0,MIN(TotalUnits,(289-DeliverStart+1)*UnitsDeliveredPerMo))</f>
        <v/>
      </c>
      <c r="KH8" s="85">
        <f>IF(290&lt;DeliverStart,0,MIN(TotalUnits,(290-DeliverStart+1)*UnitsDeliveredPerMo))</f>
        <v/>
      </c>
      <c r="KI8" s="85">
        <f>IF(291&lt;DeliverStart,0,MIN(TotalUnits,(291-DeliverStart+1)*UnitsDeliveredPerMo))</f>
        <v/>
      </c>
      <c r="KJ8" s="85">
        <f>IF(292&lt;DeliverStart,0,MIN(TotalUnits,(292-DeliverStart+1)*UnitsDeliveredPerMo))</f>
        <v/>
      </c>
      <c r="KK8" s="85">
        <f>IF(293&lt;DeliverStart,0,MIN(TotalUnits,(293-DeliverStart+1)*UnitsDeliveredPerMo))</f>
        <v/>
      </c>
      <c r="KL8" s="85">
        <f>IF(294&lt;DeliverStart,0,MIN(TotalUnits,(294-DeliverStart+1)*UnitsDeliveredPerMo))</f>
        <v/>
      </c>
      <c r="KM8" s="85">
        <f>IF(295&lt;DeliverStart,0,MIN(TotalUnits,(295-DeliverStart+1)*UnitsDeliveredPerMo))</f>
        <v/>
      </c>
      <c r="KN8" s="85">
        <f>IF(296&lt;DeliverStart,0,MIN(TotalUnits,(296-DeliverStart+1)*UnitsDeliveredPerMo))</f>
        <v/>
      </c>
      <c r="KO8" s="85">
        <f>IF(297&lt;DeliverStart,0,MIN(TotalUnits,(297-DeliverStart+1)*UnitsDeliveredPerMo))</f>
        <v/>
      </c>
      <c r="KP8" s="85">
        <f>IF(298&lt;DeliverStart,0,MIN(TotalUnits,(298-DeliverStart+1)*UnitsDeliveredPerMo))</f>
        <v/>
      </c>
      <c r="KQ8" s="85">
        <f>IF(299&lt;DeliverStart,0,MIN(TotalUnits,(299-DeliverStart+1)*UnitsDeliveredPerMo))</f>
        <v/>
      </c>
      <c r="KR8" s="85">
        <f>IF(300&lt;DeliverStart,0,MIN(TotalUnits,(300-DeliverStart+1)*UnitsDeliveredPerMo))</f>
        <v/>
      </c>
      <c r="KS8" s="85">
        <f>IF(301&lt;DeliverStart,0,MIN(TotalUnits,(301-DeliverStart+1)*UnitsDeliveredPerMo))</f>
        <v/>
      </c>
      <c r="KT8" s="85">
        <f>IF(302&lt;DeliverStart,0,MIN(TotalUnits,(302-DeliverStart+1)*UnitsDeliveredPerMo))</f>
        <v/>
      </c>
      <c r="KU8" s="85">
        <f>IF(303&lt;DeliverStart,0,MIN(TotalUnits,(303-DeliverStart+1)*UnitsDeliveredPerMo))</f>
        <v/>
      </c>
      <c r="KV8" s="85">
        <f>IF(304&lt;DeliverStart,0,MIN(TotalUnits,(304-DeliverStart+1)*UnitsDeliveredPerMo))</f>
        <v/>
      </c>
      <c r="KW8" s="85">
        <f>IF(305&lt;DeliverStart,0,MIN(TotalUnits,(305-DeliverStart+1)*UnitsDeliveredPerMo))</f>
        <v/>
      </c>
      <c r="KX8" s="85">
        <f>IF(306&lt;DeliverStart,0,MIN(TotalUnits,(306-DeliverStart+1)*UnitsDeliveredPerMo))</f>
        <v/>
      </c>
      <c r="KY8" s="85">
        <f>IF(307&lt;DeliverStart,0,MIN(TotalUnits,(307-DeliverStart+1)*UnitsDeliveredPerMo))</f>
        <v/>
      </c>
      <c r="KZ8" s="85">
        <f>IF(308&lt;DeliverStart,0,MIN(TotalUnits,(308-DeliverStart+1)*UnitsDeliveredPerMo))</f>
        <v/>
      </c>
      <c r="LA8" s="85">
        <f>IF(309&lt;DeliverStart,0,MIN(TotalUnits,(309-DeliverStart+1)*UnitsDeliveredPerMo))</f>
        <v/>
      </c>
      <c r="LB8" s="85">
        <f>IF(310&lt;DeliverStart,0,MIN(TotalUnits,(310-DeliverStart+1)*UnitsDeliveredPerMo))</f>
        <v/>
      </c>
      <c r="LC8" s="85">
        <f>IF(311&lt;DeliverStart,0,MIN(TotalUnits,(311-DeliverStart+1)*UnitsDeliveredPerMo))</f>
        <v/>
      </c>
      <c r="LD8" s="85">
        <f>IF(312&lt;DeliverStart,0,MIN(TotalUnits,(312-DeliverStart+1)*UnitsDeliveredPerMo))</f>
        <v/>
      </c>
      <c r="LE8" s="85">
        <f>IF(313&lt;DeliverStart,0,MIN(TotalUnits,(313-DeliverStart+1)*UnitsDeliveredPerMo))</f>
        <v/>
      </c>
      <c r="LF8" s="85">
        <f>IF(314&lt;DeliverStart,0,MIN(TotalUnits,(314-DeliverStart+1)*UnitsDeliveredPerMo))</f>
        <v/>
      </c>
      <c r="LG8" s="85">
        <f>IF(315&lt;DeliverStart,0,MIN(TotalUnits,(315-DeliverStart+1)*UnitsDeliveredPerMo))</f>
        <v/>
      </c>
      <c r="LH8" s="85">
        <f>IF(316&lt;DeliverStart,0,MIN(TotalUnits,(316-DeliverStart+1)*UnitsDeliveredPerMo))</f>
        <v/>
      </c>
      <c r="LI8" s="85">
        <f>IF(317&lt;DeliverStart,0,MIN(TotalUnits,(317-DeliverStart+1)*UnitsDeliveredPerMo))</f>
        <v/>
      </c>
      <c r="LJ8" s="85">
        <f>IF(318&lt;DeliverStart,0,MIN(TotalUnits,(318-DeliverStart+1)*UnitsDeliveredPerMo))</f>
        <v/>
      </c>
      <c r="LK8" s="85">
        <f>IF(319&lt;DeliverStart,0,MIN(TotalUnits,(319-DeliverStart+1)*UnitsDeliveredPerMo))</f>
        <v/>
      </c>
      <c r="LL8" s="85">
        <f>IF(320&lt;DeliverStart,0,MIN(TotalUnits,(320-DeliverStart+1)*UnitsDeliveredPerMo))</f>
        <v/>
      </c>
      <c r="LM8" s="85">
        <f>IF(321&lt;DeliverStart,0,MIN(TotalUnits,(321-DeliverStart+1)*UnitsDeliveredPerMo))</f>
        <v/>
      </c>
      <c r="LN8" s="85">
        <f>IF(322&lt;DeliverStart,0,MIN(TotalUnits,(322-DeliverStart+1)*UnitsDeliveredPerMo))</f>
        <v/>
      </c>
      <c r="LO8" s="85">
        <f>IF(323&lt;DeliverStart,0,MIN(TotalUnits,(323-DeliverStart+1)*UnitsDeliveredPerMo))</f>
        <v/>
      </c>
      <c r="LP8" s="85">
        <f>IF(324&lt;DeliverStart,0,MIN(TotalUnits,(324-DeliverStart+1)*UnitsDeliveredPerMo))</f>
        <v/>
      </c>
      <c r="LQ8" s="85">
        <f>IF(325&lt;DeliverStart,0,MIN(TotalUnits,(325-DeliverStart+1)*UnitsDeliveredPerMo))</f>
        <v/>
      </c>
      <c r="LR8" s="85">
        <f>IF(326&lt;DeliverStart,0,MIN(TotalUnits,(326-DeliverStart+1)*UnitsDeliveredPerMo))</f>
        <v/>
      </c>
      <c r="LS8" s="85">
        <f>IF(327&lt;DeliverStart,0,MIN(TotalUnits,(327-DeliverStart+1)*UnitsDeliveredPerMo))</f>
        <v/>
      </c>
      <c r="LT8" s="85">
        <f>IF(328&lt;DeliverStart,0,MIN(TotalUnits,(328-DeliverStart+1)*UnitsDeliveredPerMo))</f>
        <v/>
      </c>
      <c r="LU8" s="85">
        <f>IF(329&lt;DeliverStart,0,MIN(TotalUnits,(329-DeliverStart+1)*UnitsDeliveredPerMo))</f>
        <v/>
      </c>
      <c r="LV8" s="85">
        <f>IF(330&lt;DeliverStart,0,MIN(TotalUnits,(330-DeliverStart+1)*UnitsDeliveredPerMo))</f>
        <v/>
      </c>
      <c r="LW8" s="85">
        <f>IF(331&lt;DeliverStart,0,MIN(TotalUnits,(331-DeliverStart+1)*UnitsDeliveredPerMo))</f>
        <v/>
      </c>
      <c r="LX8" s="85">
        <f>IF(332&lt;DeliverStart,0,MIN(TotalUnits,(332-DeliverStart+1)*UnitsDeliveredPerMo))</f>
        <v/>
      </c>
      <c r="LY8" s="85">
        <f>IF(333&lt;DeliverStart,0,MIN(TotalUnits,(333-DeliverStart+1)*UnitsDeliveredPerMo))</f>
        <v/>
      </c>
      <c r="LZ8" s="85">
        <f>IF(334&lt;DeliverStart,0,MIN(TotalUnits,(334-DeliverStart+1)*UnitsDeliveredPerMo))</f>
        <v/>
      </c>
      <c r="MA8" s="85">
        <f>IF(335&lt;DeliverStart,0,MIN(TotalUnits,(335-DeliverStart+1)*UnitsDeliveredPerMo))</f>
        <v/>
      </c>
      <c r="MB8" s="85">
        <f>IF(336&lt;DeliverStart,0,MIN(TotalUnits,(336-DeliverStart+1)*UnitsDeliveredPerMo))</f>
        <v/>
      </c>
      <c r="MC8" s="85">
        <f>IF(337&lt;DeliverStart,0,MIN(TotalUnits,(337-DeliverStart+1)*UnitsDeliveredPerMo))</f>
        <v/>
      </c>
      <c r="MD8" s="85">
        <f>IF(338&lt;DeliverStart,0,MIN(TotalUnits,(338-DeliverStart+1)*UnitsDeliveredPerMo))</f>
        <v/>
      </c>
      <c r="ME8" s="85">
        <f>IF(339&lt;DeliverStart,0,MIN(TotalUnits,(339-DeliverStart+1)*UnitsDeliveredPerMo))</f>
        <v/>
      </c>
      <c r="MF8" s="85">
        <f>IF(340&lt;DeliverStart,0,MIN(TotalUnits,(340-DeliverStart+1)*UnitsDeliveredPerMo))</f>
        <v/>
      </c>
      <c r="MG8" s="85">
        <f>IF(341&lt;DeliverStart,0,MIN(TotalUnits,(341-DeliverStart+1)*UnitsDeliveredPerMo))</f>
        <v/>
      </c>
      <c r="MH8" s="85">
        <f>IF(342&lt;DeliverStart,0,MIN(TotalUnits,(342-DeliverStart+1)*UnitsDeliveredPerMo))</f>
        <v/>
      </c>
      <c r="MI8" s="85">
        <f>IF(343&lt;DeliverStart,0,MIN(TotalUnits,(343-DeliverStart+1)*UnitsDeliveredPerMo))</f>
        <v/>
      </c>
      <c r="MJ8" s="85">
        <f>IF(344&lt;DeliverStart,0,MIN(TotalUnits,(344-DeliverStart+1)*UnitsDeliveredPerMo))</f>
        <v/>
      </c>
      <c r="MK8" s="85">
        <f>IF(345&lt;DeliverStart,0,MIN(TotalUnits,(345-DeliverStart+1)*UnitsDeliveredPerMo))</f>
        <v/>
      </c>
      <c r="ML8" s="85">
        <f>IF(346&lt;DeliverStart,0,MIN(TotalUnits,(346-DeliverStart+1)*UnitsDeliveredPerMo))</f>
        <v/>
      </c>
      <c r="MM8" s="85">
        <f>IF(347&lt;DeliverStart,0,MIN(TotalUnits,(347-DeliverStart+1)*UnitsDeliveredPerMo))</f>
        <v/>
      </c>
      <c r="MN8" s="85">
        <f>IF(348&lt;DeliverStart,0,MIN(TotalUnits,(348-DeliverStart+1)*UnitsDeliveredPerMo))</f>
        <v/>
      </c>
      <c r="MO8" s="85">
        <f>IF(349&lt;DeliverStart,0,MIN(TotalUnits,(349-DeliverStart+1)*UnitsDeliveredPerMo))</f>
        <v/>
      </c>
      <c r="MP8" s="85">
        <f>IF(350&lt;DeliverStart,0,MIN(TotalUnits,(350-DeliverStart+1)*UnitsDeliveredPerMo))</f>
        <v/>
      </c>
      <c r="MQ8" s="85">
        <f>IF(351&lt;DeliverStart,0,MIN(TotalUnits,(351-DeliverStart+1)*UnitsDeliveredPerMo))</f>
        <v/>
      </c>
      <c r="MR8" s="85">
        <f>IF(352&lt;DeliverStart,0,MIN(TotalUnits,(352-DeliverStart+1)*UnitsDeliveredPerMo))</f>
        <v/>
      </c>
      <c r="MS8" s="85">
        <f>IF(353&lt;DeliverStart,0,MIN(TotalUnits,(353-DeliverStart+1)*UnitsDeliveredPerMo))</f>
        <v/>
      </c>
      <c r="MT8" s="85">
        <f>IF(354&lt;DeliverStart,0,MIN(TotalUnits,(354-DeliverStart+1)*UnitsDeliveredPerMo))</f>
        <v/>
      </c>
      <c r="MU8" s="85">
        <f>IF(355&lt;DeliverStart,0,MIN(TotalUnits,(355-DeliverStart+1)*UnitsDeliveredPerMo))</f>
        <v/>
      </c>
      <c r="MV8" s="85">
        <f>IF(356&lt;DeliverStart,0,MIN(TotalUnits,(356-DeliverStart+1)*UnitsDeliveredPerMo))</f>
        <v/>
      </c>
      <c r="MW8" s="85">
        <f>IF(357&lt;DeliverStart,0,MIN(TotalUnits,(357-DeliverStart+1)*UnitsDeliveredPerMo))</f>
        <v/>
      </c>
      <c r="MX8" s="85">
        <f>IF(358&lt;DeliverStart,0,MIN(TotalUnits,(358-DeliverStart+1)*UnitsDeliveredPerMo))</f>
        <v/>
      </c>
      <c r="MY8" s="85">
        <f>IF(359&lt;DeliverStart,0,MIN(TotalUnits,(359-DeliverStart+1)*UnitsDeliveredPerMo))</f>
        <v/>
      </c>
      <c r="MZ8" s="85">
        <f>IF(360&lt;DeliverStart,0,MIN(TotalUnits,(360-DeliverStart+1)*UnitsDeliveredPerMo))</f>
        <v/>
      </c>
      <c r="NA8" s="85">
        <f>IF(361&lt;DeliverStart,0,MIN(TotalUnits,(361-DeliverStart+1)*UnitsDeliveredPerMo))</f>
        <v/>
      </c>
      <c r="NB8" s="85">
        <f>IF(362&lt;DeliverStart,0,MIN(TotalUnits,(362-DeliverStart+1)*UnitsDeliveredPerMo))</f>
        <v/>
      </c>
      <c r="NC8" s="85">
        <f>IF(363&lt;DeliverStart,0,MIN(TotalUnits,(363-DeliverStart+1)*UnitsDeliveredPerMo))</f>
        <v/>
      </c>
      <c r="ND8" s="85">
        <f>IF(364&lt;DeliverStart,0,MIN(TotalUnits,(364-DeliverStart+1)*UnitsDeliveredPerMo))</f>
        <v/>
      </c>
      <c r="NE8" s="85">
        <f>IF(365&lt;DeliverStart,0,MIN(TotalUnits,(365-DeliverStart+1)*UnitsDeliveredPerMo))</f>
        <v/>
      </c>
      <c r="NF8" s="85">
        <f>IF(366&lt;DeliverStart,0,MIN(TotalUnits,(366-DeliverStart+1)*UnitsDeliveredPerMo))</f>
        <v/>
      </c>
      <c r="NG8" s="85">
        <f>IF(367&lt;DeliverStart,0,MIN(TotalUnits,(367-DeliverStart+1)*UnitsDeliveredPerMo))</f>
        <v/>
      </c>
      <c r="NH8" s="85">
        <f>IF(368&lt;DeliverStart,0,MIN(TotalUnits,(368-DeliverStart+1)*UnitsDeliveredPerMo))</f>
        <v/>
      </c>
      <c r="NI8" s="85">
        <f>IF(369&lt;DeliverStart,0,MIN(TotalUnits,(369-DeliverStart+1)*UnitsDeliveredPerMo))</f>
        <v/>
      </c>
      <c r="NJ8" s="85">
        <f>IF(370&lt;DeliverStart,0,MIN(TotalUnits,(370-DeliverStart+1)*UnitsDeliveredPerMo))</f>
        <v/>
      </c>
      <c r="NK8" s="85">
        <f>IF(371&lt;DeliverStart,0,MIN(TotalUnits,(371-DeliverStart+1)*UnitsDeliveredPerMo))</f>
        <v/>
      </c>
      <c r="NL8" s="85">
        <f>IF(372&lt;DeliverStart,0,MIN(TotalUnits,(372-DeliverStart+1)*UnitsDeliveredPerMo))</f>
        <v/>
      </c>
    </row>
    <row r="9">
      <c r="B9" s="36" t="inlineStr">
        <is>
          <t>Cumulative Units Leased</t>
        </is>
      </c>
      <c r="D9" s="124" t="n"/>
      <c r="E9" s="85">
        <f>IF(1&lt;DeliverStart,0,MIN(StabLeasedTarget,E$8,(1-DeliverStart+1)*UnitsLeasedPerMo))</f>
        <v/>
      </c>
      <c r="F9" s="85">
        <f>IF(2&lt;DeliverStart,0,MIN(StabLeasedTarget,F$8,(2-DeliverStart+1)*UnitsLeasedPerMo))</f>
        <v/>
      </c>
      <c r="G9" s="85">
        <f>IF(3&lt;DeliverStart,0,MIN(StabLeasedTarget,G$8,(3-DeliverStart+1)*UnitsLeasedPerMo))</f>
        <v/>
      </c>
      <c r="H9" s="85">
        <f>IF(4&lt;DeliverStart,0,MIN(StabLeasedTarget,H$8,(4-DeliverStart+1)*UnitsLeasedPerMo))</f>
        <v/>
      </c>
      <c r="I9" s="85">
        <f>IF(5&lt;DeliverStart,0,MIN(StabLeasedTarget,I$8,(5-DeliverStart+1)*UnitsLeasedPerMo))</f>
        <v/>
      </c>
      <c r="J9" s="85">
        <f>IF(6&lt;DeliverStart,0,MIN(StabLeasedTarget,J$8,(6-DeliverStart+1)*UnitsLeasedPerMo))</f>
        <v/>
      </c>
      <c r="K9" s="85">
        <f>IF(7&lt;DeliverStart,0,MIN(StabLeasedTarget,K$8,(7-DeliverStart+1)*UnitsLeasedPerMo))</f>
        <v/>
      </c>
      <c r="L9" s="85">
        <f>IF(8&lt;DeliverStart,0,MIN(StabLeasedTarget,L$8,(8-DeliverStart+1)*UnitsLeasedPerMo))</f>
        <v/>
      </c>
      <c r="M9" s="85">
        <f>IF(9&lt;DeliverStart,0,MIN(StabLeasedTarget,M$8,(9-DeliverStart+1)*UnitsLeasedPerMo))</f>
        <v/>
      </c>
      <c r="N9" s="85">
        <f>IF(10&lt;DeliverStart,0,MIN(StabLeasedTarget,N$8,(10-DeliverStart+1)*UnitsLeasedPerMo))</f>
        <v/>
      </c>
      <c r="O9" s="85">
        <f>IF(11&lt;DeliverStart,0,MIN(StabLeasedTarget,O$8,(11-DeliverStart+1)*UnitsLeasedPerMo))</f>
        <v/>
      </c>
      <c r="P9" s="85">
        <f>IF(12&lt;DeliverStart,0,MIN(StabLeasedTarget,P$8,(12-DeliverStart+1)*UnitsLeasedPerMo))</f>
        <v/>
      </c>
      <c r="Q9" s="85">
        <f>IF(13&lt;DeliverStart,0,MIN(StabLeasedTarget,Q$8,(13-DeliverStart+1)*UnitsLeasedPerMo))</f>
        <v/>
      </c>
      <c r="R9" s="85">
        <f>IF(14&lt;DeliverStart,0,MIN(StabLeasedTarget,R$8,(14-DeliverStart+1)*UnitsLeasedPerMo))</f>
        <v/>
      </c>
      <c r="S9" s="85">
        <f>IF(15&lt;DeliverStart,0,MIN(StabLeasedTarget,S$8,(15-DeliverStart+1)*UnitsLeasedPerMo))</f>
        <v/>
      </c>
      <c r="T9" s="85">
        <f>IF(16&lt;DeliverStart,0,MIN(StabLeasedTarget,T$8,(16-DeliverStart+1)*UnitsLeasedPerMo))</f>
        <v/>
      </c>
      <c r="U9" s="85">
        <f>IF(17&lt;DeliverStart,0,MIN(StabLeasedTarget,U$8,(17-DeliverStart+1)*UnitsLeasedPerMo))</f>
        <v/>
      </c>
      <c r="V9" s="85">
        <f>IF(18&lt;DeliverStart,0,MIN(StabLeasedTarget,V$8,(18-DeliverStart+1)*UnitsLeasedPerMo))</f>
        <v/>
      </c>
      <c r="W9" s="85">
        <f>IF(19&lt;DeliverStart,0,MIN(StabLeasedTarget,W$8,(19-DeliverStart+1)*UnitsLeasedPerMo))</f>
        <v/>
      </c>
      <c r="X9" s="85">
        <f>IF(20&lt;DeliverStart,0,MIN(StabLeasedTarget,X$8,(20-DeliverStart+1)*UnitsLeasedPerMo))</f>
        <v/>
      </c>
      <c r="Y9" s="85">
        <f>IF(21&lt;DeliverStart,0,MIN(StabLeasedTarget,Y$8,(21-DeliverStart+1)*UnitsLeasedPerMo))</f>
        <v/>
      </c>
      <c r="Z9" s="85">
        <f>IF(22&lt;DeliverStart,0,MIN(StabLeasedTarget,Z$8,(22-DeliverStart+1)*UnitsLeasedPerMo))</f>
        <v/>
      </c>
      <c r="AA9" s="85">
        <f>IF(23&lt;DeliverStart,0,MIN(StabLeasedTarget,AA$8,(23-DeliverStart+1)*UnitsLeasedPerMo))</f>
        <v/>
      </c>
      <c r="AB9" s="85">
        <f>IF(24&lt;DeliverStart,0,MIN(StabLeasedTarget,AB$8,(24-DeliverStart+1)*UnitsLeasedPerMo))</f>
        <v/>
      </c>
      <c r="AC9" s="85">
        <f>IF(25&lt;DeliverStart,0,MIN(StabLeasedTarget,AC$8,(25-DeliverStart+1)*UnitsLeasedPerMo))</f>
        <v/>
      </c>
      <c r="AD9" s="85">
        <f>IF(26&lt;DeliverStart,0,MIN(StabLeasedTarget,AD$8,(26-DeliverStart+1)*UnitsLeasedPerMo))</f>
        <v/>
      </c>
      <c r="AE9" s="85">
        <f>IF(27&lt;DeliverStart,0,MIN(StabLeasedTarget,AE$8,(27-DeliverStart+1)*UnitsLeasedPerMo))</f>
        <v/>
      </c>
      <c r="AF9" s="85">
        <f>IF(28&lt;DeliverStart,0,MIN(StabLeasedTarget,AF$8,(28-DeliverStart+1)*UnitsLeasedPerMo))</f>
        <v/>
      </c>
      <c r="AG9" s="85">
        <f>IF(29&lt;DeliverStart,0,MIN(StabLeasedTarget,AG$8,(29-DeliverStart+1)*UnitsLeasedPerMo))</f>
        <v/>
      </c>
      <c r="AH9" s="85">
        <f>IF(30&lt;DeliverStart,0,MIN(StabLeasedTarget,AH$8,(30-DeliverStart+1)*UnitsLeasedPerMo))</f>
        <v/>
      </c>
      <c r="AI9" s="85">
        <f>IF(31&lt;DeliverStart,0,MIN(StabLeasedTarget,AI$8,(31-DeliverStart+1)*UnitsLeasedPerMo))</f>
        <v/>
      </c>
      <c r="AJ9" s="85">
        <f>IF(32&lt;DeliverStart,0,MIN(StabLeasedTarget,AJ$8,(32-DeliverStart+1)*UnitsLeasedPerMo))</f>
        <v/>
      </c>
      <c r="AK9" s="85">
        <f>IF(33&lt;DeliverStart,0,MIN(StabLeasedTarget,AK$8,(33-DeliverStart+1)*UnitsLeasedPerMo))</f>
        <v/>
      </c>
      <c r="AL9" s="85">
        <f>IF(34&lt;DeliverStart,0,MIN(StabLeasedTarget,AL$8,(34-DeliverStart+1)*UnitsLeasedPerMo))</f>
        <v/>
      </c>
      <c r="AM9" s="85">
        <f>IF(35&lt;DeliverStart,0,MIN(StabLeasedTarget,AM$8,(35-DeliverStart+1)*UnitsLeasedPerMo))</f>
        <v/>
      </c>
      <c r="AN9" s="85">
        <f>IF(36&lt;DeliverStart,0,MIN(StabLeasedTarget,AN$8,(36-DeliverStart+1)*UnitsLeasedPerMo))</f>
        <v/>
      </c>
      <c r="AO9" s="85">
        <f>IF(37&lt;DeliverStart,0,MIN(StabLeasedTarget,AO$8,(37-DeliverStart+1)*UnitsLeasedPerMo))</f>
        <v/>
      </c>
      <c r="AP9" s="85">
        <f>IF(38&lt;DeliverStart,0,MIN(StabLeasedTarget,AP$8,(38-DeliverStart+1)*UnitsLeasedPerMo))</f>
        <v/>
      </c>
      <c r="AQ9" s="85">
        <f>IF(39&lt;DeliverStart,0,MIN(StabLeasedTarget,AQ$8,(39-DeliverStart+1)*UnitsLeasedPerMo))</f>
        <v/>
      </c>
      <c r="AR9" s="85">
        <f>IF(40&lt;DeliverStart,0,MIN(StabLeasedTarget,AR$8,(40-DeliverStart+1)*UnitsLeasedPerMo))</f>
        <v/>
      </c>
      <c r="AS9" s="85">
        <f>IF(41&lt;DeliverStart,0,MIN(StabLeasedTarget,AS$8,(41-DeliverStart+1)*UnitsLeasedPerMo))</f>
        <v/>
      </c>
      <c r="AT9" s="85">
        <f>IF(42&lt;DeliverStart,0,MIN(StabLeasedTarget,AT$8,(42-DeliverStart+1)*UnitsLeasedPerMo))</f>
        <v/>
      </c>
      <c r="AU9" s="85">
        <f>IF(43&lt;DeliverStart,0,MIN(StabLeasedTarget,AU$8,(43-DeliverStart+1)*UnitsLeasedPerMo))</f>
        <v/>
      </c>
      <c r="AV9" s="85">
        <f>IF(44&lt;DeliverStart,0,MIN(StabLeasedTarget,AV$8,(44-DeliverStart+1)*UnitsLeasedPerMo))</f>
        <v/>
      </c>
      <c r="AW9" s="85">
        <f>IF(45&lt;DeliverStart,0,MIN(StabLeasedTarget,AW$8,(45-DeliverStart+1)*UnitsLeasedPerMo))</f>
        <v/>
      </c>
      <c r="AX9" s="85">
        <f>IF(46&lt;DeliverStart,0,MIN(StabLeasedTarget,AX$8,(46-DeliverStart+1)*UnitsLeasedPerMo))</f>
        <v/>
      </c>
      <c r="AY9" s="85">
        <f>IF(47&lt;DeliverStart,0,MIN(StabLeasedTarget,AY$8,(47-DeliverStart+1)*UnitsLeasedPerMo))</f>
        <v/>
      </c>
      <c r="AZ9" s="85">
        <f>IF(48&lt;DeliverStart,0,MIN(StabLeasedTarget,AZ$8,(48-DeliverStart+1)*UnitsLeasedPerMo))</f>
        <v/>
      </c>
      <c r="BA9" s="85">
        <f>IF(49&lt;DeliverStart,0,MIN(StabLeasedTarget,BA$8,(49-DeliverStart+1)*UnitsLeasedPerMo))</f>
        <v/>
      </c>
      <c r="BB9" s="85">
        <f>IF(50&lt;DeliverStart,0,MIN(StabLeasedTarget,BB$8,(50-DeliverStart+1)*UnitsLeasedPerMo))</f>
        <v/>
      </c>
      <c r="BC9" s="85">
        <f>IF(51&lt;DeliverStart,0,MIN(StabLeasedTarget,BC$8,(51-DeliverStart+1)*UnitsLeasedPerMo))</f>
        <v/>
      </c>
      <c r="BD9" s="85">
        <f>IF(52&lt;DeliverStart,0,MIN(StabLeasedTarget,BD$8,(52-DeliverStart+1)*UnitsLeasedPerMo))</f>
        <v/>
      </c>
      <c r="BE9" s="85">
        <f>IF(53&lt;DeliverStart,0,MIN(StabLeasedTarget,BE$8,(53-DeliverStart+1)*UnitsLeasedPerMo))</f>
        <v/>
      </c>
      <c r="BF9" s="85">
        <f>IF(54&lt;DeliverStart,0,MIN(StabLeasedTarget,BF$8,(54-DeliverStart+1)*UnitsLeasedPerMo))</f>
        <v/>
      </c>
      <c r="BG9" s="85">
        <f>IF(55&lt;DeliverStart,0,MIN(StabLeasedTarget,BG$8,(55-DeliverStart+1)*UnitsLeasedPerMo))</f>
        <v/>
      </c>
      <c r="BH9" s="85">
        <f>IF(56&lt;DeliverStart,0,MIN(StabLeasedTarget,BH$8,(56-DeliverStart+1)*UnitsLeasedPerMo))</f>
        <v/>
      </c>
      <c r="BI9" s="85">
        <f>IF(57&lt;DeliverStart,0,MIN(StabLeasedTarget,BI$8,(57-DeliverStart+1)*UnitsLeasedPerMo))</f>
        <v/>
      </c>
      <c r="BJ9" s="85">
        <f>IF(58&lt;DeliverStart,0,MIN(StabLeasedTarget,BJ$8,(58-DeliverStart+1)*UnitsLeasedPerMo))</f>
        <v/>
      </c>
      <c r="BK9" s="85">
        <f>IF(59&lt;DeliverStart,0,MIN(StabLeasedTarget,BK$8,(59-DeliverStart+1)*UnitsLeasedPerMo))</f>
        <v/>
      </c>
      <c r="BL9" s="85">
        <f>IF(60&lt;DeliverStart,0,MIN(StabLeasedTarget,BL$8,(60-DeliverStart+1)*UnitsLeasedPerMo))</f>
        <v/>
      </c>
      <c r="BM9" s="85">
        <f>IF(61&lt;DeliverStart,0,MIN(StabLeasedTarget,BM$8,(61-DeliverStart+1)*UnitsLeasedPerMo))</f>
        <v/>
      </c>
      <c r="BN9" s="85">
        <f>IF(62&lt;DeliverStart,0,MIN(StabLeasedTarget,BN$8,(62-DeliverStart+1)*UnitsLeasedPerMo))</f>
        <v/>
      </c>
      <c r="BO9" s="85">
        <f>IF(63&lt;DeliverStart,0,MIN(StabLeasedTarget,BO$8,(63-DeliverStart+1)*UnitsLeasedPerMo))</f>
        <v/>
      </c>
      <c r="BP9" s="85">
        <f>IF(64&lt;DeliverStart,0,MIN(StabLeasedTarget,BP$8,(64-DeliverStart+1)*UnitsLeasedPerMo))</f>
        <v/>
      </c>
      <c r="BQ9" s="85">
        <f>IF(65&lt;DeliverStart,0,MIN(StabLeasedTarget,BQ$8,(65-DeliverStart+1)*UnitsLeasedPerMo))</f>
        <v/>
      </c>
      <c r="BR9" s="85">
        <f>IF(66&lt;DeliverStart,0,MIN(StabLeasedTarget,BR$8,(66-DeliverStart+1)*UnitsLeasedPerMo))</f>
        <v/>
      </c>
      <c r="BS9" s="85">
        <f>IF(67&lt;DeliverStart,0,MIN(StabLeasedTarget,BS$8,(67-DeliverStart+1)*UnitsLeasedPerMo))</f>
        <v/>
      </c>
      <c r="BT9" s="85">
        <f>IF(68&lt;DeliverStart,0,MIN(StabLeasedTarget,BT$8,(68-DeliverStart+1)*UnitsLeasedPerMo))</f>
        <v/>
      </c>
      <c r="BU9" s="85">
        <f>IF(69&lt;DeliverStart,0,MIN(StabLeasedTarget,BU$8,(69-DeliverStart+1)*UnitsLeasedPerMo))</f>
        <v/>
      </c>
      <c r="BV9" s="85">
        <f>IF(70&lt;DeliverStart,0,MIN(StabLeasedTarget,BV$8,(70-DeliverStart+1)*UnitsLeasedPerMo))</f>
        <v/>
      </c>
      <c r="BW9" s="85">
        <f>IF(71&lt;DeliverStart,0,MIN(StabLeasedTarget,BW$8,(71-DeliverStart+1)*UnitsLeasedPerMo))</f>
        <v/>
      </c>
      <c r="BX9" s="85">
        <f>IF(72&lt;DeliverStart,0,MIN(StabLeasedTarget,BX$8,(72-DeliverStart+1)*UnitsLeasedPerMo))</f>
        <v/>
      </c>
      <c r="BY9" s="85">
        <f>IF(73&lt;DeliverStart,0,MIN(StabLeasedTarget,BY$8,(73-DeliverStart+1)*UnitsLeasedPerMo))</f>
        <v/>
      </c>
      <c r="BZ9" s="85">
        <f>IF(74&lt;DeliverStart,0,MIN(StabLeasedTarget,BZ$8,(74-DeliverStart+1)*UnitsLeasedPerMo))</f>
        <v/>
      </c>
      <c r="CA9" s="85">
        <f>IF(75&lt;DeliverStart,0,MIN(StabLeasedTarget,CA$8,(75-DeliverStart+1)*UnitsLeasedPerMo))</f>
        <v/>
      </c>
      <c r="CB9" s="85">
        <f>IF(76&lt;DeliverStart,0,MIN(StabLeasedTarget,CB$8,(76-DeliverStart+1)*UnitsLeasedPerMo))</f>
        <v/>
      </c>
      <c r="CC9" s="85">
        <f>IF(77&lt;DeliverStart,0,MIN(StabLeasedTarget,CC$8,(77-DeliverStart+1)*UnitsLeasedPerMo))</f>
        <v/>
      </c>
      <c r="CD9" s="85">
        <f>IF(78&lt;DeliverStart,0,MIN(StabLeasedTarget,CD$8,(78-DeliverStart+1)*UnitsLeasedPerMo))</f>
        <v/>
      </c>
      <c r="CE9" s="85">
        <f>IF(79&lt;DeliverStart,0,MIN(StabLeasedTarget,CE$8,(79-DeliverStart+1)*UnitsLeasedPerMo))</f>
        <v/>
      </c>
      <c r="CF9" s="85">
        <f>IF(80&lt;DeliverStart,0,MIN(StabLeasedTarget,CF$8,(80-DeliverStart+1)*UnitsLeasedPerMo))</f>
        <v/>
      </c>
      <c r="CG9" s="85">
        <f>IF(81&lt;DeliverStart,0,MIN(StabLeasedTarget,CG$8,(81-DeliverStart+1)*UnitsLeasedPerMo))</f>
        <v/>
      </c>
      <c r="CH9" s="85">
        <f>IF(82&lt;DeliverStart,0,MIN(StabLeasedTarget,CH$8,(82-DeliverStart+1)*UnitsLeasedPerMo))</f>
        <v/>
      </c>
      <c r="CI9" s="85">
        <f>IF(83&lt;DeliverStart,0,MIN(StabLeasedTarget,CI$8,(83-DeliverStart+1)*UnitsLeasedPerMo))</f>
        <v/>
      </c>
      <c r="CJ9" s="85">
        <f>IF(84&lt;DeliverStart,0,MIN(StabLeasedTarget,CJ$8,(84-DeliverStart+1)*UnitsLeasedPerMo))</f>
        <v/>
      </c>
      <c r="CK9" s="85">
        <f>IF(85&lt;DeliverStart,0,MIN(StabLeasedTarget,CK$8,(85-DeliverStart+1)*UnitsLeasedPerMo))</f>
        <v/>
      </c>
      <c r="CL9" s="85">
        <f>IF(86&lt;DeliverStart,0,MIN(StabLeasedTarget,CL$8,(86-DeliverStart+1)*UnitsLeasedPerMo))</f>
        <v/>
      </c>
      <c r="CM9" s="85">
        <f>IF(87&lt;DeliverStart,0,MIN(StabLeasedTarget,CM$8,(87-DeliverStart+1)*UnitsLeasedPerMo))</f>
        <v/>
      </c>
      <c r="CN9" s="85">
        <f>IF(88&lt;DeliverStart,0,MIN(StabLeasedTarget,CN$8,(88-DeliverStart+1)*UnitsLeasedPerMo))</f>
        <v/>
      </c>
      <c r="CO9" s="85">
        <f>IF(89&lt;DeliverStart,0,MIN(StabLeasedTarget,CO$8,(89-DeliverStart+1)*UnitsLeasedPerMo))</f>
        <v/>
      </c>
      <c r="CP9" s="85">
        <f>IF(90&lt;DeliverStart,0,MIN(StabLeasedTarget,CP$8,(90-DeliverStart+1)*UnitsLeasedPerMo))</f>
        <v/>
      </c>
      <c r="CQ9" s="85">
        <f>IF(91&lt;DeliverStart,0,MIN(StabLeasedTarget,CQ$8,(91-DeliverStart+1)*UnitsLeasedPerMo))</f>
        <v/>
      </c>
      <c r="CR9" s="85">
        <f>IF(92&lt;DeliverStart,0,MIN(StabLeasedTarget,CR$8,(92-DeliverStart+1)*UnitsLeasedPerMo))</f>
        <v/>
      </c>
      <c r="CS9" s="85">
        <f>IF(93&lt;DeliverStart,0,MIN(StabLeasedTarget,CS$8,(93-DeliverStart+1)*UnitsLeasedPerMo))</f>
        <v/>
      </c>
      <c r="CT9" s="85">
        <f>IF(94&lt;DeliverStart,0,MIN(StabLeasedTarget,CT$8,(94-DeliverStart+1)*UnitsLeasedPerMo))</f>
        <v/>
      </c>
      <c r="CU9" s="85">
        <f>IF(95&lt;DeliverStart,0,MIN(StabLeasedTarget,CU$8,(95-DeliverStart+1)*UnitsLeasedPerMo))</f>
        <v/>
      </c>
      <c r="CV9" s="85">
        <f>IF(96&lt;DeliverStart,0,MIN(StabLeasedTarget,CV$8,(96-DeliverStart+1)*UnitsLeasedPerMo))</f>
        <v/>
      </c>
      <c r="CW9" s="85">
        <f>IF(97&lt;DeliverStart,0,MIN(StabLeasedTarget,CW$8,(97-DeliverStart+1)*UnitsLeasedPerMo))</f>
        <v/>
      </c>
      <c r="CX9" s="85">
        <f>IF(98&lt;DeliverStart,0,MIN(StabLeasedTarget,CX$8,(98-DeliverStart+1)*UnitsLeasedPerMo))</f>
        <v/>
      </c>
      <c r="CY9" s="85">
        <f>IF(99&lt;DeliverStart,0,MIN(StabLeasedTarget,CY$8,(99-DeliverStart+1)*UnitsLeasedPerMo))</f>
        <v/>
      </c>
      <c r="CZ9" s="85">
        <f>IF(100&lt;DeliverStart,0,MIN(StabLeasedTarget,CZ$8,(100-DeliverStart+1)*UnitsLeasedPerMo))</f>
        <v/>
      </c>
      <c r="DA9" s="85">
        <f>IF(101&lt;DeliverStart,0,MIN(StabLeasedTarget,DA$8,(101-DeliverStart+1)*UnitsLeasedPerMo))</f>
        <v/>
      </c>
      <c r="DB9" s="85">
        <f>IF(102&lt;DeliverStart,0,MIN(StabLeasedTarget,DB$8,(102-DeliverStart+1)*UnitsLeasedPerMo))</f>
        <v/>
      </c>
      <c r="DC9" s="85">
        <f>IF(103&lt;DeliverStart,0,MIN(StabLeasedTarget,DC$8,(103-DeliverStart+1)*UnitsLeasedPerMo))</f>
        <v/>
      </c>
      <c r="DD9" s="85">
        <f>IF(104&lt;DeliverStart,0,MIN(StabLeasedTarget,DD$8,(104-DeliverStart+1)*UnitsLeasedPerMo))</f>
        <v/>
      </c>
      <c r="DE9" s="85">
        <f>IF(105&lt;DeliverStart,0,MIN(StabLeasedTarget,DE$8,(105-DeliverStart+1)*UnitsLeasedPerMo))</f>
        <v/>
      </c>
      <c r="DF9" s="85">
        <f>IF(106&lt;DeliverStart,0,MIN(StabLeasedTarget,DF$8,(106-DeliverStart+1)*UnitsLeasedPerMo))</f>
        <v/>
      </c>
      <c r="DG9" s="85">
        <f>IF(107&lt;DeliverStart,0,MIN(StabLeasedTarget,DG$8,(107-DeliverStart+1)*UnitsLeasedPerMo))</f>
        <v/>
      </c>
      <c r="DH9" s="85">
        <f>IF(108&lt;DeliverStart,0,MIN(StabLeasedTarget,DH$8,(108-DeliverStart+1)*UnitsLeasedPerMo))</f>
        <v/>
      </c>
      <c r="DI9" s="85">
        <f>IF(109&lt;DeliverStart,0,MIN(StabLeasedTarget,DI$8,(109-DeliverStart+1)*UnitsLeasedPerMo))</f>
        <v/>
      </c>
      <c r="DJ9" s="85">
        <f>IF(110&lt;DeliverStart,0,MIN(StabLeasedTarget,DJ$8,(110-DeliverStart+1)*UnitsLeasedPerMo))</f>
        <v/>
      </c>
      <c r="DK9" s="85">
        <f>IF(111&lt;DeliverStart,0,MIN(StabLeasedTarget,DK$8,(111-DeliverStart+1)*UnitsLeasedPerMo))</f>
        <v/>
      </c>
      <c r="DL9" s="85">
        <f>IF(112&lt;DeliverStart,0,MIN(StabLeasedTarget,DL$8,(112-DeliverStart+1)*UnitsLeasedPerMo))</f>
        <v/>
      </c>
      <c r="DM9" s="85">
        <f>IF(113&lt;DeliverStart,0,MIN(StabLeasedTarget,DM$8,(113-DeliverStart+1)*UnitsLeasedPerMo))</f>
        <v/>
      </c>
      <c r="DN9" s="85">
        <f>IF(114&lt;DeliverStart,0,MIN(StabLeasedTarget,DN$8,(114-DeliverStart+1)*UnitsLeasedPerMo))</f>
        <v/>
      </c>
      <c r="DO9" s="85">
        <f>IF(115&lt;DeliverStart,0,MIN(StabLeasedTarget,DO$8,(115-DeliverStart+1)*UnitsLeasedPerMo))</f>
        <v/>
      </c>
      <c r="DP9" s="85">
        <f>IF(116&lt;DeliverStart,0,MIN(StabLeasedTarget,DP$8,(116-DeliverStart+1)*UnitsLeasedPerMo))</f>
        <v/>
      </c>
      <c r="DQ9" s="85">
        <f>IF(117&lt;DeliverStart,0,MIN(StabLeasedTarget,DQ$8,(117-DeliverStart+1)*UnitsLeasedPerMo))</f>
        <v/>
      </c>
      <c r="DR9" s="85">
        <f>IF(118&lt;DeliverStart,0,MIN(StabLeasedTarget,DR$8,(118-DeliverStart+1)*UnitsLeasedPerMo))</f>
        <v/>
      </c>
      <c r="DS9" s="85">
        <f>IF(119&lt;DeliverStart,0,MIN(StabLeasedTarget,DS$8,(119-DeliverStart+1)*UnitsLeasedPerMo))</f>
        <v/>
      </c>
      <c r="DT9" s="85">
        <f>IF(120&lt;DeliverStart,0,MIN(StabLeasedTarget,DT$8,(120-DeliverStart+1)*UnitsLeasedPerMo))</f>
        <v/>
      </c>
      <c r="DU9" s="85">
        <f>IF(121&lt;DeliverStart,0,MIN(StabLeasedTarget,DU$8,(121-DeliverStart+1)*UnitsLeasedPerMo))</f>
        <v/>
      </c>
      <c r="DV9" s="85">
        <f>IF(122&lt;DeliverStart,0,MIN(StabLeasedTarget,DV$8,(122-DeliverStart+1)*UnitsLeasedPerMo))</f>
        <v/>
      </c>
      <c r="DW9" s="85">
        <f>IF(123&lt;DeliverStart,0,MIN(StabLeasedTarget,DW$8,(123-DeliverStart+1)*UnitsLeasedPerMo))</f>
        <v/>
      </c>
      <c r="DX9" s="85">
        <f>IF(124&lt;DeliverStart,0,MIN(StabLeasedTarget,DX$8,(124-DeliverStart+1)*UnitsLeasedPerMo))</f>
        <v/>
      </c>
      <c r="DY9" s="85">
        <f>IF(125&lt;DeliverStart,0,MIN(StabLeasedTarget,DY$8,(125-DeliverStart+1)*UnitsLeasedPerMo))</f>
        <v/>
      </c>
      <c r="DZ9" s="85">
        <f>IF(126&lt;DeliverStart,0,MIN(StabLeasedTarget,DZ$8,(126-DeliverStart+1)*UnitsLeasedPerMo))</f>
        <v/>
      </c>
      <c r="EA9" s="85">
        <f>IF(127&lt;DeliverStart,0,MIN(StabLeasedTarget,EA$8,(127-DeliverStart+1)*UnitsLeasedPerMo))</f>
        <v/>
      </c>
      <c r="EB9" s="85">
        <f>IF(128&lt;DeliverStart,0,MIN(StabLeasedTarget,EB$8,(128-DeliverStart+1)*UnitsLeasedPerMo))</f>
        <v/>
      </c>
      <c r="EC9" s="85">
        <f>IF(129&lt;DeliverStart,0,MIN(StabLeasedTarget,EC$8,(129-DeliverStart+1)*UnitsLeasedPerMo))</f>
        <v/>
      </c>
      <c r="ED9" s="85">
        <f>IF(130&lt;DeliverStart,0,MIN(StabLeasedTarget,ED$8,(130-DeliverStart+1)*UnitsLeasedPerMo))</f>
        <v/>
      </c>
      <c r="EE9" s="85">
        <f>IF(131&lt;DeliverStart,0,MIN(StabLeasedTarget,EE$8,(131-DeliverStart+1)*UnitsLeasedPerMo))</f>
        <v/>
      </c>
      <c r="EF9" s="85">
        <f>IF(132&lt;DeliverStart,0,MIN(StabLeasedTarget,EF$8,(132-DeliverStart+1)*UnitsLeasedPerMo))</f>
        <v/>
      </c>
      <c r="EG9" s="85">
        <f>IF(133&lt;DeliverStart,0,MIN(StabLeasedTarget,EG$8,(133-DeliverStart+1)*UnitsLeasedPerMo))</f>
        <v/>
      </c>
      <c r="EH9" s="85">
        <f>IF(134&lt;DeliverStart,0,MIN(StabLeasedTarget,EH$8,(134-DeliverStart+1)*UnitsLeasedPerMo))</f>
        <v/>
      </c>
      <c r="EI9" s="85">
        <f>IF(135&lt;DeliverStart,0,MIN(StabLeasedTarget,EI$8,(135-DeliverStart+1)*UnitsLeasedPerMo))</f>
        <v/>
      </c>
      <c r="EJ9" s="85">
        <f>IF(136&lt;DeliverStart,0,MIN(StabLeasedTarget,EJ$8,(136-DeliverStart+1)*UnitsLeasedPerMo))</f>
        <v/>
      </c>
      <c r="EK9" s="85">
        <f>IF(137&lt;DeliverStart,0,MIN(StabLeasedTarget,EK$8,(137-DeliverStart+1)*UnitsLeasedPerMo))</f>
        <v/>
      </c>
      <c r="EL9" s="85">
        <f>IF(138&lt;DeliverStart,0,MIN(StabLeasedTarget,EL$8,(138-DeliverStart+1)*UnitsLeasedPerMo))</f>
        <v/>
      </c>
      <c r="EM9" s="85">
        <f>IF(139&lt;DeliverStart,0,MIN(StabLeasedTarget,EM$8,(139-DeliverStart+1)*UnitsLeasedPerMo))</f>
        <v/>
      </c>
      <c r="EN9" s="85">
        <f>IF(140&lt;DeliverStart,0,MIN(StabLeasedTarget,EN$8,(140-DeliverStart+1)*UnitsLeasedPerMo))</f>
        <v/>
      </c>
      <c r="EO9" s="85">
        <f>IF(141&lt;DeliverStart,0,MIN(StabLeasedTarget,EO$8,(141-DeliverStart+1)*UnitsLeasedPerMo))</f>
        <v/>
      </c>
      <c r="EP9" s="85">
        <f>IF(142&lt;DeliverStart,0,MIN(StabLeasedTarget,EP$8,(142-DeliverStart+1)*UnitsLeasedPerMo))</f>
        <v/>
      </c>
      <c r="EQ9" s="85">
        <f>IF(143&lt;DeliverStart,0,MIN(StabLeasedTarget,EQ$8,(143-DeliverStart+1)*UnitsLeasedPerMo))</f>
        <v/>
      </c>
      <c r="ER9" s="85">
        <f>IF(144&lt;DeliverStart,0,MIN(StabLeasedTarget,ER$8,(144-DeliverStart+1)*UnitsLeasedPerMo))</f>
        <v/>
      </c>
      <c r="ES9" s="85">
        <f>IF(145&lt;DeliverStart,0,MIN(StabLeasedTarget,ES$8,(145-DeliverStart+1)*UnitsLeasedPerMo))</f>
        <v/>
      </c>
      <c r="ET9" s="85">
        <f>IF(146&lt;DeliverStart,0,MIN(StabLeasedTarget,ET$8,(146-DeliverStart+1)*UnitsLeasedPerMo))</f>
        <v/>
      </c>
      <c r="EU9" s="85">
        <f>IF(147&lt;DeliverStart,0,MIN(StabLeasedTarget,EU$8,(147-DeliverStart+1)*UnitsLeasedPerMo))</f>
        <v/>
      </c>
      <c r="EV9" s="85">
        <f>IF(148&lt;DeliverStart,0,MIN(StabLeasedTarget,EV$8,(148-DeliverStart+1)*UnitsLeasedPerMo))</f>
        <v/>
      </c>
      <c r="EW9" s="85">
        <f>IF(149&lt;DeliverStart,0,MIN(StabLeasedTarget,EW$8,(149-DeliverStart+1)*UnitsLeasedPerMo))</f>
        <v/>
      </c>
      <c r="EX9" s="85">
        <f>IF(150&lt;DeliverStart,0,MIN(StabLeasedTarget,EX$8,(150-DeliverStart+1)*UnitsLeasedPerMo))</f>
        <v/>
      </c>
      <c r="EY9" s="85">
        <f>IF(151&lt;DeliverStart,0,MIN(StabLeasedTarget,EY$8,(151-DeliverStart+1)*UnitsLeasedPerMo))</f>
        <v/>
      </c>
      <c r="EZ9" s="85">
        <f>IF(152&lt;DeliverStart,0,MIN(StabLeasedTarget,EZ$8,(152-DeliverStart+1)*UnitsLeasedPerMo))</f>
        <v/>
      </c>
      <c r="FA9" s="85">
        <f>IF(153&lt;DeliverStart,0,MIN(StabLeasedTarget,FA$8,(153-DeliverStart+1)*UnitsLeasedPerMo))</f>
        <v/>
      </c>
      <c r="FB9" s="85">
        <f>IF(154&lt;DeliverStart,0,MIN(StabLeasedTarget,FB$8,(154-DeliverStart+1)*UnitsLeasedPerMo))</f>
        <v/>
      </c>
      <c r="FC9" s="85">
        <f>IF(155&lt;DeliverStart,0,MIN(StabLeasedTarget,FC$8,(155-DeliverStart+1)*UnitsLeasedPerMo))</f>
        <v/>
      </c>
      <c r="FD9" s="85">
        <f>IF(156&lt;DeliverStart,0,MIN(StabLeasedTarget,FD$8,(156-DeliverStart+1)*UnitsLeasedPerMo))</f>
        <v/>
      </c>
      <c r="FE9" s="85">
        <f>IF(157&lt;DeliverStart,0,MIN(StabLeasedTarget,FE$8,(157-DeliverStart+1)*UnitsLeasedPerMo))</f>
        <v/>
      </c>
      <c r="FF9" s="85">
        <f>IF(158&lt;DeliverStart,0,MIN(StabLeasedTarget,FF$8,(158-DeliverStart+1)*UnitsLeasedPerMo))</f>
        <v/>
      </c>
      <c r="FG9" s="85">
        <f>IF(159&lt;DeliverStart,0,MIN(StabLeasedTarget,FG$8,(159-DeliverStart+1)*UnitsLeasedPerMo))</f>
        <v/>
      </c>
      <c r="FH9" s="85">
        <f>IF(160&lt;DeliverStart,0,MIN(StabLeasedTarget,FH$8,(160-DeliverStart+1)*UnitsLeasedPerMo))</f>
        <v/>
      </c>
      <c r="FI9" s="85">
        <f>IF(161&lt;DeliverStart,0,MIN(StabLeasedTarget,FI$8,(161-DeliverStart+1)*UnitsLeasedPerMo))</f>
        <v/>
      </c>
      <c r="FJ9" s="85">
        <f>IF(162&lt;DeliverStart,0,MIN(StabLeasedTarget,FJ$8,(162-DeliverStart+1)*UnitsLeasedPerMo))</f>
        <v/>
      </c>
      <c r="FK9" s="85">
        <f>IF(163&lt;DeliverStart,0,MIN(StabLeasedTarget,FK$8,(163-DeliverStart+1)*UnitsLeasedPerMo))</f>
        <v/>
      </c>
      <c r="FL9" s="85">
        <f>IF(164&lt;DeliverStart,0,MIN(StabLeasedTarget,FL$8,(164-DeliverStart+1)*UnitsLeasedPerMo))</f>
        <v/>
      </c>
      <c r="FM9" s="85">
        <f>IF(165&lt;DeliverStart,0,MIN(StabLeasedTarget,FM$8,(165-DeliverStart+1)*UnitsLeasedPerMo))</f>
        <v/>
      </c>
      <c r="FN9" s="85">
        <f>IF(166&lt;DeliverStart,0,MIN(StabLeasedTarget,FN$8,(166-DeliverStart+1)*UnitsLeasedPerMo))</f>
        <v/>
      </c>
      <c r="FO9" s="85">
        <f>IF(167&lt;DeliverStart,0,MIN(StabLeasedTarget,FO$8,(167-DeliverStart+1)*UnitsLeasedPerMo))</f>
        <v/>
      </c>
      <c r="FP9" s="85">
        <f>IF(168&lt;DeliverStart,0,MIN(StabLeasedTarget,FP$8,(168-DeliverStart+1)*UnitsLeasedPerMo))</f>
        <v/>
      </c>
      <c r="FQ9" s="85">
        <f>IF(169&lt;DeliverStart,0,MIN(StabLeasedTarget,FQ$8,(169-DeliverStart+1)*UnitsLeasedPerMo))</f>
        <v/>
      </c>
      <c r="FR9" s="85">
        <f>IF(170&lt;DeliverStart,0,MIN(StabLeasedTarget,FR$8,(170-DeliverStart+1)*UnitsLeasedPerMo))</f>
        <v/>
      </c>
      <c r="FS9" s="85">
        <f>IF(171&lt;DeliverStart,0,MIN(StabLeasedTarget,FS$8,(171-DeliverStart+1)*UnitsLeasedPerMo))</f>
        <v/>
      </c>
      <c r="FT9" s="85">
        <f>IF(172&lt;DeliverStart,0,MIN(StabLeasedTarget,FT$8,(172-DeliverStart+1)*UnitsLeasedPerMo))</f>
        <v/>
      </c>
      <c r="FU9" s="85">
        <f>IF(173&lt;DeliverStart,0,MIN(StabLeasedTarget,FU$8,(173-DeliverStart+1)*UnitsLeasedPerMo))</f>
        <v/>
      </c>
      <c r="FV9" s="85">
        <f>IF(174&lt;DeliverStart,0,MIN(StabLeasedTarget,FV$8,(174-DeliverStart+1)*UnitsLeasedPerMo))</f>
        <v/>
      </c>
      <c r="FW9" s="85">
        <f>IF(175&lt;DeliverStart,0,MIN(StabLeasedTarget,FW$8,(175-DeliverStart+1)*UnitsLeasedPerMo))</f>
        <v/>
      </c>
      <c r="FX9" s="85">
        <f>IF(176&lt;DeliverStart,0,MIN(StabLeasedTarget,FX$8,(176-DeliverStart+1)*UnitsLeasedPerMo))</f>
        <v/>
      </c>
      <c r="FY9" s="85">
        <f>IF(177&lt;DeliverStart,0,MIN(StabLeasedTarget,FY$8,(177-DeliverStart+1)*UnitsLeasedPerMo))</f>
        <v/>
      </c>
      <c r="FZ9" s="85">
        <f>IF(178&lt;DeliverStart,0,MIN(StabLeasedTarget,FZ$8,(178-DeliverStart+1)*UnitsLeasedPerMo))</f>
        <v/>
      </c>
      <c r="GA9" s="85">
        <f>IF(179&lt;DeliverStart,0,MIN(StabLeasedTarget,GA$8,(179-DeliverStart+1)*UnitsLeasedPerMo))</f>
        <v/>
      </c>
      <c r="GB9" s="85">
        <f>IF(180&lt;DeliverStart,0,MIN(StabLeasedTarget,GB$8,(180-DeliverStart+1)*UnitsLeasedPerMo))</f>
        <v/>
      </c>
      <c r="GC9" s="85">
        <f>IF(181&lt;DeliverStart,0,MIN(StabLeasedTarget,GC$8,(181-DeliverStart+1)*UnitsLeasedPerMo))</f>
        <v/>
      </c>
      <c r="GD9" s="85">
        <f>IF(182&lt;DeliverStart,0,MIN(StabLeasedTarget,GD$8,(182-DeliverStart+1)*UnitsLeasedPerMo))</f>
        <v/>
      </c>
      <c r="GE9" s="85">
        <f>IF(183&lt;DeliverStart,0,MIN(StabLeasedTarget,GE$8,(183-DeliverStart+1)*UnitsLeasedPerMo))</f>
        <v/>
      </c>
      <c r="GF9" s="85">
        <f>IF(184&lt;DeliverStart,0,MIN(StabLeasedTarget,GF$8,(184-DeliverStart+1)*UnitsLeasedPerMo))</f>
        <v/>
      </c>
      <c r="GG9" s="85">
        <f>IF(185&lt;DeliverStart,0,MIN(StabLeasedTarget,GG$8,(185-DeliverStart+1)*UnitsLeasedPerMo))</f>
        <v/>
      </c>
      <c r="GH9" s="85">
        <f>IF(186&lt;DeliverStart,0,MIN(StabLeasedTarget,GH$8,(186-DeliverStart+1)*UnitsLeasedPerMo))</f>
        <v/>
      </c>
      <c r="GI9" s="85">
        <f>IF(187&lt;DeliverStart,0,MIN(StabLeasedTarget,GI$8,(187-DeliverStart+1)*UnitsLeasedPerMo))</f>
        <v/>
      </c>
      <c r="GJ9" s="85">
        <f>IF(188&lt;DeliverStart,0,MIN(StabLeasedTarget,GJ$8,(188-DeliverStart+1)*UnitsLeasedPerMo))</f>
        <v/>
      </c>
      <c r="GK9" s="85">
        <f>IF(189&lt;DeliverStart,0,MIN(StabLeasedTarget,GK$8,(189-DeliverStart+1)*UnitsLeasedPerMo))</f>
        <v/>
      </c>
      <c r="GL9" s="85">
        <f>IF(190&lt;DeliverStart,0,MIN(StabLeasedTarget,GL$8,(190-DeliverStart+1)*UnitsLeasedPerMo))</f>
        <v/>
      </c>
      <c r="GM9" s="85">
        <f>IF(191&lt;DeliverStart,0,MIN(StabLeasedTarget,GM$8,(191-DeliverStart+1)*UnitsLeasedPerMo))</f>
        <v/>
      </c>
      <c r="GN9" s="85">
        <f>IF(192&lt;DeliverStart,0,MIN(StabLeasedTarget,GN$8,(192-DeliverStart+1)*UnitsLeasedPerMo))</f>
        <v/>
      </c>
      <c r="GO9" s="85">
        <f>IF(193&lt;DeliverStart,0,MIN(StabLeasedTarget,GO$8,(193-DeliverStart+1)*UnitsLeasedPerMo))</f>
        <v/>
      </c>
      <c r="GP9" s="85">
        <f>IF(194&lt;DeliverStart,0,MIN(StabLeasedTarget,GP$8,(194-DeliverStart+1)*UnitsLeasedPerMo))</f>
        <v/>
      </c>
      <c r="GQ9" s="85">
        <f>IF(195&lt;DeliverStart,0,MIN(StabLeasedTarget,GQ$8,(195-DeliverStart+1)*UnitsLeasedPerMo))</f>
        <v/>
      </c>
      <c r="GR9" s="85">
        <f>IF(196&lt;DeliverStart,0,MIN(StabLeasedTarget,GR$8,(196-DeliverStart+1)*UnitsLeasedPerMo))</f>
        <v/>
      </c>
      <c r="GS9" s="85">
        <f>IF(197&lt;DeliverStart,0,MIN(StabLeasedTarget,GS$8,(197-DeliverStart+1)*UnitsLeasedPerMo))</f>
        <v/>
      </c>
      <c r="GT9" s="85">
        <f>IF(198&lt;DeliverStart,0,MIN(StabLeasedTarget,GT$8,(198-DeliverStart+1)*UnitsLeasedPerMo))</f>
        <v/>
      </c>
      <c r="GU9" s="85">
        <f>IF(199&lt;DeliverStart,0,MIN(StabLeasedTarget,GU$8,(199-DeliverStart+1)*UnitsLeasedPerMo))</f>
        <v/>
      </c>
      <c r="GV9" s="85">
        <f>IF(200&lt;DeliverStart,0,MIN(StabLeasedTarget,GV$8,(200-DeliverStart+1)*UnitsLeasedPerMo))</f>
        <v/>
      </c>
      <c r="GW9" s="85">
        <f>IF(201&lt;DeliverStart,0,MIN(StabLeasedTarget,GW$8,(201-DeliverStart+1)*UnitsLeasedPerMo))</f>
        <v/>
      </c>
      <c r="GX9" s="85">
        <f>IF(202&lt;DeliverStart,0,MIN(StabLeasedTarget,GX$8,(202-DeliverStart+1)*UnitsLeasedPerMo))</f>
        <v/>
      </c>
      <c r="GY9" s="85">
        <f>IF(203&lt;DeliverStart,0,MIN(StabLeasedTarget,GY$8,(203-DeliverStart+1)*UnitsLeasedPerMo))</f>
        <v/>
      </c>
      <c r="GZ9" s="85">
        <f>IF(204&lt;DeliverStart,0,MIN(StabLeasedTarget,GZ$8,(204-DeliverStart+1)*UnitsLeasedPerMo))</f>
        <v/>
      </c>
      <c r="HA9" s="85">
        <f>IF(205&lt;DeliverStart,0,MIN(StabLeasedTarget,HA$8,(205-DeliverStart+1)*UnitsLeasedPerMo))</f>
        <v/>
      </c>
      <c r="HB9" s="85">
        <f>IF(206&lt;DeliverStart,0,MIN(StabLeasedTarget,HB$8,(206-DeliverStart+1)*UnitsLeasedPerMo))</f>
        <v/>
      </c>
      <c r="HC9" s="85">
        <f>IF(207&lt;DeliverStart,0,MIN(StabLeasedTarget,HC$8,(207-DeliverStart+1)*UnitsLeasedPerMo))</f>
        <v/>
      </c>
      <c r="HD9" s="85">
        <f>IF(208&lt;DeliverStart,0,MIN(StabLeasedTarget,HD$8,(208-DeliverStart+1)*UnitsLeasedPerMo))</f>
        <v/>
      </c>
      <c r="HE9" s="85">
        <f>IF(209&lt;DeliverStart,0,MIN(StabLeasedTarget,HE$8,(209-DeliverStart+1)*UnitsLeasedPerMo))</f>
        <v/>
      </c>
      <c r="HF9" s="85">
        <f>IF(210&lt;DeliverStart,0,MIN(StabLeasedTarget,HF$8,(210-DeliverStart+1)*UnitsLeasedPerMo))</f>
        <v/>
      </c>
      <c r="HG9" s="85">
        <f>IF(211&lt;DeliverStart,0,MIN(StabLeasedTarget,HG$8,(211-DeliverStart+1)*UnitsLeasedPerMo))</f>
        <v/>
      </c>
      <c r="HH9" s="85">
        <f>IF(212&lt;DeliverStart,0,MIN(StabLeasedTarget,HH$8,(212-DeliverStart+1)*UnitsLeasedPerMo))</f>
        <v/>
      </c>
      <c r="HI9" s="85">
        <f>IF(213&lt;DeliverStart,0,MIN(StabLeasedTarget,HI$8,(213-DeliverStart+1)*UnitsLeasedPerMo))</f>
        <v/>
      </c>
      <c r="HJ9" s="85">
        <f>IF(214&lt;DeliverStart,0,MIN(StabLeasedTarget,HJ$8,(214-DeliverStart+1)*UnitsLeasedPerMo))</f>
        <v/>
      </c>
      <c r="HK9" s="85">
        <f>IF(215&lt;DeliverStart,0,MIN(StabLeasedTarget,HK$8,(215-DeliverStart+1)*UnitsLeasedPerMo))</f>
        <v/>
      </c>
      <c r="HL9" s="85">
        <f>IF(216&lt;DeliverStart,0,MIN(StabLeasedTarget,HL$8,(216-DeliverStart+1)*UnitsLeasedPerMo))</f>
        <v/>
      </c>
      <c r="HM9" s="85">
        <f>IF(217&lt;DeliverStart,0,MIN(StabLeasedTarget,HM$8,(217-DeliverStart+1)*UnitsLeasedPerMo))</f>
        <v/>
      </c>
      <c r="HN9" s="85">
        <f>IF(218&lt;DeliverStart,0,MIN(StabLeasedTarget,HN$8,(218-DeliverStart+1)*UnitsLeasedPerMo))</f>
        <v/>
      </c>
      <c r="HO9" s="85">
        <f>IF(219&lt;DeliverStart,0,MIN(StabLeasedTarget,HO$8,(219-DeliverStart+1)*UnitsLeasedPerMo))</f>
        <v/>
      </c>
      <c r="HP9" s="85">
        <f>IF(220&lt;DeliverStart,0,MIN(StabLeasedTarget,HP$8,(220-DeliverStart+1)*UnitsLeasedPerMo))</f>
        <v/>
      </c>
      <c r="HQ9" s="85">
        <f>IF(221&lt;DeliverStart,0,MIN(StabLeasedTarget,HQ$8,(221-DeliverStart+1)*UnitsLeasedPerMo))</f>
        <v/>
      </c>
      <c r="HR9" s="85">
        <f>IF(222&lt;DeliverStart,0,MIN(StabLeasedTarget,HR$8,(222-DeliverStart+1)*UnitsLeasedPerMo))</f>
        <v/>
      </c>
      <c r="HS9" s="85">
        <f>IF(223&lt;DeliverStart,0,MIN(StabLeasedTarget,HS$8,(223-DeliverStart+1)*UnitsLeasedPerMo))</f>
        <v/>
      </c>
      <c r="HT9" s="85">
        <f>IF(224&lt;DeliverStart,0,MIN(StabLeasedTarget,HT$8,(224-DeliverStart+1)*UnitsLeasedPerMo))</f>
        <v/>
      </c>
      <c r="HU9" s="85">
        <f>IF(225&lt;DeliverStart,0,MIN(StabLeasedTarget,HU$8,(225-DeliverStart+1)*UnitsLeasedPerMo))</f>
        <v/>
      </c>
      <c r="HV9" s="85">
        <f>IF(226&lt;DeliverStart,0,MIN(StabLeasedTarget,HV$8,(226-DeliverStart+1)*UnitsLeasedPerMo))</f>
        <v/>
      </c>
      <c r="HW9" s="85">
        <f>IF(227&lt;DeliverStart,0,MIN(StabLeasedTarget,HW$8,(227-DeliverStart+1)*UnitsLeasedPerMo))</f>
        <v/>
      </c>
      <c r="HX9" s="85">
        <f>IF(228&lt;DeliverStart,0,MIN(StabLeasedTarget,HX$8,(228-DeliverStart+1)*UnitsLeasedPerMo))</f>
        <v/>
      </c>
      <c r="HY9" s="85">
        <f>IF(229&lt;DeliverStart,0,MIN(StabLeasedTarget,HY$8,(229-DeliverStart+1)*UnitsLeasedPerMo))</f>
        <v/>
      </c>
      <c r="HZ9" s="85">
        <f>IF(230&lt;DeliverStart,0,MIN(StabLeasedTarget,HZ$8,(230-DeliverStart+1)*UnitsLeasedPerMo))</f>
        <v/>
      </c>
      <c r="IA9" s="85">
        <f>IF(231&lt;DeliverStart,0,MIN(StabLeasedTarget,IA$8,(231-DeliverStart+1)*UnitsLeasedPerMo))</f>
        <v/>
      </c>
      <c r="IB9" s="85">
        <f>IF(232&lt;DeliverStart,0,MIN(StabLeasedTarget,IB$8,(232-DeliverStart+1)*UnitsLeasedPerMo))</f>
        <v/>
      </c>
      <c r="IC9" s="85">
        <f>IF(233&lt;DeliverStart,0,MIN(StabLeasedTarget,IC$8,(233-DeliverStart+1)*UnitsLeasedPerMo))</f>
        <v/>
      </c>
      <c r="ID9" s="85">
        <f>IF(234&lt;DeliverStart,0,MIN(StabLeasedTarget,ID$8,(234-DeliverStart+1)*UnitsLeasedPerMo))</f>
        <v/>
      </c>
      <c r="IE9" s="85">
        <f>IF(235&lt;DeliverStart,0,MIN(StabLeasedTarget,IE$8,(235-DeliverStart+1)*UnitsLeasedPerMo))</f>
        <v/>
      </c>
      <c r="IF9" s="85">
        <f>IF(236&lt;DeliverStart,0,MIN(StabLeasedTarget,IF$8,(236-DeliverStart+1)*UnitsLeasedPerMo))</f>
        <v/>
      </c>
      <c r="IG9" s="85">
        <f>IF(237&lt;DeliverStart,0,MIN(StabLeasedTarget,IG$8,(237-DeliverStart+1)*UnitsLeasedPerMo))</f>
        <v/>
      </c>
      <c r="IH9" s="85">
        <f>IF(238&lt;DeliverStart,0,MIN(StabLeasedTarget,IH$8,(238-DeliverStart+1)*UnitsLeasedPerMo))</f>
        <v/>
      </c>
      <c r="II9" s="85">
        <f>IF(239&lt;DeliverStart,0,MIN(StabLeasedTarget,II$8,(239-DeliverStart+1)*UnitsLeasedPerMo))</f>
        <v/>
      </c>
      <c r="IJ9" s="85">
        <f>IF(240&lt;DeliverStart,0,MIN(StabLeasedTarget,IJ$8,(240-DeliverStart+1)*UnitsLeasedPerMo))</f>
        <v/>
      </c>
      <c r="IK9" s="85">
        <f>IF(241&lt;DeliverStart,0,MIN(StabLeasedTarget,IK$8,(241-DeliverStart+1)*UnitsLeasedPerMo))</f>
        <v/>
      </c>
      <c r="IL9" s="85">
        <f>IF(242&lt;DeliverStart,0,MIN(StabLeasedTarget,IL$8,(242-DeliverStart+1)*UnitsLeasedPerMo))</f>
        <v/>
      </c>
      <c r="IM9" s="85">
        <f>IF(243&lt;DeliverStart,0,MIN(StabLeasedTarget,IM$8,(243-DeliverStart+1)*UnitsLeasedPerMo))</f>
        <v/>
      </c>
      <c r="IN9" s="85">
        <f>IF(244&lt;DeliverStart,0,MIN(StabLeasedTarget,IN$8,(244-DeliverStart+1)*UnitsLeasedPerMo))</f>
        <v/>
      </c>
      <c r="IO9" s="85">
        <f>IF(245&lt;DeliverStart,0,MIN(StabLeasedTarget,IO$8,(245-DeliverStart+1)*UnitsLeasedPerMo))</f>
        <v/>
      </c>
      <c r="IP9" s="85">
        <f>IF(246&lt;DeliverStart,0,MIN(StabLeasedTarget,IP$8,(246-DeliverStart+1)*UnitsLeasedPerMo))</f>
        <v/>
      </c>
      <c r="IQ9" s="85">
        <f>IF(247&lt;DeliverStart,0,MIN(StabLeasedTarget,IQ$8,(247-DeliverStart+1)*UnitsLeasedPerMo))</f>
        <v/>
      </c>
      <c r="IR9" s="85">
        <f>IF(248&lt;DeliverStart,0,MIN(StabLeasedTarget,IR$8,(248-DeliverStart+1)*UnitsLeasedPerMo))</f>
        <v/>
      </c>
      <c r="IS9" s="85">
        <f>IF(249&lt;DeliverStart,0,MIN(StabLeasedTarget,IS$8,(249-DeliverStart+1)*UnitsLeasedPerMo))</f>
        <v/>
      </c>
      <c r="IT9" s="85">
        <f>IF(250&lt;DeliverStart,0,MIN(StabLeasedTarget,IT$8,(250-DeliverStart+1)*UnitsLeasedPerMo))</f>
        <v/>
      </c>
      <c r="IU9" s="85">
        <f>IF(251&lt;DeliverStart,0,MIN(StabLeasedTarget,IU$8,(251-DeliverStart+1)*UnitsLeasedPerMo))</f>
        <v/>
      </c>
      <c r="IV9" s="85">
        <f>IF(252&lt;DeliverStart,0,MIN(StabLeasedTarget,IV$8,(252-DeliverStart+1)*UnitsLeasedPerMo))</f>
        <v/>
      </c>
      <c r="IW9" s="85">
        <f>IF(253&lt;DeliverStart,0,MIN(StabLeasedTarget,IW$8,(253-DeliverStart+1)*UnitsLeasedPerMo))</f>
        <v/>
      </c>
      <c r="IX9" s="85">
        <f>IF(254&lt;DeliverStart,0,MIN(StabLeasedTarget,IX$8,(254-DeliverStart+1)*UnitsLeasedPerMo))</f>
        <v/>
      </c>
      <c r="IY9" s="85">
        <f>IF(255&lt;DeliverStart,0,MIN(StabLeasedTarget,IY$8,(255-DeliverStart+1)*UnitsLeasedPerMo))</f>
        <v/>
      </c>
      <c r="IZ9" s="85">
        <f>IF(256&lt;DeliverStart,0,MIN(StabLeasedTarget,IZ$8,(256-DeliverStart+1)*UnitsLeasedPerMo))</f>
        <v/>
      </c>
      <c r="JA9" s="85">
        <f>IF(257&lt;DeliverStart,0,MIN(StabLeasedTarget,JA$8,(257-DeliverStart+1)*UnitsLeasedPerMo))</f>
        <v/>
      </c>
      <c r="JB9" s="85">
        <f>IF(258&lt;DeliverStart,0,MIN(StabLeasedTarget,JB$8,(258-DeliverStart+1)*UnitsLeasedPerMo))</f>
        <v/>
      </c>
      <c r="JC9" s="85">
        <f>IF(259&lt;DeliverStart,0,MIN(StabLeasedTarget,JC$8,(259-DeliverStart+1)*UnitsLeasedPerMo))</f>
        <v/>
      </c>
      <c r="JD9" s="85">
        <f>IF(260&lt;DeliverStart,0,MIN(StabLeasedTarget,JD$8,(260-DeliverStart+1)*UnitsLeasedPerMo))</f>
        <v/>
      </c>
      <c r="JE9" s="85">
        <f>IF(261&lt;DeliverStart,0,MIN(StabLeasedTarget,JE$8,(261-DeliverStart+1)*UnitsLeasedPerMo))</f>
        <v/>
      </c>
      <c r="JF9" s="85">
        <f>IF(262&lt;DeliverStart,0,MIN(StabLeasedTarget,JF$8,(262-DeliverStart+1)*UnitsLeasedPerMo))</f>
        <v/>
      </c>
      <c r="JG9" s="85">
        <f>IF(263&lt;DeliverStart,0,MIN(StabLeasedTarget,JG$8,(263-DeliverStart+1)*UnitsLeasedPerMo))</f>
        <v/>
      </c>
      <c r="JH9" s="85">
        <f>IF(264&lt;DeliverStart,0,MIN(StabLeasedTarget,JH$8,(264-DeliverStart+1)*UnitsLeasedPerMo))</f>
        <v/>
      </c>
      <c r="JI9" s="85">
        <f>IF(265&lt;DeliverStart,0,MIN(StabLeasedTarget,JI$8,(265-DeliverStart+1)*UnitsLeasedPerMo))</f>
        <v/>
      </c>
      <c r="JJ9" s="85">
        <f>IF(266&lt;DeliverStart,0,MIN(StabLeasedTarget,JJ$8,(266-DeliverStart+1)*UnitsLeasedPerMo))</f>
        <v/>
      </c>
      <c r="JK9" s="85">
        <f>IF(267&lt;DeliverStart,0,MIN(StabLeasedTarget,JK$8,(267-DeliverStart+1)*UnitsLeasedPerMo))</f>
        <v/>
      </c>
      <c r="JL9" s="85">
        <f>IF(268&lt;DeliverStart,0,MIN(StabLeasedTarget,JL$8,(268-DeliverStart+1)*UnitsLeasedPerMo))</f>
        <v/>
      </c>
      <c r="JM9" s="85">
        <f>IF(269&lt;DeliverStart,0,MIN(StabLeasedTarget,JM$8,(269-DeliverStart+1)*UnitsLeasedPerMo))</f>
        <v/>
      </c>
      <c r="JN9" s="85">
        <f>IF(270&lt;DeliverStart,0,MIN(StabLeasedTarget,JN$8,(270-DeliverStart+1)*UnitsLeasedPerMo))</f>
        <v/>
      </c>
      <c r="JO9" s="85">
        <f>IF(271&lt;DeliverStart,0,MIN(StabLeasedTarget,JO$8,(271-DeliverStart+1)*UnitsLeasedPerMo))</f>
        <v/>
      </c>
      <c r="JP9" s="85">
        <f>IF(272&lt;DeliverStart,0,MIN(StabLeasedTarget,JP$8,(272-DeliverStart+1)*UnitsLeasedPerMo))</f>
        <v/>
      </c>
      <c r="JQ9" s="85">
        <f>IF(273&lt;DeliverStart,0,MIN(StabLeasedTarget,JQ$8,(273-DeliverStart+1)*UnitsLeasedPerMo))</f>
        <v/>
      </c>
      <c r="JR9" s="85">
        <f>IF(274&lt;DeliverStart,0,MIN(StabLeasedTarget,JR$8,(274-DeliverStart+1)*UnitsLeasedPerMo))</f>
        <v/>
      </c>
      <c r="JS9" s="85">
        <f>IF(275&lt;DeliverStart,0,MIN(StabLeasedTarget,JS$8,(275-DeliverStart+1)*UnitsLeasedPerMo))</f>
        <v/>
      </c>
      <c r="JT9" s="85">
        <f>IF(276&lt;DeliverStart,0,MIN(StabLeasedTarget,JT$8,(276-DeliverStart+1)*UnitsLeasedPerMo))</f>
        <v/>
      </c>
      <c r="JU9" s="85">
        <f>IF(277&lt;DeliverStart,0,MIN(StabLeasedTarget,JU$8,(277-DeliverStart+1)*UnitsLeasedPerMo))</f>
        <v/>
      </c>
      <c r="JV9" s="85">
        <f>IF(278&lt;DeliverStart,0,MIN(StabLeasedTarget,JV$8,(278-DeliverStart+1)*UnitsLeasedPerMo))</f>
        <v/>
      </c>
      <c r="JW9" s="85">
        <f>IF(279&lt;DeliverStart,0,MIN(StabLeasedTarget,JW$8,(279-DeliverStart+1)*UnitsLeasedPerMo))</f>
        <v/>
      </c>
      <c r="JX9" s="85">
        <f>IF(280&lt;DeliverStart,0,MIN(StabLeasedTarget,JX$8,(280-DeliverStart+1)*UnitsLeasedPerMo))</f>
        <v/>
      </c>
      <c r="JY9" s="85">
        <f>IF(281&lt;DeliverStart,0,MIN(StabLeasedTarget,JY$8,(281-DeliverStart+1)*UnitsLeasedPerMo))</f>
        <v/>
      </c>
      <c r="JZ9" s="85">
        <f>IF(282&lt;DeliverStart,0,MIN(StabLeasedTarget,JZ$8,(282-DeliverStart+1)*UnitsLeasedPerMo))</f>
        <v/>
      </c>
      <c r="KA9" s="85">
        <f>IF(283&lt;DeliverStart,0,MIN(StabLeasedTarget,KA$8,(283-DeliverStart+1)*UnitsLeasedPerMo))</f>
        <v/>
      </c>
      <c r="KB9" s="85">
        <f>IF(284&lt;DeliverStart,0,MIN(StabLeasedTarget,KB$8,(284-DeliverStart+1)*UnitsLeasedPerMo))</f>
        <v/>
      </c>
      <c r="KC9" s="85">
        <f>IF(285&lt;DeliverStart,0,MIN(StabLeasedTarget,KC$8,(285-DeliverStart+1)*UnitsLeasedPerMo))</f>
        <v/>
      </c>
      <c r="KD9" s="85">
        <f>IF(286&lt;DeliverStart,0,MIN(StabLeasedTarget,KD$8,(286-DeliverStart+1)*UnitsLeasedPerMo))</f>
        <v/>
      </c>
      <c r="KE9" s="85">
        <f>IF(287&lt;DeliverStart,0,MIN(StabLeasedTarget,KE$8,(287-DeliverStart+1)*UnitsLeasedPerMo))</f>
        <v/>
      </c>
      <c r="KF9" s="85">
        <f>IF(288&lt;DeliverStart,0,MIN(StabLeasedTarget,KF$8,(288-DeliverStart+1)*UnitsLeasedPerMo))</f>
        <v/>
      </c>
      <c r="KG9" s="85">
        <f>IF(289&lt;DeliverStart,0,MIN(StabLeasedTarget,KG$8,(289-DeliverStart+1)*UnitsLeasedPerMo))</f>
        <v/>
      </c>
      <c r="KH9" s="85">
        <f>IF(290&lt;DeliverStart,0,MIN(StabLeasedTarget,KH$8,(290-DeliverStart+1)*UnitsLeasedPerMo))</f>
        <v/>
      </c>
      <c r="KI9" s="85">
        <f>IF(291&lt;DeliverStart,0,MIN(StabLeasedTarget,KI$8,(291-DeliverStart+1)*UnitsLeasedPerMo))</f>
        <v/>
      </c>
      <c r="KJ9" s="85">
        <f>IF(292&lt;DeliverStart,0,MIN(StabLeasedTarget,KJ$8,(292-DeliverStart+1)*UnitsLeasedPerMo))</f>
        <v/>
      </c>
      <c r="KK9" s="85">
        <f>IF(293&lt;DeliverStart,0,MIN(StabLeasedTarget,KK$8,(293-DeliverStart+1)*UnitsLeasedPerMo))</f>
        <v/>
      </c>
      <c r="KL9" s="85">
        <f>IF(294&lt;DeliverStart,0,MIN(StabLeasedTarget,KL$8,(294-DeliverStart+1)*UnitsLeasedPerMo))</f>
        <v/>
      </c>
      <c r="KM9" s="85">
        <f>IF(295&lt;DeliverStart,0,MIN(StabLeasedTarget,KM$8,(295-DeliverStart+1)*UnitsLeasedPerMo))</f>
        <v/>
      </c>
      <c r="KN9" s="85">
        <f>IF(296&lt;DeliverStart,0,MIN(StabLeasedTarget,KN$8,(296-DeliverStart+1)*UnitsLeasedPerMo))</f>
        <v/>
      </c>
      <c r="KO9" s="85">
        <f>IF(297&lt;DeliverStart,0,MIN(StabLeasedTarget,KO$8,(297-DeliverStart+1)*UnitsLeasedPerMo))</f>
        <v/>
      </c>
      <c r="KP9" s="85">
        <f>IF(298&lt;DeliverStart,0,MIN(StabLeasedTarget,KP$8,(298-DeliverStart+1)*UnitsLeasedPerMo))</f>
        <v/>
      </c>
      <c r="KQ9" s="85">
        <f>IF(299&lt;DeliverStart,0,MIN(StabLeasedTarget,KQ$8,(299-DeliverStart+1)*UnitsLeasedPerMo))</f>
        <v/>
      </c>
      <c r="KR9" s="85">
        <f>IF(300&lt;DeliverStart,0,MIN(StabLeasedTarget,KR$8,(300-DeliverStart+1)*UnitsLeasedPerMo))</f>
        <v/>
      </c>
      <c r="KS9" s="85">
        <f>IF(301&lt;DeliverStart,0,MIN(StabLeasedTarget,KS$8,(301-DeliverStart+1)*UnitsLeasedPerMo))</f>
        <v/>
      </c>
      <c r="KT9" s="85">
        <f>IF(302&lt;DeliverStart,0,MIN(StabLeasedTarget,KT$8,(302-DeliverStart+1)*UnitsLeasedPerMo))</f>
        <v/>
      </c>
      <c r="KU9" s="85">
        <f>IF(303&lt;DeliverStart,0,MIN(StabLeasedTarget,KU$8,(303-DeliverStart+1)*UnitsLeasedPerMo))</f>
        <v/>
      </c>
      <c r="KV9" s="85">
        <f>IF(304&lt;DeliverStart,0,MIN(StabLeasedTarget,KV$8,(304-DeliverStart+1)*UnitsLeasedPerMo))</f>
        <v/>
      </c>
      <c r="KW9" s="85">
        <f>IF(305&lt;DeliverStart,0,MIN(StabLeasedTarget,KW$8,(305-DeliverStart+1)*UnitsLeasedPerMo))</f>
        <v/>
      </c>
      <c r="KX9" s="85">
        <f>IF(306&lt;DeliverStart,0,MIN(StabLeasedTarget,KX$8,(306-DeliverStart+1)*UnitsLeasedPerMo))</f>
        <v/>
      </c>
      <c r="KY9" s="85">
        <f>IF(307&lt;DeliverStart,0,MIN(StabLeasedTarget,KY$8,(307-DeliverStart+1)*UnitsLeasedPerMo))</f>
        <v/>
      </c>
      <c r="KZ9" s="85">
        <f>IF(308&lt;DeliverStart,0,MIN(StabLeasedTarget,KZ$8,(308-DeliverStart+1)*UnitsLeasedPerMo))</f>
        <v/>
      </c>
      <c r="LA9" s="85">
        <f>IF(309&lt;DeliverStart,0,MIN(StabLeasedTarget,LA$8,(309-DeliverStart+1)*UnitsLeasedPerMo))</f>
        <v/>
      </c>
      <c r="LB9" s="85">
        <f>IF(310&lt;DeliverStart,0,MIN(StabLeasedTarget,LB$8,(310-DeliverStart+1)*UnitsLeasedPerMo))</f>
        <v/>
      </c>
      <c r="LC9" s="85">
        <f>IF(311&lt;DeliverStart,0,MIN(StabLeasedTarget,LC$8,(311-DeliverStart+1)*UnitsLeasedPerMo))</f>
        <v/>
      </c>
      <c r="LD9" s="85">
        <f>IF(312&lt;DeliverStart,0,MIN(StabLeasedTarget,LD$8,(312-DeliverStart+1)*UnitsLeasedPerMo))</f>
        <v/>
      </c>
      <c r="LE9" s="85">
        <f>IF(313&lt;DeliverStart,0,MIN(StabLeasedTarget,LE$8,(313-DeliverStart+1)*UnitsLeasedPerMo))</f>
        <v/>
      </c>
      <c r="LF9" s="85">
        <f>IF(314&lt;DeliverStart,0,MIN(StabLeasedTarget,LF$8,(314-DeliverStart+1)*UnitsLeasedPerMo))</f>
        <v/>
      </c>
      <c r="LG9" s="85">
        <f>IF(315&lt;DeliverStart,0,MIN(StabLeasedTarget,LG$8,(315-DeliverStart+1)*UnitsLeasedPerMo))</f>
        <v/>
      </c>
      <c r="LH9" s="85">
        <f>IF(316&lt;DeliverStart,0,MIN(StabLeasedTarget,LH$8,(316-DeliverStart+1)*UnitsLeasedPerMo))</f>
        <v/>
      </c>
      <c r="LI9" s="85">
        <f>IF(317&lt;DeliverStart,0,MIN(StabLeasedTarget,LI$8,(317-DeliverStart+1)*UnitsLeasedPerMo))</f>
        <v/>
      </c>
      <c r="LJ9" s="85">
        <f>IF(318&lt;DeliverStart,0,MIN(StabLeasedTarget,LJ$8,(318-DeliverStart+1)*UnitsLeasedPerMo))</f>
        <v/>
      </c>
      <c r="LK9" s="85">
        <f>IF(319&lt;DeliverStart,0,MIN(StabLeasedTarget,LK$8,(319-DeliverStart+1)*UnitsLeasedPerMo))</f>
        <v/>
      </c>
      <c r="LL9" s="85">
        <f>IF(320&lt;DeliverStart,0,MIN(StabLeasedTarget,LL$8,(320-DeliverStart+1)*UnitsLeasedPerMo))</f>
        <v/>
      </c>
      <c r="LM9" s="85">
        <f>IF(321&lt;DeliverStart,0,MIN(StabLeasedTarget,LM$8,(321-DeliverStart+1)*UnitsLeasedPerMo))</f>
        <v/>
      </c>
      <c r="LN9" s="85">
        <f>IF(322&lt;DeliverStart,0,MIN(StabLeasedTarget,LN$8,(322-DeliverStart+1)*UnitsLeasedPerMo))</f>
        <v/>
      </c>
      <c r="LO9" s="85">
        <f>IF(323&lt;DeliverStart,0,MIN(StabLeasedTarget,LO$8,(323-DeliverStart+1)*UnitsLeasedPerMo))</f>
        <v/>
      </c>
      <c r="LP9" s="85">
        <f>IF(324&lt;DeliverStart,0,MIN(StabLeasedTarget,LP$8,(324-DeliverStart+1)*UnitsLeasedPerMo))</f>
        <v/>
      </c>
      <c r="LQ9" s="85">
        <f>IF(325&lt;DeliverStart,0,MIN(StabLeasedTarget,LQ$8,(325-DeliverStart+1)*UnitsLeasedPerMo))</f>
        <v/>
      </c>
      <c r="LR9" s="85">
        <f>IF(326&lt;DeliverStart,0,MIN(StabLeasedTarget,LR$8,(326-DeliverStart+1)*UnitsLeasedPerMo))</f>
        <v/>
      </c>
      <c r="LS9" s="85">
        <f>IF(327&lt;DeliverStart,0,MIN(StabLeasedTarget,LS$8,(327-DeliverStart+1)*UnitsLeasedPerMo))</f>
        <v/>
      </c>
      <c r="LT9" s="85">
        <f>IF(328&lt;DeliverStart,0,MIN(StabLeasedTarget,LT$8,(328-DeliverStart+1)*UnitsLeasedPerMo))</f>
        <v/>
      </c>
      <c r="LU9" s="85">
        <f>IF(329&lt;DeliverStart,0,MIN(StabLeasedTarget,LU$8,(329-DeliverStart+1)*UnitsLeasedPerMo))</f>
        <v/>
      </c>
      <c r="LV9" s="85">
        <f>IF(330&lt;DeliverStart,0,MIN(StabLeasedTarget,LV$8,(330-DeliverStart+1)*UnitsLeasedPerMo))</f>
        <v/>
      </c>
      <c r="LW9" s="85">
        <f>IF(331&lt;DeliverStart,0,MIN(StabLeasedTarget,LW$8,(331-DeliverStart+1)*UnitsLeasedPerMo))</f>
        <v/>
      </c>
      <c r="LX9" s="85">
        <f>IF(332&lt;DeliverStart,0,MIN(StabLeasedTarget,LX$8,(332-DeliverStart+1)*UnitsLeasedPerMo))</f>
        <v/>
      </c>
      <c r="LY9" s="85">
        <f>IF(333&lt;DeliverStart,0,MIN(StabLeasedTarget,LY$8,(333-DeliverStart+1)*UnitsLeasedPerMo))</f>
        <v/>
      </c>
      <c r="LZ9" s="85">
        <f>IF(334&lt;DeliverStart,0,MIN(StabLeasedTarget,LZ$8,(334-DeliverStart+1)*UnitsLeasedPerMo))</f>
        <v/>
      </c>
      <c r="MA9" s="85">
        <f>IF(335&lt;DeliverStart,0,MIN(StabLeasedTarget,MA$8,(335-DeliverStart+1)*UnitsLeasedPerMo))</f>
        <v/>
      </c>
      <c r="MB9" s="85">
        <f>IF(336&lt;DeliverStart,0,MIN(StabLeasedTarget,MB$8,(336-DeliverStart+1)*UnitsLeasedPerMo))</f>
        <v/>
      </c>
      <c r="MC9" s="85">
        <f>IF(337&lt;DeliverStart,0,MIN(StabLeasedTarget,MC$8,(337-DeliverStart+1)*UnitsLeasedPerMo))</f>
        <v/>
      </c>
      <c r="MD9" s="85">
        <f>IF(338&lt;DeliverStart,0,MIN(StabLeasedTarget,MD$8,(338-DeliverStart+1)*UnitsLeasedPerMo))</f>
        <v/>
      </c>
      <c r="ME9" s="85">
        <f>IF(339&lt;DeliverStart,0,MIN(StabLeasedTarget,ME$8,(339-DeliverStart+1)*UnitsLeasedPerMo))</f>
        <v/>
      </c>
      <c r="MF9" s="85">
        <f>IF(340&lt;DeliverStart,0,MIN(StabLeasedTarget,MF$8,(340-DeliverStart+1)*UnitsLeasedPerMo))</f>
        <v/>
      </c>
      <c r="MG9" s="85">
        <f>IF(341&lt;DeliverStart,0,MIN(StabLeasedTarget,MG$8,(341-DeliverStart+1)*UnitsLeasedPerMo))</f>
        <v/>
      </c>
      <c r="MH9" s="85">
        <f>IF(342&lt;DeliverStart,0,MIN(StabLeasedTarget,MH$8,(342-DeliverStart+1)*UnitsLeasedPerMo))</f>
        <v/>
      </c>
      <c r="MI9" s="85">
        <f>IF(343&lt;DeliverStart,0,MIN(StabLeasedTarget,MI$8,(343-DeliverStart+1)*UnitsLeasedPerMo))</f>
        <v/>
      </c>
      <c r="MJ9" s="85">
        <f>IF(344&lt;DeliverStart,0,MIN(StabLeasedTarget,MJ$8,(344-DeliverStart+1)*UnitsLeasedPerMo))</f>
        <v/>
      </c>
      <c r="MK9" s="85">
        <f>IF(345&lt;DeliverStart,0,MIN(StabLeasedTarget,MK$8,(345-DeliverStart+1)*UnitsLeasedPerMo))</f>
        <v/>
      </c>
      <c r="ML9" s="85">
        <f>IF(346&lt;DeliverStart,0,MIN(StabLeasedTarget,ML$8,(346-DeliverStart+1)*UnitsLeasedPerMo))</f>
        <v/>
      </c>
      <c r="MM9" s="85">
        <f>IF(347&lt;DeliverStart,0,MIN(StabLeasedTarget,MM$8,(347-DeliverStart+1)*UnitsLeasedPerMo))</f>
        <v/>
      </c>
      <c r="MN9" s="85">
        <f>IF(348&lt;DeliverStart,0,MIN(StabLeasedTarget,MN$8,(348-DeliverStart+1)*UnitsLeasedPerMo))</f>
        <v/>
      </c>
      <c r="MO9" s="85">
        <f>IF(349&lt;DeliverStart,0,MIN(StabLeasedTarget,MO$8,(349-DeliverStart+1)*UnitsLeasedPerMo))</f>
        <v/>
      </c>
      <c r="MP9" s="85">
        <f>IF(350&lt;DeliverStart,0,MIN(StabLeasedTarget,MP$8,(350-DeliverStart+1)*UnitsLeasedPerMo))</f>
        <v/>
      </c>
      <c r="MQ9" s="85">
        <f>IF(351&lt;DeliverStart,0,MIN(StabLeasedTarget,MQ$8,(351-DeliverStart+1)*UnitsLeasedPerMo))</f>
        <v/>
      </c>
      <c r="MR9" s="85">
        <f>IF(352&lt;DeliverStart,0,MIN(StabLeasedTarget,MR$8,(352-DeliverStart+1)*UnitsLeasedPerMo))</f>
        <v/>
      </c>
      <c r="MS9" s="85">
        <f>IF(353&lt;DeliverStart,0,MIN(StabLeasedTarget,MS$8,(353-DeliverStart+1)*UnitsLeasedPerMo))</f>
        <v/>
      </c>
      <c r="MT9" s="85">
        <f>IF(354&lt;DeliverStart,0,MIN(StabLeasedTarget,MT$8,(354-DeliverStart+1)*UnitsLeasedPerMo))</f>
        <v/>
      </c>
      <c r="MU9" s="85">
        <f>IF(355&lt;DeliverStart,0,MIN(StabLeasedTarget,MU$8,(355-DeliverStart+1)*UnitsLeasedPerMo))</f>
        <v/>
      </c>
      <c r="MV9" s="85">
        <f>IF(356&lt;DeliverStart,0,MIN(StabLeasedTarget,MV$8,(356-DeliverStart+1)*UnitsLeasedPerMo))</f>
        <v/>
      </c>
      <c r="MW9" s="85">
        <f>IF(357&lt;DeliverStart,0,MIN(StabLeasedTarget,MW$8,(357-DeliverStart+1)*UnitsLeasedPerMo))</f>
        <v/>
      </c>
      <c r="MX9" s="85">
        <f>IF(358&lt;DeliverStart,0,MIN(StabLeasedTarget,MX$8,(358-DeliverStart+1)*UnitsLeasedPerMo))</f>
        <v/>
      </c>
      <c r="MY9" s="85">
        <f>IF(359&lt;DeliverStart,0,MIN(StabLeasedTarget,MY$8,(359-DeliverStart+1)*UnitsLeasedPerMo))</f>
        <v/>
      </c>
      <c r="MZ9" s="85">
        <f>IF(360&lt;DeliverStart,0,MIN(StabLeasedTarget,MZ$8,(360-DeliverStart+1)*UnitsLeasedPerMo))</f>
        <v/>
      </c>
      <c r="NA9" s="85">
        <f>IF(361&lt;DeliverStart,0,MIN(StabLeasedTarget,NA$8,(361-DeliverStart+1)*UnitsLeasedPerMo))</f>
        <v/>
      </c>
      <c r="NB9" s="85">
        <f>IF(362&lt;DeliverStart,0,MIN(StabLeasedTarget,NB$8,(362-DeliverStart+1)*UnitsLeasedPerMo))</f>
        <v/>
      </c>
      <c r="NC9" s="85">
        <f>IF(363&lt;DeliverStart,0,MIN(StabLeasedTarget,NC$8,(363-DeliverStart+1)*UnitsLeasedPerMo))</f>
        <v/>
      </c>
      <c r="ND9" s="85">
        <f>IF(364&lt;DeliverStart,0,MIN(StabLeasedTarget,ND$8,(364-DeliverStart+1)*UnitsLeasedPerMo))</f>
        <v/>
      </c>
      <c r="NE9" s="85">
        <f>IF(365&lt;DeliverStart,0,MIN(StabLeasedTarget,NE$8,(365-DeliverStart+1)*UnitsLeasedPerMo))</f>
        <v/>
      </c>
      <c r="NF9" s="85">
        <f>IF(366&lt;DeliverStart,0,MIN(StabLeasedTarget,NF$8,(366-DeliverStart+1)*UnitsLeasedPerMo))</f>
        <v/>
      </c>
      <c r="NG9" s="85">
        <f>IF(367&lt;DeliverStart,0,MIN(StabLeasedTarget,NG$8,(367-DeliverStart+1)*UnitsLeasedPerMo))</f>
        <v/>
      </c>
      <c r="NH9" s="85">
        <f>IF(368&lt;DeliverStart,0,MIN(StabLeasedTarget,NH$8,(368-DeliverStart+1)*UnitsLeasedPerMo))</f>
        <v/>
      </c>
      <c r="NI9" s="85">
        <f>IF(369&lt;DeliverStart,0,MIN(StabLeasedTarget,NI$8,(369-DeliverStart+1)*UnitsLeasedPerMo))</f>
        <v/>
      </c>
      <c r="NJ9" s="85">
        <f>IF(370&lt;DeliverStart,0,MIN(StabLeasedTarget,NJ$8,(370-DeliverStart+1)*UnitsLeasedPerMo))</f>
        <v/>
      </c>
      <c r="NK9" s="85">
        <f>IF(371&lt;DeliverStart,0,MIN(StabLeasedTarget,NK$8,(371-DeliverStart+1)*UnitsLeasedPerMo))</f>
        <v/>
      </c>
      <c r="NL9" s="85">
        <f>IF(372&lt;DeliverStart,0,MIN(StabLeasedTarget,NL$8,(372-DeliverStart+1)*UnitsLeasedPerMo))</f>
        <v/>
      </c>
    </row>
    <row r="10">
      <c r="B10" s="40" t="inlineStr">
        <is>
          <t>Physical Occupancy</t>
        </is>
      </c>
      <c r="C10" s="79" t="n"/>
      <c r="D10" s="264" t="n"/>
      <c r="E10" s="265">
        <f>IF(TotalUnits=0,0,E$9/TotalUnits)</f>
        <v/>
      </c>
      <c r="F10" s="265">
        <f>IF(TotalUnits=0,0,F$9/TotalUnits)</f>
        <v/>
      </c>
      <c r="G10" s="265">
        <f>IF(TotalUnits=0,0,G$9/TotalUnits)</f>
        <v/>
      </c>
      <c r="H10" s="265">
        <f>IF(TotalUnits=0,0,H$9/TotalUnits)</f>
        <v/>
      </c>
      <c r="I10" s="265">
        <f>IF(TotalUnits=0,0,I$9/TotalUnits)</f>
        <v/>
      </c>
      <c r="J10" s="265">
        <f>IF(TotalUnits=0,0,J$9/TotalUnits)</f>
        <v/>
      </c>
      <c r="K10" s="265">
        <f>IF(TotalUnits=0,0,K$9/TotalUnits)</f>
        <v/>
      </c>
      <c r="L10" s="265">
        <f>IF(TotalUnits=0,0,L$9/TotalUnits)</f>
        <v/>
      </c>
      <c r="M10" s="265">
        <f>IF(TotalUnits=0,0,M$9/TotalUnits)</f>
        <v/>
      </c>
      <c r="N10" s="265">
        <f>IF(TotalUnits=0,0,N$9/TotalUnits)</f>
        <v/>
      </c>
      <c r="O10" s="265">
        <f>IF(TotalUnits=0,0,O$9/TotalUnits)</f>
        <v/>
      </c>
      <c r="P10" s="265">
        <f>IF(TotalUnits=0,0,P$9/TotalUnits)</f>
        <v/>
      </c>
      <c r="Q10" s="265">
        <f>IF(TotalUnits=0,0,Q$9/TotalUnits)</f>
        <v/>
      </c>
      <c r="R10" s="265">
        <f>IF(TotalUnits=0,0,R$9/TotalUnits)</f>
        <v/>
      </c>
      <c r="S10" s="265">
        <f>IF(TotalUnits=0,0,S$9/TotalUnits)</f>
        <v/>
      </c>
      <c r="T10" s="265">
        <f>IF(TotalUnits=0,0,T$9/TotalUnits)</f>
        <v/>
      </c>
      <c r="U10" s="265">
        <f>IF(TotalUnits=0,0,U$9/TotalUnits)</f>
        <v/>
      </c>
      <c r="V10" s="265">
        <f>IF(TotalUnits=0,0,V$9/TotalUnits)</f>
        <v/>
      </c>
      <c r="W10" s="265">
        <f>IF(TotalUnits=0,0,W$9/TotalUnits)</f>
        <v/>
      </c>
      <c r="X10" s="265">
        <f>IF(TotalUnits=0,0,X$9/TotalUnits)</f>
        <v/>
      </c>
      <c r="Y10" s="265">
        <f>IF(TotalUnits=0,0,Y$9/TotalUnits)</f>
        <v/>
      </c>
      <c r="Z10" s="265">
        <f>IF(TotalUnits=0,0,Z$9/TotalUnits)</f>
        <v/>
      </c>
      <c r="AA10" s="265">
        <f>IF(TotalUnits=0,0,AA$9/TotalUnits)</f>
        <v/>
      </c>
      <c r="AB10" s="265">
        <f>IF(TotalUnits=0,0,AB$9/TotalUnits)</f>
        <v/>
      </c>
      <c r="AC10" s="265">
        <f>IF(TotalUnits=0,0,AC$9/TotalUnits)</f>
        <v/>
      </c>
      <c r="AD10" s="265">
        <f>IF(TotalUnits=0,0,AD$9/TotalUnits)</f>
        <v/>
      </c>
      <c r="AE10" s="265">
        <f>IF(TotalUnits=0,0,AE$9/TotalUnits)</f>
        <v/>
      </c>
      <c r="AF10" s="265">
        <f>IF(TotalUnits=0,0,AF$9/TotalUnits)</f>
        <v/>
      </c>
      <c r="AG10" s="265">
        <f>IF(TotalUnits=0,0,AG$9/TotalUnits)</f>
        <v/>
      </c>
      <c r="AH10" s="265">
        <f>IF(TotalUnits=0,0,AH$9/TotalUnits)</f>
        <v/>
      </c>
      <c r="AI10" s="265">
        <f>IF(TotalUnits=0,0,AI$9/TotalUnits)</f>
        <v/>
      </c>
      <c r="AJ10" s="265">
        <f>IF(TotalUnits=0,0,AJ$9/TotalUnits)</f>
        <v/>
      </c>
      <c r="AK10" s="265">
        <f>IF(TotalUnits=0,0,AK$9/TotalUnits)</f>
        <v/>
      </c>
      <c r="AL10" s="265">
        <f>IF(TotalUnits=0,0,AL$9/TotalUnits)</f>
        <v/>
      </c>
      <c r="AM10" s="265">
        <f>IF(TotalUnits=0,0,AM$9/TotalUnits)</f>
        <v/>
      </c>
      <c r="AN10" s="265">
        <f>IF(TotalUnits=0,0,AN$9/TotalUnits)</f>
        <v/>
      </c>
      <c r="AO10" s="265">
        <f>IF(TotalUnits=0,0,AO$9/TotalUnits)</f>
        <v/>
      </c>
      <c r="AP10" s="265">
        <f>IF(TotalUnits=0,0,AP$9/TotalUnits)</f>
        <v/>
      </c>
      <c r="AQ10" s="265">
        <f>IF(TotalUnits=0,0,AQ$9/TotalUnits)</f>
        <v/>
      </c>
      <c r="AR10" s="265">
        <f>IF(TotalUnits=0,0,AR$9/TotalUnits)</f>
        <v/>
      </c>
      <c r="AS10" s="265">
        <f>IF(TotalUnits=0,0,AS$9/TotalUnits)</f>
        <v/>
      </c>
      <c r="AT10" s="265">
        <f>IF(TotalUnits=0,0,AT$9/TotalUnits)</f>
        <v/>
      </c>
      <c r="AU10" s="265">
        <f>IF(TotalUnits=0,0,AU$9/TotalUnits)</f>
        <v/>
      </c>
      <c r="AV10" s="265">
        <f>IF(TotalUnits=0,0,AV$9/TotalUnits)</f>
        <v/>
      </c>
      <c r="AW10" s="265">
        <f>IF(TotalUnits=0,0,AW$9/TotalUnits)</f>
        <v/>
      </c>
      <c r="AX10" s="265">
        <f>IF(TotalUnits=0,0,AX$9/TotalUnits)</f>
        <v/>
      </c>
      <c r="AY10" s="265">
        <f>IF(TotalUnits=0,0,AY$9/TotalUnits)</f>
        <v/>
      </c>
      <c r="AZ10" s="265">
        <f>IF(TotalUnits=0,0,AZ$9/TotalUnits)</f>
        <v/>
      </c>
      <c r="BA10" s="265">
        <f>IF(TotalUnits=0,0,BA$9/TotalUnits)</f>
        <v/>
      </c>
      <c r="BB10" s="265">
        <f>IF(TotalUnits=0,0,BB$9/TotalUnits)</f>
        <v/>
      </c>
      <c r="BC10" s="265">
        <f>IF(TotalUnits=0,0,BC$9/TotalUnits)</f>
        <v/>
      </c>
      <c r="BD10" s="265">
        <f>IF(TotalUnits=0,0,BD$9/TotalUnits)</f>
        <v/>
      </c>
      <c r="BE10" s="265">
        <f>IF(TotalUnits=0,0,BE$9/TotalUnits)</f>
        <v/>
      </c>
      <c r="BF10" s="265">
        <f>IF(TotalUnits=0,0,BF$9/TotalUnits)</f>
        <v/>
      </c>
      <c r="BG10" s="265">
        <f>IF(TotalUnits=0,0,BG$9/TotalUnits)</f>
        <v/>
      </c>
      <c r="BH10" s="265">
        <f>IF(TotalUnits=0,0,BH$9/TotalUnits)</f>
        <v/>
      </c>
      <c r="BI10" s="265">
        <f>IF(TotalUnits=0,0,BI$9/TotalUnits)</f>
        <v/>
      </c>
      <c r="BJ10" s="265">
        <f>IF(TotalUnits=0,0,BJ$9/TotalUnits)</f>
        <v/>
      </c>
      <c r="BK10" s="265">
        <f>IF(TotalUnits=0,0,BK$9/TotalUnits)</f>
        <v/>
      </c>
      <c r="BL10" s="265">
        <f>IF(TotalUnits=0,0,BL$9/TotalUnits)</f>
        <v/>
      </c>
      <c r="BM10" s="265">
        <f>IF(TotalUnits=0,0,BM$9/TotalUnits)</f>
        <v/>
      </c>
      <c r="BN10" s="265">
        <f>IF(TotalUnits=0,0,BN$9/TotalUnits)</f>
        <v/>
      </c>
      <c r="BO10" s="265">
        <f>IF(TotalUnits=0,0,BO$9/TotalUnits)</f>
        <v/>
      </c>
      <c r="BP10" s="265">
        <f>IF(TotalUnits=0,0,BP$9/TotalUnits)</f>
        <v/>
      </c>
      <c r="BQ10" s="265">
        <f>IF(TotalUnits=0,0,BQ$9/TotalUnits)</f>
        <v/>
      </c>
      <c r="BR10" s="265">
        <f>IF(TotalUnits=0,0,BR$9/TotalUnits)</f>
        <v/>
      </c>
      <c r="BS10" s="265">
        <f>IF(TotalUnits=0,0,BS$9/TotalUnits)</f>
        <v/>
      </c>
      <c r="BT10" s="265">
        <f>IF(TotalUnits=0,0,BT$9/TotalUnits)</f>
        <v/>
      </c>
      <c r="BU10" s="265">
        <f>IF(TotalUnits=0,0,BU$9/TotalUnits)</f>
        <v/>
      </c>
      <c r="BV10" s="265">
        <f>IF(TotalUnits=0,0,BV$9/TotalUnits)</f>
        <v/>
      </c>
      <c r="BW10" s="265">
        <f>IF(TotalUnits=0,0,BW$9/TotalUnits)</f>
        <v/>
      </c>
      <c r="BX10" s="265">
        <f>IF(TotalUnits=0,0,BX$9/TotalUnits)</f>
        <v/>
      </c>
      <c r="BY10" s="265">
        <f>IF(TotalUnits=0,0,BY$9/TotalUnits)</f>
        <v/>
      </c>
      <c r="BZ10" s="265">
        <f>IF(TotalUnits=0,0,BZ$9/TotalUnits)</f>
        <v/>
      </c>
      <c r="CA10" s="265">
        <f>IF(TotalUnits=0,0,CA$9/TotalUnits)</f>
        <v/>
      </c>
      <c r="CB10" s="265">
        <f>IF(TotalUnits=0,0,CB$9/TotalUnits)</f>
        <v/>
      </c>
      <c r="CC10" s="265">
        <f>IF(TotalUnits=0,0,CC$9/TotalUnits)</f>
        <v/>
      </c>
      <c r="CD10" s="265">
        <f>IF(TotalUnits=0,0,CD$9/TotalUnits)</f>
        <v/>
      </c>
      <c r="CE10" s="265">
        <f>IF(TotalUnits=0,0,CE$9/TotalUnits)</f>
        <v/>
      </c>
      <c r="CF10" s="265">
        <f>IF(TotalUnits=0,0,CF$9/TotalUnits)</f>
        <v/>
      </c>
      <c r="CG10" s="265">
        <f>IF(TotalUnits=0,0,CG$9/TotalUnits)</f>
        <v/>
      </c>
      <c r="CH10" s="265">
        <f>IF(TotalUnits=0,0,CH$9/TotalUnits)</f>
        <v/>
      </c>
      <c r="CI10" s="265">
        <f>IF(TotalUnits=0,0,CI$9/TotalUnits)</f>
        <v/>
      </c>
      <c r="CJ10" s="265">
        <f>IF(TotalUnits=0,0,CJ$9/TotalUnits)</f>
        <v/>
      </c>
      <c r="CK10" s="265">
        <f>IF(TotalUnits=0,0,CK$9/TotalUnits)</f>
        <v/>
      </c>
      <c r="CL10" s="265">
        <f>IF(TotalUnits=0,0,CL$9/TotalUnits)</f>
        <v/>
      </c>
      <c r="CM10" s="265">
        <f>IF(TotalUnits=0,0,CM$9/TotalUnits)</f>
        <v/>
      </c>
      <c r="CN10" s="265">
        <f>IF(TotalUnits=0,0,CN$9/TotalUnits)</f>
        <v/>
      </c>
      <c r="CO10" s="265">
        <f>IF(TotalUnits=0,0,CO$9/TotalUnits)</f>
        <v/>
      </c>
      <c r="CP10" s="265">
        <f>IF(TotalUnits=0,0,CP$9/TotalUnits)</f>
        <v/>
      </c>
      <c r="CQ10" s="265">
        <f>IF(TotalUnits=0,0,CQ$9/TotalUnits)</f>
        <v/>
      </c>
      <c r="CR10" s="265">
        <f>IF(TotalUnits=0,0,CR$9/TotalUnits)</f>
        <v/>
      </c>
      <c r="CS10" s="265">
        <f>IF(TotalUnits=0,0,CS$9/TotalUnits)</f>
        <v/>
      </c>
      <c r="CT10" s="265">
        <f>IF(TotalUnits=0,0,CT$9/TotalUnits)</f>
        <v/>
      </c>
      <c r="CU10" s="265">
        <f>IF(TotalUnits=0,0,CU$9/TotalUnits)</f>
        <v/>
      </c>
      <c r="CV10" s="265">
        <f>IF(TotalUnits=0,0,CV$9/TotalUnits)</f>
        <v/>
      </c>
      <c r="CW10" s="265">
        <f>IF(TotalUnits=0,0,CW$9/TotalUnits)</f>
        <v/>
      </c>
      <c r="CX10" s="265">
        <f>IF(TotalUnits=0,0,CX$9/TotalUnits)</f>
        <v/>
      </c>
      <c r="CY10" s="265">
        <f>IF(TotalUnits=0,0,CY$9/TotalUnits)</f>
        <v/>
      </c>
      <c r="CZ10" s="265">
        <f>IF(TotalUnits=0,0,CZ$9/TotalUnits)</f>
        <v/>
      </c>
      <c r="DA10" s="265">
        <f>IF(TotalUnits=0,0,DA$9/TotalUnits)</f>
        <v/>
      </c>
      <c r="DB10" s="265">
        <f>IF(TotalUnits=0,0,DB$9/TotalUnits)</f>
        <v/>
      </c>
      <c r="DC10" s="265">
        <f>IF(TotalUnits=0,0,DC$9/TotalUnits)</f>
        <v/>
      </c>
      <c r="DD10" s="265">
        <f>IF(TotalUnits=0,0,DD$9/TotalUnits)</f>
        <v/>
      </c>
      <c r="DE10" s="265">
        <f>IF(TotalUnits=0,0,DE$9/TotalUnits)</f>
        <v/>
      </c>
      <c r="DF10" s="265">
        <f>IF(TotalUnits=0,0,DF$9/TotalUnits)</f>
        <v/>
      </c>
      <c r="DG10" s="265">
        <f>IF(TotalUnits=0,0,DG$9/TotalUnits)</f>
        <v/>
      </c>
      <c r="DH10" s="265">
        <f>IF(TotalUnits=0,0,DH$9/TotalUnits)</f>
        <v/>
      </c>
      <c r="DI10" s="265">
        <f>IF(TotalUnits=0,0,DI$9/TotalUnits)</f>
        <v/>
      </c>
      <c r="DJ10" s="265">
        <f>IF(TotalUnits=0,0,DJ$9/TotalUnits)</f>
        <v/>
      </c>
      <c r="DK10" s="265">
        <f>IF(TotalUnits=0,0,DK$9/TotalUnits)</f>
        <v/>
      </c>
      <c r="DL10" s="265">
        <f>IF(TotalUnits=0,0,DL$9/TotalUnits)</f>
        <v/>
      </c>
      <c r="DM10" s="265">
        <f>IF(TotalUnits=0,0,DM$9/TotalUnits)</f>
        <v/>
      </c>
      <c r="DN10" s="265">
        <f>IF(TotalUnits=0,0,DN$9/TotalUnits)</f>
        <v/>
      </c>
      <c r="DO10" s="265">
        <f>IF(TotalUnits=0,0,DO$9/TotalUnits)</f>
        <v/>
      </c>
      <c r="DP10" s="265">
        <f>IF(TotalUnits=0,0,DP$9/TotalUnits)</f>
        <v/>
      </c>
      <c r="DQ10" s="265">
        <f>IF(TotalUnits=0,0,DQ$9/TotalUnits)</f>
        <v/>
      </c>
      <c r="DR10" s="265">
        <f>IF(TotalUnits=0,0,DR$9/TotalUnits)</f>
        <v/>
      </c>
      <c r="DS10" s="265">
        <f>IF(TotalUnits=0,0,DS$9/TotalUnits)</f>
        <v/>
      </c>
      <c r="DT10" s="265">
        <f>IF(TotalUnits=0,0,DT$9/TotalUnits)</f>
        <v/>
      </c>
      <c r="DU10" s="265">
        <f>IF(TotalUnits=0,0,DU$9/TotalUnits)</f>
        <v/>
      </c>
      <c r="DV10" s="265">
        <f>IF(TotalUnits=0,0,DV$9/TotalUnits)</f>
        <v/>
      </c>
      <c r="DW10" s="265">
        <f>IF(TotalUnits=0,0,DW$9/TotalUnits)</f>
        <v/>
      </c>
      <c r="DX10" s="265">
        <f>IF(TotalUnits=0,0,DX$9/TotalUnits)</f>
        <v/>
      </c>
      <c r="DY10" s="265">
        <f>IF(TotalUnits=0,0,DY$9/TotalUnits)</f>
        <v/>
      </c>
      <c r="DZ10" s="265">
        <f>IF(TotalUnits=0,0,DZ$9/TotalUnits)</f>
        <v/>
      </c>
      <c r="EA10" s="265">
        <f>IF(TotalUnits=0,0,EA$9/TotalUnits)</f>
        <v/>
      </c>
      <c r="EB10" s="265">
        <f>IF(TotalUnits=0,0,EB$9/TotalUnits)</f>
        <v/>
      </c>
      <c r="EC10" s="265">
        <f>IF(TotalUnits=0,0,EC$9/TotalUnits)</f>
        <v/>
      </c>
      <c r="ED10" s="265">
        <f>IF(TotalUnits=0,0,ED$9/TotalUnits)</f>
        <v/>
      </c>
      <c r="EE10" s="265">
        <f>IF(TotalUnits=0,0,EE$9/TotalUnits)</f>
        <v/>
      </c>
      <c r="EF10" s="265">
        <f>IF(TotalUnits=0,0,EF$9/TotalUnits)</f>
        <v/>
      </c>
      <c r="EG10" s="265">
        <f>IF(TotalUnits=0,0,EG$9/TotalUnits)</f>
        <v/>
      </c>
      <c r="EH10" s="265">
        <f>IF(TotalUnits=0,0,EH$9/TotalUnits)</f>
        <v/>
      </c>
      <c r="EI10" s="265">
        <f>IF(TotalUnits=0,0,EI$9/TotalUnits)</f>
        <v/>
      </c>
      <c r="EJ10" s="265">
        <f>IF(TotalUnits=0,0,EJ$9/TotalUnits)</f>
        <v/>
      </c>
      <c r="EK10" s="265">
        <f>IF(TotalUnits=0,0,EK$9/TotalUnits)</f>
        <v/>
      </c>
      <c r="EL10" s="265">
        <f>IF(TotalUnits=0,0,EL$9/TotalUnits)</f>
        <v/>
      </c>
      <c r="EM10" s="265">
        <f>IF(TotalUnits=0,0,EM$9/TotalUnits)</f>
        <v/>
      </c>
      <c r="EN10" s="265">
        <f>IF(TotalUnits=0,0,EN$9/TotalUnits)</f>
        <v/>
      </c>
      <c r="EO10" s="265">
        <f>IF(TotalUnits=0,0,EO$9/TotalUnits)</f>
        <v/>
      </c>
      <c r="EP10" s="265">
        <f>IF(TotalUnits=0,0,EP$9/TotalUnits)</f>
        <v/>
      </c>
      <c r="EQ10" s="265">
        <f>IF(TotalUnits=0,0,EQ$9/TotalUnits)</f>
        <v/>
      </c>
      <c r="ER10" s="265">
        <f>IF(TotalUnits=0,0,ER$9/TotalUnits)</f>
        <v/>
      </c>
      <c r="ES10" s="265">
        <f>IF(TotalUnits=0,0,ES$9/TotalUnits)</f>
        <v/>
      </c>
      <c r="ET10" s="265">
        <f>IF(TotalUnits=0,0,ET$9/TotalUnits)</f>
        <v/>
      </c>
      <c r="EU10" s="265">
        <f>IF(TotalUnits=0,0,EU$9/TotalUnits)</f>
        <v/>
      </c>
      <c r="EV10" s="265">
        <f>IF(TotalUnits=0,0,EV$9/TotalUnits)</f>
        <v/>
      </c>
      <c r="EW10" s="265">
        <f>IF(TotalUnits=0,0,EW$9/TotalUnits)</f>
        <v/>
      </c>
      <c r="EX10" s="265">
        <f>IF(TotalUnits=0,0,EX$9/TotalUnits)</f>
        <v/>
      </c>
      <c r="EY10" s="265">
        <f>IF(TotalUnits=0,0,EY$9/TotalUnits)</f>
        <v/>
      </c>
      <c r="EZ10" s="265">
        <f>IF(TotalUnits=0,0,EZ$9/TotalUnits)</f>
        <v/>
      </c>
      <c r="FA10" s="265">
        <f>IF(TotalUnits=0,0,FA$9/TotalUnits)</f>
        <v/>
      </c>
      <c r="FB10" s="265">
        <f>IF(TotalUnits=0,0,FB$9/TotalUnits)</f>
        <v/>
      </c>
      <c r="FC10" s="265">
        <f>IF(TotalUnits=0,0,FC$9/TotalUnits)</f>
        <v/>
      </c>
      <c r="FD10" s="265">
        <f>IF(TotalUnits=0,0,FD$9/TotalUnits)</f>
        <v/>
      </c>
      <c r="FE10" s="265">
        <f>IF(TotalUnits=0,0,FE$9/TotalUnits)</f>
        <v/>
      </c>
      <c r="FF10" s="265">
        <f>IF(TotalUnits=0,0,FF$9/TotalUnits)</f>
        <v/>
      </c>
      <c r="FG10" s="265">
        <f>IF(TotalUnits=0,0,FG$9/TotalUnits)</f>
        <v/>
      </c>
      <c r="FH10" s="265">
        <f>IF(TotalUnits=0,0,FH$9/TotalUnits)</f>
        <v/>
      </c>
      <c r="FI10" s="265">
        <f>IF(TotalUnits=0,0,FI$9/TotalUnits)</f>
        <v/>
      </c>
      <c r="FJ10" s="265">
        <f>IF(TotalUnits=0,0,FJ$9/TotalUnits)</f>
        <v/>
      </c>
      <c r="FK10" s="265">
        <f>IF(TotalUnits=0,0,FK$9/TotalUnits)</f>
        <v/>
      </c>
      <c r="FL10" s="265">
        <f>IF(TotalUnits=0,0,FL$9/TotalUnits)</f>
        <v/>
      </c>
      <c r="FM10" s="265">
        <f>IF(TotalUnits=0,0,FM$9/TotalUnits)</f>
        <v/>
      </c>
      <c r="FN10" s="265">
        <f>IF(TotalUnits=0,0,FN$9/TotalUnits)</f>
        <v/>
      </c>
      <c r="FO10" s="265">
        <f>IF(TotalUnits=0,0,FO$9/TotalUnits)</f>
        <v/>
      </c>
      <c r="FP10" s="265">
        <f>IF(TotalUnits=0,0,FP$9/TotalUnits)</f>
        <v/>
      </c>
      <c r="FQ10" s="265">
        <f>IF(TotalUnits=0,0,FQ$9/TotalUnits)</f>
        <v/>
      </c>
      <c r="FR10" s="265">
        <f>IF(TotalUnits=0,0,FR$9/TotalUnits)</f>
        <v/>
      </c>
      <c r="FS10" s="265">
        <f>IF(TotalUnits=0,0,FS$9/TotalUnits)</f>
        <v/>
      </c>
      <c r="FT10" s="265">
        <f>IF(TotalUnits=0,0,FT$9/TotalUnits)</f>
        <v/>
      </c>
      <c r="FU10" s="265">
        <f>IF(TotalUnits=0,0,FU$9/TotalUnits)</f>
        <v/>
      </c>
      <c r="FV10" s="265">
        <f>IF(TotalUnits=0,0,FV$9/TotalUnits)</f>
        <v/>
      </c>
      <c r="FW10" s="265">
        <f>IF(TotalUnits=0,0,FW$9/TotalUnits)</f>
        <v/>
      </c>
      <c r="FX10" s="265">
        <f>IF(TotalUnits=0,0,FX$9/TotalUnits)</f>
        <v/>
      </c>
      <c r="FY10" s="265">
        <f>IF(TotalUnits=0,0,FY$9/TotalUnits)</f>
        <v/>
      </c>
      <c r="FZ10" s="265">
        <f>IF(TotalUnits=0,0,FZ$9/TotalUnits)</f>
        <v/>
      </c>
      <c r="GA10" s="265">
        <f>IF(TotalUnits=0,0,GA$9/TotalUnits)</f>
        <v/>
      </c>
      <c r="GB10" s="265">
        <f>IF(TotalUnits=0,0,GB$9/TotalUnits)</f>
        <v/>
      </c>
      <c r="GC10" s="265">
        <f>IF(TotalUnits=0,0,GC$9/TotalUnits)</f>
        <v/>
      </c>
      <c r="GD10" s="265">
        <f>IF(TotalUnits=0,0,GD$9/TotalUnits)</f>
        <v/>
      </c>
      <c r="GE10" s="265">
        <f>IF(TotalUnits=0,0,GE$9/TotalUnits)</f>
        <v/>
      </c>
      <c r="GF10" s="265">
        <f>IF(TotalUnits=0,0,GF$9/TotalUnits)</f>
        <v/>
      </c>
      <c r="GG10" s="265">
        <f>IF(TotalUnits=0,0,GG$9/TotalUnits)</f>
        <v/>
      </c>
      <c r="GH10" s="265">
        <f>IF(TotalUnits=0,0,GH$9/TotalUnits)</f>
        <v/>
      </c>
      <c r="GI10" s="265">
        <f>IF(TotalUnits=0,0,GI$9/TotalUnits)</f>
        <v/>
      </c>
      <c r="GJ10" s="265">
        <f>IF(TotalUnits=0,0,GJ$9/TotalUnits)</f>
        <v/>
      </c>
      <c r="GK10" s="265">
        <f>IF(TotalUnits=0,0,GK$9/TotalUnits)</f>
        <v/>
      </c>
      <c r="GL10" s="265">
        <f>IF(TotalUnits=0,0,GL$9/TotalUnits)</f>
        <v/>
      </c>
      <c r="GM10" s="265">
        <f>IF(TotalUnits=0,0,GM$9/TotalUnits)</f>
        <v/>
      </c>
      <c r="GN10" s="265">
        <f>IF(TotalUnits=0,0,GN$9/TotalUnits)</f>
        <v/>
      </c>
      <c r="GO10" s="265">
        <f>IF(TotalUnits=0,0,GO$9/TotalUnits)</f>
        <v/>
      </c>
      <c r="GP10" s="265">
        <f>IF(TotalUnits=0,0,GP$9/TotalUnits)</f>
        <v/>
      </c>
      <c r="GQ10" s="265">
        <f>IF(TotalUnits=0,0,GQ$9/TotalUnits)</f>
        <v/>
      </c>
      <c r="GR10" s="265">
        <f>IF(TotalUnits=0,0,GR$9/TotalUnits)</f>
        <v/>
      </c>
      <c r="GS10" s="265">
        <f>IF(TotalUnits=0,0,GS$9/TotalUnits)</f>
        <v/>
      </c>
      <c r="GT10" s="265">
        <f>IF(TotalUnits=0,0,GT$9/TotalUnits)</f>
        <v/>
      </c>
      <c r="GU10" s="265">
        <f>IF(TotalUnits=0,0,GU$9/TotalUnits)</f>
        <v/>
      </c>
      <c r="GV10" s="265">
        <f>IF(TotalUnits=0,0,GV$9/TotalUnits)</f>
        <v/>
      </c>
      <c r="GW10" s="265">
        <f>IF(TotalUnits=0,0,GW$9/TotalUnits)</f>
        <v/>
      </c>
      <c r="GX10" s="265">
        <f>IF(TotalUnits=0,0,GX$9/TotalUnits)</f>
        <v/>
      </c>
      <c r="GY10" s="265">
        <f>IF(TotalUnits=0,0,GY$9/TotalUnits)</f>
        <v/>
      </c>
      <c r="GZ10" s="265">
        <f>IF(TotalUnits=0,0,GZ$9/TotalUnits)</f>
        <v/>
      </c>
      <c r="HA10" s="265">
        <f>IF(TotalUnits=0,0,HA$9/TotalUnits)</f>
        <v/>
      </c>
      <c r="HB10" s="265">
        <f>IF(TotalUnits=0,0,HB$9/TotalUnits)</f>
        <v/>
      </c>
      <c r="HC10" s="265">
        <f>IF(TotalUnits=0,0,HC$9/TotalUnits)</f>
        <v/>
      </c>
      <c r="HD10" s="265">
        <f>IF(TotalUnits=0,0,HD$9/TotalUnits)</f>
        <v/>
      </c>
      <c r="HE10" s="265">
        <f>IF(TotalUnits=0,0,HE$9/TotalUnits)</f>
        <v/>
      </c>
      <c r="HF10" s="265">
        <f>IF(TotalUnits=0,0,HF$9/TotalUnits)</f>
        <v/>
      </c>
      <c r="HG10" s="265">
        <f>IF(TotalUnits=0,0,HG$9/TotalUnits)</f>
        <v/>
      </c>
      <c r="HH10" s="265">
        <f>IF(TotalUnits=0,0,HH$9/TotalUnits)</f>
        <v/>
      </c>
      <c r="HI10" s="265">
        <f>IF(TotalUnits=0,0,HI$9/TotalUnits)</f>
        <v/>
      </c>
      <c r="HJ10" s="265">
        <f>IF(TotalUnits=0,0,HJ$9/TotalUnits)</f>
        <v/>
      </c>
      <c r="HK10" s="265">
        <f>IF(TotalUnits=0,0,HK$9/TotalUnits)</f>
        <v/>
      </c>
      <c r="HL10" s="265">
        <f>IF(TotalUnits=0,0,HL$9/TotalUnits)</f>
        <v/>
      </c>
      <c r="HM10" s="265">
        <f>IF(TotalUnits=0,0,HM$9/TotalUnits)</f>
        <v/>
      </c>
      <c r="HN10" s="265">
        <f>IF(TotalUnits=0,0,HN$9/TotalUnits)</f>
        <v/>
      </c>
      <c r="HO10" s="265">
        <f>IF(TotalUnits=0,0,HO$9/TotalUnits)</f>
        <v/>
      </c>
      <c r="HP10" s="265">
        <f>IF(TotalUnits=0,0,HP$9/TotalUnits)</f>
        <v/>
      </c>
      <c r="HQ10" s="265">
        <f>IF(TotalUnits=0,0,HQ$9/TotalUnits)</f>
        <v/>
      </c>
      <c r="HR10" s="265">
        <f>IF(TotalUnits=0,0,HR$9/TotalUnits)</f>
        <v/>
      </c>
      <c r="HS10" s="265">
        <f>IF(TotalUnits=0,0,HS$9/TotalUnits)</f>
        <v/>
      </c>
      <c r="HT10" s="265">
        <f>IF(TotalUnits=0,0,HT$9/TotalUnits)</f>
        <v/>
      </c>
      <c r="HU10" s="265">
        <f>IF(TotalUnits=0,0,HU$9/TotalUnits)</f>
        <v/>
      </c>
      <c r="HV10" s="265">
        <f>IF(TotalUnits=0,0,HV$9/TotalUnits)</f>
        <v/>
      </c>
      <c r="HW10" s="265">
        <f>IF(TotalUnits=0,0,HW$9/TotalUnits)</f>
        <v/>
      </c>
      <c r="HX10" s="265">
        <f>IF(TotalUnits=0,0,HX$9/TotalUnits)</f>
        <v/>
      </c>
      <c r="HY10" s="265">
        <f>IF(TotalUnits=0,0,HY$9/TotalUnits)</f>
        <v/>
      </c>
      <c r="HZ10" s="265">
        <f>IF(TotalUnits=0,0,HZ$9/TotalUnits)</f>
        <v/>
      </c>
      <c r="IA10" s="265">
        <f>IF(TotalUnits=0,0,IA$9/TotalUnits)</f>
        <v/>
      </c>
      <c r="IB10" s="265">
        <f>IF(TotalUnits=0,0,IB$9/TotalUnits)</f>
        <v/>
      </c>
      <c r="IC10" s="265">
        <f>IF(TotalUnits=0,0,IC$9/TotalUnits)</f>
        <v/>
      </c>
      <c r="ID10" s="265">
        <f>IF(TotalUnits=0,0,ID$9/TotalUnits)</f>
        <v/>
      </c>
      <c r="IE10" s="265">
        <f>IF(TotalUnits=0,0,IE$9/TotalUnits)</f>
        <v/>
      </c>
      <c r="IF10" s="265">
        <f>IF(TotalUnits=0,0,IF$9/TotalUnits)</f>
        <v/>
      </c>
      <c r="IG10" s="265">
        <f>IF(TotalUnits=0,0,IG$9/TotalUnits)</f>
        <v/>
      </c>
      <c r="IH10" s="265">
        <f>IF(TotalUnits=0,0,IH$9/TotalUnits)</f>
        <v/>
      </c>
      <c r="II10" s="265">
        <f>IF(TotalUnits=0,0,II$9/TotalUnits)</f>
        <v/>
      </c>
      <c r="IJ10" s="265">
        <f>IF(TotalUnits=0,0,IJ$9/TotalUnits)</f>
        <v/>
      </c>
      <c r="IK10" s="265">
        <f>IF(TotalUnits=0,0,IK$9/TotalUnits)</f>
        <v/>
      </c>
      <c r="IL10" s="265">
        <f>IF(TotalUnits=0,0,IL$9/TotalUnits)</f>
        <v/>
      </c>
      <c r="IM10" s="265">
        <f>IF(TotalUnits=0,0,IM$9/TotalUnits)</f>
        <v/>
      </c>
      <c r="IN10" s="265">
        <f>IF(TotalUnits=0,0,IN$9/TotalUnits)</f>
        <v/>
      </c>
      <c r="IO10" s="265">
        <f>IF(TotalUnits=0,0,IO$9/TotalUnits)</f>
        <v/>
      </c>
      <c r="IP10" s="265">
        <f>IF(TotalUnits=0,0,IP$9/TotalUnits)</f>
        <v/>
      </c>
      <c r="IQ10" s="265">
        <f>IF(TotalUnits=0,0,IQ$9/TotalUnits)</f>
        <v/>
      </c>
      <c r="IR10" s="265">
        <f>IF(TotalUnits=0,0,IR$9/TotalUnits)</f>
        <v/>
      </c>
      <c r="IS10" s="265">
        <f>IF(TotalUnits=0,0,IS$9/TotalUnits)</f>
        <v/>
      </c>
      <c r="IT10" s="265">
        <f>IF(TotalUnits=0,0,IT$9/TotalUnits)</f>
        <v/>
      </c>
      <c r="IU10" s="265">
        <f>IF(TotalUnits=0,0,IU$9/TotalUnits)</f>
        <v/>
      </c>
      <c r="IV10" s="265">
        <f>IF(TotalUnits=0,0,IV$9/TotalUnits)</f>
        <v/>
      </c>
      <c r="IW10" s="265">
        <f>IF(TotalUnits=0,0,IW$9/TotalUnits)</f>
        <v/>
      </c>
      <c r="IX10" s="265">
        <f>IF(TotalUnits=0,0,IX$9/TotalUnits)</f>
        <v/>
      </c>
      <c r="IY10" s="265">
        <f>IF(TotalUnits=0,0,IY$9/TotalUnits)</f>
        <v/>
      </c>
      <c r="IZ10" s="265">
        <f>IF(TotalUnits=0,0,IZ$9/TotalUnits)</f>
        <v/>
      </c>
      <c r="JA10" s="265">
        <f>IF(TotalUnits=0,0,JA$9/TotalUnits)</f>
        <v/>
      </c>
      <c r="JB10" s="265">
        <f>IF(TotalUnits=0,0,JB$9/TotalUnits)</f>
        <v/>
      </c>
      <c r="JC10" s="265">
        <f>IF(TotalUnits=0,0,JC$9/TotalUnits)</f>
        <v/>
      </c>
      <c r="JD10" s="265">
        <f>IF(TotalUnits=0,0,JD$9/TotalUnits)</f>
        <v/>
      </c>
      <c r="JE10" s="265">
        <f>IF(TotalUnits=0,0,JE$9/TotalUnits)</f>
        <v/>
      </c>
      <c r="JF10" s="265">
        <f>IF(TotalUnits=0,0,JF$9/TotalUnits)</f>
        <v/>
      </c>
      <c r="JG10" s="265">
        <f>IF(TotalUnits=0,0,JG$9/TotalUnits)</f>
        <v/>
      </c>
      <c r="JH10" s="265">
        <f>IF(TotalUnits=0,0,JH$9/TotalUnits)</f>
        <v/>
      </c>
      <c r="JI10" s="265">
        <f>IF(TotalUnits=0,0,JI$9/TotalUnits)</f>
        <v/>
      </c>
      <c r="JJ10" s="265">
        <f>IF(TotalUnits=0,0,JJ$9/TotalUnits)</f>
        <v/>
      </c>
      <c r="JK10" s="265">
        <f>IF(TotalUnits=0,0,JK$9/TotalUnits)</f>
        <v/>
      </c>
      <c r="JL10" s="265">
        <f>IF(TotalUnits=0,0,JL$9/TotalUnits)</f>
        <v/>
      </c>
      <c r="JM10" s="265">
        <f>IF(TotalUnits=0,0,JM$9/TotalUnits)</f>
        <v/>
      </c>
      <c r="JN10" s="265">
        <f>IF(TotalUnits=0,0,JN$9/TotalUnits)</f>
        <v/>
      </c>
      <c r="JO10" s="265">
        <f>IF(TotalUnits=0,0,JO$9/TotalUnits)</f>
        <v/>
      </c>
      <c r="JP10" s="265">
        <f>IF(TotalUnits=0,0,JP$9/TotalUnits)</f>
        <v/>
      </c>
      <c r="JQ10" s="265">
        <f>IF(TotalUnits=0,0,JQ$9/TotalUnits)</f>
        <v/>
      </c>
      <c r="JR10" s="265">
        <f>IF(TotalUnits=0,0,JR$9/TotalUnits)</f>
        <v/>
      </c>
      <c r="JS10" s="265">
        <f>IF(TotalUnits=0,0,JS$9/TotalUnits)</f>
        <v/>
      </c>
      <c r="JT10" s="265">
        <f>IF(TotalUnits=0,0,JT$9/TotalUnits)</f>
        <v/>
      </c>
      <c r="JU10" s="265">
        <f>IF(TotalUnits=0,0,JU$9/TotalUnits)</f>
        <v/>
      </c>
      <c r="JV10" s="265">
        <f>IF(TotalUnits=0,0,JV$9/TotalUnits)</f>
        <v/>
      </c>
      <c r="JW10" s="265">
        <f>IF(TotalUnits=0,0,JW$9/TotalUnits)</f>
        <v/>
      </c>
      <c r="JX10" s="265">
        <f>IF(TotalUnits=0,0,JX$9/TotalUnits)</f>
        <v/>
      </c>
      <c r="JY10" s="265">
        <f>IF(TotalUnits=0,0,JY$9/TotalUnits)</f>
        <v/>
      </c>
      <c r="JZ10" s="265">
        <f>IF(TotalUnits=0,0,JZ$9/TotalUnits)</f>
        <v/>
      </c>
      <c r="KA10" s="265">
        <f>IF(TotalUnits=0,0,KA$9/TotalUnits)</f>
        <v/>
      </c>
      <c r="KB10" s="265">
        <f>IF(TotalUnits=0,0,KB$9/TotalUnits)</f>
        <v/>
      </c>
      <c r="KC10" s="265">
        <f>IF(TotalUnits=0,0,KC$9/TotalUnits)</f>
        <v/>
      </c>
      <c r="KD10" s="265">
        <f>IF(TotalUnits=0,0,KD$9/TotalUnits)</f>
        <v/>
      </c>
      <c r="KE10" s="265">
        <f>IF(TotalUnits=0,0,KE$9/TotalUnits)</f>
        <v/>
      </c>
      <c r="KF10" s="265">
        <f>IF(TotalUnits=0,0,KF$9/TotalUnits)</f>
        <v/>
      </c>
      <c r="KG10" s="265">
        <f>IF(TotalUnits=0,0,KG$9/TotalUnits)</f>
        <v/>
      </c>
      <c r="KH10" s="265">
        <f>IF(TotalUnits=0,0,KH$9/TotalUnits)</f>
        <v/>
      </c>
      <c r="KI10" s="265">
        <f>IF(TotalUnits=0,0,KI$9/TotalUnits)</f>
        <v/>
      </c>
      <c r="KJ10" s="265">
        <f>IF(TotalUnits=0,0,KJ$9/TotalUnits)</f>
        <v/>
      </c>
      <c r="KK10" s="265">
        <f>IF(TotalUnits=0,0,KK$9/TotalUnits)</f>
        <v/>
      </c>
      <c r="KL10" s="265">
        <f>IF(TotalUnits=0,0,KL$9/TotalUnits)</f>
        <v/>
      </c>
      <c r="KM10" s="265">
        <f>IF(TotalUnits=0,0,KM$9/TotalUnits)</f>
        <v/>
      </c>
      <c r="KN10" s="265">
        <f>IF(TotalUnits=0,0,KN$9/TotalUnits)</f>
        <v/>
      </c>
      <c r="KO10" s="265">
        <f>IF(TotalUnits=0,0,KO$9/TotalUnits)</f>
        <v/>
      </c>
      <c r="KP10" s="265">
        <f>IF(TotalUnits=0,0,KP$9/TotalUnits)</f>
        <v/>
      </c>
      <c r="KQ10" s="265">
        <f>IF(TotalUnits=0,0,KQ$9/TotalUnits)</f>
        <v/>
      </c>
      <c r="KR10" s="265">
        <f>IF(TotalUnits=0,0,KR$9/TotalUnits)</f>
        <v/>
      </c>
      <c r="KS10" s="265">
        <f>IF(TotalUnits=0,0,KS$9/TotalUnits)</f>
        <v/>
      </c>
      <c r="KT10" s="265">
        <f>IF(TotalUnits=0,0,KT$9/TotalUnits)</f>
        <v/>
      </c>
      <c r="KU10" s="265">
        <f>IF(TotalUnits=0,0,KU$9/TotalUnits)</f>
        <v/>
      </c>
      <c r="KV10" s="265">
        <f>IF(TotalUnits=0,0,KV$9/TotalUnits)</f>
        <v/>
      </c>
      <c r="KW10" s="265">
        <f>IF(TotalUnits=0,0,KW$9/TotalUnits)</f>
        <v/>
      </c>
      <c r="KX10" s="265">
        <f>IF(TotalUnits=0,0,KX$9/TotalUnits)</f>
        <v/>
      </c>
      <c r="KY10" s="265">
        <f>IF(TotalUnits=0,0,KY$9/TotalUnits)</f>
        <v/>
      </c>
      <c r="KZ10" s="265">
        <f>IF(TotalUnits=0,0,KZ$9/TotalUnits)</f>
        <v/>
      </c>
      <c r="LA10" s="265">
        <f>IF(TotalUnits=0,0,LA$9/TotalUnits)</f>
        <v/>
      </c>
      <c r="LB10" s="265">
        <f>IF(TotalUnits=0,0,LB$9/TotalUnits)</f>
        <v/>
      </c>
      <c r="LC10" s="265">
        <f>IF(TotalUnits=0,0,LC$9/TotalUnits)</f>
        <v/>
      </c>
      <c r="LD10" s="265">
        <f>IF(TotalUnits=0,0,LD$9/TotalUnits)</f>
        <v/>
      </c>
      <c r="LE10" s="265">
        <f>IF(TotalUnits=0,0,LE$9/TotalUnits)</f>
        <v/>
      </c>
      <c r="LF10" s="265">
        <f>IF(TotalUnits=0,0,LF$9/TotalUnits)</f>
        <v/>
      </c>
      <c r="LG10" s="265">
        <f>IF(TotalUnits=0,0,LG$9/TotalUnits)</f>
        <v/>
      </c>
      <c r="LH10" s="265">
        <f>IF(TotalUnits=0,0,LH$9/TotalUnits)</f>
        <v/>
      </c>
      <c r="LI10" s="265">
        <f>IF(TotalUnits=0,0,LI$9/TotalUnits)</f>
        <v/>
      </c>
      <c r="LJ10" s="265">
        <f>IF(TotalUnits=0,0,LJ$9/TotalUnits)</f>
        <v/>
      </c>
      <c r="LK10" s="265">
        <f>IF(TotalUnits=0,0,LK$9/TotalUnits)</f>
        <v/>
      </c>
      <c r="LL10" s="265">
        <f>IF(TotalUnits=0,0,LL$9/TotalUnits)</f>
        <v/>
      </c>
      <c r="LM10" s="265">
        <f>IF(TotalUnits=0,0,LM$9/TotalUnits)</f>
        <v/>
      </c>
      <c r="LN10" s="265">
        <f>IF(TotalUnits=0,0,LN$9/TotalUnits)</f>
        <v/>
      </c>
      <c r="LO10" s="265">
        <f>IF(TotalUnits=0,0,LO$9/TotalUnits)</f>
        <v/>
      </c>
      <c r="LP10" s="265">
        <f>IF(TotalUnits=0,0,LP$9/TotalUnits)</f>
        <v/>
      </c>
      <c r="LQ10" s="265">
        <f>IF(TotalUnits=0,0,LQ$9/TotalUnits)</f>
        <v/>
      </c>
      <c r="LR10" s="265">
        <f>IF(TotalUnits=0,0,LR$9/TotalUnits)</f>
        <v/>
      </c>
      <c r="LS10" s="265">
        <f>IF(TotalUnits=0,0,LS$9/TotalUnits)</f>
        <v/>
      </c>
      <c r="LT10" s="265">
        <f>IF(TotalUnits=0,0,LT$9/TotalUnits)</f>
        <v/>
      </c>
      <c r="LU10" s="265">
        <f>IF(TotalUnits=0,0,LU$9/TotalUnits)</f>
        <v/>
      </c>
      <c r="LV10" s="265">
        <f>IF(TotalUnits=0,0,LV$9/TotalUnits)</f>
        <v/>
      </c>
      <c r="LW10" s="265">
        <f>IF(TotalUnits=0,0,LW$9/TotalUnits)</f>
        <v/>
      </c>
      <c r="LX10" s="265">
        <f>IF(TotalUnits=0,0,LX$9/TotalUnits)</f>
        <v/>
      </c>
      <c r="LY10" s="265">
        <f>IF(TotalUnits=0,0,LY$9/TotalUnits)</f>
        <v/>
      </c>
      <c r="LZ10" s="265">
        <f>IF(TotalUnits=0,0,LZ$9/TotalUnits)</f>
        <v/>
      </c>
      <c r="MA10" s="265">
        <f>IF(TotalUnits=0,0,MA$9/TotalUnits)</f>
        <v/>
      </c>
      <c r="MB10" s="265">
        <f>IF(TotalUnits=0,0,MB$9/TotalUnits)</f>
        <v/>
      </c>
      <c r="MC10" s="265">
        <f>IF(TotalUnits=0,0,MC$9/TotalUnits)</f>
        <v/>
      </c>
      <c r="MD10" s="265">
        <f>IF(TotalUnits=0,0,MD$9/TotalUnits)</f>
        <v/>
      </c>
      <c r="ME10" s="265">
        <f>IF(TotalUnits=0,0,ME$9/TotalUnits)</f>
        <v/>
      </c>
      <c r="MF10" s="265">
        <f>IF(TotalUnits=0,0,MF$9/TotalUnits)</f>
        <v/>
      </c>
      <c r="MG10" s="265">
        <f>IF(TotalUnits=0,0,MG$9/TotalUnits)</f>
        <v/>
      </c>
      <c r="MH10" s="265">
        <f>IF(TotalUnits=0,0,MH$9/TotalUnits)</f>
        <v/>
      </c>
      <c r="MI10" s="265">
        <f>IF(TotalUnits=0,0,MI$9/TotalUnits)</f>
        <v/>
      </c>
      <c r="MJ10" s="265">
        <f>IF(TotalUnits=0,0,MJ$9/TotalUnits)</f>
        <v/>
      </c>
      <c r="MK10" s="265">
        <f>IF(TotalUnits=0,0,MK$9/TotalUnits)</f>
        <v/>
      </c>
      <c r="ML10" s="265">
        <f>IF(TotalUnits=0,0,ML$9/TotalUnits)</f>
        <v/>
      </c>
      <c r="MM10" s="265">
        <f>IF(TotalUnits=0,0,MM$9/TotalUnits)</f>
        <v/>
      </c>
      <c r="MN10" s="265">
        <f>IF(TotalUnits=0,0,MN$9/TotalUnits)</f>
        <v/>
      </c>
      <c r="MO10" s="265">
        <f>IF(TotalUnits=0,0,MO$9/TotalUnits)</f>
        <v/>
      </c>
      <c r="MP10" s="265">
        <f>IF(TotalUnits=0,0,MP$9/TotalUnits)</f>
        <v/>
      </c>
      <c r="MQ10" s="265">
        <f>IF(TotalUnits=0,0,MQ$9/TotalUnits)</f>
        <v/>
      </c>
      <c r="MR10" s="265">
        <f>IF(TotalUnits=0,0,MR$9/TotalUnits)</f>
        <v/>
      </c>
      <c r="MS10" s="265">
        <f>IF(TotalUnits=0,0,MS$9/TotalUnits)</f>
        <v/>
      </c>
      <c r="MT10" s="265">
        <f>IF(TotalUnits=0,0,MT$9/TotalUnits)</f>
        <v/>
      </c>
      <c r="MU10" s="265">
        <f>IF(TotalUnits=0,0,MU$9/TotalUnits)</f>
        <v/>
      </c>
      <c r="MV10" s="265">
        <f>IF(TotalUnits=0,0,MV$9/TotalUnits)</f>
        <v/>
      </c>
      <c r="MW10" s="265">
        <f>IF(TotalUnits=0,0,MW$9/TotalUnits)</f>
        <v/>
      </c>
      <c r="MX10" s="265">
        <f>IF(TotalUnits=0,0,MX$9/TotalUnits)</f>
        <v/>
      </c>
      <c r="MY10" s="265">
        <f>IF(TotalUnits=0,0,MY$9/TotalUnits)</f>
        <v/>
      </c>
      <c r="MZ10" s="265">
        <f>IF(TotalUnits=0,0,MZ$9/TotalUnits)</f>
        <v/>
      </c>
      <c r="NA10" s="265">
        <f>IF(TotalUnits=0,0,NA$9/TotalUnits)</f>
        <v/>
      </c>
      <c r="NB10" s="265">
        <f>IF(TotalUnits=0,0,NB$9/TotalUnits)</f>
        <v/>
      </c>
      <c r="NC10" s="265">
        <f>IF(TotalUnits=0,0,NC$9/TotalUnits)</f>
        <v/>
      </c>
      <c r="ND10" s="265">
        <f>IF(TotalUnits=0,0,ND$9/TotalUnits)</f>
        <v/>
      </c>
      <c r="NE10" s="265">
        <f>IF(TotalUnits=0,0,NE$9/TotalUnits)</f>
        <v/>
      </c>
      <c r="NF10" s="265">
        <f>IF(TotalUnits=0,0,NF$9/TotalUnits)</f>
        <v/>
      </c>
      <c r="NG10" s="265">
        <f>IF(TotalUnits=0,0,NG$9/TotalUnits)</f>
        <v/>
      </c>
      <c r="NH10" s="265">
        <f>IF(TotalUnits=0,0,NH$9/TotalUnits)</f>
        <v/>
      </c>
      <c r="NI10" s="265">
        <f>IF(TotalUnits=0,0,NI$9/TotalUnits)</f>
        <v/>
      </c>
      <c r="NJ10" s="265">
        <f>IF(TotalUnits=0,0,NJ$9/TotalUnits)</f>
        <v/>
      </c>
      <c r="NK10" s="265">
        <f>IF(TotalUnits=0,0,NK$9/TotalUnits)</f>
        <v/>
      </c>
      <c r="NL10" s="265">
        <f>IF(TotalUnits=0,0,NL$9/TotalUnits)</f>
        <v/>
      </c>
    </row>
    <row r="12">
      <c r="B12" s="71" t="inlineStr">
        <is>
          <t>Lease-Up Reconciliation</t>
        </is>
      </c>
      <c r="C12" s="72" t="n"/>
      <c r="D12" s="80" t="n"/>
    </row>
    <row r="13">
      <c r="B13" s="36" t="inlineStr">
        <is>
          <t>Occupancy at Stabilization − target</t>
        </is>
      </c>
      <c r="C13" s="85">
        <f>INDEX(E9:NL9,StabMonth)-StabLeasedTarget</f>
        <v/>
      </c>
      <c r="D13" s="53" t="n"/>
    </row>
    <row r="14">
      <c r="B14" s="40" t="inlineStr">
        <is>
          <t>Units delivered at Stabilization</t>
        </is>
      </c>
      <c r="C14" s="152">
        <f>INDEX(E8:NL8,StabMonth)</f>
        <v/>
      </c>
      <c r="D14" s="66" t="n"/>
    </row>
  </sheetData>
  <conditionalFormatting sqref="E10:NL10">
    <cfRule type="dataBar" priority="1">
      <dataBar showValue="1">
        <cfvo type="num" val="0"/>
        <cfvo type="num" val="1"/>
        <color rgb="00638EC6"/>
      </dataBar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F7F7F"/>
    <outlinePr summaryBelow="1" summaryRight="1"/>
    <pageSetUpPr/>
  </sheetPr>
  <dimension ref="B1:NL77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4" sqref="E4"/>
    </sheetView>
  </sheetViews>
  <sheetFormatPr baseColWidth="8" defaultRowHeight="15"/>
  <cols>
    <col width="3.7109375" customWidth="1" style="97" min="1" max="1"/>
    <col width="32" customWidth="1" style="97" min="2" max="2"/>
    <col width="12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Stabilized Operating Model — Monthly Proforma</t>
        </is>
      </c>
    </row>
    <row r="3">
      <c r="B3" s="112" t="inlineStr">
        <is>
          <t>Period →</t>
        </is>
      </c>
      <c r="C3" s="107" t="n"/>
      <c r="D3" s="113" t="inlineStr">
        <is>
          <t>Total</t>
        </is>
      </c>
      <c r="E3" s="126" t="n">
        <v>1</v>
      </c>
      <c r="F3" s="126" t="n">
        <v>2</v>
      </c>
      <c r="G3" s="126" t="n">
        <v>3</v>
      </c>
      <c r="H3" s="126" t="n">
        <v>4</v>
      </c>
      <c r="I3" s="126" t="n">
        <v>5</v>
      </c>
      <c r="J3" s="126" t="n">
        <v>6</v>
      </c>
      <c r="K3" s="126" t="n">
        <v>7</v>
      </c>
      <c r="L3" s="126" t="n">
        <v>8</v>
      </c>
      <c r="M3" s="126" t="n">
        <v>9</v>
      </c>
      <c r="N3" s="126" t="n">
        <v>10</v>
      </c>
      <c r="O3" s="126" t="n">
        <v>11</v>
      </c>
      <c r="P3" s="126" t="n">
        <v>12</v>
      </c>
      <c r="Q3" s="126" t="n">
        <v>13</v>
      </c>
      <c r="R3" s="126" t="n">
        <v>14</v>
      </c>
      <c r="S3" s="126" t="n">
        <v>15</v>
      </c>
      <c r="T3" s="126" t="n">
        <v>16</v>
      </c>
      <c r="U3" s="126" t="n">
        <v>17</v>
      </c>
      <c r="V3" s="126" t="n">
        <v>18</v>
      </c>
      <c r="W3" s="126" t="n">
        <v>19</v>
      </c>
      <c r="X3" s="126" t="n">
        <v>20</v>
      </c>
      <c r="Y3" s="126" t="n">
        <v>21</v>
      </c>
      <c r="Z3" s="126" t="n">
        <v>22</v>
      </c>
      <c r="AA3" s="126" t="n">
        <v>23</v>
      </c>
      <c r="AB3" s="126" t="n">
        <v>24</v>
      </c>
      <c r="AC3" s="126" t="n">
        <v>25</v>
      </c>
      <c r="AD3" s="126" t="n">
        <v>26</v>
      </c>
      <c r="AE3" s="126" t="n">
        <v>27</v>
      </c>
      <c r="AF3" s="126" t="n">
        <v>28</v>
      </c>
      <c r="AG3" s="126" t="n">
        <v>29</v>
      </c>
      <c r="AH3" s="126" t="n">
        <v>30</v>
      </c>
      <c r="AI3" s="126" t="n">
        <v>31</v>
      </c>
      <c r="AJ3" s="126" t="n">
        <v>32</v>
      </c>
      <c r="AK3" s="126" t="n">
        <v>33</v>
      </c>
      <c r="AL3" s="126" t="n">
        <v>34</v>
      </c>
      <c r="AM3" s="126" t="n">
        <v>35</v>
      </c>
      <c r="AN3" s="126" t="n">
        <v>36</v>
      </c>
      <c r="AO3" s="126" t="n">
        <v>37</v>
      </c>
      <c r="AP3" s="126" t="n">
        <v>38</v>
      </c>
      <c r="AQ3" s="126" t="n">
        <v>39</v>
      </c>
      <c r="AR3" s="126" t="n">
        <v>40</v>
      </c>
      <c r="AS3" s="126" t="n">
        <v>41</v>
      </c>
      <c r="AT3" s="126" t="n">
        <v>42</v>
      </c>
      <c r="AU3" s="126" t="n">
        <v>43</v>
      </c>
      <c r="AV3" s="126" t="n">
        <v>44</v>
      </c>
      <c r="AW3" s="126" t="n">
        <v>45</v>
      </c>
      <c r="AX3" s="126" t="n">
        <v>46</v>
      </c>
      <c r="AY3" s="126" t="n">
        <v>47</v>
      </c>
      <c r="AZ3" s="126" t="n">
        <v>48</v>
      </c>
      <c r="BA3" s="126" t="n">
        <v>49</v>
      </c>
      <c r="BB3" s="126" t="n">
        <v>50</v>
      </c>
      <c r="BC3" s="126" t="n">
        <v>51</v>
      </c>
      <c r="BD3" s="126" t="n">
        <v>52</v>
      </c>
      <c r="BE3" s="126" t="n">
        <v>53</v>
      </c>
      <c r="BF3" s="126" t="n">
        <v>54</v>
      </c>
      <c r="BG3" s="126" t="n">
        <v>55</v>
      </c>
      <c r="BH3" s="126" t="n">
        <v>56</v>
      </c>
      <c r="BI3" s="126" t="n">
        <v>57</v>
      </c>
      <c r="BJ3" s="126" t="n">
        <v>58</v>
      </c>
      <c r="BK3" s="126" t="n">
        <v>59</v>
      </c>
      <c r="BL3" s="126" t="n">
        <v>60</v>
      </c>
      <c r="BM3" s="126" t="n">
        <v>61</v>
      </c>
      <c r="BN3" s="126" t="n">
        <v>62</v>
      </c>
      <c r="BO3" s="126" t="n">
        <v>63</v>
      </c>
      <c r="BP3" s="126" t="n">
        <v>64</v>
      </c>
      <c r="BQ3" s="126" t="n">
        <v>65</v>
      </c>
      <c r="BR3" s="126" t="n">
        <v>66</v>
      </c>
      <c r="BS3" s="126" t="n">
        <v>67</v>
      </c>
      <c r="BT3" s="126" t="n">
        <v>68</v>
      </c>
      <c r="BU3" s="126" t="n">
        <v>69</v>
      </c>
      <c r="BV3" s="126" t="n">
        <v>70</v>
      </c>
      <c r="BW3" s="126" t="n">
        <v>71</v>
      </c>
      <c r="BX3" s="126" t="n">
        <v>72</v>
      </c>
      <c r="BY3" s="126" t="n">
        <v>73</v>
      </c>
      <c r="BZ3" s="126" t="n">
        <v>74</v>
      </c>
      <c r="CA3" s="126" t="n">
        <v>75</v>
      </c>
      <c r="CB3" s="126" t="n">
        <v>76</v>
      </c>
      <c r="CC3" s="126" t="n">
        <v>77</v>
      </c>
      <c r="CD3" s="126" t="n">
        <v>78</v>
      </c>
      <c r="CE3" s="126" t="n">
        <v>79</v>
      </c>
      <c r="CF3" s="126" t="n">
        <v>80</v>
      </c>
      <c r="CG3" s="126" t="n">
        <v>81</v>
      </c>
      <c r="CH3" s="126" t="n">
        <v>82</v>
      </c>
      <c r="CI3" s="126" t="n">
        <v>83</v>
      </c>
      <c r="CJ3" s="126" t="n">
        <v>84</v>
      </c>
      <c r="CK3" s="126" t="n">
        <v>85</v>
      </c>
      <c r="CL3" s="126" t="n">
        <v>86</v>
      </c>
      <c r="CM3" s="126" t="n">
        <v>87</v>
      </c>
      <c r="CN3" s="126" t="n">
        <v>88</v>
      </c>
      <c r="CO3" s="126" t="n">
        <v>89</v>
      </c>
      <c r="CP3" s="126" t="n">
        <v>90</v>
      </c>
      <c r="CQ3" s="126" t="n">
        <v>91</v>
      </c>
      <c r="CR3" s="126" t="n">
        <v>92</v>
      </c>
      <c r="CS3" s="126" t="n">
        <v>93</v>
      </c>
      <c r="CT3" s="126" t="n">
        <v>94</v>
      </c>
      <c r="CU3" s="126" t="n">
        <v>95</v>
      </c>
      <c r="CV3" s="126" t="n">
        <v>96</v>
      </c>
      <c r="CW3" s="126" t="n">
        <v>97</v>
      </c>
      <c r="CX3" s="126" t="n">
        <v>98</v>
      </c>
      <c r="CY3" s="126" t="n">
        <v>99</v>
      </c>
      <c r="CZ3" s="126" t="n">
        <v>100</v>
      </c>
      <c r="DA3" s="126" t="n">
        <v>101</v>
      </c>
      <c r="DB3" s="126" t="n">
        <v>102</v>
      </c>
      <c r="DC3" s="126" t="n">
        <v>103</v>
      </c>
      <c r="DD3" s="126" t="n">
        <v>104</v>
      </c>
      <c r="DE3" s="126" t="n">
        <v>105</v>
      </c>
      <c r="DF3" s="126" t="n">
        <v>106</v>
      </c>
      <c r="DG3" s="126" t="n">
        <v>107</v>
      </c>
      <c r="DH3" s="126" t="n">
        <v>108</v>
      </c>
      <c r="DI3" s="126" t="n">
        <v>109</v>
      </c>
      <c r="DJ3" s="126" t="n">
        <v>110</v>
      </c>
      <c r="DK3" s="126" t="n">
        <v>111</v>
      </c>
      <c r="DL3" s="126" t="n">
        <v>112</v>
      </c>
      <c r="DM3" s="126" t="n">
        <v>113</v>
      </c>
      <c r="DN3" s="126" t="n">
        <v>114</v>
      </c>
      <c r="DO3" s="126" t="n">
        <v>115</v>
      </c>
      <c r="DP3" s="126" t="n">
        <v>116</v>
      </c>
      <c r="DQ3" s="126" t="n">
        <v>117</v>
      </c>
      <c r="DR3" s="126" t="n">
        <v>118</v>
      </c>
      <c r="DS3" s="126" t="n">
        <v>119</v>
      </c>
      <c r="DT3" s="126" t="n">
        <v>120</v>
      </c>
      <c r="DU3" s="126" t="n">
        <v>121</v>
      </c>
      <c r="DV3" s="126" t="n">
        <v>122</v>
      </c>
      <c r="DW3" s="126" t="n">
        <v>123</v>
      </c>
      <c r="DX3" s="126" t="n">
        <v>124</v>
      </c>
      <c r="DY3" s="126" t="n">
        <v>125</v>
      </c>
      <c r="DZ3" s="126" t="n">
        <v>126</v>
      </c>
      <c r="EA3" s="126" t="n">
        <v>127</v>
      </c>
      <c r="EB3" s="126" t="n">
        <v>128</v>
      </c>
      <c r="EC3" s="126" t="n">
        <v>129</v>
      </c>
      <c r="ED3" s="126" t="n">
        <v>130</v>
      </c>
      <c r="EE3" s="126" t="n">
        <v>131</v>
      </c>
      <c r="EF3" s="126" t="n">
        <v>132</v>
      </c>
      <c r="EG3" s="126" t="n">
        <v>133</v>
      </c>
      <c r="EH3" s="126" t="n">
        <v>134</v>
      </c>
      <c r="EI3" s="126" t="n">
        <v>135</v>
      </c>
      <c r="EJ3" s="126" t="n">
        <v>136</v>
      </c>
      <c r="EK3" s="126" t="n">
        <v>137</v>
      </c>
      <c r="EL3" s="126" t="n">
        <v>138</v>
      </c>
      <c r="EM3" s="126" t="n">
        <v>139</v>
      </c>
      <c r="EN3" s="126" t="n">
        <v>140</v>
      </c>
      <c r="EO3" s="126" t="n">
        <v>141</v>
      </c>
      <c r="EP3" s="126" t="n">
        <v>142</v>
      </c>
      <c r="EQ3" s="126" t="n">
        <v>143</v>
      </c>
      <c r="ER3" s="126" t="n">
        <v>144</v>
      </c>
      <c r="ES3" s="126" t="n">
        <v>145</v>
      </c>
      <c r="ET3" s="126" t="n">
        <v>146</v>
      </c>
      <c r="EU3" s="126" t="n">
        <v>147</v>
      </c>
      <c r="EV3" s="126" t="n">
        <v>148</v>
      </c>
      <c r="EW3" s="126" t="n">
        <v>149</v>
      </c>
      <c r="EX3" s="126" t="n">
        <v>150</v>
      </c>
      <c r="EY3" s="126" t="n">
        <v>151</v>
      </c>
      <c r="EZ3" s="126" t="n">
        <v>152</v>
      </c>
      <c r="FA3" s="126" t="n">
        <v>153</v>
      </c>
      <c r="FB3" s="126" t="n">
        <v>154</v>
      </c>
      <c r="FC3" s="126" t="n">
        <v>155</v>
      </c>
      <c r="FD3" s="126" t="n">
        <v>156</v>
      </c>
      <c r="FE3" s="126" t="n">
        <v>157</v>
      </c>
      <c r="FF3" s="126" t="n">
        <v>158</v>
      </c>
      <c r="FG3" s="126" t="n">
        <v>159</v>
      </c>
      <c r="FH3" s="126" t="n">
        <v>160</v>
      </c>
      <c r="FI3" s="126" t="n">
        <v>161</v>
      </c>
      <c r="FJ3" s="126" t="n">
        <v>162</v>
      </c>
      <c r="FK3" s="126" t="n">
        <v>163</v>
      </c>
      <c r="FL3" s="126" t="n">
        <v>164</v>
      </c>
      <c r="FM3" s="126" t="n">
        <v>165</v>
      </c>
      <c r="FN3" s="126" t="n">
        <v>166</v>
      </c>
      <c r="FO3" s="126" t="n">
        <v>167</v>
      </c>
      <c r="FP3" s="126" t="n">
        <v>168</v>
      </c>
      <c r="FQ3" s="126" t="n">
        <v>169</v>
      </c>
      <c r="FR3" s="126" t="n">
        <v>170</v>
      </c>
      <c r="FS3" s="126" t="n">
        <v>171</v>
      </c>
      <c r="FT3" s="126" t="n">
        <v>172</v>
      </c>
      <c r="FU3" s="126" t="n">
        <v>173</v>
      </c>
      <c r="FV3" s="126" t="n">
        <v>174</v>
      </c>
      <c r="FW3" s="126" t="n">
        <v>175</v>
      </c>
      <c r="FX3" s="126" t="n">
        <v>176</v>
      </c>
      <c r="FY3" s="126" t="n">
        <v>177</v>
      </c>
      <c r="FZ3" s="126" t="n">
        <v>178</v>
      </c>
      <c r="GA3" s="126" t="n">
        <v>179</v>
      </c>
      <c r="GB3" s="126" t="n">
        <v>180</v>
      </c>
      <c r="GC3" s="126" t="n">
        <v>181</v>
      </c>
      <c r="GD3" s="126" t="n">
        <v>182</v>
      </c>
      <c r="GE3" s="126" t="n">
        <v>183</v>
      </c>
      <c r="GF3" s="126" t="n">
        <v>184</v>
      </c>
      <c r="GG3" s="126" t="n">
        <v>185</v>
      </c>
      <c r="GH3" s="126" t="n">
        <v>186</v>
      </c>
      <c r="GI3" s="126" t="n">
        <v>187</v>
      </c>
      <c r="GJ3" s="126" t="n">
        <v>188</v>
      </c>
      <c r="GK3" s="126" t="n">
        <v>189</v>
      </c>
      <c r="GL3" s="126" t="n">
        <v>190</v>
      </c>
      <c r="GM3" s="126" t="n">
        <v>191</v>
      </c>
      <c r="GN3" s="126" t="n">
        <v>192</v>
      </c>
      <c r="GO3" s="126" t="n">
        <v>193</v>
      </c>
      <c r="GP3" s="126" t="n">
        <v>194</v>
      </c>
      <c r="GQ3" s="126" t="n">
        <v>195</v>
      </c>
      <c r="GR3" s="126" t="n">
        <v>196</v>
      </c>
      <c r="GS3" s="126" t="n">
        <v>197</v>
      </c>
      <c r="GT3" s="126" t="n">
        <v>198</v>
      </c>
      <c r="GU3" s="126" t="n">
        <v>199</v>
      </c>
      <c r="GV3" s="126" t="n">
        <v>200</v>
      </c>
      <c r="GW3" s="126" t="n">
        <v>201</v>
      </c>
      <c r="GX3" s="126" t="n">
        <v>202</v>
      </c>
      <c r="GY3" s="126" t="n">
        <v>203</v>
      </c>
      <c r="GZ3" s="126" t="n">
        <v>204</v>
      </c>
      <c r="HA3" s="126" t="n">
        <v>205</v>
      </c>
      <c r="HB3" s="126" t="n">
        <v>206</v>
      </c>
      <c r="HC3" s="126" t="n">
        <v>207</v>
      </c>
      <c r="HD3" s="126" t="n">
        <v>208</v>
      </c>
      <c r="HE3" s="126" t="n">
        <v>209</v>
      </c>
      <c r="HF3" s="126" t="n">
        <v>210</v>
      </c>
      <c r="HG3" s="126" t="n">
        <v>211</v>
      </c>
      <c r="HH3" s="126" t="n">
        <v>212</v>
      </c>
      <c r="HI3" s="126" t="n">
        <v>213</v>
      </c>
      <c r="HJ3" s="126" t="n">
        <v>214</v>
      </c>
      <c r="HK3" s="126" t="n">
        <v>215</v>
      </c>
      <c r="HL3" s="126" t="n">
        <v>216</v>
      </c>
      <c r="HM3" s="126" t="n">
        <v>217</v>
      </c>
      <c r="HN3" s="126" t="n">
        <v>218</v>
      </c>
      <c r="HO3" s="126" t="n">
        <v>219</v>
      </c>
      <c r="HP3" s="126" t="n">
        <v>220</v>
      </c>
      <c r="HQ3" s="126" t="n">
        <v>221</v>
      </c>
      <c r="HR3" s="126" t="n">
        <v>222</v>
      </c>
      <c r="HS3" s="126" t="n">
        <v>223</v>
      </c>
      <c r="HT3" s="126" t="n">
        <v>224</v>
      </c>
      <c r="HU3" s="126" t="n">
        <v>225</v>
      </c>
      <c r="HV3" s="126" t="n">
        <v>226</v>
      </c>
      <c r="HW3" s="126" t="n">
        <v>227</v>
      </c>
      <c r="HX3" s="126" t="n">
        <v>228</v>
      </c>
      <c r="HY3" s="126" t="n">
        <v>229</v>
      </c>
      <c r="HZ3" s="126" t="n">
        <v>230</v>
      </c>
      <c r="IA3" s="126" t="n">
        <v>231</v>
      </c>
      <c r="IB3" s="126" t="n">
        <v>232</v>
      </c>
      <c r="IC3" s="126" t="n">
        <v>233</v>
      </c>
      <c r="ID3" s="126" t="n">
        <v>234</v>
      </c>
      <c r="IE3" s="126" t="n">
        <v>235</v>
      </c>
      <c r="IF3" s="126" t="n">
        <v>236</v>
      </c>
      <c r="IG3" s="126" t="n">
        <v>237</v>
      </c>
      <c r="IH3" s="126" t="n">
        <v>238</v>
      </c>
      <c r="II3" s="126" t="n">
        <v>239</v>
      </c>
      <c r="IJ3" s="126" t="n">
        <v>240</v>
      </c>
      <c r="IK3" s="126" t="n">
        <v>241</v>
      </c>
      <c r="IL3" s="126" t="n">
        <v>242</v>
      </c>
      <c r="IM3" s="126" t="n">
        <v>243</v>
      </c>
      <c r="IN3" s="126" t="n">
        <v>244</v>
      </c>
      <c r="IO3" s="126" t="n">
        <v>245</v>
      </c>
      <c r="IP3" s="126" t="n">
        <v>246</v>
      </c>
      <c r="IQ3" s="126" t="n">
        <v>247</v>
      </c>
      <c r="IR3" s="126" t="n">
        <v>248</v>
      </c>
      <c r="IS3" s="126" t="n">
        <v>249</v>
      </c>
      <c r="IT3" s="126" t="n">
        <v>250</v>
      </c>
      <c r="IU3" s="126" t="n">
        <v>251</v>
      </c>
      <c r="IV3" s="126" t="n">
        <v>252</v>
      </c>
      <c r="IW3" s="126" t="n">
        <v>253</v>
      </c>
      <c r="IX3" s="126" t="n">
        <v>254</v>
      </c>
      <c r="IY3" s="126" t="n">
        <v>255</v>
      </c>
      <c r="IZ3" s="126" t="n">
        <v>256</v>
      </c>
      <c r="JA3" s="126" t="n">
        <v>257</v>
      </c>
      <c r="JB3" s="126" t="n">
        <v>258</v>
      </c>
      <c r="JC3" s="126" t="n">
        <v>259</v>
      </c>
      <c r="JD3" s="126" t="n">
        <v>260</v>
      </c>
      <c r="JE3" s="126" t="n">
        <v>261</v>
      </c>
      <c r="JF3" s="126" t="n">
        <v>262</v>
      </c>
      <c r="JG3" s="126" t="n">
        <v>263</v>
      </c>
      <c r="JH3" s="126" t="n">
        <v>264</v>
      </c>
      <c r="JI3" s="126" t="n">
        <v>265</v>
      </c>
      <c r="JJ3" s="126" t="n">
        <v>266</v>
      </c>
      <c r="JK3" s="126" t="n">
        <v>267</v>
      </c>
      <c r="JL3" s="126" t="n">
        <v>268</v>
      </c>
      <c r="JM3" s="126" t="n">
        <v>269</v>
      </c>
      <c r="JN3" s="126" t="n">
        <v>270</v>
      </c>
      <c r="JO3" s="126" t="n">
        <v>271</v>
      </c>
      <c r="JP3" s="126" t="n">
        <v>272</v>
      </c>
      <c r="JQ3" s="126" t="n">
        <v>273</v>
      </c>
      <c r="JR3" s="126" t="n">
        <v>274</v>
      </c>
      <c r="JS3" s="126" t="n">
        <v>275</v>
      </c>
      <c r="JT3" s="126" t="n">
        <v>276</v>
      </c>
      <c r="JU3" s="126" t="n">
        <v>277</v>
      </c>
      <c r="JV3" s="126" t="n">
        <v>278</v>
      </c>
      <c r="JW3" s="126" t="n">
        <v>279</v>
      </c>
      <c r="JX3" s="126" t="n">
        <v>280</v>
      </c>
      <c r="JY3" s="126" t="n">
        <v>281</v>
      </c>
      <c r="JZ3" s="126" t="n">
        <v>282</v>
      </c>
      <c r="KA3" s="126" t="n">
        <v>283</v>
      </c>
      <c r="KB3" s="126" t="n">
        <v>284</v>
      </c>
      <c r="KC3" s="126" t="n">
        <v>285</v>
      </c>
      <c r="KD3" s="126" t="n">
        <v>286</v>
      </c>
      <c r="KE3" s="126" t="n">
        <v>287</v>
      </c>
      <c r="KF3" s="126" t="n">
        <v>288</v>
      </c>
      <c r="KG3" s="126" t="n">
        <v>289</v>
      </c>
      <c r="KH3" s="126" t="n">
        <v>290</v>
      </c>
      <c r="KI3" s="126" t="n">
        <v>291</v>
      </c>
      <c r="KJ3" s="126" t="n">
        <v>292</v>
      </c>
      <c r="KK3" s="126" t="n">
        <v>293</v>
      </c>
      <c r="KL3" s="126" t="n">
        <v>294</v>
      </c>
      <c r="KM3" s="126" t="n">
        <v>295</v>
      </c>
      <c r="KN3" s="126" t="n">
        <v>296</v>
      </c>
      <c r="KO3" s="126" t="n">
        <v>297</v>
      </c>
      <c r="KP3" s="126" t="n">
        <v>298</v>
      </c>
      <c r="KQ3" s="126" t="n">
        <v>299</v>
      </c>
      <c r="KR3" s="126" t="n">
        <v>300</v>
      </c>
      <c r="KS3" s="126" t="n">
        <v>301</v>
      </c>
      <c r="KT3" s="126" t="n">
        <v>302</v>
      </c>
      <c r="KU3" s="126" t="n">
        <v>303</v>
      </c>
      <c r="KV3" s="126" t="n">
        <v>304</v>
      </c>
      <c r="KW3" s="126" t="n">
        <v>305</v>
      </c>
      <c r="KX3" s="126" t="n">
        <v>306</v>
      </c>
      <c r="KY3" s="126" t="n">
        <v>307</v>
      </c>
      <c r="KZ3" s="126" t="n">
        <v>308</v>
      </c>
      <c r="LA3" s="126" t="n">
        <v>309</v>
      </c>
      <c r="LB3" s="126" t="n">
        <v>310</v>
      </c>
      <c r="LC3" s="126" t="n">
        <v>311</v>
      </c>
      <c r="LD3" s="126" t="n">
        <v>312</v>
      </c>
      <c r="LE3" s="126" t="n">
        <v>313</v>
      </c>
      <c r="LF3" s="126" t="n">
        <v>314</v>
      </c>
      <c r="LG3" s="126" t="n">
        <v>315</v>
      </c>
      <c r="LH3" s="126" t="n">
        <v>316</v>
      </c>
      <c r="LI3" s="126" t="n">
        <v>317</v>
      </c>
      <c r="LJ3" s="126" t="n">
        <v>318</v>
      </c>
      <c r="LK3" s="126" t="n">
        <v>319</v>
      </c>
      <c r="LL3" s="126" t="n">
        <v>320</v>
      </c>
      <c r="LM3" s="126" t="n">
        <v>321</v>
      </c>
      <c r="LN3" s="126" t="n">
        <v>322</v>
      </c>
      <c r="LO3" s="126" t="n">
        <v>323</v>
      </c>
      <c r="LP3" s="126" t="n">
        <v>324</v>
      </c>
      <c r="LQ3" s="126" t="n">
        <v>325</v>
      </c>
      <c r="LR3" s="126" t="n">
        <v>326</v>
      </c>
      <c r="LS3" s="126" t="n">
        <v>327</v>
      </c>
      <c r="LT3" s="126" t="n">
        <v>328</v>
      </c>
      <c r="LU3" s="126" t="n">
        <v>329</v>
      </c>
      <c r="LV3" s="126" t="n">
        <v>330</v>
      </c>
      <c r="LW3" s="126" t="n">
        <v>331</v>
      </c>
      <c r="LX3" s="126" t="n">
        <v>332</v>
      </c>
      <c r="LY3" s="126" t="n">
        <v>333</v>
      </c>
      <c r="LZ3" s="126" t="n">
        <v>334</v>
      </c>
      <c r="MA3" s="126" t="n">
        <v>335</v>
      </c>
      <c r="MB3" s="126" t="n">
        <v>336</v>
      </c>
      <c r="MC3" s="126" t="n">
        <v>337</v>
      </c>
      <c r="MD3" s="126" t="n">
        <v>338</v>
      </c>
      <c r="ME3" s="126" t="n">
        <v>339</v>
      </c>
      <c r="MF3" s="126" t="n">
        <v>340</v>
      </c>
      <c r="MG3" s="126" t="n">
        <v>341</v>
      </c>
      <c r="MH3" s="126" t="n">
        <v>342</v>
      </c>
      <c r="MI3" s="126" t="n">
        <v>343</v>
      </c>
      <c r="MJ3" s="126" t="n">
        <v>344</v>
      </c>
      <c r="MK3" s="126" t="n">
        <v>345</v>
      </c>
      <c r="ML3" s="126" t="n">
        <v>346</v>
      </c>
      <c r="MM3" s="126" t="n">
        <v>347</v>
      </c>
      <c r="MN3" s="126" t="n">
        <v>348</v>
      </c>
      <c r="MO3" s="126" t="n">
        <v>349</v>
      </c>
      <c r="MP3" s="126" t="n">
        <v>350</v>
      </c>
      <c r="MQ3" s="126" t="n">
        <v>351</v>
      </c>
      <c r="MR3" s="126" t="n">
        <v>352</v>
      </c>
      <c r="MS3" s="126" t="n">
        <v>353</v>
      </c>
      <c r="MT3" s="126" t="n">
        <v>354</v>
      </c>
      <c r="MU3" s="126" t="n">
        <v>355</v>
      </c>
      <c r="MV3" s="126" t="n">
        <v>356</v>
      </c>
      <c r="MW3" s="126" t="n">
        <v>357</v>
      </c>
      <c r="MX3" s="126" t="n">
        <v>358</v>
      </c>
      <c r="MY3" s="126" t="n">
        <v>359</v>
      </c>
      <c r="MZ3" s="126" t="n">
        <v>360</v>
      </c>
      <c r="NA3" s="126" t="n">
        <v>361</v>
      </c>
      <c r="NB3" s="126" t="n">
        <v>362</v>
      </c>
      <c r="NC3" s="126" t="n">
        <v>363</v>
      </c>
      <c r="ND3" s="126" t="n">
        <v>364</v>
      </c>
      <c r="NE3" s="126" t="n">
        <v>365</v>
      </c>
      <c r="NF3" s="126" t="n">
        <v>366</v>
      </c>
      <c r="NG3" s="126" t="n">
        <v>367</v>
      </c>
      <c r="NH3" s="126" t="n">
        <v>368</v>
      </c>
      <c r="NI3" s="126" t="n">
        <v>369</v>
      </c>
      <c r="NJ3" s="126" t="n">
        <v>370</v>
      </c>
      <c r="NK3" s="126" t="n">
        <v>371</v>
      </c>
      <c r="NL3" s="127" t="n">
        <v>372</v>
      </c>
    </row>
    <row r="4">
      <c r="B4" s="123" t="inlineStr">
        <is>
          <t>Month Start</t>
        </is>
      </c>
      <c r="E4" s="128">
        <f>EDATE(InceptionDate,0)</f>
        <v/>
      </c>
      <c r="F4" s="128">
        <f>EDATE(InceptionDate,1)</f>
        <v/>
      </c>
      <c r="G4" s="128">
        <f>EDATE(InceptionDate,2)</f>
        <v/>
      </c>
      <c r="H4" s="128">
        <f>EDATE(InceptionDate,3)</f>
        <v/>
      </c>
      <c r="I4" s="128">
        <f>EDATE(InceptionDate,4)</f>
        <v/>
      </c>
      <c r="J4" s="128">
        <f>EDATE(InceptionDate,5)</f>
        <v/>
      </c>
      <c r="K4" s="128">
        <f>EDATE(InceptionDate,6)</f>
        <v/>
      </c>
      <c r="L4" s="128">
        <f>EDATE(InceptionDate,7)</f>
        <v/>
      </c>
      <c r="M4" s="128">
        <f>EDATE(InceptionDate,8)</f>
        <v/>
      </c>
      <c r="N4" s="128">
        <f>EDATE(InceptionDate,9)</f>
        <v/>
      </c>
      <c r="O4" s="128">
        <f>EDATE(InceptionDate,10)</f>
        <v/>
      </c>
      <c r="P4" s="128">
        <f>EDATE(InceptionDate,11)</f>
        <v/>
      </c>
      <c r="Q4" s="128">
        <f>EDATE(InceptionDate,12)</f>
        <v/>
      </c>
      <c r="R4" s="128">
        <f>EDATE(InceptionDate,13)</f>
        <v/>
      </c>
      <c r="S4" s="128">
        <f>EDATE(InceptionDate,14)</f>
        <v/>
      </c>
      <c r="T4" s="128">
        <f>EDATE(InceptionDate,15)</f>
        <v/>
      </c>
      <c r="U4" s="128">
        <f>EDATE(InceptionDate,16)</f>
        <v/>
      </c>
      <c r="V4" s="128">
        <f>EDATE(InceptionDate,17)</f>
        <v/>
      </c>
      <c r="W4" s="128">
        <f>EDATE(InceptionDate,18)</f>
        <v/>
      </c>
      <c r="X4" s="128">
        <f>EDATE(InceptionDate,19)</f>
        <v/>
      </c>
      <c r="Y4" s="128">
        <f>EDATE(InceptionDate,20)</f>
        <v/>
      </c>
      <c r="Z4" s="128">
        <f>EDATE(InceptionDate,21)</f>
        <v/>
      </c>
      <c r="AA4" s="128">
        <f>EDATE(InceptionDate,22)</f>
        <v/>
      </c>
      <c r="AB4" s="128">
        <f>EDATE(InceptionDate,23)</f>
        <v/>
      </c>
      <c r="AC4" s="128">
        <f>EDATE(InceptionDate,24)</f>
        <v/>
      </c>
      <c r="AD4" s="128">
        <f>EDATE(InceptionDate,25)</f>
        <v/>
      </c>
      <c r="AE4" s="128">
        <f>EDATE(InceptionDate,26)</f>
        <v/>
      </c>
      <c r="AF4" s="128">
        <f>EDATE(InceptionDate,27)</f>
        <v/>
      </c>
      <c r="AG4" s="128">
        <f>EDATE(InceptionDate,28)</f>
        <v/>
      </c>
      <c r="AH4" s="128">
        <f>EDATE(InceptionDate,29)</f>
        <v/>
      </c>
      <c r="AI4" s="128">
        <f>EDATE(InceptionDate,30)</f>
        <v/>
      </c>
      <c r="AJ4" s="128">
        <f>EDATE(InceptionDate,31)</f>
        <v/>
      </c>
      <c r="AK4" s="128">
        <f>EDATE(InceptionDate,32)</f>
        <v/>
      </c>
      <c r="AL4" s="128">
        <f>EDATE(InceptionDate,33)</f>
        <v/>
      </c>
      <c r="AM4" s="128">
        <f>EDATE(InceptionDate,34)</f>
        <v/>
      </c>
      <c r="AN4" s="128">
        <f>EDATE(InceptionDate,35)</f>
        <v/>
      </c>
      <c r="AO4" s="128">
        <f>EDATE(InceptionDate,36)</f>
        <v/>
      </c>
      <c r="AP4" s="128">
        <f>EDATE(InceptionDate,37)</f>
        <v/>
      </c>
      <c r="AQ4" s="128">
        <f>EDATE(InceptionDate,38)</f>
        <v/>
      </c>
      <c r="AR4" s="128">
        <f>EDATE(InceptionDate,39)</f>
        <v/>
      </c>
      <c r="AS4" s="128">
        <f>EDATE(InceptionDate,40)</f>
        <v/>
      </c>
      <c r="AT4" s="128">
        <f>EDATE(InceptionDate,41)</f>
        <v/>
      </c>
      <c r="AU4" s="128">
        <f>EDATE(InceptionDate,42)</f>
        <v/>
      </c>
      <c r="AV4" s="128">
        <f>EDATE(InceptionDate,43)</f>
        <v/>
      </c>
      <c r="AW4" s="128">
        <f>EDATE(InceptionDate,44)</f>
        <v/>
      </c>
      <c r="AX4" s="128">
        <f>EDATE(InceptionDate,45)</f>
        <v/>
      </c>
      <c r="AY4" s="128">
        <f>EDATE(InceptionDate,46)</f>
        <v/>
      </c>
      <c r="AZ4" s="128">
        <f>EDATE(InceptionDate,47)</f>
        <v/>
      </c>
      <c r="BA4" s="128">
        <f>EDATE(InceptionDate,48)</f>
        <v/>
      </c>
      <c r="BB4" s="128">
        <f>EDATE(InceptionDate,49)</f>
        <v/>
      </c>
      <c r="BC4" s="128">
        <f>EDATE(InceptionDate,50)</f>
        <v/>
      </c>
      <c r="BD4" s="128">
        <f>EDATE(InceptionDate,51)</f>
        <v/>
      </c>
      <c r="BE4" s="128">
        <f>EDATE(InceptionDate,52)</f>
        <v/>
      </c>
      <c r="BF4" s="128">
        <f>EDATE(InceptionDate,53)</f>
        <v/>
      </c>
      <c r="BG4" s="128">
        <f>EDATE(InceptionDate,54)</f>
        <v/>
      </c>
      <c r="BH4" s="128">
        <f>EDATE(InceptionDate,55)</f>
        <v/>
      </c>
      <c r="BI4" s="128">
        <f>EDATE(InceptionDate,56)</f>
        <v/>
      </c>
      <c r="BJ4" s="128">
        <f>EDATE(InceptionDate,57)</f>
        <v/>
      </c>
      <c r="BK4" s="128">
        <f>EDATE(InceptionDate,58)</f>
        <v/>
      </c>
      <c r="BL4" s="128">
        <f>EDATE(InceptionDate,59)</f>
        <v/>
      </c>
      <c r="BM4" s="128">
        <f>EDATE(InceptionDate,60)</f>
        <v/>
      </c>
      <c r="BN4" s="128">
        <f>EDATE(InceptionDate,61)</f>
        <v/>
      </c>
      <c r="BO4" s="128">
        <f>EDATE(InceptionDate,62)</f>
        <v/>
      </c>
      <c r="BP4" s="128">
        <f>EDATE(InceptionDate,63)</f>
        <v/>
      </c>
      <c r="BQ4" s="128">
        <f>EDATE(InceptionDate,64)</f>
        <v/>
      </c>
      <c r="BR4" s="128">
        <f>EDATE(InceptionDate,65)</f>
        <v/>
      </c>
      <c r="BS4" s="128">
        <f>EDATE(InceptionDate,66)</f>
        <v/>
      </c>
      <c r="BT4" s="128">
        <f>EDATE(InceptionDate,67)</f>
        <v/>
      </c>
      <c r="BU4" s="128">
        <f>EDATE(InceptionDate,68)</f>
        <v/>
      </c>
      <c r="BV4" s="128">
        <f>EDATE(InceptionDate,69)</f>
        <v/>
      </c>
      <c r="BW4" s="128">
        <f>EDATE(InceptionDate,70)</f>
        <v/>
      </c>
      <c r="BX4" s="128">
        <f>EDATE(InceptionDate,71)</f>
        <v/>
      </c>
      <c r="BY4" s="128">
        <f>EDATE(InceptionDate,72)</f>
        <v/>
      </c>
      <c r="BZ4" s="128">
        <f>EDATE(InceptionDate,73)</f>
        <v/>
      </c>
      <c r="CA4" s="128">
        <f>EDATE(InceptionDate,74)</f>
        <v/>
      </c>
      <c r="CB4" s="128">
        <f>EDATE(InceptionDate,75)</f>
        <v/>
      </c>
      <c r="CC4" s="128">
        <f>EDATE(InceptionDate,76)</f>
        <v/>
      </c>
      <c r="CD4" s="128">
        <f>EDATE(InceptionDate,77)</f>
        <v/>
      </c>
      <c r="CE4" s="128">
        <f>EDATE(InceptionDate,78)</f>
        <v/>
      </c>
      <c r="CF4" s="128">
        <f>EDATE(InceptionDate,79)</f>
        <v/>
      </c>
      <c r="CG4" s="128">
        <f>EDATE(InceptionDate,80)</f>
        <v/>
      </c>
      <c r="CH4" s="128">
        <f>EDATE(InceptionDate,81)</f>
        <v/>
      </c>
      <c r="CI4" s="128">
        <f>EDATE(InceptionDate,82)</f>
        <v/>
      </c>
      <c r="CJ4" s="128">
        <f>EDATE(InceptionDate,83)</f>
        <v/>
      </c>
      <c r="CK4" s="128">
        <f>EDATE(InceptionDate,84)</f>
        <v/>
      </c>
      <c r="CL4" s="128">
        <f>EDATE(InceptionDate,85)</f>
        <v/>
      </c>
      <c r="CM4" s="128">
        <f>EDATE(InceptionDate,86)</f>
        <v/>
      </c>
      <c r="CN4" s="128">
        <f>EDATE(InceptionDate,87)</f>
        <v/>
      </c>
      <c r="CO4" s="128">
        <f>EDATE(InceptionDate,88)</f>
        <v/>
      </c>
      <c r="CP4" s="128">
        <f>EDATE(InceptionDate,89)</f>
        <v/>
      </c>
      <c r="CQ4" s="128">
        <f>EDATE(InceptionDate,90)</f>
        <v/>
      </c>
      <c r="CR4" s="128">
        <f>EDATE(InceptionDate,91)</f>
        <v/>
      </c>
      <c r="CS4" s="128">
        <f>EDATE(InceptionDate,92)</f>
        <v/>
      </c>
      <c r="CT4" s="128">
        <f>EDATE(InceptionDate,93)</f>
        <v/>
      </c>
      <c r="CU4" s="128">
        <f>EDATE(InceptionDate,94)</f>
        <v/>
      </c>
      <c r="CV4" s="128">
        <f>EDATE(InceptionDate,95)</f>
        <v/>
      </c>
      <c r="CW4" s="128">
        <f>EDATE(InceptionDate,96)</f>
        <v/>
      </c>
      <c r="CX4" s="128">
        <f>EDATE(InceptionDate,97)</f>
        <v/>
      </c>
      <c r="CY4" s="128">
        <f>EDATE(InceptionDate,98)</f>
        <v/>
      </c>
      <c r="CZ4" s="128">
        <f>EDATE(InceptionDate,99)</f>
        <v/>
      </c>
      <c r="DA4" s="128">
        <f>EDATE(InceptionDate,100)</f>
        <v/>
      </c>
      <c r="DB4" s="128">
        <f>EDATE(InceptionDate,101)</f>
        <v/>
      </c>
      <c r="DC4" s="128">
        <f>EDATE(InceptionDate,102)</f>
        <v/>
      </c>
      <c r="DD4" s="128">
        <f>EDATE(InceptionDate,103)</f>
        <v/>
      </c>
      <c r="DE4" s="128">
        <f>EDATE(InceptionDate,104)</f>
        <v/>
      </c>
      <c r="DF4" s="128">
        <f>EDATE(InceptionDate,105)</f>
        <v/>
      </c>
      <c r="DG4" s="128">
        <f>EDATE(InceptionDate,106)</f>
        <v/>
      </c>
      <c r="DH4" s="128">
        <f>EDATE(InceptionDate,107)</f>
        <v/>
      </c>
      <c r="DI4" s="128">
        <f>EDATE(InceptionDate,108)</f>
        <v/>
      </c>
      <c r="DJ4" s="128">
        <f>EDATE(InceptionDate,109)</f>
        <v/>
      </c>
      <c r="DK4" s="128">
        <f>EDATE(InceptionDate,110)</f>
        <v/>
      </c>
      <c r="DL4" s="128">
        <f>EDATE(InceptionDate,111)</f>
        <v/>
      </c>
      <c r="DM4" s="128">
        <f>EDATE(InceptionDate,112)</f>
        <v/>
      </c>
      <c r="DN4" s="128">
        <f>EDATE(InceptionDate,113)</f>
        <v/>
      </c>
      <c r="DO4" s="128">
        <f>EDATE(InceptionDate,114)</f>
        <v/>
      </c>
      <c r="DP4" s="128">
        <f>EDATE(InceptionDate,115)</f>
        <v/>
      </c>
      <c r="DQ4" s="128">
        <f>EDATE(InceptionDate,116)</f>
        <v/>
      </c>
      <c r="DR4" s="128">
        <f>EDATE(InceptionDate,117)</f>
        <v/>
      </c>
      <c r="DS4" s="128">
        <f>EDATE(InceptionDate,118)</f>
        <v/>
      </c>
      <c r="DT4" s="128">
        <f>EDATE(InceptionDate,119)</f>
        <v/>
      </c>
      <c r="DU4" s="128">
        <f>EDATE(InceptionDate,120)</f>
        <v/>
      </c>
      <c r="DV4" s="128">
        <f>EDATE(InceptionDate,121)</f>
        <v/>
      </c>
      <c r="DW4" s="128">
        <f>EDATE(InceptionDate,122)</f>
        <v/>
      </c>
      <c r="DX4" s="128">
        <f>EDATE(InceptionDate,123)</f>
        <v/>
      </c>
      <c r="DY4" s="128">
        <f>EDATE(InceptionDate,124)</f>
        <v/>
      </c>
      <c r="DZ4" s="128">
        <f>EDATE(InceptionDate,125)</f>
        <v/>
      </c>
      <c r="EA4" s="128">
        <f>EDATE(InceptionDate,126)</f>
        <v/>
      </c>
      <c r="EB4" s="128">
        <f>EDATE(InceptionDate,127)</f>
        <v/>
      </c>
      <c r="EC4" s="128">
        <f>EDATE(InceptionDate,128)</f>
        <v/>
      </c>
      <c r="ED4" s="128">
        <f>EDATE(InceptionDate,129)</f>
        <v/>
      </c>
      <c r="EE4" s="128">
        <f>EDATE(InceptionDate,130)</f>
        <v/>
      </c>
      <c r="EF4" s="128">
        <f>EDATE(InceptionDate,131)</f>
        <v/>
      </c>
      <c r="EG4" s="128">
        <f>EDATE(InceptionDate,132)</f>
        <v/>
      </c>
      <c r="EH4" s="128">
        <f>EDATE(InceptionDate,133)</f>
        <v/>
      </c>
      <c r="EI4" s="128">
        <f>EDATE(InceptionDate,134)</f>
        <v/>
      </c>
      <c r="EJ4" s="128">
        <f>EDATE(InceptionDate,135)</f>
        <v/>
      </c>
      <c r="EK4" s="128">
        <f>EDATE(InceptionDate,136)</f>
        <v/>
      </c>
      <c r="EL4" s="128">
        <f>EDATE(InceptionDate,137)</f>
        <v/>
      </c>
      <c r="EM4" s="128">
        <f>EDATE(InceptionDate,138)</f>
        <v/>
      </c>
      <c r="EN4" s="128">
        <f>EDATE(InceptionDate,139)</f>
        <v/>
      </c>
      <c r="EO4" s="128">
        <f>EDATE(InceptionDate,140)</f>
        <v/>
      </c>
      <c r="EP4" s="128">
        <f>EDATE(InceptionDate,141)</f>
        <v/>
      </c>
      <c r="EQ4" s="128">
        <f>EDATE(InceptionDate,142)</f>
        <v/>
      </c>
      <c r="ER4" s="128">
        <f>EDATE(InceptionDate,143)</f>
        <v/>
      </c>
      <c r="ES4" s="128">
        <f>EDATE(InceptionDate,144)</f>
        <v/>
      </c>
      <c r="ET4" s="128">
        <f>EDATE(InceptionDate,145)</f>
        <v/>
      </c>
      <c r="EU4" s="128">
        <f>EDATE(InceptionDate,146)</f>
        <v/>
      </c>
      <c r="EV4" s="128">
        <f>EDATE(InceptionDate,147)</f>
        <v/>
      </c>
      <c r="EW4" s="128">
        <f>EDATE(InceptionDate,148)</f>
        <v/>
      </c>
      <c r="EX4" s="128">
        <f>EDATE(InceptionDate,149)</f>
        <v/>
      </c>
      <c r="EY4" s="128">
        <f>EDATE(InceptionDate,150)</f>
        <v/>
      </c>
      <c r="EZ4" s="128">
        <f>EDATE(InceptionDate,151)</f>
        <v/>
      </c>
      <c r="FA4" s="128">
        <f>EDATE(InceptionDate,152)</f>
        <v/>
      </c>
      <c r="FB4" s="128">
        <f>EDATE(InceptionDate,153)</f>
        <v/>
      </c>
      <c r="FC4" s="128">
        <f>EDATE(InceptionDate,154)</f>
        <v/>
      </c>
      <c r="FD4" s="128">
        <f>EDATE(InceptionDate,155)</f>
        <v/>
      </c>
      <c r="FE4" s="128">
        <f>EDATE(InceptionDate,156)</f>
        <v/>
      </c>
      <c r="FF4" s="128">
        <f>EDATE(InceptionDate,157)</f>
        <v/>
      </c>
      <c r="FG4" s="128">
        <f>EDATE(InceptionDate,158)</f>
        <v/>
      </c>
      <c r="FH4" s="128">
        <f>EDATE(InceptionDate,159)</f>
        <v/>
      </c>
      <c r="FI4" s="128">
        <f>EDATE(InceptionDate,160)</f>
        <v/>
      </c>
      <c r="FJ4" s="128">
        <f>EDATE(InceptionDate,161)</f>
        <v/>
      </c>
      <c r="FK4" s="128">
        <f>EDATE(InceptionDate,162)</f>
        <v/>
      </c>
      <c r="FL4" s="128">
        <f>EDATE(InceptionDate,163)</f>
        <v/>
      </c>
      <c r="FM4" s="128">
        <f>EDATE(InceptionDate,164)</f>
        <v/>
      </c>
      <c r="FN4" s="128">
        <f>EDATE(InceptionDate,165)</f>
        <v/>
      </c>
      <c r="FO4" s="128">
        <f>EDATE(InceptionDate,166)</f>
        <v/>
      </c>
      <c r="FP4" s="128">
        <f>EDATE(InceptionDate,167)</f>
        <v/>
      </c>
      <c r="FQ4" s="128">
        <f>EDATE(InceptionDate,168)</f>
        <v/>
      </c>
      <c r="FR4" s="128">
        <f>EDATE(InceptionDate,169)</f>
        <v/>
      </c>
      <c r="FS4" s="128">
        <f>EDATE(InceptionDate,170)</f>
        <v/>
      </c>
      <c r="FT4" s="128">
        <f>EDATE(InceptionDate,171)</f>
        <v/>
      </c>
      <c r="FU4" s="128">
        <f>EDATE(InceptionDate,172)</f>
        <v/>
      </c>
      <c r="FV4" s="128">
        <f>EDATE(InceptionDate,173)</f>
        <v/>
      </c>
      <c r="FW4" s="128">
        <f>EDATE(InceptionDate,174)</f>
        <v/>
      </c>
      <c r="FX4" s="128">
        <f>EDATE(InceptionDate,175)</f>
        <v/>
      </c>
      <c r="FY4" s="128">
        <f>EDATE(InceptionDate,176)</f>
        <v/>
      </c>
      <c r="FZ4" s="128">
        <f>EDATE(InceptionDate,177)</f>
        <v/>
      </c>
      <c r="GA4" s="128">
        <f>EDATE(InceptionDate,178)</f>
        <v/>
      </c>
      <c r="GB4" s="128">
        <f>EDATE(InceptionDate,179)</f>
        <v/>
      </c>
      <c r="GC4" s="128">
        <f>EDATE(InceptionDate,180)</f>
        <v/>
      </c>
      <c r="GD4" s="128">
        <f>EDATE(InceptionDate,181)</f>
        <v/>
      </c>
      <c r="GE4" s="128">
        <f>EDATE(InceptionDate,182)</f>
        <v/>
      </c>
      <c r="GF4" s="128">
        <f>EDATE(InceptionDate,183)</f>
        <v/>
      </c>
      <c r="GG4" s="128">
        <f>EDATE(InceptionDate,184)</f>
        <v/>
      </c>
      <c r="GH4" s="128">
        <f>EDATE(InceptionDate,185)</f>
        <v/>
      </c>
      <c r="GI4" s="128">
        <f>EDATE(InceptionDate,186)</f>
        <v/>
      </c>
      <c r="GJ4" s="128">
        <f>EDATE(InceptionDate,187)</f>
        <v/>
      </c>
      <c r="GK4" s="128">
        <f>EDATE(InceptionDate,188)</f>
        <v/>
      </c>
      <c r="GL4" s="128">
        <f>EDATE(InceptionDate,189)</f>
        <v/>
      </c>
      <c r="GM4" s="128">
        <f>EDATE(InceptionDate,190)</f>
        <v/>
      </c>
      <c r="GN4" s="128">
        <f>EDATE(InceptionDate,191)</f>
        <v/>
      </c>
      <c r="GO4" s="128">
        <f>EDATE(InceptionDate,192)</f>
        <v/>
      </c>
      <c r="GP4" s="128">
        <f>EDATE(InceptionDate,193)</f>
        <v/>
      </c>
      <c r="GQ4" s="128">
        <f>EDATE(InceptionDate,194)</f>
        <v/>
      </c>
      <c r="GR4" s="128">
        <f>EDATE(InceptionDate,195)</f>
        <v/>
      </c>
      <c r="GS4" s="128">
        <f>EDATE(InceptionDate,196)</f>
        <v/>
      </c>
      <c r="GT4" s="128">
        <f>EDATE(InceptionDate,197)</f>
        <v/>
      </c>
      <c r="GU4" s="128">
        <f>EDATE(InceptionDate,198)</f>
        <v/>
      </c>
      <c r="GV4" s="128">
        <f>EDATE(InceptionDate,199)</f>
        <v/>
      </c>
      <c r="GW4" s="128">
        <f>EDATE(InceptionDate,200)</f>
        <v/>
      </c>
      <c r="GX4" s="128">
        <f>EDATE(InceptionDate,201)</f>
        <v/>
      </c>
      <c r="GY4" s="128">
        <f>EDATE(InceptionDate,202)</f>
        <v/>
      </c>
      <c r="GZ4" s="128">
        <f>EDATE(InceptionDate,203)</f>
        <v/>
      </c>
      <c r="HA4" s="128">
        <f>EDATE(InceptionDate,204)</f>
        <v/>
      </c>
      <c r="HB4" s="128">
        <f>EDATE(InceptionDate,205)</f>
        <v/>
      </c>
      <c r="HC4" s="128">
        <f>EDATE(InceptionDate,206)</f>
        <v/>
      </c>
      <c r="HD4" s="128">
        <f>EDATE(InceptionDate,207)</f>
        <v/>
      </c>
      <c r="HE4" s="128">
        <f>EDATE(InceptionDate,208)</f>
        <v/>
      </c>
      <c r="HF4" s="128">
        <f>EDATE(InceptionDate,209)</f>
        <v/>
      </c>
      <c r="HG4" s="128">
        <f>EDATE(InceptionDate,210)</f>
        <v/>
      </c>
      <c r="HH4" s="128">
        <f>EDATE(InceptionDate,211)</f>
        <v/>
      </c>
      <c r="HI4" s="128">
        <f>EDATE(InceptionDate,212)</f>
        <v/>
      </c>
      <c r="HJ4" s="128">
        <f>EDATE(InceptionDate,213)</f>
        <v/>
      </c>
      <c r="HK4" s="128">
        <f>EDATE(InceptionDate,214)</f>
        <v/>
      </c>
      <c r="HL4" s="128">
        <f>EDATE(InceptionDate,215)</f>
        <v/>
      </c>
      <c r="HM4" s="128">
        <f>EDATE(InceptionDate,216)</f>
        <v/>
      </c>
      <c r="HN4" s="128">
        <f>EDATE(InceptionDate,217)</f>
        <v/>
      </c>
      <c r="HO4" s="128">
        <f>EDATE(InceptionDate,218)</f>
        <v/>
      </c>
      <c r="HP4" s="128">
        <f>EDATE(InceptionDate,219)</f>
        <v/>
      </c>
      <c r="HQ4" s="128">
        <f>EDATE(InceptionDate,220)</f>
        <v/>
      </c>
      <c r="HR4" s="128">
        <f>EDATE(InceptionDate,221)</f>
        <v/>
      </c>
      <c r="HS4" s="128">
        <f>EDATE(InceptionDate,222)</f>
        <v/>
      </c>
      <c r="HT4" s="128">
        <f>EDATE(InceptionDate,223)</f>
        <v/>
      </c>
      <c r="HU4" s="128">
        <f>EDATE(InceptionDate,224)</f>
        <v/>
      </c>
      <c r="HV4" s="128">
        <f>EDATE(InceptionDate,225)</f>
        <v/>
      </c>
      <c r="HW4" s="128">
        <f>EDATE(InceptionDate,226)</f>
        <v/>
      </c>
      <c r="HX4" s="128">
        <f>EDATE(InceptionDate,227)</f>
        <v/>
      </c>
      <c r="HY4" s="128">
        <f>EDATE(InceptionDate,228)</f>
        <v/>
      </c>
      <c r="HZ4" s="128">
        <f>EDATE(InceptionDate,229)</f>
        <v/>
      </c>
      <c r="IA4" s="128">
        <f>EDATE(InceptionDate,230)</f>
        <v/>
      </c>
      <c r="IB4" s="128">
        <f>EDATE(InceptionDate,231)</f>
        <v/>
      </c>
      <c r="IC4" s="128">
        <f>EDATE(InceptionDate,232)</f>
        <v/>
      </c>
      <c r="ID4" s="128">
        <f>EDATE(InceptionDate,233)</f>
        <v/>
      </c>
      <c r="IE4" s="128">
        <f>EDATE(InceptionDate,234)</f>
        <v/>
      </c>
      <c r="IF4" s="128">
        <f>EDATE(InceptionDate,235)</f>
        <v/>
      </c>
      <c r="IG4" s="128">
        <f>EDATE(InceptionDate,236)</f>
        <v/>
      </c>
      <c r="IH4" s="128">
        <f>EDATE(InceptionDate,237)</f>
        <v/>
      </c>
      <c r="II4" s="128">
        <f>EDATE(InceptionDate,238)</f>
        <v/>
      </c>
      <c r="IJ4" s="128">
        <f>EDATE(InceptionDate,239)</f>
        <v/>
      </c>
      <c r="IK4" s="128">
        <f>EDATE(InceptionDate,240)</f>
        <v/>
      </c>
      <c r="IL4" s="128">
        <f>EDATE(InceptionDate,241)</f>
        <v/>
      </c>
      <c r="IM4" s="128">
        <f>EDATE(InceptionDate,242)</f>
        <v/>
      </c>
      <c r="IN4" s="128">
        <f>EDATE(InceptionDate,243)</f>
        <v/>
      </c>
      <c r="IO4" s="128">
        <f>EDATE(InceptionDate,244)</f>
        <v/>
      </c>
      <c r="IP4" s="128">
        <f>EDATE(InceptionDate,245)</f>
        <v/>
      </c>
      <c r="IQ4" s="128">
        <f>EDATE(InceptionDate,246)</f>
        <v/>
      </c>
      <c r="IR4" s="128">
        <f>EDATE(InceptionDate,247)</f>
        <v/>
      </c>
      <c r="IS4" s="128">
        <f>EDATE(InceptionDate,248)</f>
        <v/>
      </c>
      <c r="IT4" s="128">
        <f>EDATE(InceptionDate,249)</f>
        <v/>
      </c>
      <c r="IU4" s="128">
        <f>EDATE(InceptionDate,250)</f>
        <v/>
      </c>
      <c r="IV4" s="128">
        <f>EDATE(InceptionDate,251)</f>
        <v/>
      </c>
      <c r="IW4" s="128">
        <f>EDATE(InceptionDate,252)</f>
        <v/>
      </c>
      <c r="IX4" s="128">
        <f>EDATE(InceptionDate,253)</f>
        <v/>
      </c>
      <c r="IY4" s="128">
        <f>EDATE(InceptionDate,254)</f>
        <v/>
      </c>
      <c r="IZ4" s="128">
        <f>EDATE(InceptionDate,255)</f>
        <v/>
      </c>
      <c r="JA4" s="128">
        <f>EDATE(InceptionDate,256)</f>
        <v/>
      </c>
      <c r="JB4" s="128">
        <f>EDATE(InceptionDate,257)</f>
        <v/>
      </c>
      <c r="JC4" s="128">
        <f>EDATE(InceptionDate,258)</f>
        <v/>
      </c>
      <c r="JD4" s="128">
        <f>EDATE(InceptionDate,259)</f>
        <v/>
      </c>
      <c r="JE4" s="128">
        <f>EDATE(InceptionDate,260)</f>
        <v/>
      </c>
      <c r="JF4" s="128">
        <f>EDATE(InceptionDate,261)</f>
        <v/>
      </c>
      <c r="JG4" s="128">
        <f>EDATE(InceptionDate,262)</f>
        <v/>
      </c>
      <c r="JH4" s="128">
        <f>EDATE(InceptionDate,263)</f>
        <v/>
      </c>
      <c r="JI4" s="128">
        <f>EDATE(InceptionDate,264)</f>
        <v/>
      </c>
      <c r="JJ4" s="128">
        <f>EDATE(InceptionDate,265)</f>
        <v/>
      </c>
      <c r="JK4" s="128">
        <f>EDATE(InceptionDate,266)</f>
        <v/>
      </c>
      <c r="JL4" s="128">
        <f>EDATE(InceptionDate,267)</f>
        <v/>
      </c>
      <c r="JM4" s="128">
        <f>EDATE(InceptionDate,268)</f>
        <v/>
      </c>
      <c r="JN4" s="128">
        <f>EDATE(InceptionDate,269)</f>
        <v/>
      </c>
      <c r="JO4" s="128">
        <f>EDATE(InceptionDate,270)</f>
        <v/>
      </c>
      <c r="JP4" s="128">
        <f>EDATE(InceptionDate,271)</f>
        <v/>
      </c>
      <c r="JQ4" s="128">
        <f>EDATE(InceptionDate,272)</f>
        <v/>
      </c>
      <c r="JR4" s="128">
        <f>EDATE(InceptionDate,273)</f>
        <v/>
      </c>
      <c r="JS4" s="128">
        <f>EDATE(InceptionDate,274)</f>
        <v/>
      </c>
      <c r="JT4" s="128">
        <f>EDATE(InceptionDate,275)</f>
        <v/>
      </c>
      <c r="JU4" s="128">
        <f>EDATE(InceptionDate,276)</f>
        <v/>
      </c>
      <c r="JV4" s="128">
        <f>EDATE(InceptionDate,277)</f>
        <v/>
      </c>
      <c r="JW4" s="128">
        <f>EDATE(InceptionDate,278)</f>
        <v/>
      </c>
      <c r="JX4" s="128">
        <f>EDATE(InceptionDate,279)</f>
        <v/>
      </c>
      <c r="JY4" s="128">
        <f>EDATE(InceptionDate,280)</f>
        <v/>
      </c>
      <c r="JZ4" s="128">
        <f>EDATE(InceptionDate,281)</f>
        <v/>
      </c>
      <c r="KA4" s="128">
        <f>EDATE(InceptionDate,282)</f>
        <v/>
      </c>
      <c r="KB4" s="128">
        <f>EDATE(InceptionDate,283)</f>
        <v/>
      </c>
      <c r="KC4" s="128">
        <f>EDATE(InceptionDate,284)</f>
        <v/>
      </c>
      <c r="KD4" s="128">
        <f>EDATE(InceptionDate,285)</f>
        <v/>
      </c>
      <c r="KE4" s="128">
        <f>EDATE(InceptionDate,286)</f>
        <v/>
      </c>
      <c r="KF4" s="128">
        <f>EDATE(InceptionDate,287)</f>
        <v/>
      </c>
      <c r="KG4" s="128">
        <f>EDATE(InceptionDate,288)</f>
        <v/>
      </c>
      <c r="KH4" s="128">
        <f>EDATE(InceptionDate,289)</f>
        <v/>
      </c>
      <c r="KI4" s="128">
        <f>EDATE(InceptionDate,290)</f>
        <v/>
      </c>
      <c r="KJ4" s="128">
        <f>EDATE(InceptionDate,291)</f>
        <v/>
      </c>
      <c r="KK4" s="128">
        <f>EDATE(InceptionDate,292)</f>
        <v/>
      </c>
      <c r="KL4" s="128">
        <f>EDATE(InceptionDate,293)</f>
        <v/>
      </c>
      <c r="KM4" s="128">
        <f>EDATE(InceptionDate,294)</f>
        <v/>
      </c>
      <c r="KN4" s="128">
        <f>EDATE(InceptionDate,295)</f>
        <v/>
      </c>
      <c r="KO4" s="128">
        <f>EDATE(InceptionDate,296)</f>
        <v/>
      </c>
      <c r="KP4" s="128">
        <f>EDATE(InceptionDate,297)</f>
        <v/>
      </c>
      <c r="KQ4" s="128">
        <f>EDATE(InceptionDate,298)</f>
        <v/>
      </c>
      <c r="KR4" s="128">
        <f>EDATE(InceptionDate,299)</f>
        <v/>
      </c>
      <c r="KS4" s="128">
        <f>EDATE(InceptionDate,300)</f>
        <v/>
      </c>
      <c r="KT4" s="128">
        <f>EDATE(InceptionDate,301)</f>
        <v/>
      </c>
      <c r="KU4" s="128">
        <f>EDATE(InceptionDate,302)</f>
        <v/>
      </c>
      <c r="KV4" s="128">
        <f>EDATE(InceptionDate,303)</f>
        <v/>
      </c>
      <c r="KW4" s="128">
        <f>EDATE(InceptionDate,304)</f>
        <v/>
      </c>
      <c r="KX4" s="128">
        <f>EDATE(InceptionDate,305)</f>
        <v/>
      </c>
      <c r="KY4" s="128">
        <f>EDATE(InceptionDate,306)</f>
        <v/>
      </c>
      <c r="KZ4" s="128">
        <f>EDATE(InceptionDate,307)</f>
        <v/>
      </c>
      <c r="LA4" s="128">
        <f>EDATE(InceptionDate,308)</f>
        <v/>
      </c>
      <c r="LB4" s="128">
        <f>EDATE(InceptionDate,309)</f>
        <v/>
      </c>
      <c r="LC4" s="128">
        <f>EDATE(InceptionDate,310)</f>
        <v/>
      </c>
      <c r="LD4" s="128">
        <f>EDATE(InceptionDate,311)</f>
        <v/>
      </c>
      <c r="LE4" s="128">
        <f>EDATE(InceptionDate,312)</f>
        <v/>
      </c>
      <c r="LF4" s="128">
        <f>EDATE(InceptionDate,313)</f>
        <v/>
      </c>
      <c r="LG4" s="128">
        <f>EDATE(InceptionDate,314)</f>
        <v/>
      </c>
      <c r="LH4" s="128">
        <f>EDATE(InceptionDate,315)</f>
        <v/>
      </c>
      <c r="LI4" s="128">
        <f>EDATE(InceptionDate,316)</f>
        <v/>
      </c>
      <c r="LJ4" s="128">
        <f>EDATE(InceptionDate,317)</f>
        <v/>
      </c>
      <c r="LK4" s="128">
        <f>EDATE(InceptionDate,318)</f>
        <v/>
      </c>
      <c r="LL4" s="128">
        <f>EDATE(InceptionDate,319)</f>
        <v/>
      </c>
      <c r="LM4" s="128">
        <f>EDATE(InceptionDate,320)</f>
        <v/>
      </c>
      <c r="LN4" s="128">
        <f>EDATE(InceptionDate,321)</f>
        <v/>
      </c>
      <c r="LO4" s="128">
        <f>EDATE(InceptionDate,322)</f>
        <v/>
      </c>
      <c r="LP4" s="128">
        <f>EDATE(InceptionDate,323)</f>
        <v/>
      </c>
      <c r="LQ4" s="128">
        <f>EDATE(InceptionDate,324)</f>
        <v/>
      </c>
      <c r="LR4" s="128">
        <f>EDATE(InceptionDate,325)</f>
        <v/>
      </c>
      <c r="LS4" s="128">
        <f>EDATE(InceptionDate,326)</f>
        <v/>
      </c>
      <c r="LT4" s="128">
        <f>EDATE(InceptionDate,327)</f>
        <v/>
      </c>
      <c r="LU4" s="128">
        <f>EDATE(InceptionDate,328)</f>
        <v/>
      </c>
      <c r="LV4" s="128">
        <f>EDATE(InceptionDate,329)</f>
        <v/>
      </c>
      <c r="LW4" s="128">
        <f>EDATE(InceptionDate,330)</f>
        <v/>
      </c>
      <c r="LX4" s="128">
        <f>EDATE(InceptionDate,331)</f>
        <v/>
      </c>
      <c r="LY4" s="128">
        <f>EDATE(InceptionDate,332)</f>
        <v/>
      </c>
      <c r="LZ4" s="128">
        <f>EDATE(InceptionDate,333)</f>
        <v/>
      </c>
      <c r="MA4" s="128">
        <f>EDATE(InceptionDate,334)</f>
        <v/>
      </c>
      <c r="MB4" s="128">
        <f>EDATE(InceptionDate,335)</f>
        <v/>
      </c>
      <c r="MC4" s="128">
        <f>EDATE(InceptionDate,336)</f>
        <v/>
      </c>
      <c r="MD4" s="128">
        <f>EDATE(InceptionDate,337)</f>
        <v/>
      </c>
      <c r="ME4" s="128">
        <f>EDATE(InceptionDate,338)</f>
        <v/>
      </c>
      <c r="MF4" s="128">
        <f>EDATE(InceptionDate,339)</f>
        <v/>
      </c>
      <c r="MG4" s="128">
        <f>EDATE(InceptionDate,340)</f>
        <v/>
      </c>
      <c r="MH4" s="128">
        <f>EDATE(InceptionDate,341)</f>
        <v/>
      </c>
      <c r="MI4" s="128">
        <f>EDATE(InceptionDate,342)</f>
        <v/>
      </c>
      <c r="MJ4" s="128">
        <f>EDATE(InceptionDate,343)</f>
        <v/>
      </c>
      <c r="MK4" s="128">
        <f>EDATE(InceptionDate,344)</f>
        <v/>
      </c>
      <c r="ML4" s="128">
        <f>EDATE(InceptionDate,345)</f>
        <v/>
      </c>
      <c r="MM4" s="128">
        <f>EDATE(InceptionDate,346)</f>
        <v/>
      </c>
      <c r="MN4" s="128">
        <f>EDATE(InceptionDate,347)</f>
        <v/>
      </c>
      <c r="MO4" s="128">
        <f>EDATE(InceptionDate,348)</f>
        <v/>
      </c>
      <c r="MP4" s="128">
        <f>EDATE(InceptionDate,349)</f>
        <v/>
      </c>
      <c r="MQ4" s="128">
        <f>EDATE(InceptionDate,350)</f>
        <v/>
      </c>
      <c r="MR4" s="128">
        <f>EDATE(InceptionDate,351)</f>
        <v/>
      </c>
      <c r="MS4" s="128">
        <f>EDATE(InceptionDate,352)</f>
        <v/>
      </c>
      <c r="MT4" s="128">
        <f>EDATE(InceptionDate,353)</f>
        <v/>
      </c>
      <c r="MU4" s="128">
        <f>EDATE(InceptionDate,354)</f>
        <v/>
      </c>
      <c r="MV4" s="128">
        <f>EDATE(InceptionDate,355)</f>
        <v/>
      </c>
      <c r="MW4" s="128">
        <f>EDATE(InceptionDate,356)</f>
        <v/>
      </c>
      <c r="MX4" s="128">
        <f>EDATE(InceptionDate,357)</f>
        <v/>
      </c>
      <c r="MY4" s="128">
        <f>EDATE(InceptionDate,358)</f>
        <v/>
      </c>
      <c r="MZ4" s="128">
        <f>EDATE(InceptionDate,359)</f>
        <v/>
      </c>
      <c r="NA4" s="128">
        <f>EDATE(InceptionDate,360)</f>
        <v/>
      </c>
      <c r="NB4" s="128">
        <f>EDATE(InceptionDate,361)</f>
        <v/>
      </c>
      <c r="NC4" s="128">
        <f>EDATE(InceptionDate,362)</f>
        <v/>
      </c>
      <c r="ND4" s="128">
        <f>EDATE(InceptionDate,363)</f>
        <v/>
      </c>
      <c r="NE4" s="128">
        <f>EDATE(InceptionDate,364)</f>
        <v/>
      </c>
      <c r="NF4" s="128">
        <f>EDATE(InceptionDate,365)</f>
        <v/>
      </c>
      <c r="NG4" s="128">
        <f>EDATE(InceptionDate,366)</f>
        <v/>
      </c>
      <c r="NH4" s="128">
        <f>EDATE(InceptionDate,367)</f>
        <v/>
      </c>
      <c r="NI4" s="128">
        <f>EDATE(InceptionDate,368)</f>
        <v/>
      </c>
      <c r="NJ4" s="128">
        <f>EDATE(InceptionDate,369)</f>
        <v/>
      </c>
      <c r="NK4" s="128">
        <f>EDATE(InceptionDate,370)</f>
        <v/>
      </c>
      <c r="NL4" s="129">
        <f>EDATE(InceptionDate,371)</f>
        <v/>
      </c>
    </row>
    <row r="5">
      <c r="B5" s="154" t="inlineStr">
        <is>
          <t>Growth &amp; Lease-Up Factors</t>
        </is>
      </c>
      <c r="C5" s="155" t="n"/>
      <c r="D5" s="155" t="n"/>
      <c r="NL5" s="53" t="n"/>
    </row>
    <row r="6">
      <c r="B6" s="36" t="inlineStr">
        <is>
          <t>Growth Factor — Rent</t>
        </is>
      </c>
      <c r="D6" s="156" t="n"/>
      <c r="E6" s="157">
        <f>(1+GrowthRent)^(MAX(0,1-GrowthStartMonth)/12)</f>
        <v/>
      </c>
      <c r="F6" s="157">
        <f>(1+GrowthRent)^(MAX(0,2-GrowthStartMonth)/12)</f>
        <v/>
      </c>
      <c r="G6" s="157">
        <f>(1+GrowthRent)^(MAX(0,3-GrowthStartMonth)/12)</f>
        <v/>
      </c>
      <c r="H6" s="157">
        <f>(1+GrowthRent)^(MAX(0,4-GrowthStartMonth)/12)</f>
        <v/>
      </c>
      <c r="I6" s="157">
        <f>(1+GrowthRent)^(MAX(0,5-GrowthStartMonth)/12)</f>
        <v/>
      </c>
      <c r="J6" s="157">
        <f>(1+GrowthRent)^(MAX(0,6-GrowthStartMonth)/12)</f>
        <v/>
      </c>
      <c r="K6" s="157">
        <f>(1+GrowthRent)^(MAX(0,7-GrowthStartMonth)/12)</f>
        <v/>
      </c>
      <c r="L6" s="157">
        <f>(1+GrowthRent)^(MAX(0,8-GrowthStartMonth)/12)</f>
        <v/>
      </c>
      <c r="M6" s="157">
        <f>(1+GrowthRent)^(MAX(0,9-GrowthStartMonth)/12)</f>
        <v/>
      </c>
      <c r="N6" s="157">
        <f>(1+GrowthRent)^(MAX(0,10-GrowthStartMonth)/12)</f>
        <v/>
      </c>
      <c r="O6" s="157">
        <f>(1+GrowthRent)^(MAX(0,11-GrowthStartMonth)/12)</f>
        <v/>
      </c>
      <c r="P6" s="157">
        <f>(1+GrowthRent)^(MAX(0,12-GrowthStartMonth)/12)</f>
        <v/>
      </c>
      <c r="Q6" s="157">
        <f>(1+GrowthRent)^(MAX(0,13-GrowthStartMonth)/12)</f>
        <v/>
      </c>
      <c r="R6" s="157">
        <f>(1+GrowthRent)^(MAX(0,14-GrowthStartMonth)/12)</f>
        <v/>
      </c>
      <c r="S6" s="157">
        <f>(1+GrowthRent)^(MAX(0,15-GrowthStartMonth)/12)</f>
        <v/>
      </c>
      <c r="T6" s="157">
        <f>(1+GrowthRent)^(MAX(0,16-GrowthStartMonth)/12)</f>
        <v/>
      </c>
      <c r="U6" s="157">
        <f>(1+GrowthRent)^(MAX(0,17-GrowthStartMonth)/12)</f>
        <v/>
      </c>
      <c r="V6" s="157">
        <f>(1+GrowthRent)^(MAX(0,18-GrowthStartMonth)/12)</f>
        <v/>
      </c>
      <c r="W6" s="157">
        <f>(1+GrowthRent)^(MAX(0,19-GrowthStartMonth)/12)</f>
        <v/>
      </c>
      <c r="X6" s="157">
        <f>(1+GrowthRent)^(MAX(0,20-GrowthStartMonth)/12)</f>
        <v/>
      </c>
      <c r="Y6" s="157">
        <f>(1+GrowthRent)^(MAX(0,21-GrowthStartMonth)/12)</f>
        <v/>
      </c>
      <c r="Z6" s="157">
        <f>(1+GrowthRent)^(MAX(0,22-GrowthStartMonth)/12)</f>
        <v/>
      </c>
      <c r="AA6" s="157">
        <f>(1+GrowthRent)^(MAX(0,23-GrowthStartMonth)/12)</f>
        <v/>
      </c>
      <c r="AB6" s="157">
        <f>(1+GrowthRent)^(MAX(0,24-GrowthStartMonth)/12)</f>
        <v/>
      </c>
      <c r="AC6" s="157">
        <f>(1+GrowthRent)^(MAX(0,25-GrowthStartMonth)/12)</f>
        <v/>
      </c>
      <c r="AD6" s="157">
        <f>(1+GrowthRent)^(MAX(0,26-GrowthStartMonth)/12)</f>
        <v/>
      </c>
      <c r="AE6" s="157">
        <f>(1+GrowthRent)^(MAX(0,27-GrowthStartMonth)/12)</f>
        <v/>
      </c>
      <c r="AF6" s="157">
        <f>(1+GrowthRent)^(MAX(0,28-GrowthStartMonth)/12)</f>
        <v/>
      </c>
      <c r="AG6" s="157">
        <f>(1+GrowthRent)^(MAX(0,29-GrowthStartMonth)/12)</f>
        <v/>
      </c>
      <c r="AH6" s="157">
        <f>(1+GrowthRent)^(MAX(0,30-GrowthStartMonth)/12)</f>
        <v/>
      </c>
      <c r="AI6" s="157">
        <f>(1+GrowthRent)^(MAX(0,31-GrowthStartMonth)/12)</f>
        <v/>
      </c>
      <c r="AJ6" s="157">
        <f>(1+GrowthRent)^(MAX(0,32-GrowthStartMonth)/12)</f>
        <v/>
      </c>
      <c r="AK6" s="157">
        <f>(1+GrowthRent)^(MAX(0,33-GrowthStartMonth)/12)</f>
        <v/>
      </c>
      <c r="AL6" s="157">
        <f>(1+GrowthRent)^(MAX(0,34-GrowthStartMonth)/12)</f>
        <v/>
      </c>
      <c r="AM6" s="157">
        <f>(1+GrowthRent)^(MAX(0,35-GrowthStartMonth)/12)</f>
        <v/>
      </c>
      <c r="AN6" s="157">
        <f>(1+GrowthRent)^(MAX(0,36-GrowthStartMonth)/12)</f>
        <v/>
      </c>
      <c r="AO6" s="157">
        <f>(1+GrowthRent)^(MAX(0,37-GrowthStartMonth)/12)</f>
        <v/>
      </c>
      <c r="AP6" s="157">
        <f>(1+GrowthRent)^(MAX(0,38-GrowthStartMonth)/12)</f>
        <v/>
      </c>
      <c r="AQ6" s="157">
        <f>(1+GrowthRent)^(MAX(0,39-GrowthStartMonth)/12)</f>
        <v/>
      </c>
      <c r="AR6" s="157">
        <f>(1+GrowthRent)^(MAX(0,40-GrowthStartMonth)/12)</f>
        <v/>
      </c>
      <c r="AS6" s="157">
        <f>(1+GrowthRent)^(MAX(0,41-GrowthStartMonth)/12)</f>
        <v/>
      </c>
      <c r="AT6" s="157">
        <f>(1+GrowthRent)^(MAX(0,42-GrowthStartMonth)/12)</f>
        <v/>
      </c>
      <c r="AU6" s="157">
        <f>(1+GrowthRent)^(MAX(0,43-GrowthStartMonth)/12)</f>
        <v/>
      </c>
      <c r="AV6" s="157">
        <f>(1+GrowthRent)^(MAX(0,44-GrowthStartMonth)/12)</f>
        <v/>
      </c>
      <c r="AW6" s="157">
        <f>(1+GrowthRent)^(MAX(0,45-GrowthStartMonth)/12)</f>
        <v/>
      </c>
      <c r="AX6" s="157">
        <f>(1+GrowthRent)^(MAX(0,46-GrowthStartMonth)/12)</f>
        <v/>
      </c>
      <c r="AY6" s="157">
        <f>(1+GrowthRent)^(MAX(0,47-GrowthStartMonth)/12)</f>
        <v/>
      </c>
      <c r="AZ6" s="157">
        <f>(1+GrowthRent)^(MAX(0,48-GrowthStartMonth)/12)</f>
        <v/>
      </c>
      <c r="BA6" s="157">
        <f>(1+GrowthRent)^(MAX(0,49-GrowthStartMonth)/12)</f>
        <v/>
      </c>
      <c r="BB6" s="157">
        <f>(1+GrowthRent)^(MAX(0,50-GrowthStartMonth)/12)</f>
        <v/>
      </c>
      <c r="BC6" s="157">
        <f>(1+GrowthRent)^(MAX(0,51-GrowthStartMonth)/12)</f>
        <v/>
      </c>
      <c r="BD6" s="157">
        <f>(1+GrowthRent)^(MAX(0,52-GrowthStartMonth)/12)</f>
        <v/>
      </c>
      <c r="BE6" s="157">
        <f>(1+GrowthRent)^(MAX(0,53-GrowthStartMonth)/12)</f>
        <v/>
      </c>
      <c r="BF6" s="157">
        <f>(1+GrowthRent)^(MAX(0,54-GrowthStartMonth)/12)</f>
        <v/>
      </c>
      <c r="BG6" s="157">
        <f>(1+GrowthRent)^(MAX(0,55-GrowthStartMonth)/12)</f>
        <v/>
      </c>
      <c r="BH6" s="157">
        <f>(1+GrowthRent)^(MAX(0,56-GrowthStartMonth)/12)</f>
        <v/>
      </c>
      <c r="BI6" s="157">
        <f>(1+GrowthRent)^(MAX(0,57-GrowthStartMonth)/12)</f>
        <v/>
      </c>
      <c r="BJ6" s="157">
        <f>(1+GrowthRent)^(MAX(0,58-GrowthStartMonth)/12)</f>
        <v/>
      </c>
      <c r="BK6" s="157">
        <f>(1+GrowthRent)^(MAX(0,59-GrowthStartMonth)/12)</f>
        <v/>
      </c>
      <c r="BL6" s="157">
        <f>(1+GrowthRent)^(MAX(0,60-GrowthStartMonth)/12)</f>
        <v/>
      </c>
      <c r="BM6" s="157">
        <f>(1+GrowthRent)^(MAX(0,61-GrowthStartMonth)/12)</f>
        <v/>
      </c>
      <c r="BN6" s="157">
        <f>(1+GrowthRent)^(MAX(0,62-GrowthStartMonth)/12)</f>
        <v/>
      </c>
      <c r="BO6" s="157">
        <f>(1+GrowthRent)^(MAX(0,63-GrowthStartMonth)/12)</f>
        <v/>
      </c>
      <c r="BP6" s="157">
        <f>(1+GrowthRent)^(MAX(0,64-GrowthStartMonth)/12)</f>
        <v/>
      </c>
      <c r="BQ6" s="157">
        <f>(1+GrowthRent)^(MAX(0,65-GrowthStartMonth)/12)</f>
        <v/>
      </c>
      <c r="BR6" s="157">
        <f>(1+GrowthRent)^(MAX(0,66-GrowthStartMonth)/12)</f>
        <v/>
      </c>
      <c r="BS6" s="157">
        <f>(1+GrowthRent)^(MAX(0,67-GrowthStartMonth)/12)</f>
        <v/>
      </c>
      <c r="BT6" s="157">
        <f>(1+GrowthRent)^(MAX(0,68-GrowthStartMonth)/12)</f>
        <v/>
      </c>
      <c r="BU6" s="157">
        <f>(1+GrowthRent)^(MAX(0,69-GrowthStartMonth)/12)</f>
        <v/>
      </c>
      <c r="BV6" s="157">
        <f>(1+GrowthRent)^(MAX(0,70-GrowthStartMonth)/12)</f>
        <v/>
      </c>
      <c r="BW6" s="157">
        <f>(1+GrowthRent)^(MAX(0,71-GrowthStartMonth)/12)</f>
        <v/>
      </c>
      <c r="BX6" s="157">
        <f>(1+GrowthRent)^(MAX(0,72-GrowthStartMonth)/12)</f>
        <v/>
      </c>
      <c r="BY6" s="157">
        <f>(1+GrowthRent)^(MAX(0,73-GrowthStartMonth)/12)</f>
        <v/>
      </c>
      <c r="BZ6" s="157">
        <f>(1+GrowthRent)^(MAX(0,74-GrowthStartMonth)/12)</f>
        <v/>
      </c>
      <c r="CA6" s="157">
        <f>(1+GrowthRent)^(MAX(0,75-GrowthStartMonth)/12)</f>
        <v/>
      </c>
      <c r="CB6" s="157">
        <f>(1+GrowthRent)^(MAX(0,76-GrowthStartMonth)/12)</f>
        <v/>
      </c>
      <c r="CC6" s="157">
        <f>(1+GrowthRent)^(MAX(0,77-GrowthStartMonth)/12)</f>
        <v/>
      </c>
      <c r="CD6" s="157">
        <f>(1+GrowthRent)^(MAX(0,78-GrowthStartMonth)/12)</f>
        <v/>
      </c>
      <c r="CE6" s="157">
        <f>(1+GrowthRent)^(MAX(0,79-GrowthStartMonth)/12)</f>
        <v/>
      </c>
      <c r="CF6" s="157">
        <f>(1+GrowthRent)^(MAX(0,80-GrowthStartMonth)/12)</f>
        <v/>
      </c>
      <c r="CG6" s="157">
        <f>(1+GrowthRent)^(MAX(0,81-GrowthStartMonth)/12)</f>
        <v/>
      </c>
      <c r="CH6" s="157">
        <f>(1+GrowthRent)^(MAX(0,82-GrowthStartMonth)/12)</f>
        <v/>
      </c>
      <c r="CI6" s="157">
        <f>(1+GrowthRent)^(MAX(0,83-GrowthStartMonth)/12)</f>
        <v/>
      </c>
      <c r="CJ6" s="157">
        <f>(1+GrowthRent)^(MAX(0,84-GrowthStartMonth)/12)</f>
        <v/>
      </c>
      <c r="CK6" s="157">
        <f>(1+GrowthRent)^(MAX(0,85-GrowthStartMonth)/12)</f>
        <v/>
      </c>
      <c r="CL6" s="157">
        <f>(1+GrowthRent)^(MAX(0,86-GrowthStartMonth)/12)</f>
        <v/>
      </c>
      <c r="CM6" s="157">
        <f>(1+GrowthRent)^(MAX(0,87-GrowthStartMonth)/12)</f>
        <v/>
      </c>
      <c r="CN6" s="157">
        <f>(1+GrowthRent)^(MAX(0,88-GrowthStartMonth)/12)</f>
        <v/>
      </c>
      <c r="CO6" s="157">
        <f>(1+GrowthRent)^(MAX(0,89-GrowthStartMonth)/12)</f>
        <v/>
      </c>
      <c r="CP6" s="157">
        <f>(1+GrowthRent)^(MAX(0,90-GrowthStartMonth)/12)</f>
        <v/>
      </c>
      <c r="CQ6" s="157">
        <f>(1+GrowthRent)^(MAX(0,91-GrowthStartMonth)/12)</f>
        <v/>
      </c>
      <c r="CR6" s="157">
        <f>(1+GrowthRent)^(MAX(0,92-GrowthStartMonth)/12)</f>
        <v/>
      </c>
      <c r="CS6" s="157">
        <f>(1+GrowthRent)^(MAX(0,93-GrowthStartMonth)/12)</f>
        <v/>
      </c>
      <c r="CT6" s="157">
        <f>(1+GrowthRent)^(MAX(0,94-GrowthStartMonth)/12)</f>
        <v/>
      </c>
      <c r="CU6" s="157">
        <f>(1+GrowthRent)^(MAX(0,95-GrowthStartMonth)/12)</f>
        <v/>
      </c>
      <c r="CV6" s="157">
        <f>(1+GrowthRent)^(MAX(0,96-GrowthStartMonth)/12)</f>
        <v/>
      </c>
      <c r="CW6" s="157">
        <f>(1+GrowthRent)^(MAX(0,97-GrowthStartMonth)/12)</f>
        <v/>
      </c>
      <c r="CX6" s="157">
        <f>(1+GrowthRent)^(MAX(0,98-GrowthStartMonth)/12)</f>
        <v/>
      </c>
      <c r="CY6" s="157">
        <f>(1+GrowthRent)^(MAX(0,99-GrowthStartMonth)/12)</f>
        <v/>
      </c>
      <c r="CZ6" s="157">
        <f>(1+GrowthRent)^(MAX(0,100-GrowthStartMonth)/12)</f>
        <v/>
      </c>
      <c r="DA6" s="157">
        <f>(1+GrowthRent)^(MAX(0,101-GrowthStartMonth)/12)</f>
        <v/>
      </c>
      <c r="DB6" s="157">
        <f>(1+GrowthRent)^(MAX(0,102-GrowthStartMonth)/12)</f>
        <v/>
      </c>
      <c r="DC6" s="157">
        <f>(1+GrowthRent)^(MAX(0,103-GrowthStartMonth)/12)</f>
        <v/>
      </c>
      <c r="DD6" s="157">
        <f>(1+GrowthRent)^(MAX(0,104-GrowthStartMonth)/12)</f>
        <v/>
      </c>
      <c r="DE6" s="157">
        <f>(1+GrowthRent)^(MAX(0,105-GrowthStartMonth)/12)</f>
        <v/>
      </c>
      <c r="DF6" s="157">
        <f>(1+GrowthRent)^(MAX(0,106-GrowthStartMonth)/12)</f>
        <v/>
      </c>
      <c r="DG6" s="157">
        <f>(1+GrowthRent)^(MAX(0,107-GrowthStartMonth)/12)</f>
        <v/>
      </c>
      <c r="DH6" s="157">
        <f>(1+GrowthRent)^(MAX(0,108-GrowthStartMonth)/12)</f>
        <v/>
      </c>
      <c r="DI6" s="157">
        <f>(1+GrowthRent)^(MAX(0,109-GrowthStartMonth)/12)</f>
        <v/>
      </c>
      <c r="DJ6" s="157">
        <f>(1+GrowthRent)^(MAX(0,110-GrowthStartMonth)/12)</f>
        <v/>
      </c>
      <c r="DK6" s="157">
        <f>(1+GrowthRent)^(MAX(0,111-GrowthStartMonth)/12)</f>
        <v/>
      </c>
      <c r="DL6" s="157">
        <f>(1+GrowthRent)^(MAX(0,112-GrowthStartMonth)/12)</f>
        <v/>
      </c>
      <c r="DM6" s="157">
        <f>(1+GrowthRent)^(MAX(0,113-GrowthStartMonth)/12)</f>
        <v/>
      </c>
      <c r="DN6" s="157">
        <f>(1+GrowthRent)^(MAX(0,114-GrowthStartMonth)/12)</f>
        <v/>
      </c>
      <c r="DO6" s="157">
        <f>(1+GrowthRent)^(MAX(0,115-GrowthStartMonth)/12)</f>
        <v/>
      </c>
      <c r="DP6" s="157">
        <f>(1+GrowthRent)^(MAX(0,116-GrowthStartMonth)/12)</f>
        <v/>
      </c>
      <c r="DQ6" s="157">
        <f>(1+GrowthRent)^(MAX(0,117-GrowthStartMonth)/12)</f>
        <v/>
      </c>
      <c r="DR6" s="157">
        <f>(1+GrowthRent)^(MAX(0,118-GrowthStartMonth)/12)</f>
        <v/>
      </c>
      <c r="DS6" s="157">
        <f>(1+GrowthRent)^(MAX(0,119-GrowthStartMonth)/12)</f>
        <v/>
      </c>
      <c r="DT6" s="157">
        <f>(1+GrowthRent)^(MAX(0,120-GrowthStartMonth)/12)</f>
        <v/>
      </c>
      <c r="DU6" s="157">
        <f>(1+GrowthRent)^(MAX(0,121-GrowthStartMonth)/12)</f>
        <v/>
      </c>
      <c r="DV6" s="157">
        <f>(1+GrowthRent)^(MAX(0,122-GrowthStartMonth)/12)</f>
        <v/>
      </c>
      <c r="DW6" s="157">
        <f>(1+GrowthRent)^(MAX(0,123-GrowthStartMonth)/12)</f>
        <v/>
      </c>
      <c r="DX6" s="157">
        <f>(1+GrowthRent)^(MAX(0,124-GrowthStartMonth)/12)</f>
        <v/>
      </c>
      <c r="DY6" s="157">
        <f>(1+GrowthRent)^(MAX(0,125-GrowthStartMonth)/12)</f>
        <v/>
      </c>
      <c r="DZ6" s="157">
        <f>(1+GrowthRent)^(MAX(0,126-GrowthStartMonth)/12)</f>
        <v/>
      </c>
      <c r="EA6" s="157">
        <f>(1+GrowthRent)^(MAX(0,127-GrowthStartMonth)/12)</f>
        <v/>
      </c>
      <c r="EB6" s="157">
        <f>(1+GrowthRent)^(MAX(0,128-GrowthStartMonth)/12)</f>
        <v/>
      </c>
      <c r="EC6" s="157">
        <f>(1+GrowthRent)^(MAX(0,129-GrowthStartMonth)/12)</f>
        <v/>
      </c>
      <c r="ED6" s="157">
        <f>(1+GrowthRent)^(MAX(0,130-GrowthStartMonth)/12)</f>
        <v/>
      </c>
      <c r="EE6" s="157">
        <f>(1+GrowthRent)^(MAX(0,131-GrowthStartMonth)/12)</f>
        <v/>
      </c>
      <c r="EF6" s="157">
        <f>(1+GrowthRent)^(MAX(0,132-GrowthStartMonth)/12)</f>
        <v/>
      </c>
      <c r="EG6" s="157">
        <f>(1+GrowthRent)^(MAX(0,133-GrowthStartMonth)/12)</f>
        <v/>
      </c>
      <c r="EH6" s="157">
        <f>(1+GrowthRent)^(MAX(0,134-GrowthStartMonth)/12)</f>
        <v/>
      </c>
      <c r="EI6" s="157">
        <f>(1+GrowthRent)^(MAX(0,135-GrowthStartMonth)/12)</f>
        <v/>
      </c>
      <c r="EJ6" s="157">
        <f>(1+GrowthRent)^(MAX(0,136-GrowthStartMonth)/12)</f>
        <v/>
      </c>
      <c r="EK6" s="157">
        <f>(1+GrowthRent)^(MAX(0,137-GrowthStartMonth)/12)</f>
        <v/>
      </c>
      <c r="EL6" s="157">
        <f>(1+GrowthRent)^(MAX(0,138-GrowthStartMonth)/12)</f>
        <v/>
      </c>
      <c r="EM6" s="157">
        <f>(1+GrowthRent)^(MAX(0,139-GrowthStartMonth)/12)</f>
        <v/>
      </c>
      <c r="EN6" s="157">
        <f>(1+GrowthRent)^(MAX(0,140-GrowthStartMonth)/12)</f>
        <v/>
      </c>
      <c r="EO6" s="157">
        <f>(1+GrowthRent)^(MAX(0,141-GrowthStartMonth)/12)</f>
        <v/>
      </c>
      <c r="EP6" s="157">
        <f>(1+GrowthRent)^(MAX(0,142-GrowthStartMonth)/12)</f>
        <v/>
      </c>
      <c r="EQ6" s="157">
        <f>(1+GrowthRent)^(MAX(0,143-GrowthStartMonth)/12)</f>
        <v/>
      </c>
      <c r="ER6" s="157">
        <f>(1+GrowthRent)^(MAX(0,144-GrowthStartMonth)/12)</f>
        <v/>
      </c>
      <c r="ES6" s="157">
        <f>(1+GrowthRent)^(MAX(0,145-GrowthStartMonth)/12)</f>
        <v/>
      </c>
      <c r="ET6" s="157">
        <f>(1+GrowthRent)^(MAX(0,146-GrowthStartMonth)/12)</f>
        <v/>
      </c>
      <c r="EU6" s="157">
        <f>(1+GrowthRent)^(MAX(0,147-GrowthStartMonth)/12)</f>
        <v/>
      </c>
      <c r="EV6" s="157">
        <f>(1+GrowthRent)^(MAX(0,148-GrowthStartMonth)/12)</f>
        <v/>
      </c>
      <c r="EW6" s="157">
        <f>(1+GrowthRent)^(MAX(0,149-GrowthStartMonth)/12)</f>
        <v/>
      </c>
      <c r="EX6" s="157">
        <f>(1+GrowthRent)^(MAX(0,150-GrowthStartMonth)/12)</f>
        <v/>
      </c>
      <c r="EY6" s="157">
        <f>(1+GrowthRent)^(MAX(0,151-GrowthStartMonth)/12)</f>
        <v/>
      </c>
      <c r="EZ6" s="157">
        <f>(1+GrowthRent)^(MAX(0,152-GrowthStartMonth)/12)</f>
        <v/>
      </c>
      <c r="FA6" s="157">
        <f>(1+GrowthRent)^(MAX(0,153-GrowthStartMonth)/12)</f>
        <v/>
      </c>
      <c r="FB6" s="157">
        <f>(1+GrowthRent)^(MAX(0,154-GrowthStartMonth)/12)</f>
        <v/>
      </c>
      <c r="FC6" s="157">
        <f>(1+GrowthRent)^(MAX(0,155-GrowthStartMonth)/12)</f>
        <v/>
      </c>
      <c r="FD6" s="157">
        <f>(1+GrowthRent)^(MAX(0,156-GrowthStartMonth)/12)</f>
        <v/>
      </c>
      <c r="FE6" s="157">
        <f>(1+GrowthRent)^(MAX(0,157-GrowthStartMonth)/12)</f>
        <v/>
      </c>
      <c r="FF6" s="157">
        <f>(1+GrowthRent)^(MAX(0,158-GrowthStartMonth)/12)</f>
        <v/>
      </c>
      <c r="FG6" s="157">
        <f>(1+GrowthRent)^(MAX(0,159-GrowthStartMonth)/12)</f>
        <v/>
      </c>
      <c r="FH6" s="157">
        <f>(1+GrowthRent)^(MAX(0,160-GrowthStartMonth)/12)</f>
        <v/>
      </c>
      <c r="FI6" s="157">
        <f>(1+GrowthRent)^(MAX(0,161-GrowthStartMonth)/12)</f>
        <v/>
      </c>
      <c r="FJ6" s="157">
        <f>(1+GrowthRent)^(MAX(0,162-GrowthStartMonth)/12)</f>
        <v/>
      </c>
      <c r="FK6" s="157">
        <f>(1+GrowthRent)^(MAX(0,163-GrowthStartMonth)/12)</f>
        <v/>
      </c>
      <c r="FL6" s="157">
        <f>(1+GrowthRent)^(MAX(0,164-GrowthStartMonth)/12)</f>
        <v/>
      </c>
      <c r="FM6" s="157">
        <f>(1+GrowthRent)^(MAX(0,165-GrowthStartMonth)/12)</f>
        <v/>
      </c>
      <c r="FN6" s="157">
        <f>(1+GrowthRent)^(MAX(0,166-GrowthStartMonth)/12)</f>
        <v/>
      </c>
      <c r="FO6" s="157">
        <f>(1+GrowthRent)^(MAX(0,167-GrowthStartMonth)/12)</f>
        <v/>
      </c>
      <c r="FP6" s="157">
        <f>(1+GrowthRent)^(MAX(0,168-GrowthStartMonth)/12)</f>
        <v/>
      </c>
      <c r="FQ6" s="157">
        <f>(1+GrowthRent)^(MAX(0,169-GrowthStartMonth)/12)</f>
        <v/>
      </c>
      <c r="FR6" s="157">
        <f>(1+GrowthRent)^(MAX(0,170-GrowthStartMonth)/12)</f>
        <v/>
      </c>
      <c r="FS6" s="157">
        <f>(1+GrowthRent)^(MAX(0,171-GrowthStartMonth)/12)</f>
        <v/>
      </c>
      <c r="FT6" s="157">
        <f>(1+GrowthRent)^(MAX(0,172-GrowthStartMonth)/12)</f>
        <v/>
      </c>
      <c r="FU6" s="157">
        <f>(1+GrowthRent)^(MAX(0,173-GrowthStartMonth)/12)</f>
        <v/>
      </c>
      <c r="FV6" s="157">
        <f>(1+GrowthRent)^(MAX(0,174-GrowthStartMonth)/12)</f>
        <v/>
      </c>
      <c r="FW6" s="157">
        <f>(1+GrowthRent)^(MAX(0,175-GrowthStartMonth)/12)</f>
        <v/>
      </c>
      <c r="FX6" s="157">
        <f>(1+GrowthRent)^(MAX(0,176-GrowthStartMonth)/12)</f>
        <v/>
      </c>
      <c r="FY6" s="157">
        <f>(1+GrowthRent)^(MAX(0,177-GrowthStartMonth)/12)</f>
        <v/>
      </c>
      <c r="FZ6" s="157">
        <f>(1+GrowthRent)^(MAX(0,178-GrowthStartMonth)/12)</f>
        <v/>
      </c>
      <c r="GA6" s="157">
        <f>(1+GrowthRent)^(MAX(0,179-GrowthStartMonth)/12)</f>
        <v/>
      </c>
      <c r="GB6" s="157">
        <f>(1+GrowthRent)^(MAX(0,180-GrowthStartMonth)/12)</f>
        <v/>
      </c>
      <c r="GC6" s="157">
        <f>(1+GrowthRent)^(MAX(0,181-GrowthStartMonth)/12)</f>
        <v/>
      </c>
      <c r="GD6" s="157">
        <f>(1+GrowthRent)^(MAX(0,182-GrowthStartMonth)/12)</f>
        <v/>
      </c>
      <c r="GE6" s="157">
        <f>(1+GrowthRent)^(MAX(0,183-GrowthStartMonth)/12)</f>
        <v/>
      </c>
      <c r="GF6" s="157">
        <f>(1+GrowthRent)^(MAX(0,184-GrowthStartMonth)/12)</f>
        <v/>
      </c>
      <c r="GG6" s="157">
        <f>(1+GrowthRent)^(MAX(0,185-GrowthStartMonth)/12)</f>
        <v/>
      </c>
      <c r="GH6" s="157">
        <f>(1+GrowthRent)^(MAX(0,186-GrowthStartMonth)/12)</f>
        <v/>
      </c>
      <c r="GI6" s="157">
        <f>(1+GrowthRent)^(MAX(0,187-GrowthStartMonth)/12)</f>
        <v/>
      </c>
      <c r="GJ6" s="157">
        <f>(1+GrowthRent)^(MAX(0,188-GrowthStartMonth)/12)</f>
        <v/>
      </c>
      <c r="GK6" s="157">
        <f>(1+GrowthRent)^(MAX(0,189-GrowthStartMonth)/12)</f>
        <v/>
      </c>
      <c r="GL6" s="157">
        <f>(1+GrowthRent)^(MAX(0,190-GrowthStartMonth)/12)</f>
        <v/>
      </c>
      <c r="GM6" s="157">
        <f>(1+GrowthRent)^(MAX(0,191-GrowthStartMonth)/12)</f>
        <v/>
      </c>
      <c r="GN6" s="157">
        <f>(1+GrowthRent)^(MAX(0,192-GrowthStartMonth)/12)</f>
        <v/>
      </c>
      <c r="GO6" s="157">
        <f>(1+GrowthRent)^(MAX(0,193-GrowthStartMonth)/12)</f>
        <v/>
      </c>
      <c r="GP6" s="157">
        <f>(1+GrowthRent)^(MAX(0,194-GrowthStartMonth)/12)</f>
        <v/>
      </c>
      <c r="GQ6" s="157">
        <f>(1+GrowthRent)^(MAX(0,195-GrowthStartMonth)/12)</f>
        <v/>
      </c>
      <c r="GR6" s="157">
        <f>(1+GrowthRent)^(MAX(0,196-GrowthStartMonth)/12)</f>
        <v/>
      </c>
      <c r="GS6" s="157">
        <f>(1+GrowthRent)^(MAX(0,197-GrowthStartMonth)/12)</f>
        <v/>
      </c>
      <c r="GT6" s="157">
        <f>(1+GrowthRent)^(MAX(0,198-GrowthStartMonth)/12)</f>
        <v/>
      </c>
      <c r="GU6" s="157">
        <f>(1+GrowthRent)^(MAX(0,199-GrowthStartMonth)/12)</f>
        <v/>
      </c>
      <c r="GV6" s="157">
        <f>(1+GrowthRent)^(MAX(0,200-GrowthStartMonth)/12)</f>
        <v/>
      </c>
      <c r="GW6" s="157">
        <f>(1+GrowthRent)^(MAX(0,201-GrowthStartMonth)/12)</f>
        <v/>
      </c>
      <c r="GX6" s="157">
        <f>(1+GrowthRent)^(MAX(0,202-GrowthStartMonth)/12)</f>
        <v/>
      </c>
      <c r="GY6" s="157">
        <f>(1+GrowthRent)^(MAX(0,203-GrowthStartMonth)/12)</f>
        <v/>
      </c>
      <c r="GZ6" s="157">
        <f>(1+GrowthRent)^(MAX(0,204-GrowthStartMonth)/12)</f>
        <v/>
      </c>
      <c r="HA6" s="157">
        <f>(1+GrowthRent)^(MAX(0,205-GrowthStartMonth)/12)</f>
        <v/>
      </c>
      <c r="HB6" s="157">
        <f>(1+GrowthRent)^(MAX(0,206-GrowthStartMonth)/12)</f>
        <v/>
      </c>
      <c r="HC6" s="157">
        <f>(1+GrowthRent)^(MAX(0,207-GrowthStartMonth)/12)</f>
        <v/>
      </c>
      <c r="HD6" s="157">
        <f>(1+GrowthRent)^(MAX(0,208-GrowthStartMonth)/12)</f>
        <v/>
      </c>
      <c r="HE6" s="157">
        <f>(1+GrowthRent)^(MAX(0,209-GrowthStartMonth)/12)</f>
        <v/>
      </c>
      <c r="HF6" s="157">
        <f>(1+GrowthRent)^(MAX(0,210-GrowthStartMonth)/12)</f>
        <v/>
      </c>
      <c r="HG6" s="157">
        <f>(1+GrowthRent)^(MAX(0,211-GrowthStartMonth)/12)</f>
        <v/>
      </c>
      <c r="HH6" s="157">
        <f>(1+GrowthRent)^(MAX(0,212-GrowthStartMonth)/12)</f>
        <v/>
      </c>
      <c r="HI6" s="157">
        <f>(1+GrowthRent)^(MAX(0,213-GrowthStartMonth)/12)</f>
        <v/>
      </c>
      <c r="HJ6" s="157">
        <f>(1+GrowthRent)^(MAX(0,214-GrowthStartMonth)/12)</f>
        <v/>
      </c>
      <c r="HK6" s="157">
        <f>(1+GrowthRent)^(MAX(0,215-GrowthStartMonth)/12)</f>
        <v/>
      </c>
      <c r="HL6" s="157">
        <f>(1+GrowthRent)^(MAX(0,216-GrowthStartMonth)/12)</f>
        <v/>
      </c>
      <c r="HM6" s="157">
        <f>(1+GrowthRent)^(MAX(0,217-GrowthStartMonth)/12)</f>
        <v/>
      </c>
      <c r="HN6" s="157">
        <f>(1+GrowthRent)^(MAX(0,218-GrowthStartMonth)/12)</f>
        <v/>
      </c>
      <c r="HO6" s="157">
        <f>(1+GrowthRent)^(MAX(0,219-GrowthStartMonth)/12)</f>
        <v/>
      </c>
      <c r="HP6" s="157">
        <f>(1+GrowthRent)^(MAX(0,220-GrowthStartMonth)/12)</f>
        <v/>
      </c>
      <c r="HQ6" s="157">
        <f>(1+GrowthRent)^(MAX(0,221-GrowthStartMonth)/12)</f>
        <v/>
      </c>
      <c r="HR6" s="157">
        <f>(1+GrowthRent)^(MAX(0,222-GrowthStartMonth)/12)</f>
        <v/>
      </c>
      <c r="HS6" s="157">
        <f>(1+GrowthRent)^(MAX(0,223-GrowthStartMonth)/12)</f>
        <v/>
      </c>
      <c r="HT6" s="157">
        <f>(1+GrowthRent)^(MAX(0,224-GrowthStartMonth)/12)</f>
        <v/>
      </c>
      <c r="HU6" s="157">
        <f>(1+GrowthRent)^(MAX(0,225-GrowthStartMonth)/12)</f>
        <v/>
      </c>
      <c r="HV6" s="157">
        <f>(1+GrowthRent)^(MAX(0,226-GrowthStartMonth)/12)</f>
        <v/>
      </c>
      <c r="HW6" s="157">
        <f>(1+GrowthRent)^(MAX(0,227-GrowthStartMonth)/12)</f>
        <v/>
      </c>
      <c r="HX6" s="157">
        <f>(1+GrowthRent)^(MAX(0,228-GrowthStartMonth)/12)</f>
        <v/>
      </c>
      <c r="HY6" s="157">
        <f>(1+GrowthRent)^(MAX(0,229-GrowthStartMonth)/12)</f>
        <v/>
      </c>
      <c r="HZ6" s="157">
        <f>(1+GrowthRent)^(MAX(0,230-GrowthStartMonth)/12)</f>
        <v/>
      </c>
      <c r="IA6" s="157">
        <f>(1+GrowthRent)^(MAX(0,231-GrowthStartMonth)/12)</f>
        <v/>
      </c>
      <c r="IB6" s="157">
        <f>(1+GrowthRent)^(MAX(0,232-GrowthStartMonth)/12)</f>
        <v/>
      </c>
      <c r="IC6" s="157">
        <f>(1+GrowthRent)^(MAX(0,233-GrowthStartMonth)/12)</f>
        <v/>
      </c>
      <c r="ID6" s="157">
        <f>(1+GrowthRent)^(MAX(0,234-GrowthStartMonth)/12)</f>
        <v/>
      </c>
      <c r="IE6" s="157">
        <f>(1+GrowthRent)^(MAX(0,235-GrowthStartMonth)/12)</f>
        <v/>
      </c>
      <c r="IF6" s="157">
        <f>(1+GrowthRent)^(MAX(0,236-GrowthStartMonth)/12)</f>
        <v/>
      </c>
      <c r="IG6" s="157">
        <f>(1+GrowthRent)^(MAX(0,237-GrowthStartMonth)/12)</f>
        <v/>
      </c>
      <c r="IH6" s="157">
        <f>(1+GrowthRent)^(MAX(0,238-GrowthStartMonth)/12)</f>
        <v/>
      </c>
      <c r="II6" s="157">
        <f>(1+GrowthRent)^(MAX(0,239-GrowthStartMonth)/12)</f>
        <v/>
      </c>
      <c r="IJ6" s="157">
        <f>(1+GrowthRent)^(MAX(0,240-GrowthStartMonth)/12)</f>
        <v/>
      </c>
      <c r="IK6" s="157">
        <f>(1+GrowthRent)^(MAX(0,241-GrowthStartMonth)/12)</f>
        <v/>
      </c>
      <c r="IL6" s="157">
        <f>(1+GrowthRent)^(MAX(0,242-GrowthStartMonth)/12)</f>
        <v/>
      </c>
      <c r="IM6" s="157">
        <f>(1+GrowthRent)^(MAX(0,243-GrowthStartMonth)/12)</f>
        <v/>
      </c>
      <c r="IN6" s="157">
        <f>(1+GrowthRent)^(MAX(0,244-GrowthStartMonth)/12)</f>
        <v/>
      </c>
      <c r="IO6" s="157">
        <f>(1+GrowthRent)^(MAX(0,245-GrowthStartMonth)/12)</f>
        <v/>
      </c>
      <c r="IP6" s="157">
        <f>(1+GrowthRent)^(MAX(0,246-GrowthStartMonth)/12)</f>
        <v/>
      </c>
      <c r="IQ6" s="157">
        <f>(1+GrowthRent)^(MAX(0,247-GrowthStartMonth)/12)</f>
        <v/>
      </c>
      <c r="IR6" s="157">
        <f>(1+GrowthRent)^(MAX(0,248-GrowthStartMonth)/12)</f>
        <v/>
      </c>
      <c r="IS6" s="157">
        <f>(1+GrowthRent)^(MAX(0,249-GrowthStartMonth)/12)</f>
        <v/>
      </c>
      <c r="IT6" s="157">
        <f>(1+GrowthRent)^(MAX(0,250-GrowthStartMonth)/12)</f>
        <v/>
      </c>
      <c r="IU6" s="157">
        <f>(1+GrowthRent)^(MAX(0,251-GrowthStartMonth)/12)</f>
        <v/>
      </c>
      <c r="IV6" s="157">
        <f>(1+GrowthRent)^(MAX(0,252-GrowthStartMonth)/12)</f>
        <v/>
      </c>
      <c r="IW6" s="157">
        <f>(1+GrowthRent)^(MAX(0,253-GrowthStartMonth)/12)</f>
        <v/>
      </c>
      <c r="IX6" s="157">
        <f>(1+GrowthRent)^(MAX(0,254-GrowthStartMonth)/12)</f>
        <v/>
      </c>
      <c r="IY6" s="157">
        <f>(1+GrowthRent)^(MAX(0,255-GrowthStartMonth)/12)</f>
        <v/>
      </c>
      <c r="IZ6" s="157">
        <f>(1+GrowthRent)^(MAX(0,256-GrowthStartMonth)/12)</f>
        <v/>
      </c>
      <c r="JA6" s="157">
        <f>(1+GrowthRent)^(MAX(0,257-GrowthStartMonth)/12)</f>
        <v/>
      </c>
      <c r="JB6" s="157">
        <f>(1+GrowthRent)^(MAX(0,258-GrowthStartMonth)/12)</f>
        <v/>
      </c>
      <c r="JC6" s="157">
        <f>(1+GrowthRent)^(MAX(0,259-GrowthStartMonth)/12)</f>
        <v/>
      </c>
      <c r="JD6" s="157">
        <f>(1+GrowthRent)^(MAX(0,260-GrowthStartMonth)/12)</f>
        <v/>
      </c>
      <c r="JE6" s="157">
        <f>(1+GrowthRent)^(MAX(0,261-GrowthStartMonth)/12)</f>
        <v/>
      </c>
      <c r="JF6" s="157">
        <f>(1+GrowthRent)^(MAX(0,262-GrowthStartMonth)/12)</f>
        <v/>
      </c>
      <c r="JG6" s="157">
        <f>(1+GrowthRent)^(MAX(0,263-GrowthStartMonth)/12)</f>
        <v/>
      </c>
      <c r="JH6" s="157">
        <f>(1+GrowthRent)^(MAX(0,264-GrowthStartMonth)/12)</f>
        <v/>
      </c>
      <c r="JI6" s="157">
        <f>(1+GrowthRent)^(MAX(0,265-GrowthStartMonth)/12)</f>
        <v/>
      </c>
      <c r="JJ6" s="157">
        <f>(1+GrowthRent)^(MAX(0,266-GrowthStartMonth)/12)</f>
        <v/>
      </c>
      <c r="JK6" s="157">
        <f>(1+GrowthRent)^(MAX(0,267-GrowthStartMonth)/12)</f>
        <v/>
      </c>
      <c r="JL6" s="157">
        <f>(1+GrowthRent)^(MAX(0,268-GrowthStartMonth)/12)</f>
        <v/>
      </c>
      <c r="JM6" s="157">
        <f>(1+GrowthRent)^(MAX(0,269-GrowthStartMonth)/12)</f>
        <v/>
      </c>
      <c r="JN6" s="157">
        <f>(1+GrowthRent)^(MAX(0,270-GrowthStartMonth)/12)</f>
        <v/>
      </c>
      <c r="JO6" s="157">
        <f>(1+GrowthRent)^(MAX(0,271-GrowthStartMonth)/12)</f>
        <v/>
      </c>
      <c r="JP6" s="157">
        <f>(1+GrowthRent)^(MAX(0,272-GrowthStartMonth)/12)</f>
        <v/>
      </c>
      <c r="JQ6" s="157">
        <f>(1+GrowthRent)^(MAX(0,273-GrowthStartMonth)/12)</f>
        <v/>
      </c>
      <c r="JR6" s="157">
        <f>(1+GrowthRent)^(MAX(0,274-GrowthStartMonth)/12)</f>
        <v/>
      </c>
      <c r="JS6" s="157">
        <f>(1+GrowthRent)^(MAX(0,275-GrowthStartMonth)/12)</f>
        <v/>
      </c>
      <c r="JT6" s="157">
        <f>(1+GrowthRent)^(MAX(0,276-GrowthStartMonth)/12)</f>
        <v/>
      </c>
      <c r="JU6" s="157">
        <f>(1+GrowthRent)^(MAX(0,277-GrowthStartMonth)/12)</f>
        <v/>
      </c>
      <c r="JV6" s="157">
        <f>(1+GrowthRent)^(MAX(0,278-GrowthStartMonth)/12)</f>
        <v/>
      </c>
      <c r="JW6" s="157">
        <f>(1+GrowthRent)^(MAX(0,279-GrowthStartMonth)/12)</f>
        <v/>
      </c>
      <c r="JX6" s="157">
        <f>(1+GrowthRent)^(MAX(0,280-GrowthStartMonth)/12)</f>
        <v/>
      </c>
      <c r="JY6" s="157">
        <f>(1+GrowthRent)^(MAX(0,281-GrowthStartMonth)/12)</f>
        <v/>
      </c>
      <c r="JZ6" s="157">
        <f>(1+GrowthRent)^(MAX(0,282-GrowthStartMonth)/12)</f>
        <v/>
      </c>
      <c r="KA6" s="157">
        <f>(1+GrowthRent)^(MAX(0,283-GrowthStartMonth)/12)</f>
        <v/>
      </c>
      <c r="KB6" s="157">
        <f>(1+GrowthRent)^(MAX(0,284-GrowthStartMonth)/12)</f>
        <v/>
      </c>
      <c r="KC6" s="157">
        <f>(1+GrowthRent)^(MAX(0,285-GrowthStartMonth)/12)</f>
        <v/>
      </c>
      <c r="KD6" s="157">
        <f>(1+GrowthRent)^(MAX(0,286-GrowthStartMonth)/12)</f>
        <v/>
      </c>
      <c r="KE6" s="157">
        <f>(1+GrowthRent)^(MAX(0,287-GrowthStartMonth)/12)</f>
        <v/>
      </c>
      <c r="KF6" s="157">
        <f>(1+GrowthRent)^(MAX(0,288-GrowthStartMonth)/12)</f>
        <v/>
      </c>
      <c r="KG6" s="157">
        <f>(1+GrowthRent)^(MAX(0,289-GrowthStartMonth)/12)</f>
        <v/>
      </c>
      <c r="KH6" s="157">
        <f>(1+GrowthRent)^(MAX(0,290-GrowthStartMonth)/12)</f>
        <v/>
      </c>
      <c r="KI6" s="157">
        <f>(1+GrowthRent)^(MAX(0,291-GrowthStartMonth)/12)</f>
        <v/>
      </c>
      <c r="KJ6" s="157">
        <f>(1+GrowthRent)^(MAX(0,292-GrowthStartMonth)/12)</f>
        <v/>
      </c>
      <c r="KK6" s="157">
        <f>(1+GrowthRent)^(MAX(0,293-GrowthStartMonth)/12)</f>
        <v/>
      </c>
      <c r="KL6" s="157">
        <f>(1+GrowthRent)^(MAX(0,294-GrowthStartMonth)/12)</f>
        <v/>
      </c>
      <c r="KM6" s="157">
        <f>(1+GrowthRent)^(MAX(0,295-GrowthStartMonth)/12)</f>
        <v/>
      </c>
      <c r="KN6" s="157">
        <f>(1+GrowthRent)^(MAX(0,296-GrowthStartMonth)/12)</f>
        <v/>
      </c>
      <c r="KO6" s="157">
        <f>(1+GrowthRent)^(MAX(0,297-GrowthStartMonth)/12)</f>
        <v/>
      </c>
      <c r="KP6" s="157">
        <f>(1+GrowthRent)^(MAX(0,298-GrowthStartMonth)/12)</f>
        <v/>
      </c>
      <c r="KQ6" s="157">
        <f>(1+GrowthRent)^(MAX(0,299-GrowthStartMonth)/12)</f>
        <v/>
      </c>
      <c r="KR6" s="157">
        <f>(1+GrowthRent)^(MAX(0,300-GrowthStartMonth)/12)</f>
        <v/>
      </c>
      <c r="KS6" s="157">
        <f>(1+GrowthRent)^(MAX(0,301-GrowthStartMonth)/12)</f>
        <v/>
      </c>
      <c r="KT6" s="157">
        <f>(1+GrowthRent)^(MAX(0,302-GrowthStartMonth)/12)</f>
        <v/>
      </c>
      <c r="KU6" s="157">
        <f>(1+GrowthRent)^(MAX(0,303-GrowthStartMonth)/12)</f>
        <v/>
      </c>
      <c r="KV6" s="157">
        <f>(1+GrowthRent)^(MAX(0,304-GrowthStartMonth)/12)</f>
        <v/>
      </c>
      <c r="KW6" s="157">
        <f>(1+GrowthRent)^(MAX(0,305-GrowthStartMonth)/12)</f>
        <v/>
      </c>
      <c r="KX6" s="157">
        <f>(1+GrowthRent)^(MAX(0,306-GrowthStartMonth)/12)</f>
        <v/>
      </c>
      <c r="KY6" s="157">
        <f>(1+GrowthRent)^(MAX(0,307-GrowthStartMonth)/12)</f>
        <v/>
      </c>
      <c r="KZ6" s="157">
        <f>(1+GrowthRent)^(MAX(0,308-GrowthStartMonth)/12)</f>
        <v/>
      </c>
      <c r="LA6" s="157">
        <f>(1+GrowthRent)^(MAX(0,309-GrowthStartMonth)/12)</f>
        <v/>
      </c>
      <c r="LB6" s="157">
        <f>(1+GrowthRent)^(MAX(0,310-GrowthStartMonth)/12)</f>
        <v/>
      </c>
      <c r="LC6" s="157">
        <f>(1+GrowthRent)^(MAX(0,311-GrowthStartMonth)/12)</f>
        <v/>
      </c>
      <c r="LD6" s="157">
        <f>(1+GrowthRent)^(MAX(0,312-GrowthStartMonth)/12)</f>
        <v/>
      </c>
      <c r="LE6" s="157">
        <f>(1+GrowthRent)^(MAX(0,313-GrowthStartMonth)/12)</f>
        <v/>
      </c>
      <c r="LF6" s="157">
        <f>(1+GrowthRent)^(MAX(0,314-GrowthStartMonth)/12)</f>
        <v/>
      </c>
      <c r="LG6" s="157">
        <f>(1+GrowthRent)^(MAX(0,315-GrowthStartMonth)/12)</f>
        <v/>
      </c>
      <c r="LH6" s="157">
        <f>(1+GrowthRent)^(MAX(0,316-GrowthStartMonth)/12)</f>
        <v/>
      </c>
      <c r="LI6" s="157">
        <f>(1+GrowthRent)^(MAX(0,317-GrowthStartMonth)/12)</f>
        <v/>
      </c>
      <c r="LJ6" s="157">
        <f>(1+GrowthRent)^(MAX(0,318-GrowthStartMonth)/12)</f>
        <v/>
      </c>
      <c r="LK6" s="157">
        <f>(1+GrowthRent)^(MAX(0,319-GrowthStartMonth)/12)</f>
        <v/>
      </c>
      <c r="LL6" s="157">
        <f>(1+GrowthRent)^(MAX(0,320-GrowthStartMonth)/12)</f>
        <v/>
      </c>
      <c r="LM6" s="157">
        <f>(1+GrowthRent)^(MAX(0,321-GrowthStartMonth)/12)</f>
        <v/>
      </c>
      <c r="LN6" s="157">
        <f>(1+GrowthRent)^(MAX(0,322-GrowthStartMonth)/12)</f>
        <v/>
      </c>
      <c r="LO6" s="157">
        <f>(1+GrowthRent)^(MAX(0,323-GrowthStartMonth)/12)</f>
        <v/>
      </c>
      <c r="LP6" s="157">
        <f>(1+GrowthRent)^(MAX(0,324-GrowthStartMonth)/12)</f>
        <v/>
      </c>
      <c r="LQ6" s="157">
        <f>(1+GrowthRent)^(MAX(0,325-GrowthStartMonth)/12)</f>
        <v/>
      </c>
      <c r="LR6" s="157">
        <f>(1+GrowthRent)^(MAX(0,326-GrowthStartMonth)/12)</f>
        <v/>
      </c>
      <c r="LS6" s="157">
        <f>(1+GrowthRent)^(MAX(0,327-GrowthStartMonth)/12)</f>
        <v/>
      </c>
      <c r="LT6" s="157">
        <f>(1+GrowthRent)^(MAX(0,328-GrowthStartMonth)/12)</f>
        <v/>
      </c>
      <c r="LU6" s="157">
        <f>(1+GrowthRent)^(MAX(0,329-GrowthStartMonth)/12)</f>
        <v/>
      </c>
      <c r="LV6" s="157">
        <f>(1+GrowthRent)^(MAX(0,330-GrowthStartMonth)/12)</f>
        <v/>
      </c>
      <c r="LW6" s="157">
        <f>(1+GrowthRent)^(MAX(0,331-GrowthStartMonth)/12)</f>
        <v/>
      </c>
      <c r="LX6" s="157">
        <f>(1+GrowthRent)^(MAX(0,332-GrowthStartMonth)/12)</f>
        <v/>
      </c>
      <c r="LY6" s="157">
        <f>(1+GrowthRent)^(MAX(0,333-GrowthStartMonth)/12)</f>
        <v/>
      </c>
      <c r="LZ6" s="157">
        <f>(1+GrowthRent)^(MAX(0,334-GrowthStartMonth)/12)</f>
        <v/>
      </c>
      <c r="MA6" s="157">
        <f>(1+GrowthRent)^(MAX(0,335-GrowthStartMonth)/12)</f>
        <v/>
      </c>
      <c r="MB6" s="157">
        <f>(1+GrowthRent)^(MAX(0,336-GrowthStartMonth)/12)</f>
        <v/>
      </c>
      <c r="MC6" s="157">
        <f>(1+GrowthRent)^(MAX(0,337-GrowthStartMonth)/12)</f>
        <v/>
      </c>
      <c r="MD6" s="157">
        <f>(1+GrowthRent)^(MAX(0,338-GrowthStartMonth)/12)</f>
        <v/>
      </c>
      <c r="ME6" s="157">
        <f>(1+GrowthRent)^(MAX(0,339-GrowthStartMonth)/12)</f>
        <v/>
      </c>
      <c r="MF6" s="157">
        <f>(1+GrowthRent)^(MAX(0,340-GrowthStartMonth)/12)</f>
        <v/>
      </c>
      <c r="MG6" s="157">
        <f>(1+GrowthRent)^(MAX(0,341-GrowthStartMonth)/12)</f>
        <v/>
      </c>
      <c r="MH6" s="157">
        <f>(1+GrowthRent)^(MAX(0,342-GrowthStartMonth)/12)</f>
        <v/>
      </c>
      <c r="MI6" s="157">
        <f>(1+GrowthRent)^(MAX(0,343-GrowthStartMonth)/12)</f>
        <v/>
      </c>
      <c r="MJ6" s="157">
        <f>(1+GrowthRent)^(MAX(0,344-GrowthStartMonth)/12)</f>
        <v/>
      </c>
      <c r="MK6" s="157">
        <f>(1+GrowthRent)^(MAX(0,345-GrowthStartMonth)/12)</f>
        <v/>
      </c>
      <c r="ML6" s="157">
        <f>(1+GrowthRent)^(MAX(0,346-GrowthStartMonth)/12)</f>
        <v/>
      </c>
      <c r="MM6" s="157">
        <f>(1+GrowthRent)^(MAX(0,347-GrowthStartMonth)/12)</f>
        <v/>
      </c>
      <c r="MN6" s="157">
        <f>(1+GrowthRent)^(MAX(0,348-GrowthStartMonth)/12)</f>
        <v/>
      </c>
      <c r="MO6" s="157">
        <f>(1+GrowthRent)^(MAX(0,349-GrowthStartMonth)/12)</f>
        <v/>
      </c>
      <c r="MP6" s="157">
        <f>(1+GrowthRent)^(MAX(0,350-GrowthStartMonth)/12)</f>
        <v/>
      </c>
      <c r="MQ6" s="157">
        <f>(1+GrowthRent)^(MAX(0,351-GrowthStartMonth)/12)</f>
        <v/>
      </c>
      <c r="MR6" s="157">
        <f>(1+GrowthRent)^(MAX(0,352-GrowthStartMonth)/12)</f>
        <v/>
      </c>
      <c r="MS6" s="157">
        <f>(1+GrowthRent)^(MAX(0,353-GrowthStartMonth)/12)</f>
        <v/>
      </c>
      <c r="MT6" s="157">
        <f>(1+GrowthRent)^(MAX(0,354-GrowthStartMonth)/12)</f>
        <v/>
      </c>
      <c r="MU6" s="157">
        <f>(1+GrowthRent)^(MAX(0,355-GrowthStartMonth)/12)</f>
        <v/>
      </c>
      <c r="MV6" s="157">
        <f>(1+GrowthRent)^(MAX(0,356-GrowthStartMonth)/12)</f>
        <v/>
      </c>
      <c r="MW6" s="157">
        <f>(1+GrowthRent)^(MAX(0,357-GrowthStartMonth)/12)</f>
        <v/>
      </c>
      <c r="MX6" s="157">
        <f>(1+GrowthRent)^(MAX(0,358-GrowthStartMonth)/12)</f>
        <v/>
      </c>
      <c r="MY6" s="157">
        <f>(1+GrowthRent)^(MAX(0,359-GrowthStartMonth)/12)</f>
        <v/>
      </c>
      <c r="MZ6" s="157">
        <f>(1+GrowthRent)^(MAX(0,360-GrowthStartMonth)/12)</f>
        <v/>
      </c>
      <c r="NA6" s="157">
        <f>(1+GrowthRent)^(MAX(0,361-GrowthStartMonth)/12)</f>
        <v/>
      </c>
      <c r="NB6" s="157">
        <f>(1+GrowthRent)^(MAX(0,362-GrowthStartMonth)/12)</f>
        <v/>
      </c>
      <c r="NC6" s="157">
        <f>(1+GrowthRent)^(MAX(0,363-GrowthStartMonth)/12)</f>
        <v/>
      </c>
      <c r="ND6" s="157">
        <f>(1+GrowthRent)^(MAX(0,364-GrowthStartMonth)/12)</f>
        <v/>
      </c>
      <c r="NE6" s="157">
        <f>(1+GrowthRent)^(MAX(0,365-GrowthStartMonth)/12)</f>
        <v/>
      </c>
      <c r="NF6" s="157">
        <f>(1+GrowthRent)^(MAX(0,366-GrowthStartMonth)/12)</f>
        <v/>
      </c>
      <c r="NG6" s="157">
        <f>(1+GrowthRent)^(MAX(0,367-GrowthStartMonth)/12)</f>
        <v/>
      </c>
      <c r="NH6" s="157">
        <f>(1+GrowthRent)^(MAX(0,368-GrowthStartMonth)/12)</f>
        <v/>
      </c>
      <c r="NI6" s="157">
        <f>(1+GrowthRent)^(MAX(0,369-GrowthStartMonth)/12)</f>
        <v/>
      </c>
      <c r="NJ6" s="157">
        <f>(1+GrowthRent)^(MAX(0,370-GrowthStartMonth)/12)</f>
        <v/>
      </c>
      <c r="NK6" s="157">
        <f>(1+GrowthRent)^(MAX(0,371-GrowthStartMonth)/12)</f>
        <v/>
      </c>
      <c r="NL6" s="158">
        <f>(1+GrowthRent)^(MAX(0,372-GrowthStartMonth)/12)</f>
        <v/>
      </c>
    </row>
    <row r="7">
      <c r="B7" s="36" t="inlineStr">
        <is>
          <t>Growth Factor — Low-Income Rent</t>
        </is>
      </c>
      <c r="D7" s="156" t="n"/>
      <c r="E7" s="157">
        <f>(1+GrowthLowIncRent)^(MAX(0,1-GrowthStartMonth)/12)</f>
        <v/>
      </c>
      <c r="F7" s="157">
        <f>(1+GrowthLowIncRent)^(MAX(0,2-GrowthStartMonth)/12)</f>
        <v/>
      </c>
      <c r="G7" s="157">
        <f>(1+GrowthLowIncRent)^(MAX(0,3-GrowthStartMonth)/12)</f>
        <v/>
      </c>
      <c r="H7" s="157">
        <f>(1+GrowthLowIncRent)^(MAX(0,4-GrowthStartMonth)/12)</f>
        <v/>
      </c>
      <c r="I7" s="157">
        <f>(1+GrowthLowIncRent)^(MAX(0,5-GrowthStartMonth)/12)</f>
        <v/>
      </c>
      <c r="J7" s="157">
        <f>(1+GrowthLowIncRent)^(MAX(0,6-GrowthStartMonth)/12)</f>
        <v/>
      </c>
      <c r="K7" s="157">
        <f>(1+GrowthLowIncRent)^(MAX(0,7-GrowthStartMonth)/12)</f>
        <v/>
      </c>
      <c r="L7" s="157">
        <f>(1+GrowthLowIncRent)^(MAX(0,8-GrowthStartMonth)/12)</f>
        <v/>
      </c>
      <c r="M7" s="157">
        <f>(1+GrowthLowIncRent)^(MAX(0,9-GrowthStartMonth)/12)</f>
        <v/>
      </c>
      <c r="N7" s="157">
        <f>(1+GrowthLowIncRent)^(MAX(0,10-GrowthStartMonth)/12)</f>
        <v/>
      </c>
      <c r="O7" s="157">
        <f>(1+GrowthLowIncRent)^(MAX(0,11-GrowthStartMonth)/12)</f>
        <v/>
      </c>
      <c r="P7" s="157">
        <f>(1+GrowthLowIncRent)^(MAX(0,12-GrowthStartMonth)/12)</f>
        <v/>
      </c>
      <c r="Q7" s="157">
        <f>(1+GrowthLowIncRent)^(MAX(0,13-GrowthStartMonth)/12)</f>
        <v/>
      </c>
      <c r="R7" s="157">
        <f>(1+GrowthLowIncRent)^(MAX(0,14-GrowthStartMonth)/12)</f>
        <v/>
      </c>
      <c r="S7" s="157">
        <f>(1+GrowthLowIncRent)^(MAX(0,15-GrowthStartMonth)/12)</f>
        <v/>
      </c>
      <c r="T7" s="157">
        <f>(1+GrowthLowIncRent)^(MAX(0,16-GrowthStartMonth)/12)</f>
        <v/>
      </c>
      <c r="U7" s="157">
        <f>(1+GrowthLowIncRent)^(MAX(0,17-GrowthStartMonth)/12)</f>
        <v/>
      </c>
      <c r="V7" s="157">
        <f>(1+GrowthLowIncRent)^(MAX(0,18-GrowthStartMonth)/12)</f>
        <v/>
      </c>
      <c r="W7" s="157">
        <f>(1+GrowthLowIncRent)^(MAX(0,19-GrowthStartMonth)/12)</f>
        <v/>
      </c>
      <c r="X7" s="157">
        <f>(1+GrowthLowIncRent)^(MAX(0,20-GrowthStartMonth)/12)</f>
        <v/>
      </c>
      <c r="Y7" s="157">
        <f>(1+GrowthLowIncRent)^(MAX(0,21-GrowthStartMonth)/12)</f>
        <v/>
      </c>
      <c r="Z7" s="157">
        <f>(1+GrowthLowIncRent)^(MAX(0,22-GrowthStartMonth)/12)</f>
        <v/>
      </c>
      <c r="AA7" s="157">
        <f>(1+GrowthLowIncRent)^(MAX(0,23-GrowthStartMonth)/12)</f>
        <v/>
      </c>
      <c r="AB7" s="157">
        <f>(1+GrowthLowIncRent)^(MAX(0,24-GrowthStartMonth)/12)</f>
        <v/>
      </c>
      <c r="AC7" s="157">
        <f>(1+GrowthLowIncRent)^(MAX(0,25-GrowthStartMonth)/12)</f>
        <v/>
      </c>
      <c r="AD7" s="157">
        <f>(1+GrowthLowIncRent)^(MAX(0,26-GrowthStartMonth)/12)</f>
        <v/>
      </c>
      <c r="AE7" s="157">
        <f>(1+GrowthLowIncRent)^(MAX(0,27-GrowthStartMonth)/12)</f>
        <v/>
      </c>
      <c r="AF7" s="157">
        <f>(1+GrowthLowIncRent)^(MAX(0,28-GrowthStartMonth)/12)</f>
        <v/>
      </c>
      <c r="AG7" s="157">
        <f>(1+GrowthLowIncRent)^(MAX(0,29-GrowthStartMonth)/12)</f>
        <v/>
      </c>
      <c r="AH7" s="157">
        <f>(1+GrowthLowIncRent)^(MAX(0,30-GrowthStartMonth)/12)</f>
        <v/>
      </c>
      <c r="AI7" s="157">
        <f>(1+GrowthLowIncRent)^(MAX(0,31-GrowthStartMonth)/12)</f>
        <v/>
      </c>
      <c r="AJ7" s="157">
        <f>(1+GrowthLowIncRent)^(MAX(0,32-GrowthStartMonth)/12)</f>
        <v/>
      </c>
      <c r="AK7" s="157">
        <f>(1+GrowthLowIncRent)^(MAX(0,33-GrowthStartMonth)/12)</f>
        <v/>
      </c>
      <c r="AL7" s="157">
        <f>(1+GrowthLowIncRent)^(MAX(0,34-GrowthStartMonth)/12)</f>
        <v/>
      </c>
      <c r="AM7" s="157">
        <f>(1+GrowthLowIncRent)^(MAX(0,35-GrowthStartMonth)/12)</f>
        <v/>
      </c>
      <c r="AN7" s="157">
        <f>(1+GrowthLowIncRent)^(MAX(0,36-GrowthStartMonth)/12)</f>
        <v/>
      </c>
      <c r="AO7" s="157">
        <f>(1+GrowthLowIncRent)^(MAX(0,37-GrowthStartMonth)/12)</f>
        <v/>
      </c>
      <c r="AP7" s="157">
        <f>(1+GrowthLowIncRent)^(MAX(0,38-GrowthStartMonth)/12)</f>
        <v/>
      </c>
      <c r="AQ7" s="157">
        <f>(1+GrowthLowIncRent)^(MAX(0,39-GrowthStartMonth)/12)</f>
        <v/>
      </c>
      <c r="AR7" s="157">
        <f>(1+GrowthLowIncRent)^(MAX(0,40-GrowthStartMonth)/12)</f>
        <v/>
      </c>
      <c r="AS7" s="157">
        <f>(1+GrowthLowIncRent)^(MAX(0,41-GrowthStartMonth)/12)</f>
        <v/>
      </c>
      <c r="AT7" s="157">
        <f>(1+GrowthLowIncRent)^(MAX(0,42-GrowthStartMonth)/12)</f>
        <v/>
      </c>
      <c r="AU7" s="157">
        <f>(1+GrowthLowIncRent)^(MAX(0,43-GrowthStartMonth)/12)</f>
        <v/>
      </c>
      <c r="AV7" s="157">
        <f>(1+GrowthLowIncRent)^(MAX(0,44-GrowthStartMonth)/12)</f>
        <v/>
      </c>
      <c r="AW7" s="157">
        <f>(1+GrowthLowIncRent)^(MAX(0,45-GrowthStartMonth)/12)</f>
        <v/>
      </c>
      <c r="AX7" s="157">
        <f>(1+GrowthLowIncRent)^(MAX(0,46-GrowthStartMonth)/12)</f>
        <v/>
      </c>
      <c r="AY7" s="157">
        <f>(1+GrowthLowIncRent)^(MAX(0,47-GrowthStartMonth)/12)</f>
        <v/>
      </c>
      <c r="AZ7" s="157">
        <f>(1+GrowthLowIncRent)^(MAX(0,48-GrowthStartMonth)/12)</f>
        <v/>
      </c>
      <c r="BA7" s="157">
        <f>(1+GrowthLowIncRent)^(MAX(0,49-GrowthStartMonth)/12)</f>
        <v/>
      </c>
      <c r="BB7" s="157">
        <f>(1+GrowthLowIncRent)^(MAX(0,50-GrowthStartMonth)/12)</f>
        <v/>
      </c>
      <c r="BC7" s="157">
        <f>(1+GrowthLowIncRent)^(MAX(0,51-GrowthStartMonth)/12)</f>
        <v/>
      </c>
      <c r="BD7" s="157">
        <f>(1+GrowthLowIncRent)^(MAX(0,52-GrowthStartMonth)/12)</f>
        <v/>
      </c>
      <c r="BE7" s="157">
        <f>(1+GrowthLowIncRent)^(MAX(0,53-GrowthStartMonth)/12)</f>
        <v/>
      </c>
      <c r="BF7" s="157">
        <f>(1+GrowthLowIncRent)^(MAX(0,54-GrowthStartMonth)/12)</f>
        <v/>
      </c>
      <c r="BG7" s="157">
        <f>(1+GrowthLowIncRent)^(MAX(0,55-GrowthStartMonth)/12)</f>
        <v/>
      </c>
      <c r="BH7" s="157">
        <f>(1+GrowthLowIncRent)^(MAX(0,56-GrowthStartMonth)/12)</f>
        <v/>
      </c>
      <c r="BI7" s="157">
        <f>(1+GrowthLowIncRent)^(MAX(0,57-GrowthStartMonth)/12)</f>
        <v/>
      </c>
      <c r="BJ7" s="157">
        <f>(1+GrowthLowIncRent)^(MAX(0,58-GrowthStartMonth)/12)</f>
        <v/>
      </c>
      <c r="BK7" s="157">
        <f>(1+GrowthLowIncRent)^(MAX(0,59-GrowthStartMonth)/12)</f>
        <v/>
      </c>
      <c r="BL7" s="157">
        <f>(1+GrowthLowIncRent)^(MAX(0,60-GrowthStartMonth)/12)</f>
        <v/>
      </c>
      <c r="BM7" s="157">
        <f>(1+GrowthLowIncRent)^(MAX(0,61-GrowthStartMonth)/12)</f>
        <v/>
      </c>
      <c r="BN7" s="157">
        <f>(1+GrowthLowIncRent)^(MAX(0,62-GrowthStartMonth)/12)</f>
        <v/>
      </c>
      <c r="BO7" s="157">
        <f>(1+GrowthLowIncRent)^(MAX(0,63-GrowthStartMonth)/12)</f>
        <v/>
      </c>
      <c r="BP7" s="157">
        <f>(1+GrowthLowIncRent)^(MAX(0,64-GrowthStartMonth)/12)</f>
        <v/>
      </c>
      <c r="BQ7" s="157">
        <f>(1+GrowthLowIncRent)^(MAX(0,65-GrowthStartMonth)/12)</f>
        <v/>
      </c>
      <c r="BR7" s="157">
        <f>(1+GrowthLowIncRent)^(MAX(0,66-GrowthStartMonth)/12)</f>
        <v/>
      </c>
      <c r="BS7" s="157">
        <f>(1+GrowthLowIncRent)^(MAX(0,67-GrowthStartMonth)/12)</f>
        <v/>
      </c>
      <c r="BT7" s="157">
        <f>(1+GrowthLowIncRent)^(MAX(0,68-GrowthStartMonth)/12)</f>
        <v/>
      </c>
      <c r="BU7" s="157">
        <f>(1+GrowthLowIncRent)^(MAX(0,69-GrowthStartMonth)/12)</f>
        <v/>
      </c>
      <c r="BV7" s="157">
        <f>(1+GrowthLowIncRent)^(MAX(0,70-GrowthStartMonth)/12)</f>
        <v/>
      </c>
      <c r="BW7" s="157">
        <f>(1+GrowthLowIncRent)^(MAX(0,71-GrowthStartMonth)/12)</f>
        <v/>
      </c>
      <c r="BX7" s="157">
        <f>(1+GrowthLowIncRent)^(MAX(0,72-GrowthStartMonth)/12)</f>
        <v/>
      </c>
      <c r="BY7" s="157">
        <f>(1+GrowthLowIncRent)^(MAX(0,73-GrowthStartMonth)/12)</f>
        <v/>
      </c>
      <c r="BZ7" s="157">
        <f>(1+GrowthLowIncRent)^(MAX(0,74-GrowthStartMonth)/12)</f>
        <v/>
      </c>
      <c r="CA7" s="157">
        <f>(1+GrowthLowIncRent)^(MAX(0,75-GrowthStartMonth)/12)</f>
        <v/>
      </c>
      <c r="CB7" s="157">
        <f>(1+GrowthLowIncRent)^(MAX(0,76-GrowthStartMonth)/12)</f>
        <v/>
      </c>
      <c r="CC7" s="157">
        <f>(1+GrowthLowIncRent)^(MAX(0,77-GrowthStartMonth)/12)</f>
        <v/>
      </c>
      <c r="CD7" s="157">
        <f>(1+GrowthLowIncRent)^(MAX(0,78-GrowthStartMonth)/12)</f>
        <v/>
      </c>
      <c r="CE7" s="157">
        <f>(1+GrowthLowIncRent)^(MAX(0,79-GrowthStartMonth)/12)</f>
        <v/>
      </c>
      <c r="CF7" s="157">
        <f>(1+GrowthLowIncRent)^(MAX(0,80-GrowthStartMonth)/12)</f>
        <v/>
      </c>
      <c r="CG7" s="157">
        <f>(1+GrowthLowIncRent)^(MAX(0,81-GrowthStartMonth)/12)</f>
        <v/>
      </c>
      <c r="CH7" s="157">
        <f>(1+GrowthLowIncRent)^(MAX(0,82-GrowthStartMonth)/12)</f>
        <v/>
      </c>
      <c r="CI7" s="157">
        <f>(1+GrowthLowIncRent)^(MAX(0,83-GrowthStartMonth)/12)</f>
        <v/>
      </c>
      <c r="CJ7" s="157">
        <f>(1+GrowthLowIncRent)^(MAX(0,84-GrowthStartMonth)/12)</f>
        <v/>
      </c>
      <c r="CK7" s="157">
        <f>(1+GrowthLowIncRent)^(MAX(0,85-GrowthStartMonth)/12)</f>
        <v/>
      </c>
      <c r="CL7" s="157">
        <f>(1+GrowthLowIncRent)^(MAX(0,86-GrowthStartMonth)/12)</f>
        <v/>
      </c>
      <c r="CM7" s="157">
        <f>(1+GrowthLowIncRent)^(MAX(0,87-GrowthStartMonth)/12)</f>
        <v/>
      </c>
      <c r="CN7" s="157">
        <f>(1+GrowthLowIncRent)^(MAX(0,88-GrowthStartMonth)/12)</f>
        <v/>
      </c>
      <c r="CO7" s="157">
        <f>(1+GrowthLowIncRent)^(MAX(0,89-GrowthStartMonth)/12)</f>
        <v/>
      </c>
      <c r="CP7" s="157">
        <f>(1+GrowthLowIncRent)^(MAX(0,90-GrowthStartMonth)/12)</f>
        <v/>
      </c>
      <c r="CQ7" s="157">
        <f>(1+GrowthLowIncRent)^(MAX(0,91-GrowthStartMonth)/12)</f>
        <v/>
      </c>
      <c r="CR7" s="157">
        <f>(1+GrowthLowIncRent)^(MAX(0,92-GrowthStartMonth)/12)</f>
        <v/>
      </c>
      <c r="CS7" s="157">
        <f>(1+GrowthLowIncRent)^(MAX(0,93-GrowthStartMonth)/12)</f>
        <v/>
      </c>
      <c r="CT7" s="157">
        <f>(1+GrowthLowIncRent)^(MAX(0,94-GrowthStartMonth)/12)</f>
        <v/>
      </c>
      <c r="CU7" s="157">
        <f>(1+GrowthLowIncRent)^(MAX(0,95-GrowthStartMonth)/12)</f>
        <v/>
      </c>
      <c r="CV7" s="157">
        <f>(1+GrowthLowIncRent)^(MAX(0,96-GrowthStartMonth)/12)</f>
        <v/>
      </c>
      <c r="CW7" s="157">
        <f>(1+GrowthLowIncRent)^(MAX(0,97-GrowthStartMonth)/12)</f>
        <v/>
      </c>
      <c r="CX7" s="157">
        <f>(1+GrowthLowIncRent)^(MAX(0,98-GrowthStartMonth)/12)</f>
        <v/>
      </c>
      <c r="CY7" s="157">
        <f>(1+GrowthLowIncRent)^(MAX(0,99-GrowthStartMonth)/12)</f>
        <v/>
      </c>
      <c r="CZ7" s="157">
        <f>(1+GrowthLowIncRent)^(MAX(0,100-GrowthStartMonth)/12)</f>
        <v/>
      </c>
      <c r="DA7" s="157">
        <f>(1+GrowthLowIncRent)^(MAX(0,101-GrowthStartMonth)/12)</f>
        <v/>
      </c>
      <c r="DB7" s="157">
        <f>(1+GrowthLowIncRent)^(MAX(0,102-GrowthStartMonth)/12)</f>
        <v/>
      </c>
      <c r="DC7" s="157">
        <f>(1+GrowthLowIncRent)^(MAX(0,103-GrowthStartMonth)/12)</f>
        <v/>
      </c>
      <c r="DD7" s="157">
        <f>(1+GrowthLowIncRent)^(MAX(0,104-GrowthStartMonth)/12)</f>
        <v/>
      </c>
      <c r="DE7" s="157">
        <f>(1+GrowthLowIncRent)^(MAX(0,105-GrowthStartMonth)/12)</f>
        <v/>
      </c>
      <c r="DF7" s="157">
        <f>(1+GrowthLowIncRent)^(MAX(0,106-GrowthStartMonth)/12)</f>
        <v/>
      </c>
      <c r="DG7" s="157">
        <f>(1+GrowthLowIncRent)^(MAX(0,107-GrowthStartMonth)/12)</f>
        <v/>
      </c>
      <c r="DH7" s="157">
        <f>(1+GrowthLowIncRent)^(MAX(0,108-GrowthStartMonth)/12)</f>
        <v/>
      </c>
      <c r="DI7" s="157">
        <f>(1+GrowthLowIncRent)^(MAX(0,109-GrowthStartMonth)/12)</f>
        <v/>
      </c>
      <c r="DJ7" s="157">
        <f>(1+GrowthLowIncRent)^(MAX(0,110-GrowthStartMonth)/12)</f>
        <v/>
      </c>
      <c r="DK7" s="157">
        <f>(1+GrowthLowIncRent)^(MAX(0,111-GrowthStartMonth)/12)</f>
        <v/>
      </c>
      <c r="DL7" s="157">
        <f>(1+GrowthLowIncRent)^(MAX(0,112-GrowthStartMonth)/12)</f>
        <v/>
      </c>
      <c r="DM7" s="157">
        <f>(1+GrowthLowIncRent)^(MAX(0,113-GrowthStartMonth)/12)</f>
        <v/>
      </c>
      <c r="DN7" s="157">
        <f>(1+GrowthLowIncRent)^(MAX(0,114-GrowthStartMonth)/12)</f>
        <v/>
      </c>
      <c r="DO7" s="157">
        <f>(1+GrowthLowIncRent)^(MAX(0,115-GrowthStartMonth)/12)</f>
        <v/>
      </c>
      <c r="DP7" s="157">
        <f>(1+GrowthLowIncRent)^(MAX(0,116-GrowthStartMonth)/12)</f>
        <v/>
      </c>
      <c r="DQ7" s="157">
        <f>(1+GrowthLowIncRent)^(MAX(0,117-GrowthStartMonth)/12)</f>
        <v/>
      </c>
      <c r="DR7" s="157">
        <f>(1+GrowthLowIncRent)^(MAX(0,118-GrowthStartMonth)/12)</f>
        <v/>
      </c>
      <c r="DS7" s="157">
        <f>(1+GrowthLowIncRent)^(MAX(0,119-GrowthStartMonth)/12)</f>
        <v/>
      </c>
      <c r="DT7" s="157">
        <f>(1+GrowthLowIncRent)^(MAX(0,120-GrowthStartMonth)/12)</f>
        <v/>
      </c>
      <c r="DU7" s="157">
        <f>(1+GrowthLowIncRent)^(MAX(0,121-GrowthStartMonth)/12)</f>
        <v/>
      </c>
      <c r="DV7" s="157">
        <f>(1+GrowthLowIncRent)^(MAX(0,122-GrowthStartMonth)/12)</f>
        <v/>
      </c>
      <c r="DW7" s="157">
        <f>(1+GrowthLowIncRent)^(MAX(0,123-GrowthStartMonth)/12)</f>
        <v/>
      </c>
      <c r="DX7" s="157">
        <f>(1+GrowthLowIncRent)^(MAX(0,124-GrowthStartMonth)/12)</f>
        <v/>
      </c>
      <c r="DY7" s="157">
        <f>(1+GrowthLowIncRent)^(MAX(0,125-GrowthStartMonth)/12)</f>
        <v/>
      </c>
      <c r="DZ7" s="157">
        <f>(1+GrowthLowIncRent)^(MAX(0,126-GrowthStartMonth)/12)</f>
        <v/>
      </c>
      <c r="EA7" s="157">
        <f>(1+GrowthLowIncRent)^(MAX(0,127-GrowthStartMonth)/12)</f>
        <v/>
      </c>
      <c r="EB7" s="157">
        <f>(1+GrowthLowIncRent)^(MAX(0,128-GrowthStartMonth)/12)</f>
        <v/>
      </c>
      <c r="EC7" s="157">
        <f>(1+GrowthLowIncRent)^(MAX(0,129-GrowthStartMonth)/12)</f>
        <v/>
      </c>
      <c r="ED7" s="157">
        <f>(1+GrowthLowIncRent)^(MAX(0,130-GrowthStartMonth)/12)</f>
        <v/>
      </c>
      <c r="EE7" s="157">
        <f>(1+GrowthLowIncRent)^(MAX(0,131-GrowthStartMonth)/12)</f>
        <v/>
      </c>
      <c r="EF7" s="157">
        <f>(1+GrowthLowIncRent)^(MAX(0,132-GrowthStartMonth)/12)</f>
        <v/>
      </c>
      <c r="EG7" s="157">
        <f>(1+GrowthLowIncRent)^(MAX(0,133-GrowthStartMonth)/12)</f>
        <v/>
      </c>
      <c r="EH7" s="157">
        <f>(1+GrowthLowIncRent)^(MAX(0,134-GrowthStartMonth)/12)</f>
        <v/>
      </c>
      <c r="EI7" s="157">
        <f>(1+GrowthLowIncRent)^(MAX(0,135-GrowthStartMonth)/12)</f>
        <v/>
      </c>
      <c r="EJ7" s="157">
        <f>(1+GrowthLowIncRent)^(MAX(0,136-GrowthStartMonth)/12)</f>
        <v/>
      </c>
      <c r="EK7" s="157">
        <f>(1+GrowthLowIncRent)^(MAX(0,137-GrowthStartMonth)/12)</f>
        <v/>
      </c>
      <c r="EL7" s="157">
        <f>(1+GrowthLowIncRent)^(MAX(0,138-GrowthStartMonth)/12)</f>
        <v/>
      </c>
      <c r="EM7" s="157">
        <f>(1+GrowthLowIncRent)^(MAX(0,139-GrowthStartMonth)/12)</f>
        <v/>
      </c>
      <c r="EN7" s="157">
        <f>(1+GrowthLowIncRent)^(MAX(0,140-GrowthStartMonth)/12)</f>
        <v/>
      </c>
      <c r="EO7" s="157">
        <f>(1+GrowthLowIncRent)^(MAX(0,141-GrowthStartMonth)/12)</f>
        <v/>
      </c>
      <c r="EP7" s="157">
        <f>(1+GrowthLowIncRent)^(MAX(0,142-GrowthStartMonth)/12)</f>
        <v/>
      </c>
      <c r="EQ7" s="157">
        <f>(1+GrowthLowIncRent)^(MAX(0,143-GrowthStartMonth)/12)</f>
        <v/>
      </c>
      <c r="ER7" s="157">
        <f>(1+GrowthLowIncRent)^(MAX(0,144-GrowthStartMonth)/12)</f>
        <v/>
      </c>
      <c r="ES7" s="157">
        <f>(1+GrowthLowIncRent)^(MAX(0,145-GrowthStartMonth)/12)</f>
        <v/>
      </c>
      <c r="ET7" s="157">
        <f>(1+GrowthLowIncRent)^(MAX(0,146-GrowthStartMonth)/12)</f>
        <v/>
      </c>
      <c r="EU7" s="157">
        <f>(1+GrowthLowIncRent)^(MAX(0,147-GrowthStartMonth)/12)</f>
        <v/>
      </c>
      <c r="EV7" s="157">
        <f>(1+GrowthLowIncRent)^(MAX(0,148-GrowthStartMonth)/12)</f>
        <v/>
      </c>
      <c r="EW7" s="157">
        <f>(1+GrowthLowIncRent)^(MAX(0,149-GrowthStartMonth)/12)</f>
        <v/>
      </c>
      <c r="EX7" s="157">
        <f>(1+GrowthLowIncRent)^(MAX(0,150-GrowthStartMonth)/12)</f>
        <v/>
      </c>
      <c r="EY7" s="157">
        <f>(1+GrowthLowIncRent)^(MAX(0,151-GrowthStartMonth)/12)</f>
        <v/>
      </c>
      <c r="EZ7" s="157">
        <f>(1+GrowthLowIncRent)^(MAX(0,152-GrowthStartMonth)/12)</f>
        <v/>
      </c>
      <c r="FA7" s="157">
        <f>(1+GrowthLowIncRent)^(MAX(0,153-GrowthStartMonth)/12)</f>
        <v/>
      </c>
      <c r="FB7" s="157">
        <f>(1+GrowthLowIncRent)^(MAX(0,154-GrowthStartMonth)/12)</f>
        <v/>
      </c>
      <c r="FC7" s="157">
        <f>(1+GrowthLowIncRent)^(MAX(0,155-GrowthStartMonth)/12)</f>
        <v/>
      </c>
      <c r="FD7" s="157">
        <f>(1+GrowthLowIncRent)^(MAX(0,156-GrowthStartMonth)/12)</f>
        <v/>
      </c>
      <c r="FE7" s="157">
        <f>(1+GrowthLowIncRent)^(MAX(0,157-GrowthStartMonth)/12)</f>
        <v/>
      </c>
      <c r="FF7" s="157">
        <f>(1+GrowthLowIncRent)^(MAX(0,158-GrowthStartMonth)/12)</f>
        <v/>
      </c>
      <c r="FG7" s="157">
        <f>(1+GrowthLowIncRent)^(MAX(0,159-GrowthStartMonth)/12)</f>
        <v/>
      </c>
      <c r="FH7" s="157">
        <f>(1+GrowthLowIncRent)^(MAX(0,160-GrowthStartMonth)/12)</f>
        <v/>
      </c>
      <c r="FI7" s="157">
        <f>(1+GrowthLowIncRent)^(MAX(0,161-GrowthStartMonth)/12)</f>
        <v/>
      </c>
      <c r="FJ7" s="157">
        <f>(1+GrowthLowIncRent)^(MAX(0,162-GrowthStartMonth)/12)</f>
        <v/>
      </c>
      <c r="FK7" s="157">
        <f>(1+GrowthLowIncRent)^(MAX(0,163-GrowthStartMonth)/12)</f>
        <v/>
      </c>
      <c r="FL7" s="157">
        <f>(1+GrowthLowIncRent)^(MAX(0,164-GrowthStartMonth)/12)</f>
        <v/>
      </c>
      <c r="FM7" s="157">
        <f>(1+GrowthLowIncRent)^(MAX(0,165-GrowthStartMonth)/12)</f>
        <v/>
      </c>
      <c r="FN7" s="157">
        <f>(1+GrowthLowIncRent)^(MAX(0,166-GrowthStartMonth)/12)</f>
        <v/>
      </c>
      <c r="FO7" s="157">
        <f>(1+GrowthLowIncRent)^(MAX(0,167-GrowthStartMonth)/12)</f>
        <v/>
      </c>
      <c r="FP7" s="157">
        <f>(1+GrowthLowIncRent)^(MAX(0,168-GrowthStartMonth)/12)</f>
        <v/>
      </c>
      <c r="FQ7" s="157">
        <f>(1+GrowthLowIncRent)^(MAX(0,169-GrowthStartMonth)/12)</f>
        <v/>
      </c>
      <c r="FR7" s="157">
        <f>(1+GrowthLowIncRent)^(MAX(0,170-GrowthStartMonth)/12)</f>
        <v/>
      </c>
      <c r="FS7" s="157">
        <f>(1+GrowthLowIncRent)^(MAX(0,171-GrowthStartMonth)/12)</f>
        <v/>
      </c>
      <c r="FT7" s="157">
        <f>(1+GrowthLowIncRent)^(MAX(0,172-GrowthStartMonth)/12)</f>
        <v/>
      </c>
      <c r="FU7" s="157">
        <f>(1+GrowthLowIncRent)^(MAX(0,173-GrowthStartMonth)/12)</f>
        <v/>
      </c>
      <c r="FV7" s="157">
        <f>(1+GrowthLowIncRent)^(MAX(0,174-GrowthStartMonth)/12)</f>
        <v/>
      </c>
      <c r="FW7" s="157">
        <f>(1+GrowthLowIncRent)^(MAX(0,175-GrowthStartMonth)/12)</f>
        <v/>
      </c>
      <c r="FX7" s="157">
        <f>(1+GrowthLowIncRent)^(MAX(0,176-GrowthStartMonth)/12)</f>
        <v/>
      </c>
      <c r="FY7" s="157">
        <f>(1+GrowthLowIncRent)^(MAX(0,177-GrowthStartMonth)/12)</f>
        <v/>
      </c>
      <c r="FZ7" s="157">
        <f>(1+GrowthLowIncRent)^(MAX(0,178-GrowthStartMonth)/12)</f>
        <v/>
      </c>
      <c r="GA7" s="157">
        <f>(1+GrowthLowIncRent)^(MAX(0,179-GrowthStartMonth)/12)</f>
        <v/>
      </c>
      <c r="GB7" s="157">
        <f>(1+GrowthLowIncRent)^(MAX(0,180-GrowthStartMonth)/12)</f>
        <v/>
      </c>
      <c r="GC7" s="157">
        <f>(1+GrowthLowIncRent)^(MAX(0,181-GrowthStartMonth)/12)</f>
        <v/>
      </c>
      <c r="GD7" s="157">
        <f>(1+GrowthLowIncRent)^(MAX(0,182-GrowthStartMonth)/12)</f>
        <v/>
      </c>
      <c r="GE7" s="157">
        <f>(1+GrowthLowIncRent)^(MAX(0,183-GrowthStartMonth)/12)</f>
        <v/>
      </c>
      <c r="GF7" s="157">
        <f>(1+GrowthLowIncRent)^(MAX(0,184-GrowthStartMonth)/12)</f>
        <v/>
      </c>
      <c r="GG7" s="157">
        <f>(1+GrowthLowIncRent)^(MAX(0,185-GrowthStartMonth)/12)</f>
        <v/>
      </c>
      <c r="GH7" s="157">
        <f>(1+GrowthLowIncRent)^(MAX(0,186-GrowthStartMonth)/12)</f>
        <v/>
      </c>
      <c r="GI7" s="157">
        <f>(1+GrowthLowIncRent)^(MAX(0,187-GrowthStartMonth)/12)</f>
        <v/>
      </c>
      <c r="GJ7" s="157">
        <f>(1+GrowthLowIncRent)^(MAX(0,188-GrowthStartMonth)/12)</f>
        <v/>
      </c>
      <c r="GK7" s="157">
        <f>(1+GrowthLowIncRent)^(MAX(0,189-GrowthStartMonth)/12)</f>
        <v/>
      </c>
      <c r="GL7" s="157">
        <f>(1+GrowthLowIncRent)^(MAX(0,190-GrowthStartMonth)/12)</f>
        <v/>
      </c>
      <c r="GM7" s="157">
        <f>(1+GrowthLowIncRent)^(MAX(0,191-GrowthStartMonth)/12)</f>
        <v/>
      </c>
      <c r="GN7" s="157">
        <f>(1+GrowthLowIncRent)^(MAX(0,192-GrowthStartMonth)/12)</f>
        <v/>
      </c>
      <c r="GO7" s="157">
        <f>(1+GrowthLowIncRent)^(MAX(0,193-GrowthStartMonth)/12)</f>
        <v/>
      </c>
      <c r="GP7" s="157">
        <f>(1+GrowthLowIncRent)^(MAX(0,194-GrowthStartMonth)/12)</f>
        <v/>
      </c>
      <c r="GQ7" s="157">
        <f>(1+GrowthLowIncRent)^(MAX(0,195-GrowthStartMonth)/12)</f>
        <v/>
      </c>
      <c r="GR7" s="157">
        <f>(1+GrowthLowIncRent)^(MAX(0,196-GrowthStartMonth)/12)</f>
        <v/>
      </c>
      <c r="GS7" s="157">
        <f>(1+GrowthLowIncRent)^(MAX(0,197-GrowthStartMonth)/12)</f>
        <v/>
      </c>
      <c r="GT7" s="157">
        <f>(1+GrowthLowIncRent)^(MAX(0,198-GrowthStartMonth)/12)</f>
        <v/>
      </c>
      <c r="GU7" s="157">
        <f>(1+GrowthLowIncRent)^(MAX(0,199-GrowthStartMonth)/12)</f>
        <v/>
      </c>
      <c r="GV7" s="157">
        <f>(1+GrowthLowIncRent)^(MAX(0,200-GrowthStartMonth)/12)</f>
        <v/>
      </c>
      <c r="GW7" s="157">
        <f>(1+GrowthLowIncRent)^(MAX(0,201-GrowthStartMonth)/12)</f>
        <v/>
      </c>
      <c r="GX7" s="157">
        <f>(1+GrowthLowIncRent)^(MAX(0,202-GrowthStartMonth)/12)</f>
        <v/>
      </c>
      <c r="GY7" s="157">
        <f>(1+GrowthLowIncRent)^(MAX(0,203-GrowthStartMonth)/12)</f>
        <v/>
      </c>
      <c r="GZ7" s="157">
        <f>(1+GrowthLowIncRent)^(MAX(0,204-GrowthStartMonth)/12)</f>
        <v/>
      </c>
      <c r="HA7" s="157">
        <f>(1+GrowthLowIncRent)^(MAX(0,205-GrowthStartMonth)/12)</f>
        <v/>
      </c>
      <c r="HB7" s="157">
        <f>(1+GrowthLowIncRent)^(MAX(0,206-GrowthStartMonth)/12)</f>
        <v/>
      </c>
      <c r="HC7" s="157">
        <f>(1+GrowthLowIncRent)^(MAX(0,207-GrowthStartMonth)/12)</f>
        <v/>
      </c>
      <c r="HD7" s="157">
        <f>(1+GrowthLowIncRent)^(MAX(0,208-GrowthStartMonth)/12)</f>
        <v/>
      </c>
      <c r="HE7" s="157">
        <f>(1+GrowthLowIncRent)^(MAX(0,209-GrowthStartMonth)/12)</f>
        <v/>
      </c>
      <c r="HF7" s="157">
        <f>(1+GrowthLowIncRent)^(MAX(0,210-GrowthStartMonth)/12)</f>
        <v/>
      </c>
      <c r="HG7" s="157">
        <f>(1+GrowthLowIncRent)^(MAX(0,211-GrowthStartMonth)/12)</f>
        <v/>
      </c>
      <c r="HH7" s="157">
        <f>(1+GrowthLowIncRent)^(MAX(0,212-GrowthStartMonth)/12)</f>
        <v/>
      </c>
      <c r="HI7" s="157">
        <f>(1+GrowthLowIncRent)^(MAX(0,213-GrowthStartMonth)/12)</f>
        <v/>
      </c>
      <c r="HJ7" s="157">
        <f>(1+GrowthLowIncRent)^(MAX(0,214-GrowthStartMonth)/12)</f>
        <v/>
      </c>
      <c r="HK7" s="157">
        <f>(1+GrowthLowIncRent)^(MAX(0,215-GrowthStartMonth)/12)</f>
        <v/>
      </c>
      <c r="HL7" s="157">
        <f>(1+GrowthLowIncRent)^(MAX(0,216-GrowthStartMonth)/12)</f>
        <v/>
      </c>
      <c r="HM7" s="157">
        <f>(1+GrowthLowIncRent)^(MAX(0,217-GrowthStartMonth)/12)</f>
        <v/>
      </c>
      <c r="HN7" s="157">
        <f>(1+GrowthLowIncRent)^(MAX(0,218-GrowthStartMonth)/12)</f>
        <v/>
      </c>
      <c r="HO7" s="157">
        <f>(1+GrowthLowIncRent)^(MAX(0,219-GrowthStartMonth)/12)</f>
        <v/>
      </c>
      <c r="HP7" s="157">
        <f>(1+GrowthLowIncRent)^(MAX(0,220-GrowthStartMonth)/12)</f>
        <v/>
      </c>
      <c r="HQ7" s="157">
        <f>(1+GrowthLowIncRent)^(MAX(0,221-GrowthStartMonth)/12)</f>
        <v/>
      </c>
      <c r="HR7" s="157">
        <f>(1+GrowthLowIncRent)^(MAX(0,222-GrowthStartMonth)/12)</f>
        <v/>
      </c>
      <c r="HS7" s="157">
        <f>(1+GrowthLowIncRent)^(MAX(0,223-GrowthStartMonth)/12)</f>
        <v/>
      </c>
      <c r="HT7" s="157">
        <f>(1+GrowthLowIncRent)^(MAX(0,224-GrowthStartMonth)/12)</f>
        <v/>
      </c>
      <c r="HU7" s="157">
        <f>(1+GrowthLowIncRent)^(MAX(0,225-GrowthStartMonth)/12)</f>
        <v/>
      </c>
      <c r="HV7" s="157">
        <f>(1+GrowthLowIncRent)^(MAX(0,226-GrowthStartMonth)/12)</f>
        <v/>
      </c>
      <c r="HW7" s="157">
        <f>(1+GrowthLowIncRent)^(MAX(0,227-GrowthStartMonth)/12)</f>
        <v/>
      </c>
      <c r="HX7" s="157">
        <f>(1+GrowthLowIncRent)^(MAX(0,228-GrowthStartMonth)/12)</f>
        <v/>
      </c>
      <c r="HY7" s="157">
        <f>(1+GrowthLowIncRent)^(MAX(0,229-GrowthStartMonth)/12)</f>
        <v/>
      </c>
      <c r="HZ7" s="157">
        <f>(1+GrowthLowIncRent)^(MAX(0,230-GrowthStartMonth)/12)</f>
        <v/>
      </c>
      <c r="IA7" s="157">
        <f>(1+GrowthLowIncRent)^(MAX(0,231-GrowthStartMonth)/12)</f>
        <v/>
      </c>
      <c r="IB7" s="157">
        <f>(1+GrowthLowIncRent)^(MAX(0,232-GrowthStartMonth)/12)</f>
        <v/>
      </c>
      <c r="IC7" s="157">
        <f>(1+GrowthLowIncRent)^(MAX(0,233-GrowthStartMonth)/12)</f>
        <v/>
      </c>
      <c r="ID7" s="157">
        <f>(1+GrowthLowIncRent)^(MAX(0,234-GrowthStartMonth)/12)</f>
        <v/>
      </c>
      <c r="IE7" s="157">
        <f>(1+GrowthLowIncRent)^(MAX(0,235-GrowthStartMonth)/12)</f>
        <v/>
      </c>
      <c r="IF7" s="157">
        <f>(1+GrowthLowIncRent)^(MAX(0,236-GrowthStartMonth)/12)</f>
        <v/>
      </c>
      <c r="IG7" s="157">
        <f>(1+GrowthLowIncRent)^(MAX(0,237-GrowthStartMonth)/12)</f>
        <v/>
      </c>
      <c r="IH7" s="157">
        <f>(1+GrowthLowIncRent)^(MAX(0,238-GrowthStartMonth)/12)</f>
        <v/>
      </c>
      <c r="II7" s="157">
        <f>(1+GrowthLowIncRent)^(MAX(0,239-GrowthStartMonth)/12)</f>
        <v/>
      </c>
      <c r="IJ7" s="157">
        <f>(1+GrowthLowIncRent)^(MAX(0,240-GrowthStartMonth)/12)</f>
        <v/>
      </c>
      <c r="IK7" s="157">
        <f>(1+GrowthLowIncRent)^(MAX(0,241-GrowthStartMonth)/12)</f>
        <v/>
      </c>
      <c r="IL7" s="157">
        <f>(1+GrowthLowIncRent)^(MAX(0,242-GrowthStartMonth)/12)</f>
        <v/>
      </c>
      <c r="IM7" s="157">
        <f>(1+GrowthLowIncRent)^(MAX(0,243-GrowthStartMonth)/12)</f>
        <v/>
      </c>
      <c r="IN7" s="157">
        <f>(1+GrowthLowIncRent)^(MAX(0,244-GrowthStartMonth)/12)</f>
        <v/>
      </c>
      <c r="IO7" s="157">
        <f>(1+GrowthLowIncRent)^(MAX(0,245-GrowthStartMonth)/12)</f>
        <v/>
      </c>
      <c r="IP7" s="157">
        <f>(1+GrowthLowIncRent)^(MAX(0,246-GrowthStartMonth)/12)</f>
        <v/>
      </c>
      <c r="IQ7" s="157">
        <f>(1+GrowthLowIncRent)^(MAX(0,247-GrowthStartMonth)/12)</f>
        <v/>
      </c>
      <c r="IR7" s="157">
        <f>(1+GrowthLowIncRent)^(MAX(0,248-GrowthStartMonth)/12)</f>
        <v/>
      </c>
      <c r="IS7" s="157">
        <f>(1+GrowthLowIncRent)^(MAX(0,249-GrowthStartMonth)/12)</f>
        <v/>
      </c>
      <c r="IT7" s="157">
        <f>(1+GrowthLowIncRent)^(MAX(0,250-GrowthStartMonth)/12)</f>
        <v/>
      </c>
      <c r="IU7" s="157">
        <f>(1+GrowthLowIncRent)^(MAX(0,251-GrowthStartMonth)/12)</f>
        <v/>
      </c>
      <c r="IV7" s="157">
        <f>(1+GrowthLowIncRent)^(MAX(0,252-GrowthStartMonth)/12)</f>
        <v/>
      </c>
      <c r="IW7" s="157">
        <f>(1+GrowthLowIncRent)^(MAX(0,253-GrowthStartMonth)/12)</f>
        <v/>
      </c>
      <c r="IX7" s="157">
        <f>(1+GrowthLowIncRent)^(MAX(0,254-GrowthStartMonth)/12)</f>
        <v/>
      </c>
      <c r="IY7" s="157">
        <f>(1+GrowthLowIncRent)^(MAX(0,255-GrowthStartMonth)/12)</f>
        <v/>
      </c>
      <c r="IZ7" s="157">
        <f>(1+GrowthLowIncRent)^(MAX(0,256-GrowthStartMonth)/12)</f>
        <v/>
      </c>
      <c r="JA7" s="157">
        <f>(1+GrowthLowIncRent)^(MAX(0,257-GrowthStartMonth)/12)</f>
        <v/>
      </c>
      <c r="JB7" s="157">
        <f>(1+GrowthLowIncRent)^(MAX(0,258-GrowthStartMonth)/12)</f>
        <v/>
      </c>
      <c r="JC7" s="157">
        <f>(1+GrowthLowIncRent)^(MAX(0,259-GrowthStartMonth)/12)</f>
        <v/>
      </c>
      <c r="JD7" s="157">
        <f>(1+GrowthLowIncRent)^(MAX(0,260-GrowthStartMonth)/12)</f>
        <v/>
      </c>
      <c r="JE7" s="157">
        <f>(1+GrowthLowIncRent)^(MAX(0,261-GrowthStartMonth)/12)</f>
        <v/>
      </c>
      <c r="JF7" s="157">
        <f>(1+GrowthLowIncRent)^(MAX(0,262-GrowthStartMonth)/12)</f>
        <v/>
      </c>
      <c r="JG7" s="157">
        <f>(1+GrowthLowIncRent)^(MAX(0,263-GrowthStartMonth)/12)</f>
        <v/>
      </c>
      <c r="JH7" s="157">
        <f>(1+GrowthLowIncRent)^(MAX(0,264-GrowthStartMonth)/12)</f>
        <v/>
      </c>
      <c r="JI7" s="157">
        <f>(1+GrowthLowIncRent)^(MAX(0,265-GrowthStartMonth)/12)</f>
        <v/>
      </c>
      <c r="JJ7" s="157">
        <f>(1+GrowthLowIncRent)^(MAX(0,266-GrowthStartMonth)/12)</f>
        <v/>
      </c>
      <c r="JK7" s="157">
        <f>(1+GrowthLowIncRent)^(MAX(0,267-GrowthStartMonth)/12)</f>
        <v/>
      </c>
      <c r="JL7" s="157">
        <f>(1+GrowthLowIncRent)^(MAX(0,268-GrowthStartMonth)/12)</f>
        <v/>
      </c>
      <c r="JM7" s="157">
        <f>(1+GrowthLowIncRent)^(MAX(0,269-GrowthStartMonth)/12)</f>
        <v/>
      </c>
      <c r="JN7" s="157">
        <f>(1+GrowthLowIncRent)^(MAX(0,270-GrowthStartMonth)/12)</f>
        <v/>
      </c>
      <c r="JO7" s="157">
        <f>(1+GrowthLowIncRent)^(MAX(0,271-GrowthStartMonth)/12)</f>
        <v/>
      </c>
      <c r="JP7" s="157">
        <f>(1+GrowthLowIncRent)^(MAX(0,272-GrowthStartMonth)/12)</f>
        <v/>
      </c>
      <c r="JQ7" s="157">
        <f>(1+GrowthLowIncRent)^(MAX(0,273-GrowthStartMonth)/12)</f>
        <v/>
      </c>
      <c r="JR7" s="157">
        <f>(1+GrowthLowIncRent)^(MAX(0,274-GrowthStartMonth)/12)</f>
        <v/>
      </c>
      <c r="JS7" s="157">
        <f>(1+GrowthLowIncRent)^(MAX(0,275-GrowthStartMonth)/12)</f>
        <v/>
      </c>
      <c r="JT7" s="157">
        <f>(1+GrowthLowIncRent)^(MAX(0,276-GrowthStartMonth)/12)</f>
        <v/>
      </c>
      <c r="JU7" s="157">
        <f>(1+GrowthLowIncRent)^(MAX(0,277-GrowthStartMonth)/12)</f>
        <v/>
      </c>
      <c r="JV7" s="157">
        <f>(1+GrowthLowIncRent)^(MAX(0,278-GrowthStartMonth)/12)</f>
        <v/>
      </c>
      <c r="JW7" s="157">
        <f>(1+GrowthLowIncRent)^(MAX(0,279-GrowthStartMonth)/12)</f>
        <v/>
      </c>
      <c r="JX7" s="157">
        <f>(1+GrowthLowIncRent)^(MAX(0,280-GrowthStartMonth)/12)</f>
        <v/>
      </c>
      <c r="JY7" s="157">
        <f>(1+GrowthLowIncRent)^(MAX(0,281-GrowthStartMonth)/12)</f>
        <v/>
      </c>
      <c r="JZ7" s="157">
        <f>(1+GrowthLowIncRent)^(MAX(0,282-GrowthStartMonth)/12)</f>
        <v/>
      </c>
      <c r="KA7" s="157">
        <f>(1+GrowthLowIncRent)^(MAX(0,283-GrowthStartMonth)/12)</f>
        <v/>
      </c>
      <c r="KB7" s="157">
        <f>(1+GrowthLowIncRent)^(MAX(0,284-GrowthStartMonth)/12)</f>
        <v/>
      </c>
      <c r="KC7" s="157">
        <f>(1+GrowthLowIncRent)^(MAX(0,285-GrowthStartMonth)/12)</f>
        <v/>
      </c>
      <c r="KD7" s="157">
        <f>(1+GrowthLowIncRent)^(MAX(0,286-GrowthStartMonth)/12)</f>
        <v/>
      </c>
      <c r="KE7" s="157">
        <f>(1+GrowthLowIncRent)^(MAX(0,287-GrowthStartMonth)/12)</f>
        <v/>
      </c>
      <c r="KF7" s="157">
        <f>(1+GrowthLowIncRent)^(MAX(0,288-GrowthStartMonth)/12)</f>
        <v/>
      </c>
      <c r="KG7" s="157">
        <f>(1+GrowthLowIncRent)^(MAX(0,289-GrowthStartMonth)/12)</f>
        <v/>
      </c>
      <c r="KH7" s="157">
        <f>(1+GrowthLowIncRent)^(MAX(0,290-GrowthStartMonth)/12)</f>
        <v/>
      </c>
      <c r="KI7" s="157">
        <f>(1+GrowthLowIncRent)^(MAX(0,291-GrowthStartMonth)/12)</f>
        <v/>
      </c>
      <c r="KJ7" s="157">
        <f>(1+GrowthLowIncRent)^(MAX(0,292-GrowthStartMonth)/12)</f>
        <v/>
      </c>
      <c r="KK7" s="157">
        <f>(1+GrowthLowIncRent)^(MAX(0,293-GrowthStartMonth)/12)</f>
        <v/>
      </c>
      <c r="KL7" s="157">
        <f>(1+GrowthLowIncRent)^(MAX(0,294-GrowthStartMonth)/12)</f>
        <v/>
      </c>
      <c r="KM7" s="157">
        <f>(1+GrowthLowIncRent)^(MAX(0,295-GrowthStartMonth)/12)</f>
        <v/>
      </c>
      <c r="KN7" s="157">
        <f>(1+GrowthLowIncRent)^(MAX(0,296-GrowthStartMonth)/12)</f>
        <v/>
      </c>
      <c r="KO7" s="157">
        <f>(1+GrowthLowIncRent)^(MAX(0,297-GrowthStartMonth)/12)</f>
        <v/>
      </c>
      <c r="KP7" s="157">
        <f>(1+GrowthLowIncRent)^(MAX(0,298-GrowthStartMonth)/12)</f>
        <v/>
      </c>
      <c r="KQ7" s="157">
        <f>(1+GrowthLowIncRent)^(MAX(0,299-GrowthStartMonth)/12)</f>
        <v/>
      </c>
      <c r="KR7" s="157">
        <f>(1+GrowthLowIncRent)^(MAX(0,300-GrowthStartMonth)/12)</f>
        <v/>
      </c>
      <c r="KS7" s="157">
        <f>(1+GrowthLowIncRent)^(MAX(0,301-GrowthStartMonth)/12)</f>
        <v/>
      </c>
      <c r="KT7" s="157">
        <f>(1+GrowthLowIncRent)^(MAX(0,302-GrowthStartMonth)/12)</f>
        <v/>
      </c>
      <c r="KU7" s="157">
        <f>(1+GrowthLowIncRent)^(MAX(0,303-GrowthStartMonth)/12)</f>
        <v/>
      </c>
      <c r="KV7" s="157">
        <f>(1+GrowthLowIncRent)^(MAX(0,304-GrowthStartMonth)/12)</f>
        <v/>
      </c>
      <c r="KW7" s="157">
        <f>(1+GrowthLowIncRent)^(MAX(0,305-GrowthStartMonth)/12)</f>
        <v/>
      </c>
      <c r="KX7" s="157">
        <f>(1+GrowthLowIncRent)^(MAX(0,306-GrowthStartMonth)/12)</f>
        <v/>
      </c>
      <c r="KY7" s="157">
        <f>(1+GrowthLowIncRent)^(MAX(0,307-GrowthStartMonth)/12)</f>
        <v/>
      </c>
      <c r="KZ7" s="157">
        <f>(1+GrowthLowIncRent)^(MAX(0,308-GrowthStartMonth)/12)</f>
        <v/>
      </c>
      <c r="LA7" s="157">
        <f>(1+GrowthLowIncRent)^(MAX(0,309-GrowthStartMonth)/12)</f>
        <v/>
      </c>
      <c r="LB7" s="157">
        <f>(1+GrowthLowIncRent)^(MAX(0,310-GrowthStartMonth)/12)</f>
        <v/>
      </c>
      <c r="LC7" s="157">
        <f>(1+GrowthLowIncRent)^(MAX(0,311-GrowthStartMonth)/12)</f>
        <v/>
      </c>
      <c r="LD7" s="157">
        <f>(1+GrowthLowIncRent)^(MAX(0,312-GrowthStartMonth)/12)</f>
        <v/>
      </c>
      <c r="LE7" s="157">
        <f>(1+GrowthLowIncRent)^(MAX(0,313-GrowthStartMonth)/12)</f>
        <v/>
      </c>
      <c r="LF7" s="157">
        <f>(1+GrowthLowIncRent)^(MAX(0,314-GrowthStartMonth)/12)</f>
        <v/>
      </c>
      <c r="LG7" s="157">
        <f>(1+GrowthLowIncRent)^(MAX(0,315-GrowthStartMonth)/12)</f>
        <v/>
      </c>
      <c r="LH7" s="157">
        <f>(1+GrowthLowIncRent)^(MAX(0,316-GrowthStartMonth)/12)</f>
        <v/>
      </c>
      <c r="LI7" s="157">
        <f>(1+GrowthLowIncRent)^(MAX(0,317-GrowthStartMonth)/12)</f>
        <v/>
      </c>
      <c r="LJ7" s="157">
        <f>(1+GrowthLowIncRent)^(MAX(0,318-GrowthStartMonth)/12)</f>
        <v/>
      </c>
      <c r="LK7" s="157">
        <f>(1+GrowthLowIncRent)^(MAX(0,319-GrowthStartMonth)/12)</f>
        <v/>
      </c>
      <c r="LL7" s="157">
        <f>(1+GrowthLowIncRent)^(MAX(0,320-GrowthStartMonth)/12)</f>
        <v/>
      </c>
      <c r="LM7" s="157">
        <f>(1+GrowthLowIncRent)^(MAX(0,321-GrowthStartMonth)/12)</f>
        <v/>
      </c>
      <c r="LN7" s="157">
        <f>(1+GrowthLowIncRent)^(MAX(0,322-GrowthStartMonth)/12)</f>
        <v/>
      </c>
      <c r="LO7" s="157">
        <f>(1+GrowthLowIncRent)^(MAX(0,323-GrowthStartMonth)/12)</f>
        <v/>
      </c>
      <c r="LP7" s="157">
        <f>(1+GrowthLowIncRent)^(MAX(0,324-GrowthStartMonth)/12)</f>
        <v/>
      </c>
      <c r="LQ7" s="157">
        <f>(1+GrowthLowIncRent)^(MAX(0,325-GrowthStartMonth)/12)</f>
        <v/>
      </c>
      <c r="LR7" s="157">
        <f>(1+GrowthLowIncRent)^(MAX(0,326-GrowthStartMonth)/12)</f>
        <v/>
      </c>
      <c r="LS7" s="157">
        <f>(1+GrowthLowIncRent)^(MAX(0,327-GrowthStartMonth)/12)</f>
        <v/>
      </c>
      <c r="LT7" s="157">
        <f>(1+GrowthLowIncRent)^(MAX(0,328-GrowthStartMonth)/12)</f>
        <v/>
      </c>
      <c r="LU7" s="157">
        <f>(1+GrowthLowIncRent)^(MAX(0,329-GrowthStartMonth)/12)</f>
        <v/>
      </c>
      <c r="LV7" s="157">
        <f>(1+GrowthLowIncRent)^(MAX(0,330-GrowthStartMonth)/12)</f>
        <v/>
      </c>
      <c r="LW7" s="157">
        <f>(1+GrowthLowIncRent)^(MAX(0,331-GrowthStartMonth)/12)</f>
        <v/>
      </c>
      <c r="LX7" s="157">
        <f>(1+GrowthLowIncRent)^(MAX(0,332-GrowthStartMonth)/12)</f>
        <v/>
      </c>
      <c r="LY7" s="157">
        <f>(1+GrowthLowIncRent)^(MAX(0,333-GrowthStartMonth)/12)</f>
        <v/>
      </c>
      <c r="LZ7" s="157">
        <f>(1+GrowthLowIncRent)^(MAX(0,334-GrowthStartMonth)/12)</f>
        <v/>
      </c>
      <c r="MA7" s="157">
        <f>(1+GrowthLowIncRent)^(MAX(0,335-GrowthStartMonth)/12)</f>
        <v/>
      </c>
      <c r="MB7" s="157">
        <f>(1+GrowthLowIncRent)^(MAX(0,336-GrowthStartMonth)/12)</f>
        <v/>
      </c>
      <c r="MC7" s="157">
        <f>(1+GrowthLowIncRent)^(MAX(0,337-GrowthStartMonth)/12)</f>
        <v/>
      </c>
      <c r="MD7" s="157">
        <f>(1+GrowthLowIncRent)^(MAX(0,338-GrowthStartMonth)/12)</f>
        <v/>
      </c>
      <c r="ME7" s="157">
        <f>(1+GrowthLowIncRent)^(MAX(0,339-GrowthStartMonth)/12)</f>
        <v/>
      </c>
      <c r="MF7" s="157">
        <f>(1+GrowthLowIncRent)^(MAX(0,340-GrowthStartMonth)/12)</f>
        <v/>
      </c>
      <c r="MG7" s="157">
        <f>(1+GrowthLowIncRent)^(MAX(0,341-GrowthStartMonth)/12)</f>
        <v/>
      </c>
      <c r="MH7" s="157">
        <f>(1+GrowthLowIncRent)^(MAX(0,342-GrowthStartMonth)/12)</f>
        <v/>
      </c>
      <c r="MI7" s="157">
        <f>(1+GrowthLowIncRent)^(MAX(0,343-GrowthStartMonth)/12)</f>
        <v/>
      </c>
      <c r="MJ7" s="157">
        <f>(1+GrowthLowIncRent)^(MAX(0,344-GrowthStartMonth)/12)</f>
        <v/>
      </c>
      <c r="MK7" s="157">
        <f>(1+GrowthLowIncRent)^(MAX(0,345-GrowthStartMonth)/12)</f>
        <v/>
      </c>
      <c r="ML7" s="157">
        <f>(1+GrowthLowIncRent)^(MAX(0,346-GrowthStartMonth)/12)</f>
        <v/>
      </c>
      <c r="MM7" s="157">
        <f>(1+GrowthLowIncRent)^(MAX(0,347-GrowthStartMonth)/12)</f>
        <v/>
      </c>
      <c r="MN7" s="157">
        <f>(1+GrowthLowIncRent)^(MAX(0,348-GrowthStartMonth)/12)</f>
        <v/>
      </c>
      <c r="MO7" s="157">
        <f>(1+GrowthLowIncRent)^(MAX(0,349-GrowthStartMonth)/12)</f>
        <v/>
      </c>
      <c r="MP7" s="157">
        <f>(1+GrowthLowIncRent)^(MAX(0,350-GrowthStartMonth)/12)</f>
        <v/>
      </c>
      <c r="MQ7" s="157">
        <f>(1+GrowthLowIncRent)^(MAX(0,351-GrowthStartMonth)/12)</f>
        <v/>
      </c>
      <c r="MR7" s="157">
        <f>(1+GrowthLowIncRent)^(MAX(0,352-GrowthStartMonth)/12)</f>
        <v/>
      </c>
      <c r="MS7" s="157">
        <f>(1+GrowthLowIncRent)^(MAX(0,353-GrowthStartMonth)/12)</f>
        <v/>
      </c>
      <c r="MT7" s="157">
        <f>(1+GrowthLowIncRent)^(MAX(0,354-GrowthStartMonth)/12)</f>
        <v/>
      </c>
      <c r="MU7" s="157">
        <f>(1+GrowthLowIncRent)^(MAX(0,355-GrowthStartMonth)/12)</f>
        <v/>
      </c>
      <c r="MV7" s="157">
        <f>(1+GrowthLowIncRent)^(MAX(0,356-GrowthStartMonth)/12)</f>
        <v/>
      </c>
      <c r="MW7" s="157">
        <f>(1+GrowthLowIncRent)^(MAX(0,357-GrowthStartMonth)/12)</f>
        <v/>
      </c>
      <c r="MX7" s="157">
        <f>(1+GrowthLowIncRent)^(MAX(0,358-GrowthStartMonth)/12)</f>
        <v/>
      </c>
      <c r="MY7" s="157">
        <f>(1+GrowthLowIncRent)^(MAX(0,359-GrowthStartMonth)/12)</f>
        <v/>
      </c>
      <c r="MZ7" s="157">
        <f>(1+GrowthLowIncRent)^(MAX(0,360-GrowthStartMonth)/12)</f>
        <v/>
      </c>
      <c r="NA7" s="157">
        <f>(1+GrowthLowIncRent)^(MAX(0,361-GrowthStartMonth)/12)</f>
        <v/>
      </c>
      <c r="NB7" s="157">
        <f>(1+GrowthLowIncRent)^(MAX(0,362-GrowthStartMonth)/12)</f>
        <v/>
      </c>
      <c r="NC7" s="157">
        <f>(1+GrowthLowIncRent)^(MAX(0,363-GrowthStartMonth)/12)</f>
        <v/>
      </c>
      <c r="ND7" s="157">
        <f>(1+GrowthLowIncRent)^(MAX(0,364-GrowthStartMonth)/12)</f>
        <v/>
      </c>
      <c r="NE7" s="157">
        <f>(1+GrowthLowIncRent)^(MAX(0,365-GrowthStartMonth)/12)</f>
        <v/>
      </c>
      <c r="NF7" s="157">
        <f>(1+GrowthLowIncRent)^(MAX(0,366-GrowthStartMonth)/12)</f>
        <v/>
      </c>
      <c r="NG7" s="157">
        <f>(1+GrowthLowIncRent)^(MAX(0,367-GrowthStartMonth)/12)</f>
        <v/>
      </c>
      <c r="NH7" s="157">
        <f>(1+GrowthLowIncRent)^(MAX(0,368-GrowthStartMonth)/12)</f>
        <v/>
      </c>
      <c r="NI7" s="157">
        <f>(1+GrowthLowIncRent)^(MAX(0,369-GrowthStartMonth)/12)</f>
        <v/>
      </c>
      <c r="NJ7" s="157">
        <f>(1+GrowthLowIncRent)^(MAX(0,370-GrowthStartMonth)/12)</f>
        <v/>
      </c>
      <c r="NK7" s="157">
        <f>(1+GrowthLowIncRent)^(MAX(0,371-GrowthStartMonth)/12)</f>
        <v/>
      </c>
      <c r="NL7" s="158">
        <f>(1+GrowthLowIncRent)^(MAX(0,372-GrowthStartMonth)/12)</f>
        <v/>
      </c>
    </row>
    <row r="8">
      <c r="B8" s="36" t="inlineStr">
        <is>
          <t>Growth Factor — Expense</t>
        </is>
      </c>
      <c r="D8" s="156" t="n"/>
      <c r="E8" s="157">
        <f>(1+GrowthExpense)^(MAX(0,1-GrowthStartMonth)/12)</f>
        <v/>
      </c>
      <c r="F8" s="157">
        <f>(1+GrowthExpense)^(MAX(0,2-GrowthStartMonth)/12)</f>
        <v/>
      </c>
      <c r="G8" s="157">
        <f>(1+GrowthExpense)^(MAX(0,3-GrowthStartMonth)/12)</f>
        <v/>
      </c>
      <c r="H8" s="157">
        <f>(1+GrowthExpense)^(MAX(0,4-GrowthStartMonth)/12)</f>
        <v/>
      </c>
      <c r="I8" s="157">
        <f>(1+GrowthExpense)^(MAX(0,5-GrowthStartMonth)/12)</f>
        <v/>
      </c>
      <c r="J8" s="157">
        <f>(1+GrowthExpense)^(MAX(0,6-GrowthStartMonth)/12)</f>
        <v/>
      </c>
      <c r="K8" s="157">
        <f>(1+GrowthExpense)^(MAX(0,7-GrowthStartMonth)/12)</f>
        <v/>
      </c>
      <c r="L8" s="157">
        <f>(1+GrowthExpense)^(MAX(0,8-GrowthStartMonth)/12)</f>
        <v/>
      </c>
      <c r="M8" s="157">
        <f>(1+GrowthExpense)^(MAX(0,9-GrowthStartMonth)/12)</f>
        <v/>
      </c>
      <c r="N8" s="157">
        <f>(1+GrowthExpense)^(MAX(0,10-GrowthStartMonth)/12)</f>
        <v/>
      </c>
      <c r="O8" s="157">
        <f>(1+GrowthExpense)^(MAX(0,11-GrowthStartMonth)/12)</f>
        <v/>
      </c>
      <c r="P8" s="157">
        <f>(1+GrowthExpense)^(MAX(0,12-GrowthStartMonth)/12)</f>
        <v/>
      </c>
      <c r="Q8" s="157">
        <f>(1+GrowthExpense)^(MAX(0,13-GrowthStartMonth)/12)</f>
        <v/>
      </c>
      <c r="R8" s="157">
        <f>(1+GrowthExpense)^(MAX(0,14-GrowthStartMonth)/12)</f>
        <v/>
      </c>
      <c r="S8" s="157">
        <f>(1+GrowthExpense)^(MAX(0,15-GrowthStartMonth)/12)</f>
        <v/>
      </c>
      <c r="T8" s="157">
        <f>(1+GrowthExpense)^(MAX(0,16-GrowthStartMonth)/12)</f>
        <v/>
      </c>
      <c r="U8" s="157">
        <f>(1+GrowthExpense)^(MAX(0,17-GrowthStartMonth)/12)</f>
        <v/>
      </c>
      <c r="V8" s="157">
        <f>(1+GrowthExpense)^(MAX(0,18-GrowthStartMonth)/12)</f>
        <v/>
      </c>
      <c r="W8" s="157">
        <f>(1+GrowthExpense)^(MAX(0,19-GrowthStartMonth)/12)</f>
        <v/>
      </c>
      <c r="X8" s="157">
        <f>(1+GrowthExpense)^(MAX(0,20-GrowthStartMonth)/12)</f>
        <v/>
      </c>
      <c r="Y8" s="157">
        <f>(1+GrowthExpense)^(MAX(0,21-GrowthStartMonth)/12)</f>
        <v/>
      </c>
      <c r="Z8" s="157">
        <f>(1+GrowthExpense)^(MAX(0,22-GrowthStartMonth)/12)</f>
        <v/>
      </c>
      <c r="AA8" s="157">
        <f>(1+GrowthExpense)^(MAX(0,23-GrowthStartMonth)/12)</f>
        <v/>
      </c>
      <c r="AB8" s="157">
        <f>(1+GrowthExpense)^(MAX(0,24-GrowthStartMonth)/12)</f>
        <v/>
      </c>
      <c r="AC8" s="157">
        <f>(1+GrowthExpense)^(MAX(0,25-GrowthStartMonth)/12)</f>
        <v/>
      </c>
      <c r="AD8" s="157">
        <f>(1+GrowthExpense)^(MAX(0,26-GrowthStartMonth)/12)</f>
        <v/>
      </c>
      <c r="AE8" s="157">
        <f>(1+GrowthExpense)^(MAX(0,27-GrowthStartMonth)/12)</f>
        <v/>
      </c>
      <c r="AF8" s="157">
        <f>(1+GrowthExpense)^(MAX(0,28-GrowthStartMonth)/12)</f>
        <v/>
      </c>
      <c r="AG8" s="157">
        <f>(1+GrowthExpense)^(MAX(0,29-GrowthStartMonth)/12)</f>
        <v/>
      </c>
      <c r="AH8" s="157">
        <f>(1+GrowthExpense)^(MAX(0,30-GrowthStartMonth)/12)</f>
        <v/>
      </c>
      <c r="AI8" s="157">
        <f>(1+GrowthExpense)^(MAX(0,31-GrowthStartMonth)/12)</f>
        <v/>
      </c>
      <c r="AJ8" s="157">
        <f>(1+GrowthExpense)^(MAX(0,32-GrowthStartMonth)/12)</f>
        <v/>
      </c>
      <c r="AK8" s="157">
        <f>(1+GrowthExpense)^(MAX(0,33-GrowthStartMonth)/12)</f>
        <v/>
      </c>
      <c r="AL8" s="157">
        <f>(1+GrowthExpense)^(MAX(0,34-GrowthStartMonth)/12)</f>
        <v/>
      </c>
      <c r="AM8" s="157">
        <f>(1+GrowthExpense)^(MAX(0,35-GrowthStartMonth)/12)</f>
        <v/>
      </c>
      <c r="AN8" s="157">
        <f>(1+GrowthExpense)^(MAX(0,36-GrowthStartMonth)/12)</f>
        <v/>
      </c>
      <c r="AO8" s="157">
        <f>(1+GrowthExpense)^(MAX(0,37-GrowthStartMonth)/12)</f>
        <v/>
      </c>
      <c r="AP8" s="157">
        <f>(1+GrowthExpense)^(MAX(0,38-GrowthStartMonth)/12)</f>
        <v/>
      </c>
      <c r="AQ8" s="157">
        <f>(1+GrowthExpense)^(MAX(0,39-GrowthStartMonth)/12)</f>
        <v/>
      </c>
      <c r="AR8" s="157">
        <f>(1+GrowthExpense)^(MAX(0,40-GrowthStartMonth)/12)</f>
        <v/>
      </c>
      <c r="AS8" s="157">
        <f>(1+GrowthExpense)^(MAX(0,41-GrowthStartMonth)/12)</f>
        <v/>
      </c>
      <c r="AT8" s="157">
        <f>(1+GrowthExpense)^(MAX(0,42-GrowthStartMonth)/12)</f>
        <v/>
      </c>
      <c r="AU8" s="157">
        <f>(1+GrowthExpense)^(MAX(0,43-GrowthStartMonth)/12)</f>
        <v/>
      </c>
      <c r="AV8" s="157">
        <f>(1+GrowthExpense)^(MAX(0,44-GrowthStartMonth)/12)</f>
        <v/>
      </c>
      <c r="AW8" s="157">
        <f>(1+GrowthExpense)^(MAX(0,45-GrowthStartMonth)/12)</f>
        <v/>
      </c>
      <c r="AX8" s="157">
        <f>(1+GrowthExpense)^(MAX(0,46-GrowthStartMonth)/12)</f>
        <v/>
      </c>
      <c r="AY8" s="157">
        <f>(1+GrowthExpense)^(MAX(0,47-GrowthStartMonth)/12)</f>
        <v/>
      </c>
      <c r="AZ8" s="157">
        <f>(1+GrowthExpense)^(MAX(0,48-GrowthStartMonth)/12)</f>
        <v/>
      </c>
      <c r="BA8" s="157">
        <f>(1+GrowthExpense)^(MAX(0,49-GrowthStartMonth)/12)</f>
        <v/>
      </c>
      <c r="BB8" s="157">
        <f>(1+GrowthExpense)^(MAX(0,50-GrowthStartMonth)/12)</f>
        <v/>
      </c>
      <c r="BC8" s="157">
        <f>(1+GrowthExpense)^(MAX(0,51-GrowthStartMonth)/12)</f>
        <v/>
      </c>
      <c r="BD8" s="157">
        <f>(1+GrowthExpense)^(MAX(0,52-GrowthStartMonth)/12)</f>
        <v/>
      </c>
      <c r="BE8" s="157">
        <f>(1+GrowthExpense)^(MAX(0,53-GrowthStartMonth)/12)</f>
        <v/>
      </c>
      <c r="BF8" s="157">
        <f>(1+GrowthExpense)^(MAX(0,54-GrowthStartMonth)/12)</f>
        <v/>
      </c>
      <c r="BG8" s="157">
        <f>(1+GrowthExpense)^(MAX(0,55-GrowthStartMonth)/12)</f>
        <v/>
      </c>
      <c r="BH8" s="157">
        <f>(1+GrowthExpense)^(MAX(0,56-GrowthStartMonth)/12)</f>
        <v/>
      </c>
      <c r="BI8" s="157">
        <f>(1+GrowthExpense)^(MAX(0,57-GrowthStartMonth)/12)</f>
        <v/>
      </c>
      <c r="BJ8" s="157">
        <f>(1+GrowthExpense)^(MAX(0,58-GrowthStartMonth)/12)</f>
        <v/>
      </c>
      <c r="BK8" s="157">
        <f>(1+GrowthExpense)^(MAX(0,59-GrowthStartMonth)/12)</f>
        <v/>
      </c>
      <c r="BL8" s="157">
        <f>(1+GrowthExpense)^(MAX(0,60-GrowthStartMonth)/12)</f>
        <v/>
      </c>
      <c r="BM8" s="157">
        <f>(1+GrowthExpense)^(MAX(0,61-GrowthStartMonth)/12)</f>
        <v/>
      </c>
      <c r="BN8" s="157">
        <f>(1+GrowthExpense)^(MAX(0,62-GrowthStartMonth)/12)</f>
        <v/>
      </c>
      <c r="BO8" s="157">
        <f>(1+GrowthExpense)^(MAX(0,63-GrowthStartMonth)/12)</f>
        <v/>
      </c>
      <c r="BP8" s="157">
        <f>(1+GrowthExpense)^(MAX(0,64-GrowthStartMonth)/12)</f>
        <v/>
      </c>
      <c r="BQ8" s="157">
        <f>(1+GrowthExpense)^(MAX(0,65-GrowthStartMonth)/12)</f>
        <v/>
      </c>
      <c r="BR8" s="157">
        <f>(1+GrowthExpense)^(MAX(0,66-GrowthStartMonth)/12)</f>
        <v/>
      </c>
      <c r="BS8" s="157">
        <f>(1+GrowthExpense)^(MAX(0,67-GrowthStartMonth)/12)</f>
        <v/>
      </c>
      <c r="BT8" s="157">
        <f>(1+GrowthExpense)^(MAX(0,68-GrowthStartMonth)/12)</f>
        <v/>
      </c>
      <c r="BU8" s="157">
        <f>(1+GrowthExpense)^(MAX(0,69-GrowthStartMonth)/12)</f>
        <v/>
      </c>
      <c r="BV8" s="157">
        <f>(1+GrowthExpense)^(MAX(0,70-GrowthStartMonth)/12)</f>
        <v/>
      </c>
      <c r="BW8" s="157">
        <f>(1+GrowthExpense)^(MAX(0,71-GrowthStartMonth)/12)</f>
        <v/>
      </c>
      <c r="BX8" s="157">
        <f>(1+GrowthExpense)^(MAX(0,72-GrowthStartMonth)/12)</f>
        <v/>
      </c>
      <c r="BY8" s="157">
        <f>(1+GrowthExpense)^(MAX(0,73-GrowthStartMonth)/12)</f>
        <v/>
      </c>
      <c r="BZ8" s="157">
        <f>(1+GrowthExpense)^(MAX(0,74-GrowthStartMonth)/12)</f>
        <v/>
      </c>
      <c r="CA8" s="157">
        <f>(1+GrowthExpense)^(MAX(0,75-GrowthStartMonth)/12)</f>
        <v/>
      </c>
      <c r="CB8" s="157">
        <f>(1+GrowthExpense)^(MAX(0,76-GrowthStartMonth)/12)</f>
        <v/>
      </c>
      <c r="CC8" s="157">
        <f>(1+GrowthExpense)^(MAX(0,77-GrowthStartMonth)/12)</f>
        <v/>
      </c>
      <c r="CD8" s="157">
        <f>(1+GrowthExpense)^(MAX(0,78-GrowthStartMonth)/12)</f>
        <v/>
      </c>
      <c r="CE8" s="157">
        <f>(1+GrowthExpense)^(MAX(0,79-GrowthStartMonth)/12)</f>
        <v/>
      </c>
      <c r="CF8" s="157">
        <f>(1+GrowthExpense)^(MAX(0,80-GrowthStartMonth)/12)</f>
        <v/>
      </c>
      <c r="CG8" s="157">
        <f>(1+GrowthExpense)^(MAX(0,81-GrowthStartMonth)/12)</f>
        <v/>
      </c>
      <c r="CH8" s="157">
        <f>(1+GrowthExpense)^(MAX(0,82-GrowthStartMonth)/12)</f>
        <v/>
      </c>
      <c r="CI8" s="157">
        <f>(1+GrowthExpense)^(MAX(0,83-GrowthStartMonth)/12)</f>
        <v/>
      </c>
      <c r="CJ8" s="157">
        <f>(1+GrowthExpense)^(MAX(0,84-GrowthStartMonth)/12)</f>
        <v/>
      </c>
      <c r="CK8" s="157">
        <f>(1+GrowthExpense)^(MAX(0,85-GrowthStartMonth)/12)</f>
        <v/>
      </c>
      <c r="CL8" s="157">
        <f>(1+GrowthExpense)^(MAX(0,86-GrowthStartMonth)/12)</f>
        <v/>
      </c>
      <c r="CM8" s="157">
        <f>(1+GrowthExpense)^(MAX(0,87-GrowthStartMonth)/12)</f>
        <v/>
      </c>
      <c r="CN8" s="157">
        <f>(1+GrowthExpense)^(MAX(0,88-GrowthStartMonth)/12)</f>
        <v/>
      </c>
      <c r="CO8" s="157">
        <f>(1+GrowthExpense)^(MAX(0,89-GrowthStartMonth)/12)</f>
        <v/>
      </c>
      <c r="CP8" s="157">
        <f>(1+GrowthExpense)^(MAX(0,90-GrowthStartMonth)/12)</f>
        <v/>
      </c>
      <c r="CQ8" s="157">
        <f>(1+GrowthExpense)^(MAX(0,91-GrowthStartMonth)/12)</f>
        <v/>
      </c>
      <c r="CR8" s="157">
        <f>(1+GrowthExpense)^(MAX(0,92-GrowthStartMonth)/12)</f>
        <v/>
      </c>
      <c r="CS8" s="157">
        <f>(1+GrowthExpense)^(MAX(0,93-GrowthStartMonth)/12)</f>
        <v/>
      </c>
      <c r="CT8" s="157">
        <f>(1+GrowthExpense)^(MAX(0,94-GrowthStartMonth)/12)</f>
        <v/>
      </c>
      <c r="CU8" s="157">
        <f>(1+GrowthExpense)^(MAX(0,95-GrowthStartMonth)/12)</f>
        <v/>
      </c>
      <c r="CV8" s="157">
        <f>(1+GrowthExpense)^(MAX(0,96-GrowthStartMonth)/12)</f>
        <v/>
      </c>
      <c r="CW8" s="157">
        <f>(1+GrowthExpense)^(MAX(0,97-GrowthStartMonth)/12)</f>
        <v/>
      </c>
      <c r="CX8" s="157">
        <f>(1+GrowthExpense)^(MAX(0,98-GrowthStartMonth)/12)</f>
        <v/>
      </c>
      <c r="CY8" s="157">
        <f>(1+GrowthExpense)^(MAX(0,99-GrowthStartMonth)/12)</f>
        <v/>
      </c>
      <c r="CZ8" s="157">
        <f>(1+GrowthExpense)^(MAX(0,100-GrowthStartMonth)/12)</f>
        <v/>
      </c>
      <c r="DA8" s="157">
        <f>(1+GrowthExpense)^(MAX(0,101-GrowthStartMonth)/12)</f>
        <v/>
      </c>
      <c r="DB8" s="157">
        <f>(1+GrowthExpense)^(MAX(0,102-GrowthStartMonth)/12)</f>
        <v/>
      </c>
      <c r="DC8" s="157">
        <f>(1+GrowthExpense)^(MAX(0,103-GrowthStartMonth)/12)</f>
        <v/>
      </c>
      <c r="DD8" s="157">
        <f>(1+GrowthExpense)^(MAX(0,104-GrowthStartMonth)/12)</f>
        <v/>
      </c>
      <c r="DE8" s="157">
        <f>(1+GrowthExpense)^(MAX(0,105-GrowthStartMonth)/12)</f>
        <v/>
      </c>
      <c r="DF8" s="157">
        <f>(1+GrowthExpense)^(MAX(0,106-GrowthStartMonth)/12)</f>
        <v/>
      </c>
      <c r="DG8" s="157">
        <f>(1+GrowthExpense)^(MAX(0,107-GrowthStartMonth)/12)</f>
        <v/>
      </c>
      <c r="DH8" s="157">
        <f>(1+GrowthExpense)^(MAX(0,108-GrowthStartMonth)/12)</f>
        <v/>
      </c>
      <c r="DI8" s="157">
        <f>(1+GrowthExpense)^(MAX(0,109-GrowthStartMonth)/12)</f>
        <v/>
      </c>
      <c r="DJ8" s="157">
        <f>(1+GrowthExpense)^(MAX(0,110-GrowthStartMonth)/12)</f>
        <v/>
      </c>
      <c r="DK8" s="157">
        <f>(1+GrowthExpense)^(MAX(0,111-GrowthStartMonth)/12)</f>
        <v/>
      </c>
      <c r="DL8" s="157">
        <f>(1+GrowthExpense)^(MAX(0,112-GrowthStartMonth)/12)</f>
        <v/>
      </c>
      <c r="DM8" s="157">
        <f>(1+GrowthExpense)^(MAX(0,113-GrowthStartMonth)/12)</f>
        <v/>
      </c>
      <c r="DN8" s="157">
        <f>(1+GrowthExpense)^(MAX(0,114-GrowthStartMonth)/12)</f>
        <v/>
      </c>
      <c r="DO8" s="157">
        <f>(1+GrowthExpense)^(MAX(0,115-GrowthStartMonth)/12)</f>
        <v/>
      </c>
      <c r="DP8" s="157">
        <f>(1+GrowthExpense)^(MAX(0,116-GrowthStartMonth)/12)</f>
        <v/>
      </c>
      <c r="DQ8" s="157">
        <f>(1+GrowthExpense)^(MAX(0,117-GrowthStartMonth)/12)</f>
        <v/>
      </c>
      <c r="DR8" s="157">
        <f>(1+GrowthExpense)^(MAX(0,118-GrowthStartMonth)/12)</f>
        <v/>
      </c>
      <c r="DS8" s="157">
        <f>(1+GrowthExpense)^(MAX(0,119-GrowthStartMonth)/12)</f>
        <v/>
      </c>
      <c r="DT8" s="157">
        <f>(1+GrowthExpense)^(MAX(0,120-GrowthStartMonth)/12)</f>
        <v/>
      </c>
      <c r="DU8" s="157">
        <f>(1+GrowthExpense)^(MAX(0,121-GrowthStartMonth)/12)</f>
        <v/>
      </c>
      <c r="DV8" s="157">
        <f>(1+GrowthExpense)^(MAX(0,122-GrowthStartMonth)/12)</f>
        <v/>
      </c>
      <c r="DW8" s="157">
        <f>(1+GrowthExpense)^(MAX(0,123-GrowthStartMonth)/12)</f>
        <v/>
      </c>
      <c r="DX8" s="157">
        <f>(1+GrowthExpense)^(MAX(0,124-GrowthStartMonth)/12)</f>
        <v/>
      </c>
      <c r="DY8" s="157">
        <f>(1+GrowthExpense)^(MAX(0,125-GrowthStartMonth)/12)</f>
        <v/>
      </c>
      <c r="DZ8" s="157">
        <f>(1+GrowthExpense)^(MAX(0,126-GrowthStartMonth)/12)</f>
        <v/>
      </c>
      <c r="EA8" s="157">
        <f>(1+GrowthExpense)^(MAX(0,127-GrowthStartMonth)/12)</f>
        <v/>
      </c>
      <c r="EB8" s="157">
        <f>(1+GrowthExpense)^(MAX(0,128-GrowthStartMonth)/12)</f>
        <v/>
      </c>
      <c r="EC8" s="157">
        <f>(1+GrowthExpense)^(MAX(0,129-GrowthStartMonth)/12)</f>
        <v/>
      </c>
      <c r="ED8" s="157">
        <f>(1+GrowthExpense)^(MAX(0,130-GrowthStartMonth)/12)</f>
        <v/>
      </c>
      <c r="EE8" s="157">
        <f>(1+GrowthExpense)^(MAX(0,131-GrowthStartMonth)/12)</f>
        <v/>
      </c>
      <c r="EF8" s="157">
        <f>(1+GrowthExpense)^(MAX(0,132-GrowthStartMonth)/12)</f>
        <v/>
      </c>
      <c r="EG8" s="157">
        <f>(1+GrowthExpense)^(MAX(0,133-GrowthStartMonth)/12)</f>
        <v/>
      </c>
      <c r="EH8" s="157">
        <f>(1+GrowthExpense)^(MAX(0,134-GrowthStartMonth)/12)</f>
        <v/>
      </c>
      <c r="EI8" s="157">
        <f>(1+GrowthExpense)^(MAX(0,135-GrowthStartMonth)/12)</f>
        <v/>
      </c>
      <c r="EJ8" s="157">
        <f>(1+GrowthExpense)^(MAX(0,136-GrowthStartMonth)/12)</f>
        <v/>
      </c>
      <c r="EK8" s="157">
        <f>(1+GrowthExpense)^(MAX(0,137-GrowthStartMonth)/12)</f>
        <v/>
      </c>
      <c r="EL8" s="157">
        <f>(1+GrowthExpense)^(MAX(0,138-GrowthStartMonth)/12)</f>
        <v/>
      </c>
      <c r="EM8" s="157">
        <f>(1+GrowthExpense)^(MAX(0,139-GrowthStartMonth)/12)</f>
        <v/>
      </c>
      <c r="EN8" s="157">
        <f>(1+GrowthExpense)^(MAX(0,140-GrowthStartMonth)/12)</f>
        <v/>
      </c>
      <c r="EO8" s="157">
        <f>(1+GrowthExpense)^(MAX(0,141-GrowthStartMonth)/12)</f>
        <v/>
      </c>
      <c r="EP8" s="157">
        <f>(1+GrowthExpense)^(MAX(0,142-GrowthStartMonth)/12)</f>
        <v/>
      </c>
      <c r="EQ8" s="157">
        <f>(1+GrowthExpense)^(MAX(0,143-GrowthStartMonth)/12)</f>
        <v/>
      </c>
      <c r="ER8" s="157">
        <f>(1+GrowthExpense)^(MAX(0,144-GrowthStartMonth)/12)</f>
        <v/>
      </c>
      <c r="ES8" s="157">
        <f>(1+GrowthExpense)^(MAX(0,145-GrowthStartMonth)/12)</f>
        <v/>
      </c>
      <c r="ET8" s="157">
        <f>(1+GrowthExpense)^(MAX(0,146-GrowthStartMonth)/12)</f>
        <v/>
      </c>
      <c r="EU8" s="157">
        <f>(1+GrowthExpense)^(MAX(0,147-GrowthStartMonth)/12)</f>
        <v/>
      </c>
      <c r="EV8" s="157">
        <f>(1+GrowthExpense)^(MAX(0,148-GrowthStartMonth)/12)</f>
        <v/>
      </c>
      <c r="EW8" s="157">
        <f>(1+GrowthExpense)^(MAX(0,149-GrowthStartMonth)/12)</f>
        <v/>
      </c>
      <c r="EX8" s="157">
        <f>(1+GrowthExpense)^(MAX(0,150-GrowthStartMonth)/12)</f>
        <v/>
      </c>
      <c r="EY8" s="157">
        <f>(1+GrowthExpense)^(MAX(0,151-GrowthStartMonth)/12)</f>
        <v/>
      </c>
      <c r="EZ8" s="157">
        <f>(1+GrowthExpense)^(MAX(0,152-GrowthStartMonth)/12)</f>
        <v/>
      </c>
      <c r="FA8" s="157">
        <f>(1+GrowthExpense)^(MAX(0,153-GrowthStartMonth)/12)</f>
        <v/>
      </c>
      <c r="FB8" s="157">
        <f>(1+GrowthExpense)^(MAX(0,154-GrowthStartMonth)/12)</f>
        <v/>
      </c>
      <c r="FC8" s="157">
        <f>(1+GrowthExpense)^(MAX(0,155-GrowthStartMonth)/12)</f>
        <v/>
      </c>
      <c r="FD8" s="157">
        <f>(1+GrowthExpense)^(MAX(0,156-GrowthStartMonth)/12)</f>
        <v/>
      </c>
      <c r="FE8" s="157">
        <f>(1+GrowthExpense)^(MAX(0,157-GrowthStartMonth)/12)</f>
        <v/>
      </c>
      <c r="FF8" s="157">
        <f>(1+GrowthExpense)^(MAX(0,158-GrowthStartMonth)/12)</f>
        <v/>
      </c>
      <c r="FG8" s="157">
        <f>(1+GrowthExpense)^(MAX(0,159-GrowthStartMonth)/12)</f>
        <v/>
      </c>
      <c r="FH8" s="157">
        <f>(1+GrowthExpense)^(MAX(0,160-GrowthStartMonth)/12)</f>
        <v/>
      </c>
      <c r="FI8" s="157">
        <f>(1+GrowthExpense)^(MAX(0,161-GrowthStartMonth)/12)</f>
        <v/>
      </c>
      <c r="FJ8" s="157">
        <f>(1+GrowthExpense)^(MAX(0,162-GrowthStartMonth)/12)</f>
        <v/>
      </c>
      <c r="FK8" s="157">
        <f>(1+GrowthExpense)^(MAX(0,163-GrowthStartMonth)/12)</f>
        <v/>
      </c>
      <c r="FL8" s="157">
        <f>(1+GrowthExpense)^(MAX(0,164-GrowthStartMonth)/12)</f>
        <v/>
      </c>
      <c r="FM8" s="157">
        <f>(1+GrowthExpense)^(MAX(0,165-GrowthStartMonth)/12)</f>
        <v/>
      </c>
      <c r="FN8" s="157">
        <f>(1+GrowthExpense)^(MAX(0,166-GrowthStartMonth)/12)</f>
        <v/>
      </c>
      <c r="FO8" s="157">
        <f>(1+GrowthExpense)^(MAX(0,167-GrowthStartMonth)/12)</f>
        <v/>
      </c>
      <c r="FP8" s="157">
        <f>(1+GrowthExpense)^(MAX(0,168-GrowthStartMonth)/12)</f>
        <v/>
      </c>
      <c r="FQ8" s="157">
        <f>(1+GrowthExpense)^(MAX(0,169-GrowthStartMonth)/12)</f>
        <v/>
      </c>
      <c r="FR8" s="157">
        <f>(1+GrowthExpense)^(MAX(0,170-GrowthStartMonth)/12)</f>
        <v/>
      </c>
      <c r="FS8" s="157">
        <f>(1+GrowthExpense)^(MAX(0,171-GrowthStartMonth)/12)</f>
        <v/>
      </c>
      <c r="FT8" s="157">
        <f>(1+GrowthExpense)^(MAX(0,172-GrowthStartMonth)/12)</f>
        <v/>
      </c>
      <c r="FU8" s="157">
        <f>(1+GrowthExpense)^(MAX(0,173-GrowthStartMonth)/12)</f>
        <v/>
      </c>
      <c r="FV8" s="157">
        <f>(1+GrowthExpense)^(MAX(0,174-GrowthStartMonth)/12)</f>
        <v/>
      </c>
      <c r="FW8" s="157">
        <f>(1+GrowthExpense)^(MAX(0,175-GrowthStartMonth)/12)</f>
        <v/>
      </c>
      <c r="FX8" s="157">
        <f>(1+GrowthExpense)^(MAX(0,176-GrowthStartMonth)/12)</f>
        <v/>
      </c>
      <c r="FY8" s="157">
        <f>(1+GrowthExpense)^(MAX(0,177-GrowthStartMonth)/12)</f>
        <v/>
      </c>
      <c r="FZ8" s="157">
        <f>(1+GrowthExpense)^(MAX(0,178-GrowthStartMonth)/12)</f>
        <v/>
      </c>
      <c r="GA8" s="157">
        <f>(1+GrowthExpense)^(MAX(0,179-GrowthStartMonth)/12)</f>
        <v/>
      </c>
      <c r="GB8" s="157">
        <f>(1+GrowthExpense)^(MAX(0,180-GrowthStartMonth)/12)</f>
        <v/>
      </c>
      <c r="GC8" s="157">
        <f>(1+GrowthExpense)^(MAX(0,181-GrowthStartMonth)/12)</f>
        <v/>
      </c>
      <c r="GD8" s="157">
        <f>(1+GrowthExpense)^(MAX(0,182-GrowthStartMonth)/12)</f>
        <v/>
      </c>
      <c r="GE8" s="157">
        <f>(1+GrowthExpense)^(MAX(0,183-GrowthStartMonth)/12)</f>
        <v/>
      </c>
      <c r="GF8" s="157">
        <f>(1+GrowthExpense)^(MAX(0,184-GrowthStartMonth)/12)</f>
        <v/>
      </c>
      <c r="GG8" s="157">
        <f>(1+GrowthExpense)^(MAX(0,185-GrowthStartMonth)/12)</f>
        <v/>
      </c>
      <c r="GH8" s="157">
        <f>(1+GrowthExpense)^(MAX(0,186-GrowthStartMonth)/12)</f>
        <v/>
      </c>
      <c r="GI8" s="157">
        <f>(1+GrowthExpense)^(MAX(0,187-GrowthStartMonth)/12)</f>
        <v/>
      </c>
      <c r="GJ8" s="157">
        <f>(1+GrowthExpense)^(MAX(0,188-GrowthStartMonth)/12)</f>
        <v/>
      </c>
      <c r="GK8" s="157">
        <f>(1+GrowthExpense)^(MAX(0,189-GrowthStartMonth)/12)</f>
        <v/>
      </c>
      <c r="GL8" s="157">
        <f>(1+GrowthExpense)^(MAX(0,190-GrowthStartMonth)/12)</f>
        <v/>
      </c>
      <c r="GM8" s="157">
        <f>(1+GrowthExpense)^(MAX(0,191-GrowthStartMonth)/12)</f>
        <v/>
      </c>
      <c r="GN8" s="157">
        <f>(1+GrowthExpense)^(MAX(0,192-GrowthStartMonth)/12)</f>
        <v/>
      </c>
      <c r="GO8" s="157">
        <f>(1+GrowthExpense)^(MAX(0,193-GrowthStartMonth)/12)</f>
        <v/>
      </c>
      <c r="GP8" s="157">
        <f>(1+GrowthExpense)^(MAX(0,194-GrowthStartMonth)/12)</f>
        <v/>
      </c>
      <c r="GQ8" s="157">
        <f>(1+GrowthExpense)^(MAX(0,195-GrowthStartMonth)/12)</f>
        <v/>
      </c>
      <c r="GR8" s="157">
        <f>(1+GrowthExpense)^(MAX(0,196-GrowthStartMonth)/12)</f>
        <v/>
      </c>
      <c r="GS8" s="157">
        <f>(1+GrowthExpense)^(MAX(0,197-GrowthStartMonth)/12)</f>
        <v/>
      </c>
      <c r="GT8" s="157">
        <f>(1+GrowthExpense)^(MAX(0,198-GrowthStartMonth)/12)</f>
        <v/>
      </c>
      <c r="GU8" s="157">
        <f>(1+GrowthExpense)^(MAX(0,199-GrowthStartMonth)/12)</f>
        <v/>
      </c>
      <c r="GV8" s="157">
        <f>(1+GrowthExpense)^(MAX(0,200-GrowthStartMonth)/12)</f>
        <v/>
      </c>
      <c r="GW8" s="157">
        <f>(1+GrowthExpense)^(MAX(0,201-GrowthStartMonth)/12)</f>
        <v/>
      </c>
      <c r="GX8" s="157">
        <f>(1+GrowthExpense)^(MAX(0,202-GrowthStartMonth)/12)</f>
        <v/>
      </c>
      <c r="GY8" s="157">
        <f>(1+GrowthExpense)^(MAX(0,203-GrowthStartMonth)/12)</f>
        <v/>
      </c>
      <c r="GZ8" s="157">
        <f>(1+GrowthExpense)^(MAX(0,204-GrowthStartMonth)/12)</f>
        <v/>
      </c>
      <c r="HA8" s="157">
        <f>(1+GrowthExpense)^(MAX(0,205-GrowthStartMonth)/12)</f>
        <v/>
      </c>
      <c r="HB8" s="157">
        <f>(1+GrowthExpense)^(MAX(0,206-GrowthStartMonth)/12)</f>
        <v/>
      </c>
      <c r="HC8" s="157">
        <f>(1+GrowthExpense)^(MAX(0,207-GrowthStartMonth)/12)</f>
        <v/>
      </c>
      <c r="HD8" s="157">
        <f>(1+GrowthExpense)^(MAX(0,208-GrowthStartMonth)/12)</f>
        <v/>
      </c>
      <c r="HE8" s="157">
        <f>(1+GrowthExpense)^(MAX(0,209-GrowthStartMonth)/12)</f>
        <v/>
      </c>
      <c r="HF8" s="157">
        <f>(1+GrowthExpense)^(MAX(0,210-GrowthStartMonth)/12)</f>
        <v/>
      </c>
      <c r="HG8" s="157">
        <f>(1+GrowthExpense)^(MAX(0,211-GrowthStartMonth)/12)</f>
        <v/>
      </c>
      <c r="HH8" s="157">
        <f>(1+GrowthExpense)^(MAX(0,212-GrowthStartMonth)/12)</f>
        <v/>
      </c>
      <c r="HI8" s="157">
        <f>(1+GrowthExpense)^(MAX(0,213-GrowthStartMonth)/12)</f>
        <v/>
      </c>
      <c r="HJ8" s="157">
        <f>(1+GrowthExpense)^(MAX(0,214-GrowthStartMonth)/12)</f>
        <v/>
      </c>
      <c r="HK8" s="157">
        <f>(1+GrowthExpense)^(MAX(0,215-GrowthStartMonth)/12)</f>
        <v/>
      </c>
      <c r="HL8" s="157">
        <f>(1+GrowthExpense)^(MAX(0,216-GrowthStartMonth)/12)</f>
        <v/>
      </c>
      <c r="HM8" s="157">
        <f>(1+GrowthExpense)^(MAX(0,217-GrowthStartMonth)/12)</f>
        <v/>
      </c>
      <c r="HN8" s="157">
        <f>(1+GrowthExpense)^(MAX(0,218-GrowthStartMonth)/12)</f>
        <v/>
      </c>
      <c r="HO8" s="157">
        <f>(1+GrowthExpense)^(MAX(0,219-GrowthStartMonth)/12)</f>
        <v/>
      </c>
      <c r="HP8" s="157">
        <f>(1+GrowthExpense)^(MAX(0,220-GrowthStartMonth)/12)</f>
        <v/>
      </c>
      <c r="HQ8" s="157">
        <f>(1+GrowthExpense)^(MAX(0,221-GrowthStartMonth)/12)</f>
        <v/>
      </c>
      <c r="HR8" s="157">
        <f>(1+GrowthExpense)^(MAX(0,222-GrowthStartMonth)/12)</f>
        <v/>
      </c>
      <c r="HS8" s="157">
        <f>(1+GrowthExpense)^(MAX(0,223-GrowthStartMonth)/12)</f>
        <v/>
      </c>
      <c r="HT8" s="157">
        <f>(1+GrowthExpense)^(MAX(0,224-GrowthStartMonth)/12)</f>
        <v/>
      </c>
      <c r="HU8" s="157">
        <f>(1+GrowthExpense)^(MAX(0,225-GrowthStartMonth)/12)</f>
        <v/>
      </c>
      <c r="HV8" s="157">
        <f>(1+GrowthExpense)^(MAX(0,226-GrowthStartMonth)/12)</f>
        <v/>
      </c>
      <c r="HW8" s="157">
        <f>(1+GrowthExpense)^(MAX(0,227-GrowthStartMonth)/12)</f>
        <v/>
      </c>
      <c r="HX8" s="157">
        <f>(1+GrowthExpense)^(MAX(0,228-GrowthStartMonth)/12)</f>
        <v/>
      </c>
      <c r="HY8" s="157">
        <f>(1+GrowthExpense)^(MAX(0,229-GrowthStartMonth)/12)</f>
        <v/>
      </c>
      <c r="HZ8" s="157">
        <f>(1+GrowthExpense)^(MAX(0,230-GrowthStartMonth)/12)</f>
        <v/>
      </c>
      <c r="IA8" s="157">
        <f>(1+GrowthExpense)^(MAX(0,231-GrowthStartMonth)/12)</f>
        <v/>
      </c>
      <c r="IB8" s="157">
        <f>(1+GrowthExpense)^(MAX(0,232-GrowthStartMonth)/12)</f>
        <v/>
      </c>
      <c r="IC8" s="157">
        <f>(1+GrowthExpense)^(MAX(0,233-GrowthStartMonth)/12)</f>
        <v/>
      </c>
      <c r="ID8" s="157">
        <f>(1+GrowthExpense)^(MAX(0,234-GrowthStartMonth)/12)</f>
        <v/>
      </c>
      <c r="IE8" s="157">
        <f>(1+GrowthExpense)^(MAX(0,235-GrowthStartMonth)/12)</f>
        <v/>
      </c>
      <c r="IF8" s="157">
        <f>(1+GrowthExpense)^(MAX(0,236-GrowthStartMonth)/12)</f>
        <v/>
      </c>
      <c r="IG8" s="157">
        <f>(1+GrowthExpense)^(MAX(0,237-GrowthStartMonth)/12)</f>
        <v/>
      </c>
      <c r="IH8" s="157">
        <f>(1+GrowthExpense)^(MAX(0,238-GrowthStartMonth)/12)</f>
        <v/>
      </c>
      <c r="II8" s="157">
        <f>(1+GrowthExpense)^(MAX(0,239-GrowthStartMonth)/12)</f>
        <v/>
      </c>
      <c r="IJ8" s="157">
        <f>(1+GrowthExpense)^(MAX(0,240-GrowthStartMonth)/12)</f>
        <v/>
      </c>
      <c r="IK8" s="157">
        <f>(1+GrowthExpense)^(MAX(0,241-GrowthStartMonth)/12)</f>
        <v/>
      </c>
      <c r="IL8" s="157">
        <f>(1+GrowthExpense)^(MAX(0,242-GrowthStartMonth)/12)</f>
        <v/>
      </c>
      <c r="IM8" s="157">
        <f>(1+GrowthExpense)^(MAX(0,243-GrowthStartMonth)/12)</f>
        <v/>
      </c>
      <c r="IN8" s="157">
        <f>(1+GrowthExpense)^(MAX(0,244-GrowthStartMonth)/12)</f>
        <v/>
      </c>
      <c r="IO8" s="157">
        <f>(1+GrowthExpense)^(MAX(0,245-GrowthStartMonth)/12)</f>
        <v/>
      </c>
      <c r="IP8" s="157">
        <f>(1+GrowthExpense)^(MAX(0,246-GrowthStartMonth)/12)</f>
        <v/>
      </c>
      <c r="IQ8" s="157">
        <f>(1+GrowthExpense)^(MAX(0,247-GrowthStartMonth)/12)</f>
        <v/>
      </c>
      <c r="IR8" s="157">
        <f>(1+GrowthExpense)^(MAX(0,248-GrowthStartMonth)/12)</f>
        <v/>
      </c>
      <c r="IS8" s="157">
        <f>(1+GrowthExpense)^(MAX(0,249-GrowthStartMonth)/12)</f>
        <v/>
      </c>
      <c r="IT8" s="157">
        <f>(1+GrowthExpense)^(MAX(0,250-GrowthStartMonth)/12)</f>
        <v/>
      </c>
      <c r="IU8" s="157">
        <f>(1+GrowthExpense)^(MAX(0,251-GrowthStartMonth)/12)</f>
        <v/>
      </c>
      <c r="IV8" s="157">
        <f>(1+GrowthExpense)^(MAX(0,252-GrowthStartMonth)/12)</f>
        <v/>
      </c>
      <c r="IW8" s="157">
        <f>(1+GrowthExpense)^(MAX(0,253-GrowthStartMonth)/12)</f>
        <v/>
      </c>
      <c r="IX8" s="157">
        <f>(1+GrowthExpense)^(MAX(0,254-GrowthStartMonth)/12)</f>
        <v/>
      </c>
      <c r="IY8" s="157">
        <f>(1+GrowthExpense)^(MAX(0,255-GrowthStartMonth)/12)</f>
        <v/>
      </c>
      <c r="IZ8" s="157">
        <f>(1+GrowthExpense)^(MAX(0,256-GrowthStartMonth)/12)</f>
        <v/>
      </c>
      <c r="JA8" s="157">
        <f>(1+GrowthExpense)^(MAX(0,257-GrowthStartMonth)/12)</f>
        <v/>
      </c>
      <c r="JB8" s="157">
        <f>(1+GrowthExpense)^(MAX(0,258-GrowthStartMonth)/12)</f>
        <v/>
      </c>
      <c r="JC8" s="157">
        <f>(1+GrowthExpense)^(MAX(0,259-GrowthStartMonth)/12)</f>
        <v/>
      </c>
      <c r="JD8" s="157">
        <f>(1+GrowthExpense)^(MAX(0,260-GrowthStartMonth)/12)</f>
        <v/>
      </c>
      <c r="JE8" s="157">
        <f>(1+GrowthExpense)^(MAX(0,261-GrowthStartMonth)/12)</f>
        <v/>
      </c>
      <c r="JF8" s="157">
        <f>(1+GrowthExpense)^(MAX(0,262-GrowthStartMonth)/12)</f>
        <v/>
      </c>
      <c r="JG8" s="157">
        <f>(1+GrowthExpense)^(MAX(0,263-GrowthStartMonth)/12)</f>
        <v/>
      </c>
      <c r="JH8" s="157">
        <f>(1+GrowthExpense)^(MAX(0,264-GrowthStartMonth)/12)</f>
        <v/>
      </c>
      <c r="JI8" s="157">
        <f>(1+GrowthExpense)^(MAX(0,265-GrowthStartMonth)/12)</f>
        <v/>
      </c>
      <c r="JJ8" s="157">
        <f>(1+GrowthExpense)^(MAX(0,266-GrowthStartMonth)/12)</f>
        <v/>
      </c>
      <c r="JK8" s="157">
        <f>(1+GrowthExpense)^(MAX(0,267-GrowthStartMonth)/12)</f>
        <v/>
      </c>
      <c r="JL8" s="157">
        <f>(1+GrowthExpense)^(MAX(0,268-GrowthStartMonth)/12)</f>
        <v/>
      </c>
      <c r="JM8" s="157">
        <f>(1+GrowthExpense)^(MAX(0,269-GrowthStartMonth)/12)</f>
        <v/>
      </c>
      <c r="JN8" s="157">
        <f>(1+GrowthExpense)^(MAX(0,270-GrowthStartMonth)/12)</f>
        <v/>
      </c>
      <c r="JO8" s="157">
        <f>(1+GrowthExpense)^(MAX(0,271-GrowthStartMonth)/12)</f>
        <v/>
      </c>
      <c r="JP8" s="157">
        <f>(1+GrowthExpense)^(MAX(0,272-GrowthStartMonth)/12)</f>
        <v/>
      </c>
      <c r="JQ8" s="157">
        <f>(1+GrowthExpense)^(MAX(0,273-GrowthStartMonth)/12)</f>
        <v/>
      </c>
      <c r="JR8" s="157">
        <f>(1+GrowthExpense)^(MAX(0,274-GrowthStartMonth)/12)</f>
        <v/>
      </c>
      <c r="JS8" s="157">
        <f>(1+GrowthExpense)^(MAX(0,275-GrowthStartMonth)/12)</f>
        <v/>
      </c>
      <c r="JT8" s="157">
        <f>(1+GrowthExpense)^(MAX(0,276-GrowthStartMonth)/12)</f>
        <v/>
      </c>
      <c r="JU8" s="157">
        <f>(1+GrowthExpense)^(MAX(0,277-GrowthStartMonth)/12)</f>
        <v/>
      </c>
      <c r="JV8" s="157">
        <f>(1+GrowthExpense)^(MAX(0,278-GrowthStartMonth)/12)</f>
        <v/>
      </c>
      <c r="JW8" s="157">
        <f>(1+GrowthExpense)^(MAX(0,279-GrowthStartMonth)/12)</f>
        <v/>
      </c>
      <c r="JX8" s="157">
        <f>(1+GrowthExpense)^(MAX(0,280-GrowthStartMonth)/12)</f>
        <v/>
      </c>
      <c r="JY8" s="157">
        <f>(1+GrowthExpense)^(MAX(0,281-GrowthStartMonth)/12)</f>
        <v/>
      </c>
      <c r="JZ8" s="157">
        <f>(1+GrowthExpense)^(MAX(0,282-GrowthStartMonth)/12)</f>
        <v/>
      </c>
      <c r="KA8" s="157">
        <f>(1+GrowthExpense)^(MAX(0,283-GrowthStartMonth)/12)</f>
        <v/>
      </c>
      <c r="KB8" s="157">
        <f>(1+GrowthExpense)^(MAX(0,284-GrowthStartMonth)/12)</f>
        <v/>
      </c>
      <c r="KC8" s="157">
        <f>(1+GrowthExpense)^(MAX(0,285-GrowthStartMonth)/12)</f>
        <v/>
      </c>
      <c r="KD8" s="157">
        <f>(1+GrowthExpense)^(MAX(0,286-GrowthStartMonth)/12)</f>
        <v/>
      </c>
      <c r="KE8" s="157">
        <f>(1+GrowthExpense)^(MAX(0,287-GrowthStartMonth)/12)</f>
        <v/>
      </c>
      <c r="KF8" s="157">
        <f>(1+GrowthExpense)^(MAX(0,288-GrowthStartMonth)/12)</f>
        <v/>
      </c>
      <c r="KG8" s="157">
        <f>(1+GrowthExpense)^(MAX(0,289-GrowthStartMonth)/12)</f>
        <v/>
      </c>
      <c r="KH8" s="157">
        <f>(1+GrowthExpense)^(MAX(0,290-GrowthStartMonth)/12)</f>
        <v/>
      </c>
      <c r="KI8" s="157">
        <f>(1+GrowthExpense)^(MAX(0,291-GrowthStartMonth)/12)</f>
        <v/>
      </c>
      <c r="KJ8" s="157">
        <f>(1+GrowthExpense)^(MAX(0,292-GrowthStartMonth)/12)</f>
        <v/>
      </c>
      <c r="KK8" s="157">
        <f>(1+GrowthExpense)^(MAX(0,293-GrowthStartMonth)/12)</f>
        <v/>
      </c>
      <c r="KL8" s="157">
        <f>(1+GrowthExpense)^(MAX(0,294-GrowthStartMonth)/12)</f>
        <v/>
      </c>
      <c r="KM8" s="157">
        <f>(1+GrowthExpense)^(MAX(0,295-GrowthStartMonth)/12)</f>
        <v/>
      </c>
      <c r="KN8" s="157">
        <f>(1+GrowthExpense)^(MAX(0,296-GrowthStartMonth)/12)</f>
        <v/>
      </c>
      <c r="KO8" s="157">
        <f>(1+GrowthExpense)^(MAX(0,297-GrowthStartMonth)/12)</f>
        <v/>
      </c>
      <c r="KP8" s="157">
        <f>(1+GrowthExpense)^(MAX(0,298-GrowthStartMonth)/12)</f>
        <v/>
      </c>
      <c r="KQ8" s="157">
        <f>(1+GrowthExpense)^(MAX(0,299-GrowthStartMonth)/12)</f>
        <v/>
      </c>
      <c r="KR8" s="157">
        <f>(1+GrowthExpense)^(MAX(0,300-GrowthStartMonth)/12)</f>
        <v/>
      </c>
      <c r="KS8" s="157">
        <f>(1+GrowthExpense)^(MAX(0,301-GrowthStartMonth)/12)</f>
        <v/>
      </c>
      <c r="KT8" s="157">
        <f>(1+GrowthExpense)^(MAX(0,302-GrowthStartMonth)/12)</f>
        <v/>
      </c>
      <c r="KU8" s="157">
        <f>(1+GrowthExpense)^(MAX(0,303-GrowthStartMonth)/12)</f>
        <v/>
      </c>
      <c r="KV8" s="157">
        <f>(1+GrowthExpense)^(MAX(0,304-GrowthStartMonth)/12)</f>
        <v/>
      </c>
      <c r="KW8" s="157">
        <f>(1+GrowthExpense)^(MAX(0,305-GrowthStartMonth)/12)</f>
        <v/>
      </c>
      <c r="KX8" s="157">
        <f>(1+GrowthExpense)^(MAX(0,306-GrowthStartMonth)/12)</f>
        <v/>
      </c>
      <c r="KY8" s="157">
        <f>(1+GrowthExpense)^(MAX(0,307-GrowthStartMonth)/12)</f>
        <v/>
      </c>
      <c r="KZ8" s="157">
        <f>(1+GrowthExpense)^(MAX(0,308-GrowthStartMonth)/12)</f>
        <v/>
      </c>
      <c r="LA8" s="157">
        <f>(1+GrowthExpense)^(MAX(0,309-GrowthStartMonth)/12)</f>
        <v/>
      </c>
      <c r="LB8" s="157">
        <f>(1+GrowthExpense)^(MAX(0,310-GrowthStartMonth)/12)</f>
        <v/>
      </c>
      <c r="LC8" s="157">
        <f>(1+GrowthExpense)^(MAX(0,311-GrowthStartMonth)/12)</f>
        <v/>
      </c>
      <c r="LD8" s="157">
        <f>(1+GrowthExpense)^(MAX(0,312-GrowthStartMonth)/12)</f>
        <v/>
      </c>
      <c r="LE8" s="157">
        <f>(1+GrowthExpense)^(MAX(0,313-GrowthStartMonth)/12)</f>
        <v/>
      </c>
      <c r="LF8" s="157">
        <f>(1+GrowthExpense)^(MAX(0,314-GrowthStartMonth)/12)</f>
        <v/>
      </c>
      <c r="LG8" s="157">
        <f>(1+GrowthExpense)^(MAX(0,315-GrowthStartMonth)/12)</f>
        <v/>
      </c>
      <c r="LH8" s="157">
        <f>(1+GrowthExpense)^(MAX(0,316-GrowthStartMonth)/12)</f>
        <v/>
      </c>
      <c r="LI8" s="157">
        <f>(1+GrowthExpense)^(MAX(0,317-GrowthStartMonth)/12)</f>
        <v/>
      </c>
      <c r="LJ8" s="157">
        <f>(1+GrowthExpense)^(MAX(0,318-GrowthStartMonth)/12)</f>
        <v/>
      </c>
      <c r="LK8" s="157">
        <f>(1+GrowthExpense)^(MAX(0,319-GrowthStartMonth)/12)</f>
        <v/>
      </c>
      <c r="LL8" s="157">
        <f>(1+GrowthExpense)^(MAX(0,320-GrowthStartMonth)/12)</f>
        <v/>
      </c>
      <c r="LM8" s="157">
        <f>(1+GrowthExpense)^(MAX(0,321-GrowthStartMonth)/12)</f>
        <v/>
      </c>
      <c r="LN8" s="157">
        <f>(1+GrowthExpense)^(MAX(0,322-GrowthStartMonth)/12)</f>
        <v/>
      </c>
      <c r="LO8" s="157">
        <f>(1+GrowthExpense)^(MAX(0,323-GrowthStartMonth)/12)</f>
        <v/>
      </c>
      <c r="LP8" s="157">
        <f>(1+GrowthExpense)^(MAX(0,324-GrowthStartMonth)/12)</f>
        <v/>
      </c>
      <c r="LQ8" s="157">
        <f>(1+GrowthExpense)^(MAX(0,325-GrowthStartMonth)/12)</f>
        <v/>
      </c>
      <c r="LR8" s="157">
        <f>(1+GrowthExpense)^(MAX(0,326-GrowthStartMonth)/12)</f>
        <v/>
      </c>
      <c r="LS8" s="157">
        <f>(1+GrowthExpense)^(MAX(0,327-GrowthStartMonth)/12)</f>
        <v/>
      </c>
      <c r="LT8" s="157">
        <f>(1+GrowthExpense)^(MAX(0,328-GrowthStartMonth)/12)</f>
        <v/>
      </c>
      <c r="LU8" s="157">
        <f>(1+GrowthExpense)^(MAX(0,329-GrowthStartMonth)/12)</f>
        <v/>
      </c>
      <c r="LV8" s="157">
        <f>(1+GrowthExpense)^(MAX(0,330-GrowthStartMonth)/12)</f>
        <v/>
      </c>
      <c r="LW8" s="157">
        <f>(1+GrowthExpense)^(MAX(0,331-GrowthStartMonth)/12)</f>
        <v/>
      </c>
      <c r="LX8" s="157">
        <f>(1+GrowthExpense)^(MAX(0,332-GrowthStartMonth)/12)</f>
        <v/>
      </c>
      <c r="LY8" s="157">
        <f>(1+GrowthExpense)^(MAX(0,333-GrowthStartMonth)/12)</f>
        <v/>
      </c>
      <c r="LZ8" s="157">
        <f>(1+GrowthExpense)^(MAX(0,334-GrowthStartMonth)/12)</f>
        <v/>
      </c>
      <c r="MA8" s="157">
        <f>(1+GrowthExpense)^(MAX(0,335-GrowthStartMonth)/12)</f>
        <v/>
      </c>
      <c r="MB8" s="157">
        <f>(1+GrowthExpense)^(MAX(0,336-GrowthStartMonth)/12)</f>
        <v/>
      </c>
      <c r="MC8" s="157">
        <f>(1+GrowthExpense)^(MAX(0,337-GrowthStartMonth)/12)</f>
        <v/>
      </c>
      <c r="MD8" s="157">
        <f>(1+GrowthExpense)^(MAX(0,338-GrowthStartMonth)/12)</f>
        <v/>
      </c>
      <c r="ME8" s="157">
        <f>(1+GrowthExpense)^(MAX(0,339-GrowthStartMonth)/12)</f>
        <v/>
      </c>
      <c r="MF8" s="157">
        <f>(1+GrowthExpense)^(MAX(0,340-GrowthStartMonth)/12)</f>
        <v/>
      </c>
      <c r="MG8" s="157">
        <f>(1+GrowthExpense)^(MAX(0,341-GrowthStartMonth)/12)</f>
        <v/>
      </c>
      <c r="MH8" s="157">
        <f>(1+GrowthExpense)^(MAX(0,342-GrowthStartMonth)/12)</f>
        <v/>
      </c>
      <c r="MI8" s="157">
        <f>(1+GrowthExpense)^(MAX(0,343-GrowthStartMonth)/12)</f>
        <v/>
      </c>
      <c r="MJ8" s="157">
        <f>(1+GrowthExpense)^(MAX(0,344-GrowthStartMonth)/12)</f>
        <v/>
      </c>
      <c r="MK8" s="157">
        <f>(1+GrowthExpense)^(MAX(0,345-GrowthStartMonth)/12)</f>
        <v/>
      </c>
      <c r="ML8" s="157">
        <f>(1+GrowthExpense)^(MAX(0,346-GrowthStartMonth)/12)</f>
        <v/>
      </c>
      <c r="MM8" s="157">
        <f>(1+GrowthExpense)^(MAX(0,347-GrowthStartMonth)/12)</f>
        <v/>
      </c>
      <c r="MN8" s="157">
        <f>(1+GrowthExpense)^(MAX(0,348-GrowthStartMonth)/12)</f>
        <v/>
      </c>
      <c r="MO8" s="157">
        <f>(1+GrowthExpense)^(MAX(0,349-GrowthStartMonth)/12)</f>
        <v/>
      </c>
      <c r="MP8" s="157">
        <f>(1+GrowthExpense)^(MAX(0,350-GrowthStartMonth)/12)</f>
        <v/>
      </c>
      <c r="MQ8" s="157">
        <f>(1+GrowthExpense)^(MAX(0,351-GrowthStartMonth)/12)</f>
        <v/>
      </c>
      <c r="MR8" s="157">
        <f>(1+GrowthExpense)^(MAX(0,352-GrowthStartMonth)/12)</f>
        <v/>
      </c>
      <c r="MS8" s="157">
        <f>(1+GrowthExpense)^(MAX(0,353-GrowthStartMonth)/12)</f>
        <v/>
      </c>
      <c r="MT8" s="157">
        <f>(1+GrowthExpense)^(MAX(0,354-GrowthStartMonth)/12)</f>
        <v/>
      </c>
      <c r="MU8" s="157">
        <f>(1+GrowthExpense)^(MAX(0,355-GrowthStartMonth)/12)</f>
        <v/>
      </c>
      <c r="MV8" s="157">
        <f>(1+GrowthExpense)^(MAX(0,356-GrowthStartMonth)/12)</f>
        <v/>
      </c>
      <c r="MW8" s="157">
        <f>(1+GrowthExpense)^(MAX(0,357-GrowthStartMonth)/12)</f>
        <v/>
      </c>
      <c r="MX8" s="157">
        <f>(1+GrowthExpense)^(MAX(0,358-GrowthStartMonth)/12)</f>
        <v/>
      </c>
      <c r="MY8" s="157">
        <f>(1+GrowthExpense)^(MAX(0,359-GrowthStartMonth)/12)</f>
        <v/>
      </c>
      <c r="MZ8" s="157">
        <f>(1+GrowthExpense)^(MAX(0,360-GrowthStartMonth)/12)</f>
        <v/>
      </c>
      <c r="NA8" s="157">
        <f>(1+GrowthExpense)^(MAX(0,361-GrowthStartMonth)/12)</f>
        <v/>
      </c>
      <c r="NB8" s="157">
        <f>(1+GrowthExpense)^(MAX(0,362-GrowthStartMonth)/12)</f>
        <v/>
      </c>
      <c r="NC8" s="157">
        <f>(1+GrowthExpense)^(MAX(0,363-GrowthStartMonth)/12)</f>
        <v/>
      </c>
      <c r="ND8" s="157">
        <f>(1+GrowthExpense)^(MAX(0,364-GrowthStartMonth)/12)</f>
        <v/>
      </c>
      <c r="NE8" s="157">
        <f>(1+GrowthExpense)^(MAX(0,365-GrowthStartMonth)/12)</f>
        <v/>
      </c>
      <c r="NF8" s="157">
        <f>(1+GrowthExpense)^(MAX(0,366-GrowthStartMonth)/12)</f>
        <v/>
      </c>
      <c r="NG8" s="157">
        <f>(1+GrowthExpense)^(MAX(0,367-GrowthStartMonth)/12)</f>
        <v/>
      </c>
      <c r="NH8" s="157">
        <f>(1+GrowthExpense)^(MAX(0,368-GrowthStartMonth)/12)</f>
        <v/>
      </c>
      <c r="NI8" s="157">
        <f>(1+GrowthExpense)^(MAX(0,369-GrowthStartMonth)/12)</f>
        <v/>
      </c>
      <c r="NJ8" s="157">
        <f>(1+GrowthExpense)^(MAX(0,370-GrowthStartMonth)/12)</f>
        <v/>
      </c>
      <c r="NK8" s="157">
        <f>(1+GrowthExpense)^(MAX(0,371-GrowthStartMonth)/12)</f>
        <v/>
      </c>
      <c r="NL8" s="158">
        <f>(1+GrowthExpense)^(MAX(0,372-GrowthStartMonth)/12)</f>
        <v/>
      </c>
    </row>
    <row r="9">
      <c r="B9" s="36" t="inlineStr">
        <is>
          <t>Growth Factor — Utility</t>
        </is>
      </c>
      <c r="D9" s="156" t="n"/>
      <c r="E9" s="157">
        <f>(1+GrowthUtility)^(MAX(0,1-GrowthStartMonth)/12)</f>
        <v/>
      </c>
      <c r="F9" s="157">
        <f>(1+GrowthUtility)^(MAX(0,2-GrowthStartMonth)/12)</f>
        <v/>
      </c>
      <c r="G9" s="157">
        <f>(1+GrowthUtility)^(MAX(0,3-GrowthStartMonth)/12)</f>
        <v/>
      </c>
      <c r="H9" s="157">
        <f>(1+GrowthUtility)^(MAX(0,4-GrowthStartMonth)/12)</f>
        <v/>
      </c>
      <c r="I9" s="157">
        <f>(1+GrowthUtility)^(MAX(0,5-GrowthStartMonth)/12)</f>
        <v/>
      </c>
      <c r="J9" s="157">
        <f>(1+GrowthUtility)^(MAX(0,6-GrowthStartMonth)/12)</f>
        <v/>
      </c>
      <c r="K9" s="157">
        <f>(1+GrowthUtility)^(MAX(0,7-GrowthStartMonth)/12)</f>
        <v/>
      </c>
      <c r="L9" s="157">
        <f>(1+GrowthUtility)^(MAX(0,8-GrowthStartMonth)/12)</f>
        <v/>
      </c>
      <c r="M9" s="157">
        <f>(1+GrowthUtility)^(MAX(0,9-GrowthStartMonth)/12)</f>
        <v/>
      </c>
      <c r="N9" s="157">
        <f>(1+GrowthUtility)^(MAX(0,10-GrowthStartMonth)/12)</f>
        <v/>
      </c>
      <c r="O9" s="157">
        <f>(1+GrowthUtility)^(MAX(0,11-GrowthStartMonth)/12)</f>
        <v/>
      </c>
      <c r="P9" s="157">
        <f>(1+GrowthUtility)^(MAX(0,12-GrowthStartMonth)/12)</f>
        <v/>
      </c>
      <c r="Q9" s="157">
        <f>(1+GrowthUtility)^(MAX(0,13-GrowthStartMonth)/12)</f>
        <v/>
      </c>
      <c r="R9" s="157">
        <f>(1+GrowthUtility)^(MAX(0,14-GrowthStartMonth)/12)</f>
        <v/>
      </c>
      <c r="S9" s="157">
        <f>(1+GrowthUtility)^(MAX(0,15-GrowthStartMonth)/12)</f>
        <v/>
      </c>
      <c r="T9" s="157">
        <f>(1+GrowthUtility)^(MAX(0,16-GrowthStartMonth)/12)</f>
        <v/>
      </c>
      <c r="U9" s="157">
        <f>(1+GrowthUtility)^(MAX(0,17-GrowthStartMonth)/12)</f>
        <v/>
      </c>
      <c r="V9" s="157">
        <f>(1+GrowthUtility)^(MAX(0,18-GrowthStartMonth)/12)</f>
        <v/>
      </c>
      <c r="W9" s="157">
        <f>(1+GrowthUtility)^(MAX(0,19-GrowthStartMonth)/12)</f>
        <v/>
      </c>
      <c r="X9" s="157">
        <f>(1+GrowthUtility)^(MAX(0,20-GrowthStartMonth)/12)</f>
        <v/>
      </c>
      <c r="Y9" s="157">
        <f>(1+GrowthUtility)^(MAX(0,21-GrowthStartMonth)/12)</f>
        <v/>
      </c>
      <c r="Z9" s="157">
        <f>(1+GrowthUtility)^(MAX(0,22-GrowthStartMonth)/12)</f>
        <v/>
      </c>
      <c r="AA9" s="157">
        <f>(1+GrowthUtility)^(MAX(0,23-GrowthStartMonth)/12)</f>
        <v/>
      </c>
      <c r="AB9" s="157">
        <f>(1+GrowthUtility)^(MAX(0,24-GrowthStartMonth)/12)</f>
        <v/>
      </c>
      <c r="AC9" s="157">
        <f>(1+GrowthUtility)^(MAX(0,25-GrowthStartMonth)/12)</f>
        <v/>
      </c>
      <c r="AD9" s="157">
        <f>(1+GrowthUtility)^(MAX(0,26-GrowthStartMonth)/12)</f>
        <v/>
      </c>
      <c r="AE9" s="157">
        <f>(1+GrowthUtility)^(MAX(0,27-GrowthStartMonth)/12)</f>
        <v/>
      </c>
      <c r="AF9" s="157">
        <f>(1+GrowthUtility)^(MAX(0,28-GrowthStartMonth)/12)</f>
        <v/>
      </c>
      <c r="AG9" s="157">
        <f>(1+GrowthUtility)^(MAX(0,29-GrowthStartMonth)/12)</f>
        <v/>
      </c>
      <c r="AH9" s="157">
        <f>(1+GrowthUtility)^(MAX(0,30-GrowthStartMonth)/12)</f>
        <v/>
      </c>
      <c r="AI9" s="157">
        <f>(1+GrowthUtility)^(MAX(0,31-GrowthStartMonth)/12)</f>
        <v/>
      </c>
      <c r="AJ9" s="157">
        <f>(1+GrowthUtility)^(MAX(0,32-GrowthStartMonth)/12)</f>
        <v/>
      </c>
      <c r="AK9" s="157">
        <f>(1+GrowthUtility)^(MAX(0,33-GrowthStartMonth)/12)</f>
        <v/>
      </c>
      <c r="AL9" s="157">
        <f>(1+GrowthUtility)^(MAX(0,34-GrowthStartMonth)/12)</f>
        <v/>
      </c>
      <c r="AM9" s="157">
        <f>(1+GrowthUtility)^(MAX(0,35-GrowthStartMonth)/12)</f>
        <v/>
      </c>
      <c r="AN9" s="157">
        <f>(1+GrowthUtility)^(MAX(0,36-GrowthStartMonth)/12)</f>
        <v/>
      </c>
      <c r="AO9" s="157">
        <f>(1+GrowthUtility)^(MAX(0,37-GrowthStartMonth)/12)</f>
        <v/>
      </c>
      <c r="AP9" s="157">
        <f>(1+GrowthUtility)^(MAX(0,38-GrowthStartMonth)/12)</f>
        <v/>
      </c>
      <c r="AQ9" s="157">
        <f>(1+GrowthUtility)^(MAX(0,39-GrowthStartMonth)/12)</f>
        <v/>
      </c>
      <c r="AR9" s="157">
        <f>(1+GrowthUtility)^(MAX(0,40-GrowthStartMonth)/12)</f>
        <v/>
      </c>
      <c r="AS9" s="157">
        <f>(1+GrowthUtility)^(MAX(0,41-GrowthStartMonth)/12)</f>
        <v/>
      </c>
      <c r="AT9" s="157">
        <f>(1+GrowthUtility)^(MAX(0,42-GrowthStartMonth)/12)</f>
        <v/>
      </c>
      <c r="AU9" s="157">
        <f>(1+GrowthUtility)^(MAX(0,43-GrowthStartMonth)/12)</f>
        <v/>
      </c>
      <c r="AV9" s="157">
        <f>(1+GrowthUtility)^(MAX(0,44-GrowthStartMonth)/12)</f>
        <v/>
      </c>
      <c r="AW9" s="157">
        <f>(1+GrowthUtility)^(MAX(0,45-GrowthStartMonth)/12)</f>
        <v/>
      </c>
      <c r="AX9" s="157">
        <f>(1+GrowthUtility)^(MAX(0,46-GrowthStartMonth)/12)</f>
        <v/>
      </c>
      <c r="AY9" s="157">
        <f>(1+GrowthUtility)^(MAX(0,47-GrowthStartMonth)/12)</f>
        <v/>
      </c>
      <c r="AZ9" s="157">
        <f>(1+GrowthUtility)^(MAX(0,48-GrowthStartMonth)/12)</f>
        <v/>
      </c>
      <c r="BA9" s="157">
        <f>(1+GrowthUtility)^(MAX(0,49-GrowthStartMonth)/12)</f>
        <v/>
      </c>
      <c r="BB9" s="157">
        <f>(1+GrowthUtility)^(MAX(0,50-GrowthStartMonth)/12)</f>
        <v/>
      </c>
      <c r="BC9" s="157">
        <f>(1+GrowthUtility)^(MAX(0,51-GrowthStartMonth)/12)</f>
        <v/>
      </c>
      <c r="BD9" s="157">
        <f>(1+GrowthUtility)^(MAX(0,52-GrowthStartMonth)/12)</f>
        <v/>
      </c>
      <c r="BE9" s="157">
        <f>(1+GrowthUtility)^(MAX(0,53-GrowthStartMonth)/12)</f>
        <v/>
      </c>
      <c r="BF9" s="157">
        <f>(1+GrowthUtility)^(MAX(0,54-GrowthStartMonth)/12)</f>
        <v/>
      </c>
      <c r="BG9" s="157">
        <f>(1+GrowthUtility)^(MAX(0,55-GrowthStartMonth)/12)</f>
        <v/>
      </c>
      <c r="BH9" s="157">
        <f>(1+GrowthUtility)^(MAX(0,56-GrowthStartMonth)/12)</f>
        <v/>
      </c>
      <c r="BI9" s="157">
        <f>(1+GrowthUtility)^(MAX(0,57-GrowthStartMonth)/12)</f>
        <v/>
      </c>
      <c r="BJ9" s="157">
        <f>(1+GrowthUtility)^(MAX(0,58-GrowthStartMonth)/12)</f>
        <v/>
      </c>
      <c r="BK9" s="157">
        <f>(1+GrowthUtility)^(MAX(0,59-GrowthStartMonth)/12)</f>
        <v/>
      </c>
      <c r="BL9" s="157">
        <f>(1+GrowthUtility)^(MAX(0,60-GrowthStartMonth)/12)</f>
        <v/>
      </c>
      <c r="BM9" s="157">
        <f>(1+GrowthUtility)^(MAX(0,61-GrowthStartMonth)/12)</f>
        <v/>
      </c>
      <c r="BN9" s="157">
        <f>(1+GrowthUtility)^(MAX(0,62-GrowthStartMonth)/12)</f>
        <v/>
      </c>
      <c r="BO9" s="157">
        <f>(1+GrowthUtility)^(MAX(0,63-GrowthStartMonth)/12)</f>
        <v/>
      </c>
      <c r="BP9" s="157">
        <f>(1+GrowthUtility)^(MAX(0,64-GrowthStartMonth)/12)</f>
        <v/>
      </c>
      <c r="BQ9" s="157">
        <f>(1+GrowthUtility)^(MAX(0,65-GrowthStartMonth)/12)</f>
        <v/>
      </c>
      <c r="BR9" s="157">
        <f>(1+GrowthUtility)^(MAX(0,66-GrowthStartMonth)/12)</f>
        <v/>
      </c>
      <c r="BS9" s="157">
        <f>(1+GrowthUtility)^(MAX(0,67-GrowthStartMonth)/12)</f>
        <v/>
      </c>
      <c r="BT9" s="157">
        <f>(1+GrowthUtility)^(MAX(0,68-GrowthStartMonth)/12)</f>
        <v/>
      </c>
      <c r="BU9" s="157">
        <f>(1+GrowthUtility)^(MAX(0,69-GrowthStartMonth)/12)</f>
        <v/>
      </c>
      <c r="BV9" s="157">
        <f>(1+GrowthUtility)^(MAX(0,70-GrowthStartMonth)/12)</f>
        <v/>
      </c>
      <c r="BW9" s="157">
        <f>(1+GrowthUtility)^(MAX(0,71-GrowthStartMonth)/12)</f>
        <v/>
      </c>
      <c r="BX9" s="157">
        <f>(1+GrowthUtility)^(MAX(0,72-GrowthStartMonth)/12)</f>
        <v/>
      </c>
      <c r="BY9" s="157">
        <f>(1+GrowthUtility)^(MAX(0,73-GrowthStartMonth)/12)</f>
        <v/>
      </c>
      <c r="BZ9" s="157">
        <f>(1+GrowthUtility)^(MAX(0,74-GrowthStartMonth)/12)</f>
        <v/>
      </c>
      <c r="CA9" s="157">
        <f>(1+GrowthUtility)^(MAX(0,75-GrowthStartMonth)/12)</f>
        <v/>
      </c>
      <c r="CB9" s="157">
        <f>(1+GrowthUtility)^(MAX(0,76-GrowthStartMonth)/12)</f>
        <v/>
      </c>
      <c r="CC9" s="157">
        <f>(1+GrowthUtility)^(MAX(0,77-GrowthStartMonth)/12)</f>
        <v/>
      </c>
      <c r="CD9" s="157">
        <f>(1+GrowthUtility)^(MAX(0,78-GrowthStartMonth)/12)</f>
        <v/>
      </c>
      <c r="CE9" s="157">
        <f>(1+GrowthUtility)^(MAX(0,79-GrowthStartMonth)/12)</f>
        <v/>
      </c>
      <c r="CF9" s="157">
        <f>(1+GrowthUtility)^(MAX(0,80-GrowthStartMonth)/12)</f>
        <v/>
      </c>
      <c r="CG9" s="157">
        <f>(1+GrowthUtility)^(MAX(0,81-GrowthStartMonth)/12)</f>
        <v/>
      </c>
      <c r="CH9" s="157">
        <f>(1+GrowthUtility)^(MAX(0,82-GrowthStartMonth)/12)</f>
        <v/>
      </c>
      <c r="CI9" s="157">
        <f>(1+GrowthUtility)^(MAX(0,83-GrowthStartMonth)/12)</f>
        <v/>
      </c>
      <c r="CJ9" s="157">
        <f>(1+GrowthUtility)^(MAX(0,84-GrowthStartMonth)/12)</f>
        <v/>
      </c>
      <c r="CK9" s="157">
        <f>(1+GrowthUtility)^(MAX(0,85-GrowthStartMonth)/12)</f>
        <v/>
      </c>
      <c r="CL9" s="157">
        <f>(1+GrowthUtility)^(MAX(0,86-GrowthStartMonth)/12)</f>
        <v/>
      </c>
      <c r="CM9" s="157">
        <f>(1+GrowthUtility)^(MAX(0,87-GrowthStartMonth)/12)</f>
        <v/>
      </c>
      <c r="CN9" s="157">
        <f>(1+GrowthUtility)^(MAX(0,88-GrowthStartMonth)/12)</f>
        <v/>
      </c>
      <c r="CO9" s="157">
        <f>(1+GrowthUtility)^(MAX(0,89-GrowthStartMonth)/12)</f>
        <v/>
      </c>
      <c r="CP9" s="157">
        <f>(1+GrowthUtility)^(MAX(0,90-GrowthStartMonth)/12)</f>
        <v/>
      </c>
      <c r="CQ9" s="157">
        <f>(1+GrowthUtility)^(MAX(0,91-GrowthStartMonth)/12)</f>
        <v/>
      </c>
      <c r="CR9" s="157">
        <f>(1+GrowthUtility)^(MAX(0,92-GrowthStartMonth)/12)</f>
        <v/>
      </c>
      <c r="CS9" s="157">
        <f>(1+GrowthUtility)^(MAX(0,93-GrowthStartMonth)/12)</f>
        <v/>
      </c>
      <c r="CT9" s="157">
        <f>(1+GrowthUtility)^(MAX(0,94-GrowthStartMonth)/12)</f>
        <v/>
      </c>
      <c r="CU9" s="157">
        <f>(1+GrowthUtility)^(MAX(0,95-GrowthStartMonth)/12)</f>
        <v/>
      </c>
      <c r="CV9" s="157">
        <f>(1+GrowthUtility)^(MAX(0,96-GrowthStartMonth)/12)</f>
        <v/>
      </c>
      <c r="CW9" s="157">
        <f>(1+GrowthUtility)^(MAX(0,97-GrowthStartMonth)/12)</f>
        <v/>
      </c>
      <c r="CX9" s="157">
        <f>(1+GrowthUtility)^(MAX(0,98-GrowthStartMonth)/12)</f>
        <v/>
      </c>
      <c r="CY9" s="157">
        <f>(1+GrowthUtility)^(MAX(0,99-GrowthStartMonth)/12)</f>
        <v/>
      </c>
      <c r="CZ9" s="157">
        <f>(1+GrowthUtility)^(MAX(0,100-GrowthStartMonth)/12)</f>
        <v/>
      </c>
      <c r="DA9" s="157">
        <f>(1+GrowthUtility)^(MAX(0,101-GrowthStartMonth)/12)</f>
        <v/>
      </c>
      <c r="DB9" s="157">
        <f>(1+GrowthUtility)^(MAX(0,102-GrowthStartMonth)/12)</f>
        <v/>
      </c>
      <c r="DC9" s="157">
        <f>(1+GrowthUtility)^(MAX(0,103-GrowthStartMonth)/12)</f>
        <v/>
      </c>
      <c r="DD9" s="157">
        <f>(1+GrowthUtility)^(MAX(0,104-GrowthStartMonth)/12)</f>
        <v/>
      </c>
      <c r="DE9" s="157">
        <f>(1+GrowthUtility)^(MAX(0,105-GrowthStartMonth)/12)</f>
        <v/>
      </c>
      <c r="DF9" s="157">
        <f>(1+GrowthUtility)^(MAX(0,106-GrowthStartMonth)/12)</f>
        <v/>
      </c>
      <c r="DG9" s="157">
        <f>(1+GrowthUtility)^(MAX(0,107-GrowthStartMonth)/12)</f>
        <v/>
      </c>
      <c r="DH9" s="157">
        <f>(1+GrowthUtility)^(MAX(0,108-GrowthStartMonth)/12)</f>
        <v/>
      </c>
      <c r="DI9" s="157">
        <f>(1+GrowthUtility)^(MAX(0,109-GrowthStartMonth)/12)</f>
        <v/>
      </c>
      <c r="DJ9" s="157">
        <f>(1+GrowthUtility)^(MAX(0,110-GrowthStartMonth)/12)</f>
        <v/>
      </c>
      <c r="DK9" s="157">
        <f>(1+GrowthUtility)^(MAX(0,111-GrowthStartMonth)/12)</f>
        <v/>
      </c>
      <c r="DL9" s="157">
        <f>(1+GrowthUtility)^(MAX(0,112-GrowthStartMonth)/12)</f>
        <v/>
      </c>
      <c r="DM9" s="157">
        <f>(1+GrowthUtility)^(MAX(0,113-GrowthStartMonth)/12)</f>
        <v/>
      </c>
      <c r="DN9" s="157">
        <f>(1+GrowthUtility)^(MAX(0,114-GrowthStartMonth)/12)</f>
        <v/>
      </c>
      <c r="DO9" s="157">
        <f>(1+GrowthUtility)^(MAX(0,115-GrowthStartMonth)/12)</f>
        <v/>
      </c>
      <c r="DP9" s="157">
        <f>(1+GrowthUtility)^(MAX(0,116-GrowthStartMonth)/12)</f>
        <v/>
      </c>
      <c r="DQ9" s="157">
        <f>(1+GrowthUtility)^(MAX(0,117-GrowthStartMonth)/12)</f>
        <v/>
      </c>
      <c r="DR9" s="157">
        <f>(1+GrowthUtility)^(MAX(0,118-GrowthStartMonth)/12)</f>
        <v/>
      </c>
      <c r="DS9" s="157">
        <f>(1+GrowthUtility)^(MAX(0,119-GrowthStartMonth)/12)</f>
        <v/>
      </c>
      <c r="DT9" s="157">
        <f>(1+GrowthUtility)^(MAX(0,120-GrowthStartMonth)/12)</f>
        <v/>
      </c>
      <c r="DU9" s="157">
        <f>(1+GrowthUtility)^(MAX(0,121-GrowthStartMonth)/12)</f>
        <v/>
      </c>
      <c r="DV9" s="157">
        <f>(1+GrowthUtility)^(MAX(0,122-GrowthStartMonth)/12)</f>
        <v/>
      </c>
      <c r="DW9" s="157">
        <f>(1+GrowthUtility)^(MAX(0,123-GrowthStartMonth)/12)</f>
        <v/>
      </c>
      <c r="DX9" s="157">
        <f>(1+GrowthUtility)^(MAX(0,124-GrowthStartMonth)/12)</f>
        <v/>
      </c>
      <c r="DY9" s="157">
        <f>(1+GrowthUtility)^(MAX(0,125-GrowthStartMonth)/12)</f>
        <v/>
      </c>
      <c r="DZ9" s="157">
        <f>(1+GrowthUtility)^(MAX(0,126-GrowthStartMonth)/12)</f>
        <v/>
      </c>
      <c r="EA9" s="157">
        <f>(1+GrowthUtility)^(MAX(0,127-GrowthStartMonth)/12)</f>
        <v/>
      </c>
      <c r="EB9" s="157">
        <f>(1+GrowthUtility)^(MAX(0,128-GrowthStartMonth)/12)</f>
        <v/>
      </c>
      <c r="EC9" s="157">
        <f>(1+GrowthUtility)^(MAX(0,129-GrowthStartMonth)/12)</f>
        <v/>
      </c>
      <c r="ED9" s="157">
        <f>(1+GrowthUtility)^(MAX(0,130-GrowthStartMonth)/12)</f>
        <v/>
      </c>
      <c r="EE9" s="157">
        <f>(1+GrowthUtility)^(MAX(0,131-GrowthStartMonth)/12)</f>
        <v/>
      </c>
      <c r="EF9" s="157">
        <f>(1+GrowthUtility)^(MAX(0,132-GrowthStartMonth)/12)</f>
        <v/>
      </c>
      <c r="EG9" s="157">
        <f>(1+GrowthUtility)^(MAX(0,133-GrowthStartMonth)/12)</f>
        <v/>
      </c>
      <c r="EH9" s="157">
        <f>(1+GrowthUtility)^(MAX(0,134-GrowthStartMonth)/12)</f>
        <v/>
      </c>
      <c r="EI9" s="157">
        <f>(1+GrowthUtility)^(MAX(0,135-GrowthStartMonth)/12)</f>
        <v/>
      </c>
      <c r="EJ9" s="157">
        <f>(1+GrowthUtility)^(MAX(0,136-GrowthStartMonth)/12)</f>
        <v/>
      </c>
      <c r="EK9" s="157">
        <f>(1+GrowthUtility)^(MAX(0,137-GrowthStartMonth)/12)</f>
        <v/>
      </c>
      <c r="EL9" s="157">
        <f>(1+GrowthUtility)^(MAX(0,138-GrowthStartMonth)/12)</f>
        <v/>
      </c>
      <c r="EM9" s="157">
        <f>(1+GrowthUtility)^(MAX(0,139-GrowthStartMonth)/12)</f>
        <v/>
      </c>
      <c r="EN9" s="157">
        <f>(1+GrowthUtility)^(MAX(0,140-GrowthStartMonth)/12)</f>
        <v/>
      </c>
      <c r="EO9" s="157">
        <f>(1+GrowthUtility)^(MAX(0,141-GrowthStartMonth)/12)</f>
        <v/>
      </c>
      <c r="EP9" s="157">
        <f>(1+GrowthUtility)^(MAX(0,142-GrowthStartMonth)/12)</f>
        <v/>
      </c>
      <c r="EQ9" s="157">
        <f>(1+GrowthUtility)^(MAX(0,143-GrowthStartMonth)/12)</f>
        <v/>
      </c>
      <c r="ER9" s="157">
        <f>(1+GrowthUtility)^(MAX(0,144-GrowthStartMonth)/12)</f>
        <v/>
      </c>
      <c r="ES9" s="157">
        <f>(1+GrowthUtility)^(MAX(0,145-GrowthStartMonth)/12)</f>
        <v/>
      </c>
      <c r="ET9" s="157">
        <f>(1+GrowthUtility)^(MAX(0,146-GrowthStartMonth)/12)</f>
        <v/>
      </c>
      <c r="EU9" s="157">
        <f>(1+GrowthUtility)^(MAX(0,147-GrowthStartMonth)/12)</f>
        <v/>
      </c>
      <c r="EV9" s="157">
        <f>(1+GrowthUtility)^(MAX(0,148-GrowthStartMonth)/12)</f>
        <v/>
      </c>
      <c r="EW9" s="157">
        <f>(1+GrowthUtility)^(MAX(0,149-GrowthStartMonth)/12)</f>
        <v/>
      </c>
      <c r="EX9" s="157">
        <f>(1+GrowthUtility)^(MAX(0,150-GrowthStartMonth)/12)</f>
        <v/>
      </c>
      <c r="EY9" s="157">
        <f>(1+GrowthUtility)^(MAX(0,151-GrowthStartMonth)/12)</f>
        <v/>
      </c>
      <c r="EZ9" s="157">
        <f>(1+GrowthUtility)^(MAX(0,152-GrowthStartMonth)/12)</f>
        <v/>
      </c>
      <c r="FA9" s="157">
        <f>(1+GrowthUtility)^(MAX(0,153-GrowthStartMonth)/12)</f>
        <v/>
      </c>
      <c r="FB9" s="157">
        <f>(1+GrowthUtility)^(MAX(0,154-GrowthStartMonth)/12)</f>
        <v/>
      </c>
      <c r="FC9" s="157">
        <f>(1+GrowthUtility)^(MAX(0,155-GrowthStartMonth)/12)</f>
        <v/>
      </c>
      <c r="FD9" s="157">
        <f>(1+GrowthUtility)^(MAX(0,156-GrowthStartMonth)/12)</f>
        <v/>
      </c>
      <c r="FE9" s="157">
        <f>(1+GrowthUtility)^(MAX(0,157-GrowthStartMonth)/12)</f>
        <v/>
      </c>
      <c r="FF9" s="157">
        <f>(1+GrowthUtility)^(MAX(0,158-GrowthStartMonth)/12)</f>
        <v/>
      </c>
      <c r="FG9" s="157">
        <f>(1+GrowthUtility)^(MAX(0,159-GrowthStartMonth)/12)</f>
        <v/>
      </c>
      <c r="FH9" s="157">
        <f>(1+GrowthUtility)^(MAX(0,160-GrowthStartMonth)/12)</f>
        <v/>
      </c>
      <c r="FI9" s="157">
        <f>(1+GrowthUtility)^(MAX(0,161-GrowthStartMonth)/12)</f>
        <v/>
      </c>
      <c r="FJ9" s="157">
        <f>(1+GrowthUtility)^(MAX(0,162-GrowthStartMonth)/12)</f>
        <v/>
      </c>
      <c r="FK9" s="157">
        <f>(1+GrowthUtility)^(MAX(0,163-GrowthStartMonth)/12)</f>
        <v/>
      </c>
      <c r="FL9" s="157">
        <f>(1+GrowthUtility)^(MAX(0,164-GrowthStartMonth)/12)</f>
        <v/>
      </c>
      <c r="FM9" s="157">
        <f>(1+GrowthUtility)^(MAX(0,165-GrowthStartMonth)/12)</f>
        <v/>
      </c>
      <c r="FN9" s="157">
        <f>(1+GrowthUtility)^(MAX(0,166-GrowthStartMonth)/12)</f>
        <v/>
      </c>
      <c r="FO9" s="157">
        <f>(1+GrowthUtility)^(MAX(0,167-GrowthStartMonth)/12)</f>
        <v/>
      </c>
      <c r="FP9" s="157">
        <f>(1+GrowthUtility)^(MAX(0,168-GrowthStartMonth)/12)</f>
        <v/>
      </c>
      <c r="FQ9" s="157">
        <f>(1+GrowthUtility)^(MAX(0,169-GrowthStartMonth)/12)</f>
        <v/>
      </c>
      <c r="FR9" s="157">
        <f>(1+GrowthUtility)^(MAX(0,170-GrowthStartMonth)/12)</f>
        <v/>
      </c>
      <c r="FS9" s="157">
        <f>(1+GrowthUtility)^(MAX(0,171-GrowthStartMonth)/12)</f>
        <v/>
      </c>
      <c r="FT9" s="157">
        <f>(1+GrowthUtility)^(MAX(0,172-GrowthStartMonth)/12)</f>
        <v/>
      </c>
      <c r="FU9" s="157">
        <f>(1+GrowthUtility)^(MAX(0,173-GrowthStartMonth)/12)</f>
        <v/>
      </c>
      <c r="FV9" s="157">
        <f>(1+GrowthUtility)^(MAX(0,174-GrowthStartMonth)/12)</f>
        <v/>
      </c>
      <c r="FW9" s="157">
        <f>(1+GrowthUtility)^(MAX(0,175-GrowthStartMonth)/12)</f>
        <v/>
      </c>
      <c r="FX9" s="157">
        <f>(1+GrowthUtility)^(MAX(0,176-GrowthStartMonth)/12)</f>
        <v/>
      </c>
      <c r="FY9" s="157">
        <f>(1+GrowthUtility)^(MAX(0,177-GrowthStartMonth)/12)</f>
        <v/>
      </c>
      <c r="FZ9" s="157">
        <f>(1+GrowthUtility)^(MAX(0,178-GrowthStartMonth)/12)</f>
        <v/>
      </c>
      <c r="GA9" s="157">
        <f>(1+GrowthUtility)^(MAX(0,179-GrowthStartMonth)/12)</f>
        <v/>
      </c>
      <c r="GB9" s="157">
        <f>(1+GrowthUtility)^(MAX(0,180-GrowthStartMonth)/12)</f>
        <v/>
      </c>
      <c r="GC9" s="157">
        <f>(1+GrowthUtility)^(MAX(0,181-GrowthStartMonth)/12)</f>
        <v/>
      </c>
      <c r="GD9" s="157">
        <f>(1+GrowthUtility)^(MAX(0,182-GrowthStartMonth)/12)</f>
        <v/>
      </c>
      <c r="GE9" s="157">
        <f>(1+GrowthUtility)^(MAX(0,183-GrowthStartMonth)/12)</f>
        <v/>
      </c>
      <c r="GF9" s="157">
        <f>(1+GrowthUtility)^(MAX(0,184-GrowthStartMonth)/12)</f>
        <v/>
      </c>
      <c r="GG9" s="157">
        <f>(1+GrowthUtility)^(MAX(0,185-GrowthStartMonth)/12)</f>
        <v/>
      </c>
      <c r="GH9" s="157">
        <f>(1+GrowthUtility)^(MAX(0,186-GrowthStartMonth)/12)</f>
        <v/>
      </c>
      <c r="GI9" s="157">
        <f>(1+GrowthUtility)^(MAX(0,187-GrowthStartMonth)/12)</f>
        <v/>
      </c>
      <c r="GJ9" s="157">
        <f>(1+GrowthUtility)^(MAX(0,188-GrowthStartMonth)/12)</f>
        <v/>
      </c>
      <c r="GK9" s="157">
        <f>(1+GrowthUtility)^(MAX(0,189-GrowthStartMonth)/12)</f>
        <v/>
      </c>
      <c r="GL9" s="157">
        <f>(1+GrowthUtility)^(MAX(0,190-GrowthStartMonth)/12)</f>
        <v/>
      </c>
      <c r="GM9" s="157">
        <f>(1+GrowthUtility)^(MAX(0,191-GrowthStartMonth)/12)</f>
        <v/>
      </c>
      <c r="GN9" s="157">
        <f>(1+GrowthUtility)^(MAX(0,192-GrowthStartMonth)/12)</f>
        <v/>
      </c>
      <c r="GO9" s="157">
        <f>(1+GrowthUtility)^(MAX(0,193-GrowthStartMonth)/12)</f>
        <v/>
      </c>
      <c r="GP9" s="157">
        <f>(1+GrowthUtility)^(MAX(0,194-GrowthStartMonth)/12)</f>
        <v/>
      </c>
      <c r="GQ9" s="157">
        <f>(1+GrowthUtility)^(MAX(0,195-GrowthStartMonth)/12)</f>
        <v/>
      </c>
      <c r="GR9" s="157">
        <f>(1+GrowthUtility)^(MAX(0,196-GrowthStartMonth)/12)</f>
        <v/>
      </c>
      <c r="GS9" s="157">
        <f>(1+GrowthUtility)^(MAX(0,197-GrowthStartMonth)/12)</f>
        <v/>
      </c>
      <c r="GT9" s="157">
        <f>(1+GrowthUtility)^(MAX(0,198-GrowthStartMonth)/12)</f>
        <v/>
      </c>
      <c r="GU9" s="157">
        <f>(1+GrowthUtility)^(MAX(0,199-GrowthStartMonth)/12)</f>
        <v/>
      </c>
      <c r="GV9" s="157">
        <f>(1+GrowthUtility)^(MAX(0,200-GrowthStartMonth)/12)</f>
        <v/>
      </c>
      <c r="GW9" s="157">
        <f>(1+GrowthUtility)^(MAX(0,201-GrowthStartMonth)/12)</f>
        <v/>
      </c>
      <c r="GX9" s="157">
        <f>(1+GrowthUtility)^(MAX(0,202-GrowthStartMonth)/12)</f>
        <v/>
      </c>
      <c r="GY9" s="157">
        <f>(1+GrowthUtility)^(MAX(0,203-GrowthStartMonth)/12)</f>
        <v/>
      </c>
      <c r="GZ9" s="157">
        <f>(1+GrowthUtility)^(MAX(0,204-GrowthStartMonth)/12)</f>
        <v/>
      </c>
      <c r="HA9" s="157">
        <f>(1+GrowthUtility)^(MAX(0,205-GrowthStartMonth)/12)</f>
        <v/>
      </c>
      <c r="HB9" s="157">
        <f>(1+GrowthUtility)^(MAX(0,206-GrowthStartMonth)/12)</f>
        <v/>
      </c>
      <c r="HC9" s="157">
        <f>(1+GrowthUtility)^(MAX(0,207-GrowthStartMonth)/12)</f>
        <v/>
      </c>
      <c r="HD9" s="157">
        <f>(1+GrowthUtility)^(MAX(0,208-GrowthStartMonth)/12)</f>
        <v/>
      </c>
      <c r="HE9" s="157">
        <f>(1+GrowthUtility)^(MAX(0,209-GrowthStartMonth)/12)</f>
        <v/>
      </c>
      <c r="HF9" s="157">
        <f>(1+GrowthUtility)^(MAX(0,210-GrowthStartMonth)/12)</f>
        <v/>
      </c>
      <c r="HG9" s="157">
        <f>(1+GrowthUtility)^(MAX(0,211-GrowthStartMonth)/12)</f>
        <v/>
      </c>
      <c r="HH9" s="157">
        <f>(1+GrowthUtility)^(MAX(0,212-GrowthStartMonth)/12)</f>
        <v/>
      </c>
      <c r="HI9" s="157">
        <f>(1+GrowthUtility)^(MAX(0,213-GrowthStartMonth)/12)</f>
        <v/>
      </c>
      <c r="HJ9" s="157">
        <f>(1+GrowthUtility)^(MAX(0,214-GrowthStartMonth)/12)</f>
        <v/>
      </c>
      <c r="HK9" s="157">
        <f>(1+GrowthUtility)^(MAX(0,215-GrowthStartMonth)/12)</f>
        <v/>
      </c>
      <c r="HL9" s="157">
        <f>(1+GrowthUtility)^(MAX(0,216-GrowthStartMonth)/12)</f>
        <v/>
      </c>
      <c r="HM9" s="157">
        <f>(1+GrowthUtility)^(MAX(0,217-GrowthStartMonth)/12)</f>
        <v/>
      </c>
      <c r="HN9" s="157">
        <f>(1+GrowthUtility)^(MAX(0,218-GrowthStartMonth)/12)</f>
        <v/>
      </c>
      <c r="HO9" s="157">
        <f>(1+GrowthUtility)^(MAX(0,219-GrowthStartMonth)/12)</f>
        <v/>
      </c>
      <c r="HP9" s="157">
        <f>(1+GrowthUtility)^(MAX(0,220-GrowthStartMonth)/12)</f>
        <v/>
      </c>
      <c r="HQ9" s="157">
        <f>(1+GrowthUtility)^(MAX(0,221-GrowthStartMonth)/12)</f>
        <v/>
      </c>
      <c r="HR9" s="157">
        <f>(1+GrowthUtility)^(MAX(0,222-GrowthStartMonth)/12)</f>
        <v/>
      </c>
      <c r="HS9" s="157">
        <f>(1+GrowthUtility)^(MAX(0,223-GrowthStartMonth)/12)</f>
        <v/>
      </c>
      <c r="HT9" s="157">
        <f>(1+GrowthUtility)^(MAX(0,224-GrowthStartMonth)/12)</f>
        <v/>
      </c>
      <c r="HU9" s="157">
        <f>(1+GrowthUtility)^(MAX(0,225-GrowthStartMonth)/12)</f>
        <v/>
      </c>
      <c r="HV9" s="157">
        <f>(1+GrowthUtility)^(MAX(0,226-GrowthStartMonth)/12)</f>
        <v/>
      </c>
      <c r="HW9" s="157">
        <f>(1+GrowthUtility)^(MAX(0,227-GrowthStartMonth)/12)</f>
        <v/>
      </c>
      <c r="HX9" s="157">
        <f>(1+GrowthUtility)^(MAX(0,228-GrowthStartMonth)/12)</f>
        <v/>
      </c>
      <c r="HY9" s="157">
        <f>(1+GrowthUtility)^(MAX(0,229-GrowthStartMonth)/12)</f>
        <v/>
      </c>
      <c r="HZ9" s="157">
        <f>(1+GrowthUtility)^(MAX(0,230-GrowthStartMonth)/12)</f>
        <v/>
      </c>
      <c r="IA9" s="157">
        <f>(1+GrowthUtility)^(MAX(0,231-GrowthStartMonth)/12)</f>
        <v/>
      </c>
      <c r="IB9" s="157">
        <f>(1+GrowthUtility)^(MAX(0,232-GrowthStartMonth)/12)</f>
        <v/>
      </c>
      <c r="IC9" s="157">
        <f>(1+GrowthUtility)^(MAX(0,233-GrowthStartMonth)/12)</f>
        <v/>
      </c>
      <c r="ID9" s="157">
        <f>(1+GrowthUtility)^(MAX(0,234-GrowthStartMonth)/12)</f>
        <v/>
      </c>
      <c r="IE9" s="157">
        <f>(1+GrowthUtility)^(MAX(0,235-GrowthStartMonth)/12)</f>
        <v/>
      </c>
      <c r="IF9" s="157">
        <f>(1+GrowthUtility)^(MAX(0,236-GrowthStartMonth)/12)</f>
        <v/>
      </c>
      <c r="IG9" s="157">
        <f>(1+GrowthUtility)^(MAX(0,237-GrowthStartMonth)/12)</f>
        <v/>
      </c>
      <c r="IH9" s="157">
        <f>(1+GrowthUtility)^(MAX(0,238-GrowthStartMonth)/12)</f>
        <v/>
      </c>
      <c r="II9" s="157">
        <f>(1+GrowthUtility)^(MAX(0,239-GrowthStartMonth)/12)</f>
        <v/>
      </c>
      <c r="IJ9" s="157">
        <f>(1+GrowthUtility)^(MAX(0,240-GrowthStartMonth)/12)</f>
        <v/>
      </c>
      <c r="IK9" s="157">
        <f>(1+GrowthUtility)^(MAX(0,241-GrowthStartMonth)/12)</f>
        <v/>
      </c>
      <c r="IL9" s="157">
        <f>(1+GrowthUtility)^(MAX(0,242-GrowthStartMonth)/12)</f>
        <v/>
      </c>
      <c r="IM9" s="157">
        <f>(1+GrowthUtility)^(MAX(0,243-GrowthStartMonth)/12)</f>
        <v/>
      </c>
      <c r="IN9" s="157">
        <f>(1+GrowthUtility)^(MAX(0,244-GrowthStartMonth)/12)</f>
        <v/>
      </c>
      <c r="IO9" s="157">
        <f>(1+GrowthUtility)^(MAX(0,245-GrowthStartMonth)/12)</f>
        <v/>
      </c>
      <c r="IP9" s="157">
        <f>(1+GrowthUtility)^(MAX(0,246-GrowthStartMonth)/12)</f>
        <v/>
      </c>
      <c r="IQ9" s="157">
        <f>(1+GrowthUtility)^(MAX(0,247-GrowthStartMonth)/12)</f>
        <v/>
      </c>
      <c r="IR9" s="157">
        <f>(1+GrowthUtility)^(MAX(0,248-GrowthStartMonth)/12)</f>
        <v/>
      </c>
      <c r="IS9" s="157">
        <f>(1+GrowthUtility)^(MAX(0,249-GrowthStartMonth)/12)</f>
        <v/>
      </c>
      <c r="IT9" s="157">
        <f>(1+GrowthUtility)^(MAX(0,250-GrowthStartMonth)/12)</f>
        <v/>
      </c>
      <c r="IU9" s="157">
        <f>(1+GrowthUtility)^(MAX(0,251-GrowthStartMonth)/12)</f>
        <v/>
      </c>
      <c r="IV9" s="157">
        <f>(1+GrowthUtility)^(MAX(0,252-GrowthStartMonth)/12)</f>
        <v/>
      </c>
      <c r="IW9" s="157">
        <f>(1+GrowthUtility)^(MAX(0,253-GrowthStartMonth)/12)</f>
        <v/>
      </c>
      <c r="IX9" s="157">
        <f>(1+GrowthUtility)^(MAX(0,254-GrowthStartMonth)/12)</f>
        <v/>
      </c>
      <c r="IY9" s="157">
        <f>(1+GrowthUtility)^(MAX(0,255-GrowthStartMonth)/12)</f>
        <v/>
      </c>
      <c r="IZ9" s="157">
        <f>(1+GrowthUtility)^(MAX(0,256-GrowthStartMonth)/12)</f>
        <v/>
      </c>
      <c r="JA9" s="157">
        <f>(1+GrowthUtility)^(MAX(0,257-GrowthStartMonth)/12)</f>
        <v/>
      </c>
      <c r="JB9" s="157">
        <f>(1+GrowthUtility)^(MAX(0,258-GrowthStartMonth)/12)</f>
        <v/>
      </c>
      <c r="JC9" s="157">
        <f>(1+GrowthUtility)^(MAX(0,259-GrowthStartMonth)/12)</f>
        <v/>
      </c>
      <c r="JD9" s="157">
        <f>(1+GrowthUtility)^(MAX(0,260-GrowthStartMonth)/12)</f>
        <v/>
      </c>
      <c r="JE9" s="157">
        <f>(1+GrowthUtility)^(MAX(0,261-GrowthStartMonth)/12)</f>
        <v/>
      </c>
      <c r="JF9" s="157">
        <f>(1+GrowthUtility)^(MAX(0,262-GrowthStartMonth)/12)</f>
        <v/>
      </c>
      <c r="JG9" s="157">
        <f>(1+GrowthUtility)^(MAX(0,263-GrowthStartMonth)/12)</f>
        <v/>
      </c>
      <c r="JH9" s="157">
        <f>(1+GrowthUtility)^(MAX(0,264-GrowthStartMonth)/12)</f>
        <v/>
      </c>
      <c r="JI9" s="157">
        <f>(1+GrowthUtility)^(MAX(0,265-GrowthStartMonth)/12)</f>
        <v/>
      </c>
      <c r="JJ9" s="157">
        <f>(1+GrowthUtility)^(MAX(0,266-GrowthStartMonth)/12)</f>
        <v/>
      </c>
      <c r="JK9" s="157">
        <f>(1+GrowthUtility)^(MAX(0,267-GrowthStartMonth)/12)</f>
        <v/>
      </c>
      <c r="JL9" s="157">
        <f>(1+GrowthUtility)^(MAX(0,268-GrowthStartMonth)/12)</f>
        <v/>
      </c>
      <c r="JM9" s="157">
        <f>(1+GrowthUtility)^(MAX(0,269-GrowthStartMonth)/12)</f>
        <v/>
      </c>
      <c r="JN9" s="157">
        <f>(1+GrowthUtility)^(MAX(0,270-GrowthStartMonth)/12)</f>
        <v/>
      </c>
      <c r="JO9" s="157">
        <f>(1+GrowthUtility)^(MAX(0,271-GrowthStartMonth)/12)</f>
        <v/>
      </c>
      <c r="JP9" s="157">
        <f>(1+GrowthUtility)^(MAX(0,272-GrowthStartMonth)/12)</f>
        <v/>
      </c>
      <c r="JQ9" s="157">
        <f>(1+GrowthUtility)^(MAX(0,273-GrowthStartMonth)/12)</f>
        <v/>
      </c>
      <c r="JR9" s="157">
        <f>(1+GrowthUtility)^(MAX(0,274-GrowthStartMonth)/12)</f>
        <v/>
      </c>
      <c r="JS9" s="157">
        <f>(1+GrowthUtility)^(MAX(0,275-GrowthStartMonth)/12)</f>
        <v/>
      </c>
      <c r="JT9" s="157">
        <f>(1+GrowthUtility)^(MAX(0,276-GrowthStartMonth)/12)</f>
        <v/>
      </c>
      <c r="JU9" s="157">
        <f>(1+GrowthUtility)^(MAX(0,277-GrowthStartMonth)/12)</f>
        <v/>
      </c>
      <c r="JV9" s="157">
        <f>(1+GrowthUtility)^(MAX(0,278-GrowthStartMonth)/12)</f>
        <v/>
      </c>
      <c r="JW9" s="157">
        <f>(1+GrowthUtility)^(MAX(0,279-GrowthStartMonth)/12)</f>
        <v/>
      </c>
      <c r="JX9" s="157">
        <f>(1+GrowthUtility)^(MAX(0,280-GrowthStartMonth)/12)</f>
        <v/>
      </c>
      <c r="JY9" s="157">
        <f>(1+GrowthUtility)^(MAX(0,281-GrowthStartMonth)/12)</f>
        <v/>
      </c>
      <c r="JZ9" s="157">
        <f>(1+GrowthUtility)^(MAX(0,282-GrowthStartMonth)/12)</f>
        <v/>
      </c>
      <c r="KA9" s="157">
        <f>(1+GrowthUtility)^(MAX(0,283-GrowthStartMonth)/12)</f>
        <v/>
      </c>
      <c r="KB9" s="157">
        <f>(1+GrowthUtility)^(MAX(0,284-GrowthStartMonth)/12)</f>
        <v/>
      </c>
      <c r="KC9" s="157">
        <f>(1+GrowthUtility)^(MAX(0,285-GrowthStartMonth)/12)</f>
        <v/>
      </c>
      <c r="KD9" s="157">
        <f>(1+GrowthUtility)^(MAX(0,286-GrowthStartMonth)/12)</f>
        <v/>
      </c>
      <c r="KE9" s="157">
        <f>(1+GrowthUtility)^(MAX(0,287-GrowthStartMonth)/12)</f>
        <v/>
      </c>
      <c r="KF9" s="157">
        <f>(1+GrowthUtility)^(MAX(0,288-GrowthStartMonth)/12)</f>
        <v/>
      </c>
      <c r="KG9" s="157">
        <f>(1+GrowthUtility)^(MAX(0,289-GrowthStartMonth)/12)</f>
        <v/>
      </c>
      <c r="KH9" s="157">
        <f>(1+GrowthUtility)^(MAX(0,290-GrowthStartMonth)/12)</f>
        <v/>
      </c>
      <c r="KI9" s="157">
        <f>(1+GrowthUtility)^(MAX(0,291-GrowthStartMonth)/12)</f>
        <v/>
      </c>
      <c r="KJ9" s="157">
        <f>(1+GrowthUtility)^(MAX(0,292-GrowthStartMonth)/12)</f>
        <v/>
      </c>
      <c r="KK9" s="157">
        <f>(1+GrowthUtility)^(MAX(0,293-GrowthStartMonth)/12)</f>
        <v/>
      </c>
      <c r="KL9" s="157">
        <f>(1+GrowthUtility)^(MAX(0,294-GrowthStartMonth)/12)</f>
        <v/>
      </c>
      <c r="KM9" s="157">
        <f>(1+GrowthUtility)^(MAX(0,295-GrowthStartMonth)/12)</f>
        <v/>
      </c>
      <c r="KN9" s="157">
        <f>(1+GrowthUtility)^(MAX(0,296-GrowthStartMonth)/12)</f>
        <v/>
      </c>
      <c r="KO9" s="157">
        <f>(1+GrowthUtility)^(MAX(0,297-GrowthStartMonth)/12)</f>
        <v/>
      </c>
      <c r="KP9" s="157">
        <f>(1+GrowthUtility)^(MAX(0,298-GrowthStartMonth)/12)</f>
        <v/>
      </c>
      <c r="KQ9" s="157">
        <f>(1+GrowthUtility)^(MAX(0,299-GrowthStartMonth)/12)</f>
        <v/>
      </c>
      <c r="KR9" s="157">
        <f>(1+GrowthUtility)^(MAX(0,300-GrowthStartMonth)/12)</f>
        <v/>
      </c>
      <c r="KS9" s="157">
        <f>(1+GrowthUtility)^(MAX(0,301-GrowthStartMonth)/12)</f>
        <v/>
      </c>
      <c r="KT9" s="157">
        <f>(1+GrowthUtility)^(MAX(0,302-GrowthStartMonth)/12)</f>
        <v/>
      </c>
      <c r="KU9" s="157">
        <f>(1+GrowthUtility)^(MAX(0,303-GrowthStartMonth)/12)</f>
        <v/>
      </c>
      <c r="KV9" s="157">
        <f>(1+GrowthUtility)^(MAX(0,304-GrowthStartMonth)/12)</f>
        <v/>
      </c>
      <c r="KW9" s="157">
        <f>(1+GrowthUtility)^(MAX(0,305-GrowthStartMonth)/12)</f>
        <v/>
      </c>
      <c r="KX9" s="157">
        <f>(1+GrowthUtility)^(MAX(0,306-GrowthStartMonth)/12)</f>
        <v/>
      </c>
      <c r="KY9" s="157">
        <f>(1+GrowthUtility)^(MAX(0,307-GrowthStartMonth)/12)</f>
        <v/>
      </c>
      <c r="KZ9" s="157">
        <f>(1+GrowthUtility)^(MAX(0,308-GrowthStartMonth)/12)</f>
        <v/>
      </c>
      <c r="LA9" s="157">
        <f>(1+GrowthUtility)^(MAX(0,309-GrowthStartMonth)/12)</f>
        <v/>
      </c>
      <c r="LB9" s="157">
        <f>(1+GrowthUtility)^(MAX(0,310-GrowthStartMonth)/12)</f>
        <v/>
      </c>
      <c r="LC9" s="157">
        <f>(1+GrowthUtility)^(MAX(0,311-GrowthStartMonth)/12)</f>
        <v/>
      </c>
      <c r="LD9" s="157">
        <f>(1+GrowthUtility)^(MAX(0,312-GrowthStartMonth)/12)</f>
        <v/>
      </c>
      <c r="LE9" s="157">
        <f>(1+GrowthUtility)^(MAX(0,313-GrowthStartMonth)/12)</f>
        <v/>
      </c>
      <c r="LF9" s="157">
        <f>(1+GrowthUtility)^(MAX(0,314-GrowthStartMonth)/12)</f>
        <v/>
      </c>
      <c r="LG9" s="157">
        <f>(1+GrowthUtility)^(MAX(0,315-GrowthStartMonth)/12)</f>
        <v/>
      </c>
      <c r="LH9" s="157">
        <f>(1+GrowthUtility)^(MAX(0,316-GrowthStartMonth)/12)</f>
        <v/>
      </c>
      <c r="LI9" s="157">
        <f>(1+GrowthUtility)^(MAX(0,317-GrowthStartMonth)/12)</f>
        <v/>
      </c>
      <c r="LJ9" s="157">
        <f>(1+GrowthUtility)^(MAX(0,318-GrowthStartMonth)/12)</f>
        <v/>
      </c>
      <c r="LK9" s="157">
        <f>(1+GrowthUtility)^(MAX(0,319-GrowthStartMonth)/12)</f>
        <v/>
      </c>
      <c r="LL9" s="157">
        <f>(1+GrowthUtility)^(MAX(0,320-GrowthStartMonth)/12)</f>
        <v/>
      </c>
      <c r="LM9" s="157">
        <f>(1+GrowthUtility)^(MAX(0,321-GrowthStartMonth)/12)</f>
        <v/>
      </c>
      <c r="LN9" s="157">
        <f>(1+GrowthUtility)^(MAX(0,322-GrowthStartMonth)/12)</f>
        <v/>
      </c>
      <c r="LO9" s="157">
        <f>(1+GrowthUtility)^(MAX(0,323-GrowthStartMonth)/12)</f>
        <v/>
      </c>
      <c r="LP9" s="157">
        <f>(1+GrowthUtility)^(MAX(0,324-GrowthStartMonth)/12)</f>
        <v/>
      </c>
      <c r="LQ9" s="157">
        <f>(1+GrowthUtility)^(MAX(0,325-GrowthStartMonth)/12)</f>
        <v/>
      </c>
      <c r="LR9" s="157">
        <f>(1+GrowthUtility)^(MAX(0,326-GrowthStartMonth)/12)</f>
        <v/>
      </c>
      <c r="LS9" s="157">
        <f>(1+GrowthUtility)^(MAX(0,327-GrowthStartMonth)/12)</f>
        <v/>
      </c>
      <c r="LT9" s="157">
        <f>(1+GrowthUtility)^(MAX(0,328-GrowthStartMonth)/12)</f>
        <v/>
      </c>
      <c r="LU9" s="157">
        <f>(1+GrowthUtility)^(MAX(0,329-GrowthStartMonth)/12)</f>
        <v/>
      </c>
      <c r="LV9" s="157">
        <f>(1+GrowthUtility)^(MAX(0,330-GrowthStartMonth)/12)</f>
        <v/>
      </c>
      <c r="LW9" s="157">
        <f>(1+GrowthUtility)^(MAX(0,331-GrowthStartMonth)/12)</f>
        <v/>
      </c>
      <c r="LX9" s="157">
        <f>(1+GrowthUtility)^(MAX(0,332-GrowthStartMonth)/12)</f>
        <v/>
      </c>
      <c r="LY9" s="157">
        <f>(1+GrowthUtility)^(MAX(0,333-GrowthStartMonth)/12)</f>
        <v/>
      </c>
      <c r="LZ9" s="157">
        <f>(1+GrowthUtility)^(MAX(0,334-GrowthStartMonth)/12)</f>
        <v/>
      </c>
      <c r="MA9" s="157">
        <f>(1+GrowthUtility)^(MAX(0,335-GrowthStartMonth)/12)</f>
        <v/>
      </c>
      <c r="MB9" s="157">
        <f>(1+GrowthUtility)^(MAX(0,336-GrowthStartMonth)/12)</f>
        <v/>
      </c>
      <c r="MC9" s="157">
        <f>(1+GrowthUtility)^(MAX(0,337-GrowthStartMonth)/12)</f>
        <v/>
      </c>
      <c r="MD9" s="157">
        <f>(1+GrowthUtility)^(MAX(0,338-GrowthStartMonth)/12)</f>
        <v/>
      </c>
      <c r="ME9" s="157">
        <f>(1+GrowthUtility)^(MAX(0,339-GrowthStartMonth)/12)</f>
        <v/>
      </c>
      <c r="MF9" s="157">
        <f>(1+GrowthUtility)^(MAX(0,340-GrowthStartMonth)/12)</f>
        <v/>
      </c>
      <c r="MG9" s="157">
        <f>(1+GrowthUtility)^(MAX(0,341-GrowthStartMonth)/12)</f>
        <v/>
      </c>
      <c r="MH9" s="157">
        <f>(1+GrowthUtility)^(MAX(0,342-GrowthStartMonth)/12)</f>
        <v/>
      </c>
      <c r="MI9" s="157">
        <f>(1+GrowthUtility)^(MAX(0,343-GrowthStartMonth)/12)</f>
        <v/>
      </c>
      <c r="MJ9" s="157">
        <f>(1+GrowthUtility)^(MAX(0,344-GrowthStartMonth)/12)</f>
        <v/>
      </c>
      <c r="MK9" s="157">
        <f>(1+GrowthUtility)^(MAX(0,345-GrowthStartMonth)/12)</f>
        <v/>
      </c>
      <c r="ML9" s="157">
        <f>(1+GrowthUtility)^(MAX(0,346-GrowthStartMonth)/12)</f>
        <v/>
      </c>
      <c r="MM9" s="157">
        <f>(1+GrowthUtility)^(MAX(0,347-GrowthStartMonth)/12)</f>
        <v/>
      </c>
      <c r="MN9" s="157">
        <f>(1+GrowthUtility)^(MAX(0,348-GrowthStartMonth)/12)</f>
        <v/>
      </c>
      <c r="MO9" s="157">
        <f>(1+GrowthUtility)^(MAX(0,349-GrowthStartMonth)/12)</f>
        <v/>
      </c>
      <c r="MP9" s="157">
        <f>(1+GrowthUtility)^(MAX(0,350-GrowthStartMonth)/12)</f>
        <v/>
      </c>
      <c r="MQ9" s="157">
        <f>(1+GrowthUtility)^(MAX(0,351-GrowthStartMonth)/12)</f>
        <v/>
      </c>
      <c r="MR9" s="157">
        <f>(1+GrowthUtility)^(MAX(0,352-GrowthStartMonth)/12)</f>
        <v/>
      </c>
      <c r="MS9" s="157">
        <f>(1+GrowthUtility)^(MAX(0,353-GrowthStartMonth)/12)</f>
        <v/>
      </c>
      <c r="MT9" s="157">
        <f>(1+GrowthUtility)^(MAX(0,354-GrowthStartMonth)/12)</f>
        <v/>
      </c>
      <c r="MU9" s="157">
        <f>(1+GrowthUtility)^(MAX(0,355-GrowthStartMonth)/12)</f>
        <v/>
      </c>
      <c r="MV9" s="157">
        <f>(1+GrowthUtility)^(MAX(0,356-GrowthStartMonth)/12)</f>
        <v/>
      </c>
      <c r="MW9" s="157">
        <f>(1+GrowthUtility)^(MAX(0,357-GrowthStartMonth)/12)</f>
        <v/>
      </c>
      <c r="MX9" s="157">
        <f>(1+GrowthUtility)^(MAX(0,358-GrowthStartMonth)/12)</f>
        <v/>
      </c>
      <c r="MY9" s="157">
        <f>(1+GrowthUtility)^(MAX(0,359-GrowthStartMonth)/12)</f>
        <v/>
      </c>
      <c r="MZ9" s="157">
        <f>(1+GrowthUtility)^(MAX(0,360-GrowthStartMonth)/12)</f>
        <v/>
      </c>
      <c r="NA9" s="157">
        <f>(1+GrowthUtility)^(MAX(0,361-GrowthStartMonth)/12)</f>
        <v/>
      </c>
      <c r="NB9" s="157">
        <f>(1+GrowthUtility)^(MAX(0,362-GrowthStartMonth)/12)</f>
        <v/>
      </c>
      <c r="NC9" s="157">
        <f>(1+GrowthUtility)^(MAX(0,363-GrowthStartMonth)/12)</f>
        <v/>
      </c>
      <c r="ND9" s="157">
        <f>(1+GrowthUtility)^(MAX(0,364-GrowthStartMonth)/12)</f>
        <v/>
      </c>
      <c r="NE9" s="157">
        <f>(1+GrowthUtility)^(MAX(0,365-GrowthStartMonth)/12)</f>
        <v/>
      </c>
      <c r="NF9" s="157">
        <f>(1+GrowthUtility)^(MAX(0,366-GrowthStartMonth)/12)</f>
        <v/>
      </c>
      <c r="NG9" s="157">
        <f>(1+GrowthUtility)^(MAX(0,367-GrowthStartMonth)/12)</f>
        <v/>
      </c>
      <c r="NH9" s="157">
        <f>(1+GrowthUtility)^(MAX(0,368-GrowthStartMonth)/12)</f>
        <v/>
      </c>
      <c r="NI9" s="157">
        <f>(1+GrowthUtility)^(MAX(0,369-GrowthStartMonth)/12)</f>
        <v/>
      </c>
      <c r="NJ9" s="157">
        <f>(1+GrowthUtility)^(MAX(0,370-GrowthStartMonth)/12)</f>
        <v/>
      </c>
      <c r="NK9" s="157">
        <f>(1+GrowthUtility)^(MAX(0,371-GrowthStartMonth)/12)</f>
        <v/>
      </c>
      <c r="NL9" s="158">
        <f>(1+GrowthUtility)^(MAX(0,372-GrowthStartMonth)/12)</f>
        <v/>
      </c>
    </row>
    <row r="10">
      <c r="B10" s="36" t="inlineStr">
        <is>
          <t>Growth Factor — Other Income</t>
        </is>
      </c>
      <c r="D10" s="156" t="n"/>
      <c r="E10" s="157">
        <f>(1+GrowthOther)^(MAX(0,1-GrowthStartMonth)/12)</f>
        <v/>
      </c>
      <c r="F10" s="157">
        <f>(1+GrowthOther)^(MAX(0,2-GrowthStartMonth)/12)</f>
        <v/>
      </c>
      <c r="G10" s="157">
        <f>(1+GrowthOther)^(MAX(0,3-GrowthStartMonth)/12)</f>
        <v/>
      </c>
      <c r="H10" s="157">
        <f>(1+GrowthOther)^(MAX(0,4-GrowthStartMonth)/12)</f>
        <v/>
      </c>
      <c r="I10" s="157">
        <f>(1+GrowthOther)^(MAX(0,5-GrowthStartMonth)/12)</f>
        <v/>
      </c>
      <c r="J10" s="157">
        <f>(1+GrowthOther)^(MAX(0,6-GrowthStartMonth)/12)</f>
        <v/>
      </c>
      <c r="K10" s="157">
        <f>(1+GrowthOther)^(MAX(0,7-GrowthStartMonth)/12)</f>
        <v/>
      </c>
      <c r="L10" s="157">
        <f>(1+GrowthOther)^(MAX(0,8-GrowthStartMonth)/12)</f>
        <v/>
      </c>
      <c r="M10" s="157">
        <f>(1+GrowthOther)^(MAX(0,9-GrowthStartMonth)/12)</f>
        <v/>
      </c>
      <c r="N10" s="157">
        <f>(1+GrowthOther)^(MAX(0,10-GrowthStartMonth)/12)</f>
        <v/>
      </c>
      <c r="O10" s="157">
        <f>(1+GrowthOther)^(MAX(0,11-GrowthStartMonth)/12)</f>
        <v/>
      </c>
      <c r="P10" s="157">
        <f>(1+GrowthOther)^(MAX(0,12-GrowthStartMonth)/12)</f>
        <v/>
      </c>
      <c r="Q10" s="157">
        <f>(1+GrowthOther)^(MAX(0,13-GrowthStartMonth)/12)</f>
        <v/>
      </c>
      <c r="R10" s="157">
        <f>(1+GrowthOther)^(MAX(0,14-GrowthStartMonth)/12)</f>
        <v/>
      </c>
      <c r="S10" s="157">
        <f>(1+GrowthOther)^(MAX(0,15-GrowthStartMonth)/12)</f>
        <v/>
      </c>
      <c r="T10" s="157">
        <f>(1+GrowthOther)^(MAX(0,16-GrowthStartMonth)/12)</f>
        <v/>
      </c>
      <c r="U10" s="157">
        <f>(1+GrowthOther)^(MAX(0,17-GrowthStartMonth)/12)</f>
        <v/>
      </c>
      <c r="V10" s="157">
        <f>(1+GrowthOther)^(MAX(0,18-GrowthStartMonth)/12)</f>
        <v/>
      </c>
      <c r="W10" s="157">
        <f>(1+GrowthOther)^(MAX(0,19-GrowthStartMonth)/12)</f>
        <v/>
      </c>
      <c r="X10" s="157">
        <f>(1+GrowthOther)^(MAX(0,20-GrowthStartMonth)/12)</f>
        <v/>
      </c>
      <c r="Y10" s="157">
        <f>(1+GrowthOther)^(MAX(0,21-GrowthStartMonth)/12)</f>
        <v/>
      </c>
      <c r="Z10" s="157">
        <f>(1+GrowthOther)^(MAX(0,22-GrowthStartMonth)/12)</f>
        <v/>
      </c>
      <c r="AA10" s="157">
        <f>(1+GrowthOther)^(MAX(0,23-GrowthStartMonth)/12)</f>
        <v/>
      </c>
      <c r="AB10" s="157">
        <f>(1+GrowthOther)^(MAX(0,24-GrowthStartMonth)/12)</f>
        <v/>
      </c>
      <c r="AC10" s="157">
        <f>(1+GrowthOther)^(MAX(0,25-GrowthStartMonth)/12)</f>
        <v/>
      </c>
      <c r="AD10" s="157">
        <f>(1+GrowthOther)^(MAX(0,26-GrowthStartMonth)/12)</f>
        <v/>
      </c>
      <c r="AE10" s="157">
        <f>(1+GrowthOther)^(MAX(0,27-GrowthStartMonth)/12)</f>
        <v/>
      </c>
      <c r="AF10" s="157">
        <f>(1+GrowthOther)^(MAX(0,28-GrowthStartMonth)/12)</f>
        <v/>
      </c>
      <c r="AG10" s="157">
        <f>(1+GrowthOther)^(MAX(0,29-GrowthStartMonth)/12)</f>
        <v/>
      </c>
      <c r="AH10" s="157">
        <f>(1+GrowthOther)^(MAX(0,30-GrowthStartMonth)/12)</f>
        <v/>
      </c>
      <c r="AI10" s="157">
        <f>(1+GrowthOther)^(MAX(0,31-GrowthStartMonth)/12)</f>
        <v/>
      </c>
      <c r="AJ10" s="157">
        <f>(1+GrowthOther)^(MAX(0,32-GrowthStartMonth)/12)</f>
        <v/>
      </c>
      <c r="AK10" s="157">
        <f>(1+GrowthOther)^(MAX(0,33-GrowthStartMonth)/12)</f>
        <v/>
      </c>
      <c r="AL10" s="157">
        <f>(1+GrowthOther)^(MAX(0,34-GrowthStartMonth)/12)</f>
        <v/>
      </c>
      <c r="AM10" s="157">
        <f>(1+GrowthOther)^(MAX(0,35-GrowthStartMonth)/12)</f>
        <v/>
      </c>
      <c r="AN10" s="157">
        <f>(1+GrowthOther)^(MAX(0,36-GrowthStartMonth)/12)</f>
        <v/>
      </c>
      <c r="AO10" s="157">
        <f>(1+GrowthOther)^(MAX(0,37-GrowthStartMonth)/12)</f>
        <v/>
      </c>
      <c r="AP10" s="157">
        <f>(1+GrowthOther)^(MAX(0,38-GrowthStartMonth)/12)</f>
        <v/>
      </c>
      <c r="AQ10" s="157">
        <f>(1+GrowthOther)^(MAX(0,39-GrowthStartMonth)/12)</f>
        <v/>
      </c>
      <c r="AR10" s="157">
        <f>(1+GrowthOther)^(MAX(0,40-GrowthStartMonth)/12)</f>
        <v/>
      </c>
      <c r="AS10" s="157">
        <f>(1+GrowthOther)^(MAX(0,41-GrowthStartMonth)/12)</f>
        <v/>
      </c>
      <c r="AT10" s="157">
        <f>(1+GrowthOther)^(MAX(0,42-GrowthStartMonth)/12)</f>
        <v/>
      </c>
      <c r="AU10" s="157">
        <f>(1+GrowthOther)^(MAX(0,43-GrowthStartMonth)/12)</f>
        <v/>
      </c>
      <c r="AV10" s="157">
        <f>(1+GrowthOther)^(MAX(0,44-GrowthStartMonth)/12)</f>
        <v/>
      </c>
      <c r="AW10" s="157">
        <f>(1+GrowthOther)^(MAX(0,45-GrowthStartMonth)/12)</f>
        <v/>
      </c>
      <c r="AX10" s="157">
        <f>(1+GrowthOther)^(MAX(0,46-GrowthStartMonth)/12)</f>
        <v/>
      </c>
      <c r="AY10" s="157">
        <f>(1+GrowthOther)^(MAX(0,47-GrowthStartMonth)/12)</f>
        <v/>
      </c>
      <c r="AZ10" s="157">
        <f>(1+GrowthOther)^(MAX(0,48-GrowthStartMonth)/12)</f>
        <v/>
      </c>
      <c r="BA10" s="157">
        <f>(1+GrowthOther)^(MAX(0,49-GrowthStartMonth)/12)</f>
        <v/>
      </c>
      <c r="BB10" s="157">
        <f>(1+GrowthOther)^(MAX(0,50-GrowthStartMonth)/12)</f>
        <v/>
      </c>
      <c r="BC10" s="157">
        <f>(1+GrowthOther)^(MAX(0,51-GrowthStartMonth)/12)</f>
        <v/>
      </c>
      <c r="BD10" s="157">
        <f>(1+GrowthOther)^(MAX(0,52-GrowthStartMonth)/12)</f>
        <v/>
      </c>
      <c r="BE10" s="157">
        <f>(1+GrowthOther)^(MAX(0,53-GrowthStartMonth)/12)</f>
        <v/>
      </c>
      <c r="BF10" s="157">
        <f>(1+GrowthOther)^(MAX(0,54-GrowthStartMonth)/12)</f>
        <v/>
      </c>
      <c r="BG10" s="157">
        <f>(1+GrowthOther)^(MAX(0,55-GrowthStartMonth)/12)</f>
        <v/>
      </c>
      <c r="BH10" s="157">
        <f>(1+GrowthOther)^(MAX(0,56-GrowthStartMonth)/12)</f>
        <v/>
      </c>
      <c r="BI10" s="157">
        <f>(1+GrowthOther)^(MAX(0,57-GrowthStartMonth)/12)</f>
        <v/>
      </c>
      <c r="BJ10" s="157">
        <f>(1+GrowthOther)^(MAX(0,58-GrowthStartMonth)/12)</f>
        <v/>
      </c>
      <c r="BK10" s="157">
        <f>(1+GrowthOther)^(MAX(0,59-GrowthStartMonth)/12)</f>
        <v/>
      </c>
      <c r="BL10" s="157">
        <f>(1+GrowthOther)^(MAX(0,60-GrowthStartMonth)/12)</f>
        <v/>
      </c>
      <c r="BM10" s="157">
        <f>(1+GrowthOther)^(MAX(0,61-GrowthStartMonth)/12)</f>
        <v/>
      </c>
      <c r="BN10" s="157">
        <f>(1+GrowthOther)^(MAX(0,62-GrowthStartMonth)/12)</f>
        <v/>
      </c>
      <c r="BO10" s="157">
        <f>(1+GrowthOther)^(MAX(0,63-GrowthStartMonth)/12)</f>
        <v/>
      </c>
      <c r="BP10" s="157">
        <f>(1+GrowthOther)^(MAX(0,64-GrowthStartMonth)/12)</f>
        <v/>
      </c>
      <c r="BQ10" s="157">
        <f>(1+GrowthOther)^(MAX(0,65-GrowthStartMonth)/12)</f>
        <v/>
      </c>
      <c r="BR10" s="157">
        <f>(1+GrowthOther)^(MAX(0,66-GrowthStartMonth)/12)</f>
        <v/>
      </c>
      <c r="BS10" s="157">
        <f>(1+GrowthOther)^(MAX(0,67-GrowthStartMonth)/12)</f>
        <v/>
      </c>
      <c r="BT10" s="157">
        <f>(1+GrowthOther)^(MAX(0,68-GrowthStartMonth)/12)</f>
        <v/>
      </c>
      <c r="BU10" s="157">
        <f>(1+GrowthOther)^(MAX(0,69-GrowthStartMonth)/12)</f>
        <v/>
      </c>
      <c r="BV10" s="157">
        <f>(1+GrowthOther)^(MAX(0,70-GrowthStartMonth)/12)</f>
        <v/>
      </c>
      <c r="BW10" s="157">
        <f>(1+GrowthOther)^(MAX(0,71-GrowthStartMonth)/12)</f>
        <v/>
      </c>
      <c r="BX10" s="157">
        <f>(1+GrowthOther)^(MAX(0,72-GrowthStartMonth)/12)</f>
        <v/>
      </c>
      <c r="BY10" s="157">
        <f>(1+GrowthOther)^(MAX(0,73-GrowthStartMonth)/12)</f>
        <v/>
      </c>
      <c r="BZ10" s="157">
        <f>(1+GrowthOther)^(MAX(0,74-GrowthStartMonth)/12)</f>
        <v/>
      </c>
      <c r="CA10" s="157">
        <f>(1+GrowthOther)^(MAX(0,75-GrowthStartMonth)/12)</f>
        <v/>
      </c>
      <c r="CB10" s="157">
        <f>(1+GrowthOther)^(MAX(0,76-GrowthStartMonth)/12)</f>
        <v/>
      </c>
      <c r="CC10" s="157">
        <f>(1+GrowthOther)^(MAX(0,77-GrowthStartMonth)/12)</f>
        <v/>
      </c>
      <c r="CD10" s="157">
        <f>(1+GrowthOther)^(MAX(0,78-GrowthStartMonth)/12)</f>
        <v/>
      </c>
      <c r="CE10" s="157">
        <f>(1+GrowthOther)^(MAX(0,79-GrowthStartMonth)/12)</f>
        <v/>
      </c>
      <c r="CF10" s="157">
        <f>(1+GrowthOther)^(MAX(0,80-GrowthStartMonth)/12)</f>
        <v/>
      </c>
      <c r="CG10" s="157">
        <f>(1+GrowthOther)^(MAX(0,81-GrowthStartMonth)/12)</f>
        <v/>
      </c>
      <c r="CH10" s="157">
        <f>(1+GrowthOther)^(MAX(0,82-GrowthStartMonth)/12)</f>
        <v/>
      </c>
      <c r="CI10" s="157">
        <f>(1+GrowthOther)^(MAX(0,83-GrowthStartMonth)/12)</f>
        <v/>
      </c>
      <c r="CJ10" s="157">
        <f>(1+GrowthOther)^(MAX(0,84-GrowthStartMonth)/12)</f>
        <v/>
      </c>
      <c r="CK10" s="157">
        <f>(1+GrowthOther)^(MAX(0,85-GrowthStartMonth)/12)</f>
        <v/>
      </c>
      <c r="CL10" s="157">
        <f>(1+GrowthOther)^(MAX(0,86-GrowthStartMonth)/12)</f>
        <v/>
      </c>
      <c r="CM10" s="157">
        <f>(1+GrowthOther)^(MAX(0,87-GrowthStartMonth)/12)</f>
        <v/>
      </c>
      <c r="CN10" s="157">
        <f>(1+GrowthOther)^(MAX(0,88-GrowthStartMonth)/12)</f>
        <v/>
      </c>
      <c r="CO10" s="157">
        <f>(1+GrowthOther)^(MAX(0,89-GrowthStartMonth)/12)</f>
        <v/>
      </c>
      <c r="CP10" s="157">
        <f>(1+GrowthOther)^(MAX(0,90-GrowthStartMonth)/12)</f>
        <v/>
      </c>
      <c r="CQ10" s="157">
        <f>(1+GrowthOther)^(MAX(0,91-GrowthStartMonth)/12)</f>
        <v/>
      </c>
      <c r="CR10" s="157">
        <f>(1+GrowthOther)^(MAX(0,92-GrowthStartMonth)/12)</f>
        <v/>
      </c>
      <c r="CS10" s="157">
        <f>(1+GrowthOther)^(MAX(0,93-GrowthStartMonth)/12)</f>
        <v/>
      </c>
      <c r="CT10" s="157">
        <f>(1+GrowthOther)^(MAX(0,94-GrowthStartMonth)/12)</f>
        <v/>
      </c>
      <c r="CU10" s="157">
        <f>(1+GrowthOther)^(MAX(0,95-GrowthStartMonth)/12)</f>
        <v/>
      </c>
      <c r="CV10" s="157">
        <f>(1+GrowthOther)^(MAX(0,96-GrowthStartMonth)/12)</f>
        <v/>
      </c>
      <c r="CW10" s="157">
        <f>(1+GrowthOther)^(MAX(0,97-GrowthStartMonth)/12)</f>
        <v/>
      </c>
      <c r="CX10" s="157">
        <f>(1+GrowthOther)^(MAX(0,98-GrowthStartMonth)/12)</f>
        <v/>
      </c>
      <c r="CY10" s="157">
        <f>(1+GrowthOther)^(MAX(0,99-GrowthStartMonth)/12)</f>
        <v/>
      </c>
      <c r="CZ10" s="157">
        <f>(1+GrowthOther)^(MAX(0,100-GrowthStartMonth)/12)</f>
        <v/>
      </c>
      <c r="DA10" s="157">
        <f>(1+GrowthOther)^(MAX(0,101-GrowthStartMonth)/12)</f>
        <v/>
      </c>
      <c r="DB10" s="157">
        <f>(1+GrowthOther)^(MAX(0,102-GrowthStartMonth)/12)</f>
        <v/>
      </c>
      <c r="DC10" s="157">
        <f>(1+GrowthOther)^(MAX(0,103-GrowthStartMonth)/12)</f>
        <v/>
      </c>
      <c r="DD10" s="157">
        <f>(1+GrowthOther)^(MAX(0,104-GrowthStartMonth)/12)</f>
        <v/>
      </c>
      <c r="DE10" s="157">
        <f>(1+GrowthOther)^(MAX(0,105-GrowthStartMonth)/12)</f>
        <v/>
      </c>
      <c r="DF10" s="157">
        <f>(1+GrowthOther)^(MAX(0,106-GrowthStartMonth)/12)</f>
        <v/>
      </c>
      <c r="DG10" s="157">
        <f>(1+GrowthOther)^(MAX(0,107-GrowthStartMonth)/12)</f>
        <v/>
      </c>
      <c r="DH10" s="157">
        <f>(1+GrowthOther)^(MAX(0,108-GrowthStartMonth)/12)</f>
        <v/>
      </c>
      <c r="DI10" s="157">
        <f>(1+GrowthOther)^(MAX(0,109-GrowthStartMonth)/12)</f>
        <v/>
      </c>
      <c r="DJ10" s="157">
        <f>(1+GrowthOther)^(MAX(0,110-GrowthStartMonth)/12)</f>
        <v/>
      </c>
      <c r="DK10" s="157">
        <f>(1+GrowthOther)^(MAX(0,111-GrowthStartMonth)/12)</f>
        <v/>
      </c>
      <c r="DL10" s="157">
        <f>(1+GrowthOther)^(MAX(0,112-GrowthStartMonth)/12)</f>
        <v/>
      </c>
      <c r="DM10" s="157">
        <f>(1+GrowthOther)^(MAX(0,113-GrowthStartMonth)/12)</f>
        <v/>
      </c>
      <c r="DN10" s="157">
        <f>(1+GrowthOther)^(MAX(0,114-GrowthStartMonth)/12)</f>
        <v/>
      </c>
      <c r="DO10" s="157">
        <f>(1+GrowthOther)^(MAX(0,115-GrowthStartMonth)/12)</f>
        <v/>
      </c>
      <c r="DP10" s="157">
        <f>(1+GrowthOther)^(MAX(0,116-GrowthStartMonth)/12)</f>
        <v/>
      </c>
      <c r="DQ10" s="157">
        <f>(1+GrowthOther)^(MAX(0,117-GrowthStartMonth)/12)</f>
        <v/>
      </c>
      <c r="DR10" s="157">
        <f>(1+GrowthOther)^(MAX(0,118-GrowthStartMonth)/12)</f>
        <v/>
      </c>
      <c r="DS10" s="157">
        <f>(1+GrowthOther)^(MAX(0,119-GrowthStartMonth)/12)</f>
        <v/>
      </c>
      <c r="DT10" s="157">
        <f>(1+GrowthOther)^(MAX(0,120-GrowthStartMonth)/12)</f>
        <v/>
      </c>
      <c r="DU10" s="157">
        <f>(1+GrowthOther)^(MAX(0,121-GrowthStartMonth)/12)</f>
        <v/>
      </c>
      <c r="DV10" s="157">
        <f>(1+GrowthOther)^(MAX(0,122-GrowthStartMonth)/12)</f>
        <v/>
      </c>
      <c r="DW10" s="157">
        <f>(1+GrowthOther)^(MAX(0,123-GrowthStartMonth)/12)</f>
        <v/>
      </c>
      <c r="DX10" s="157">
        <f>(1+GrowthOther)^(MAX(0,124-GrowthStartMonth)/12)</f>
        <v/>
      </c>
      <c r="DY10" s="157">
        <f>(1+GrowthOther)^(MAX(0,125-GrowthStartMonth)/12)</f>
        <v/>
      </c>
      <c r="DZ10" s="157">
        <f>(1+GrowthOther)^(MAX(0,126-GrowthStartMonth)/12)</f>
        <v/>
      </c>
      <c r="EA10" s="157">
        <f>(1+GrowthOther)^(MAX(0,127-GrowthStartMonth)/12)</f>
        <v/>
      </c>
      <c r="EB10" s="157">
        <f>(1+GrowthOther)^(MAX(0,128-GrowthStartMonth)/12)</f>
        <v/>
      </c>
      <c r="EC10" s="157">
        <f>(1+GrowthOther)^(MAX(0,129-GrowthStartMonth)/12)</f>
        <v/>
      </c>
      <c r="ED10" s="157">
        <f>(1+GrowthOther)^(MAX(0,130-GrowthStartMonth)/12)</f>
        <v/>
      </c>
      <c r="EE10" s="157">
        <f>(1+GrowthOther)^(MAX(0,131-GrowthStartMonth)/12)</f>
        <v/>
      </c>
      <c r="EF10" s="157">
        <f>(1+GrowthOther)^(MAX(0,132-GrowthStartMonth)/12)</f>
        <v/>
      </c>
      <c r="EG10" s="157">
        <f>(1+GrowthOther)^(MAX(0,133-GrowthStartMonth)/12)</f>
        <v/>
      </c>
      <c r="EH10" s="157">
        <f>(1+GrowthOther)^(MAX(0,134-GrowthStartMonth)/12)</f>
        <v/>
      </c>
      <c r="EI10" s="157">
        <f>(1+GrowthOther)^(MAX(0,135-GrowthStartMonth)/12)</f>
        <v/>
      </c>
      <c r="EJ10" s="157">
        <f>(1+GrowthOther)^(MAX(0,136-GrowthStartMonth)/12)</f>
        <v/>
      </c>
      <c r="EK10" s="157">
        <f>(1+GrowthOther)^(MAX(0,137-GrowthStartMonth)/12)</f>
        <v/>
      </c>
      <c r="EL10" s="157">
        <f>(1+GrowthOther)^(MAX(0,138-GrowthStartMonth)/12)</f>
        <v/>
      </c>
      <c r="EM10" s="157">
        <f>(1+GrowthOther)^(MAX(0,139-GrowthStartMonth)/12)</f>
        <v/>
      </c>
      <c r="EN10" s="157">
        <f>(1+GrowthOther)^(MAX(0,140-GrowthStartMonth)/12)</f>
        <v/>
      </c>
      <c r="EO10" s="157">
        <f>(1+GrowthOther)^(MAX(0,141-GrowthStartMonth)/12)</f>
        <v/>
      </c>
      <c r="EP10" s="157">
        <f>(1+GrowthOther)^(MAX(0,142-GrowthStartMonth)/12)</f>
        <v/>
      </c>
      <c r="EQ10" s="157">
        <f>(1+GrowthOther)^(MAX(0,143-GrowthStartMonth)/12)</f>
        <v/>
      </c>
      <c r="ER10" s="157">
        <f>(1+GrowthOther)^(MAX(0,144-GrowthStartMonth)/12)</f>
        <v/>
      </c>
      <c r="ES10" s="157">
        <f>(1+GrowthOther)^(MAX(0,145-GrowthStartMonth)/12)</f>
        <v/>
      </c>
      <c r="ET10" s="157">
        <f>(1+GrowthOther)^(MAX(0,146-GrowthStartMonth)/12)</f>
        <v/>
      </c>
      <c r="EU10" s="157">
        <f>(1+GrowthOther)^(MAX(0,147-GrowthStartMonth)/12)</f>
        <v/>
      </c>
      <c r="EV10" s="157">
        <f>(1+GrowthOther)^(MAX(0,148-GrowthStartMonth)/12)</f>
        <v/>
      </c>
      <c r="EW10" s="157">
        <f>(1+GrowthOther)^(MAX(0,149-GrowthStartMonth)/12)</f>
        <v/>
      </c>
      <c r="EX10" s="157">
        <f>(1+GrowthOther)^(MAX(0,150-GrowthStartMonth)/12)</f>
        <v/>
      </c>
      <c r="EY10" s="157">
        <f>(1+GrowthOther)^(MAX(0,151-GrowthStartMonth)/12)</f>
        <v/>
      </c>
      <c r="EZ10" s="157">
        <f>(1+GrowthOther)^(MAX(0,152-GrowthStartMonth)/12)</f>
        <v/>
      </c>
      <c r="FA10" s="157">
        <f>(1+GrowthOther)^(MAX(0,153-GrowthStartMonth)/12)</f>
        <v/>
      </c>
      <c r="FB10" s="157">
        <f>(1+GrowthOther)^(MAX(0,154-GrowthStartMonth)/12)</f>
        <v/>
      </c>
      <c r="FC10" s="157">
        <f>(1+GrowthOther)^(MAX(0,155-GrowthStartMonth)/12)</f>
        <v/>
      </c>
      <c r="FD10" s="157">
        <f>(1+GrowthOther)^(MAX(0,156-GrowthStartMonth)/12)</f>
        <v/>
      </c>
      <c r="FE10" s="157">
        <f>(1+GrowthOther)^(MAX(0,157-GrowthStartMonth)/12)</f>
        <v/>
      </c>
      <c r="FF10" s="157">
        <f>(1+GrowthOther)^(MAX(0,158-GrowthStartMonth)/12)</f>
        <v/>
      </c>
      <c r="FG10" s="157">
        <f>(1+GrowthOther)^(MAX(0,159-GrowthStartMonth)/12)</f>
        <v/>
      </c>
      <c r="FH10" s="157">
        <f>(1+GrowthOther)^(MAX(0,160-GrowthStartMonth)/12)</f>
        <v/>
      </c>
      <c r="FI10" s="157">
        <f>(1+GrowthOther)^(MAX(0,161-GrowthStartMonth)/12)</f>
        <v/>
      </c>
      <c r="FJ10" s="157">
        <f>(1+GrowthOther)^(MAX(0,162-GrowthStartMonth)/12)</f>
        <v/>
      </c>
      <c r="FK10" s="157">
        <f>(1+GrowthOther)^(MAX(0,163-GrowthStartMonth)/12)</f>
        <v/>
      </c>
      <c r="FL10" s="157">
        <f>(1+GrowthOther)^(MAX(0,164-GrowthStartMonth)/12)</f>
        <v/>
      </c>
      <c r="FM10" s="157">
        <f>(1+GrowthOther)^(MAX(0,165-GrowthStartMonth)/12)</f>
        <v/>
      </c>
      <c r="FN10" s="157">
        <f>(1+GrowthOther)^(MAX(0,166-GrowthStartMonth)/12)</f>
        <v/>
      </c>
      <c r="FO10" s="157">
        <f>(1+GrowthOther)^(MAX(0,167-GrowthStartMonth)/12)</f>
        <v/>
      </c>
      <c r="FP10" s="157">
        <f>(1+GrowthOther)^(MAX(0,168-GrowthStartMonth)/12)</f>
        <v/>
      </c>
      <c r="FQ10" s="157">
        <f>(1+GrowthOther)^(MAX(0,169-GrowthStartMonth)/12)</f>
        <v/>
      </c>
      <c r="FR10" s="157">
        <f>(1+GrowthOther)^(MAX(0,170-GrowthStartMonth)/12)</f>
        <v/>
      </c>
      <c r="FS10" s="157">
        <f>(1+GrowthOther)^(MAX(0,171-GrowthStartMonth)/12)</f>
        <v/>
      </c>
      <c r="FT10" s="157">
        <f>(1+GrowthOther)^(MAX(0,172-GrowthStartMonth)/12)</f>
        <v/>
      </c>
      <c r="FU10" s="157">
        <f>(1+GrowthOther)^(MAX(0,173-GrowthStartMonth)/12)</f>
        <v/>
      </c>
      <c r="FV10" s="157">
        <f>(1+GrowthOther)^(MAX(0,174-GrowthStartMonth)/12)</f>
        <v/>
      </c>
      <c r="FW10" s="157">
        <f>(1+GrowthOther)^(MAX(0,175-GrowthStartMonth)/12)</f>
        <v/>
      </c>
      <c r="FX10" s="157">
        <f>(1+GrowthOther)^(MAX(0,176-GrowthStartMonth)/12)</f>
        <v/>
      </c>
      <c r="FY10" s="157">
        <f>(1+GrowthOther)^(MAX(0,177-GrowthStartMonth)/12)</f>
        <v/>
      </c>
      <c r="FZ10" s="157">
        <f>(1+GrowthOther)^(MAX(0,178-GrowthStartMonth)/12)</f>
        <v/>
      </c>
      <c r="GA10" s="157">
        <f>(1+GrowthOther)^(MAX(0,179-GrowthStartMonth)/12)</f>
        <v/>
      </c>
      <c r="GB10" s="157">
        <f>(1+GrowthOther)^(MAX(0,180-GrowthStartMonth)/12)</f>
        <v/>
      </c>
      <c r="GC10" s="157">
        <f>(1+GrowthOther)^(MAX(0,181-GrowthStartMonth)/12)</f>
        <v/>
      </c>
      <c r="GD10" s="157">
        <f>(1+GrowthOther)^(MAX(0,182-GrowthStartMonth)/12)</f>
        <v/>
      </c>
      <c r="GE10" s="157">
        <f>(1+GrowthOther)^(MAX(0,183-GrowthStartMonth)/12)</f>
        <v/>
      </c>
      <c r="GF10" s="157">
        <f>(1+GrowthOther)^(MAX(0,184-GrowthStartMonth)/12)</f>
        <v/>
      </c>
      <c r="GG10" s="157">
        <f>(1+GrowthOther)^(MAX(0,185-GrowthStartMonth)/12)</f>
        <v/>
      </c>
      <c r="GH10" s="157">
        <f>(1+GrowthOther)^(MAX(0,186-GrowthStartMonth)/12)</f>
        <v/>
      </c>
      <c r="GI10" s="157">
        <f>(1+GrowthOther)^(MAX(0,187-GrowthStartMonth)/12)</f>
        <v/>
      </c>
      <c r="GJ10" s="157">
        <f>(1+GrowthOther)^(MAX(0,188-GrowthStartMonth)/12)</f>
        <v/>
      </c>
      <c r="GK10" s="157">
        <f>(1+GrowthOther)^(MAX(0,189-GrowthStartMonth)/12)</f>
        <v/>
      </c>
      <c r="GL10" s="157">
        <f>(1+GrowthOther)^(MAX(0,190-GrowthStartMonth)/12)</f>
        <v/>
      </c>
      <c r="GM10" s="157">
        <f>(1+GrowthOther)^(MAX(0,191-GrowthStartMonth)/12)</f>
        <v/>
      </c>
      <c r="GN10" s="157">
        <f>(1+GrowthOther)^(MAX(0,192-GrowthStartMonth)/12)</f>
        <v/>
      </c>
      <c r="GO10" s="157">
        <f>(1+GrowthOther)^(MAX(0,193-GrowthStartMonth)/12)</f>
        <v/>
      </c>
      <c r="GP10" s="157">
        <f>(1+GrowthOther)^(MAX(0,194-GrowthStartMonth)/12)</f>
        <v/>
      </c>
      <c r="GQ10" s="157">
        <f>(1+GrowthOther)^(MAX(0,195-GrowthStartMonth)/12)</f>
        <v/>
      </c>
      <c r="GR10" s="157">
        <f>(1+GrowthOther)^(MAX(0,196-GrowthStartMonth)/12)</f>
        <v/>
      </c>
      <c r="GS10" s="157">
        <f>(1+GrowthOther)^(MAX(0,197-GrowthStartMonth)/12)</f>
        <v/>
      </c>
      <c r="GT10" s="157">
        <f>(1+GrowthOther)^(MAX(0,198-GrowthStartMonth)/12)</f>
        <v/>
      </c>
      <c r="GU10" s="157">
        <f>(1+GrowthOther)^(MAX(0,199-GrowthStartMonth)/12)</f>
        <v/>
      </c>
      <c r="GV10" s="157">
        <f>(1+GrowthOther)^(MAX(0,200-GrowthStartMonth)/12)</f>
        <v/>
      </c>
      <c r="GW10" s="157">
        <f>(1+GrowthOther)^(MAX(0,201-GrowthStartMonth)/12)</f>
        <v/>
      </c>
      <c r="GX10" s="157">
        <f>(1+GrowthOther)^(MAX(0,202-GrowthStartMonth)/12)</f>
        <v/>
      </c>
      <c r="GY10" s="157">
        <f>(1+GrowthOther)^(MAX(0,203-GrowthStartMonth)/12)</f>
        <v/>
      </c>
      <c r="GZ10" s="157">
        <f>(1+GrowthOther)^(MAX(0,204-GrowthStartMonth)/12)</f>
        <v/>
      </c>
      <c r="HA10" s="157">
        <f>(1+GrowthOther)^(MAX(0,205-GrowthStartMonth)/12)</f>
        <v/>
      </c>
      <c r="HB10" s="157">
        <f>(1+GrowthOther)^(MAX(0,206-GrowthStartMonth)/12)</f>
        <v/>
      </c>
      <c r="HC10" s="157">
        <f>(1+GrowthOther)^(MAX(0,207-GrowthStartMonth)/12)</f>
        <v/>
      </c>
      <c r="HD10" s="157">
        <f>(1+GrowthOther)^(MAX(0,208-GrowthStartMonth)/12)</f>
        <v/>
      </c>
      <c r="HE10" s="157">
        <f>(1+GrowthOther)^(MAX(0,209-GrowthStartMonth)/12)</f>
        <v/>
      </c>
      <c r="HF10" s="157">
        <f>(1+GrowthOther)^(MAX(0,210-GrowthStartMonth)/12)</f>
        <v/>
      </c>
      <c r="HG10" s="157">
        <f>(1+GrowthOther)^(MAX(0,211-GrowthStartMonth)/12)</f>
        <v/>
      </c>
      <c r="HH10" s="157">
        <f>(1+GrowthOther)^(MAX(0,212-GrowthStartMonth)/12)</f>
        <v/>
      </c>
      <c r="HI10" s="157">
        <f>(1+GrowthOther)^(MAX(0,213-GrowthStartMonth)/12)</f>
        <v/>
      </c>
      <c r="HJ10" s="157">
        <f>(1+GrowthOther)^(MAX(0,214-GrowthStartMonth)/12)</f>
        <v/>
      </c>
      <c r="HK10" s="157">
        <f>(1+GrowthOther)^(MAX(0,215-GrowthStartMonth)/12)</f>
        <v/>
      </c>
      <c r="HL10" s="157">
        <f>(1+GrowthOther)^(MAX(0,216-GrowthStartMonth)/12)</f>
        <v/>
      </c>
      <c r="HM10" s="157">
        <f>(1+GrowthOther)^(MAX(0,217-GrowthStartMonth)/12)</f>
        <v/>
      </c>
      <c r="HN10" s="157">
        <f>(1+GrowthOther)^(MAX(0,218-GrowthStartMonth)/12)</f>
        <v/>
      </c>
      <c r="HO10" s="157">
        <f>(1+GrowthOther)^(MAX(0,219-GrowthStartMonth)/12)</f>
        <v/>
      </c>
      <c r="HP10" s="157">
        <f>(1+GrowthOther)^(MAX(0,220-GrowthStartMonth)/12)</f>
        <v/>
      </c>
      <c r="HQ10" s="157">
        <f>(1+GrowthOther)^(MAX(0,221-GrowthStartMonth)/12)</f>
        <v/>
      </c>
      <c r="HR10" s="157">
        <f>(1+GrowthOther)^(MAX(0,222-GrowthStartMonth)/12)</f>
        <v/>
      </c>
      <c r="HS10" s="157">
        <f>(1+GrowthOther)^(MAX(0,223-GrowthStartMonth)/12)</f>
        <v/>
      </c>
      <c r="HT10" s="157">
        <f>(1+GrowthOther)^(MAX(0,224-GrowthStartMonth)/12)</f>
        <v/>
      </c>
      <c r="HU10" s="157">
        <f>(1+GrowthOther)^(MAX(0,225-GrowthStartMonth)/12)</f>
        <v/>
      </c>
      <c r="HV10" s="157">
        <f>(1+GrowthOther)^(MAX(0,226-GrowthStartMonth)/12)</f>
        <v/>
      </c>
      <c r="HW10" s="157">
        <f>(1+GrowthOther)^(MAX(0,227-GrowthStartMonth)/12)</f>
        <v/>
      </c>
      <c r="HX10" s="157">
        <f>(1+GrowthOther)^(MAX(0,228-GrowthStartMonth)/12)</f>
        <v/>
      </c>
      <c r="HY10" s="157">
        <f>(1+GrowthOther)^(MAX(0,229-GrowthStartMonth)/12)</f>
        <v/>
      </c>
      <c r="HZ10" s="157">
        <f>(1+GrowthOther)^(MAX(0,230-GrowthStartMonth)/12)</f>
        <v/>
      </c>
      <c r="IA10" s="157">
        <f>(1+GrowthOther)^(MAX(0,231-GrowthStartMonth)/12)</f>
        <v/>
      </c>
      <c r="IB10" s="157">
        <f>(1+GrowthOther)^(MAX(0,232-GrowthStartMonth)/12)</f>
        <v/>
      </c>
      <c r="IC10" s="157">
        <f>(1+GrowthOther)^(MAX(0,233-GrowthStartMonth)/12)</f>
        <v/>
      </c>
      <c r="ID10" s="157">
        <f>(1+GrowthOther)^(MAX(0,234-GrowthStartMonth)/12)</f>
        <v/>
      </c>
      <c r="IE10" s="157">
        <f>(1+GrowthOther)^(MAX(0,235-GrowthStartMonth)/12)</f>
        <v/>
      </c>
      <c r="IF10" s="157">
        <f>(1+GrowthOther)^(MAX(0,236-GrowthStartMonth)/12)</f>
        <v/>
      </c>
      <c r="IG10" s="157">
        <f>(1+GrowthOther)^(MAX(0,237-GrowthStartMonth)/12)</f>
        <v/>
      </c>
      <c r="IH10" s="157">
        <f>(1+GrowthOther)^(MAX(0,238-GrowthStartMonth)/12)</f>
        <v/>
      </c>
      <c r="II10" s="157">
        <f>(1+GrowthOther)^(MAX(0,239-GrowthStartMonth)/12)</f>
        <v/>
      </c>
      <c r="IJ10" s="157">
        <f>(1+GrowthOther)^(MAX(0,240-GrowthStartMonth)/12)</f>
        <v/>
      </c>
      <c r="IK10" s="157">
        <f>(1+GrowthOther)^(MAX(0,241-GrowthStartMonth)/12)</f>
        <v/>
      </c>
      <c r="IL10" s="157">
        <f>(1+GrowthOther)^(MAX(0,242-GrowthStartMonth)/12)</f>
        <v/>
      </c>
      <c r="IM10" s="157">
        <f>(1+GrowthOther)^(MAX(0,243-GrowthStartMonth)/12)</f>
        <v/>
      </c>
      <c r="IN10" s="157">
        <f>(1+GrowthOther)^(MAX(0,244-GrowthStartMonth)/12)</f>
        <v/>
      </c>
      <c r="IO10" s="157">
        <f>(1+GrowthOther)^(MAX(0,245-GrowthStartMonth)/12)</f>
        <v/>
      </c>
      <c r="IP10" s="157">
        <f>(1+GrowthOther)^(MAX(0,246-GrowthStartMonth)/12)</f>
        <v/>
      </c>
      <c r="IQ10" s="157">
        <f>(1+GrowthOther)^(MAX(0,247-GrowthStartMonth)/12)</f>
        <v/>
      </c>
      <c r="IR10" s="157">
        <f>(1+GrowthOther)^(MAX(0,248-GrowthStartMonth)/12)</f>
        <v/>
      </c>
      <c r="IS10" s="157">
        <f>(1+GrowthOther)^(MAX(0,249-GrowthStartMonth)/12)</f>
        <v/>
      </c>
      <c r="IT10" s="157">
        <f>(1+GrowthOther)^(MAX(0,250-GrowthStartMonth)/12)</f>
        <v/>
      </c>
      <c r="IU10" s="157">
        <f>(1+GrowthOther)^(MAX(0,251-GrowthStartMonth)/12)</f>
        <v/>
      </c>
      <c r="IV10" s="157">
        <f>(1+GrowthOther)^(MAX(0,252-GrowthStartMonth)/12)</f>
        <v/>
      </c>
      <c r="IW10" s="157">
        <f>(1+GrowthOther)^(MAX(0,253-GrowthStartMonth)/12)</f>
        <v/>
      </c>
      <c r="IX10" s="157">
        <f>(1+GrowthOther)^(MAX(0,254-GrowthStartMonth)/12)</f>
        <v/>
      </c>
      <c r="IY10" s="157">
        <f>(1+GrowthOther)^(MAX(0,255-GrowthStartMonth)/12)</f>
        <v/>
      </c>
      <c r="IZ10" s="157">
        <f>(1+GrowthOther)^(MAX(0,256-GrowthStartMonth)/12)</f>
        <v/>
      </c>
      <c r="JA10" s="157">
        <f>(1+GrowthOther)^(MAX(0,257-GrowthStartMonth)/12)</f>
        <v/>
      </c>
      <c r="JB10" s="157">
        <f>(1+GrowthOther)^(MAX(0,258-GrowthStartMonth)/12)</f>
        <v/>
      </c>
      <c r="JC10" s="157">
        <f>(1+GrowthOther)^(MAX(0,259-GrowthStartMonth)/12)</f>
        <v/>
      </c>
      <c r="JD10" s="157">
        <f>(1+GrowthOther)^(MAX(0,260-GrowthStartMonth)/12)</f>
        <v/>
      </c>
      <c r="JE10" s="157">
        <f>(1+GrowthOther)^(MAX(0,261-GrowthStartMonth)/12)</f>
        <v/>
      </c>
      <c r="JF10" s="157">
        <f>(1+GrowthOther)^(MAX(0,262-GrowthStartMonth)/12)</f>
        <v/>
      </c>
      <c r="JG10" s="157">
        <f>(1+GrowthOther)^(MAX(0,263-GrowthStartMonth)/12)</f>
        <v/>
      </c>
      <c r="JH10" s="157">
        <f>(1+GrowthOther)^(MAX(0,264-GrowthStartMonth)/12)</f>
        <v/>
      </c>
      <c r="JI10" s="157">
        <f>(1+GrowthOther)^(MAX(0,265-GrowthStartMonth)/12)</f>
        <v/>
      </c>
      <c r="JJ10" s="157">
        <f>(1+GrowthOther)^(MAX(0,266-GrowthStartMonth)/12)</f>
        <v/>
      </c>
      <c r="JK10" s="157">
        <f>(1+GrowthOther)^(MAX(0,267-GrowthStartMonth)/12)</f>
        <v/>
      </c>
      <c r="JL10" s="157">
        <f>(1+GrowthOther)^(MAX(0,268-GrowthStartMonth)/12)</f>
        <v/>
      </c>
      <c r="JM10" s="157">
        <f>(1+GrowthOther)^(MAX(0,269-GrowthStartMonth)/12)</f>
        <v/>
      </c>
      <c r="JN10" s="157">
        <f>(1+GrowthOther)^(MAX(0,270-GrowthStartMonth)/12)</f>
        <v/>
      </c>
      <c r="JO10" s="157">
        <f>(1+GrowthOther)^(MAX(0,271-GrowthStartMonth)/12)</f>
        <v/>
      </c>
      <c r="JP10" s="157">
        <f>(1+GrowthOther)^(MAX(0,272-GrowthStartMonth)/12)</f>
        <v/>
      </c>
      <c r="JQ10" s="157">
        <f>(1+GrowthOther)^(MAX(0,273-GrowthStartMonth)/12)</f>
        <v/>
      </c>
      <c r="JR10" s="157">
        <f>(1+GrowthOther)^(MAX(0,274-GrowthStartMonth)/12)</f>
        <v/>
      </c>
      <c r="JS10" s="157">
        <f>(1+GrowthOther)^(MAX(0,275-GrowthStartMonth)/12)</f>
        <v/>
      </c>
      <c r="JT10" s="157">
        <f>(1+GrowthOther)^(MAX(0,276-GrowthStartMonth)/12)</f>
        <v/>
      </c>
      <c r="JU10" s="157">
        <f>(1+GrowthOther)^(MAX(0,277-GrowthStartMonth)/12)</f>
        <v/>
      </c>
      <c r="JV10" s="157">
        <f>(1+GrowthOther)^(MAX(0,278-GrowthStartMonth)/12)</f>
        <v/>
      </c>
      <c r="JW10" s="157">
        <f>(1+GrowthOther)^(MAX(0,279-GrowthStartMonth)/12)</f>
        <v/>
      </c>
      <c r="JX10" s="157">
        <f>(1+GrowthOther)^(MAX(0,280-GrowthStartMonth)/12)</f>
        <v/>
      </c>
      <c r="JY10" s="157">
        <f>(1+GrowthOther)^(MAX(0,281-GrowthStartMonth)/12)</f>
        <v/>
      </c>
      <c r="JZ10" s="157">
        <f>(1+GrowthOther)^(MAX(0,282-GrowthStartMonth)/12)</f>
        <v/>
      </c>
      <c r="KA10" s="157">
        <f>(1+GrowthOther)^(MAX(0,283-GrowthStartMonth)/12)</f>
        <v/>
      </c>
      <c r="KB10" s="157">
        <f>(1+GrowthOther)^(MAX(0,284-GrowthStartMonth)/12)</f>
        <v/>
      </c>
      <c r="KC10" s="157">
        <f>(1+GrowthOther)^(MAX(0,285-GrowthStartMonth)/12)</f>
        <v/>
      </c>
      <c r="KD10" s="157">
        <f>(1+GrowthOther)^(MAX(0,286-GrowthStartMonth)/12)</f>
        <v/>
      </c>
      <c r="KE10" s="157">
        <f>(1+GrowthOther)^(MAX(0,287-GrowthStartMonth)/12)</f>
        <v/>
      </c>
      <c r="KF10" s="157">
        <f>(1+GrowthOther)^(MAX(0,288-GrowthStartMonth)/12)</f>
        <v/>
      </c>
      <c r="KG10" s="157">
        <f>(1+GrowthOther)^(MAX(0,289-GrowthStartMonth)/12)</f>
        <v/>
      </c>
      <c r="KH10" s="157">
        <f>(1+GrowthOther)^(MAX(0,290-GrowthStartMonth)/12)</f>
        <v/>
      </c>
      <c r="KI10" s="157">
        <f>(1+GrowthOther)^(MAX(0,291-GrowthStartMonth)/12)</f>
        <v/>
      </c>
      <c r="KJ10" s="157">
        <f>(1+GrowthOther)^(MAX(0,292-GrowthStartMonth)/12)</f>
        <v/>
      </c>
      <c r="KK10" s="157">
        <f>(1+GrowthOther)^(MAX(0,293-GrowthStartMonth)/12)</f>
        <v/>
      </c>
      <c r="KL10" s="157">
        <f>(1+GrowthOther)^(MAX(0,294-GrowthStartMonth)/12)</f>
        <v/>
      </c>
      <c r="KM10" s="157">
        <f>(1+GrowthOther)^(MAX(0,295-GrowthStartMonth)/12)</f>
        <v/>
      </c>
      <c r="KN10" s="157">
        <f>(1+GrowthOther)^(MAX(0,296-GrowthStartMonth)/12)</f>
        <v/>
      </c>
      <c r="KO10" s="157">
        <f>(1+GrowthOther)^(MAX(0,297-GrowthStartMonth)/12)</f>
        <v/>
      </c>
      <c r="KP10" s="157">
        <f>(1+GrowthOther)^(MAX(0,298-GrowthStartMonth)/12)</f>
        <v/>
      </c>
      <c r="KQ10" s="157">
        <f>(1+GrowthOther)^(MAX(0,299-GrowthStartMonth)/12)</f>
        <v/>
      </c>
      <c r="KR10" s="157">
        <f>(1+GrowthOther)^(MAX(0,300-GrowthStartMonth)/12)</f>
        <v/>
      </c>
      <c r="KS10" s="157">
        <f>(1+GrowthOther)^(MAX(0,301-GrowthStartMonth)/12)</f>
        <v/>
      </c>
      <c r="KT10" s="157">
        <f>(1+GrowthOther)^(MAX(0,302-GrowthStartMonth)/12)</f>
        <v/>
      </c>
      <c r="KU10" s="157">
        <f>(1+GrowthOther)^(MAX(0,303-GrowthStartMonth)/12)</f>
        <v/>
      </c>
      <c r="KV10" s="157">
        <f>(1+GrowthOther)^(MAX(0,304-GrowthStartMonth)/12)</f>
        <v/>
      </c>
      <c r="KW10" s="157">
        <f>(1+GrowthOther)^(MAX(0,305-GrowthStartMonth)/12)</f>
        <v/>
      </c>
      <c r="KX10" s="157">
        <f>(1+GrowthOther)^(MAX(0,306-GrowthStartMonth)/12)</f>
        <v/>
      </c>
      <c r="KY10" s="157">
        <f>(1+GrowthOther)^(MAX(0,307-GrowthStartMonth)/12)</f>
        <v/>
      </c>
      <c r="KZ10" s="157">
        <f>(1+GrowthOther)^(MAX(0,308-GrowthStartMonth)/12)</f>
        <v/>
      </c>
      <c r="LA10" s="157">
        <f>(1+GrowthOther)^(MAX(0,309-GrowthStartMonth)/12)</f>
        <v/>
      </c>
      <c r="LB10" s="157">
        <f>(1+GrowthOther)^(MAX(0,310-GrowthStartMonth)/12)</f>
        <v/>
      </c>
      <c r="LC10" s="157">
        <f>(1+GrowthOther)^(MAX(0,311-GrowthStartMonth)/12)</f>
        <v/>
      </c>
      <c r="LD10" s="157">
        <f>(1+GrowthOther)^(MAX(0,312-GrowthStartMonth)/12)</f>
        <v/>
      </c>
      <c r="LE10" s="157">
        <f>(1+GrowthOther)^(MAX(0,313-GrowthStartMonth)/12)</f>
        <v/>
      </c>
      <c r="LF10" s="157">
        <f>(1+GrowthOther)^(MAX(0,314-GrowthStartMonth)/12)</f>
        <v/>
      </c>
      <c r="LG10" s="157">
        <f>(1+GrowthOther)^(MAX(0,315-GrowthStartMonth)/12)</f>
        <v/>
      </c>
      <c r="LH10" s="157">
        <f>(1+GrowthOther)^(MAX(0,316-GrowthStartMonth)/12)</f>
        <v/>
      </c>
      <c r="LI10" s="157">
        <f>(1+GrowthOther)^(MAX(0,317-GrowthStartMonth)/12)</f>
        <v/>
      </c>
      <c r="LJ10" s="157">
        <f>(1+GrowthOther)^(MAX(0,318-GrowthStartMonth)/12)</f>
        <v/>
      </c>
      <c r="LK10" s="157">
        <f>(1+GrowthOther)^(MAX(0,319-GrowthStartMonth)/12)</f>
        <v/>
      </c>
      <c r="LL10" s="157">
        <f>(1+GrowthOther)^(MAX(0,320-GrowthStartMonth)/12)</f>
        <v/>
      </c>
      <c r="LM10" s="157">
        <f>(1+GrowthOther)^(MAX(0,321-GrowthStartMonth)/12)</f>
        <v/>
      </c>
      <c r="LN10" s="157">
        <f>(1+GrowthOther)^(MAX(0,322-GrowthStartMonth)/12)</f>
        <v/>
      </c>
      <c r="LO10" s="157">
        <f>(1+GrowthOther)^(MAX(0,323-GrowthStartMonth)/12)</f>
        <v/>
      </c>
      <c r="LP10" s="157">
        <f>(1+GrowthOther)^(MAX(0,324-GrowthStartMonth)/12)</f>
        <v/>
      </c>
      <c r="LQ10" s="157">
        <f>(1+GrowthOther)^(MAX(0,325-GrowthStartMonth)/12)</f>
        <v/>
      </c>
      <c r="LR10" s="157">
        <f>(1+GrowthOther)^(MAX(0,326-GrowthStartMonth)/12)</f>
        <v/>
      </c>
      <c r="LS10" s="157">
        <f>(1+GrowthOther)^(MAX(0,327-GrowthStartMonth)/12)</f>
        <v/>
      </c>
      <c r="LT10" s="157">
        <f>(1+GrowthOther)^(MAX(0,328-GrowthStartMonth)/12)</f>
        <v/>
      </c>
      <c r="LU10" s="157">
        <f>(1+GrowthOther)^(MAX(0,329-GrowthStartMonth)/12)</f>
        <v/>
      </c>
      <c r="LV10" s="157">
        <f>(1+GrowthOther)^(MAX(0,330-GrowthStartMonth)/12)</f>
        <v/>
      </c>
      <c r="LW10" s="157">
        <f>(1+GrowthOther)^(MAX(0,331-GrowthStartMonth)/12)</f>
        <v/>
      </c>
      <c r="LX10" s="157">
        <f>(1+GrowthOther)^(MAX(0,332-GrowthStartMonth)/12)</f>
        <v/>
      </c>
      <c r="LY10" s="157">
        <f>(1+GrowthOther)^(MAX(0,333-GrowthStartMonth)/12)</f>
        <v/>
      </c>
      <c r="LZ10" s="157">
        <f>(1+GrowthOther)^(MAX(0,334-GrowthStartMonth)/12)</f>
        <v/>
      </c>
      <c r="MA10" s="157">
        <f>(1+GrowthOther)^(MAX(0,335-GrowthStartMonth)/12)</f>
        <v/>
      </c>
      <c r="MB10" s="157">
        <f>(1+GrowthOther)^(MAX(0,336-GrowthStartMonth)/12)</f>
        <v/>
      </c>
      <c r="MC10" s="157">
        <f>(1+GrowthOther)^(MAX(0,337-GrowthStartMonth)/12)</f>
        <v/>
      </c>
      <c r="MD10" s="157">
        <f>(1+GrowthOther)^(MAX(0,338-GrowthStartMonth)/12)</f>
        <v/>
      </c>
      <c r="ME10" s="157">
        <f>(1+GrowthOther)^(MAX(0,339-GrowthStartMonth)/12)</f>
        <v/>
      </c>
      <c r="MF10" s="157">
        <f>(1+GrowthOther)^(MAX(0,340-GrowthStartMonth)/12)</f>
        <v/>
      </c>
      <c r="MG10" s="157">
        <f>(1+GrowthOther)^(MAX(0,341-GrowthStartMonth)/12)</f>
        <v/>
      </c>
      <c r="MH10" s="157">
        <f>(1+GrowthOther)^(MAX(0,342-GrowthStartMonth)/12)</f>
        <v/>
      </c>
      <c r="MI10" s="157">
        <f>(1+GrowthOther)^(MAX(0,343-GrowthStartMonth)/12)</f>
        <v/>
      </c>
      <c r="MJ10" s="157">
        <f>(1+GrowthOther)^(MAX(0,344-GrowthStartMonth)/12)</f>
        <v/>
      </c>
      <c r="MK10" s="157">
        <f>(1+GrowthOther)^(MAX(0,345-GrowthStartMonth)/12)</f>
        <v/>
      </c>
      <c r="ML10" s="157">
        <f>(1+GrowthOther)^(MAX(0,346-GrowthStartMonth)/12)</f>
        <v/>
      </c>
      <c r="MM10" s="157">
        <f>(1+GrowthOther)^(MAX(0,347-GrowthStartMonth)/12)</f>
        <v/>
      </c>
      <c r="MN10" s="157">
        <f>(1+GrowthOther)^(MAX(0,348-GrowthStartMonth)/12)</f>
        <v/>
      </c>
      <c r="MO10" s="157">
        <f>(1+GrowthOther)^(MAX(0,349-GrowthStartMonth)/12)</f>
        <v/>
      </c>
      <c r="MP10" s="157">
        <f>(1+GrowthOther)^(MAX(0,350-GrowthStartMonth)/12)</f>
        <v/>
      </c>
      <c r="MQ10" s="157">
        <f>(1+GrowthOther)^(MAX(0,351-GrowthStartMonth)/12)</f>
        <v/>
      </c>
      <c r="MR10" s="157">
        <f>(1+GrowthOther)^(MAX(0,352-GrowthStartMonth)/12)</f>
        <v/>
      </c>
      <c r="MS10" s="157">
        <f>(1+GrowthOther)^(MAX(0,353-GrowthStartMonth)/12)</f>
        <v/>
      </c>
      <c r="MT10" s="157">
        <f>(1+GrowthOther)^(MAX(0,354-GrowthStartMonth)/12)</f>
        <v/>
      </c>
      <c r="MU10" s="157">
        <f>(1+GrowthOther)^(MAX(0,355-GrowthStartMonth)/12)</f>
        <v/>
      </c>
      <c r="MV10" s="157">
        <f>(1+GrowthOther)^(MAX(0,356-GrowthStartMonth)/12)</f>
        <v/>
      </c>
      <c r="MW10" s="157">
        <f>(1+GrowthOther)^(MAX(0,357-GrowthStartMonth)/12)</f>
        <v/>
      </c>
      <c r="MX10" s="157">
        <f>(1+GrowthOther)^(MAX(0,358-GrowthStartMonth)/12)</f>
        <v/>
      </c>
      <c r="MY10" s="157">
        <f>(1+GrowthOther)^(MAX(0,359-GrowthStartMonth)/12)</f>
        <v/>
      </c>
      <c r="MZ10" s="157">
        <f>(1+GrowthOther)^(MAX(0,360-GrowthStartMonth)/12)</f>
        <v/>
      </c>
      <c r="NA10" s="157">
        <f>(1+GrowthOther)^(MAX(0,361-GrowthStartMonth)/12)</f>
        <v/>
      </c>
      <c r="NB10" s="157">
        <f>(1+GrowthOther)^(MAX(0,362-GrowthStartMonth)/12)</f>
        <v/>
      </c>
      <c r="NC10" s="157">
        <f>(1+GrowthOther)^(MAX(0,363-GrowthStartMonth)/12)</f>
        <v/>
      </c>
      <c r="ND10" s="157">
        <f>(1+GrowthOther)^(MAX(0,364-GrowthStartMonth)/12)</f>
        <v/>
      </c>
      <c r="NE10" s="157">
        <f>(1+GrowthOther)^(MAX(0,365-GrowthStartMonth)/12)</f>
        <v/>
      </c>
      <c r="NF10" s="157">
        <f>(1+GrowthOther)^(MAX(0,366-GrowthStartMonth)/12)</f>
        <v/>
      </c>
      <c r="NG10" s="157">
        <f>(1+GrowthOther)^(MAX(0,367-GrowthStartMonth)/12)</f>
        <v/>
      </c>
      <c r="NH10" s="157">
        <f>(1+GrowthOther)^(MAX(0,368-GrowthStartMonth)/12)</f>
        <v/>
      </c>
      <c r="NI10" s="157">
        <f>(1+GrowthOther)^(MAX(0,369-GrowthStartMonth)/12)</f>
        <v/>
      </c>
      <c r="NJ10" s="157">
        <f>(1+GrowthOther)^(MAX(0,370-GrowthStartMonth)/12)</f>
        <v/>
      </c>
      <c r="NK10" s="157">
        <f>(1+GrowthOther)^(MAX(0,371-GrowthStartMonth)/12)</f>
        <v/>
      </c>
      <c r="NL10" s="158">
        <f>(1+GrowthOther)^(MAX(0,372-GrowthStartMonth)/12)</f>
        <v/>
      </c>
    </row>
    <row r="11">
      <c r="B11" s="36" t="inlineStr">
        <is>
          <t>Var-Expense Ramp Factor</t>
        </is>
      </c>
      <c r="D11" s="156" t="n"/>
      <c r="E11" s="157">
        <f>IF(1&lt;DeliverStart,LeaseUpRampPct,MIN(1,LeaseUpRampPct+(1-LeaseUpRampPct)*LeaseUp!E$10/StabilizedOccupancy))</f>
        <v/>
      </c>
      <c r="F11" s="157">
        <f>IF(2&lt;DeliverStart,LeaseUpRampPct,MIN(1,LeaseUpRampPct+(1-LeaseUpRampPct)*LeaseUp!F$10/StabilizedOccupancy))</f>
        <v/>
      </c>
      <c r="G11" s="157">
        <f>IF(3&lt;DeliverStart,LeaseUpRampPct,MIN(1,LeaseUpRampPct+(1-LeaseUpRampPct)*LeaseUp!G$10/StabilizedOccupancy))</f>
        <v/>
      </c>
      <c r="H11" s="157">
        <f>IF(4&lt;DeliverStart,LeaseUpRampPct,MIN(1,LeaseUpRampPct+(1-LeaseUpRampPct)*LeaseUp!H$10/StabilizedOccupancy))</f>
        <v/>
      </c>
      <c r="I11" s="157">
        <f>IF(5&lt;DeliverStart,LeaseUpRampPct,MIN(1,LeaseUpRampPct+(1-LeaseUpRampPct)*LeaseUp!I$10/StabilizedOccupancy))</f>
        <v/>
      </c>
      <c r="J11" s="157">
        <f>IF(6&lt;DeliverStart,LeaseUpRampPct,MIN(1,LeaseUpRampPct+(1-LeaseUpRampPct)*LeaseUp!J$10/StabilizedOccupancy))</f>
        <v/>
      </c>
      <c r="K11" s="157">
        <f>IF(7&lt;DeliverStart,LeaseUpRampPct,MIN(1,LeaseUpRampPct+(1-LeaseUpRampPct)*LeaseUp!K$10/StabilizedOccupancy))</f>
        <v/>
      </c>
      <c r="L11" s="157">
        <f>IF(8&lt;DeliverStart,LeaseUpRampPct,MIN(1,LeaseUpRampPct+(1-LeaseUpRampPct)*LeaseUp!L$10/StabilizedOccupancy))</f>
        <v/>
      </c>
      <c r="M11" s="157">
        <f>IF(9&lt;DeliverStart,LeaseUpRampPct,MIN(1,LeaseUpRampPct+(1-LeaseUpRampPct)*LeaseUp!M$10/StabilizedOccupancy))</f>
        <v/>
      </c>
      <c r="N11" s="157">
        <f>IF(10&lt;DeliverStart,LeaseUpRampPct,MIN(1,LeaseUpRampPct+(1-LeaseUpRampPct)*LeaseUp!N$10/StabilizedOccupancy))</f>
        <v/>
      </c>
      <c r="O11" s="157">
        <f>IF(11&lt;DeliverStart,LeaseUpRampPct,MIN(1,LeaseUpRampPct+(1-LeaseUpRampPct)*LeaseUp!O$10/StabilizedOccupancy))</f>
        <v/>
      </c>
      <c r="P11" s="157">
        <f>IF(12&lt;DeliverStart,LeaseUpRampPct,MIN(1,LeaseUpRampPct+(1-LeaseUpRampPct)*LeaseUp!P$10/StabilizedOccupancy))</f>
        <v/>
      </c>
      <c r="Q11" s="157">
        <f>IF(13&lt;DeliverStart,LeaseUpRampPct,MIN(1,LeaseUpRampPct+(1-LeaseUpRampPct)*LeaseUp!Q$10/StabilizedOccupancy))</f>
        <v/>
      </c>
      <c r="R11" s="157">
        <f>IF(14&lt;DeliverStart,LeaseUpRampPct,MIN(1,LeaseUpRampPct+(1-LeaseUpRampPct)*LeaseUp!R$10/StabilizedOccupancy))</f>
        <v/>
      </c>
      <c r="S11" s="157">
        <f>IF(15&lt;DeliverStart,LeaseUpRampPct,MIN(1,LeaseUpRampPct+(1-LeaseUpRampPct)*LeaseUp!S$10/StabilizedOccupancy))</f>
        <v/>
      </c>
      <c r="T11" s="157">
        <f>IF(16&lt;DeliverStart,LeaseUpRampPct,MIN(1,LeaseUpRampPct+(1-LeaseUpRampPct)*LeaseUp!T$10/StabilizedOccupancy))</f>
        <v/>
      </c>
      <c r="U11" s="157">
        <f>IF(17&lt;DeliverStart,LeaseUpRampPct,MIN(1,LeaseUpRampPct+(1-LeaseUpRampPct)*LeaseUp!U$10/StabilizedOccupancy))</f>
        <v/>
      </c>
      <c r="V11" s="157">
        <f>IF(18&lt;DeliverStart,LeaseUpRampPct,MIN(1,LeaseUpRampPct+(1-LeaseUpRampPct)*LeaseUp!V$10/StabilizedOccupancy))</f>
        <v/>
      </c>
      <c r="W11" s="157">
        <f>IF(19&lt;DeliverStart,LeaseUpRampPct,MIN(1,LeaseUpRampPct+(1-LeaseUpRampPct)*LeaseUp!W$10/StabilizedOccupancy))</f>
        <v/>
      </c>
      <c r="X11" s="157">
        <f>IF(20&lt;DeliverStart,LeaseUpRampPct,MIN(1,LeaseUpRampPct+(1-LeaseUpRampPct)*LeaseUp!X$10/StabilizedOccupancy))</f>
        <v/>
      </c>
      <c r="Y11" s="157">
        <f>IF(21&lt;DeliverStart,LeaseUpRampPct,MIN(1,LeaseUpRampPct+(1-LeaseUpRampPct)*LeaseUp!Y$10/StabilizedOccupancy))</f>
        <v/>
      </c>
      <c r="Z11" s="157">
        <f>IF(22&lt;DeliverStart,LeaseUpRampPct,MIN(1,LeaseUpRampPct+(1-LeaseUpRampPct)*LeaseUp!Z$10/StabilizedOccupancy))</f>
        <v/>
      </c>
      <c r="AA11" s="157">
        <f>IF(23&lt;DeliverStart,LeaseUpRampPct,MIN(1,LeaseUpRampPct+(1-LeaseUpRampPct)*LeaseUp!AA$10/StabilizedOccupancy))</f>
        <v/>
      </c>
      <c r="AB11" s="157">
        <f>IF(24&lt;DeliverStart,LeaseUpRampPct,MIN(1,LeaseUpRampPct+(1-LeaseUpRampPct)*LeaseUp!AB$10/StabilizedOccupancy))</f>
        <v/>
      </c>
      <c r="AC11" s="157">
        <f>IF(25&lt;DeliverStart,LeaseUpRampPct,MIN(1,LeaseUpRampPct+(1-LeaseUpRampPct)*LeaseUp!AC$10/StabilizedOccupancy))</f>
        <v/>
      </c>
      <c r="AD11" s="157">
        <f>IF(26&lt;DeliverStart,LeaseUpRampPct,MIN(1,LeaseUpRampPct+(1-LeaseUpRampPct)*LeaseUp!AD$10/StabilizedOccupancy))</f>
        <v/>
      </c>
      <c r="AE11" s="157">
        <f>IF(27&lt;DeliverStart,LeaseUpRampPct,MIN(1,LeaseUpRampPct+(1-LeaseUpRampPct)*LeaseUp!AE$10/StabilizedOccupancy))</f>
        <v/>
      </c>
      <c r="AF11" s="157">
        <f>IF(28&lt;DeliverStart,LeaseUpRampPct,MIN(1,LeaseUpRampPct+(1-LeaseUpRampPct)*LeaseUp!AF$10/StabilizedOccupancy))</f>
        <v/>
      </c>
      <c r="AG11" s="157">
        <f>IF(29&lt;DeliverStart,LeaseUpRampPct,MIN(1,LeaseUpRampPct+(1-LeaseUpRampPct)*LeaseUp!AG$10/StabilizedOccupancy))</f>
        <v/>
      </c>
      <c r="AH11" s="157">
        <f>IF(30&lt;DeliverStart,LeaseUpRampPct,MIN(1,LeaseUpRampPct+(1-LeaseUpRampPct)*LeaseUp!AH$10/StabilizedOccupancy))</f>
        <v/>
      </c>
      <c r="AI11" s="157">
        <f>IF(31&lt;DeliverStart,LeaseUpRampPct,MIN(1,LeaseUpRampPct+(1-LeaseUpRampPct)*LeaseUp!AI$10/StabilizedOccupancy))</f>
        <v/>
      </c>
      <c r="AJ11" s="157">
        <f>IF(32&lt;DeliverStart,LeaseUpRampPct,MIN(1,LeaseUpRampPct+(1-LeaseUpRampPct)*LeaseUp!AJ$10/StabilizedOccupancy))</f>
        <v/>
      </c>
      <c r="AK11" s="157">
        <f>IF(33&lt;DeliverStart,LeaseUpRampPct,MIN(1,LeaseUpRampPct+(1-LeaseUpRampPct)*LeaseUp!AK$10/StabilizedOccupancy))</f>
        <v/>
      </c>
      <c r="AL11" s="157">
        <f>IF(34&lt;DeliverStart,LeaseUpRampPct,MIN(1,LeaseUpRampPct+(1-LeaseUpRampPct)*LeaseUp!AL$10/StabilizedOccupancy))</f>
        <v/>
      </c>
      <c r="AM11" s="157">
        <f>IF(35&lt;DeliverStart,LeaseUpRampPct,MIN(1,LeaseUpRampPct+(1-LeaseUpRampPct)*LeaseUp!AM$10/StabilizedOccupancy))</f>
        <v/>
      </c>
      <c r="AN11" s="157">
        <f>IF(36&lt;DeliverStart,LeaseUpRampPct,MIN(1,LeaseUpRampPct+(1-LeaseUpRampPct)*LeaseUp!AN$10/StabilizedOccupancy))</f>
        <v/>
      </c>
      <c r="AO11" s="157">
        <f>IF(37&lt;DeliverStart,LeaseUpRampPct,MIN(1,LeaseUpRampPct+(1-LeaseUpRampPct)*LeaseUp!AO$10/StabilizedOccupancy))</f>
        <v/>
      </c>
      <c r="AP11" s="157">
        <f>IF(38&lt;DeliverStart,LeaseUpRampPct,MIN(1,LeaseUpRampPct+(1-LeaseUpRampPct)*LeaseUp!AP$10/StabilizedOccupancy))</f>
        <v/>
      </c>
      <c r="AQ11" s="157">
        <f>IF(39&lt;DeliverStart,LeaseUpRampPct,MIN(1,LeaseUpRampPct+(1-LeaseUpRampPct)*LeaseUp!AQ$10/StabilizedOccupancy))</f>
        <v/>
      </c>
      <c r="AR11" s="157">
        <f>IF(40&lt;DeliverStart,LeaseUpRampPct,MIN(1,LeaseUpRampPct+(1-LeaseUpRampPct)*LeaseUp!AR$10/StabilizedOccupancy))</f>
        <v/>
      </c>
      <c r="AS11" s="157">
        <f>IF(41&lt;DeliverStart,LeaseUpRampPct,MIN(1,LeaseUpRampPct+(1-LeaseUpRampPct)*LeaseUp!AS$10/StabilizedOccupancy))</f>
        <v/>
      </c>
      <c r="AT11" s="157">
        <f>IF(42&lt;DeliverStart,LeaseUpRampPct,MIN(1,LeaseUpRampPct+(1-LeaseUpRampPct)*LeaseUp!AT$10/StabilizedOccupancy))</f>
        <v/>
      </c>
      <c r="AU11" s="157">
        <f>IF(43&lt;DeliverStart,LeaseUpRampPct,MIN(1,LeaseUpRampPct+(1-LeaseUpRampPct)*LeaseUp!AU$10/StabilizedOccupancy))</f>
        <v/>
      </c>
      <c r="AV11" s="157">
        <f>IF(44&lt;DeliverStart,LeaseUpRampPct,MIN(1,LeaseUpRampPct+(1-LeaseUpRampPct)*LeaseUp!AV$10/StabilizedOccupancy))</f>
        <v/>
      </c>
      <c r="AW11" s="157">
        <f>IF(45&lt;DeliverStart,LeaseUpRampPct,MIN(1,LeaseUpRampPct+(1-LeaseUpRampPct)*LeaseUp!AW$10/StabilizedOccupancy))</f>
        <v/>
      </c>
      <c r="AX11" s="157">
        <f>IF(46&lt;DeliverStart,LeaseUpRampPct,MIN(1,LeaseUpRampPct+(1-LeaseUpRampPct)*LeaseUp!AX$10/StabilizedOccupancy))</f>
        <v/>
      </c>
      <c r="AY11" s="157">
        <f>IF(47&lt;DeliverStart,LeaseUpRampPct,MIN(1,LeaseUpRampPct+(1-LeaseUpRampPct)*LeaseUp!AY$10/StabilizedOccupancy))</f>
        <v/>
      </c>
      <c r="AZ11" s="157">
        <f>IF(48&lt;DeliverStart,LeaseUpRampPct,MIN(1,LeaseUpRampPct+(1-LeaseUpRampPct)*LeaseUp!AZ$10/StabilizedOccupancy))</f>
        <v/>
      </c>
      <c r="BA11" s="157">
        <f>IF(49&lt;DeliverStart,LeaseUpRampPct,MIN(1,LeaseUpRampPct+(1-LeaseUpRampPct)*LeaseUp!BA$10/StabilizedOccupancy))</f>
        <v/>
      </c>
      <c r="BB11" s="157">
        <f>IF(50&lt;DeliverStart,LeaseUpRampPct,MIN(1,LeaseUpRampPct+(1-LeaseUpRampPct)*LeaseUp!BB$10/StabilizedOccupancy))</f>
        <v/>
      </c>
      <c r="BC11" s="157">
        <f>IF(51&lt;DeliverStart,LeaseUpRampPct,MIN(1,LeaseUpRampPct+(1-LeaseUpRampPct)*LeaseUp!BC$10/StabilizedOccupancy))</f>
        <v/>
      </c>
      <c r="BD11" s="157">
        <f>IF(52&lt;DeliverStart,LeaseUpRampPct,MIN(1,LeaseUpRampPct+(1-LeaseUpRampPct)*LeaseUp!BD$10/StabilizedOccupancy))</f>
        <v/>
      </c>
      <c r="BE11" s="157">
        <f>IF(53&lt;DeliverStart,LeaseUpRampPct,MIN(1,LeaseUpRampPct+(1-LeaseUpRampPct)*LeaseUp!BE$10/StabilizedOccupancy))</f>
        <v/>
      </c>
      <c r="BF11" s="157">
        <f>IF(54&lt;DeliverStart,LeaseUpRampPct,MIN(1,LeaseUpRampPct+(1-LeaseUpRampPct)*LeaseUp!BF$10/StabilizedOccupancy))</f>
        <v/>
      </c>
      <c r="BG11" s="157">
        <f>IF(55&lt;DeliverStart,LeaseUpRampPct,MIN(1,LeaseUpRampPct+(1-LeaseUpRampPct)*LeaseUp!BG$10/StabilizedOccupancy))</f>
        <v/>
      </c>
      <c r="BH11" s="157">
        <f>IF(56&lt;DeliverStart,LeaseUpRampPct,MIN(1,LeaseUpRampPct+(1-LeaseUpRampPct)*LeaseUp!BH$10/StabilizedOccupancy))</f>
        <v/>
      </c>
      <c r="BI11" s="157">
        <f>IF(57&lt;DeliverStart,LeaseUpRampPct,MIN(1,LeaseUpRampPct+(1-LeaseUpRampPct)*LeaseUp!BI$10/StabilizedOccupancy))</f>
        <v/>
      </c>
      <c r="BJ11" s="157">
        <f>IF(58&lt;DeliverStart,LeaseUpRampPct,MIN(1,LeaseUpRampPct+(1-LeaseUpRampPct)*LeaseUp!BJ$10/StabilizedOccupancy))</f>
        <v/>
      </c>
      <c r="BK11" s="157">
        <f>IF(59&lt;DeliverStart,LeaseUpRampPct,MIN(1,LeaseUpRampPct+(1-LeaseUpRampPct)*LeaseUp!BK$10/StabilizedOccupancy))</f>
        <v/>
      </c>
      <c r="BL11" s="157">
        <f>IF(60&lt;DeliverStart,LeaseUpRampPct,MIN(1,LeaseUpRampPct+(1-LeaseUpRampPct)*LeaseUp!BL$10/StabilizedOccupancy))</f>
        <v/>
      </c>
      <c r="BM11" s="157">
        <f>IF(61&lt;DeliverStart,LeaseUpRampPct,MIN(1,LeaseUpRampPct+(1-LeaseUpRampPct)*LeaseUp!BM$10/StabilizedOccupancy))</f>
        <v/>
      </c>
      <c r="BN11" s="157">
        <f>IF(62&lt;DeliverStart,LeaseUpRampPct,MIN(1,LeaseUpRampPct+(1-LeaseUpRampPct)*LeaseUp!BN$10/StabilizedOccupancy))</f>
        <v/>
      </c>
      <c r="BO11" s="157">
        <f>IF(63&lt;DeliverStart,LeaseUpRampPct,MIN(1,LeaseUpRampPct+(1-LeaseUpRampPct)*LeaseUp!BO$10/StabilizedOccupancy))</f>
        <v/>
      </c>
      <c r="BP11" s="157">
        <f>IF(64&lt;DeliverStart,LeaseUpRampPct,MIN(1,LeaseUpRampPct+(1-LeaseUpRampPct)*LeaseUp!BP$10/StabilizedOccupancy))</f>
        <v/>
      </c>
      <c r="BQ11" s="157">
        <f>IF(65&lt;DeliverStart,LeaseUpRampPct,MIN(1,LeaseUpRampPct+(1-LeaseUpRampPct)*LeaseUp!BQ$10/StabilizedOccupancy))</f>
        <v/>
      </c>
      <c r="BR11" s="157">
        <f>IF(66&lt;DeliverStart,LeaseUpRampPct,MIN(1,LeaseUpRampPct+(1-LeaseUpRampPct)*LeaseUp!BR$10/StabilizedOccupancy))</f>
        <v/>
      </c>
      <c r="BS11" s="157">
        <f>IF(67&lt;DeliverStart,LeaseUpRampPct,MIN(1,LeaseUpRampPct+(1-LeaseUpRampPct)*LeaseUp!BS$10/StabilizedOccupancy))</f>
        <v/>
      </c>
      <c r="BT11" s="157">
        <f>IF(68&lt;DeliverStart,LeaseUpRampPct,MIN(1,LeaseUpRampPct+(1-LeaseUpRampPct)*LeaseUp!BT$10/StabilizedOccupancy))</f>
        <v/>
      </c>
      <c r="BU11" s="157">
        <f>IF(69&lt;DeliverStart,LeaseUpRampPct,MIN(1,LeaseUpRampPct+(1-LeaseUpRampPct)*LeaseUp!BU$10/StabilizedOccupancy))</f>
        <v/>
      </c>
      <c r="BV11" s="157">
        <f>IF(70&lt;DeliverStart,LeaseUpRampPct,MIN(1,LeaseUpRampPct+(1-LeaseUpRampPct)*LeaseUp!BV$10/StabilizedOccupancy))</f>
        <v/>
      </c>
      <c r="BW11" s="157">
        <f>IF(71&lt;DeliverStart,LeaseUpRampPct,MIN(1,LeaseUpRampPct+(1-LeaseUpRampPct)*LeaseUp!BW$10/StabilizedOccupancy))</f>
        <v/>
      </c>
      <c r="BX11" s="157">
        <f>IF(72&lt;DeliverStart,LeaseUpRampPct,MIN(1,LeaseUpRampPct+(1-LeaseUpRampPct)*LeaseUp!BX$10/StabilizedOccupancy))</f>
        <v/>
      </c>
      <c r="BY11" s="157">
        <f>IF(73&lt;DeliverStart,LeaseUpRampPct,MIN(1,LeaseUpRampPct+(1-LeaseUpRampPct)*LeaseUp!BY$10/StabilizedOccupancy))</f>
        <v/>
      </c>
      <c r="BZ11" s="157">
        <f>IF(74&lt;DeliverStart,LeaseUpRampPct,MIN(1,LeaseUpRampPct+(1-LeaseUpRampPct)*LeaseUp!BZ$10/StabilizedOccupancy))</f>
        <v/>
      </c>
      <c r="CA11" s="157">
        <f>IF(75&lt;DeliverStart,LeaseUpRampPct,MIN(1,LeaseUpRampPct+(1-LeaseUpRampPct)*LeaseUp!CA$10/StabilizedOccupancy))</f>
        <v/>
      </c>
      <c r="CB11" s="157">
        <f>IF(76&lt;DeliverStart,LeaseUpRampPct,MIN(1,LeaseUpRampPct+(1-LeaseUpRampPct)*LeaseUp!CB$10/StabilizedOccupancy))</f>
        <v/>
      </c>
      <c r="CC11" s="157">
        <f>IF(77&lt;DeliverStart,LeaseUpRampPct,MIN(1,LeaseUpRampPct+(1-LeaseUpRampPct)*LeaseUp!CC$10/StabilizedOccupancy))</f>
        <v/>
      </c>
      <c r="CD11" s="157">
        <f>IF(78&lt;DeliverStart,LeaseUpRampPct,MIN(1,LeaseUpRampPct+(1-LeaseUpRampPct)*LeaseUp!CD$10/StabilizedOccupancy))</f>
        <v/>
      </c>
      <c r="CE11" s="157">
        <f>IF(79&lt;DeliverStart,LeaseUpRampPct,MIN(1,LeaseUpRampPct+(1-LeaseUpRampPct)*LeaseUp!CE$10/StabilizedOccupancy))</f>
        <v/>
      </c>
      <c r="CF11" s="157">
        <f>IF(80&lt;DeliverStart,LeaseUpRampPct,MIN(1,LeaseUpRampPct+(1-LeaseUpRampPct)*LeaseUp!CF$10/StabilizedOccupancy))</f>
        <v/>
      </c>
      <c r="CG11" s="157">
        <f>IF(81&lt;DeliverStart,LeaseUpRampPct,MIN(1,LeaseUpRampPct+(1-LeaseUpRampPct)*LeaseUp!CG$10/StabilizedOccupancy))</f>
        <v/>
      </c>
      <c r="CH11" s="157">
        <f>IF(82&lt;DeliverStart,LeaseUpRampPct,MIN(1,LeaseUpRampPct+(1-LeaseUpRampPct)*LeaseUp!CH$10/StabilizedOccupancy))</f>
        <v/>
      </c>
      <c r="CI11" s="157">
        <f>IF(83&lt;DeliverStart,LeaseUpRampPct,MIN(1,LeaseUpRampPct+(1-LeaseUpRampPct)*LeaseUp!CI$10/StabilizedOccupancy))</f>
        <v/>
      </c>
      <c r="CJ11" s="157">
        <f>IF(84&lt;DeliverStart,LeaseUpRampPct,MIN(1,LeaseUpRampPct+(1-LeaseUpRampPct)*LeaseUp!CJ$10/StabilizedOccupancy))</f>
        <v/>
      </c>
      <c r="CK11" s="157">
        <f>IF(85&lt;DeliverStart,LeaseUpRampPct,MIN(1,LeaseUpRampPct+(1-LeaseUpRampPct)*LeaseUp!CK$10/StabilizedOccupancy))</f>
        <v/>
      </c>
      <c r="CL11" s="157">
        <f>IF(86&lt;DeliverStart,LeaseUpRampPct,MIN(1,LeaseUpRampPct+(1-LeaseUpRampPct)*LeaseUp!CL$10/StabilizedOccupancy))</f>
        <v/>
      </c>
      <c r="CM11" s="157">
        <f>IF(87&lt;DeliverStart,LeaseUpRampPct,MIN(1,LeaseUpRampPct+(1-LeaseUpRampPct)*LeaseUp!CM$10/StabilizedOccupancy))</f>
        <v/>
      </c>
      <c r="CN11" s="157">
        <f>IF(88&lt;DeliverStart,LeaseUpRampPct,MIN(1,LeaseUpRampPct+(1-LeaseUpRampPct)*LeaseUp!CN$10/StabilizedOccupancy))</f>
        <v/>
      </c>
      <c r="CO11" s="157">
        <f>IF(89&lt;DeliverStart,LeaseUpRampPct,MIN(1,LeaseUpRampPct+(1-LeaseUpRampPct)*LeaseUp!CO$10/StabilizedOccupancy))</f>
        <v/>
      </c>
      <c r="CP11" s="157">
        <f>IF(90&lt;DeliverStart,LeaseUpRampPct,MIN(1,LeaseUpRampPct+(1-LeaseUpRampPct)*LeaseUp!CP$10/StabilizedOccupancy))</f>
        <v/>
      </c>
      <c r="CQ11" s="157">
        <f>IF(91&lt;DeliverStart,LeaseUpRampPct,MIN(1,LeaseUpRampPct+(1-LeaseUpRampPct)*LeaseUp!CQ$10/StabilizedOccupancy))</f>
        <v/>
      </c>
      <c r="CR11" s="157">
        <f>IF(92&lt;DeliverStart,LeaseUpRampPct,MIN(1,LeaseUpRampPct+(1-LeaseUpRampPct)*LeaseUp!CR$10/StabilizedOccupancy))</f>
        <v/>
      </c>
      <c r="CS11" s="157">
        <f>IF(93&lt;DeliverStart,LeaseUpRampPct,MIN(1,LeaseUpRampPct+(1-LeaseUpRampPct)*LeaseUp!CS$10/StabilizedOccupancy))</f>
        <v/>
      </c>
      <c r="CT11" s="157">
        <f>IF(94&lt;DeliverStart,LeaseUpRampPct,MIN(1,LeaseUpRampPct+(1-LeaseUpRampPct)*LeaseUp!CT$10/StabilizedOccupancy))</f>
        <v/>
      </c>
      <c r="CU11" s="157">
        <f>IF(95&lt;DeliverStart,LeaseUpRampPct,MIN(1,LeaseUpRampPct+(1-LeaseUpRampPct)*LeaseUp!CU$10/StabilizedOccupancy))</f>
        <v/>
      </c>
      <c r="CV11" s="157">
        <f>IF(96&lt;DeliverStart,LeaseUpRampPct,MIN(1,LeaseUpRampPct+(1-LeaseUpRampPct)*LeaseUp!CV$10/StabilizedOccupancy))</f>
        <v/>
      </c>
      <c r="CW11" s="157">
        <f>IF(97&lt;DeliverStart,LeaseUpRampPct,MIN(1,LeaseUpRampPct+(1-LeaseUpRampPct)*LeaseUp!CW$10/StabilizedOccupancy))</f>
        <v/>
      </c>
      <c r="CX11" s="157">
        <f>IF(98&lt;DeliverStart,LeaseUpRampPct,MIN(1,LeaseUpRampPct+(1-LeaseUpRampPct)*LeaseUp!CX$10/StabilizedOccupancy))</f>
        <v/>
      </c>
      <c r="CY11" s="157">
        <f>IF(99&lt;DeliverStart,LeaseUpRampPct,MIN(1,LeaseUpRampPct+(1-LeaseUpRampPct)*LeaseUp!CY$10/StabilizedOccupancy))</f>
        <v/>
      </c>
      <c r="CZ11" s="157">
        <f>IF(100&lt;DeliverStart,LeaseUpRampPct,MIN(1,LeaseUpRampPct+(1-LeaseUpRampPct)*LeaseUp!CZ$10/StabilizedOccupancy))</f>
        <v/>
      </c>
      <c r="DA11" s="157">
        <f>IF(101&lt;DeliverStart,LeaseUpRampPct,MIN(1,LeaseUpRampPct+(1-LeaseUpRampPct)*LeaseUp!DA$10/StabilizedOccupancy))</f>
        <v/>
      </c>
      <c r="DB11" s="157">
        <f>IF(102&lt;DeliverStart,LeaseUpRampPct,MIN(1,LeaseUpRampPct+(1-LeaseUpRampPct)*LeaseUp!DB$10/StabilizedOccupancy))</f>
        <v/>
      </c>
      <c r="DC11" s="157">
        <f>IF(103&lt;DeliverStart,LeaseUpRampPct,MIN(1,LeaseUpRampPct+(1-LeaseUpRampPct)*LeaseUp!DC$10/StabilizedOccupancy))</f>
        <v/>
      </c>
      <c r="DD11" s="157">
        <f>IF(104&lt;DeliverStart,LeaseUpRampPct,MIN(1,LeaseUpRampPct+(1-LeaseUpRampPct)*LeaseUp!DD$10/StabilizedOccupancy))</f>
        <v/>
      </c>
      <c r="DE11" s="157">
        <f>IF(105&lt;DeliverStart,LeaseUpRampPct,MIN(1,LeaseUpRampPct+(1-LeaseUpRampPct)*LeaseUp!DE$10/StabilizedOccupancy))</f>
        <v/>
      </c>
      <c r="DF11" s="157">
        <f>IF(106&lt;DeliverStart,LeaseUpRampPct,MIN(1,LeaseUpRampPct+(1-LeaseUpRampPct)*LeaseUp!DF$10/StabilizedOccupancy))</f>
        <v/>
      </c>
      <c r="DG11" s="157">
        <f>IF(107&lt;DeliverStart,LeaseUpRampPct,MIN(1,LeaseUpRampPct+(1-LeaseUpRampPct)*LeaseUp!DG$10/StabilizedOccupancy))</f>
        <v/>
      </c>
      <c r="DH11" s="157">
        <f>IF(108&lt;DeliverStart,LeaseUpRampPct,MIN(1,LeaseUpRampPct+(1-LeaseUpRampPct)*LeaseUp!DH$10/StabilizedOccupancy))</f>
        <v/>
      </c>
      <c r="DI11" s="157">
        <f>IF(109&lt;DeliverStart,LeaseUpRampPct,MIN(1,LeaseUpRampPct+(1-LeaseUpRampPct)*LeaseUp!DI$10/StabilizedOccupancy))</f>
        <v/>
      </c>
      <c r="DJ11" s="157">
        <f>IF(110&lt;DeliverStart,LeaseUpRampPct,MIN(1,LeaseUpRampPct+(1-LeaseUpRampPct)*LeaseUp!DJ$10/StabilizedOccupancy))</f>
        <v/>
      </c>
      <c r="DK11" s="157">
        <f>IF(111&lt;DeliverStart,LeaseUpRampPct,MIN(1,LeaseUpRampPct+(1-LeaseUpRampPct)*LeaseUp!DK$10/StabilizedOccupancy))</f>
        <v/>
      </c>
      <c r="DL11" s="157">
        <f>IF(112&lt;DeliverStart,LeaseUpRampPct,MIN(1,LeaseUpRampPct+(1-LeaseUpRampPct)*LeaseUp!DL$10/StabilizedOccupancy))</f>
        <v/>
      </c>
      <c r="DM11" s="157">
        <f>IF(113&lt;DeliverStart,LeaseUpRampPct,MIN(1,LeaseUpRampPct+(1-LeaseUpRampPct)*LeaseUp!DM$10/StabilizedOccupancy))</f>
        <v/>
      </c>
      <c r="DN11" s="157">
        <f>IF(114&lt;DeliverStart,LeaseUpRampPct,MIN(1,LeaseUpRampPct+(1-LeaseUpRampPct)*LeaseUp!DN$10/StabilizedOccupancy))</f>
        <v/>
      </c>
      <c r="DO11" s="157">
        <f>IF(115&lt;DeliverStart,LeaseUpRampPct,MIN(1,LeaseUpRampPct+(1-LeaseUpRampPct)*LeaseUp!DO$10/StabilizedOccupancy))</f>
        <v/>
      </c>
      <c r="DP11" s="157">
        <f>IF(116&lt;DeliverStart,LeaseUpRampPct,MIN(1,LeaseUpRampPct+(1-LeaseUpRampPct)*LeaseUp!DP$10/StabilizedOccupancy))</f>
        <v/>
      </c>
      <c r="DQ11" s="157">
        <f>IF(117&lt;DeliverStart,LeaseUpRampPct,MIN(1,LeaseUpRampPct+(1-LeaseUpRampPct)*LeaseUp!DQ$10/StabilizedOccupancy))</f>
        <v/>
      </c>
      <c r="DR11" s="157">
        <f>IF(118&lt;DeliverStart,LeaseUpRampPct,MIN(1,LeaseUpRampPct+(1-LeaseUpRampPct)*LeaseUp!DR$10/StabilizedOccupancy))</f>
        <v/>
      </c>
      <c r="DS11" s="157">
        <f>IF(119&lt;DeliverStart,LeaseUpRampPct,MIN(1,LeaseUpRampPct+(1-LeaseUpRampPct)*LeaseUp!DS$10/StabilizedOccupancy))</f>
        <v/>
      </c>
      <c r="DT11" s="157">
        <f>IF(120&lt;DeliverStart,LeaseUpRampPct,MIN(1,LeaseUpRampPct+(1-LeaseUpRampPct)*LeaseUp!DT$10/StabilizedOccupancy))</f>
        <v/>
      </c>
      <c r="DU11" s="157">
        <f>IF(121&lt;DeliverStart,LeaseUpRampPct,MIN(1,LeaseUpRampPct+(1-LeaseUpRampPct)*LeaseUp!DU$10/StabilizedOccupancy))</f>
        <v/>
      </c>
      <c r="DV11" s="157">
        <f>IF(122&lt;DeliverStart,LeaseUpRampPct,MIN(1,LeaseUpRampPct+(1-LeaseUpRampPct)*LeaseUp!DV$10/StabilizedOccupancy))</f>
        <v/>
      </c>
      <c r="DW11" s="157">
        <f>IF(123&lt;DeliverStart,LeaseUpRampPct,MIN(1,LeaseUpRampPct+(1-LeaseUpRampPct)*LeaseUp!DW$10/StabilizedOccupancy))</f>
        <v/>
      </c>
      <c r="DX11" s="157">
        <f>IF(124&lt;DeliverStart,LeaseUpRampPct,MIN(1,LeaseUpRampPct+(1-LeaseUpRampPct)*LeaseUp!DX$10/StabilizedOccupancy))</f>
        <v/>
      </c>
      <c r="DY11" s="157">
        <f>IF(125&lt;DeliverStart,LeaseUpRampPct,MIN(1,LeaseUpRampPct+(1-LeaseUpRampPct)*LeaseUp!DY$10/StabilizedOccupancy))</f>
        <v/>
      </c>
      <c r="DZ11" s="157">
        <f>IF(126&lt;DeliverStart,LeaseUpRampPct,MIN(1,LeaseUpRampPct+(1-LeaseUpRampPct)*LeaseUp!DZ$10/StabilizedOccupancy))</f>
        <v/>
      </c>
      <c r="EA11" s="157">
        <f>IF(127&lt;DeliverStart,LeaseUpRampPct,MIN(1,LeaseUpRampPct+(1-LeaseUpRampPct)*LeaseUp!EA$10/StabilizedOccupancy))</f>
        <v/>
      </c>
      <c r="EB11" s="157">
        <f>IF(128&lt;DeliverStart,LeaseUpRampPct,MIN(1,LeaseUpRampPct+(1-LeaseUpRampPct)*LeaseUp!EB$10/StabilizedOccupancy))</f>
        <v/>
      </c>
      <c r="EC11" s="157">
        <f>IF(129&lt;DeliverStart,LeaseUpRampPct,MIN(1,LeaseUpRampPct+(1-LeaseUpRampPct)*LeaseUp!EC$10/StabilizedOccupancy))</f>
        <v/>
      </c>
      <c r="ED11" s="157">
        <f>IF(130&lt;DeliverStart,LeaseUpRampPct,MIN(1,LeaseUpRampPct+(1-LeaseUpRampPct)*LeaseUp!ED$10/StabilizedOccupancy))</f>
        <v/>
      </c>
      <c r="EE11" s="157">
        <f>IF(131&lt;DeliverStart,LeaseUpRampPct,MIN(1,LeaseUpRampPct+(1-LeaseUpRampPct)*LeaseUp!EE$10/StabilizedOccupancy))</f>
        <v/>
      </c>
      <c r="EF11" s="157">
        <f>IF(132&lt;DeliverStart,LeaseUpRampPct,MIN(1,LeaseUpRampPct+(1-LeaseUpRampPct)*LeaseUp!EF$10/StabilizedOccupancy))</f>
        <v/>
      </c>
      <c r="EG11" s="157">
        <f>IF(133&lt;DeliverStart,LeaseUpRampPct,MIN(1,LeaseUpRampPct+(1-LeaseUpRampPct)*LeaseUp!EG$10/StabilizedOccupancy))</f>
        <v/>
      </c>
      <c r="EH11" s="157">
        <f>IF(134&lt;DeliverStart,LeaseUpRampPct,MIN(1,LeaseUpRampPct+(1-LeaseUpRampPct)*LeaseUp!EH$10/StabilizedOccupancy))</f>
        <v/>
      </c>
      <c r="EI11" s="157">
        <f>IF(135&lt;DeliverStart,LeaseUpRampPct,MIN(1,LeaseUpRampPct+(1-LeaseUpRampPct)*LeaseUp!EI$10/StabilizedOccupancy))</f>
        <v/>
      </c>
      <c r="EJ11" s="157">
        <f>IF(136&lt;DeliverStart,LeaseUpRampPct,MIN(1,LeaseUpRampPct+(1-LeaseUpRampPct)*LeaseUp!EJ$10/StabilizedOccupancy))</f>
        <v/>
      </c>
      <c r="EK11" s="157">
        <f>IF(137&lt;DeliverStart,LeaseUpRampPct,MIN(1,LeaseUpRampPct+(1-LeaseUpRampPct)*LeaseUp!EK$10/StabilizedOccupancy))</f>
        <v/>
      </c>
      <c r="EL11" s="157">
        <f>IF(138&lt;DeliverStart,LeaseUpRampPct,MIN(1,LeaseUpRampPct+(1-LeaseUpRampPct)*LeaseUp!EL$10/StabilizedOccupancy))</f>
        <v/>
      </c>
      <c r="EM11" s="157">
        <f>IF(139&lt;DeliverStart,LeaseUpRampPct,MIN(1,LeaseUpRampPct+(1-LeaseUpRampPct)*LeaseUp!EM$10/StabilizedOccupancy))</f>
        <v/>
      </c>
      <c r="EN11" s="157">
        <f>IF(140&lt;DeliverStart,LeaseUpRampPct,MIN(1,LeaseUpRampPct+(1-LeaseUpRampPct)*LeaseUp!EN$10/StabilizedOccupancy))</f>
        <v/>
      </c>
      <c r="EO11" s="157">
        <f>IF(141&lt;DeliverStart,LeaseUpRampPct,MIN(1,LeaseUpRampPct+(1-LeaseUpRampPct)*LeaseUp!EO$10/StabilizedOccupancy))</f>
        <v/>
      </c>
      <c r="EP11" s="157">
        <f>IF(142&lt;DeliverStart,LeaseUpRampPct,MIN(1,LeaseUpRampPct+(1-LeaseUpRampPct)*LeaseUp!EP$10/StabilizedOccupancy))</f>
        <v/>
      </c>
      <c r="EQ11" s="157">
        <f>IF(143&lt;DeliverStart,LeaseUpRampPct,MIN(1,LeaseUpRampPct+(1-LeaseUpRampPct)*LeaseUp!EQ$10/StabilizedOccupancy))</f>
        <v/>
      </c>
      <c r="ER11" s="157">
        <f>IF(144&lt;DeliverStart,LeaseUpRampPct,MIN(1,LeaseUpRampPct+(1-LeaseUpRampPct)*LeaseUp!ER$10/StabilizedOccupancy))</f>
        <v/>
      </c>
      <c r="ES11" s="157">
        <f>IF(145&lt;DeliverStart,LeaseUpRampPct,MIN(1,LeaseUpRampPct+(1-LeaseUpRampPct)*LeaseUp!ES$10/StabilizedOccupancy))</f>
        <v/>
      </c>
      <c r="ET11" s="157">
        <f>IF(146&lt;DeliverStart,LeaseUpRampPct,MIN(1,LeaseUpRampPct+(1-LeaseUpRampPct)*LeaseUp!ET$10/StabilizedOccupancy))</f>
        <v/>
      </c>
      <c r="EU11" s="157">
        <f>IF(147&lt;DeliverStart,LeaseUpRampPct,MIN(1,LeaseUpRampPct+(1-LeaseUpRampPct)*LeaseUp!EU$10/StabilizedOccupancy))</f>
        <v/>
      </c>
      <c r="EV11" s="157">
        <f>IF(148&lt;DeliverStart,LeaseUpRampPct,MIN(1,LeaseUpRampPct+(1-LeaseUpRampPct)*LeaseUp!EV$10/StabilizedOccupancy))</f>
        <v/>
      </c>
      <c r="EW11" s="157">
        <f>IF(149&lt;DeliverStart,LeaseUpRampPct,MIN(1,LeaseUpRampPct+(1-LeaseUpRampPct)*LeaseUp!EW$10/StabilizedOccupancy))</f>
        <v/>
      </c>
      <c r="EX11" s="157">
        <f>IF(150&lt;DeliverStart,LeaseUpRampPct,MIN(1,LeaseUpRampPct+(1-LeaseUpRampPct)*LeaseUp!EX$10/StabilizedOccupancy))</f>
        <v/>
      </c>
      <c r="EY11" s="157">
        <f>IF(151&lt;DeliverStart,LeaseUpRampPct,MIN(1,LeaseUpRampPct+(1-LeaseUpRampPct)*LeaseUp!EY$10/StabilizedOccupancy))</f>
        <v/>
      </c>
      <c r="EZ11" s="157">
        <f>IF(152&lt;DeliverStart,LeaseUpRampPct,MIN(1,LeaseUpRampPct+(1-LeaseUpRampPct)*LeaseUp!EZ$10/StabilizedOccupancy))</f>
        <v/>
      </c>
      <c r="FA11" s="157">
        <f>IF(153&lt;DeliverStart,LeaseUpRampPct,MIN(1,LeaseUpRampPct+(1-LeaseUpRampPct)*LeaseUp!FA$10/StabilizedOccupancy))</f>
        <v/>
      </c>
      <c r="FB11" s="157">
        <f>IF(154&lt;DeliverStart,LeaseUpRampPct,MIN(1,LeaseUpRampPct+(1-LeaseUpRampPct)*LeaseUp!FB$10/StabilizedOccupancy))</f>
        <v/>
      </c>
      <c r="FC11" s="157">
        <f>IF(155&lt;DeliverStart,LeaseUpRampPct,MIN(1,LeaseUpRampPct+(1-LeaseUpRampPct)*LeaseUp!FC$10/StabilizedOccupancy))</f>
        <v/>
      </c>
      <c r="FD11" s="157">
        <f>IF(156&lt;DeliverStart,LeaseUpRampPct,MIN(1,LeaseUpRampPct+(1-LeaseUpRampPct)*LeaseUp!FD$10/StabilizedOccupancy))</f>
        <v/>
      </c>
      <c r="FE11" s="157">
        <f>IF(157&lt;DeliverStart,LeaseUpRampPct,MIN(1,LeaseUpRampPct+(1-LeaseUpRampPct)*LeaseUp!FE$10/StabilizedOccupancy))</f>
        <v/>
      </c>
      <c r="FF11" s="157">
        <f>IF(158&lt;DeliverStart,LeaseUpRampPct,MIN(1,LeaseUpRampPct+(1-LeaseUpRampPct)*LeaseUp!FF$10/StabilizedOccupancy))</f>
        <v/>
      </c>
      <c r="FG11" s="157">
        <f>IF(159&lt;DeliverStart,LeaseUpRampPct,MIN(1,LeaseUpRampPct+(1-LeaseUpRampPct)*LeaseUp!FG$10/StabilizedOccupancy))</f>
        <v/>
      </c>
      <c r="FH11" s="157">
        <f>IF(160&lt;DeliverStart,LeaseUpRampPct,MIN(1,LeaseUpRampPct+(1-LeaseUpRampPct)*LeaseUp!FH$10/StabilizedOccupancy))</f>
        <v/>
      </c>
      <c r="FI11" s="157">
        <f>IF(161&lt;DeliverStart,LeaseUpRampPct,MIN(1,LeaseUpRampPct+(1-LeaseUpRampPct)*LeaseUp!FI$10/StabilizedOccupancy))</f>
        <v/>
      </c>
      <c r="FJ11" s="157">
        <f>IF(162&lt;DeliverStart,LeaseUpRampPct,MIN(1,LeaseUpRampPct+(1-LeaseUpRampPct)*LeaseUp!FJ$10/StabilizedOccupancy))</f>
        <v/>
      </c>
      <c r="FK11" s="157">
        <f>IF(163&lt;DeliverStart,LeaseUpRampPct,MIN(1,LeaseUpRampPct+(1-LeaseUpRampPct)*LeaseUp!FK$10/StabilizedOccupancy))</f>
        <v/>
      </c>
      <c r="FL11" s="157">
        <f>IF(164&lt;DeliverStart,LeaseUpRampPct,MIN(1,LeaseUpRampPct+(1-LeaseUpRampPct)*LeaseUp!FL$10/StabilizedOccupancy))</f>
        <v/>
      </c>
      <c r="FM11" s="157">
        <f>IF(165&lt;DeliverStart,LeaseUpRampPct,MIN(1,LeaseUpRampPct+(1-LeaseUpRampPct)*LeaseUp!FM$10/StabilizedOccupancy))</f>
        <v/>
      </c>
      <c r="FN11" s="157">
        <f>IF(166&lt;DeliverStart,LeaseUpRampPct,MIN(1,LeaseUpRampPct+(1-LeaseUpRampPct)*LeaseUp!FN$10/StabilizedOccupancy))</f>
        <v/>
      </c>
      <c r="FO11" s="157">
        <f>IF(167&lt;DeliverStart,LeaseUpRampPct,MIN(1,LeaseUpRampPct+(1-LeaseUpRampPct)*LeaseUp!FO$10/StabilizedOccupancy))</f>
        <v/>
      </c>
      <c r="FP11" s="157">
        <f>IF(168&lt;DeliverStart,LeaseUpRampPct,MIN(1,LeaseUpRampPct+(1-LeaseUpRampPct)*LeaseUp!FP$10/StabilizedOccupancy))</f>
        <v/>
      </c>
      <c r="FQ11" s="157">
        <f>IF(169&lt;DeliverStart,LeaseUpRampPct,MIN(1,LeaseUpRampPct+(1-LeaseUpRampPct)*LeaseUp!FQ$10/StabilizedOccupancy))</f>
        <v/>
      </c>
      <c r="FR11" s="157">
        <f>IF(170&lt;DeliverStart,LeaseUpRampPct,MIN(1,LeaseUpRampPct+(1-LeaseUpRampPct)*LeaseUp!FR$10/StabilizedOccupancy))</f>
        <v/>
      </c>
      <c r="FS11" s="157">
        <f>IF(171&lt;DeliverStart,LeaseUpRampPct,MIN(1,LeaseUpRampPct+(1-LeaseUpRampPct)*LeaseUp!FS$10/StabilizedOccupancy))</f>
        <v/>
      </c>
      <c r="FT11" s="157">
        <f>IF(172&lt;DeliverStart,LeaseUpRampPct,MIN(1,LeaseUpRampPct+(1-LeaseUpRampPct)*LeaseUp!FT$10/StabilizedOccupancy))</f>
        <v/>
      </c>
      <c r="FU11" s="157">
        <f>IF(173&lt;DeliverStart,LeaseUpRampPct,MIN(1,LeaseUpRampPct+(1-LeaseUpRampPct)*LeaseUp!FU$10/StabilizedOccupancy))</f>
        <v/>
      </c>
      <c r="FV11" s="157">
        <f>IF(174&lt;DeliverStart,LeaseUpRampPct,MIN(1,LeaseUpRampPct+(1-LeaseUpRampPct)*LeaseUp!FV$10/StabilizedOccupancy))</f>
        <v/>
      </c>
      <c r="FW11" s="157">
        <f>IF(175&lt;DeliverStart,LeaseUpRampPct,MIN(1,LeaseUpRampPct+(1-LeaseUpRampPct)*LeaseUp!FW$10/StabilizedOccupancy))</f>
        <v/>
      </c>
      <c r="FX11" s="157">
        <f>IF(176&lt;DeliverStart,LeaseUpRampPct,MIN(1,LeaseUpRampPct+(1-LeaseUpRampPct)*LeaseUp!FX$10/StabilizedOccupancy))</f>
        <v/>
      </c>
      <c r="FY11" s="157">
        <f>IF(177&lt;DeliverStart,LeaseUpRampPct,MIN(1,LeaseUpRampPct+(1-LeaseUpRampPct)*LeaseUp!FY$10/StabilizedOccupancy))</f>
        <v/>
      </c>
      <c r="FZ11" s="157">
        <f>IF(178&lt;DeliverStart,LeaseUpRampPct,MIN(1,LeaseUpRampPct+(1-LeaseUpRampPct)*LeaseUp!FZ$10/StabilizedOccupancy))</f>
        <v/>
      </c>
      <c r="GA11" s="157">
        <f>IF(179&lt;DeliverStart,LeaseUpRampPct,MIN(1,LeaseUpRampPct+(1-LeaseUpRampPct)*LeaseUp!GA$10/StabilizedOccupancy))</f>
        <v/>
      </c>
      <c r="GB11" s="157">
        <f>IF(180&lt;DeliverStart,LeaseUpRampPct,MIN(1,LeaseUpRampPct+(1-LeaseUpRampPct)*LeaseUp!GB$10/StabilizedOccupancy))</f>
        <v/>
      </c>
      <c r="GC11" s="157">
        <f>IF(181&lt;DeliverStart,LeaseUpRampPct,MIN(1,LeaseUpRampPct+(1-LeaseUpRampPct)*LeaseUp!GC$10/StabilizedOccupancy))</f>
        <v/>
      </c>
      <c r="GD11" s="157">
        <f>IF(182&lt;DeliverStart,LeaseUpRampPct,MIN(1,LeaseUpRampPct+(1-LeaseUpRampPct)*LeaseUp!GD$10/StabilizedOccupancy))</f>
        <v/>
      </c>
      <c r="GE11" s="157">
        <f>IF(183&lt;DeliverStart,LeaseUpRampPct,MIN(1,LeaseUpRampPct+(1-LeaseUpRampPct)*LeaseUp!GE$10/StabilizedOccupancy))</f>
        <v/>
      </c>
      <c r="GF11" s="157">
        <f>IF(184&lt;DeliverStart,LeaseUpRampPct,MIN(1,LeaseUpRampPct+(1-LeaseUpRampPct)*LeaseUp!GF$10/StabilizedOccupancy))</f>
        <v/>
      </c>
      <c r="GG11" s="157">
        <f>IF(185&lt;DeliverStart,LeaseUpRampPct,MIN(1,LeaseUpRampPct+(1-LeaseUpRampPct)*LeaseUp!GG$10/StabilizedOccupancy))</f>
        <v/>
      </c>
      <c r="GH11" s="157">
        <f>IF(186&lt;DeliverStart,LeaseUpRampPct,MIN(1,LeaseUpRampPct+(1-LeaseUpRampPct)*LeaseUp!GH$10/StabilizedOccupancy))</f>
        <v/>
      </c>
      <c r="GI11" s="157">
        <f>IF(187&lt;DeliverStart,LeaseUpRampPct,MIN(1,LeaseUpRampPct+(1-LeaseUpRampPct)*LeaseUp!GI$10/StabilizedOccupancy))</f>
        <v/>
      </c>
      <c r="GJ11" s="157">
        <f>IF(188&lt;DeliverStart,LeaseUpRampPct,MIN(1,LeaseUpRampPct+(1-LeaseUpRampPct)*LeaseUp!GJ$10/StabilizedOccupancy))</f>
        <v/>
      </c>
      <c r="GK11" s="157">
        <f>IF(189&lt;DeliverStart,LeaseUpRampPct,MIN(1,LeaseUpRampPct+(1-LeaseUpRampPct)*LeaseUp!GK$10/StabilizedOccupancy))</f>
        <v/>
      </c>
      <c r="GL11" s="157">
        <f>IF(190&lt;DeliverStart,LeaseUpRampPct,MIN(1,LeaseUpRampPct+(1-LeaseUpRampPct)*LeaseUp!GL$10/StabilizedOccupancy))</f>
        <v/>
      </c>
      <c r="GM11" s="157">
        <f>IF(191&lt;DeliverStart,LeaseUpRampPct,MIN(1,LeaseUpRampPct+(1-LeaseUpRampPct)*LeaseUp!GM$10/StabilizedOccupancy))</f>
        <v/>
      </c>
      <c r="GN11" s="157">
        <f>IF(192&lt;DeliverStart,LeaseUpRampPct,MIN(1,LeaseUpRampPct+(1-LeaseUpRampPct)*LeaseUp!GN$10/StabilizedOccupancy))</f>
        <v/>
      </c>
      <c r="GO11" s="157">
        <f>IF(193&lt;DeliverStart,LeaseUpRampPct,MIN(1,LeaseUpRampPct+(1-LeaseUpRampPct)*LeaseUp!GO$10/StabilizedOccupancy))</f>
        <v/>
      </c>
      <c r="GP11" s="157">
        <f>IF(194&lt;DeliverStart,LeaseUpRampPct,MIN(1,LeaseUpRampPct+(1-LeaseUpRampPct)*LeaseUp!GP$10/StabilizedOccupancy))</f>
        <v/>
      </c>
      <c r="GQ11" s="157">
        <f>IF(195&lt;DeliverStart,LeaseUpRampPct,MIN(1,LeaseUpRampPct+(1-LeaseUpRampPct)*LeaseUp!GQ$10/StabilizedOccupancy))</f>
        <v/>
      </c>
      <c r="GR11" s="157">
        <f>IF(196&lt;DeliverStart,LeaseUpRampPct,MIN(1,LeaseUpRampPct+(1-LeaseUpRampPct)*LeaseUp!GR$10/StabilizedOccupancy))</f>
        <v/>
      </c>
      <c r="GS11" s="157">
        <f>IF(197&lt;DeliverStart,LeaseUpRampPct,MIN(1,LeaseUpRampPct+(1-LeaseUpRampPct)*LeaseUp!GS$10/StabilizedOccupancy))</f>
        <v/>
      </c>
      <c r="GT11" s="157">
        <f>IF(198&lt;DeliverStart,LeaseUpRampPct,MIN(1,LeaseUpRampPct+(1-LeaseUpRampPct)*LeaseUp!GT$10/StabilizedOccupancy))</f>
        <v/>
      </c>
      <c r="GU11" s="157">
        <f>IF(199&lt;DeliverStart,LeaseUpRampPct,MIN(1,LeaseUpRampPct+(1-LeaseUpRampPct)*LeaseUp!GU$10/StabilizedOccupancy))</f>
        <v/>
      </c>
      <c r="GV11" s="157">
        <f>IF(200&lt;DeliverStart,LeaseUpRampPct,MIN(1,LeaseUpRampPct+(1-LeaseUpRampPct)*LeaseUp!GV$10/StabilizedOccupancy))</f>
        <v/>
      </c>
      <c r="GW11" s="157">
        <f>IF(201&lt;DeliverStart,LeaseUpRampPct,MIN(1,LeaseUpRampPct+(1-LeaseUpRampPct)*LeaseUp!GW$10/StabilizedOccupancy))</f>
        <v/>
      </c>
      <c r="GX11" s="157">
        <f>IF(202&lt;DeliverStart,LeaseUpRampPct,MIN(1,LeaseUpRampPct+(1-LeaseUpRampPct)*LeaseUp!GX$10/StabilizedOccupancy))</f>
        <v/>
      </c>
      <c r="GY11" s="157">
        <f>IF(203&lt;DeliverStart,LeaseUpRampPct,MIN(1,LeaseUpRampPct+(1-LeaseUpRampPct)*LeaseUp!GY$10/StabilizedOccupancy))</f>
        <v/>
      </c>
      <c r="GZ11" s="157">
        <f>IF(204&lt;DeliverStart,LeaseUpRampPct,MIN(1,LeaseUpRampPct+(1-LeaseUpRampPct)*LeaseUp!GZ$10/StabilizedOccupancy))</f>
        <v/>
      </c>
      <c r="HA11" s="157">
        <f>IF(205&lt;DeliverStart,LeaseUpRampPct,MIN(1,LeaseUpRampPct+(1-LeaseUpRampPct)*LeaseUp!HA$10/StabilizedOccupancy))</f>
        <v/>
      </c>
      <c r="HB11" s="157">
        <f>IF(206&lt;DeliverStart,LeaseUpRampPct,MIN(1,LeaseUpRampPct+(1-LeaseUpRampPct)*LeaseUp!HB$10/StabilizedOccupancy))</f>
        <v/>
      </c>
      <c r="HC11" s="157">
        <f>IF(207&lt;DeliverStart,LeaseUpRampPct,MIN(1,LeaseUpRampPct+(1-LeaseUpRampPct)*LeaseUp!HC$10/StabilizedOccupancy))</f>
        <v/>
      </c>
      <c r="HD11" s="157">
        <f>IF(208&lt;DeliverStart,LeaseUpRampPct,MIN(1,LeaseUpRampPct+(1-LeaseUpRampPct)*LeaseUp!HD$10/StabilizedOccupancy))</f>
        <v/>
      </c>
      <c r="HE11" s="157">
        <f>IF(209&lt;DeliverStart,LeaseUpRampPct,MIN(1,LeaseUpRampPct+(1-LeaseUpRampPct)*LeaseUp!HE$10/StabilizedOccupancy))</f>
        <v/>
      </c>
      <c r="HF11" s="157">
        <f>IF(210&lt;DeliverStart,LeaseUpRampPct,MIN(1,LeaseUpRampPct+(1-LeaseUpRampPct)*LeaseUp!HF$10/StabilizedOccupancy))</f>
        <v/>
      </c>
      <c r="HG11" s="157">
        <f>IF(211&lt;DeliverStart,LeaseUpRampPct,MIN(1,LeaseUpRampPct+(1-LeaseUpRampPct)*LeaseUp!HG$10/StabilizedOccupancy))</f>
        <v/>
      </c>
      <c r="HH11" s="157">
        <f>IF(212&lt;DeliverStart,LeaseUpRampPct,MIN(1,LeaseUpRampPct+(1-LeaseUpRampPct)*LeaseUp!HH$10/StabilizedOccupancy))</f>
        <v/>
      </c>
      <c r="HI11" s="157">
        <f>IF(213&lt;DeliverStart,LeaseUpRampPct,MIN(1,LeaseUpRampPct+(1-LeaseUpRampPct)*LeaseUp!HI$10/StabilizedOccupancy))</f>
        <v/>
      </c>
      <c r="HJ11" s="157">
        <f>IF(214&lt;DeliverStart,LeaseUpRampPct,MIN(1,LeaseUpRampPct+(1-LeaseUpRampPct)*LeaseUp!HJ$10/StabilizedOccupancy))</f>
        <v/>
      </c>
      <c r="HK11" s="157">
        <f>IF(215&lt;DeliverStart,LeaseUpRampPct,MIN(1,LeaseUpRampPct+(1-LeaseUpRampPct)*LeaseUp!HK$10/StabilizedOccupancy))</f>
        <v/>
      </c>
      <c r="HL11" s="157">
        <f>IF(216&lt;DeliverStart,LeaseUpRampPct,MIN(1,LeaseUpRampPct+(1-LeaseUpRampPct)*LeaseUp!HL$10/StabilizedOccupancy))</f>
        <v/>
      </c>
      <c r="HM11" s="157">
        <f>IF(217&lt;DeliverStart,LeaseUpRampPct,MIN(1,LeaseUpRampPct+(1-LeaseUpRampPct)*LeaseUp!HM$10/StabilizedOccupancy))</f>
        <v/>
      </c>
      <c r="HN11" s="157">
        <f>IF(218&lt;DeliverStart,LeaseUpRampPct,MIN(1,LeaseUpRampPct+(1-LeaseUpRampPct)*LeaseUp!HN$10/StabilizedOccupancy))</f>
        <v/>
      </c>
      <c r="HO11" s="157">
        <f>IF(219&lt;DeliverStart,LeaseUpRampPct,MIN(1,LeaseUpRampPct+(1-LeaseUpRampPct)*LeaseUp!HO$10/StabilizedOccupancy))</f>
        <v/>
      </c>
      <c r="HP11" s="157">
        <f>IF(220&lt;DeliverStart,LeaseUpRampPct,MIN(1,LeaseUpRampPct+(1-LeaseUpRampPct)*LeaseUp!HP$10/StabilizedOccupancy))</f>
        <v/>
      </c>
      <c r="HQ11" s="157">
        <f>IF(221&lt;DeliverStart,LeaseUpRampPct,MIN(1,LeaseUpRampPct+(1-LeaseUpRampPct)*LeaseUp!HQ$10/StabilizedOccupancy))</f>
        <v/>
      </c>
      <c r="HR11" s="157">
        <f>IF(222&lt;DeliverStart,LeaseUpRampPct,MIN(1,LeaseUpRampPct+(1-LeaseUpRampPct)*LeaseUp!HR$10/StabilizedOccupancy))</f>
        <v/>
      </c>
      <c r="HS11" s="157">
        <f>IF(223&lt;DeliverStart,LeaseUpRampPct,MIN(1,LeaseUpRampPct+(1-LeaseUpRampPct)*LeaseUp!HS$10/StabilizedOccupancy))</f>
        <v/>
      </c>
      <c r="HT11" s="157">
        <f>IF(224&lt;DeliverStart,LeaseUpRampPct,MIN(1,LeaseUpRampPct+(1-LeaseUpRampPct)*LeaseUp!HT$10/StabilizedOccupancy))</f>
        <v/>
      </c>
      <c r="HU11" s="157">
        <f>IF(225&lt;DeliverStart,LeaseUpRampPct,MIN(1,LeaseUpRampPct+(1-LeaseUpRampPct)*LeaseUp!HU$10/StabilizedOccupancy))</f>
        <v/>
      </c>
      <c r="HV11" s="157">
        <f>IF(226&lt;DeliverStart,LeaseUpRampPct,MIN(1,LeaseUpRampPct+(1-LeaseUpRampPct)*LeaseUp!HV$10/StabilizedOccupancy))</f>
        <v/>
      </c>
      <c r="HW11" s="157">
        <f>IF(227&lt;DeliverStart,LeaseUpRampPct,MIN(1,LeaseUpRampPct+(1-LeaseUpRampPct)*LeaseUp!HW$10/StabilizedOccupancy))</f>
        <v/>
      </c>
      <c r="HX11" s="157">
        <f>IF(228&lt;DeliverStart,LeaseUpRampPct,MIN(1,LeaseUpRampPct+(1-LeaseUpRampPct)*LeaseUp!HX$10/StabilizedOccupancy))</f>
        <v/>
      </c>
      <c r="HY11" s="157">
        <f>IF(229&lt;DeliverStart,LeaseUpRampPct,MIN(1,LeaseUpRampPct+(1-LeaseUpRampPct)*LeaseUp!HY$10/StabilizedOccupancy))</f>
        <v/>
      </c>
      <c r="HZ11" s="157">
        <f>IF(230&lt;DeliverStart,LeaseUpRampPct,MIN(1,LeaseUpRampPct+(1-LeaseUpRampPct)*LeaseUp!HZ$10/StabilizedOccupancy))</f>
        <v/>
      </c>
      <c r="IA11" s="157">
        <f>IF(231&lt;DeliverStart,LeaseUpRampPct,MIN(1,LeaseUpRampPct+(1-LeaseUpRampPct)*LeaseUp!IA$10/StabilizedOccupancy))</f>
        <v/>
      </c>
      <c r="IB11" s="157">
        <f>IF(232&lt;DeliverStart,LeaseUpRampPct,MIN(1,LeaseUpRampPct+(1-LeaseUpRampPct)*LeaseUp!IB$10/StabilizedOccupancy))</f>
        <v/>
      </c>
      <c r="IC11" s="157">
        <f>IF(233&lt;DeliverStart,LeaseUpRampPct,MIN(1,LeaseUpRampPct+(1-LeaseUpRampPct)*LeaseUp!IC$10/StabilizedOccupancy))</f>
        <v/>
      </c>
      <c r="ID11" s="157">
        <f>IF(234&lt;DeliverStart,LeaseUpRampPct,MIN(1,LeaseUpRampPct+(1-LeaseUpRampPct)*LeaseUp!ID$10/StabilizedOccupancy))</f>
        <v/>
      </c>
      <c r="IE11" s="157">
        <f>IF(235&lt;DeliverStart,LeaseUpRampPct,MIN(1,LeaseUpRampPct+(1-LeaseUpRampPct)*LeaseUp!IE$10/StabilizedOccupancy))</f>
        <v/>
      </c>
      <c r="IF11" s="157">
        <f>IF(236&lt;DeliverStart,LeaseUpRampPct,MIN(1,LeaseUpRampPct+(1-LeaseUpRampPct)*LeaseUp!IF$10/StabilizedOccupancy))</f>
        <v/>
      </c>
      <c r="IG11" s="157">
        <f>IF(237&lt;DeliverStart,LeaseUpRampPct,MIN(1,LeaseUpRampPct+(1-LeaseUpRampPct)*LeaseUp!IG$10/StabilizedOccupancy))</f>
        <v/>
      </c>
      <c r="IH11" s="157">
        <f>IF(238&lt;DeliverStart,LeaseUpRampPct,MIN(1,LeaseUpRampPct+(1-LeaseUpRampPct)*LeaseUp!IH$10/StabilizedOccupancy))</f>
        <v/>
      </c>
      <c r="II11" s="157">
        <f>IF(239&lt;DeliverStart,LeaseUpRampPct,MIN(1,LeaseUpRampPct+(1-LeaseUpRampPct)*LeaseUp!II$10/StabilizedOccupancy))</f>
        <v/>
      </c>
      <c r="IJ11" s="157">
        <f>IF(240&lt;DeliverStart,LeaseUpRampPct,MIN(1,LeaseUpRampPct+(1-LeaseUpRampPct)*LeaseUp!IJ$10/StabilizedOccupancy))</f>
        <v/>
      </c>
      <c r="IK11" s="157">
        <f>IF(241&lt;DeliverStart,LeaseUpRampPct,MIN(1,LeaseUpRampPct+(1-LeaseUpRampPct)*LeaseUp!IK$10/StabilizedOccupancy))</f>
        <v/>
      </c>
      <c r="IL11" s="157">
        <f>IF(242&lt;DeliverStart,LeaseUpRampPct,MIN(1,LeaseUpRampPct+(1-LeaseUpRampPct)*LeaseUp!IL$10/StabilizedOccupancy))</f>
        <v/>
      </c>
      <c r="IM11" s="157">
        <f>IF(243&lt;DeliverStart,LeaseUpRampPct,MIN(1,LeaseUpRampPct+(1-LeaseUpRampPct)*LeaseUp!IM$10/StabilizedOccupancy))</f>
        <v/>
      </c>
      <c r="IN11" s="157">
        <f>IF(244&lt;DeliverStart,LeaseUpRampPct,MIN(1,LeaseUpRampPct+(1-LeaseUpRampPct)*LeaseUp!IN$10/StabilizedOccupancy))</f>
        <v/>
      </c>
      <c r="IO11" s="157">
        <f>IF(245&lt;DeliverStart,LeaseUpRampPct,MIN(1,LeaseUpRampPct+(1-LeaseUpRampPct)*LeaseUp!IO$10/StabilizedOccupancy))</f>
        <v/>
      </c>
      <c r="IP11" s="157">
        <f>IF(246&lt;DeliverStart,LeaseUpRampPct,MIN(1,LeaseUpRampPct+(1-LeaseUpRampPct)*LeaseUp!IP$10/StabilizedOccupancy))</f>
        <v/>
      </c>
      <c r="IQ11" s="157">
        <f>IF(247&lt;DeliverStart,LeaseUpRampPct,MIN(1,LeaseUpRampPct+(1-LeaseUpRampPct)*LeaseUp!IQ$10/StabilizedOccupancy))</f>
        <v/>
      </c>
      <c r="IR11" s="157">
        <f>IF(248&lt;DeliverStart,LeaseUpRampPct,MIN(1,LeaseUpRampPct+(1-LeaseUpRampPct)*LeaseUp!IR$10/StabilizedOccupancy))</f>
        <v/>
      </c>
      <c r="IS11" s="157">
        <f>IF(249&lt;DeliverStart,LeaseUpRampPct,MIN(1,LeaseUpRampPct+(1-LeaseUpRampPct)*LeaseUp!IS$10/StabilizedOccupancy))</f>
        <v/>
      </c>
      <c r="IT11" s="157">
        <f>IF(250&lt;DeliverStart,LeaseUpRampPct,MIN(1,LeaseUpRampPct+(1-LeaseUpRampPct)*LeaseUp!IT$10/StabilizedOccupancy))</f>
        <v/>
      </c>
      <c r="IU11" s="157">
        <f>IF(251&lt;DeliverStart,LeaseUpRampPct,MIN(1,LeaseUpRampPct+(1-LeaseUpRampPct)*LeaseUp!IU$10/StabilizedOccupancy))</f>
        <v/>
      </c>
      <c r="IV11" s="157">
        <f>IF(252&lt;DeliverStart,LeaseUpRampPct,MIN(1,LeaseUpRampPct+(1-LeaseUpRampPct)*LeaseUp!IV$10/StabilizedOccupancy))</f>
        <v/>
      </c>
      <c r="IW11" s="157">
        <f>IF(253&lt;DeliverStart,LeaseUpRampPct,MIN(1,LeaseUpRampPct+(1-LeaseUpRampPct)*LeaseUp!IW$10/StabilizedOccupancy))</f>
        <v/>
      </c>
      <c r="IX11" s="157">
        <f>IF(254&lt;DeliverStart,LeaseUpRampPct,MIN(1,LeaseUpRampPct+(1-LeaseUpRampPct)*LeaseUp!IX$10/StabilizedOccupancy))</f>
        <v/>
      </c>
      <c r="IY11" s="157">
        <f>IF(255&lt;DeliverStart,LeaseUpRampPct,MIN(1,LeaseUpRampPct+(1-LeaseUpRampPct)*LeaseUp!IY$10/StabilizedOccupancy))</f>
        <v/>
      </c>
      <c r="IZ11" s="157">
        <f>IF(256&lt;DeliverStart,LeaseUpRampPct,MIN(1,LeaseUpRampPct+(1-LeaseUpRampPct)*LeaseUp!IZ$10/StabilizedOccupancy))</f>
        <v/>
      </c>
      <c r="JA11" s="157">
        <f>IF(257&lt;DeliverStart,LeaseUpRampPct,MIN(1,LeaseUpRampPct+(1-LeaseUpRampPct)*LeaseUp!JA$10/StabilizedOccupancy))</f>
        <v/>
      </c>
      <c r="JB11" s="157">
        <f>IF(258&lt;DeliverStart,LeaseUpRampPct,MIN(1,LeaseUpRampPct+(1-LeaseUpRampPct)*LeaseUp!JB$10/StabilizedOccupancy))</f>
        <v/>
      </c>
      <c r="JC11" s="157">
        <f>IF(259&lt;DeliverStart,LeaseUpRampPct,MIN(1,LeaseUpRampPct+(1-LeaseUpRampPct)*LeaseUp!JC$10/StabilizedOccupancy))</f>
        <v/>
      </c>
      <c r="JD11" s="157">
        <f>IF(260&lt;DeliverStart,LeaseUpRampPct,MIN(1,LeaseUpRampPct+(1-LeaseUpRampPct)*LeaseUp!JD$10/StabilizedOccupancy))</f>
        <v/>
      </c>
      <c r="JE11" s="157">
        <f>IF(261&lt;DeliverStart,LeaseUpRampPct,MIN(1,LeaseUpRampPct+(1-LeaseUpRampPct)*LeaseUp!JE$10/StabilizedOccupancy))</f>
        <v/>
      </c>
      <c r="JF11" s="157">
        <f>IF(262&lt;DeliverStart,LeaseUpRampPct,MIN(1,LeaseUpRampPct+(1-LeaseUpRampPct)*LeaseUp!JF$10/StabilizedOccupancy))</f>
        <v/>
      </c>
      <c r="JG11" s="157">
        <f>IF(263&lt;DeliverStart,LeaseUpRampPct,MIN(1,LeaseUpRampPct+(1-LeaseUpRampPct)*LeaseUp!JG$10/StabilizedOccupancy))</f>
        <v/>
      </c>
      <c r="JH11" s="157">
        <f>IF(264&lt;DeliverStart,LeaseUpRampPct,MIN(1,LeaseUpRampPct+(1-LeaseUpRampPct)*LeaseUp!JH$10/StabilizedOccupancy))</f>
        <v/>
      </c>
      <c r="JI11" s="157">
        <f>IF(265&lt;DeliverStart,LeaseUpRampPct,MIN(1,LeaseUpRampPct+(1-LeaseUpRampPct)*LeaseUp!JI$10/StabilizedOccupancy))</f>
        <v/>
      </c>
      <c r="JJ11" s="157">
        <f>IF(266&lt;DeliverStart,LeaseUpRampPct,MIN(1,LeaseUpRampPct+(1-LeaseUpRampPct)*LeaseUp!JJ$10/StabilizedOccupancy))</f>
        <v/>
      </c>
      <c r="JK11" s="157">
        <f>IF(267&lt;DeliverStart,LeaseUpRampPct,MIN(1,LeaseUpRampPct+(1-LeaseUpRampPct)*LeaseUp!JK$10/StabilizedOccupancy))</f>
        <v/>
      </c>
      <c r="JL11" s="157">
        <f>IF(268&lt;DeliverStart,LeaseUpRampPct,MIN(1,LeaseUpRampPct+(1-LeaseUpRampPct)*LeaseUp!JL$10/StabilizedOccupancy))</f>
        <v/>
      </c>
      <c r="JM11" s="157">
        <f>IF(269&lt;DeliverStart,LeaseUpRampPct,MIN(1,LeaseUpRampPct+(1-LeaseUpRampPct)*LeaseUp!JM$10/StabilizedOccupancy))</f>
        <v/>
      </c>
      <c r="JN11" s="157">
        <f>IF(270&lt;DeliverStart,LeaseUpRampPct,MIN(1,LeaseUpRampPct+(1-LeaseUpRampPct)*LeaseUp!JN$10/StabilizedOccupancy))</f>
        <v/>
      </c>
      <c r="JO11" s="157">
        <f>IF(271&lt;DeliverStart,LeaseUpRampPct,MIN(1,LeaseUpRampPct+(1-LeaseUpRampPct)*LeaseUp!JO$10/StabilizedOccupancy))</f>
        <v/>
      </c>
      <c r="JP11" s="157">
        <f>IF(272&lt;DeliverStart,LeaseUpRampPct,MIN(1,LeaseUpRampPct+(1-LeaseUpRampPct)*LeaseUp!JP$10/StabilizedOccupancy))</f>
        <v/>
      </c>
      <c r="JQ11" s="157">
        <f>IF(273&lt;DeliverStart,LeaseUpRampPct,MIN(1,LeaseUpRampPct+(1-LeaseUpRampPct)*LeaseUp!JQ$10/StabilizedOccupancy))</f>
        <v/>
      </c>
      <c r="JR11" s="157">
        <f>IF(274&lt;DeliverStart,LeaseUpRampPct,MIN(1,LeaseUpRampPct+(1-LeaseUpRampPct)*LeaseUp!JR$10/StabilizedOccupancy))</f>
        <v/>
      </c>
      <c r="JS11" s="157">
        <f>IF(275&lt;DeliverStart,LeaseUpRampPct,MIN(1,LeaseUpRampPct+(1-LeaseUpRampPct)*LeaseUp!JS$10/StabilizedOccupancy))</f>
        <v/>
      </c>
      <c r="JT11" s="157">
        <f>IF(276&lt;DeliverStart,LeaseUpRampPct,MIN(1,LeaseUpRampPct+(1-LeaseUpRampPct)*LeaseUp!JT$10/StabilizedOccupancy))</f>
        <v/>
      </c>
      <c r="JU11" s="157">
        <f>IF(277&lt;DeliverStart,LeaseUpRampPct,MIN(1,LeaseUpRampPct+(1-LeaseUpRampPct)*LeaseUp!JU$10/StabilizedOccupancy))</f>
        <v/>
      </c>
      <c r="JV11" s="157">
        <f>IF(278&lt;DeliverStart,LeaseUpRampPct,MIN(1,LeaseUpRampPct+(1-LeaseUpRampPct)*LeaseUp!JV$10/StabilizedOccupancy))</f>
        <v/>
      </c>
      <c r="JW11" s="157">
        <f>IF(279&lt;DeliverStart,LeaseUpRampPct,MIN(1,LeaseUpRampPct+(1-LeaseUpRampPct)*LeaseUp!JW$10/StabilizedOccupancy))</f>
        <v/>
      </c>
      <c r="JX11" s="157">
        <f>IF(280&lt;DeliverStart,LeaseUpRampPct,MIN(1,LeaseUpRampPct+(1-LeaseUpRampPct)*LeaseUp!JX$10/StabilizedOccupancy))</f>
        <v/>
      </c>
      <c r="JY11" s="157">
        <f>IF(281&lt;DeliverStart,LeaseUpRampPct,MIN(1,LeaseUpRampPct+(1-LeaseUpRampPct)*LeaseUp!JY$10/StabilizedOccupancy))</f>
        <v/>
      </c>
      <c r="JZ11" s="157">
        <f>IF(282&lt;DeliverStart,LeaseUpRampPct,MIN(1,LeaseUpRampPct+(1-LeaseUpRampPct)*LeaseUp!JZ$10/StabilizedOccupancy))</f>
        <v/>
      </c>
      <c r="KA11" s="157">
        <f>IF(283&lt;DeliverStart,LeaseUpRampPct,MIN(1,LeaseUpRampPct+(1-LeaseUpRampPct)*LeaseUp!KA$10/StabilizedOccupancy))</f>
        <v/>
      </c>
      <c r="KB11" s="157">
        <f>IF(284&lt;DeliverStart,LeaseUpRampPct,MIN(1,LeaseUpRampPct+(1-LeaseUpRampPct)*LeaseUp!KB$10/StabilizedOccupancy))</f>
        <v/>
      </c>
      <c r="KC11" s="157">
        <f>IF(285&lt;DeliverStart,LeaseUpRampPct,MIN(1,LeaseUpRampPct+(1-LeaseUpRampPct)*LeaseUp!KC$10/StabilizedOccupancy))</f>
        <v/>
      </c>
      <c r="KD11" s="157">
        <f>IF(286&lt;DeliverStart,LeaseUpRampPct,MIN(1,LeaseUpRampPct+(1-LeaseUpRampPct)*LeaseUp!KD$10/StabilizedOccupancy))</f>
        <v/>
      </c>
      <c r="KE11" s="157">
        <f>IF(287&lt;DeliverStart,LeaseUpRampPct,MIN(1,LeaseUpRampPct+(1-LeaseUpRampPct)*LeaseUp!KE$10/StabilizedOccupancy))</f>
        <v/>
      </c>
      <c r="KF11" s="157">
        <f>IF(288&lt;DeliverStart,LeaseUpRampPct,MIN(1,LeaseUpRampPct+(1-LeaseUpRampPct)*LeaseUp!KF$10/StabilizedOccupancy))</f>
        <v/>
      </c>
      <c r="KG11" s="157">
        <f>IF(289&lt;DeliverStart,LeaseUpRampPct,MIN(1,LeaseUpRampPct+(1-LeaseUpRampPct)*LeaseUp!KG$10/StabilizedOccupancy))</f>
        <v/>
      </c>
      <c r="KH11" s="157">
        <f>IF(290&lt;DeliverStart,LeaseUpRampPct,MIN(1,LeaseUpRampPct+(1-LeaseUpRampPct)*LeaseUp!KH$10/StabilizedOccupancy))</f>
        <v/>
      </c>
      <c r="KI11" s="157">
        <f>IF(291&lt;DeliverStart,LeaseUpRampPct,MIN(1,LeaseUpRampPct+(1-LeaseUpRampPct)*LeaseUp!KI$10/StabilizedOccupancy))</f>
        <v/>
      </c>
      <c r="KJ11" s="157">
        <f>IF(292&lt;DeliverStart,LeaseUpRampPct,MIN(1,LeaseUpRampPct+(1-LeaseUpRampPct)*LeaseUp!KJ$10/StabilizedOccupancy))</f>
        <v/>
      </c>
      <c r="KK11" s="157">
        <f>IF(293&lt;DeliverStart,LeaseUpRampPct,MIN(1,LeaseUpRampPct+(1-LeaseUpRampPct)*LeaseUp!KK$10/StabilizedOccupancy))</f>
        <v/>
      </c>
      <c r="KL11" s="157">
        <f>IF(294&lt;DeliverStart,LeaseUpRampPct,MIN(1,LeaseUpRampPct+(1-LeaseUpRampPct)*LeaseUp!KL$10/StabilizedOccupancy))</f>
        <v/>
      </c>
      <c r="KM11" s="157">
        <f>IF(295&lt;DeliverStart,LeaseUpRampPct,MIN(1,LeaseUpRampPct+(1-LeaseUpRampPct)*LeaseUp!KM$10/StabilizedOccupancy))</f>
        <v/>
      </c>
      <c r="KN11" s="157">
        <f>IF(296&lt;DeliverStart,LeaseUpRampPct,MIN(1,LeaseUpRampPct+(1-LeaseUpRampPct)*LeaseUp!KN$10/StabilizedOccupancy))</f>
        <v/>
      </c>
      <c r="KO11" s="157">
        <f>IF(297&lt;DeliverStart,LeaseUpRampPct,MIN(1,LeaseUpRampPct+(1-LeaseUpRampPct)*LeaseUp!KO$10/StabilizedOccupancy))</f>
        <v/>
      </c>
      <c r="KP11" s="157">
        <f>IF(298&lt;DeliverStart,LeaseUpRampPct,MIN(1,LeaseUpRampPct+(1-LeaseUpRampPct)*LeaseUp!KP$10/StabilizedOccupancy))</f>
        <v/>
      </c>
      <c r="KQ11" s="157">
        <f>IF(299&lt;DeliverStart,LeaseUpRampPct,MIN(1,LeaseUpRampPct+(1-LeaseUpRampPct)*LeaseUp!KQ$10/StabilizedOccupancy))</f>
        <v/>
      </c>
      <c r="KR11" s="157">
        <f>IF(300&lt;DeliverStart,LeaseUpRampPct,MIN(1,LeaseUpRampPct+(1-LeaseUpRampPct)*LeaseUp!KR$10/StabilizedOccupancy))</f>
        <v/>
      </c>
      <c r="KS11" s="157">
        <f>IF(301&lt;DeliverStart,LeaseUpRampPct,MIN(1,LeaseUpRampPct+(1-LeaseUpRampPct)*LeaseUp!KS$10/StabilizedOccupancy))</f>
        <v/>
      </c>
      <c r="KT11" s="157">
        <f>IF(302&lt;DeliverStart,LeaseUpRampPct,MIN(1,LeaseUpRampPct+(1-LeaseUpRampPct)*LeaseUp!KT$10/StabilizedOccupancy))</f>
        <v/>
      </c>
      <c r="KU11" s="157">
        <f>IF(303&lt;DeliverStart,LeaseUpRampPct,MIN(1,LeaseUpRampPct+(1-LeaseUpRampPct)*LeaseUp!KU$10/StabilizedOccupancy))</f>
        <v/>
      </c>
      <c r="KV11" s="157">
        <f>IF(304&lt;DeliverStart,LeaseUpRampPct,MIN(1,LeaseUpRampPct+(1-LeaseUpRampPct)*LeaseUp!KV$10/StabilizedOccupancy))</f>
        <v/>
      </c>
      <c r="KW11" s="157">
        <f>IF(305&lt;DeliverStart,LeaseUpRampPct,MIN(1,LeaseUpRampPct+(1-LeaseUpRampPct)*LeaseUp!KW$10/StabilizedOccupancy))</f>
        <v/>
      </c>
      <c r="KX11" s="157">
        <f>IF(306&lt;DeliverStart,LeaseUpRampPct,MIN(1,LeaseUpRampPct+(1-LeaseUpRampPct)*LeaseUp!KX$10/StabilizedOccupancy))</f>
        <v/>
      </c>
      <c r="KY11" s="157">
        <f>IF(307&lt;DeliverStart,LeaseUpRampPct,MIN(1,LeaseUpRampPct+(1-LeaseUpRampPct)*LeaseUp!KY$10/StabilizedOccupancy))</f>
        <v/>
      </c>
      <c r="KZ11" s="157">
        <f>IF(308&lt;DeliverStart,LeaseUpRampPct,MIN(1,LeaseUpRampPct+(1-LeaseUpRampPct)*LeaseUp!KZ$10/StabilizedOccupancy))</f>
        <v/>
      </c>
      <c r="LA11" s="157">
        <f>IF(309&lt;DeliverStart,LeaseUpRampPct,MIN(1,LeaseUpRampPct+(1-LeaseUpRampPct)*LeaseUp!LA$10/StabilizedOccupancy))</f>
        <v/>
      </c>
      <c r="LB11" s="157">
        <f>IF(310&lt;DeliverStart,LeaseUpRampPct,MIN(1,LeaseUpRampPct+(1-LeaseUpRampPct)*LeaseUp!LB$10/StabilizedOccupancy))</f>
        <v/>
      </c>
      <c r="LC11" s="157">
        <f>IF(311&lt;DeliverStart,LeaseUpRampPct,MIN(1,LeaseUpRampPct+(1-LeaseUpRampPct)*LeaseUp!LC$10/StabilizedOccupancy))</f>
        <v/>
      </c>
      <c r="LD11" s="157">
        <f>IF(312&lt;DeliverStart,LeaseUpRampPct,MIN(1,LeaseUpRampPct+(1-LeaseUpRampPct)*LeaseUp!LD$10/StabilizedOccupancy))</f>
        <v/>
      </c>
      <c r="LE11" s="157">
        <f>IF(313&lt;DeliverStart,LeaseUpRampPct,MIN(1,LeaseUpRampPct+(1-LeaseUpRampPct)*LeaseUp!LE$10/StabilizedOccupancy))</f>
        <v/>
      </c>
      <c r="LF11" s="157">
        <f>IF(314&lt;DeliverStart,LeaseUpRampPct,MIN(1,LeaseUpRampPct+(1-LeaseUpRampPct)*LeaseUp!LF$10/StabilizedOccupancy))</f>
        <v/>
      </c>
      <c r="LG11" s="157">
        <f>IF(315&lt;DeliverStart,LeaseUpRampPct,MIN(1,LeaseUpRampPct+(1-LeaseUpRampPct)*LeaseUp!LG$10/StabilizedOccupancy))</f>
        <v/>
      </c>
      <c r="LH11" s="157">
        <f>IF(316&lt;DeliverStart,LeaseUpRampPct,MIN(1,LeaseUpRampPct+(1-LeaseUpRampPct)*LeaseUp!LH$10/StabilizedOccupancy))</f>
        <v/>
      </c>
      <c r="LI11" s="157">
        <f>IF(317&lt;DeliverStart,LeaseUpRampPct,MIN(1,LeaseUpRampPct+(1-LeaseUpRampPct)*LeaseUp!LI$10/StabilizedOccupancy))</f>
        <v/>
      </c>
      <c r="LJ11" s="157">
        <f>IF(318&lt;DeliverStart,LeaseUpRampPct,MIN(1,LeaseUpRampPct+(1-LeaseUpRampPct)*LeaseUp!LJ$10/StabilizedOccupancy))</f>
        <v/>
      </c>
      <c r="LK11" s="157">
        <f>IF(319&lt;DeliverStart,LeaseUpRampPct,MIN(1,LeaseUpRampPct+(1-LeaseUpRampPct)*LeaseUp!LK$10/StabilizedOccupancy))</f>
        <v/>
      </c>
      <c r="LL11" s="157">
        <f>IF(320&lt;DeliverStart,LeaseUpRampPct,MIN(1,LeaseUpRampPct+(1-LeaseUpRampPct)*LeaseUp!LL$10/StabilizedOccupancy))</f>
        <v/>
      </c>
      <c r="LM11" s="157">
        <f>IF(321&lt;DeliverStart,LeaseUpRampPct,MIN(1,LeaseUpRampPct+(1-LeaseUpRampPct)*LeaseUp!LM$10/StabilizedOccupancy))</f>
        <v/>
      </c>
      <c r="LN11" s="157">
        <f>IF(322&lt;DeliverStart,LeaseUpRampPct,MIN(1,LeaseUpRampPct+(1-LeaseUpRampPct)*LeaseUp!LN$10/StabilizedOccupancy))</f>
        <v/>
      </c>
      <c r="LO11" s="157">
        <f>IF(323&lt;DeliverStart,LeaseUpRampPct,MIN(1,LeaseUpRampPct+(1-LeaseUpRampPct)*LeaseUp!LO$10/StabilizedOccupancy))</f>
        <v/>
      </c>
      <c r="LP11" s="157">
        <f>IF(324&lt;DeliverStart,LeaseUpRampPct,MIN(1,LeaseUpRampPct+(1-LeaseUpRampPct)*LeaseUp!LP$10/StabilizedOccupancy))</f>
        <v/>
      </c>
      <c r="LQ11" s="157">
        <f>IF(325&lt;DeliverStart,LeaseUpRampPct,MIN(1,LeaseUpRampPct+(1-LeaseUpRampPct)*LeaseUp!LQ$10/StabilizedOccupancy))</f>
        <v/>
      </c>
      <c r="LR11" s="157">
        <f>IF(326&lt;DeliverStart,LeaseUpRampPct,MIN(1,LeaseUpRampPct+(1-LeaseUpRampPct)*LeaseUp!LR$10/StabilizedOccupancy))</f>
        <v/>
      </c>
      <c r="LS11" s="157">
        <f>IF(327&lt;DeliverStart,LeaseUpRampPct,MIN(1,LeaseUpRampPct+(1-LeaseUpRampPct)*LeaseUp!LS$10/StabilizedOccupancy))</f>
        <v/>
      </c>
      <c r="LT11" s="157">
        <f>IF(328&lt;DeliverStart,LeaseUpRampPct,MIN(1,LeaseUpRampPct+(1-LeaseUpRampPct)*LeaseUp!LT$10/StabilizedOccupancy))</f>
        <v/>
      </c>
      <c r="LU11" s="157">
        <f>IF(329&lt;DeliverStart,LeaseUpRampPct,MIN(1,LeaseUpRampPct+(1-LeaseUpRampPct)*LeaseUp!LU$10/StabilizedOccupancy))</f>
        <v/>
      </c>
      <c r="LV11" s="157">
        <f>IF(330&lt;DeliverStart,LeaseUpRampPct,MIN(1,LeaseUpRampPct+(1-LeaseUpRampPct)*LeaseUp!LV$10/StabilizedOccupancy))</f>
        <v/>
      </c>
      <c r="LW11" s="157">
        <f>IF(331&lt;DeliverStart,LeaseUpRampPct,MIN(1,LeaseUpRampPct+(1-LeaseUpRampPct)*LeaseUp!LW$10/StabilizedOccupancy))</f>
        <v/>
      </c>
      <c r="LX11" s="157">
        <f>IF(332&lt;DeliverStart,LeaseUpRampPct,MIN(1,LeaseUpRampPct+(1-LeaseUpRampPct)*LeaseUp!LX$10/StabilizedOccupancy))</f>
        <v/>
      </c>
      <c r="LY11" s="157">
        <f>IF(333&lt;DeliverStart,LeaseUpRampPct,MIN(1,LeaseUpRampPct+(1-LeaseUpRampPct)*LeaseUp!LY$10/StabilizedOccupancy))</f>
        <v/>
      </c>
      <c r="LZ11" s="157">
        <f>IF(334&lt;DeliverStart,LeaseUpRampPct,MIN(1,LeaseUpRampPct+(1-LeaseUpRampPct)*LeaseUp!LZ$10/StabilizedOccupancy))</f>
        <v/>
      </c>
      <c r="MA11" s="157">
        <f>IF(335&lt;DeliverStart,LeaseUpRampPct,MIN(1,LeaseUpRampPct+(1-LeaseUpRampPct)*LeaseUp!MA$10/StabilizedOccupancy))</f>
        <v/>
      </c>
      <c r="MB11" s="157">
        <f>IF(336&lt;DeliverStart,LeaseUpRampPct,MIN(1,LeaseUpRampPct+(1-LeaseUpRampPct)*LeaseUp!MB$10/StabilizedOccupancy))</f>
        <v/>
      </c>
      <c r="MC11" s="157">
        <f>IF(337&lt;DeliverStart,LeaseUpRampPct,MIN(1,LeaseUpRampPct+(1-LeaseUpRampPct)*LeaseUp!MC$10/StabilizedOccupancy))</f>
        <v/>
      </c>
      <c r="MD11" s="157">
        <f>IF(338&lt;DeliverStart,LeaseUpRampPct,MIN(1,LeaseUpRampPct+(1-LeaseUpRampPct)*LeaseUp!MD$10/StabilizedOccupancy))</f>
        <v/>
      </c>
      <c r="ME11" s="157">
        <f>IF(339&lt;DeliverStart,LeaseUpRampPct,MIN(1,LeaseUpRampPct+(1-LeaseUpRampPct)*LeaseUp!ME$10/StabilizedOccupancy))</f>
        <v/>
      </c>
      <c r="MF11" s="157">
        <f>IF(340&lt;DeliverStart,LeaseUpRampPct,MIN(1,LeaseUpRampPct+(1-LeaseUpRampPct)*LeaseUp!MF$10/StabilizedOccupancy))</f>
        <v/>
      </c>
      <c r="MG11" s="157">
        <f>IF(341&lt;DeliverStart,LeaseUpRampPct,MIN(1,LeaseUpRampPct+(1-LeaseUpRampPct)*LeaseUp!MG$10/StabilizedOccupancy))</f>
        <v/>
      </c>
      <c r="MH11" s="157">
        <f>IF(342&lt;DeliverStart,LeaseUpRampPct,MIN(1,LeaseUpRampPct+(1-LeaseUpRampPct)*LeaseUp!MH$10/StabilizedOccupancy))</f>
        <v/>
      </c>
      <c r="MI11" s="157">
        <f>IF(343&lt;DeliverStart,LeaseUpRampPct,MIN(1,LeaseUpRampPct+(1-LeaseUpRampPct)*LeaseUp!MI$10/StabilizedOccupancy))</f>
        <v/>
      </c>
      <c r="MJ11" s="157">
        <f>IF(344&lt;DeliverStart,LeaseUpRampPct,MIN(1,LeaseUpRampPct+(1-LeaseUpRampPct)*LeaseUp!MJ$10/StabilizedOccupancy))</f>
        <v/>
      </c>
      <c r="MK11" s="157">
        <f>IF(345&lt;DeliverStart,LeaseUpRampPct,MIN(1,LeaseUpRampPct+(1-LeaseUpRampPct)*LeaseUp!MK$10/StabilizedOccupancy))</f>
        <v/>
      </c>
      <c r="ML11" s="157">
        <f>IF(346&lt;DeliverStart,LeaseUpRampPct,MIN(1,LeaseUpRampPct+(1-LeaseUpRampPct)*LeaseUp!ML$10/StabilizedOccupancy))</f>
        <v/>
      </c>
      <c r="MM11" s="157">
        <f>IF(347&lt;DeliverStart,LeaseUpRampPct,MIN(1,LeaseUpRampPct+(1-LeaseUpRampPct)*LeaseUp!MM$10/StabilizedOccupancy))</f>
        <v/>
      </c>
      <c r="MN11" s="157">
        <f>IF(348&lt;DeliverStart,LeaseUpRampPct,MIN(1,LeaseUpRampPct+(1-LeaseUpRampPct)*LeaseUp!MN$10/StabilizedOccupancy))</f>
        <v/>
      </c>
      <c r="MO11" s="157">
        <f>IF(349&lt;DeliverStart,LeaseUpRampPct,MIN(1,LeaseUpRampPct+(1-LeaseUpRampPct)*LeaseUp!MO$10/StabilizedOccupancy))</f>
        <v/>
      </c>
      <c r="MP11" s="157">
        <f>IF(350&lt;DeliverStart,LeaseUpRampPct,MIN(1,LeaseUpRampPct+(1-LeaseUpRampPct)*LeaseUp!MP$10/StabilizedOccupancy))</f>
        <v/>
      </c>
      <c r="MQ11" s="157">
        <f>IF(351&lt;DeliverStart,LeaseUpRampPct,MIN(1,LeaseUpRampPct+(1-LeaseUpRampPct)*LeaseUp!MQ$10/StabilizedOccupancy))</f>
        <v/>
      </c>
      <c r="MR11" s="157">
        <f>IF(352&lt;DeliverStart,LeaseUpRampPct,MIN(1,LeaseUpRampPct+(1-LeaseUpRampPct)*LeaseUp!MR$10/StabilizedOccupancy))</f>
        <v/>
      </c>
      <c r="MS11" s="157">
        <f>IF(353&lt;DeliverStart,LeaseUpRampPct,MIN(1,LeaseUpRampPct+(1-LeaseUpRampPct)*LeaseUp!MS$10/StabilizedOccupancy))</f>
        <v/>
      </c>
      <c r="MT11" s="157">
        <f>IF(354&lt;DeliverStart,LeaseUpRampPct,MIN(1,LeaseUpRampPct+(1-LeaseUpRampPct)*LeaseUp!MT$10/StabilizedOccupancy))</f>
        <v/>
      </c>
      <c r="MU11" s="157">
        <f>IF(355&lt;DeliverStart,LeaseUpRampPct,MIN(1,LeaseUpRampPct+(1-LeaseUpRampPct)*LeaseUp!MU$10/StabilizedOccupancy))</f>
        <v/>
      </c>
      <c r="MV11" s="157">
        <f>IF(356&lt;DeliverStart,LeaseUpRampPct,MIN(1,LeaseUpRampPct+(1-LeaseUpRampPct)*LeaseUp!MV$10/StabilizedOccupancy))</f>
        <v/>
      </c>
      <c r="MW11" s="157">
        <f>IF(357&lt;DeliverStart,LeaseUpRampPct,MIN(1,LeaseUpRampPct+(1-LeaseUpRampPct)*LeaseUp!MW$10/StabilizedOccupancy))</f>
        <v/>
      </c>
      <c r="MX11" s="157">
        <f>IF(358&lt;DeliverStart,LeaseUpRampPct,MIN(1,LeaseUpRampPct+(1-LeaseUpRampPct)*LeaseUp!MX$10/StabilizedOccupancy))</f>
        <v/>
      </c>
      <c r="MY11" s="157">
        <f>IF(359&lt;DeliverStart,LeaseUpRampPct,MIN(1,LeaseUpRampPct+(1-LeaseUpRampPct)*LeaseUp!MY$10/StabilizedOccupancy))</f>
        <v/>
      </c>
      <c r="MZ11" s="157">
        <f>IF(360&lt;DeliverStart,LeaseUpRampPct,MIN(1,LeaseUpRampPct+(1-LeaseUpRampPct)*LeaseUp!MZ$10/StabilizedOccupancy))</f>
        <v/>
      </c>
      <c r="NA11" s="157">
        <f>IF(361&lt;DeliverStart,LeaseUpRampPct,MIN(1,LeaseUpRampPct+(1-LeaseUpRampPct)*LeaseUp!NA$10/StabilizedOccupancy))</f>
        <v/>
      </c>
      <c r="NB11" s="157">
        <f>IF(362&lt;DeliverStart,LeaseUpRampPct,MIN(1,LeaseUpRampPct+(1-LeaseUpRampPct)*LeaseUp!NB$10/StabilizedOccupancy))</f>
        <v/>
      </c>
      <c r="NC11" s="157">
        <f>IF(363&lt;DeliverStart,LeaseUpRampPct,MIN(1,LeaseUpRampPct+(1-LeaseUpRampPct)*LeaseUp!NC$10/StabilizedOccupancy))</f>
        <v/>
      </c>
      <c r="ND11" s="157">
        <f>IF(364&lt;DeliverStart,LeaseUpRampPct,MIN(1,LeaseUpRampPct+(1-LeaseUpRampPct)*LeaseUp!ND$10/StabilizedOccupancy))</f>
        <v/>
      </c>
      <c r="NE11" s="157">
        <f>IF(365&lt;DeliverStart,LeaseUpRampPct,MIN(1,LeaseUpRampPct+(1-LeaseUpRampPct)*LeaseUp!NE$10/StabilizedOccupancy))</f>
        <v/>
      </c>
      <c r="NF11" s="157">
        <f>IF(366&lt;DeliverStart,LeaseUpRampPct,MIN(1,LeaseUpRampPct+(1-LeaseUpRampPct)*LeaseUp!NF$10/StabilizedOccupancy))</f>
        <v/>
      </c>
      <c r="NG11" s="157">
        <f>IF(367&lt;DeliverStart,LeaseUpRampPct,MIN(1,LeaseUpRampPct+(1-LeaseUpRampPct)*LeaseUp!NG$10/StabilizedOccupancy))</f>
        <v/>
      </c>
      <c r="NH11" s="157">
        <f>IF(368&lt;DeliverStart,LeaseUpRampPct,MIN(1,LeaseUpRampPct+(1-LeaseUpRampPct)*LeaseUp!NH$10/StabilizedOccupancy))</f>
        <v/>
      </c>
      <c r="NI11" s="157">
        <f>IF(369&lt;DeliverStart,LeaseUpRampPct,MIN(1,LeaseUpRampPct+(1-LeaseUpRampPct)*LeaseUp!NI$10/StabilizedOccupancy))</f>
        <v/>
      </c>
      <c r="NJ11" s="157">
        <f>IF(370&lt;DeliverStart,LeaseUpRampPct,MIN(1,LeaseUpRampPct+(1-LeaseUpRampPct)*LeaseUp!NJ$10/StabilizedOccupancy))</f>
        <v/>
      </c>
      <c r="NK11" s="157">
        <f>IF(371&lt;DeliverStart,LeaseUpRampPct,MIN(1,LeaseUpRampPct+(1-LeaseUpRampPct)*LeaseUp!NK$10/StabilizedOccupancy))</f>
        <v/>
      </c>
      <c r="NL11" s="158">
        <f>IF(372&lt;DeliverStart,LeaseUpRampPct,MIN(1,LeaseUpRampPct+(1-LeaseUpRampPct)*LeaseUp!NL$10/StabilizedOccupancy))</f>
        <v/>
      </c>
    </row>
    <row r="12">
      <c r="B12" s="36" t="inlineStr">
        <is>
          <t>Elevated-Expense Factor</t>
        </is>
      </c>
      <c r="D12" s="156" t="n"/>
      <c r="E12" s="157">
        <f>1+LeaseUpElevationPct*MAX(0,1-LeaseUp!E$10/StabilizedOccupancy)</f>
        <v/>
      </c>
      <c r="F12" s="157">
        <f>1+LeaseUpElevationPct*MAX(0,1-LeaseUp!F$10/StabilizedOccupancy)</f>
        <v/>
      </c>
      <c r="G12" s="157">
        <f>1+LeaseUpElevationPct*MAX(0,1-LeaseUp!G$10/StabilizedOccupancy)</f>
        <v/>
      </c>
      <c r="H12" s="157">
        <f>1+LeaseUpElevationPct*MAX(0,1-LeaseUp!H$10/StabilizedOccupancy)</f>
        <v/>
      </c>
      <c r="I12" s="157">
        <f>1+LeaseUpElevationPct*MAX(0,1-LeaseUp!I$10/StabilizedOccupancy)</f>
        <v/>
      </c>
      <c r="J12" s="157">
        <f>1+LeaseUpElevationPct*MAX(0,1-LeaseUp!J$10/StabilizedOccupancy)</f>
        <v/>
      </c>
      <c r="K12" s="157">
        <f>1+LeaseUpElevationPct*MAX(0,1-LeaseUp!K$10/StabilizedOccupancy)</f>
        <v/>
      </c>
      <c r="L12" s="157">
        <f>1+LeaseUpElevationPct*MAX(0,1-LeaseUp!L$10/StabilizedOccupancy)</f>
        <v/>
      </c>
      <c r="M12" s="157">
        <f>1+LeaseUpElevationPct*MAX(0,1-LeaseUp!M$10/StabilizedOccupancy)</f>
        <v/>
      </c>
      <c r="N12" s="157">
        <f>1+LeaseUpElevationPct*MAX(0,1-LeaseUp!N$10/StabilizedOccupancy)</f>
        <v/>
      </c>
      <c r="O12" s="157">
        <f>1+LeaseUpElevationPct*MAX(0,1-LeaseUp!O$10/StabilizedOccupancy)</f>
        <v/>
      </c>
      <c r="P12" s="157">
        <f>1+LeaseUpElevationPct*MAX(0,1-LeaseUp!P$10/StabilizedOccupancy)</f>
        <v/>
      </c>
      <c r="Q12" s="157">
        <f>1+LeaseUpElevationPct*MAX(0,1-LeaseUp!Q$10/StabilizedOccupancy)</f>
        <v/>
      </c>
      <c r="R12" s="157">
        <f>1+LeaseUpElevationPct*MAX(0,1-LeaseUp!R$10/StabilizedOccupancy)</f>
        <v/>
      </c>
      <c r="S12" s="157">
        <f>1+LeaseUpElevationPct*MAX(0,1-LeaseUp!S$10/StabilizedOccupancy)</f>
        <v/>
      </c>
      <c r="T12" s="157">
        <f>1+LeaseUpElevationPct*MAX(0,1-LeaseUp!T$10/StabilizedOccupancy)</f>
        <v/>
      </c>
      <c r="U12" s="157">
        <f>1+LeaseUpElevationPct*MAX(0,1-LeaseUp!U$10/StabilizedOccupancy)</f>
        <v/>
      </c>
      <c r="V12" s="157">
        <f>1+LeaseUpElevationPct*MAX(0,1-LeaseUp!V$10/StabilizedOccupancy)</f>
        <v/>
      </c>
      <c r="W12" s="157">
        <f>1+LeaseUpElevationPct*MAX(0,1-LeaseUp!W$10/StabilizedOccupancy)</f>
        <v/>
      </c>
      <c r="X12" s="157">
        <f>1+LeaseUpElevationPct*MAX(0,1-LeaseUp!X$10/StabilizedOccupancy)</f>
        <v/>
      </c>
      <c r="Y12" s="157">
        <f>1+LeaseUpElevationPct*MAX(0,1-LeaseUp!Y$10/StabilizedOccupancy)</f>
        <v/>
      </c>
      <c r="Z12" s="157">
        <f>1+LeaseUpElevationPct*MAX(0,1-LeaseUp!Z$10/StabilizedOccupancy)</f>
        <v/>
      </c>
      <c r="AA12" s="157">
        <f>1+LeaseUpElevationPct*MAX(0,1-LeaseUp!AA$10/StabilizedOccupancy)</f>
        <v/>
      </c>
      <c r="AB12" s="157">
        <f>1+LeaseUpElevationPct*MAX(0,1-LeaseUp!AB$10/StabilizedOccupancy)</f>
        <v/>
      </c>
      <c r="AC12" s="157">
        <f>1+LeaseUpElevationPct*MAX(0,1-LeaseUp!AC$10/StabilizedOccupancy)</f>
        <v/>
      </c>
      <c r="AD12" s="157">
        <f>1+LeaseUpElevationPct*MAX(0,1-LeaseUp!AD$10/StabilizedOccupancy)</f>
        <v/>
      </c>
      <c r="AE12" s="157">
        <f>1+LeaseUpElevationPct*MAX(0,1-LeaseUp!AE$10/StabilizedOccupancy)</f>
        <v/>
      </c>
      <c r="AF12" s="157">
        <f>1+LeaseUpElevationPct*MAX(0,1-LeaseUp!AF$10/StabilizedOccupancy)</f>
        <v/>
      </c>
      <c r="AG12" s="157">
        <f>1+LeaseUpElevationPct*MAX(0,1-LeaseUp!AG$10/StabilizedOccupancy)</f>
        <v/>
      </c>
      <c r="AH12" s="157">
        <f>1+LeaseUpElevationPct*MAX(0,1-LeaseUp!AH$10/StabilizedOccupancy)</f>
        <v/>
      </c>
      <c r="AI12" s="157">
        <f>1+LeaseUpElevationPct*MAX(0,1-LeaseUp!AI$10/StabilizedOccupancy)</f>
        <v/>
      </c>
      <c r="AJ12" s="157">
        <f>1+LeaseUpElevationPct*MAX(0,1-LeaseUp!AJ$10/StabilizedOccupancy)</f>
        <v/>
      </c>
      <c r="AK12" s="157">
        <f>1+LeaseUpElevationPct*MAX(0,1-LeaseUp!AK$10/StabilizedOccupancy)</f>
        <v/>
      </c>
      <c r="AL12" s="157">
        <f>1+LeaseUpElevationPct*MAX(0,1-LeaseUp!AL$10/StabilizedOccupancy)</f>
        <v/>
      </c>
      <c r="AM12" s="157">
        <f>1+LeaseUpElevationPct*MAX(0,1-LeaseUp!AM$10/StabilizedOccupancy)</f>
        <v/>
      </c>
      <c r="AN12" s="157">
        <f>1+LeaseUpElevationPct*MAX(0,1-LeaseUp!AN$10/StabilizedOccupancy)</f>
        <v/>
      </c>
      <c r="AO12" s="157">
        <f>1+LeaseUpElevationPct*MAX(0,1-LeaseUp!AO$10/StabilizedOccupancy)</f>
        <v/>
      </c>
      <c r="AP12" s="157">
        <f>1+LeaseUpElevationPct*MAX(0,1-LeaseUp!AP$10/StabilizedOccupancy)</f>
        <v/>
      </c>
      <c r="AQ12" s="157">
        <f>1+LeaseUpElevationPct*MAX(0,1-LeaseUp!AQ$10/StabilizedOccupancy)</f>
        <v/>
      </c>
      <c r="AR12" s="157">
        <f>1+LeaseUpElevationPct*MAX(0,1-LeaseUp!AR$10/StabilizedOccupancy)</f>
        <v/>
      </c>
      <c r="AS12" s="157">
        <f>1+LeaseUpElevationPct*MAX(0,1-LeaseUp!AS$10/StabilizedOccupancy)</f>
        <v/>
      </c>
      <c r="AT12" s="157">
        <f>1+LeaseUpElevationPct*MAX(0,1-LeaseUp!AT$10/StabilizedOccupancy)</f>
        <v/>
      </c>
      <c r="AU12" s="157">
        <f>1+LeaseUpElevationPct*MAX(0,1-LeaseUp!AU$10/StabilizedOccupancy)</f>
        <v/>
      </c>
      <c r="AV12" s="157">
        <f>1+LeaseUpElevationPct*MAX(0,1-LeaseUp!AV$10/StabilizedOccupancy)</f>
        <v/>
      </c>
      <c r="AW12" s="157">
        <f>1+LeaseUpElevationPct*MAX(0,1-LeaseUp!AW$10/StabilizedOccupancy)</f>
        <v/>
      </c>
      <c r="AX12" s="157">
        <f>1+LeaseUpElevationPct*MAX(0,1-LeaseUp!AX$10/StabilizedOccupancy)</f>
        <v/>
      </c>
      <c r="AY12" s="157">
        <f>1+LeaseUpElevationPct*MAX(0,1-LeaseUp!AY$10/StabilizedOccupancy)</f>
        <v/>
      </c>
      <c r="AZ12" s="157">
        <f>1+LeaseUpElevationPct*MAX(0,1-LeaseUp!AZ$10/StabilizedOccupancy)</f>
        <v/>
      </c>
      <c r="BA12" s="157">
        <f>1+LeaseUpElevationPct*MAX(0,1-LeaseUp!BA$10/StabilizedOccupancy)</f>
        <v/>
      </c>
      <c r="BB12" s="157">
        <f>1+LeaseUpElevationPct*MAX(0,1-LeaseUp!BB$10/StabilizedOccupancy)</f>
        <v/>
      </c>
      <c r="BC12" s="157">
        <f>1+LeaseUpElevationPct*MAX(0,1-LeaseUp!BC$10/StabilizedOccupancy)</f>
        <v/>
      </c>
      <c r="BD12" s="157">
        <f>1+LeaseUpElevationPct*MAX(0,1-LeaseUp!BD$10/StabilizedOccupancy)</f>
        <v/>
      </c>
      <c r="BE12" s="157">
        <f>1+LeaseUpElevationPct*MAX(0,1-LeaseUp!BE$10/StabilizedOccupancy)</f>
        <v/>
      </c>
      <c r="BF12" s="157">
        <f>1+LeaseUpElevationPct*MAX(0,1-LeaseUp!BF$10/StabilizedOccupancy)</f>
        <v/>
      </c>
      <c r="BG12" s="157">
        <f>1+LeaseUpElevationPct*MAX(0,1-LeaseUp!BG$10/StabilizedOccupancy)</f>
        <v/>
      </c>
      <c r="BH12" s="157">
        <f>1+LeaseUpElevationPct*MAX(0,1-LeaseUp!BH$10/StabilizedOccupancy)</f>
        <v/>
      </c>
      <c r="BI12" s="157">
        <f>1+LeaseUpElevationPct*MAX(0,1-LeaseUp!BI$10/StabilizedOccupancy)</f>
        <v/>
      </c>
      <c r="BJ12" s="157">
        <f>1+LeaseUpElevationPct*MAX(0,1-LeaseUp!BJ$10/StabilizedOccupancy)</f>
        <v/>
      </c>
      <c r="BK12" s="157">
        <f>1+LeaseUpElevationPct*MAX(0,1-LeaseUp!BK$10/StabilizedOccupancy)</f>
        <v/>
      </c>
      <c r="BL12" s="157">
        <f>1+LeaseUpElevationPct*MAX(0,1-LeaseUp!BL$10/StabilizedOccupancy)</f>
        <v/>
      </c>
      <c r="BM12" s="157">
        <f>1+LeaseUpElevationPct*MAX(0,1-LeaseUp!BM$10/StabilizedOccupancy)</f>
        <v/>
      </c>
      <c r="BN12" s="157">
        <f>1+LeaseUpElevationPct*MAX(0,1-LeaseUp!BN$10/StabilizedOccupancy)</f>
        <v/>
      </c>
      <c r="BO12" s="157">
        <f>1+LeaseUpElevationPct*MAX(0,1-LeaseUp!BO$10/StabilizedOccupancy)</f>
        <v/>
      </c>
      <c r="BP12" s="157">
        <f>1+LeaseUpElevationPct*MAX(0,1-LeaseUp!BP$10/StabilizedOccupancy)</f>
        <v/>
      </c>
      <c r="BQ12" s="157">
        <f>1+LeaseUpElevationPct*MAX(0,1-LeaseUp!BQ$10/StabilizedOccupancy)</f>
        <v/>
      </c>
      <c r="BR12" s="157">
        <f>1+LeaseUpElevationPct*MAX(0,1-LeaseUp!BR$10/StabilizedOccupancy)</f>
        <v/>
      </c>
      <c r="BS12" s="157">
        <f>1+LeaseUpElevationPct*MAX(0,1-LeaseUp!BS$10/StabilizedOccupancy)</f>
        <v/>
      </c>
      <c r="BT12" s="157">
        <f>1+LeaseUpElevationPct*MAX(0,1-LeaseUp!BT$10/StabilizedOccupancy)</f>
        <v/>
      </c>
      <c r="BU12" s="157">
        <f>1+LeaseUpElevationPct*MAX(0,1-LeaseUp!BU$10/StabilizedOccupancy)</f>
        <v/>
      </c>
      <c r="BV12" s="157">
        <f>1+LeaseUpElevationPct*MAX(0,1-LeaseUp!BV$10/StabilizedOccupancy)</f>
        <v/>
      </c>
      <c r="BW12" s="157">
        <f>1+LeaseUpElevationPct*MAX(0,1-LeaseUp!BW$10/StabilizedOccupancy)</f>
        <v/>
      </c>
      <c r="BX12" s="157">
        <f>1+LeaseUpElevationPct*MAX(0,1-LeaseUp!BX$10/StabilizedOccupancy)</f>
        <v/>
      </c>
      <c r="BY12" s="157">
        <f>1+LeaseUpElevationPct*MAX(0,1-LeaseUp!BY$10/StabilizedOccupancy)</f>
        <v/>
      </c>
      <c r="BZ12" s="157">
        <f>1+LeaseUpElevationPct*MAX(0,1-LeaseUp!BZ$10/StabilizedOccupancy)</f>
        <v/>
      </c>
      <c r="CA12" s="157">
        <f>1+LeaseUpElevationPct*MAX(0,1-LeaseUp!CA$10/StabilizedOccupancy)</f>
        <v/>
      </c>
      <c r="CB12" s="157">
        <f>1+LeaseUpElevationPct*MAX(0,1-LeaseUp!CB$10/StabilizedOccupancy)</f>
        <v/>
      </c>
      <c r="CC12" s="157">
        <f>1+LeaseUpElevationPct*MAX(0,1-LeaseUp!CC$10/StabilizedOccupancy)</f>
        <v/>
      </c>
      <c r="CD12" s="157">
        <f>1+LeaseUpElevationPct*MAX(0,1-LeaseUp!CD$10/StabilizedOccupancy)</f>
        <v/>
      </c>
      <c r="CE12" s="157">
        <f>1+LeaseUpElevationPct*MAX(0,1-LeaseUp!CE$10/StabilizedOccupancy)</f>
        <v/>
      </c>
      <c r="CF12" s="157">
        <f>1+LeaseUpElevationPct*MAX(0,1-LeaseUp!CF$10/StabilizedOccupancy)</f>
        <v/>
      </c>
      <c r="CG12" s="157">
        <f>1+LeaseUpElevationPct*MAX(0,1-LeaseUp!CG$10/StabilizedOccupancy)</f>
        <v/>
      </c>
      <c r="CH12" s="157">
        <f>1+LeaseUpElevationPct*MAX(0,1-LeaseUp!CH$10/StabilizedOccupancy)</f>
        <v/>
      </c>
      <c r="CI12" s="157">
        <f>1+LeaseUpElevationPct*MAX(0,1-LeaseUp!CI$10/StabilizedOccupancy)</f>
        <v/>
      </c>
      <c r="CJ12" s="157">
        <f>1+LeaseUpElevationPct*MAX(0,1-LeaseUp!CJ$10/StabilizedOccupancy)</f>
        <v/>
      </c>
      <c r="CK12" s="157">
        <f>1+LeaseUpElevationPct*MAX(0,1-LeaseUp!CK$10/StabilizedOccupancy)</f>
        <v/>
      </c>
      <c r="CL12" s="157">
        <f>1+LeaseUpElevationPct*MAX(0,1-LeaseUp!CL$10/StabilizedOccupancy)</f>
        <v/>
      </c>
      <c r="CM12" s="157">
        <f>1+LeaseUpElevationPct*MAX(0,1-LeaseUp!CM$10/StabilizedOccupancy)</f>
        <v/>
      </c>
      <c r="CN12" s="157">
        <f>1+LeaseUpElevationPct*MAX(0,1-LeaseUp!CN$10/StabilizedOccupancy)</f>
        <v/>
      </c>
      <c r="CO12" s="157">
        <f>1+LeaseUpElevationPct*MAX(0,1-LeaseUp!CO$10/StabilizedOccupancy)</f>
        <v/>
      </c>
      <c r="CP12" s="157">
        <f>1+LeaseUpElevationPct*MAX(0,1-LeaseUp!CP$10/StabilizedOccupancy)</f>
        <v/>
      </c>
      <c r="CQ12" s="157">
        <f>1+LeaseUpElevationPct*MAX(0,1-LeaseUp!CQ$10/StabilizedOccupancy)</f>
        <v/>
      </c>
      <c r="CR12" s="157">
        <f>1+LeaseUpElevationPct*MAX(0,1-LeaseUp!CR$10/StabilizedOccupancy)</f>
        <v/>
      </c>
      <c r="CS12" s="157">
        <f>1+LeaseUpElevationPct*MAX(0,1-LeaseUp!CS$10/StabilizedOccupancy)</f>
        <v/>
      </c>
      <c r="CT12" s="157">
        <f>1+LeaseUpElevationPct*MAX(0,1-LeaseUp!CT$10/StabilizedOccupancy)</f>
        <v/>
      </c>
      <c r="CU12" s="157">
        <f>1+LeaseUpElevationPct*MAX(0,1-LeaseUp!CU$10/StabilizedOccupancy)</f>
        <v/>
      </c>
      <c r="CV12" s="157">
        <f>1+LeaseUpElevationPct*MAX(0,1-LeaseUp!CV$10/StabilizedOccupancy)</f>
        <v/>
      </c>
      <c r="CW12" s="157">
        <f>1+LeaseUpElevationPct*MAX(0,1-LeaseUp!CW$10/StabilizedOccupancy)</f>
        <v/>
      </c>
      <c r="CX12" s="157">
        <f>1+LeaseUpElevationPct*MAX(0,1-LeaseUp!CX$10/StabilizedOccupancy)</f>
        <v/>
      </c>
      <c r="CY12" s="157">
        <f>1+LeaseUpElevationPct*MAX(0,1-LeaseUp!CY$10/StabilizedOccupancy)</f>
        <v/>
      </c>
      <c r="CZ12" s="157">
        <f>1+LeaseUpElevationPct*MAX(0,1-LeaseUp!CZ$10/StabilizedOccupancy)</f>
        <v/>
      </c>
      <c r="DA12" s="157">
        <f>1+LeaseUpElevationPct*MAX(0,1-LeaseUp!DA$10/StabilizedOccupancy)</f>
        <v/>
      </c>
      <c r="DB12" s="157">
        <f>1+LeaseUpElevationPct*MAX(0,1-LeaseUp!DB$10/StabilizedOccupancy)</f>
        <v/>
      </c>
      <c r="DC12" s="157">
        <f>1+LeaseUpElevationPct*MAX(0,1-LeaseUp!DC$10/StabilizedOccupancy)</f>
        <v/>
      </c>
      <c r="DD12" s="157">
        <f>1+LeaseUpElevationPct*MAX(0,1-LeaseUp!DD$10/StabilizedOccupancy)</f>
        <v/>
      </c>
      <c r="DE12" s="157">
        <f>1+LeaseUpElevationPct*MAX(0,1-LeaseUp!DE$10/StabilizedOccupancy)</f>
        <v/>
      </c>
      <c r="DF12" s="157">
        <f>1+LeaseUpElevationPct*MAX(0,1-LeaseUp!DF$10/StabilizedOccupancy)</f>
        <v/>
      </c>
      <c r="DG12" s="157">
        <f>1+LeaseUpElevationPct*MAX(0,1-LeaseUp!DG$10/StabilizedOccupancy)</f>
        <v/>
      </c>
      <c r="DH12" s="157">
        <f>1+LeaseUpElevationPct*MAX(0,1-LeaseUp!DH$10/StabilizedOccupancy)</f>
        <v/>
      </c>
      <c r="DI12" s="157">
        <f>1+LeaseUpElevationPct*MAX(0,1-LeaseUp!DI$10/StabilizedOccupancy)</f>
        <v/>
      </c>
      <c r="DJ12" s="157">
        <f>1+LeaseUpElevationPct*MAX(0,1-LeaseUp!DJ$10/StabilizedOccupancy)</f>
        <v/>
      </c>
      <c r="DK12" s="157">
        <f>1+LeaseUpElevationPct*MAX(0,1-LeaseUp!DK$10/StabilizedOccupancy)</f>
        <v/>
      </c>
      <c r="DL12" s="157">
        <f>1+LeaseUpElevationPct*MAX(0,1-LeaseUp!DL$10/StabilizedOccupancy)</f>
        <v/>
      </c>
      <c r="DM12" s="157">
        <f>1+LeaseUpElevationPct*MAX(0,1-LeaseUp!DM$10/StabilizedOccupancy)</f>
        <v/>
      </c>
      <c r="DN12" s="157">
        <f>1+LeaseUpElevationPct*MAX(0,1-LeaseUp!DN$10/StabilizedOccupancy)</f>
        <v/>
      </c>
      <c r="DO12" s="157">
        <f>1+LeaseUpElevationPct*MAX(0,1-LeaseUp!DO$10/StabilizedOccupancy)</f>
        <v/>
      </c>
      <c r="DP12" s="157">
        <f>1+LeaseUpElevationPct*MAX(0,1-LeaseUp!DP$10/StabilizedOccupancy)</f>
        <v/>
      </c>
      <c r="DQ12" s="157">
        <f>1+LeaseUpElevationPct*MAX(0,1-LeaseUp!DQ$10/StabilizedOccupancy)</f>
        <v/>
      </c>
      <c r="DR12" s="157">
        <f>1+LeaseUpElevationPct*MAX(0,1-LeaseUp!DR$10/StabilizedOccupancy)</f>
        <v/>
      </c>
      <c r="DS12" s="157">
        <f>1+LeaseUpElevationPct*MAX(0,1-LeaseUp!DS$10/StabilizedOccupancy)</f>
        <v/>
      </c>
      <c r="DT12" s="157">
        <f>1+LeaseUpElevationPct*MAX(0,1-LeaseUp!DT$10/StabilizedOccupancy)</f>
        <v/>
      </c>
      <c r="DU12" s="157">
        <f>1+LeaseUpElevationPct*MAX(0,1-LeaseUp!DU$10/StabilizedOccupancy)</f>
        <v/>
      </c>
      <c r="DV12" s="157">
        <f>1+LeaseUpElevationPct*MAX(0,1-LeaseUp!DV$10/StabilizedOccupancy)</f>
        <v/>
      </c>
      <c r="DW12" s="157">
        <f>1+LeaseUpElevationPct*MAX(0,1-LeaseUp!DW$10/StabilizedOccupancy)</f>
        <v/>
      </c>
      <c r="DX12" s="157">
        <f>1+LeaseUpElevationPct*MAX(0,1-LeaseUp!DX$10/StabilizedOccupancy)</f>
        <v/>
      </c>
      <c r="DY12" s="157">
        <f>1+LeaseUpElevationPct*MAX(0,1-LeaseUp!DY$10/StabilizedOccupancy)</f>
        <v/>
      </c>
      <c r="DZ12" s="157">
        <f>1+LeaseUpElevationPct*MAX(0,1-LeaseUp!DZ$10/StabilizedOccupancy)</f>
        <v/>
      </c>
      <c r="EA12" s="157">
        <f>1+LeaseUpElevationPct*MAX(0,1-LeaseUp!EA$10/StabilizedOccupancy)</f>
        <v/>
      </c>
      <c r="EB12" s="157">
        <f>1+LeaseUpElevationPct*MAX(0,1-LeaseUp!EB$10/StabilizedOccupancy)</f>
        <v/>
      </c>
      <c r="EC12" s="157">
        <f>1+LeaseUpElevationPct*MAX(0,1-LeaseUp!EC$10/StabilizedOccupancy)</f>
        <v/>
      </c>
      <c r="ED12" s="157">
        <f>1+LeaseUpElevationPct*MAX(0,1-LeaseUp!ED$10/StabilizedOccupancy)</f>
        <v/>
      </c>
      <c r="EE12" s="157">
        <f>1+LeaseUpElevationPct*MAX(0,1-LeaseUp!EE$10/StabilizedOccupancy)</f>
        <v/>
      </c>
      <c r="EF12" s="157">
        <f>1+LeaseUpElevationPct*MAX(0,1-LeaseUp!EF$10/StabilizedOccupancy)</f>
        <v/>
      </c>
      <c r="EG12" s="157">
        <f>1+LeaseUpElevationPct*MAX(0,1-LeaseUp!EG$10/StabilizedOccupancy)</f>
        <v/>
      </c>
      <c r="EH12" s="157">
        <f>1+LeaseUpElevationPct*MAX(0,1-LeaseUp!EH$10/StabilizedOccupancy)</f>
        <v/>
      </c>
      <c r="EI12" s="157">
        <f>1+LeaseUpElevationPct*MAX(0,1-LeaseUp!EI$10/StabilizedOccupancy)</f>
        <v/>
      </c>
      <c r="EJ12" s="157">
        <f>1+LeaseUpElevationPct*MAX(0,1-LeaseUp!EJ$10/StabilizedOccupancy)</f>
        <v/>
      </c>
      <c r="EK12" s="157">
        <f>1+LeaseUpElevationPct*MAX(0,1-LeaseUp!EK$10/StabilizedOccupancy)</f>
        <v/>
      </c>
      <c r="EL12" s="157">
        <f>1+LeaseUpElevationPct*MAX(0,1-LeaseUp!EL$10/StabilizedOccupancy)</f>
        <v/>
      </c>
      <c r="EM12" s="157">
        <f>1+LeaseUpElevationPct*MAX(0,1-LeaseUp!EM$10/StabilizedOccupancy)</f>
        <v/>
      </c>
      <c r="EN12" s="157">
        <f>1+LeaseUpElevationPct*MAX(0,1-LeaseUp!EN$10/StabilizedOccupancy)</f>
        <v/>
      </c>
      <c r="EO12" s="157">
        <f>1+LeaseUpElevationPct*MAX(0,1-LeaseUp!EO$10/StabilizedOccupancy)</f>
        <v/>
      </c>
      <c r="EP12" s="157">
        <f>1+LeaseUpElevationPct*MAX(0,1-LeaseUp!EP$10/StabilizedOccupancy)</f>
        <v/>
      </c>
      <c r="EQ12" s="157">
        <f>1+LeaseUpElevationPct*MAX(0,1-LeaseUp!EQ$10/StabilizedOccupancy)</f>
        <v/>
      </c>
      <c r="ER12" s="157">
        <f>1+LeaseUpElevationPct*MAX(0,1-LeaseUp!ER$10/StabilizedOccupancy)</f>
        <v/>
      </c>
      <c r="ES12" s="157">
        <f>1+LeaseUpElevationPct*MAX(0,1-LeaseUp!ES$10/StabilizedOccupancy)</f>
        <v/>
      </c>
      <c r="ET12" s="157">
        <f>1+LeaseUpElevationPct*MAX(0,1-LeaseUp!ET$10/StabilizedOccupancy)</f>
        <v/>
      </c>
      <c r="EU12" s="157">
        <f>1+LeaseUpElevationPct*MAX(0,1-LeaseUp!EU$10/StabilizedOccupancy)</f>
        <v/>
      </c>
      <c r="EV12" s="157">
        <f>1+LeaseUpElevationPct*MAX(0,1-LeaseUp!EV$10/StabilizedOccupancy)</f>
        <v/>
      </c>
      <c r="EW12" s="157">
        <f>1+LeaseUpElevationPct*MAX(0,1-LeaseUp!EW$10/StabilizedOccupancy)</f>
        <v/>
      </c>
      <c r="EX12" s="157">
        <f>1+LeaseUpElevationPct*MAX(0,1-LeaseUp!EX$10/StabilizedOccupancy)</f>
        <v/>
      </c>
      <c r="EY12" s="157">
        <f>1+LeaseUpElevationPct*MAX(0,1-LeaseUp!EY$10/StabilizedOccupancy)</f>
        <v/>
      </c>
      <c r="EZ12" s="157">
        <f>1+LeaseUpElevationPct*MAX(0,1-LeaseUp!EZ$10/StabilizedOccupancy)</f>
        <v/>
      </c>
      <c r="FA12" s="157">
        <f>1+LeaseUpElevationPct*MAX(0,1-LeaseUp!FA$10/StabilizedOccupancy)</f>
        <v/>
      </c>
      <c r="FB12" s="157">
        <f>1+LeaseUpElevationPct*MAX(0,1-LeaseUp!FB$10/StabilizedOccupancy)</f>
        <v/>
      </c>
      <c r="FC12" s="157">
        <f>1+LeaseUpElevationPct*MAX(0,1-LeaseUp!FC$10/StabilizedOccupancy)</f>
        <v/>
      </c>
      <c r="FD12" s="157">
        <f>1+LeaseUpElevationPct*MAX(0,1-LeaseUp!FD$10/StabilizedOccupancy)</f>
        <v/>
      </c>
      <c r="FE12" s="157">
        <f>1+LeaseUpElevationPct*MAX(0,1-LeaseUp!FE$10/StabilizedOccupancy)</f>
        <v/>
      </c>
      <c r="FF12" s="157">
        <f>1+LeaseUpElevationPct*MAX(0,1-LeaseUp!FF$10/StabilizedOccupancy)</f>
        <v/>
      </c>
      <c r="FG12" s="157">
        <f>1+LeaseUpElevationPct*MAX(0,1-LeaseUp!FG$10/StabilizedOccupancy)</f>
        <v/>
      </c>
      <c r="FH12" s="157">
        <f>1+LeaseUpElevationPct*MAX(0,1-LeaseUp!FH$10/StabilizedOccupancy)</f>
        <v/>
      </c>
      <c r="FI12" s="157">
        <f>1+LeaseUpElevationPct*MAX(0,1-LeaseUp!FI$10/StabilizedOccupancy)</f>
        <v/>
      </c>
      <c r="FJ12" s="157">
        <f>1+LeaseUpElevationPct*MAX(0,1-LeaseUp!FJ$10/StabilizedOccupancy)</f>
        <v/>
      </c>
      <c r="FK12" s="157">
        <f>1+LeaseUpElevationPct*MAX(0,1-LeaseUp!FK$10/StabilizedOccupancy)</f>
        <v/>
      </c>
      <c r="FL12" s="157">
        <f>1+LeaseUpElevationPct*MAX(0,1-LeaseUp!FL$10/StabilizedOccupancy)</f>
        <v/>
      </c>
      <c r="FM12" s="157">
        <f>1+LeaseUpElevationPct*MAX(0,1-LeaseUp!FM$10/StabilizedOccupancy)</f>
        <v/>
      </c>
      <c r="FN12" s="157">
        <f>1+LeaseUpElevationPct*MAX(0,1-LeaseUp!FN$10/StabilizedOccupancy)</f>
        <v/>
      </c>
      <c r="FO12" s="157">
        <f>1+LeaseUpElevationPct*MAX(0,1-LeaseUp!FO$10/StabilizedOccupancy)</f>
        <v/>
      </c>
      <c r="FP12" s="157">
        <f>1+LeaseUpElevationPct*MAX(0,1-LeaseUp!FP$10/StabilizedOccupancy)</f>
        <v/>
      </c>
      <c r="FQ12" s="157">
        <f>1+LeaseUpElevationPct*MAX(0,1-LeaseUp!FQ$10/StabilizedOccupancy)</f>
        <v/>
      </c>
      <c r="FR12" s="157">
        <f>1+LeaseUpElevationPct*MAX(0,1-LeaseUp!FR$10/StabilizedOccupancy)</f>
        <v/>
      </c>
      <c r="FS12" s="157">
        <f>1+LeaseUpElevationPct*MAX(0,1-LeaseUp!FS$10/StabilizedOccupancy)</f>
        <v/>
      </c>
      <c r="FT12" s="157">
        <f>1+LeaseUpElevationPct*MAX(0,1-LeaseUp!FT$10/StabilizedOccupancy)</f>
        <v/>
      </c>
      <c r="FU12" s="157">
        <f>1+LeaseUpElevationPct*MAX(0,1-LeaseUp!FU$10/StabilizedOccupancy)</f>
        <v/>
      </c>
      <c r="FV12" s="157">
        <f>1+LeaseUpElevationPct*MAX(0,1-LeaseUp!FV$10/StabilizedOccupancy)</f>
        <v/>
      </c>
      <c r="FW12" s="157">
        <f>1+LeaseUpElevationPct*MAX(0,1-LeaseUp!FW$10/StabilizedOccupancy)</f>
        <v/>
      </c>
      <c r="FX12" s="157">
        <f>1+LeaseUpElevationPct*MAX(0,1-LeaseUp!FX$10/StabilizedOccupancy)</f>
        <v/>
      </c>
      <c r="FY12" s="157">
        <f>1+LeaseUpElevationPct*MAX(0,1-LeaseUp!FY$10/StabilizedOccupancy)</f>
        <v/>
      </c>
      <c r="FZ12" s="157">
        <f>1+LeaseUpElevationPct*MAX(0,1-LeaseUp!FZ$10/StabilizedOccupancy)</f>
        <v/>
      </c>
      <c r="GA12" s="157">
        <f>1+LeaseUpElevationPct*MAX(0,1-LeaseUp!GA$10/StabilizedOccupancy)</f>
        <v/>
      </c>
      <c r="GB12" s="157">
        <f>1+LeaseUpElevationPct*MAX(0,1-LeaseUp!GB$10/StabilizedOccupancy)</f>
        <v/>
      </c>
      <c r="GC12" s="157">
        <f>1+LeaseUpElevationPct*MAX(0,1-LeaseUp!GC$10/StabilizedOccupancy)</f>
        <v/>
      </c>
      <c r="GD12" s="157">
        <f>1+LeaseUpElevationPct*MAX(0,1-LeaseUp!GD$10/StabilizedOccupancy)</f>
        <v/>
      </c>
      <c r="GE12" s="157">
        <f>1+LeaseUpElevationPct*MAX(0,1-LeaseUp!GE$10/StabilizedOccupancy)</f>
        <v/>
      </c>
      <c r="GF12" s="157">
        <f>1+LeaseUpElevationPct*MAX(0,1-LeaseUp!GF$10/StabilizedOccupancy)</f>
        <v/>
      </c>
      <c r="GG12" s="157">
        <f>1+LeaseUpElevationPct*MAX(0,1-LeaseUp!GG$10/StabilizedOccupancy)</f>
        <v/>
      </c>
      <c r="GH12" s="157">
        <f>1+LeaseUpElevationPct*MAX(0,1-LeaseUp!GH$10/StabilizedOccupancy)</f>
        <v/>
      </c>
      <c r="GI12" s="157">
        <f>1+LeaseUpElevationPct*MAX(0,1-LeaseUp!GI$10/StabilizedOccupancy)</f>
        <v/>
      </c>
      <c r="GJ12" s="157">
        <f>1+LeaseUpElevationPct*MAX(0,1-LeaseUp!GJ$10/StabilizedOccupancy)</f>
        <v/>
      </c>
      <c r="GK12" s="157">
        <f>1+LeaseUpElevationPct*MAX(0,1-LeaseUp!GK$10/StabilizedOccupancy)</f>
        <v/>
      </c>
      <c r="GL12" s="157">
        <f>1+LeaseUpElevationPct*MAX(0,1-LeaseUp!GL$10/StabilizedOccupancy)</f>
        <v/>
      </c>
      <c r="GM12" s="157">
        <f>1+LeaseUpElevationPct*MAX(0,1-LeaseUp!GM$10/StabilizedOccupancy)</f>
        <v/>
      </c>
      <c r="GN12" s="157">
        <f>1+LeaseUpElevationPct*MAX(0,1-LeaseUp!GN$10/StabilizedOccupancy)</f>
        <v/>
      </c>
      <c r="GO12" s="157">
        <f>1+LeaseUpElevationPct*MAX(0,1-LeaseUp!GO$10/StabilizedOccupancy)</f>
        <v/>
      </c>
      <c r="GP12" s="157">
        <f>1+LeaseUpElevationPct*MAX(0,1-LeaseUp!GP$10/StabilizedOccupancy)</f>
        <v/>
      </c>
      <c r="GQ12" s="157">
        <f>1+LeaseUpElevationPct*MAX(0,1-LeaseUp!GQ$10/StabilizedOccupancy)</f>
        <v/>
      </c>
      <c r="GR12" s="157">
        <f>1+LeaseUpElevationPct*MAX(0,1-LeaseUp!GR$10/StabilizedOccupancy)</f>
        <v/>
      </c>
      <c r="GS12" s="157">
        <f>1+LeaseUpElevationPct*MAX(0,1-LeaseUp!GS$10/StabilizedOccupancy)</f>
        <v/>
      </c>
      <c r="GT12" s="157">
        <f>1+LeaseUpElevationPct*MAX(0,1-LeaseUp!GT$10/StabilizedOccupancy)</f>
        <v/>
      </c>
      <c r="GU12" s="157">
        <f>1+LeaseUpElevationPct*MAX(0,1-LeaseUp!GU$10/StabilizedOccupancy)</f>
        <v/>
      </c>
      <c r="GV12" s="157">
        <f>1+LeaseUpElevationPct*MAX(0,1-LeaseUp!GV$10/StabilizedOccupancy)</f>
        <v/>
      </c>
      <c r="GW12" s="157">
        <f>1+LeaseUpElevationPct*MAX(0,1-LeaseUp!GW$10/StabilizedOccupancy)</f>
        <v/>
      </c>
      <c r="GX12" s="157">
        <f>1+LeaseUpElevationPct*MAX(0,1-LeaseUp!GX$10/StabilizedOccupancy)</f>
        <v/>
      </c>
      <c r="GY12" s="157">
        <f>1+LeaseUpElevationPct*MAX(0,1-LeaseUp!GY$10/StabilizedOccupancy)</f>
        <v/>
      </c>
      <c r="GZ12" s="157">
        <f>1+LeaseUpElevationPct*MAX(0,1-LeaseUp!GZ$10/StabilizedOccupancy)</f>
        <v/>
      </c>
      <c r="HA12" s="157">
        <f>1+LeaseUpElevationPct*MAX(0,1-LeaseUp!HA$10/StabilizedOccupancy)</f>
        <v/>
      </c>
      <c r="HB12" s="157">
        <f>1+LeaseUpElevationPct*MAX(0,1-LeaseUp!HB$10/StabilizedOccupancy)</f>
        <v/>
      </c>
      <c r="HC12" s="157">
        <f>1+LeaseUpElevationPct*MAX(0,1-LeaseUp!HC$10/StabilizedOccupancy)</f>
        <v/>
      </c>
      <c r="HD12" s="157">
        <f>1+LeaseUpElevationPct*MAX(0,1-LeaseUp!HD$10/StabilizedOccupancy)</f>
        <v/>
      </c>
      <c r="HE12" s="157">
        <f>1+LeaseUpElevationPct*MAX(0,1-LeaseUp!HE$10/StabilizedOccupancy)</f>
        <v/>
      </c>
      <c r="HF12" s="157">
        <f>1+LeaseUpElevationPct*MAX(0,1-LeaseUp!HF$10/StabilizedOccupancy)</f>
        <v/>
      </c>
      <c r="HG12" s="157">
        <f>1+LeaseUpElevationPct*MAX(0,1-LeaseUp!HG$10/StabilizedOccupancy)</f>
        <v/>
      </c>
      <c r="HH12" s="157">
        <f>1+LeaseUpElevationPct*MAX(0,1-LeaseUp!HH$10/StabilizedOccupancy)</f>
        <v/>
      </c>
      <c r="HI12" s="157">
        <f>1+LeaseUpElevationPct*MAX(0,1-LeaseUp!HI$10/StabilizedOccupancy)</f>
        <v/>
      </c>
      <c r="HJ12" s="157">
        <f>1+LeaseUpElevationPct*MAX(0,1-LeaseUp!HJ$10/StabilizedOccupancy)</f>
        <v/>
      </c>
      <c r="HK12" s="157">
        <f>1+LeaseUpElevationPct*MAX(0,1-LeaseUp!HK$10/StabilizedOccupancy)</f>
        <v/>
      </c>
      <c r="HL12" s="157">
        <f>1+LeaseUpElevationPct*MAX(0,1-LeaseUp!HL$10/StabilizedOccupancy)</f>
        <v/>
      </c>
      <c r="HM12" s="157">
        <f>1+LeaseUpElevationPct*MAX(0,1-LeaseUp!HM$10/StabilizedOccupancy)</f>
        <v/>
      </c>
      <c r="HN12" s="157">
        <f>1+LeaseUpElevationPct*MAX(0,1-LeaseUp!HN$10/StabilizedOccupancy)</f>
        <v/>
      </c>
      <c r="HO12" s="157">
        <f>1+LeaseUpElevationPct*MAX(0,1-LeaseUp!HO$10/StabilizedOccupancy)</f>
        <v/>
      </c>
      <c r="HP12" s="157">
        <f>1+LeaseUpElevationPct*MAX(0,1-LeaseUp!HP$10/StabilizedOccupancy)</f>
        <v/>
      </c>
      <c r="HQ12" s="157">
        <f>1+LeaseUpElevationPct*MAX(0,1-LeaseUp!HQ$10/StabilizedOccupancy)</f>
        <v/>
      </c>
      <c r="HR12" s="157">
        <f>1+LeaseUpElevationPct*MAX(0,1-LeaseUp!HR$10/StabilizedOccupancy)</f>
        <v/>
      </c>
      <c r="HS12" s="157">
        <f>1+LeaseUpElevationPct*MAX(0,1-LeaseUp!HS$10/StabilizedOccupancy)</f>
        <v/>
      </c>
      <c r="HT12" s="157">
        <f>1+LeaseUpElevationPct*MAX(0,1-LeaseUp!HT$10/StabilizedOccupancy)</f>
        <v/>
      </c>
      <c r="HU12" s="157">
        <f>1+LeaseUpElevationPct*MAX(0,1-LeaseUp!HU$10/StabilizedOccupancy)</f>
        <v/>
      </c>
      <c r="HV12" s="157">
        <f>1+LeaseUpElevationPct*MAX(0,1-LeaseUp!HV$10/StabilizedOccupancy)</f>
        <v/>
      </c>
      <c r="HW12" s="157">
        <f>1+LeaseUpElevationPct*MAX(0,1-LeaseUp!HW$10/StabilizedOccupancy)</f>
        <v/>
      </c>
      <c r="HX12" s="157">
        <f>1+LeaseUpElevationPct*MAX(0,1-LeaseUp!HX$10/StabilizedOccupancy)</f>
        <v/>
      </c>
      <c r="HY12" s="157">
        <f>1+LeaseUpElevationPct*MAX(0,1-LeaseUp!HY$10/StabilizedOccupancy)</f>
        <v/>
      </c>
      <c r="HZ12" s="157">
        <f>1+LeaseUpElevationPct*MAX(0,1-LeaseUp!HZ$10/StabilizedOccupancy)</f>
        <v/>
      </c>
      <c r="IA12" s="157">
        <f>1+LeaseUpElevationPct*MAX(0,1-LeaseUp!IA$10/StabilizedOccupancy)</f>
        <v/>
      </c>
      <c r="IB12" s="157">
        <f>1+LeaseUpElevationPct*MAX(0,1-LeaseUp!IB$10/StabilizedOccupancy)</f>
        <v/>
      </c>
      <c r="IC12" s="157">
        <f>1+LeaseUpElevationPct*MAX(0,1-LeaseUp!IC$10/StabilizedOccupancy)</f>
        <v/>
      </c>
      <c r="ID12" s="157">
        <f>1+LeaseUpElevationPct*MAX(0,1-LeaseUp!ID$10/StabilizedOccupancy)</f>
        <v/>
      </c>
      <c r="IE12" s="157">
        <f>1+LeaseUpElevationPct*MAX(0,1-LeaseUp!IE$10/StabilizedOccupancy)</f>
        <v/>
      </c>
      <c r="IF12" s="157">
        <f>1+LeaseUpElevationPct*MAX(0,1-LeaseUp!IF$10/StabilizedOccupancy)</f>
        <v/>
      </c>
      <c r="IG12" s="157">
        <f>1+LeaseUpElevationPct*MAX(0,1-LeaseUp!IG$10/StabilizedOccupancy)</f>
        <v/>
      </c>
      <c r="IH12" s="157">
        <f>1+LeaseUpElevationPct*MAX(0,1-LeaseUp!IH$10/StabilizedOccupancy)</f>
        <v/>
      </c>
      <c r="II12" s="157">
        <f>1+LeaseUpElevationPct*MAX(0,1-LeaseUp!II$10/StabilizedOccupancy)</f>
        <v/>
      </c>
      <c r="IJ12" s="157">
        <f>1+LeaseUpElevationPct*MAX(0,1-LeaseUp!IJ$10/StabilizedOccupancy)</f>
        <v/>
      </c>
      <c r="IK12" s="157">
        <f>1+LeaseUpElevationPct*MAX(0,1-LeaseUp!IK$10/StabilizedOccupancy)</f>
        <v/>
      </c>
      <c r="IL12" s="157">
        <f>1+LeaseUpElevationPct*MAX(0,1-LeaseUp!IL$10/StabilizedOccupancy)</f>
        <v/>
      </c>
      <c r="IM12" s="157">
        <f>1+LeaseUpElevationPct*MAX(0,1-LeaseUp!IM$10/StabilizedOccupancy)</f>
        <v/>
      </c>
      <c r="IN12" s="157">
        <f>1+LeaseUpElevationPct*MAX(0,1-LeaseUp!IN$10/StabilizedOccupancy)</f>
        <v/>
      </c>
      <c r="IO12" s="157">
        <f>1+LeaseUpElevationPct*MAX(0,1-LeaseUp!IO$10/StabilizedOccupancy)</f>
        <v/>
      </c>
      <c r="IP12" s="157">
        <f>1+LeaseUpElevationPct*MAX(0,1-LeaseUp!IP$10/StabilizedOccupancy)</f>
        <v/>
      </c>
      <c r="IQ12" s="157">
        <f>1+LeaseUpElevationPct*MAX(0,1-LeaseUp!IQ$10/StabilizedOccupancy)</f>
        <v/>
      </c>
      <c r="IR12" s="157">
        <f>1+LeaseUpElevationPct*MAX(0,1-LeaseUp!IR$10/StabilizedOccupancy)</f>
        <v/>
      </c>
      <c r="IS12" s="157">
        <f>1+LeaseUpElevationPct*MAX(0,1-LeaseUp!IS$10/StabilizedOccupancy)</f>
        <v/>
      </c>
      <c r="IT12" s="157">
        <f>1+LeaseUpElevationPct*MAX(0,1-LeaseUp!IT$10/StabilizedOccupancy)</f>
        <v/>
      </c>
      <c r="IU12" s="157">
        <f>1+LeaseUpElevationPct*MAX(0,1-LeaseUp!IU$10/StabilizedOccupancy)</f>
        <v/>
      </c>
      <c r="IV12" s="157">
        <f>1+LeaseUpElevationPct*MAX(0,1-LeaseUp!IV$10/StabilizedOccupancy)</f>
        <v/>
      </c>
      <c r="IW12" s="157">
        <f>1+LeaseUpElevationPct*MAX(0,1-LeaseUp!IW$10/StabilizedOccupancy)</f>
        <v/>
      </c>
      <c r="IX12" s="157">
        <f>1+LeaseUpElevationPct*MAX(0,1-LeaseUp!IX$10/StabilizedOccupancy)</f>
        <v/>
      </c>
      <c r="IY12" s="157">
        <f>1+LeaseUpElevationPct*MAX(0,1-LeaseUp!IY$10/StabilizedOccupancy)</f>
        <v/>
      </c>
      <c r="IZ12" s="157">
        <f>1+LeaseUpElevationPct*MAX(0,1-LeaseUp!IZ$10/StabilizedOccupancy)</f>
        <v/>
      </c>
      <c r="JA12" s="157">
        <f>1+LeaseUpElevationPct*MAX(0,1-LeaseUp!JA$10/StabilizedOccupancy)</f>
        <v/>
      </c>
      <c r="JB12" s="157">
        <f>1+LeaseUpElevationPct*MAX(0,1-LeaseUp!JB$10/StabilizedOccupancy)</f>
        <v/>
      </c>
      <c r="JC12" s="157">
        <f>1+LeaseUpElevationPct*MAX(0,1-LeaseUp!JC$10/StabilizedOccupancy)</f>
        <v/>
      </c>
      <c r="JD12" s="157">
        <f>1+LeaseUpElevationPct*MAX(0,1-LeaseUp!JD$10/StabilizedOccupancy)</f>
        <v/>
      </c>
      <c r="JE12" s="157">
        <f>1+LeaseUpElevationPct*MAX(0,1-LeaseUp!JE$10/StabilizedOccupancy)</f>
        <v/>
      </c>
      <c r="JF12" s="157">
        <f>1+LeaseUpElevationPct*MAX(0,1-LeaseUp!JF$10/StabilizedOccupancy)</f>
        <v/>
      </c>
      <c r="JG12" s="157">
        <f>1+LeaseUpElevationPct*MAX(0,1-LeaseUp!JG$10/StabilizedOccupancy)</f>
        <v/>
      </c>
      <c r="JH12" s="157">
        <f>1+LeaseUpElevationPct*MAX(0,1-LeaseUp!JH$10/StabilizedOccupancy)</f>
        <v/>
      </c>
      <c r="JI12" s="157">
        <f>1+LeaseUpElevationPct*MAX(0,1-LeaseUp!JI$10/StabilizedOccupancy)</f>
        <v/>
      </c>
      <c r="JJ12" s="157">
        <f>1+LeaseUpElevationPct*MAX(0,1-LeaseUp!JJ$10/StabilizedOccupancy)</f>
        <v/>
      </c>
      <c r="JK12" s="157">
        <f>1+LeaseUpElevationPct*MAX(0,1-LeaseUp!JK$10/StabilizedOccupancy)</f>
        <v/>
      </c>
      <c r="JL12" s="157">
        <f>1+LeaseUpElevationPct*MAX(0,1-LeaseUp!JL$10/StabilizedOccupancy)</f>
        <v/>
      </c>
      <c r="JM12" s="157">
        <f>1+LeaseUpElevationPct*MAX(0,1-LeaseUp!JM$10/StabilizedOccupancy)</f>
        <v/>
      </c>
      <c r="JN12" s="157">
        <f>1+LeaseUpElevationPct*MAX(0,1-LeaseUp!JN$10/StabilizedOccupancy)</f>
        <v/>
      </c>
      <c r="JO12" s="157">
        <f>1+LeaseUpElevationPct*MAX(0,1-LeaseUp!JO$10/StabilizedOccupancy)</f>
        <v/>
      </c>
      <c r="JP12" s="157">
        <f>1+LeaseUpElevationPct*MAX(0,1-LeaseUp!JP$10/StabilizedOccupancy)</f>
        <v/>
      </c>
      <c r="JQ12" s="157">
        <f>1+LeaseUpElevationPct*MAX(0,1-LeaseUp!JQ$10/StabilizedOccupancy)</f>
        <v/>
      </c>
      <c r="JR12" s="157">
        <f>1+LeaseUpElevationPct*MAX(0,1-LeaseUp!JR$10/StabilizedOccupancy)</f>
        <v/>
      </c>
      <c r="JS12" s="157">
        <f>1+LeaseUpElevationPct*MAX(0,1-LeaseUp!JS$10/StabilizedOccupancy)</f>
        <v/>
      </c>
      <c r="JT12" s="157">
        <f>1+LeaseUpElevationPct*MAX(0,1-LeaseUp!JT$10/StabilizedOccupancy)</f>
        <v/>
      </c>
      <c r="JU12" s="157">
        <f>1+LeaseUpElevationPct*MAX(0,1-LeaseUp!JU$10/StabilizedOccupancy)</f>
        <v/>
      </c>
      <c r="JV12" s="157">
        <f>1+LeaseUpElevationPct*MAX(0,1-LeaseUp!JV$10/StabilizedOccupancy)</f>
        <v/>
      </c>
      <c r="JW12" s="157">
        <f>1+LeaseUpElevationPct*MAX(0,1-LeaseUp!JW$10/StabilizedOccupancy)</f>
        <v/>
      </c>
      <c r="JX12" s="157">
        <f>1+LeaseUpElevationPct*MAX(0,1-LeaseUp!JX$10/StabilizedOccupancy)</f>
        <v/>
      </c>
      <c r="JY12" s="157">
        <f>1+LeaseUpElevationPct*MAX(0,1-LeaseUp!JY$10/StabilizedOccupancy)</f>
        <v/>
      </c>
      <c r="JZ12" s="157">
        <f>1+LeaseUpElevationPct*MAX(0,1-LeaseUp!JZ$10/StabilizedOccupancy)</f>
        <v/>
      </c>
      <c r="KA12" s="157">
        <f>1+LeaseUpElevationPct*MAX(0,1-LeaseUp!KA$10/StabilizedOccupancy)</f>
        <v/>
      </c>
      <c r="KB12" s="157">
        <f>1+LeaseUpElevationPct*MAX(0,1-LeaseUp!KB$10/StabilizedOccupancy)</f>
        <v/>
      </c>
      <c r="KC12" s="157">
        <f>1+LeaseUpElevationPct*MAX(0,1-LeaseUp!KC$10/StabilizedOccupancy)</f>
        <v/>
      </c>
      <c r="KD12" s="157">
        <f>1+LeaseUpElevationPct*MAX(0,1-LeaseUp!KD$10/StabilizedOccupancy)</f>
        <v/>
      </c>
      <c r="KE12" s="157">
        <f>1+LeaseUpElevationPct*MAX(0,1-LeaseUp!KE$10/StabilizedOccupancy)</f>
        <v/>
      </c>
      <c r="KF12" s="157">
        <f>1+LeaseUpElevationPct*MAX(0,1-LeaseUp!KF$10/StabilizedOccupancy)</f>
        <v/>
      </c>
      <c r="KG12" s="157">
        <f>1+LeaseUpElevationPct*MAX(0,1-LeaseUp!KG$10/StabilizedOccupancy)</f>
        <v/>
      </c>
      <c r="KH12" s="157">
        <f>1+LeaseUpElevationPct*MAX(0,1-LeaseUp!KH$10/StabilizedOccupancy)</f>
        <v/>
      </c>
      <c r="KI12" s="157">
        <f>1+LeaseUpElevationPct*MAX(0,1-LeaseUp!KI$10/StabilizedOccupancy)</f>
        <v/>
      </c>
      <c r="KJ12" s="157">
        <f>1+LeaseUpElevationPct*MAX(0,1-LeaseUp!KJ$10/StabilizedOccupancy)</f>
        <v/>
      </c>
      <c r="KK12" s="157">
        <f>1+LeaseUpElevationPct*MAX(0,1-LeaseUp!KK$10/StabilizedOccupancy)</f>
        <v/>
      </c>
      <c r="KL12" s="157">
        <f>1+LeaseUpElevationPct*MAX(0,1-LeaseUp!KL$10/StabilizedOccupancy)</f>
        <v/>
      </c>
      <c r="KM12" s="157">
        <f>1+LeaseUpElevationPct*MAX(0,1-LeaseUp!KM$10/StabilizedOccupancy)</f>
        <v/>
      </c>
      <c r="KN12" s="157">
        <f>1+LeaseUpElevationPct*MAX(0,1-LeaseUp!KN$10/StabilizedOccupancy)</f>
        <v/>
      </c>
      <c r="KO12" s="157">
        <f>1+LeaseUpElevationPct*MAX(0,1-LeaseUp!KO$10/StabilizedOccupancy)</f>
        <v/>
      </c>
      <c r="KP12" s="157">
        <f>1+LeaseUpElevationPct*MAX(0,1-LeaseUp!KP$10/StabilizedOccupancy)</f>
        <v/>
      </c>
      <c r="KQ12" s="157">
        <f>1+LeaseUpElevationPct*MAX(0,1-LeaseUp!KQ$10/StabilizedOccupancy)</f>
        <v/>
      </c>
      <c r="KR12" s="157">
        <f>1+LeaseUpElevationPct*MAX(0,1-LeaseUp!KR$10/StabilizedOccupancy)</f>
        <v/>
      </c>
      <c r="KS12" s="157">
        <f>1+LeaseUpElevationPct*MAX(0,1-LeaseUp!KS$10/StabilizedOccupancy)</f>
        <v/>
      </c>
      <c r="KT12" s="157">
        <f>1+LeaseUpElevationPct*MAX(0,1-LeaseUp!KT$10/StabilizedOccupancy)</f>
        <v/>
      </c>
      <c r="KU12" s="157">
        <f>1+LeaseUpElevationPct*MAX(0,1-LeaseUp!KU$10/StabilizedOccupancy)</f>
        <v/>
      </c>
      <c r="KV12" s="157">
        <f>1+LeaseUpElevationPct*MAX(0,1-LeaseUp!KV$10/StabilizedOccupancy)</f>
        <v/>
      </c>
      <c r="KW12" s="157">
        <f>1+LeaseUpElevationPct*MAX(0,1-LeaseUp!KW$10/StabilizedOccupancy)</f>
        <v/>
      </c>
      <c r="KX12" s="157">
        <f>1+LeaseUpElevationPct*MAX(0,1-LeaseUp!KX$10/StabilizedOccupancy)</f>
        <v/>
      </c>
      <c r="KY12" s="157">
        <f>1+LeaseUpElevationPct*MAX(0,1-LeaseUp!KY$10/StabilizedOccupancy)</f>
        <v/>
      </c>
      <c r="KZ12" s="157">
        <f>1+LeaseUpElevationPct*MAX(0,1-LeaseUp!KZ$10/StabilizedOccupancy)</f>
        <v/>
      </c>
      <c r="LA12" s="157">
        <f>1+LeaseUpElevationPct*MAX(0,1-LeaseUp!LA$10/StabilizedOccupancy)</f>
        <v/>
      </c>
      <c r="LB12" s="157">
        <f>1+LeaseUpElevationPct*MAX(0,1-LeaseUp!LB$10/StabilizedOccupancy)</f>
        <v/>
      </c>
      <c r="LC12" s="157">
        <f>1+LeaseUpElevationPct*MAX(0,1-LeaseUp!LC$10/StabilizedOccupancy)</f>
        <v/>
      </c>
      <c r="LD12" s="157">
        <f>1+LeaseUpElevationPct*MAX(0,1-LeaseUp!LD$10/StabilizedOccupancy)</f>
        <v/>
      </c>
      <c r="LE12" s="157">
        <f>1+LeaseUpElevationPct*MAX(0,1-LeaseUp!LE$10/StabilizedOccupancy)</f>
        <v/>
      </c>
      <c r="LF12" s="157">
        <f>1+LeaseUpElevationPct*MAX(0,1-LeaseUp!LF$10/StabilizedOccupancy)</f>
        <v/>
      </c>
      <c r="LG12" s="157">
        <f>1+LeaseUpElevationPct*MAX(0,1-LeaseUp!LG$10/StabilizedOccupancy)</f>
        <v/>
      </c>
      <c r="LH12" s="157">
        <f>1+LeaseUpElevationPct*MAX(0,1-LeaseUp!LH$10/StabilizedOccupancy)</f>
        <v/>
      </c>
      <c r="LI12" s="157">
        <f>1+LeaseUpElevationPct*MAX(0,1-LeaseUp!LI$10/StabilizedOccupancy)</f>
        <v/>
      </c>
      <c r="LJ12" s="157">
        <f>1+LeaseUpElevationPct*MAX(0,1-LeaseUp!LJ$10/StabilizedOccupancy)</f>
        <v/>
      </c>
      <c r="LK12" s="157">
        <f>1+LeaseUpElevationPct*MAX(0,1-LeaseUp!LK$10/StabilizedOccupancy)</f>
        <v/>
      </c>
      <c r="LL12" s="157">
        <f>1+LeaseUpElevationPct*MAX(0,1-LeaseUp!LL$10/StabilizedOccupancy)</f>
        <v/>
      </c>
      <c r="LM12" s="157">
        <f>1+LeaseUpElevationPct*MAX(0,1-LeaseUp!LM$10/StabilizedOccupancy)</f>
        <v/>
      </c>
      <c r="LN12" s="157">
        <f>1+LeaseUpElevationPct*MAX(0,1-LeaseUp!LN$10/StabilizedOccupancy)</f>
        <v/>
      </c>
      <c r="LO12" s="157">
        <f>1+LeaseUpElevationPct*MAX(0,1-LeaseUp!LO$10/StabilizedOccupancy)</f>
        <v/>
      </c>
      <c r="LP12" s="157">
        <f>1+LeaseUpElevationPct*MAX(0,1-LeaseUp!LP$10/StabilizedOccupancy)</f>
        <v/>
      </c>
      <c r="LQ12" s="157">
        <f>1+LeaseUpElevationPct*MAX(0,1-LeaseUp!LQ$10/StabilizedOccupancy)</f>
        <v/>
      </c>
      <c r="LR12" s="157">
        <f>1+LeaseUpElevationPct*MAX(0,1-LeaseUp!LR$10/StabilizedOccupancy)</f>
        <v/>
      </c>
      <c r="LS12" s="157">
        <f>1+LeaseUpElevationPct*MAX(0,1-LeaseUp!LS$10/StabilizedOccupancy)</f>
        <v/>
      </c>
      <c r="LT12" s="157">
        <f>1+LeaseUpElevationPct*MAX(0,1-LeaseUp!LT$10/StabilizedOccupancy)</f>
        <v/>
      </c>
      <c r="LU12" s="157">
        <f>1+LeaseUpElevationPct*MAX(0,1-LeaseUp!LU$10/StabilizedOccupancy)</f>
        <v/>
      </c>
      <c r="LV12" s="157">
        <f>1+LeaseUpElevationPct*MAX(0,1-LeaseUp!LV$10/StabilizedOccupancy)</f>
        <v/>
      </c>
      <c r="LW12" s="157">
        <f>1+LeaseUpElevationPct*MAX(0,1-LeaseUp!LW$10/StabilizedOccupancy)</f>
        <v/>
      </c>
      <c r="LX12" s="157">
        <f>1+LeaseUpElevationPct*MAX(0,1-LeaseUp!LX$10/StabilizedOccupancy)</f>
        <v/>
      </c>
      <c r="LY12" s="157">
        <f>1+LeaseUpElevationPct*MAX(0,1-LeaseUp!LY$10/StabilizedOccupancy)</f>
        <v/>
      </c>
      <c r="LZ12" s="157">
        <f>1+LeaseUpElevationPct*MAX(0,1-LeaseUp!LZ$10/StabilizedOccupancy)</f>
        <v/>
      </c>
      <c r="MA12" s="157">
        <f>1+LeaseUpElevationPct*MAX(0,1-LeaseUp!MA$10/StabilizedOccupancy)</f>
        <v/>
      </c>
      <c r="MB12" s="157">
        <f>1+LeaseUpElevationPct*MAX(0,1-LeaseUp!MB$10/StabilizedOccupancy)</f>
        <v/>
      </c>
      <c r="MC12" s="157">
        <f>1+LeaseUpElevationPct*MAX(0,1-LeaseUp!MC$10/StabilizedOccupancy)</f>
        <v/>
      </c>
      <c r="MD12" s="157">
        <f>1+LeaseUpElevationPct*MAX(0,1-LeaseUp!MD$10/StabilizedOccupancy)</f>
        <v/>
      </c>
      <c r="ME12" s="157">
        <f>1+LeaseUpElevationPct*MAX(0,1-LeaseUp!ME$10/StabilizedOccupancy)</f>
        <v/>
      </c>
      <c r="MF12" s="157">
        <f>1+LeaseUpElevationPct*MAX(0,1-LeaseUp!MF$10/StabilizedOccupancy)</f>
        <v/>
      </c>
      <c r="MG12" s="157">
        <f>1+LeaseUpElevationPct*MAX(0,1-LeaseUp!MG$10/StabilizedOccupancy)</f>
        <v/>
      </c>
      <c r="MH12" s="157">
        <f>1+LeaseUpElevationPct*MAX(0,1-LeaseUp!MH$10/StabilizedOccupancy)</f>
        <v/>
      </c>
      <c r="MI12" s="157">
        <f>1+LeaseUpElevationPct*MAX(0,1-LeaseUp!MI$10/StabilizedOccupancy)</f>
        <v/>
      </c>
      <c r="MJ12" s="157">
        <f>1+LeaseUpElevationPct*MAX(0,1-LeaseUp!MJ$10/StabilizedOccupancy)</f>
        <v/>
      </c>
      <c r="MK12" s="157">
        <f>1+LeaseUpElevationPct*MAX(0,1-LeaseUp!MK$10/StabilizedOccupancy)</f>
        <v/>
      </c>
      <c r="ML12" s="157">
        <f>1+LeaseUpElevationPct*MAX(0,1-LeaseUp!ML$10/StabilizedOccupancy)</f>
        <v/>
      </c>
      <c r="MM12" s="157">
        <f>1+LeaseUpElevationPct*MAX(0,1-LeaseUp!MM$10/StabilizedOccupancy)</f>
        <v/>
      </c>
      <c r="MN12" s="157">
        <f>1+LeaseUpElevationPct*MAX(0,1-LeaseUp!MN$10/StabilizedOccupancy)</f>
        <v/>
      </c>
      <c r="MO12" s="157">
        <f>1+LeaseUpElevationPct*MAX(0,1-LeaseUp!MO$10/StabilizedOccupancy)</f>
        <v/>
      </c>
      <c r="MP12" s="157">
        <f>1+LeaseUpElevationPct*MAX(0,1-LeaseUp!MP$10/StabilizedOccupancy)</f>
        <v/>
      </c>
      <c r="MQ12" s="157">
        <f>1+LeaseUpElevationPct*MAX(0,1-LeaseUp!MQ$10/StabilizedOccupancy)</f>
        <v/>
      </c>
      <c r="MR12" s="157">
        <f>1+LeaseUpElevationPct*MAX(0,1-LeaseUp!MR$10/StabilizedOccupancy)</f>
        <v/>
      </c>
      <c r="MS12" s="157">
        <f>1+LeaseUpElevationPct*MAX(0,1-LeaseUp!MS$10/StabilizedOccupancy)</f>
        <v/>
      </c>
      <c r="MT12" s="157">
        <f>1+LeaseUpElevationPct*MAX(0,1-LeaseUp!MT$10/StabilizedOccupancy)</f>
        <v/>
      </c>
      <c r="MU12" s="157">
        <f>1+LeaseUpElevationPct*MAX(0,1-LeaseUp!MU$10/StabilizedOccupancy)</f>
        <v/>
      </c>
      <c r="MV12" s="157">
        <f>1+LeaseUpElevationPct*MAX(0,1-LeaseUp!MV$10/StabilizedOccupancy)</f>
        <v/>
      </c>
      <c r="MW12" s="157">
        <f>1+LeaseUpElevationPct*MAX(0,1-LeaseUp!MW$10/StabilizedOccupancy)</f>
        <v/>
      </c>
      <c r="MX12" s="157">
        <f>1+LeaseUpElevationPct*MAX(0,1-LeaseUp!MX$10/StabilizedOccupancy)</f>
        <v/>
      </c>
      <c r="MY12" s="157">
        <f>1+LeaseUpElevationPct*MAX(0,1-LeaseUp!MY$10/StabilizedOccupancy)</f>
        <v/>
      </c>
      <c r="MZ12" s="157">
        <f>1+LeaseUpElevationPct*MAX(0,1-LeaseUp!MZ$10/StabilizedOccupancy)</f>
        <v/>
      </c>
      <c r="NA12" s="157">
        <f>1+LeaseUpElevationPct*MAX(0,1-LeaseUp!NA$10/StabilizedOccupancy)</f>
        <v/>
      </c>
      <c r="NB12" s="157">
        <f>1+LeaseUpElevationPct*MAX(0,1-LeaseUp!NB$10/StabilizedOccupancy)</f>
        <v/>
      </c>
      <c r="NC12" s="157">
        <f>1+LeaseUpElevationPct*MAX(0,1-LeaseUp!NC$10/StabilizedOccupancy)</f>
        <v/>
      </c>
      <c r="ND12" s="157">
        <f>1+LeaseUpElevationPct*MAX(0,1-LeaseUp!ND$10/StabilizedOccupancy)</f>
        <v/>
      </c>
      <c r="NE12" s="157">
        <f>1+LeaseUpElevationPct*MAX(0,1-LeaseUp!NE$10/StabilizedOccupancy)</f>
        <v/>
      </c>
      <c r="NF12" s="157">
        <f>1+LeaseUpElevationPct*MAX(0,1-LeaseUp!NF$10/StabilizedOccupancy)</f>
        <v/>
      </c>
      <c r="NG12" s="157">
        <f>1+LeaseUpElevationPct*MAX(0,1-LeaseUp!NG$10/StabilizedOccupancy)</f>
        <v/>
      </c>
      <c r="NH12" s="157">
        <f>1+LeaseUpElevationPct*MAX(0,1-LeaseUp!NH$10/StabilizedOccupancy)</f>
        <v/>
      </c>
      <c r="NI12" s="157">
        <f>1+LeaseUpElevationPct*MAX(0,1-LeaseUp!NI$10/StabilizedOccupancy)</f>
        <v/>
      </c>
      <c r="NJ12" s="157">
        <f>1+LeaseUpElevationPct*MAX(0,1-LeaseUp!NJ$10/StabilizedOccupancy)</f>
        <v/>
      </c>
      <c r="NK12" s="157">
        <f>1+LeaseUpElevationPct*MAX(0,1-LeaseUp!NK$10/StabilizedOccupancy)</f>
        <v/>
      </c>
      <c r="NL12" s="158">
        <f>1+LeaseUpElevationPct*MAX(0,1-LeaseUp!NL$10/StabilizedOccupancy)</f>
        <v/>
      </c>
    </row>
    <row r="13">
      <c r="B13" s="154" t="inlineStr">
        <is>
          <t>Revenue</t>
        </is>
      </c>
      <c r="C13" s="155" t="n"/>
      <c r="D13" s="155" t="n"/>
      <c r="NL13" s="53" t="n"/>
    </row>
    <row r="14">
      <c r="B14" s="36" t="inlineStr">
        <is>
          <t>Gross Potential Rent</t>
        </is>
      </c>
      <c r="D14" s="266">
        <f>SUM(E14:NL14)</f>
        <v/>
      </c>
      <c r="E14" s="218">
        <f>IF(1&gt;=DeliverStart,BaseMarketRentMo*E$6+BaseLowRentMo*E$7,0)</f>
        <v/>
      </c>
      <c r="F14" s="218">
        <f>IF(2&gt;=DeliverStart,BaseMarketRentMo*F$6+BaseLowRentMo*F$7,0)</f>
        <v/>
      </c>
      <c r="G14" s="218">
        <f>IF(3&gt;=DeliverStart,BaseMarketRentMo*G$6+BaseLowRentMo*G$7,0)</f>
        <v/>
      </c>
      <c r="H14" s="218">
        <f>IF(4&gt;=DeliverStart,BaseMarketRentMo*H$6+BaseLowRentMo*H$7,0)</f>
        <v/>
      </c>
      <c r="I14" s="218">
        <f>IF(5&gt;=DeliverStart,BaseMarketRentMo*I$6+BaseLowRentMo*I$7,0)</f>
        <v/>
      </c>
      <c r="J14" s="218">
        <f>IF(6&gt;=DeliverStart,BaseMarketRentMo*J$6+BaseLowRentMo*J$7,0)</f>
        <v/>
      </c>
      <c r="K14" s="218">
        <f>IF(7&gt;=DeliverStart,BaseMarketRentMo*K$6+BaseLowRentMo*K$7,0)</f>
        <v/>
      </c>
      <c r="L14" s="218">
        <f>IF(8&gt;=DeliverStart,BaseMarketRentMo*L$6+BaseLowRentMo*L$7,0)</f>
        <v/>
      </c>
      <c r="M14" s="218">
        <f>IF(9&gt;=DeliverStart,BaseMarketRentMo*M$6+BaseLowRentMo*M$7,0)</f>
        <v/>
      </c>
      <c r="N14" s="218">
        <f>IF(10&gt;=DeliverStart,BaseMarketRentMo*N$6+BaseLowRentMo*N$7,0)</f>
        <v/>
      </c>
      <c r="O14" s="218">
        <f>IF(11&gt;=DeliverStart,BaseMarketRentMo*O$6+BaseLowRentMo*O$7,0)</f>
        <v/>
      </c>
      <c r="P14" s="218">
        <f>IF(12&gt;=DeliverStart,BaseMarketRentMo*P$6+BaseLowRentMo*P$7,0)</f>
        <v/>
      </c>
      <c r="Q14" s="218">
        <f>IF(13&gt;=DeliverStart,BaseMarketRentMo*Q$6+BaseLowRentMo*Q$7,0)</f>
        <v/>
      </c>
      <c r="R14" s="218">
        <f>IF(14&gt;=DeliverStart,BaseMarketRentMo*R$6+BaseLowRentMo*R$7,0)</f>
        <v/>
      </c>
      <c r="S14" s="218">
        <f>IF(15&gt;=DeliverStart,BaseMarketRentMo*S$6+BaseLowRentMo*S$7,0)</f>
        <v/>
      </c>
      <c r="T14" s="218">
        <f>IF(16&gt;=DeliverStart,BaseMarketRentMo*T$6+BaseLowRentMo*T$7,0)</f>
        <v/>
      </c>
      <c r="U14" s="218">
        <f>IF(17&gt;=DeliverStart,BaseMarketRentMo*U$6+BaseLowRentMo*U$7,0)</f>
        <v/>
      </c>
      <c r="V14" s="218">
        <f>IF(18&gt;=DeliverStart,BaseMarketRentMo*V$6+BaseLowRentMo*V$7,0)</f>
        <v/>
      </c>
      <c r="W14" s="218">
        <f>IF(19&gt;=DeliverStart,BaseMarketRentMo*W$6+BaseLowRentMo*W$7,0)</f>
        <v/>
      </c>
      <c r="X14" s="218">
        <f>IF(20&gt;=DeliverStart,BaseMarketRentMo*X$6+BaseLowRentMo*X$7,0)</f>
        <v/>
      </c>
      <c r="Y14" s="218">
        <f>IF(21&gt;=DeliverStart,BaseMarketRentMo*Y$6+BaseLowRentMo*Y$7,0)</f>
        <v/>
      </c>
      <c r="Z14" s="218">
        <f>IF(22&gt;=DeliverStart,BaseMarketRentMo*Z$6+BaseLowRentMo*Z$7,0)</f>
        <v/>
      </c>
      <c r="AA14" s="218">
        <f>IF(23&gt;=DeliverStart,BaseMarketRentMo*AA$6+BaseLowRentMo*AA$7,0)</f>
        <v/>
      </c>
      <c r="AB14" s="218">
        <f>IF(24&gt;=DeliverStart,BaseMarketRentMo*AB$6+BaseLowRentMo*AB$7,0)</f>
        <v/>
      </c>
      <c r="AC14" s="218">
        <f>IF(25&gt;=DeliverStart,BaseMarketRentMo*AC$6+BaseLowRentMo*AC$7,0)</f>
        <v/>
      </c>
      <c r="AD14" s="218">
        <f>IF(26&gt;=DeliverStart,BaseMarketRentMo*AD$6+BaseLowRentMo*AD$7,0)</f>
        <v/>
      </c>
      <c r="AE14" s="218">
        <f>IF(27&gt;=DeliverStart,BaseMarketRentMo*AE$6+BaseLowRentMo*AE$7,0)</f>
        <v/>
      </c>
      <c r="AF14" s="218">
        <f>IF(28&gt;=DeliverStart,BaseMarketRentMo*AF$6+BaseLowRentMo*AF$7,0)</f>
        <v/>
      </c>
      <c r="AG14" s="218">
        <f>IF(29&gt;=DeliverStart,BaseMarketRentMo*AG$6+BaseLowRentMo*AG$7,0)</f>
        <v/>
      </c>
      <c r="AH14" s="218">
        <f>IF(30&gt;=DeliverStart,BaseMarketRentMo*AH$6+BaseLowRentMo*AH$7,0)</f>
        <v/>
      </c>
      <c r="AI14" s="218">
        <f>IF(31&gt;=DeliverStart,BaseMarketRentMo*AI$6+BaseLowRentMo*AI$7,0)</f>
        <v/>
      </c>
      <c r="AJ14" s="218">
        <f>IF(32&gt;=DeliverStart,BaseMarketRentMo*AJ$6+BaseLowRentMo*AJ$7,0)</f>
        <v/>
      </c>
      <c r="AK14" s="218">
        <f>IF(33&gt;=DeliverStart,BaseMarketRentMo*AK$6+BaseLowRentMo*AK$7,0)</f>
        <v/>
      </c>
      <c r="AL14" s="218">
        <f>IF(34&gt;=DeliverStart,BaseMarketRentMo*AL$6+BaseLowRentMo*AL$7,0)</f>
        <v/>
      </c>
      <c r="AM14" s="218">
        <f>IF(35&gt;=DeliverStart,BaseMarketRentMo*AM$6+BaseLowRentMo*AM$7,0)</f>
        <v/>
      </c>
      <c r="AN14" s="218">
        <f>IF(36&gt;=DeliverStart,BaseMarketRentMo*AN$6+BaseLowRentMo*AN$7,0)</f>
        <v/>
      </c>
      <c r="AO14" s="218">
        <f>IF(37&gt;=DeliverStart,BaseMarketRentMo*AO$6+BaseLowRentMo*AO$7,0)</f>
        <v/>
      </c>
      <c r="AP14" s="218">
        <f>IF(38&gt;=DeliverStart,BaseMarketRentMo*AP$6+BaseLowRentMo*AP$7,0)</f>
        <v/>
      </c>
      <c r="AQ14" s="218">
        <f>IF(39&gt;=DeliverStart,BaseMarketRentMo*AQ$6+BaseLowRentMo*AQ$7,0)</f>
        <v/>
      </c>
      <c r="AR14" s="218">
        <f>IF(40&gt;=DeliverStart,BaseMarketRentMo*AR$6+BaseLowRentMo*AR$7,0)</f>
        <v/>
      </c>
      <c r="AS14" s="218">
        <f>IF(41&gt;=DeliverStart,BaseMarketRentMo*AS$6+BaseLowRentMo*AS$7,0)</f>
        <v/>
      </c>
      <c r="AT14" s="218">
        <f>IF(42&gt;=DeliverStart,BaseMarketRentMo*AT$6+BaseLowRentMo*AT$7,0)</f>
        <v/>
      </c>
      <c r="AU14" s="218">
        <f>IF(43&gt;=DeliverStart,BaseMarketRentMo*AU$6+BaseLowRentMo*AU$7,0)</f>
        <v/>
      </c>
      <c r="AV14" s="218">
        <f>IF(44&gt;=DeliverStart,BaseMarketRentMo*AV$6+BaseLowRentMo*AV$7,0)</f>
        <v/>
      </c>
      <c r="AW14" s="218">
        <f>IF(45&gt;=DeliverStart,BaseMarketRentMo*AW$6+BaseLowRentMo*AW$7,0)</f>
        <v/>
      </c>
      <c r="AX14" s="218">
        <f>IF(46&gt;=DeliverStart,BaseMarketRentMo*AX$6+BaseLowRentMo*AX$7,0)</f>
        <v/>
      </c>
      <c r="AY14" s="218">
        <f>IF(47&gt;=DeliverStart,BaseMarketRentMo*AY$6+BaseLowRentMo*AY$7,0)</f>
        <v/>
      </c>
      <c r="AZ14" s="218">
        <f>IF(48&gt;=DeliverStart,BaseMarketRentMo*AZ$6+BaseLowRentMo*AZ$7,0)</f>
        <v/>
      </c>
      <c r="BA14" s="218">
        <f>IF(49&gt;=DeliverStart,BaseMarketRentMo*BA$6+BaseLowRentMo*BA$7,0)</f>
        <v/>
      </c>
      <c r="BB14" s="218">
        <f>IF(50&gt;=DeliverStart,BaseMarketRentMo*BB$6+BaseLowRentMo*BB$7,0)</f>
        <v/>
      </c>
      <c r="BC14" s="218">
        <f>IF(51&gt;=DeliverStart,BaseMarketRentMo*BC$6+BaseLowRentMo*BC$7,0)</f>
        <v/>
      </c>
      <c r="BD14" s="218">
        <f>IF(52&gt;=DeliverStart,BaseMarketRentMo*BD$6+BaseLowRentMo*BD$7,0)</f>
        <v/>
      </c>
      <c r="BE14" s="218">
        <f>IF(53&gt;=DeliverStart,BaseMarketRentMo*BE$6+BaseLowRentMo*BE$7,0)</f>
        <v/>
      </c>
      <c r="BF14" s="218">
        <f>IF(54&gt;=DeliverStart,BaseMarketRentMo*BF$6+BaseLowRentMo*BF$7,0)</f>
        <v/>
      </c>
      <c r="BG14" s="218">
        <f>IF(55&gt;=DeliverStart,BaseMarketRentMo*BG$6+BaseLowRentMo*BG$7,0)</f>
        <v/>
      </c>
      <c r="BH14" s="218">
        <f>IF(56&gt;=DeliverStart,BaseMarketRentMo*BH$6+BaseLowRentMo*BH$7,0)</f>
        <v/>
      </c>
      <c r="BI14" s="218">
        <f>IF(57&gt;=DeliverStart,BaseMarketRentMo*BI$6+BaseLowRentMo*BI$7,0)</f>
        <v/>
      </c>
      <c r="BJ14" s="218">
        <f>IF(58&gt;=DeliverStart,BaseMarketRentMo*BJ$6+BaseLowRentMo*BJ$7,0)</f>
        <v/>
      </c>
      <c r="BK14" s="218">
        <f>IF(59&gt;=DeliverStart,BaseMarketRentMo*BK$6+BaseLowRentMo*BK$7,0)</f>
        <v/>
      </c>
      <c r="BL14" s="218">
        <f>IF(60&gt;=DeliverStart,BaseMarketRentMo*BL$6+BaseLowRentMo*BL$7,0)</f>
        <v/>
      </c>
      <c r="BM14" s="218">
        <f>IF(61&gt;=DeliverStart,BaseMarketRentMo*BM$6+BaseLowRentMo*BM$7,0)</f>
        <v/>
      </c>
      <c r="BN14" s="218">
        <f>IF(62&gt;=DeliverStart,BaseMarketRentMo*BN$6+BaseLowRentMo*BN$7,0)</f>
        <v/>
      </c>
      <c r="BO14" s="218">
        <f>IF(63&gt;=DeliverStart,BaseMarketRentMo*BO$6+BaseLowRentMo*BO$7,0)</f>
        <v/>
      </c>
      <c r="BP14" s="218">
        <f>IF(64&gt;=DeliverStart,BaseMarketRentMo*BP$6+BaseLowRentMo*BP$7,0)</f>
        <v/>
      </c>
      <c r="BQ14" s="218">
        <f>IF(65&gt;=DeliverStart,BaseMarketRentMo*BQ$6+BaseLowRentMo*BQ$7,0)</f>
        <v/>
      </c>
      <c r="BR14" s="218">
        <f>IF(66&gt;=DeliverStart,BaseMarketRentMo*BR$6+BaseLowRentMo*BR$7,0)</f>
        <v/>
      </c>
      <c r="BS14" s="218">
        <f>IF(67&gt;=DeliverStart,BaseMarketRentMo*BS$6+BaseLowRentMo*BS$7,0)</f>
        <v/>
      </c>
      <c r="BT14" s="218">
        <f>IF(68&gt;=DeliverStart,BaseMarketRentMo*BT$6+BaseLowRentMo*BT$7,0)</f>
        <v/>
      </c>
      <c r="BU14" s="218">
        <f>IF(69&gt;=DeliverStart,BaseMarketRentMo*BU$6+BaseLowRentMo*BU$7,0)</f>
        <v/>
      </c>
      <c r="BV14" s="218">
        <f>IF(70&gt;=DeliverStart,BaseMarketRentMo*BV$6+BaseLowRentMo*BV$7,0)</f>
        <v/>
      </c>
      <c r="BW14" s="218">
        <f>IF(71&gt;=DeliverStart,BaseMarketRentMo*BW$6+BaseLowRentMo*BW$7,0)</f>
        <v/>
      </c>
      <c r="BX14" s="218">
        <f>IF(72&gt;=DeliverStart,BaseMarketRentMo*BX$6+BaseLowRentMo*BX$7,0)</f>
        <v/>
      </c>
      <c r="BY14" s="218">
        <f>IF(73&gt;=DeliverStart,BaseMarketRentMo*BY$6+BaseLowRentMo*BY$7,0)</f>
        <v/>
      </c>
      <c r="BZ14" s="218">
        <f>IF(74&gt;=DeliverStart,BaseMarketRentMo*BZ$6+BaseLowRentMo*BZ$7,0)</f>
        <v/>
      </c>
      <c r="CA14" s="218">
        <f>IF(75&gt;=DeliverStart,BaseMarketRentMo*CA$6+BaseLowRentMo*CA$7,0)</f>
        <v/>
      </c>
      <c r="CB14" s="218">
        <f>IF(76&gt;=DeliverStart,BaseMarketRentMo*CB$6+BaseLowRentMo*CB$7,0)</f>
        <v/>
      </c>
      <c r="CC14" s="218">
        <f>IF(77&gt;=DeliverStart,BaseMarketRentMo*CC$6+BaseLowRentMo*CC$7,0)</f>
        <v/>
      </c>
      <c r="CD14" s="218">
        <f>IF(78&gt;=DeliverStart,BaseMarketRentMo*CD$6+BaseLowRentMo*CD$7,0)</f>
        <v/>
      </c>
      <c r="CE14" s="218">
        <f>IF(79&gt;=DeliverStart,BaseMarketRentMo*CE$6+BaseLowRentMo*CE$7,0)</f>
        <v/>
      </c>
      <c r="CF14" s="218">
        <f>IF(80&gt;=DeliverStart,BaseMarketRentMo*CF$6+BaseLowRentMo*CF$7,0)</f>
        <v/>
      </c>
      <c r="CG14" s="218">
        <f>IF(81&gt;=DeliverStart,BaseMarketRentMo*CG$6+BaseLowRentMo*CG$7,0)</f>
        <v/>
      </c>
      <c r="CH14" s="218">
        <f>IF(82&gt;=DeliverStart,BaseMarketRentMo*CH$6+BaseLowRentMo*CH$7,0)</f>
        <v/>
      </c>
      <c r="CI14" s="218">
        <f>IF(83&gt;=DeliverStart,BaseMarketRentMo*CI$6+BaseLowRentMo*CI$7,0)</f>
        <v/>
      </c>
      <c r="CJ14" s="218">
        <f>IF(84&gt;=DeliverStart,BaseMarketRentMo*CJ$6+BaseLowRentMo*CJ$7,0)</f>
        <v/>
      </c>
      <c r="CK14" s="218">
        <f>IF(85&gt;=DeliverStart,BaseMarketRentMo*CK$6+BaseLowRentMo*CK$7,0)</f>
        <v/>
      </c>
      <c r="CL14" s="218">
        <f>IF(86&gt;=DeliverStart,BaseMarketRentMo*CL$6+BaseLowRentMo*CL$7,0)</f>
        <v/>
      </c>
      <c r="CM14" s="218">
        <f>IF(87&gt;=DeliverStart,BaseMarketRentMo*CM$6+BaseLowRentMo*CM$7,0)</f>
        <v/>
      </c>
      <c r="CN14" s="218">
        <f>IF(88&gt;=DeliverStart,BaseMarketRentMo*CN$6+BaseLowRentMo*CN$7,0)</f>
        <v/>
      </c>
      <c r="CO14" s="218">
        <f>IF(89&gt;=DeliverStart,BaseMarketRentMo*CO$6+BaseLowRentMo*CO$7,0)</f>
        <v/>
      </c>
      <c r="CP14" s="218">
        <f>IF(90&gt;=DeliverStart,BaseMarketRentMo*CP$6+BaseLowRentMo*CP$7,0)</f>
        <v/>
      </c>
      <c r="CQ14" s="218">
        <f>IF(91&gt;=DeliverStart,BaseMarketRentMo*CQ$6+BaseLowRentMo*CQ$7,0)</f>
        <v/>
      </c>
      <c r="CR14" s="218">
        <f>IF(92&gt;=DeliverStart,BaseMarketRentMo*CR$6+BaseLowRentMo*CR$7,0)</f>
        <v/>
      </c>
      <c r="CS14" s="218">
        <f>IF(93&gt;=DeliverStart,BaseMarketRentMo*CS$6+BaseLowRentMo*CS$7,0)</f>
        <v/>
      </c>
      <c r="CT14" s="218">
        <f>IF(94&gt;=DeliverStart,BaseMarketRentMo*CT$6+BaseLowRentMo*CT$7,0)</f>
        <v/>
      </c>
      <c r="CU14" s="218">
        <f>IF(95&gt;=DeliverStart,BaseMarketRentMo*CU$6+BaseLowRentMo*CU$7,0)</f>
        <v/>
      </c>
      <c r="CV14" s="218">
        <f>IF(96&gt;=DeliverStart,BaseMarketRentMo*CV$6+BaseLowRentMo*CV$7,0)</f>
        <v/>
      </c>
      <c r="CW14" s="218">
        <f>IF(97&gt;=DeliverStart,BaseMarketRentMo*CW$6+BaseLowRentMo*CW$7,0)</f>
        <v/>
      </c>
      <c r="CX14" s="218">
        <f>IF(98&gt;=DeliverStart,BaseMarketRentMo*CX$6+BaseLowRentMo*CX$7,0)</f>
        <v/>
      </c>
      <c r="CY14" s="218">
        <f>IF(99&gt;=DeliverStart,BaseMarketRentMo*CY$6+BaseLowRentMo*CY$7,0)</f>
        <v/>
      </c>
      <c r="CZ14" s="218">
        <f>IF(100&gt;=DeliverStart,BaseMarketRentMo*CZ$6+BaseLowRentMo*CZ$7,0)</f>
        <v/>
      </c>
      <c r="DA14" s="218">
        <f>IF(101&gt;=DeliverStart,BaseMarketRentMo*DA$6+BaseLowRentMo*DA$7,0)</f>
        <v/>
      </c>
      <c r="DB14" s="218">
        <f>IF(102&gt;=DeliverStart,BaseMarketRentMo*DB$6+BaseLowRentMo*DB$7,0)</f>
        <v/>
      </c>
      <c r="DC14" s="218">
        <f>IF(103&gt;=DeliverStart,BaseMarketRentMo*DC$6+BaseLowRentMo*DC$7,0)</f>
        <v/>
      </c>
      <c r="DD14" s="218">
        <f>IF(104&gt;=DeliverStart,BaseMarketRentMo*DD$6+BaseLowRentMo*DD$7,0)</f>
        <v/>
      </c>
      <c r="DE14" s="218">
        <f>IF(105&gt;=DeliverStart,BaseMarketRentMo*DE$6+BaseLowRentMo*DE$7,0)</f>
        <v/>
      </c>
      <c r="DF14" s="218">
        <f>IF(106&gt;=DeliverStart,BaseMarketRentMo*DF$6+BaseLowRentMo*DF$7,0)</f>
        <v/>
      </c>
      <c r="DG14" s="218">
        <f>IF(107&gt;=DeliverStart,BaseMarketRentMo*DG$6+BaseLowRentMo*DG$7,0)</f>
        <v/>
      </c>
      <c r="DH14" s="218">
        <f>IF(108&gt;=DeliverStart,BaseMarketRentMo*DH$6+BaseLowRentMo*DH$7,0)</f>
        <v/>
      </c>
      <c r="DI14" s="218">
        <f>IF(109&gt;=DeliverStart,BaseMarketRentMo*DI$6+BaseLowRentMo*DI$7,0)</f>
        <v/>
      </c>
      <c r="DJ14" s="218">
        <f>IF(110&gt;=DeliverStart,BaseMarketRentMo*DJ$6+BaseLowRentMo*DJ$7,0)</f>
        <v/>
      </c>
      <c r="DK14" s="218">
        <f>IF(111&gt;=DeliverStart,BaseMarketRentMo*DK$6+BaseLowRentMo*DK$7,0)</f>
        <v/>
      </c>
      <c r="DL14" s="218">
        <f>IF(112&gt;=DeliverStart,BaseMarketRentMo*DL$6+BaseLowRentMo*DL$7,0)</f>
        <v/>
      </c>
      <c r="DM14" s="218">
        <f>IF(113&gt;=DeliverStart,BaseMarketRentMo*DM$6+BaseLowRentMo*DM$7,0)</f>
        <v/>
      </c>
      <c r="DN14" s="218">
        <f>IF(114&gt;=DeliverStart,BaseMarketRentMo*DN$6+BaseLowRentMo*DN$7,0)</f>
        <v/>
      </c>
      <c r="DO14" s="218">
        <f>IF(115&gt;=DeliverStart,BaseMarketRentMo*DO$6+BaseLowRentMo*DO$7,0)</f>
        <v/>
      </c>
      <c r="DP14" s="218">
        <f>IF(116&gt;=DeliverStart,BaseMarketRentMo*DP$6+BaseLowRentMo*DP$7,0)</f>
        <v/>
      </c>
      <c r="DQ14" s="218">
        <f>IF(117&gt;=DeliverStart,BaseMarketRentMo*DQ$6+BaseLowRentMo*DQ$7,0)</f>
        <v/>
      </c>
      <c r="DR14" s="218">
        <f>IF(118&gt;=DeliverStart,BaseMarketRentMo*DR$6+BaseLowRentMo*DR$7,0)</f>
        <v/>
      </c>
      <c r="DS14" s="218">
        <f>IF(119&gt;=DeliverStart,BaseMarketRentMo*DS$6+BaseLowRentMo*DS$7,0)</f>
        <v/>
      </c>
      <c r="DT14" s="218">
        <f>IF(120&gt;=DeliverStart,BaseMarketRentMo*DT$6+BaseLowRentMo*DT$7,0)</f>
        <v/>
      </c>
      <c r="DU14" s="218">
        <f>IF(121&gt;=DeliverStart,BaseMarketRentMo*DU$6+BaseLowRentMo*DU$7,0)</f>
        <v/>
      </c>
      <c r="DV14" s="218">
        <f>IF(122&gt;=DeliverStart,BaseMarketRentMo*DV$6+BaseLowRentMo*DV$7,0)</f>
        <v/>
      </c>
      <c r="DW14" s="218">
        <f>IF(123&gt;=DeliverStart,BaseMarketRentMo*DW$6+BaseLowRentMo*DW$7,0)</f>
        <v/>
      </c>
      <c r="DX14" s="218">
        <f>IF(124&gt;=DeliverStart,BaseMarketRentMo*DX$6+BaseLowRentMo*DX$7,0)</f>
        <v/>
      </c>
      <c r="DY14" s="218">
        <f>IF(125&gt;=DeliverStart,BaseMarketRentMo*DY$6+BaseLowRentMo*DY$7,0)</f>
        <v/>
      </c>
      <c r="DZ14" s="218">
        <f>IF(126&gt;=DeliverStart,BaseMarketRentMo*DZ$6+BaseLowRentMo*DZ$7,0)</f>
        <v/>
      </c>
      <c r="EA14" s="218">
        <f>IF(127&gt;=DeliverStart,BaseMarketRentMo*EA$6+BaseLowRentMo*EA$7,0)</f>
        <v/>
      </c>
      <c r="EB14" s="218">
        <f>IF(128&gt;=DeliverStart,BaseMarketRentMo*EB$6+BaseLowRentMo*EB$7,0)</f>
        <v/>
      </c>
      <c r="EC14" s="218">
        <f>IF(129&gt;=DeliverStart,BaseMarketRentMo*EC$6+BaseLowRentMo*EC$7,0)</f>
        <v/>
      </c>
      <c r="ED14" s="218">
        <f>IF(130&gt;=DeliverStart,BaseMarketRentMo*ED$6+BaseLowRentMo*ED$7,0)</f>
        <v/>
      </c>
      <c r="EE14" s="218">
        <f>IF(131&gt;=DeliverStart,BaseMarketRentMo*EE$6+BaseLowRentMo*EE$7,0)</f>
        <v/>
      </c>
      <c r="EF14" s="218">
        <f>IF(132&gt;=DeliverStart,BaseMarketRentMo*EF$6+BaseLowRentMo*EF$7,0)</f>
        <v/>
      </c>
      <c r="EG14" s="218">
        <f>IF(133&gt;=DeliverStart,BaseMarketRentMo*EG$6+BaseLowRentMo*EG$7,0)</f>
        <v/>
      </c>
      <c r="EH14" s="218">
        <f>IF(134&gt;=DeliverStart,BaseMarketRentMo*EH$6+BaseLowRentMo*EH$7,0)</f>
        <v/>
      </c>
      <c r="EI14" s="218">
        <f>IF(135&gt;=DeliverStart,BaseMarketRentMo*EI$6+BaseLowRentMo*EI$7,0)</f>
        <v/>
      </c>
      <c r="EJ14" s="218">
        <f>IF(136&gt;=DeliverStart,BaseMarketRentMo*EJ$6+BaseLowRentMo*EJ$7,0)</f>
        <v/>
      </c>
      <c r="EK14" s="218">
        <f>IF(137&gt;=DeliverStart,BaseMarketRentMo*EK$6+BaseLowRentMo*EK$7,0)</f>
        <v/>
      </c>
      <c r="EL14" s="218">
        <f>IF(138&gt;=DeliverStart,BaseMarketRentMo*EL$6+BaseLowRentMo*EL$7,0)</f>
        <v/>
      </c>
      <c r="EM14" s="218">
        <f>IF(139&gt;=DeliverStart,BaseMarketRentMo*EM$6+BaseLowRentMo*EM$7,0)</f>
        <v/>
      </c>
      <c r="EN14" s="218">
        <f>IF(140&gt;=DeliverStart,BaseMarketRentMo*EN$6+BaseLowRentMo*EN$7,0)</f>
        <v/>
      </c>
      <c r="EO14" s="218">
        <f>IF(141&gt;=DeliverStart,BaseMarketRentMo*EO$6+BaseLowRentMo*EO$7,0)</f>
        <v/>
      </c>
      <c r="EP14" s="218">
        <f>IF(142&gt;=DeliverStart,BaseMarketRentMo*EP$6+BaseLowRentMo*EP$7,0)</f>
        <v/>
      </c>
      <c r="EQ14" s="218">
        <f>IF(143&gt;=DeliverStart,BaseMarketRentMo*EQ$6+BaseLowRentMo*EQ$7,0)</f>
        <v/>
      </c>
      <c r="ER14" s="218">
        <f>IF(144&gt;=DeliverStart,BaseMarketRentMo*ER$6+BaseLowRentMo*ER$7,0)</f>
        <v/>
      </c>
      <c r="ES14" s="218">
        <f>IF(145&gt;=DeliverStart,BaseMarketRentMo*ES$6+BaseLowRentMo*ES$7,0)</f>
        <v/>
      </c>
      <c r="ET14" s="218">
        <f>IF(146&gt;=DeliverStart,BaseMarketRentMo*ET$6+BaseLowRentMo*ET$7,0)</f>
        <v/>
      </c>
      <c r="EU14" s="218">
        <f>IF(147&gt;=DeliverStart,BaseMarketRentMo*EU$6+BaseLowRentMo*EU$7,0)</f>
        <v/>
      </c>
      <c r="EV14" s="218">
        <f>IF(148&gt;=DeliverStart,BaseMarketRentMo*EV$6+BaseLowRentMo*EV$7,0)</f>
        <v/>
      </c>
      <c r="EW14" s="218">
        <f>IF(149&gt;=DeliverStart,BaseMarketRentMo*EW$6+BaseLowRentMo*EW$7,0)</f>
        <v/>
      </c>
      <c r="EX14" s="218">
        <f>IF(150&gt;=DeliverStart,BaseMarketRentMo*EX$6+BaseLowRentMo*EX$7,0)</f>
        <v/>
      </c>
      <c r="EY14" s="218">
        <f>IF(151&gt;=DeliverStart,BaseMarketRentMo*EY$6+BaseLowRentMo*EY$7,0)</f>
        <v/>
      </c>
      <c r="EZ14" s="218">
        <f>IF(152&gt;=DeliverStart,BaseMarketRentMo*EZ$6+BaseLowRentMo*EZ$7,0)</f>
        <v/>
      </c>
      <c r="FA14" s="218">
        <f>IF(153&gt;=DeliverStart,BaseMarketRentMo*FA$6+BaseLowRentMo*FA$7,0)</f>
        <v/>
      </c>
      <c r="FB14" s="218">
        <f>IF(154&gt;=DeliverStart,BaseMarketRentMo*FB$6+BaseLowRentMo*FB$7,0)</f>
        <v/>
      </c>
      <c r="FC14" s="218">
        <f>IF(155&gt;=DeliverStart,BaseMarketRentMo*FC$6+BaseLowRentMo*FC$7,0)</f>
        <v/>
      </c>
      <c r="FD14" s="218">
        <f>IF(156&gt;=DeliverStart,BaseMarketRentMo*FD$6+BaseLowRentMo*FD$7,0)</f>
        <v/>
      </c>
      <c r="FE14" s="218">
        <f>IF(157&gt;=DeliverStart,BaseMarketRentMo*FE$6+BaseLowRentMo*FE$7,0)</f>
        <v/>
      </c>
      <c r="FF14" s="218">
        <f>IF(158&gt;=DeliverStart,BaseMarketRentMo*FF$6+BaseLowRentMo*FF$7,0)</f>
        <v/>
      </c>
      <c r="FG14" s="218">
        <f>IF(159&gt;=DeliverStart,BaseMarketRentMo*FG$6+BaseLowRentMo*FG$7,0)</f>
        <v/>
      </c>
      <c r="FH14" s="218">
        <f>IF(160&gt;=DeliverStart,BaseMarketRentMo*FH$6+BaseLowRentMo*FH$7,0)</f>
        <v/>
      </c>
      <c r="FI14" s="218">
        <f>IF(161&gt;=DeliverStart,BaseMarketRentMo*FI$6+BaseLowRentMo*FI$7,0)</f>
        <v/>
      </c>
      <c r="FJ14" s="218">
        <f>IF(162&gt;=DeliverStart,BaseMarketRentMo*FJ$6+BaseLowRentMo*FJ$7,0)</f>
        <v/>
      </c>
      <c r="FK14" s="218">
        <f>IF(163&gt;=DeliverStart,BaseMarketRentMo*FK$6+BaseLowRentMo*FK$7,0)</f>
        <v/>
      </c>
      <c r="FL14" s="218">
        <f>IF(164&gt;=DeliverStart,BaseMarketRentMo*FL$6+BaseLowRentMo*FL$7,0)</f>
        <v/>
      </c>
      <c r="FM14" s="218">
        <f>IF(165&gt;=DeliverStart,BaseMarketRentMo*FM$6+BaseLowRentMo*FM$7,0)</f>
        <v/>
      </c>
      <c r="FN14" s="218">
        <f>IF(166&gt;=DeliverStart,BaseMarketRentMo*FN$6+BaseLowRentMo*FN$7,0)</f>
        <v/>
      </c>
      <c r="FO14" s="218">
        <f>IF(167&gt;=DeliverStart,BaseMarketRentMo*FO$6+BaseLowRentMo*FO$7,0)</f>
        <v/>
      </c>
      <c r="FP14" s="218">
        <f>IF(168&gt;=DeliverStart,BaseMarketRentMo*FP$6+BaseLowRentMo*FP$7,0)</f>
        <v/>
      </c>
      <c r="FQ14" s="218">
        <f>IF(169&gt;=DeliverStart,BaseMarketRentMo*FQ$6+BaseLowRentMo*FQ$7,0)</f>
        <v/>
      </c>
      <c r="FR14" s="218">
        <f>IF(170&gt;=DeliverStart,BaseMarketRentMo*FR$6+BaseLowRentMo*FR$7,0)</f>
        <v/>
      </c>
      <c r="FS14" s="218">
        <f>IF(171&gt;=DeliverStart,BaseMarketRentMo*FS$6+BaseLowRentMo*FS$7,0)</f>
        <v/>
      </c>
      <c r="FT14" s="218">
        <f>IF(172&gt;=DeliverStart,BaseMarketRentMo*FT$6+BaseLowRentMo*FT$7,0)</f>
        <v/>
      </c>
      <c r="FU14" s="218">
        <f>IF(173&gt;=DeliverStart,BaseMarketRentMo*FU$6+BaseLowRentMo*FU$7,0)</f>
        <v/>
      </c>
      <c r="FV14" s="218">
        <f>IF(174&gt;=DeliverStart,BaseMarketRentMo*FV$6+BaseLowRentMo*FV$7,0)</f>
        <v/>
      </c>
      <c r="FW14" s="218">
        <f>IF(175&gt;=DeliverStart,BaseMarketRentMo*FW$6+BaseLowRentMo*FW$7,0)</f>
        <v/>
      </c>
      <c r="FX14" s="218">
        <f>IF(176&gt;=DeliverStart,BaseMarketRentMo*FX$6+BaseLowRentMo*FX$7,0)</f>
        <v/>
      </c>
      <c r="FY14" s="218">
        <f>IF(177&gt;=DeliverStart,BaseMarketRentMo*FY$6+BaseLowRentMo*FY$7,0)</f>
        <v/>
      </c>
      <c r="FZ14" s="218">
        <f>IF(178&gt;=DeliverStart,BaseMarketRentMo*FZ$6+BaseLowRentMo*FZ$7,0)</f>
        <v/>
      </c>
      <c r="GA14" s="218">
        <f>IF(179&gt;=DeliverStart,BaseMarketRentMo*GA$6+BaseLowRentMo*GA$7,0)</f>
        <v/>
      </c>
      <c r="GB14" s="218">
        <f>IF(180&gt;=DeliverStart,BaseMarketRentMo*GB$6+BaseLowRentMo*GB$7,0)</f>
        <v/>
      </c>
      <c r="GC14" s="218">
        <f>IF(181&gt;=DeliverStart,BaseMarketRentMo*GC$6+BaseLowRentMo*GC$7,0)</f>
        <v/>
      </c>
      <c r="GD14" s="218">
        <f>IF(182&gt;=DeliverStart,BaseMarketRentMo*GD$6+BaseLowRentMo*GD$7,0)</f>
        <v/>
      </c>
      <c r="GE14" s="218">
        <f>IF(183&gt;=DeliverStart,BaseMarketRentMo*GE$6+BaseLowRentMo*GE$7,0)</f>
        <v/>
      </c>
      <c r="GF14" s="218">
        <f>IF(184&gt;=DeliverStart,BaseMarketRentMo*GF$6+BaseLowRentMo*GF$7,0)</f>
        <v/>
      </c>
      <c r="GG14" s="218">
        <f>IF(185&gt;=DeliverStart,BaseMarketRentMo*GG$6+BaseLowRentMo*GG$7,0)</f>
        <v/>
      </c>
      <c r="GH14" s="218">
        <f>IF(186&gt;=DeliverStart,BaseMarketRentMo*GH$6+BaseLowRentMo*GH$7,0)</f>
        <v/>
      </c>
      <c r="GI14" s="218">
        <f>IF(187&gt;=DeliverStart,BaseMarketRentMo*GI$6+BaseLowRentMo*GI$7,0)</f>
        <v/>
      </c>
      <c r="GJ14" s="218">
        <f>IF(188&gt;=DeliverStart,BaseMarketRentMo*GJ$6+BaseLowRentMo*GJ$7,0)</f>
        <v/>
      </c>
      <c r="GK14" s="218">
        <f>IF(189&gt;=DeliverStart,BaseMarketRentMo*GK$6+BaseLowRentMo*GK$7,0)</f>
        <v/>
      </c>
      <c r="GL14" s="218">
        <f>IF(190&gt;=DeliverStart,BaseMarketRentMo*GL$6+BaseLowRentMo*GL$7,0)</f>
        <v/>
      </c>
      <c r="GM14" s="218">
        <f>IF(191&gt;=DeliverStart,BaseMarketRentMo*GM$6+BaseLowRentMo*GM$7,0)</f>
        <v/>
      </c>
      <c r="GN14" s="218">
        <f>IF(192&gt;=DeliverStart,BaseMarketRentMo*GN$6+BaseLowRentMo*GN$7,0)</f>
        <v/>
      </c>
      <c r="GO14" s="218">
        <f>IF(193&gt;=DeliverStart,BaseMarketRentMo*GO$6+BaseLowRentMo*GO$7,0)</f>
        <v/>
      </c>
      <c r="GP14" s="218">
        <f>IF(194&gt;=DeliverStart,BaseMarketRentMo*GP$6+BaseLowRentMo*GP$7,0)</f>
        <v/>
      </c>
      <c r="GQ14" s="218">
        <f>IF(195&gt;=DeliverStart,BaseMarketRentMo*GQ$6+BaseLowRentMo*GQ$7,0)</f>
        <v/>
      </c>
      <c r="GR14" s="218">
        <f>IF(196&gt;=DeliverStart,BaseMarketRentMo*GR$6+BaseLowRentMo*GR$7,0)</f>
        <v/>
      </c>
      <c r="GS14" s="218">
        <f>IF(197&gt;=DeliverStart,BaseMarketRentMo*GS$6+BaseLowRentMo*GS$7,0)</f>
        <v/>
      </c>
      <c r="GT14" s="218">
        <f>IF(198&gt;=DeliverStart,BaseMarketRentMo*GT$6+BaseLowRentMo*GT$7,0)</f>
        <v/>
      </c>
      <c r="GU14" s="218">
        <f>IF(199&gt;=DeliverStart,BaseMarketRentMo*GU$6+BaseLowRentMo*GU$7,0)</f>
        <v/>
      </c>
      <c r="GV14" s="218">
        <f>IF(200&gt;=DeliverStart,BaseMarketRentMo*GV$6+BaseLowRentMo*GV$7,0)</f>
        <v/>
      </c>
      <c r="GW14" s="218">
        <f>IF(201&gt;=DeliverStart,BaseMarketRentMo*GW$6+BaseLowRentMo*GW$7,0)</f>
        <v/>
      </c>
      <c r="GX14" s="218">
        <f>IF(202&gt;=DeliverStart,BaseMarketRentMo*GX$6+BaseLowRentMo*GX$7,0)</f>
        <v/>
      </c>
      <c r="GY14" s="218">
        <f>IF(203&gt;=DeliverStart,BaseMarketRentMo*GY$6+BaseLowRentMo*GY$7,0)</f>
        <v/>
      </c>
      <c r="GZ14" s="218">
        <f>IF(204&gt;=DeliverStart,BaseMarketRentMo*GZ$6+BaseLowRentMo*GZ$7,0)</f>
        <v/>
      </c>
      <c r="HA14" s="218">
        <f>IF(205&gt;=DeliverStart,BaseMarketRentMo*HA$6+BaseLowRentMo*HA$7,0)</f>
        <v/>
      </c>
      <c r="HB14" s="218">
        <f>IF(206&gt;=DeliverStart,BaseMarketRentMo*HB$6+BaseLowRentMo*HB$7,0)</f>
        <v/>
      </c>
      <c r="HC14" s="218">
        <f>IF(207&gt;=DeliverStart,BaseMarketRentMo*HC$6+BaseLowRentMo*HC$7,0)</f>
        <v/>
      </c>
      <c r="HD14" s="218">
        <f>IF(208&gt;=DeliverStart,BaseMarketRentMo*HD$6+BaseLowRentMo*HD$7,0)</f>
        <v/>
      </c>
      <c r="HE14" s="218">
        <f>IF(209&gt;=DeliverStart,BaseMarketRentMo*HE$6+BaseLowRentMo*HE$7,0)</f>
        <v/>
      </c>
      <c r="HF14" s="218">
        <f>IF(210&gt;=DeliverStart,BaseMarketRentMo*HF$6+BaseLowRentMo*HF$7,0)</f>
        <v/>
      </c>
      <c r="HG14" s="218">
        <f>IF(211&gt;=DeliverStart,BaseMarketRentMo*HG$6+BaseLowRentMo*HG$7,0)</f>
        <v/>
      </c>
      <c r="HH14" s="218">
        <f>IF(212&gt;=DeliverStart,BaseMarketRentMo*HH$6+BaseLowRentMo*HH$7,0)</f>
        <v/>
      </c>
      <c r="HI14" s="218">
        <f>IF(213&gt;=DeliverStart,BaseMarketRentMo*HI$6+BaseLowRentMo*HI$7,0)</f>
        <v/>
      </c>
      <c r="HJ14" s="218">
        <f>IF(214&gt;=DeliverStart,BaseMarketRentMo*HJ$6+BaseLowRentMo*HJ$7,0)</f>
        <v/>
      </c>
      <c r="HK14" s="218">
        <f>IF(215&gt;=DeliverStart,BaseMarketRentMo*HK$6+BaseLowRentMo*HK$7,0)</f>
        <v/>
      </c>
      <c r="HL14" s="218">
        <f>IF(216&gt;=DeliverStart,BaseMarketRentMo*HL$6+BaseLowRentMo*HL$7,0)</f>
        <v/>
      </c>
      <c r="HM14" s="218">
        <f>IF(217&gt;=DeliverStart,BaseMarketRentMo*HM$6+BaseLowRentMo*HM$7,0)</f>
        <v/>
      </c>
      <c r="HN14" s="218">
        <f>IF(218&gt;=DeliverStart,BaseMarketRentMo*HN$6+BaseLowRentMo*HN$7,0)</f>
        <v/>
      </c>
      <c r="HO14" s="218">
        <f>IF(219&gt;=DeliverStart,BaseMarketRentMo*HO$6+BaseLowRentMo*HO$7,0)</f>
        <v/>
      </c>
      <c r="HP14" s="218">
        <f>IF(220&gt;=DeliverStart,BaseMarketRentMo*HP$6+BaseLowRentMo*HP$7,0)</f>
        <v/>
      </c>
      <c r="HQ14" s="218">
        <f>IF(221&gt;=DeliverStart,BaseMarketRentMo*HQ$6+BaseLowRentMo*HQ$7,0)</f>
        <v/>
      </c>
      <c r="HR14" s="218">
        <f>IF(222&gt;=DeliverStart,BaseMarketRentMo*HR$6+BaseLowRentMo*HR$7,0)</f>
        <v/>
      </c>
      <c r="HS14" s="218">
        <f>IF(223&gt;=DeliverStart,BaseMarketRentMo*HS$6+BaseLowRentMo*HS$7,0)</f>
        <v/>
      </c>
      <c r="HT14" s="218">
        <f>IF(224&gt;=DeliverStart,BaseMarketRentMo*HT$6+BaseLowRentMo*HT$7,0)</f>
        <v/>
      </c>
      <c r="HU14" s="218">
        <f>IF(225&gt;=DeliverStart,BaseMarketRentMo*HU$6+BaseLowRentMo*HU$7,0)</f>
        <v/>
      </c>
      <c r="HV14" s="218">
        <f>IF(226&gt;=DeliverStart,BaseMarketRentMo*HV$6+BaseLowRentMo*HV$7,0)</f>
        <v/>
      </c>
      <c r="HW14" s="218">
        <f>IF(227&gt;=DeliverStart,BaseMarketRentMo*HW$6+BaseLowRentMo*HW$7,0)</f>
        <v/>
      </c>
      <c r="HX14" s="218">
        <f>IF(228&gt;=DeliverStart,BaseMarketRentMo*HX$6+BaseLowRentMo*HX$7,0)</f>
        <v/>
      </c>
      <c r="HY14" s="218">
        <f>IF(229&gt;=DeliverStart,BaseMarketRentMo*HY$6+BaseLowRentMo*HY$7,0)</f>
        <v/>
      </c>
      <c r="HZ14" s="218">
        <f>IF(230&gt;=DeliverStart,BaseMarketRentMo*HZ$6+BaseLowRentMo*HZ$7,0)</f>
        <v/>
      </c>
      <c r="IA14" s="218">
        <f>IF(231&gt;=DeliverStart,BaseMarketRentMo*IA$6+BaseLowRentMo*IA$7,0)</f>
        <v/>
      </c>
      <c r="IB14" s="218">
        <f>IF(232&gt;=DeliverStart,BaseMarketRentMo*IB$6+BaseLowRentMo*IB$7,0)</f>
        <v/>
      </c>
      <c r="IC14" s="218">
        <f>IF(233&gt;=DeliverStart,BaseMarketRentMo*IC$6+BaseLowRentMo*IC$7,0)</f>
        <v/>
      </c>
      <c r="ID14" s="218">
        <f>IF(234&gt;=DeliverStart,BaseMarketRentMo*ID$6+BaseLowRentMo*ID$7,0)</f>
        <v/>
      </c>
      <c r="IE14" s="218">
        <f>IF(235&gt;=DeliverStart,BaseMarketRentMo*IE$6+BaseLowRentMo*IE$7,0)</f>
        <v/>
      </c>
      <c r="IF14" s="218">
        <f>IF(236&gt;=DeliverStart,BaseMarketRentMo*IF$6+BaseLowRentMo*IF$7,0)</f>
        <v/>
      </c>
      <c r="IG14" s="218">
        <f>IF(237&gt;=DeliverStart,BaseMarketRentMo*IG$6+BaseLowRentMo*IG$7,0)</f>
        <v/>
      </c>
      <c r="IH14" s="218">
        <f>IF(238&gt;=DeliverStart,BaseMarketRentMo*IH$6+BaseLowRentMo*IH$7,0)</f>
        <v/>
      </c>
      <c r="II14" s="218">
        <f>IF(239&gt;=DeliverStart,BaseMarketRentMo*II$6+BaseLowRentMo*II$7,0)</f>
        <v/>
      </c>
      <c r="IJ14" s="218">
        <f>IF(240&gt;=DeliverStart,BaseMarketRentMo*IJ$6+BaseLowRentMo*IJ$7,0)</f>
        <v/>
      </c>
      <c r="IK14" s="218">
        <f>IF(241&gt;=DeliverStart,BaseMarketRentMo*IK$6+BaseLowRentMo*IK$7,0)</f>
        <v/>
      </c>
      <c r="IL14" s="218">
        <f>IF(242&gt;=DeliverStart,BaseMarketRentMo*IL$6+BaseLowRentMo*IL$7,0)</f>
        <v/>
      </c>
      <c r="IM14" s="218">
        <f>IF(243&gt;=DeliverStart,BaseMarketRentMo*IM$6+BaseLowRentMo*IM$7,0)</f>
        <v/>
      </c>
      <c r="IN14" s="218">
        <f>IF(244&gt;=DeliverStart,BaseMarketRentMo*IN$6+BaseLowRentMo*IN$7,0)</f>
        <v/>
      </c>
      <c r="IO14" s="218">
        <f>IF(245&gt;=DeliverStart,BaseMarketRentMo*IO$6+BaseLowRentMo*IO$7,0)</f>
        <v/>
      </c>
      <c r="IP14" s="218">
        <f>IF(246&gt;=DeliverStart,BaseMarketRentMo*IP$6+BaseLowRentMo*IP$7,0)</f>
        <v/>
      </c>
      <c r="IQ14" s="218">
        <f>IF(247&gt;=DeliverStart,BaseMarketRentMo*IQ$6+BaseLowRentMo*IQ$7,0)</f>
        <v/>
      </c>
      <c r="IR14" s="218">
        <f>IF(248&gt;=DeliverStart,BaseMarketRentMo*IR$6+BaseLowRentMo*IR$7,0)</f>
        <v/>
      </c>
      <c r="IS14" s="218">
        <f>IF(249&gt;=DeliverStart,BaseMarketRentMo*IS$6+BaseLowRentMo*IS$7,0)</f>
        <v/>
      </c>
      <c r="IT14" s="218">
        <f>IF(250&gt;=DeliverStart,BaseMarketRentMo*IT$6+BaseLowRentMo*IT$7,0)</f>
        <v/>
      </c>
      <c r="IU14" s="218">
        <f>IF(251&gt;=DeliverStart,BaseMarketRentMo*IU$6+BaseLowRentMo*IU$7,0)</f>
        <v/>
      </c>
      <c r="IV14" s="218">
        <f>IF(252&gt;=DeliverStart,BaseMarketRentMo*IV$6+BaseLowRentMo*IV$7,0)</f>
        <v/>
      </c>
      <c r="IW14" s="218">
        <f>IF(253&gt;=DeliverStart,BaseMarketRentMo*IW$6+BaseLowRentMo*IW$7,0)</f>
        <v/>
      </c>
      <c r="IX14" s="218">
        <f>IF(254&gt;=DeliverStart,BaseMarketRentMo*IX$6+BaseLowRentMo*IX$7,0)</f>
        <v/>
      </c>
      <c r="IY14" s="218">
        <f>IF(255&gt;=DeliverStart,BaseMarketRentMo*IY$6+BaseLowRentMo*IY$7,0)</f>
        <v/>
      </c>
      <c r="IZ14" s="218">
        <f>IF(256&gt;=DeliverStart,BaseMarketRentMo*IZ$6+BaseLowRentMo*IZ$7,0)</f>
        <v/>
      </c>
      <c r="JA14" s="218">
        <f>IF(257&gt;=DeliverStart,BaseMarketRentMo*JA$6+BaseLowRentMo*JA$7,0)</f>
        <v/>
      </c>
      <c r="JB14" s="218">
        <f>IF(258&gt;=DeliverStart,BaseMarketRentMo*JB$6+BaseLowRentMo*JB$7,0)</f>
        <v/>
      </c>
      <c r="JC14" s="218">
        <f>IF(259&gt;=DeliverStart,BaseMarketRentMo*JC$6+BaseLowRentMo*JC$7,0)</f>
        <v/>
      </c>
      <c r="JD14" s="218">
        <f>IF(260&gt;=DeliverStart,BaseMarketRentMo*JD$6+BaseLowRentMo*JD$7,0)</f>
        <v/>
      </c>
      <c r="JE14" s="218">
        <f>IF(261&gt;=DeliverStart,BaseMarketRentMo*JE$6+BaseLowRentMo*JE$7,0)</f>
        <v/>
      </c>
      <c r="JF14" s="218">
        <f>IF(262&gt;=DeliverStart,BaseMarketRentMo*JF$6+BaseLowRentMo*JF$7,0)</f>
        <v/>
      </c>
      <c r="JG14" s="218">
        <f>IF(263&gt;=DeliverStart,BaseMarketRentMo*JG$6+BaseLowRentMo*JG$7,0)</f>
        <v/>
      </c>
      <c r="JH14" s="218">
        <f>IF(264&gt;=DeliverStart,BaseMarketRentMo*JH$6+BaseLowRentMo*JH$7,0)</f>
        <v/>
      </c>
      <c r="JI14" s="218">
        <f>IF(265&gt;=DeliverStart,BaseMarketRentMo*JI$6+BaseLowRentMo*JI$7,0)</f>
        <v/>
      </c>
      <c r="JJ14" s="218">
        <f>IF(266&gt;=DeliverStart,BaseMarketRentMo*JJ$6+BaseLowRentMo*JJ$7,0)</f>
        <v/>
      </c>
      <c r="JK14" s="218">
        <f>IF(267&gt;=DeliverStart,BaseMarketRentMo*JK$6+BaseLowRentMo*JK$7,0)</f>
        <v/>
      </c>
      <c r="JL14" s="218">
        <f>IF(268&gt;=DeliverStart,BaseMarketRentMo*JL$6+BaseLowRentMo*JL$7,0)</f>
        <v/>
      </c>
      <c r="JM14" s="218">
        <f>IF(269&gt;=DeliverStart,BaseMarketRentMo*JM$6+BaseLowRentMo*JM$7,0)</f>
        <v/>
      </c>
      <c r="JN14" s="218">
        <f>IF(270&gt;=DeliverStart,BaseMarketRentMo*JN$6+BaseLowRentMo*JN$7,0)</f>
        <v/>
      </c>
      <c r="JO14" s="218">
        <f>IF(271&gt;=DeliverStart,BaseMarketRentMo*JO$6+BaseLowRentMo*JO$7,0)</f>
        <v/>
      </c>
      <c r="JP14" s="218">
        <f>IF(272&gt;=DeliverStart,BaseMarketRentMo*JP$6+BaseLowRentMo*JP$7,0)</f>
        <v/>
      </c>
      <c r="JQ14" s="218">
        <f>IF(273&gt;=DeliverStart,BaseMarketRentMo*JQ$6+BaseLowRentMo*JQ$7,0)</f>
        <v/>
      </c>
      <c r="JR14" s="218">
        <f>IF(274&gt;=DeliverStart,BaseMarketRentMo*JR$6+BaseLowRentMo*JR$7,0)</f>
        <v/>
      </c>
      <c r="JS14" s="218">
        <f>IF(275&gt;=DeliverStart,BaseMarketRentMo*JS$6+BaseLowRentMo*JS$7,0)</f>
        <v/>
      </c>
      <c r="JT14" s="218">
        <f>IF(276&gt;=DeliverStart,BaseMarketRentMo*JT$6+BaseLowRentMo*JT$7,0)</f>
        <v/>
      </c>
      <c r="JU14" s="218">
        <f>IF(277&gt;=DeliverStart,BaseMarketRentMo*JU$6+BaseLowRentMo*JU$7,0)</f>
        <v/>
      </c>
      <c r="JV14" s="218">
        <f>IF(278&gt;=DeliverStart,BaseMarketRentMo*JV$6+BaseLowRentMo*JV$7,0)</f>
        <v/>
      </c>
      <c r="JW14" s="218">
        <f>IF(279&gt;=DeliverStart,BaseMarketRentMo*JW$6+BaseLowRentMo*JW$7,0)</f>
        <v/>
      </c>
      <c r="JX14" s="218">
        <f>IF(280&gt;=DeliverStart,BaseMarketRentMo*JX$6+BaseLowRentMo*JX$7,0)</f>
        <v/>
      </c>
      <c r="JY14" s="218">
        <f>IF(281&gt;=DeliverStart,BaseMarketRentMo*JY$6+BaseLowRentMo*JY$7,0)</f>
        <v/>
      </c>
      <c r="JZ14" s="218">
        <f>IF(282&gt;=DeliverStart,BaseMarketRentMo*JZ$6+BaseLowRentMo*JZ$7,0)</f>
        <v/>
      </c>
      <c r="KA14" s="218">
        <f>IF(283&gt;=DeliverStart,BaseMarketRentMo*KA$6+BaseLowRentMo*KA$7,0)</f>
        <v/>
      </c>
      <c r="KB14" s="218">
        <f>IF(284&gt;=DeliverStart,BaseMarketRentMo*KB$6+BaseLowRentMo*KB$7,0)</f>
        <v/>
      </c>
      <c r="KC14" s="218">
        <f>IF(285&gt;=DeliverStart,BaseMarketRentMo*KC$6+BaseLowRentMo*KC$7,0)</f>
        <v/>
      </c>
      <c r="KD14" s="218">
        <f>IF(286&gt;=DeliverStart,BaseMarketRentMo*KD$6+BaseLowRentMo*KD$7,0)</f>
        <v/>
      </c>
      <c r="KE14" s="218">
        <f>IF(287&gt;=DeliverStart,BaseMarketRentMo*KE$6+BaseLowRentMo*KE$7,0)</f>
        <v/>
      </c>
      <c r="KF14" s="218">
        <f>IF(288&gt;=DeliverStart,BaseMarketRentMo*KF$6+BaseLowRentMo*KF$7,0)</f>
        <v/>
      </c>
      <c r="KG14" s="218">
        <f>IF(289&gt;=DeliverStart,BaseMarketRentMo*KG$6+BaseLowRentMo*KG$7,0)</f>
        <v/>
      </c>
      <c r="KH14" s="218">
        <f>IF(290&gt;=DeliverStart,BaseMarketRentMo*KH$6+BaseLowRentMo*KH$7,0)</f>
        <v/>
      </c>
      <c r="KI14" s="218">
        <f>IF(291&gt;=DeliverStart,BaseMarketRentMo*KI$6+BaseLowRentMo*KI$7,0)</f>
        <v/>
      </c>
      <c r="KJ14" s="218">
        <f>IF(292&gt;=DeliverStart,BaseMarketRentMo*KJ$6+BaseLowRentMo*KJ$7,0)</f>
        <v/>
      </c>
      <c r="KK14" s="218">
        <f>IF(293&gt;=DeliverStart,BaseMarketRentMo*KK$6+BaseLowRentMo*KK$7,0)</f>
        <v/>
      </c>
      <c r="KL14" s="218">
        <f>IF(294&gt;=DeliverStart,BaseMarketRentMo*KL$6+BaseLowRentMo*KL$7,0)</f>
        <v/>
      </c>
      <c r="KM14" s="218">
        <f>IF(295&gt;=DeliverStart,BaseMarketRentMo*KM$6+BaseLowRentMo*KM$7,0)</f>
        <v/>
      </c>
      <c r="KN14" s="218">
        <f>IF(296&gt;=DeliverStart,BaseMarketRentMo*KN$6+BaseLowRentMo*KN$7,0)</f>
        <v/>
      </c>
      <c r="KO14" s="218">
        <f>IF(297&gt;=DeliverStart,BaseMarketRentMo*KO$6+BaseLowRentMo*KO$7,0)</f>
        <v/>
      </c>
      <c r="KP14" s="218">
        <f>IF(298&gt;=DeliverStart,BaseMarketRentMo*KP$6+BaseLowRentMo*KP$7,0)</f>
        <v/>
      </c>
      <c r="KQ14" s="218">
        <f>IF(299&gt;=DeliverStart,BaseMarketRentMo*KQ$6+BaseLowRentMo*KQ$7,0)</f>
        <v/>
      </c>
      <c r="KR14" s="218">
        <f>IF(300&gt;=DeliverStart,BaseMarketRentMo*KR$6+BaseLowRentMo*KR$7,0)</f>
        <v/>
      </c>
      <c r="KS14" s="218">
        <f>IF(301&gt;=DeliverStart,BaseMarketRentMo*KS$6+BaseLowRentMo*KS$7,0)</f>
        <v/>
      </c>
      <c r="KT14" s="218">
        <f>IF(302&gt;=DeliverStart,BaseMarketRentMo*KT$6+BaseLowRentMo*KT$7,0)</f>
        <v/>
      </c>
      <c r="KU14" s="218">
        <f>IF(303&gt;=DeliverStart,BaseMarketRentMo*KU$6+BaseLowRentMo*KU$7,0)</f>
        <v/>
      </c>
      <c r="KV14" s="218">
        <f>IF(304&gt;=DeliverStart,BaseMarketRentMo*KV$6+BaseLowRentMo*KV$7,0)</f>
        <v/>
      </c>
      <c r="KW14" s="218">
        <f>IF(305&gt;=DeliverStart,BaseMarketRentMo*KW$6+BaseLowRentMo*KW$7,0)</f>
        <v/>
      </c>
      <c r="KX14" s="218">
        <f>IF(306&gt;=DeliverStart,BaseMarketRentMo*KX$6+BaseLowRentMo*KX$7,0)</f>
        <v/>
      </c>
      <c r="KY14" s="218">
        <f>IF(307&gt;=DeliverStart,BaseMarketRentMo*KY$6+BaseLowRentMo*KY$7,0)</f>
        <v/>
      </c>
      <c r="KZ14" s="218">
        <f>IF(308&gt;=DeliverStart,BaseMarketRentMo*KZ$6+BaseLowRentMo*KZ$7,0)</f>
        <v/>
      </c>
      <c r="LA14" s="218">
        <f>IF(309&gt;=DeliverStart,BaseMarketRentMo*LA$6+BaseLowRentMo*LA$7,0)</f>
        <v/>
      </c>
      <c r="LB14" s="218">
        <f>IF(310&gt;=DeliverStart,BaseMarketRentMo*LB$6+BaseLowRentMo*LB$7,0)</f>
        <v/>
      </c>
      <c r="LC14" s="218">
        <f>IF(311&gt;=DeliverStart,BaseMarketRentMo*LC$6+BaseLowRentMo*LC$7,0)</f>
        <v/>
      </c>
      <c r="LD14" s="218">
        <f>IF(312&gt;=DeliverStart,BaseMarketRentMo*LD$6+BaseLowRentMo*LD$7,0)</f>
        <v/>
      </c>
      <c r="LE14" s="218">
        <f>IF(313&gt;=DeliverStart,BaseMarketRentMo*LE$6+BaseLowRentMo*LE$7,0)</f>
        <v/>
      </c>
      <c r="LF14" s="218">
        <f>IF(314&gt;=DeliverStart,BaseMarketRentMo*LF$6+BaseLowRentMo*LF$7,0)</f>
        <v/>
      </c>
      <c r="LG14" s="218">
        <f>IF(315&gt;=DeliverStart,BaseMarketRentMo*LG$6+BaseLowRentMo*LG$7,0)</f>
        <v/>
      </c>
      <c r="LH14" s="218">
        <f>IF(316&gt;=DeliverStart,BaseMarketRentMo*LH$6+BaseLowRentMo*LH$7,0)</f>
        <v/>
      </c>
      <c r="LI14" s="218">
        <f>IF(317&gt;=DeliverStart,BaseMarketRentMo*LI$6+BaseLowRentMo*LI$7,0)</f>
        <v/>
      </c>
      <c r="LJ14" s="218">
        <f>IF(318&gt;=DeliverStart,BaseMarketRentMo*LJ$6+BaseLowRentMo*LJ$7,0)</f>
        <v/>
      </c>
      <c r="LK14" s="218">
        <f>IF(319&gt;=DeliverStart,BaseMarketRentMo*LK$6+BaseLowRentMo*LK$7,0)</f>
        <v/>
      </c>
      <c r="LL14" s="218">
        <f>IF(320&gt;=DeliverStart,BaseMarketRentMo*LL$6+BaseLowRentMo*LL$7,0)</f>
        <v/>
      </c>
      <c r="LM14" s="218">
        <f>IF(321&gt;=DeliverStart,BaseMarketRentMo*LM$6+BaseLowRentMo*LM$7,0)</f>
        <v/>
      </c>
      <c r="LN14" s="218">
        <f>IF(322&gt;=DeliverStart,BaseMarketRentMo*LN$6+BaseLowRentMo*LN$7,0)</f>
        <v/>
      </c>
      <c r="LO14" s="218">
        <f>IF(323&gt;=DeliverStart,BaseMarketRentMo*LO$6+BaseLowRentMo*LO$7,0)</f>
        <v/>
      </c>
      <c r="LP14" s="218">
        <f>IF(324&gt;=DeliverStart,BaseMarketRentMo*LP$6+BaseLowRentMo*LP$7,0)</f>
        <v/>
      </c>
      <c r="LQ14" s="218">
        <f>IF(325&gt;=DeliverStart,BaseMarketRentMo*LQ$6+BaseLowRentMo*LQ$7,0)</f>
        <v/>
      </c>
      <c r="LR14" s="218">
        <f>IF(326&gt;=DeliverStart,BaseMarketRentMo*LR$6+BaseLowRentMo*LR$7,0)</f>
        <v/>
      </c>
      <c r="LS14" s="218">
        <f>IF(327&gt;=DeliverStart,BaseMarketRentMo*LS$6+BaseLowRentMo*LS$7,0)</f>
        <v/>
      </c>
      <c r="LT14" s="218">
        <f>IF(328&gt;=DeliverStart,BaseMarketRentMo*LT$6+BaseLowRentMo*LT$7,0)</f>
        <v/>
      </c>
      <c r="LU14" s="218">
        <f>IF(329&gt;=DeliverStart,BaseMarketRentMo*LU$6+BaseLowRentMo*LU$7,0)</f>
        <v/>
      </c>
      <c r="LV14" s="218">
        <f>IF(330&gt;=DeliverStart,BaseMarketRentMo*LV$6+BaseLowRentMo*LV$7,0)</f>
        <v/>
      </c>
      <c r="LW14" s="218">
        <f>IF(331&gt;=DeliverStart,BaseMarketRentMo*LW$6+BaseLowRentMo*LW$7,0)</f>
        <v/>
      </c>
      <c r="LX14" s="218">
        <f>IF(332&gt;=DeliverStart,BaseMarketRentMo*LX$6+BaseLowRentMo*LX$7,0)</f>
        <v/>
      </c>
      <c r="LY14" s="218">
        <f>IF(333&gt;=DeliverStart,BaseMarketRentMo*LY$6+BaseLowRentMo*LY$7,0)</f>
        <v/>
      </c>
      <c r="LZ14" s="218">
        <f>IF(334&gt;=DeliverStart,BaseMarketRentMo*LZ$6+BaseLowRentMo*LZ$7,0)</f>
        <v/>
      </c>
      <c r="MA14" s="218">
        <f>IF(335&gt;=DeliverStart,BaseMarketRentMo*MA$6+BaseLowRentMo*MA$7,0)</f>
        <v/>
      </c>
      <c r="MB14" s="218">
        <f>IF(336&gt;=DeliverStart,BaseMarketRentMo*MB$6+BaseLowRentMo*MB$7,0)</f>
        <v/>
      </c>
      <c r="MC14" s="218">
        <f>IF(337&gt;=DeliverStart,BaseMarketRentMo*MC$6+BaseLowRentMo*MC$7,0)</f>
        <v/>
      </c>
      <c r="MD14" s="218">
        <f>IF(338&gt;=DeliverStart,BaseMarketRentMo*MD$6+BaseLowRentMo*MD$7,0)</f>
        <v/>
      </c>
      <c r="ME14" s="218">
        <f>IF(339&gt;=DeliverStart,BaseMarketRentMo*ME$6+BaseLowRentMo*ME$7,0)</f>
        <v/>
      </c>
      <c r="MF14" s="218">
        <f>IF(340&gt;=DeliverStart,BaseMarketRentMo*MF$6+BaseLowRentMo*MF$7,0)</f>
        <v/>
      </c>
      <c r="MG14" s="218">
        <f>IF(341&gt;=DeliverStart,BaseMarketRentMo*MG$6+BaseLowRentMo*MG$7,0)</f>
        <v/>
      </c>
      <c r="MH14" s="218">
        <f>IF(342&gt;=DeliverStart,BaseMarketRentMo*MH$6+BaseLowRentMo*MH$7,0)</f>
        <v/>
      </c>
      <c r="MI14" s="218">
        <f>IF(343&gt;=DeliverStart,BaseMarketRentMo*MI$6+BaseLowRentMo*MI$7,0)</f>
        <v/>
      </c>
      <c r="MJ14" s="218">
        <f>IF(344&gt;=DeliverStart,BaseMarketRentMo*MJ$6+BaseLowRentMo*MJ$7,0)</f>
        <v/>
      </c>
      <c r="MK14" s="218">
        <f>IF(345&gt;=DeliverStart,BaseMarketRentMo*MK$6+BaseLowRentMo*MK$7,0)</f>
        <v/>
      </c>
      <c r="ML14" s="218">
        <f>IF(346&gt;=DeliverStart,BaseMarketRentMo*ML$6+BaseLowRentMo*ML$7,0)</f>
        <v/>
      </c>
      <c r="MM14" s="218">
        <f>IF(347&gt;=DeliverStart,BaseMarketRentMo*MM$6+BaseLowRentMo*MM$7,0)</f>
        <v/>
      </c>
      <c r="MN14" s="218">
        <f>IF(348&gt;=DeliverStart,BaseMarketRentMo*MN$6+BaseLowRentMo*MN$7,0)</f>
        <v/>
      </c>
      <c r="MO14" s="218">
        <f>IF(349&gt;=DeliverStart,BaseMarketRentMo*MO$6+BaseLowRentMo*MO$7,0)</f>
        <v/>
      </c>
      <c r="MP14" s="218">
        <f>IF(350&gt;=DeliverStart,BaseMarketRentMo*MP$6+BaseLowRentMo*MP$7,0)</f>
        <v/>
      </c>
      <c r="MQ14" s="218">
        <f>IF(351&gt;=DeliverStart,BaseMarketRentMo*MQ$6+BaseLowRentMo*MQ$7,0)</f>
        <v/>
      </c>
      <c r="MR14" s="218">
        <f>IF(352&gt;=DeliverStart,BaseMarketRentMo*MR$6+BaseLowRentMo*MR$7,0)</f>
        <v/>
      </c>
      <c r="MS14" s="218">
        <f>IF(353&gt;=DeliverStart,BaseMarketRentMo*MS$6+BaseLowRentMo*MS$7,0)</f>
        <v/>
      </c>
      <c r="MT14" s="218">
        <f>IF(354&gt;=DeliverStart,BaseMarketRentMo*MT$6+BaseLowRentMo*MT$7,0)</f>
        <v/>
      </c>
      <c r="MU14" s="218">
        <f>IF(355&gt;=DeliverStart,BaseMarketRentMo*MU$6+BaseLowRentMo*MU$7,0)</f>
        <v/>
      </c>
      <c r="MV14" s="218">
        <f>IF(356&gt;=DeliverStart,BaseMarketRentMo*MV$6+BaseLowRentMo*MV$7,0)</f>
        <v/>
      </c>
      <c r="MW14" s="218">
        <f>IF(357&gt;=DeliverStart,BaseMarketRentMo*MW$6+BaseLowRentMo*MW$7,0)</f>
        <v/>
      </c>
      <c r="MX14" s="218">
        <f>IF(358&gt;=DeliverStart,BaseMarketRentMo*MX$6+BaseLowRentMo*MX$7,0)</f>
        <v/>
      </c>
      <c r="MY14" s="218">
        <f>IF(359&gt;=DeliverStart,BaseMarketRentMo*MY$6+BaseLowRentMo*MY$7,0)</f>
        <v/>
      </c>
      <c r="MZ14" s="218">
        <f>IF(360&gt;=DeliverStart,BaseMarketRentMo*MZ$6+BaseLowRentMo*MZ$7,0)</f>
        <v/>
      </c>
      <c r="NA14" s="218">
        <f>IF(361&gt;=DeliverStart,BaseMarketRentMo*NA$6+BaseLowRentMo*NA$7,0)</f>
        <v/>
      </c>
      <c r="NB14" s="218">
        <f>IF(362&gt;=DeliverStart,BaseMarketRentMo*NB$6+BaseLowRentMo*NB$7,0)</f>
        <v/>
      </c>
      <c r="NC14" s="218">
        <f>IF(363&gt;=DeliverStart,BaseMarketRentMo*NC$6+BaseLowRentMo*NC$7,0)</f>
        <v/>
      </c>
      <c r="ND14" s="218">
        <f>IF(364&gt;=DeliverStart,BaseMarketRentMo*ND$6+BaseLowRentMo*ND$7,0)</f>
        <v/>
      </c>
      <c r="NE14" s="218">
        <f>IF(365&gt;=DeliverStart,BaseMarketRentMo*NE$6+BaseLowRentMo*NE$7,0)</f>
        <v/>
      </c>
      <c r="NF14" s="218">
        <f>IF(366&gt;=DeliverStart,BaseMarketRentMo*NF$6+BaseLowRentMo*NF$7,0)</f>
        <v/>
      </c>
      <c r="NG14" s="218">
        <f>IF(367&gt;=DeliverStart,BaseMarketRentMo*NG$6+BaseLowRentMo*NG$7,0)</f>
        <v/>
      </c>
      <c r="NH14" s="218">
        <f>IF(368&gt;=DeliverStart,BaseMarketRentMo*NH$6+BaseLowRentMo*NH$7,0)</f>
        <v/>
      </c>
      <c r="NI14" s="218">
        <f>IF(369&gt;=DeliverStart,BaseMarketRentMo*NI$6+BaseLowRentMo*NI$7,0)</f>
        <v/>
      </c>
      <c r="NJ14" s="218">
        <f>IF(370&gt;=DeliverStart,BaseMarketRentMo*NJ$6+BaseLowRentMo*NJ$7,0)</f>
        <v/>
      </c>
      <c r="NK14" s="218">
        <f>IF(371&gt;=DeliverStart,BaseMarketRentMo*NK$6+BaseLowRentMo*NK$7,0)</f>
        <v/>
      </c>
      <c r="NL14" s="225">
        <f>IF(372&gt;=DeliverStart,BaseMarketRentMo*NL$6+BaseLowRentMo*NL$7,0)</f>
        <v/>
      </c>
    </row>
    <row r="15">
      <c r="B15" s="36" t="inlineStr">
        <is>
          <t>Vacancy Loss</t>
        </is>
      </c>
      <c r="D15" s="266">
        <f>SUM(E15:NL15)</f>
        <v/>
      </c>
      <c r="E15" s="218">
        <f>-E$14*(1-LeaseUp!E$10)-E$14*ModelUnits/TotalUnits</f>
        <v/>
      </c>
      <c r="F15" s="218">
        <f>-F$14*(1-LeaseUp!F$10)-F$14*ModelUnits/TotalUnits</f>
        <v/>
      </c>
      <c r="G15" s="218">
        <f>-G$14*(1-LeaseUp!G$10)-G$14*ModelUnits/TotalUnits</f>
        <v/>
      </c>
      <c r="H15" s="218">
        <f>-H$14*(1-LeaseUp!H$10)-H$14*ModelUnits/TotalUnits</f>
        <v/>
      </c>
      <c r="I15" s="218">
        <f>-I$14*(1-LeaseUp!I$10)-I$14*ModelUnits/TotalUnits</f>
        <v/>
      </c>
      <c r="J15" s="218">
        <f>-J$14*(1-LeaseUp!J$10)-J$14*ModelUnits/TotalUnits</f>
        <v/>
      </c>
      <c r="K15" s="218">
        <f>-K$14*(1-LeaseUp!K$10)-K$14*ModelUnits/TotalUnits</f>
        <v/>
      </c>
      <c r="L15" s="218">
        <f>-L$14*(1-LeaseUp!L$10)-L$14*ModelUnits/TotalUnits</f>
        <v/>
      </c>
      <c r="M15" s="218">
        <f>-M$14*(1-LeaseUp!M$10)-M$14*ModelUnits/TotalUnits</f>
        <v/>
      </c>
      <c r="N15" s="218">
        <f>-N$14*(1-LeaseUp!N$10)-N$14*ModelUnits/TotalUnits</f>
        <v/>
      </c>
      <c r="O15" s="218">
        <f>-O$14*(1-LeaseUp!O$10)-O$14*ModelUnits/TotalUnits</f>
        <v/>
      </c>
      <c r="P15" s="218">
        <f>-P$14*(1-LeaseUp!P$10)-P$14*ModelUnits/TotalUnits</f>
        <v/>
      </c>
      <c r="Q15" s="218">
        <f>-Q$14*(1-LeaseUp!Q$10)-Q$14*ModelUnits/TotalUnits</f>
        <v/>
      </c>
      <c r="R15" s="218">
        <f>-R$14*(1-LeaseUp!R$10)-R$14*ModelUnits/TotalUnits</f>
        <v/>
      </c>
      <c r="S15" s="218">
        <f>-S$14*(1-LeaseUp!S$10)-S$14*ModelUnits/TotalUnits</f>
        <v/>
      </c>
      <c r="T15" s="218">
        <f>-T$14*(1-LeaseUp!T$10)-T$14*ModelUnits/TotalUnits</f>
        <v/>
      </c>
      <c r="U15" s="218">
        <f>-U$14*(1-LeaseUp!U$10)-U$14*ModelUnits/TotalUnits</f>
        <v/>
      </c>
      <c r="V15" s="218">
        <f>-V$14*(1-LeaseUp!V$10)-V$14*ModelUnits/TotalUnits</f>
        <v/>
      </c>
      <c r="W15" s="218">
        <f>-W$14*(1-LeaseUp!W$10)-W$14*ModelUnits/TotalUnits</f>
        <v/>
      </c>
      <c r="X15" s="218">
        <f>-X$14*(1-LeaseUp!X$10)-X$14*ModelUnits/TotalUnits</f>
        <v/>
      </c>
      <c r="Y15" s="218">
        <f>-Y$14*(1-LeaseUp!Y$10)-Y$14*ModelUnits/TotalUnits</f>
        <v/>
      </c>
      <c r="Z15" s="218">
        <f>-Z$14*(1-LeaseUp!Z$10)-Z$14*ModelUnits/TotalUnits</f>
        <v/>
      </c>
      <c r="AA15" s="218">
        <f>-AA$14*(1-LeaseUp!AA$10)-AA$14*ModelUnits/TotalUnits</f>
        <v/>
      </c>
      <c r="AB15" s="218">
        <f>-AB$14*(1-LeaseUp!AB$10)-AB$14*ModelUnits/TotalUnits</f>
        <v/>
      </c>
      <c r="AC15" s="218">
        <f>-AC$14*(1-LeaseUp!AC$10)-AC$14*ModelUnits/TotalUnits</f>
        <v/>
      </c>
      <c r="AD15" s="218">
        <f>-AD$14*(1-LeaseUp!AD$10)-AD$14*ModelUnits/TotalUnits</f>
        <v/>
      </c>
      <c r="AE15" s="218">
        <f>-AE$14*(1-LeaseUp!AE$10)-AE$14*ModelUnits/TotalUnits</f>
        <v/>
      </c>
      <c r="AF15" s="218">
        <f>-AF$14*(1-LeaseUp!AF$10)-AF$14*ModelUnits/TotalUnits</f>
        <v/>
      </c>
      <c r="AG15" s="218">
        <f>-AG$14*(1-LeaseUp!AG$10)-AG$14*ModelUnits/TotalUnits</f>
        <v/>
      </c>
      <c r="AH15" s="218">
        <f>-AH$14*(1-LeaseUp!AH$10)-AH$14*ModelUnits/TotalUnits</f>
        <v/>
      </c>
      <c r="AI15" s="218">
        <f>-AI$14*(1-LeaseUp!AI$10)-AI$14*ModelUnits/TotalUnits</f>
        <v/>
      </c>
      <c r="AJ15" s="218">
        <f>-AJ$14*(1-LeaseUp!AJ$10)-AJ$14*ModelUnits/TotalUnits</f>
        <v/>
      </c>
      <c r="AK15" s="218">
        <f>-AK$14*(1-LeaseUp!AK$10)-AK$14*ModelUnits/TotalUnits</f>
        <v/>
      </c>
      <c r="AL15" s="218">
        <f>-AL$14*(1-LeaseUp!AL$10)-AL$14*ModelUnits/TotalUnits</f>
        <v/>
      </c>
      <c r="AM15" s="218">
        <f>-AM$14*(1-LeaseUp!AM$10)-AM$14*ModelUnits/TotalUnits</f>
        <v/>
      </c>
      <c r="AN15" s="218">
        <f>-AN$14*(1-LeaseUp!AN$10)-AN$14*ModelUnits/TotalUnits</f>
        <v/>
      </c>
      <c r="AO15" s="218">
        <f>-AO$14*(1-LeaseUp!AO$10)-AO$14*ModelUnits/TotalUnits</f>
        <v/>
      </c>
      <c r="AP15" s="218">
        <f>-AP$14*(1-LeaseUp!AP$10)-AP$14*ModelUnits/TotalUnits</f>
        <v/>
      </c>
      <c r="AQ15" s="218">
        <f>-AQ$14*(1-LeaseUp!AQ$10)-AQ$14*ModelUnits/TotalUnits</f>
        <v/>
      </c>
      <c r="AR15" s="218">
        <f>-AR$14*(1-LeaseUp!AR$10)-AR$14*ModelUnits/TotalUnits</f>
        <v/>
      </c>
      <c r="AS15" s="218">
        <f>-AS$14*(1-LeaseUp!AS$10)-AS$14*ModelUnits/TotalUnits</f>
        <v/>
      </c>
      <c r="AT15" s="218">
        <f>-AT$14*(1-LeaseUp!AT$10)-AT$14*ModelUnits/TotalUnits</f>
        <v/>
      </c>
      <c r="AU15" s="218">
        <f>-AU$14*(1-LeaseUp!AU$10)-AU$14*ModelUnits/TotalUnits</f>
        <v/>
      </c>
      <c r="AV15" s="218">
        <f>-AV$14*(1-LeaseUp!AV$10)-AV$14*ModelUnits/TotalUnits</f>
        <v/>
      </c>
      <c r="AW15" s="218">
        <f>-AW$14*(1-LeaseUp!AW$10)-AW$14*ModelUnits/TotalUnits</f>
        <v/>
      </c>
      <c r="AX15" s="218">
        <f>-AX$14*(1-LeaseUp!AX$10)-AX$14*ModelUnits/TotalUnits</f>
        <v/>
      </c>
      <c r="AY15" s="218">
        <f>-AY$14*(1-LeaseUp!AY$10)-AY$14*ModelUnits/TotalUnits</f>
        <v/>
      </c>
      <c r="AZ15" s="218">
        <f>-AZ$14*(1-LeaseUp!AZ$10)-AZ$14*ModelUnits/TotalUnits</f>
        <v/>
      </c>
      <c r="BA15" s="218">
        <f>-BA$14*(1-LeaseUp!BA$10)-BA$14*ModelUnits/TotalUnits</f>
        <v/>
      </c>
      <c r="BB15" s="218">
        <f>-BB$14*(1-LeaseUp!BB$10)-BB$14*ModelUnits/TotalUnits</f>
        <v/>
      </c>
      <c r="BC15" s="218">
        <f>-BC$14*(1-LeaseUp!BC$10)-BC$14*ModelUnits/TotalUnits</f>
        <v/>
      </c>
      <c r="BD15" s="218">
        <f>-BD$14*(1-LeaseUp!BD$10)-BD$14*ModelUnits/TotalUnits</f>
        <v/>
      </c>
      <c r="BE15" s="218">
        <f>-BE$14*(1-LeaseUp!BE$10)-BE$14*ModelUnits/TotalUnits</f>
        <v/>
      </c>
      <c r="BF15" s="218">
        <f>-BF$14*(1-LeaseUp!BF$10)-BF$14*ModelUnits/TotalUnits</f>
        <v/>
      </c>
      <c r="BG15" s="218">
        <f>-BG$14*(1-LeaseUp!BG$10)-BG$14*ModelUnits/TotalUnits</f>
        <v/>
      </c>
      <c r="BH15" s="218">
        <f>-BH$14*(1-LeaseUp!BH$10)-BH$14*ModelUnits/TotalUnits</f>
        <v/>
      </c>
      <c r="BI15" s="218">
        <f>-BI$14*(1-LeaseUp!BI$10)-BI$14*ModelUnits/TotalUnits</f>
        <v/>
      </c>
      <c r="BJ15" s="218">
        <f>-BJ$14*(1-LeaseUp!BJ$10)-BJ$14*ModelUnits/TotalUnits</f>
        <v/>
      </c>
      <c r="BK15" s="218">
        <f>-BK$14*(1-LeaseUp!BK$10)-BK$14*ModelUnits/TotalUnits</f>
        <v/>
      </c>
      <c r="BL15" s="218">
        <f>-BL$14*(1-LeaseUp!BL$10)-BL$14*ModelUnits/TotalUnits</f>
        <v/>
      </c>
      <c r="BM15" s="218">
        <f>-BM$14*(1-LeaseUp!BM$10)-BM$14*ModelUnits/TotalUnits</f>
        <v/>
      </c>
      <c r="BN15" s="218">
        <f>-BN$14*(1-LeaseUp!BN$10)-BN$14*ModelUnits/TotalUnits</f>
        <v/>
      </c>
      <c r="BO15" s="218">
        <f>-BO$14*(1-LeaseUp!BO$10)-BO$14*ModelUnits/TotalUnits</f>
        <v/>
      </c>
      <c r="BP15" s="218">
        <f>-BP$14*(1-LeaseUp!BP$10)-BP$14*ModelUnits/TotalUnits</f>
        <v/>
      </c>
      <c r="BQ15" s="218">
        <f>-BQ$14*(1-LeaseUp!BQ$10)-BQ$14*ModelUnits/TotalUnits</f>
        <v/>
      </c>
      <c r="BR15" s="218">
        <f>-BR$14*(1-LeaseUp!BR$10)-BR$14*ModelUnits/TotalUnits</f>
        <v/>
      </c>
      <c r="BS15" s="218">
        <f>-BS$14*(1-LeaseUp!BS$10)-BS$14*ModelUnits/TotalUnits</f>
        <v/>
      </c>
      <c r="BT15" s="218">
        <f>-BT$14*(1-LeaseUp!BT$10)-BT$14*ModelUnits/TotalUnits</f>
        <v/>
      </c>
      <c r="BU15" s="218">
        <f>-BU$14*(1-LeaseUp!BU$10)-BU$14*ModelUnits/TotalUnits</f>
        <v/>
      </c>
      <c r="BV15" s="218">
        <f>-BV$14*(1-LeaseUp!BV$10)-BV$14*ModelUnits/TotalUnits</f>
        <v/>
      </c>
      <c r="BW15" s="218">
        <f>-BW$14*(1-LeaseUp!BW$10)-BW$14*ModelUnits/TotalUnits</f>
        <v/>
      </c>
      <c r="BX15" s="218">
        <f>-BX$14*(1-LeaseUp!BX$10)-BX$14*ModelUnits/TotalUnits</f>
        <v/>
      </c>
      <c r="BY15" s="218">
        <f>-BY$14*(1-LeaseUp!BY$10)-BY$14*ModelUnits/TotalUnits</f>
        <v/>
      </c>
      <c r="BZ15" s="218">
        <f>-BZ$14*(1-LeaseUp!BZ$10)-BZ$14*ModelUnits/TotalUnits</f>
        <v/>
      </c>
      <c r="CA15" s="218">
        <f>-CA$14*(1-LeaseUp!CA$10)-CA$14*ModelUnits/TotalUnits</f>
        <v/>
      </c>
      <c r="CB15" s="218">
        <f>-CB$14*(1-LeaseUp!CB$10)-CB$14*ModelUnits/TotalUnits</f>
        <v/>
      </c>
      <c r="CC15" s="218">
        <f>-CC$14*(1-LeaseUp!CC$10)-CC$14*ModelUnits/TotalUnits</f>
        <v/>
      </c>
      <c r="CD15" s="218">
        <f>-CD$14*(1-LeaseUp!CD$10)-CD$14*ModelUnits/TotalUnits</f>
        <v/>
      </c>
      <c r="CE15" s="218">
        <f>-CE$14*(1-LeaseUp!CE$10)-CE$14*ModelUnits/TotalUnits</f>
        <v/>
      </c>
      <c r="CF15" s="218">
        <f>-CF$14*(1-LeaseUp!CF$10)-CF$14*ModelUnits/TotalUnits</f>
        <v/>
      </c>
      <c r="CG15" s="218">
        <f>-CG$14*(1-LeaseUp!CG$10)-CG$14*ModelUnits/TotalUnits</f>
        <v/>
      </c>
      <c r="CH15" s="218">
        <f>-CH$14*(1-LeaseUp!CH$10)-CH$14*ModelUnits/TotalUnits</f>
        <v/>
      </c>
      <c r="CI15" s="218">
        <f>-CI$14*(1-LeaseUp!CI$10)-CI$14*ModelUnits/TotalUnits</f>
        <v/>
      </c>
      <c r="CJ15" s="218">
        <f>-CJ$14*(1-LeaseUp!CJ$10)-CJ$14*ModelUnits/TotalUnits</f>
        <v/>
      </c>
      <c r="CK15" s="218">
        <f>-CK$14*(1-LeaseUp!CK$10)-CK$14*ModelUnits/TotalUnits</f>
        <v/>
      </c>
      <c r="CL15" s="218">
        <f>-CL$14*(1-LeaseUp!CL$10)-CL$14*ModelUnits/TotalUnits</f>
        <v/>
      </c>
      <c r="CM15" s="218">
        <f>-CM$14*(1-LeaseUp!CM$10)-CM$14*ModelUnits/TotalUnits</f>
        <v/>
      </c>
      <c r="CN15" s="218">
        <f>-CN$14*(1-LeaseUp!CN$10)-CN$14*ModelUnits/TotalUnits</f>
        <v/>
      </c>
      <c r="CO15" s="218">
        <f>-CO$14*(1-LeaseUp!CO$10)-CO$14*ModelUnits/TotalUnits</f>
        <v/>
      </c>
      <c r="CP15" s="218">
        <f>-CP$14*(1-LeaseUp!CP$10)-CP$14*ModelUnits/TotalUnits</f>
        <v/>
      </c>
      <c r="CQ15" s="218">
        <f>-CQ$14*(1-LeaseUp!CQ$10)-CQ$14*ModelUnits/TotalUnits</f>
        <v/>
      </c>
      <c r="CR15" s="218">
        <f>-CR$14*(1-LeaseUp!CR$10)-CR$14*ModelUnits/TotalUnits</f>
        <v/>
      </c>
      <c r="CS15" s="218">
        <f>-CS$14*(1-LeaseUp!CS$10)-CS$14*ModelUnits/TotalUnits</f>
        <v/>
      </c>
      <c r="CT15" s="218">
        <f>-CT$14*(1-LeaseUp!CT$10)-CT$14*ModelUnits/TotalUnits</f>
        <v/>
      </c>
      <c r="CU15" s="218">
        <f>-CU$14*(1-LeaseUp!CU$10)-CU$14*ModelUnits/TotalUnits</f>
        <v/>
      </c>
      <c r="CV15" s="218">
        <f>-CV$14*(1-LeaseUp!CV$10)-CV$14*ModelUnits/TotalUnits</f>
        <v/>
      </c>
      <c r="CW15" s="218">
        <f>-CW$14*(1-LeaseUp!CW$10)-CW$14*ModelUnits/TotalUnits</f>
        <v/>
      </c>
      <c r="CX15" s="218">
        <f>-CX$14*(1-LeaseUp!CX$10)-CX$14*ModelUnits/TotalUnits</f>
        <v/>
      </c>
      <c r="CY15" s="218">
        <f>-CY$14*(1-LeaseUp!CY$10)-CY$14*ModelUnits/TotalUnits</f>
        <v/>
      </c>
      <c r="CZ15" s="218">
        <f>-CZ$14*(1-LeaseUp!CZ$10)-CZ$14*ModelUnits/TotalUnits</f>
        <v/>
      </c>
      <c r="DA15" s="218">
        <f>-DA$14*(1-LeaseUp!DA$10)-DA$14*ModelUnits/TotalUnits</f>
        <v/>
      </c>
      <c r="DB15" s="218">
        <f>-DB$14*(1-LeaseUp!DB$10)-DB$14*ModelUnits/TotalUnits</f>
        <v/>
      </c>
      <c r="DC15" s="218">
        <f>-DC$14*(1-LeaseUp!DC$10)-DC$14*ModelUnits/TotalUnits</f>
        <v/>
      </c>
      <c r="DD15" s="218">
        <f>-DD$14*(1-LeaseUp!DD$10)-DD$14*ModelUnits/TotalUnits</f>
        <v/>
      </c>
      <c r="DE15" s="218">
        <f>-DE$14*(1-LeaseUp!DE$10)-DE$14*ModelUnits/TotalUnits</f>
        <v/>
      </c>
      <c r="DF15" s="218">
        <f>-DF$14*(1-LeaseUp!DF$10)-DF$14*ModelUnits/TotalUnits</f>
        <v/>
      </c>
      <c r="DG15" s="218">
        <f>-DG$14*(1-LeaseUp!DG$10)-DG$14*ModelUnits/TotalUnits</f>
        <v/>
      </c>
      <c r="DH15" s="218">
        <f>-DH$14*(1-LeaseUp!DH$10)-DH$14*ModelUnits/TotalUnits</f>
        <v/>
      </c>
      <c r="DI15" s="218">
        <f>-DI$14*(1-LeaseUp!DI$10)-DI$14*ModelUnits/TotalUnits</f>
        <v/>
      </c>
      <c r="DJ15" s="218">
        <f>-DJ$14*(1-LeaseUp!DJ$10)-DJ$14*ModelUnits/TotalUnits</f>
        <v/>
      </c>
      <c r="DK15" s="218">
        <f>-DK$14*(1-LeaseUp!DK$10)-DK$14*ModelUnits/TotalUnits</f>
        <v/>
      </c>
      <c r="DL15" s="218">
        <f>-DL$14*(1-LeaseUp!DL$10)-DL$14*ModelUnits/TotalUnits</f>
        <v/>
      </c>
      <c r="DM15" s="218">
        <f>-DM$14*(1-LeaseUp!DM$10)-DM$14*ModelUnits/TotalUnits</f>
        <v/>
      </c>
      <c r="DN15" s="218">
        <f>-DN$14*(1-LeaseUp!DN$10)-DN$14*ModelUnits/TotalUnits</f>
        <v/>
      </c>
      <c r="DO15" s="218">
        <f>-DO$14*(1-LeaseUp!DO$10)-DO$14*ModelUnits/TotalUnits</f>
        <v/>
      </c>
      <c r="DP15" s="218">
        <f>-DP$14*(1-LeaseUp!DP$10)-DP$14*ModelUnits/TotalUnits</f>
        <v/>
      </c>
      <c r="DQ15" s="218">
        <f>-DQ$14*(1-LeaseUp!DQ$10)-DQ$14*ModelUnits/TotalUnits</f>
        <v/>
      </c>
      <c r="DR15" s="218">
        <f>-DR$14*(1-LeaseUp!DR$10)-DR$14*ModelUnits/TotalUnits</f>
        <v/>
      </c>
      <c r="DS15" s="218">
        <f>-DS$14*(1-LeaseUp!DS$10)-DS$14*ModelUnits/TotalUnits</f>
        <v/>
      </c>
      <c r="DT15" s="218">
        <f>-DT$14*(1-LeaseUp!DT$10)-DT$14*ModelUnits/TotalUnits</f>
        <v/>
      </c>
      <c r="DU15" s="218">
        <f>-DU$14*(1-LeaseUp!DU$10)-DU$14*ModelUnits/TotalUnits</f>
        <v/>
      </c>
      <c r="DV15" s="218">
        <f>-DV$14*(1-LeaseUp!DV$10)-DV$14*ModelUnits/TotalUnits</f>
        <v/>
      </c>
      <c r="DW15" s="218">
        <f>-DW$14*(1-LeaseUp!DW$10)-DW$14*ModelUnits/TotalUnits</f>
        <v/>
      </c>
      <c r="DX15" s="218">
        <f>-DX$14*(1-LeaseUp!DX$10)-DX$14*ModelUnits/TotalUnits</f>
        <v/>
      </c>
      <c r="DY15" s="218">
        <f>-DY$14*(1-LeaseUp!DY$10)-DY$14*ModelUnits/TotalUnits</f>
        <v/>
      </c>
      <c r="DZ15" s="218">
        <f>-DZ$14*(1-LeaseUp!DZ$10)-DZ$14*ModelUnits/TotalUnits</f>
        <v/>
      </c>
      <c r="EA15" s="218">
        <f>-EA$14*(1-LeaseUp!EA$10)-EA$14*ModelUnits/TotalUnits</f>
        <v/>
      </c>
      <c r="EB15" s="218">
        <f>-EB$14*(1-LeaseUp!EB$10)-EB$14*ModelUnits/TotalUnits</f>
        <v/>
      </c>
      <c r="EC15" s="218">
        <f>-EC$14*(1-LeaseUp!EC$10)-EC$14*ModelUnits/TotalUnits</f>
        <v/>
      </c>
      <c r="ED15" s="218">
        <f>-ED$14*(1-LeaseUp!ED$10)-ED$14*ModelUnits/TotalUnits</f>
        <v/>
      </c>
      <c r="EE15" s="218">
        <f>-EE$14*(1-LeaseUp!EE$10)-EE$14*ModelUnits/TotalUnits</f>
        <v/>
      </c>
      <c r="EF15" s="218">
        <f>-EF$14*(1-LeaseUp!EF$10)-EF$14*ModelUnits/TotalUnits</f>
        <v/>
      </c>
      <c r="EG15" s="218">
        <f>-EG$14*(1-LeaseUp!EG$10)-EG$14*ModelUnits/TotalUnits</f>
        <v/>
      </c>
      <c r="EH15" s="218">
        <f>-EH$14*(1-LeaseUp!EH$10)-EH$14*ModelUnits/TotalUnits</f>
        <v/>
      </c>
      <c r="EI15" s="218">
        <f>-EI$14*(1-LeaseUp!EI$10)-EI$14*ModelUnits/TotalUnits</f>
        <v/>
      </c>
      <c r="EJ15" s="218">
        <f>-EJ$14*(1-LeaseUp!EJ$10)-EJ$14*ModelUnits/TotalUnits</f>
        <v/>
      </c>
      <c r="EK15" s="218">
        <f>-EK$14*(1-LeaseUp!EK$10)-EK$14*ModelUnits/TotalUnits</f>
        <v/>
      </c>
      <c r="EL15" s="218">
        <f>-EL$14*(1-LeaseUp!EL$10)-EL$14*ModelUnits/TotalUnits</f>
        <v/>
      </c>
      <c r="EM15" s="218">
        <f>-EM$14*(1-LeaseUp!EM$10)-EM$14*ModelUnits/TotalUnits</f>
        <v/>
      </c>
      <c r="EN15" s="218">
        <f>-EN$14*(1-LeaseUp!EN$10)-EN$14*ModelUnits/TotalUnits</f>
        <v/>
      </c>
      <c r="EO15" s="218">
        <f>-EO$14*(1-LeaseUp!EO$10)-EO$14*ModelUnits/TotalUnits</f>
        <v/>
      </c>
      <c r="EP15" s="218">
        <f>-EP$14*(1-LeaseUp!EP$10)-EP$14*ModelUnits/TotalUnits</f>
        <v/>
      </c>
      <c r="EQ15" s="218">
        <f>-EQ$14*(1-LeaseUp!EQ$10)-EQ$14*ModelUnits/TotalUnits</f>
        <v/>
      </c>
      <c r="ER15" s="218">
        <f>-ER$14*(1-LeaseUp!ER$10)-ER$14*ModelUnits/TotalUnits</f>
        <v/>
      </c>
      <c r="ES15" s="218">
        <f>-ES$14*(1-LeaseUp!ES$10)-ES$14*ModelUnits/TotalUnits</f>
        <v/>
      </c>
      <c r="ET15" s="218">
        <f>-ET$14*(1-LeaseUp!ET$10)-ET$14*ModelUnits/TotalUnits</f>
        <v/>
      </c>
      <c r="EU15" s="218">
        <f>-EU$14*(1-LeaseUp!EU$10)-EU$14*ModelUnits/TotalUnits</f>
        <v/>
      </c>
      <c r="EV15" s="218">
        <f>-EV$14*(1-LeaseUp!EV$10)-EV$14*ModelUnits/TotalUnits</f>
        <v/>
      </c>
      <c r="EW15" s="218">
        <f>-EW$14*(1-LeaseUp!EW$10)-EW$14*ModelUnits/TotalUnits</f>
        <v/>
      </c>
      <c r="EX15" s="218">
        <f>-EX$14*(1-LeaseUp!EX$10)-EX$14*ModelUnits/TotalUnits</f>
        <v/>
      </c>
      <c r="EY15" s="218">
        <f>-EY$14*(1-LeaseUp!EY$10)-EY$14*ModelUnits/TotalUnits</f>
        <v/>
      </c>
      <c r="EZ15" s="218">
        <f>-EZ$14*(1-LeaseUp!EZ$10)-EZ$14*ModelUnits/TotalUnits</f>
        <v/>
      </c>
      <c r="FA15" s="218">
        <f>-FA$14*(1-LeaseUp!FA$10)-FA$14*ModelUnits/TotalUnits</f>
        <v/>
      </c>
      <c r="FB15" s="218">
        <f>-FB$14*(1-LeaseUp!FB$10)-FB$14*ModelUnits/TotalUnits</f>
        <v/>
      </c>
      <c r="FC15" s="218">
        <f>-FC$14*(1-LeaseUp!FC$10)-FC$14*ModelUnits/TotalUnits</f>
        <v/>
      </c>
      <c r="FD15" s="218">
        <f>-FD$14*(1-LeaseUp!FD$10)-FD$14*ModelUnits/TotalUnits</f>
        <v/>
      </c>
      <c r="FE15" s="218">
        <f>-FE$14*(1-LeaseUp!FE$10)-FE$14*ModelUnits/TotalUnits</f>
        <v/>
      </c>
      <c r="FF15" s="218">
        <f>-FF$14*(1-LeaseUp!FF$10)-FF$14*ModelUnits/TotalUnits</f>
        <v/>
      </c>
      <c r="FG15" s="218">
        <f>-FG$14*(1-LeaseUp!FG$10)-FG$14*ModelUnits/TotalUnits</f>
        <v/>
      </c>
      <c r="FH15" s="218">
        <f>-FH$14*(1-LeaseUp!FH$10)-FH$14*ModelUnits/TotalUnits</f>
        <v/>
      </c>
      <c r="FI15" s="218">
        <f>-FI$14*(1-LeaseUp!FI$10)-FI$14*ModelUnits/TotalUnits</f>
        <v/>
      </c>
      <c r="FJ15" s="218">
        <f>-FJ$14*(1-LeaseUp!FJ$10)-FJ$14*ModelUnits/TotalUnits</f>
        <v/>
      </c>
      <c r="FK15" s="218">
        <f>-FK$14*(1-LeaseUp!FK$10)-FK$14*ModelUnits/TotalUnits</f>
        <v/>
      </c>
      <c r="FL15" s="218">
        <f>-FL$14*(1-LeaseUp!FL$10)-FL$14*ModelUnits/TotalUnits</f>
        <v/>
      </c>
      <c r="FM15" s="218">
        <f>-FM$14*(1-LeaseUp!FM$10)-FM$14*ModelUnits/TotalUnits</f>
        <v/>
      </c>
      <c r="FN15" s="218">
        <f>-FN$14*(1-LeaseUp!FN$10)-FN$14*ModelUnits/TotalUnits</f>
        <v/>
      </c>
      <c r="FO15" s="218">
        <f>-FO$14*(1-LeaseUp!FO$10)-FO$14*ModelUnits/TotalUnits</f>
        <v/>
      </c>
      <c r="FP15" s="218">
        <f>-FP$14*(1-LeaseUp!FP$10)-FP$14*ModelUnits/TotalUnits</f>
        <v/>
      </c>
      <c r="FQ15" s="218">
        <f>-FQ$14*(1-LeaseUp!FQ$10)-FQ$14*ModelUnits/TotalUnits</f>
        <v/>
      </c>
      <c r="FR15" s="218">
        <f>-FR$14*(1-LeaseUp!FR$10)-FR$14*ModelUnits/TotalUnits</f>
        <v/>
      </c>
      <c r="FS15" s="218">
        <f>-FS$14*(1-LeaseUp!FS$10)-FS$14*ModelUnits/TotalUnits</f>
        <v/>
      </c>
      <c r="FT15" s="218">
        <f>-FT$14*(1-LeaseUp!FT$10)-FT$14*ModelUnits/TotalUnits</f>
        <v/>
      </c>
      <c r="FU15" s="218">
        <f>-FU$14*(1-LeaseUp!FU$10)-FU$14*ModelUnits/TotalUnits</f>
        <v/>
      </c>
      <c r="FV15" s="218">
        <f>-FV$14*(1-LeaseUp!FV$10)-FV$14*ModelUnits/TotalUnits</f>
        <v/>
      </c>
      <c r="FW15" s="218">
        <f>-FW$14*(1-LeaseUp!FW$10)-FW$14*ModelUnits/TotalUnits</f>
        <v/>
      </c>
      <c r="FX15" s="218">
        <f>-FX$14*(1-LeaseUp!FX$10)-FX$14*ModelUnits/TotalUnits</f>
        <v/>
      </c>
      <c r="FY15" s="218">
        <f>-FY$14*(1-LeaseUp!FY$10)-FY$14*ModelUnits/TotalUnits</f>
        <v/>
      </c>
      <c r="FZ15" s="218">
        <f>-FZ$14*(1-LeaseUp!FZ$10)-FZ$14*ModelUnits/TotalUnits</f>
        <v/>
      </c>
      <c r="GA15" s="218">
        <f>-GA$14*(1-LeaseUp!GA$10)-GA$14*ModelUnits/TotalUnits</f>
        <v/>
      </c>
      <c r="GB15" s="218">
        <f>-GB$14*(1-LeaseUp!GB$10)-GB$14*ModelUnits/TotalUnits</f>
        <v/>
      </c>
      <c r="GC15" s="218">
        <f>-GC$14*(1-LeaseUp!GC$10)-GC$14*ModelUnits/TotalUnits</f>
        <v/>
      </c>
      <c r="GD15" s="218">
        <f>-GD$14*(1-LeaseUp!GD$10)-GD$14*ModelUnits/TotalUnits</f>
        <v/>
      </c>
      <c r="GE15" s="218">
        <f>-GE$14*(1-LeaseUp!GE$10)-GE$14*ModelUnits/TotalUnits</f>
        <v/>
      </c>
      <c r="GF15" s="218">
        <f>-GF$14*(1-LeaseUp!GF$10)-GF$14*ModelUnits/TotalUnits</f>
        <v/>
      </c>
      <c r="GG15" s="218">
        <f>-GG$14*(1-LeaseUp!GG$10)-GG$14*ModelUnits/TotalUnits</f>
        <v/>
      </c>
      <c r="GH15" s="218">
        <f>-GH$14*(1-LeaseUp!GH$10)-GH$14*ModelUnits/TotalUnits</f>
        <v/>
      </c>
      <c r="GI15" s="218">
        <f>-GI$14*(1-LeaseUp!GI$10)-GI$14*ModelUnits/TotalUnits</f>
        <v/>
      </c>
      <c r="GJ15" s="218">
        <f>-GJ$14*(1-LeaseUp!GJ$10)-GJ$14*ModelUnits/TotalUnits</f>
        <v/>
      </c>
      <c r="GK15" s="218">
        <f>-GK$14*(1-LeaseUp!GK$10)-GK$14*ModelUnits/TotalUnits</f>
        <v/>
      </c>
      <c r="GL15" s="218">
        <f>-GL$14*(1-LeaseUp!GL$10)-GL$14*ModelUnits/TotalUnits</f>
        <v/>
      </c>
      <c r="GM15" s="218">
        <f>-GM$14*(1-LeaseUp!GM$10)-GM$14*ModelUnits/TotalUnits</f>
        <v/>
      </c>
      <c r="GN15" s="218">
        <f>-GN$14*(1-LeaseUp!GN$10)-GN$14*ModelUnits/TotalUnits</f>
        <v/>
      </c>
      <c r="GO15" s="218">
        <f>-GO$14*(1-LeaseUp!GO$10)-GO$14*ModelUnits/TotalUnits</f>
        <v/>
      </c>
      <c r="GP15" s="218">
        <f>-GP$14*(1-LeaseUp!GP$10)-GP$14*ModelUnits/TotalUnits</f>
        <v/>
      </c>
      <c r="GQ15" s="218">
        <f>-GQ$14*(1-LeaseUp!GQ$10)-GQ$14*ModelUnits/TotalUnits</f>
        <v/>
      </c>
      <c r="GR15" s="218">
        <f>-GR$14*(1-LeaseUp!GR$10)-GR$14*ModelUnits/TotalUnits</f>
        <v/>
      </c>
      <c r="GS15" s="218">
        <f>-GS$14*(1-LeaseUp!GS$10)-GS$14*ModelUnits/TotalUnits</f>
        <v/>
      </c>
      <c r="GT15" s="218">
        <f>-GT$14*(1-LeaseUp!GT$10)-GT$14*ModelUnits/TotalUnits</f>
        <v/>
      </c>
      <c r="GU15" s="218">
        <f>-GU$14*(1-LeaseUp!GU$10)-GU$14*ModelUnits/TotalUnits</f>
        <v/>
      </c>
      <c r="GV15" s="218">
        <f>-GV$14*(1-LeaseUp!GV$10)-GV$14*ModelUnits/TotalUnits</f>
        <v/>
      </c>
      <c r="GW15" s="218">
        <f>-GW$14*(1-LeaseUp!GW$10)-GW$14*ModelUnits/TotalUnits</f>
        <v/>
      </c>
      <c r="GX15" s="218">
        <f>-GX$14*(1-LeaseUp!GX$10)-GX$14*ModelUnits/TotalUnits</f>
        <v/>
      </c>
      <c r="GY15" s="218">
        <f>-GY$14*(1-LeaseUp!GY$10)-GY$14*ModelUnits/TotalUnits</f>
        <v/>
      </c>
      <c r="GZ15" s="218">
        <f>-GZ$14*(1-LeaseUp!GZ$10)-GZ$14*ModelUnits/TotalUnits</f>
        <v/>
      </c>
      <c r="HA15" s="218">
        <f>-HA$14*(1-LeaseUp!HA$10)-HA$14*ModelUnits/TotalUnits</f>
        <v/>
      </c>
      <c r="HB15" s="218">
        <f>-HB$14*(1-LeaseUp!HB$10)-HB$14*ModelUnits/TotalUnits</f>
        <v/>
      </c>
      <c r="HC15" s="218">
        <f>-HC$14*(1-LeaseUp!HC$10)-HC$14*ModelUnits/TotalUnits</f>
        <v/>
      </c>
      <c r="HD15" s="218">
        <f>-HD$14*(1-LeaseUp!HD$10)-HD$14*ModelUnits/TotalUnits</f>
        <v/>
      </c>
      <c r="HE15" s="218">
        <f>-HE$14*(1-LeaseUp!HE$10)-HE$14*ModelUnits/TotalUnits</f>
        <v/>
      </c>
      <c r="HF15" s="218">
        <f>-HF$14*(1-LeaseUp!HF$10)-HF$14*ModelUnits/TotalUnits</f>
        <v/>
      </c>
      <c r="HG15" s="218">
        <f>-HG$14*(1-LeaseUp!HG$10)-HG$14*ModelUnits/TotalUnits</f>
        <v/>
      </c>
      <c r="HH15" s="218">
        <f>-HH$14*(1-LeaseUp!HH$10)-HH$14*ModelUnits/TotalUnits</f>
        <v/>
      </c>
      <c r="HI15" s="218">
        <f>-HI$14*(1-LeaseUp!HI$10)-HI$14*ModelUnits/TotalUnits</f>
        <v/>
      </c>
      <c r="HJ15" s="218">
        <f>-HJ$14*(1-LeaseUp!HJ$10)-HJ$14*ModelUnits/TotalUnits</f>
        <v/>
      </c>
      <c r="HK15" s="218">
        <f>-HK$14*(1-LeaseUp!HK$10)-HK$14*ModelUnits/TotalUnits</f>
        <v/>
      </c>
      <c r="HL15" s="218">
        <f>-HL$14*(1-LeaseUp!HL$10)-HL$14*ModelUnits/TotalUnits</f>
        <v/>
      </c>
      <c r="HM15" s="218">
        <f>-HM$14*(1-LeaseUp!HM$10)-HM$14*ModelUnits/TotalUnits</f>
        <v/>
      </c>
      <c r="HN15" s="218">
        <f>-HN$14*(1-LeaseUp!HN$10)-HN$14*ModelUnits/TotalUnits</f>
        <v/>
      </c>
      <c r="HO15" s="218">
        <f>-HO$14*(1-LeaseUp!HO$10)-HO$14*ModelUnits/TotalUnits</f>
        <v/>
      </c>
      <c r="HP15" s="218">
        <f>-HP$14*(1-LeaseUp!HP$10)-HP$14*ModelUnits/TotalUnits</f>
        <v/>
      </c>
      <c r="HQ15" s="218">
        <f>-HQ$14*(1-LeaseUp!HQ$10)-HQ$14*ModelUnits/TotalUnits</f>
        <v/>
      </c>
      <c r="HR15" s="218">
        <f>-HR$14*(1-LeaseUp!HR$10)-HR$14*ModelUnits/TotalUnits</f>
        <v/>
      </c>
      <c r="HS15" s="218">
        <f>-HS$14*(1-LeaseUp!HS$10)-HS$14*ModelUnits/TotalUnits</f>
        <v/>
      </c>
      <c r="HT15" s="218">
        <f>-HT$14*(1-LeaseUp!HT$10)-HT$14*ModelUnits/TotalUnits</f>
        <v/>
      </c>
      <c r="HU15" s="218">
        <f>-HU$14*(1-LeaseUp!HU$10)-HU$14*ModelUnits/TotalUnits</f>
        <v/>
      </c>
      <c r="HV15" s="218">
        <f>-HV$14*(1-LeaseUp!HV$10)-HV$14*ModelUnits/TotalUnits</f>
        <v/>
      </c>
      <c r="HW15" s="218">
        <f>-HW$14*(1-LeaseUp!HW$10)-HW$14*ModelUnits/TotalUnits</f>
        <v/>
      </c>
      <c r="HX15" s="218">
        <f>-HX$14*(1-LeaseUp!HX$10)-HX$14*ModelUnits/TotalUnits</f>
        <v/>
      </c>
      <c r="HY15" s="218">
        <f>-HY$14*(1-LeaseUp!HY$10)-HY$14*ModelUnits/TotalUnits</f>
        <v/>
      </c>
      <c r="HZ15" s="218">
        <f>-HZ$14*(1-LeaseUp!HZ$10)-HZ$14*ModelUnits/TotalUnits</f>
        <v/>
      </c>
      <c r="IA15" s="218">
        <f>-IA$14*(1-LeaseUp!IA$10)-IA$14*ModelUnits/TotalUnits</f>
        <v/>
      </c>
      <c r="IB15" s="218">
        <f>-IB$14*(1-LeaseUp!IB$10)-IB$14*ModelUnits/TotalUnits</f>
        <v/>
      </c>
      <c r="IC15" s="218">
        <f>-IC$14*(1-LeaseUp!IC$10)-IC$14*ModelUnits/TotalUnits</f>
        <v/>
      </c>
      <c r="ID15" s="218">
        <f>-ID$14*(1-LeaseUp!ID$10)-ID$14*ModelUnits/TotalUnits</f>
        <v/>
      </c>
      <c r="IE15" s="218">
        <f>-IE$14*(1-LeaseUp!IE$10)-IE$14*ModelUnits/TotalUnits</f>
        <v/>
      </c>
      <c r="IF15" s="218">
        <f>-IF$14*(1-LeaseUp!IF$10)-IF$14*ModelUnits/TotalUnits</f>
        <v/>
      </c>
      <c r="IG15" s="218">
        <f>-IG$14*(1-LeaseUp!IG$10)-IG$14*ModelUnits/TotalUnits</f>
        <v/>
      </c>
      <c r="IH15" s="218">
        <f>-IH$14*(1-LeaseUp!IH$10)-IH$14*ModelUnits/TotalUnits</f>
        <v/>
      </c>
      <c r="II15" s="218">
        <f>-II$14*(1-LeaseUp!II$10)-II$14*ModelUnits/TotalUnits</f>
        <v/>
      </c>
      <c r="IJ15" s="218">
        <f>-IJ$14*(1-LeaseUp!IJ$10)-IJ$14*ModelUnits/TotalUnits</f>
        <v/>
      </c>
      <c r="IK15" s="218">
        <f>-IK$14*(1-LeaseUp!IK$10)-IK$14*ModelUnits/TotalUnits</f>
        <v/>
      </c>
      <c r="IL15" s="218">
        <f>-IL$14*(1-LeaseUp!IL$10)-IL$14*ModelUnits/TotalUnits</f>
        <v/>
      </c>
      <c r="IM15" s="218">
        <f>-IM$14*(1-LeaseUp!IM$10)-IM$14*ModelUnits/TotalUnits</f>
        <v/>
      </c>
      <c r="IN15" s="218">
        <f>-IN$14*(1-LeaseUp!IN$10)-IN$14*ModelUnits/TotalUnits</f>
        <v/>
      </c>
      <c r="IO15" s="218">
        <f>-IO$14*(1-LeaseUp!IO$10)-IO$14*ModelUnits/TotalUnits</f>
        <v/>
      </c>
      <c r="IP15" s="218">
        <f>-IP$14*(1-LeaseUp!IP$10)-IP$14*ModelUnits/TotalUnits</f>
        <v/>
      </c>
      <c r="IQ15" s="218">
        <f>-IQ$14*(1-LeaseUp!IQ$10)-IQ$14*ModelUnits/TotalUnits</f>
        <v/>
      </c>
      <c r="IR15" s="218">
        <f>-IR$14*(1-LeaseUp!IR$10)-IR$14*ModelUnits/TotalUnits</f>
        <v/>
      </c>
      <c r="IS15" s="218">
        <f>-IS$14*(1-LeaseUp!IS$10)-IS$14*ModelUnits/TotalUnits</f>
        <v/>
      </c>
      <c r="IT15" s="218">
        <f>-IT$14*(1-LeaseUp!IT$10)-IT$14*ModelUnits/TotalUnits</f>
        <v/>
      </c>
      <c r="IU15" s="218">
        <f>-IU$14*(1-LeaseUp!IU$10)-IU$14*ModelUnits/TotalUnits</f>
        <v/>
      </c>
      <c r="IV15" s="218">
        <f>-IV$14*(1-LeaseUp!IV$10)-IV$14*ModelUnits/TotalUnits</f>
        <v/>
      </c>
      <c r="IW15" s="218">
        <f>-IW$14*(1-LeaseUp!IW$10)-IW$14*ModelUnits/TotalUnits</f>
        <v/>
      </c>
      <c r="IX15" s="218">
        <f>-IX$14*(1-LeaseUp!IX$10)-IX$14*ModelUnits/TotalUnits</f>
        <v/>
      </c>
      <c r="IY15" s="218">
        <f>-IY$14*(1-LeaseUp!IY$10)-IY$14*ModelUnits/TotalUnits</f>
        <v/>
      </c>
      <c r="IZ15" s="218">
        <f>-IZ$14*(1-LeaseUp!IZ$10)-IZ$14*ModelUnits/TotalUnits</f>
        <v/>
      </c>
      <c r="JA15" s="218">
        <f>-JA$14*(1-LeaseUp!JA$10)-JA$14*ModelUnits/TotalUnits</f>
        <v/>
      </c>
      <c r="JB15" s="218">
        <f>-JB$14*(1-LeaseUp!JB$10)-JB$14*ModelUnits/TotalUnits</f>
        <v/>
      </c>
      <c r="JC15" s="218">
        <f>-JC$14*(1-LeaseUp!JC$10)-JC$14*ModelUnits/TotalUnits</f>
        <v/>
      </c>
      <c r="JD15" s="218">
        <f>-JD$14*(1-LeaseUp!JD$10)-JD$14*ModelUnits/TotalUnits</f>
        <v/>
      </c>
      <c r="JE15" s="218">
        <f>-JE$14*(1-LeaseUp!JE$10)-JE$14*ModelUnits/TotalUnits</f>
        <v/>
      </c>
      <c r="JF15" s="218">
        <f>-JF$14*(1-LeaseUp!JF$10)-JF$14*ModelUnits/TotalUnits</f>
        <v/>
      </c>
      <c r="JG15" s="218">
        <f>-JG$14*(1-LeaseUp!JG$10)-JG$14*ModelUnits/TotalUnits</f>
        <v/>
      </c>
      <c r="JH15" s="218">
        <f>-JH$14*(1-LeaseUp!JH$10)-JH$14*ModelUnits/TotalUnits</f>
        <v/>
      </c>
      <c r="JI15" s="218">
        <f>-JI$14*(1-LeaseUp!JI$10)-JI$14*ModelUnits/TotalUnits</f>
        <v/>
      </c>
      <c r="JJ15" s="218">
        <f>-JJ$14*(1-LeaseUp!JJ$10)-JJ$14*ModelUnits/TotalUnits</f>
        <v/>
      </c>
      <c r="JK15" s="218">
        <f>-JK$14*(1-LeaseUp!JK$10)-JK$14*ModelUnits/TotalUnits</f>
        <v/>
      </c>
      <c r="JL15" s="218">
        <f>-JL$14*(1-LeaseUp!JL$10)-JL$14*ModelUnits/TotalUnits</f>
        <v/>
      </c>
      <c r="JM15" s="218">
        <f>-JM$14*(1-LeaseUp!JM$10)-JM$14*ModelUnits/TotalUnits</f>
        <v/>
      </c>
      <c r="JN15" s="218">
        <f>-JN$14*(1-LeaseUp!JN$10)-JN$14*ModelUnits/TotalUnits</f>
        <v/>
      </c>
      <c r="JO15" s="218">
        <f>-JO$14*(1-LeaseUp!JO$10)-JO$14*ModelUnits/TotalUnits</f>
        <v/>
      </c>
      <c r="JP15" s="218">
        <f>-JP$14*(1-LeaseUp!JP$10)-JP$14*ModelUnits/TotalUnits</f>
        <v/>
      </c>
      <c r="JQ15" s="218">
        <f>-JQ$14*(1-LeaseUp!JQ$10)-JQ$14*ModelUnits/TotalUnits</f>
        <v/>
      </c>
      <c r="JR15" s="218">
        <f>-JR$14*(1-LeaseUp!JR$10)-JR$14*ModelUnits/TotalUnits</f>
        <v/>
      </c>
      <c r="JS15" s="218">
        <f>-JS$14*(1-LeaseUp!JS$10)-JS$14*ModelUnits/TotalUnits</f>
        <v/>
      </c>
      <c r="JT15" s="218">
        <f>-JT$14*(1-LeaseUp!JT$10)-JT$14*ModelUnits/TotalUnits</f>
        <v/>
      </c>
      <c r="JU15" s="218">
        <f>-JU$14*(1-LeaseUp!JU$10)-JU$14*ModelUnits/TotalUnits</f>
        <v/>
      </c>
      <c r="JV15" s="218">
        <f>-JV$14*(1-LeaseUp!JV$10)-JV$14*ModelUnits/TotalUnits</f>
        <v/>
      </c>
      <c r="JW15" s="218">
        <f>-JW$14*(1-LeaseUp!JW$10)-JW$14*ModelUnits/TotalUnits</f>
        <v/>
      </c>
      <c r="JX15" s="218">
        <f>-JX$14*(1-LeaseUp!JX$10)-JX$14*ModelUnits/TotalUnits</f>
        <v/>
      </c>
      <c r="JY15" s="218">
        <f>-JY$14*(1-LeaseUp!JY$10)-JY$14*ModelUnits/TotalUnits</f>
        <v/>
      </c>
      <c r="JZ15" s="218">
        <f>-JZ$14*(1-LeaseUp!JZ$10)-JZ$14*ModelUnits/TotalUnits</f>
        <v/>
      </c>
      <c r="KA15" s="218">
        <f>-KA$14*(1-LeaseUp!KA$10)-KA$14*ModelUnits/TotalUnits</f>
        <v/>
      </c>
      <c r="KB15" s="218">
        <f>-KB$14*(1-LeaseUp!KB$10)-KB$14*ModelUnits/TotalUnits</f>
        <v/>
      </c>
      <c r="KC15" s="218">
        <f>-KC$14*(1-LeaseUp!KC$10)-KC$14*ModelUnits/TotalUnits</f>
        <v/>
      </c>
      <c r="KD15" s="218">
        <f>-KD$14*(1-LeaseUp!KD$10)-KD$14*ModelUnits/TotalUnits</f>
        <v/>
      </c>
      <c r="KE15" s="218">
        <f>-KE$14*(1-LeaseUp!KE$10)-KE$14*ModelUnits/TotalUnits</f>
        <v/>
      </c>
      <c r="KF15" s="218">
        <f>-KF$14*(1-LeaseUp!KF$10)-KF$14*ModelUnits/TotalUnits</f>
        <v/>
      </c>
      <c r="KG15" s="218">
        <f>-KG$14*(1-LeaseUp!KG$10)-KG$14*ModelUnits/TotalUnits</f>
        <v/>
      </c>
      <c r="KH15" s="218">
        <f>-KH$14*(1-LeaseUp!KH$10)-KH$14*ModelUnits/TotalUnits</f>
        <v/>
      </c>
      <c r="KI15" s="218">
        <f>-KI$14*(1-LeaseUp!KI$10)-KI$14*ModelUnits/TotalUnits</f>
        <v/>
      </c>
      <c r="KJ15" s="218">
        <f>-KJ$14*(1-LeaseUp!KJ$10)-KJ$14*ModelUnits/TotalUnits</f>
        <v/>
      </c>
      <c r="KK15" s="218">
        <f>-KK$14*(1-LeaseUp!KK$10)-KK$14*ModelUnits/TotalUnits</f>
        <v/>
      </c>
      <c r="KL15" s="218">
        <f>-KL$14*(1-LeaseUp!KL$10)-KL$14*ModelUnits/TotalUnits</f>
        <v/>
      </c>
      <c r="KM15" s="218">
        <f>-KM$14*(1-LeaseUp!KM$10)-KM$14*ModelUnits/TotalUnits</f>
        <v/>
      </c>
      <c r="KN15" s="218">
        <f>-KN$14*(1-LeaseUp!KN$10)-KN$14*ModelUnits/TotalUnits</f>
        <v/>
      </c>
      <c r="KO15" s="218">
        <f>-KO$14*(1-LeaseUp!KO$10)-KO$14*ModelUnits/TotalUnits</f>
        <v/>
      </c>
      <c r="KP15" s="218">
        <f>-KP$14*(1-LeaseUp!KP$10)-KP$14*ModelUnits/TotalUnits</f>
        <v/>
      </c>
      <c r="KQ15" s="218">
        <f>-KQ$14*(1-LeaseUp!KQ$10)-KQ$14*ModelUnits/TotalUnits</f>
        <v/>
      </c>
      <c r="KR15" s="218">
        <f>-KR$14*(1-LeaseUp!KR$10)-KR$14*ModelUnits/TotalUnits</f>
        <v/>
      </c>
      <c r="KS15" s="218">
        <f>-KS$14*(1-LeaseUp!KS$10)-KS$14*ModelUnits/TotalUnits</f>
        <v/>
      </c>
      <c r="KT15" s="218">
        <f>-KT$14*(1-LeaseUp!KT$10)-KT$14*ModelUnits/TotalUnits</f>
        <v/>
      </c>
      <c r="KU15" s="218">
        <f>-KU$14*(1-LeaseUp!KU$10)-KU$14*ModelUnits/TotalUnits</f>
        <v/>
      </c>
      <c r="KV15" s="218">
        <f>-KV$14*(1-LeaseUp!KV$10)-KV$14*ModelUnits/TotalUnits</f>
        <v/>
      </c>
      <c r="KW15" s="218">
        <f>-KW$14*(1-LeaseUp!KW$10)-KW$14*ModelUnits/TotalUnits</f>
        <v/>
      </c>
      <c r="KX15" s="218">
        <f>-KX$14*(1-LeaseUp!KX$10)-KX$14*ModelUnits/TotalUnits</f>
        <v/>
      </c>
      <c r="KY15" s="218">
        <f>-KY$14*(1-LeaseUp!KY$10)-KY$14*ModelUnits/TotalUnits</f>
        <v/>
      </c>
      <c r="KZ15" s="218">
        <f>-KZ$14*(1-LeaseUp!KZ$10)-KZ$14*ModelUnits/TotalUnits</f>
        <v/>
      </c>
      <c r="LA15" s="218">
        <f>-LA$14*(1-LeaseUp!LA$10)-LA$14*ModelUnits/TotalUnits</f>
        <v/>
      </c>
      <c r="LB15" s="218">
        <f>-LB$14*(1-LeaseUp!LB$10)-LB$14*ModelUnits/TotalUnits</f>
        <v/>
      </c>
      <c r="LC15" s="218">
        <f>-LC$14*(1-LeaseUp!LC$10)-LC$14*ModelUnits/TotalUnits</f>
        <v/>
      </c>
      <c r="LD15" s="218">
        <f>-LD$14*(1-LeaseUp!LD$10)-LD$14*ModelUnits/TotalUnits</f>
        <v/>
      </c>
      <c r="LE15" s="218">
        <f>-LE$14*(1-LeaseUp!LE$10)-LE$14*ModelUnits/TotalUnits</f>
        <v/>
      </c>
      <c r="LF15" s="218">
        <f>-LF$14*(1-LeaseUp!LF$10)-LF$14*ModelUnits/TotalUnits</f>
        <v/>
      </c>
      <c r="LG15" s="218">
        <f>-LG$14*(1-LeaseUp!LG$10)-LG$14*ModelUnits/TotalUnits</f>
        <v/>
      </c>
      <c r="LH15" s="218">
        <f>-LH$14*(1-LeaseUp!LH$10)-LH$14*ModelUnits/TotalUnits</f>
        <v/>
      </c>
      <c r="LI15" s="218">
        <f>-LI$14*(1-LeaseUp!LI$10)-LI$14*ModelUnits/TotalUnits</f>
        <v/>
      </c>
      <c r="LJ15" s="218">
        <f>-LJ$14*(1-LeaseUp!LJ$10)-LJ$14*ModelUnits/TotalUnits</f>
        <v/>
      </c>
      <c r="LK15" s="218">
        <f>-LK$14*(1-LeaseUp!LK$10)-LK$14*ModelUnits/TotalUnits</f>
        <v/>
      </c>
      <c r="LL15" s="218">
        <f>-LL$14*(1-LeaseUp!LL$10)-LL$14*ModelUnits/TotalUnits</f>
        <v/>
      </c>
      <c r="LM15" s="218">
        <f>-LM$14*(1-LeaseUp!LM$10)-LM$14*ModelUnits/TotalUnits</f>
        <v/>
      </c>
      <c r="LN15" s="218">
        <f>-LN$14*(1-LeaseUp!LN$10)-LN$14*ModelUnits/TotalUnits</f>
        <v/>
      </c>
      <c r="LO15" s="218">
        <f>-LO$14*(1-LeaseUp!LO$10)-LO$14*ModelUnits/TotalUnits</f>
        <v/>
      </c>
      <c r="LP15" s="218">
        <f>-LP$14*(1-LeaseUp!LP$10)-LP$14*ModelUnits/TotalUnits</f>
        <v/>
      </c>
      <c r="LQ15" s="218">
        <f>-LQ$14*(1-LeaseUp!LQ$10)-LQ$14*ModelUnits/TotalUnits</f>
        <v/>
      </c>
      <c r="LR15" s="218">
        <f>-LR$14*(1-LeaseUp!LR$10)-LR$14*ModelUnits/TotalUnits</f>
        <v/>
      </c>
      <c r="LS15" s="218">
        <f>-LS$14*(1-LeaseUp!LS$10)-LS$14*ModelUnits/TotalUnits</f>
        <v/>
      </c>
      <c r="LT15" s="218">
        <f>-LT$14*(1-LeaseUp!LT$10)-LT$14*ModelUnits/TotalUnits</f>
        <v/>
      </c>
      <c r="LU15" s="218">
        <f>-LU$14*(1-LeaseUp!LU$10)-LU$14*ModelUnits/TotalUnits</f>
        <v/>
      </c>
      <c r="LV15" s="218">
        <f>-LV$14*(1-LeaseUp!LV$10)-LV$14*ModelUnits/TotalUnits</f>
        <v/>
      </c>
      <c r="LW15" s="218">
        <f>-LW$14*(1-LeaseUp!LW$10)-LW$14*ModelUnits/TotalUnits</f>
        <v/>
      </c>
      <c r="LX15" s="218">
        <f>-LX$14*(1-LeaseUp!LX$10)-LX$14*ModelUnits/TotalUnits</f>
        <v/>
      </c>
      <c r="LY15" s="218">
        <f>-LY$14*(1-LeaseUp!LY$10)-LY$14*ModelUnits/TotalUnits</f>
        <v/>
      </c>
      <c r="LZ15" s="218">
        <f>-LZ$14*(1-LeaseUp!LZ$10)-LZ$14*ModelUnits/TotalUnits</f>
        <v/>
      </c>
      <c r="MA15" s="218">
        <f>-MA$14*(1-LeaseUp!MA$10)-MA$14*ModelUnits/TotalUnits</f>
        <v/>
      </c>
      <c r="MB15" s="218">
        <f>-MB$14*(1-LeaseUp!MB$10)-MB$14*ModelUnits/TotalUnits</f>
        <v/>
      </c>
      <c r="MC15" s="218">
        <f>-MC$14*(1-LeaseUp!MC$10)-MC$14*ModelUnits/TotalUnits</f>
        <v/>
      </c>
      <c r="MD15" s="218">
        <f>-MD$14*(1-LeaseUp!MD$10)-MD$14*ModelUnits/TotalUnits</f>
        <v/>
      </c>
      <c r="ME15" s="218">
        <f>-ME$14*(1-LeaseUp!ME$10)-ME$14*ModelUnits/TotalUnits</f>
        <v/>
      </c>
      <c r="MF15" s="218">
        <f>-MF$14*(1-LeaseUp!MF$10)-MF$14*ModelUnits/TotalUnits</f>
        <v/>
      </c>
      <c r="MG15" s="218">
        <f>-MG$14*(1-LeaseUp!MG$10)-MG$14*ModelUnits/TotalUnits</f>
        <v/>
      </c>
      <c r="MH15" s="218">
        <f>-MH$14*(1-LeaseUp!MH$10)-MH$14*ModelUnits/TotalUnits</f>
        <v/>
      </c>
      <c r="MI15" s="218">
        <f>-MI$14*(1-LeaseUp!MI$10)-MI$14*ModelUnits/TotalUnits</f>
        <v/>
      </c>
      <c r="MJ15" s="218">
        <f>-MJ$14*(1-LeaseUp!MJ$10)-MJ$14*ModelUnits/TotalUnits</f>
        <v/>
      </c>
      <c r="MK15" s="218">
        <f>-MK$14*(1-LeaseUp!MK$10)-MK$14*ModelUnits/TotalUnits</f>
        <v/>
      </c>
      <c r="ML15" s="218">
        <f>-ML$14*(1-LeaseUp!ML$10)-ML$14*ModelUnits/TotalUnits</f>
        <v/>
      </c>
      <c r="MM15" s="218">
        <f>-MM$14*(1-LeaseUp!MM$10)-MM$14*ModelUnits/TotalUnits</f>
        <v/>
      </c>
      <c r="MN15" s="218">
        <f>-MN$14*(1-LeaseUp!MN$10)-MN$14*ModelUnits/TotalUnits</f>
        <v/>
      </c>
      <c r="MO15" s="218">
        <f>-MO$14*(1-LeaseUp!MO$10)-MO$14*ModelUnits/TotalUnits</f>
        <v/>
      </c>
      <c r="MP15" s="218">
        <f>-MP$14*(1-LeaseUp!MP$10)-MP$14*ModelUnits/TotalUnits</f>
        <v/>
      </c>
      <c r="MQ15" s="218">
        <f>-MQ$14*(1-LeaseUp!MQ$10)-MQ$14*ModelUnits/TotalUnits</f>
        <v/>
      </c>
      <c r="MR15" s="218">
        <f>-MR$14*(1-LeaseUp!MR$10)-MR$14*ModelUnits/TotalUnits</f>
        <v/>
      </c>
      <c r="MS15" s="218">
        <f>-MS$14*(1-LeaseUp!MS$10)-MS$14*ModelUnits/TotalUnits</f>
        <v/>
      </c>
      <c r="MT15" s="218">
        <f>-MT$14*(1-LeaseUp!MT$10)-MT$14*ModelUnits/TotalUnits</f>
        <v/>
      </c>
      <c r="MU15" s="218">
        <f>-MU$14*(1-LeaseUp!MU$10)-MU$14*ModelUnits/TotalUnits</f>
        <v/>
      </c>
      <c r="MV15" s="218">
        <f>-MV$14*(1-LeaseUp!MV$10)-MV$14*ModelUnits/TotalUnits</f>
        <v/>
      </c>
      <c r="MW15" s="218">
        <f>-MW$14*(1-LeaseUp!MW$10)-MW$14*ModelUnits/TotalUnits</f>
        <v/>
      </c>
      <c r="MX15" s="218">
        <f>-MX$14*(1-LeaseUp!MX$10)-MX$14*ModelUnits/TotalUnits</f>
        <v/>
      </c>
      <c r="MY15" s="218">
        <f>-MY$14*(1-LeaseUp!MY$10)-MY$14*ModelUnits/TotalUnits</f>
        <v/>
      </c>
      <c r="MZ15" s="218">
        <f>-MZ$14*(1-LeaseUp!MZ$10)-MZ$14*ModelUnits/TotalUnits</f>
        <v/>
      </c>
      <c r="NA15" s="218">
        <f>-NA$14*(1-LeaseUp!NA$10)-NA$14*ModelUnits/TotalUnits</f>
        <v/>
      </c>
      <c r="NB15" s="218">
        <f>-NB$14*(1-LeaseUp!NB$10)-NB$14*ModelUnits/TotalUnits</f>
        <v/>
      </c>
      <c r="NC15" s="218">
        <f>-NC$14*(1-LeaseUp!NC$10)-NC$14*ModelUnits/TotalUnits</f>
        <v/>
      </c>
      <c r="ND15" s="218">
        <f>-ND$14*(1-LeaseUp!ND$10)-ND$14*ModelUnits/TotalUnits</f>
        <v/>
      </c>
      <c r="NE15" s="218">
        <f>-NE$14*(1-LeaseUp!NE$10)-NE$14*ModelUnits/TotalUnits</f>
        <v/>
      </c>
      <c r="NF15" s="218">
        <f>-NF$14*(1-LeaseUp!NF$10)-NF$14*ModelUnits/TotalUnits</f>
        <v/>
      </c>
      <c r="NG15" s="218">
        <f>-NG$14*(1-LeaseUp!NG$10)-NG$14*ModelUnits/TotalUnits</f>
        <v/>
      </c>
      <c r="NH15" s="218">
        <f>-NH$14*(1-LeaseUp!NH$10)-NH$14*ModelUnits/TotalUnits</f>
        <v/>
      </c>
      <c r="NI15" s="218">
        <f>-NI$14*(1-LeaseUp!NI$10)-NI$14*ModelUnits/TotalUnits</f>
        <v/>
      </c>
      <c r="NJ15" s="218">
        <f>-NJ$14*(1-LeaseUp!NJ$10)-NJ$14*ModelUnits/TotalUnits</f>
        <v/>
      </c>
      <c r="NK15" s="218">
        <f>-NK$14*(1-LeaseUp!NK$10)-NK$14*ModelUnits/TotalUnits</f>
        <v/>
      </c>
      <c r="NL15" s="225">
        <f>-NL$14*(1-LeaseUp!NL$10)-NL$14*ModelUnits/TotalUnits</f>
        <v/>
      </c>
    </row>
    <row r="16">
      <c r="B16" s="36" t="inlineStr">
        <is>
          <t>Gain/Loss to Lease</t>
        </is>
      </c>
      <c r="D16" s="266">
        <f>SUM(E16:NL16)</f>
        <v/>
      </c>
      <c r="E16" s="218">
        <f>-E$14*LossToLeasePct</f>
        <v/>
      </c>
      <c r="F16" s="218">
        <f>-F$14*LossToLeasePct</f>
        <v/>
      </c>
      <c r="G16" s="218">
        <f>-G$14*LossToLeasePct</f>
        <v/>
      </c>
      <c r="H16" s="218">
        <f>-H$14*LossToLeasePct</f>
        <v/>
      </c>
      <c r="I16" s="218">
        <f>-I$14*LossToLeasePct</f>
        <v/>
      </c>
      <c r="J16" s="218">
        <f>-J$14*LossToLeasePct</f>
        <v/>
      </c>
      <c r="K16" s="218">
        <f>-K$14*LossToLeasePct</f>
        <v/>
      </c>
      <c r="L16" s="218">
        <f>-L$14*LossToLeasePct</f>
        <v/>
      </c>
      <c r="M16" s="218">
        <f>-M$14*LossToLeasePct</f>
        <v/>
      </c>
      <c r="N16" s="218">
        <f>-N$14*LossToLeasePct</f>
        <v/>
      </c>
      <c r="O16" s="218">
        <f>-O$14*LossToLeasePct</f>
        <v/>
      </c>
      <c r="P16" s="218">
        <f>-P$14*LossToLeasePct</f>
        <v/>
      </c>
      <c r="Q16" s="218">
        <f>-Q$14*LossToLeasePct</f>
        <v/>
      </c>
      <c r="R16" s="218">
        <f>-R$14*LossToLeasePct</f>
        <v/>
      </c>
      <c r="S16" s="218">
        <f>-S$14*LossToLeasePct</f>
        <v/>
      </c>
      <c r="T16" s="218">
        <f>-T$14*LossToLeasePct</f>
        <v/>
      </c>
      <c r="U16" s="218">
        <f>-U$14*LossToLeasePct</f>
        <v/>
      </c>
      <c r="V16" s="218">
        <f>-V$14*LossToLeasePct</f>
        <v/>
      </c>
      <c r="W16" s="218">
        <f>-W$14*LossToLeasePct</f>
        <v/>
      </c>
      <c r="X16" s="218">
        <f>-X$14*LossToLeasePct</f>
        <v/>
      </c>
      <c r="Y16" s="218">
        <f>-Y$14*LossToLeasePct</f>
        <v/>
      </c>
      <c r="Z16" s="218">
        <f>-Z$14*LossToLeasePct</f>
        <v/>
      </c>
      <c r="AA16" s="218">
        <f>-AA$14*LossToLeasePct</f>
        <v/>
      </c>
      <c r="AB16" s="218">
        <f>-AB$14*LossToLeasePct</f>
        <v/>
      </c>
      <c r="AC16" s="218">
        <f>-AC$14*LossToLeasePct</f>
        <v/>
      </c>
      <c r="AD16" s="218">
        <f>-AD$14*LossToLeasePct</f>
        <v/>
      </c>
      <c r="AE16" s="218">
        <f>-AE$14*LossToLeasePct</f>
        <v/>
      </c>
      <c r="AF16" s="218">
        <f>-AF$14*LossToLeasePct</f>
        <v/>
      </c>
      <c r="AG16" s="218">
        <f>-AG$14*LossToLeasePct</f>
        <v/>
      </c>
      <c r="AH16" s="218">
        <f>-AH$14*LossToLeasePct</f>
        <v/>
      </c>
      <c r="AI16" s="218">
        <f>-AI$14*LossToLeasePct</f>
        <v/>
      </c>
      <c r="AJ16" s="218">
        <f>-AJ$14*LossToLeasePct</f>
        <v/>
      </c>
      <c r="AK16" s="218">
        <f>-AK$14*LossToLeasePct</f>
        <v/>
      </c>
      <c r="AL16" s="218">
        <f>-AL$14*LossToLeasePct</f>
        <v/>
      </c>
      <c r="AM16" s="218">
        <f>-AM$14*LossToLeasePct</f>
        <v/>
      </c>
      <c r="AN16" s="218">
        <f>-AN$14*LossToLeasePct</f>
        <v/>
      </c>
      <c r="AO16" s="218">
        <f>-AO$14*LossToLeasePct</f>
        <v/>
      </c>
      <c r="AP16" s="218">
        <f>-AP$14*LossToLeasePct</f>
        <v/>
      </c>
      <c r="AQ16" s="218">
        <f>-AQ$14*LossToLeasePct</f>
        <v/>
      </c>
      <c r="AR16" s="218">
        <f>-AR$14*LossToLeasePct</f>
        <v/>
      </c>
      <c r="AS16" s="218">
        <f>-AS$14*LossToLeasePct</f>
        <v/>
      </c>
      <c r="AT16" s="218">
        <f>-AT$14*LossToLeasePct</f>
        <v/>
      </c>
      <c r="AU16" s="218">
        <f>-AU$14*LossToLeasePct</f>
        <v/>
      </c>
      <c r="AV16" s="218">
        <f>-AV$14*LossToLeasePct</f>
        <v/>
      </c>
      <c r="AW16" s="218">
        <f>-AW$14*LossToLeasePct</f>
        <v/>
      </c>
      <c r="AX16" s="218">
        <f>-AX$14*LossToLeasePct</f>
        <v/>
      </c>
      <c r="AY16" s="218">
        <f>-AY$14*LossToLeasePct</f>
        <v/>
      </c>
      <c r="AZ16" s="218">
        <f>-AZ$14*LossToLeasePct</f>
        <v/>
      </c>
      <c r="BA16" s="218">
        <f>-BA$14*LossToLeasePct</f>
        <v/>
      </c>
      <c r="BB16" s="218">
        <f>-BB$14*LossToLeasePct</f>
        <v/>
      </c>
      <c r="BC16" s="218">
        <f>-BC$14*LossToLeasePct</f>
        <v/>
      </c>
      <c r="BD16" s="218">
        <f>-BD$14*LossToLeasePct</f>
        <v/>
      </c>
      <c r="BE16" s="218">
        <f>-BE$14*LossToLeasePct</f>
        <v/>
      </c>
      <c r="BF16" s="218">
        <f>-BF$14*LossToLeasePct</f>
        <v/>
      </c>
      <c r="BG16" s="218">
        <f>-BG$14*LossToLeasePct</f>
        <v/>
      </c>
      <c r="BH16" s="218">
        <f>-BH$14*LossToLeasePct</f>
        <v/>
      </c>
      <c r="BI16" s="218">
        <f>-BI$14*LossToLeasePct</f>
        <v/>
      </c>
      <c r="BJ16" s="218">
        <f>-BJ$14*LossToLeasePct</f>
        <v/>
      </c>
      <c r="BK16" s="218">
        <f>-BK$14*LossToLeasePct</f>
        <v/>
      </c>
      <c r="BL16" s="218">
        <f>-BL$14*LossToLeasePct</f>
        <v/>
      </c>
      <c r="BM16" s="218">
        <f>-BM$14*LossToLeasePct</f>
        <v/>
      </c>
      <c r="BN16" s="218">
        <f>-BN$14*LossToLeasePct</f>
        <v/>
      </c>
      <c r="BO16" s="218">
        <f>-BO$14*LossToLeasePct</f>
        <v/>
      </c>
      <c r="BP16" s="218">
        <f>-BP$14*LossToLeasePct</f>
        <v/>
      </c>
      <c r="BQ16" s="218">
        <f>-BQ$14*LossToLeasePct</f>
        <v/>
      </c>
      <c r="BR16" s="218">
        <f>-BR$14*LossToLeasePct</f>
        <v/>
      </c>
      <c r="BS16" s="218">
        <f>-BS$14*LossToLeasePct</f>
        <v/>
      </c>
      <c r="BT16" s="218">
        <f>-BT$14*LossToLeasePct</f>
        <v/>
      </c>
      <c r="BU16" s="218">
        <f>-BU$14*LossToLeasePct</f>
        <v/>
      </c>
      <c r="BV16" s="218">
        <f>-BV$14*LossToLeasePct</f>
        <v/>
      </c>
      <c r="BW16" s="218">
        <f>-BW$14*LossToLeasePct</f>
        <v/>
      </c>
      <c r="BX16" s="218">
        <f>-BX$14*LossToLeasePct</f>
        <v/>
      </c>
      <c r="BY16" s="218">
        <f>-BY$14*LossToLeasePct</f>
        <v/>
      </c>
      <c r="BZ16" s="218">
        <f>-BZ$14*LossToLeasePct</f>
        <v/>
      </c>
      <c r="CA16" s="218">
        <f>-CA$14*LossToLeasePct</f>
        <v/>
      </c>
      <c r="CB16" s="218">
        <f>-CB$14*LossToLeasePct</f>
        <v/>
      </c>
      <c r="CC16" s="218">
        <f>-CC$14*LossToLeasePct</f>
        <v/>
      </c>
      <c r="CD16" s="218">
        <f>-CD$14*LossToLeasePct</f>
        <v/>
      </c>
      <c r="CE16" s="218">
        <f>-CE$14*LossToLeasePct</f>
        <v/>
      </c>
      <c r="CF16" s="218">
        <f>-CF$14*LossToLeasePct</f>
        <v/>
      </c>
      <c r="CG16" s="218">
        <f>-CG$14*LossToLeasePct</f>
        <v/>
      </c>
      <c r="CH16" s="218">
        <f>-CH$14*LossToLeasePct</f>
        <v/>
      </c>
      <c r="CI16" s="218">
        <f>-CI$14*LossToLeasePct</f>
        <v/>
      </c>
      <c r="CJ16" s="218">
        <f>-CJ$14*LossToLeasePct</f>
        <v/>
      </c>
      <c r="CK16" s="218">
        <f>-CK$14*LossToLeasePct</f>
        <v/>
      </c>
      <c r="CL16" s="218">
        <f>-CL$14*LossToLeasePct</f>
        <v/>
      </c>
      <c r="CM16" s="218">
        <f>-CM$14*LossToLeasePct</f>
        <v/>
      </c>
      <c r="CN16" s="218">
        <f>-CN$14*LossToLeasePct</f>
        <v/>
      </c>
      <c r="CO16" s="218">
        <f>-CO$14*LossToLeasePct</f>
        <v/>
      </c>
      <c r="CP16" s="218">
        <f>-CP$14*LossToLeasePct</f>
        <v/>
      </c>
      <c r="CQ16" s="218">
        <f>-CQ$14*LossToLeasePct</f>
        <v/>
      </c>
      <c r="CR16" s="218">
        <f>-CR$14*LossToLeasePct</f>
        <v/>
      </c>
      <c r="CS16" s="218">
        <f>-CS$14*LossToLeasePct</f>
        <v/>
      </c>
      <c r="CT16" s="218">
        <f>-CT$14*LossToLeasePct</f>
        <v/>
      </c>
      <c r="CU16" s="218">
        <f>-CU$14*LossToLeasePct</f>
        <v/>
      </c>
      <c r="CV16" s="218">
        <f>-CV$14*LossToLeasePct</f>
        <v/>
      </c>
      <c r="CW16" s="218">
        <f>-CW$14*LossToLeasePct</f>
        <v/>
      </c>
      <c r="CX16" s="218">
        <f>-CX$14*LossToLeasePct</f>
        <v/>
      </c>
      <c r="CY16" s="218">
        <f>-CY$14*LossToLeasePct</f>
        <v/>
      </c>
      <c r="CZ16" s="218">
        <f>-CZ$14*LossToLeasePct</f>
        <v/>
      </c>
      <c r="DA16" s="218">
        <f>-DA$14*LossToLeasePct</f>
        <v/>
      </c>
      <c r="DB16" s="218">
        <f>-DB$14*LossToLeasePct</f>
        <v/>
      </c>
      <c r="DC16" s="218">
        <f>-DC$14*LossToLeasePct</f>
        <v/>
      </c>
      <c r="DD16" s="218">
        <f>-DD$14*LossToLeasePct</f>
        <v/>
      </c>
      <c r="DE16" s="218">
        <f>-DE$14*LossToLeasePct</f>
        <v/>
      </c>
      <c r="DF16" s="218">
        <f>-DF$14*LossToLeasePct</f>
        <v/>
      </c>
      <c r="DG16" s="218">
        <f>-DG$14*LossToLeasePct</f>
        <v/>
      </c>
      <c r="DH16" s="218">
        <f>-DH$14*LossToLeasePct</f>
        <v/>
      </c>
      <c r="DI16" s="218">
        <f>-DI$14*LossToLeasePct</f>
        <v/>
      </c>
      <c r="DJ16" s="218">
        <f>-DJ$14*LossToLeasePct</f>
        <v/>
      </c>
      <c r="DK16" s="218">
        <f>-DK$14*LossToLeasePct</f>
        <v/>
      </c>
      <c r="DL16" s="218">
        <f>-DL$14*LossToLeasePct</f>
        <v/>
      </c>
      <c r="DM16" s="218">
        <f>-DM$14*LossToLeasePct</f>
        <v/>
      </c>
      <c r="DN16" s="218">
        <f>-DN$14*LossToLeasePct</f>
        <v/>
      </c>
      <c r="DO16" s="218">
        <f>-DO$14*LossToLeasePct</f>
        <v/>
      </c>
      <c r="DP16" s="218">
        <f>-DP$14*LossToLeasePct</f>
        <v/>
      </c>
      <c r="DQ16" s="218">
        <f>-DQ$14*LossToLeasePct</f>
        <v/>
      </c>
      <c r="DR16" s="218">
        <f>-DR$14*LossToLeasePct</f>
        <v/>
      </c>
      <c r="DS16" s="218">
        <f>-DS$14*LossToLeasePct</f>
        <v/>
      </c>
      <c r="DT16" s="218">
        <f>-DT$14*LossToLeasePct</f>
        <v/>
      </c>
      <c r="DU16" s="218">
        <f>-DU$14*LossToLeasePct</f>
        <v/>
      </c>
      <c r="DV16" s="218">
        <f>-DV$14*LossToLeasePct</f>
        <v/>
      </c>
      <c r="DW16" s="218">
        <f>-DW$14*LossToLeasePct</f>
        <v/>
      </c>
      <c r="DX16" s="218">
        <f>-DX$14*LossToLeasePct</f>
        <v/>
      </c>
      <c r="DY16" s="218">
        <f>-DY$14*LossToLeasePct</f>
        <v/>
      </c>
      <c r="DZ16" s="218">
        <f>-DZ$14*LossToLeasePct</f>
        <v/>
      </c>
      <c r="EA16" s="218">
        <f>-EA$14*LossToLeasePct</f>
        <v/>
      </c>
      <c r="EB16" s="218">
        <f>-EB$14*LossToLeasePct</f>
        <v/>
      </c>
      <c r="EC16" s="218">
        <f>-EC$14*LossToLeasePct</f>
        <v/>
      </c>
      <c r="ED16" s="218">
        <f>-ED$14*LossToLeasePct</f>
        <v/>
      </c>
      <c r="EE16" s="218">
        <f>-EE$14*LossToLeasePct</f>
        <v/>
      </c>
      <c r="EF16" s="218">
        <f>-EF$14*LossToLeasePct</f>
        <v/>
      </c>
      <c r="EG16" s="218">
        <f>-EG$14*LossToLeasePct</f>
        <v/>
      </c>
      <c r="EH16" s="218">
        <f>-EH$14*LossToLeasePct</f>
        <v/>
      </c>
      <c r="EI16" s="218">
        <f>-EI$14*LossToLeasePct</f>
        <v/>
      </c>
      <c r="EJ16" s="218">
        <f>-EJ$14*LossToLeasePct</f>
        <v/>
      </c>
      <c r="EK16" s="218">
        <f>-EK$14*LossToLeasePct</f>
        <v/>
      </c>
      <c r="EL16" s="218">
        <f>-EL$14*LossToLeasePct</f>
        <v/>
      </c>
      <c r="EM16" s="218">
        <f>-EM$14*LossToLeasePct</f>
        <v/>
      </c>
      <c r="EN16" s="218">
        <f>-EN$14*LossToLeasePct</f>
        <v/>
      </c>
      <c r="EO16" s="218">
        <f>-EO$14*LossToLeasePct</f>
        <v/>
      </c>
      <c r="EP16" s="218">
        <f>-EP$14*LossToLeasePct</f>
        <v/>
      </c>
      <c r="EQ16" s="218">
        <f>-EQ$14*LossToLeasePct</f>
        <v/>
      </c>
      <c r="ER16" s="218">
        <f>-ER$14*LossToLeasePct</f>
        <v/>
      </c>
      <c r="ES16" s="218">
        <f>-ES$14*LossToLeasePct</f>
        <v/>
      </c>
      <c r="ET16" s="218">
        <f>-ET$14*LossToLeasePct</f>
        <v/>
      </c>
      <c r="EU16" s="218">
        <f>-EU$14*LossToLeasePct</f>
        <v/>
      </c>
      <c r="EV16" s="218">
        <f>-EV$14*LossToLeasePct</f>
        <v/>
      </c>
      <c r="EW16" s="218">
        <f>-EW$14*LossToLeasePct</f>
        <v/>
      </c>
      <c r="EX16" s="218">
        <f>-EX$14*LossToLeasePct</f>
        <v/>
      </c>
      <c r="EY16" s="218">
        <f>-EY$14*LossToLeasePct</f>
        <v/>
      </c>
      <c r="EZ16" s="218">
        <f>-EZ$14*LossToLeasePct</f>
        <v/>
      </c>
      <c r="FA16" s="218">
        <f>-FA$14*LossToLeasePct</f>
        <v/>
      </c>
      <c r="FB16" s="218">
        <f>-FB$14*LossToLeasePct</f>
        <v/>
      </c>
      <c r="FC16" s="218">
        <f>-FC$14*LossToLeasePct</f>
        <v/>
      </c>
      <c r="FD16" s="218">
        <f>-FD$14*LossToLeasePct</f>
        <v/>
      </c>
      <c r="FE16" s="218">
        <f>-FE$14*LossToLeasePct</f>
        <v/>
      </c>
      <c r="FF16" s="218">
        <f>-FF$14*LossToLeasePct</f>
        <v/>
      </c>
      <c r="FG16" s="218">
        <f>-FG$14*LossToLeasePct</f>
        <v/>
      </c>
      <c r="FH16" s="218">
        <f>-FH$14*LossToLeasePct</f>
        <v/>
      </c>
      <c r="FI16" s="218">
        <f>-FI$14*LossToLeasePct</f>
        <v/>
      </c>
      <c r="FJ16" s="218">
        <f>-FJ$14*LossToLeasePct</f>
        <v/>
      </c>
      <c r="FK16" s="218">
        <f>-FK$14*LossToLeasePct</f>
        <v/>
      </c>
      <c r="FL16" s="218">
        <f>-FL$14*LossToLeasePct</f>
        <v/>
      </c>
      <c r="FM16" s="218">
        <f>-FM$14*LossToLeasePct</f>
        <v/>
      </c>
      <c r="FN16" s="218">
        <f>-FN$14*LossToLeasePct</f>
        <v/>
      </c>
      <c r="FO16" s="218">
        <f>-FO$14*LossToLeasePct</f>
        <v/>
      </c>
      <c r="FP16" s="218">
        <f>-FP$14*LossToLeasePct</f>
        <v/>
      </c>
      <c r="FQ16" s="218">
        <f>-FQ$14*LossToLeasePct</f>
        <v/>
      </c>
      <c r="FR16" s="218">
        <f>-FR$14*LossToLeasePct</f>
        <v/>
      </c>
      <c r="FS16" s="218">
        <f>-FS$14*LossToLeasePct</f>
        <v/>
      </c>
      <c r="FT16" s="218">
        <f>-FT$14*LossToLeasePct</f>
        <v/>
      </c>
      <c r="FU16" s="218">
        <f>-FU$14*LossToLeasePct</f>
        <v/>
      </c>
      <c r="FV16" s="218">
        <f>-FV$14*LossToLeasePct</f>
        <v/>
      </c>
      <c r="FW16" s="218">
        <f>-FW$14*LossToLeasePct</f>
        <v/>
      </c>
      <c r="FX16" s="218">
        <f>-FX$14*LossToLeasePct</f>
        <v/>
      </c>
      <c r="FY16" s="218">
        <f>-FY$14*LossToLeasePct</f>
        <v/>
      </c>
      <c r="FZ16" s="218">
        <f>-FZ$14*LossToLeasePct</f>
        <v/>
      </c>
      <c r="GA16" s="218">
        <f>-GA$14*LossToLeasePct</f>
        <v/>
      </c>
      <c r="GB16" s="218">
        <f>-GB$14*LossToLeasePct</f>
        <v/>
      </c>
      <c r="GC16" s="218">
        <f>-GC$14*LossToLeasePct</f>
        <v/>
      </c>
      <c r="GD16" s="218">
        <f>-GD$14*LossToLeasePct</f>
        <v/>
      </c>
      <c r="GE16" s="218">
        <f>-GE$14*LossToLeasePct</f>
        <v/>
      </c>
      <c r="GF16" s="218">
        <f>-GF$14*LossToLeasePct</f>
        <v/>
      </c>
      <c r="GG16" s="218">
        <f>-GG$14*LossToLeasePct</f>
        <v/>
      </c>
      <c r="GH16" s="218">
        <f>-GH$14*LossToLeasePct</f>
        <v/>
      </c>
      <c r="GI16" s="218">
        <f>-GI$14*LossToLeasePct</f>
        <v/>
      </c>
      <c r="GJ16" s="218">
        <f>-GJ$14*LossToLeasePct</f>
        <v/>
      </c>
      <c r="GK16" s="218">
        <f>-GK$14*LossToLeasePct</f>
        <v/>
      </c>
      <c r="GL16" s="218">
        <f>-GL$14*LossToLeasePct</f>
        <v/>
      </c>
      <c r="GM16" s="218">
        <f>-GM$14*LossToLeasePct</f>
        <v/>
      </c>
      <c r="GN16" s="218">
        <f>-GN$14*LossToLeasePct</f>
        <v/>
      </c>
      <c r="GO16" s="218">
        <f>-GO$14*LossToLeasePct</f>
        <v/>
      </c>
      <c r="GP16" s="218">
        <f>-GP$14*LossToLeasePct</f>
        <v/>
      </c>
      <c r="GQ16" s="218">
        <f>-GQ$14*LossToLeasePct</f>
        <v/>
      </c>
      <c r="GR16" s="218">
        <f>-GR$14*LossToLeasePct</f>
        <v/>
      </c>
      <c r="GS16" s="218">
        <f>-GS$14*LossToLeasePct</f>
        <v/>
      </c>
      <c r="GT16" s="218">
        <f>-GT$14*LossToLeasePct</f>
        <v/>
      </c>
      <c r="GU16" s="218">
        <f>-GU$14*LossToLeasePct</f>
        <v/>
      </c>
      <c r="GV16" s="218">
        <f>-GV$14*LossToLeasePct</f>
        <v/>
      </c>
      <c r="GW16" s="218">
        <f>-GW$14*LossToLeasePct</f>
        <v/>
      </c>
      <c r="GX16" s="218">
        <f>-GX$14*LossToLeasePct</f>
        <v/>
      </c>
      <c r="GY16" s="218">
        <f>-GY$14*LossToLeasePct</f>
        <v/>
      </c>
      <c r="GZ16" s="218">
        <f>-GZ$14*LossToLeasePct</f>
        <v/>
      </c>
      <c r="HA16" s="218">
        <f>-HA$14*LossToLeasePct</f>
        <v/>
      </c>
      <c r="HB16" s="218">
        <f>-HB$14*LossToLeasePct</f>
        <v/>
      </c>
      <c r="HC16" s="218">
        <f>-HC$14*LossToLeasePct</f>
        <v/>
      </c>
      <c r="HD16" s="218">
        <f>-HD$14*LossToLeasePct</f>
        <v/>
      </c>
      <c r="HE16" s="218">
        <f>-HE$14*LossToLeasePct</f>
        <v/>
      </c>
      <c r="HF16" s="218">
        <f>-HF$14*LossToLeasePct</f>
        <v/>
      </c>
      <c r="HG16" s="218">
        <f>-HG$14*LossToLeasePct</f>
        <v/>
      </c>
      <c r="HH16" s="218">
        <f>-HH$14*LossToLeasePct</f>
        <v/>
      </c>
      <c r="HI16" s="218">
        <f>-HI$14*LossToLeasePct</f>
        <v/>
      </c>
      <c r="HJ16" s="218">
        <f>-HJ$14*LossToLeasePct</f>
        <v/>
      </c>
      <c r="HK16" s="218">
        <f>-HK$14*LossToLeasePct</f>
        <v/>
      </c>
      <c r="HL16" s="218">
        <f>-HL$14*LossToLeasePct</f>
        <v/>
      </c>
      <c r="HM16" s="218">
        <f>-HM$14*LossToLeasePct</f>
        <v/>
      </c>
      <c r="HN16" s="218">
        <f>-HN$14*LossToLeasePct</f>
        <v/>
      </c>
      <c r="HO16" s="218">
        <f>-HO$14*LossToLeasePct</f>
        <v/>
      </c>
      <c r="HP16" s="218">
        <f>-HP$14*LossToLeasePct</f>
        <v/>
      </c>
      <c r="HQ16" s="218">
        <f>-HQ$14*LossToLeasePct</f>
        <v/>
      </c>
      <c r="HR16" s="218">
        <f>-HR$14*LossToLeasePct</f>
        <v/>
      </c>
      <c r="HS16" s="218">
        <f>-HS$14*LossToLeasePct</f>
        <v/>
      </c>
      <c r="HT16" s="218">
        <f>-HT$14*LossToLeasePct</f>
        <v/>
      </c>
      <c r="HU16" s="218">
        <f>-HU$14*LossToLeasePct</f>
        <v/>
      </c>
      <c r="HV16" s="218">
        <f>-HV$14*LossToLeasePct</f>
        <v/>
      </c>
      <c r="HW16" s="218">
        <f>-HW$14*LossToLeasePct</f>
        <v/>
      </c>
      <c r="HX16" s="218">
        <f>-HX$14*LossToLeasePct</f>
        <v/>
      </c>
      <c r="HY16" s="218">
        <f>-HY$14*LossToLeasePct</f>
        <v/>
      </c>
      <c r="HZ16" s="218">
        <f>-HZ$14*LossToLeasePct</f>
        <v/>
      </c>
      <c r="IA16" s="218">
        <f>-IA$14*LossToLeasePct</f>
        <v/>
      </c>
      <c r="IB16" s="218">
        <f>-IB$14*LossToLeasePct</f>
        <v/>
      </c>
      <c r="IC16" s="218">
        <f>-IC$14*LossToLeasePct</f>
        <v/>
      </c>
      <c r="ID16" s="218">
        <f>-ID$14*LossToLeasePct</f>
        <v/>
      </c>
      <c r="IE16" s="218">
        <f>-IE$14*LossToLeasePct</f>
        <v/>
      </c>
      <c r="IF16" s="218">
        <f>-IF$14*LossToLeasePct</f>
        <v/>
      </c>
      <c r="IG16" s="218">
        <f>-IG$14*LossToLeasePct</f>
        <v/>
      </c>
      <c r="IH16" s="218">
        <f>-IH$14*LossToLeasePct</f>
        <v/>
      </c>
      <c r="II16" s="218">
        <f>-II$14*LossToLeasePct</f>
        <v/>
      </c>
      <c r="IJ16" s="218">
        <f>-IJ$14*LossToLeasePct</f>
        <v/>
      </c>
      <c r="IK16" s="218">
        <f>-IK$14*LossToLeasePct</f>
        <v/>
      </c>
      <c r="IL16" s="218">
        <f>-IL$14*LossToLeasePct</f>
        <v/>
      </c>
      <c r="IM16" s="218">
        <f>-IM$14*LossToLeasePct</f>
        <v/>
      </c>
      <c r="IN16" s="218">
        <f>-IN$14*LossToLeasePct</f>
        <v/>
      </c>
      <c r="IO16" s="218">
        <f>-IO$14*LossToLeasePct</f>
        <v/>
      </c>
      <c r="IP16" s="218">
        <f>-IP$14*LossToLeasePct</f>
        <v/>
      </c>
      <c r="IQ16" s="218">
        <f>-IQ$14*LossToLeasePct</f>
        <v/>
      </c>
      <c r="IR16" s="218">
        <f>-IR$14*LossToLeasePct</f>
        <v/>
      </c>
      <c r="IS16" s="218">
        <f>-IS$14*LossToLeasePct</f>
        <v/>
      </c>
      <c r="IT16" s="218">
        <f>-IT$14*LossToLeasePct</f>
        <v/>
      </c>
      <c r="IU16" s="218">
        <f>-IU$14*LossToLeasePct</f>
        <v/>
      </c>
      <c r="IV16" s="218">
        <f>-IV$14*LossToLeasePct</f>
        <v/>
      </c>
      <c r="IW16" s="218">
        <f>-IW$14*LossToLeasePct</f>
        <v/>
      </c>
      <c r="IX16" s="218">
        <f>-IX$14*LossToLeasePct</f>
        <v/>
      </c>
      <c r="IY16" s="218">
        <f>-IY$14*LossToLeasePct</f>
        <v/>
      </c>
      <c r="IZ16" s="218">
        <f>-IZ$14*LossToLeasePct</f>
        <v/>
      </c>
      <c r="JA16" s="218">
        <f>-JA$14*LossToLeasePct</f>
        <v/>
      </c>
      <c r="JB16" s="218">
        <f>-JB$14*LossToLeasePct</f>
        <v/>
      </c>
      <c r="JC16" s="218">
        <f>-JC$14*LossToLeasePct</f>
        <v/>
      </c>
      <c r="JD16" s="218">
        <f>-JD$14*LossToLeasePct</f>
        <v/>
      </c>
      <c r="JE16" s="218">
        <f>-JE$14*LossToLeasePct</f>
        <v/>
      </c>
      <c r="JF16" s="218">
        <f>-JF$14*LossToLeasePct</f>
        <v/>
      </c>
      <c r="JG16" s="218">
        <f>-JG$14*LossToLeasePct</f>
        <v/>
      </c>
      <c r="JH16" s="218">
        <f>-JH$14*LossToLeasePct</f>
        <v/>
      </c>
      <c r="JI16" s="218">
        <f>-JI$14*LossToLeasePct</f>
        <v/>
      </c>
      <c r="JJ16" s="218">
        <f>-JJ$14*LossToLeasePct</f>
        <v/>
      </c>
      <c r="JK16" s="218">
        <f>-JK$14*LossToLeasePct</f>
        <v/>
      </c>
      <c r="JL16" s="218">
        <f>-JL$14*LossToLeasePct</f>
        <v/>
      </c>
      <c r="JM16" s="218">
        <f>-JM$14*LossToLeasePct</f>
        <v/>
      </c>
      <c r="JN16" s="218">
        <f>-JN$14*LossToLeasePct</f>
        <v/>
      </c>
      <c r="JO16" s="218">
        <f>-JO$14*LossToLeasePct</f>
        <v/>
      </c>
      <c r="JP16" s="218">
        <f>-JP$14*LossToLeasePct</f>
        <v/>
      </c>
      <c r="JQ16" s="218">
        <f>-JQ$14*LossToLeasePct</f>
        <v/>
      </c>
      <c r="JR16" s="218">
        <f>-JR$14*LossToLeasePct</f>
        <v/>
      </c>
      <c r="JS16" s="218">
        <f>-JS$14*LossToLeasePct</f>
        <v/>
      </c>
      <c r="JT16" s="218">
        <f>-JT$14*LossToLeasePct</f>
        <v/>
      </c>
      <c r="JU16" s="218">
        <f>-JU$14*LossToLeasePct</f>
        <v/>
      </c>
      <c r="JV16" s="218">
        <f>-JV$14*LossToLeasePct</f>
        <v/>
      </c>
      <c r="JW16" s="218">
        <f>-JW$14*LossToLeasePct</f>
        <v/>
      </c>
      <c r="JX16" s="218">
        <f>-JX$14*LossToLeasePct</f>
        <v/>
      </c>
      <c r="JY16" s="218">
        <f>-JY$14*LossToLeasePct</f>
        <v/>
      </c>
      <c r="JZ16" s="218">
        <f>-JZ$14*LossToLeasePct</f>
        <v/>
      </c>
      <c r="KA16" s="218">
        <f>-KA$14*LossToLeasePct</f>
        <v/>
      </c>
      <c r="KB16" s="218">
        <f>-KB$14*LossToLeasePct</f>
        <v/>
      </c>
      <c r="KC16" s="218">
        <f>-KC$14*LossToLeasePct</f>
        <v/>
      </c>
      <c r="KD16" s="218">
        <f>-KD$14*LossToLeasePct</f>
        <v/>
      </c>
      <c r="KE16" s="218">
        <f>-KE$14*LossToLeasePct</f>
        <v/>
      </c>
      <c r="KF16" s="218">
        <f>-KF$14*LossToLeasePct</f>
        <v/>
      </c>
      <c r="KG16" s="218">
        <f>-KG$14*LossToLeasePct</f>
        <v/>
      </c>
      <c r="KH16" s="218">
        <f>-KH$14*LossToLeasePct</f>
        <v/>
      </c>
      <c r="KI16" s="218">
        <f>-KI$14*LossToLeasePct</f>
        <v/>
      </c>
      <c r="KJ16" s="218">
        <f>-KJ$14*LossToLeasePct</f>
        <v/>
      </c>
      <c r="KK16" s="218">
        <f>-KK$14*LossToLeasePct</f>
        <v/>
      </c>
      <c r="KL16" s="218">
        <f>-KL$14*LossToLeasePct</f>
        <v/>
      </c>
      <c r="KM16" s="218">
        <f>-KM$14*LossToLeasePct</f>
        <v/>
      </c>
      <c r="KN16" s="218">
        <f>-KN$14*LossToLeasePct</f>
        <v/>
      </c>
      <c r="KO16" s="218">
        <f>-KO$14*LossToLeasePct</f>
        <v/>
      </c>
      <c r="KP16" s="218">
        <f>-KP$14*LossToLeasePct</f>
        <v/>
      </c>
      <c r="KQ16" s="218">
        <f>-KQ$14*LossToLeasePct</f>
        <v/>
      </c>
      <c r="KR16" s="218">
        <f>-KR$14*LossToLeasePct</f>
        <v/>
      </c>
      <c r="KS16" s="218">
        <f>-KS$14*LossToLeasePct</f>
        <v/>
      </c>
      <c r="KT16" s="218">
        <f>-KT$14*LossToLeasePct</f>
        <v/>
      </c>
      <c r="KU16" s="218">
        <f>-KU$14*LossToLeasePct</f>
        <v/>
      </c>
      <c r="KV16" s="218">
        <f>-KV$14*LossToLeasePct</f>
        <v/>
      </c>
      <c r="KW16" s="218">
        <f>-KW$14*LossToLeasePct</f>
        <v/>
      </c>
      <c r="KX16" s="218">
        <f>-KX$14*LossToLeasePct</f>
        <v/>
      </c>
      <c r="KY16" s="218">
        <f>-KY$14*LossToLeasePct</f>
        <v/>
      </c>
      <c r="KZ16" s="218">
        <f>-KZ$14*LossToLeasePct</f>
        <v/>
      </c>
      <c r="LA16" s="218">
        <f>-LA$14*LossToLeasePct</f>
        <v/>
      </c>
      <c r="LB16" s="218">
        <f>-LB$14*LossToLeasePct</f>
        <v/>
      </c>
      <c r="LC16" s="218">
        <f>-LC$14*LossToLeasePct</f>
        <v/>
      </c>
      <c r="LD16" s="218">
        <f>-LD$14*LossToLeasePct</f>
        <v/>
      </c>
      <c r="LE16" s="218">
        <f>-LE$14*LossToLeasePct</f>
        <v/>
      </c>
      <c r="LF16" s="218">
        <f>-LF$14*LossToLeasePct</f>
        <v/>
      </c>
      <c r="LG16" s="218">
        <f>-LG$14*LossToLeasePct</f>
        <v/>
      </c>
      <c r="LH16" s="218">
        <f>-LH$14*LossToLeasePct</f>
        <v/>
      </c>
      <c r="LI16" s="218">
        <f>-LI$14*LossToLeasePct</f>
        <v/>
      </c>
      <c r="LJ16" s="218">
        <f>-LJ$14*LossToLeasePct</f>
        <v/>
      </c>
      <c r="LK16" s="218">
        <f>-LK$14*LossToLeasePct</f>
        <v/>
      </c>
      <c r="LL16" s="218">
        <f>-LL$14*LossToLeasePct</f>
        <v/>
      </c>
      <c r="LM16" s="218">
        <f>-LM$14*LossToLeasePct</f>
        <v/>
      </c>
      <c r="LN16" s="218">
        <f>-LN$14*LossToLeasePct</f>
        <v/>
      </c>
      <c r="LO16" s="218">
        <f>-LO$14*LossToLeasePct</f>
        <v/>
      </c>
      <c r="LP16" s="218">
        <f>-LP$14*LossToLeasePct</f>
        <v/>
      </c>
      <c r="LQ16" s="218">
        <f>-LQ$14*LossToLeasePct</f>
        <v/>
      </c>
      <c r="LR16" s="218">
        <f>-LR$14*LossToLeasePct</f>
        <v/>
      </c>
      <c r="LS16" s="218">
        <f>-LS$14*LossToLeasePct</f>
        <v/>
      </c>
      <c r="LT16" s="218">
        <f>-LT$14*LossToLeasePct</f>
        <v/>
      </c>
      <c r="LU16" s="218">
        <f>-LU$14*LossToLeasePct</f>
        <v/>
      </c>
      <c r="LV16" s="218">
        <f>-LV$14*LossToLeasePct</f>
        <v/>
      </c>
      <c r="LW16" s="218">
        <f>-LW$14*LossToLeasePct</f>
        <v/>
      </c>
      <c r="LX16" s="218">
        <f>-LX$14*LossToLeasePct</f>
        <v/>
      </c>
      <c r="LY16" s="218">
        <f>-LY$14*LossToLeasePct</f>
        <v/>
      </c>
      <c r="LZ16" s="218">
        <f>-LZ$14*LossToLeasePct</f>
        <v/>
      </c>
      <c r="MA16" s="218">
        <f>-MA$14*LossToLeasePct</f>
        <v/>
      </c>
      <c r="MB16" s="218">
        <f>-MB$14*LossToLeasePct</f>
        <v/>
      </c>
      <c r="MC16" s="218">
        <f>-MC$14*LossToLeasePct</f>
        <v/>
      </c>
      <c r="MD16" s="218">
        <f>-MD$14*LossToLeasePct</f>
        <v/>
      </c>
      <c r="ME16" s="218">
        <f>-ME$14*LossToLeasePct</f>
        <v/>
      </c>
      <c r="MF16" s="218">
        <f>-MF$14*LossToLeasePct</f>
        <v/>
      </c>
      <c r="MG16" s="218">
        <f>-MG$14*LossToLeasePct</f>
        <v/>
      </c>
      <c r="MH16" s="218">
        <f>-MH$14*LossToLeasePct</f>
        <v/>
      </c>
      <c r="MI16" s="218">
        <f>-MI$14*LossToLeasePct</f>
        <v/>
      </c>
      <c r="MJ16" s="218">
        <f>-MJ$14*LossToLeasePct</f>
        <v/>
      </c>
      <c r="MK16" s="218">
        <f>-MK$14*LossToLeasePct</f>
        <v/>
      </c>
      <c r="ML16" s="218">
        <f>-ML$14*LossToLeasePct</f>
        <v/>
      </c>
      <c r="MM16" s="218">
        <f>-MM$14*LossToLeasePct</f>
        <v/>
      </c>
      <c r="MN16" s="218">
        <f>-MN$14*LossToLeasePct</f>
        <v/>
      </c>
      <c r="MO16" s="218">
        <f>-MO$14*LossToLeasePct</f>
        <v/>
      </c>
      <c r="MP16" s="218">
        <f>-MP$14*LossToLeasePct</f>
        <v/>
      </c>
      <c r="MQ16" s="218">
        <f>-MQ$14*LossToLeasePct</f>
        <v/>
      </c>
      <c r="MR16" s="218">
        <f>-MR$14*LossToLeasePct</f>
        <v/>
      </c>
      <c r="MS16" s="218">
        <f>-MS$14*LossToLeasePct</f>
        <v/>
      </c>
      <c r="MT16" s="218">
        <f>-MT$14*LossToLeasePct</f>
        <v/>
      </c>
      <c r="MU16" s="218">
        <f>-MU$14*LossToLeasePct</f>
        <v/>
      </c>
      <c r="MV16" s="218">
        <f>-MV$14*LossToLeasePct</f>
        <v/>
      </c>
      <c r="MW16" s="218">
        <f>-MW$14*LossToLeasePct</f>
        <v/>
      </c>
      <c r="MX16" s="218">
        <f>-MX$14*LossToLeasePct</f>
        <v/>
      </c>
      <c r="MY16" s="218">
        <f>-MY$14*LossToLeasePct</f>
        <v/>
      </c>
      <c r="MZ16" s="218">
        <f>-MZ$14*LossToLeasePct</f>
        <v/>
      </c>
      <c r="NA16" s="218">
        <f>-NA$14*LossToLeasePct</f>
        <v/>
      </c>
      <c r="NB16" s="218">
        <f>-NB$14*LossToLeasePct</f>
        <v/>
      </c>
      <c r="NC16" s="218">
        <f>-NC$14*LossToLeasePct</f>
        <v/>
      </c>
      <c r="ND16" s="218">
        <f>-ND$14*LossToLeasePct</f>
        <v/>
      </c>
      <c r="NE16" s="218">
        <f>-NE$14*LossToLeasePct</f>
        <v/>
      </c>
      <c r="NF16" s="218">
        <f>-NF$14*LossToLeasePct</f>
        <v/>
      </c>
      <c r="NG16" s="218">
        <f>-NG$14*LossToLeasePct</f>
        <v/>
      </c>
      <c r="NH16" s="218">
        <f>-NH$14*LossToLeasePct</f>
        <v/>
      </c>
      <c r="NI16" s="218">
        <f>-NI$14*LossToLeasePct</f>
        <v/>
      </c>
      <c r="NJ16" s="218">
        <f>-NJ$14*LossToLeasePct</f>
        <v/>
      </c>
      <c r="NK16" s="218">
        <f>-NK$14*LossToLeasePct</f>
        <v/>
      </c>
      <c r="NL16" s="225">
        <f>-NL$14*LossToLeasePct</f>
        <v/>
      </c>
    </row>
    <row r="17">
      <c r="B17" s="36" t="inlineStr">
        <is>
          <t>Bad Debt</t>
        </is>
      </c>
      <c r="D17" s="266">
        <f>SUM(E17:NL17)</f>
        <v/>
      </c>
      <c r="E17" s="218">
        <f>-E$14*BadDebtPct</f>
        <v/>
      </c>
      <c r="F17" s="218">
        <f>-F$14*BadDebtPct</f>
        <v/>
      </c>
      <c r="G17" s="218">
        <f>-G$14*BadDebtPct</f>
        <v/>
      </c>
      <c r="H17" s="218">
        <f>-H$14*BadDebtPct</f>
        <v/>
      </c>
      <c r="I17" s="218">
        <f>-I$14*BadDebtPct</f>
        <v/>
      </c>
      <c r="J17" s="218">
        <f>-J$14*BadDebtPct</f>
        <v/>
      </c>
      <c r="K17" s="218">
        <f>-K$14*BadDebtPct</f>
        <v/>
      </c>
      <c r="L17" s="218">
        <f>-L$14*BadDebtPct</f>
        <v/>
      </c>
      <c r="M17" s="218">
        <f>-M$14*BadDebtPct</f>
        <v/>
      </c>
      <c r="N17" s="218">
        <f>-N$14*BadDebtPct</f>
        <v/>
      </c>
      <c r="O17" s="218">
        <f>-O$14*BadDebtPct</f>
        <v/>
      </c>
      <c r="P17" s="218">
        <f>-P$14*BadDebtPct</f>
        <v/>
      </c>
      <c r="Q17" s="218">
        <f>-Q$14*BadDebtPct</f>
        <v/>
      </c>
      <c r="R17" s="218">
        <f>-R$14*BadDebtPct</f>
        <v/>
      </c>
      <c r="S17" s="218">
        <f>-S$14*BadDebtPct</f>
        <v/>
      </c>
      <c r="T17" s="218">
        <f>-T$14*BadDebtPct</f>
        <v/>
      </c>
      <c r="U17" s="218">
        <f>-U$14*BadDebtPct</f>
        <v/>
      </c>
      <c r="V17" s="218">
        <f>-V$14*BadDebtPct</f>
        <v/>
      </c>
      <c r="W17" s="218">
        <f>-W$14*BadDebtPct</f>
        <v/>
      </c>
      <c r="X17" s="218">
        <f>-X$14*BadDebtPct</f>
        <v/>
      </c>
      <c r="Y17" s="218">
        <f>-Y$14*BadDebtPct</f>
        <v/>
      </c>
      <c r="Z17" s="218">
        <f>-Z$14*BadDebtPct</f>
        <v/>
      </c>
      <c r="AA17" s="218">
        <f>-AA$14*BadDebtPct</f>
        <v/>
      </c>
      <c r="AB17" s="218">
        <f>-AB$14*BadDebtPct</f>
        <v/>
      </c>
      <c r="AC17" s="218">
        <f>-AC$14*BadDebtPct</f>
        <v/>
      </c>
      <c r="AD17" s="218">
        <f>-AD$14*BadDebtPct</f>
        <v/>
      </c>
      <c r="AE17" s="218">
        <f>-AE$14*BadDebtPct</f>
        <v/>
      </c>
      <c r="AF17" s="218">
        <f>-AF$14*BadDebtPct</f>
        <v/>
      </c>
      <c r="AG17" s="218">
        <f>-AG$14*BadDebtPct</f>
        <v/>
      </c>
      <c r="AH17" s="218">
        <f>-AH$14*BadDebtPct</f>
        <v/>
      </c>
      <c r="AI17" s="218">
        <f>-AI$14*BadDebtPct</f>
        <v/>
      </c>
      <c r="AJ17" s="218">
        <f>-AJ$14*BadDebtPct</f>
        <v/>
      </c>
      <c r="AK17" s="218">
        <f>-AK$14*BadDebtPct</f>
        <v/>
      </c>
      <c r="AL17" s="218">
        <f>-AL$14*BadDebtPct</f>
        <v/>
      </c>
      <c r="AM17" s="218">
        <f>-AM$14*BadDebtPct</f>
        <v/>
      </c>
      <c r="AN17" s="218">
        <f>-AN$14*BadDebtPct</f>
        <v/>
      </c>
      <c r="AO17" s="218">
        <f>-AO$14*BadDebtPct</f>
        <v/>
      </c>
      <c r="AP17" s="218">
        <f>-AP$14*BadDebtPct</f>
        <v/>
      </c>
      <c r="AQ17" s="218">
        <f>-AQ$14*BadDebtPct</f>
        <v/>
      </c>
      <c r="AR17" s="218">
        <f>-AR$14*BadDebtPct</f>
        <v/>
      </c>
      <c r="AS17" s="218">
        <f>-AS$14*BadDebtPct</f>
        <v/>
      </c>
      <c r="AT17" s="218">
        <f>-AT$14*BadDebtPct</f>
        <v/>
      </c>
      <c r="AU17" s="218">
        <f>-AU$14*BadDebtPct</f>
        <v/>
      </c>
      <c r="AV17" s="218">
        <f>-AV$14*BadDebtPct</f>
        <v/>
      </c>
      <c r="AW17" s="218">
        <f>-AW$14*BadDebtPct</f>
        <v/>
      </c>
      <c r="AX17" s="218">
        <f>-AX$14*BadDebtPct</f>
        <v/>
      </c>
      <c r="AY17" s="218">
        <f>-AY$14*BadDebtPct</f>
        <v/>
      </c>
      <c r="AZ17" s="218">
        <f>-AZ$14*BadDebtPct</f>
        <v/>
      </c>
      <c r="BA17" s="218">
        <f>-BA$14*BadDebtPct</f>
        <v/>
      </c>
      <c r="BB17" s="218">
        <f>-BB$14*BadDebtPct</f>
        <v/>
      </c>
      <c r="BC17" s="218">
        <f>-BC$14*BadDebtPct</f>
        <v/>
      </c>
      <c r="BD17" s="218">
        <f>-BD$14*BadDebtPct</f>
        <v/>
      </c>
      <c r="BE17" s="218">
        <f>-BE$14*BadDebtPct</f>
        <v/>
      </c>
      <c r="BF17" s="218">
        <f>-BF$14*BadDebtPct</f>
        <v/>
      </c>
      <c r="BG17" s="218">
        <f>-BG$14*BadDebtPct</f>
        <v/>
      </c>
      <c r="BH17" s="218">
        <f>-BH$14*BadDebtPct</f>
        <v/>
      </c>
      <c r="BI17" s="218">
        <f>-BI$14*BadDebtPct</f>
        <v/>
      </c>
      <c r="BJ17" s="218">
        <f>-BJ$14*BadDebtPct</f>
        <v/>
      </c>
      <c r="BK17" s="218">
        <f>-BK$14*BadDebtPct</f>
        <v/>
      </c>
      <c r="BL17" s="218">
        <f>-BL$14*BadDebtPct</f>
        <v/>
      </c>
      <c r="BM17" s="218">
        <f>-BM$14*BadDebtPct</f>
        <v/>
      </c>
      <c r="BN17" s="218">
        <f>-BN$14*BadDebtPct</f>
        <v/>
      </c>
      <c r="BO17" s="218">
        <f>-BO$14*BadDebtPct</f>
        <v/>
      </c>
      <c r="BP17" s="218">
        <f>-BP$14*BadDebtPct</f>
        <v/>
      </c>
      <c r="BQ17" s="218">
        <f>-BQ$14*BadDebtPct</f>
        <v/>
      </c>
      <c r="BR17" s="218">
        <f>-BR$14*BadDebtPct</f>
        <v/>
      </c>
      <c r="BS17" s="218">
        <f>-BS$14*BadDebtPct</f>
        <v/>
      </c>
      <c r="BT17" s="218">
        <f>-BT$14*BadDebtPct</f>
        <v/>
      </c>
      <c r="BU17" s="218">
        <f>-BU$14*BadDebtPct</f>
        <v/>
      </c>
      <c r="BV17" s="218">
        <f>-BV$14*BadDebtPct</f>
        <v/>
      </c>
      <c r="BW17" s="218">
        <f>-BW$14*BadDebtPct</f>
        <v/>
      </c>
      <c r="BX17" s="218">
        <f>-BX$14*BadDebtPct</f>
        <v/>
      </c>
      <c r="BY17" s="218">
        <f>-BY$14*BadDebtPct</f>
        <v/>
      </c>
      <c r="BZ17" s="218">
        <f>-BZ$14*BadDebtPct</f>
        <v/>
      </c>
      <c r="CA17" s="218">
        <f>-CA$14*BadDebtPct</f>
        <v/>
      </c>
      <c r="CB17" s="218">
        <f>-CB$14*BadDebtPct</f>
        <v/>
      </c>
      <c r="CC17" s="218">
        <f>-CC$14*BadDebtPct</f>
        <v/>
      </c>
      <c r="CD17" s="218">
        <f>-CD$14*BadDebtPct</f>
        <v/>
      </c>
      <c r="CE17" s="218">
        <f>-CE$14*BadDebtPct</f>
        <v/>
      </c>
      <c r="CF17" s="218">
        <f>-CF$14*BadDebtPct</f>
        <v/>
      </c>
      <c r="CG17" s="218">
        <f>-CG$14*BadDebtPct</f>
        <v/>
      </c>
      <c r="CH17" s="218">
        <f>-CH$14*BadDebtPct</f>
        <v/>
      </c>
      <c r="CI17" s="218">
        <f>-CI$14*BadDebtPct</f>
        <v/>
      </c>
      <c r="CJ17" s="218">
        <f>-CJ$14*BadDebtPct</f>
        <v/>
      </c>
      <c r="CK17" s="218">
        <f>-CK$14*BadDebtPct</f>
        <v/>
      </c>
      <c r="CL17" s="218">
        <f>-CL$14*BadDebtPct</f>
        <v/>
      </c>
      <c r="CM17" s="218">
        <f>-CM$14*BadDebtPct</f>
        <v/>
      </c>
      <c r="CN17" s="218">
        <f>-CN$14*BadDebtPct</f>
        <v/>
      </c>
      <c r="CO17" s="218">
        <f>-CO$14*BadDebtPct</f>
        <v/>
      </c>
      <c r="CP17" s="218">
        <f>-CP$14*BadDebtPct</f>
        <v/>
      </c>
      <c r="CQ17" s="218">
        <f>-CQ$14*BadDebtPct</f>
        <v/>
      </c>
      <c r="CR17" s="218">
        <f>-CR$14*BadDebtPct</f>
        <v/>
      </c>
      <c r="CS17" s="218">
        <f>-CS$14*BadDebtPct</f>
        <v/>
      </c>
      <c r="CT17" s="218">
        <f>-CT$14*BadDebtPct</f>
        <v/>
      </c>
      <c r="CU17" s="218">
        <f>-CU$14*BadDebtPct</f>
        <v/>
      </c>
      <c r="CV17" s="218">
        <f>-CV$14*BadDebtPct</f>
        <v/>
      </c>
      <c r="CW17" s="218">
        <f>-CW$14*BadDebtPct</f>
        <v/>
      </c>
      <c r="CX17" s="218">
        <f>-CX$14*BadDebtPct</f>
        <v/>
      </c>
      <c r="CY17" s="218">
        <f>-CY$14*BadDebtPct</f>
        <v/>
      </c>
      <c r="CZ17" s="218">
        <f>-CZ$14*BadDebtPct</f>
        <v/>
      </c>
      <c r="DA17" s="218">
        <f>-DA$14*BadDebtPct</f>
        <v/>
      </c>
      <c r="DB17" s="218">
        <f>-DB$14*BadDebtPct</f>
        <v/>
      </c>
      <c r="DC17" s="218">
        <f>-DC$14*BadDebtPct</f>
        <v/>
      </c>
      <c r="DD17" s="218">
        <f>-DD$14*BadDebtPct</f>
        <v/>
      </c>
      <c r="DE17" s="218">
        <f>-DE$14*BadDebtPct</f>
        <v/>
      </c>
      <c r="DF17" s="218">
        <f>-DF$14*BadDebtPct</f>
        <v/>
      </c>
      <c r="DG17" s="218">
        <f>-DG$14*BadDebtPct</f>
        <v/>
      </c>
      <c r="DH17" s="218">
        <f>-DH$14*BadDebtPct</f>
        <v/>
      </c>
      <c r="DI17" s="218">
        <f>-DI$14*BadDebtPct</f>
        <v/>
      </c>
      <c r="DJ17" s="218">
        <f>-DJ$14*BadDebtPct</f>
        <v/>
      </c>
      <c r="DK17" s="218">
        <f>-DK$14*BadDebtPct</f>
        <v/>
      </c>
      <c r="DL17" s="218">
        <f>-DL$14*BadDebtPct</f>
        <v/>
      </c>
      <c r="DM17" s="218">
        <f>-DM$14*BadDebtPct</f>
        <v/>
      </c>
      <c r="DN17" s="218">
        <f>-DN$14*BadDebtPct</f>
        <v/>
      </c>
      <c r="DO17" s="218">
        <f>-DO$14*BadDebtPct</f>
        <v/>
      </c>
      <c r="DP17" s="218">
        <f>-DP$14*BadDebtPct</f>
        <v/>
      </c>
      <c r="DQ17" s="218">
        <f>-DQ$14*BadDebtPct</f>
        <v/>
      </c>
      <c r="DR17" s="218">
        <f>-DR$14*BadDebtPct</f>
        <v/>
      </c>
      <c r="DS17" s="218">
        <f>-DS$14*BadDebtPct</f>
        <v/>
      </c>
      <c r="DT17" s="218">
        <f>-DT$14*BadDebtPct</f>
        <v/>
      </c>
      <c r="DU17" s="218">
        <f>-DU$14*BadDebtPct</f>
        <v/>
      </c>
      <c r="DV17" s="218">
        <f>-DV$14*BadDebtPct</f>
        <v/>
      </c>
      <c r="DW17" s="218">
        <f>-DW$14*BadDebtPct</f>
        <v/>
      </c>
      <c r="DX17" s="218">
        <f>-DX$14*BadDebtPct</f>
        <v/>
      </c>
      <c r="DY17" s="218">
        <f>-DY$14*BadDebtPct</f>
        <v/>
      </c>
      <c r="DZ17" s="218">
        <f>-DZ$14*BadDebtPct</f>
        <v/>
      </c>
      <c r="EA17" s="218">
        <f>-EA$14*BadDebtPct</f>
        <v/>
      </c>
      <c r="EB17" s="218">
        <f>-EB$14*BadDebtPct</f>
        <v/>
      </c>
      <c r="EC17" s="218">
        <f>-EC$14*BadDebtPct</f>
        <v/>
      </c>
      <c r="ED17" s="218">
        <f>-ED$14*BadDebtPct</f>
        <v/>
      </c>
      <c r="EE17" s="218">
        <f>-EE$14*BadDebtPct</f>
        <v/>
      </c>
      <c r="EF17" s="218">
        <f>-EF$14*BadDebtPct</f>
        <v/>
      </c>
      <c r="EG17" s="218">
        <f>-EG$14*BadDebtPct</f>
        <v/>
      </c>
      <c r="EH17" s="218">
        <f>-EH$14*BadDebtPct</f>
        <v/>
      </c>
      <c r="EI17" s="218">
        <f>-EI$14*BadDebtPct</f>
        <v/>
      </c>
      <c r="EJ17" s="218">
        <f>-EJ$14*BadDebtPct</f>
        <v/>
      </c>
      <c r="EK17" s="218">
        <f>-EK$14*BadDebtPct</f>
        <v/>
      </c>
      <c r="EL17" s="218">
        <f>-EL$14*BadDebtPct</f>
        <v/>
      </c>
      <c r="EM17" s="218">
        <f>-EM$14*BadDebtPct</f>
        <v/>
      </c>
      <c r="EN17" s="218">
        <f>-EN$14*BadDebtPct</f>
        <v/>
      </c>
      <c r="EO17" s="218">
        <f>-EO$14*BadDebtPct</f>
        <v/>
      </c>
      <c r="EP17" s="218">
        <f>-EP$14*BadDebtPct</f>
        <v/>
      </c>
      <c r="EQ17" s="218">
        <f>-EQ$14*BadDebtPct</f>
        <v/>
      </c>
      <c r="ER17" s="218">
        <f>-ER$14*BadDebtPct</f>
        <v/>
      </c>
      <c r="ES17" s="218">
        <f>-ES$14*BadDebtPct</f>
        <v/>
      </c>
      <c r="ET17" s="218">
        <f>-ET$14*BadDebtPct</f>
        <v/>
      </c>
      <c r="EU17" s="218">
        <f>-EU$14*BadDebtPct</f>
        <v/>
      </c>
      <c r="EV17" s="218">
        <f>-EV$14*BadDebtPct</f>
        <v/>
      </c>
      <c r="EW17" s="218">
        <f>-EW$14*BadDebtPct</f>
        <v/>
      </c>
      <c r="EX17" s="218">
        <f>-EX$14*BadDebtPct</f>
        <v/>
      </c>
      <c r="EY17" s="218">
        <f>-EY$14*BadDebtPct</f>
        <v/>
      </c>
      <c r="EZ17" s="218">
        <f>-EZ$14*BadDebtPct</f>
        <v/>
      </c>
      <c r="FA17" s="218">
        <f>-FA$14*BadDebtPct</f>
        <v/>
      </c>
      <c r="FB17" s="218">
        <f>-FB$14*BadDebtPct</f>
        <v/>
      </c>
      <c r="FC17" s="218">
        <f>-FC$14*BadDebtPct</f>
        <v/>
      </c>
      <c r="FD17" s="218">
        <f>-FD$14*BadDebtPct</f>
        <v/>
      </c>
      <c r="FE17" s="218">
        <f>-FE$14*BadDebtPct</f>
        <v/>
      </c>
      <c r="FF17" s="218">
        <f>-FF$14*BadDebtPct</f>
        <v/>
      </c>
      <c r="FG17" s="218">
        <f>-FG$14*BadDebtPct</f>
        <v/>
      </c>
      <c r="FH17" s="218">
        <f>-FH$14*BadDebtPct</f>
        <v/>
      </c>
      <c r="FI17" s="218">
        <f>-FI$14*BadDebtPct</f>
        <v/>
      </c>
      <c r="FJ17" s="218">
        <f>-FJ$14*BadDebtPct</f>
        <v/>
      </c>
      <c r="FK17" s="218">
        <f>-FK$14*BadDebtPct</f>
        <v/>
      </c>
      <c r="FL17" s="218">
        <f>-FL$14*BadDebtPct</f>
        <v/>
      </c>
      <c r="FM17" s="218">
        <f>-FM$14*BadDebtPct</f>
        <v/>
      </c>
      <c r="FN17" s="218">
        <f>-FN$14*BadDebtPct</f>
        <v/>
      </c>
      <c r="FO17" s="218">
        <f>-FO$14*BadDebtPct</f>
        <v/>
      </c>
      <c r="FP17" s="218">
        <f>-FP$14*BadDebtPct</f>
        <v/>
      </c>
      <c r="FQ17" s="218">
        <f>-FQ$14*BadDebtPct</f>
        <v/>
      </c>
      <c r="FR17" s="218">
        <f>-FR$14*BadDebtPct</f>
        <v/>
      </c>
      <c r="FS17" s="218">
        <f>-FS$14*BadDebtPct</f>
        <v/>
      </c>
      <c r="FT17" s="218">
        <f>-FT$14*BadDebtPct</f>
        <v/>
      </c>
      <c r="FU17" s="218">
        <f>-FU$14*BadDebtPct</f>
        <v/>
      </c>
      <c r="FV17" s="218">
        <f>-FV$14*BadDebtPct</f>
        <v/>
      </c>
      <c r="FW17" s="218">
        <f>-FW$14*BadDebtPct</f>
        <v/>
      </c>
      <c r="FX17" s="218">
        <f>-FX$14*BadDebtPct</f>
        <v/>
      </c>
      <c r="FY17" s="218">
        <f>-FY$14*BadDebtPct</f>
        <v/>
      </c>
      <c r="FZ17" s="218">
        <f>-FZ$14*BadDebtPct</f>
        <v/>
      </c>
      <c r="GA17" s="218">
        <f>-GA$14*BadDebtPct</f>
        <v/>
      </c>
      <c r="GB17" s="218">
        <f>-GB$14*BadDebtPct</f>
        <v/>
      </c>
      <c r="GC17" s="218">
        <f>-GC$14*BadDebtPct</f>
        <v/>
      </c>
      <c r="GD17" s="218">
        <f>-GD$14*BadDebtPct</f>
        <v/>
      </c>
      <c r="GE17" s="218">
        <f>-GE$14*BadDebtPct</f>
        <v/>
      </c>
      <c r="GF17" s="218">
        <f>-GF$14*BadDebtPct</f>
        <v/>
      </c>
      <c r="GG17" s="218">
        <f>-GG$14*BadDebtPct</f>
        <v/>
      </c>
      <c r="GH17" s="218">
        <f>-GH$14*BadDebtPct</f>
        <v/>
      </c>
      <c r="GI17" s="218">
        <f>-GI$14*BadDebtPct</f>
        <v/>
      </c>
      <c r="GJ17" s="218">
        <f>-GJ$14*BadDebtPct</f>
        <v/>
      </c>
      <c r="GK17" s="218">
        <f>-GK$14*BadDebtPct</f>
        <v/>
      </c>
      <c r="GL17" s="218">
        <f>-GL$14*BadDebtPct</f>
        <v/>
      </c>
      <c r="GM17" s="218">
        <f>-GM$14*BadDebtPct</f>
        <v/>
      </c>
      <c r="GN17" s="218">
        <f>-GN$14*BadDebtPct</f>
        <v/>
      </c>
      <c r="GO17" s="218">
        <f>-GO$14*BadDebtPct</f>
        <v/>
      </c>
      <c r="GP17" s="218">
        <f>-GP$14*BadDebtPct</f>
        <v/>
      </c>
      <c r="GQ17" s="218">
        <f>-GQ$14*BadDebtPct</f>
        <v/>
      </c>
      <c r="GR17" s="218">
        <f>-GR$14*BadDebtPct</f>
        <v/>
      </c>
      <c r="GS17" s="218">
        <f>-GS$14*BadDebtPct</f>
        <v/>
      </c>
      <c r="GT17" s="218">
        <f>-GT$14*BadDebtPct</f>
        <v/>
      </c>
      <c r="GU17" s="218">
        <f>-GU$14*BadDebtPct</f>
        <v/>
      </c>
      <c r="GV17" s="218">
        <f>-GV$14*BadDebtPct</f>
        <v/>
      </c>
      <c r="GW17" s="218">
        <f>-GW$14*BadDebtPct</f>
        <v/>
      </c>
      <c r="GX17" s="218">
        <f>-GX$14*BadDebtPct</f>
        <v/>
      </c>
      <c r="GY17" s="218">
        <f>-GY$14*BadDebtPct</f>
        <v/>
      </c>
      <c r="GZ17" s="218">
        <f>-GZ$14*BadDebtPct</f>
        <v/>
      </c>
      <c r="HA17" s="218">
        <f>-HA$14*BadDebtPct</f>
        <v/>
      </c>
      <c r="HB17" s="218">
        <f>-HB$14*BadDebtPct</f>
        <v/>
      </c>
      <c r="HC17" s="218">
        <f>-HC$14*BadDebtPct</f>
        <v/>
      </c>
      <c r="HD17" s="218">
        <f>-HD$14*BadDebtPct</f>
        <v/>
      </c>
      <c r="HE17" s="218">
        <f>-HE$14*BadDebtPct</f>
        <v/>
      </c>
      <c r="HF17" s="218">
        <f>-HF$14*BadDebtPct</f>
        <v/>
      </c>
      <c r="HG17" s="218">
        <f>-HG$14*BadDebtPct</f>
        <v/>
      </c>
      <c r="HH17" s="218">
        <f>-HH$14*BadDebtPct</f>
        <v/>
      </c>
      <c r="HI17" s="218">
        <f>-HI$14*BadDebtPct</f>
        <v/>
      </c>
      <c r="HJ17" s="218">
        <f>-HJ$14*BadDebtPct</f>
        <v/>
      </c>
      <c r="HK17" s="218">
        <f>-HK$14*BadDebtPct</f>
        <v/>
      </c>
      <c r="HL17" s="218">
        <f>-HL$14*BadDebtPct</f>
        <v/>
      </c>
      <c r="HM17" s="218">
        <f>-HM$14*BadDebtPct</f>
        <v/>
      </c>
      <c r="HN17" s="218">
        <f>-HN$14*BadDebtPct</f>
        <v/>
      </c>
      <c r="HO17" s="218">
        <f>-HO$14*BadDebtPct</f>
        <v/>
      </c>
      <c r="HP17" s="218">
        <f>-HP$14*BadDebtPct</f>
        <v/>
      </c>
      <c r="HQ17" s="218">
        <f>-HQ$14*BadDebtPct</f>
        <v/>
      </c>
      <c r="HR17" s="218">
        <f>-HR$14*BadDebtPct</f>
        <v/>
      </c>
      <c r="HS17" s="218">
        <f>-HS$14*BadDebtPct</f>
        <v/>
      </c>
      <c r="HT17" s="218">
        <f>-HT$14*BadDebtPct</f>
        <v/>
      </c>
      <c r="HU17" s="218">
        <f>-HU$14*BadDebtPct</f>
        <v/>
      </c>
      <c r="HV17" s="218">
        <f>-HV$14*BadDebtPct</f>
        <v/>
      </c>
      <c r="HW17" s="218">
        <f>-HW$14*BadDebtPct</f>
        <v/>
      </c>
      <c r="HX17" s="218">
        <f>-HX$14*BadDebtPct</f>
        <v/>
      </c>
      <c r="HY17" s="218">
        <f>-HY$14*BadDebtPct</f>
        <v/>
      </c>
      <c r="HZ17" s="218">
        <f>-HZ$14*BadDebtPct</f>
        <v/>
      </c>
      <c r="IA17" s="218">
        <f>-IA$14*BadDebtPct</f>
        <v/>
      </c>
      <c r="IB17" s="218">
        <f>-IB$14*BadDebtPct</f>
        <v/>
      </c>
      <c r="IC17" s="218">
        <f>-IC$14*BadDebtPct</f>
        <v/>
      </c>
      <c r="ID17" s="218">
        <f>-ID$14*BadDebtPct</f>
        <v/>
      </c>
      <c r="IE17" s="218">
        <f>-IE$14*BadDebtPct</f>
        <v/>
      </c>
      <c r="IF17" s="218">
        <f>-IF$14*BadDebtPct</f>
        <v/>
      </c>
      <c r="IG17" s="218">
        <f>-IG$14*BadDebtPct</f>
        <v/>
      </c>
      <c r="IH17" s="218">
        <f>-IH$14*BadDebtPct</f>
        <v/>
      </c>
      <c r="II17" s="218">
        <f>-II$14*BadDebtPct</f>
        <v/>
      </c>
      <c r="IJ17" s="218">
        <f>-IJ$14*BadDebtPct</f>
        <v/>
      </c>
      <c r="IK17" s="218">
        <f>-IK$14*BadDebtPct</f>
        <v/>
      </c>
      <c r="IL17" s="218">
        <f>-IL$14*BadDebtPct</f>
        <v/>
      </c>
      <c r="IM17" s="218">
        <f>-IM$14*BadDebtPct</f>
        <v/>
      </c>
      <c r="IN17" s="218">
        <f>-IN$14*BadDebtPct</f>
        <v/>
      </c>
      <c r="IO17" s="218">
        <f>-IO$14*BadDebtPct</f>
        <v/>
      </c>
      <c r="IP17" s="218">
        <f>-IP$14*BadDebtPct</f>
        <v/>
      </c>
      <c r="IQ17" s="218">
        <f>-IQ$14*BadDebtPct</f>
        <v/>
      </c>
      <c r="IR17" s="218">
        <f>-IR$14*BadDebtPct</f>
        <v/>
      </c>
      <c r="IS17" s="218">
        <f>-IS$14*BadDebtPct</f>
        <v/>
      </c>
      <c r="IT17" s="218">
        <f>-IT$14*BadDebtPct</f>
        <v/>
      </c>
      <c r="IU17" s="218">
        <f>-IU$14*BadDebtPct</f>
        <v/>
      </c>
      <c r="IV17" s="218">
        <f>-IV$14*BadDebtPct</f>
        <v/>
      </c>
      <c r="IW17" s="218">
        <f>-IW$14*BadDebtPct</f>
        <v/>
      </c>
      <c r="IX17" s="218">
        <f>-IX$14*BadDebtPct</f>
        <v/>
      </c>
      <c r="IY17" s="218">
        <f>-IY$14*BadDebtPct</f>
        <v/>
      </c>
      <c r="IZ17" s="218">
        <f>-IZ$14*BadDebtPct</f>
        <v/>
      </c>
      <c r="JA17" s="218">
        <f>-JA$14*BadDebtPct</f>
        <v/>
      </c>
      <c r="JB17" s="218">
        <f>-JB$14*BadDebtPct</f>
        <v/>
      </c>
      <c r="JC17" s="218">
        <f>-JC$14*BadDebtPct</f>
        <v/>
      </c>
      <c r="JD17" s="218">
        <f>-JD$14*BadDebtPct</f>
        <v/>
      </c>
      <c r="JE17" s="218">
        <f>-JE$14*BadDebtPct</f>
        <v/>
      </c>
      <c r="JF17" s="218">
        <f>-JF$14*BadDebtPct</f>
        <v/>
      </c>
      <c r="JG17" s="218">
        <f>-JG$14*BadDebtPct</f>
        <v/>
      </c>
      <c r="JH17" s="218">
        <f>-JH$14*BadDebtPct</f>
        <v/>
      </c>
      <c r="JI17" s="218">
        <f>-JI$14*BadDebtPct</f>
        <v/>
      </c>
      <c r="JJ17" s="218">
        <f>-JJ$14*BadDebtPct</f>
        <v/>
      </c>
      <c r="JK17" s="218">
        <f>-JK$14*BadDebtPct</f>
        <v/>
      </c>
      <c r="JL17" s="218">
        <f>-JL$14*BadDebtPct</f>
        <v/>
      </c>
      <c r="JM17" s="218">
        <f>-JM$14*BadDebtPct</f>
        <v/>
      </c>
      <c r="JN17" s="218">
        <f>-JN$14*BadDebtPct</f>
        <v/>
      </c>
      <c r="JO17" s="218">
        <f>-JO$14*BadDebtPct</f>
        <v/>
      </c>
      <c r="JP17" s="218">
        <f>-JP$14*BadDebtPct</f>
        <v/>
      </c>
      <c r="JQ17" s="218">
        <f>-JQ$14*BadDebtPct</f>
        <v/>
      </c>
      <c r="JR17" s="218">
        <f>-JR$14*BadDebtPct</f>
        <v/>
      </c>
      <c r="JS17" s="218">
        <f>-JS$14*BadDebtPct</f>
        <v/>
      </c>
      <c r="JT17" s="218">
        <f>-JT$14*BadDebtPct</f>
        <v/>
      </c>
      <c r="JU17" s="218">
        <f>-JU$14*BadDebtPct</f>
        <v/>
      </c>
      <c r="JV17" s="218">
        <f>-JV$14*BadDebtPct</f>
        <v/>
      </c>
      <c r="JW17" s="218">
        <f>-JW$14*BadDebtPct</f>
        <v/>
      </c>
      <c r="JX17" s="218">
        <f>-JX$14*BadDebtPct</f>
        <v/>
      </c>
      <c r="JY17" s="218">
        <f>-JY$14*BadDebtPct</f>
        <v/>
      </c>
      <c r="JZ17" s="218">
        <f>-JZ$14*BadDebtPct</f>
        <v/>
      </c>
      <c r="KA17" s="218">
        <f>-KA$14*BadDebtPct</f>
        <v/>
      </c>
      <c r="KB17" s="218">
        <f>-KB$14*BadDebtPct</f>
        <v/>
      </c>
      <c r="KC17" s="218">
        <f>-KC$14*BadDebtPct</f>
        <v/>
      </c>
      <c r="KD17" s="218">
        <f>-KD$14*BadDebtPct</f>
        <v/>
      </c>
      <c r="KE17" s="218">
        <f>-KE$14*BadDebtPct</f>
        <v/>
      </c>
      <c r="KF17" s="218">
        <f>-KF$14*BadDebtPct</f>
        <v/>
      </c>
      <c r="KG17" s="218">
        <f>-KG$14*BadDebtPct</f>
        <v/>
      </c>
      <c r="KH17" s="218">
        <f>-KH$14*BadDebtPct</f>
        <v/>
      </c>
      <c r="KI17" s="218">
        <f>-KI$14*BadDebtPct</f>
        <v/>
      </c>
      <c r="KJ17" s="218">
        <f>-KJ$14*BadDebtPct</f>
        <v/>
      </c>
      <c r="KK17" s="218">
        <f>-KK$14*BadDebtPct</f>
        <v/>
      </c>
      <c r="KL17" s="218">
        <f>-KL$14*BadDebtPct</f>
        <v/>
      </c>
      <c r="KM17" s="218">
        <f>-KM$14*BadDebtPct</f>
        <v/>
      </c>
      <c r="KN17" s="218">
        <f>-KN$14*BadDebtPct</f>
        <v/>
      </c>
      <c r="KO17" s="218">
        <f>-KO$14*BadDebtPct</f>
        <v/>
      </c>
      <c r="KP17" s="218">
        <f>-KP$14*BadDebtPct</f>
        <v/>
      </c>
      <c r="KQ17" s="218">
        <f>-KQ$14*BadDebtPct</f>
        <v/>
      </c>
      <c r="KR17" s="218">
        <f>-KR$14*BadDebtPct</f>
        <v/>
      </c>
      <c r="KS17" s="218">
        <f>-KS$14*BadDebtPct</f>
        <v/>
      </c>
      <c r="KT17" s="218">
        <f>-KT$14*BadDebtPct</f>
        <v/>
      </c>
      <c r="KU17" s="218">
        <f>-KU$14*BadDebtPct</f>
        <v/>
      </c>
      <c r="KV17" s="218">
        <f>-KV$14*BadDebtPct</f>
        <v/>
      </c>
      <c r="KW17" s="218">
        <f>-KW$14*BadDebtPct</f>
        <v/>
      </c>
      <c r="KX17" s="218">
        <f>-KX$14*BadDebtPct</f>
        <v/>
      </c>
      <c r="KY17" s="218">
        <f>-KY$14*BadDebtPct</f>
        <v/>
      </c>
      <c r="KZ17" s="218">
        <f>-KZ$14*BadDebtPct</f>
        <v/>
      </c>
      <c r="LA17" s="218">
        <f>-LA$14*BadDebtPct</f>
        <v/>
      </c>
      <c r="LB17" s="218">
        <f>-LB$14*BadDebtPct</f>
        <v/>
      </c>
      <c r="LC17" s="218">
        <f>-LC$14*BadDebtPct</f>
        <v/>
      </c>
      <c r="LD17" s="218">
        <f>-LD$14*BadDebtPct</f>
        <v/>
      </c>
      <c r="LE17" s="218">
        <f>-LE$14*BadDebtPct</f>
        <v/>
      </c>
      <c r="LF17" s="218">
        <f>-LF$14*BadDebtPct</f>
        <v/>
      </c>
      <c r="LG17" s="218">
        <f>-LG$14*BadDebtPct</f>
        <v/>
      </c>
      <c r="LH17" s="218">
        <f>-LH$14*BadDebtPct</f>
        <v/>
      </c>
      <c r="LI17" s="218">
        <f>-LI$14*BadDebtPct</f>
        <v/>
      </c>
      <c r="LJ17" s="218">
        <f>-LJ$14*BadDebtPct</f>
        <v/>
      </c>
      <c r="LK17" s="218">
        <f>-LK$14*BadDebtPct</f>
        <v/>
      </c>
      <c r="LL17" s="218">
        <f>-LL$14*BadDebtPct</f>
        <v/>
      </c>
      <c r="LM17" s="218">
        <f>-LM$14*BadDebtPct</f>
        <v/>
      </c>
      <c r="LN17" s="218">
        <f>-LN$14*BadDebtPct</f>
        <v/>
      </c>
      <c r="LO17" s="218">
        <f>-LO$14*BadDebtPct</f>
        <v/>
      </c>
      <c r="LP17" s="218">
        <f>-LP$14*BadDebtPct</f>
        <v/>
      </c>
      <c r="LQ17" s="218">
        <f>-LQ$14*BadDebtPct</f>
        <v/>
      </c>
      <c r="LR17" s="218">
        <f>-LR$14*BadDebtPct</f>
        <v/>
      </c>
      <c r="LS17" s="218">
        <f>-LS$14*BadDebtPct</f>
        <v/>
      </c>
      <c r="LT17" s="218">
        <f>-LT$14*BadDebtPct</f>
        <v/>
      </c>
      <c r="LU17" s="218">
        <f>-LU$14*BadDebtPct</f>
        <v/>
      </c>
      <c r="LV17" s="218">
        <f>-LV$14*BadDebtPct</f>
        <v/>
      </c>
      <c r="LW17" s="218">
        <f>-LW$14*BadDebtPct</f>
        <v/>
      </c>
      <c r="LX17" s="218">
        <f>-LX$14*BadDebtPct</f>
        <v/>
      </c>
      <c r="LY17" s="218">
        <f>-LY$14*BadDebtPct</f>
        <v/>
      </c>
      <c r="LZ17" s="218">
        <f>-LZ$14*BadDebtPct</f>
        <v/>
      </c>
      <c r="MA17" s="218">
        <f>-MA$14*BadDebtPct</f>
        <v/>
      </c>
      <c r="MB17" s="218">
        <f>-MB$14*BadDebtPct</f>
        <v/>
      </c>
      <c r="MC17" s="218">
        <f>-MC$14*BadDebtPct</f>
        <v/>
      </c>
      <c r="MD17" s="218">
        <f>-MD$14*BadDebtPct</f>
        <v/>
      </c>
      <c r="ME17" s="218">
        <f>-ME$14*BadDebtPct</f>
        <v/>
      </c>
      <c r="MF17" s="218">
        <f>-MF$14*BadDebtPct</f>
        <v/>
      </c>
      <c r="MG17" s="218">
        <f>-MG$14*BadDebtPct</f>
        <v/>
      </c>
      <c r="MH17" s="218">
        <f>-MH$14*BadDebtPct</f>
        <v/>
      </c>
      <c r="MI17" s="218">
        <f>-MI$14*BadDebtPct</f>
        <v/>
      </c>
      <c r="MJ17" s="218">
        <f>-MJ$14*BadDebtPct</f>
        <v/>
      </c>
      <c r="MK17" s="218">
        <f>-MK$14*BadDebtPct</f>
        <v/>
      </c>
      <c r="ML17" s="218">
        <f>-ML$14*BadDebtPct</f>
        <v/>
      </c>
      <c r="MM17" s="218">
        <f>-MM$14*BadDebtPct</f>
        <v/>
      </c>
      <c r="MN17" s="218">
        <f>-MN$14*BadDebtPct</f>
        <v/>
      </c>
      <c r="MO17" s="218">
        <f>-MO$14*BadDebtPct</f>
        <v/>
      </c>
      <c r="MP17" s="218">
        <f>-MP$14*BadDebtPct</f>
        <v/>
      </c>
      <c r="MQ17" s="218">
        <f>-MQ$14*BadDebtPct</f>
        <v/>
      </c>
      <c r="MR17" s="218">
        <f>-MR$14*BadDebtPct</f>
        <v/>
      </c>
      <c r="MS17" s="218">
        <f>-MS$14*BadDebtPct</f>
        <v/>
      </c>
      <c r="MT17" s="218">
        <f>-MT$14*BadDebtPct</f>
        <v/>
      </c>
      <c r="MU17" s="218">
        <f>-MU$14*BadDebtPct</f>
        <v/>
      </c>
      <c r="MV17" s="218">
        <f>-MV$14*BadDebtPct</f>
        <v/>
      </c>
      <c r="MW17" s="218">
        <f>-MW$14*BadDebtPct</f>
        <v/>
      </c>
      <c r="MX17" s="218">
        <f>-MX$14*BadDebtPct</f>
        <v/>
      </c>
      <c r="MY17" s="218">
        <f>-MY$14*BadDebtPct</f>
        <v/>
      </c>
      <c r="MZ17" s="218">
        <f>-MZ$14*BadDebtPct</f>
        <v/>
      </c>
      <c r="NA17" s="218">
        <f>-NA$14*BadDebtPct</f>
        <v/>
      </c>
      <c r="NB17" s="218">
        <f>-NB$14*BadDebtPct</f>
        <v/>
      </c>
      <c r="NC17" s="218">
        <f>-NC$14*BadDebtPct</f>
        <v/>
      </c>
      <c r="ND17" s="218">
        <f>-ND$14*BadDebtPct</f>
        <v/>
      </c>
      <c r="NE17" s="218">
        <f>-NE$14*BadDebtPct</f>
        <v/>
      </c>
      <c r="NF17" s="218">
        <f>-NF$14*BadDebtPct</f>
        <v/>
      </c>
      <c r="NG17" s="218">
        <f>-NG$14*BadDebtPct</f>
        <v/>
      </c>
      <c r="NH17" s="218">
        <f>-NH$14*BadDebtPct</f>
        <v/>
      </c>
      <c r="NI17" s="218">
        <f>-NI$14*BadDebtPct</f>
        <v/>
      </c>
      <c r="NJ17" s="218">
        <f>-NJ$14*BadDebtPct</f>
        <v/>
      </c>
      <c r="NK17" s="218">
        <f>-NK$14*BadDebtPct</f>
        <v/>
      </c>
      <c r="NL17" s="225">
        <f>-NL$14*BadDebtPct</f>
        <v/>
      </c>
    </row>
    <row r="18">
      <c r="B18" s="36" t="inlineStr">
        <is>
          <t>Concessions</t>
        </is>
      </c>
      <c r="D18" s="266">
        <f>SUM(E18:NL18)</f>
        <v/>
      </c>
      <c r="E18" s="218">
        <f>-E$14*ConcessionsPct</f>
        <v/>
      </c>
      <c r="F18" s="218">
        <f>-F$14*ConcessionsPct</f>
        <v/>
      </c>
      <c r="G18" s="218">
        <f>-G$14*ConcessionsPct</f>
        <v/>
      </c>
      <c r="H18" s="218">
        <f>-H$14*ConcessionsPct</f>
        <v/>
      </c>
      <c r="I18" s="218">
        <f>-I$14*ConcessionsPct</f>
        <v/>
      </c>
      <c r="J18" s="218">
        <f>-J$14*ConcessionsPct</f>
        <v/>
      </c>
      <c r="K18" s="218">
        <f>-K$14*ConcessionsPct</f>
        <v/>
      </c>
      <c r="L18" s="218">
        <f>-L$14*ConcessionsPct</f>
        <v/>
      </c>
      <c r="M18" s="218">
        <f>-M$14*ConcessionsPct</f>
        <v/>
      </c>
      <c r="N18" s="218">
        <f>-N$14*ConcessionsPct</f>
        <v/>
      </c>
      <c r="O18" s="218">
        <f>-O$14*ConcessionsPct</f>
        <v/>
      </c>
      <c r="P18" s="218">
        <f>-P$14*ConcessionsPct</f>
        <v/>
      </c>
      <c r="Q18" s="218">
        <f>-Q$14*ConcessionsPct</f>
        <v/>
      </c>
      <c r="R18" s="218">
        <f>-R$14*ConcessionsPct</f>
        <v/>
      </c>
      <c r="S18" s="218">
        <f>-S$14*ConcessionsPct</f>
        <v/>
      </c>
      <c r="T18" s="218">
        <f>-T$14*ConcessionsPct</f>
        <v/>
      </c>
      <c r="U18" s="218">
        <f>-U$14*ConcessionsPct</f>
        <v/>
      </c>
      <c r="V18" s="218">
        <f>-V$14*ConcessionsPct</f>
        <v/>
      </c>
      <c r="W18" s="218">
        <f>-W$14*ConcessionsPct</f>
        <v/>
      </c>
      <c r="X18" s="218">
        <f>-X$14*ConcessionsPct</f>
        <v/>
      </c>
      <c r="Y18" s="218">
        <f>-Y$14*ConcessionsPct</f>
        <v/>
      </c>
      <c r="Z18" s="218">
        <f>-Z$14*ConcessionsPct</f>
        <v/>
      </c>
      <c r="AA18" s="218">
        <f>-AA$14*ConcessionsPct</f>
        <v/>
      </c>
      <c r="AB18" s="218">
        <f>-AB$14*ConcessionsPct</f>
        <v/>
      </c>
      <c r="AC18" s="218">
        <f>-AC$14*ConcessionsPct</f>
        <v/>
      </c>
      <c r="AD18" s="218">
        <f>-AD$14*ConcessionsPct</f>
        <v/>
      </c>
      <c r="AE18" s="218">
        <f>-AE$14*ConcessionsPct</f>
        <v/>
      </c>
      <c r="AF18" s="218">
        <f>-AF$14*ConcessionsPct</f>
        <v/>
      </c>
      <c r="AG18" s="218">
        <f>-AG$14*ConcessionsPct</f>
        <v/>
      </c>
      <c r="AH18" s="218">
        <f>-AH$14*ConcessionsPct</f>
        <v/>
      </c>
      <c r="AI18" s="218">
        <f>-AI$14*ConcessionsPct</f>
        <v/>
      </c>
      <c r="AJ18" s="218">
        <f>-AJ$14*ConcessionsPct</f>
        <v/>
      </c>
      <c r="AK18" s="218">
        <f>-AK$14*ConcessionsPct</f>
        <v/>
      </c>
      <c r="AL18" s="218">
        <f>-AL$14*ConcessionsPct</f>
        <v/>
      </c>
      <c r="AM18" s="218">
        <f>-AM$14*ConcessionsPct</f>
        <v/>
      </c>
      <c r="AN18" s="218">
        <f>-AN$14*ConcessionsPct</f>
        <v/>
      </c>
      <c r="AO18" s="218">
        <f>-AO$14*ConcessionsPct</f>
        <v/>
      </c>
      <c r="AP18" s="218">
        <f>-AP$14*ConcessionsPct</f>
        <v/>
      </c>
      <c r="AQ18" s="218">
        <f>-AQ$14*ConcessionsPct</f>
        <v/>
      </c>
      <c r="AR18" s="218">
        <f>-AR$14*ConcessionsPct</f>
        <v/>
      </c>
      <c r="AS18" s="218">
        <f>-AS$14*ConcessionsPct</f>
        <v/>
      </c>
      <c r="AT18" s="218">
        <f>-AT$14*ConcessionsPct</f>
        <v/>
      </c>
      <c r="AU18" s="218">
        <f>-AU$14*ConcessionsPct</f>
        <v/>
      </c>
      <c r="AV18" s="218">
        <f>-AV$14*ConcessionsPct</f>
        <v/>
      </c>
      <c r="AW18" s="218">
        <f>-AW$14*ConcessionsPct</f>
        <v/>
      </c>
      <c r="AX18" s="218">
        <f>-AX$14*ConcessionsPct</f>
        <v/>
      </c>
      <c r="AY18" s="218">
        <f>-AY$14*ConcessionsPct</f>
        <v/>
      </c>
      <c r="AZ18" s="218">
        <f>-AZ$14*ConcessionsPct</f>
        <v/>
      </c>
      <c r="BA18" s="218">
        <f>-BA$14*ConcessionsPct</f>
        <v/>
      </c>
      <c r="BB18" s="218">
        <f>-BB$14*ConcessionsPct</f>
        <v/>
      </c>
      <c r="BC18" s="218">
        <f>-BC$14*ConcessionsPct</f>
        <v/>
      </c>
      <c r="BD18" s="218">
        <f>-BD$14*ConcessionsPct</f>
        <v/>
      </c>
      <c r="BE18" s="218">
        <f>-BE$14*ConcessionsPct</f>
        <v/>
      </c>
      <c r="BF18" s="218">
        <f>-BF$14*ConcessionsPct</f>
        <v/>
      </c>
      <c r="BG18" s="218">
        <f>-BG$14*ConcessionsPct</f>
        <v/>
      </c>
      <c r="BH18" s="218">
        <f>-BH$14*ConcessionsPct</f>
        <v/>
      </c>
      <c r="BI18" s="218">
        <f>-BI$14*ConcessionsPct</f>
        <v/>
      </c>
      <c r="BJ18" s="218">
        <f>-BJ$14*ConcessionsPct</f>
        <v/>
      </c>
      <c r="BK18" s="218">
        <f>-BK$14*ConcessionsPct</f>
        <v/>
      </c>
      <c r="BL18" s="218">
        <f>-BL$14*ConcessionsPct</f>
        <v/>
      </c>
      <c r="BM18" s="218">
        <f>-BM$14*ConcessionsPct</f>
        <v/>
      </c>
      <c r="BN18" s="218">
        <f>-BN$14*ConcessionsPct</f>
        <v/>
      </c>
      <c r="BO18" s="218">
        <f>-BO$14*ConcessionsPct</f>
        <v/>
      </c>
      <c r="BP18" s="218">
        <f>-BP$14*ConcessionsPct</f>
        <v/>
      </c>
      <c r="BQ18" s="218">
        <f>-BQ$14*ConcessionsPct</f>
        <v/>
      </c>
      <c r="BR18" s="218">
        <f>-BR$14*ConcessionsPct</f>
        <v/>
      </c>
      <c r="BS18" s="218">
        <f>-BS$14*ConcessionsPct</f>
        <v/>
      </c>
      <c r="BT18" s="218">
        <f>-BT$14*ConcessionsPct</f>
        <v/>
      </c>
      <c r="BU18" s="218">
        <f>-BU$14*ConcessionsPct</f>
        <v/>
      </c>
      <c r="BV18" s="218">
        <f>-BV$14*ConcessionsPct</f>
        <v/>
      </c>
      <c r="BW18" s="218">
        <f>-BW$14*ConcessionsPct</f>
        <v/>
      </c>
      <c r="BX18" s="218">
        <f>-BX$14*ConcessionsPct</f>
        <v/>
      </c>
      <c r="BY18" s="218">
        <f>-BY$14*ConcessionsPct</f>
        <v/>
      </c>
      <c r="BZ18" s="218">
        <f>-BZ$14*ConcessionsPct</f>
        <v/>
      </c>
      <c r="CA18" s="218">
        <f>-CA$14*ConcessionsPct</f>
        <v/>
      </c>
      <c r="CB18" s="218">
        <f>-CB$14*ConcessionsPct</f>
        <v/>
      </c>
      <c r="CC18" s="218">
        <f>-CC$14*ConcessionsPct</f>
        <v/>
      </c>
      <c r="CD18" s="218">
        <f>-CD$14*ConcessionsPct</f>
        <v/>
      </c>
      <c r="CE18" s="218">
        <f>-CE$14*ConcessionsPct</f>
        <v/>
      </c>
      <c r="CF18" s="218">
        <f>-CF$14*ConcessionsPct</f>
        <v/>
      </c>
      <c r="CG18" s="218">
        <f>-CG$14*ConcessionsPct</f>
        <v/>
      </c>
      <c r="CH18" s="218">
        <f>-CH$14*ConcessionsPct</f>
        <v/>
      </c>
      <c r="CI18" s="218">
        <f>-CI$14*ConcessionsPct</f>
        <v/>
      </c>
      <c r="CJ18" s="218">
        <f>-CJ$14*ConcessionsPct</f>
        <v/>
      </c>
      <c r="CK18" s="218">
        <f>-CK$14*ConcessionsPct</f>
        <v/>
      </c>
      <c r="CL18" s="218">
        <f>-CL$14*ConcessionsPct</f>
        <v/>
      </c>
      <c r="CM18" s="218">
        <f>-CM$14*ConcessionsPct</f>
        <v/>
      </c>
      <c r="CN18" s="218">
        <f>-CN$14*ConcessionsPct</f>
        <v/>
      </c>
      <c r="CO18" s="218">
        <f>-CO$14*ConcessionsPct</f>
        <v/>
      </c>
      <c r="CP18" s="218">
        <f>-CP$14*ConcessionsPct</f>
        <v/>
      </c>
      <c r="CQ18" s="218">
        <f>-CQ$14*ConcessionsPct</f>
        <v/>
      </c>
      <c r="CR18" s="218">
        <f>-CR$14*ConcessionsPct</f>
        <v/>
      </c>
      <c r="CS18" s="218">
        <f>-CS$14*ConcessionsPct</f>
        <v/>
      </c>
      <c r="CT18" s="218">
        <f>-CT$14*ConcessionsPct</f>
        <v/>
      </c>
      <c r="CU18" s="218">
        <f>-CU$14*ConcessionsPct</f>
        <v/>
      </c>
      <c r="CV18" s="218">
        <f>-CV$14*ConcessionsPct</f>
        <v/>
      </c>
      <c r="CW18" s="218">
        <f>-CW$14*ConcessionsPct</f>
        <v/>
      </c>
      <c r="CX18" s="218">
        <f>-CX$14*ConcessionsPct</f>
        <v/>
      </c>
      <c r="CY18" s="218">
        <f>-CY$14*ConcessionsPct</f>
        <v/>
      </c>
      <c r="CZ18" s="218">
        <f>-CZ$14*ConcessionsPct</f>
        <v/>
      </c>
      <c r="DA18" s="218">
        <f>-DA$14*ConcessionsPct</f>
        <v/>
      </c>
      <c r="DB18" s="218">
        <f>-DB$14*ConcessionsPct</f>
        <v/>
      </c>
      <c r="DC18" s="218">
        <f>-DC$14*ConcessionsPct</f>
        <v/>
      </c>
      <c r="DD18" s="218">
        <f>-DD$14*ConcessionsPct</f>
        <v/>
      </c>
      <c r="DE18" s="218">
        <f>-DE$14*ConcessionsPct</f>
        <v/>
      </c>
      <c r="DF18" s="218">
        <f>-DF$14*ConcessionsPct</f>
        <v/>
      </c>
      <c r="DG18" s="218">
        <f>-DG$14*ConcessionsPct</f>
        <v/>
      </c>
      <c r="DH18" s="218">
        <f>-DH$14*ConcessionsPct</f>
        <v/>
      </c>
      <c r="DI18" s="218">
        <f>-DI$14*ConcessionsPct</f>
        <v/>
      </c>
      <c r="DJ18" s="218">
        <f>-DJ$14*ConcessionsPct</f>
        <v/>
      </c>
      <c r="DK18" s="218">
        <f>-DK$14*ConcessionsPct</f>
        <v/>
      </c>
      <c r="DL18" s="218">
        <f>-DL$14*ConcessionsPct</f>
        <v/>
      </c>
      <c r="DM18" s="218">
        <f>-DM$14*ConcessionsPct</f>
        <v/>
      </c>
      <c r="DN18" s="218">
        <f>-DN$14*ConcessionsPct</f>
        <v/>
      </c>
      <c r="DO18" s="218">
        <f>-DO$14*ConcessionsPct</f>
        <v/>
      </c>
      <c r="DP18" s="218">
        <f>-DP$14*ConcessionsPct</f>
        <v/>
      </c>
      <c r="DQ18" s="218">
        <f>-DQ$14*ConcessionsPct</f>
        <v/>
      </c>
      <c r="DR18" s="218">
        <f>-DR$14*ConcessionsPct</f>
        <v/>
      </c>
      <c r="DS18" s="218">
        <f>-DS$14*ConcessionsPct</f>
        <v/>
      </c>
      <c r="DT18" s="218">
        <f>-DT$14*ConcessionsPct</f>
        <v/>
      </c>
      <c r="DU18" s="218">
        <f>-DU$14*ConcessionsPct</f>
        <v/>
      </c>
      <c r="DV18" s="218">
        <f>-DV$14*ConcessionsPct</f>
        <v/>
      </c>
      <c r="DW18" s="218">
        <f>-DW$14*ConcessionsPct</f>
        <v/>
      </c>
      <c r="DX18" s="218">
        <f>-DX$14*ConcessionsPct</f>
        <v/>
      </c>
      <c r="DY18" s="218">
        <f>-DY$14*ConcessionsPct</f>
        <v/>
      </c>
      <c r="DZ18" s="218">
        <f>-DZ$14*ConcessionsPct</f>
        <v/>
      </c>
      <c r="EA18" s="218">
        <f>-EA$14*ConcessionsPct</f>
        <v/>
      </c>
      <c r="EB18" s="218">
        <f>-EB$14*ConcessionsPct</f>
        <v/>
      </c>
      <c r="EC18" s="218">
        <f>-EC$14*ConcessionsPct</f>
        <v/>
      </c>
      <c r="ED18" s="218">
        <f>-ED$14*ConcessionsPct</f>
        <v/>
      </c>
      <c r="EE18" s="218">
        <f>-EE$14*ConcessionsPct</f>
        <v/>
      </c>
      <c r="EF18" s="218">
        <f>-EF$14*ConcessionsPct</f>
        <v/>
      </c>
      <c r="EG18" s="218">
        <f>-EG$14*ConcessionsPct</f>
        <v/>
      </c>
      <c r="EH18" s="218">
        <f>-EH$14*ConcessionsPct</f>
        <v/>
      </c>
      <c r="EI18" s="218">
        <f>-EI$14*ConcessionsPct</f>
        <v/>
      </c>
      <c r="EJ18" s="218">
        <f>-EJ$14*ConcessionsPct</f>
        <v/>
      </c>
      <c r="EK18" s="218">
        <f>-EK$14*ConcessionsPct</f>
        <v/>
      </c>
      <c r="EL18" s="218">
        <f>-EL$14*ConcessionsPct</f>
        <v/>
      </c>
      <c r="EM18" s="218">
        <f>-EM$14*ConcessionsPct</f>
        <v/>
      </c>
      <c r="EN18" s="218">
        <f>-EN$14*ConcessionsPct</f>
        <v/>
      </c>
      <c r="EO18" s="218">
        <f>-EO$14*ConcessionsPct</f>
        <v/>
      </c>
      <c r="EP18" s="218">
        <f>-EP$14*ConcessionsPct</f>
        <v/>
      </c>
      <c r="EQ18" s="218">
        <f>-EQ$14*ConcessionsPct</f>
        <v/>
      </c>
      <c r="ER18" s="218">
        <f>-ER$14*ConcessionsPct</f>
        <v/>
      </c>
      <c r="ES18" s="218">
        <f>-ES$14*ConcessionsPct</f>
        <v/>
      </c>
      <c r="ET18" s="218">
        <f>-ET$14*ConcessionsPct</f>
        <v/>
      </c>
      <c r="EU18" s="218">
        <f>-EU$14*ConcessionsPct</f>
        <v/>
      </c>
      <c r="EV18" s="218">
        <f>-EV$14*ConcessionsPct</f>
        <v/>
      </c>
      <c r="EW18" s="218">
        <f>-EW$14*ConcessionsPct</f>
        <v/>
      </c>
      <c r="EX18" s="218">
        <f>-EX$14*ConcessionsPct</f>
        <v/>
      </c>
      <c r="EY18" s="218">
        <f>-EY$14*ConcessionsPct</f>
        <v/>
      </c>
      <c r="EZ18" s="218">
        <f>-EZ$14*ConcessionsPct</f>
        <v/>
      </c>
      <c r="FA18" s="218">
        <f>-FA$14*ConcessionsPct</f>
        <v/>
      </c>
      <c r="FB18" s="218">
        <f>-FB$14*ConcessionsPct</f>
        <v/>
      </c>
      <c r="FC18" s="218">
        <f>-FC$14*ConcessionsPct</f>
        <v/>
      </c>
      <c r="FD18" s="218">
        <f>-FD$14*ConcessionsPct</f>
        <v/>
      </c>
      <c r="FE18" s="218">
        <f>-FE$14*ConcessionsPct</f>
        <v/>
      </c>
      <c r="FF18" s="218">
        <f>-FF$14*ConcessionsPct</f>
        <v/>
      </c>
      <c r="FG18" s="218">
        <f>-FG$14*ConcessionsPct</f>
        <v/>
      </c>
      <c r="FH18" s="218">
        <f>-FH$14*ConcessionsPct</f>
        <v/>
      </c>
      <c r="FI18" s="218">
        <f>-FI$14*ConcessionsPct</f>
        <v/>
      </c>
      <c r="FJ18" s="218">
        <f>-FJ$14*ConcessionsPct</f>
        <v/>
      </c>
      <c r="FK18" s="218">
        <f>-FK$14*ConcessionsPct</f>
        <v/>
      </c>
      <c r="FL18" s="218">
        <f>-FL$14*ConcessionsPct</f>
        <v/>
      </c>
      <c r="FM18" s="218">
        <f>-FM$14*ConcessionsPct</f>
        <v/>
      </c>
      <c r="FN18" s="218">
        <f>-FN$14*ConcessionsPct</f>
        <v/>
      </c>
      <c r="FO18" s="218">
        <f>-FO$14*ConcessionsPct</f>
        <v/>
      </c>
      <c r="FP18" s="218">
        <f>-FP$14*ConcessionsPct</f>
        <v/>
      </c>
      <c r="FQ18" s="218">
        <f>-FQ$14*ConcessionsPct</f>
        <v/>
      </c>
      <c r="FR18" s="218">
        <f>-FR$14*ConcessionsPct</f>
        <v/>
      </c>
      <c r="FS18" s="218">
        <f>-FS$14*ConcessionsPct</f>
        <v/>
      </c>
      <c r="FT18" s="218">
        <f>-FT$14*ConcessionsPct</f>
        <v/>
      </c>
      <c r="FU18" s="218">
        <f>-FU$14*ConcessionsPct</f>
        <v/>
      </c>
      <c r="FV18" s="218">
        <f>-FV$14*ConcessionsPct</f>
        <v/>
      </c>
      <c r="FW18" s="218">
        <f>-FW$14*ConcessionsPct</f>
        <v/>
      </c>
      <c r="FX18" s="218">
        <f>-FX$14*ConcessionsPct</f>
        <v/>
      </c>
      <c r="FY18" s="218">
        <f>-FY$14*ConcessionsPct</f>
        <v/>
      </c>
      <c r="FZ18" s="218">
        <f>-FZ$14*ConcessionsPct</f>
        <v/>
      </c>
      <c r="GA18" s="218">
        <f>-GA$14*ConcessionsPct</f>
        <v/>
      </c>
      <c r="GB18" s="218">
        <f>-GB$14*ConcessionsPct</f>
        <v/>
      </c>
      <c r="GC18" s="218">
        <f>-GC$14*ConcessionsPct</f>
        <v/>
      </c>
      <c r="GD18" s="218">
        <f>-GD$14*ConcessionsPct</f>
        <v/>
      </c>
      <c r="GE18" s="218">
        <f>-GE$14*ConcessionsPct</f>
        <v/>
      </c>
      <c r="GF18" s="218">
        <f>-GF$14*ConcessionsPct</f>
        <v/>
      </c>
      <c r="GG18" s="218">
        <f>-GG$14*ConcessionsPct</f>
        <v/>
      </c>
      <c r="GH18" s="218">
        <f>-GH$14*ConcessionsPct</f>
        <v/>
      </c>
      <c r="GI18" s="218">
        <f>-GI$14*ConcessionsPct</f>
        <v/>
      </c>
      <c r="GJ18" s="218">
        <f>-GJ$14*ConcessionsPct</f>
        <v/>
      </c>
      <c r="GK18" s="218">
        <f>-GK$14*ConcessionsPct</f>
        <v/>
      </c>
      <c r="GL18" s="218">
        <f>-GL$14*ConcessionsPct</f>
        <v/>
      </c>
      <c r="GM18" s="218">
        <f>-GM$14*ConcessionsPct</f>
        <v/>
      </c>
      <c r="GN18" s="218">
        <f>-GN$14*ConcessionsPct</f>
        <v/>
      </c>
      <c r="GO18" s="218">
        <f>-GO$14*ConcessionsPct</f>
        <v/>
      </c>
      <c r="GP18" s="218">
        <f>-GP$14*ConcessionsPct</f>
        <v/>
      </c>
      <c r="GQ18" s="218">
        <f>-GQ$14*ConcessionsPct</f>
        <v/>
      </c>
      <c r="GR18" s="218">
        <f>-GR$14*ConcessionsPct</f>
        <v/>
      </c>
      <c r="GS18" s="218">
        <f>-GS$14*ConcessionsPct</f>
        <v/>
      </c>
      <c r="GT18" s="218">
        <f>-GT$14*ConcessionsPct</f>
        <v/>
      </c>
      <c r="GU18" s="218">
        <f>-GU$14*ConcessionsPct</f>
        <v/>
      </c>
      <c r="GV18" s="218">
        <f>-GV$14*ConcessionsPct</f>
        <v/>
      </c>
      <c r="GW18" s="218">
        <f>-GW$14*ConcessionsPct</f>
        <v/>
      </c>
      <c r="GX18" s="218">
        <f>-GX$14*ConcessionsPct</f>
        <v/>
      </c>
      <c r="GY18" s="218">
        <f>-GY$14*ConcessionsPct</f>
        <v/>
      </c>
      <c r="GZ18" s="218">
        <f>-GZ$14*ConcessionsPct</f>
        <v/>
      </c>
      <c r="HA18" s="218">
        <f>-HA$14*ConcessionsPct</f>
        <v/>
      </c>
      <c r="HB18" s="218">
        <f>-HB$14*ConcessionsPct</f>
        <v/>
      </c>
      <c r="HC18" s="218">
        <f>-HC$14*ConcessionsPct</f>
        <v/>
      </c>
      <c r="HD18" s="218">
        <f>-HD$14*ConcessionsPct</f>
        <v/>
      </c>
      <c r="HE18" s="218">
        <f>-HE$14*ConcessionsPct</f>
        <v/>
      </c>
      <c r="HF18" s="218">
        <f>-HF$14*ConcessionsPct</f>
        <v/>
      </c>
      <c r="HG18" s="218">
        <f>-HG$14*ConcessionsPct</f>
        <v/>
      </c>
      <c r="HH18" s="218">
        <f>-HH$14*ConcessionsPct</f>
        <v/>
      </c>
      <c r="HI18" s="218">
        <f>-HI$14*ConcessionsPct</f>
        <v/>
      </c>
      <c r="HJ18" s="218">
        <f>-HJ$14*ConcessionsPct</f>
        <v/>
      </c>
      <c r="HK18" s="218">
        <f>-HK$14*ConcessionsPct</f>
        <v/>
      </c>
      <c r="HL18" s="218">
        <f>-HL$14*ConcessionsPct</f>
        <v/>
      </c>
      <c r="HM18" s="218">
        <f>-HM$14*ConcessionsPct</f>
        <v/>
      </c>
      <c r="HN18" s="218">
        <f>-HN$14*ConcessionsPct</f>
        <v/>
      </c>
      <c r="HO18" s="218">
        <f>-HO$14*ConcessionsPct</f>
        <v/>
      </c>
      <c r="HP18" s="218">
        <f>-HP$14*ConcessionsPct</f>
        <v/>
      </c>
      <c r="HQ18" s="218">
        <f>-HQ$14*ConcessionsPct</f>
        <v/>
      </c>
      <c r="HR18" s="218">
        <f>-HR$14*ConcessionsPct</f>
        <v/>
      </c>
      <c r="HS18" s="218">
        <f>-HS$14*ConcessionsPct</f>
        <v/>
      </c>
      <c r="HT18" s="218">
        <f>-HT$14*ConcessionsPct</f>
        <v/>
      </c>
      <c r="HU18" s="218">
        <f>-HU$14*ConcessionsPct</f>
        <v/>
      </c>
      <c r="HV18" s="218">
        <f>-HV$14*ConcessionsPct</f>
        <v/>
      </c>
      <c r="HW18" s="218">
        <f>-HW$14*ConcessionsPct</f>
        <v/>
      </c>
      <c r="HX18" s="218">
        <f>-HX$14*ConcessionsPct</f>
        <v/>
      </c>
      <c r="HY18" s="218">
        <f>-HY$14*ConcessionsPct</f>
        <v/>
      </c>
      <c r="HZ18" s="218">
        <f>-HZ$14*ConcessionsPct</f>
        <v/>
      </c>
      <c r="IA18" s="218">
        <f>-IA$14*ConcessionsPct</f>
        <v/>
      </c>
      <c r="IB18" s="218">
        <f>-IB$14*ConcessionsPct</f>
        <v/>
      </c>
      <c r="IC18" s="218">
        <f>-IC$14*ConcessionsPct</f>
        <v/>
      </c>
      <c r="ID18" s="218">
        <f>-ID$14*ConcessionsPct</f>
        <v/>
      </c>
      <c r="IE18" s="218">
        <f>-IE$14*ConcessionsPct</f>
        <v/>
      </c>
      <c r="IF18" s="218">
        <f>-IF$14*ConcessionsPct</f>
        <v/>
      </c>
      <c r="IG18" s="218">
        <f>-IG$14*ConcessionsPct</f>
        <v/>
      </c>
      <c r="IH18" s="218">
        <f>-IH$14*ConcessionsPct</f>
        <v/>
      </c>
      <c r="II18" s="218">
        <f>-II$14*ConcessionsPct</f>
        <v/>
      </c>
      <c r="IJ18" s="218">
        <f>-IJ$14*ConcessionsPct</f>
        <v/>
      </c>
      <c r="IK18" s="218">
        <f>-IK$14*ConcessionsPct</f>
        <v/>
      </c>
      <c r="IL18" s="218">
        <f>-IL$14*ConcessionsPct</f>
        <v/>
      </c>
      <c r="IM18" s="218">
        <f>-IM$14*ConcessionsPct</f>
        <v/>
      </c>
      <c r="IN18" s="218">
        <f>-IN$14*ConcessionsPct</f>
        <v/>
      </c>
      <c r="IO18" s="218">
        <f>-IO$14*ConcessionsPct</f>
        <v/>
      </c>
      <c r="IP18" s="218">
        <f>-IP$14*ConcessionsPct</f>
        <v/>
      </c>
      <c r="IQ18" s="218">
        <f>-IQ$14*ConcessionsPct</f>
        <v/>
      </c>
      <c r="IR18" s="218">
        <f>-IR$14*ConcessionsPct</f>
        <v/>
      </c>
      <c r="IS18" s="218">
        <f>-IS$14*ConcessionsPct</f>
        <v/>
      </c>
      <c r="IT18" s="218">
        <f>-IT$14*ConcessionsPct</f>
        <v/>
      </c>
      <c r="IU18" s="218">
        <f>-IU$14*ConcessionsPct</f>
        <v/>
      </c>
      <c r="IV18" s="218">
        <f>-IV$14*ConcessionsPct</f>
        <v/>
      </c>
      <c r="IW18" s="218">
        <f>-IW$14*ConcessionsPct</f>
        <v/>
      </c>
      <c r="IX18" s="218">
        <f>-IX$14*ConcessionsPct</f>
        <v/>
      </c>
      <c r="IY18" s="218">
        <f>-IY$14*ConcessionsPct</f>
        <v/>
      </c>
      <c r="IZ18" s="218">
        <f>-IZ$14*ConcessionsPct</f>
        <v/>
      </c>
      <c r="JA18" s="218">
        <f>-JA$14*ConcessionsPct</f>
        <v/>
      </c>
      <c r="JB18" s="218">
        <f>-JB$14*ConcessionsPct</f>
        <v/>
      </c>
      <c r="JC18" s="218">
        <f>-JC$14*ConcessionsPct</f>
        <v/>
      </c>
      <c r="JD18" s="218">
        <f>-JD$14*ConcessionsPct</f>
        <v/>
      </c>
      <c r="JE18" s="218">
        <f>-JE$14*ConcessionsPct</f>
        <v/>
      </c>
      <c r="JF18" s="218">
        <f>-JF$14*ConcessionsPct</f>
        <v/>
      </c>
      <c r="JG18" s="218">
        <f>-JG$14*ConcessionsPct</f>
        <v/>
      </c>
      <c r="JH18" s="218">
        <f>-JH$14*ConcessionsPct</f>
        <v/>
      </c>
      <c r="JI18" s="218">
        <f>-JI$14*ConcessionsPct</f>
        <v/>
      </c>
      <c r="JJ18" s="218">
        <f>-JJ$14*ConcessionsPct</f>
        <v/>
      </c>
      <c r="JK18" s="218">
        <f>-JK$14*ConcessionsPct</f>
        <v/>
      </c>
      <c r="JL18" s="218">
        <f>-JL$14*ConcessionsPct</f>
        <v/>
      </c>
      <c r="JM18" s="218">
        <f>-JM$14*ConcessionsPct</f>
        <v/>
      </c>
      <c r="JN18" s="218">
        <f>-JN$14*ConcessionsPct</f>
        <v/>
      </c>
      <c r="JO18" s="218">
        <f>-JO$14*ConcessionsPct</f>
        <v/>
      </c>
      <c r="JP18" s="218">
        <f>-JP$14*ConcessionsPct</f>
        <v/>
      </c>
      <c r="JQ18" s="218">
        <f>-JQ$14*ConcessionsPct</f>
        <v/>
      </c>
      <c r="JR18" s="218">
        <f>-JR$14*ConcessionsPct</f>
        <v/>
      </c>
      <c r="JS18" s="218">
        <f>-JS$14*ConcessionsPct</f>
        <v/>
      </c>
      <c r="JT18" s="218">
        <f>-JT$14*ConcessionsPct</f>
        <v/>
      </c>
      <c r="JU18" s="218">
        <f>-JU$14*ConcessionsPct</f>
        <v/>
      </c>
      <c r="JV18" s="218">
        <f>-JV$14*ConcessionsPct</f>
        <v/>
      </c>
      <c r="JW18" s="218">
        <f>-JW$14*ConcessionsPct</f>
        <v/>
      </c>
      <c r="JX18" s="218">
        <f>-JX$14*ConcessionsPct</f>
        <v/>
      </c>
      <c r="JY18" s="218">
        <f>-JY$14*ConcessionsPct</f>
        <v/>
      </c>
      <c r="JZ18" s="218">
        <f>-JZ$14*ConcessionsPct</f>
        <v/>
      </c>
      <c r="KA18" s="218">
        <f>-KA$14*ConcessionsPct</f>
        <v/>
      </c>
      <c r="KB18" s="218">
        <f>-KB$14*ConcessionsPct</f>
        <v/>
      </c>
      <c r="KC18" s="218">
        <f>-KC$14*ConcessionsPct</f>
        <v/>
      </c>
      <c r="KD18" s="218">
        <f>-KD$14*ConcessionsPct</f>
        <v/>
      </c>
      <c r="KE18" s="218">
        <f>-KE$14*ConcessionsPct</f>
        <v/>
      </c>
      <c r="KF18" s="218">
        <f>-KF$14*ConcessionsPct</f>
        <v/>
      </c>
      <c r="KG18" s="218">
        <f>-KG$14*ConcessionsPct</f>
        <v/>
      </c>
      <c r="KH18" s="218">
        <f>-KH$14*ConcessionsPct</f>
        <v/>
      </c>
      <c r="KI18" s="218">
        <f>-KI$14*ConcessionsPct</f>
        <v/>
      </c>
      <c r="KJ18" s="218">
        <f>-KJ$14*ConcessionsPct</f>
        <v/>
      </c>
      <c r="KK18" s="218">
        <f>-KK$14*ConcessionsPct</f>
        <v/>
      </c>
      <c r="KL18" s="218">
        <f>-KL$14*ConcessionsPct</f>
        <v/>
      </c>
      <c r="KM18" s="218">
        <f>-KM$14*ConcessionsPct</f>
        <v/>
      </c>
      <c r="KN18" s="218">
        <f>-KN$14*ConcessionsPct</f>
        <v/>
      </c>
      <c r="KO18" s="218">
        <f>-KO$14*ConcessionsPct</f>
        <v/>
      </c>
      <c r="KP18" s="218">
        <f>-KP$14*ConcessionsPct</f>
        <v/>
      </c>
      <c r="KQ18" s="218">
        <f>-KQ$14*ConcessionsPct</f>
        <v/>
      </c>
      <c r="KR18" s="218">
        <f>-KR$14*ConcessionsPct</f>
        <v/>
      </c>
      <c r="KS18" s="218">
        <f>-KS$14*ConcessionsPct</f>
        <v/>
      </c>
      <c r="KT18" s="218">
        <f>-KT$14*ConcessionsPct</f>
        <v/>
      </c>
      <c r="KU18" s="218">
        <f>-KU$14*ConcessionsPct</f>
        <v/>
      </c>
      <c r="KV18" s="218">
        <f>-KV$14*ConcessionsPct</f>
        <v/>
      </c>
      <c r="KW18" s="218">
        <f>-KW$14*ConcessionsPct</f>
        <v/>
      </c>
      <c r="KX18" s="218">
        <f>-KX$14*ConcessionsPct</f>
        <v/>
      </c>
      <c r="KY18" s="218">
        <f>-KY$14*ConcessionsPct</f>
        <v/>
      </c>
      <c r="KZ18" s="218">
        <f>-KZ$14*ConcessionsPct</f>
        <v/>
      </c>
      <c r="LA18" s="218">
        <f>-LA$14*ConcessionsPct</f>
        <v/>
      </c>
      <c r="LB18" s="218">
        <f>-LB$14*ConcessionsPct</f>
        <v/>
      </c>
      <c r="LC18" s="218">
        <f>-LC$14*ConcessionsPct</f>
        <v/>
      </c>
      <c r="LD18" s="218">
        <f>-LD$14*ConcessionsPct</f>
        <v/>
      </c>
      <c r="LE18" s="218">
        <f>-LE$14*ConcessionsPct</f>
        <v/>
      </c>
      <c r="LF18" s="218">
        <f>-LF$14*ConcessionsPct</f>
        <v/>
      </c>
      <c r="LG18" s="218">
        <f>-LG$14*ConcessionsPct</f>
        <v/>
      </c>
      <c r="LH18" s="218">
        <f>-LH$14*ConcessionsPct</f>
        <v/>
      </c>
      <c r="LI18" s="218">
        <f>-LI$14*ConcessionsPct</f>
        <v/>
      </c>
      <c r="LJ18" s="218">
        <f>-LJ$14*ConcessionsPct</f>
        <v/>
      </c>
      <c r="LK18" s="218">
        <f>-LK$14*ConcessionsPct</f>
        <v/>
      </c>
      <c r="LL18" s="218">
        <f>-LL$14*ConcessionsPct</f>
        <v/>
      </c>
      <c r="LM18" s="218">
        <f>-LM$14*ConcessionsPct</f>
        <v/>
      </c>
      <c r="LN18" s="218">
        <f>-LN$14*ConcessionsPct</f>
        <v/>
      </c>
      <c r="LO18" s="218">
        <f>-LO$14*ConcessionsPct</f>
        <v/>
      </c>
      <c r="LP18" s="218">
        <f>-LP$14*ConcessionsPct</f>
        <v/>
      </c>
      <c r="LQ18" s="218">
        <f>-LQ$14*ConcessionsPct</f>
        <v/>
      </c>
      <c r="LR18" s="218">
        <f>-LR$14*ConcessionsPct</f>
        <v/>
      </c>
      <c r="LS18" s="218">
        <f>-LS$14*ConcessionsPct</f>
        <v/>
      </c>
      <c r="LT18" s="218">
        <f>-LT$14*ConcessionsPct</f>
        <v/>
      </c>
      <c r="LU18" s="218">
        <f>-LU$14*ConcessionsPct</f>
        <v/>
      </c>
      <c r="LV18" s="218">
        <f>-LV$14*ConcessionsPct</f>
        <v/>
      </c>
      <c r="LW18" s="218">
        <f>-LW$14*ConcessionsPct</f>
        <v/>
      </c>
      <c r="LX18" s="218">
        <f>-LX$14*ConcessionsPct</f>
        <v/>
      </c>
      <c r="LY18" s="218">
        <f>-LY$14*ConcessionsPct</f>
        <v/>
      </c>
      <c r="LZ18" s="218">
        <f>-LZ$14*ConcessionsPct</f>
        <v/>
      </c>
      <c r="MA18" s="218">
        <f>-MA$14*ConcessionsPct</f>
        <v/>
      </c>
      <c r="MB18" s="218">
        <f>-MB$14*ConcessionsPct</f>
        <v/>
      </c>
      <c r="MC18" s="218">
        <f>-MC$14*ConcessionsPct</f>
        <v/>
      </c>
      <c r="MD18" s="218">
        <f>-MD$14*ConcessionsPct</f>
        <v/>
      </c>
      <c r="ME18" s="218">
        <f>-ME$14*ConcessionsPct</f>
        <v/>
      </c>
      <c r="MF18" s="218">
        <f>-MF$14*ConcessionsPct</f>
        <v/>
      </c>
      <c r="MG18" s="218">
        <f>-MG$14*ConcessionsPct</f>
        <v/>
      </c>
      <c r="MH18" s="218">
        <f>-MH$14*ConcessionsPct</f>
        <v/>
      </c>
      <c r="MI18" s="218">
        <f>-MI$14*ConcessionsPct</f>
        <v/>
      </c>
      <c r="MJ18" s="218">
        <f>-MJ$14*ConcessionsPct</f>
        <v/>
      </c>
      <c r="MK18" s="218">
        <f>-MK$14*ConcessionsPct</f>
        <v/>
      </c>
      <c r="ML18" s="218">
        <f>-ML$14*ConcessionsPct</f>
        <v/>
      </c>
      <c r="MM18" s="218">
        <f>-MM$14*ConcessionsPct</f>
        <v/>
      </c>
      <c r="MN18" s="218">
        <f>-MN$14*ConcessionsPct</f>
        <v/>
      </c>
      <c r="MO18" s="218">
        <f>-MO$14*ConcessionsPct</f>
        <v/>
      </c>
      <c r="MP18" s="218">
        <f>-MP$14*ConcessionsPct</f>
        <v/>
      </c>
      <c r="MQ18" s="218">
        <f>-MQ$14*ConcessionsPct</f>
        <v/>
      </c>
      <c r="MR18" s="218">
        <f>-MR$14*ConcessionsPct</f>
        <v/>
      </c>
      <c r="MS18" s="218">
        <f>-MS$14*ConcessionsPct</f>
        <v/>
      </c>
      <c r="MT18" s="218">
        <f>-MT$14*ConcessionsPct</f>
        <v/>
      </c>
      <c r="MU18" s="218">
        <f>-MU$14*ConcessionsPct</f>
        <v/>
      </c>
      <c r="MV18" s="218">
        <f>-MV$14*ConcessionsPct</f>
        <v/>
      </c>
      <c r="MW18" s="218">
        <f>-MW$14*ConcessionsPct</f>
        <v/>
      </c>
      <c r="MX18" s="218">
        <f>-MX$14*ConcessionsPct</f>
        <v/>
      </c>
      <c r="MY18" s="218">
        <f>-MY$14*ConcessionsPct</f>
        <v/>
      </c>
      <c r="MZ18" s="218">
        <f>-MZ$14*ConcessionsPct</f>
        <v/>
      </c>
      <c r="NA18" s="218">
        <f>-NA$14*ConcessionsPct</f>
        <v/>
      </c>
      <c r="NB18" s="218">
        <f>-NB$14*ConcessionsPct</f>
        <v/>
      </c>
      <c r="NC18" s="218">
        <f>-NC$14*ConcessionsPct</f>
        <v/>
      </c>
      <c r="ND18" s="218">
        <f>-ND$14*ConcessionsPct</f>
        <v/>
      </c>
      <c r="NE18" s="218">
        <f>-NE$14*ConcessionsPct</f>
        <v/>
      </c>
      <c r="NF18" s="218">
        <f>-NF$14*ConcessionsPct</f>
        <v/>
      </c>
      <c r="NG18" s="218">
        <f>-NG$14*ConcessionsPct</f>
        <v/>
      </c>
      <c r="NH18" s="218">
        <f>-NH$14*ConcessionsPct</f>
        <v/>
      </c>
      <c r="NI18" s="218">
        <f>-NI$14*ConcessionsPct</f>
        <v/>
      </c>
      <c r="NJ18" s="218">
        <f>-NJ$14*ConcessionsPct</f>
        <v/>
      </c>
      <c r="NK18" s="218">
        <f>-NK$14*ConcessionsPct</f>
        <v/>
      </c>
      <c r="NL18" s="225">
        <f>-NL$14*ConcessionsPct</f>
        <v/>
      </c>
    </row>
    <row r="19">
      <c r="B19" s="36" t="inlineStr">
        <is>
          <t>Parking &amp; Storage</t>
        </is>
      </c>
      <c r="D19" s="266">
        <f>SUM(E19:NL19)</f>
        <v/>
      </c>
      <c r="E19" s="218">
        <f>IF(1&gt;=DeliverStart,ParkingPerUnitMo*LeaseUp!E$9*E$10,0)</f>
        <v/>
      </c>
      <c r="F19" s="218">
        <f>IF(2&gt;=DeliverStart,ParkingPerUnitMo*LeaseUp!F$9*F$10,0)</f>
        <v/>
      </c>
      <c r="G19" s="218">
        <f>IF(3&gt;=DeliverStart,ParkingPerUnitMo*LeaseUp!G$9*G$10,0)</f>
        <v/>
      </c>
      <c r="H19" s="218">
        <f>IF(4&gt;=DeliverStart,ParkingPerUnitMo*LeaseUp!H$9*H$10,0)</f>
        <v/>
      </c>
      <c r="I19" s="218">
        <f>IF(5&gt;=DeliverStart,ParkingPerUnitMo*LeaseUp!I$9*I$10,0)</f>
        <v/>
      </c>
      <c r="J19" s="218">
        <f>IF(6&gt;=DeliverStart,ParkingPerUnitMo*LeaseUp!J$9*J$10,0)</f>
        <v/>
      </c>
      <c r="K19" s="218">
        <f>IF(7&gt;=DeliverStart,ParkingPerUnitMo*LeaseUp!K$9*K$10,0)</f>
        <v/>
      </c>
      <c r="L19" s="218">
        <f>IF(8&gt;=DeliverStart,ParkingPerUnitMo*LeaseUp!L$9*L$10,0)</f>
        <v/>
      </c>
      <c r="M19" s="218">
        <f>IF(9&gt;=DeliverStart,ParkingPerUnitMo*LeaseUp!M$9*M$10,0)</f>
        <v/>
      </c>
      <c r="N19" s="218">
        <f>IF(10&gt;=DeliverStart,ParkingPerUnitMo*LeaseUp!N$9*N$10,0)</f>
        <v/>
      </c>
      <c r="O19" s="218">
        <f>IF(11&gt;=DeliverStart,ParkingPerUnitMo*LeaseUp!O$9*O$10,0)</f>
        <v/>
      </c>
      <c r="P19" s="218">
        <f>IF(12&gt;=DeliverStart,ParkingPerUnitMo*LeaseUp!P$9*P$10,0)</f>
        <v/>
      </c>
      <c r="Q19" s="218">
        <f>IF(13&gt;=DeliverStart,ParkingPerUnitMo*LeaseUp!Q$9*Q$10,0)</f>
        <v/>
      </c>
      <c r="R19" s="218">
        <f>IF(14&gt;=DeliverStart,ParkingPerUnitMo*LeaseUp!R$9*R$10,0)</f>
        <v/>
      </c>
      <c r="S19" s="218">
        <f>IF(15&gt;=DeliverStart,ParkingPerUnitMo*LeaseUp!S$9*S$10,0)</f>
        <v/>
      </c>
      <c r="T19" s="218">
        <f>IF(16&gt;=DeliverStart,ParkingPerUnitMo*LeaseUp!T$9*T$10,0)</f>
        <v/>
      </c>
      <c r="U19" s="218">
        <f>IF(17&gt;=DeliverStart,ParkingPerUnitMo*LeaseUp!U$9*U$10,0)</f>
        <v/>
      </c>
      <c r="V19" s="218">
        <f>IF(18&gt;=DeliverStart,ParkingPerUnitMo*LeaseUp!V$9*V$10,0)</f>
        <v/>
      </c>
      <c r="W19" s="218">
        <f>IF(19&gt;=DeliverStart,ParkingPerUnitMo*LeaseUp!W$9*W$10,0)</f>
        <v/>
      </c>
      <c r="X19" s="218">
        <f>IF(20&gt;=DeliverStart,ParkingPerUnitMo*LeaseUp!X$9*X$10,0)</f>
        <v/>
      </c>
      <c r="Y19" s="218">
        <f>IF(21&gt;=DeliverStart,ParkingPerUnitMo*LeaseUp!Y$9*Y$10,0)</f>
        <v/>
      </c>
      <c r="Z19" s="218">
        <f>IF(22&gt;=DeliverStart,ParkingPerUnitMo*LeaseUp!Z$9*Z$10,0)</f>
        <v/>
      </c>
      <c r="AA19" s="218">
        <f>IF(23&gt;=DeliverStart,ParkingPerUnitMo*LeaseUp!AA$9*AA$10,0)</f>
        <v/>
      </c>
      <c r="AB19" s="218">
        <f>IF(24&gt;=DeliverStart,ParkingPerUnitMo*LeaseUp!AB$9*AB$10,0)</f>
        <v/>
      </c>
      <c r="AC19" s="218">
        <f>IF(25&gt;=DeliverStart,ParkingPerUnitMo*LeaseUp!AC$9*AC$10,0)</f>
        <v/>
      </c>
      <c r="AD19" s="218">
        <f>IF(26&gt;=DeliverStart,ParkingPerUnitMo*LeaseUp!AD$9*AD$10,0)</f>
        <v/>
      </c>
      <c r="AE19" s="218">
        <f>IF(27&gt;=DeliverStart,ParkingPerUnitMo*LeaseUp!AE$9*AE$10,0)</f>
        <v/>
      </c>
      <c r="AF19" s="218">
        <f>IF(28&gt;=DeliverStart,ParkingPerUnitMo*LeaseUp!AF$9*AF$10,0)</f>
        <v/>
      </c>
      <c r="AG19" s="218">
        <f>IF(29&gt;=DeliverStart,ParkingPerUnitMo*LeaseUp!AG$9*AG$10,0)</f>
        <v/>
      </c>
      <c r="AH19" s="218">
        <f>IF(30&gt;=DeliverStart,ParkingPerUnitMo*LeaseUp!AH$9*AH$10,0)</f>
        <v/>
      </c>
      <c r="AI19" s="218">
        <f>IF(31&gt;=DeliverStart,ParkingPerUnitMo*LeaseUp!AI$9*AI$10,0)</f>
        <v/>
      </c>
      <c r="AJ19" s="218">
        <f>IF(32&gt;=DeliverStart,ParkingPerUnitMo*LeaseUp!AJ$9*AJ$10,0)</f>
        <v/>
      </c>
      <c r="AK19" s="218">
        <f>IF(33&gt;=DeliverStart,ParkingPerUnitMo*LeaseUp!AK$9*AK$10,0)</f>
        <v/>
      </c>
      <c r="AL19" s="218">
        <f>IF(34&gt;=DeliverStart,ParkingPerUnitMo*LeaseUp!AL$9*AL$10,0)</f>
        <v/>
      </c>
      <c r="AM19" s="218">
        <f>IF(35&gt;=DeliverStart,ParkingPerUnitMo*LeaseUp!AM$9*AM$10,0)</f>
        <v/>
      </c>
      <c r="AN19" s="218">
        <f>IF(36&gt;=DeliverStart,ParkingPerUnitMo*LeaseUp!AN$9*AN$10,0)</f>
        <v/>
      </c>
      <c r="AO19" s="218">
        <f>IF(37&gt;=DeliverStart,ParkingPerUnitMo*LeaseUp!AO$9*AO$10,0)</f>
        <v/>
      </c>
      <c r="AP19" s="218">
        <f>IF(38&gt;=DeliverStart,ParkingPerUnitMo*LeaseUp!AP$9*AP$10,0)</f>
        <v/>
      </c>
      <c r="AQ19" s="218">
        <f>IF(39&gt;=DeliverStart,ParkingPerUnitMo*LeaseUp!AQ$9*AQ$10,0)</f>
        <v/>
      </c>
      <c r="AR19" s="218">
        <f>IF(40&gt;=DeliverStart,ParkingPerUnitMo*LeaseUp!AR$9*AR$10,0)</f>
        <v/>
      </c>
      <c r="AS19" s="218">
        <f>IF(41&gt;=DeliverStart,ParkingPerUnitMo*LeaseUp!AS$9*AS$10,0)</f>
        <v/>
      </c>
      <c r="AT19" s="218">
        <f>IF(42&gt;=DeliverStart,ParkingPerUnitMo*LeaseUp!AT$9*AT$10,0)</f>
        <v/>
      </c>
      <c r="AU19" s="218">
        <f>IF(43&gt;=DeliverStart,ParkingPerUnitMo*LeaseUp!AU$9*AU$10,0)</f>
        <v/>
      </c>
      <c r="AV19" s="218">
        <f>IF(44&gt;=DeliverStart,ParkingPerUnitMo*LeaseUp!AV$9*AV$10,0)</f>
        <v/>
      </c>
      <c r="AW19" s="218">
        <f>IF(45&gt;=DeliverStart,ParkingPerUnitMo*LeaseUp!AW$9*AW$10,0)</f>
        <v/>
      </c>
      <c r="AX19" s="218">
        <f>IF(46&gt;=DeliverStart,ParkingPerUnitMo*LeaseUp!AX$9*AX$10,0)</f>
        <v/>
      </c>
      <c r="AY19" s="218">
        <f>IF(47&gt;=DeliverStart,ParkingPerUnitMo*LeaseUp!AY$9*AY$10,0)</f>
        <v/>
      </c>
      <c r="AZ19" s="218">
        <f>IF(48&gt;=DeliverStart,ParkingPerUnitMo*LeaseUp!AZ$9*AZ$10,0)</f>
        <v/>
      </c>
      <c r="BA19" s="218">
        <f>IF(49&gt;=DeliverStart,ParkingPerUnitMo*LeaseUp!BA$9*BA$10,0)</f>
        <v/>
      </c>
      <c r="BB19" s="218">
        <f>IF(50&gt;=DeliverStart,ParkingPerUnitMo*LeaseUp!BB$9*BB$10,0)</f>
        <v/>
      </c>
      <c r="BC19" s="218">
        <f>IF(51&gt;=DeliverStart,ParkingPerUnitMo*LeaseUp!BC$9*BC$10,0)</f>
        <v/>
      </c>
      <c r="BD19" s="218">
        <f>IF(52&gt;=DeliverStart,ParkingPerUnitMo*LeaseUp!BD$9*BD$10,0)</f>
        <v/>
      </c>
      <c r="BE19" s="218">
        <f>IF(53&gt;=DeliverStart,ParkingPerUnitMo*LeaseUp!BE$9*BE$10,0)</f>
        <v/>
      </c>
      <c r="BF19" s="218">
        <f>IF(54&gt;=DeliverStart,ParkingPerUnitMo*LeaseUp!BF$9*BF$10,0)</f>
        <v/>
      </c>
      <c r="BG19" s="218">
        <f>IF(55&gt;=DeliverStart,ParkingPerUnitMo*LeaseUp!BG$9*BG$10,0)</f>
        <v/>
      </c>
      <c r="BH19" s="218">
        <f>IF(56&gt;=DeliverStart,ParkingPerUnitMo*LeaseUp!BH$9*BH$10,0)</f>
        <v/>
      </c>
      <c r="BI19" s="218">
        <f>IF(57&gt;=DeliverStart,ParkingPerUnitMo*LeaseUp!BI$9*BI$10,0)</f>
        <v/>
      </c>
      <c r="BJ19" s="218">
        <f>IF(58&gt;=DeliverStart,ParkingPerUnitMo*LeaseUp!BJ$9*BJ$10,0)</f>
        <v/>
      </c>
      <c r="BK19" s="218">
        <f>IF(59&gt;=DeliverStart,ParkingPerUnitMo*LeaseUp!BK$9*BK$10,0)</f>
        <v/>
      </c>
      <c r="BL19" s="218">
        <f>IF(60&gt;=DeliverStart,ParkingPerUnitMo*LeaseUp!BL$9*BL$10,0)</f>
        <v/>
      </c>
      <c r="BM19" s="218">
        <f>IF(61&gt;=DeliverStart,ParkingPerUnitMo*LeaseUp!BM$9*BM$10,0)</f>
        <v/>
      </c>
      <c r="BN19" s="218">
        <f>IF(62&gt;=DeliverStart,ParkingPerUnitMo*LeaseUp!BN$9*BN$10,0)</f>
        <v/>
      </c>
      <c r="BO19" s="218">
        <f>IF(63&gt;=DeliverStart,ParkingPerUnitMo*LeaseUp!BO$9*BO$10,0)</f>
        <v/>
      </c>
      <c r="BP19" s="218">
        <f>IF(64&gt;=DeliverStart,ParkingPerUnitMo*LeaseUp!BP$9*BP$10,0)</f>
        <v/>
      </c>
      <c r="BQ19" s="218">
        <f>IF(65&gt;=DeliverStart,ParkingPerUnitMo*LeaseUp!BQ$9*BQ$10,0)</f>
        <v/>
      </c>
      <c r="BR19" s="218">
        <f>IF(66&gt;=DeliverStart,ParkingPerUnitMo*LeaseUp!BR$9*BR$10,0)</f>
        <v/>
      </c>
      <c r="BS19" s="218">
        <f>IF(67&gt;=DeliverStart,ParkingPerUnitMo*LeaseUp!BS$9*BS$10,0)</f>
        <v/>
      </c>
      <c r="BT19" s="218">
        <f>IF(68&gt;=DeliverStart,ParkingPerUnitMo*LeaseUp!BT$9*BT$10,0)</f>
        <v/>
      </c>
      <c r="BU19" s="218">
        <f>IF(69&gt;=DeliverStart,ParkingPerUnitMo*LeaseUp!BU$9*BU$10,0)</f>
        <v/>
      </c>
      <c r="BV19" s="218">
        <f>IF(70&gt;=DeliverStart,ParkingPerUnitMo*LeaseUp!BV$9*BV$10,0)</f>
        <v/>
      </c>
      <c r="BW19" s="218">
        <f>IF(71&gt;=DeliverStart,ParkingPerUnitMo*LeaseUp!BW$9*BW$10,0)</f>
        <v/>
      </c>
      <c r="BX19" s="218">
        <f>IF(72&gt;=DeliverStart,ParkingPerUnitMo*LeaseUp!BX$9*BX$10,0)</f>
        <v/>
      </c>
      <c r="BY19" s="218">
        <f>IF(73&gt;=DeliverStart,ParkingPerUnitMo*LeaseUp!BY$9*BY$10,0)</f>
        <v/>
      </c>
      <c r="BZ19" s="218">
        <f>IF(74&gt;=DeliverStart,ParkingPerUnitMo*LeaseUp!BZ$9*BZ$10,0)</f>
        <v/>
      </c>
      <c r="CA19" s="218">
        <f>IF(75&gt;=DeliverStart,ParkingPerUnitMo*LeaseUp!CA$9*CA$10,0)</f>
        <v/>
      </c>
      <c r="CB19" s="218">
        <f>IF(76&gt;=DeliverStart,ParkingPerUnitMo*LeaseUp!CB$9*CB$10,0)</f>
        <v/>
      </c>
      <c r="CC19" s="218">
        <f>IF(77&gt;=DeliverStart,ParkingPerUnitMo*LeaseUp!CC$9*CC$10,0)</f>
        <v/>
      </c>
      <c r="CD19" s="218">
        <f>IF(78&gt;=DeliverStart,ParkingPerUnitMo*LeaseUp!CD$9*CD$10,0)</f>
        <v/>
      </c>
      <c r="CE19" s="218">
        <f>IF(79&gt;=DeliverStart,ParkingPerUnitMo*LeaseUp!CE$9*CE$10,0)</f>
        <v/>
      </c>
      <c r="CF19" s="218">
        <f>IF(80&gt;=DeliverStart,ParkingPerUnitMo*LeaseUp!CF$9*CF$10,0)</f>
        <v/>
      </c>
      <c r="CG19" s="218">
        <f>IF(81&gt;=DeliverStart,ParkingPerUnitMo*LeaseUp!CG$9*CG$10,0)</f>
        <v/>
      </c>
      <c r="CH19" s="218">
        <f>IF(82&gt;=DeliverStart,ParkingPerUnitMo*LeaseUp!CH$9*CH$10,0)</f>
        <v/>
      </c>
      <c r="CI19" s="218">
        <f>IF(83&gt;=DeliverStart,ParkingPerUnitMo*LeaseUp!CI$9*CI$10,0)</f>
        <v/>
      </c>
      <c r="CJ19" s="218">
        <f>IF(84&gt;=DeliverStart,ParkingPerUnitMo*LeaseUp!CJ$9*CJ$10,0)</f>
        <v/>
      </c>
      <c r="CK19" s="218">
        <f>IF(85&gt;=DeliverStart,ParkingPerUnitMo*LeaseUp!CK$9*CK$10,0)</f>
        <v/>
      </c>
      <c r="CL19" s="218">
        <f>IF(86&gt;=DeliverStart,ParkingPerUnitMo*LeaseUp!CL$9*CL$10,0)</f>
        <v/>
      </c>
      <c r="CM19" s="218">
        <f>IF(87&gt;=DeliverStart,ParkingPerUnitMo*LeaseUp!CM$9*CM$10,0)</f>
        <v/>
      </c>
      <c r="CN19" s="218">
        <f>IF(88&gt;=DeliverStart,ParkingPerUnitMo*LeaseUp!CN$9*CN$10,0)</f>
        <v/>
      </c>
      <c r="CO19" s="218">
        <f>IF(89&gt;=DeliverStart,ParkingPerUnitMo*LeaseUp!CO$9*CO$10,0)</f>
        <v/>
      </c>
      <c r="CP19" s="218">
        <f>IF(90&gt;=DeliverStart,ParkingPerUnitMo*LeaseUp!CP$9*CP$10,0)</f>
        <v/>
      </c>
      <c r="CQ19" s="218">
        <f>IF(91&gt;=DeliverStart,ParkingPerUnitMo*LeaseUp!CQ$9*CQ$10,0)</f>
        <v/>
      </c>
      <c r="CR19" s="218">
        <f>IF(92&gt;=DeliverStart,ParkingPerUnitMo*LeaseUp!CR$9*CR$10,0)</f>
        <v/>
      </c>
      <c r="CS19" s="218">
        <f>IF(93&gt;=DeliverStart,ParkingPerUnitMo*LeaseUp!CS$9*CS$10,0)</f>
        <v/>
      </c>
      <c r="CT19" s="218">
        <f>IF(94&gt;=DeliverStart,ParkingPerUnitMo*LeaseUp!CT$9*CT$10,0)</f>
        <v/>
      </c>
      <c r="CU19" s="218">
        <f>IF(95&gt;=DeliverStart,ParkingPerUnitMo*LeaseUp!CU$9*CU$10,0)</f>
        <v/>
      </c>
      <c r="CV19" s="218">
        <f>IF(96&gt;=DeliverStart,ParkingPerUnitMo*LeaseUp!CV$9*CV$10,0)</f>
        <v/>
      </c>
      <c r="CW19" s="218">
        <f>IF(97&gt;=DeliverStart,ParkingPerUnitMo*LeaseUp!CW$9*CW$10,0)</f>
        <v/>
      </c>
      <c r="CX19" s="218">
        <f>IF(98&gt;=DeliverStart,ParkingPerUnitMo*LeaseUp!CX$9*CX$10,0)</f>
        <v/>
      </c>
      <c r="CY19" s="218">
        <f>IF(99&gt;=DeliverStart,ParkingPerUnitMo*LeaseUp!CY$9*CY$10,0)</f>
        <v/>
      </c>
      <c r="CZ19" s="218">
        <f>IF(100&gt;=DeliverStart,ParkingPerUnitMo*LeaseUp!CZ$9*CZ$10,0)</f>
        <v/>
      </c>
      <c r="DA19" s="218">
        <f>IF(101&gt;=DeliverStart,ParkingPerUnitMo*LeaseUp!DA$9*DA$10,0)</f>
        <v/>
      </c>
      <c r="DB19" s="218">
        <f>IF(102&gt;=DeliverStart,ParkingPerUnitMo*LeaseUp!DB$9*DB$10,0)</f>
        <v/>
      </c>
      <c r="DC19" s="218">
        <f>IF(103&gt;=DeliverStart,ParkingPerUnitMo*LeaseUp!DC$9*DC$10,0)</f>
        <v/>
      </c>
      <c r="DD19" s="218">
        <f>IF(104&gt;=DeliverStart,ParkingPerUnitMo*LeaseUp!DD$9*DD$10,0)</f>
        <v/>
      </c>
      <c r="DE19" s="218">
        <f>IF(105&gt;=DeliverStart,ParkingPerUnitMo*LeaseUp!DE$9*DE$10,0)</f>
        <v/>
      </c>
      <c r="DF19" s="218">
        <f>IF(106&gt;=DeliverStart,ParkingPerUnitMo*LeaseUp!DF$9*DF$10,0)</f>
        <v/>
      </c>
      <c r="DG19" s="218">
        <f>IF(107&gt;=DeliverStart,ParkingPerUnitMo*LeaseUp!DG$9*DG$10,0)</f>
        <v/>
      </c>
      <c r="DH19" s="218">
        <f>IF(108&gt;=DeliverStart,ParkingPerUnitMo*LeaseUp!DH$9*DH$10,0)</f>
        <v/>
      </c>
      <c r="DI19" s="218">
        <f>IF(109&gt;=DeliverStart,ParkingPerUnitMo*LeaseUp!DI$9*DI$10,0)</f>
        <v/>
      </c>
      <c r="DJ19" s="218">
        <f>IF(110&gt;=DeliverStart,ParkingPerUnitMo*LeaseUp!DJ$9*DJ$10,0)</f>
        <v/>
      </c>
      <c r="DK19" s="218">
        <f>IF(111&gt;=DeliverStart,ParkingPerUnitMo*LeaseUp!DK$9*DK$10,0)</f>
        <v/>
      </c>
      <c r="DL19" s="218">
        <f>IF(112&gt;=DeliverStart,ParkingPerUnitMo*LeaseUp!DL$9*DL$10,0)</f>
        <v/>
      </c>
      <c r="DM19" s="218">
        <f>IF(113&gt;=DeliverStart,ParkingPerUnitMo*LeaseUp!DM$9*DM$10,0)</f>
        <v/>
      </c>
      <c r="DN19" s="218">
        <f>IF(114&gt;=DeliverStart,ParkingPerUnitMo*LeaseUp!DN$9*DN$10,0)</f>
        <v/>
      </c>
      <c r="DO19" s="218">
        <f>IF(115&gt;=DeliverStart,ParkingPerUnitMo*LeaseUp!DO$9*DO$10,0)</f>
        <v/>
      </c>
      <c r="DP19" s="218">
        <f>IF(116&gt;=DeliverStart,ParkingPerUnitMo*LeaseUp!DP$9*DP$10,0)</f>
        <v/>
      </c>
      <c r="DQ19" s="218">
        <f>IF(117&gt;=DeliverStart,ParkingPerUnitMo*LeaseUp!DQ$9*DQ$10,0)</f>
        <v/>
      </c>
      <c r="DR19" s="218">
        <f>IF(118&gt;=DeliverStart,ParkingPerUnitMo*LeaseUp!DR$9*DR$10,0)</f>
        <v/>
      </c>
      <c r="DS19" s="218">
        <f>IF(119&gt;=DeliverStart,ParkingPerUnitMo*LeaseUp!DS$9*DS$10,0)</f>
        <v/>
      </c>
      <c r="DT19" s="218">
        <f>IF(120&gt;=DeliverStart,ParkingPerUnitMo*LeaseUp!DT$9*DT$10,0)</f>
        <v/>
      </c>
      <c r="DU19" s="218">
        <f>IF(121&gt;=DeliverStart,ParkingPerUnitMo*LeaseUp!DU$9*DU$10,0)</f>
        <v/>
      </c>
      <c r="DV19" s="218">
        <f>IF(122&gt;=DeliverStart,ParkingPerUnitMo*LeaseUp!DV$9*DV$10,0)</f>
        <v/>
      </c>
      <c r="DW19" s="218">
        <f>IF(123&gt;=DeliverStart,ParkingPerUnitMo*LeaseUp!DW$9*DW$10,0)</f>
        <v/>
      </c>
      <c r="DX19" s="218">
        <f>IF(124&gt;=DeliverStart,ParkingPerUnitMo*LeaseUp!DX$9*DX$10,0)</f>
        <v/>
      </c>
      <c r="DY19" s="218">
        <f>IF(125&gt;=DeliverStart,ParkingPerUnitMo*LeaseUp!DY$9*DY$10,0)</f>
        <v/>
      </c>
      <c r="DZ19" s="218">
        <f>IF(126&gt;=DeliverStart,ParkingPerUnitMo*LeaseUp!DZ$9*DZ$10,0)</f>
        <v/>
      </c>
      <c r="EA19" s="218">
        <f>IF(127&gt;=DeliverStart,ParkingPerUnitMo*LeaseUp!EA$9*EA$10,0)</f>
        <v/>
      </c>
      <c r="EB19" s="218">
        <f>IF(128&gt;=DeliverStart,ParkingPerUnitMo*LeaseUp!EB$9*EB$10,0)</f>
        <v/>
      </c>
      <c r="EC19" s="218">
        <f>IF(129&gt;=DeliverStart,ParkingPerUnitMo*LeaseUp!EC$9*EC$10,0)</f>
        <v/>
      </c>
      <c r="ED19" s="218">
        <f>IF(130&gt;=DeliverStart,ParkingPerUnitMo*LeaseUp!ED$9*ED$10,0)</f>
        <v/>
      </c>
      <c r="EE19" s="218">
        <f>IF(131&gt;=DeliverStart,ParkingPerUnitMo*LeaseUp!EE$9*EE$10,0)</f>
        <v/>
      </c>
      <c r="EF19" s="218">
        <f>IF(132&gt;=DeliverStart,ParkingPerUnitMo*LeaseUp!EF$9*EF$10,0)</f>
        <v/>
      </c>
      <c r="EG19" s="218">
        <f>IF(133&gt;=DeliverStart,ParkingPerUnitMo*LeaseUp!EG$9*EG$10,0)</f>
        <v/>
      </c>
      <c r="EH19" s="218">
        <f>IF(134&gt;=DeliverStart,ParkingPerUnitMo*LeaseUp!EH$9*EH$10,0)</f>
        <v/>
      </c>
      <c r="EI19" s="218">
        <f>IF(135&gt;=DeliverStart,ParkingPerUnitMo*LeaseUp!EI$9*EI$10,0)</f>
        <v/>
      </c>
      <c r="EJ19" s="218">
        <f>IF(136&gt;=DeliverStart,ParkingPerUnitMo*LeaseUp!EJ$9*EJ$10,0)</f>
        <v/>
      </c>
      <c r="EK19" s="218">
        <f>IF(137&gt;=DeliverStart,ParkingPerUnitMo*LeaseUp!EK$9*EK$10,0)</f>
        <v/>
      </c>
      <c r="EL19" s="218">
        <f>IF(138&gt;=DeliverStart,ParkingPerUnitMo*LeaseUp!EL$9*EL$10,0)</f>
        <v/>
      </c>
      <c r="EM19" s="218">
        <f>IF(139&gt;=DeliverStart,ParkingPerUnitMo*LeaseUp!EM$9*EM$10,0)</f>
        <v/>
      </c>
      <c r="EN19" s="218">
        <f>IF(140&gt;=DeliverStart,ParkingPerUnitMo*LeaseUp!EN$9*EN$10,0)</f>
        <v/>
      </c>
      <c r="EO19" s="218">
        <f>IF(141&gt;=DeliverStart,ParkingPerUnitMo*LeaseUp!EO$9*EO$10,0)</f>
        <v/>
      </c>
      <c r="EP19" s="218">
        <f>IF(142&gt;=DeliverStart,ParkingPerUnitMo*LeaseUp!EP$9*EP$10,0)</f>
        <v/>
      </c>
      <c r="EQ19" s="218">
        <f>IF(143&gt;=DeliverStart,ParkingPerUnitMo*LeaseUp!EQ$9*EQ$10,0)</f>
        <v/>
      </c>
      <c r="ER19" s="218">
        <f>IF(144&gt;=DeliverStart,ParkingPerUnitMo*LeaseUp!ER$9*ER$10,0)</f>
        <v/>
      </c>
      <c r="ES19" s="218">
        <f>IF(145&gt;=DeliverStart,ParkingPerUnitMo*LeaseUp!ES$9*ES$10,0)</f>
        <v/>
      </c>
      <c r="ET19" s="218">
        <f>IF(146&gt;=DeliverStart,ParkingPerUnitMo*LeaseUp!ET$9*ET$10,0)</f>
        <v/>
      </c>
      <c r="EU19" s="218">
        <f>IF(147&gt;=DeliverStart,ParkingPerUnitMo*LeaseUp!EU$9*EU$10,0)</f>
        <v/>
      </c>
      <c r="EV19" s="218">
        <f>IF(148&gt;=DeliverStart,ParkingPerUnitMo*LeaseUp!EV$9*EV$10,0)</f>
        <v/>
      </c>
      <c r="EW19" s="218">
        <f>IF(149&gt;=DeliverStart,ParkingPerUnitMo*LeaseUp!EW$9*EW$10,0)</f>
        <v/>
      </c>
      <c r="EX19" s="218">
        <f>IF(150&gt;=DeliverStart,ParkingPerUnitMo*LeaseUp!EX$9*EX$10,0)</f>
        <v/>
      </c>
      <c r="EY19" s="218">
        <f>IF(151&gt;=DeliverStart,ParkingPerUnitMo*LeaseUp!EY$9*EY$10,0)</f>
        <v/>
      </c>
      <c r="EZ19" s="218">
        <f>IF(152&gt;=DeliverStart,ParkingPerUnitMo*LeaseUp!EZ$9*EZ$10,0)</f>
        <v/>
      </c>
      <c r="FA19" s="218">
        <f>IF(153&gt;=DeliverStart,ParkingPerUnitMo*LeaseUp!FA$9*FA$10,0)</f>
        <v/>
      </c>
      <c r="FB19" s="218">
        <f>IF(154&gt;=DeliverStart,ParkingPerUnitMo*LeaseUp!FB$9*FB$10,0)</f>
        <v/>
      </c>
      <c r="FC19" s="218">
        <f>IF(155&gt;=DeliverStart,ParkingPerUnitMo*LeaseUp!FC$9*FC$10,0)</f>
        <v/>
      </c>
      <c r="FD19" s="218">
        <f>IF(156&gt;=DeliverStart,ParkingPerUnitMo*LeaseUp!FD$9*FD$10,0)</f>
        <v/>
      </c>
      <c r="FE19" s="218">
        <f>IF(157&gt;=DeliverStart,ParkingPerUnitMo*LeaseUp!FE$9*FE$10,0)</f>
        <v/>
      </c>
      <c r="FF19" s="218">
        <f>IF(158&gt;=DeliverStart,ParkingPerUnitMo*LeaseUp!FF$9*FF$10,0)</f>
        <v/>
      </c>
      <c r="FG19" s="218">
        <f>IF(159&gt;=DeliverStart,ParkingPerUnitMo*LeaseUp!FG$9*FG$10,0)</f>
        <v/>
      </c>
      <c r="FH19" s="218">
        <f>IF(160&gt;=DeliverStart,ParkingPerUnitMo*LeaseUp!FH$9*FH$10,0)</f>
        <v/>
      </c>
      <c r="FI19" s="218">
        <f>IF(161&gt;=DeliverStart,ParkingPerUnitMo*LeaseUp!FI$9*FI$10,0)</f>
        <v/>
      </c>
      <c r="FJ19" s="218">
        <f>IF(162&gt;=DeliverStart,ParkingPerUnitMo*LeaseUp!FJ$9*FJ$10,0)</f>
        <v/>
      </c>
      <c r="FK19" s="218">
        <f>IF(163&gt;=DeliverStart,ParkingPerUnitMo*LeaseUp!FK$9*FK$10,0)</f>
        <v/>
      </c>
      <c r="FL19" s="218">
        <f>IF(164&gt;=DeliverStart,ParkingPerUnitMo*LeaseUp!FL$9*FL$10,0)</f>
        <v/>
      </c>
      <c r="FM19" s="218">
        <f>IF(165&gt;=DeliverStart,ParkingPerUnitMo*LeaseUp!FM$9*FM$10,0)</f>
        <v/>
      </c>
      <c r="FN19" s="218">
        <f>IF(166&gt;=DeliverStart,ParkingPerUnitMo*LeaseUp!FN$9*FN$10,0)</f>
        <v/>
      </c>
      <c r="FO19" s="218">
        <f>IF(167&gt;=DeliverStart,ParkingPerUnitMo*LeaseUp!FO$9*FO$10,0)</f>
        <v/>
      </c>
      <c r="FP19" s="218">
        <f>IF(168&gt;=DeliverStart,ParkingPerUnitMo*LeaseUp!FP$9*FP$10,0)</f>
        <v/>
      </c>
      <c r="FQ19" s="218">
        <f>IF(169&gt;=DeliverStart,ParkingPerUnitMo*LeaseUp!FQ$9*FQ$10,0)</f>
        <v/>
      </c>
      <c r="FR19" s="218">
        <f>IF(170&gt;=DeliverStart,ParkingPerUnitMo*LeaseUp!FR$9*FR$10,0)</f>
        <v/>
      </c>
      <c r="FS19" s="218">
        <f>IF(171&gt;=DeliverStart,ParkingPerUnitMo*LeaseUp!FS$9*FS$10,0)</f>
        <v/>
      </c>
      <c r="FT19" s="218">
        <f>IF(172&gt;=DeliverStart,ParkingPerUnitMo*LeaseUp!FT$9*FT$10,0)</f>
        <v/>
      </c>
      <c r="FU19" s="218">
        <f>IF(173&gt;=DeliverStart,ParkingPerUnitMo*LeaseUp!FU$9*FU$10,0)</f>
        <v/>
      </c>
      <c r="FV19" s="218">
        <f>IF(174&gt;=DeliverStart,ParkingPerUnitMo*LeaseUp!FV$9*FV$10,0)</f>
        <v/>
      </c>
      <c r="FW19" s="218">
        <f>IF(175&gt;=DeliverStart,ParkingPerUnitMo*LeaseUp!FW$9*FW$10,0)</f>
        <v/>
      </c>
      <c r="FX19" s="218">
        <f>IF(176&gt;=DeliverStart,ParkingPerUnitMo*LeaseUp!FX$9*FX$10,0)</f>
        <v/>
      </c>
      <c r="FY19" s="218">
        <f>IF(177&gt;=DeliverStart,ParkingPerUnitMo*LeaseUp!FY$9*FY$10,0)</f>
        <v/>
      </c>
      <c r="FZ19" s="218">
        <f>IF(178&gt;=DeliverStart,ParkingPerUnitMo*LeaseUp!FZ$9*FZ$10,0)</f>
        <v/>
      </c>
      <c r="GA19" s="218">
        <f>IF(179&gt;=DeliverStart,ParkingPerUnitMo*LeaseUp!GA$9*GA$10,0)</f>
        <v/>
      </c>
      <c r="GB19" s="218">
        <f>IF(180&gt;=DeliverStart,ParkingPerUnitMo*LeaseUp!GB$9*GB$10,0)</f>
        <v/>
      </c>
      <c r="GC19" s="218">
        <f>IF(181&gt;=DeliverStart,ParkingPerUnitMo*LeaseUp!GC$9*GC$10,0)</f>
        <v/>
      </c>
      <c r="GD19" s="218">
        <f>IF(182&gt;=DeliverStart,ParkingPerUnitMo*LeaseUp!GD$9*GD$10,0)</f>
        <v/>
      </c>
      <c r="GE19" s="218">
        <f>IF(183&gt;=DeliverStart,ParkingPerUnitMo*LeaseUp!GE$9*GE$10,0)</f>
        <v/>
      </c>
      <c r="GF19" s="218">
        <f>IF(184&gt;=DeliverStart,ParkingPerUnitMo*LeaseUp!GF$9*GF$10,0)</f>
        <v/>
      </c>
      <c r="GG19" s="218">
        <f>IF(185&gt;=DeliverStart,ParkingPerUnitMo*LeaseUp!GG$9*GG$10,0)</f>
        <v/>
      </c>
      <c r="GH19" s="218">
        <f>IF(186&gt;=DeliverStart,ParkingPerUnitMo*LeaseUp!GH$9*GH$10,0)</f>
        <v/>
      </c>
      <c r="GI19" s="218">
        <f>IF(187&gt;=DeliverStart,ParkingPerUnitMo*LeaseUp!GI$9*GI$10,0)</f>
        <v/>
      </c>
      <c r="GJ19" s="218">
        <f>IF(188&gt;=DeliverStart,ParkingPerUnitMo*LeaseUp!GJ$9*GJ$10,0)</f>
        <v/>
      </c>
      <c r="GK19" s="218">
        <f>IF(189&gt;=DeliverStart,ParkingPerUnitMo*LeaseUp!GK$9*GK$10,0)</f>
        <v/>
      </c>
      <c r="GL19" s="218">
        <f>IF(190&gt;=DeliverStart,ParkingPerUnitMo*LeaseUp!GL$9*GL$10,0)</f>
        <v/>
      </c>
      <c r="GM19" s="218">
        <f>IF(191&gt;=DeliverStart,ParkingPerUnitMo*LeaseUp!GM$9*GM$10,0)</f>
        <v/>
      </c>
      <c r="GN19" s="218">
        <f>IF(192&gt;=DeliverStart,ParkingPerUnitMo*LeaseUp!GN$9*GN$10,0)</f>
        <v/>
      </c>
      <c r="GO19" s="218">
        <f>IF(193&gt;=DeliverStart,ParkingPerUnitMo*LeaseUp!GO$9*GO$10,0)</f>
        <v/>
      </c>
      <c r="GP19" s="218">
        <f>IF(194&gt;=DeliverStart,ParkingPerUnitMo*LeaseUp!GP$9*GP$10,0)</f>
        <v/>
      </c>
      <c r="GQ19" s="218">
        <f>IF(195&gt;=DeliverStart,ParkingPerUnitMo*LeaseUp!GQ$9*GQ$10,0)</f>
        <v/>
      </c>
      <c r="GR19" s="218">
        <f>IF(196&gt;=DeliverStart,ParkingPerUnitMo*LeaseUp!GR$9*GR$10,0)</f>
        <v/>
      </c>
      <c r="GS19" s="218">
        <f>IF(197&gt;=DeliverStart,ParkingPerUnitMo*LeaseUp!GS$9*GS$10,0)</f>
        <v/>
      </c>
      <c r="GT19" s="218">
        <f>IF(198&gt;=DeliverStart,ParkingPerUnitMo*LeaseUp!GT$9*GT$10,0)</f>
        <v/>
      </c>
      <c r="GU19" s="218">
        <f>IF(199&gt;=DeliverStart,ParkingPerUnitMo*LeaseUp!GU$9*GU$10,0)</f>
        <v/>
      </c>
      <c r="GV19" s="218">
        <f>IF(200&gt;=DeliverStart,ParkingPerUnitMo*LeaseUp!GV$9*GV$10,0)</f>
        <v/>
      </c>
      <c r="GW19" s="218">
        <f>IF(201&gt;=DeliverStart,ParkingPerUnitMo*LeaseUp!GW$9*GW$10,0)</f>
        <v/>
      </c>
      <c r="GX19" s="218">
        <f>IF(202&gt;=DeliverStart,ParkingPerUnitMo*LeaseUp!GX$9*GX$10,0)</f>
        <v/>
      </c>
      <c r="GY19" s="218">
        <f>IF(203&gt;=DeliverStart,ParkingPerUnitMo*LeaseUp!GY$9*GY$10,0)</f>
        <v/>
      </c>
      <c r="GZ19" s="218">
        <f>IF(204&gt;=DeliverStart,ParkingPerUnitMo*LeaseUp!GZ$9*GZ$10,0)</f>
        <v/>
      </c>
      <c r="HA19" s="218">
        <f>IF(205&gt;=DeliverStart,ParkingPerUnitMo*LeaseUp!HA$9*HA$10,0)</f>
        <v/>
      </c>
      <c r="HB19" s="218">
        <f>IF(206&gt;=DeliverStart,ParkingPerUnitMo*LeaseUp!HB$9*HB$10,0)</f>
        <v/>
      </c>
      <c r="HC19" s="218">
        <f>IF(207&gt;=DeliverStart,ParkingPerUnitMo*LeaseUp!HC$9*HC$10,0)</f>
        <v/>
      </c>
      <c r="HD19" s="218">
        <f>IF(208&gt;=DeliverStart,ParkingPerUnitMo*LeaseUp!HD$9*HD$10,0)</f>
        <v/>
      </c>
      <c r="HE19" s="218">
        <f>IF(209&gt;=DeliverStart,ParkingPerUnitMo*LeaseUp!HE$9*HE$10,0)</f>
        <v/>
      </c>
      <c r="HF19" s="218">
        <f>IF(210&gt;=DeliverStart,ParkingPerUnitMo*LeaseUp!HF$9*HF$10,0)</f>
        <v/>
      </c>
      <c r="HG19" s="218">
        <f>IF(211&gt;=DeliverStart,ParkingPerUnitMo*LeaseUp!HG$9*HG$10,0)</f>
        <v/>
      </c>
      <c r="HH19" s="218">
        <f>IF(212&gt;=DeliverStart,ParkingPerUnitMo*LeaseUp!HH$9*HH$10,0)</f>
        <v/>
      </c>
      <c r="HI19" s="218">
        <f>IF(213&gt;=DeliverStart,ParkingPerUnitMo*LeaseUp!HI$9*HI$10,0)</f>
        <v/>
      </c>
      <c r="HJ19" s="218">
        <f>IF(214&gt;=DeliverStart,ParkingPerUnitMo*LeaseUp!HJ$9*HJ$10,0)</f>
        <v/>
      </c>
      <c r="HK19" s="218">
        <f>IF(215&gt;=DeliverStart,ParkingPerUnitMo*LeaseUp!HK$9*HK$10,0)</f>
        <v/>
      </c>
      <c r="HL19" s="218">
        <f>IF(216&gt;=DeliverStart,ParkingPerUnitMo*LeaseUp!HL$9*HL$10,0)</f>
        <v/>
      </c>
      <c r="HM19" s="218">
        <f>IF(217&gt;=DeliverStart,ParkingPerUnitMo*LeaseUp!HM$9*HM$10,0)</f>
        <v/>
      </c>
      <c r="HN19" s="218">
        <f>IF(218&gt;=DeliverStart,ParkingPerUnitMo*LeaseUp!HN$9*HN$10,0)</f>
        <v/>
      </c>
      <c r="HO19" s="218">
        <f>IF(219&gt;=DeliverStart,ParkingPerUnitMo*LeaseUp!HO$9*HO$10,0)</f>
        <v/>
      </c>
      <c r="HP19" s="218">
        <f>IF(220&gt;=DeliverStart,ParkingPerUnitMo*LeaseUp!HP$9*HP$10,0)</f>
        <v/>
      </c>
      <c r="HQ19" s="218">
        <f>IF(221&gt;=DeliverStart,ParkingPerUnitMo*LeaseUp!HQ$9*HQ$10,0)</f>
        <v/>
      </c>
      <c r="HR19" s="218">
        <f>IF(222&gt;=DeliverStart,ParkingPerUnitMo*LeaseUp!HR$9*HR$10,0)</f>
        <v/>
      </c>
      <c r="HS19" s="218">
        <f>IF(223&gt;=DeliverStart,ParkingPerUnitMo*LeaseUp!HS$9*HS$10,0)</f>
        <v/>
      </c>
      <c r="HT19" s="218">
        <f>IF(224&gt;=DeliverStart,ParkingPerUnitMo*LeaseUp!HT$9*HT$10,0)</f>
        <v/>
      </c>
      <c r="HU19" s="218">
        <f>IF(225&gt;=DeliverStart,ParkingPerUnitMo*LeaseUp!HU$9*HU$10,0)</f>
        <v/>
      </c>
      <c r="HV19" s="218">
        <f>IF(226&gt;=DeliverStart,ParkingPerUnitMo*LeaseUp!HV$9*HV$10,0)</f>
        <v/>
      </c>
      <c r="HW19" s="218">
        <f>IF(227&gt;=DeliverStart,ParkingPerUnitMo*LeaseUp!HW$9*HW$10,0)</f>
        <v/>
      </c>
      <c r="HX19" s="218">
        <f>IF(228&gt;=DeliverStart,ParkingPerUnitMo*LeaseUp!HX$9*HX$10,0)</f>
        <v/>
      </c>
      <c r="HY19" s="218">
        <f>IF(229&gt;=DeliverStart,ParkingPerUnitMo*LeaseUp!HY$9*HY$10,0)</f>
        <v/>
      </c>
      <c r="HZ19" s="218">
        <f>IF(230&gt;=DeliverStart,ParkingPerUnitMo*LeaseUp!HZ$9*HZ$10,0)</f>
        <v/>
      </c>
      <c r="IA19" s="218">
        <f>IF(231&gt;=DeliverStart,ParkingPerUnitMo*LeaseUp!IA$9*IA$10,0)</f>
        <v/>
      </c>
      <c r="IB19" s="218">
        <f>IF(232&gt;=DeliverStart,ParkingPerUnitMo*LeaseUp!IB$9*IB$10,0)</f>
        <v/>
      </c>
      <c r="IC19" s="218">
        <f>IF(233&gt;=DeliverStart,ParkingPerUnitMo*LeaseUp!IC$9*IC$10,0)</f>
        <v/>
      </c>
      <c r="ID19" s="218">
        <f>IF(234&gt;=DeliverStart,ParkingPerUnitMo*LeaseUp!ID$9*ID$10,0)</f>
        <v/>
      </c>
      <c r="IE19" s="218">
        <f>IF(235&gt;=DeliverStart,ParkingPerUnitMo*LeaseUp!IE$9*IE$10,0)</f>
        <v/>
      </c>
      <c r="IF19" s="218">
        <f>IF(236&gt;=DeliverStart,ParkingPerUnitMo*LeaseUp!IF$9*IF$10,0)</f>
        <v/>
      </c>
      <c r="IG19" s="218">
        <f>IF(237&gt;=DeliverStart,ParkingPerUnitMo*LeaseUp!IG$9*IG$10,0)</f>
        <v/>
      </c>
      <c r="IH19" s="218">
        <f>IF(238&gt;=DeliverStart,ParkingPerUnitMo*LeaseUp!IH$9*IH$10,0)</f>
        <v/>
      </c>
      <c r="II19" s="218">
        <f>IF(239&gt;=DeliverStart,ParkingPerUnitMo*LeaseUp!II$9*II$10,0)</f>
        <v/>
      </c>
      <c r="IJ19" s="218">
        <f>IF(240&gt;=DeliverStart,ParkingPerUnitMo*LeaseUp!IJ$9*IJ$10,0)</f>
        <v/>
      </c>
      <c r="IK19" s="218">
        <f>IF(241&gt;=DeliverStart,ParkingPerUnitMo*LeaseUp!IK$9*IK$10,0)</f>
        <v/>
      </c>
      <c r="IL19" s="218">
        <f>IF(242&gt;=DeliverStart,ParkingPerUnitMo*LeaseUp!IL$9*IL$10,0)</f>
        <v/>
      </c>
      <c r="IM19" s="218">
        <f>IF(243&gt;=DeliverStart,ParkingPerUnitMo*LeaseUp!IM$9*IM$10,0)</f>
        <v/>
      </c>
      <c r="IN19" s="218">
        <f>IF(244&gt;=DeliverStart,ParkingPerUnitMo*LeaseUp!IN$9*IN$10,0)</f>
        <v/>
      </c>
      <c r="IO19" s="218">
        <f>IF(245&gt;=DeliverStart,ParkingPerUnitMo*LeaseUp!IO$9*IO$10,0)</f>
        <v/>
      </c>
      <c r="IP19" s="218">
        <f>IF(246&gt;=DeliverStart,ParkingPerUnitMo*LeaseUp!IP$9*IP$10,0)</f>
        <v/>
      </c>
      <c r="IQ19" s="218">
        <f>IF(247&gt;=DeliverStart,ParkingPerUnitMo*LeaseUp!IQ$9*IQ$10,0)</f>
        <v/>
      </c>
      <c r="IR19" s="218">
        <f>IF(248&gt;=DeliverStart,ParkingPerUnitMo*LeaseUp!IR$9*IR$10,0)</f>
        <v/>
      </c>
      <c r="IS19" s="218">
        <f>IF(249&gt;=DeliverStart,ParkingPerUnitMo*LeaseUp!IS$9*IS$10,0)</f>
        <v/>
      </c>
      <c r="IT19" s="218">
        <f>IF(250&gt;=DeliverStart,ParkingPerUnitMo*LeaseUp!IT$9*IT$10,0)</f>
        <v/>
      </c>
      <c r="IU19" s="218">
        <f>IF(251&gt;=DeliverStart,ParkingPerUnitMo*LeaseUp!IU$9*IU$10,0)</f>
        <v/>
      </c>
      <c r="IV19" s="218">
        <f>IF(252&gt;=DeliverStart,ParkingPerUnitMo*LeaseUp!IV$9*IV$10,0)</f>
        <v/>
      </c>
      <c r="IW19" s="218">
        <f>IF(253&gt;=DeliverStart,ParkingPerUnitMo*LeaseUp!IW$9*IW$10,0)</f>
        <v/>
      </c>
      <c r="IX19" s="218">
        <f>IF(254&gt;=DeliverStart,ParkingPerUnitMo*LeaseUp!IX$9*IX$10,0)</f>
        <v/>
      </c>
      <c r="IY19" s="218">
        <f>IF(255&gt;=DeliverStart,ParkingPerUnitMo*LeaseUp!IY$9*IY$10,0)</f>
        <v/>
      </c>
      <c r="IZ19" s="218">
        <f>IF(256&gt;=DeliverStart,ParkingPerUnitMo*LeaseUp!IZ$9*IZ$10,0)</f>
        <v/>
      </c>
      <c r="JA19" s="218">
        <f>IF(257&gt;=DeliverStart,ParkingPerUnitMo*LeaseUp!JA$9*JA$10,0)</f>
        <v/>
      </c>
      <c r="JB19" s="218">
        <f>IF(258&gt;=DeliverStart,ParkingPerUnitMo*LeaseUp!JB$9*JB$10,0)</f>
        <v/>
      </c>
      <c r="JC19" s="218">
        <f>IF(259&gt;=DeliverStart,ParkingPerUnitMo*LeaseUp!JC$9*JC$10,0)</f>
        <v/>
      </c>
      <c r="JD19" s="218">
        <f>IF(260&gt;=DeliverStart,ParkingPerUnitMo*LeaseUp!JD$9*JD$10,0)</f>
        <v/>
      </c>
      <c r="JE19" s="218">
        <f>IF(261&gt;=DeliverStart,ParkingPerUnitMo*LeaseUp!JE$9*JE$10,0)</f>
        <v/>
      </c>
      <c r="JF19" s="218">
        <f>IF(262&gt;=DeliverStart,ParkingPerUnitMo*LeaseUp!JF$9*JF$10,0)</f>
        <v/>
      </c>
      <c r="JG19" s="218">
        <f>IF(263&gt;=DeliverStart,ParkingPerUnitMo*LeaseUp!JG$9*JG$10,0)</f>
        <v/>
      </c>
      <c r="JH19" s="218">
        <f>IF(264&gt;=DeliverStart,ParkingPerUnitMo*LeaseUp!JH$9*JH$10,0)</f>
        <v/>
      </c>
      <c r="JI19" s="218">
        <f>IF(265&gt;=DeliverStart,ParkingPerUnitMo*LeaseUp!JI$9*JI$10,0)</f>
        <v/>
      </c>
      <c r="JJ19" s="218">
        <f>IF(266&gt;=DeliverStart,ParkingPerUnitMo*LeaseUp!JJ$9*JJ$10,0)</f>
        <v/>
      </c>
      <c r="JK19" s="218">
        <f>IF(267&gt;=DeliverStart,ParkingPerUnitMo*LeaseUp!JK$9*JK$10,0)</f>
        <v/>
      </c>
      <c r="JL19" s="218">
        <f>IF(268&gt;=DeliverStart,ParkingPerUnitMo*LeaseUp!JL$9*JL$10,0)</f>
        <v/>
      </c>
      <c r="JM19" s="218">
        <f>IF(269&gt;=DeliverStart,ParkingPerUnitMo*LeaseUp!JM$9*JM$10,0)</f>
        <v/>
      </c>
      <c r="JN19" s="218">
        <f>IF(270&gt;=DeliverStart,ParkingPerUnitMo*LeaseUp!JN$9*JN$10,0)</f>
        <v/>
      </c>
      <c r="JO19" s="218">
        <f>IF(271&gt;=DeliverStart,ParkingPerUnitMo*LeaseUp!JO$9*JO$10,0)</f>
        <v/>
      </c>
      <c r="JP19" s="218">
        <f>IF(272&gt;=DeliverStart,ParkingPerUnitMo*LeaseUp!JP$9*JP$10,0)</f>
        <v/>
      </c>
      <c r="JQ19" s="218">
        <f>IF(273&gt;=DeliverStart,ParkingPerUnitMo*LeaseUp!JQ$9*JQ$10,0)</f>
        <v/>
      </c>
      <c r="JR19" s="218">
        <f>IF(274&gt;=DeliverStart,ParkingPerUnitMo*LeaseUp!JR$9*JR$10,0)</f>
        <v/>
      </c>
      <c r="JS19" s="218">
        <f>IF(275&gt;=DeliverStart,ParkingPerUnitMo*LeaseUp!JS$9*JS$10,0)</f>
        <v/>
      </c>
      <c r="JT19" s="218">
        <f>IF(276&gt;=DeliverStart,ParkingPerUnitMo*LeaseUp!JT$9*JT$10,0)</f>
        <v/>
      </c>
      <c r="JU19" s="218">
        <f>IF(277&gt;=DeliverStart,ParkingPerUnitMo*LeaseUp!JU$9*JU$10,0)</f>
        <v/>
      </c>
      <c r="JV19" s="218">
        <f>IF(278&gt;=DeliverStart,ParkingPerUnitMo*LeaseUp!JV$9*JV$10,0)</f>
        <v/>
      </c>
      <c r="JW19" s="218">
        <f>IF(279&gt;=DeliverStart,ParkingPerUnitMo*LeaseUp!JW$9*JW$10,0)</f>
        <v/>
      </c>
      <c r="JX19" s="218">
        <f>IF(280&gt;=DeliverStart,ParkingPerUnitMo*LeaseUp!JX$9*JX$10,0)</f>
        <v/>
      </c>
      <c r="JY19" s="218">
        <f>IF(281&gt;=DeliverStart,ParkingPerUnitMo*LeaseUp!JY$9*JY$10,0)</f>
        <v/>
      </c>
      <c r="JZ19" s="218">
        <f>IF(282&gt;=DeliverStart,ParkingPerUnitMo*LeaseUp!JZ$9*JZ$10,0)</f>
        <v/>
      </c>
      <c r="KA19" s="218">
        <f>IF(283&gt;=DeliverStart,ParkingPerUnitMo*LeaseUp!KA$9*KA$10,0)</f>
        <v/>
      </c>
      <c r="KB19" s="218">
        <f>IF(284&gt;=DeliverStart,ParkingPerUnitMo*LeaseUp!KB$9*KB$10,0)</f>
        <v/>
      </c>
      <c r="KC19" s="218">
        <f>IF(285&gt;=DeliverStart,ParkingPerUnitMo*LeaseUp!KC$9*KC$10,0)</f>
        <v/>
      </c>
      <c r="KD19" s="218">
        <f>IF(286&gt;=DeliverStart,ParkingPerUnitMo*LeaseUp!KD$9*KD$10,0)</f>
        <v/>
      </c>
      <c r="KE19" s="218">
        <f>IF(287&gt;=DeliverStart,ParkingPerUnitMo*LeaseUp!KE$9*KE$10,0)</f>
        <v/>
      </c>
      <c r="KF19" s="218">
        <f>IF(288&gt;=DeliverStart,ParkingPerUnitMo*LeaseUp!KF$9*KF$10,0)</f>
        <v/>
      </c>
      <c r="KG19" s="218">
        <f>IF(289&gt;=DeliverStart,ParkingPerUnitMo*LeaseUp!KG$9*KG$10,0)</f>
        <v/>
      </c>
      <c r="KH19" s="218">
        <f>IF(290&gt;=DeliverStart,ParkingPerUnitMo*LeaseUp!KH$9*KH$10,0)</f>
        <v/>
      </c>
      <c r="KI19" s="218">
        <f>IF(291&gt;=DeliverStart,ParkingPerUnitMo*LeaseUp!KI$9*KI$10,0)</f>
        <v/>
      </c>
      <c r="KJ19" s="218">
        <f>IF(292&gt;=DeliverStart,ParkingPerUnitMo*LeaseUp!KJ$9*KJ$10,0)</f>
        <v/>
      </c>
      <c r="KK19" s="218">
        <f>IF(293&gt;=DeliverStart,ParkingPerUnitMo*LeaseUp!KK$9*KK$10,0)</f>
        <v/>
      </c>
      <c r="KL19" s="218">
        <f>IF(294&gt;=DeliverStart,ParkingPerUnitMo*LeaseUp!KL$9*KL$10,0)</f>
        <v/>
      </c>
      <c r="KM19" s="218">
        <f>IF(295&gt;=DeliverStart,ParkingPerUnitMo*LeaseUp!KM$9*KM$10,0)</f>
        <v/>
      </c>
      <c r="KN19" s="218">
        <f>IF(296&gt;=DeliverStart,ParkingPerUnitMo*LeaseUp!KN$9*KN$10,0)</f>
        <v/>
      </c>
      <c r="KO19" s="218">
        <f>IF(297&gt;=DeliverStart,ParkingPerUnitMo*LeaseUp!KO$9*KO$10,0)</f>
        <v/>
      </c>
      <c r="KP19" s="218">
        <f>IF(298&gt;=DeliverStart,ParkingPerUnitMo*LeaseUp!KP$9*KP$10,0)</f>
        <v/>
      </c>
      <c r="KQ19" s="218">
        <f>IF(299&gt;=DeliverStart,ParkingPerUnitMo*LeaseUp!KQ$9*KQ$10,0)</f>
        <v/>
      </c>
      <c r="KR19" s="218">
        <f>IF(300&gt;=DeliverStart,ParkingPerUnitMo*LeaseUp!KR$9*KR$10,0)</f>
        <v/>
      </c>
      <c r="KS19" s="218">
        <f>IF(301&gt;=DeliverStart,ParkingPerUnitMo*LeaseUp!KS$9*KS$10,0)</f>
        <v/>
      </c>
      <c r="KT19" s="218">
        <f>IF(302&gt;=DeliverStart,ParkingPerUnitMo*LeaseUp!KT$9*KT$10,0)</f>
        <v/>
      </c>
      <c r="KU19" s="218">
        <f>IF(303&gt;=DeliverStart,ParkingPerUnitMo*LeaseUp!KU$9*KU$10,0)</f>
        <v/>
      </c>
      <c r="KV19" s="218">
        <f>IF(304&gt;=DeliverStart,ParkingPerUnitMo*LeaseUp!KV$9*KV$10,0)</f>
        <v/>
      </c>
      <c r="KW19" s="218">
        <f>IF(305&gt;=DeliverStart,ParkingPerUnitMo*LeaseUp!KW$9*KW$10,0)</f>
        <v/>
      </c>
      <c r="KX19" s="218">
        <f>IF(306&gt;=DeliverStart,ParkingPerUnitMo*LeaseUp!KX$9*KX$10,0)</f>
        <v/>
      </c>
      <c r="KY19" s="218">
        <f>IF(307&gt;=DeliverStart,ParkingPerUnitMo*LeaseUp!KY$9*KY$10,0)</f>
        <v/>
      </c>
      <c r="KZ19" s="218">
        <f>IF(308&gt;=DeliverStart,ParkingPerUnitMo*LeaseUp!KZ$9*KZ$10,0)</f>
        <v/>
      </c>
      <c r="LA19" s="218">
        <f>IF(309&gt;=DeliverStart,ParkingPerUnitMo*LeaseUp!LA$9*LA$10,0)</f>
        <v/>
      </c>
      <c r="LB19" s="218">
        <f>IF(310&gt;=DeliverStart,ParkingPerUnitMo*LeaseUp!LB$9*LB$10,0)</f>
        <v/>
      </c>
      <c r="LC19" s="218">
        <f>IF(311&gt;=DeliverStart,ParkingPerUnitMo*LeaseUp!LC$9*LC$10,0)</f>
        <v/>
      </c>
      <c r="LD19" s="218">
        <f>IF(312&gt;=DeliverStart,ParkingPerUnitMo*LeaseUp!LD$9*LD$10,0)</f>
        <v/>
      </c>
      <c r="LE19" s="218">
        <f>IF(313&gt;=DeliverStart,ParkingPerUnitMo*LeaseUp!LE$9*LE$10,0)</f>
        <v/>
      </c>
      <c r="LF19" s="218">
        <f>IF(314&gt;=DeliverStart,ParkingPerUnitMo*LeaseUp!LF$9*LF$10,0)</f>
        <v/>
      </c>
      <c r="LG19" s="218">
        <f>IF(315&gt;=DeliverStart,ParkingPerUnitMo*LeaseUp!LG$9*LG$10,0)</f>
        <v/>
      </c>
      <c r="LH19" s="218">
        <f>IF(316&gt;=DeliverStart,ParkingPerUnitMo*LeaseUp!LH$9*LH$10,0)</f>
        <v/>
      </c>
      <c r="LI19" s="218">
        <f>IF(317&gt;=DeliverStart,ParkingPerUnitMo*LeaseUp!LI$9*LI$10,0)</f>
        <v/>
      </c>
      <c r="LJ19" s="218">
        <f>IF(318&gt;=DeliverStart,ParkingPerUnitMo*LeaseUp!LJ$9*LJ$10,0)</f>
        <v/>
      </c>
      <c r="LK19" s="218">
        <f>IF(319&gt;=DeliverStart,ParkingPerUnitMo*LeaseUp!LK$9*LK$10,0)</f>
        <v/>
      </c>
      <c r="LL19" s="218">
        <f>IF(320&gt;=DeliverStart,ParkingPerUnitMo*LeaseUp!LL$9*LL$10,0)</f>
        <v/>
      </c>
      <c r="LM19" s="218">
        <f>IF(321&gt;=DeliverStart,ParkingPerUnitMo*LeaseUp!LM$9*LM$10,0)</f>
        <v/>
      </c>
      <c r="LN19" s="218">
        <f>IF(322&gt;=DeliverStart,ParkingPerUnitMo*LeaseUp!LN$9*LN$10,0)</f>
        <v/>
      </c>
      <c r="LO19" s="218">
        <f>IF(323&gt;=DeliverStart,ParkingPerUnitMo*LeaseUp!LO$9*LO$10,0)</f>
        <v/>
      </c>
      <c r="LP19" s="218">
        <f>IF(324&gt;=DeliverStart,ParkingPerUnitMo*LeaseUp!LP$9*LP$10,0)</f>
        <v/>
      </c>
      <c r="LQ19" s="218">
        <f>IF(325&gt;=DeliverStart,ParkingPerUnitMo*LeaseUp!LQ$9*LQ$10,0)</f>
        <v/>
      </c>
      <c r="LR19" s="218">
        <f>IF(326&gt;=DeliverStart,ParkingPerUnitMo*LeaseUp!LR$9*LR$10,0)</f>
        <v/>
      </c>
      <c r="LS19" s="218">
        <f>IF(327&gt;=DeliverStart,ParkingPerUnitMo*LeaseUp!LS$9*LS$10,0)</f>
        <v/>
      </c>
      <c r="LT19" s="218">
        <f>IF(328&gt;=DeliverStart,ParkingPerUnitMo*LeaseUp!LT$9*LT$10,0)</f>
        <v/>
      </c>
      <c r="LU19" s="218">
        <f>IF(329&gt;=DeliverStart,ParkingPerUnitMo*LeaseUp!LU$9*LU$10,0)</f>
        <v/>
      </c>
      <c r="LV19" s="218">
        <f>IF(330&gt;=DeliverStart,ParkingPerUnitMo*LeaseUp!LV$9*LV$10,0)</f>
        <v/>
      </c>
      <c r="LW19" s="218">
        <f>IF(331&gt;=DeliverStart,ParkingPerUnitMo*LeaseUp!LW$9*LW$10,0)</f>
        <v/>
      </c>
      <c r="LX19" s="218">
        <f>IF(332&gt;=DeliverStart,ParkingPerUnitMo*LeaseUp!LX$9*LX$10,0)</f>
        <v/>
      </c>
      <c r="LY19" s="218">
        <f>IF(333&gt;=DeliverStart,ParkingPerUnitMo*LeaseUp!LY$9*LY$10,0)</f>
        <v/>
      </c>
      <c r="LZ19" s="218">
        <f>IF(334&gt;=DeliverStart,ParkingPerUnitMo*LeaseUp!LZ$9*LZ$10,0)</f>
        <v/>
      </c>
      <c r="MA19" s="218">
        <f>IF(335&gt;=DeliverStart,ParkingPerUnitMo*LeaseUp!MA$9*MA$10,0)</f>
        <v/>
      </c>
      <c r="MB19" s="218">
        <f>IF(336&gt;=DeliverStart,ParkingPerUnitMo*LeaseUp!MB$9*MB$10,0)</f>
        <v/>
      </c>
      <c r="MC19" s="218">
        <f>IF(337&gt;=DeliverStart,ParkingPerUnitMo*LeaseUp!MC$9*MC$10,0)</f>
        <v/>
      </c>
      <c r="MD19" s="218">
        <f>IF(338&gt;=DeliverStart,ParkingPerUnitMo*LeaseUp!MD$9*MD$10,0)</f>
        <v/>
      </c>
      <c r="ME19" s="218">
        <f>IF(339&gt;=DeliverStart,ParkingPerUnitMo*LeaseUp!ME$9*ME$10,0)</f>
        <v/>
      </c>
      <c r="MF19" s="218">
        <f>IF(340&gt;=DeliverStart,ParkingPerUnitMo*LeaseUp!MF$9*MF$10,0)</f>
        <v/>
      </c>
      <c r="MG19" s="218">
        <f>IF(341&gt;=DeliverStart,ParkingPerUnitMo*LeaseUp!MG$9*MG$10,0)</f>
        <v/>
      </c>
      <c r="MH19" s="218">
        <f>IF(342&gt;=DeliverStart,ParkingPerUnitMo*LeaseUp!MH$9*MH$10,0)</f>
        <v/>
      </c>
      <c r="MI19" s="218">
        <f>IF(343&gt;=DeliverStart,ParkingPerUnitMo*LeaseUp!MI$9*MI$10,0)</f>
        <v/>
      </c>
      <c r="MJ19" s="218">
        <f>IF(344&gt;=DeliverStart,ParkingPerUnitMo*LeaseUp!MJ$9*MJ$10,0)</f>
        <v/>
      </c>
      <c r="MK19" s="218">
        <f>IF(345&gt;=DeliverStart,ParkingPerUnitMo*LeaseUp!MK$9*MK$10,0)</f>
        <v/>
      </c>
      <c r="ML19" s="218">
        <f>IF(346&gt;=DeliverStart,ParkingPerUnitMo*LeaseUp!ML$9*ML$10,0)</f>
        <v/>
      </c>
      <c r="MM19" s="218">
        <f>IF(347&gt;=DeliverStart,ParkingPerUnitMo*LeaseUp!MM$9*MM$10,0)</f>
        <v/>
      </c>
      <c r="MN19" s="218">
        <f>IF(348&gt;=DeliverStart,ParkingPerUnitMo*LeaseUp!MN$9*MN$10,0)</f>
        <v/>
      </c>
      <c r="MO19" s="218">
        <f>IF(349&gt;=DeliverStart,ParkingPerUnitMo*LeaseUp!MO$9*MO$10,0)</f>
        <v/>
      </c>
      <c r="MP19" s="218">
        <f>IF(350&gt;=DeliverStart,ParkingPerUnitMo*LeaseUp!MP$9*MP$10,0)</f>
        <v/>
      </c>
      <c r="MQ19" s="218">
        <f>IF(351&gt;=DeliverStart,ParkingPerUnitMo*LeaseUp!MQ$9*MQ$10,0)</f>
        <v/>
      </c>
      <c r="MR19" s="218">
        <f>IF(352&gt;=DeliverStart,ParkingPerUnitMo*LeaseUp!MR$9*MR$10,0)</f>
        <v/>
      </c>
      <c r="MS19" s="218">
        <f>IF(353&gt;=DeliverStart,ParkingPerUnitMo*LeaseUp!MS$9*MS$10,0)</f>
        <v/>
      </c>
      <c r="MT19" s="218">
        <f>IF(354&gt;=DeliverStart,ParkingPerUnitMo*LeaseUp!MT$9*MT$10,0)</f>
        <v/>
      </c>
      <c r="MU19" s="218">
        <f>IF(355&gt;=DeliverStart,ParkingPerUnitMo*LeaseUp!MU$9*MU$10,0)</f>
        <v/>
      </c>
      <c r="MV19" s="218">
        <f>IF(356&gt;=DeliverStart,ParkingPerUnitMo*LeaseUp!MV$9*MV$10,0)</f>
        <v/>
      </c>
      <c r="MW19" s="218">
        <f>IF(357&gt;=DeliverStart,ParkingPerUnitMo*LeaseUp!MW$9*MW$10,0)</f>
        <v/>
      </c>
      <c r="MX19" s="218">
        <f>IF(358&gt;=DeliverStart,ParkingPerUnitMo*LeaseUp!MX$9*MX$10,0)</f>
        <v/>
      </c>
      <c r="MY19" s="218">
        <f>IF(359&gt;=DeliverStart,ParkingPerUnitMo*LeaseUp!MY$9*MY$10,0)</f>
        <v/>
      </c>
      <c r="MZ19" s="218">
        <f>IF(360&gt;=DeliverStart,ParkingPerUnitMo*LeaseUp!MZ$9*MZ$10,0)</f>
        <v/>
      </c>
      <c r="NA19" s="218">
        <f>IF(361&gt;=DeliverStart,ParkingPerUnitMo*LeaseUp!NA$9*NA$10,0)</f>
        <v/>
      </c>
      <c r="NB19" s="218">
        <f>IF(362&gt;=DeliverStart,ParkingPerUnitMo*LeaseUp!NB$9*NB$10,0)</f>
        <v/>
      </c>
      <c r="NC19" s="218">
        <f>IF(363&gt;=DeliverStart,ParkingPerUnitMo*LeaseUp!NC$9*NC$10,0)</f>
        <v/>
      </c>
      <c r="ND19" s="218">
        <f>IF(364&gt;=DeliverStart,ParkingPerUnitMo*LeaseUp!ND$9*ND$10,0)</f>
        <v/>
      </c>
      <c r="NE19" s="218">
        <f>IF(365&gt;=DeliverStart,ParkingPerUnitMo*LeaseUp!NE$9*NE$10,0)</f>
        <v/>
      </c>
      <c r="NF19" s="218">
        <f>IF(366&gt;=DeliverStart,ParkingPerUnitMo*LeaseUp!NF$9*NF$10,0)</f>
        <v/>
      </c>
      <c r="NG19" s="218">
        <f>IF(367&gt;=DeliverStart,ParkingPerUnitMo*LeaseUp!NG$9*NG$10,0)</f>
        <v/>
      </c>
      <c r="NH19" s="218">
        <f>IF(368&gt;=DeliverStart,ParkingPerUnitMo*LeaseUp!NH$9*NH$10,0)</f>
        <v/>
      </c>
      <c r="NI19" s="218">
        <f>IF(369&gt;=DeliverStart,ParkingPerUnitMo*LeaseUp!NI$9*NI$10,0)</f>
        <v/>
      </c>
      <c r="NJ19" s="218">
        <f>IF(370&gt;=DeliverStart,ParkingPerUnitMo*LeaseUp!NJ$9*NJ$10,0)</f>
        <v/>
      </c>
      <c r="NK19" s="218">
        <f>IF(371&gt;=DeliverStart,ParkingPerUnitMo*LeaseUp!NK$9*NK$10,0)</f>
        <v/>
      </c>
      <c r="NL19" s="225">
        <f>IF(372&gt;=DeliverStart,ParkingPerUnitMo*LeaseUp!NL$9*NL$10,0)</f>
        <v/>
      </c>
    </row>
    <row r="20">
      <c r="B20" s="36" t="inlineStr">
        <is>
          <t>Utility Reimbursement</t>
        </is>
      </c>
      <c r="D20" s="266">
        <f>SUM(E20:NL20)</f>
        <v/>
      </c>
      <c r="E20" s="218">
        <f>IF(1&gt;=DeliverStart,UtilReimbPerUnitMo*LeaseUp!E$9*E$10,0)</f>
        <v/>
      </c>
      <c r="F20" s="218">
        <f>IF(2&gt;=DeliverStart,UtilReimbPerUnitMo*LeaseUp!F$9*F$10,0)</f>
        <v/>
      </c>
      <c r="G20" s="218">
        <f>IF(3&gt;=DeliverStart,UtilReimbPerUnitMo*LeaseUp!G$9*G$10,0)</f>
        <v/>
      </c>
      <c r="H20" s="218">
        <f>IF(4&gt;=DeliverStart,UtilReimbPerUnitMo*LeaseUp!H$9*H$10,0)</f>
        <v/>
      </c>
      <c r="I20" s="218">
        <f>IF(5&gt;=DeliverStart,UtilReimbPerUnitMo*LeaseUp!I$9*I$10,0)</f>
        <v/>
      </c>
      <c r="J20" s="218">
        <f>IF(6&gt;=DeliverStart,UtilReimbPerUnitMo*LeaseUp!J$9*J$10,0)</f>
        <v/>
      </c>
      <c r="K20" s="218">
        <f>IF(7&gt;=DeliverStart,UtilReimbPerUnitMo*LeaseUp!K$9*K$10,0)</f>
        <v/>
      </c>
      <c r="L20" s="218">
        <f>IF(8&gt;=DeliverStart,UtilReimbPerUnitMo*LeaseUp!L$9*L$10,0)</f>
        <v/>
      </c>
      <c r="M20" s="218">
        <f>IF(9&gt;=DeliverStart,UtilReimbPerUnitMo*LeaseUp!M$9*M$10,0)</f>
        <v/>
      </c>
      <c r="N20" s="218">
        <f>IF(10&gt;=DeliverStart,UtilReimbPerUnitMo*LeaseUp!N$9*N$10,0)</f>
        <v/>
      </c>
      <c r="O20" s="218">
        <f>IF(11&gt;=DeliverStart,UtilReimbPerUnitMo*LeaseUp!O$9*O$10,0)</f>
        <v/>
      </c>
      <c r="P20" s="218">
        <f>IF(12&gt;=DeliverStart,UtilReimbPerUnitMo*LeaseUp!P$9*P$10,0)</f>
        <v/>
      </c>
      <c r="Q20" s="218">
        <f>IF(13&gt;=DeliverStart,UtilReimbPerUnitMo*LeaseUp!Q$9*Q$10,0)</f>
        <v/>
      </c>
      <c r="R20" s="218">
        <f>IF(14&gt;=DeliverStart,UtilReimbPerUnitMo*LeaseUp!R$9*R$10,0)</f>
        <v/>
      </c>
      <c r="S20" s="218">
        <f>IF(15&gt;=DeliverStart,UtilReimbPerUnitMo*LeaseUp!S$9*S$10,0)</f>
        <v/>
      </c>
      <c r="T20" s="218">
        <f>IF(16&gt;=DeliverStart,UtilReimbPerUnitMo*LeaseUp!T$9*T$10,0)</f>
        <v/>
      </c>
      <c r="U20" s="218">
        <f>IF(17&gt;=DeliverStart,UtilReimbPerUnitMo*LeaseUp!U$9*U$10,0)</f>
        <v/>
      </c>
      <c r="V20" s="218">
        <f>IF(18&gt;=DeliverStart,UtilReimbPerUnitMo*LeaseUp!V$9*V$10,0)</f>
        <v/>
      </c>
      <c r="W20" s="218">
        <f>IF(19&gt;=DeliverStart,UtilReimbPerUnitMo*LeaseUp!W$9*W$10,0)</f>
        <v/>
      </c>
      <c r="X20" s="218">
        <f>IF(20&gt;=DeliverStart,UtilReimbPerUnitMo*LeaseUp!X$9*X$10,0)</f>
        <v/>
      </c>
      <c r="Y20" s="218">
        <f>IF(21&gt;=DeliverStart,UtilReimbPerUnitMo*LeaseUp!Y$9*Y$10,0)</f>
        <v/>
      </c>
      <c r="Z20" s="218">
        <f>IF(22&gt;=DeliverStart,UtilReimbPerUnitMo*LeaseUp!Z$9*Z$10,0)</f>
        <v/>
      </c>
      <c r="AA20" s="218">
        <f>IF(23&gt;=DeliverStart,UtilReimbPerUnitMo*LeaseUp!AA$9*AA$10,0)</f>
        <v/>
      </c>
      <c r="AB20" s="218">
        <f>IF(24&gt;=DeliverStart,UtilReimbPerUnitMo*LeaseUp!AB$9*AB$10,0)</f>
        <v/>
      </c>
      <c r="AC20" s="218">
        <f>IF(25&gt;=DeliverStart,UtilReimbPerUnitMo*LeaseUp!AC$9*AC$10,0)</f>
        <v/>
      </c>
      <c r="AD20" s="218">
        <f>IF(26&gt;=DeliverStart,UtilReimbPerUnitMo*LeaseUp!AD$9*AD$10,0)</f>
        <v/>
      </c>
      <c r="AE20" s="218">
        <f>IF(27&gt;=DeliverStart,UtilReimbPerUnitMo*LeaseUp!AE$9*AE$10,0)</f>
        <v/>
      </c>
      <c r="AF20" s="218">
        <f>IF(28&gt;=DeliverStart,UtilReimbPerUnitMo*LeaseUp!AF$9*AF$10,0)</f>
        <v/>
      </c>
      <c r="AG20" s="218">
        <f>IF(29&gt;=DeliverStart,UtilReimbPerUnitMo*LeaseUp!AG$9*AG$10,0)</f>
        <v/>
      </c>
      <c r="AH20" s="218">
        <f>IF(30&gt;=DeliverStart,UtilReimbPerUnitMo*LeaseUp!AH$9*AH$10,0)</f>
        <v/>
      </c>
      <c r="AI20" s="218">
        <f>IF(31&gt;=DeliverStart,UtilReimbPerUnitMo*LeaseUp!AI$9*AI$10,0)</f>
        <v/>
      </c>
      <c r="AJ20" s="218">
        <f>IF(32&gt;=DeliverStart,UtilReimbPerUnitMo*LeaseUp!AJ$9*AJ$10,0)</f>
        <v/>
      </c>
      <c r="AK20" s="218">
        <f>IF(33&gt;=DeliverStart,UtilReimbPerUnitMo*LeaseUp!AK$9*AK$10,0)</f>
        <v/>
      </c>
      <c r="AL20" s="218">
        <f>IF(34&gt;=DeliverStart,UtilReimbPerUnitMo*LeaseUp!AL$9*AL$10,0)</f>
        <v/>
      </c>
      <c r="AM20" s="218">
        <f>IF(35&gt;=DeliverStart,UtilReimbPerUnitMo*LeaseUp!AM$9*AM$10,0)</f>
        <v/>
      </c>
      <c r="AN20" s="218">
        <f>IF(36&gt;=DeliverStart,UtilReimbPerUnitMo*LeaseUp!AN$9*AN$10,0)</f>
        <v/>
      </c>
      <c r="AO20" s="218">
        <f>IF(37&gt;=DeliverStart,UtilReimbPerUnitMo*LeaseUp!AO$9*AO$10,0)</f>
        <v/>
      </c>
      <c r="AP20" s="218">
        <f>IF(38&gt;=DeliverStart,UtilReimbPerUnitMo*LeaseUp!AP$9*AP$10,0)</f>
        <v/>
      </c>
      <c r="AQ20" s="218">
        <f>IF(39&gt;=DeliverStart,UtilReimbPerUnitMo*LeaseUp!AQ$9*AQ$10,0)</f>
        <v/>
      </c>
      <c r="AR20" s="218">
        <f>IF(40&gt;=DeliverStart,UtilReimbPerUnitMo*LeaseUp!AR$9*AR$10,0)</f>
        <v/>
      </c>
      <c r="AS20" s="218">
        <f>IF(41&gt;=DeliverStart,UtilReimbPerUnitMo*LeaseUp!AS$9*AS$10,0)</f>
        <v/>
      </c>
      <c r="AT20" s="218">
        <f>IF(42&gt;=DeliverStart,UtilReimbPerUnitMo*LeaseUp!AT$9*AT$10,0)</f>
        <v/>
      </c>
      <c r="AU20" s="218">
        <f>IF(43&gt;=DeliverStart,UtilReimbPerUnitMo*LeaseUp!AU$9*AU$10,0)</f>
        <v/>
      </c>
      <c r="AV20" s="218">
        <f>IF(44&gt;=DeliverStart,UtilReimbPerUnitMo*LeaseUp!AV$9*AV$10,0)</f>
        <v/>
      </c>
      <c r="AW20" s="218">
        <f>IF(45&gt;=DeliverStart,UtilReimbPerUnitMo*LeaseUp!AW$9*AW$10,0)</f>
        <v/>
      </c>
      <c r="AX20" s="218">
        <f>IF(46&gt;=DeliverStart,UtilReimbPerUnitMo*LeaseUp!AX$9*AX$10,0)</f>
        <v/>
      </c>
      <c r="AY20" s="218">
        <f>IF(47&gt;=DeliverStart,UtilReimbPerUnitMo*LeaseUp!AY$9*AY$10,0)</f>
        <v/>
      </c>
      <c r="AZ20" s="218">
        <f>IF(48&gt;=DeliverStart,UtilReimbPerUnitMo*LeaseUp!AZ$9*AZ$10,0)</f>
        <v/>
      </c>
      <c r="BA20" s="218">
        <f>IF(49&gt;=DeliverStart,UtilReimbPerUnitMo*LeaseUp!BA$9*BA$10,0)</f>
        <v/>
      </c>
      <c r="BB20" s="218">
        <f>IF(50&gt;=DeliverStart,UtilReimbPerUnitMo*LeaseUp!BB$9*BB$10,0)</f>
        <v/>
      </c>
      <c r="BC20" s="218">
        <f>IF(51&gt;=DeliverStart,UtilReimbPerUnitMo*LeaseUp!BC$9*BC$10,0)</f>
        <v/>
      </c>
      <c r="BD20" s="218">
        <f>IF(52&gt;=DeliverStart,UtilReimbPerUnitMo*LeaseUp!BD$9*BD$10,0)</f>
        <v/>
      </c>
      <c r="BE20" s="218">
        <f>IF(53&gt;=DeliverStart,UtilReimbPerUnitMo*LeaseUp!BE$9*BE$10,0)</f>
        <v/>
      </c>
      <c r="BF20" s="218">
        <f>IF(54&gt;=DeliverStart,UtilReimbPerUnitMo*LeaseUp!BF$9*BF$10,0)</f>
        <v/>
      </c>
      <c r="BG20" s="218">
        <f>IF(55&gt;=DeliverStart,UtilReimbPerUnitMo*LeaseUp!BG$9*BG$10,0)</f>
        <v/>
      </c>
      <c r="BH20" s="218">
        <f>IF(56&gt;=DeliverStart,UtilReimbPerUnitMo*LeaseUp!BH$9*BH$10,0)</f>
        <v/>
      </c>
      <c r="BI20" s="218">
        <f>IF(57&gt;=DeliverStart,UtilReimbPerUnitMo*LeaseUp!BI$9*BI$10,0)</f>
        <v/>
      </c>
      <c r="BJ20" s="218">
        <f>IF(58&gt;=DeliverStart,UtilReimbPerUnitMo*LeaseUp!BJ$9*BJ$10,0)</f>
        <v/>
      </c>
      <c r="BK20" s="218">
        <f>IF(59&gt;=DeliverStart,UtilReimbPerUnitMo*LeaseUp!BK$9*BK$10,0)</f>
        <v/>
      </c>
      <c r="BL20" s="218">
        <f>IF(60&gt;=DeliverStart,UtilReimbPerUnitMo*LeaseUp!BL$9*BL$10,0)</f>
        <v/>
      </c>
      <c r="BM20" s="218">
        <f>IF(61&gt;=DeliverStart,UtilReimbPerUnitMo*LeaseUp!BM$9*BM$10,0)</f>
        <v/>
      </c>
      <c r="BN20" s="218">
        <f>IF(62&gt;=DeliverStart,UtilReimbPerUnitMo*LeaseUp!BN$9*BN$10,0)</f>
        <v/>
      </c>
      <c r="BO20" s="218">
        <f>IF(63&gt;=DeliverStart,UtilReimbPerUnitMo*LeaseUp!BO$9*BO$10,0)</f>
        <v/>
      </c>
      <c r="BP20" s="218">
        <f>IF(64&gt;=DeliverStart,UtilReimbPerUnitMo*LeaseUp!BP$9*BP$10,0)</f>
        <v/>
      </c>
      <c r="BQ20" s="218">
        <f>IF(65&gt;=DeliverStart,UtilReimbPerUnitMo*LeaseUp!BQ$9*BQ$10,0)</f>
        <v/>
      </c>
      <c r="BR20" s="218">
        <f>IF(66&gt;=DeliverStart,UtilReimbPerUnitMo*LeaseUp!BR$9*BR$10,0)</f>
        <v/>
      </c>
      <c r="BS20" s="218">
        <f>IF(67&gt;=DeliverStart,UtilReimbPerUnitMo*LeaseUp!BS$9*BS$10,0)</f>
        <v/>
      </c>
      <c r="BT20" s="218">
        <f>IF(68&gt;=DeliverStart,UtilReimbPerUnitMo*LeaseUp!BT$9*BT$10,0)</f>
        <v/>
      </c>
      <c r="BU20" s="218">
        <f>IF(69&gt;=DeliverStart,UtilReimbPerUnitMo*LeaseUp!BU$9*BU$10,0)</f>
        <v/>
      </c>
      <c r="BV20" s="218">
        <f>IF(70&gt;=DeliverStart,UtilReimbPerUnitMo*LeaseUp!BV$9*BV$10,0)</f>
        <v/>
      </c>
      <c r="BW20" s="218">
        <f>IF(71&gt;=DeliverStart,UtilReimbPerUnitMo*LeaseUp!BW$9*BW$10,0)</f>
        <v/>
      </c>
      <c r="BX20" s="218">
        <f>IF(72&gt;=DeliverStart,UtilReimbPerUnitMo*LeaseUp!BX$9*BX$10,0)</f>
        <v/>
      </c>
      <c r="BY20" s="218">
        <f>IF(73&gt;=DeliverStart,UtilReimbPerUnitMo*LeaseUp!BY$9*BY$10,0)</f>
        <v/>
      </c>
      <c r="BZ20" s="218">
        <f>IF(74&gt;=DeliverStart,UtilReimbPerUnitMo*LeaseUp!BZ$9*BZ$10,0)</f>
        <v/>
      </c>
      <c r="CA20" s="218">
        <f>IF(75&gt;=DeliverStart,UtilReimbPerUnitMo*LeaseUp!CA$9*CA$10,0)</f>
        <v/>
      </c>
      <c r="CB20" s="218">
        <f>IF(76&gt;=DeliverStart,UtilReimbPerUnitMo*LeaseUp!CB$9*CB$10,0)</f>
        <v/>
      </c>
      <c r="CC20" s="218">
        <f>IF(77&gt;=DeliverStart,UtilReimbPerUnitMo*LeaseUp!CC$9*CC$10,0)</f>
        <v/>
      </c>
      <c r="CD20" s="218">
        <f>IF(78&gt;=DeliverStart,UtilReimbPerUnitMo*LeaseUp!CD$9*CD$10,0)</f>
        <v/>
      </c>
      <c r="CE20" s="218">
        <f>IF(79&gt;=DeliverStart,UtilReimbPerUnitMo*LeaseUp!CE$9*CE$10,0)</f>
        <v/>
      </c>
      <c r="CF20" s="218">
        <f>IF(80&gt;=DeliverStart,UtilReimbPerUnitMo*LeaseUp!CF$9*CF$10,0)</f>
        <v/>
      </c>
      <c r="CG20" s="218">
        <f>IF(81&gt;=DeliverStart,UtilReimbPerUnitMo*LeaseUp!CG$9*CG$10,0)</f>
        <v/>
      </c>
      <c r="CH20" s="218">
        <f>IF(82&gt;=DeliverStart,UtilReimbPerUnitMo*LeaseUp!CH$9*CH$10,0)</f>
        <v/>
      </c>
      <c r="CI20" s="218">
        <f>IF(83&gt;=DeliverStart,UtilReimbPerUnitMo*LeaseUp!CI$9*CI$10,0)</f>
        <v/>
      </c>
      <c r="CJ20" s="218">
        <f>IF(84&gt;=DeliverStart,UtilReimbPerUnitMo*LeaseUp!CJ$9*CJ$10,0)</f>
        <v/>
      </c>
      <c r="CK20" s="218">
        <f>IF(85&gt;=DeliverStart,UtilReimbPerUnitMo*LeaseUp!CK$9*CK$10,0)</f>
        <v/>
      </c>
      <c r="CL20" s="218">
        <f>IF(86&gt;=DeliverStart,UtilReimbPerUnitMo*LeaseUp!CL$9*CL$10,0)</f>
        <v/>
      </c>
      <c r="CM20" s="218">
        <f>IF(87&gt;=DeliverStart,UtilReimbPerUnitMo*LeaseUp!CM$9*CM$10,0)</f>
        <v/>
      </c>
      <c r="CN20" s="218">
        <f>IF(88&gt;=DeliverStart,UtilReimbPerUnitMo*LeaseUp!CN$9*CN$10,0)</f>
        <v/>
      </c>
      <c r="CO20" s="218">
        <f>IF(89&gt;=DeliverStart,UtilReimbPerUnitMo*LeaseUp!CO$9*CO$10,0)</f>
        <v/>
      </c>
      <c r="CP20" s="218">
        <f>IF(90&gt;=DeliverStart,UtilReimbPerUnitMo*LeaseUp!CP$9*CP$10,0)</f>
        <v/>
      </c>
      <c r="CQ20" s="218">
        <f>IF(91&gt;=DeliverStart,UtilReimbPerUnitMo*LeaseUp!CQ$9*CQ$10,0)</f>
        <v/>
      </c>
      <c r="CR20" s="218">
        <f>IF(92&gt;=DeliverStart,UtilReimbPerUnitMo*LeaseUp!CR$9*CR$10,0)</f>
        <v/>
      </c>
      <c r="CS20" s="218">
        <f>IF(93&gt;=DeliverStart,UtilReimbPerUnitMo*LeaseUp!CS$9*CS$10,0)</f>
        <v/>
      </c>
      <c r="CT20" s="218">
        <f>IF(94&gt;=DeliverStart,UtilReimbPerUnitMo*LeaseUp!CT$9*CT$10,0)</f>
        <v/>
      </c>
      <c r="CU20" s="218">
        <f>IF(95&gt;=DeliverStart,UtilReimbPerUnitMo*LeaseUp!CU$9*CU$10,0)</f>
        <v/>
      </c>
      <c r="CV20" s="218">
        <f>IF(96&gt;=DeliverStart,UtilReimbPerUnitMo*LeaseUp!CV$9*CV$10,0)</f>
        <v/>
      </c>
      <c r="CW20" s="218">
        <f>IF(97&gt;=DeliverStart,UtilReimbPerUnitMo*LeaseUp!CW$9*CW$10,0)</f>
        <v/>
      </c>
      <c r="CX20" s="218">
        <f>IF(98&gt;=DeliverStart,UtilReimbPerUnitMo*LeaseUp!CX$9*CX$10,0)</f>
        <v/>
      </c>
      <c r="CY20" s="218">
        <f>IF(99&gt;=DeliverStart,UtilReimbPerUnitMo*LeaseUp!CY$9*CY$10,0)</f>
        <v/>
      </c>
      <c r="CZ20" s="218">
        <f>IF(100&gt;=DeliverStart,UtilReimbPerUnitMo*LeaseUp!CZ$9*CZ$10,0)</f>
        <v/>
      </c>
      <c r="DA20" s="218">
        <f>IF(101&gt;=DeliverStart,UtilReimbPerUnitMo*LeaseUp!DA$9*DA$10,0)</f>
        <v/>
      </c>
      <c r="DB20" s="218">
        <f>IF(102&gt;=DeliverStart,UtilReimbPerUnitMo*LeaseUp!DB$9*DB$10,0)</f>
        <v/>
      </c>
      <c r="DC20" s="218">
        <f>IF(103&gt;=DeliverStart,UtilReimbPerUnitMo*LeaseUp!DC$9*DC$10,0)</f>
        <v/>
      </c>
      <c r="DD20" s="218">
        <f>IF(104&gt;=DeliverStart,UtilReimbPerUnitMo*LeaseUp!DD$9*DD$10,0)</f>
        <v/>
      </c>
      <c r="DE20" s="218">
        <f>IF(105&gt;=DeliverStart,UtilReimbPerUnitMo*LeaseUp!DE$9*DE$10,0)</f>
        <v/>
      </c>
      <c r="DF20" s="218">
        <f>IF(106&gt;=DeliverStart,UtilReimbPerUnitMo*LeaseUp!DF$9*DF$10,0)</f>
        <v/>
      </c>
      <c r="DG20" s="218">
        <f>IF(107&gt;=DeliverStart,UtilReimbPerUnitMo*LeaseUp!DG$9*DG$10,0)</f>
        <v/>
      </c>
      <c r="DH20" s="218">
        <f>IF(108&gt;=DeliverStart,UtilReimbPerUnitMo*LeaseUp!DH$9*DH$10,0)</f>
        <v/>
      </c>
      <c r="DI20" s="218">
        <f>IF(109&gt;=DeliverStart,UtilReimbPerUnitMo*LeaseUp!DI$9*DI$10,0)</f>
        <v/>
      </c>
      <c r="DJ20" s="218">
        <f>IF(110&gt;=DeliverStart,UtilReimbPerUnitMo*LeaseUp!DJ$9*DJ$10,0)</f>
        <v/>
      </c>
      <c r="DK20" s="218">
        <f>IF(111&gt;=DeliverStart,UtilReimbPerUnitMo*LeaseUp!DK$9*DK$10,0)</f>
        <v/>
      </c>
      <c r="DL20" s="218">
        <f>IF(112&gt;=DeliverStart,UtilReimbPerUnitMo*LeaseUp!DL$9*DL$10,0)</f>
        <v/>
      </c>
      <c r="DM20" s="218">
        <f>IF(113&gt;=DeliverStart,UtilReimbPerUnitMo*LeaseUp!DM$9*DM$10,0)</f>
        <v/>
      </c>
      <c r="DN20" s="218">
        <f>IF(114&gt;=DeliverStart,UtilReimbPerUnitMo*LeaseUp!DN$9*DN$10,0)</f>
        <v/>
      </c>
      <c r="DO20" s="218">
        <f>IF(115&gt;=DeliverStart,UtilReimbPerUnitMo*LeaseUp!DO$9*DO$10,0)</f>
        <v/>
      </c>
      <c r="DP20" s="218">
        <f>IF(116&gt;=DeliverStart,UtilReimbPerUnitMo*LeaseUp!DP$9*DP$10,0)</f>
        <v/>
      </c>
      <c r="DQ20" s="218">
        <f>IF(117&gt;=DeliverStart,UtilReimbPerUnitMo*LeaseUp!DQ$9*DQ$10,0)</f>
        <v/>
      </c>
      <c r="DR20" s="218">
        <f>IF(118&gt;=DeliverStart,UtilReimbPerUnitMo*LeaseUp!DR$9*DR$10,0)</f>
        <v/>
      </c>
      <c r="DS20" s="218">
        <f>IF(119&gt;=DeliverStart,UtilReimbPerUnitMo*LeaseUp!DS$9*DS$10,0)</f>
        <v/>
      </c>
      <c r="DT20" s="218">
        <f>IF(120&gt;=DeliverStart,UtilReimbPerUnitMo*LeaseUp!DT$9*DT$10,0)</f>
        <v/>
      </c>
      <c r="DU20" s="218">
        <f>IF(121&gt;=DeliverStart,UtilReimbPerUnitMo*LeaseUp!DU$9*DU$10,0)</f>
        <v/>
      </c>
      <c r="DV20" s="218">
        <f>IF(122&gt;=DeliverStart,UtilReimbPerUnitMo*LeaseUp!DV$9*DV$10,0)</f>
        <v/>
      </c>
      <c r="DW20" s="218">
        <f>IF(123&gt;=DeliverStart,UtilReimbPerUnitMo*LeaseUp!DW$9*DW$10,0)</f>
        <v/>
      </c>
      <c r="DX20" s="218">
        <f>IF(124&gt;=DeliverStart,UtilReimbPerUnitMo*LeaseUp!DX$9*DX$10,0)</f>
        <v/>
      </c>
      <c r="DY20" s="218">
        <f>IF(125&gt;=DeliverStart,UtilReimbPerUnitMo*LeaseUp!DY$9*DY$10,0)</f>
        <v/>
      </c>
      <c r="DZ20" s="218">
        <f>IF(126&gt;=DeliverStart,UtilReimbPerUnitMo*LeaseUp!DZ$9*DZ$10,0)</f>
        <v/>
      </c>
      <c r="EA20" s="218">
        <f>IF(127&gt;=DeliverStart,UtilReimbPerUnitMo*LeaseUp!EA$9*EA$10,0)</f>
        <v/>
      </c>
      <c r="EB20" s="218">
        <f>IF(128&gt;=DeliverStart,UtilReimbPerUnitMo*LeaseUp!EB$9*EB$10,0)</f>
        <v/>
      </c>
      <c r="EC20" s="218">
        <f>IF(129&gt;=DeliverStart,UtilReimbPerUnitMo*LeaseUp!EC$9*EC$10,0)</f>
        <v/>
      </c>
      <c r="ED20" s="218">
        <f>IF(130&gt;=DeliverStart,UtilReimbPerUnitMo*LeaseUp!ED$9*ED$10,0)</f>
        <v/>
      </c>
      <c r="EE20" s="218">
        <f>IF(131&gt;=DeliverStart,UtilReimbPerUnitMo*LeaseUp!EE$9*EE$10,0)</f>
        <v/>
      </c>
      <c r="EF20" s="218">
        <f>IF(132&gt;=DeliverStart,UtilReimbPerUnitMo*LeaseUp!EF$9*EF$10,0)</f>
        <v/>
      </c>
      <c r="EG20" s="218">
        <f>IF(133&gt;=DeliverStart,UtilReimbPerUnitMo*LeaseUp!EG$9*EG$10,0)</f>
        <v/>
      </c>
      <c r="EH20" s="218">
        <f>IF(134&gt;=DeliverStart,UtilReimbPerUnitMo*LeaseUp!EH$9*EH$10,0)</f>
        <v/>
      </c>
      <c r="EI20" s="218">
        <f>IF(135&gt;=DeliverStart,UtilReimbPerUnitMo*LeaseUp!EI$9*EI$10,0)</f>
        <v/>
      </c>
      <c r="EJ20" s="218">
        <f>IF(136&gt;=DeliverStart,UtilReimbPerUnitMo*LeaseUp!EJ$9*EJ$10,0)</f>
        <v/>
      </c>
      <c r="EK20" s="218">
        <f>IF(137&gt;=DeliverStart,UtilReimbPerUnitMo*LeaseUp!EK$9*EK$10,0)</f>
        <v/>
      </c>
      <c r="EL20" s="218">
        <f>IF(138&gt;=DeliverStart,UtilReimbPerUnitMo*LeaseUp!EL$9*EL$10,0)</f>
        <v/>
      </c>
      <c r="EM20" s="218">
        <f>IF(139&gt;=DeliverStart,UtilReimbPerUnitMo*LeaseUp!EM$9*EM$10,0)</f>
        <v/>
      </c>
      <c r="EN20" s="218">
        <f>IF(140&gt;=DeliverStart,UtilReimbPerUnitMo*LeaseUp!EN$9*EN$10,0)</f>
        <v/>
      </c>
      <c r="EO20" s="218">
        <f>IF(141&gt;=DeliverStart,UtilReimbPerUnitMo*LeaseUp!EO$9*EO$10,0)</f>
        <v/>
      </c>
      <c r="EP20" s="218">
        <f>IF(142&gt;=DeliverStart,UtilReimbPerUnitMo*LeaseUp!EP$9*EP$10,0)</f>
        <v/>
      </c>
      <c r="EQ20" s="218">
        <f>IF(143&gt;=DeliverStart,UtilReimbPerUnitMo*LeaseUp!EQ$9*EQ$10,0)</f>
        <v/>
      </c>
      <c r="ER20" s="218">
        <f>IF(144&gt;=DeliverStart,UtilReimbPerUnitMo*LeaseUp!ER$9*ER$10,0)</f>
        <v/>
      </c>
      <c r="ES20" s="218">
        <f>IF(145&gt;=DeliverStart,UtilReimbPerUnitMo*LeaseUp!ES$9*ES$10,0)</f>
        <v/>
      </c>
      <c r="ET20" s="218">
        <f>IF(146&gt;=DeliverStart,UtilReimbPerUnitMo*LeaseUp!ET$9*ET$10,0)</f>
        <v/>
      </c>
      <c r="EU20" s="218">
        <f>IF(147&gt;=DeliverStart,UtilReimbPerUnitMo*LeaseUp!EU$9*EU$10,0)</f>
        <v/>
      </c>
      <c r="EV20" s="218">
        <f>IF(148&gt;=DeliverStart,UtilReimbPerUnitMo*LeaseUp!EV$9*EV$10,0)</f>
        <v/>
      </c>
      <c r="EW20" s="218">
        <f>IF(149&gt;=DeliverStart,UtilReimbPerUnitMo*LeaseUp!EW$9*EW$10,0)</f>
        <v/>
      </c>
      <c r="EX20" s="218">
        <f>IF(150&gt;=DeliverStart,UtilReimbPerUnitMo*LeaseUp!EX$9*EX$10,0)</f>
        <v/>
      </c>
      <c r="EY20" s="218">
        <f>IF(151&gt;=DeliverStart,UtilReimbPerUnitMo*LeaseUp!EY$9*EY$10,0)</f>
        <v/>
      </c>
      <c r="EZ20" s="218">
        <f>IF(152&gt;=DeliverStart,UtilReimbPerUnitMo*LeaseUp!EZ$9*EZ$10,0)</f>
        <v/>
      </c>
      <c r="FA20" s="218">
        <f>IF(153&gt;=DeliverStart,UtilReimbPerUnitMo*LeaseUp!FA$9*FA$10,0)</f>
        <v/>
      </c>
      <c r="FB20" s="218">
        <f>IF(154&gt;=DeliverStart,UtilReimbPerUnitMo*LeaseUp!FB$9*FB$10,0)</f>
        <v/>
      </c>
      <c r="FC20" s="218">
        <f>IF(155&gt;=DeliverStart,UtilReimbPerUnitMo*LeaseUp!FC$9*FC$10,0)</f>
        <v/>
      </c>
      <c r="FD20" s="218">
        <f>IF(156&gt;=DeliverStart,UtilReimbPerUnitMo*LeaseUp!FD$9*FD$10,0)</f>
        <v/>
      </c>
      <c r="FE20" s="218">
        <f>IF(157&gt;=DeliverStart,UtilReimbPerUnitMo*LeaseUp!FE$9*FE$10,0)</f>
        <v/>
      </c>
      <c r="FF20" s="218">
        <f>IF(158&gt;=DeliverStart,UtilReimbPerUnitMo*LeaseUp!FF$9*FF$10,0)</f>
        <v/>
      </c>
      <c r="FG20" s="218">
        <f>IF(159&gt;=DeliverStart,UtilReimbPerUnitMo*LeaseUp!FG$9*FG$10,0)</f>
        <v/>
      </c>
      <c r="FH20" s="218">
        <f>IF(160&gt;=DeliverStart,UtilReimbPerUnitMo*LeaseUp!FH$9*FH$10,0)</f>
        <v/>
      </c>
      <c r="FI20" s="218">
        <f>IF(161&gt;=DeliverStart,UtilReimbPerUnitMo*LeaseUp!FI$9*FI$10,0)</f>
        <v/>
      </c>
      <c r="FJ20" s="218">
        <f>IF(162&gt;=DeliverStart,UtilReimbPerUnitMo*LeaseUp!FJ$9*FJ$10,0)</f>
        <v/>
      </c>
      <c r="FK20" s="218">
        <f>IF(163&gt;=DeliverStart,UtilReimbPerUnitMo*LeaseUp!FK$9*FK$10,0)</f>
        <v/>
      </c>
      <c r="FL20" s="218">
        <f>IF(164&gt;=DeliverStart,UtilReimbPerUnitMo*LeaseUp!FL$9*FL$10,0)</f>
        <v/>
      </c>
      <c r="FM20" s="218">
        <f>IF(165&gt;=DeliverStart,UtilReimbPerUnitMo*LeaseUp!FM$9*FM$10,0)</f>
        <v/>
      </c>
      <c r="FN20" s="218">
        <f>IF(166&gt;=DeliverStart,UtilReimbPerUnitMo*LeaseUp!FN$9*FN$10,0)</f>
        <v/>
      </c>
      <c r="FO20" s="218">
        <f>IF(167&gt;=DeliverStart,UtilReimbPerUnitMo*LeaseUp!FO$9*FO$10,0)</f>
        <v/>
      </c>
      <c r="FP20" s="218">
        <f>IF(168&gt;=DeliverStart,UtilReimbPerUnitMo*LeaseUp!FP$9*FP$10,0)</f>
        <v/>
      </c>
      <c r="FQ20" s="218">
        <f>IF(169&gt;=DeliverStart,UtilReimbPerUnitMo*LeaseUp!FQ$9*FQ$10,0)</f>
        <v/>
      </c>
      <c r="FR20" s="218">
        <f>IF(170&gt;=DeliverStart,UtilReimbPerUnitMo*LeaseUp!FR$9*FR$10,0)</f>
        <v/>
      </c>
      <c r="FS20" s="218">
        <f>IF(171&gt;=DeliverStart,UtilReimbPerUnitMo*LeaseUp!FS$9*FS$10,0)</f>
        <v/>
      </c>
      <c r="FT20" s="218">
        <f>IF(172&gt;=DeliverStart,UtilReimbPerUnitMo*LeaseUp!FT$9*FT$10,0)</f>
        <v/>
      </c>
      <c r="FU20" s="218">
        <f>IF(173&gt;=DeliverStart,UtilReimbPerUnitMo*LeaseUp!FU$9*FU$10,0)</f>
        <v/>
      </c>
      <c r="FV20" s="218">
        <f>IF(174&gt;=DeliverStart,UtilReimbPerUnitMo*LeaseUp!FV$9*FV$10,0)</f>
        <v/>
      </c>
      <c r="FW20" s="218">
        <f>IF(175&gt;=DeliverStart,UtilReimbPerUnitMo*LeaseUp!FW$9*FW$10,0)</f>
        <v/>
      </c>
      <c r="FX20" s="218">
        <f>IF(176&gt;=DeliverStart,UtilReimbPerUnitMo*LeaseUp!FX$9*FX$10,0)</f>
        <v/>
      </c>
      <c r="FY20" s="218">
        <f>IF(177&gt;=DeliverStart,UtilReimbPerUnitMo*LeaseUp!FY$9*FY$10,0)</f>
        <v/>
      </c>
      <c r="FZ20" s="218">
        <f>IF(178&gt;=DeliverStart,UtilReimbPerUnitMo*LeaseUp!FZ$9*FZ$10,0)</f>
        <v/>
      </c>
      <c r="GA20" s="218">
        <f>IF(179&gt;=DeliverStart,UtilReimbPerUnitMo*LeaseUp!GA$9*GA$10,0)</f>
        <v/>
      </c>
      <c r="GB20" s="218">
        <f>IF(180&gt;=DeliverStart,UtilReimbPerUnitMo*LeaseUp!GB$9*GB$10,0)</f>
        <v/>
      </c>
      <c r="GC20" s="218">
        <f>IF(181&gt;=DeliverStart,UtilReimbPerUnitMo*LeaseUp!GC$9*GC$10,0)</f>
        <v/>
      </c>
      <c r="GD20" s="218">
        <f>IF(182&gt;=DeliverStart,UtilReimbPerUnitMo*LeaseUp!GD$9*GD$10,0)</f>
        <v/>
      </c>
      <c r="GE20" s="218">
        <f>IF(183&gt;=DeliverStart,UtilReimbPerUnitMo*LeaseUp!GE$9*GE$10,0)</f>
        <v/>
      </c>
      <c r="GF20" s="218">
        <f>IF(184&gt;=DeliverStart,UtilReimbPerUnitMo*LeaseUp!GF$9*GF$10,0)</f>
        <v/>
      </c>
      <c r="GG20" s="218">
        <f>IF(185&gt;=DeliverStart,UtilReimbPerUnitMo*LeaseUp!GG$9*GG$10,0)</f>
        <v/>
      </c>
      <c r="GH20" s="218">
        <f>IF(186&gt;=DeliverStart,UtilReimbPerUnitMo*LeaseUp!GH$9*GH$10,0)</f>
        <v/>
      </c>
      <c r="GI20" s="218">
        <f>IF(187&gt;=DeliverStart,UtilReimbPerUnitMo*LeaseUp!GI$9*GI$10,0)</f>
        <v/>
      </c>
      <c r="GJ20" s="218">
        <f>IF(188&gt;=DeliverStart,UtilReimbPerUnitMo*LeaseUp!GJ$9*GJ$10,0)</f>
        <v/>
      </c>
      <c r="GK20" s="218">
        <f>IF(189&gt;=DeliverStart,UtilReimbPerUnitMo*LeaseUp!GK$9*GK$10,0)</f>
        <v/>
      </c>
      <c r="GL20" s="218">
        <f>IF(190&gt;=DeliverStart,UtilReimbPerUnitMo*LeaseUp!GL$9*GL$10,0)</f>
        <v/>
      </c>
      <c r="GM20" s="218">
        <f>IF(191&gt;=DeliverStart,UtilReimbPerUnitMo*LeaseUp!GM$9*GM$10,0)</f>
        <v/>
      </c>
      <c r="GN20" s="218">
        <f>IF(192&gt;=DeliverStart,UtilReimbPerUnitMo*LeaseUp!GN$9*GN$10,0)</f>
        <v/>
      </c>
      <c r="GO20" s="218">
        <f>IF(193&gt;=DeliverStart,UtilReimbPerUnitMo*LeaseUp!GO$9*GO$10,0)</f>
        <v/>
      </c>
      <c r="GP20" s="218">
        <f>IF(194&gt;=DeliverStart,UtilReimbPerUnitMo*LeaseUp!GP$9*GP$10,0)</f>
        <v/>
      </c>
      <c r="GQ20" s="218">
        <f>IF(195&gt;=DeliverStart,UtilReimbPerUnitMo*LeaseUp!GQ$9*GQ$10,0)</f>
        <v/>
      </c>
      <c r="GR20" s="218">
        <f>IF(196&gt;=DeliverStart,UtilReimbPerUnitMo*LeaseUp!GR$9*GR$10,0)</f>
        <v/>
      </c>
      <c r="GS20" s="218">
        <f>IF(197&gt;=DeliverStart,UtilReimbPerUnitMo*LeaseUp!GS$9*GS$10,0)</f>
        <v/>
      </c>
      <c r="GT20" s="218">
        <f>IF(198&gt;=DeliverStart,UtilReimbPerUnitMo*LeaseUp!GT$9*GT$10,0)</f>
        <v/>
      </c>
      <c r="GU20" s="218">
        <f>IF(199&gt;=DeliverStart,UtilReimbPerUnitMo*LeaseUp!GU$9*GU$10,0)</f>
        <v/>
      </c>
      <c r="GV20" s="218">
        <f>IF(200&gt;=DeliverStart,UtilReimbPerUnitMo*LeaseUp!GV$9*GV$10,0)</f>
        <v/>
      </c>
      <c r="GW20" s="218">
        <f>IF(201&gt;=DeliverStart,UtilReimbPerUnitMo*LeaseUp!GW$9*GW$10,0)</f>
        <v/>
      </c>
      <c r="GX20" s="218">
        <f>IF(202&gt;=DeliverStart,UtilReimbPerUnitMo*LeaseUp!GX$9*GX$10,0)</f>
        <v/>
      </c>
      <c r="GY20" s="218">
        <f>IF(203&gt;=DeliverStart,UtilReimbPerUnitMo*LeaseUp!GY$9*GY$10,0)</f>
        <v/>
      </c>
      <c r="GZ20" s="218">
        <f>IF(204&gt;=DeliverStart,UtilReimbPerUnitMo*LeaseUp!GZ$9*GZ$10,0)</f>
        <v/>
      </c>
      <c r="HA20" s="218">
        <f>IF(205&gt;=DeliverStart,UtilReimbPerUnitMo*LeaseUp!HA$9*HA$10,0)</f>
        <v/>
      </c>
      <c r="HB20" s="218">
        <f>IF(206&gt;=DeliverStart,UtilReimbPerUnitMo*LeaseUp!HB$9*HB$10,0)</f>
        <v/>
      </c>
      <c r="HC20" s="218">
        <f>IF(207&gt;=DeliverStart,UtilReimbPerUnitMo*LeaseUp!HC$9*HC$10,0)</f>
        <v/>
      </c>
      <c r="HD20" s="218">
        <f>IF(208&gt;=DeliverStart,UtilReimbPerUnitMo*LeaseUp!HD$9*HD$10,0)</f>
        <v/>
      </c>
      <c r="HE20" s="218">
        <f>IF(209&gt;=DeliverStart,UtilReimbPerUnitMo*LeaseUp!HE$9*HE$10,0)</f>
        <v/>
      </c>
      <c r="HF20" s="218">
        <f>IF(210&gt;=DeliverStart,UtilReimbPerUnitMo*LeaseUp!HF$9*HF$10,0)</f>
        <v/>
      </c>
      <c r="HG20" s="218">
        <f>IF(211&gt;=DeliverStart,UtilReimbPerUnitMo*LeaseUp!HG$9*HG$10,0)</f>
        <v/>
      </c>
      <c r="HH20" s="218">
        <f>IF(212&gt;=DeliverStart,UtilReimbPerUnitMo*LeaseUp!HH$9*HH$10,0)</f>
        <v/>
      </c>
      <c r="HI20" s="218">
        <f>IF(213&gt;=DeliverStart,UtilReimbPerUnitMo*LeaseUp!HI$9*HI$10,0)</f>
        <v/>
      </c>
      <c r="HJ20" s="218">
        <f>IF(214&gt;=DeliverStart,UtilReimbPerUnitMo*LeaseUp!HJ$9*HJ$10,0)</f>
        <v/>
      </c>
      <c r="HK20" s="218">
        <f>IF(215&gt;=DeliverStart,UtilReimbPerUnitMo*LeaseUp!HK$9*HK$10,0)</f>
        <v/>
      </c>
      <c r="HL20" s="218">
        <f>IF(216&gt;=DeliverStart,UtilReimbPerUnitMo*LeaseUp!HL$9*HL$10,0)</f>
        <v/>
      </c>
      <c r="HM20" s="218">
        <f>IF(217&gt;=DeliverStart,UtilReimbPerUnitMo*LeaseUp!HM$9*HM$10,0)</f>
        <v/>
      </c>
      <c r="HN20" s="218">
        <f>IF(218&gt;=DeliverStart,UtilReimbPerUnitMo*LeaseUp!HN$9*HN$10,0)</f>
        <v/>
      </c>
      <c r="HO20" s="218">
        <f>IF(219&gt;=DeliverStart,UtilReimbPerUnitMo*LeaseUp!HO$9*HO$10,0)</f>
        <v/>
      </c>
      <c r="HP20" s="218">
        <f>IF(220&gt;=DeliverStart,UtilReimbPerUnitMo*LeaseUp!HP$9*HP$10,0)</f>
        <v/>
      </c>
      <c r="HQ20" s="218">
        <f>IF(221&gt;=DeliverStart,UtilReimbPerUnitMo*LeaseUp!HQ$9*HQ$10,0)</f>
        <v/>
      </c>
      <c r="HR20" s="218">
        <f>IF(222&gt;=DeliverStart,UtilReimbPerUnitMo*LeaseUp!HR$9*HR$10,0)</f>
        <v/>
      </c>
      <c r="HS20" s="218">
        <f>IF(223&gt;=DeliverStart,UtilReimbPerUnitMo*LeaseUp!HS$9*HS$10,0)</f>
        <v/>
      </c>
      <c r="HT20" s="218">
        <f>IF(224&gt;=DeliverStart,UtilReimbPerUnitMo*LeaseUp!HT$9*HT$10,0)</f>
        <v/>
      </c>
      <c r="HU20" s="218">
        <f>IF(225&gt;=DeliverStart,UtilReimbPerUnitMo*LeaseUp!HU$9*HU$10,0)</f>
        <v/>
      </c>
      <c r="HV20" s="218">
        <f>IF(226&gt;=DeliverStart,UtilReimbPerUnitMo*LeaseUp!HV$9*HV$10,0)</f>
        <v/>
      </c>
      <c r="HW20" s="218">
        <f>IF(227&gt;=DeliverStart,UtilReimbPerUnitMo*LeaseUp!HW$9*HW$10,0)</f>
        <v/>
      </c>
      <c r="HX20" s="218">
        <f>IF(228&gt;=DeliverStart,UtilReimbPerUnitMo*LeaseUp!HX$9*HX$10,0)</f>
        <v/>
      </c>
      <c r="HY20" s="218">
        <f>IF(229&gt;=DeliverStart,UtilReimbPerUnitMo*LeaseUp!HY$9*HY$10,0)</f>
        <v/>
      </c>
      <c r="HZ20" s="218">
        <f>IF(230&gt;=DeliverStart,UtilReimbPerUnitMo*LeaseUp!HZ$9*HZ$10,0)</f>
        <v/>
      </c>
      <c r="IA20" s="218">
        <f>IF(231&gt;=DeliverStart,UtilReimbPerUnitMo*LeaseUp!IA$9*IA$10,0)</f>
        <v/>
      </c>
      <c r="IB20" s="218">
        <f>IF(232&gt;=DeliverStart,UtilReimbPerUnitMo*LeaseUp!IB$9*IB$10,0)</f>
        <v/>
      </c>
      <c r="IC20" s="218">
        <f>IF(233&gt;=DeliverStart,UtilReimbPerUnitMo*LeaseUp!IC$9*IC$10,0)</f>
        <v/>
      </c>
      <c r="ID20" s="218">
        <f>IF(234&gt;=DeliverStart,UtilReimbPerUnitMo*LeaseUp!ID$9*ID$10,0)</f>
        <v/>
      </c>
      <c r="IE20" s="218">
        <f>IF(235&gt;=DeliverStart,UtilReimbPerUnitMo*LeaseUp!IE$9*IE$10,0)</f>
        <v/>
      </c>
      <c r="IF20" s="218">
        <f>IF(236&gt;=DeliverStart,UtilReimbPerUnitMo*LeaseUp!IF$9*IF$10,0)</f>
        <v/>
      </c>
      <c r="IG20" s="218">
        <f>IF(237&gt;=DeliverStart,UtilReimbPerUnitMo*LeaseUp!IG$9*IG$10,0)</f>
        <v/>
      </c>
      <c r="IH20" s="218">
        <f>IF(238&gt;=DeliverStart,UtilReimbPerUnitMo*LeaseUp!IH$9*IH$10,0)</f>
        <v/>
      </c>
      <c r="II20" s="218">
        <f>IF(239&gt;=DeliverStart,UtilReimbPerUnitMo*LeaseUp!II$9*II$10,0)</f>
        <v/>
      </c>
      <c r="IJ20" s="218">
        <f>IF(240&gt;=DeliverStart,UtilReimbPerUnitMo*LeaseUp!IJ$9*IJ$10,0)</f>
        <v/>
      </c>
      <c r="IK20" s="218">
        <f>IF(241&gt;=DeliverStart,UtilReimbPerUnitMo*LeaseUp!IK$9*IK$10,0)</f>
        <v/>
      </c>
      <c r="IL20" s="218">
        <f>IF(242&gt;=DeliverStart,UtilReimbPerUnitMo*LeaseUp!IL$9*IL$10,0)</f>
        <v/>
      </c>
      <c r="IM20" s="218">
        <f>IF(243&gt;=DeliverStart,UtilReimbPerUnitMo*LeaseUp!IM$9*IM$10,0)</f>
        <v/>
      </c>
      <c r="IN20" s="218">
        <f>IF(244&gt;=DeliverStart,UtilReimbPerUnitMo*LeaseUp!IN$9*IN$10,0)</f>
        <v/>
      </c>
      <c r="IO20" s="218">
        <f>IF(245&gt;=DeliverStart,UtilReimbPerUnitMo*LeaseUp!IO$9*IO$10,0)</f>
        <v/>
      </c>
      <c r="IP20" s="218">
        <f>IF(246&gt;=DeliverStart,UtilReimbPerUnitMo*LeaseUp!IP$9*IP$10,0)</f>
        <v/>
      </c>
      <c r="IQ20" s="218">
        <f>IF(247&gt;=DeliverStart,UtilReimbPerUnitMo*LeaseUp!IQ$9*IQ$10,0)</f>
        <v/>
      </c>
      <c r="IR20" s="218">
        <f>IF(248&gt;=DeliverStart,UtilReimbPerUnitMo*LeaseUp!IR$9*IR$10,0)</f>
        <v/>
      </c>
      <c r="IS20" s="218">
        <f>IF(249&gt;=DeliverStart,UtilReimbPerUnitMo*LeaseUp!IS$9*IS$10,0)</f>
        <v/>
      </c>
      <c r="IT20" s="218">
        <f>IF(250&gt;=DeliverStart,UtilReimbPerUnitMo*LeaseUp!IT$9*IT$10,0)</f>
        <v/>
      </c>
      <c r="IU20" s="218">
        <f>IF(251&gt;=DeliverStart,UtilReimbPerUnitMo*LeaseUp!IU$9*IU$10,0)</f>
        <v/>
      </c>
      <c r="IV20" s="218">
        <f>IF(252&gt;=DeliverStart,UtilReimbPerUnitMo*LeaseUp!IV$9*IV$10,0)</f>
        <v/>
      </c>
      <c r="IW20" s="218">
        <f>IF(253&gt;=DeliverStart,UtilReimbPerUnitMo*LeaseUp!IW$9*IW$10,0)</f>
        <v/>
      </c>
      <c r="IX20" s="218">
        <f>IF(254&gt;=DeliverStart,UtilReimbPerUnitMo*LeaseUp!IX$9*IX$10,0)</f>
        <v/>
      </c>
      <c r="IY20" s="218">
        <f>IF(255&gt;=DeliverStart,UtilReimbPerUnitMo*LeaseUp!IY$9*IY$10,0)</f>
        <v/>
      </c>
      <c r="IZ20" s="218">
        <f>IF(256&gt;=DeliverStart,UtilReimbPerUnitMo*LeaseUp!IZ$9*IZ$10,0)</f>
        <v/>
      </c>
      <c r="JA20" s="218">
        <f>IF(257&gt;=DeliverStart,UtilReimbPerUnitMo*LeaseUp!JA$9*JA$10,0)</f>
        <v/>
      </c>
      <c r="JB20" s="218">
        <f>IF(258&gt;=DeliverStart,UtilReimbPerUnitMo*LeaseUp!JB$9*JB$10,0)</f>
        <v/>
      </c>
      <c r="JC20" s="218">
        <f>IF(259&gt;=DeliverStart,UtilReimbPerUnitMo*LeaseUp!JC$9*JC$10,0)</f>
        <v/>
      </c>
      <c r="JD20" s="218">
        <f>IF(260&gt;=DeliverStart,UtilReimbPerUnitMo*LeaseUp!JD$9*JD$10,0)</f>
        <v/>
      </c>
      <c r="JE20" s="218">
        <f>IF(261&gt;=DeliverStart,UtilReimbPerUnitMo*LeaseUp!JE$9*JE$10,0)</f>
        <v/>
      </c>
      <c r="JF20" s="218">
        <f>IF(262&gt;=DeliverStart,UtilReimbPerUnitMo*LeaseUp!JF$9*JF$10,0)</f>
        <v/>
      </c>
      <c r="JG20" s="218">
        <f>IF(263&gt;=DeliverStart,UtilReimbPerUnitMo*LeaseUp!JG$9*JG$10,0)</f>
        <v/>
      </c>
      <c r="JH20" s="218">
        <f>IF(264&gt;=DeliverStart,UtilReimbPerUnitMo*LeaseUp!JH$9*JH$10,0)</f>
        <v/>
      </c>
      <c r="JI20" s="218">
        <f>IF(265&gt;=DeliverStart,UtilReimbPerUnitMo*LeaseUp!JI$9*JI$10,0)</f>
        <v/>
      </c>
      <c r="JJ20" s="218">
        <f>IF(266&gt;=DeliverStart,UtilReimbPerUnitMo*LeaseUp!JJ$9*JJ$10,0)</f>
        <v/>
      </c>
      <c r="JK20" s="218">
        <f>IF(267&gt;=DeliverStart,UtilReimbPerUnitMo*LeaseUp!JK$9*JK$10,0)</f>
        <v/>
      </c>
      <c r="JL20" s="218">
        <f>IF(268&gt;=DeliverStart,UtilReimbPerUnitMo*LeaseUp!JL$9*JL$10,0)</f>
        <v/>
      </c>
      <c r="JM20" s="218">
        <f>IF(269&gt;=DeliverStart,UtilReimbPerUnitMo*LeaseUp!JM$9*JM$10,0)</f>
        <v/>
      </c>
      <c r="JN20" s="218">
        <f>IF(270&gt;=DeliverStart,UtilReimbPerUnitMo*LeaseUp!JN$9*JN$10,0)</f>
        <v/>
      </c>
      <c r="JO20" s="218">
        <f>IF(271&gt;=DeliverStart,UtilReimbPerUnitMo*LeaseUp!JO$9*JO$10,0)</f>
        <v/>
      </c>
      <c r="JP20" s="218">
        <f>IF(272&gt;=DeliverStart,UtilReimbPerUnitMo*LeaseUp!JP$9*JP$10,0)</f>
        <v/>
      </c>
      <c r="JQ20" s="218">
        <f>IF(273&gt;=DeliverStart,UtilReimbPerUnitMo*LeaseUp!JQ$9*JQ$10,0)</f>
        <v/>
      </c>
      <c r="JR20" s="218">
        <f>IF(274&gt;=DeliverStart,UtilReimbPerUnitMo*LeaseUp!JR$9*JR$10,0)</f>
        <v/>
      </c>
      <c r="JS20" s="218">
        <f>IF(275&gt;=DeliverStart,UtilReimbPerUnitMo*LeaseUp!JS$9*JS$10,0)</f>
        <v/>
      </c>
      <c r="JT20" s="218">
        <f>IF(276&gt;=DeliverStart,UtilReimbPerUnitMo*LeaseUp!JT$9*JT$10,0)</f>
        <v/>
      </c>
      <c r="JU20" s="218">
        <f>IF(277&gt;=DeliverStart,UtilReimbPerUnitMo*LeaseUp!JU$9*JU$10,0)</f>
        <v/>
      </c>
      <c r="JV20" s="218">
        <f>IF(278&gt;=DeliverStart,UtilReimbPerUnitMo*LeaseUp!JV$9*JV$10,0)</f>
        <v/>
      </c>
      <c r="JW20" s="218">
        <f>IF(279&gt;=DeliverStart,UtilReimbPerUnitMo*LeaseUp!JW$9*JW$10,0)</f>
        <v/>
      </c>
      <c r="JX20" s="218">
        <f>IF(280&gt;=DeliverStart,UtilReimbPerUnitMo*LeaseUp!JX$9*JX$10,0)</f>
        <v/>
      </c>
      <c r="JY20" s="218">
        <f>IF(281&gt;=DeliverStart,UtilReimbPerUnitMo*LeaseUp!JY$9*JY$10,0)</f>
        <v/>
      </c>
      <c r="JZ20" s="218">
        <f>IF(282&gt;=DeliverStart,UtilReimbPerUnitMo*LeaseUp!JZ$9*JZ$10,0)</f>
        <v/>
      </c>
      <c r="KA20" s="218">
        <f>IF(283&gt;=DeliverStart,UtilReimbPerUnitMo*LeaseUp!KA$9*KA$10,0)</f>
        <v/>
      </c>
      <c r="KB20" s="218">
        <f>IF(284&gt;=DeliverStart,UtilReimbPerUnitMo*LeaseUp!KB$9*KB$10,0)</f>
        <v/>
      </c>
      <c r="KC20" s="218">
        <f>IF(285&gt;=DeliverStart,UtilReimbPerUnitMo*LeaseUp!KC$9*KC$10,0)</f>
        <v/>
      </c>
      <c r="KD20" s="218">
        <f>IF(286&gt;=DeliverStart,UtilReimbPerUnitMo*LeaseUp!KD$9*KD$10,0)</f>
        <v/>
      </c>
      <c r="KE20" s="218">
        <f>IF(287&gt;=DeliverStart,UtilReimbPerUnitMo*LeaseUp!KE$9*KE$10,0)</f>
        <v/>
      </c>
      <c r="KF20" s="218">
        <f>IF(288&gt;=DeliverStart,UtilReimbPerUnitMo*LeaseUp!KF$9*KF$10,0)</f>
        <v/>
      </c>
      <c r="KG20" s="218">
        <f>IF(289&gt;=DeliverStart,UtilReimbPerUnitMo*LeaseUp!KG$9*KG$10,0)</f>
        <v/>
      </c>
      <c r="KH20" s="218">
        <f>IF(290&gt;=DeliverStart,UtilReimbPerUnitMo*LeaseUp!KH$9*KH$10,0)</f>
        <v/>
      </c>
      <c r="KI20" s="218">
        <f>IF(291&gt;=DeliverStart,UtilReimbPerUnitMo*LeaseUp!KI$9*KI$10,0)</f>
        <v/>
      </c>
      <c r="KJ20" s="218">
        <f>IF(292&gt;=DeliverStart,UtilReimbPerUnitMo*LeaseUp!KJ$9*KJ$10,0)</f>
        <v/>
      </c>
      <c r="KK20" s="218">
        <f>IF(293&gt;=DeliverStart,UtilReimbPerUnitMo*LeaseUp!KK$9*KK$10,0)</f>
        <v/>
      </c>
      <c r="KL20" s="218">
        <f>IF(294&gt;=DeliverStart,UtilReimbPerUnitMo*LeaseUp!KL$9*KL$10,0)</f>
        <v/>
      </c>
      <c r="KM20" s="218">
        <f>IF(295&gt;=DeliverStart,UtilReimbPerUnitMo*LeaseUp!KM$9*KM$10,0)</f>
        <v/>
      </c>
      <c r="KN20" s="218">
        <f>IF(296&gt;=DeliverStart,UtilReimbPerUnitMo*LeaseUp!KN$9*KN$10,0)</f>
        <v/>
      </c>
      <c r="KO20" s="218">
        <f>IF(297&gt;=DeliverStart,UtilReimbPerUnitMo*LeaseUp!KO$9*KO$10,0)</f>
        <v/>
      </c>
      <c r="KP20" s="218">
        <f>IF(298&gt;=DeliverStart,UtilReimbPerUnitMo*LeaseUp!KP$9*KP$10,0)</f>
        <v/>
      </c>
      <c r="KQ20" s="218">
        <f>IF(299&gt;=DeliverStart,UtilReimbPerUnitMo*LeaseUp!KQ$9*KQ$10,0)</f>
        <v/>
      </c>
      <c r="KR20" s="218">
        <f>IF(300&gt;=DeliverStart,UtilReimbPerUnitMo*LeaseUp!KR$9*KR$10,0)</f>
        <v/>
      </c>
      <c r="KS20" s="218">
        <f>IF(301&gt;=DeliverStart,UtilReimbPerUnitMo*LeaseUp!KS$9*KS$10,0)</f>
        <v/>
      </c>
      <c r="KT20" s="218">
        <f>IF(302&gt;=DeliverStart,UtilReimbPerUnitMo*LeaseUp!KT$9*KT$10,0)</f>
        <v/>
      </c>
      <c r="KU20" s="218">
        <f>IF(303&gt;=DeliverStart,UtilReimbPerUnitMo*LeaseUp!KU$9*KU$10,0)</f>
        <v/>
      </c>
      <c r="KV20" s="218">
        <f>IF(304&gt;=DeliverStart,UtilReimbPerUnitMo*LeaseUp!KV$9*KV$10,0)</f>
        <v/>
      </c>
      <c r="KW20" s="218">
        <f>IF(305&gt;=DeliverStart,UtilReimbPerUnitMo*LeaseUp!KW$9*KW$10,0)</f>
        <v/>
      </c>
      <c r="KX20" s="218">
        <f>IF(306&gt;=DeliverStart,UtilReimbPerUnitMo*LeaseUp!KX$9*KX$10,0)</f>
        <v/>
      </c>
      <c r="KY20" s="218">
        <f>IF(307&gt;=DeliverStart,UtilReimbPerUnitMo*LeaseUp!KY$9*KY$10,0)</f>
        <v/>
      </c>
      <c r="KZ20" s="218">
        <f>IF(308&gt;=DeliverStart,UtilReimbPerUnitMo*LeaseUp!KZ$9*KZ$10,0)</f>
        <v/>
      </c>
      <c r="LA20" s="218">
        <f>IF(309&gt;=DeliverStart,UtilReimbPerUnitMo*LeaseUp!LA$9*LA$10,0)</f>
        <v/>
      </c>
      <c r="LB20" s="218">
        <f>IF(310&gt;=DeliverStart,UtilReimbPerUnitMo*LeaseUp!LB$9*LB$10,0)</f>
        <v/>
      </c>
      <c r="LC20" s="218">
        <f>IF(311&gt;=DeliverStart,UtilReimbPerUnitMo*LeaseUp!LC$9*LC$10,0)</f>
        <v/>
      </c>
      <c r="LD20" s="218">
        <f>IF(312&gt;=DeliverStart,UtilReimbPerUnitMo*LeaseUp!LD$9*LD$10,0)</f>
        <v/>
      </c>
      <c r="LE20" s="218">
        <f>IF(313&gt;=DeliverStart,UtilReimbPerUnitMo*LeaseUp!LE$9*LE$10,0)</f>
        <v/>
      </c>
      <c r="LF20" s="218">
        <f>IF(314&gt;=DeliverStart,UtilReimbPerUnitMo*LeaseUp!LF$9*LF$10,0)</f>
        <v/>
      </c>
      <c r="LG20" s="218">
        <f>IF(315&gt;=DeliverStart,UtilReimbPerUnitMo*LeaseUp!LG$9*LG$10,0)</f>
        <v/>
      </c>
      <c r="LH20" s="218">
        <f>IF(316&gt;=DeliverStart,UtilReimbPerUnitMo*LeaseUp!LH$9*LH$10,0)</f>
        <v/>
      </c>
      <c r="LI20" s="218">
        <f>IF(317&gt;=DeliverStart,UtilReimbPerUnitMo*LeaseUp!LI$9*LI$10,0)</f>
        <v/>
      </c>
      <c r="LJ20" s="218">
        <f>IF(318&gt;=DeliverStart,UtilReimbPerUnitMo*LeaseUp!LJ$9*LJ$10,0)</f>
        <v/>
      </c>
      <c r="LK20" s="218">
        <f>IF(319&gt;=DeliverStart,UtilReimbPerUnitMo*LeaseUp!LK$9*LK$10,0)</f>
        <v/>
      </c>
      <c r="LL20" s="218">
        <f>IF(320&gt;=DeliverStart,UtilReimbPerUnitMo*LeaseUp!LL$9*LL$10,0)</f>
        <v/>
      </c>
      <c r="LM20" s="218">
        <f>IF(321&gt;=DeliverStart,UtilReimbPerUnitMo*LeaseUp!LM$9*LM$10,0)</f>
        <v/>
      </c>
      <c r="LN20" s="218">
        <f>IF(322&gt;=DeliverStart,UtilReimbPerUnitMo*LeaseUp!LN$9*LN$10,0)</f>
        <v/>
      </c>
      <c r="LO20" s="218">
        <f>IF(323&gt;=DeliverStart,UtilReimbPerUnitMo*LeaseUp!LO$9*LO$10,0)</f>
        <v/>
      </c>
      <c r="LP20" s="218">
        <f>IF(324&gt;=DeliverStart,UtilReimbPerUnitMo*LeaseUp!LP$9*LP$10,0)</f>
        <v/>
      </c>
      <c r="LQ20" s="218">
        <f>IF(325&gt;=DeliverStart,UtilReimbPerUnitMo*LeaseUp!LQ$9*LQ$10,0)</f>
        <v/>
      </c>
      <c r="LR20" s="218">
        <f>IF(326&gt;=DeliverStart,UtilReimbPerUnitMo*LeaseUp!LR$9*LR$10,0)</f>
        <v/>
      </c>
      <c r="LS20" s="218">
        <f>IF(327&gt;=DeliverStart,UtilReimbPerUnitMo*LeaseUp!LS$9*LS$10,0)</f>
        <v/>
      </c>
      <c r="LT20" s="218">
        <f>IF(328&gt;=DeliverStart,UtilReimbPerUnitMo*LeaseUp!LT$9*LT$10,0)</f>
        <v/>
      </c>
      <c r="LU20" s="218">
        <f>IF(329&gt;=DeliverStart,UtilReimbPerUnitMo*LeaseUp!LU$9*LU$10,0)</f>
        <v/>
      </c>
      <c r="LV20" s="218">
        <f>IF(330&gt;=DeliverStart,UtilReimbPerUnitMo*LeaseUp!LV$9*LV$10,0)</f>
        <v/>
      </c>
      <c r="LW20" s="218">
        <f>IF(331&gt;=DeliverStart,UtilReimbPerUnitMo*LeaseUp!LW$9*LW$10,0)</f>
        <v/>
      </c>
      <c r="LX20" s="218">
        <f>IF(332&gt;=DeliverStart,UtilReimbPerUnitMo*LeaseUp!LX$9*LX$10,0)</f>
        <v/>
      </c>
      <c r="LY20" s="218">
        <f>IF(333&gt;=DeliverStart,UtilReimbPerUnitMo*LeaseUp!LY$9*LY$10,0)</f>
        <v/>
      </c>
      <c r="LZ20" s="218">
        <f>IF(334&gt;=DeliverStart,UtilReimbPerUnitMo*LeaseUp!LZ$9*LZ$10,0)</f>
        <v/>
      </c>
      <c r="MA20" s="218">
        <f>IF(335&gt;=DeliverStart,UtilReimbPerUnitMo*LeaseUp!MA$9*MA$10,0)</f>
        <v/>
      </c>
      <c r="MB20" s="218">
        <f>IF(336&gt;=DeliverStart,UtilReimbPerUnitMo*LeaseUp!MB$9*MB$10,0)</f>
        <v/>
      </c>
      <c r="MC20" s="218">
        <f>IF(337&gt;=DeliverStart,UtilReimbPerUnitMo*LeaseUp!MC$9*MC$10,0)</f>
        <v/>
      </c>
      <c r="MD20" s="218">
        <f>IF(338&gt;=DeliverStart,UtilReimbPerUnitMo*LeaseUp!MD$9*MD$10,0)</f>
        <v/>
      </c>
      <c r="ME20" s="218">
        <f>IF(339&gt;=DeliverStart,UtilReimbPerUnitMo*LeaseUp!ME$9*ME$10,0)</f>
        <v/>
      </c>
      <c r="MF20" s="218">
        <f>IF(340&gt;=DeliverStart,UtilReimbPerUnitMo*LeaseUp!MF$9*MF$10,0)</f>
        <v/>
      </c>
      <c r="MG20" s="218">
        <f>IF(341&gt;=DeliverStart,UtilReimbPerUnitMo*LeaseUp!MG$9*MG$10,0)</f>
        <v/>
      </c>
      <c r="MH20" s="218">
        <f>IF(342&gt;=DeliverStart,UtilReimbPerUnitMo*LeaseUp!MH$9*MH$10,0)</f>
        <v/>
      </c>
      <c r="MI20" s="218">
        <f>IF(343&gt;=DeliverStart,UtilReimbPerUnitMo*LeaseUp!MI$9*MI$10,0)</f>
        <v/>
      </c>
      <c r="MJ20" s="218">
        <f>IF(344&gt;=DeliverStart,UtilReimbPerUnitMo*LeaseUp!MJ$9*MJ$10,0)</f>
        <v/>
      </c>
      <c r="MK20" s="218">
        <f>IF(345&gt;=DeliverStart,UtilReimbPerUnitMo*LeaseUp!MK$9*MK$10,0)</f>
        <v/>
      </c>
      <c r="ML20" s="218">
        <f>IF(346&gt;=DeliverStart,UtilReimbPerUnitMo*LeaseUp!ML$9*ML$10,0)</f>
        <v/>
      </c>
      <c r="MM20" s="218">
        <f>IF(347&gt;=DeliverStart,UtilReimbPerUnitMo*LeaseUp!MM$9*MM$10,0)</f>
        <v/>
      </c>
      <c r="MN20" s="218">
        <f>IF(348&gt;=DeliverStart,UtilReimbPerUnitMo*LeaseUp!MN$9*MN$10,0)</f>
        <v/>
      </c>
      <c r="MO20" s="218">
        <f>IF(349&gt;=DeliverStart,UtilReimbPerUnitMo*LeaseUp!MO$9*MO$10,0)</f>
        <v/>
      </c>
      <c r="MP20" s="218">
        <f>IF(350&gt;=DeliverStart,UtilReimbPerUnitMo*LeaseUp!MP$9*MP$10,0)</f>
        <v/>
      </c>
      <c r="MQ20" s="218">
        <f>IF(351&gt;=DeliverStart,UtilReimbPerUnitMo*LeaseUp!MQ$9*MQ$10,0)</f>
        <v/>
      </c>
      <c r="MR20" s="218">
        <f>IF(352&gt;=DeliverStart,UtilReimbPerUnitMo*LeaseUp!MR$9*MR$10,0)</f>
        <v/>
      </c>
      <c r="MS20" s="218">
        <f>IF(353&gt;=DeliverStart,UtilReimbPerUnitMo*LeaseUp!MS$9*MS$10,0)</f>
        <v/>
      </c>
      <c r="MT20" s="218">
        <f>IF(354&gt;=DeliverStart,UtilReimbPerUnitMo*LeaseUp!MT$9*MT$10,0)</f>
        <v/>
      </c>
      <c r="MU20" s="218">
        <f>IF(355&gt;=DeliverStart,UtilReimbPerUnitMo*LeaseUp!MU$9*MU$10,0)</f>
        <v/>
      </c>
      <c r="MV20" s="218">
        <f>IF(356&gt;=DeliverStart,UtilReimbPerUnitMo*LeaseUp!MV$9*MV$10,0)</f>
        <v/>
      </c>
      <c r="MW20" s="218">
        <f>IF(357&gt;=DeliverStart,UtilReimbPerUnitMo*LeaseUp!MW$9*MW$10,0)</f>
        <v/>
      </c>
      <c r="MX20" s="218">
        <f>IF(358&gt;=DeliverStart,UtilReimbPerUnitMo*LeaseUp!MX$9*MX$10,0)</f>
        <v/>
      </c>
      <c r="MY20" s="218">
        <f>IF(359&gt;=DeliverStart,UtilReimbPerUnitMo*LeaseUp!MY$9*MY$10,0)</f>
        <v/>
      </c>
      <c r="MZ20" s="218">
        <f>IF(360&gt;=DeliverStart,UtilReimbPerUnitMo*LeaseUp!MZ$9*MZ$10,0)</f>
        <v/>
      </c>
      <c r="NA20" s="218">
        <f>IF(361&gt;=DeliverStart,UtilReimbPerUnitMo*LeaseUp!NA$9*NA$10,0)</f>
        <v/>
      </c>
      <c r="NB20" s="218">
        <f>IF(362&gt;=DeliverStart,UtilReimbPerUnitMo*LeaseUp!NB$9*NB$10,0)</f>
        <v/>
      </c>
      <c r="NC20" s="218">
        <f>IF(363&gt;=DeliverStart,UtilReimbPerUnitMo*LeaseUp!NC$9*NC$10,0)</f>
        <v/>
      </c>
      <c r="ND20" s="218">
        <f>IF(364&gt;=DeliverStart,UtilReimbPerUnitMo*LeaseUp!ND$9*ND$10,0)</f>
        <v/>
      </c>
      <c r="NE20" s="218">
        <f>IF(365&gt;=DeliverStart,UtilReimbPerUnitMo*LeaseUp!NE$9*NE$10,0)</f>
        <v/>
      </c>
      <c r="NF20" s="218">
        <f>IF(366&gt;=DeliverStart,UtilReimbPerUnitMo*LeaseUp!NF$9*NF$10,0)</f>
        <v/>
      </c>
      <c r="NG20" s="218">
        <f>IF(367&gt;=DeliverStart,UtilReimbPerUnitMo*LeaseUp!NG$9*NG$10,0)</f>
        <v/>
      </c>
      <c r="NH20" s="218">
        <f>IF(368&gt;=DeliverStart,UtilReimbPerUnitMo*LeaseUp!NH$9*NH$10,0)</f>
        <v/>
      </c>
      <c r="NI20" s="218">
        <f>IF(369&gt;=DeliverStart,UtilReimbPerUnitMo*LeaseUp!NI$9*NI$10,0)</f>
        <v/>
      </c>
      <c r="NJ20" s="218">
        <f>IF(370&gt;=DeliverStart,UtilReimbPerUnitMo*LeaseUp!NJ$9*NJ$10,0)</f>
        <v/>
      </c>
      <c r="NK20" s="218">
        <f>IF(371&gt;=DeliverStart,UtilReimbPerUnitMo*LeaseUp!NK$9*NK$10,0)</f>
        <v/>
      </c>
      <c r="NL20" s="225">
        <f>IF(372&gt;=DeliverStart,UtilReimbPerUnitMo*LeaseUp!NL$9*NL$10,0)</f>
        <v/>
      </c>
    </row>
    <row r="21">
      <c r="B21" s="36" t="inlineStr">
        <is>
          <t>Other Income</t>
        </is>
      </c>
      <c r="D21" s="266">
        <f>SUM(E21:NL21)</f>
        <v/>
      </c>
      <c r="E21" s="218">
        <f>IF(1&gt;=DeliverStart,OtherIncPerUnitMo*LeaseUp!E$9*E$10,0)</f>
        <v/>
      </c>
      <c r="F21" s="218">
        <f>IF(2&gt;=DeliverStart,OtherIncPerUnitMo*LeaseUp!F$9*F$10,0)</f>
        <v/>
      </c>
      <c r="G21" s="218">
        <f>IF(3&gt;=DeliverStart,OtherIncPerUnitMo*LeaseUp!G$9*G$10,0)</f>
        <v/>
      </c>
      <c r="H21" s="218">
        <f>IF(4&gt;=DeliverStart,OtherIncPerUnitMo*LeaseUp!H$9*H$10,0)</f>
        <v/>
      </c>
      <c r="I21" s="218">
        <f>IF(5&gt;=DeliverStart,OtherIncPerUnitMo*LeaseUp!I$9*I$10,0)</f>
        <v/>
      </c>
      <c r="J21" s="218">
        <f>IF(6&gt;=DeliverStart,OtherIncPerUnitMo*LeaseUp!J$9*J$10,0)</f>
        <v/>
      </c>
      <c r="K21" s="218">
        <f>IF(7&gt;=DeliverStart,OtherIncPerUnitMo*LeaseUp!K$9*K$10,0)</f>
        <v/>
      </c>
      <c r="L21" s="218">
        <f>IF(8&gt;=DeliverStart,OtherIncPerUnitMo*LeaseUp!L$9*L$10,0)</f>
        <v/>
      </c>
      <c r="M21" s="218">
        <f>IF(9&gt;=DeliverStart,OtherIncPerUnitMo*LeaseUp!M$9*M$10,0)</f>
        <v/>
      </c>
      <c r="N21" s="218">
        <f>IF(10&gt;=DeliverStart,OtherIncPerUnitMo*LeaseUp!N$9*N$10,0)</f>
        <v/>
      </c>
      <c r="O21" s="218">
        <f>IF(11&gt;=DeliverStart,OtherIncPerUnitMo*LeaseUp!O$9*O$10,0)</f>
        <v/>
      </c>
      <c r="P21" s="218">
        <f>IF(12&gt;=DeliverStart,OtherIncPerUnitMo*LeaseUp!P$9*P$10,0)</f>
        <v/>
      </c>
      <c r="Q21" s="218">
        <f>IF(13&gt;=DeliverStart,OtherIncPerUnitMo*LeaseUp!Q$9*Q$10,0)</f>
        <v/>
      </c>
      <c r="R21" s="218">
        <f>IF(14&gt;=DeliverStart,OtherIncPerUnitMo*LeaseUp!R$9*R$10,0)</f>
        <v/>
      </c>
      <c r="S21" s="218">
        <f>IF(15&gt;=DeliverStart,OtherIncPerUnitMo*LeaseUp!S$9*S$10,0)</f>
        <v/>
      </c>
      <c r="T21" s="218">
        <f>IF(16&gt;=DeliverStart,OtherIncPerUnitMo*LeaseUp!T$9*T$10,0)</f>
        <v/>
      </c>
      <c r="U21" s="218">
        <f>IF(17&gt;=DeliverStart,OtherIncPerUnitMo*LeaseUp!U$9*U$10,0)</f>
        <v/>
      </c>
      <c r="V21" s="218">
        <f>IF(18&gt;=DeliverStart,OtherIncPerUnitMo*LeaseUp!V$9*V$10,0)</f>
        <v/>
      </c>
      <c r="W21" s="218">
        <f>IF(19&gt;=DeliverStart,OtherIncPerUnitMo*LeaseUp!W$9*W$10,0)</f>
        <v/>
      </c>
      <c r="X21" s="218">
        <f>IF(20&gt;=DeliverStart,OtherIncPerUnitMo*LeaseUp!X$9*X$10,0)</f>
        <v/>
      </c>
      <c r="Y21" s="218">
        <f>IF(21&gt;=DeliverStart,OtherIncPerUnitMo*LeaseUp!Y$9*Y$10,0)</f>
        <v/>
      </c>
      <c r="Z21" s="218">
        <f>IF(22&gt;=DeliverStart,OtherIncPerUnitMo*LeaseUp!Z$9*Z$10,0)</f>
        <v/>
      </c>
      <c r="AA21" s="218">
        <f>IF(23&gt;=DeliverStart,OtherIncPerUnitMo*LeaseUp!AA$9*AA$10,0)</f>
        <v/>
      </c>
      <c r="AB21" s="218">
        <f>IF(24&gt;=DeliverStart,OtherIncPerUnitMo*LeaseUp!AB$9*AB$10,0)</f>
        <v/>
      </c>
      <c r="AC21" s="218">
        <f>IF(25&gt;=DeliverStart,OtherIncPerUnitMo*LeaseUp!AC$9*AC$10,0)</f>
        <v/>
      </c>
      <c r="AD21" s="218">
        <f>IF(26&gt;=DeliverStart,OtherIncPerUnitMo*LeaseUp!AD$9*AD$10,0)</f>
        <v/>
      </c>
      <c r="AE21" s="218">
        <f>IF(27&gt;=DeliverStart,OtherIncPerUnitMo*LeaseUp!AE$9*AE$10,0)</f>
        <v/>
      </c>
      <c r="AF21" s="218">
        <f>IF(28&gt;=DeliverStart,OtherIncPerUnitMo*LeaseUp!AF$9*AF$10,0)</f>
        <v/>
      </c>
      <c r="AG21" s="218">
        <f>IF(29&gt;=DeliverStart,OtherIncPerUnitMo*LeaseUp!AG$9*AG$10,0)</f>
        <v/>
      </c>
      <c r="AH21" s="218">
        <f>IF(30&gt;=DeliverStart,OtherIncPerUnitMo*LeaseUp!AH$9*AH$10,0)</f>
        <v/>
      </c>
      <c r="AI21" s="218">
        <f>IF(31&gt;=DeliverStart,OtherIncPerUnitMo*LeaseUp!AI$9*AI$10,0)</f>
        <v/>
      </c>
      <c r="AJ21" s="218">
        <f>IF(32&gt;=DeliverStart,OtherIncPerUnitMo*LeaseUp!AJ$9*AJ$10,0)</f>
        <v/>
      </c>
      <c r="AK21" s="218">
        <f>IF(33&gt;=DeliverStart,OtherIncPerUnitMo*LeaseUp!AK$9*AK$10,0)</f>
        <v/>
      </c>
      <c r="AL21" s="218">
        <f>IF(34&gt;=DeliverStart,OtherIncPerUnitMo*LeaseUp!AL$9*AL$10,0)</f>
        <v/>
      </c>
      <c r="AM21" s="218">
        <f>IF(35&gt;=DeliverStart,OtherIncPerUnitMo*LeaseUp!AM$9*AM$10,0)</f>
        <v/>
      </c>
      <c r="AN21" s="218">
        <f>IF(36&gt;=DeliverStart,OtherIncPerUnitMo*LeaseUp!AN$9*AN$10,0)</f>
        <v/>
      </c>
      <c r="AO21" s="218">
        <f>IF(37&gt;=DeliverStart,OtherIncPerUnitMo*LeaseUp!AO$9*AO$10,0)</f>
        <v/>
      </c>
      <c r="AP21" s="218">
        <f>IF(38&gt;=DeliverStart,OtherIncPerUnitMo*LeaseUp!AP$9*AP$10,0)</f>
        <v/>
      </c>
      <c r="AQ21" s="218">
        <f>IF(39&gt;=DeliverStart,OtherIncPerUnitMo*LeaseUp!AQ$9*AQ$10,0)</f>
        <v/>
      </c>
      <c r="AR21" s="218">
        <f>IF(40&gt;=DeliverStart,OtherIncPerUnitMo*LeaseUp!AR$9*AR$10,0)</f>
        <v/>
      </c>
      <c r="AS21" s="218">
        <f>IF(41&gt;=DeliverStart,OtherIncPerUnitMo*LeaseUp!AS$9*AS$10,0)</f>
        <v/>
      </c>
      <c r="AT21" s="218">
        <f>IF(42&gt;=DeliverStart,OtherIncPerUnitMo*LeaseUp!AT$9*AT$10,0)</f>
        <v/>
      </c>
      <c r="AU21" s="218">
        <f>IF(43&gt;=DeliverStart,OtherIncPerUnitMo*LeaseUp!AU$9*AU$10,0)</f>
        <v/>
      </c>
      <c r="AV21" s="218">
        <f>IF(44&gt;=DeliverStart,OtherIncPerUnitMo*LeaseUp!AV$9*AV$10,0)</f>
        <v/>
      </c>
      <c r="AW21" s="218">
        <f>IF(45&gt;=DeliverStart,OtherIncPerUnitMo*LeaseUp!AW$9*AW$10,0)</f>
        <v/>
      </c>
      <c r="AX21" s="218">
        <f>IF(46&gt;=DeliverStart,OtherIncPerUnitMo*LeaseUp!AX$9*AX$10,0)</f>
        <v/>
      </c>
      <c r="AY21" s="218">
        <f>IF(47&gt;=DeliverStart,OtherIncPerUnitMo*LeaseUp!AY$9*AY$10,0)</f>
        <v/>
      </c>
      <c r="AZ21" s="218">
        <f>IF(48&gt;=DeliverStart,OtherIncPerUnitMo*LeaseUp!AZ$9*AZ$10,0)</f>
        <v/>
      </c>
      <c r="BA21" s="218">
        <f>IF(49&gt;=DeliverStart,OtherIncPerUnitMo*LeaseUp!BA$9*BA$10,0)</f>
        <v/>
      </c>
      <c r="BB21" s="218">
        <f>IF(50&gt;=DeliverStart,OtherIncPerUnitMo*LeaseUp!BB$9*BB$10,0)</f>
        <v/>
      </c>
      <c r="BC21" s="218">
        <f>IF(51&gt;=DeliverStart,OtherIncPerUnitMo*LeaseUp!BC$9*BC$10,0)</f>
        <v/>
      </c>
      <c r="BD21" s="218">
        <f>IF(52&gt;=DeliverStart,OtherIncPerUnitMo*LeaseUp!BD$9*BD$10,0)</f>
        <v/>
      </c>
      <c r="BE21" s="218">
        <f>IF(53&gt;=DeliverStart,OtherIncPerUnitMo*LeaseUp!BE$9*BE$10,0)</f>
        <v/>
      </c>
      <c r="BF21" s="218">
        <f>IF(54&gt;=DeliverStart,OtherIncPerUnitMo*LeaseUp!BF$9*BF$10,0)</f>
        <v/>
      </c>
      <c r="BG21" s="218">
        <f>IF(55&gt;=DeliverStart,OtherIncPerUnitMo*LeaseUp!BG$9*BG$10,0)</f>
        <v/>
      </c>
      <c r="BH21" s="218">
        <f>IF(56&gt;=DeliverStart,OtherIncPerUnitMo*LeaseUp!BH$9*BH$10,0)</f>
        <v/>
      </c>
      <c r="BI21" s="218">
        <f>IF(57&gt;=DeliverStart,OtherIncPerUnitMo*LeaseUp!BI$9*BI$10,0)</f>
        <v/>
      </c>
      <c r="BJ21" s="218">
        <f>IF(58&gt;=DeliverStart,OtherIncPerUnitMo*LeaseUp!BJ$9*BJ$10,0)</f>
        <v/>
      </c>
      <c r="BK21" s="218">
        <f>IF(59&gt;=DeliverStart,OtherIncPerUnitMo*LeaseUp!BK$9*BK$10,0)</f>
        <v/>
      </c>
      <c r="BL21" s="218">
        <f>IF(60&gt;=DeliverStart,OtherIncPerUnitMo*LeaseUp!BL$9*BL$10,0)</f>
        <v/>
      </c>
      <c r="BM21" s="218">
        <f>IF(61&gt;=DeliverStart,OtherIncPerUnitMo*LeaseUp!BM$9*BM$10,0)</f>
        <v/>
      </c>
      <c r="BN21" s="218">
        <f>IF(62&gt;=DeliverStart,OtherIncPerUnitMo*LeaseUp!BN$9*BN$10,0)</f>
        <v/>
      </c>
      <c r="BO21" s="218">
        <f>IF(63&gt;=DeliverStart,OtherIncPerUnitMo*LeaseUp!BO$9*BO$10,0)</f>
        <v/>
      </c>
      <c r="BP21" s="218">
        <f>IF(64&gt;=DeliverStart,OtherIncPerUnitMo*LeaseUp!BP$9*BP$10,0)</f>
        <v/>
      </c>
      <c r="BQ21" s="218">
        <f>IF(65&gt;=DeliverStart,OtherIncPerUnitMo*LeaseUp!BQ$9*BQ$10,0)</f>
        <v/>
      </c>
      <c r="BR21" s="218">
        <f>IF(66&gt;=DeliverStart,OtherIncPerUnitMo*LeaseUp!BR$9*BR$10,0)</f>
        <v/>
      </c>
      <c r="BS21" s="218">
        <f>IF(67&gt;=DeliverStart,OtherIncPerUnitMo*LeaseUp!BS$9*BS$10,0)</f>
        <v/>
      </c>
      <c r="BT21" s="218">
        <f>IF(68&gt;=DeliverStart,OtherIncPerUnitMo*LeaseUp!BT$9*BT$10,0)</f>
        <v/>
      </c>
      <c r="BU21" s="218">
        <f>IF(69&gt;=DeliverStart,OtherIncPerUnitMo*LeaseUp!BU$9*BU$10,0)</f>
        <v/>
      </c>
      <c r="BV21" s="218">
        <f>IF(70&gt;=DeliverStart,OtherIncPerUnitMo*LeaseUp!BV$9*BV$10,0)</f>
        <v/>
      </c>
      <c r="BW21" s="218">
        <f>IF(71&gt;=DeliverStart,OtherIncPerUnitMo*LeaseUp!BW$9*BW$10,0)</f>
        <v/>
      </c>
      <c r="BX21" s="218">
        <f>IF(72&gt;=DeliverStart,OtherIncPerUnitMo*LeaseUp!BX$9*BX$10,0)</f>
        <v/>
      </c>
      <c r="BY21" s="218">
        <f>IF(73&gt;=DeliverStart,OtherIncPerUnitMo*LeaseUp!BY$9*BY$10,0)</f>
        <v/>
      </c>
      <c r="BZ21" s="218">
        <f>IF(74&gt;=DeliverStart,OtherIncPerUnitMo*LeaseUp!BZ$9*BZ$10,0)</f>
        <v/>
      </c>
      <c r="CA21" s="218">
        <f>IF(75&gt;=DeliverStart,OtherIncPerUnitMo*LeaseUp!CA$9*CA$10,0)</f>
        <v/>
      </c>
      <c r="CB21" s="218">
        <f>IF(76&gt;=DeliverStart,OtherIncPerUnitMo*LeaseUp!CB$9*CB$10,0)</f>
        <v/>
      </c>
      <c r="CC21" s="218">
        <f>IF(77&gt;=DeliverStart,OtherIncPerUnitMo*LeaseUp!CC$9*CC$10,0)</f>
        <v/>
      </c>
      <c r="CD21" s="218">
        <f>IF(78&gt;=DeliverStart,OtherIncPerUnitMo*LeaseUp!CD$9*CD$10,0)</f>
        <v/>
      </c>
      <c r="CE21" s="218">
        <f>IF(79&gt;=DeliverStart,OtherIncPerUnitMo*LeaseUp!CE$9*CE$10,0)</f>
        <v/>
      </c>
      <c r="CF21" s="218">
        <f>IF(80&gt;=DeliverStart,OtherIncPerUnitMo*LeaseUp!CF$9*CF$10,0)</f>
        <v/>
      </c>
      <c r="CG21" s="218">
        <f>IF(81&gt;=DeliverStart,OtherIncPerUnitMo*LeaseUp!CG$9*CG$10,0)</f>
        <v/>
      </c>
      <c r="CH21" s="218">
        <f>IF(82&gt;=DeliverStart,OtherIncPerUnitMo*LeaseUp!CH$9*CH$10,0)</f>
        <v/>
      </c>
      <c r="CI21" s="218">
        <f>IF(83&gt;=DeliverStart,OtherIncPerUnitMo*LeaseUp!CI$9*CI$10,0)</f>
        <v/>
      </c>
      <c r="CJ21" s="218">
        <f>IF(84&gt;=DeliverStart,OtherIncPerUnitMo*LeaseUp!CJ$9*CJ$10,0)</f>
        <v/>
      </c>
      <c r="CK21" s="218">
        <f>IF(85&gt;=DeliverStart,OtherIncPerUnitMo*LeaseUp!CK$9*CK$10,0)</f>
        <v/>
      </c>
      <c r="CL21" s="218">
        <f>IF(86&gt;=DeliverStart,OtherIncPerUnitMo*LeaseUp!CL$9*CL$10,0)</f>
        <v/>
      </c>
      <c r="CM21" s="218">
        <f>IF(87&gt;=DeliverStart,OtherIncPerUnitMo*LeaseUp!CM$9*CM$10,0)</f>
        <v/>
      </c>
      <c r="CN21" s="218">
        <f>IF(88&gt;=DeliverStart,OtherIncPerUnitMo*LeaseUp!CN$9*CN$10,0)</f>
        <v/>
      </c>
      <c r="CO21" s="218">
        <f>IF(89&gt;=DeliverStart,OtherIncPerUnitMo*LeaseUp!CO$9*CO$10,0)</f>
        <v/>
      </c>
      <c r="CP21" s="218">
        <f>IF(90&gt;=DeliverStart,OtherIncPerUnitMo*LeaseUp!CP$9*CP$10,0)</f>
        <v/>
      </c>
      <c r="CQ21" s="218">
        <f>IF(91&gt;=DeliverStart,OtherIncPerUnitMo*LeaseUp!CQ$9*CQ$10,0)</f>
        <v/>
      </c>
      <c r="CR21" s="218">
        <f>IF(92&gt;=DeliverStart,OtherIncPerUnitMo*LeaseUp!CR$9*CR$10,0)</f>
        <v/>
      </c>
      <c r="CS21" s="218">
        <f>IF(93&gt;=DeliverStart,OtherIncPerUnitMo*LeaseUp!CS$9*CS$10,0)</f>
        <v/>
      </c>
      <c r="CT21" s="218">
        <f>IF(94&gt;=DeliverStart,OtherIncPerUnitMo*LeaseUp!CT$9*CT$10,0)</f>
        <v/>
      </c>
      <c r="CU21" s="218">
        <f>IF(95&gt;=DeliverStart,OtherIncPerUnitMo*LeaseUp!CU$9*CU$10,0)</f>
        <v/>
      </c>
      <c r="CV21" s="218">
        <f>IF(96&gt;=DeliverStart,OtherIncPerUnitMo*LeaseUp!CV$9*CV$10,0)</f>
        <v/>
      </c>
      <c r="CW21" s="218">
        <f>IF(97&gt;=DeliverStart,OtherIncPerUnitMo*LeaseUp!CW$9*CW$10,0)</f>
        <v/>
      </c>
      <c r="CX21" s="218">
        <f>IF(98&gt;=DeliverStart,OtherIncPerUnitMo*LeaseUp!CX$9*CX$10,0)</f>
        <v/>
      </c>
      <c r="CY21" s="218">
        <f>IF(99&gt;=DeliverStart,OtherIncPerUnitMo*LeaseUp!CY$9*CY$10,0)</f>
        <v/>
      </c>
      <c r="CZ21" s="218">
        <f>IF(100&gt;=DeliverStart,OtherIncPerUnitMo*LeaseUp!CZ$9*CZ$10,0)</f>
        <v/>
      </c>
      <c r="DA21" s="218">
        <f>IF(101&gt;=DeliverStart,OtherIncPerUnitMo*LeaseUp!DA$9*DA$10,0)</f>
        <v/>
      </c>
      <c r="DB21" s="218">
        <f>IF(102&gt;=DeliverStart,OtherIncPerUnitMo*LeaseUp!DB$9*DB$10,0)</f>
        <v/>
      </c>
      <c r="DC21" s="218">
        <f>IF(103&gt;=DeliverStart,OtherIncPerUnitMo*LeaseUp!DC$9*DC$10,0)</f>
        <v/>
      </c>
      <c r="DD21" s="218">
        <f>IF(104&gt;=DeliverStart,OtherIncPerUnitMo*LeaseUp!DD$9*DD$10,0)</f>
        <v/>
      </c>
      <c r="DE21" s="218">
        <f>IF(105&gt;=DeliverStart,OtherIncPerUnitMo*LeaseUp!DE$9*DE$10,0)</f>
        <v/>
      </c>
      <c r="DF21" s="218">
        <f>IF(106&gt;=DeliverStart,OtherIncPerUnitMo*LeaseUp!DF$9*DF$10,0)</f>
        <v/>
      </c>
      <c r="DG21" s="218">
        <f>IF(107&gt;=DeliverStart,OtherIncPerUnitMo*LeaseUp!DG$9*DG$10,0)</f>
        <v/>
      </c>
      <c r="DH21" s="218">
        <f>IF(108&gt;=DeliverStart,OtherIncPerUnitMo*LeaseUp!DH$9*DH$10,0)</f>
        <v/>
      </c>
      <c r="DI21" s="218">
        <f>IF(109&gt;=DeliverStart,OtherIncPerUnitMo*LeaseUp!DI$9*DI$10,0)</f>
        <v/>
      </c>
      <c r="DJ21" s="218">
        <f>IF(110&gt;=DeliverStart,OtherIncPerUnitMo*LeaseUp!DJ$9*DJ$10,0)</f>
        <v/>
      </c>
      <c r="DK21" s="218">
        <f>IF(111&gt;=DeliverStart,OtherIncPerUnitMo*LeaseUp!DK$9*DK$10,0)</f>
        <v/>
      </c>
      <c r="DL21" s="218">
        <f>IF(112&gt;=DeliverStart,OtherIncPerUnitMo*LeaseUp!DL$9*DL$10,0)</f>
        <v/>
      </c>
      <c r="DM21" s="218">
        <f>IF(113&gt;=DeliverStart,OtherIncPerUnitMo*LeaseUp!DM$9*DM$10,0)</f>
        <v/>
      </c>
      <c r="DN21" s="218">
        <f>IF(114&gt;=DeliverStart,OtherIncPerUnitMo*LeaseUp!DN$9*DN$10,0)</f>
        <v/>
      </c>
      <c r="DO21" s="218">
        <f>IF(115&gt;=DeliverStart,OtherIncPerUnitMo*LeaseUp!DO$9*DO$10,0)</f>
        <v/>
      </c>
      <c r="DP21" s="218">
        <f>IF(116&gt;=DeliverStart,OtherIncPerUnitMo*LeaseUp!DP$9*DP$10,0)</f>
        <v/>
      </c>
      <c r="DQ21" s="218">
        <f>IF(117&gt;=DeliverStart,OtherIncPerUnitMo*LeaseUp!DQ$9*DQ$10,0)</f>
        <v/>
      </c>
      <c r="DR21" s="218">
        <f>IF(118&gt;=DeliverStart,OtherIncPerUnitMo*LeaseUp!DR$9*DR$10,0)</f>
        <v/>
      </c>
      <c r="DS21" s="218">
        <f>IF(119&gt;=DeliverStart,OtherIncPerUnitMo*LeaseUp!DS$9*DS$10,0)</f>
        <v/>
      </c>
      <c r="DT21" s="218">
        <f>IF(120&gt;=DeliverStart,OtherIncPerUnitMo*LeaseUp!DT$9*DT$10,0)</f>
        <v/>
      </c>
      <c r="DU21" s="218">
        <f>IF(121&gt;=DeliverStart,OtherIncPerUnitMo*LeaseUp!DU$9*DU$10,0)</f>
        <v/>
      </c>
      <c r="DV21" s="218">
        <f>IF(122&gt;=DeliverStart,OtherIncPerUnitMo*LeaseUp!DV$9*DV$10,0)</f>
        <v/>
      </c>
      <c r="DW21" s="218">
        <f>IF(123&gt;=DeliverStart,OtherIncPerUnitMo*LeaseUp!DW$9*DW$10,0)</f>
        <v/>
      </c>
      <c r="DX21" s="218">
        <f>IF(124&gt;=DeliverStart,OtherIncPerUnitMo*LeaseUp!DX$9*DX$10,0)</f>
        <v/>
      </c>
      <c r="DY21" s="218">
        <f>IF(125&gt;=DeliverStart,OtherIncPerUnitMo*LeaseUp!DY$9*DY$10,0)</f>
        <v/>
      </c>
      <c r="DZ21" s="218">
        <f>IF(126&gt;=DeliverStart,OtherIncPerUnitMo*LeaseUp!DZ$9*DZ$10,0)</f>
        <v/>
      </c>
      <c r="EA21" s="218">
        <f>IF(127&gt;=DeliverStart,OtherIncPerUnitMo*LeaseUp!EA$9*EA$10,0)</f>
        <v/>
      </c>
      <c r="EB21" s="218">
        <f>IF(128&gt;=DeliverStart,OtherIncPerUnitMo*LeaseUp!EB$9*EB$10,0)</f>
        <v/>
      </c>
      <c r="EC21" s="218">
        <f>IF(129&gt;=DeliverStart,OtherIncPerUnitMo*LeaseUp!EC$9*EC$10,0)</f>
        <v/>
      </c>
      <c r="ED21" s="218">
        <f>IF(130&gt;=DeliverStart,OtherIncPerUnitMo*LeaseUp!ED$9*ED$10,0)</f>
        <v/>
      </c>
      <c r="EE21" s="218">
        <f>IF(131&gt;=DeliverStart,OtherIncPerUnitMo*LeaseUp!EE$9*EE$10,0)</f>
        <v/>
      </c>
      <c r="EF21" s="218">
        <f>IF(132&gt;=DeliverStart,OtherIncPerUnitMo*LeaseUp!EF$9*EF$10,0)</f>
        <v/>
      </c>
      <c r="EG21" s="218">
        <f>IF(133&gt;=DeliverStart,OtherIncPerUnitMo*LeaseUp!EG$9*EG$10,0)</f>
        <v/>
      </c>
      <c r="EH21" s="218">
        <f>IF(134&gt;=DeliverStart,OtherIncPerUnitMo*LeaseUp!EH$9*EH$10,0)</f>
        <v/>
      </c>
      <c r="EI21" s="218">
        <f>IF(135&gt;=DeliverStart,OtherIncPerUnitMo*LeaseUp!EI$9*EI$10,0)</f>
        <v/>
      </c>
      <c r="EJ21" s="218">
        <f>IF(136&gt;=DeliverStart,OtherIncPerUnitMo*LeaseUp!EJ$9*EJ$10,0)</f>
        <v/>
      </c>
      <c r="EK21" s="218">
        <f>IF(137&gt;=DeliverStart,OtherIncPerUnitMo*LeaseUp!EK$9*EK$10,0)</f>
        <v/>
      </c>
      <c r="EL21" s="218">
        <f>IF(138&gt;=DeliverStart,OtherIncPerUnitMo*LeaseUp!EL$9*EL$10,0)</f>
        <v/>
      </c>
      <c r="EM21" s="218">
        <f>IF(139&gt;=DeliverStart,OtherIncPerUnitMo*LeaseUp!EM$9*EM$10,0)</f>
        <v/>
      </c>
      <c r="EN21" s="218">
        <f>IF(140&gt;=DeliverStart,OtherIncPerUnitMo*LeaseUp!EN$9*EN$10,0)</f>
        <v/>
      </c>
      <c r="EO21" s="218">
        <f>IF(141&gt;=DeliverStart,OtherIncPerUnitMo*LeaseUp!EO$9*EO$10,0)</f>
        <v/>
      </c>
      <c r="EP21" s="218">
        <f>IF(142&gt;=DeliverStart,OtherIncPerUnitMo*LeaseUp!EP$9*EP$10,0)</f>
        <v/>
      </c>
      <c r="EQ21" s="218">
        <f>IF(143&gt;=DeliverStart,OtherIncPerUnitMo*LeaseUp!EQ$9*EQ$10,0)</f>
        <v/>
      </c>
      <c r="ER21" s="218">
        <f>IF(144&gt;=DeliverStart,OtherIncPerUnitMo*LeaseUp!ER$9*ER$10,0)</f>
        <v/>
      </c>
      <c r="ES21" s="218">
        <f>IF(145&gt;=DeliverStart,OtherIncPerUnitMo*LeaseUp!ES$9*ES$10,0)</f>
        <v/>
      </c>
      <c r="ET21" s="218">
        <f>IF(146&gt;=DeliverStart,OtherIncPerUnitMo*LeaseUp!ET$9*ET$10,0)</f>
        <v/>
      </c>
      <c r="EU21" s="218">
        <f>IF(147&gt;=DeliverStart,OtherIncPerUnitMo*LeaseUp!EU$9*EU$10,0)</f>
        <v/>
      </c>
      <c r="EV21" s="218">
        <f>IF(148&gt;=DeliverStart,OtherIncPerUnitMo*LeaseUp!EV$9*EV$10,0)</f>
        <v/>
      </c>
      <c r="EW21" s="218">
        <f>IF(149&gt;=DeliverStart,OtherIncPerUnitMo*LeaseUp!EW$9*EW$10,0)</f>
        <v/>
      </c>
      <c r="EX21" s="218">
        <f>IF(150&gt;=DeliverStart,OtherIncPerUnitMo*LeaseUp!EX$9*EX$10,0)</f>
        <v/>
      </c>
      <c r="EY21" s="218">
        <f>IF(151&gt;=DeliverStart,OtherIncPerUnitMo*LeaseUp!EY$9*EY$10,0)</f>
        <v/>
      </c>
      <c r="EZ21" s="218">
        <f>IF(152&gt;=DeliverStart,OtherIncPerUnitMo*LeaseUp!EZ$9*EZ$10,0)</f>
        <v/>
      </c>
      <c r="FA21" s="218">
        <f>IF(153&gt;=DeliverStart,OtherIncPerUnitMo*LeaseUp!FA$9*FA$10,0)</f>
        <v/>
      </c>
      <c r="FB21" s="218">
        <f>IF(154&gt;=DeliverStart,OtherIncPerUnitMo*LeaseUp!FB$9*FB$10,0)</f>
        <v/>
      </c>
      <c r="FC21" s="218">
        <f>IF(155&gt;=DeliverStart,OtherIncPerUnitMo*LeaseUp!FC$9*FC$10,0)</f>
        <v/>
      </c>
      <c r="FD21" s="218">
        <f>IF(156&gt;=DeliverStart,OtherIncPerUnitMo*LeaseUp!FD$9*FD$10,0)</f>
        <v/>
      </c>
      <c r="FE21" s="218">
        <f>IF(157&gt;=DeliverStart,OtherIncPerUnitMo*LeaseUp!FE$9*FE$10,0)</f>
        <v/>
      </c>
      <c r="FF21" s="218">
        <f>IF(158&gt;=DeliverStart,OtherIncPerUnitMo*LeaseUp!FF$9*FF$10,0)</f>
        <v/>
      </c>
      <c r="FG21" s="218">
        <f>IF(159&gt;=DeliverStart,OtherIncPerUnitMo*LeaseUp!FG$9*FG$10,0)</f>
        <v/>
      </c>
      <c r="FH21" s="218">
        <f>IF(160&gt;=DeliverStart,OtherIncPerUnitMo*LeaseUp!FH$9*FH$10,0)</f>
        <v/>
      </c>
      <c r="FI21" s="218">
        <f>IF(161&gt;=DeliverStart,OtherIncPerUnitMo*LeaseUp!FI$9*FI$10,0)</f>
        <v/>
      </c>
      <c r="FJ21" s="218">
        <f>IF(162&gt;=DeliverStart,OtherIncPerUnitMo*LeaseUp!FJ$9*FJ$10,0)</f>
        <v/>
      </c>
      <c r="FK21" s="218">
        <f>IF(163&gt;=DeliverStart,OtherIncPerUnitMo*LeaseUp!FK$9*FK$10,0)</f>
        <v/>
      </c>
      <c r="FL21" s="218">
        <f>IF(164&gt;=DeliverStart,OtherIncPerUnitMo*LeaseUp!FL$9*FL$10,0)</f>
        <v/>
      </c>
      <c r="FM21" s="218">
        <f>IF(165&gt;=DeliverStart,OtherIncPerUnitMo*LeaseUp!FM$9*FM$10,0)</f>
        <v/>
      </c>
      <c r="FN21" s="218">
        <f>IF(166&gt;=DeliverStart,OtherIncPerUnitMo*LeaseUp!FN$9*FN$10,0)</f>
        <v/>
      </c>
      <c r="FO21" s="218">
        <f>IF(167&gt;=DeliverStart,OtherIncPerUnitMo*LeaseUp!FO$9*FO$10,0)</f>
        <v/>
      </c>
      <c r="FP21" s="218">
        <f>IF(168&gt;=DeliverStart,OtherIncPerUnitMo*LeaseUp!FP$9*FP$10,0)</f>
        <v/>
      </c>
      <c r="FQ21" s="218">
        <f>IF(169&gt;=DeliverStart,OtherIncPerUnitMo*LeaseUp!FQ$9*FQ$10,0)</f>
        <v/>
      </c>
      <c r="FR21" s="218">
        <f>IF(170&gt;=DeliverStart,OtherIncPerUnitMo*LeaseUp!FR$9*FR$10,0)</f>
        <v/>
      </c>
      <c r="FS21" s="218">
        <f>IF(171&gt;=DeliverStart,OtherIncPerUnitMo*LeaseUp!FS$9*FS$10,0)</f>
        <v/>
      </c>
      <c r="FT21" s="218">
        <f>IF(172&gt;=DeliverStart,OtherIncPerUnitMo*LeaseUp!FT$9*FT$10,0)</f>
        <v/>
      </c>
      <c r="FU21" s="218">
        <f>IF(173&gt;=DeliverStart,OtherIncPerUnitMo*LeaseUp!FU$9*FU$10,0)</f>
        <v/>
      </c>
      <c r="FV21" s="218">
        <f>IF(174&gt;=DeliverStart,OtherIncPerUnitMo*LeaseUp!FV$9*FV$10,0)</f>
        <v/>
      </c>
      <c r="FW21" s="218">
        <f>IF(175&gt;=DeliverStart,OtherIncPerUnitMo*LeaseUp!FW$9*FW$10,0)</f>
        <v/>
      </c>
      <c r="FX21" s="218">
        <f>IF(176&gt;=DeliverStart,OtherIncPerUnitMo*LeaseUp!FX$9*FX$10,0)</f>
        <v/>
      </c>
      <c r="FY21" s="218">
        <f>IF(177&gt;=DeliverStart,OtherIncPerUnitMo*LeaseUp!FY$9*FY$10,0)</f>
        <v/>
      </c>
      <c r="FZ21" s="218">
        <f>IF(178&gt;=DeliverStart,OtherIncPerUnitMo*LeaseUp!FZ$9*FZ$10,0)</f>
        <v/>
      </c>
      <c r="GA21" s="218">
        <f>IF(179&gt;=DeliverStart,OtherIncPerUnitMo*LeaseUp!GA$9*GA$10,0)</f>
        <v/>
      </c>
      <c r="GB21" s="218">
        <f>IF(180&gt;=DeliverStart,OtherIncPerUnitMo*LeaseUp!GB$9*GB$10,0)</f>
        <v/>
      </c>
      <c r="GC21" s="218">
        <f>IF(181&gt;=DeliverStart,OtherIncPerUnitMo*LeaseUp!GC$9*GC$10,0)</f>
        <v/>
      </c>
      <c r="GD21" s="218">
        <f>IF(182&gt;=DeliverStart,OtherIncPerUnitMo*LeaseUp!GD$9*GD$10,0)</f>
        <v/>
      </c>
      <c r="GE21" s="218">
        <f>IF(183&gt;=DeliverStart,OtherIncPerUnitMo*LeaseUp!GE$9*GE$10,0)</f>
        <v/>
      </c>
      <c r="GF21" s="218">
        <f>IF(184&gt;=DeliverStart,OtherIncPerUnitMo*LeaseUp!GF$9*GF$10,0)</f>
        <v/>
      </c>
      <c r="GG21" s="218">
        <f>IF(185&gt;=DeliverStart,OtherIncPerUnitMo*LeaseUp!GG$9*GG$10,0)</f>
        <v/>
      </c>
      <c r="GH21" s="218">
        <f>IF(186&gt;=DeliverStart,OtherIncPerUnitMo*LeaseUp!GH$9*GH$10,0)</f>
        <v/>
      </c>
      <c r="GI21" s="218">
        <f>IF(187&gt;=DeliverStart,OtherIncPerUnitMo*LeaseUp!GI$9*GI$10,0)</f>
        <v/>
      </c>
      <c r="GJ21" s="218">
        <f>IF(188&gt;=DeliverStart,OtherIncPerUnitMo*LeaseUp!GJ$9*GJ$10,0)</f>
        <v/>
      </c>
      <c r="GK21" s="218">
        <f>IF(189&gt;=DeliverStart,OtherIncPerUnitMo*LeaseUp!GK$9*GK$10,0)</f>
        <v/>
      </c>
      <c r="GL21" s="218">
        <f>IF(190&gt;=DeliverStart,OtherIncPerUnitMo*LeaseUp!GL$9*GL$10,0)</f>
        <v/>
      </c>
      <c r="GM21" s="218">
        <f>IF(191&gt;=DeliverStart,OtherIncPerUnitMo*LeaseUp!GM$9*GM$10,0)</f>
        <v/>
      </c>
      <c r="GN21" s="218">
        <f>IF(192&gt;=DeliverStart,OtherIncPerUnitMo*LeaseUp!GN$9*GN$10,0)</f>
        <v/>
      </c>
      <c r="GO21" s="218">
        <f>IF(193&gt;=DeliverStart,OtherIncPerUnitMo*LeaseUp!GO$9*GO$10,0)</f>
        <v/>
      </c>
      <c r="GP21" s="218">
        <f>IF(194&gt;=DeliverStart,OtherIncPerUnitMo*LeaseUp!GP$9*GP$10,0)</f>
        <v/>
      </c>
      <c r="GQ21" s="218">
        <f>IF(195&gt;=DeliverStart,OtherIncPerUnitMo*LeaseUp!GQ$9*GQ$10,0)</f>
        <v/>
      </c>
      <c r="GR21" s="218">
        <f>IF(196&gt;=DeliverStart,OtherIncPerUnitMo*LeaseUp!GR$9*GR$10,0)</f>
        <v/>
      </c>
      <c r="GS21" s="218">
        <f>IF(197&gt;=DeliverStart,OtherIncPerUnitMo*LeaseUp!GS$9*GS$10,0)</f>
        <v/>
      </c>
      <c r="GT21" s="218">
        <f>IF(198&gt;=DeliverStart,OtherIncPerUnitMo*LeaseUp!GT$9*GT$10,0)</f>
        <v/>
      </c>
      <c r="GU21" s="218">
        <f>IF(199&gt;=DeliverStart,OtherIncPerUnitMo*LeaseUp!GU$9*GU$10,0)</f>
        <v/>
      </c>
      <c r="GV21" s="218">
        <f>IF(200&gt;=DeliverStart,OtherIncPerUnitMo*LeaseUp!GV$9*GV$10,0)</f>
        <v/>
      </c>
      <c r="GW21" s="218">
        <f>IF(201&gt;=DeliverStart,OtherIncPerUnitMo*LeaseUp!GW$9*GW$10,0)</f>
        <v/>
      </c>
      <c r="GX21" s="218">
        <f>IF(202&gt;=DeliverStart,OtherIncPerUnitMo*LeaseUp!GX$9*GX$10,0)</f>
        <v/>
      </c>
      <c r="GY21" s="218">
        <f>IF(203&gt;=DeliverStart,OtherIncPerUnitMo*LeaseUp!GY$9*GY$10,0)</f>
        <v/>
      </c>
      <c r="GZ21" s="218">
        <f>IF(204&gt;=DeliverStart,OtherIncPerUnitMo*LeaseUp!GZ$9*GZ$10,0)</f>
        <v/>
      </c>
      <c r="HA21" s="218">
        <f>IF(205&gt;=DeliverStart,OtherIncPerUnitMo*LeaseUp!HA$9*HA$10,0)</f>
        <v/>
      </c>
      <c r="HB21" s="218">
        <f>IF(206&gt;=DeliverStart,OtherIncPerUnitMo*LeaseUp!HB$9*HB$10,0)</f>
        <v/>
      </c>
      <c r="HC21" s="218">
        <f>IF(207&gt;=DeliverStart,OtherIncPerUnitMo*LeaseUp!HC$9*HC$10,0)</f>
        <v/>
      </c>
      <c r="HD21" s="218">
        <f>IF(208&gt;=DeliverStart,OtherIncPerUnitMo*LeaseUp!HD$9*HD$10,0)</f>
        <v/>
      </c>
      <c r="HE21" s="218">
        <f>IF(209&gt;=DeliverStart,OtherIncPerUnitMo*LeaseUp!HE$9*HE$10,0)</f>
        <v/>
      </c>
      <c r="HF21" s="218">
        <f>IF(210&gt;=DeliverStart,OtherIncPerUnitMo*LeaseUp!HF$9*HF$10,0)</f>
        <v/>
      </c>
      <c r="HG21" s="218">
        <f>IF(211&gt;=DeliverStart,OtherIncPerUnitMo*LeaseUp!HG$9*HG$10,0)</f>
        <v/>
      </c>
      <c r="HH21" s="218">
        <f>IF(212&gt;=DeliverStart,OtherIncPerUnitMo*LeaseUp!HH$9*HH$10,0)</f>
        <v/>
      </c>
      <c r="HI21" s="218">
        <f>IF(213&gt;=DeliverStart,OtherIncPerUnitMo*LeaseUp!HI$9*HI$10,0)</f>
        <v/>
      </c>
      <c r="HJ21" s="218">
        <f>IF(214&gt;=DeliverStart,OtherIncPerUnitMo*LeaseUp!HJ$9*HJ$10,0)</f>
        <v/>
      </c>
      <c r="HK21" s="218">
        <f>IF(215&gt;=DeliverStart,OtherIncPerUnitMo*LeaseUp!HK$9*HK$10,0)</f>
        <v/>
      </c>
      <c r="HL21" s="218">
        <f>IF(216&gt;=DeliverStart,OtherIncPerUnitMo*LeaseUp!HL$9*HL$10,0)</f>
        <v/>
      </c>
      <c r="HM21" s="218">
        <f>IF(217&gt;=DeliverStart,OtherIncPerUnitMo*LeaseUp!HM$9*HM$10,0)</f>
        <v/>
      </c>
      <c r="HN21" s="218">
        <f>IF(218&gt;=DeliverStart,OtherIncPerUnitMo*LeaseUp!HN$9*HN$10,0)</f>
        <v/>
      </c>
      <c r="HO21" s="218">
        <f>IF(219&gt;=DeliverStart,OtherIncPerUnitMo*LeaseUp!HO$9*HO$10,0)</f>
        <v/>
      </c>
      <c r="HP21" s="218">
        <f>IF(220&gt;=DeliverStart,OtherIncPerUnitMo*LeaseUp!HP$9*HP$10,0)</f>
        <v/>
      </c>
      <c r="HQ21" s="218">
        <f>IF(221&gt;=DeliverStart,OtherIncPerUnitMo*LeaseUp!HQ$9*HQ$10,0)</f>
        <v/>
      </c>
      <c r="HR21" s="218">
        <f>IF(222&gt;=DeliverStart,OtherIncPerUnitMo*LeaseUp!HR$9*HR$10,0)</f>
        <v/>
      </c>
      <c r="HS21" s="218">
        <f>IF(223&gt;=DeliverStart,OtherIncPerUnitMo*LeaseUp!HS$9*HS$10,0)</f>
        <v/>
      </c>
      <c r="HT21" s="218">
        <f>IF(224&gt;=DeliverStart,OtherIncPerUnitMo*LeaseUp!HT$9*HT$10,0)</f>
        <v/>
      </c>
      <c r="HU21" s="218">
        <f>IF(225&gt;=DeliverStart,OtherIncPerUnitMo*LeaseUp!HU$9*HU$10,0)</f>
        <v/>
      </c>
      <c r="HV21" s="218">
        <f>IF(226&gt;=DeliverStart,OtherIncPerUnitMo*LeaseUp!HV$9*HV$10,0)</f>
        <v/>
      </c>
      <c r="HW21" s="218">
        <f>IF(227&gt;=DeliverStart,OtherIncPerUnitMo*LeaseUp!HW$9*HW$10,0)</f>
        <v/>
      </c>
      <c r="HX21" s="218">
        <f>IF(228&gt;=DeliverStart,OtherIncPerUnitMo*LeaseUp!HX$9*HX$10,0)</f>
        <v/>
      </c>
      <c r="HY21" s="218">
        <f>IF(229&gt;=DeliverStart,OtherIncPerUnitMo*LeaseUp!HY$9*HY$10,0)</f>
        <v/>
      </c>
      <c r="HZ21" s="218">
        <f>IF(230&gt;=DeliverStart,OtherIncPerUnitMo*LeaseUp!HZ$9*HZ$10,0)</f>
        <v/>
      </c>
      <c r="IA21" s="218">
        <f>IF(231&gt;=DeliverStart,OtherIncPerUnitMo*LeaseUp!IA$9*IA$10,0)</f>
        <v/>
      </c>
      <c r="IB21" s="218">
        <f>IF(232&gt;=DeliverStart,OtherIncPerUnitMo*LeaseUp!IB$9*IB$10,0)</f>
        <v/>
      </c>
      <c r="IC21" s="218">
        <f>IF(233&gt;=DeliverStart,OtherIncPerUnitMo*LeaseUp!IC$9*IC$10,0)</f>
        <v/>
      </c>
      <c r="ID21" s="218">
        <f>IF(234&gt;=DeliverStart,OtherIncPerUnitMo*LeaseUp!ID$9*ID$10,0)</f>
        <v/>
      </c>
      <c r="IE21" s="218">
        <f>IF(235&gt;=DeliverStart,OtherIncPerUnitMo*LeaseUp!IE$9*IE$10,0)</f>
        <v/>
      </c>
      <c r="IF21" s="218">
        <f>IF(236&gt;=DeliverStart,OtherIncPerUnitMo*LeaseUp!IF$9*IF$10,0)</f>
        <v/>
      </c>
      <c r="IG21" s="218">
        <f>IF(237&gt;=DeliverStart,OtherIncPerUnitMo*LeaseUp!IG$9*IG$10,0)</f>
        <v/>
      </c>
      <c r="IH21" s="218">
        <f>IF(238&gt;=DeliverStart,OtherIncPerUnitMo*LeaseUp!IH$9*IH$10,0)</f>
        <v/>
      </c>
      <c r="II21" s="218">
        <f>IF(239&gt;=DeliverStart,OtherIncPerUnitMo*LeaseUp!II$9*II$10,0)</f>
        <v/>
      </c>
      <c r="IJ21" s="218">
        <f>IF(240&gt;=DeliverStart,OtherIncPerUnitMo*LeaseUp!IJ$9*IJ$10,0)</f>
        <v/>
      </c>
      <c r="IK21" s="218">
        <f>IF(241&gt;=DeliverStart,OtherIncPerUnitMo*LeaseUp!IK$9*IK$10,0)</f>
        <v/>
      </c>
      <c r="IL21" s="218">
        <f>IF(242&gt;=DeliverStart,OtherIncPerUnitMo*LeaseUp!IL$9*IL$10,0)</f>
        <v/>
      </c>
      <c r="IM21" s="218">
        <f>IF(243&gt;=DeliverStart,OtherIncPerUnitMo*LeaseUp!IM$9*IM$10,0)</f>
        <v/>
      </c>
      <c r="IN21" s="218">
        <f>IF(244&gt;=DeliverStart,OtherIncPerUnitMo*LeaseUp!IN$9*IN$10,0)</f>
        <v/>
      </c>
      <c r="IO21" s="218">
        <f>IF(245&gt;=DeliverStart,OtherIncPerUnitMo*LeaseUp!IO$9*IO$10,0)</f>
        <v/>
      </c>
      <c r="IP21" s="218">
        <f>IF(246&gt;=DeliverStart,OtherIncPerUnitMo*LeaseUp!IP$9*IP$10,0)</f>
        <v/>
      </c>
      <c r="IQ21" s="218">
        <f>IF(247&gt;=DeliverStart,OtherIncPerUnitMo*LeaseUp!IQ$9*IQ$10,0)</f>
        <v/>
      </c>
      <c r="IR21" s="218">
        <f>IF(248&gt;=DeliverStart,OtherIncPerUnitMo*LeaseUp!IR$9*IR$10,0)</f>
        <v/>
      </c>
      <c r="IS21" s="218">
        <f>IF(249&gt;=DeliverStart,OtherIncPerUnitMo*LeaseUp!IS$9*IS$10,0)</f>
        <v/>
      </c>
      <c r="IT21" s="218">
        <f>IF(250&gt;=DeliverStart,OtherIncPerUnitMo*LeaseUp!IT$9*IT$10,0)</f>
        <v/>
      </c>
      <c r="IU21" s="218">
        <f>IF(251&gt;=DeliverStart,OtherIncPerUnitMo*LeaseUp!IU$9*IU$10,0)</f>
        <v/>
      </c>
      <c r="IV21" s="218">
        <f>IF(252&gt;=DeliverStart,OtherIncPerUnitMo*LeaseUp!IV$9*IV$10,0)</f>
        <v/>
      </c>
      <c r="IW21" s="218">
        <f>IF(253&gt;=DeliverStart,OtherIncPerUnitMo*LeaseUp!IW$9*IW$10,0)</f>
        <v/>
      </c>
      <c r="IX21" s="218">
        <f>IF(254&gt;=DeliverStart,OtherIncPerUnitMo*LeaseUp!IX$9*IX$10,0)</f>
        <v/>
      </c>
      <c r="IY21" s="218">
        <f>IF(255&gt;=DeliverStart,OtherIncPerUnitMo*LeaseUp!IY$9*IY$10,0)</f>
        <v/>
      </c>
      <c r="IZ21" s="218">
        <f>IF(256&gt;=DeliverStart,OtherIncPerUnitMo*LeaseUp!IZ$9*IZ$10,0)</f>
        <v/>
      </c>
      <c r="JA21" s="218">
        <f>IF(257&gt;=DeliverStart,OtherIncPerUnitMo*LeaseUp!JA$9*JA$10,0)</f>
        <v/>
      </c>
      <c r="JB21" s="218">
        <f>IF(258&gt;=DeliverStart,OtherIncPerUnitMo*LeaseUp!JB$9*JB$10,0)</f>
        <v/>
      </c>
      <c r="JC21" s="218">
        <f>IF(259&gt;=DeliverStart,OtherIncPerUnitMo*LeaseUp!JC$9*JC$10,0)</f>
        <v/>
      </c>
      <c r="JD21" s="218">
        <f>IF(260&gt;=DeliverStart,OtherIncPerUnitMo*LeaseUp!JD$9*JD$10,0)</f>
        <v/>
      </c>
      <c r="JE21" s="218">
        <f>IF(261&gt;=DeliverStart,OtherIncPerUnitMo*LeaseUp!JE$9*JE$10,0)</f>
        <v/>
      </c>
      <c r="JF21" s="218">
        <f>IF(262&gt;=DeliverStart,OtherIncPerUnitMo*LeaseUp!JF$9*JF$10,0)</f>
        <v/>
      </c>
      <c r="JG21" s="218">
        <f>IF(263&gt;=DeliverStart,OtherIncPerUnitMo*LeaseUp!JG$9*JG$10,0)</f>
        <v/>
      </c>
      <c r="JH21" s="218">
        <f>IF(264&gt;=DeliverStart,OtherIncPerUnitMo*LeaseUp!JH$9*JH$10,0)</f>
        <v/>
      </c>
      <c r="JI21" s="218">
        <f>IF(265&gt;=DeliverStart,OtherIncPerUnitMo*LeaseUp!JI$9*JI$10,0)</f>
        <v/>
      </c>
      <c r="JJ21" s="218">
        <f>IF(266&gt;=DeliverStart,OtherIncPerUnitMo*LeaseUp!JJ$9*JJ$10,0)</f>
        <v/>
      </c>
      <c r="JK21" s="218">
        <f>IF(267&gt;=DeliverStart,OtherIncPerUnitMo*LeaseUp!JK$9*JK$10,0)</f>
        <v/>
      </c>
      <c r="JL21" s="218">
        <f>IF(268&gt;=DeliverStart,OtherIncPerUnitMo*LeaseUp!JL$9*JL$10,0)</f>
        <v/>
      </c>
      <c r="JM21" s="218">
        <f>IF(269&gt;=DeliverStart,OtherIncPerUnitMo*LeaseUp!JM$9*JM$10,0)</f>
        <v/>
      </c>
      <c r="JN21" s="218">
        <f>IF(270&gt;=DeliverStart,OtherIncPerUnitMo*LeaseUp!JN$9*JN$10,0)</f>
        <v/>
      </c>
      <c r="JO21" s="218">
        <f>IF(271&gt;=DeliverStart,OtherIncPerUnitMo*LeaseUp!JO$9*JO$10,0)</f>
        <v/>
      </c>
      <c r="JP21" s="218">
        <f>IF(272&gt;=DeliverStart,OtherIncPerUnitMo*LeaseUp!JP$9*JP$10,0)</f>
        <v/>
      </c>
      <c r="JQ21" s="218">
        <f>IF(273&gt;=DeliverStart,OtherIncPerUnitMo*LeaseUp!JQ$9*JQ$10,0)</f>
        <v/>
      </c>
      <c r="JR21" s="218">
        <f>IF(274&gt;=DeliverStart,OtherIncPerUnitMo*LeaseUp!JR$9*JR$10,0)</f>
        <v/>
      </c>
      <c r="JS21" s="218">
        <f>IF(275&gt;=DeliverStart,OtherIncPerUnitMo*LeaseUp!JS$9*JS$10,0)</f>
        <v/>
      </c>
      <c r="JT21" s="218">
        <f>IF(276&gt;=DeliverStart,OtherIncPerUnitMo*LeaseUp!JT$9*JT$10,0)</f>
        <v/>
      </c>
      <c r="JU21" s="218">
        <f>IF(277&gt;=DeliverStart,OtherIncPerUnitMo*LeaseUp!JU$9*JU$10,0)</f>
        <v/>
      </c>
      <c r="JV21" s="218">
        <f>IF(278&gt;=DeliverStart,OtherIncPerUnitMo*LeaseUp!JV$9*JV$10,0)</f>
        <v/>
      </c>
      <c r="JW21" s="218">
        <f>IF(279&gt;=DeliverStart,OtherIncPerUnitMo*LeaseUp!JW$9*JW$10,0)</f>
        <v/>
      </c>
      <c r="JX21" s="218">
        <f>IF(280&gt;=DeliverStart,OtherIncPerUnitMo*LeaseUp!JX$9*JX$10,0)</f>
        <v/>
      </c>
      <c r="JY21" s="218">
        <f>IF(281&gt;=DeliverStart,OtherIncPerUnitMo*LeaseUp!JY$9*JY$10,0)</f>
        <v/>
      </c>
      <c r="JZ21" s="218">
        <f>IF(282&gt;=DeliverStart,OtherIncPerUnitMo*LeaseUp!JZ$9*JZ$10,0)</f>
        <v/>
      </c>
      <c r="KA21" s="218">
        <f>IF(283&gt;=DeliverStart,OtherIncPerUnitMo*LeaseUp!KA$9*KA$10,0)</f>
        <v/>
      </c>
      <c r="KB21" s="218">
        <f>IF(284&gt;=DeliverStart,OtherIncPerUnitMo*LeaseUp!KB$9*KB$10,0)</f>
        <v/>
      </c>
      <c r="KC21" s="218">
        <f>IF(285&gt;=DeliverStart,OtherIncPerUnitMo*LeaseUp!KC$9*KC$10,0)</f>
        <v/>
      </c>
      <c r="KD21" s="218">
        <f>IF(286&gt;=DeliverStart,OtherIncPerUnitMo*LeaseUp!KD$9*KD$10,0)</f>
        <v/>
      </c>
      <c r="KE21" s="218">
        <f>IF(287&gt;=DeliverStart,OtherIncPerUnitMo*LeaseUp!KE$9*KE$10,0)</f>
        <v/>
      </c>
      <c r="KF21" s="218">
        <f>IF(288&gt;=DeliverStart,OtherIncPerUnitMo*LeaseUp!KF$9*KF$10,0)</f>
        <v/>
      </c>
      <c r="KG21" s="218">
        <f>IF(289&gt;=DeliverStart,OtherIncPerUnitMo*LeaseUp!KG$9*KG$10,0)</f>
        <v/>
      </c>
      <c r="KH21" s="218">
        <f>IF(290&gt;=DeliverStart,OtherIncPerUnitMo*LeaseUp!KH$9*KH$10,0)</f>
        <v/>
      </c>
      <c r="KI21" s="218">
        <f>IF(291&gt;=DeliverStart,OtherIncPerUnitMo*LeaseUp!KI$9*KI$10,0)</f>
        <v/>
      </c>
      <c r="KJ21" s="218">
        <f>IF(292&gt;=DeliverStart,OtherIncPerUnitMo*LeaseUp!KJ$9*KJ$10,0)</f>
        <v/>
      </c>
      <c r="KK21" s="218">
        <f>IF(293&gt;=DeliverStart,OtherIncPerUnitMo*LeaseUp!KK$9*KK$10,0)</f>
        <v/>
      </c>
      <c r="KL21" s="218">
        <f>IF(294&gt;=DeliverStart,OtherIncPerUnitMo*LeaseUp!KL$9*KL$10,0)</f>
        <v/>
      </c>
      <c r="KM21" s="218">
        <f>IF(295&gt;=DeliverStart,OtherIncPerUnitMo*LeaseUp!KM$9*KM$10,0)</f>
        <v/>
      </c>
      <c r="KN21" s="218">
        <f>IF(296&gt;=DeliverStart,OtherIncPerUnitMo*LeaseUp!KN$9*KN$10,0)</f>
        <v/>
      </c>
      <c r="KO21" s="218">
        <f>IF(297&gt;=DeliverStart,OtherIncPerUnitMo*LeaseUp!KO$9*KO$10,0)</f>
        <v/>
      </c>
      <c r="KP21" s="218">
        <f>IF(298&gt;=DeliverStart,OtherIncPerUnitMo*LeaseUp!KP$9*KP$10,0)</f>
        <v/>
      </c>
      <c r="KQ21" s="218">
        <f>IF(299&gt;=DeliverStart,OtherIncPerUnitMo*LeaseUp!KQ$9*KQ$10,0)</f>
        <v/>
      </c>
      <c r="KR21" s="218">
        <f>IF(300&gt;=DeliverStart,OtherIncPerUnitMo*LeaseUp!KR$9*KR$10,0)</f>
        <v/>
      </c>
      <c r="KS21" s="218">
        <f>IF(301&gt;=DeliverStart,OtherIncPerUnitMo*LeaseUp!KS$9*KS$10,0)</f>
        <v/>
      </c>
      <c r="KT21" s="218">
        <f>IF(302&gt;=DeliverStart,OtherIncPerUnitMo*LeaseUp!KT$9*KT$10,0)</f>
        <v/>
      </c>
      <c r="KU21" s="218">
        <f>IF(303&gt;=DeliverStart,OtherIncPerUnitMo*LeaseUp!KU$9*KU$10,0)</f>
        <v/>
      </c>
      <c r="KV21" s="218">
        <f>IF(304&gt;=DeliverStart,OtherIncPerUnitMo*LeaseUp!KV$9*KV$10,0)</f>
        <v/>
      </c>
      <c r="KW21" s="218">
        <f>IF(305&gt;=DeliverStart,OtherIncPerUnitMo*LeaseUp!KW$9*KW$10,0)</f>
        <v/>
      </c>
      <c r="KX21" s="218">
        <f>IF(306&gt;=DeliverStart,OtherIncPerUnitMo*LeaseUp!KX$9*KX$10,0)</f>
        <v/>
      </c>
      <c r="KY21" s="218">
        <f>IF(307&gt;=DeliverStart,OtherIncPerUnitMo*LeaseUp!KY$9*KY$10,0)</f>
        <v/>
      </c>
      <c r="KZ21" s="218">
        <f>IF(308&gt;=DeliverStart,OtherIncPerUnitMo*LeaseUp!KZ$9*KZ$10,0)</f>
        <v/>
      </c>
      <c r="LA21" s="218">
        <f>IF(309&gt;=DeliverStart,OtherIncPerUnitMo*LeaseUp!LA$9*LA$10,0)</f>
        <v/>
      </c>
      <c r="LB21" s="218">
        <f>IF(310&gt;=DeliverStart,OtherIncPerUnitMo*LeaseUp!LB$9*LB$10,0)</f>
        <v/>
      </c>
      <c r="LC21" s="218">
        <f>IF(311&gt;=DeliverStart,OtherIncPerUnitMo*LeaseUp!LC$9*LC$10,0)</f>
        <v/>
      </c>
      <c r="LD21" s="218">
        <f>IF(312&gt;=DeliverStart,OtherIncPerUnitMo*LeaseUp!LD$9*LD$10,0)</f>
        <v/>
      </c>
      <c r="LE21" s="218">
        <f>IF(313&gt;=DeliverStart,OtherIncPerUnitMo*LeaseUp!LE$9*LE$10,0)</f>
        <v/>
      </c>
      <c r="LF21" s="218">
        <f>IF(314&gt;=DeliverStart,OtherIncPerUnitMo*LeaseUp!LF$9*LF$10,0)</f>
        <v/>
      </c>
      <c r="LG21" s="218">
        <f>IF(315&gt;=DeliverStart,OtherIncPerUnitMo*LeaseUp!LG$9*LG$10,0)</f>
        <v/>
      </c>
      <c r="LH21" s="218">
        <f>IF(316&gt;=DeliverStart,OtherIncPerUnitMo*LeaseUp!LH$9*LH$10,0)</f>
        <v/>
      </c>
      <c r="LI21" s="218">
        <f>IF(317&gt;=DeliverStart,OtherIncPerUnitMo*LeaseUp!LI$9*LI$10,0)</f>
        <v/>
      </c>
      <c r="LJ21" s="218">
        <f>IF(318&gt;=DeliverStart,OtherIncPerUnitMo*LeaseUp!LJ$9*LJ$10,0)</f>
        <v/>
      </c>
      <c r="LK21" s="218">
        <f>IF(319&gt;=DeliverStart,OtherIncPerUnitMo*LeaseUp!LK$9*LK$10,0)</f>
        <v/>
      </c>
      <c r="LL21" s="218">
        <f>IF(320&gt;=DeliverStart,OtherIncPerUnitMo*LeaseUp!LL$9*LL$10,0)</f>
        <v/>
      </c>
      <c r="LM21" s="218">
        <f>IF(321&gt;=DeliverStart,OtherIncPerUnitMo*LeaseUp!LM$9*LM$10,0)</f>
        <v/>
      </c>
      <c r="LN21" s="218">
        <f>IF(322&gt;=DeliverStart,OtherIncPerUnitMo*LeaseUp!LN$9*LN$10,0)</f>
        <v/>
      </c>
      <c r="LO21" s="218">
        <f>IF(323&gt;=DeliverStart,OtherIncPerUnitMo*LeaseUp!LO$9*LO$10,0)</f>
        <v/>
      </c>
      <c r="LP21" s="218">
        <f>IF(324&gt;=DeliverStart,OtherIncPerUnitMo*LeaseUp!LP$9*LP$10,0)</f>
        <v/>
      </c>
      <c r="LQ21" s="218">
        <f>IF(325&gt;=DeliverStart,OtherIncPerUnitMo*LeaseUp!LQ$9*LQ$10,0)</f>
        <v/>
      </c>
      <c r="LR21" s="218">
        <f>IF(326&gt;=DeliverStart,OtherIncPerUnitMo*LeaseUp!LR$9*LR$10,0)</f>
        <v/>
      </c>
      <c r="LS21" s="218">
        <f>IF(327&gt;=DeliverStart,OtherIncPerUnitMo*LeaseUp!LS$9*LS$10,0)</f>
        <v/>
      </c>
      <c r="LT21" s="218">
        <f>IF(328&gt;=DeliverStart,OtherIncPerUnitMo*LeaseUp!LT$9*LT$10,0)</f>
        <v/>
      </c>
      <c r="LU21" s="218">
        <f>IF(329&gt;=DeliverStart,OtherIncPerUnitMo*LeaseUp!LU$9*LU$10,0)</f>
        <v/>
      </c>
      <c r="LV21" s="218">
        <f>IF(330&gt;=DeliverStart,OtherIncPerUnitMo*LeaseUp!LV$9*LV$10,0)</f>
        <v/>
      </c>
      <c r="LW21" s="218">
        <f>IF(331&gt;=DeliverStart,OtherIncPerUnitMo*LeaseUp!LW$9*LW$10,0)</f>
        <v/>
      </c>
      <c r="LX21" s="218">
        <f>IF(332&gt;=DeliverStart,OtherIncPerUnitMo*LeaseUp!LX$9*LX$10,0)</f>
        <v/>
      </c>
      <c r="LY21" s="218">
        <f>IF(333&gt;=DeliverStart,OtherIncPerUnitMo*LeaseUp!LY$9*LY$10,0)</f>
        <v/>
      </c>
      <c r="LZ21" s="218">
        <f>IF(334&gt;=DeliverStart,OtherIncPerUnitMo*LeaseUp!LZ$9*LZ$10,0)</f>
        <v/>
      </c>
      <c r="MA21" s="218">
        <f>IF(335&gt;=DeliverStart,OtherIncPerUnitMo*LeaseUp!MA$9*MA$10,0)</f>
        <v/>
      </c>
      <c r="MB21" s="218">
        <f>IF(336&gt;=DeliverStart,OtherIncPerUnitMo*LeaseUp!MB$9*MB$10,0)</f>
        <v/>
      </c>
      <c r="MC21" s="218">
        <f>IF(337&gt;=DeliverStart,OtherIncPerUnitMo*LeaseUp!MC$9*MC$10,0)</f>
        <v/>
      </c>
      <c r="MD21" s="218">
        <f>IF(338&gt;=DeliverStart,OtherIncPerUnitMo*LeaseUp!MD$9*MD$10,0)</f>
        <v/>
      </c>
      <c r="ME21" s="218">
        <f>IF(339&gt;=DeliverStart,OtherIncPerUnitMo*LeaseUp!ME$9*ME$10,0)</f>
        <v/>
      </c>
      <c r="MF21" s="218">
        <f>IF(340&gt;=DeliverStart,OtherIncPerUnitMo*LeaseUp!MF$9*MF$10,0)</f>
        <v/>
      </c>
      <c r="MG21" s="218">
        <f>IF(341&gt;=DeliverStart,OtherIncPerUnitMo*LeaseUp!MG$9*MG$10,0)</f>
        <v/>
      </c>
      <c r="MH21" s="218">
        <f>IF(342&gt;=DeliverStart,OtherIncPerUnitMo*LeaseUp!MH$9*MH$10,0)</f>
        <v/>
      </c>
      <c r="MI21" s="218">
        <f>IF(343&gt;=DeliverStart,OtherIncPerUnitMo*LeaseUp!MI$9*MI$10,0)</f>
        <v/>
      </c>
      <c r="MJ21" s="218">
        <f>IF(344&gt;=DeliverStart,OtherIncPerUnitMo*LeaseUp!MJ$9*MJ$10,0)</f>
        <v/>
      </c>
      <c r="MK21" s="218">
        <f>IF(345&gt;=DeliverStart,OtherIncPerUnitMo*LeaseUp!MK$9*MK$10,0)</f>
        <v/>
      </c>
      <c r="ML21" s="218">
        <f>IF(346&gt;=DeliverStart,OtherIncPerUnitMo*LeaseUp!ML$9*ML$10,0)</f>
        <v/>
      </c>
      <c r="MM21" s="218">
        <f>IF(347&gt;=DeliverStart,OtherIncPerUnitMo*LeaseUp!MM$9*MM$10,0)</f>
        <v/>
      </c>
      <c r="MN21" s="218">
        <f>IF(348&gt;=DeliverStart,OtherIncPerUnitMo*LeaseUp!MN$9*MN$10,0)</f>
        <v/>
      </c>
      <c r="MO21" s="218">
        <f>IF(349&gt;=DeliverStart,OtherIncPerUnitMo*LeaseUp!MO$9*MO$10,0)</f>
        <v/>
      </c>
      <c r="MP21" s="218">
        <f>IF(350&gt;=DeliverStart,OtherIncPerUnitMo*LeaseUp!MP$9*MP$10,0)</f>
        <v/>
      </c>
      <c r="MQ21" s="218">
        <f>IF(351&gt;=DeliverStart,OtherIncPerUnitMo*LeaseUp!MQ$9*MQ$10,0)</f>
        <v/>
      </c>
      <c r="MR21" s="218">
        <f>IF(352&gt;=DeliverStart,OtherIncPerUnitMo*LeaseUp!MR$9*MR$10,0)</f>
        <v/>
      </c>
      <c r="MS21" s="218">
        <f>IF(353&gt;=DeliverStart,OtherIncPerUnitMo*LeaseUp!MS$9*MS$10,0)</f>
        <v/>
      </c>
      <c r="MT21" s="218">
        <f>IF(354&gt;=DeliverStart,OtherIncPerUnitMo*LeaseUp!MT$9*MT$10,0)</f>
        <v/>
      </c>
      <c r="MU21" s="218">
        <f>IF(355&gt;=DeliverStart,OtherIncPerUnitMo*LeaseUp!MU$9*MU$10,0)</f>
        <v/>
      </c>
      <c r="MV21" s="218">
        <f>IF(356&gt;=DeliverStart,OtherIncPerUnitMo*LeaseUp!MV$9*MV$10,0)</f>
        <v/>
      </c>
      <c r="MW21" s="218">
        <f>IF(357&gt;=DeliverStart,OtherIncPerUnitMo*LeaseUp!MW$9*MW$10,0)</f>
        <v/>
      </c>
      <c r="MX21" s="218">
        <f>IF(358&gt;=DeliverStart,OtherIncPerUnitMo*LeaseUp!MX$9*MX$10,0)</f>
        <v/>
      </c>
      <c r="MY21" s="218">
        <f>IF(359&gt;=DeliverStart,OtherIncPerUnitMo*LeaseUp!MY$9*MY$10,0)</f>
        <v/>
      </c>
      <c r="MZ21" s="218">
        <f>IF(360&gt;=DeliverStart,OtherIncPerUnitMo*LeaseUp!MZ$9*MZ$10,0)</f>
        <v/>
      </c>
      <c r="NA21" s="218">
        <f>IF(361&gt;=DeliverStart,OtherIncPerUnitMo*LeaseUp!NA$9*NA$10,0)</f>
        <v/>
      </c>
      <c r="NB21" s="218">
        <f>IF(362&gt;=DeliverStart,OtherIncPerUnitMo*LeaseUp!NB$9*NB$10,0)</f>
        <v/>
      </c>
      <c r="NC21" s="218">
        <f>IF(363&gt;=DeliverStart,OtherIncPerUnitMo*LeaseUp!NC$9*NC$10,0)</f>
        <v/>
      </c>
      <c r="ND21" s="218">
        <f>IF(364&gt;=DeliverStart,OtherIncPerUnitMo*LeaseUp!ND$9*ND$10,0)</f>
        <v/>
      </c>
      <c r="NE21" s="218">
        <f>IF(365&gt;=DeliverStart,OtherIncPerUnitMo*LeaseUp!NE$9*NE$10,0)</f>
        <v/>
      </c>
      <c r="NF21" s="218">
        <f>IF(366&gt;=DeliverStart,OtherIncPerUnitMo*LeaseUp!NF$9*NF$10,0)</f>
        <v/>
      </c>
      <c r="NG21" s="218">
        <f>IF(367&gt;=DeliverStart,OtherIncPerUnitMo*LeaseUp!NG$9*NG$10,0)</f>
        <v/>
      </c>
      <c r="NH21" s="218">
        <f>IF(368&gt;=DeliverStart,OtherIncPerUnitMo*LeaseUp!NH$9*NH$10,0)</f>
        <v/>
      </c>
      <c r="NI21" s="218">
        <f>IF(369&gt;=DeliverStart,OtherIncPerUnitMo*LeaseUp!NI$9*NI$10,0)</f>
        <v/>
      </c>
      <c r="NJ21" s="218">
        <f>IF(370&gt;=DeliverStart,OtherIncPerUnitMo*LeaseUp!NJ$9*NJ$10,0)</f>
        <v/>
      </c>
      <c r="NK21" s="218">
        <f>IF(371&gt;=DeliverStart,OtherIncPerUnitMo*LeaseUp!NK$9*NK$10,0)</f>
        <v/>
      </c>
      <c r="NL21" s="225">
        <f>IF(372&gt;=DeliverStart,OtherIncPerUnitMo*LeaseUp!NL$9*NL$10,0)</f>
        <v/>
      </c>
    </row>
    <row r="22">
      <c r="B22" s="36" t="inlineStr">
        <is>
          <t>Retail Income</t>
        </is>
      </c>
      <c r="D22" s="266">
        <f>SUM(E22:NL22)</f>
        <v/>
      </c>
      <c r="E22" s="218">
        <f>IF(1&gt;=DeliverStart,(RetailRentMo+RetailIncomeMo)*E$10*MIN(1,LeaseUp!E$10/StabilizedOccupancy),0)</f>
        <v/>
      </c>
      <c r="F22" s="218">
        <f>IF(2&gt;=DeliverStart,(RetailRentMo+RetailIncomeMo)*F$10*MIN(1,LeaseUp!F$10/StabilizedOccupancy),0)</f>
        <v/>
      </c>
      <c r="G22" s="218">
        <f>IF(3&gt;=DeliverStart,(RetailRentMo+RetailIncomeMo)*G$10*MIN(1,LeaseUp!G$10/StabilizedOccupancy),0)</f>
        <v/>
      </c>
      <c r="H22" s="218">
        <f>IF(4&gt;=DeliverStart,(RetailRentMo+RetailIncomeMo)*H$10*MIN(1,LeaseUp!H$10/StabilizedOccupancy),0)</f>
        <v/>
      </c>
      <c r="I22" s="218">
        <f>IF(5&gt;=DeliverStart,(RetailRentMo+RetailIncomeMo)*I$10*MIN(1,LeaseUp!I$10/StabilizedOccupancy),0)</f>
        <v/>
      </c>
      <c r="J22" s="218">
        <f>IF(6&gt;=DeliverStart,(RetailRentMo+RetailIncomeMo)*J$10*MIN(1,LeaseUp!J$10/StabilizedOccupancy),0)</f>
        <v/>
      </c>
      <c r="K22" s="218">
        <f>IF(7&gt;=DeliverStart,(RetailRentMo+RetailIncomeMo)*K$10*MIN(1,LeaseUp!K$10/StabilizedOccupancy),0)</f>
        <v/>
      </c>
      <c r="L22" s="218">
        <f>IF(8&gt;=DeliverStart,(RetailRentMo+RetailIncomeMo)*L$10*MIN(1,LeaseUp!L$10/StabilizedOccupancy),0)</f>
        <v/>
      </c>
      <c r="M22" s="218">
        <f>IF(9&gt;=DeliverStart,(RetailRentMo+RetailIncomeMo)*M$10*MIN(1,LeaseUp!M$10/StabilizedOccupancy),0)</f>
        <v/>
      </c>
      <c r="N22" s="218">
        <f>IF(10&gt;=DeliverStart,(RetailRentMo+RetailIncomeMo)*N$10*MIN(1,LeaseUp!N$10/StabilizedOccupancy),0)</f>
        <v/>
      </c>
      <c r="O22" s="218">
        <f>IF(11&gt;=DeliverStart,(RetailRentMo+RetailIncomeMo)*O$10*MIN(1,LeaseUp!O$10/StabilizedOccupancy),0)</f>
        <v/>
      </c>
      <c r="P22" s="218">
        <f>IF(12&gt;=DeliverStart,(RetailRentMo+RetailIncomeMo)*P$10*MIN(1,LeaseUp!P$10/StabilizedOccupancy),0)</f>
        <v/>
      </c>
      <c r="Q22" s="218">
        <f>IF(13&gt;=DeliverStart,(RetailRentMo+RetailIncomeMo)*Q$10*MIN(1,LeaseUp!Q$10/StabilizedOccupancy),0)</f>
        <v/>
      </c>
      <c r="R22" s="218">
        <f>IF(14&gt;=DeliverStart,(RetailRentMo+RetailIncomeMo)*R$10*MIN(1,LeaseUp!R$10/StabilizedOccupancy),0)</f>
        <v/>
      </c>
      <c r="S22" s="218">
        <f>IF(15&gt;=DeliverStart,(RetailRentMo+RetailIncomeMo)*S$10*MIN(1,LeaseUp!S$10/StabilizedOccupancy),0)</f>
        <v/>
      </c>
      <c r="T22" s="218">
        <f>IF(16&gt;=DeliverStart,(RetailRentMo+RetailIncomeMo)*T$10*MIN(1,LeaseUp!T$10/StabilizedOccupancy),0)</f>
        <v/>
      </c>
      <c r="U22" s="218">
        <f>IF(17&gt;=DeliverStart,(RetailRentMo+RetailIncomeMo)*U$10*MIN(1,LeaseUp!U$10/StabilizedOccupancy),0)</f>
        <v/>
      </c>
      <c r="V22" s="218">
        <f>IF(18&gt;=DeliverStart,(RetailRentMo+RetailIncomeMo)*V$10*MIN(1,LeaseUp!V$10/StabilizedOccupancy),0)</f>
        <v/>
      </c>
      <c r="W22" s="218">
        <f>IF(19&gt;=DeliverStart,(RetailRentMo+RetailIncomeMo)*W$10*MIN(1,LeaseUp!W$10/StabilizedOccupancy),0)</f>
        <v/>
      </c>
      <c r="X22" s="218">
        <f>IF(20&gt;=DeliverStart,(RetailRentMo+RetailIncomeMo)*X$10*MIN(1,LeaseUp!X$10/StabilizedOccupancy),0)</f>
        <v/>
      </c>
      <c r="Y22" s="218">
        <f>IF(21&gt;=DeliverStart,(RetailRentMo+RetailIncomeMo)*Y$10*MIN(1,LeaseUp!Y$10/StabilizedOccupancy),0)</f>
        <v/>
      </c>
      <c r="Z22" s="218">
        <f>IF(22&gt;=DeliverStart,(RetailRentMo+RetailIncomeMo)*Z$10*MIN(1,LeaseUp!Z$10/StabilizedOccupancy),0)</f>
        <v/>
      </c>
      <c r="AA22" s="218">
        <f>IF(23&gt;=DeliverStart,(RetailRentMo+RetailIncomeMo)*AA$10*MIN(1,LeaseUp!AA$10/StabilizedOccupancy),0)</f>
        <v/>
      </c>
      <c r="AB22" s="218">
        <f>IF(24&gt;=DeliverStart,(RetailRentMo+RetailIncomeMo)*AB$10*MIN(1,LeaseUp!AB$10/StabilizedOccupancy),0)</f>
        <v/>
      </c>
      <c r="AC22" s="218">
        <f>IF(25&gt;=DeliverStart,(RetailRentMo+RetailIncomeMo)*AC$10*MIN(1,LeaseUp!AC$10/StabilizedOccupancy),0)</f>
        <v/>
      </c>
      <c r="AD22" s="218">
        <f>IF(26&gt;=DeliverStart,(RetailRentMo+RetailIncomeMo)*AD$10*MIN(1,LeaseUp!AD$10/StabilizedOccupancy),0)</f>
        <v/>
      </c>
      <c r="AE22" s="218">
        <f>IF(27&gt;=DeliverStart,(RetailRentMo+RetailIncomeMo)*AE$10*MIN(1,LeaseUp!AE$10/StabilizedOccupancy),0)</f>
        <v/>
      </c>
      <c r="AF22" s="218">
        <f>IF(28&gt;=DeliverStart,(RetailRentMo+RetailIncomeMo)*AF$10*MIN(1,LeaseUp!AF$10/StabilizedOccupancy),0)</f>
        <v/>
      </c>
      <c r="AG22" s="218">
        <f>IF(29&gt;=DeliverStart,(RetailRentMo+RetailIncomeMo)*AG$10*MIN(1,LeaseUp!AG$10/StabilizedOccupancy),0)</f>
        <v/>
      </c>
      <c r="AH22" s="218">
        <f>IF(30&gt;=DeliverStart,(RetailRentMo+RetailIncomeMo)*AH$10*MIN(1,LeaseUp!AH$10/StabilizedOccupancy),0)</f>
        <v/>
      </c>
      <c r="AI22" s="218">
        <f>IF(31&gt;=DeliverStart,(RetailRentMo+RetailIncomeMo)*AI$10*MIN(1,LeaseUp!AI$10/StabilizedOccupancy),0)</f>
        <v/>
      </c>
      <c r="AJ22" s="218">
        <f>IF(32&gt;=DeliverStart,(RetailRentMo+RetailIncomeMo)*AJ$10*MIN(1,LeaseUp!AJ$10/StabilizedOccupancy),0)</f>
        <v/>
      </c>
      <c r="AK22" s="218">
        <f>IF(33&gt;=DeliverStart,(RetailRentMo+RetailIncomeMo)*AK$10*MIN(1,LeaseUp!AK$10/StabilizedOccupancy),0)</f>
        <v/>
      </c>
      <c r="AL22" s="218">
        <f>IF(34&gt;=DeliverStart,(RetailRentMo+RetailIncomeMo)*AL$10*MIN(1,LeaseUp!AL$10/StabilizedOccupancy),0)</f>
        <v/>
      </c>
      <c r="AM22" s="218">
        <f>IF(35&gt;=DeliverStart,(RetailRentMo+RetailIncomeMo)*AM$10*MIN(1,LeaseUp!AM$10/StabilizedOccupancy),0)</f>
        <v/>
      </c>
      <c r="AN22" s="218">
        <f>IF(36&gt;=DeliverStart,(RetailRentMo+RetailIncomeMo)*AN$10*MIN(1,LeaseUp!AN$10/StabilizedOccupancy),0)</f>
        <v/>
      </c>
      <c r="AO22" s="218">
        <f>IF(37&gt;=DeliverStart,(RetailRentMo+RetailIncomeMo)*AO$10*MIN(1,LeaseUp!AO$10/StabilizedOccupancy),0)</f>
        <v/>
      </c>
      <c r="AP22" s="218">
        <f>IF(38&gt;=DeliverStart,(RetailRentMo+RetailIncomeMo)*AP$10*MIN(1,LeaseUp!AP$10/StabilizedOccupancy),0)</f>
        <v/>
      </c>
      <c r="AQ22" s="218">
        <f>IF(39&gt;=DeliverStart,(RetailRentMo+RetailIncomeMo)*AQ$10*MIN(1,LeaseUp!AQ$10/StabilizedOccupancy),0)</f>
        <v/>
      </c>
      <c r="AR22" s="218">
        <f>IF(40&gt;=DeliverStart,(RetailRentMo+RetailIncomeMo)*AR$10*MIN(1,LeaseUp!AR$10/StabilizedOccupancy),0)</f>
        <v/>
      </c>
      <c r="AS22" s="218">
        <f>IF(41&gt;=DeliverStart,(RetailRentMo+RetailIncomeMo)*AS$10*MIN(1,LeaseUp!AS$10/StabilizedOccupancy),0)</f>
        <v/>
      </c>
      <c r="AT22" s="218">
        <f>IF(42&gt;=DeliverStart,(RetailRentMo+RetailIncomeMo)*AT$10*MIN(1,LeaseUp!AT$10/StabilizedOccupancy),0)</f>
        <v/>
      </c>
      <c r="AU22" s="218">
        <f>IF(43&gt;=DeliverStart,(RetailRentMo+RetailIncomeMo)*AU$10*MIN(1,LeaseUp!AU$10/StabilizedOccupancy),0)</f>
        <v/>
      </c>
      <c r="AV22" s="218">
        <f>IF(44&gt;=DeliverStart,(RetailRentMo+RetailIncomeMo)*AV$10*MIN(1,LeaseUp!AV$10/StabilizedOccupancy),0)</f>
        <v/>
      </c>
      <c r="AW22" s="218">
        <f>IF(45&gt;=DeliverStart,(RetailRentMo+RetailIncomeMo)*AW$10*MIN(1,LeaseUp!AW$10/StabilizedOccupancy),0)</f>
        <v/>
      </c>
      <c r="AX22" s="218">
        <f>IF(46&gt;=DeliverStart,(RetailRentMo+RetailIncomeMo)*AX$10*MIN(1,LeaseUp!AX$10/StabilizedOccupancy),0)</f>
        <v/>
      </c>
      <c r="AY22" s="218">
        <f>IF(47&gt;=DeliverStart,(RetailRentMo+RetailIncomeMo)*AY$10*MIN(1,LeaseUp!AY$10/StabilizedOccupancy),0)</f>
        <v/>
      </c>
      <c r="AZ22" s="218">
        <f>IF(48&gt;=DeliverStart,(RetailRentMo+RetailIncomeMo)*AZ$10*MIN(1,LeaseUp!AZ$10/StabilizedOccupancy),0)</f>
        <v/>
      </c>
      <c r="BA22" s="218">
        <f>IF(49&gt;=DeliverStart,(RetailRentMo+RetailIncomeMo)*BA$10*MIN(1,LeaseUp!BA$10/StabilizedOccupancy),0)</f>
        <v/>
      </c>
      <c r="BB22" s="218">
        <f>IF(50&gt;=DeliverStart,(RetailRentMo+RetailIncomeMo)*BB$10*MIN(1,LeaseUp!BB$10/StabilizedOccupancy),0)</f>
        <v/>
      </c>
      <c r="BC22" s="218">
        <f>IF(51&gt;=DeliverStart,(RetailRentMo+RetailIncomeMo)*BC$10*MIN(1,LeaseUp!BC$10/StabilizedOccupancy),0)</f>
        <v/>
      </c>
      <c r="BD22" s="218">
        <f>IF(52&gt;=DeliverStart,(RetailRentMo+RetailIncomeMo)*BD$10*MIN(1,LeaseUp!BD$10/StabilizedOccupancy),0)</f>
        <v/>
      </c>
      <c r="BE22" s="218">
        <f>IF(53&gt;=DeliverStart,(RetailRentMo+RetailIncomeMo)*BE$10*MIN(1,LeaseUp!BE$10/StabilizedOccupancy),0)</f>
        <v/>
      </c>
      <c r="BF22" s="218">
        <f>IF(54&gt;=DeliverStart,(RetailRentMo+RetailIncomeMo)*BF$10*MIN(1,LeaseUp!BF$10/StabilizedOccupancy),0)</f>
        <v/>
      </c>
      <c r="BG22" s="218">
        <f>IF(55&gt;=DeliverStart,(RetailRentMo+RetailIncomeMo)*BG$10*MIN(1,LeaseUp!BG$10/StabilizedOccupancy),0)</f>
        <v/>
      </c>
      <c r="BH22" s="218">
        <f>IF(56&gt;=DeliverStart,(RetailRentMo+RetailIncomeMo)*BH$10*MIN(1,LeaseUp!BH$10/StabilizedOccupancy),0)</f>
        <v/>
      </c>
      <c r="BI22" s="218">
        <f>IF(57&gt;=DeliverStart,(RetailRentMo+RetailIncomeMo)*BI$10*MIN(1,LeaseUp!BI$10/StabilizedOccupancy),0)</f>
        <v/>
      </c>
      <c r="BJ22" s="218">
        <f>IF(58&gt;=DeliverStart,(RetailRentMo+RetailIncomeMo)*BJ$10*MIN(1,LeaseUp!BJ$10/StabilizedOccupancy),0)</f>
        <v/>
      </c>
      <c r="BK22" s="218">
        <f>IF(59&gt;=DeliverStart,(RetailRentMo+RetailIncomeMo)*BK$10*MIN(1,LeaseUp!BK$10/StabilizedOccupancy),0)</f>
        <v/>
      </c>
      <c r="BL22" s="218">
        <f>IF(60&gt;=DeliverStart,(RetailRentMo+RetailIncomeMo)*BL$10*MIN(1,LeaseUp!BL$10/StabilizedOccupancy),0)</f>
        <v/>
      </c>
      <c r="BM22" s="218">
        <f>IF(61&gt;=DeliverStart,(RetailRentMo+RetailIncomeMo)*BM$10*MIN(1,LeaseUp!BM$10/StabilizedOccupancy),0)</f>
        <v/>
      </c>
      <c r="BN22" s="218">
        <f>IF(62&gt;=DeliverStart,(RetailRentMo+RetailIncomeMo)*BN$10*MIN(1,LeaseUp!BN$10/StabilizedOccupancy),0)</f>
        <v/>
      </c>
      <c r="BO22" s="218">
        <f>IF(63&gt;=DeliverStart,(RetailRentMo+RetailIncomeMo)*BO$10*MIN(1,LeaseUp!BO$10/StabilizedOccupancy),0)</f>
        <v/>
      </c>
      <c r="BP22" s="218">
        <f>IF(64&gt;=DeliverStart,(RetailRentMo+RetailIncomeMo)*BP$10*MIN(1,LeaseUp!BP$10/StabilizedOccupancy),0)</f>
        <v/>
      </c>
      <c r="BQ22" s="218">
        <f>IF(65&gt;=DeliverStart,(RetailRentMo+RetailIncomeMo)*BQ$10*MIN(1,LeaseUp!BQ$10/StabilizedOccupancy),0)</f>
        <v/>
      </c>
      <c r="BR22" s="218">
        <f>IF(66&gt;=DeliverStart,(RetailRentMo+RetailIncomeMo)*BR$10*MIN(1,LeaseUp!BR$10/StabilizedOccupancy),0)</f>
        <v/>
      </c>
      <c r="BS22" s="218">
        <f>IF(67&gt;=DeliverStart,(RetailRentMo+RetailIncomeMo)*BS$10*MIN(1,LeaseUp!BS$10/StabilizedOccupancy),0)</f>
        <v/>
      </c>
      <c r="BT22" s="218">
        <f>IF(68&gt;=DeliverStart,(RetailRentMo+RetailIncomeMo)*BT$10*MIN(1,LeaseUp!BT$10/StabilizedOccupancy),0)</f>
        <v/>
      </c>
      <c r="BU22" s="218">
        <f>IF(69&gt;=DeliverStart,(RetailRentMo+RetailIncomeMo)*BU$10*MIN(1,LeaseUp!BU$10/StabilizedOccupancy),0)</f>
        <v/>
      </c>
      <c r="BV22" s="218">
        <f>IF(70&gt;=DeliverStart,(RetailRentMo+RetailIncomeMo)*BV$10*MIN(1,LeaseUp!BV$10/StabilizedOccupancy),0)</f>
        <v/>
      </c>
      <c r="BW22" s="218">
        <f>IF(71&gt;=DeliverStart,(RetailRentMo+RetailIncomeMo)*BW$10*MIN(1,LeaseUp!BW$10/StabilizedOccupancy),0)</f>
        <v/>
      </c>
      <c r="BX22" s="218">
        <f>IF(72&gt;=DeliverStart,(RetailRentMo+RetailIncomeMo)*BX$10*MIN(1,LeaseUp!BX$10/StabilizedOccupancy),0)</f>
        <v/>
      </c>
      <c r="BY22" s="218">
        <f>IF(73&gt;=DeliverStart,(RetailRentMo+RetailIncomeMo)*BY$10*MIN(1,LeaseUp!BY$10/StabilizedOccupancy),0)</f>
        <v/>
      </c>
      <c r="BZ22" s="218">
        <f>IF(74&gt;=DeliverStart,(RetailRentMo+RetailIncomeMo)*BZ$10*MIN(1,LeaseUp!BZ$10/StabilizedOccupancy),0)</f>
        <v/>
      </c>
      <c r="CA22" s="218">
        <f>IF(75&gt;=DeliverStart,(RetailRentMo+RetailIncomeMo)*CA$10*MIN(1,LeaseUp!CA$10/StabilizedOccupancy),0)</f>
        <v/>
      </c>
      <c r="CB22" s="218">
        <f>IF(76&gt;=DeliverStart,(RetailRentMo+RetailIncomeMo)*CB$10*MIN(1,LeaseUp!CB$10/StabilizedOccupancy),0)</f>
        <v/>
      </c>
      <c r="CC22" s="218">
        <f>IF(77&gt;=DeliverStart,(RetailRentMo+RetailIncomeMo)*CC$10*MIN(1,LeaseUp!CC$10/StabilizedOccupancy),0)</f>
        <v/>
      </c>
      <c r="CD22" s="218">
        <f>IF(78&gt;=DeliverStart,(RetailRentMo+RetailIncomeMo)*CD$10*MIN(1,LeaseUp!CD$10/StabilizedOccupancy),0)</f>
        <v/>
      </c>
      <c r="CE22" s="218">
        <f>IF(79&gt;=DeliverStart,(RetailRentMo+RetailIncomeMo)*CE$10*MIN(1,LeaseUp!CE$10/StabilizedOccupancy),0)</f>
        <v/>
      </c>
      <c r="CF22" s="218">
        <f>IF(80&gt;=DeliverStart,(RetailRentMo+RetailIncomeMo)*CF$10*MIN(1,LeaseUp!CF$10/StabilizedOccupancy),0)</f>
        <v/>
      </c>
      <c r="CG22" s="218">
        <f>IF(81&gt;=DeliverStart,(RetailRentMo+RetailIncomeMo)*CG$10*MIN(1,LeaseUp!CG$10/StabilizedOccupancy),0)</f>
        <v/>
      </c>
      <c r="CH22" s="218">
        <f>IF(82&gt;=DeliverStart,(RetailRentMo+RetailIncomeMo)*CH$10*MIN(1,LeaseUp!CH$10/StabilizedOccupancy),0)</f>
        <v/>
      </c>
      <c r="CI22" s="218">
        <f>IF(83&gt;=DeliverStart,(RetailRentMo+RetailIncomeMo)*CI$10*MIN(1,LeaseUp!CI$10/StabilizedOccupancy),0)</f>
        <v/>
      </c>
      <c r="CJ22" s="218">
        <f>IF(84&gt;=DeliverStart,(RetailRentMo+RetailIncomeMo)*CJ$10*MIN(1,LeaseUp!CJ$10/StabilizedOccupancy),0)</f>
        <v/>
      </c>
      <c r="CK22" s="218">
        <f>IF(85&gt;=DeliverStart,(RetailRentMo+RetailIncomeMo)*CK$10*MIN(1,LeaseUp!CK$10/StabilizedOccupancy),0)</f>
        <v/>
      </c>
      <c r="CL22" s="218">
        <f>IF(86&gt;=DeliverStart,(RetailRentMo+RetailIncomeMo)*CL$10*MIN(1,LeaseUp!CL$10/StabilizedOccupancy),0)</f>
        <v/>
      </c>
      <c r="CM22" s="218">
        <f>IF(87&gt;=DeliverStart,(RetailRentMo+RetailIncomeMo)*CM$10*MIN(1,LeaseUp!CM$10/StabilizedOccupancy),0)</f>
        <v/>
      </c>
      <c r="CN22" s="218">
        <f>IF(88&gt;=DeliverStart,(RetailRentMo+RetailIncomeMo)*CN$10*MIN(1,LeaseUp!CN$10/StabilizedOccupancy),0)</f>
        <v/>
      </c>
      <c r="CO22" s="218">
        <f>IF(89&gt;=DeliverStart,(RetailRentMo+RetailIncomeMo)*CO$10*MIN(1,LeaseUp!CO$10/StabilizedOccupancy),0)</f>
        <v/>
      </c>
      <c r="CP22" s="218">
        <f>IF(90&gt;=DeliverStart,(RetailRentMo+RetailIncomeMo)*CP$10*MIN(1,LeaseUp!CP$10/StabilizedOccupancy),0)</f>
        <v/>
      </c>
      <c r="CQ22" s="218">
        <f>IF(91&gt;=DeliverStart,(RetailRentMo+RetailIncomeMo)*CQ$10*MIN(1,LeaseUp!CQ$10/StabilizedOccupancy),0)</f>
        <v/>
      </c>
      <c r="CR22" s="218">
        <f>IF(92&gt;=DeliverStart,(RetailRentMo+RetailIncomeMo)*CR$10*MIN(1,LeaseUp!CR$10/StabilizedOccupancy),0)</f>
        <v/>
      </c>
      <c r="CS22" s="218">
        <f>IF(93&gt;=DeliverStart,(RetailRentMo+RetailIncomeMo)*CS$10*MIN(1,LeaseUp!CS$10/StabilizedOccupancy),0)</f>
        <v/>
      </c>
      <c r="CT22" s="218">
        <f>IF(94&gt;=DeliverStart,(RetailRentMo+RetailIncomeMo)*CT$10*MIN(1,LeaseUp!CT$10/StabilizedOccupancy),0)</f>
        <v/>
      </c>
      <c r="CU22" s="218">
        <f>IF(95&gt;=DeliverStart,(RetailRentMo+RetailIncomeMo)*CU$10*MIN(1,LeaseUp!CU$10/StabilizedOccupancy),0)</f>
        <v/>
      </c>
      <c r="CV22" s="218">
        <f>IF(96&gt;=DeliverStart,(RetailRentMo+RetailIncomeMo)*CV$10*MIN(1,LeaseUp!CV$10/StabilizedOccupancy),0)</f>
        <v/>
      </c>
      <c r="CW22" s="218">
        <f>IF(97&gt;=DeliverStart,(RetailRentMo+RetailIncomeMo)*CW$10*MIN(1,LeaseUp!CW$10/StabilizedOccupancy),0)</f>
        <v/>
      </c>
      <c r="CX22" s="218">
        <f>IF(98&gt;=DeliverStart,(RetailRentMo+RetailIncomeMo)*CX$10*MIN(1,LeaseUp!CX$10/StabilizedOccupancy),0)</f>
        <v/>
      </c>
      <c r="CY22" s="218">
        <f>IF(99&gt;=DeliverStart,(RetailRentMo+RetailIncomeMo)*CY$10*MIN(1,LeaseUp!CY$10/StabilizedOccupancy),0)</f>
        <v/>
      </c>
      <c r="CZ22" s="218">
        <f>IF(100&gt;=DeliverStart,(RetailRentMo+RetailIncomeMo)*CZ$10*MIN(1,LeaseUp!CZ$10/StabilizedOccupancy),0)</f>
        <v/>
      </c>
      <c r="DA22" s="218">
        <f>IF(101&gt;=DeliverStart,(RetailRentMo+RetailIncomeMo)*DA$10*MIN(1,LeaseUp!DA$10/StabilizedOccupancy),0)</f>
        <v/>
      </c>
      <c r="DB22" s="218">
        <f>IF(102&gt;=DeliverStart,(RetailRentMo+RetailIncomeMo)*DB$10*MIN(1,LeaseUp!DB$10/StabilizedOccupancy),0)</f>
        <v/>
      </c>
      <c r="DC22" s="218">
        <f>IF(103&gt;=DeliverStart,(RetailRentMo+RetailIncomeMo)*DC$10*MIN(1,LeaseUp!DC$10/StabilizedOccupancy),0)</f>
        <v/>
      </c>
      <c r="DD22" s="218">
        <f>IF(104&gt;=DeliverStart,(RetailRentMo+RetailIncomeMo)*DD$10*MIN(1,LeaseUp!DD$10/StabilizedOccupancy),0)</f>
        <v/>
      </c>
      <c r="DE22" s="218">
        <f>IF(105&gt;=DeliverStart,(RetailRentMo+RetailIncomeMo)*DE$10*MIN(1,LeaseUp!DE$10/StabilizedOccupancy),0)</f>
        <v/>
      </c>
      <c r="DF22" s="218">
        <f>IF(106&gt;=DeliverStart,(RetailRentMo+RetailIncomeMo)*DF$10*MIN(1,LeaseUp!DF$10/StabilizedOccupancy),0)</f>
        <v/>
      </c>
      <c r="DG22" s="218">
        <f>IF(107&gt;=DeliverStart,(RetailRentMo+RetailIncomeMo)*DG$10*MIN(1,LeaseUp!DG$10/StabilizedOccupancy),0)</f>
        <v/>
      </c>
      <c r="DH22" s="218">
        <f>IF(108&gt;=DeliverStart,(RetailRentMo+RetailIncomeMo)*DH$10*MIN(1,LeaseUp!DH$10/StabilizedOccupancy),0)</f>
        <v/>
      </c>
      <c r="DI22" s="218">
        <f>IF(109&gt;=DeliverStart,(RetailRentMo+RetailIncomeMo)*DI$10*MIN(1,LeaseUp!DI$10/StabilizedOccupancy),0)</f>
        <v/>
      </c>
      <c r="DJ22" s="218">
        <f>IF(110&gt;=DeliverStart,(RetailRentMo+RetailIncomeMo)*DJ$10*MIN(1,LeaseUp!DJ$10/StabilizedOccupancy),0)</f>
        <v/>
      </c>
      <c r="DK22" s="218">
        <f>IF(111&gt;=DeliverStart,(RetailRentMo+RetailIncomeMo)*DK$10*MIN(1,LeaseUp!DK$10/StabilizedOccupancy),0)</f>
        <v/>
      </c>
      <c r="DL22" s="218">
        <f>IF(112&gt;=DeliverStart,(RetailRentMo+RetailIncomeMo)*DL$10*MIN(1,LeaseUp!DL$10/StabilizedOccupancy),0)</f>
        <v/>
      </c>
      <c r="DM22" s="218">
        <f>IF(113&gt;=DeliverStart,(RetailRentMo+RetailIncomeMo)*DM$10*MIN(1,LeaseUp!DM$10/StabilizedOccupancy),0)</f>
        <v/>
      </c>
      <c r="DN22" s="218">
        <f>IF(114&gt;=DeliverStart,(RetailRentMo+RetailIncomeMo)*DN$10*MIN(1,LeaseUp!DN$10/StabilizedOccupancy),0)</f>
        <v/>
      </c>
      <c r="DO22" s="218">
        <f>IF(115&gt;=DeliverStart,(RetailRentMo+RetailIncomeMo)*DO$10*MIN(1,LeaseUp!DO$10/StabilizedOccupancy),0)</f>
        <v/>
      </c>
      <c r="DP22" s="218">
        <f>IF(116&gt;=DeliverStart,(RetailRentMo+RetailIncomeMo)*DP$10*MIN(1,LeaseUp!DP$10/StabilizedOccupancy),0)</f>
        <v/>
      </c>
      <c r="DQ22" s="218">
        <f>IF(117&gt;=DeliverStart,(RetailRentMo+RetailIncomeMo)*DQ$10*MIN(1,LeaseUp!DQ$10/StabilizedOccupancy),0)</f>
        <v/>
      </c>
      <c r="DR22" s="218">
        <f>IF(118&gt;=DeliverStart,(RetailRentMo+RetailIncomeMo)*DR$10*MIN(1,LeaseUp!DR$10/StabilizedOccupancy),0)</f>
        <v/>
      </c>
      <c r="DS22" s="218">
        <f>IF(119&gt;=DeliverStart,(RetailRentMo+RetailIncomeMo)*DS$10*MIN(1,LeaseUp!DS$10/StabilizedOccupancy),0)</f>
        <v/>
      </c>
      <c r="DT22" s="218">
        <f>IF(120&gt;=DeliverStart,(RetailRentMo+RetailIncomeMo)*DT$10*MIN(1,LeaseUp!DT$10/StabilizedOccupancy),0)</f>
        <v/>
      </c>
      <c r="DU22" s="218">
        <f>IF(121&gt;=DeliverStart,(RetailRentMo+RetailIncomeMo)*DU$10*MIN(1,LeaseUp!DU$10/StabilizedOccupancy),0)</f>
        <v/>
      </c>
      <c r="DV22" s="218">
        <f>IF(122&gt;=DeliverStart,(RetailRentMo+RetailIncomeMo)*DV$10*MIN(1,LeaseUp!DV$10/StabilizedOccupancy),0)</f>
        <v/>
      </c>
      <c r="DW22" s="218">
        <f>IF(123&gt;=DeliverStart,(RetailRentMo+RetailIncomeMo)*DW$10*MIN(1,LeaseUp!DW$10/StabilizedOccupancy),0)</f>
        <v/>
      </c>
      <c r="DX22" s="218">
        <f>IF(124&gt;=DeliverStart,(RetailRentMo+RetailIncomeMo)*DX$10*MIN(1,LeaseUp!DX$10/StabilizedOccupancy),0)</f>
        <v/>
      </c>
      <c r="DY22" s="218">
        <f>IF(125&gt;=DeliverStart,(RetailRentMo+RetailIncomeMo)*DY$10*MIN(1,LeaseUp!DY$10/StabilizedOccupancy),0)</f>
        <v/>
      </c>
      <c r="DZ22" s="218">
        <f>IF(126&gt;=DeliverStart,(RetailRentMo+RetailIncomeMo)*DZ$10*MIN(1,LeaseUp!DZ$10/StabilizedOccupancy),0)</f>
        <v/>
      </c>
      <c r="EA22" s="218">
        <f>IF(127&gt;=DeliverStart,(RetailRentMo+RetailIncomeMo)*EA$10*MIN(1,LeaseUp!EA$10/StabilizedOccupancy),0)</f>
        <v/>
      </c>
      <c r="EB22" s="218">
        <f>IF(128&gt;=DeliverStart,(RetailRentMo+RetailIncomeMo)*EB$10*MIN(1,LeaseUp!EB$10/StabilizedOccupancy),0)</f>
        <v/>
      </c>
      <c r="EC22" s="218">
        <f>IF(129&gt;=DeliverStart,(RetailRentMo+RetailIncomeMo)*EC$10*MIN(1,LeaseUp!EC$10/StabilizedOccupancy),0)</f>
        <v/>
      </c>
      <c r="ED22" s="218">
        <f>IF(130&gt;=DeliverStart,(RetailRentMo+RetailIncomeMo)*ED$10*MIN(1,LeaseUp!ED$10/StabilizedOccupancy),0)</f>
        <v/>
      </c>
      <c r="EE22" s="218">
        <f>IF(131&gt;=DeliverStart,(RetailRentMo+RetailIncomeMo)*EE$10*MIN(1,LeaseUp!EE$10/StabilizedOccupancy),0)</f>
        <v/>
      </c>
      <c r="EF22" s="218">
        <f>IF(132&gt;=DeliverStart,(RetailRentMo+RetailIncomeMo)*EF$10*MIN(1,LeaseUp!EF$10/StabilizedOccupancy),0)</f>
        <v/>
      </c>
      <c r="EG22" s="218">
        <f>IF(133&gt;=DeliverStart,(RetailRentMo+RetailIncomeMo)*EG$10*MIN(1,LeaseUp!EG$10/StabilizedOccupancy),0)</f>
        <v/>
      </c>
      <c r="EH22" s="218">
        <f>IF(134&gt;=DeliverStart,(RetailRentMo+RetailIncomeMo)*EH$10*MIN(1,LeaseUp!EH$10/StabilizedOccupancy),0)</f>
        <v/>
      </c>
      <c r="EI22" s="218">
        <f>IF(135&gt;=DeliverStart,(RetailRentMo+RetailIncomeMo)*EI$10*MIN(1,LeaseUp!EI$10/StabilizedOccupancy),0)</f>
        <v/>
      </c>
      <c r="EJ22" s="218">
        <f>IF(136&gt;=DeliverStart,(RetailRentMo+RetailIncomeMo)*EJ$10*MIN(1,LeaseUp!EJ$10/StabilizedOccupancy),0)</f>
        <v/>
      </c>
      <c r="EK22" s="218">
        <f>IF(137&gt;=DeliverStart,(RetailRentMo+RetailIncomeMo)*EK$10*MIN(1,LeaseUp!EK$10/StabilizedOccupancy),0)</f>
        <v/>
      </c>
      <c r="EL22" s="218">
        <f>IF(138&gt;=DeliverStart,(RetailRentMo+RetailIncomeMo)*EL$10*MIN(1,LeaseUp!EL$10/StabilizedOccupancy),0)</f>
        <v/>
      </c>
      <c r="EM22" s="218">
        <f>IF(139&gt;=DeliverStart,(RetailRentMo+RetailIncomeMo)*EM$10*MIN(1,LeaseUp!EM$10/StabilizedOccupancy),0)</f>
        <v/>
      </c>
      <c r="EN22" s="218">
        <f>IF(140&gt;=DeliverStart,(RetailRentMo+RetailIncomeMo)*EN$10*MIN(1,LeaseUp!EN$10/StabilizedOccupancy),0)</f>
        <v/>
      </c>
      <c r="EO22" s="218">
        <f>IF(141&gt;=DeliverStart,(RetailRentMo+RetailIncomeMo)*EO$10*MIN(1,LeaseUp!EO$10/StabilizedOccupancy),0)</f>
        <v/>
      </c>
      <c r="EP22" s="218">
        <f>IF(142&gt;=DeliverStart,(RetailRentMo+RetailIncomeMo)*EP$10*MIN(1,LeaseUp!EP$10/StabilizedOccupancy),0)</f>
        <v/>
      </c>
      <c r="EQ22" s="218">
        <f>IF(143&gt;=DeliverStart,(RetailRentMo+RetailIncomeMo)*EQ$10*MIN(1,LeaseUp!EQ$10/StabilizedOccupancy),0)</f>
        <v/>
      </c>
      <c r="ER22" s="218">
        <f>IF(144&gt;=DeliverStart,(RetailRentMo+RetailIncomeMo)*ER$10*MIN(1,LeaseUp!ER$10/StabilizedOccupancy),0)</f>
        <v/>
      </c>
      <c r="ES22" s="218">
        <f>IF(145&gt;=DeliverStart,(RetailRentMo+RetailIncomeMo)*ES$10*MIN(1,LeaseUp!ES$10/StabilizedOccupancy),0)</f>
        <v/>
      </c>
      <c r="ET22" s="218">
        <f>IF(146&gt;=DeliverStart,(RetailRentMo+RetailIncomeMo)*ET$10*MIN(1,LeaseUp!ET$10/StabilizedOccupancy),0)</f>
        <v/>
      </c>
      <c r="EU22" s="218">
        <f>IF(147&gt;=DeliverStart,(RetailRentMo+RetailIncomeMo)*EU$10*MIN(1,LeaseUp!EU$10/StabilizedOccupancy),0)</f>
        <v/>
      </c>
      <c r="EV22" s="218">
        <f>IF(148&gt;=DeliverStart,(RetailRentMo+RetailIncomeMo)*EV$10*MIN(1,LeaseUp!EV$10/StabilizedOccupancy),0)</f>
        <v/>
      </c>
      <c r="EW22" s="218">
        <f>IF(149&gt;=DeliverStart,(RetailRentMo+RetailIncomeMo)*EW$10*MIN(1,LeaseUp!EW$10/StabilizedOccupancy),0)</f>
        <v/>
      </c>
      <c r="EX22" s="218">
        <f>IF(150&gt;=DeliverStart,(RetailRentMo+RetailIncomeMo)*EX$10*MIN(1,LeaseUp!EX$10/StabilizedOccupancy),0)</f>
        <v/>
      </c>
      <c r="EY22" s="218">
        <f>IF(151&gt;=DeliverStart,(RetailRentMo+RetailIncomeMo)*EY$10*MIN(1,LeaseUp!EY$10/StabilizedOccupancy),0)</f>
        <v/>
      </c>
      <c r="EZ22" s="218">
        <f>IF(152&gt;=DeliverStart,(RetailRentMo+RetailIncomeMo)*EZ$10*MIN(1,LeaseUp!EZ$10/StabilizedOccupancy),0)</f>
        <v/>
      </c>
      <c r="FA22" s="218">
        <f>IF(153&gt;=DeliverStart,(RetailRentMo+RetailIncomeMo)*FA$10*MIN(1,LeaseUp!FA$10/StabilizedOccupancy),0)</f>
        <v/>
      </c>
      <c r="FB22" s="218">
        <f>IF(154&gt;=DeliverStart,(RetailRentMo+RetailIncomeMo)*FB$10*MIN(1,LeaseUp!FB$10/StabilizedOccupancy),0)</f>
        <v/>
      </c>
      <c r="FC22" s="218">
        <f>IF(155&gt;=DeliverStart,(RetailRentMo+RetailIncomeMo)*FC$10*MIN(1,LeaseUp!FC$10/StabilizedOccupancy),0)</f>
        <v/>
      </c>
      <c r="FD22" s="218">
        <f>IF(156&gt;=DeliverStart,(RetailRentMo+RetailIncomeMo)*FD$10*MIN(1,LeaseUp!FD$10/StabilizedOccupancy),0)</f>
        <v/>
      </c>
      <c r="FE22" s="218">
        <f>IF(157&gt;=DeliverStart,(RetailRentMo+RetailIncomeMo)*FE$10*MIN(1,LeaseUp!FE$10/StabilizedOccupancy),0)</f>
        <v/>
      </c>
      <c r="FF22" s="218">
        <f>IF(158&gt;=DeliverStart,(RetailRentMo+RetailIncomeMo)*FF$10*MIN(1,LeaseUp!FF$10/StabilizedOccupancy),0)</f>
        <v/>
      </c>
      <c r="FG22" s="218">
        <f>IF(159&gt;=DeliverStart,(RetailRentMo+RetailIncomeMo)*FG$10*MIN(1,LeaseUp!FG$10/StabilizedOccupancy),0)</f>
        <v/>
      </c>
      <c r="FH22" s="218">
        <f>IF(160&gt;=DeliverStart,(RetailRentMo+RetailIncomeMo)*FH$10*MIN(1,LeaseUp!FH$10/StabilizedOccupancy),0)</f>
        <v/>
      </c>
      <c r="FI22" s="218">
        <f>IF(161&gt;=DeliverStart,(RetailRentMo+RetailIncomeMo)*FI$10*MIN(1,LeaseUp!FI$10/StabilizedOccupancy),0)</f>
        <v/>
      </c>
      <c r="FJ22" s="218">
        <f>IF(162&gt;=DeliverStart,(RetailRentMo+RetailIncomeMo)*FJ$10*MIN(1,LeaseUp!FJ$10/StabilizedOccupancy),0)</f>
        <v/>
      </c>
      <c r="FK22" s="218">
        <f>IF(163&gt;=DeliverStart,(RetailRentMo+RetailIncomeMo)*FK$10*MIN(1,LeaseUp!FK$10/StabilizedOccupancy),0)</f>
        <v/>
      </c>
      <c r="FL22" s="218">
        <f>IF(164&gt;=DeliverStart,(RetailRentMo+RetailIncomeMo)*FL$10*MIN(1,LeaseUp!FL$10/StabilizedOccupancy),0)</f>
        <v/>
      </c>
      <c r="FM22" s="218">
        <f>IF(165&gt;=DeliverStart,(RetailRentMo+RetailIncomeMo)*FM$10*MIN(1,LeaseUp!FM$10/StabilizedOccupancy),0)</f>
        <v/>
      </c>
      <c r="FN22" s="218">
        <f>IF(166&gt;=DeliverStart,(RetailRentMo+RetailIncomeMo)*FN$10*MIN(1,LeaseUp!FN$10/StabilizedOccupancy),0)</f>
        <v/>
      </c>
      <c r="FO22" s="218">
        <f>IF(167&gt;=DeliverStart,(RetailRentMo+RetailIncomeMo)*FO$10*MIN(1,LeaseUp!FO$10/StabilizedOccupancy),0)</f>
        <v/>
      </c>
      <c r="FP22" s="218">
        <f>IF(168&gt;=DeliverStart,(RetailRentMo+RetailIncomeMo)*FP$10*MIN(1,LeaseUp!FP$10/StabilizedOccupancy),0)</f>
        <v/>
      </c>
      <c r="FQ22" s="218">
        <f>IF(169&gt;=DeliverStart,(RetailRentMo+RetailIncomeMo)*FQ$10*MIN(1,LeaseUp!FQ$10/StabilizedOccupancy),0)</f>
        <v/>
      </c>
      <c r="FR22" s="218">
        <f>IF(170&gt;=DeliverStart,(RetailRentMo+RetailIncomeMo)*FR$10*MIN(1,LeaseUp!FR$10/StabilizedOccupancy),0)</f>
        <v/>
      </c>
      <c r="FS22" s="218">
        <f>IF(171&gt;=DeliverStart,(RetailRentMo+RetailIncomeMo)*FS$10*MIN(1,LeaseUp!FS$10/StabilizedOccupancy),0)</f>
        <v/>
      </c>
      <c r="FT22" s="218">
        <f>IF(172&gt;=DeliverStart,(RetailRentMo+RetailIncomeMo)*FT$10*MIN(1,LeaseUp!FT$10/StabilizedOccupancy),0)</f>
        <v/>
      </c>
      <c r="FU22" s="218">
        <f>IF(173&gt;=DeliverStart,(RetailRentMo+RetailIncomeMo)*FU$10*MIN(1,LeaseUp!FU$10/StabilizedOccupancy),0)</f>
        <v/>
      </c>
      <c r="FV22" s="218">
        <f>IF(174&gt;=DeliverStart,(RetailRentMo+RetailIncomeMo)*FV$10*MIN(1,LeaseUp!FV$10/StabilizedOccupancy),0)</f>
        <v/>
      </c>
      <c r="FW22" s="218">
        <f>IF(175&gt;=DeliverStart,(RetailRentMo+RetailIncomeMo)*FW$10*MIN(1,LeaseUp!FW$10/StabilizedOccupancy),0)</f>
        <v/>
      </c>
      <c r="FX22" s="218">
        <f>IF(176&gt;=DeliverStart,(RetailRentMo+RetailIncomeMo)*FX$10*MIN(1,LeaseUp!FX$10/StabilizedOccupancy),0)</f>
        <v/>
      </c>
      <c r="FY22" s="218">
        <f>IF(177&gt;=DeliverStart,(RetailRentMo+RetailIncomeMo)*FY$10*MIN(1,LeaseUp!FY$10/StabilizedOccupancy),0)</f>
        <v/>
      </c>
      <c r="FZ22" s="218">
        <f>IF(178&gt;=DeliverStart,(RetailRentMo+RetailIncomeMo)*FZ$10*MIN(1,LeaseUp!FZ$10/StabilizedOccupancy),0)</f>
        <v/>
      </c>
      <c r="GA22" s="218">
        <f>IF(179&gt;=DeliverStart,(RetailRentMo+RetailIncomeMo)*GA$10*MIN(1,LeaseUp!GA$10/StabilizedOccupancy),0)</f>
        <v/>
      </c>
      <c r="GB22" s="218">
        <f>IF(180&gt;=DeliverStart,(RetailRentMo+RetailIncomeMo)*GB$10*MIN(1,LeaseUp!GB$10/StabilizedOccupancy),0)</f>
        <v/>
      </c>
      <c r="GC22" s="218">
        <f>IF(181&gt;=DeliverStart,(RetailRentMo+RetailIncomeMo)*GC$10*MIN(1,LeaseUp!GC$10/StabilizedOccupancy),0)</f>
        <v/>
      </c>
      <c r="GD22" s="218">
        <f>IF(182&gt;=DeliverStart,(RetailRentMo+RetailIncomeMo)*GD$10*MIN(1,LeaseUp!GD$10/StabilizedOccupancy),0)</f>
        <v/>
      </c>
      <c r="GE22" s="218">
        <f>IF(183&gt;=DeliverStart,(RetailRentMo+RetailIncomeMo)*GE$10*MIN(1,LeaseUp!GE$10/StabilizedOccupancy),0)</f>
        <v/>
      </c>
      <c r="GF22" s="218">
        <f>IF(184&gt;=DeliverStart,(RetailRentMo+RetailIncomeMo)*GF$10*MIN(1,LeaseUp!GF$10/StabilizedOccupancy),0)</f>
        <v/>
      </c>
      <c r="GG22" s="218">
        <f>IF(185&gt;=DeliverStart,(RetailRentMo+RetailIncomeMo)*GG$10*MIN(1,LeaseUp!GG$10/StabilizedOccupancy),0)</f>
        <v/>
      </c>
      <c r="GH22" s="218">
        <f>IF(186&gt;=DeliverStart,(RetailRentMo+RetailIncomeMo)*GH$10*MIN(1,LeaseUp!GH$10/StabilizedOccupancy),0)</f>
        <v/>
      </c>
      <c r="GI22" s="218">
        <f>IF(187&gt;=DeliverStart,(RetailRentMo+RetailIncomeMo)*GI$10*MIN(1,LeaseUp!GI$10/StabilizedOccupancy),0)</f>
        <v/>
      </c>
      <c r="GJ22" s="218">
        <f>IF(188&gt;=DeliverStart,(RetailRentMo+RetailIncomeMo)*GJ$10*MIN(1,LeaseUp!GJ$10/StabilizedOccupancy),0)</f>
        <v/>
      </c>
      <c r="GK22" s="218">
        <f>IF(189&gt;=DeliverStart,(RetailRentMo+RetailIncomeMo)*GK$10*MIN(1,LeaseUp!GK$10/StabilizedOccupancy),0)</f>
        <v/>
      </c>
      <c r="GL22" s="218">
        <f>IF(190&gt;=DeliverStart,(RetailRentMo+RetailIncomeMo)*GL$10*MIN(1,LeaseUp!GL$10/StabilizedOccupancy),0)</f>
        <v/>
      </c>
      <c r="GM22" s="218">
        <f>IF(191&gt;=DeliverStart,(RetailRentMo+RetailIncomeMo)*GM$10*MIN(1,LeaseUp!GM$10/StabilizedOccupancy),0)</f>
        <v/>
      </c>
      <c r="GN22" s="218">
        <f>IF(192&gt;=DeliverStart,(RetailRentMo+RetailIncomeMo)*GN$10*MIN(1,LeaseUp!GN$10/StabilizedOccupancy),0)</f>
        <v/>
      </c>
      <c r="GO22" s="218">
        <f>IF(193&gt;=DeliverStart,(RetailRentMo+RetailIncomeMo)*GO$10*MIN(1,LeaseUp!GO$10/StabilizedOccupancy),0)</f>
        <v/>
      </c>
      <c r="GP22" s="218">
        <f>IF(194&gt;=DeliverStart,(RetailRentMo+RetailIncomeMo)*GP$10*MIN(1,LeaseUp!GP$10/StabilizedOccupancy),0)</f>
        <v/>
      </c>
      <c r="GQ22" s="218">
        <f>IF(195&gt;=DeliverStart,(RetailRentMo+RetailIncomeMo)*GQ$10*MIN(1,LeaseUp!GQ$10/StabilizedOccupancy),0)</f>
        <v/>
      </c>
      <c r="GR22" s="218">
        <f>IF(196&gt;=DeliverStart,(RetailRentMo+RetailIncomeMo)*GR$10*MIN(1,LeaseUp!GR$10/StabilizedOccupancy),0)</f>
        <v/>
      </c>
      <c r="GS22" s="218">
        <f>IF(197&gt;=DeliverStart,(RetailRentMo+RetailIncomeMo)*GS$10*MIN(1,LeaseUp!GS$10/StabilizedOccupancy),0)</f>
        <v/>
      </c>
      <c r="GT22" s="218">
        <f>IF(198&gt;=DeliverStart,(RetailRentMo+RetailIncomeMo)*GT$10*MIN(1,LeaseUp!GT$10/StabilizedOccupancy),0)</f>
        <v/>
      </c>
      <c r="GU22" s="218">
        <f>IF(199&gt;=DeliverStart,(RetailRentMo+RetailIncomeMo)*GU$10*MIN(1,LeaseUp!GU$10/StabilizedOccupancy),0)</f>
        <v/>
      </c>
      <c r="GV22" s="218">
        <f>IF(200&gt;=DeliverStart,(RetailRentMo+RetailIncomeMo)*GV$10*MIN(1,LeaseUp!GV$10/StabilizedOccupancy),0)</f>
        <v/>
      </c>
      <c r="GW22" s="218">
        <f>IF(201&gt;=DeliverStart,(RetailRentMo+RetailIncomeMo)*GW$10*MIN(1,LeaseUp!GW$10/StabilizedOccupancy),0)</f>
        <v/>
      </c>
      <c r="GX22" s="218">
        <f>IF(202&gt;=DeliverStart,(RetailRentMo+RetailIncomeMo)*GX$10*MIN(1,LeaseUp!GX$10/StabilizedOccupancy),0)</f>
        <v/>
      </c>
      <c r="GY22" s="218">
        <f>IF(203&gt;=DeliverStart,(RetailRentMo+RetailIncomeMo)*GY$10*MIN(1,LeaseUp!GY$10/StabilizedOccupancy),0)</f>
        <v/>
      </c>
      <c r="GZ22" s="218">
        <f>IF(204&gt;=DeliverStart,(RetailRentMo+RetailIncomeMo)*GZ$10*MIN(1,LeaseUp!GZ$10/StabilizedOccupancy),0)</f>
        <v/>
      </c>
      <c r="HA22" s="218">
        <f>IF(205&gt;=DeliverStart,(RetailRentMo+RetailIncomeMo)*HA$10*MIN(1,LeaseUp!HA$10/StabilizedOccupancy),0)</f>
        <v/>
      </c>
      <c r="HB22" s="218">
        <f>IF(206&gt;=DeliverStart,(RetailRentMo+RetailIncomeMo)*HB$10*MIN(1,LeaseUp!HB$10/StabilizedOccupancy),0)</f>
        <v/>
      </c>
      <c r="HC22" s="218">
        <f>IF(207&gt;=DeliverStart,(RetailRentMo+RetailIncomeMo)*HC$10*MIN(1,LeaseUp!HC$10/StabilizedOccupancy),0)</f>
        <v/>
      </c>
      <c r="HD22" s="218">
        <f>IF(208&gt;=DeliverStart,(RetailRentMo+RetailIncomeMo)*HD$10*MIN(1,LeaseUp!HD$10/StabilizedOccupancy),0)</f>
        <v/>
      </c>
      <c r="HE22" s="218">
        <f>IF(209&gt;=DeliverStart,(RetailRentMo+RetailIncomeMo)*HE$10*MIN(1,LeaseUp!HE$10/StabilizedOccupancy),0)</f>
        <v/>
      </c>
      <c r="HF22" s="218">
        <f>IF(210&gt;=DeliverStart,(RetailRentMo+RetailIncomeMo)*HF$10*MIN(1,LeaseUp!HF$10/StabilizedOccupancy),0)</f>
        <v/>
      </c>
      <c r="HG22" s="218">
        <f>IF(211&gt;=DeliverStart,(RetailRentMo+RetailIncomeMo)*HG$10*MIN(1,LeaseUp!HG$10/StabilizedOccupancy),0)</f>
        <v/>
      </c>
      <c r="HH22" s="218">
        <f>IF(212&gt;=DeliverStart,(RetailRentMo+RetailIncomeMo)*HH$10*MIN(1,LeaseUp!HH$10/StabilizedOccupancy),0)</f>
        <v/>
      </c>
      <c r="HI22" s="218">
        <f>IF(213&gt;=DeliverStart,(RetailRentMo+RetailIncomeMo)*HI$10*MIN(1,LeaseUp!HI$10/StabilizedOccupancy),0)</f>
        <v/>
      </c>
      <c r="HJ22" s="218">
        <f>IF(214&gt;=DeliverStart,(RetailRentMo+RetailIncomeMo)*HJ$10*MIN(1,LeaseUp!HJ$10/StabilizedOccupancy),0)</f>
        <v/>
      </c>
      <c r="HK22" s="218">
        <f>IF(215&gt;=DeliverStart,(RetailRentMo+RetailIncomeMo)*HK$10*MIN(1,LeaseUp!HK$10/StabilizedOccupancy),0)</f>
        <v/>
      </c>
      <c r="HL22" s="218">
        <f>IF(216&gt;=DeliverStart,(RetailRentMo+RetailIncomeMo)*HL$10*MIN(1,LeaseUp!HL$10/StabilizedOccupancy),0)</f>
        <v/>
      </c>
      <c r="HM22" s="218">
        <f>IF(217&gt;=DeliverStart,(RetailRentMo+RetailIncomeMo)*HM$10*MIN(1,LeaseUp!HM$10/StabilizedOccupancy),0)</f>
        <v/>
      </c>
      <c r="HN22" s="218">
        <f>IF(218&gt;=DeliverStart,(RetailRentMo+RetailIncomeMo)*HN$10*MIN(1,LeaseUp!HN$10/StabilizedOccupancy),0)</f>
        <v/>
      </c>
      <c r="HO22" s="218">
        <f>IF(219&gt;=DeliverStart,(RetailRentMo+RetailIncomeMo)*HO$10*MIN(1,LeaseUp!HO$10/StabilizedOccupancy),0)</f>
        <v/>
      </c>
      <c r="HP22" s="218">
        <f>IF(220&gt;=DeliverStart,(RetailRentMo+RetailIncomeMo)*HP$10*MIN(1,LeaseUp!HP$10/StabilizedOccupancy),0)</f>
        <v/>
      </c>
      <c r="HQ22" s="218">
        <f>IF(221&gt;=DeliverStart,(RetailRentMo+RetailIncomeMo)*HQ$10*MIN(1,LeaseUp!HQ$10/StabilizedOccupancy),0)</f>
        <v/>
      </c>
      <c r="HR22" s="218">
        <f>IF(222&gt;=DeliverStart,(RetailRentMo+RetailIncomeMo)*HR$10*MIN(1,LeaseUp!HR$10/StabilizedOccupancy),0)</f>
        <v/>
      </c>
      <c r="HS22" s="218">
        <f>IF(223&gt;=DeliverStart,(RetailRentMo+RetailIncomeMo)*HS$10*MIN(1,LeaseUp!HS$10/StabilizedOccupancy),0)</f>
        <v/>
      </c>
      <c r="HT22" s="218">
        <f>IF(224&gt;=DeliverStart,(RetailRentMo+RetailIncomeMo)*HT$10*MIN(1,LeaseUp!HT$10/StabilizedOccupancy),0)</f>
        <v/>
      </c>
      <c r="HU22" s="218">
        <f>IF(225&gt;=DeliverStart,(RetailRentMo+RetailIncomeMo)*HU$10*MIN(1,LeaseUp!HU$10/StabilizedOccupancy),0)</f>
        <v/>
      </c>
      <c r="HV22" s="218">
        <f>IF(226&gt;=DeliverStart,(RetailRentMo+RetailIncomeMo)*HV$10*MIN(1,LeaseUp!HV$10/StabilizedOccupancy),0)</f>
        <v/>
      </c>
      <c r="HW22" s="218">
        <f>IF(227&gt;=DeliverStart,(RetailRentMo+RetailIncomeMo)*HW$10*MIN(1,LeaseUp!HW$10/StabilizedOccupancy),0)</f>
        <v/>
      </c>
      <c r="HX22" s="218">
        <f>IF(228&gt;=DeliverStart,(RetailRentMo+RetailIncomeMo)*HX$10*MIN(1,LeaseUp!HX$10/StabilizedOccupancy),0)</f>
        <v/>
      </c>
      <c r="HY22" s="218">
        <f>IF(229&gt;=DeliverStart,(RetailRentMo+RetailIncomeMo)*HY$10*MIN(1,LeaseUp!HY$10/StabilizedOccupancy),0)</f>
        <v/>
      </c>
      <c r="HZ22" s="218">
        <f>IF(230&gt;=DeliverStart,(RetailRentMo+RetailIncomeMo)*HZ$10*MIN(1,LeaseUp!HZ$10/StabilizedOccupancy),0)</f>
        <v/>
      </c>
      <c r="IA22" s="218">
        <f>IF(231&gt;=DeliverStart,(RetailRentMo+RetailIncomeMo)*IA$10*MIN(1,LeaseUp!IA$10/StabilizedOccupancy),0)</f>
        <v/>
      </c>
      <c r="IB22" s="218">
        <f>IF(232&gt;=DeliverStart,(RetailRentMo+RetailIncomeMo)*IB$10*MIN(1,LeaseUp!IB$10/StabilizedOccupancy),0)</f>
        <v/>
      </c>
      <c r="IC22" s="218">
        <f>IF(233&gt;=DeliverStart,(RetailRentMo+RetailIncomeMo)*IC$10*MIN(1,LeaseUp!IC$10/StabilizedOccupancy),0)</f>
        <v/>
      </c>
      <c r="ID22" s="218">
        <f>IF(234&gt;=DeliverStart,(RetailRentMo+RetailIncomeMo)*ID$10*MIN(1,LeaseUp!ID$10/StabilizedOccupancy),0)</f>
        <v/>
      </c>
      <c r="IE22" s="218">
        <f>IF(235&gt;=DeliverStart,(RetailRentMo+RetailIncomeMo)*IE$10*MIN(1,LeaseUp!IE$10/StabilizedOccupancy),0)</f>
        <v/>
      </c>
      <c r="IF22" s="218">
        <f>IF(236&gt;=DeliverStart,(RetailRentMo+RetailIncomeMo)*IF$10*MIN(1,LeaseUp!IF$10/StabilizedOccupancy),0)</f>
        <v/>
      </c>
      <c r="IG22" s="218">
        <f>IF(237&gt;=DeliverStart,(RetailRentMo+RetailIncomeMo)*IG$10*MIN(1,LeaseUp!IG$10/StabilizedOccupancy),0)</f>
        <v/>
      </c>
      <c r="IH22" s="218">
        <f>IF(238&gt;=DeliverStart,(RetailRentMo+RetailIncomeMo)*IH$10*MIN(1,LeaseUp!IH$10/StabilizedOccupancy),0)</f>
        <v/>
      </c>
      <c r="II22" s="218">
        <f>IF(239&gt;=DeliverStart,(RetailRentMo+RetailIncomeMo)*II$10*MIN(1,LeaseUp!II$10/StabilizedOccupancy),0)</f>
        <v/>
      </c>
      <c r="IJ22" s="218">
        <f>IF(240&gt;=DeliverStart,(RetailRentMo+RetailIncomeMo)*IJ$10*MIN(1,LeaseUp!IJ$10/StabilizedOccupancy),0)</f>
        <v/>
      </c>
      <c r="IK22" s="218">
        <f>IF(241&gt;=DeliverStart,(RetailRentMo+RetailIncomeMo)*IK$10*MIN(1,LeaseUp!IK$10/StabilizedOccupancy),0)</f>
        <v/>
      </c>
      <c r="IL22" s="218">
        <f>IF(242&gt;=DeliverStart,(RetailRentMo+RetailIncomeMo)*IL$10*MIN(1,LeaseUp!IL$10/StabilizedOccupancy),0)</f>
        <v/>
      </c>
      <c r="IM22" s="218">
        <f>IF(243&gt;=DeliverStart,(RetailRentMo+RetailIncomeMo)*IM$10*MIN(1,LeaseUp!IM$10/StabilizedOccupancy),0)</f>
        <v/>
      </c>
      <c r="IN22" s="218">
        <f>IF(244&gt;=DeliverStart,(RetailRentMo+RetailIncomeMo)*IN$10*MIN(1,LeaseUp!IN$10/StabilizedOccupancy),0)</f>
        <v/>
      </c>
      <c r="IO22" s="218">
        <f>IF(245&gt;=DeliverStart,(RetailRentMo+RetailIncomeMo)*IO$10*MIN(1,LeaseUp!IO$10/StabilizedOccupancy),0)</f>
        <v/>
      </c>
      <c r="IP22" s="218">
        <f>IF(246&gt;=DeliverStart,(RetailRentMo+RetailIncomeMo)*IP$10*MIN(1,LeaseUp!IP$10/StabilizedOccupancy),0)</f>
        <v/>
      </c>
      <c r="IQ22" s="218">
        <f>IF(247&gt;=DeliverStart,(RetailRentMo+RetailIncomeMo)*IQ$10*MIN(1,LeaseUp!IQ$10/StabilizedOccupancy),0)</f>
        <v/>
      </c>
      <c r="IR22" s="218">
        <f>IF(248&gt;=DeliverStart,(RetailRentMo+RetailIncomeMo)*IR$10*MIN(1,LeaseUp!IR$10/StabilizedOccupancy),0)</f>
        <v/>
      </c>
      <c r="IS22" s="218">
        <f>IF(249&gt;=DeliverStart,(RetailRentMo+RetailIncomeMo)*IS$10*MIN(1,LeaseUp!IS$10/StabilizedOccupancy),0)</f>
        <v/>
      </c>
      <c r="IT22" s="218">
        <f>IF(250&gt;=DeliverStart,(RetailRentMo+RetailIncomeMo)*IT$10*MIN(1,LeaseUp!IT$10/StabilizedOccupancy),0)</f>
        <v/>
      </c>
      <c r="IU22" s="218">
        <f>IF(251&gt;=DeliverStart,(RetailRentMo+RetailIncomeMo)*IU$10*MIN(1,LeaseUp!IU$10/StabilizedOccupancy),0)</f>
        <v/>
      </c>
      <c r="IV22" s="218">
        <f>IF(252&gt;=DeliverStart,(RetailRentMo+RetailIncomeMo)*IV$10*MIN(1,LeaseUp!IV$10/StabilizedOccupancy),0)</f>
        <v/>
      </c>
      <c r="IW22" s="218">
        <f>IF(253&gt;=DeliverStart,(RetailRentMo+RetailIncomeMo)*IW$10*MIN(1,LeaseUp!IW$10/StabilizedOccupancy),0)</f>
        <v/>
      </c>
      <c r="IX22" s="218">
        <f>IF(254&gt;=DeliverStart,(RetailRentMo+RetailIncomeMo)*IX$10*MIN(1,LeaseUp!IX$10/StabilizedOccupancy),0)</f>
        <v/>
      </c>
      <c r="IY22" s="218">
        <f>IF(255&gt;=DeliverStart,(RetailRentMo+RetailIncomeMo)*IY$10*MIN(1,LeaseUp!IY$10/StabilizedOccupancy),0)</f>
        <v/>
      </c>
      <c r="IZ22" s="218">
        <f>IF(256&gt;=DeliverStart,(RetailRentMo+RetailIncomeMo)*IZ$10*MIN(1,LeaseUp!IZ$10/StabilizedOccupancy),0)</f>
        <v/>
      </c>
      <c r="JA22" s="218">
        <f>IF(257&gt;=DeliverStart,(RetailRentMo+RetailIncomeMo)*JA$10*MIN(1,LeaseUp!JA$10/StabilizedOccupancy),0)</f>
        <v/>
      </c>
      <c r="JB22" s="218">
        <f>IF(258&gt;=DeliverStart,(RetailRentMo+RetailIncomeMo)*JB$10*MIN(1,LeaseUp!JB$10/StabilizedOccupancy),0)</f>
        <v/>
      </c>
      <c r="JC22" s="218">
        <f>IF(259&gt;=DeliverStart,(RetailRentMo+RetailIncomeMo)*JC$10*MIN(1,LeaseUp!JC$10/StabilizedOccupancy),0)</f>
        <v/>
      </c>
      <c r="JD22" s="218">
        <f>IF(260&gt;=DeliverStart,(RetailRentMo+RetailIncomeMo)*JD$10*MIN(1,LeaseUp!JD$10/StabilizedOccupancy),0)</f>
        <v/>
      </c>
      <c r="JE22" s="218">
        <f>IF(261&gt;=DeliverStart,(RetailRentMo+RetailIncomeMo)*JE$10*MIN(1,LeaseUp!JE$10/StabilizedOccupancy),0)</f>
        <v/>
      </c>
      <c r="JF22" s="218">
        <f>IF(262&gt;=DeliverStart,(RetailRentMo+RetailIncomeMo)*JF$10*MIN(1,LeaseUp!JF$10/StabilizedOccupancy),0)</f>
        <v/>
      </c>
      <c r="JG22" s="218">
        <f>IF(263&gt;=DeliverStart,(RetailRentMo+RetailIncomeMo)*JG$10*MIN(1,LeaseUp!JG$10/StabilizedOccupancy),0)</f>
        <v/>
      </c>
      <c r="JH22" s="218">
        <f>IF(264&gt;=DeliverStart,(RetailRentMo+RetailIncomeMo)*JH$10*MIN(1,LeaseUp!JH$10/StabilizedOccupancy),0)</f>
        <v/>
      </c>
      <c r="JI22" s="218">
        <f>IF(265&gt;=DeliverStart,(RetailRentMo+RetailIncomeMo)*JI$10*MIN(1,LeaseUp!JI$10/StabilizedOccupancy),0)</f>
        <v/>
      </c>
      <c r="JJ22" s="218">
        <f>IF(266&gt;=DeliverStart,(RetailRentMo+RetailIncomeMo)*JJ$10*MIN(1,LeaseUp!JJ$10/StabilizedOccupancy),0)</f>
        <v/>
      </c>
      <c r="JK22" s="218">
        <f>IF(267&gt;=DeliverStart,(RetailRentMo+RetailIncomeMo)*JK$10*MIN(1,LeaseUp!JK$10/StabilizedOccupancy),0)</f>
        <v/>
      </c>
      <c r="JL22" s="218">
        <f>IF(268&gt;=DeliverStart,(RetailRentMo+RetailIncomeMo)*JL$10*MIN(1,LeaseUp!JL$10/StabilizedOccupancy),0)</f>
        <v/>
      </c>
      <c r="JM22" s="218">
        <f>IF(269&gt;=DeliverStart,(RetailRentMo+RetailIncomeMo)*JM$10*MIN(1,LeaseUp!JM$10/StabilizedOccupancy),0)</f>
        <v/>
      </c>
      <c r="JN22" s="218">
        <f>IF(270&gt;=DeliverStart,(RetailRentMo+RetailIncomeMo)*JN$10*MIN(1,LeaseUp!JN$10/StabilizedOccupancy),0)</f>
        <v/>
      </c>
      <c r="JO22" s="218">
        <f>IF(271&gt;=DeliverStart,(RetailRentMo+RetailIncomeMo)*JO$10*MIN(1,LeaseUp!JO$10/StabilizedOccupancy),0)</f>
        <v/>
      </c>
      <c r="JP22" s="218">
        <f>IF(272&gt;=DeliverStart,(RetailRentMo+RetailIncomeMo)*JP$10*MIN(1,LeaseUp!JP$10/StabilizedOccupancy),0)</f>
        <v/>
      </c>
      <c r="JQ22" s="218">
        <f>IF(273&gt;=DeliverStart,(RetailRentMo+RetailIncomeMo)*JQ$10*MIN(1,LeaseUp!JQ$10/StabilizedOccupancy),0)</f>
        <v/>
      </c>
      <c r="JR22" s="218">
        <f>IF(274&gt;=DeliverStart,(RetailRentMo+RetailIncomeMo)*JR$10*MIN(1,LeaseUp!JR$10/StabilizedOccupancy),0)</f>
        <v/>
      </c>
      <c r="JS22" s="218">
        <f>IF(275&gt;=DeliverStart,(RetailRentMo+RetailIncomeMo)*JS$10*MIN(1,LeaseUp!JS$10/StabilizedOccupancy),0)</f>
        <v/>
      </c>
      <c r="JT22" s="218">
        <f>IF(276&gt;=DeliverStart,(RetailRentMo+RetailIncomeMo)*JT$10*MIN(1,LeaseUp!JT$10/StabilizedOccupancy),0)</f>
        <v/>
      </c>
      <c r="JU22" s="218">
        <f>IF(277&gt;=DeliverStart,(RetailRentMo+RetailIncomeMo)*JU$10*MIN(1,LeaseUp!JU$10/StabilizedOccupancy),0)</f>
        <v/>
      </c>
      <c r="JV22" s="218">
        <f>IF(278&gt;=DeliverStart,(RetailRentMo+RetailIncomeMo)*JV$10*MIN(1,LeaseUp!JV$10/StabilizedOccupancy),0)</f>
        <v/>
      </c>
      <c r="JW22" s="218">
        <f>IF(279&gt;=DeliverStart,(RetailRentMo+RetailIncomeMo)*JW$10*MIN(1,LeaseUp!JW$10/StabilizedOccupancy),0)</f>
        <v/>
      </c>
      <c r="JX22" s="218">
        <f>IF(280&gt;=DeliverStart,(RetailRentMo+RetailIncomeMo)*JX$10*MIN(1,LeaseUp!JX$10/StabilizedOccupancy),0)</f>
        <v/>
      </c>
      <c r="JY22" s="218">
        <f>IF(281&gt;=DeliverStart,(RetailRentMo+RetailIncomeMo)*JY$10*MIN(1,LeaseUp!JY$10/StabilizedOccupancy),0)</f>
        <v/>
      </c>
      <c r="JZ22" s="218">
        <f>IF(282&gt;=DeliverStart,(RetailRentMo+RetailIncomeMo)*JZ$10*MIN(1,LeaseUp!JZ$10/StabilizedOccupancy),0)</f>
        <v/>
      </c>
      <c r="KA22" s="218">
        <f>IF(283&gt;=DeliverStart,(RetailRentMo+RetailIncomeMo)*KA$10*MIN(1,LeaseUp!KA$10/StabilizedOccupancy),0)</f>
        <v/>
      </c>
      <c r="KB22" s="218">
        <f>IF(284&gt;=DeliverStart,(RetailRentMo+RetailIncomeMo)*KB$10*MIN(1,LeaseUp!KB$10/StabilizedOccupancy),0)</f>
        <v/>
      </c>
      <c r="KC22" s="218">
        <f>IF(285&gt;=DeliverStart,(RetailRentMo+RetailIncomeMo)*KC$10*MIN(1,LeaseUp!KC$10/StabilizedOccupancy),0)</f>
        <v/>
      </c>
      <c r="KD22" s="218">
        <f>IF(286&gt;=DeliverStart,(RetailRentMo+RetailIncomeMo)*KD$10*MIN(1,LeaseUp!KD$10/StabilizedOccupancy),0)</f>
        <v/>
      </c>
      <c r="KE22" s="218">
        <f>IF(287&gt;=DeliverStart,(RetailRentMo+RetailIncomeMo)*KE$10*MIN(1,LeaseUp!KE$10/StabilizedOccupancy),0)</f>
        <v/>
      </c>
      <c r="KF22" s="218">
        <f>IF(288&gt;=DeliverStart,(RetailRentMo+RetailIncomeMo)*KF$10*MIN(1,LeaseUp!KF$10/StabilizedOccupancy),0)</f>
        <v/>
      </c>
      <c r="KG22" s="218">
        <f>IF(289&gt;=DeliverStart,(RetailRentMo+RetailIncomeMo)*KG$10*MIN(1,LeaseUp!KG$10/StabilizedOccupancy),0)</f>
        <v/>
      </c>
      <c r="KH22" s="218">
        <f>IF(290&gt;=DeliverStart,(RetailRentMo+RetailIncomeMo)*KH$10*MIN(1,LeaseUp!KH$10/StabilizedOccupancy),0)</f>
        <v/>
      </c>
      <c r="KI22" s="218">
        <f>IF(291&gt;=DeliverStart,(RetailRentMo+RetailIncomeMo)*KI$10*MIN(1,LeaseUp!KI$10/StabilizedOccupancy),0)</f>
        <v/>
      </c>
      <c r="KJ22" s="218">
        <f>IF(292&gt;=DeliverStart,(RetailRentMo+RetailIncomeMo)*KJ$10*MIN(1,LeaseUp!KJ$10/StabilizedOccupancy),0)</f>
        <v/>
      </c>
      <c r="KK22" s="218">
        <f>IF(293&gt;=DeliverStart,(RetailRentMo+RetailIncomeMo)*KK$10*MIN(1,LeaseUp!KK$10/StabilizedOccupancy),0)</f>
        <v/>
      </c>
      <c r="KL22" s="218">
        <f>IF(294&gt;=DeliverStart,(RetailRentMo+RetailIncomeMo)*KL$10*MIN(1,LeaseUp!KL$10/StabilizedOccupancy),0)</f>
        <v/>
      </c>
      <c r="KM22" s="218">
        <f>IF(295&gt;=DeliverStart,(RetailRentMo+RetailIncomeMo)*KM$10*MIN(1,LeaseUp!KM$10/StabilizedOccupancy),0)</f>
        <v/>
      </c>
      <c r="KN22" s="218">
        <f>IF(296&gt;=DeliverStart,(RetailRentMo+RetailIncomeMo)*KN$10*MIN(1,LeaseUp!KN$10/StabilizedOccupancy),0)</f>
        <v/>
      </c>
      <c r="KO22" s="218">
        <f>IF(297&gt;=DeliverStart,(RetailRentMo+RetailIncomeMo)*KO$10*MIN(1,LeaseUp!KO$10/StabilizedOccupancy),0)</f>
        <v/>
      </c>
      <c r="KP22" s="218">
        <f>IF(298&gt;=DeliverStart,(RetailRentMo+RetailIncomeMo)*KP$10*MIN(1,LeaseUp!KP$10/StabilizedOccupancy),0)</f>
        <v/>
      </c>
      <c r="KQ22" s="218">
        <f>IF(299&gt;=DeliverStart,(RetailRentMo+RetailIncomeMo)*KQ$10*MIN(1,LeaseUp!KQ$10/StabilizedOccupancy),0)</f>
        <v/>
      </c>
      <c r="KR22" s="218">
        <f>IF(300&gt;=DeliverStart,(RetailRentMo+RetailIncomeMo)*KR$10*MIN(1,LeaseUp!KR$10/StabilizedOccupancy),0)</f>
        <v/>
      </c>
      <c r="KS22" s="218">
        <f>IF(301&gt;=DeliverStart,(RetailRentMo+RetailIncomeMo)*KS$10*MIN(1,LeaseUp!KS$10/StabilizedOccupancy),0)</f>
        <v/>
      </c>
      <c r="KT22" s="218">
        <f>IF(302&gt;=DeliverStart,(RetailRentMo+RetailIncomeMo)*KT$10*MIN(1,LeaseUp!KT$10/StabilizedOccupancy),0)</f>
        <v/>
      </c>
      <c r="KU22" s="218">
        <f>IF(303&gt;=DeliverStart,(RetailRentMo+RetailIncomeMo)*KU$10*MIN(1,LeaseUp!KU$10/StabilizedOccupancy),0)</f>
        <v/>
      </c>
      <c r="KV22" s="218">
        <f>IF(304&gt;=DeliverStart,(RetailRentMo+RetailIncomeMo)*KV$10*MIN(1,LeaseUp!KV$10/StabilizedOccupancy),0)</f>
        <v/>
      </c>
      <c r="KW22" s="218">
        <f>IF(305&gt;=DeliverStart,(RetailRentMo+RetailIncomeMo)*KW$10*MIN(1,LeaseUp!KW$10/StabilizedOccupancy),0)</f>
        <v/>
      </c>
      <c r="KX22" s="218">
        <f>IF(306&gt;=DeliverStart,(RetailRentMo+RetailIncomeMo)*KX$10*MIN(1,LeaseUp!KX$10/StabilizedOccupancy),0)</f>
        <v/>
      </c>
      <c r="KY22" s="218">
        <f>IF(307&gt;=DeliverStart,(RetailRentMo+RetailIncomeMo)*KY$10*MIN(1,LeaseUp!KY$10/StabilizedOccupancy),0)</f>
        <v/>
      </c>
      <c r="KZ22" s="218">
        <f>IF(308&gt;=DeliverStart,(RetailRentMo+RetailIncomeMo)*KZ$10*MIN(1,LeaseUp!KZ$10/StabilizedOccupancy),0)</f>
        <v/>
      </c>
      <c r="LA22" s="218">
        <f>IF(309&gt;=DeliverStart,(RetailRentMo+RetailIncomeMo)*LA$10*MIN(1,LeaseUp!LA$10/StabilizedOccupancy),0)</f>
        <v/>
      </c>
      <c r="LB22" s="218">
        <f>IF(310&gt;=DeliverStart,(RetailRentMo+RetailIncomeMo)*LB$10*MIN(1,LeaseUp!LB$10/StabilizedOccupancy),0)</f>
        <v/>
      </c>
      <c r="LC22" s="218">
        <f>IF(311&gt;=DeliverStart,(RetailRentMo+RetailIncomeMo)*LC$10*MIN(1,LeaseUp!LC$10/StabilizedOccupancy),0)</f>
        <v/>
      </c>
      <c r="LD22" s="218">
        <f>IF(312&gt;=DeliverStart,(RetailRentMo+RetailIncomeMo)*LD$10*MIN(1,LeaseUp!LD$10/StabilizedOccupancy),0)</f>
        <v/>
      </c>
      <c r="LE22" s="218">
        <f>IF(313&gt;=DeliverStart,(RetailRentMo+RetailIncomeMo)*LE$10*MIN(1,LeaseUp!LE$10/StabilizedOccupancy),0)</f>
        <v/>
      </c>
      <c r="LF22" s="218">
        <f>IF(314&gt;=DeliverStart,(RetailRentMo+RetailIncomeMo)*LF$10*MIN(1,LeaseUp!LF$10/StabilizedOccupancy),0)</f>
        <v/>
      </c>
      <c r="LG22" s="218">
        <f>IF(315&gt;=DeliverStart,(RetailRentMo+RetailIncomeMo)*LG$10*MIN(1,LeaseUp!LG$10/StabilizedOccupancy),0)</f>
        <v/>
      </c>
      <c r="LH22" s="218">
        <f>IF(316&gt;=DeliverStart,(RetailRentMo+RetailIncomeMo)*LH$10*MIN(1,LeaseUp!LH$10/StabilizedOccupancy),0)</f>
        <v/>
      </c>
      <c r="LI22" s="218">
        <f>IF(317&gt;=DeliverStart,(RetailRentMo+RetailIncomeMo)*LI$10*MIN(1,LeaseUp!LI$10/StabilizedOccupancy),0)</f>
        <v/>
      </c>
      <c r="LJ22" s="218">
        <f>IF(318&gt;=DeliverStart,(RetailRentMo+RetailIncomeMo)*LJ$10*MIN(1,LeaseUp!LJ$10/StabilizedOccupancy),0)</f>
        <v/>
      </c>
      <c r="LK22" s="218">
        <f>IF(319&gt;=DeliverStart,(RetailRentMo+RetailIncomeMo)*LK$10*MIN(1,LeaseUp!LK$10/StabilizedOccupancy),0)</f>
        <v/>
      </c>
      <c r="LL22" s="218">
        <f>IF(320&gt;=DeliverStart,(RetailRentMo+RetailIncomeMo)*LL$10*MIN(1,LeaseUp!LL$10/StabilizedOccupancy),0)</f>
        <v/>
      </c>
      <c r="LM22" s="218">
        <f>IF(321&gt;=DeliverStart,(RetailRentMo+RetailIncomeMo)*LM$10*MIN(1,LeaseUp!LM$10/StabilizedOccupancy),0)</f>
        <v/>
      </c>
      <c r="LN22" s="218">
        <f>IF(322&gt;=DeliverStart,(RetailRentMo+RetailIncomeMo)*LN$10*MIN(1,LeaseUp!LN$10/StabilizedOccupancy),0)</f>
        <v/>
      </c>
      <c r="LO22" s="218">
        <f>IF(323&gt;=DeliverStart,(RetailRentMo+RetailIncomeMo)*LO$10*MIN(1,LeaseUp!LO$10/StabilizedOccupancy),0)</f>
        <v/>
      </c>
      <c r="LP22" s="218">
        <f>IF(324&gt;=DeliverStart,(RetailRentMo+RetailIncomeMo)*LP$10*MIN(1,LeaseUp!LP$10/StabilizedOccupancy),0)</f>
        <v/>
      </c>
      <c r="LQ22" s="218">
        <f>IF(325&gt;=DeliverStart,(RetailRentMo+RetailIncomeMo)*LQ$10*MIN(1,LeaseUp!LQ$10/StabilizedOccupancy),0)</f>
        <v/>
      </c>
      <c r="LR22" s="218">
        <f>IF(326&gt;=DeliverStart,(RetailRentMo+RetailIncomeMo)*LR$10*MIN(1,LeaseUp!LR$10/StabilizedOccupancy),0)</f>
        <v/>
      </c>
      <c r="LS22" s="218">
        <f>IF(327&gt;=DeliverStart,(RetailRentMo+RetailIncomeMo)*LS$10*MIN(1,LeaseUp!LS$10/StabilizedOccupancy),0)</f>
        <v/>
      </c>
      <c r="LT22" s="218">
        <f>IF(328&gt;=DeliverStart,(RetailRentMo+RetailIncomeMo)*LT$10*MIN(1,LeaseUp!LT$10/StabilizedOccupancy),0)</f>
        <v/>
      </c>
      <c r="LU22" s="218">
        <f>IF(329&gt;=DeliverStart,(RetailRentMo+RetailIncomeMo)*LU$10*MIN(1,LeaseUp!LU$10/StabilizedOccupancy),0)</f>
        <v/>
      </c>
      <c r="LV22" s="218">
        <f>IF(330&gt;=DeliverStart,(RetailRentMo+RetailIncomeMo)*LV$10*MIN(1,LeaseUp!LV$10/StabilizedOccupancy),0)</f>
        <v/>
      </c>
      <c r="LW22" s="218">
        <f>IF(331&gt;=DeliverStart,(RetailRentMo+RetailIncomeMo)*LW$10*MIN(1,LeaseUp!LW$10/StabilizedOccupancy),0)</f>
        <v/>
      </c>
      <c r="LX22" s="218">
        <f>IF(332&gt;=DeliverStart,(RetailRentMo+RetailIncomeMo)*LX$10*MIN(1,LeaseUp!LX$10/StabilizedOccupancy),0)</f>
        <v/>
      </c>
      <c r="LY22" s="218">
        <f>IF(333&gt;=DeliverStart,(RetailRentMo+RetailIncomeMo)*LY$10*MIN(1,LeaseUp!LY$10/StabilizedOccupancy),0)</f>
        <v/>
      </c>
      <c r="LZ22" s="218">
        <f>IF(334&gt;=DeliverStart,(RetailRentMo+RetailIncomeMo)*LZ$10*MIN(1,LeaseUp!LZ$10/StabilizedOccupancy),0)</f>
        <v/>
      </c>
      <c r="MA22" s="218">
        <f>IF(335&gt;=DeliverStart,(RetailRentMo+RetailIncomeMo)*MA$10*MIN(1,LeaseUp!MA$10/StabilizedOccupancy),0)</f>
        <v/>
      </c>
      <c r="MB22" s="218">
        <f>IF(336&gt;=DeliverStart,(RetailRentMo+RetailIncomeMo)*MB$10*MIN(1,LeaseUp!MB$10/StabilizedOccupancy),0)</f>
        <v/>
      </c>
      <c r="MC22" s="218">
        <f>IF(337&gt;=DeliverStart,(RetailRentMo+RetailIncomeMo)*MC$10*MIN(1,LeaseUp!MC$10/StabilizedOccupancy),0)</f>
        <v/>
      </c>
      <c r="MD22" s="218">
        <f>IF(338&gt;=DeliverStart,(RetailRentMo+RetailIncomeMo)*MD$10*MIN(1,LeaseUp!MD$10/StabilizedOccupancy),0)</f>
        <v/>
      </c>
      <c r="ME22" s="218">
        <f>IF(339&gt;=DeliverStart,(RetailRentMo+RetailIncomeMo)*ME$10*MIN(1,LeaseUp!ME$10/StabilizedOccupancy),0)</f>
        <v/>
      </c>
      <c r="MF22" s="218">
        <f>IF(340&gt;=DeliverStart,(RetailRentMo+RetailIncomeMo)*MF$10*MIN(1,LeaseUp!MF$10/StabilizedOccupancy),0)</f>
        <v/>
      </c>
      <c r="MG22" s="218">
        <f>IF(341&gt;=DeliverStart,(RetailRentMo+RetailIncomeMo)*MG$10*MIN(1,LeaseUp!MG$10/StabilizedOccupancy),0)</f>
        <v/>
      </c>
      <c r="MH22" s="218">
        <f>IF(342&gt;=DeliverStart,(RetailRentMo+RetailIncomeMo)*MH$10*MIN(1,LeaseUp!MH$10/StabilizedOccupancy),0)</f>
        <v/>
      </c>
      <c r="MI22" s="218">
        <f>IF(343&gt;=DeliverStart,(RetailRentMo+RetailIncomeMo)*MI$10*MIN(1,LeaseUp!MI$10/StabilizedOccupancy),0)</f>
        <v/>
      </c>
      <c r="MJ22" s="218">
        <f>IF(344&gt;=DeliverStart,(RetailRentMo+RetailIncomeMo)*MJ$10*MIN(1,LeaseUp!MJ$10/StabilizedOccupancy),0)</f>
        <v/>
      </c>
      <c r="MK22" s="218">
        <f>IF(345&gt;=DeliverStart,(RetailRentMo+RetailIncomeMo)*MK$10*MIN(1,LeaseUp!MK$10/StabilizedOccupancy),0)</f>
        <v/>
      </c>
      <c r="ML22" s="218">
        <f>IF(346&gt;=DeliverStart,(RetailRentMo+RetailIncomeMo)*ML$10*MIN(1,LeaseUp!ML$10/StabilizedOccupancy),0)</f>
        <v/>
      </c>
      <c r="MM22" s="218">
        <f>IF(347&gt;=DeliverStart,(RetailRentMo+RetailIncomeMo)*MM$10*MIN(1,LeaseUp!MM$10/StabilizedOccupancy),0)</f>
        <v/>
      </c>
      <c r="MN22" s="218">
        <f>IF(348&gt;=DeliverStart,(RetailRentMo+RetailIncomeMo)*MN$10*MIN(1,LeaseUp!MN$10/StabilizedOccupancy),0)</f>
        <v/>
      </c>
      <c r="MO22" s="218">
        <f>IF(349&gt;=DeliverStart,(RetailRentMo+RetailIncomeMo)*MO$10*MIN(1,LeaseUp!MO$10/StabilizedOccupancy),0)</f>
        <v/>
      </c>
      <c r="MP22" s="218">
        <f>IF(350&gt;=DeliverStart,(RetailRentMo+RetailIncomeMo)*MP$10*MIN(1,LeaseUp!MP$10/StabilizedOccupancy),0)</f>
        <v/>
      </c>
      <c r="MQ22" s="218">
        <f>IF(351&gt;=DeliverStart,(RetailRentMo+RetailIncomeMo)*MQ$10*MIN(1,LeaseUp!MQ$10/StabilizedOccupancy),0)</f>
        <v/>
      </c>
      <c r="MR22" s="218">
        <f>IF(352&gt;=DeliverStart,(RetailRentMo+RetailIncomeMo)*MR$10*MIN(1,LeaseUp!MR$10/StabilizedOccupancy),0)</f>
        <v/>
      </c>
      <c r="MS22" s="218">
        <f>IF(353&gt;=DeliverStart,(RetailRentMo+RetailIncomeMo)*MS$10*MIN(1,LeaseUp!MS$10/StabilizedOccupancy),0)</f>
        <v/>
      </c>
      <c r="MT22" s="218">
        <f>IF(354&gt;=DeliverStart,(RetailRentMo+RetailIncomeMo)*MT$10*MIN(1,LeaseUp!MT$10/StabilizedOccupancy),0)</f>
        <v/>
      </c>
      <c r="MU22" s="218">
        <f>IF(355&gt;=DeliverStart,(RetailRentMo+RetailIncomeMo)*MU$10*MIN(1,LeaseUp!MU$10/StabilizedOccupancy),0)</f>
        <v/>
      </c>
      <c r="MV22" s="218">
        <f>IF(356&gt;=DeliverStart,(RetailRentMo+RetailIncomeMo)*MV$10*MIN(1,LeaseUp!MV$10/StabilizedOccupancy),0)</f>
        <v/>
      </c>
      <c r="MW22" s="218">
        <f>IF(357&gt;=DeliverStart,(RetailRentMo+RetailIncomeMo)*MW$10*MIN(1,LeaseUp!MW$10/StabilizedOccupancy),0)</f>
        <v/>
      </c>
      <c r="MX22" s="218">
        <f>IF(358&gt;=DeliverStart,(RetailRentMo+RetailIncomeMo)*MX$10*MIN(1,LeaseUp!MX$10/StabilizedOccupancy),0)</f>
        <v/>
      </c>
      <c r="MY22" s="218">
        <f>IF(359&gt;=DeliverStart,(RetailRentMo+RetailIncomeMo)*MY$10*MIN(1,LeaseUp!MY$10/StabilizedOccupancy),0)</f>
        <v/>
      </c>
      <c r="MZ22" s="218">
        <f>IF(360&gt;=DeliverStart,(RetailRentMo+RetailIncomeMo)*MZ$10*MIN(1,LeaseUp!MZ$10/StabilizedOccupancy),0)</f>
        <v/>
      </c>
      <c r="NA22" s="218">
        <f>IF(361&gt;=DeliverStart,(RetailRentMo+RetailIncomeMo)*NA$10*MIN(1,LeaseUp!NA$10/StabilizedOccupancy),0)</f>
        <v/>
      </c>
      <c r="NB22" s="218">
        <f>IF(362&gt;=DeliverStart,(RetailRentMo+RetailIncomeMo)*NB$10*MIN(1,LeaseUp!NB$10/StabilizedOccupancy),0)</f>
        <v/>
      </c>
      <c r="NC22" s="218">
        <f>IF(363&gt;=DeliverStart,(RetailRentMo+RetailIncomeMo)*NC$10*MIN(1,LeaseUp!NC$10/StabilizedOccupancy),0)</f>
        <v/>
      </c>
      <c r="ND22" s="218">
        <f>IF(364&gt;=DeliverStart,(RetailRentMo+RetailIncomeMo)*ND$10*MIN(1,LeaseUp!ND$10/StabilizedOccupancy),0)</f>
        <v/>
      </c>
      <c r="NE22" s="218">
        <f>IF(365&gt;=DeliverStart,(RetailRentMo+RetailIncomeMo)*NE$10*MIN(1,LeaseUp!NE$10/StabilizedOccupancy),0)</f>
        <v/>
      </c>
      <c r="NF22" s="218">
        <f>IF(366&gt;=DeliverStart,(RetailRentMo+RetailIncomeMo)*NF$10*MIN(1,LeaseUp!NF$10/StabilizedOccupancy),0)</f>
        <v/>
      </c>
      <c r="NG22" s="218">
        <f>IF(367&gt;=DeliverStart,(RetailRentMo+RetailIncomeMo)*NG$10*MIN(1,LeaseUp!NG$10/StabilizedOccupancy),0)</f>
        <v/>
      </c>
      <c r="NH22" s="218">
        <f>IF(368&gt;=DeliverStart,(RetailRentMo+RetailIncomeMo)*NH$10*MIN(1,LeaseUp!NH$10/StabilizedOccupancy),0)</f>
        <v/>
      </c>
      <c r="NI22" s="218">
        <f>IF(369&gt;=DeliverStart,(RetailRentMo+RetailIncomeMo)*NI$10*MIN(1,LeaseUp!NI$10/StabilizedOccupancy),0)</f>
        <v/>
      </c>
      <c r="NJ22" s="218">
        <f>IF(370&gt;=DeliverStart,(RetailRentMo+RetailIncomeMo)*NJ$10*MIN(1,LeaseUp!NJ$10/StabilizedOccupancy),0)</f>
        <v/>
      </c>
      <c r="NK22" s="218">
        <f>IF(371&gt;=DeliverStart,(RetailRentMo+RetailIncomeMo)*NK$10*MIN(1,LeaseUp!NK$10/StabilizedOccupancy),0)</f>
        <v/>
      </c>
      <c r="NL22" s="225">
        <f>IF(372&gt;=DeliverStart,(RetailRentMo+RetailIncomeMo)*NL$10*MIN(1,LeaseUp!NL$10/StabilizedOccupancy),0)</f>
        <v/>
      </c>
    </row>
    <row r="23">
      <c r="B23" s="50" t="inlineStr">
        <is>
          <t>Effective Gross Income</t>
        </is>
      </c>
      <c r="D23" s="266">
        <f>SUM(E23:NL23)</f>
        <v/>
      </c>
      <c r="E23" s="267">
        <f>E$14+E$15+E$16+E$17+E$18+E$19+E$20+E$21+E$22</f>
        <v/>
      </c>
      <c r="F23" s="267">
        <f>F$14+F$15+F$16+F$17+F$18+F$19+F$20+F$21+F$22</f>
        <v/>
      </c>
      <c r="G23" s="267">
        <f>G$14+G$15+G$16+G$17+G$18+G$19+G$20+G$21+G$22</f>
        <v/>
      </c>
      <c r="H23" s="267">
        <f>H$14+H$15+H$16+H$17+H$18+H$19+H$20+H$21+H$22</f>
        <v/>
      </c>
      <c r="I23" s="267">
        <f>I$14+I$15+I$16+I$17+I$18+I$19+I$20+I$21+I$22</f>
        <v/>
      </c>
      <c r="J23" s="267">
        <f>J$14+J$15+J$16+J$17+J$18+J$19+J$20+J$21+J$22</f>
        <v/>
      </c>
      <c r="K23" s="267">
        <f>K$14+K$15+K$16+K$17+K$18+K$19+K$20+K$21+K$22</f>
        <v/>
      </c>
      <c r="L23" s="267">
        <f>L$14+L$15+L$16+L$17+L$18+L$19+L$20+L$21+L$22</f>
        <v/>
      </c>
      <c r="M23" s="267">
        <f>M$14+M$15+M$16+M$17+M$18+M$19+M$20+M$21+M$22</f>
        <v/>
      </c>
      <c r="N23" s="267">
        <f>N$14+N$15+N$16+N$17+N$18+N$19+N$20+N$21+N$22</f>
        <v/>
      </c>
      <c r="O23" s="267">
        <f>O$14+O$15+O$16+O$17+O$18+O$19+O$20+O$21+O$22</f>
        <v/>
      </c>
      <c r="P23" s="267">
        <f>P$14+P$15+P$16+P$17+P$18+P$19+P$20+P$21+P$22</f>
        <v/>
      </c>
      <c r="Q23" s="267">
        <f>Q$14+Q$15+Q$16+Q$17+Q$18+Q$19+Q$20+Q$21+Q$22</f>
        <v/>
      </c>
      <c r="R23" s="267">
        <f>R$14+R$15+R$16+R$17+R$18+R$19+R$20+R$21+R$22</f>
        <v/>
      </c>
      <c r="S23" s="267">
        <f>S$14+S$15+S$16+S$17+S$18+S$19+S$20+S$21+S$22</f>
        <v/>
      </c>
      <c r="T23" s="267">
        <f>T$14+T$15+T$16+T$17+T$18+T$19+T$20+T$21+T$22</f>
        <v/>
      </c>
      <c r="U23" s="267">
        <f>U$14+U$15+U$16+U$17+U$18+U$19+U$20+U$21+U$22</f>
        <v/>
      </c>
      <c r="V23" s="267">
        <f>V$14+V$15+V$16+V$17+V$18+V$19+V$20+V$21+V$22</f>
        <v/>
      </c>
      <c r="W23" s="267">
        <f>W$14+W$15+W$16+W$17+W$18+W$19+W$20+W$21+W$22</f>
        <v/>
      </c>
      <c r="X23" s="267">
        <f>X$14+X$15+X$16+X$17+X$18+X$19+X$20+X$21+X$22</f>
        <v/>
      </c>
      <c r="Y23" s="267">
        <f>Y$14+Y$15+Y$16+Y$17+Y$18+Y$19+Y$20+Y$21+Y$22</f>
        <v/>
      </c>
      <c r="Z23" s="267">
        <f>Z$14+Z$15+Z$16+Z$17+Z$18+Z$19+Z$20+Z$21+Z$22</f>
        <v/>
      </c>
      <c r="AA23" s="267">
        <f>AA$14+AA$15+AA$16+AA$17+AA$18+AA$19+AA$20+AA$21+AA$22</f>
        <v/>
      </c>
      <c r="AB23" s="267">
        <f>AB$14+AB$15+AB$16+AB$17+AB$18+AB$19+AB$20+AB$21+AB$22</f>
        <v/>
      </c>
      <c r="AC23" s="267">
        <f>AC$14+AC$15+AC$16+AC$17+AC$18+AC$19+AC$20+AC$21+AC$22</f>
        <v/>
      </c>
      <c r="AD23" s="267">
        <f>AD$14+AD$15+AD$16+AD$17+AD$18+AD$19+AD$20+AD$21+AD$22</f>
        <v/>
      </c>
      <c r="AE23" s="267">
        <f>AE$14+AE$15+AE$16+AE$17+AE$18+AE$19+AE$20+AE$21+AE$22</f>
        <v/>
      </c>
      <c r="AF23" s="267">
        <f>AF$14+AF$15+AF$16+AF$17+AF$18+AF$19+AF$20+AF$21+AF$22</f>
        <v/>
      </c>
      <c r="AG23" s="267">
        <f>AG$14+AG$15+AG$16+AG$17+AG$18+AG$19+AG$20+AG$21+AG$22</f>
        <v/>
      </c>
      <c r="AH23" s="267">
        <f>AH$14+AH$15+AH$16+AH$17+AH$18+AH$19+AH$20+AH$21+AH$22</f>
        <v/>
      </c>
      <c r="AI23" s="267">
        <f>AI$14+AI$15+AI$16+AI$17+AI$18+AI$19+AI$20+AI$21+AI$22</f>
        <v/>
      </c>
      <c r="AJ23" s="267">
        <f>AJ$14+AJ$15+AJ$16+AJ$17+AJ$18+AJ$19+AJ$20+AJ$21+AJ$22</f>
        <v/>
      </c>
      <c r="AK23" s="267">
        <f>AK$14+AK$15+AK$16+AK$17+AK$18+AK$19+AK$20+AK$21+AK$22</f>
        <v/>
      </c>
      <c r="AL23" s="267">
        <f>AL$14+AL$15+AL$16+AL$17+AL$18+AL$19+AL$20+AL$21+AL$22</f>
        <v/>
      </c>
      <c r="AM23" s="267">
        <f>AM$14+AM$15+AM$16+AM$17+AM$18+AM$19+AM$20+AM$21+AM$22</f>
        <v/>
      </c>
      <c r="AN23" s="267">
        <f>AN$14+AN$15+AN$16+AN$17+AN$18+AN$19+AN$20+AN$21+AN$22</f>
        <v/>
      </c>
      <c r="AO23" s="267">
        <f>AO$14+AO$15+AO$16+AO$17+AO$18+AO$19+AO$20+AO$21+AO$22</f>
        <v/>
      </c>
      <c r="AP23" s="267">
        <f>AP$14+AP$15+AP$16+AP$17+AP$18+AP$19+AP$20+AP$21+AP$22</f>
        <v/>
      </c>
      <c r="AQ23" s="267">
        <f>AQ$14+AQ$15+AQ$16+AQ$17+AQ$18+AQ$19+AQ$20+AQ$21+AQ$22</f>
        <v/>
      </c>
      <c r="AR23" s="267">
        <f>AR$14+AR$15+AR$16+AR$17+AR$18+AR$19+AR$20+AR$21+AR$22</f>
        <v/>
      </c>
      <c r="AS23" s="267">
        <f>AS$14+AS$15+AS$16+AS$17+AS$18+AS$19+AS$20+AS$21+AS$22</f>
        <v/>
      </c>
      <c r="AT23" s="267">
        <f>AT$14+AT$15+AT$16+AT$17+AT$18+AT$19+AT$20+AT$21+AT$22</f>
        <v/>
      </c>
      <c r="AU23" s="267">
        <f>AU$14+AU$15+AU$16+AU$17+AU$18+AU$19+AU$20+AU$21+AU$22</f>
        <v/>
      </c>
      <c r="AV23" s="267">
        <f>AV$14+AV$15+AV$16+AV$17+AV$18+AV$19+AV$20+AV$21+AV$22</f>
        <v/>
      </c>
      <c r="AW23" s="267">
        <f>AW$14+AW$15+AW$16+AW$17+AW$18+AW$19+AW$20+AW$21+AW$22</f>
        <v/>
      </c>
      <c r="AX23" s="267">
        <f>AX$14+AX$15+AX$16+AX$17+AX$18+AX$19+AX$20+AX$21+AX$22</f>
        <v/>
      </c>
      <c r="AY23" s="267">
        <f>AY$14+AY$15+AY$16+AY$17+AY$18+AY$19+AY$20+AY$21+AY$22</f>
        <v/>
      </c>
      <c r="AZ23" s="267">
        <f>AZ$14+AZ$15+AZ$16+AZ$17+AZ$18+AZ$19+AZ$20+AZ$21+AZ$22</f>
        <v/>
      </c>
      <c r="BA23" s="267">
        <f>BA$14+BA$15+BA$16+BA$17+BA$18+BA$19+BA$20+BA$21+BA$22</f>
        <v/>
      </c>
      <c r="BB23" s="267">
        <f>BB$14+BB$15+BB$16+BB$17+BB$18+BB$19+BB$20+BB$21+BB$22</f>
        <v/>
      </c>
      <c r="BC23" s="267">
        <f>BC$14+BC$15+BC$16+BC$17+BC$18+BC$19+BC$20+BC$21+BC$22</f>
        <v/>
      </c>
      <c r="BD23" s="267">
        <f>BD$14+BD$15+BD$16+BD$17+BD$18+BD$19+BD$20+BD$21+BD$22</f>
        <v/>
      </c>
      <c r="BE23" s="267">
        <f>BE$14+BE$15+BE$16+BE$17+BE$18+BE$19+BE$20+BE$21+BE$22</f>
        <v/>
      </c>
      <c r="BF23" s="267">
        <f>BF$14+BF$15+BF$16+BF$17+BF$18+BF$19+BF$20+BF$21+BF$22</f>
        <v/>
      </c>
      <c r="BG23" s="267">
        <f>BG$14+BG$15+BG$16+BG$17+BG$18+BG$19+BG$20+BG$21+BG$22</f>
        <v/>
      </c>
      <c r="BH23" s="267">
        <f>BH$14+BH$15+BH$16+BH$17+BH$18+BH$19+BH$20+BH$21+BH$22</f>
        <v/>
      </c>
      <c r="BI23" s="267">
        <f>BI$14+BI$15+BI$16+BI$17+BI$18+BI$19+BI$20+BI$21+BI$22</f>
        <v/>
      </c>
      <c r="BJ23" s="267">
        <f>BJ$14+BJ$15+BJ$16+BJ$17+BJ$18+BJ$19+BJ$20+BJ$21+BJ$22</f>
        <v/>
      </c>
      <c r="BK23" s="267">
        <f>BK$14+BK$15+BK$16+BK$17+BK$18+BK$19+BK$20+BK$21+BK$22</f>
        <v/>
      </c>
      <c r="BL23" s="267">
        <f>BL$14+BL$15+BL$16+BL$17+BL$18+BL$19+BL$20+BL$21+BL$22</f>
        <v/>
      </c>
      <c r="BM23" s="267">
        <f>BM$14+BM$15+BM$16+BM$17+BM$18+BM$19+BM$20+BM$21+BM$22</f>
        <v/>
      </c>
      <c r="BN23" s="267">
        <f>BN$14+BN$15+BN$16+BN$17+BN$18+BN$19+BN$20+BN$21+BN$22</f>
        <v/>
      </c>
      <c r="BO23" s="267">
        <f>BO$14+BO$15+BO$16+BO$17+BO$18+BO$19+BO$20+BO$21+BO$22</f>
        <v/>
      </c>
      <c r="BP23" s="267">
        <f>BP$14+BP$15+BP$16+BP$17+BP$18+BP$19+BP$20+BP$21+BP$22</f>
        <v/>
      </c>
      <c r="BQ23" s="267">
        <f>BQ$14+BQ$15+BQ$16+BQ$17+BQ$18+BQ$19+BQ$20+BQ$21+BQ$22</f>
        <v/>
      </c>
      <c r="BR23" s="267">
        <f>BR$14+BR$15+BR$16+BR$17+BR$18+BR$19+BR$20+BR$21+BR$22</f>
        <v/>
      </c>
      <c r="BS23" s="267">
        <f>BS$14+BS$15+BS$16+BS$17+BS$18+BS$19+BS$20+BS$21+BS$22</f>
        <v/>
      </c>
      <c r="BT23" s="267">
        <f>BT$14+BT$15+BT$16+BT$17+BT$18+BT$19+BT$20+BT$21+BT$22</f>
        <v/>
      </c>
      <c r="BU23" s="267">
        <f>BU$14+BU$15+BU$16+BU$17+BU$18+BU$19+BU$20+BU$21+BU$22</f>
        <v/>
      </c>
      <c r="BV23" s="267">
        <f>BV$14+BV$15+BV$16+BV$17+BV$18+BV$19+BV$20+BV$21+BV$22</f>
        <v/>
      </c>
      <c r="BW23" s="267">
        <f>BW$14+BW$15+BW$16+BW$17+BW$18+BW$19+BW$20+BW$21+BW$22</f>
        <v/>
      </c>
      <c r="BX23" s="267">
        <f>BX$14+BX$15+BX$16+BX$17+BX$18+BX$19+BX$20+BX$21+BX$22</f>
        <v/>
      </c>
      <c r="BY23" s="267">
        <f>BY$14+BY$15+BY$16+BY$17+BY$18+BY$19+BY$20+BY$21+BY$22</f>
        <v/>
      </c>
      <c r="BZ23" s="267">
        <f>BZ$14+BZ$15+BZ$16+BZ$17+BZ$18+BZ$19+BZ$20+BZ$21+BZ$22</f>
        <v/>
      </c>
      <c r="CA23" s="267">
        <f>CA$14+CA$15+CA$16+CA$17+CA$18+CA$19+CA$20+CA$21+CA$22</f>
        <v/>
      </c>
      <c r="CB23" s="267">
        <f>CB$14+CB$15+CB$16+CB$17+CB$18+CB$19+CB$20+CB$21+CB$22</f>
        <v/>
      </c>
      <c r="CC23" s="267">
        <f>CC$14+CC$15+CC$16+CC$17+CC$18+CC$19+CC$20+CC$21+CC$22</f>
        <v/>
      </c>
      <c r="CD23" s="267">
        <f>CD$14+CD$15+CD$16+CD$17+CD$18+CD$19+CD$20+CD$21+CD$22</f>
        <v/>
      </c>
      <c r="CE23" s="267">
        <f>CE$14+CE$15+CE$16+CE$17+CE$18+CE$19+CE$20+CE$21+CE$22</f>
        <v/>
      </c>
      <c r="CF23" s="267">
        <f>CF$14+CF$15+CF$16+CF$17+CF$18+CF$19+CF$20+CF$21+CF$22</f>
        <v/>
      </c>
      <c r="CG23" s="267">
        <f>CG$14+CG$15+CG$16+CG$17+CG$18+CG$19+CG$20+CG$21+CG$22</f>
        <v/>
      </c>
      <c r="CH23" s="267">
        <f>CH$14+CH$15+CH$16+CH$17+CH$18+CH$19+CH$20+CH$21+CH$22</f>
        <v/>
      </c>
      <c r="CI23" s="267">
        <f>CI$14+CI$15+CI$16+CI$17+CI$18+CI$19+CI$20+CI$21+CI$22</f>
        <v/>
      </c>
      <c r="CJ23" s="267">
        <f>CJ$14+CJ$15+CJ$16+CJ$17+CJ$18+CJ$19+CJ$20+CJ$21+CJ$22</f>
        <v/>
      </c>
      <c r="CK23" s="267">
        <f>CK$14+CK$15+CK$16+CK$17+CK$18+CK$19+CK$20+CK$21+CK$22</f>
        <v/>
      </c>
      <c r="CL23" s="267">
        <f>CL$14+CL$15+CL$16+CL$17+CL$18+CL$19+CL$20+CL$21+CL$22</f>
        <v/>
      </c>
      <c r="CM23" s="267">
        <f>CM$14+CM$15+CM$16+CM$17+CM$18+CM$19+CM$20+CM$21+CM$22</f>
        <v/>
      </c>
      <c r="CN23" s="267">
        <f>CN$14+CN$15+CN$16+CN$17+CN$18+CN$19+CN$20+CN$21+CN$22</f>
        <v/>
      </c>
      <c r="CO23" s="267">
        <f>CO$14+CO$15+CO$16+CO$17+CO$18+CO$19+CO$20+CO$21+CO$22</f>
        <v/>
      </c>
      <c r="CP23" s="267">
        <f>CP$14+CP$15+CP$16+CP$17+CP$18+CP$19+CP$20+CP$21+CP$22</f>
        <v/>
      </c>
      <c r="CQ23" s="267">
        <f>CQ$14+CQ$15+CQ$16+CQ$17+CQ$18+CQ$19+CQ$20+CQ$21+CQ$22</f>
        <v/>
      </c>
      <c r="CR23" s="267">
        <f>CR$14+CR$15+CR$16+CR$17+CR$18+CR$19+CR$20+CR$21+CR$22</f>
        <v/>
      </c>
      <c r="CS23" s="267">
        <f>CS$14+CS$15+CS$16+CS$17+CS$18+CS$19+CS$20+CS$21+CS$22</f>
        <v/>
      </c>
      <c r="CT23" s="267">
        <f>CT$14+CT$15+CT$16+CT$17+CT$18+CT$19+CT$20+CT$21+CT$22</f>
        <v/>
      </c>
      <c r="CU23" s="267">
        <f>CU$14+CU$15+CU$16+CU$17+CU$18+CU$19+CU$20+CU$21+CU$22</f>
        <v/>
      </c>
      <c r="CV23" s="267">
        <f>CV$14+CV$15+CV$16+CV$17+CV$18+CV$19+CV$20+CV$21+CV$22</f>
        <v/>
      </c>
      <c r="CW23" s="267">
        <f>CW$14+CW$15+CW$16+CW$17+CW$18+CW$19+CW$20+CW$21+CW$22</f>
        <v/>
      </c>
      <c r="CX23" s="267">
        <f>CX$14+CX$15+CX$16+CX$17+CX$18+CX$19+CX$20+CX$21+CX$22</f>
        <v/>
      </c>
      <c r="CY23" s="267">
        <f>CY$14+CY$15+CY$16+CY$17+CY$18+CY$19+CY$20+CY$21+CY$22</f>
        <v/>
      </c>
      <c r="CZ23" s="267">
        <f>CZ$14+CZ$15+CZ$16+CZ$17+CZ$18+CZ$19+CZ$20+CZ$21+CZ$22</f>
        <v/>
      </c>
      <c r="DA23" s="267">
        <f>DA$14+DA$15+DA$16+DA$17+DA$18+DA$19+DA$20+DA$21+DA$22</f>
        <v/>
      </c>
      <c r="DB23" s="267">
        <f>DB$14+DB$15+DB$16+DB$17+DB$18+DB$19+DB$20+DB$21+DB$22</f>
        <v/>
      </c>
      <c r="DC23" s="267">
        <f>DC$14+DC$15+DC$16+DC$17+DC$18+DC$19+DC$20+DC$21+DC$22</f>
        <v/>
      </c>
      <c r="DD23" s="267">
        <f>DD$14+DD$15+DD$16+DD$17+DD$18+DD$19+DD$20+DD$21+DD$22</f>
        <v/>
      </c>
      <c r="DE23" s="267">
        <f>DE$14+DE$15+DE$16+DE$17+DE$18+DE$19+DE$20+DE$21+DE$22</f>
        <v/>
      </c>
      <c r="DF23" s="267">
        <f>DF$14+DF$15+DF$16+DF$17+DF$18+DF$19+DF$20+DF$21+DF$22</f>
        <v/>
      </c>
      <c r="DG23" s="267">
        <f>DG$14+DG$15+DG$16+DG$17+DG$18+DG$19+DG$20+DG$21+DG$22</f>
        <v/>
      </c>
      <c r="DH23" s="267">
        <f>DH$14+DH$15+DH$16+DH$17+DH$18+DH$19+DH$20+DH$21+DH$22</f>
        <v/>
      </c>
      <c r="DI23" s="267">
        <f>DI$14+DI$15+DI$16+DI$17+DI$18+DI$19+DI$20+DI$21+DI$22</f>
        <v/>
      </c>
      <c r="DJ23" s="267">
        <f>DJ$14+DJ$15+DJ$16+DJ$17+DJ$18+DJ$19+DJ$20+DJ$21+DJ$22</f>
        <v/>
      </c>
      <c r="DK23" s="267">
        <f>DK$14+DK$15+DK$16+DK$17+DK$18+DK$19+DK$20+DK$21+DK$22</f>
        <v/>
      </c>
      <c r="DL23" s="267">
        <f>DL$14+DL$15+DL$16+DL$17+DL$18+DL$19+DL$20+DL$21+DL$22</f>
        <v/>
      </c>
      <c r="DM23" s="267">
        <f>DM$14+DM$15+DM$16+DM$17+DM$18+DM$19+DM$20+DM$21+DM$22</f>
        <v/>
      </c>
      <c r="DN23" s="267">
        <f>DN$14+DN$15+DN$16+DN$17+DN$18+DN$19+DN$20+DN$21+DN$22</f>
        <v/>
      </c>
      <c r="DO23" s="267">
        <f>DO$14+DO$15+DO$16+DO$17+DO$18+DO$19+DO$20+DO$21+DO$22</f>
        <v/>
      </c>
      <c r="DP23" s="267">
        <f>DP$14+DP$15+DP$16+DP$17+DP$18+DP$19+DP$20+DP$21+DP$22</f>
        <v/>
      </c>
      <c r="DQ23" s="267">
        <f>DQ$14+DQ$15+DQ$16+DQ$17+DQ$18+DQ$19+DQ$20+DQ$21+DQ$22</f>
        <v/>
      </c>
      <c r="DR23" s="267">
        <f>DR$14+DR$15+DR$16+DR$17+DR$18+DR$19+DR$20+DR$21+DR$22</f>
        <v/>
      </c>
      <c r="DS23" s="267">
        <f>DS$14+DS$15+DS$16+DS$17+DS$18+DS$19+DS$20+DS$21+DS$22</f>
        <v/>
      </c>
      <c r="DT23" s="267">
        <f>DT$14+DT$15+DT$16+DT$17+DT$18+DT$19+DT$20+DT$21+DT$22</f>
        <v/>
      </c>
      <c r="DU23" s="267">
        <f>DU$14+DU$15+DU$16+DU$17+DU$18+DU$19+DU$20+DU$21+DU$22</f>
        <v/>
      </c>
      <c r="DV23" s="267">
        <f>DV$14+DV$15+DV$16+DV$17+DV$18+DV$19+DV$20+DV$21+DV$22</f>
        <v/>
      </c>
      <c r="DW23" s="267">
        <f>DW$14+DW$15+DW$16+DW$17+DW$18+DW$19+DW$20+DW$21+DW$22</f>
        <v/>
      </c>
      <c r="DX23" s="267">
        <f>DX$14+DX$15+DX$16+DX$17+DX$18+DX$19+DX$20+DX$21+DX$22</f>
        <v/>
      </c>
      <c r="DY23" s="267">
        <f>DY$14+DY$15+DY$16+DY$17+DY$18+DY$19+DY$20+DY$21+DY$22</f>
        <v/>
      </c>
      <c r="DZ23" s="267">
        <f>DZ$14+DZ$15+DZ$16+DZ$17+DZ$18+DZ$19+DZ$20+DZ$21+DZ$22</f>
        <v/>
      </c>
      <c r="EA23" s="267">
        <f>EA$14+EA$15+EA$16+EA$17+EA$18+EA$19+EA$20+EA$21+EA$22</f>
        <v/>
      </c>
      <c r="EB23" s="267">
        <f>EB$14+EB$15+EB$16+EB$17+EB$18+EB$19+EB$20+EB$21+EB$22</f>
        <v/>
      </c>
      <c r="EC23" s="267">
        <f>EC$14+EC$15+EC$16+EC$17+EC$18+EC$19+EC$20+EC$21+EC$22</f>
        <v/>
      </c>
      <c r="ED23" s="267">
        <f>ED$14+ED$15+ED$16+ED$17+ED$18+ED$19+ED$20+ED$21+ED$22</f>
        <v/>
      </c>
      <c r="EE23" s="267">
        <f>EE$14+EE$15+EE$16+EE$17+EE$18+EE$19+EE$20+EE$21+EE$22</f>
        <v/>
      </c>
      <c r="EF23" s="267">
        <f>EF$14+EF$15+EF$16+EF$17+EF$18+EF$19+EF$20+EF$21+EF$22</f>
        <v/>
      </c>
      <c r="EG23" s="267">
        <f>EG$14+EG$15+EG$16+EG$17+EG$18+EG$19+EG$20+EG$21+EG$22</f>
        <v/>
      </c>
      <c r="EH23" s="267">
        <f>EH$14+EH$15+EH$16+EH$17+EH$18+EH$19+EH$20+EH$21+EH$22</f>
        <v/>
      </c>
      <c r="EI23" s="267">
        <f>EI$14+EI$15+EI$16+EI$17+EI$18+EI$19+EI$20+EI$21+EI$22</f>
        <v/>
      </c>
      <c r="EJ23" s="267">
        <f>EJ$14+EJ$15+EJ$16+EJ$17+EJ$18+EJ$19+EJ$20+EJ$21+EJ$22</f>
        <v/>
      </c>
      <c r="EK23" s="267">
        <f>EK$14+EK$15+EK$16+EK$17+EK$18+EK$19+EK$20+EK$21+EK$22</f>
        <v/>
      </c>
      <c r="EL23" s="267">
        <f>EL$14+EL$15+EL$16+EL$17+EL$18+EL$19+EL$20+EL$21+EL$22</f>
        <v/>
      </c>
      <c r="EM23" s="267">
        <f>EM$14+EM$15+EM$16+EM$17+EM$18+EM$19+EM$20+EM$21+EM$22</f>
        <v/>
      </c>
      <c r="EN23" s="267">
        <f>EN$14+EN$15+EN$16+EN$17+EN$18+EN$19+EN$20+EN$21+EN$22</f>
        <v/>
      </c>
      <c r="EO23" s="267">
        <f>EO$14+EO$15+EO$16+EO$17+EO$18+EO$19+EO$20+EO$21+EO$22</f>
        <v/>
      </c>
      <c r="EP23" s="267">
        <f>EP$14+EP$15+EP$16+EP$17+EP$18+EP$19+EP$20+EP$21+EP$22</f>
        <v/>
      </c>
      <c r="EQ23" s="267">
        <f>EQ$14+EQ$15+EQ$16+EQ$17+EQ$18+EQ$19+EQ$20+EQ$21+EQ$22</f>
        <v/>
      </c>
      <c r="ER23" s="267">
        <f>ER$14+ER$15+ER$16+ER$17+ER$18+ER$19+ER$20+ER$21+ER$22</f>
        <v/>
      </c>
      <c r="ES23" s="267">
        <f>ES$14+ES$15+ES$16+ES$17+ES$18+ES$19+ES$20+ES$21+ES$22</f>
        <v/>
      </c>
      <c r="ET23" s="267">
        <f>ET$14+ET$15+ET$16+ET$17+ET$18+ET$19+ET$20+ET$21+ET$22</f>
        <v/>
      </c>
      <c r="EU23" s="267">
        <f>EU$14+EU$15+EU$16+EU$17+EU$18+EU$19+EU$20+EU$21+EU$22</f>
        <v/>
      </c>
      <c r="EV23" s="267">
        <f>EV$14+EV$15+EV$16+EV$17+EV$18+EV$19+EV$20+EV$21+EV$22</f>
        <v/>
      </c>
      <c r="EW23" s="267">
        <f>EW$14+EW$15+EW$16+EW$17+EW$18+EW$19+EW$20+EW$21+EW$22</f>
        <v/>
      </c>
      <c r="EX23" s="267">
        <f>EX$14+EX$15+EX$16+EX$17+EX$18+EX$19+EX$20+EX$21+EX$22</f>
        <v/>
      </c>
      <c r="EY23" s="267">
        <f>EY$14+EY$15+EY$16+EY$17+EY$18+EY$19+EY$20+EY$21+EY$22</f>
        <v/>
      </c>
      <c r="EZ23" s="267">
        <f>EZ$14+EZ$15+EZ$16+EZ$17+EZ$18+EZ$19+EZ$20+EZ$21+EZ$22</f>
        <v/>
      </c>
      <c r="FA23" s="267">
        <f>FA$14+FA$15+FA$16+FA$17+FA$18+FA$19+FA$20+FA$21+FA$22</f>
        <v/>
      </c>
      <c r="FB23" s="267">
        <f>FB$14+FB$15+FB$16+FB$17+FB$18+FB$19+FB$20+FB$21+FB$22</f>
        <v/>
      </c>
      <c r="FC23" s="267">
        <f>FC$14+FC$15+FC$16+FC$17+FC$18+FC$19+FC$20+FC$21+FC$22</f>
        <v/>
      </c>
      <c r="FD23" s="267">
        <f>FD$14+FD$15+FD$16+FD$17+FD$18+FD$19+FD$20+FD$21+FD$22</f>
        <v/>
      </c>
      <c r="FE23" s="267">
        <f>FE$14+FE$15+FE$16+FE$17+FE$18+FE$19+FE$20+FE$21+FE$22</f>
        <v/>
      </c>
      <c r="FF23" s="267">
        <f>FF$14+FF$15+FF$16+FF$17+FF$18+FF$19+FF$20+FF$21+FF$22</f>
        <v/>
      </c>
      <c r="FG23" s="267">
        <f>FG$14+FG$15+FG$16+FG$17+FG$18+FG$19+FG$20+FG$21+FG$22</f>
        <v/>
      </c>
      <c r="FH23" s="267">
        <f>FH$14+FH$15+FH$16+FH$17+FH$18+FH$19+FH$20+FH$21+FH$22</f>
        <v/>
      </c>
      <c r="FI23" s="267">
        <f>FI$14+FI$15+FI$16+FI$17+FI$18+FI$19+FI$20+FI$21+FI$22</f>
        <v/>
      </c>
      <c r="FJ23" s="267">
        <f>FJ$14+FJ$15+FJ$16+FJ$17+FJ$18+FJ$19+FJ$20+FJ$21+FJ$22</f>
        <v/>
      </c>
      <c r="FK23" s="267">
        <f>FK$14+FK$15+FK$16+FK$17+FK$18+FK$19+FK$20+FK$21+FK$22</f>
        <v/>
      </c>
      <c r="FL23" s="267">
        <f>FL$14+FL$15+FL$16+FL$17+FL$18+FL$19+FL$20+FL$21+FL$22</f>
        <v/>
      </c>
      <c r="FM23" s="267">
        <f>FM$14+FM$15+FM$16+FM$17+FM$18+FM$19+FM$20+FM$21+FM$22</f>
        <v/>
      </c>
      <c r="FN23" s="267">
        <f>FN$14+FN$15+FN$16+FN$17+FN$18+FN$19+FN$20+FN$21+FN$22</f>
        <v/>
      </c>
      <c r="FO23" s="267">
        <f>FO$14+FO$15+FO$16+FO$17+FO$18+FO$19+FO$20+FO$21+FO$22</f>
        <v/>
      </c>
      <c r="FP23" s="267">
        <f>FP$14+FP$15+FP$16+FP$17+FP$18+FP$19+FP$20+FP$21+FP$22</f>
        <v/>
      </c>
      <c r="FQ23" s="267">
        <f>FQ$14+FQ$15+FQ$16+FQ$17+FQ$18+FQ$19+FQ$20+FQ$21+FQ$22</f>
        <v/>
      </c>
      <c r="FR23" s="267">
        <f>FR$14+FR$15+FR$16+FR$17+FR$18+FR$19+FR$20+FR$21+FR$22</f>
        <v/>
      </c>
      <c r="FS23" s="267">
        <f>FS$14+FS$15+FS$16+FS$17+FS$18+FS$19+FS$20+FS$21+FS$22</f>
        <v/>
      </c>
      <c r="FT23" s="267">
        <f>FT$14+FT$15+FT$16+FT$17+FT$18+FT$19+FT$20+FT$21+FT$22</f>
        <v/>
      </c>
      <c r="FU23" s="267">
        <f>FU$14+FU$15+FU$16+FU$17+FU$18+FU$19+FU$20+FU$21+FU$22</f>
        <v/>
      </c>
      <c r="FV23" s="267">
        <f>FV$14+FV$15+FV$16+FV$17+FV$18+FV$19+FV$20+FV$21+FV$22</f>
        <v/>
      </c>
      <c r="FW23" s="267">
        <f>FW$14+FW$15+FW$16+FW$17+FW$18+FW$19+FW$20+FW$21+FW$22</f>
        <v/>
      </c>
      <c r="FX23" s="267">
        <f>FX$14+FX$15+FX$16+FX$17+FX$18+FX$19+FX$20+FX$21+FX$22</f>
        <v/>
      </c>
      <c r="FY23" s="267">
        <f>FY$14+FY$15+FY$16+FY$17+FY$18+FY$19+FY$20+FY$21+FY$22</f>
        <v/>
      </c>
      <c r="FZ23" s="267">
        <f>FZ$14+FZ$15+FZ$16+FZ$17+FZ$18+FZ$19+FZ$20+FZ$21+FZ$22</f>
        <v/>
      </c>
      <c r="GA23" s="267">
        <f>GA$14+GA$15+GA$16+GA$17+GA$18+GA$19+GA$20+GA$21+GA$22</f>
        <v/>
      </c>
      <c r="GB23" s="267">
        <f>GB$14+GB$15+GB$16+GB$17+GB$18+GB$19+GB$20+GB$21+GB$22</f>
        <v/>
      </c>
      <c r="GC23" s="267">
        <f>GC$14+GC$15+GC$16+GC$17+GC$18+GC$19+GC$20+GC$21+GC$22</f>
        <v/>
      </c>
      <c r="GD23" s="267">
        <f>GD$14+GD$15+GD$16+GD$17+GD$18+GD$19+GD$20+GD$21+GD$22</f>
        <v/>
      </c>
      <c r="GE23" s="267">
        <f>GE$14+GE$15+GE$16+GE$17+GE$18+GE$19+GE$20+GE$21+GE$22</f>
        <v/>
      </c>
      <c r="GF23" s="267">
        <f>GF$14+GF$15+GF$16+GF$17+GF$18+GF$19+GF$20+GF$21+GF$22</f>
        <v/>
      </c>
      <c r="GG23" s="267">
        <f>GG$14+GG$15+GG$16+GG$17+GG$18+GG$19+GG$20+GG$21+GG$22</f>
        <v/>
      </c>
      <c r="GH23" s="267">
        <f>GH$14+GH$15+GH$16+GH$17+GH$18+GH$19+GH$20+GH$21+GH$22</f>
        <v/>
      </c>
      <c r="GI23" s="267">
        <f>GI$14+GI$15+GI$16+GI$17+GI$18+GI$19+GI$20+GI$21+GI$22</f>
        <v/>
      </c>
      <c r="GJ23" s="267">
        <f>GJ$14+GJ$15+GJ$16+GJ$17+GJ$18+GJ$19+GJ$20+GJ$21+GJ$22</f>
        <v/>
      </c>
      <c r="GK23" s="267">
        <f>GK$14+GK$15+GK$16+GK$17+GK$18+GK$19+GK$20+GK$21+GK$22</f>
        <v/>
      </c>
      <c r="GL23" s="267">
        <f>GL$14+GL$15+GL$16+GL$17+GL$18+GL$19+GL$20+GL$21+GL$22</f>
        <v/>
      </c>
      <c r="GM23" s="267">
        <f>GM$14+GM$15+GM$16+GM$17+GM$18+GM$19+GM$20+GM$21+GM$22</f>
        <v/>
      </c>
      <c r="GN23" s="267">
        <f>GN$14+GN$15+GN$16+GN$17+GN$18+GN$19+GN$20+GN$21+GN$22</f>
        <v/>
      </c>
      <c r="GO23" s="267">
        <f>GO$14+GO$15+GO$16+GO$17+GO$18+GO$19+GO$20+GO$21+GO$22</f>
        <v/>
      </c>
      <c r="GP23" s="267">
        <f>GP$14+GP$15+GP$16+GP$17+GP$18+GP$19+GP$20+GP$21+GP$22</f>
        <v/>
      </c>
      <c r="GQ23" s="267">
        <f>GQ$14+GQ$15+GQ$16+GQ$17+GQ$18+GQ$19+GQ$20+GQ$21+GQ$22</f>
        <v/>
      </c>
      <c r="GR23" s="267">
        <f>GR$14+GR$15+GR$16+GR$17+GR$18+GR$19+GR$20+GR$21+GR$22</f>
        <v/>
      </c>
      <c r="GS23" s="267">
        <f>GS$14+GS$15+GS$16+GS$17+GS$18+GS$19+GS$20+GS$21+GS$22</f>
        <v/>
      </c>
      <c r="GT23" s="267">
        <f>GT$14+GT$15+GT$16+GT$17+GT$18+GT$19+GT$20+GT$21+GT$22</f>
        <v/>
      </c>
      <c r="GU23" s="267">
        <f>GU$14+GU$15+GU$16+GU$17+GU$18+GU$19+GU$20+GU$21+GU$22</f>
        <v/>
      </c>
      <c r="GV23" s="267">
        <f>GV$14+GV$15+GV$16+GV$17+GV$18+GV$19+GV$20+GV$21+GV$22</f>
        <v/>
      </c>
      <c r="GW23" s="267">
        <f>GW$14+GW$15+GW$16+GW$17+GW$18+GW$19+GW$20+GW$21+GW$22</f>
        <v/>
      </c>
      <c r="GX23" s="267">
        <f>GX$14+GX$15+GX$16+GX$17+GX$18+GX$19+GX$20+GX$21+GX$22</f>
        <v/>
      </c>
      <c r="GY23" s="267">
        <f>GY$14+GY$15+GY$16+GY$17+GY$18+GY$19+GY$20+GY$21+GY$22</f>
        <v/>
      </c>
      <c r="GZ23" s="267">
        <f>GZ$14+GZ$15+GZ$16+GZ$17+GZ$18+GZ$19+GZ$20+GZ$21+GZ$22</f>
        <v/>
      </c>
      <c r="HA23" s="267">
        <f>HA$14+HA$15+HA$16+HA$17+HA$18+HA$19+HA$20+HA$21+HA$22</f>
        <v/>
      </c>
      <c r="HB23" s="267">
        <f>HB$14+HB$15+HB$16+HB$17+HB$18+HB$19+HB$20+HB$21+HB$22</f>
        <v/>
      </c>
      <c r="HC23" s="267">
        <f>HC$14+HC$15+HC$16+HC$17+HC$18+HC$19+HC$20+HC$21+HC$22</f>
        <v/>
      </c>
      <c r="HD23" s="267">
        <f>HD$14+HD$15+HD$16+HD$17+HD$18+HD$19+HD$20+HD$21+HD$22</f>
        <v/>
      </c>
      <c r="HE23" s="267">
        <f>HE$14+HE$15+HE$16+HE$17+HE$18+HE$19+HE$20+HE$21+HE$22</f>
        <v/>
      </c>
      <c r="HF23" s="267">
        <f>HF$14+HF$15+HF$16+HF$17+HF$18+HF$19+HF$20+HF$21+HF$22</f>
        <v/>
      </c>
      <c r="HG23" s="267">
        <f>HG$14+HG$15+HG$16+HG$17+HG$18+HG$19+HG$20+HG$21+HG$22</f>
        <v/>
      </c>
      <c r="HH23" s="267">
        <f>HH$14+HH$15+HH$16+HH$17+HH$18+HH$19+HH$20+HH$21+HH$22</f>
        <v/>
      </c>
      <c r="HI23" s="267">
        <f>HI$14+HI$15+HI$16+HI$17+HI$18+HI$19+HI$20+HI$21+HI$22</f>
        <v/>
      </c>
      <c r="HJ23" s="267">
        <f>HJ$14+HJ$15+HJ$16+HJ$17+HJ$18+HJ$19+HJ$20+HJ$21+HJ$22</f>
        <v/>
      </c>
      <c r="HK23" s="267">
        <f>HK$14+HK$15+HK$16+HK$17+HK$18+HK$19+HK$20+HK$21+HK$22</f>
        <v/>
      </c>
      <c r="HL23" s="267">
        <f>HL$14+HL$15+HL$16+HL$17+HL$18+HL$19+HL$20+HL$21+HL$22</f>
        <v/>
      </c>
      <c r="HM23" s="267">
        <f>HM$14+HM$15+HM$16+HM$17+HM$18+HM$19+HM$20+HM$21+HM$22</f>
        <v/>
      </c>
      <c r="HN23" s="267">
        <f>HN$14+HN$15+HN$16+HN$17+HN$18+HN$19+HN$20+HN$21+HN$22</f>
        <v/>
      </c>
      <c r="HO23" s="267">
        <f>HO$14+HO$15+HO$16+HO$17+HO$18+HO$19+HO$20+HO$21+HO$22</f>
        <v/>
      </c>
      <c r="HP23" s="267">
        <f>HP$14+HP$15+HP$16+HP$17+HP$18+HP$19+HP$20+HP$21+HP$22</f>
        <v/>
      </c>
      <c r="HQ23" s="267">
        <f>HQ$14+HQ$15+HQ$16+HQ$17+HQ$18+HQ$19+HQ$20+HQ$21+HQ$22</f>
        <v/>
      </c>
      <c r="HR23" s="267">
        <f>HR$14+HR$15+HR$16+HR$17+HR$18+HR$19+HR$20+HR$21+HR$22</f>
        <v/>
      </c>
      <c r="HS23" s="267">
        <f>HS$14+HS$15+HS$16+HS$17+HS$18+HS$19+HS$20+HS$21+HS$22</f>
        <v/>
      </c>
      <c r="HT23" s="267">
        <f>HT$14+HT$15+HT$16+HT$17+HT$18+HT$19+HT$20+HT$21+HT$22</f>
        <v/>
      </c>
      <c r="HU23" s="267">
        <f>HU$14+HU$15+HU$16+HU$17+HU$18+HU$19+HU$20+HU$21+HU$22</f>
        <v/>
      </c>
      <c r="HV23" s="267">
        <f>HV$14+HV$15+HV$16+HV$17+HV$18+HV$19+HV$20+HV$21+HV$22</f>
        <v/>
      </c>
      <c r="HW23" s="267">
        <f>HW$14+HW$15+HW$16+HW$17+HW$18+HW$19+HW$20+HW$21+HW$22</f>
        <v/>
      </c>
      <c r="HX23" s="267">
        <f>HX$14+HX$15+HX$16+HX$17+HX$18+HX$19+HX$20+HX$21+HX$22</f>
        <v/>
      </c>
      <c r="HY23" s="267">
        <f>HY$14+HY$15+HY$16+HY$17+HY$18+HY$19+HY$20+HY$21+HY$22</f>
        <v/>
      </c>
      <c r="HZ23" s="267">
        <f>HZ$14+HZ$15+HZ$16+HZ$17+HZ$18+HZ$19+HZ$20+HZ$21+HZ$22</f>
        <v/>
      </c>
      <c r="IA23" s="267">
        <f>IA$14+IA$15+IA$16+IA$17+IA$18+IA$19+IA$20+IA$21+IA$22</f>
        <v/>
      </c>
      <c r="IB23" s="267">
        <f>IB$14+IB$15+IB$16+IB$17+IB$18+IB$19+IB$20+IB$21+IB$22</f>
        <v/>
      </c>
      <c r="IC23" s="267">
        <f>IC$14+IC$15+IC$16+IC$17+IC$18+IC$19+IC$20+IC$21+IC$22</f>
        <v/>
      </c>
      <c r="ID23" s="267">
        <f>ID$14+ID$15+ID$16+ID$17+ID$18+ID$19+ID$20+ID$21+ID$22</f>
        <v/>
      </c>
      <c r="IE23" s="267">
        <f>IE$14+IE$15+IE$16+IE$17+IE$18+IE$19+IE$20+IE$21+IE$22</f>
        <v/>
      </c>
      <c r="IF23" s="267">
        <f>IF$14+IF$15+IF$16+IF$17+IF$18+IF$19+IF$20+IF$21+IF$22</f>
        <v/>
      </c>
      <c r="IG23" s="267">
        <f>IG$14+IG$15+IG$16+IG$17+IG$18+IG$19+IG$20+IG$21+IG$22</f>
        <v/>
      </c>
      <c r="IH23" s="267">
        <f>IH$14+IH$15+IH$16+IH$17+IH$18+IH$19+IH$20+IH$21+IH$22</f>
        <v/>
      </c>
      <c r="II23" s="267">
        <f>II$14+II$15+II$16+II$17+II$18+II$19+II$20+II$21+II$22</f>
        <v/>
      </c>
      <c r="IJ23" s="267">
        <f>IJ$14+IJ$15+IJ$16+IJ$17+IJ$18+IJ$19+IJ$20+IJ$21+IJ$22</f>
        <v/>
      </c>
      <c r="IK23" s="267">
        <f>IK$14+IK$15+IK$16+IK$17+IK$18+IK$19+IK$20+IK$21+IK$22</f>
        <v/>
      </c>
      <c r="IL23" s="267">
        <f>IL$14+IL$15+IL$16+IL$17+IL$18+IL$19+IL$20+IL$21+IL$22</f>
        <v/>
      </c>
      <c r="IM23" s="267">
        <f>IM$14+IM$15+IM$16+IM$17+IM$18+IM$19+IM$20+IM$21+IM$22</f>
        <v/>
      </c>
      <c r="IN23" s="267">
        <f>IN$14+IN$15+IN$16+IN$17+IN$18+IN$19+IN$20+IN$21+IN$22</f>
        <v/>
      </c>
      <c r="IO23" s="267">
        <f>IO$14+IO$15+IO$16+IO$17+IO$18+IO$19+IO$20+IO$21+IO$22</f>
        <v/>
      </c>
      <c r="IP23" s="267">
        <f>IP$14+IP$15+IP$16+IP$17+IP$18+IP$19+IP$20+IP$21+IP$22</f>
        <v/>
      </c>
      <c r="IQ23" s="267">
        <f>IQ$14+IQ$15+IQ$16+IQ$17+IQ$18+IQ$19+IQ$20+IQ$21+IQ$22</f>
        <v/>
      </c>
      <c r="IR23" s="267">
        <f>IR$14+IR$15+IR$16+IR$17+IR$18+IR$19+IR$20+IR$21+IR$22</f>
        <v/>
      </c>
      <c r="IS23" s="267">
        <f>IS$14+IS$15+IS$16+IS$17+IS$18+IS$19+IS$20+IS$21+IS$22</f>
        <v/>
      </c>
      <c r="IT23" s="267">
        <f>IT$14+IT$15+IT$16+IT$17+IT$18+IT$19+IT$20+IT$21+IT$22</f>
        <v/>
      </c>
      <c r="IU23" s="267">
        <f>IU$14+IU$15+IU$16+IU$17+IU$18+IU$19+IU$20+IU$21+IU$22</f>
        <v/>
      </c>
      <c r="IV23" s="267">
        <f>IV$14+IV$15+IV$16+IV$17+IV$18+IV$19+IV$20+IV$21+IV$22</f>
        <v/>
      </c>
      <c r="IW23" s="267">
        <f>IW$14+IW$15+IW$16+IW$17+IW$18+IW$19+IW$20+IW$21+IW$22</f>
        <v/>
      </c>
      <c r="IX23" s="267">
        <f>IX$14+IX$15+IX$16+IX$17+IX$18+IX$19+IX$20+IX$21+IX$22</f>
        <v/>
      </c>
      <c r="IY23" s="267">
        <f>IY$14+IY$15+IY$16+IY$17+IY$18+IY$19+IY$20+IY$21+IY$22</f>
        <v/>
      </c>
      <c r="IZ23" s="267">
        <f>IZ$14+IZ$15+IZ$16+IZ$17+IZ$18+IZ$19+IZ$20+IZ$21+IZ$22</f>
        <v/>
      </c>
      <c r="JA23" s="267">
        <f>JA$14+JA$15+JA$16+JA$17+JA$18+JA$19+JA$20+JA$21+JA$22</f>
        <v/>
      </c>
      <c r="JB23" s="267">
        <f>JB$14+JB$15+JB$16+JB$17+JB$18+JB$19+JB$20+JB$21+JB$22</f>
        <v/>
      </c>
      <c r="JC23" s="267">
        <f>JC$14+JC$15+JC$16+JC$17+JC$18+JC$19+JC$20+JC$21+JC$22</f>
        <v/>
      </c>
      <c r="JD23" s="267">
        <f>JD$14+JD$15+JD$16+JD$17+JD$18+JD$19+JD$20+JD$21+JD$22</f>
        <v/>
      </c>
      <c r="JE23" s="267">
        <f>JE$14+JE$15+JE$16+JE$17+JE$18+JE$19+JE$20+JE$21+JE$22</f>
        <v/>
      </c>
      <c r="JF23" s="267">
        <f>JF$14+JF$15+JF$16+JF$17+JF$18+JF$19+JF$20+JF$21+JF$22</f>
        <v/>
      </c>
      <c r="JG23" s="267">
        <f>JG$14+JG$15+JG$16+JG$17+JG$18+JG$19+JG$20+JG$21+JG$22</f>
        <v/>
      </c>
      <c r="JH23" s="267">
        <f>JH$14+JH$15+JH$16+JH$17+JH$18+JH$19+JH$20+JH$21+JH$22</f>
        <v/>
      </c>
      <c r="JI23" s="267">
        <f>JI$14+JI$15+JI$16+JI$17+JI$18+JI$19+JI$20+JI$21+JI$22</f>
        <v/>
      </c>
      <c r="JJ23" s="267">
        <f>JJ$14+JJ$15+JJ$16+JJ$17+JJ$18+JJ$19+JJ$20+JJ$21+JJ$22</f>
        <v/>
      </c>
      <c r="JK23" s="267">
        <f>JK$14+JK$15+JK$16+JK$17+JK$18+JK$19+JK$20+JK$21+JK$22</f>
        <v/>
      </c>
      <c r="JL23" s="267">
        <f>JL$14+JL$15+JL$16+JL$17+JL$18+JL$19+JL$20+JL$21+JL$22</f>
        <v/>
      </c>
      <c r="JM23" s="267">
        <f>JM$14+JM$15+JM$16+JM$17+JM$18+JM$19+JM$20+JM$21+JM$22</f>
        <v/>
      </c>
      <c r="JN23" s="267">
        <f>JN$14+JN$15+JN$16+JN$17+JN$18+JN$19+JN$20+JN$21+JN$22</f>
        <v/>
      </c>
      <c r="JO23" s="267">
        <f>JO$14+JO$15+JO$16+JO$17+JO$18+JO$19+JO$20+JO$21+JO$22</f>
        <v/>
      </c>
      <c r="JP23" s="267">
        <f>JP$14+JP$15+JP$16+JP$17+JP$18+JP$19+JP$20+JP$21+JP$22</f>
        <v/>
      </c>
      <c r="JQ23" s="267">
        <f>JQ$14+JQ$15+JQ$16+JQ$17+JQ$18+JQ$19+JQ$20+JQ$21+JQ$22</f>
        <v/>
      </c>
      <c r="JR23" s="267">
        <f>JR$14+JR$15+JR$16+JR$17+JR$18+JR$19+JR$20+JR$21+JR$22</f>
        <v/>
      </c>
      <c r="JS23" s="267">
        <f>JS$14+JS$15+JS$16+JS$17+JS$18+JS$19+JS$20+JS$21+JS$22</f>
        <v/>
      </c>
      <c r="JT23" s="267">
        <f>JT$14+JT$15+JT$16+JT$17+JT$18+JT$19+JT$20+JT$21+JT$22</f>
        <v/>
      </c>
      <c r="JU23" s="267">
        <f>JU$14+JU$15+JU$16+JU$17+JU$18+JU$19+JU$20+JU$21+JU$22</f>
        <v/>
      </c>
      <c r="JV23" s="267">
        <f>JV$14+JV$15+JV$16+JV$17+JV$18+JV$19+JV$20+JV$21+JV$22</f>
        <v/>
      </c>
      <c r="JW23" s="267">
        <f>JW$14+JW$15+JW$16+JW$17+JW$18+JW$19+JW$20+JW$21+JW$22</f>
        <v/>
      </c>
      <c r="JX23" s="267">
        <f>JX$14+JX$15+JX$16+JX$17+JX$18+JX$19+JX$20+JX$21+JX$22</f>
        <v/>
      </c>
      <c r="JY23" s="267">
        <f>JY$14+JY$15+JY$16+JY$17+JY$18+JY$19+JY$20+JY$21+JY$22</f>
        <v/>
      </c>
      <c r="JZ23" s="267">
        <f>JZ$14+JZ$15+JZ$16+JZ$17+JZ$18+JZ$19+JZ$20+JZ$21+JZ$22</f>
        <v/>
      </c>
      <c r="KA23" s="267">
        <f>KA$14+KA$15+KA$16+KA$17+KA$18+KA$19+KA$20+KA$21+KA$22</f>
        <v/>
      </c>
      <c r="KB23" s="267">
        <f>KB$14+KB$15+KB$16+KB$17+KB$18+KB$19+KB$20+KB$21+KB$22</f>
        <v/>
      </c>
      <c r="KC23" s="267">
        <f>KC$14+KC$15+KC$16+KC$17+KC$18+KC$19+KC$20+KC$21+KC$22</f>
        <v/>
      </c>
      <c r="KD23" s="267">
        <f>KD$14+KD$15+KD$16+KD$17+KD$18+KD$19+KD$20+KD$21+KD$22</f>
        <v/>
      </c>
      <c r="KE23" s="267">
        <f>KE$14+KE$15+KE$16+KE$17+KE$18+KE$19+KE$20+KE$21+KE$22</f>
        <v/>
      </c>
      <c r="KF23" s="267">
        <f>KF$14+KF$15+KF$16+KF$17+KF$18+KF$19+KF$20+KF$21+KF$22</f>
        <v/>
      </c>
      <c r="KG23" s="267">
        <f>KG$14+KG$15+KG$16+KG$17+KG$18+KG$19+KG$20+KG$21+KG$22</f>
        <v/>
      </c>
      <c r="KH23" s="267">
        <f>KH$14+KH$15+KH$16+KH$17+KH$18+KH$19+KH$20+KH$21+KH$22</f>
        <v/>
      </c>
      <c r="KI23" s="267">
        <f>KI$14+KI$15+KI$16+KI$17+KI$18+KI$19+KI$20+KI$21+KI$22</f>
        <v/>
      </c>
      <c r="KJ23" s="267">
        <f>KJ$14+KJ$15+KJ$16+KJ$17+KJ$18+KJ$19+KJ$20+KJ$21+KJ$22</f>
        <v/>
      </c>
      <c r="KK23" s="267">
        <f>KK$14+KK$15+KK$16+KK$17+KK$18+KK$19+KK$20+KK$21+KK$22</f>
        <v/>
      </c>
      <c r="KL23" s="267">
        <f>KL$14+KL$15+KL$16+KL$17+KL$18+KL$19+KL$20+KL$21+KL$22</f>
        <v/>
      </c>
      <c r="KM23" s="267">
        <f>KM$14+KM$15+KM$16+KM$17+KM$18+KM$19+KM$20+KM$21+KM$22</f>
        <v/>
      </c>
      <c r="KN23" s="267">
        <f>KN$14+KN$15+KN$16+KN$17+KN$18+KN$19+KN$20+KN$21+KN$22</f>
        <v/>
      </c>
      <c r="KO23" s="267">
        <f>KO$14+KO$15+KO$16+KO$17+KO$18+KO$19+KO$20+KO$21+KO$22</f>
        <v/>
      </c>
      <c r="KP23" s="267">
        <f>KP$14+KP$15+KP$16+KP$17+KP$18+KP$19+KP$20+KP$21+KP$22</f>
        <v/>
      </c>
      <c r="KQ23" s="267">
        <f>KQ$14+KQ$15+KQ$16+KQ$17+KQ$18+KQ$19+KQ$20+KQ$21+KQ$22</f>
        <v/>
      </c>
      <c r="KR23" s="267">
        <f>KR$14+KR$15+KR$16+KR$17+KR$18+KR$19+KR$20+KR$21+KR$22</f>
        <v/>
      </c>
      <c r="KS23" s="267">
        <f>KS$14+KS$15+KS$16+KS$17+KS$18+KS$19+KS$20+KS$21+KS$22</f>
        <v/>
      </c>
      <c r="KT23" s="267">
        <f>KT$14+KT$15+KT$16+KT$17+KT$18+KT$19+KT$20+KT$21+KT$22</f>
        <v/>
      </c>
      <c r="KU23" s="267">
        <f>KU$14+KU$15+KU$16+KU$17+KU$18+KU$19+KU$20+KU$21+KU$22</f>
        <v/>
      </c>
      <c r="KV23" s="267">
        <f>KV$14+KV$15+KV$16+KV$17+KV$18+KV$19+KV$20+KV$21+KV$22</f>
        <v/>
      </c>
      <c r="KW23" s="267">
        <f>KW$14+KW$15+KW$16+KW$17+KW$18+KW$19+KW$20+KW$21+KW$22</f>
        <v/>
      </c>
      <c r="KX23" s="267">
        <f>KX$14+KX$15+KX$16+KX$17+KX$18+KX$19+KX$20+KX$21+KX$22</f>
        <v/>
      </c>
      <c r="KY23" s="267">
        <f>KY$14+KY$15+KY$16+KY$17+KY$18+KY$19+KY$20+KY$21+KY$22</f>
        <v/>
      </c>
      <c r="KZ23" s="267">
        <f>KZ$14+KZ$15+KZ$16+KZ$17+KZ$18+KZ$19+KZ$20+KZ$21+KZ$22</f>
        <v/>
      </c>
      <c r="LA23" s="267">
        <f>LA$14+LA$15+LA$16+LA$17+LA$18+LA$19+LA$20+LA$21+LA$22</f>
        <v/>
      </c>
      <c r="LB23" s="267">
        <f>LB$14+LB$15+LB$16+LB$17+LB$18+LB$19+LB$20+LB$21+LB$22</f>
        <v/>
      </c>
      <c r="LC23" s="267">
        <f>LC$14+LC$15+LC$16+LC$17+LC$18+LC$19+LC$20+LC$21+LC$22</f>
        <v/>
      </c>
      <c r="LD23" s="267">
        <f>LD$14+LD$15+LD$16+LD$17+LD$18+LD$19+LD$20+LD$21+LD$22</f>
        <v/>
      </c>
      <c r="LE23" s="267">
        <f>LE$14+LE$15+LE$16+LE$17+LE$18+LE$19+LE$20+LE$21+LE$22</f>
        <v/>
      </c>
      <c r="LF23" s="267">
        <f>LF$14+LF$15+LF$16+LF$17+LF$18+LF$19+LF$20+LF$21+LF$22</f>
        <v/>
      </c>
      <c r="LG23" s="267">
        <f>LG$14+LG$15+LG$16+LG$17+LG$18+LG$19+LG$20+LG$21+LG$22</f>
        <v/>
      </c>
      <c r="LH23" s="267">
        <f>LH$14+LH$15+LH$16+LH$17+LH$18+LH$19+LH$20+LH$21+LH$22</f>
        <v/>
      </c>
      <c r="LI23" s="267">
        <f>LI$14+LI$15+LI$16+LI$17+LI$18+LI$19+LI$20+LI$21+LI$22</f>
        <v/>
      </c>
      <c r="LJ23" s="267">
        <f>LJ$14+LJ$15+LJ$16+LJ$17+LJ$18+LJ$19+LJ$20+LJ$21+LJ$22</f>
        <v/>
      </c>
      <c r="LK23" s="267">
        <f>LK$14+LK$15+LK$16+LK$17+LK$18+LK$19+LK$20+LK$21+LK$22</f>
        <v/>
      </c>
      <c r="LL23" s="267">
        <f>LL$14+LL$15+LL$16+LL$17+LL$18+LL$19+LL$20+LL$21+LL$22</f>
        <v/>
      </c>
      <c r="LM23" s="267">
        <f>LM$14+LM$15+LM$16+LM$17+LM$18+LM$19+LM$20+LM$21+LM$22</f>
        <v/>
      </c>
      <c r="LN23" s="267">
        <f>LN$14+LN$15+LN$16+LN$17+LN$18+LN$19+LN$20+LN$21+LN$22</f>
        <v/>
      </c>
      <c r="LO23" s="267">
        <f>LO$14+LO$15+LO$16+LO$17+LO$18+LO$19+LO$20+LO$21+LO$22</f>
        <v/>
      </c>
      <c r="LP23" s="267">
        <f>LP$14+LP$15+LP$16+LP$17+LP$18+LP$19+LP$20+LP$21+LP$22</f>
        <v/>
      </c>
      <c r="LQ23" s="267">
        <f>LQ$14+LQ$15+LQ$16+LQ$17+LQ$18+LQ$19+LQ$20+LQ$21+LQ$22</f>
        <v/>
      </c>
      <c r="LR23" s="267">
        <f>LR$14+LR$15+LR$16+LR$17+LR$18+LR$19+LR$20+LR$21+LR$22</f>
        <v/>
      </c>
      <c r="LS23" s="267">
        <f>LS$14+LS$15+LS$16+LS$17+LS$18+LS$19+LS$20+LS$21+LS$22</f>
        <v/>
      </c>
      <c r="LT23" s="267">
        <f>LT$14+LT$15+LT$16+LT$17+LT$18+LT$19+LT$20+LT$21+LT$22</f>
        <v/>
      </c>
      <c r="LU23" s="267">
        <f>LU$14+LU$15+LU$16+LU$17+LU$18+LU$19+LU$20+LU$21+LU$22</f>
        <v/>
      </c>
      <c r="LV23" s="267">
        <f>LV$14+LV$15+LV$16+LV$17+LV$18+LV$19+LV$20+LV$21+LV$22</f>
        <v/>
      </c>
      <c r="LW23" s="267">
        <f>LW$14+LW$15+LW$16+LW$17+LW$18+LW$19+LW$20+LW$21+LW$22</f>
        <v/>
      </c>
      <c r="LX23" s="267">
        <f>LX$14+LX$15+LX$16+LX$17+LX$18+LX$19+LX$20+LX$21+LX$22</f>
        <v/>
      </c>
      <c r="LY23" s="267">
        <f>LY$14+LY$15+LY$16+LY$17+LY$18+LY$19+LY$20+LY$21+LY$22</f>
        <v/>
      </c>
      <c r="LZ23" s="267">
        <f>LZ$14+LZ$15+LZ$16+LZ$17+LZ$18+LZ$19+LZ$20+LZ$21+LZ$22</f>
        <v/>
      </c>
      <c r="MA23" s="267">
        <f>MA$14+MA$15+MA$16+MA$17+MA$18+MA$19+MA$20+MA$21+MA$22</f>
        <v/>
      </c>
      <c r="MB23" s="267">
        <f>MB$14+MB$15+MB$16+MB$17+MB$18+MB$19+MB$20+MB$21+MB$22</f>
        <v/>
      </c>
      <c r="MC23" s="267">
        <f>MC$14+MC$15+MC$16+MC$17+MC$18+MC$19+MC$20+MC$21+MC$22</f>
        <v/>
      </c>
      <c r="MD23" s="267">
        <f>MD$14+MD$15+MD$16+MD$17+MD$18+MD$19+MD$20+MD$21+MD$22</f>
        <v/>
      </c>
      <c r="ME23" s="267">
        <f>ME$14+ME$15+ME$16+ME$17+ME$18+ME$19+ME$20+ME$21+ME$22</f>
        <v/>
      </c>
      <c r="MF23" s="267">
        <f>MF$14+MF$15+MF$16+MF$17+MF$18+MF$19+MF$20+MF$21+MF$22</f>
        <v/>
      </c>
      <c r="MG23" s="267">
        <f>MG$14+MG$15+MG$16+MG$17+MG$18+MG$19+MG$20+MG$21+MG$22</f>
        <v/>
      </c>
      <c r="MH23" s="267">
        <f>MH$14+MH$15+MH$16+MH$17+MH$18+MH$19+MH$20+MH$21+MH$22</f>
        <v/>
      </c>
      <c r="MI23" s="267">
        <f>MI$14+MI$15+MI$16+MI$17+MI$18+MI$19+MI$20+MI$21+MI$22</f>
        <v/>
      </c>
      <c r="MJ23" s="267">
        <f>MJ$14+MJ$15+MJ$16+MJ$17+MJ$18+MJ$19+MJ$20+MJ$21+MJ$22</f>
        <v/>
      </c>
      <c r="MK23" s="267">
        <f>MK$14+MK$15+MK$16+MK$17+MK$18+MK$19+MK$20+MK$21+MK$22</f>
        <v/>
      </c>
      <c r="ML23" s="267">
        <f>ML$14+ML$15+ML$16+ML$17+ML$18+ML$19+ML$20+ML$21+ML$22</f>
        <v/>
      </c>
      <c r="MM23" s="267">
        <f>MM$14+MM$15+MM$16+MM$17+MM$18+MM$19+MM$20+MM$21+MM$22</f>
        <v/>
      </c>
      <c r="MN23" s="267">
        <f>MN$14+MN$15+MN$16+MN$17+MN$18+MN$19+MN$20+MN$21+MN$22</f>
        <v/>
      </c>
      <c r="MO23" s="267">
        <f>MO$14+MO$15+MO$16+MO$17+MO$18+MO$19+MO$20+MO$21+MO$22</f>
        <v/>
      </c>
      <c r="MP23" s="267">
        <f>MP$14+MP$15+MP$16+MP$17+MP$18+MP$19+MP$20+MP$21+MP$22</f>
        <v/>
      </c>
      <c r="MQ23" s="267">
        <f>MQ$14+MQ$15+MQ$16+MQ$17+MQ$18+MQ$19+MQ$20+MQ$21+MQ$22</f>
        <v/>
      </c>
      <c r="MR23" s="267">
        <f>MR$14+MR$15+MR$16+MR$17+MR$18+MR$19+MR$20+MR$21+MR$22</f>
        <v/>
      </c>
      <c r="MS23" s="267">
        <f>MS$14+MS$15+MS$16+MS$17+MS$18+MS$19+MS$20+MS$21+MS$22</f>
        <v/>
      </c>
      <c r="MT23" s="267">
        <f>MT$14+MT$15+MT$16+MT$17+MT$18+MT$19+MT$20+MT$21+MT$22</f>
        <v/>
      </c>
      <c r="MU23" s="267">
        <f>MU$14+MU$15+MU$16+MU$17+MU$18+MU$19+MU$20+MU$21+MU$22</f>
        <v/>
      </c>
      <c r="MV23" s="267">
        <f>MV$14+MV$15+MV$16+MV$17+MV$18+MV$19+MV$20+MV$21+MV$22</f>
        <v/>
      </c>
      <c r="MW23" s="267">
        <f>MW$14+MW$15+MW$16+MW$17+MW$18+MW$19+MW$20+MW$21+MW$22</f>
        <v/>
      </c>
      <c r="MX23" s="267">
        <f>MX$14+MX$15+MX$16+MX$17+MX$18+MX$19+MX$20+MX$21+MX$22</f>
        <v/>
      </c>
      <c r="MY23" s="267">
        <f>MY$14+MY$15+MY$16+MY$17+MY$18+MY$19+MY$20+MY$21+MY$22</f>
        <v/>
      </c>
      <c r="MZ23" s="267">
        <f>MZ$14+MZ$15+MZ$16+MZ$17+MZ$18+MZ$19+MZ$20+MZ$21+MZ$22</f>
        <v/>
      </c>
      <c r="NA23" s="267">
        <f>NA$14+NA$15+NA$16+NA$17+NA$18+NA$19+NA$20+NA$21+NA$22</f>
        <v/>
      </c>
      <c r="NB23" s="267">
        <f>NB$14+NB$15+NB$16+NB$17+NB$18+NB$19+NB$20+NB$21+NB$22</f>
        <v/>
      </c>
      <c r="NC23" s="267">
        <f>NC$14+NC$15+NC$16+NC$17+NC$18+NC$19+NC$20+NC$21+NC$22</f>
        <v/>
      </c>
      <c r="ND23" s="267">
        <f>ND$14+ND$15+ND$16+ND$17+ND$18+ND$19+ND$20+ND$21+ND$22</f>
        <v/>
      </c>
      <c r="NE23" s="267">
        <f>NE$14+NE$15+NE$16+NE$17+NE$18+NE$19+NE$20+NE$21+NE$22</f>
        <v/>
      </c>
      <c r="NF23" s="267">
        <f>NF$14+NF$15+NF$16+NF$17+NF$18+NF$19+NF$20+NF$21+NF$22</f>
        <v/>
      </c>
      <c r="NG23" s="267">
        <f>NG$14+NG$15+NG$16+NG$17+NG$18+NG$19+NG$20+NG$21+NG$22</f>
        <v/>
      </c>
      <c r="NH23" s="267">
        <f>NH$14+NH$15+NH$16+NH$17+NH$18+NH$19+NH$20+NH$21+NH$22</f>
        <v/>
      </c>
      <c r="NI23" s="267">
        <f>NI$14+NI$15+NI$16+NI$17+NI$18+NI$19+NI$20+NI$21+NI$22</f>
        <v/>
      </c>
      <c r="NJ23" s="267">
        <f>NJ$14+NJ$15+NJ$16+NJ$17+NJ$18+NJ$19+NJ$20+NJ$21+NJ$22</f>
        <v/>
      </c>
      <c r="NK23" s="267">
        <f>NK$14+NK$15+NK$16+NK$17+NK$18+NK$19+NK$20+NK$21+NK$22</f>
        <v/>
      </c>
      <c r="NL23" s="253">
        <f>NL$14+NL$15+NL$16+NL$17+NL$18+NL$19+NL$20+NL$21+NL$22</f>
        <v/>
      </c>
    </row>
    <row r="24">
      <c r="B24" s="154" t="inlineStr">
        <is>
          <t>Operating Expenses</t>
        </is>
      </c>
      <c r="C24" s="155" t="n"/>
      <c r="D24" s="155" t="n"/>
      <c r="NL24" s="53" t="n"/>
    </row>
    <row r="25">
      <c r="B25" s="36" t="inlineStr">
        <is>
          <t>Insurance</t>
        </is>
      </c>
      <c r="D25" s="266">
        <f>SUM(E25:NL25)</f>
        <v/>
      </c>
      <c r="E25" s="218">
        <f>IF(1&gt;=DeliverStart,ExpInsurancePerUnit*TotalUnits/12*E$8,0)</f>
        <v/>
      </c>
      <c r="F25" s="218">
        <f>IF(2&gt;=DeliverStart,ExpInsurancePerUnit*TotalUnits/12*F$8,0)</f>
        <v/>
      </c>
      <c r="G25" s="218">
        <f>IF(3&gt;=DeliverStart,ExpInsurancePerUnit*TotalUnits/12*G$8,0)</f>
        <v/>
      </c>
      <c r="H25" s="218">
        <f>IF(4&gt;=DeliverStart,ExpInsurancePerUnit*TotalUnits/12*H$8,0)</f>
        <v/>
      </c>
      <c r="I25" s="218">
        <f>IF(5&gt;=DeliverStart,ExpInsurancePerUnit*TotalUnits/12*I$8,0)</f>
        <v/>
      </c>
      <c r="J25" s="218">
        <f>IF(6&gt;=DeliverStart,ExpInsurancePerUnit*TotalUnits/12*J$8,0)</f>
        <v/>
      </c>
      <c r="K25" s="218">
        <f>IF(7&gt;=DeliverStart,ExpInsurancePerUnit*TotalUnits/12*K$8,0)</f>
        <v/>
      </c>
      <c r="L25" s="218">
        <f>IF(8&gt;=DeliverStart,ExpInsurancePerUnit*TotalUnits/12*L$8,0)</f>
        <v/>
      </c>
      <c r="M25" s="218">
        <f>IF(9&gt;=DeliverStart,ExpInsurancePerUnit*TotalUnits/12*M$8,0)</f>
        <v/>
      </c>
      <c r="N25" s="218">
        <f>IF(10&gt;=DeliverStart,ExpInsurancePerUnit*TotalUnits/12*N$8,0)</f>
        <v/>
      </c>
      <c r="O25" s="218">
        <f>IF(11&gt;=DeliverStart,ExpInsurancePerUnit*TotalUnits/12*O$8,0)</f>
        <v/>
      </c>
      <c r="P25" s="218">
        <f>IF(12&gt;=DeliverStart,ExpInsurancePerUnit*TotalUnits/12*P$8,0)</f>
        <v/>
      </c>
      <c r="Q25" s="218">
        <f>IF(13&gt;=DeliverStart,ExpInsurancePerUnit*TotalUnits/12*Q$8,0)</f>
        <v/>
      </c>
      <c r="R25" s="218">
        <f>IF(14&gt;=DeliverStart,ExpInsurancePerUnit*TotalUnits/12*R$8,0)</f>
        <v/>
      </c>
      <c r="S25" s="218">
        <f>IF(15&gt;=DeliverStart,ExpInsurancePerUnit*TotalUnits/12*S$8,0)</f>
        <v/>
      </c>
      <c r="T25" s="218">
        <f>IF(16&gt;=DeliverStart,ExpInsurancePerUnit*TotalUnits/12*T$8,0)</f>
        <v/>
      </c>
      <c r="U25" s="218">
        <f>IF(17&gt;=DeliverStart,ExpInsurancePerUnit*TotalUnits/12*U$8,0)</f>
        <v/>
      </c>
      <c r="V25" s="218">
        <f>IF(18&gt;=DeliverStart,ExpInsurancePerUnit*TotalUnits/12*V$8,0)</f>
        <v/>
      </c>
      <c r="W25" s="218">
        <f>IF(19&gt;=DeliverStart,ExpInsurancePerUnit*TotalUnits/12*W$8,0)</f>
        <v/>
      </c>
      <c r="X25" s="218">
        <f>IF(20&gt;=DeliverStart,ExpInsurancePerUnit*TotalUnits/12*X$8,0)</f>
        <v/>
      </c>
      <c r="Y25" s="218">
        <f>IF(21&gt;=DeliverStart,ExpInsurancePerUnit*TotalUnits/12*Y$8,0)</f>
        <v/>
      </c>
      <c r="Z25" s="218">
        <f>IF(22&gt;=DeliverStart,ExpInsurancePerUnit*TotalUnits/12*Z$8,0)</f>
        <v/>
      </c>
      <c r="AA25" s="218">
        <f>IF(23&gt;=DeliverStart,ExpInsurancePerUnit*TotalUnits/12*AA$8,0)</f>
        <v/>
      </c>
      <c r="AB25" s="218">
        <f>IF(24&gt;=DeliverStart,ExpInsurancePerUnit*TotalUnits/12*AB$8,0)</f>
        <v/>
      </c>
      <c r="AC25" s="218">
        <f>IF(25&gt;=DeliverStart,ExpInsurancePerUnit*TotalUnits/12*AC$8,0)</f>
        <v/>
      </c>
      <c r="AD25" s="218">
        <f>IF(26&gt;=DeliverStart,ExpInsurancePerUnit*TotalUnits/12*AD$8,0)</f>
        <v/>
      </c>
      <c r="AE25" s="218">
        <f>IF(27&gt;=DeliverStart,ExpInsurancePerUnit*TotalUnits/12*AE$8,0)</f>
        <v/>
      </c>
      <c r="AF25" s="218">
        <f>IF(28&gt;=DeliverStart,ExpInsurancePerUnit*TotalUnits/12*AF$8,0)</f>
        <v/>
      </c>
      <c r="AG25" s="218">
        <f>IF(29&gt;=DeliverStart,ExpInsurancePerUnit*TotalUnits/12*AG$8,0)</f>
        <v/>
      </c>
      <c r="AH25" s="218">
        <f>IF(30&gt;=DeliverStart,ExpInsurancePerUnit*TotalUnits/12*AH$8,0)</f>
        <v/>
      </c>
      <c r="AI25" s="218">
        <f>IF(31&gt;=DeliverStart,ExpInsurancePerUnit*TotalUnits/12*AI$8,0)</f>
        <v/>
      </c>
      <c r="AJ25" s="218">
        <f>IF(32&gt;=DeliverStart,ExpInsurancePerUnit*TotalUnits/12*AJ$8,0)</f>
        <v/>
      </c>
      <c r="AK25" s="218">
        <f>IF(33&gt;=DeliverStart,ExpInsurancePerUnit*TotalUnits/12*AK$8,0)</f>
        <v/>
      </c>
      <c r="AL25" s="218">
        <f>IF(34&gt;=DeliverStart,ExpInsurancePerUnit*TotalUnits/12*AL$8,0)</f>
        <v/>
      </c>
      <c r="AM25" s="218">
        <f>IF(35&gt;=DeliverStart,ExpInsurancePerUnit*TotalUnits/12*AM$8,0)</f>
        <v/>
      </c>
      <c r="AN25" s="218">
        <f>IF(36&gt;=DeliverStart,ExpInsurancePerUnit*TotalUnits/12*AN$8,0)</f>
        <v/>
      </c>
      <c r="AO25" s="218">
        <f>IF(37&gt;=DeliverStart,ExpInsurancePerUnit*TotalUnits/12*AO$8,0)</f>
        <v/>
      </c>
      <c r="AP25" s="218">
        <f>IF(38&gt;=DeliverStart,ExpInsurancePerUnit*TotalUnits/12*AP$8,0)</f>
        <v/>
      </c>
      <c r="AQ25" s="218">
        <f>IF(39&gt;=DeliverStart,ExpInsurancePerUnit*TotalUnits/12*AQ$8,0)</f>
        <v/>
      </c>
      <c r="AR25" s="218">
        <f>IF(40&gt;=DeliverStart,ExpInsurancePerUnit*TotalUnits/12*AR$8,0)</f>
        <v/>
      </c>
      <c r="AS25" s="218">
        <f>IF(41&gt;=DeliverStart,ExpInsurancePerUnit*TotalUnits/12*AS$8,0)</f>
        <v/>
      </c>
      <c r="AT25" s="218">
        <f>IF(42&gt;=DeliverStart,ExpInsurancePerUnit*TotalUnits/12*AT$8,0)</f>
        <v/>
      </c>
      <c r="AU25" s="218">
        <f>IF(43&gt;=DeliverStart,ExpInsurancePerUnit*TotalUnits/12*AU$8,0)</f>
        <v/>
      </c>
      <c r="AV25" s="218">
        <f>IF(44&gt;=DeliverStart,ExpInsurancePerUnit*TotalUnits/12*AV$8,0)</f>
        <v/>
      </c>
      <c r="AW25" s="218">
        <f>IF(45&gt;=DeliverStart,ExpInsurancePerUnit*TotalUnits/12*AW$8,0)</f>
        <v/>
      </c>
      <c r="AX25" s="218">
        <f>IF(46&gt;=DeliverStart,ExpInsurancePerUnit*TotalUnits/12*AX$8,0)</f>
        <v/>
      </c>
      <c r="AY25" s="218">
        <f>IF(47&gt;=DeliverStart,ExpInsurancePerUnit*TotalUnits/12*AY$8,0)</f>
        <v/>
      </c>
      <c r="AZ25" s="218">
        <f>IF(48&gt;=DeliverStart,ExpInsurancePerUnit*TotalUnits/12*AZ$8,0)</f>
        <v/>
      </c>
      <c r="BA25" s="218">
        <f>IF(49&gt;=DeliverStart,ExpInsurancePerUnit*TotalUnits/12*BA$8,0)</f>
        <v/>
      </c>
      <c r="BB25" s="218">
        <f>IF(50&gt;=DeliverStart,ExpInsurancePerUnit*TotalUnits/12*BB$8,0)</f>
        <v/>
      </c>
      <c r="BC25" s="218">
        <f>IF(51&gt;=DeliverStart,ExpInsurancePerUnit*TotalUnits/12*BC$8,0)</f>
        <v/>
      </c>
      <c r="BD25" s="218">
        <f>IF(52&gt;=DeliverStart,ExpInsurancePerUnit*TotalUnits/12*BD$8,0)</f>
        <v/>
      </c>
      <c r="BE25" s="218">
        <f>IF(53&gt;=DeliverStart,ExpInsurancePerUnit*TotalUnits/12*BE$8,0)</f>
        <v/>
      </c>
      <c r="BF25" s="218">
        <f>IF(54&gt;=DeliverStart,ExpInsurancePerUnit*TotalUnits/12*BF$8,0)</f>
        <v/>
      </c>
      <c r="BG25" s="218">
        <f>IF(55&gt;=DeliverStart,ExpInsurancePerUnit*TotalUnits/12*BG$8,0)</f>
        <v/>
      </c>
      <c r="BH25" s="218">
        <f>IF(56&gt;=DeliverStart,ExpInsurancePerUnit*TotalUnits/12*BH$8,0)</f>
        <v/>
      </c>
      <c r="BI25" s="218">
        <f>IF(57&gt;=DeliverStart,ExpInsurancePerUnit*TotalUnits/12*BI$8,0)</f>
        <v/>
      </c>
      <c r="BJ25" s="218">
        <f>IF(58&gt;=DeliverStart,ExpInsurancePerUnit*TotalUnits/12*BJ$8,0)</f>
        <v/>
      </c>
      <c r="BK25" s="218">
        <f>IF(59&gt;=DeliverStart,ExpInsurancePerUnit*TotalUnits/12*BK$8,0)</f>
        <v/>
      </c>
      <c r="BL25" s="218">
        <f>IF(60&gt;=DeliverStart,ExpInsurancePerUnit*TotalUnits/12*BL$8,0)</f>
        <v/>
      </c>
      <c r="BM25" s="218">
        <f>IF(61&gt;=DeliverStart,ExpInsurancePerUnit*TotalUnits/12*BM$8,0)</f>
        <v/>
      </c>
      <c r="BN25" s="218">
        <f>IF(62&gt;=DeliverStart,ExpInsurancePerUnit*TotalUnits/12*BN$8,0)</f>
        <v/>
      </c>
      <c r="BO25" s="218">
        <f>IF(63&gt;=DeliverStart,ExpInsurancePerUnit*TotalUnits/12*BO$8,0)</f>
        <v/>
      </c>
      <c r="BP25" s="218">
        <f>IF(64&gt;=DeliverStart,ExpInsurancePerUnit*TotalUnits/12*BP$8,0)</f>
        <v/>
      </c>
      <c r="BQ25" s="218">
        <f>IF(65&gt;=DeliverStart,ExpInsurancePerUnit*TotalUnits/12*BQ$8,0)</f>
        <v/>
      </c>
      <c r="BR25" s="218">
        <f>IF(66&gt;=DeliverStart,ExpInsurancePerUnit*TotalUnits/12*BR$8,0)</f>
        <v/>
      </c>
      <c r="BS25" s="218">
        <f>IF(67&gt;=DeliverStart,ExpInsurancePerUnit*TotalUnits/12*BS$8,0)</f>
        <v/>
      </c>
      <c r="BT25" s="218">
        <f>IF(68&gt;=DeliverStart,ExpInsurancePerUnit*TotalUnits/12*BT$8,0)</f>
        <v/>
      </c>
      <c r="BU25" s="218">
        <f>IF(69&gt;=DeliverStart,ExpInsurancePerUnit*TotalUnits/12*BU$8,0)</f>
        <v/>
      </c>
      <c r="BV25" s="218">
        <f>IF(70&gt;=DeliverStart,ExpInsurancePerUnit*TotalUnits/12*BV$8,0)</f>
        <v/>
      </c>
      <c r="BW25" s="218">
        <f>IF(71&gt;=DeliverStart,ExpInsurancePerUnit*TotalUnits/12*BW$8,0)</f>
        <v/>
      </c>
      <c r="BX25" s="218">
        <f>IF(72&gt;=DeliverStart,ExpInsurancePerUnit*TotalUnits/12*BX$8,0)</f>
        <v/>
      </c>
      <c r="BY25" s="218">
        <f>IF(73&gt;=DeliverStart,ExpInsurancePerUnit*TotalUnits/12*BY$8,0)</f>
        <v/>
      </c>
      <c r="BZ25" s="218">
        <f>IF(74&gt;=DeliverStart,ExpInsurancePerUnit*TotalUnits/12*BZ$8,0)</f>
        <v/>
      </c>
      <c r="CA25" s="218">
        <f>IF(75&gt;=DeliverStart,ExpInsurancePerUnit*TotalUnits/12*CA$8,0)</f>
        <v/>
      </c>
      <c r="CB25" s="218">
        <f>IF(76&gt;=DeliverStart,ExpInsurancePerUnit*TotalUnits/12*CB$8,0)</f>
        <v/>
      </c>
      <c r="CC25" s="218">
        <f>IF(77&gt;=DeliverStart,ExpInsurancePerUnit*TotalUnits/12*CC$8,0)</f>
        <v/>
      </c>
      <c r="CD25" s="218">
        <f>IF(78&gt;=DeliverStart,ExpInsurancePerUnit*TotalUnits/12*CD$8,0)</f>
        <v/>
      </c>
      <c r="CE25" s="218">
        <f>IF(79&gt;=DeliverStart,ExpInsurancePerUnit*TotalUnits/12*CE$8,0)</f>
        <v/>
      </c>
      <c r="CF25" s="218">
        <f>IF(80&gt;=DeliverStart,ExpInsurancePerUnit*TotalUnits/12*CF$8,0)</f>
        <v/>
      </c>
      <c r="CG25" s="218">
        <f>IF(81&gt;=DeliverStart,ExpInsurancePerUnit*TotalUnits/12*CG$8,0)</f>
        <v/>
      </c>
      <c r="CH25" s="218">
        <f>IF(82&gt;=DeliverStart,ExpInsurancePerUnit*TotalUnits/12*CH$8,0)</f>
        <v/>
      </c>
      <c r="CI25" s="218">
        <f>IF(83&gt;=DeliverStart,ExpInsurancePerUnit*TotalUnits/12*CI$8,0)</f>
        <v/>
      </c>
      <c r="CJ25" s="218">
        <f>IF(84&gt;=DeliverStart,ExpInsurancePerUnit*TotalUnits/12*CJ$8,0)</f>
        <v/>
      </c>
      <c r="CK25" s="218">
        <f>IF(85&gt;=DeliverStart,ExpInsurancePerUnit*TotalUnits/12*CK$8,0)</f>
        <v/>
      </c>
      <c r="CL25" s="218">
        <f>IF(86&gt;=DeliverStart,ExpInsurancePerUnit*TotalUnits/12*CL$8,0)</f>
        <v/>
      </c>
      <c r="CM25" s="218">
        <f>IF(87&gt;=DeliverStart,ExpInsurancePerUnit*TotalUnits/12*CM$8,0)</f>
        <v/>
      </c>
      <c r="CN25" s="218">
        <f>IF(88&gt;=DeliverStart,ExpInsurancePerUnit*TotalUnits/12*CN$8,0)</f>
        <v/>
      </c>
      <c r="CO25" s="218">
        <f>IF(89&gt;=DeliverStart,ExpInsurancePerUnit*TotalUnits/12*CO$8,0)</f>
        <v/>
      </c>
      <c r="CP25" s="218">
        <f>IF(90&gt;=DeliverStart,ExpInsurancePerUnit*TotalUnits/12*CP$8,0)</f>
        <v/>
      </c>
      <c r="CQ25" s="218">
        <f>IF(91&gt;=DeliverStart,ExpInsurancePerUnit*TotalUnits/12*CQ$8,0)</f>
        <v/>
      </c>
      <c r="CR25" s="218">
        <f>IF(92&gt;=DeliverStart,ExpInsurancePerUnit*TotalUnits/12*CR$8,0)</f>
        <v/>
      </c>
      <c r="CS25" s="218">
        <f>IF(93&gt;=DeliverStart,ExpInsurancePerUnit*TotalUnits/12*CS$8,0)</f>
        <v/>
      </c>
      <c r="CT25" s="218">
        <f>IF(94&gt;=DeliverStart,ExpInsurancePerUnit*TotalUnits/12*CT$8,0)</f>
        <v/>
      </c>
      <c r="CU25" s="218">
        <f>IF(95&gt;=DeliverStart,ExpInsurancePerUnit*TotalUnits/12*CU$8,0)</f>
        <v/>
      </c>
      <c r="CV25" s="218">
        <f>IF(96&gt;=DeliverStart,ExpInsurancePerUnit*TotalUnits/12*CV$8,0)</f>
        <v/>
      </c>
      <c r="CW25" s="218">
        <f>IF(97&gt;=DeliverStart,ExpInsurancePerUnit*TotalUnits/12*CW$8,0)</f>
        <v/>
      </c>
      <c r="CX25" s="218">
        <f>IF(98&gt;=DeliverStart,ExpInsurancePerUnit*TotalUnits/12*CX$8,0)</f>
        <v/>
      </c>
      <c r="CY25" s="218">
        <f>IF(99&gt;=DeliverStart,ExpInsurancePerUnit*TotalUnits/12*CY$8,0)</f>
        <v/>
      </c>
      <c r="CZ25" s="218">
        <f>IF(100&gt;=DeliverStart,ExpInsurancePerUnit*TotalUnits/12*CZ$8,0)</f>
        <v/>
      </c>
      <c r="DA25" s="218">
        <f>IF(101&gt;=DeliverStart,ExpInsurancePerUnit*TotalUnits/12*DA$8,0)</f>
        <v/>
      </c>
      <c r="DB25" s="218">
        <f>IF(102&gt;=DeliverStart,ExpInsurancePerUnit*TotalUnits/12*DB$8,0)</f>
        <v/>
      </c>
      <c r="DC25" s="218">
        <f>IF(103&gt;=DeliverStart,ExpInsurancePerUnit*TotalUnits/12*DC$8,0)</f>
        <v/>
      </c>
      <c r="DD25" s="218">
        <f>IF(104&gt;=DeliverStart,ExpInsurancePerUnit*TotalUnits/12*DD$8,0)</f>
        <v/>
      </c>
      <c r="DE25" s="218">
        <f>IF(105&gt;=DeliverStart,ExpInsurancePerUnit*TotalUnits/12*DE$8,0)</f>
        <v/>
      </c>
      <c r="DF25" s="218">
        <f>IF(106&gt;=DeliverStart,ExpInsurancePerUnit*TotalUnits/12*DF$8,0)</f>
        <v/>
      </c>
      <c r="DG25" s="218">
        <f>IF(107&gt;=DeliverStart,ExpInsurancePerUnit*TotalUnits/12*DG$8,0)</f>
        <v/>
      </c>
      <c r="DH25" s="218">
        <f>IF(108&gt;=DeliverStart,ExpInsurancePerUnit*TotalUnits/12*DH$8,0)</f>
        <v/>
      </c>
      <c r="DI25" s="218">
        <f>IF(109&gt;=DeliverStart,ExpInsurancePerUnit*TotalUnits/12*DI$8,0)</f>
        <v/>
      </c>
      <c r="DJ25" s="218">
        <f>IF(110&gt;=DeliverStart,ExpInsurancePerUnit*TotalUnits/12*DJ$8,0)</f>
        <v/>
      </c>
      <c r="DK25" s="218">
        <f>IF(111&gt;=DeliverStart,ExpInsurancePerUnit*TotalUnits/12*DK$8,0)</f>
        <v/>
      </c>
      <c r="DL25" s="218">
        <f>IF(112&gt;=DeliverStart,ExpInsurancePerUnit*TotalUnits/12*DL$8,0)</f>
        <v/>
      </c>
      <c r="DM25" s="218">
        <f>IF(113&gt;=DeliverStart,ExpInsurancePerUnit*TotalUnits/12*DM$8,0)</f>
        <v/>
      </c>
      <c r="DN25" s="218">
        <f>IF(114&gt;=DeliverStart,ExpInsurancePerUnit*TotalUnits/12*DN$8,0)</f>
        <v/>
      </c>
      <c r="DO25" s="218">
        <f>IF(115&gt;=DeliverStart,ExpInsurancePerUnit*TotalUnits/12*DO$8,0)</f>
        <v/>
      </c>
      <c r="DP25" s="218">
        <f>IF(116&gt;=DeliverStart,ExpInsurancePerUnit*TotalUnits/12*DP$8,0)</f>
        <v/>
      </c>
      <c r="DQ25" s="218">
        <f>IF(117&gt;=DeliverStart,ExpInsurancePerUnit*TotalUnits/12*DQ$8,0)</f>
        <v/>
      </c>
      <c r="DR25" s="218">
        <f>IF(118&gt;=DeliverStart,ExpInsurancePerUnit*TotalUnits/12*DR$8,0)</f>
        <v/>
      </c>
      <c r="DS25" s="218">
        <f>IF(119&gt;=DeliverStart,ExpInsurancePerUnit*TotalUnits/12*DS$8,0)</f>
        <v/>
      </c>
      <c r="DT25" s="218">
        <f>IF(120&gt;=DeliverStart,ExpInsurancePerUnit*TotalUnits/12*DT$8,0)</f>
        <v/>
      </c>
      <c r="DU25" s="218">
        <f>IF(121&gt;=DeliverStart,ExpInsurancePerUnit*TotalUnits/12*DU$8,0)</f>
        <v/>
      </c>
      <c r="DV25" s="218">
        <f>IF(122&gt;=DeliverStart,ExpInsurancePerUnit*TotalUnits/12*DV$8,0)</f>
        <v/>
      </c>
      <c r="DW25" s="218">
        <f>IF(123&gt;=DeliverStart,ExpInsurancePerUnit*TotalUnits/12*DW$8,0)</f>
        <v/>
      </c>
      <c r="DX25" s="218">
        <f>IF(124&gt;=DeliverStart,ExpInsurancePerUnit*TotalUnits/12*DX$8,0)</f>
        <v/>
      </c>
      <c r="DY25" s="218">
        <f>IF(125&gt;=DeliverStart,ExpInsurancePerUnit*TotalUnits/12*DY$8,0)</f>
        <v/>
      </c>
      <c r="DZ25" s="218">
        <f>IF(126&gt;=DeliverStart,ExpInsurancePerUnit*TotalUnits/12*DZ$8,0)</f>
        <v/>
      </c>
      <c r="EA25" s="218">
        <f>IF(127&gt;=DeliverStart,ExpInsurancePerUnit*TotalUnits/12*EA$8,0)</f>
        <v/>
      </c>
      <c r="EB25" s="218">
        <f>IF(128&gt;=DeliverStart,ExpInsurancePerUnit*TotalUnits/12*EB$8,0)</f>
        <v/>
      </c>
      <c r="EC25" s="218">
        <f>IF(129&gt;=DeliverStart,ExpInsurancePerUnit*TotalUnits/12*EC$8,0)</f>
        <v/>
      </c>
      <c r="ED25" s="218">
        <f>IF(130&gt;=DeliverStart,ExpInsurancePerUnit*TotalUnits/12*ED$8,0)</f>
        <v/>
      </c>
      <c r="EE25" s="218">
        <f>IF(131&gt;=DeliverStart,ExpInsurancePerUnit*TotalUnits/12*EE$8,0)</f>
        <v/>
      </c>
      <c r="EF25" s="218">
        <f>IF(132&gt;=DeliverStart,ExpInsurancePerUnit*TotalUnits/12*EF$8,0)</f>
        <v/>
      </c>
      <c r="EG25" s="218">
        <f>IF(133&gt;=DeliverStart,ExpInsurancePerUnit*TotalUnits/12*EG$8,0)</f>
        <v/>
      </c>
      <c r="EH25" s="218">
        <f>IF(134&gt;=DeliverStart,ExpInsurancePerUnit*TotalUnits/12*EH$8,0)</f>
        <v/>
      </c>
      <c r="EI25" s="218">
        <f>IF(135&gt;=DeliverStart,ExpInsurancePerUnit*TotalUnits/12*EI$8,0)</f>
        <v/>
      </c>
      <c r="EJ25" s="218">
        <f>IF(136&gt;=DeliverStart,ExpInsurancePerUnit*TotalUnits/12*EJ$8,0)</f>
        <v/>
      </c>
      <c r="EK25" s="218">
        <f>IF(137&gt;=DeliverStart,ExpInsurancePerUnit*TotalUnits/12*EK$8,0)</f>
        <v/>
      </c>
      <c r="EL25" s="218">
        <f>IF(138&gt;=DeliverStart,ExpInsurancePerUnit*TotalUnits/12*EL$8,0)</f>
        <v/>
      </c>
      <c r="EM25" s="218">
        <f>IF(139&gt;=DeliverStart,ExpInsurancePerUnit*TotalUnits/12*EM$8,0)</f>
        <v/>
      </c>
      <c r="EN25" s="218">
        <f>IF(140&gt;=DeliverStart,ExpInsurancePerUnit*TotalUnits/12*EN$8,0)</f>
        <v/>
      </c>
      <c r="EO25" s="218">
        <f>IF(141&gt;=DeliverStart,ExpInsurancePerUnit*TotalUnits/12*EO$8,0)</f>
        <v/>
      </c>
      <c r="EP25" s="218">
        <f>IF(142&gt;=DeliverStart,ExpInsurancePerUnit*TotalUnits/12*EP$8,0)</f>
        <v/>
      </c>
      <c r="EQ25" s="218">
        <f>IF(143&gt;=DeliverStart,ExpInsurancePerUnit*TotalUnits/12*EQ$8,0)</f>
        <v/>
      </c>
      <c r="ER25" s="218">
        <f>IF(144&gt;=DeliverStart,ExpInsurancePerUnit*TotalUnits/12*ER$8,0)</f>
        <v/>
      </c>
      <c r="ES25" s="218">
        <f>IF(145&gt;=DeliverStart,ExpInsurancePerUnit*TotalUnits/12*ES$8,0)</f>
        <v/>
      </c>
      <c r="ET25" s="218">
        <f>IF(146&gt;=DeliverStart,ExpInsurancePerUnit*TotalUnits/12*ET$8,0)</f>
        <v/>
      </c>
      <c r="EU25" s="218">
        <f>IF(147&gt;=DeliverStart,ExpInsurancePerUnit*TotalUnits/12*EU$8,0)</f>
        <v/>
      </c>
      <c r="EV25" s="218">
        <f>IF(148&gt;=DeliverStart,ExpInsurancePerUnit*TotalUnits/12*EV$8,0)</f>
        <v/>
      </c>
      <c r="EW25" s="218">
        <f>IF(149&gt;=DeliverStart,ExpInsurancePerUnit*TotalUnits/12*EW$8,0)</f>
        <v/>
      </c>
      <c r="EX25" s="218">
        <f>IF(150&gt;=DeliverStart,ExpInsurancePerUnit*TotalUnits/12*EX$8,0)</f>
        <v/>
      </c>
      <c r="EY25" s="218">
        <f>IF(151&gt;=DeliverStart,ExpInsurancePerUnit*TotalUnits/12*EY$8,0)</f>
        <v/>
      </c>
      <c r="EZ25" s="218">
        <f>IF(152&gt;=DeliverStart,ExpInsurancePerUnit*TotalUnits/12*EZ$8,0)</f>
        <v/>
      </c>
      <c r="FA25" s="218">
        <f>IF(153&gt;=DeliverStart,ExpInsurancePerUnit*TotalUnits/12*FA$8,0)</f>
        <v/>
      </c>
      <c r="FB25" s="218">
        <f>IF(154&gt;=DeliverStart,ExpInsurancePerUnit*TotalUnits/12*FB$8,0)</f>
        <v/>
      </c>
      <c r="FC25" s="218">
        <f>IF(155&gt;=DeliverStart,ExpInsurancePerUnit*TotalUnits/12*FC$8,0)</f>
        <v/>
      </c>
      <c r="FD25" s="218">
        <f>IF(156&gt;=DeliverStart,ExpInsurancePerUnit*TotalUnits/12*FD$8,0)</f>
        <v/>
      </c>
      <c r="FE25" s="218">
        <f>IF(157&gt;=DeliverStart,ExpInsurancePerUnit*TotalUnits/12*FE$8,0)</f>
        <v/>
      </c>
      <c r="FF25" s="218">
        <f>IF(158&gt;=DeliverStart,ExpInsurancePerUnit*TotalUnits/12*FF$8,0)</f>
        <v/>
      </c>
      <c r="FG25" s="218">
        <f>IF(159&gt;=DeliverStart,ExpInsurancePerUnit*TotalUnits/12*FG$8,0)</f>
        <v/>
      </c>
      <c r="FH25" s="218">
        <f>IF(160&gt;=DeliverStart,ExpInsurancePerUnit*TotalUnits/12*FH$8,0)</f>
        <v/>
      </c>
      <c r="FI25" s="218">
        <f>IF(161&gt;=DeliverStart,ExpInsurancePerUnit*TotalUnits/12*FI$8,0)</f>
        <v/>
      </c>
      <c r="FJ25" s="218">
        <f>IF(162&gt;=DeliverStart,ExpInsurancePerUnit*TotalUnits/12*FJ$8,0)</f>
        <v/>
      </c>
      <c r="FK25" s="218">
        <f>IF(163&gt;=DeliverStart,ExpInsurancePerUnit*TotalUnits/12*FK$8,0)</f>
        <v/>
      </c>
      <c r="FL25" s="218">
        <f>IF(164&gt;=DeliverStart,ExpInsurancePerUnit*TotalUnits/12*FL$8,0)</f>
        <v/>
      </c>
      <c r="FM25" s="218">
        <f>IF(165&gt;=DeliverStart,ExpInsurancePerUnit*TotalUnits/12*FM$8,0)</f>
        <v/>
      </c>
      <c r="FN25" s="218">
        <f>IF(166&gt;=DeliverStart,ExpInsurancePerUnit*TotalUnits/12*FN$8,0)</f>
        <v/>
      </c>
      <c r="FO25" s="218">
        <f>IF(167&gt;=DeliverStart,ExpInsurancePerUnit*TotalUnits/12*FO$8,0)</f>
        <v/>
      </c>
      <c r="FP25" s="218">
        <f>IF(168&gt;=DeliverStart,ExpInsurancePerUnit*TotalUnits/12*FP$8,0)</f>
        <v/>
      </c>
      <c r="FQ25" s="218">
        <f>IF(169&gt;=DeliverStart,ExpInsurancePerUnit*TotalUnits/12*FQ$8,0)</f>
        <v/>
      </c>
      <c r="FR25" s="218">
        <f>IF(170&gt;=DeliverStart,ExpInsurancePerUnit*TotalUnits/12*FR$8,0)</f>
        <v/>
      </c>
      <c r="FS25" s="218">
        <f>IF(171&gt;=DeliverStart,ExpInsurancePerUnit*TotalUnits/12*FS$8,0)</f>
        <v/>
      </c>
      <c r="FT25" s="218">
        <f>IF(172&gt;=DeliverStart,ExpInsurancePerUnit*TotalUnits/12*FT$8,0)</f>
        <v/>
      </c>
      <c r="FU25" s="218">
        <f>IF(173&gt;=DeliverStart,ExpInsurancePerUnit*TotalUnits/12*FU$8,0)</f>
        <v/>
      </c>
      <c r="FV25" s="218">
        <f>IF(174&gt;=DeliverStart,ExpInsurancePerUnit*TotalUnits/12*FV$8,0)</f>
        <v/>
      </c>
      <c r="FW25" s="218">
        <f>IF(175&gt;=DeliverStart,ExpInsurancePerUnit*TotalUnits/12*FW$8,0)</f>
        <v/>
      </c>
      <c r="FX25" s="218">
        <f>IF(176&gt;=DeliverStart,ExpInsurancePerUnit*TotalUnits/12*FX$8,0)</f>
        <v/>
      </c>
      <c r="FY25" s="218">
        <f>IF(177&gt;=DeliverStart,ExpInsurancePerUnit*TotalUnits/12*FY$8,0)</f>
        <v/>
      </c>
      <c r="FZ25" s="218">
        <f>IF(178&gt;=DeliverStart,ExpInsurancePerUnit*TotalUnits/12*FZ$8,0)</f>
        <v/>
      </c>
      <c r="GA25" s="218">
        <f>IF(179&gt;=DeliverStart,ExpInsurancePerUnit*TotalUnits/12*GA$8,0)</f>
        <v/>
      </c>
      <c r="GB25" s="218">
        <f>IF(180&gt;=DeliverStart,ExpInsurancePerUnit*TotalUnits/12*GB$8,0)</f>
        <v/>
      </c>
      <c r="GC25" s="218">
        <f>IF(181&gt;=DeliverStart,ExpInsurancePerUnit*TotalUnits/12*GC$8,0)</f>
        <v/>
      </c>
      <c r="GD25" s="218">
        <f>IF(182&gt;=DeliverStart,ExpInsurancePerUnit*TotalUnits/12*GD$8,0)</f>
        <v/>
      </c>
      <c r="GE25" s="218">
        <f>IF(183&gt;=DeliverStart,ExpInsurancePerUnit*TotalUnits/12*GE$8,0)</f>
        <v/>
      </c>
      <c r="GF25" s="218">
        <f>IF(184&gt;=DeliverStart,ExpInsurancePerUnit*TotalUnits/12*GF$8,0)</f>
        <v/>
      </c>
      <c r="GG25" s="218">
        <f>IF(185&gt;=DeliverStart,ExpInsurancePerUnit*TotalUnits/12*GG$8,0)</f>
        <v/>
      </c>
      <c r="GH25" s="218">
        <f>IF(186&gt;=DeliverStart,ExpInsurancePerUnit*TotalUnits/12*GH$8,0)</f>
        <v/>
      </c>
      <c r="GI25" s="218">
        <f>IF(187&gt;=DeliverStart,ExpInsurancePerUnit*TotalUnits/12*GI$8,0)</f>
        <v/>
      </c>
      <c r="GJ25" s="218">
        <f>IF(188&gt;=DeliverStart,ExpInsurancePerUnit*TotalUnits/12*GJ$8,0)</f>
        <v/>
      </c>
      <c r="GK25" s="218">
        <f>IF(189&gt;=DeliverStart,ExpInsurancePerUnit*TotalUnits/12*GK$8,0)</f>
        <v/>
      </c>
      <c r="GL25" s="218">
        <f>IF(190&gt;=DeliverStart,ExpInsurancePerUnit*TotalUnits/12*GL$8,0)</f>
        <v/>
      </c>
      <c r="GM25" s="218">
        <f>IF(191&gt;=DeliverStart,ExpInsurancePerUnit*TotalUnits/12*GM$8,0)</f>
        <v/>
      </c>
      <c r="GN25" s="218">
        <f>IF(192&gt;=DeliverStart,ExpInsurancePerUnit*TotalUnits/12*GN$8,0)</f>
        <v/>
      </c>
      <c r="GO25" s="218">
        <f>IF(193&gt;=DeliverStart,ExpInsurancePerUnit*TotalUnits/12*GO$8,0)</f>
        <v/>
      </c>
      <c r="GP25" s="218">
        <f>IF(194&gt;=DeliverStart,ExpInsurancePerUnit*TotalUnits/12*GP$8,0)</f>
        <v/>
      </c>
      <c r="GQ25" s="218">
        <f>IF(195&gt;=DeliverStart,ExpInsurancePerUnit*TotalUnits/12*GQ$8,0)</f>
        <v/>
      </c>
      <c r="GR25" s="218">
        <f>IF(196&gt;=DeliverStart,ExpInsurancePerUnit*TotalUnits/12*GR$8,0)</f>
        <v/>
      </c>
      <c r="GS25" s="218">
        <f>IF(197&gt;=DeliverStart,ExpInsurancePerUnit*TotalUnits/12*GS$8,0)</f>
        <v/>
      </c>
      <c r="GT25" s="218">
        <f>IF(198&gt;=DeliverStart,ExpInsurancePerUnit*TotalUnits/12*GT$8,0)</f>
        <v/>
      </c>
      <c r="GU25" s="218">
        <f>IF(199&gt;=DeliverStart,ExpInsurancePerUnit*TotalUnits/12*GU$8,0)</f>
        <v/>
      </c>
      <c r="GV25" s="218">
        <f>IF(200&gt;=DeliverStart,ExpInsurancePerUnit*TotalUnits/12*GV$8,0)</f>
        <v/>
      </c>
      <c r="GW25" s="218">
        <f>IF(201&gt;=DeliverStart,ExpInsurancePerUnit*TotalUnits/12*GW$8,0)</f>
        <v/>
      </c>
      <c r="GX25" s="218">
        <f>IF(202&gt;=DeliverStart,ExpInsurancePerUnit*TotalUnits/12*GX$8,0)</f>
        <v/>
      </c>
      <c r="GY25" s="218">
        <f>IF(203&gt;=DeliverStart,ExpInsurancePerUnit*TotalUnits/12*GY$8,0)</f>
        <v/>
      </c>
      <c r="GZ25" s="218">
        <f>IF(204&gt;=DeliverStart,ExpInsurancePerUnit*TotalUnits/12*GZ$8,0)</f>
        <v/>
      </c>
      <c r="HA25" s="218">
        <f>IF(205&gt;=DeliverStart,ExpInsurancePerUnit*TotalUnits/12*HA$8,0)</f>
        <v/>
      </c>
      <c r="HB25" s="218">
        <f>IF(206&gt;=DeliverStart,ExpInsurancePerUnit*TotalUnits/12*HB$8,0)</f>
        <v/>
      </c>
      <c r="HC25" s="218">
        <f>IF(207&gt;=DeliverStart,ExpInsurancePerUnit*TotalUnits/12*HC$8,0)</f>
        <v/>
      </c>
      <c r="HD25" s="218">
        <f>IF(208&gt;=DeliverStart,ExpInsurancePerUnit*TotalUnits/12*HD$8,0)</f>
        <v/>
      </c>
      <c r="HE25" s="218">
        <f>IF(209&gt;=DeliverStart,ExpInsurancePerUnit*TotalUnits/12*HE$8,0)</f>
        <v/>
      </c>
      <c r="HF25" s="218">
        <f>IF(210&gt;=DeliverStart,ExpInsurancePerUnit*TotalUnits/12*HF$8,0)</f>
        <v/>
      </c>
      <c r="HG25" s="218">
        <f>IF(211&gt;=DeliverStart,ExpInsurancePerUnit*TotalUnits/12*HG$8,0)</f>
        <v/>
      </c>
      <c r="HH25" s="218">
        <f>IF(212&gt;=DeliverStart,ExpInsurancePerUnit*TotalUnits/12*HH$8,0)</f>
        <v/>
      </c>
      <c r="HI25" s="218">
        <f>IF(213&gt;=DeliverStart,ExpInsurancePerUnit*TotalUnits/12*HI$8,0)</f>
        <v/>
      </c>
      <c r="HJ25" s="218">
        <f>IF(214&gt;=DeliverStart,ExpInsurancePerUnit*TotalUnits/12*HJ$8,0)</f>
        <v/>
      </c>
      <c r="HK25" s="218">
        <f>IF(215&gt;=DeliverStart,ExpInsurancePerUnit*TotalUnits/12*HK$8,0)</f>
        <v/>
      </c>
      <c r="HL25" s="218">
        <f>IF(216&gt;=DeliverStart,ExpInsurancePerUnit*TotalUnits/12*HL$8,0)</f>
        <v/>
      </c>
      <c r="HM25" s="218">
        <f>IF(217&gt;=DeliverStart,ExpInsurancePerUnit*TotalUnits/12*HM$8,0)</f>
        <v/>
      </c>
      <c r="HN25" s="218">
        <f>IF(218&gt;=DeliverStart,ExpInsurancePerUnit*TotalUnits/12*HN$8,0)</f>
        <v/>
      </c>
      <c r="HO25" s="218">
        <f>IF(219&gt;=DeliverStart,ExpInsurancePerUnit*TotalUnits/12*HO$8,0)</f>
        <v/>
      </c>
      <c r="HP25" s="218">
        <f>IF(220&gt;=DeliverStart,ExpInsurancePerUnit*TotalUnits/12*HP$8,0)</f>
        <v/>
      </c>
      <c r="HQ25" s="218">
        <f>IF(221&gt;=DeliverStart,ExpInsurancePerUnit*TotalUnits/12*HQ$8,0)</f>
        <v/>
      </c>
      <c r="HR25" s="218">
        <f>IF(222&gt;=DeliverStart,ExpInsurancePerUnit*TotalUnits/12*HR$8,0)</f>
        <v/>
      </c>
      <c r="HS25" s="218">
        <f>IF(223&gt;=DeliverStart,ExpInsurancePerUnit*TotalUnits/12*HS$8,0)</f>
        <v/>
      </c>
      <c r="HT25" s="218">
        <f>IF(224&gt;=DeliverStart,ExpInsurancePerUnit*TotalUnits/12*HT$8,0)</f>
        <v/>
      </c>
      <c r="HU25" s="218">
        <f>IF(225&gt;=DeliverStart,ExpInsurancePerUnit*TotalUnits/12*HU$8,0)</f>
        <v/>
      </c>
      <c r="HV25" s="218">
        <f>IF(226&gt;=DeliverStart,ExpInsurancePerUnit*TotalUnits/12*HV$8,0)</f>
        <v/>
      </c>
      <c r="HW25" s="218">
        <f>IF(227&gt;=DeliverStart,ExpInsurancePerUnit*TotalUnits/12*HW$8,0)</f>
        <v/>
      </c>
      <c r="HX25" s="218">
        <f>IF(228&gt;=DeliverStart,ExpInsurancePerUnit*TotalUnits/12*HX$8,0)</f>
        <v/>
      </c>
      <c r="HY25" s="218">
        <f>IF(229&gt;=DeliverStart,ExpInsurancePerUnit*TotalUnits/12*HY$8,0)</f>
        <v/>
      </c>
      <c r="HZ25" s="218">
        <f>IF(230&gt;=DeliverStart,ExpInsurancePerUnit*TotalUnits/12*HZ$8,0)</f>
        <v/>
      </c>
      <c r="IA25" s="218">
        <f>IF(231&gt;=DeliverStart,ExpInsurancePerUnit*TotalUnits/12*IA$8,0)</f>
        <v/>
      </c>
      <c r="IB25" s="218">
        <f>IF(232&gt;=DeliverStart,ExpInsurancePerUnit*TotalUnits/12*IB$8,0)</f>
        <v/>
      </c>
      <c r="IC25" s="218">
        <f>IF(233&gt;=DeliverStart,ExpInsurancePerUnit*TotalUnits/12*IC$8,0)</f>
        <v/>
      </c>
      <c r="ID25" s="218">
        <f>IF(234&gt;=DeliverStart,ExpInsurancePerUnit*TotalUnits/12*ID$8,0)</f>
        <v/>
      </c>
      <c r="IE25" s="218">
        <f>IF(235&gt;=DeliverStart,ExpInsurancePerUnit*TotalUnits/12*IE$8,0)</f>
        <v/>
      </c>
      <c r="IF25" s="218">
        <f>IF(236&gt;=DeliverStart,ExpInsurancePerUnit*TotalUnits/12*IF$8,0)</f>
        <v/>
      </c>
      <c r="IG25" s="218">
        <f>IF(237&gt;=DeliverStart,ExpInsurancePerUnit*TotalUnits/12*IG$8,0)</f>
        <v/>
      </c>
      <c r="IH25" s="218">
        <f>IF(238&gt;=DeliverStart,ExpInsurancePerUnit*TotalUnits/12*IH$8,0)</f>
        <v/>
      </c>
      <c r="II25" s="218">
        <f>IF(239&gt;=DeliverStart,ExpInsurancePerUnit*TotalUnits/12*II$8,0)</f>
        <v/>
      </c>
      <c r="IJ25" s="218">
        <f>IF(240&gt;=DeliverStart,ExpInsurancePerUnit*TotalUnits/12*IJ$8,0)</f>
        <v/>
      </c>
      <c r="IK25" s="218">
        <f>IF(241&gt;=DeliverStart,ExpInsurancePerUnit*TotalUnits/12*IK$8,0)</f>
        <v/>
      </c>
      <c r="IL25" s="218">
        <f>IF(242&gt;=DeliverStart,ExpInsurancePerUnit*TotalUnits/12*IL$8,0)</f>
        <v/>
      </c>
      <c r="IM25" s="218">
        <f>IF(243&gt;=DeliverStart,ExpInsurancePerUnit*TotalUnits/12*IM$8,0)</f>
        <v/>
      </c>
      <c r="IN25" s="218">
        <f>IF(244&gt;=DeliverStart,ExpInsurancePerUnit*TotalUnits/12*IN$8,0)</f>
        <v/>
      </c>
      <c r="IO25" s="218">
        <f>IF(245&gt;=DeliverStart,ExpInsurancePerUnit*TotalUnits/12*IO$8,0)</f>
        <v/>
      </c>
      <c r="IP25" s="218">
        <f>IF(246&gt;=DeliverStart,ExpInsurancePerUnit*TotalUnits/12*IP$8,0)</f>
        <v/>
      </c>
      <c r="IQ25" s="218">
        <f>IF(247&gt;=DeliverStart,ExpInsurancePerUnit*TotalUnits/12*IQ$8,0)</f>
        <v/>
      </c>
      <c r="IR25" s="218">
        <f>IF(248&gt;=DeliverStart,ExpInsurancePerUnit*TotalUnits/12*IR$8,0)</f>
        <v/>
      </c>
      <c r="IS25" s="218">
        <f>IF(249&gt;=DeliverStart,ExpInsurancePerUnit*TotalUnits/12*IS$8,0)</f>
        <v/>
      </c>
      <c r="IT25" s="218">
        <f>IF(250&gt;=DeliverStart,ExpInsurancePerUnit*TotalUnits/12*IT$8,0)</f>
        <v/>
      </c>
      <c r="IU25" s="218">
        <f>IF(251&gt;=DeliverStart,ExpInsurancePerUnit*TotalUnits/12*IU$8,0)</f>
        <v/>
      </c>
      <c r="IV25" s="218">
        <f>IF(252&gt;=DeliverStart,ExpInsurancePerUnit*TotalUnits/12*IV$8,0)</f>
        <v/>
      </c>
      <c r="IW25" s="218">
        <f>IF(253&gt;=DeliverStart,ExpInsurancePerUnit*TotalUnits/12*IW$8,0)</f>
        <v/>
      </c>
      <c r="IX25" s="218">
        <f>IF(254&gt;=DeliverStart,ExpInsurancePerUnit*TotalUnits/12*IX$8,0)</f>
        <v/>
      </c>
      <c r="IY25" s="218">
        <f>IF(255&gt;=DeliverStart,ExpInsurancePerUnit*TotalUnits/12*IY$8,0)</f>
        <v/>
      </c>
      <c r="IZ25" s="218">
        <f>IF(256&gt;=DeliverStart,ExpInsurancePerUnit*TotalUnits/12*IZ$8,0)</f>
        <v/>
      </c>
      <c r="JA25" s="218">
        <f>IF(257&gt;=DeliverStart,ExpInsurancePerUnit*TotalUnits/12*JA$8,0)</f>
        <v/>
      </c>
      <c r="JB25" s="218">
        <f>IF(258&gt;=DeliverStart,ExpInsurancePerUnit*TotalUnits/12*JB$8,0)</f>
        <v/>
      </c>
      <c r="JC25" s="218">
        <f>IF(259&gt;=DeliverStart,ExpInsurancePerUnit*TotalUnits/12*JC$8,0)</f>
        <v/>
      </c>
      <c r="JD25" s="218">
        <f>IF(260&gt;=DeliverStart,ExpInsurancePerUnit*TotalUnits/12*JD$8,0)</f>
        <v/>
      </c>
      <c r="JE25" s="218">
        <f>IF(261&gt;=DeliverStart,ExpInsurancePerUnit*TotalUnits/12*JE$8,0)</f>
        <v/>
      </c>
      <c r="JF25" s="218">
        <f>IF(262&gt;=DeliverStart,ExpInsurancePerUnit*TotalUnits/12*JF$8,0)</f>
        <v/>
      </c>
      <c r="JG25" s="218">
        <f>IF(263&gt;=DeliverStart,ExpInsurancePerUnit*TotalUnits/12*JG$8,0)</f>
        <v/>
      </c>
      <c r="JH25" s="218">
        <f>IF(264&gt;=DeliverStart,ExpInsurancePerUnit*TotalUnits/12*JH$8,0)</f>
        <v/>
      </c>
      <c r="JI25" s="218">
        <f>IF(265&gt;=DeliverStart,ExpInsurancePerUnit*TotalUnits/12*JI$8,0)</f>
        <v/>
      </c>
      <c r="JJ25" s="218">
        <f>IF(266&gt;=DeliverStart,ExpInsurancePerUnit*TotalUnits/12*JJ$8,0)</f>
        <v/>
      </c>
      <c r="JK25" s="218">
        <f>IF(267&gt;=DeliverStart,ExpInsurancePerUnit*TotalUnits/12*JK$8,0)</f>
        <v/>
      </c>
      <c r="JL25" s="218">
        <f>IF(268&gt;=DeliverStart,ExpInsurancePerUnit*TotalUnits/12*JL$8,0)</f>
        <v/>
      </c>
      <c r="JM25" s="218">
        <f>IF(269&gt;=DeliverStart,ExpInsurancePerUnit*TotalUnits/12*JM$8,0)</f>
        <v/>
      </c>
      <c r="JN25" s="218">
        <f>IF(270&gt;=DeliverStart,ExpInsurancePerUnit*TotalUnits/12*JN$8,0)</f>
        <v/>
      </c>
      <c r="JO25" s="218">
        <f>IF(271&gt;=DeliverStart,ExpInsurancePerUnit*TotalUnits/12*JO$8,0)</f>
        <v/>
      </c>
      <c r="JP25" s="218">
        <f>IF(272&gt;=DeliverStart,ExpInsurancePerUnit*TotalUnits/12*JP$8,0)</f>
        <v/>
      </c>
      <c r="JQ25" s="218">
        <f>IF(273&gt;=DeliverStart,ExpInsurancePerUnit*TotalUnits/12*JQ$8,0)</f>
        <v/>
      </c>
      <c r="JR25" s="218">
        <f>IF(274&gt;=DeliverStart,ExpInsurancePerUnit*TotalUnits/12*JR$8,0)</f>
        <v/>
      </c>
      <c r="JS25" s="218">
        <f>IF(275&gt;=DeliverStart,ExpInsurancePerUnit*TotalUnits/12*JS$8,0)</f>
        <v/>
      </c>
      <c r="JT25" s="218">
        <f>IF(276&gt;=DeliverStart,ExpInsurancePerUnit*TotalUnits/12*JT$8,0)</f>
        <v/>
      </c>
      <c r="JU25" s="218">
        <f>IF(277&gt;=DeliverStart,ExpInsurancePerUnit*TotalUnits/12*JU$8,0)</f>
        <v/>
      </c>
      <c r="JV25" s="218">
        <f>IF(278&gt;=DeliverStart,ExpInsurancePerUnit*TotalUnits/12*JV$8,0)</f>
        <v/>
      </c>
      <c r="JW25" s="218">
        <f>IF(279&gt;=DeliverStart,ExpInsurancePerUnit*TotalUnits/12*JW$8,0)</f>
        <v/>
      </c>
      <c r="JX25" s="218">
        <f>IF(280&gt;=DeliverStart,ExpInsurancePerUnit*TotalUnits/12*JX$8,0)</f>
        <v/>
      </c>
      <c r="JY25" s="218">
        <f>IF(281&gt;=DeliverStart,ExpInsurancePerUnit*TotalUnits/12*JY$8,0)</f>
        <v/>
      </c>
      <c r="JZ25" s="218">
        <f>IF(282&gt;=DeliverStart,ExpInsurancePerUnit*TotalUnits/12*JZ$8,0)</f>
        <v/>
      </c>
      <c r="KA25" s="218">
        <f>IF(283&gt;=DeliverStart,ExpInsurancePerUnit*TotalUnits/12*KA$8,0)</f>
        <v/>
      </c>
      <c r="KB25" s="218">
        <f>IF(284&gt;=DeliverStart,ExpInsurancePerUnit*TotalUnits/12*KB$8,0)</f>
        <v/>
      </c>
      <c r="KC25" s="218">
        <f>IF(285&gt;=DeliverStart,ExpInsurancePerUnit*TotalUnits/12*KC$8,0)</f>
        <v/>
      </c>
      <c r="KD25" s="218">
        <f>IF(286&gt;=DeliverStart,ExpInsurancePerUnit*TotalUnits/12*KD$8,0)</f>
        <v/>
      </c>
      <c r="KE25" s="218">
        <f>IF(287&gt;=DeliverStart,ExpInsurancePerUnit*TotalUnits/12*KE$8,0)</f>
        <v/>
      </c>
      <c r="KF25" s="218">
        <f>IF(288&gt;=DeliverStart,ExpInsurancePerUnit*TotalUnits/12*KF$8,0)</f>
        <v/>
      </c>
      <c r="KG25" s="218">
        <f>IF(289&gt;=DeliverStart,ExpInsurancePerUnit*TotalUnits/12*KG$8,0)</f>
        <v/>
      </c>
      <c r="KH25" s="218">
        <f>IF(290&gt;=DeliverStart,ExpInsurancePerUnit*TotalUnits/12*KH$8,0)</f>
        <v/>
      </c>
      <c r="KI25" s="218">
        <f>IF(291&gt;=DeliverStart,ExpInsurancePerUnit*TotalUnits/12*KI$8,0)</f>
        <v/>
      </c>
      <c r="KJ25" s="218">
        <f>IF(292&gt;=DeliverStart,ExpInsurancePerUnit*TotalUnits/12*KJ$8,0)</f>
        <v/>
      </c>
      <c r="KK25" s="218">
        <f>IF(293&gt;=DeliverStart,ExpInsurancePerUnit*TotalUnits/12*KK$8,0)</f>
        <v/>
      </c>
      <c r="KL25" s="218">
        <f>IF(294&gt;=DeliverStart,ExpInsurancePerUnit*TotalUnits/12*KL$8,0)</f>
        <v/>
      </c>
      <c r="KM25" s="218">
        <f>IF(295&gt;=DeliverStart,ExpInsurancePerUnit*TotalUnits/12*KM$8,0)</f>
        <v/>
      </c>
      <c r="KN25" s="218">
        <f>IF(296&gt;=DeliverStart,ExpInsurancePerUnit*TotalUnits/12*KN$8,0)</f>
        <v/>
      </c>
      <c r="KO25" s="218">
        <f>IF(297&gt;=DeliverStart,ExpInsurancePerUnit*TotalUnits/12*KO$8,0)</f>
        <v/>
      </c>
      <c r="KP25" s="218">
        <f>IF(298&gt;=DeliverStart,ExpInsurancePerUnit*TotalUnits/12*KP$8,0)</f>
        <v/>
      </c>
      <c r="KQ25" s="218">
        <f>IF(299&gt;=DeliverStart,ExpInsurancePerUnit*TotalUnits/12*KQ$8,0)</f>
        <v/>
      </c>
      <c r="KR25" s="218">
        <f>IF(300&gt;=DeliverStart,ExpInsurancePerUnit*TotalUnits/12*KR$8,0)</f>
        <v/>
      </c>
      <c r="KS25" s="218">
        <f>IF(301&gt;=DeliverStart,ExpInsurancePerUnit*TotalUnits/12*KS$8,0)</f>
        <v/>
      </c>
      <c r="KT25" s="218">
        <f>IF(302&gt;=DeliverStart,ExpInsurancePerUnit*TotalUnits/12*KT$8,0)</f>
        <v/>
      </c>
      <c r="KU25" s="218">
        <f>IF(303&gt;=DeliverStart,ExpInsurancePerUnit*TotalUnits/12*KU$8,0)</f>
        <v/>
      </c>
      <c r="KV25" s="218">
        <f>IF(304&gt;=DeliverStart,ExpInsurancePerUnit*TotalUnits/12*KV$8,0)</f>
        <v/>
      </c>
      <c r="KW25" s="218">
        <f>IF(305&gt;=DeliverStart,ExpInsurancePerUnit*TotalUnits/12*KW$8,0)</f>
        <v/>
      </c>
      <c r="KX25" s="218">
        <f>IF(306&gt;=DeliverStart,ExpInsurancePerUnit*TotalUnits/12*KX$8,0)</f>
        <v/>
      </c>
      <c r="KY25" s="218">
        <f>IF(307&gt;=DeliverStart,ExpInsurancePerUnit*TotalUnits/12*KY$8,0)</f>
        <v/>
      </c>
      <c r="KZ25" s="218">
        <f>IF(308&gt;=DeliverStart,ExpInsurancePerUnit*TotalUnits/12*KZ$8,0)</f>
        <v/>
      </c>
      <c r="LA25" s="218">
        <f>IF(309&gt;=DeliverStart,ExpInsurancePerUnit*TotalUnits/12*LA$8,0)</f>
        <v/>
      </c>
      <c r="LB25" s="218">
        <f>IF(310&gt;=DeliverStart,ExpInsurancePerUnit*TotalUnits/12*LB$8,0)</f>
        <v/>
      </c>
      <c r="LC25" s="218">
        <f>IF(311&gt;=DeliverStart,ExpInsurancePerUnit*TotalUnits/12*LC$8,0)</f>
        <v/>
      </c>
      <c r="LD25" s="218">
        <f>IF(312&gt;=DeliverStart,ExpInsurancePerUnit*TotalUnits/12*LD$8,0)</f>
        <v/>
      </c>
      <c r="LE25" s="218">
        <f>IF(313&gt;=DeliverStart,ExpInsurancePerUnit*TotalUnits/12*LE$8,0)</f>
        <v/>
      </c>
      <c r="LF25" s="218">
        <f>IF(314&gt;=DeliverStart,ExpInsurancePerUnit*TotalUnits/12*LF$8,0)</f>
        <v/>
      </c>
      <c r="LG25" s="218">
        <f>IF(315&gt;=DeliverStart,ExpInsurancePerUnit*TotalUnits/12*LG$8,0)</f>
        <v/>
      </c>
      <c r="LH25" s="218">
        <f>IF(316&gt;=DeliverStart,ExpInsurancePerUnit*TotalUnits/12*LH$8,0)</f>
        <v/>
      </c>
      <c r="LI25" s="218">
        <f>IF(317&gt;=DeliverStart,ExpInsurancePerUnit*TotalUnits/12*LI$8,0)</f>
        <v/>
      </c>
      <c r="LJ25" s="218">
        <f>IF(318&gt;=DeliverStart,ExpInsurancePerUnit*TotalUnits/12*LJ$8,0)</f>
        <v/>
      </c>
      <c r="LK25" s="218">
        <f>IF(319&gt;=DeliverStart,ExpInsurancePerUnit*TotalUnits/12*LK$8,0)</f>
        <v/>
      </c>
      <c r="LL25" s="218">
        <f>IF(320&gt;=DeliverStart,ExpInsurancePerUnit*TotalUnits/12*LL$8,0)</f>
        <v/>
      </c>
      <c r="LM25" s="218">
        <f>IF(321&gt;=DeliverStart,ExpInsurancePerUnit*TotalUnits/12*LM$8,0)</f>
        <v/>
      </c>
      <c r="LN25" s="218">
        <f>IF(322&gt;=DeliverStart,ExpInsurancePerUnit*TotalUnits/12*LN$8,0)</f>
        <v/>
      </c>
      <c r="LO25" s="218">
        <f>IF(323&gt;=DeliverStart,ExpInsurancePerUnit*TotalUnits/12*LO$8,0)</f>
        <v/>
      </c>
      <c r="LP25" s="218">
        <f>IF(324&gt;=DeliverStart,ExpInsurancePerUnit*TotalUnits/12*LP$8,0)</f>
        <v/>
      </c>
      <c r="LQ25" s="218">
        <f>IF(325&gt;=DeliverStart,ExpInsurancePerUnit*TotalUnits/12*LQ$8,0)</f>
        <v/>
      </c>
      <c r="LR25" s="218">
        <f>IF(326&gt;=DeliverStart,ExpInsurancePerUnit*TotalUnits/12*LR$8,0)</f>
        <v/>
      </c>
      <c r="LS25" s="218">
        <f>IF(327&gt;=DeliverStart,ExpInsurancePerUnit*TotalUnits/12*LS$8,0)</f>
        <v/>
      </c>
      <c r="LT25" s="218">
        <f>IF(328&gt;=DeliverStart,ExpInsurancePerUnit*TotalUnits/12*LT$8,0)</f>
        <v/>
      </c>
      <c r="LU25" s="218">
        <f>IF(329&gt;=DeliverStart,ExpInsurancePerUnit*TotalUnits/12*LU$8,0)</f>
        <v/>
      </c>
      <c r="LV25" s="218">
        <f>IF(330&gt;=DeliverStart,ExpInsurancePerUnit*TotalUnits/12*LV$8,0)</f>
        <v/>
      </c>
      <c r="LW25" s="218">
        <f>IF(331&gt;=DeliverStart,ExpInsurancePerUnit*TotalUnits/12*LW$8,0)</f>
        <v/>
      </c>
      <c r="LX25" s="218">
        <f>IF(332&gt;=DeliverStart,ExpInsurancePerUnit*TotalUnits/12*LX$8,0)</f>
        <v/>
      </c>
      <c r="LY25" s="218">
        <f>IF(333&gt;=DeliverStart,ExpInsurancePerUnit*TotalUnits/12*LY$8,0)</f>
        <v/>
      </c>
      <c r="LZ25" s="218">
        <f>IF(334&gt;=DeliverStart,ExpInsurancePerUnit*TotalUnits/12*LZ$8,0)</f>
        <v/>
      </c>
      <c r="MA25" s="218">
        <f>IF(335&gt;=DeliverStart,ExpInsurancePerUnit*TotalUnits/12*MA$8,0)</f>
        <v/>
      </c>
      <c r="MB25" s="218">
        <f>IF(336&gt;=DeliverStart,ExpInsurancePerUnit*TotalUnits/12*MB$8,0)</f>
        <v/>
      </c>
      <c r="MC25" s="218">
        <f>IF(337&gt;=DeliverStart,ExpInsurancePerUnit*TotalUnits/12*MC$8,0)</f>
        <v/>
      </c>
      <c r="MD25" s="218">
        <f>IF(338&gt;=DeliverStart,ExpInsurancePerUnit*TotalUnits/12*MD$8,0)</f>
        <v/>
      </c>
      <c r="ME25" s="218">
        <f>IF(339&gt;=DeliverStart,ExpInsurancePerUnit*TotalUnits/12*ME$8,0)</f>
        <v/>
      </c>
      <c r="MF25" s="218">
        <f>IF(340&gt;=DeliverStart,ExpInsurancePerUnit*TotalUnits/12*MF$8,0)</f>
        <v/>
      </c>
      <c r="MG25" s="218">
        <f>IF(341&gt;=DeliverStart,ExpInsurancePerUnit*TotalUnits/12*MG$8,0)</f>
        <v/>
      </c>
      <c r="MH25" s="218">
        <f>IF(342&gt;=DeliverStart,ExpInsurancePerUnit*TotalUnits/12*MH$8,0)</f>
        <v/>
      </c>
      <c r="MI25" s="218">
        <f>IF(343&gt;=DeliverStart,ExpInsurancePerUnit*TotalUnits/12*MI$8,0)</f>
        <v/>
      </c>
      <c r="MJ25" s="218">
        <f>IF(344&gt;=DeliverStart,ExpInsurancePerUnit*TotalUnits/12*MJ$8,0)</f>
        <v/>
      </c>
      <c r="MK25" s="218">
        <f>IF(345&gt;=DeliverStart,ExpInsurancePerUnit*TotalUnits/12*MK$8,0)</f>
        <v/>
      </c>
      <c r="ML25" s="218">
        <f>IF(346&gt;=DeliverStart,ExpInsurancePerUnit*TotalUnits/12*ML$8,0)</f>
        <v/>
      </c>
      <c r="MM25" s="218">
        <f>IF(347&gt;=DeliverStart,ExpInsurancePerUnit*TotalUnits/12*MM$8,0)</f>
        <v/>
      </c>
      <c r="MN25" s="218">
        <f>IF(348&gt;=DeliverStart,ExpInsurancePerUnit*TotalUnits/12*MN$8,0)</f>
        <v/>
      </c>
      <c r="MO25" s="218">
        <f>IF(349&gt;=DeliverStart,ExpInsurancePerUnit*TotalUnits/12*MO$8,0)</f>
        <v/>
      </c>
      <c r="MP25" s="218">
        <f>IF(350&gt;=DeliverStart,ExpInsurancePerUnit*TotalUnits/12*MP$8,0)</f>
        <v/>
      </c>
      <c r="MQ25" s="218">
        <f>IF(351&gt;=DeliverStart,ExpInsurancePerUnit*TotalUnits/12*MQ$8,0)</f>
        <v/>
      </c>
      <c r="MR25" s="218">
        <f>IF(352&gt;=DeliverStart,ExpInsurancePerUnit*TotalUnits/12*MR$8,0)</f>
        <v/>
      </c>
      <c r="MS25" s="218">
        <f>IF(353&gt;=DeliverStart,ExpInsurancePerUnit*TotalUnits/12*MS$8,0)</f>
        <v/>
      </c>
      <c r="MT25" s="218">
        <f>IF(354&gt;=DeliverStart,ExpInsurancePerUnit*TotalUnits/12*MT$8,0)</f>
        <v/>
      </c>
      <c r="MU25" s="218">
        <f>IF(355&gt;=DeliverStart,ExpInsurancePerUnit*TotalUnits/12*MU$8,0)</f>
        <v/>
      </c>
      <c r="MV25" s="218">
        <f>IF(356&gt;=DeliverStart,ExpInsurancePerUnit*TotalUnits/12*MV$8,0)</f>
        <v/>
      </c>
      <c r="MW25" s="218">
        <f>IF(357&gt;=DeliverStart,ExpInsurancePerUnit*TotalUnits/12*MW$8,0)</f>
        <v/>
      </c>
      <c r="MX25" s="218">
        <f>IF(358&gt;=DeliverStart,ExpInsurancePerUnit*TotalUnits/12*MX$8,0)</f>
        <v/>
      </c>
      <c r="MY25" s="218">
        <f>IF(359&gt;=DeliverStart,ExpInsurancePerUnit*TotalUnits/12*MY$8,0)</f>
        <v/>
      </c>
      <c r="MZ25" s="218">
        <f>IF(360&gt;=DeliverStart,ExpInsurancePerUnit*TotalUnits/12*MZ$8,0)</f>
        <v/>
      </c>
      <c r="NA25" s="218">
        <f>IF(361&gt;=DeliverStart,ExpInsurancePerUnit*TotalUnits/12*NA$8,0)</f>
        <v/>
      </c>
      <c r="NB25" s="218">
        <f>IF(362&gt;=DeliverStart,ExpInsurancePerUnit*TotalUnits/12*NB$8,0)</f>
        <v/>
      </c>
      <c r="NC25" s="218">
        <f>IF(363&gt;=DeliverStart,ExpInsurancePerUnit*TotalUnits/12*NC$8,0)</f>
        <v/>
      </c>
      <c r="ND25" s="218">
        <f>IF(364&gt;=DeliverStart,ExpInsurancePerUnit*TotalUnits/12*ND$8,0)</f>
        <v/>
      </c>
      <c r="NE25" s="218">
        <f>IF(365&gt;=DeliverStart,ExpInsurancePerUnit*TotalUnits/12*NE$8,0)</f>
        <v/>
      </c>
      <c r="NF25" s="218">
        <f>IF(366&gt;=DeliverStart,ExpInsurancePerUnit*TotalUnits/12*NF$8,0)</f>
        <v/>
      </c>
      <c r="NG25" s="218">
        <f>IF(367&gt;=DeliverStart,ExpInsurancePerUnit*TotalUnits/12*NG$8,0)</f>
        <v/>
      </c>
      <c r="NH25" s="218">
        <f>IF(368&gt;=DeliverStart,ExpInsurancePerUnit*TotalUnits/12*NH$8,0)</f>
        <v/>
      </c>
      <c r="NI25" s="218">
        <f>IF(369&gt;=DeliverStart,ExpInsurancePerUnit*TotalUnits/12*NI$8,0)</f>
        <v/>
      </c>
      <c r="NJ25" s="218">
        <f>IF(370&gt;=DeliverStart,ExpInsurancePerUnit*TotalUnits/12*NJ$8,0)</f>
        <v/>
      </c>
      <c r="NK25" s="218">
        <f>IF(371&gt;=DeliverStart,ExpInsurancePerUnit*TotalUnits/12*NK$8,0)</f>
        <v/>
      </c>
      <c r="NL25" s="225">
        <f>IF(372&gt;=DeliverStart,ExpInsurancePerUnit*TotalUnits/12*NL$8,0)</f>
        <v/>
      </c>
    </row>
    <row r="26">
      <c r="B26" s="36" t="inlineStr">
        <is>
          <t>Admin &amp; Legal</t>
        </is>
      </c>
      <c r="D26" s="266">
        <f>SUM(E26:NL26)</f>
        <v/>
      </c>
      <c r="E26" s="218">
        <f>IF(1&gt;=DeliverStart,ExpAdminPerUnit*TotalUnits/12*E$8,0)</f>
        <v/>
      </c>
      <c r="F26" s="218">
        <f>IF(2&gt;=DeliverStart,ExpAdminPerUnit*TotalUnits/12*F$8,0)</f>
        <v/>
      </c>
      <c r="G26" s="218">
        <f>IF(3&gt;=DeliverStart,ExpAdminPerUnit*TotalUnits/12*G$8,0)</f>
        <v/>
      </c>
      <c r="H26" s="218">
        <f>IF(4&gt;=DeliverStart,ExpAdminPerUnit*TotalUnits/12*H$8,0)</f>
        <v/>
      </c>
      <c r="I26" s="218">
        <f>IF(5&gt;=DeliverStart,ExpAdminPerUnit*TotalUnits/12*I$8,0)</f>
        <v/>
      </c>
      <c r="J26" s="218">
        <f>IF(6&gt;=DeliverStart,ExpAdminPerUnit*TotalUnits/12*J$8,0)</f>
        <v/>
      </c>
      <c r="K26" s="218">
        <f>IF(7&gt;=DeliverStart,ExpAdminPerUnit*TotalUnits/12*K$8,0)</f>
        <v/>
      </c>
      <c r="L26" s="218">
        <f>IF(8&gt;=DeliverStart,ExpAdminPerUnit*TotalUnits/12*L$8,0)</f>
        <v/>
      </c>
      <c r="M26" s="218">
        <f>IF(9&gt;=DeliverStart,ExpAdminPerUnit*TotalUnits/12*M$8,0)</f>
        <v/>
      </c>
      <c r="N26" s="218">
        <f>IF(10&gt;=DeliverStart,ExpAdminPerUnit*TotalUnits/12*N$8,0)</f>
        <v/>
      </c>
      <c r="O26" s="218">
        <f>IF(11&gt;=DeliverStart,ExpAdminPerUnit*TotalUnits/12*O$8,0)</f>
        <v/>
      </c>
      <c r="P26" s="218">
        <f>IF(12&gt;=DeliverStart,ExpAdminPerUnit*TotalUnits/12*P$8,0)</f>
        <v/>
      </c>
      <c r="Q26" s="218">
        <f>IF(13&gt;=DeliverStart,ExpAdminPerUnit*TotalUnits/12*Q$8,0)</f>
        <v/>
      </c>
      <c r="R26" s="218">
        <f>IF(14&gt;=DeliverStart,ExpAdminPerUnit*TotalUnits/12*R$8,0)</f>
        <v/>
      </c>
      <c r="S26" s="218">
        <f>IF(15&gt;=DeliverStart,ExpAdminPerUnit*TotalUnits/12*S$8,0)</f>
        <v/>
      </c>
      <c r="T26" s="218">
        <f>IF(16&gt;=DeliverStart,ExpAdminPerUnit*TotalUnits/12*T$8,0)</f>
        <v/>
      </c>
      <c r="U26" s="218">
        <f>IF(17&gt;=DeliverStart,ExpAdminPerUnit*TotalUnits/12*U$8,0)</f>
        <v/>
      </c>
      <c r="V26" s="218">
        <f>IF(18&gt;=DeliverStart,ExpAdminPerUnit*TotalUnits/12*V$8,0)</f>
        <v/>
      </c>
      <c r="W26" s="218">
        <f>IF(19&gt;=DeliverStart,ExpAdminPerUnit*TotalUnits/12*W$8,0)</f>
        <v/>
      </c>
      <c r="X26" s="218">
        <f>IF(20&gt;=DeliverStart,ExpAdminPerUnit*TotalUnits/12*X$8,0)</f>
        <v/>
      </c>
      <c r="Y26" s="218">
        <f>IF(21&gt;=DeliverStart,ExpAdminPerUnit*TotalUnits/12*Y$8,0)</f>
        <v/>
      </c>
      <c r="Z26" s="218">
        <f>IF(22&gt;=DeliverStart,ExpAdminPerUnit*TotalUnits/12*Z$8,0)</f>
        <v/>
      </c>
      <c r="AA26" s="218">
        <f>IF(23&gt;=DeliverStart,ExpAdminPerUnit*TotalUnits/12*AA$8,0)</f>
        <v/>
      </c>
      <c r="AB26" s="218">
        <f>IF(24&gt;=DeliverStart,ExpAdminPerUnit*TotalUnits/12*AB$8,0)</f>
        <v/>
      </c>
      <c r="AC26" s="218">
        <f>IF(25&gt;=DeliverStart,ExpAdminPerUnit*TotalUnits/12*AC$8,0)</f>
        <v/>
      </c>
      <c r="AD26" s="218">
        <f>IF(26&gt;=DeliverStart,ExpAdminPerUnit*TotalUnits/12*AD$8,0)</f>
        <v/>
      </c>
      <c r="AE26" s="218">
        <f>IF(27&gt;=DeliverStart,ExpAdminPerUnit*TotalUnits/12*AE$8,0)</f>
        <v/>
      </c>
      <c r="AF26" s="218">
        <f>IF(28&gt;=DeliverStart,ExpAdminPerUnit*TotalUnits/12*AF$8,0)</f>
        <v/>
      </c>
      <c r="AG26" s="218">
        <f>IF(29&gt;=DeliverStart,ExpAdminPerUnit*TotalUnits/12*AG$8,0)</f>
        <v/>
      </c>
      <c r="AH26" s="218">
        <f>IF(30&gt;=DeliverStart,ExpAdminPerUnit*TotalUnits/12*AH$8,0)</f>
        <v/>
      </c>
      <c r="AI26" s="218">
        <f>IF(31&gt;=DeliverStart,ExpAdminPerUnit*TotalUnits/12*AI$8,0)</f>
        <v/>
      </c>
      <c r="AJ26" s="218">
        <f>IF(32&gt;=DeliverStart,ExpAdminPerUnit*TotalUnits/12*AJ$8,0)</f>
        <v/>
      </c>
      <c r="AK26" s="218">
        <f>IF(33&gt;=DeliverStart,ExpAdminPerUnit*TotalUnits/12*AK$8,0)</f>
        <v/>
      </c>
      <c r="AL26" s="218">
        <f>IF(34&gt;=DeliverStart,ExpAdminPerUnit*TotalUnits/12*AL$8,0)</f>
        <v/>
      </c>
      <c r="AM26" s="218">
        <f>IF(35&gt;=DeliverStart,ExpAdminPerUnit*TotalUnits/12*AM$8,0)</f>
        <v/>
      </c>
      <c r="AN26" s="218">
        <f>IF(36&gt;=DeliverStart,ExpAdminPerUnit*TotalUnits/12*AN$8,0)</f>
        <v/>
      </c>
      <c r="AO26" s="218">
        <f>IF(37&gt;=DeliverStart,ExpAdminPerUnit*TotalUnits/12*AO$8,0)</f>
        <v/>
      </c>
      <c r="AP26" s="218">
        <f>IF(38&gt;=DeliverStart,ExpAdminPerUnit*TotalUnits/12*AP$8,0)</f>
        <v/>
      </c>
      <c r="AQ26" s="218">
        <f>IF(39&gt;=DeliverStart,ExpAdminPerUnit*TotalUnits/12*AQ$8,0)</f>
        <v/>
      </c>
      <c r="AR26" s="218">
        <f>IF(40&gt;=DeliverStart,ExpAdminPerUnit*TotalUnits/12*AR$8,0)</f>
        <v/>
      </c>
      <c r="AS26" s="218">
        <f>IF(41&gt;=DeliverStart,ExpAdminPerUnit*TotalUnits/12*AS$8,0)</f>
        <v/>
      </c>
      <c r="AT26" s="218">
        <f>IF(42&gt;=DeliverStart,ExpAdminPerUnit*TotalUnits/12*AT$8,0)</f>
        <v/>
      </c>
      <c r="AU26" s="218">
        <f>IF(43&gt;=DeliverStart,ExpAdminPerUnit*TotalUnits/12*AU$8,0)</f>
        <v/>
      </c>
      <c r="AV26" s="218">
        <f>IF(44&gt;=DeliverStart,ExpAdminPerUnit*TotalUnits/12*AV$8,0)</f>
        <v/>
      </c>
      <c r="AW26" s="218">
        <f>IF(45&gt;=DeliverStart,ExpAdminPerUnit*TotalUnits/12*AW$8,0)</f>
        <v/>
      </c>
      <c r="AX26" s="218">
        <f>IF(46&gt;=DeliverStart,ExpAdminPerUnit*TotalUnits/12*AX$8,0)</f>
        <v/>
      </c>
      <c r="AY26" s="218">
        <f>IF(47&gt;=DeliverStart,ExpAdminPerUnit*TotalUnits/12*AY$8,0)</f>
        <v/>
      </c>
      <c r="AZ26" s="218">
        <f>IF(48&gt;=DeliverStart,ExpAdminPerUnit*TotalUnits/12*AZ$8,0)</f>
        <v/>
      </c>
      <c r="BA26" s="218">
        <f>IF(49&gt;=DeliverStart,ExpAdminPerUnit*TotalUnits/12*BA$8,0)</f>
        <v/>
      </c>
      <c r="BB26" s="218">
        <f>IF(50&gt;=DeliverStart,ExpAdminPerUnit*TotalUnits/12*BB$8,0)</f>
        <v/>
      </c>
      <c r="BC26" s="218">
        <f>IF(51&gt;=DeliverStart,ExpAdminPerUnit*TotalUnits/12*BC$8,0)</f>
        <v/>
      </c>
      <c r="BD26" s="218">
        <f>IF(52&gt;=DeliverStart,ExpAdminPerUnit*TotalUnits/12*BD$8,0)</f>
        <v/>
      </c>
      <c r="BE26" s="218">
        <f>IF(53&gt;=DeliverStart,ExpAdminPerUnit*TotalUnits/12*BE$8,0)</f>
        <v/>
      </c>
      <c r="BF26" s="218">
        <f>IF(54&gt;=DeliverStart,ExpAdminPerUnit*TotalUnits/12*BF$8,0)</f>
        <v/>
      </c>
      <c r="BG26" s="218">
        <f>IF(55&gt;=DeliverStart,ExpAdminPerUnit*TotalUnits/12*BG$8,0)</f>
        <v/>
      </c>
      <c r="BH26" s="218">
        <f>IF(56&gt;=DeliverStart,ExpAdminPerUnit*TotalUnits/12*BH$8,0)</f>
        <v/>
      </c>
      <c r="BI26" s="218">
        <f>IF(57&gt;=DeliverStart,ExpAdminPerUnit*TotalUnits/12*BI$8,0)</f>
        <v/>
      </c>
      <c r="BJ26" s="218">
        <f>IF(58&gt;=DeliverStart,ExpAdminPerUnit*TotalUnits/12*BJ$8,0)</f>
        <v/>
      </c>
      <c r="BK26" s="218">
        <f>IF(59&gt;=DeliverStart,ExpAdminPerUnit*TotalUnits/12*BK$8,0)</f>
        <v/>
      </c>
      <c r="BL26" s="218">
        <f>IF(60&gt;=DeliverStart,ExpAdminPerUnit*TotalUnits/12*BL$8,0)</f>
        <v/>
      </c>
      <c r="BM26" s="218">
        <f>IF(61&gt;=DeliverStart,ExpAdminPerUnit*TotalUnits/12*BM$8,0)</f>
        <v/>
      </c>
      <c r="BN26" s="218">
        <f>IF(62&gt;=DeliverStart,ExpAdminPerUnit*TotalUnits/12*BN$8,0)</f>
        <v/>
      </c>
      <c r="BO26" s="218">
        <f>IF(63&gt;=DeliverStart,ExpAdminPerUnit*TotalUnits/12*BO$8,0)</f>
        <v/>
      </c>
      <c r="BP26" s="218">
        <f>IF(64&gt;=DeliverStart,ExpAdminPerUnit*TotalUnits/12*BP$8,0)</f>
        <v/>
      </c>
      <c r="BQ26" s="218">
        <f>IF(65&gt;=DeliverStart,ExpAdminPerUnit*TotalUnits/12*BQ$8,0)</f>
        <v/>
      </c>
      <c r="BR26" s="218">
        <f>IF(66&gt;=DeliverStart,ExpAdminPerUnit*TotalUnits/12*BR$8,0)</f>
        <v/>
      </c>
      <c r="BS26" s="218">
        <f>IF(67&gt;=DeliverStart,ExpAdminPerUnit*TotalUnits/12*BS$8,0)</f>
        <v/>
      </c>
      <c r="BT26" s="218">
        <f>IF(68&gt;=DeliverStart,ExpAdminPerUnit*TotalUnits/12*BT$8,0)</f>
        <v/>
      </c>
      <c r="BU26" s="218">
        <f>IF(69&gt;=DeliverStart,ExpAdminPerUnit*TotalUnits/12*BU$8,0)</f>
        <v/>
      </c>
      <c r="BV26" s="218">
        <f>IF(70&gt;=DeliverStart,ExpAdminPerUnit*TotalUnits/12*BV$8,0)</f>
        <v/>
      </c>
      <c r="BW26" s="218">
        <f>IF(71&gt;=DeliverStart,ExpAdminPerUnit*TotalUnits/12*BW$8,0)</f>
        <v/>
      </c>
      <c r="BX26" s="218">
        <f>IF(72&gt;=DeliverStart,ExpAdminPerUnit*TotalUnits/12*BX$8,0)</f>
        <v/>
      </c>
      <c r="BY26" s="218">
        <f>IF(73&gt;=DeliverStart,ExpAdminPerUnit*TotalUnits/12*BY$8,0)</f>
        <v/>
      </c>
      <c r="BZ26" s="218">
        <f>IF(74&gt;=DeliverStart,ExpAdminPerUnit*TotalUnits/12*BZ$8,0)</f>
        <v/>
      </c>
      <c r="CA26" s="218">
        <f>IF(75&gt;=DeliverStart,ExpAdminPerUnit*TotalUnits/12*CA$8,0)</f>
        <v/>
      </c>
      <c r="CB26" s="218">
        <f>IF(76&gt;=DeliverStart,ExpAdminPerUnit*TotalUnits/12*CB$8,0)</f>
        <v/>
      </c>
      <c r="CC26" s="218">
        <f>IF(77&gt;=DeliverStart,ExpAdminPerUnit*TotalUnits/12*CC$8,0)</f>
        <v/>
      </c>
      <c r="CD26" s="218">
        <f>IF(78&gt;=DeliverStart,ExpAdminPerUnit*TotalUnits/12*CD$8,0)</f>
        <v/>
      </c>
      <c r="CE26" s="218">
        <f>IF(79&gt;=DeliverStart,ExpAdminPerUnit*TotalUnits/12*CE$8,0)</f>
        <v/>
      </c>
      <c r="CF26" s="218">
        <f>IF(80&gt;=DeliverStart,ExpAdminPerUnit*TotalUnits/12*CF$8,0)</f>
        <v/>
      </c>
      <c r="CG26" s="218">
        <f>IF(81&gt;=DeliverStart,ExpAdminPerUnit*TotalUnits/12*CG$8,0)</f>
        <v/>
      </c>
      <c r="CH26" s="218">
        <f>IF(82&gt;=DeliverStart,ExpAdminPerUnit*TotalUnits/12*CH$8,0)</f>
        <v/>
      </c>
      <c r="CI26" s="218">
        <f>IF(83&gt;=DeliverStart,ExpAdminPerUnit*TotalUnits/12*CI$8,0)</f>
        <v/>
      </c>
      <c r="CJ26" s="218">
        <f>IF(84&gt;=DeliverStart,ExpAdminPerUnit*TotalUnits/12*CJ$8,0)</f>
        <v/>
      </c>
      <c r="CK26" s="218">
        <f>IF(85&gt;=DeliverStart,ExpAdminPerUnit*TotalUnits/12*CK$8,0)</f>
        <v/>
      </c>
      <c r="CL26" s="218">
        <f>IF(86&gt;=DeliverStart,ExpAdminPerUnit*TotalUnits/12*CL$8,0)</f>
        <v/>
      </c>
      <c r="CM26" s="218">
        <f>IF(87&gt;=DeliverStart,ExpAdminPerUnit*TotalUnits/12*CM$8,0)</f>
        <v/>
      </c>
      <c r="CN26" s="218">
        <f>IF(88&gt;=DeliverStart,ExpAdminPerUnit*TotalUnits/12*CN$8,0)</f>
        <v/>
      </c>
      <c r="CO26" s="218">
        <f>IF(89&gt;=DeliverStart,ExpAdminPerUnit*TotalUnits/12*CO$8,0)</f>
        <v/>
      </c>
      <c r="CP26" s="218">
        <f>IF(90&gt;=DeliverStart,ExpAdminPerUnit*TotalUnits/12*CP$8,0)</f>
        <v/>
      </c>
      <c r="CQ26" s="218">
        <f>IF(91&gt;=DeliverStart,ExpAdminPerUnit*TotalUnits/12*CQ$8,0)</f>
        <v/>
      </c>
      <c r="CR26" s="218">
        <f>IF(92&gt;=DeliverStart,ExpAdminPerUnit*TotalUnits/12*CR$8,0)</f>
        <v/>
      </c>
      <c r="CS26" s="218">
        <f>IF(93&gt;=DeliverStart,ExpAdminPerUnit*TotalUnits/12*CS$8,0)</f>
        <v/>
      </c>
      <c r="CT26" s="218">
        <f>IF(94&gt;=DeliverStart,ExpAdminPerUnit*TotalUnits/12*CT$8,0)</f>
        <v/>
      </c>
      <c r="CU26" s="218">
        <f>IF(95&gt;=DeliverStart,ExpAdminPerUnit*TotalUnits/12*CU$8,0)</f>
        <v/>
      </c>
      <c r="CV26" s="218">
        <f>IF(96&gt;=DeliverStart,ExpAdminPerUnit*TotalUnits/12*CV$8,0)</f>
        <v/>
      </c>
      <c r="CW26" s="218">
        <f>IF(97&gt;=DeliverStart,ExpAdminPerUnit*TotalUnits/12*CW$8,0)</f>
        <v/>
      </c>
      <c r="CX26" s="218">
        <f>IF(98&gt;=DeliverStart,ExpAdminPerUnit*TotalUnits/12*CX$8,0)</f>
        <v/>
      </c>
      <c r="CY26" s="218">
        <f>IF(99&gt;=DeliverStart,ExpAdminPerUnit*TotalUnits/12*CY$8,0)</f>
        <v/>
      </c>
      <c r="CZ26" s="218">
        <f>IF(100&gt;=DeliverStart,ExpAdminPerUnit*TotalUnits/12*CZ$8,0)</f>
        <v/>
      </c>
      <c r="DA26" s="218">
        <f>IF(101&gt;=DeliverStart,ExpAdminPerUnit*TotalUnits/12*DA$8,0)</f>
        <v/>
      </c>
      <c r="DB26" s="218">
        <f>IF(102&gt;=DeliverStart,ExpAdminPerUnit*TotalUnits/12*DB$8,0)</f>
        <v/>
      </c>
      <c r="DC26" s="218">
        <f>IF(103&gt;=DeliverStart,ExpAdminPerUnit*TotalUnits/12*DC$8,0)</f>
        <v/>
      </c>
      <c r="DD26" s="218">
        <f>IF(104&gt;=DeliverStart,ExpAdminPerUnit*TotalUnits/12*DD$8,0)</f>
        <v/>
      </c>
      <c r="DE26" s="218">
        <f>IF(105&gt;=DeliverStart,ExpAdminPerUnit*TotalUnits/12*DE$8,0)</f>
        <v/>
      </c>
      <c r="DF26" s="218">
        <f>IF(106&gt;=DeliverStart,ExpAdminPerUnit*TotalUnits/12*DF$8,0)</f>
        <v/>
      </c>
      <c r="DG26" s="218">
        <f>IF(107&gt;=DeliverStart,ExpAdminPerUnit*TotalUnits/12*DG$8,0)</f>
        <v/>
      </c>
      <c r="DH26" s="218">
        <f>IF(108&gt;=DeliverStart,ExpAdminPerUnit*TotalUnits/12*DH$8,0)</f>
        <v/>
      </c>
      <c r="DI26" s="218">
        <f>IF(109&gt;=DeliverStart,ExpAdminPerUnit*TotalUnits/12*DI$8,0)</f>
        <v/>
      </c>
      <c r="DJ26" s="218">
        <f>IF(110&gt;=DeliverStart,ExpAdminPerUnit*TotalUnits/12*DJ$8,0)</f>
        <v/>
      </c>
      <c r="DK26" s="218">
        <f>IF(111&gt;=DeliverStart,ExpAdminPerUnit*TotalUnits/12*DK$8,0)</f>
        <v/>
      </c>
      <c r="DL26" s="218">
        <f>IF(112&gt;=DeliverStart,ExpAdminPerUnit*TotalUnits/12*DL$8,0)</f>
        <v/>
      </c>
      <c r="DM26" s="218">
        <f>IF(113&gt;=DeliverStart,ExpAdminPerUnit*TotalUnits/12*DM$8,0)</f>
        <v/>
      </c>
      <c r="DN26" s="218">
        <f>IF(114&gt;=DeliverStart,ExpAdminPerUnit*TotalUnits/12*DN$8,0)</f>
        <v/>
      </c>
      <c r="DO26" s="218">
        <f>IF(115&gt;=DeliverStart,ExpAdminPerUnit*TotalUnits/12*DO$8,0)</f>
        <v/>
      </c>
      <c r="DP26" s="218">
        <f>IF(116&gt;=DeliverStart,ExpAdminPerUnit*TotalUnits/12*DP$8,0)</f>
        <v/>
      </c>
      <c r="DQ26" s="218">
        <f>IF(117&gt;=DeliverStart,ExpAdminPerUnit*TotalUnits/12*DQ$8,0)</f>
        <v/>
      </c>
      <c r="DR26" s="218">
        <f>IF(118&gt;=DeliverStart,ExpAdminPerUnit*TotalUnits/12*DR$8,0)</f>
        <v/>
      </c>
      <c r="DS26" s="218">
        <f>IF(119&gt;=DeliverStart,ExpAdminPerUnit*TotalUnits/12*DS$8,0)</f>
        <v/>
      </c>
      <c r="DT26" s="218">
        <f>IF(120&gt;=DeliverStart,ExpAdminPerUnit*TotalUnits/12*DT$8,0)</f>
        <v/>
      </c>
      <c r="DU26" s="218">
        <f>IF(121&gt;=DeliverStart,ExpAdminPerUnit*TotalUnits/12*DU$8,0)</f>
        <v/>
      </c>
      <c r="DV26" s="218">
        <f>IF(122&gt;=DeliverStart,ExpAdminPerUnit*TotalUnits/12*DV$8,0)</f>
        <v/>
      </c>
      <c r="DW26" s="218">
        <f>IF(123&gt;=DeliverStart,ExpAdminPerUnit*TotalUnits/12*DW$8,0)</f>
        <v/>
      </c>
      <c r="DX26" s="218">
        <f>IF(124&gt;=DeliverStart,ExpAdminPerUnit*TotalUnits/12*DX$8,0)</f>
        <v/>
      </c>
      <c r="DY26" s="218">
        <f>IF(125&gt;=DeliverStart,ExpAdminPerUnit*TotalUnits/12*DY$8,0)</f>
        <v/>
      </c>
      <c r="DZ26" s="218">
        <f>IF(126&gt;=DeliverStart,ExpAdminPerUnit*TotalUnits/12*DZ$8,0)</f>
        <v/>
      </c>
      <c r="EA26" s="218">
        <f>IF(127&gt;=DeliverStart,ExpAdminPerUnit*TotalUnits/12*EA$8,0)</f>
        <v/>
      </c>
      <c r="EB26" s="218">
        <f>IF(128&gt;=DeliverStart,ExpAdminPerUnit*TotalUnits/12*EB$8,0)</f>
        <v/>
      </c>
      <c r="EC26" s="218">
        <f>IF(129&gt;=DeliverStart,ExpAdminPerUnit*TotalUnits/12*EC$8,0)</f>
        <v/>
      </c>
      <c r="ED26" s="218">
        <f>IF(130&gt;=DeliverStart,ExpAdminPerUnit*TotalUnits/12*ED$8,0)</f>
        <v/>
      </c>
      <c r="EE26" s="218">
        <f>IF(131&gt;=DeliverStart,ExpAdminPerUnit*TotalUnits/12*EE$8,0)</f>
        <v/>
      </c>
      <c r="EF26" s="218">
        <f>IF(132&gt;=DeliverStart,ExpAdminPerUnit*TotalUnits/12*EF$8,0)</f>
        <v/>
      </c>
      <c r="EG26" s="218">
        <f>IF(133&gt;=DeliverStart,ExpAdminPerUnit*TotalUnits/12*EG$8,0)</f>
        <v/>
      </c>
      <c r="EH26" s="218">
        <f>IF(134&gt;=DeliverStart,ExpAdminPerUnit*TotalUnits/12*EH$8,0)</f>
        <v/>
      </c>
      <c r="EI26" s="218">
        <f>IF(135&gt;=DeliverStart,ExpAdminPerUnit*TotalUnits/12*EI$8,0)</f>
        <v/>
      </c>
      <c r="EJ26" s="218">
        <f>IF(136&gt;=DeliverStart,ExpAdminPerUnit*TotalUnits/12*EJ$8,0)</f>
        <v/>
      </c>
      <c r="EK26" s="218">
        <f>IF(137&gt;=DeliverStart,ExpAdminPerUnit*TotalUnits/12*EK$8,0)</f>
        <v/>
      </c>
      <c r="EL26" s="218">
        <f>IF(138&gt;=DeliverStart,ExpAdminPerUnit*TotalUnits/12*EL$8,0)</f>
        <v/>
      </c>
      <c r="EM26" s="218">
        <f>IF(139&gt;=DeliverStart,ExpAdminPerUnit*TotalUnits/12*EM$8,0)</f>
        <v/>
      </c>
      <c r="EN26" s="218">
        <f>IF(140&gt;=DeliverStart,ExpAdminPerUnit*TotalUnits/12*EN$8,0)</f>
        <v/>
      </c>
      <c r="EO26" s="218">
        <f>IF(141&gt;=DeliverStart,ExpAdminPerUnit*TotalUnits/12*EO$8,0)</f>
        <v/>
      </c>
      <c r="EP26" s="218">
        <f>IF(142&gt;=DeliverStart,ExpAdminPerUnit*TotalUnits/12*EP$8,0)</f>
        <v/>
      </c>
      <c r="EQ26" s="218">
        <f>IF(143&gt;=DeliverStart,ExpAdminPerUnit*TotalUnits/12*EQ$8,0)</f>
        <v/>
      </c>
      <c r="ER26" s="218">
        <f>IF(144&gt;=DeliverStart,ExpAdminPerUnit*TotalUnits/12*ER$8,0)</f>
        <v/>
      </c>
      <c r="ES26" s="218">
        <f>IF(145&gt;=DeliverStart,ExpAdminPerUnit*TotalUnits/12*ES$8,0)</f>
        <v/>
      </c>
      <c r="ET26" s="218">
        <f>IF(146&gt;=DeliverStart,ExpAdminPerUnit*TotalUnits/12*ET$8,0)</f>
        <v/>
      </c>
      <c r="EU26" s="218">
        <f>IF(147&gt;=DeliverStart,ExpAdminPerUnit*TotalUnits/12*EU$8,0)</f>
        <v/>
      </c>
      <c r="EV26" s="218">
        <f>IF(148&gt;=DeliverStart,ExpAdminPerUnit*TotalUnits/12*EV$8,0)</f>
        <v/>
      </c>
      <c r="EW26" s="218">
        <f>IF(149&gt;=DeliverStart,ExpAdminPerUnit*TotalUnits/12*EW$8,0)</f>
        <v/>
      </c>
      <c r="EX26" s="218">
        <f>IF(150&gt;=DeliverStart,ExpAdminPerUnit*TotalUnits/12*EX$8,0)</f>
        <v/>
      </c>
      <c r="EY26" s="218">
        <f>IF(151&gt;=DeliverStart,ExpAdminPerUnit*TotalUnits/12*EY$8,0)</f>
        <v/>
      </c>
      <c r="EZ26" s="218">
        <f>IF(152&gt;=DeliverStart,ExpAdminPerUnit*TotalUnits/12*EZ$8,0)</f>
        <v/>
      </c>
      <c r="FA26" s="218">
        <f>IF(153&gt;=DeliverStart,ExpAdminPerUnit*TotalUnits/12*FA$8,0)</f>
        <v/>
      </c>
      <c r="FB26" s="218">
        <f>IF(154&gt;=DeliverStart,ExpAdminPerUnit*TotalUnits/12*FB$8,0)</f>
        <v/>
      </c>
      <c r="FC26" s="218">
        <f>IF(155&gt;=DeliverStart,ExpAdminPerUnit*TotalUnits/12*FC$8,0)</f>
        <v/>
      </c>
      <c r="FD26" s="218">
        <f>IF(156&gt;=DeliverStart,ExpAdminPerUnit*TotalUnits/12*FD$8,0)</f>
        <v/>
      </c>
      <c r="FE26" s="218">
        <f>IF(157&gt;=DeliverStart,ExpAdminPerUnit*TotalUnits/12*FE$8,0)</f>
        <v/>
      </c>
      <c r="FF26" s="218">
        <f>IF(158&gt;=DeliverStart,ExpAdminPerUnit*TotalUnits/12*FF$8,0)</f>
        <v/>
      </c>
      <c r="FG26" s="218">
        <f>IF(159&gt;=DeliverStart,ExpAdminPerUnit*TotalUnits/12*FG$8,0)</f>
        <v/>
      </c>
      <c r="FH26" s="218">
        <f>IF(160&gt;=DeliverStart,ExpAdminPerUnit*TotalUnits/12*FH$8,0)</f>
        <v/>
      </c>
      <c r="FI26" s="218">
        <f>IF(161&gt;=DeliverStart,ExpAdminPerUnit*TotalUnits/12*FI$8,0)</f>
        <v/>
      </c>
      <c r="FJ26" s="218">
        <f>IF(162&gt;=DeliverStart,ExpAdminPerUnit*TotalUnits/12*FJ$8,0)</f>
        <v/>
      </c>
      <c r="FK26" s="218">
        <f>IF(163&gt;=DeliverStart,ExpAdminPerUnit*TotalUnits/12*FK$8,0)</f>
        <v/>
      </c>
      <c r="FL26" s="218">
        <f>IF(164&gt;=DeliverStart,ExpAdminPerUnit*TotalUnits/12*FL$8,0)</f>
        <v/>
      </c>
      <c r="FM26" s="218">
        <f>IF(165&gt;=DeliverStart,ExpAdminPerUnit*TotalUnits/12*FM$8,0)</f>
        <v/>
      </c>
      <c r="FN26" s="218">
        <f>IF(166&gt;=DeliverStart,ExpAdminPerUnit*TotalUnits/12*FN$8,0)</f>
        <v/>
      </c>
      <c r="FO26" s="218">
        <f>IF(167&gt;=DeliverStart,ExpAdminPerUnit*TotalUnits/12*FO$8,0)</f>
        <v/>
      </c>
      <c r="FP26" s="218">
        <f>IF(168&gt;=DeliverStart,ExpAdminPerUnit*TotalUnits/12*FP$8,0)</f>
        <v/>
      </c>
      <c r="FQ26" s="218">
        <f>IF(169&gt;=DeliverStart,ExpAdminPerUnit*TotalUnits/12*FQ$8,0)</f>
        <v/>
      </c>
      <c r="FR26" s="218">
        <f>IF(170&gt;=DeliverStart,ExpAdminPerUnit*TotalUnits/12*FR$8,0)</f>
        <v/>
      </c>
      <c r="FS26" s="218">
        <f>IF(171&gt;=DeliverStart,ExpAdminPerUnit*TotalUnits/12*FS$8,0)</f>
        <v/>
      </c>
      <c r="FT26" s="218">
        <f>IF(172&gt;=DeliverStart,ExpAdminPerUnit*TotalUnits/12*FT$8,0)</f>
        <v/>
      </c>
      <c r="FU26" s="218">
        <f>IF(173&gt;=DeliverStart,ExpAdminPerUnit*TotalUnits/12*FU$8,0)</f>
        <v/>
      </c>
      <c r="FV26" s="218">
        <f>IF(174&gt;=DeliverStart,ExpAdminPerUnit*TotalUnits/12*FV$8,0)</f>
        <v/>
      </c>
      <c r="FW26" s="218">
        <f>IF(175&gt;=DeliverStart,ExpAdminPerUnit*TotalUnits/12*FW$8,0)</f>
        <v/>
      </c>
      <c r="FX26" s="218">
        <f>IF(176&gt;=DeliverStart,ExpAdminPerUnit*TotalUnits/12*FX$8,0)</f>
        <v/>
      </c>
      <c r="FY26" s="218">
        <f>IF(177&gt;=DeliverStart,ExpAdminPerUnit*TotalUnits/12*FY$8,0)</f>
        <v/>
      </c>
      <c r="FZ26" s="218">
        <f>IF(178&gt;=DeliverStart,ExpAdminPerUnit*TotalUnits/12*FZ$8,0)</f>
        <v/>
      </c>
      <c r="GA26" s="218">
        <f>IF(179&gt;=DeliverStart,ExpAdminPerUnit*TotalUnits/12*GA$8,0)</f>
        <v/>
      </c>
      <c r="GB26" s="218">
        <f>IF(180&gt;=DeliverStart,ExpAdminPerUnit*TotalUnits/12*GB$8,0)</f>
        <v/>
      </c>
      <c r="GC26" s="218">
        <f>IF(181&gt;=DeliverStart,ExpAdminPerUnit*TotalUnits/12*GC$8,0)</f>
        <v/>
      </c>
      <c r="GD26" s="218">
        <f>IF(182&gt;=DeliverStart,ExpAdminPerUnit*TotalUnits/12*GD$8,0)</f>
        <v/>
      </c>
      <c r="GE26" s="218">
        <f>IF(183&gt;=DeliverStart,ExpAdminPerUnit*TotalUnits/12*GE$8,0)</f>
        <v/>
      </c>
      <c r="GF26" s="218">
        <f>IF(184&gt;=DeliverStart,ExpAdminPerUnit*TotalUnits/12*GF$8,0)</f>
        <v/>
      </c>
      <c r="GG26" s="218">
        <f>IF(185&gt;=DeliverStart,ExpAdminPerUnit*TotalUnits/12*GG$8,0)</f>
        <v/>
      </c>
      <c r="GH26" s="218">
        <f>IF(186&gt;=DeliverStart,ExpAdminPerUnit*TotalUnits/12*GH$8,0)</f>
        <v/>
      </c>
      <c r="GI26" s="218">
        <f>IF(187&gt;=DeliverStart,ExpAdminPerUnit*TotalUnits/12*GI$8,0)</f>
        <v/>
      </c>
      <c r="GJ26" s="218">
        <f>IF(188&gt;=DeliverStart,ExpAdminPerUnit*TotalUnits/12*GJ$8,0)</f>
        <v/>
      </c>
      <c r="GK26" s="218">
        <f>IF(189&gt;=DeliverStart,ExpAdminPerUnit*TotalUnits/12*GK$8,0)</f>
        <v/>
      </c>
      <c r="GL26" s="218">
        <f>IF(190&gt;=DeliverStart,ExpAdminPerUnit*TotalUnits/12*GL$8,0)</f>
        <v/>
      </c>
      <c r="GM26" s="218">
        <f>IF(191&gt;=DeliverStart,ExpAdminPerUnit*TotalUnits/12*GM$8,0)</f>
        <v/>
      </c>
      <c r="GN26" s="218">
        <f>IF(192&gt;=DeliverStart,ExpAdminPerUnit*TotalUnits/12*GN$8,0)</f>
        <v/>
      </c>
      <c r="GO26" s="218">
        <f>IF(193&gt;=DeliverStart,ExpAdminPerUnit*TotalUnits/12*GO$8,0)</f>
        <v/>
      </c>
      <c r="GP26" s="218">
        <f>IF(194&gt;=DeliverStart,ExpAdminPerUnit*TotalUnits/12*GP$8,0)</f>
        <v/>
      </c>
      <c r="GQ26" s="218">
        <f>IF(195&gt;=DeliverStart,ExpAdminPerUnit*TotalUnits/12*GQ$8,0)</f>
        <v/>
      </c>
      <c r="GR26" s="218">
        <f>IF(196&gt;=DeliverStart,ExpAdminPerUnit*TotalUnits/12*GR$8,0)</f>
        <v/>
      </c>
      <c r="GS26" s="218">
        <f>IF(197&gt;=DeliverStart,ExpAdminPerUnit*TotalUnits/12*GS$8,0)</f>
        <v/>
      </c>
      <c r="GT26" s="218">
        <f>IF(198&gt;=DeliverStart,ExpAdminPerUnit*TotalUnits/12*GT$8,0)</f>
        <v/>
      </c>
      <c r="GU26" s="218">
        <f>IF(199&gt;=DeliverStart,ExpAdminPerUnit*TotalUnits/12*GU$8,0)</f>
        <v/>
      </c>
      <c r="GV26" s="218">
        <f>IF(200&gt;=DeliverStart,ExpAdminPerUnit*TotalUnits/12*GV$8,0)</f>
        <v/>
      </c>
      <c r="GW26" s="218">
        <f>IF(201&gt;=DeliverStart,ExpAdminPerUnit*TotalUnits/12*GW$8,0)</f>
        <v/>
      </c>
      <c r="GX26" s="218">
        <f>IF(202&gt;=DeliverStart,ExpAdminPerUnit*TotalUnits/12*GX$8,0)</f>
        <v/>
      </c>
      <c r="GY26" s="218">
        <f>IF(203&gt;=DeliverStart,ExpAdminPerUnit*TotalUnits/12*GY$8,0)</f>
        <v/>
      </c>
      <c r="GZ26" s="218">
        <f>IF(204&gt;=DeliverStart,ExpAdminPerUnit*TotalUnits/12*GZ$8,0)</f>
        <v/>
      </c>
      <c r="HA26" s="218">
        <f>IF(205&gt;=DeliverStart,ExpAdminPerUnit*TotalUnits/12*HA$8,0)</f>
        <v/>
      </c>
      <c r="HB26" s="218">
        <f>IF(206&gt;=DeliverStart,ExpAdminPerUnit*TotalUnits/12*HB$8,0)</f>
        <v/>
      </c>
      <c r="HC26" s="218">
        <f>IF(207&gt;=DeliverStart,ExpAdminPerUnit*TotalUnits/12*HC$8,0)</f>
        <v/>
      </c>
      <c r="HD26" s="218">
        <f>IF(208&gt;=DeliverStart,ExpAdminPerUnit*TotalUnits/12*HD$8,0)</f>
        <v/>
      </c>
      <c r="HE26" s="218">
        <f>IF(209&gt;=DeliverStart,ExpAdminPerUnit*TotalUnits/12*HE$8,0)</f>
        <v/>
      </c>
      <c r="HF26" s="218">
        <f>IF(210&gt;=DeliverStart,ExpAdminPerUnit*TotalUnits/12*HF$8,0)</f>
        <v/>
      </c>
      <c r="HG26" s="218">
        <f>IF(211&gt;=DeliverStart,ExpAdminPerUnit*TotalUnits/12*HG$8,0)</f>
        <v/>
      </c>
      <c r="HH26" s="218">
        <f>IF(212&gt;=DeliverStart,ExpAdminPerUnit*TotalUnits/12*HH$8,0)</f>
        <v/>
      </c>
      <c r="HI26" s="218">
        <f>IF(213&gt;=DeliverStart,ExpAdminPerUnit*TotalUnits/12*HI$8,0)</f>
        <v/>
      </c>
      <c r="HJ26" s="218">
        <f>IF(214&gt;=DeliverStart,ExpAdminPerUnit*TotalUnits/12*HJ$8,0)</f>
        <v/>
      </c>
      <c r="HK26" s="218">
        <f>IF(215&gt;=DeliverStart,ExpAdminPerUnit*TotalUnits/12*HK$8,0)</f>
        <v/>
      </c>
      <c r="HL26" s="218">
        <f>IF(216&gt;=DeliverStart,ExpAdminPerUnit*TotalUnits/12*HL$8,0)</f>
        <v/>
      </c>
      <c r="HM26" s="218">
        <f>IF(217&gt;=DeliverStart,ExpAdminPerUnit*TotalUnits/12*HM$8,0)</f>
        <v/>
      </c>
      <c r="HN26" s="218">
        <f>IF(218&gt;=DeliverStart,ExpAdminPerUnit*TotalUnits/12*HN$8,0)</f>
        <v/>
      </c>
      <c r="HO26" s="218">
        <f>IF(219&gt;=DeliverStart,ExpAdminPerUnit*TotalUnits/12*HO$8,0)</f>
        <v/>
      </c>
      <c r="HP26" s="218">
        <f>IF(220&gt;=DeliverStart,ExpAdminPerUnit*TotalUnits/12*HP$8,0)</f>
        <v/>
      </c>
      <c r="HQ26" s="218">
        <f>IF(221&gt;=DeliverStart,ExpAdminPerUnit*TotalUnits/12*HQ$8,0)</f>
        <v/>
      </c>
      <c r="HR26" s="218">
        <f>IF(222&gt;=DeliverStart,ExpAdminPerUnit*TotalUnits/12*HR$8,0)</f>
        <v/>
      </c>
      <c r="HS26" s="218">
        <f>IF(223&gt;=DeliverStart,ExpAdminPerUnit*TotalUnits/12*HS$8,0)</f>
        <v/>
      </c>
      <c r="HT26" s="218">
        <f>IF(224&gt;=DeliverStart,ExpAdminPerUnit*TotalUnits/12*HT$8,0)</f>
        <v/>
      </c>
      <c r="HU26" s="218">
        <f>IF(225&gt;=DeliverStart,ExpAdminPerUnit*TotalUnits/12*HU$8,0)</f>
        <v/>
      </c>
      <c r="HV26" s="218">
        <f>IF(226&gt;=DeliverStart,ExpAdminPerUnit*TotalUnits/12*HV$8,0)</f>
        <v/>
      </c>
      <c r="HW26" s="218">
        <f>IF(227&gt;=DeliverStart,ExpAdminPerUnit*TotalUnits/12*HW$8,0)</f>
        <v/>
      </c>
      <c r="HX26" s="218">
        <f>IF(228&gt;=DeliverStart,ExpAdminPerUnit*TotalUnits/12*HX$8,0)</f>
        <v/>
      </c>
      <c r="HY26" s="218">
        <f>IF(229&gt;=DeliverStart,ExpAdminPerUnit*TotalUnits/12*HY$8,0)</f>
        <v/>
      </c>
      <c r="HZ26" s="218">
        <f>IF(230&gt;=DeliverStart,ExpAdminPerUnit*TotalUnits/12*HZ$8,0)</f>
        <v/>
      </c>
      <c r="IA26" s="218">
        <f>IF(231&gt;=DeliverStart,ExpAdminPerUnit*TotalUnits/12*IA$8,0)</f>
        <v/>
      </c>
      <c r="IB26" s="218">
        <f>IF(232&gt;=DeliverStart,ExpAdminPerUnit*TotalUnits/12*IB$8,0)</f>
        <v/>
      </c>
      <c r="IC26" s="218">
        <f>IF(233&gt;=DeliverStart,ExpAdminPerUnit*TotalUnits/12*IC$8,0)</f>
        <v/>
      </c>
      <c r="ID26" s="218">
        <f>IF(234&gt;=DeliverStart,ExpAdminPerUnit*TotalUnits/12*ID$8,0)</f>
        <v/>
      </c>
      <c r="IE26" s="218">
        <f>IF(235&gt;=DeliverStart,ExpAdminPerUnit*TotalUnits/12*IE$8,0)</f>
        <v/>
      </c>
      <c r="IF26" s="218">
        <f>IF(236&gt;=DeliverStart,ExpAdminPerUnit*TotalUnits/12*IF$8,0)</f>
        <v/>
      </c>
      <c r="IG26" s="218">
        <f>IF(237&gt;=DeliverStart,ExpAdminPerUnit*TotalUnits/12*IG$8,0)</f>
        <v/>
      </c>
      <c r="IH26" s="218">
        <f>IF(238&gt;=DeliverStart,ExpAdminPerUnit*TotalUnits/12*IH$8,0)</f>
        <v/>
      </c>
      <c r="II26" s="218">
        <f>IF(239&gt;=DeliverStart,ExpAdminPerUnit*TotalUnits/12*II$8,0)</f>
        <v/>
      </c>
      <c r="IJ26" s="218">
        <f>IF(240&gt;=DeliverStart,ExpAdminPerUnit*TotalUnits/12*IJ$8,0)</f>
        <v/>
      </c>
      <c r="IK26" s="218">
        <f>IF(241&gt;=DeliverStart,ExpAdminPerUnit*TotalUnits/12*IK$8,0)</f>
        <v/>
      </c>
      <c r="IL26" s="218">
        <f>IF(242&gt;=DeliverStart,ExpAdminPerUnit*TotalUnits/12*IL$8,0)</f>
        <v/>
      </c>
      <c r="IM26" s="218">
        <f>IF(243&gt;=DeliverStart,ExpAdminPerUnit*TotalUnits/12*IM$8,0)</f>
        <v/>
      </c>
      <c r="IN26" s="218">
        <f>IF(244&gt;=DeliverStart,ExpAdminPerUnit*TotalUnits/12*IN$8,0)</f>
        <v/>
      </c>
      <c r="IO26" s="218">
        <f>IF(245&gt;=DeliverStart,ExpAdminPerUnit*TotalUnits/12*IO$8,0)</f>
        <v/>
      </c>
      <c r="IP26" s="218">
        <f>IF(246&gt;=DeliverStart,ExpAdminPerUnit*TotalUnits/12*IP$8,0)</f>
        <v/>
      </c>
      <c r="IQ26" s="218">
        <f>IF(247&gt;=DeliverStart,ExpAdminPerUnit*TotalUnits/12*IQ$8,0)</f>
        <v/>
      </c>
      <c r="IR26" s="218">
        <f>IF(248&gt;=DeliverStart,ExpAdminPerUnit*TotalUnits/12*IR$8,0)</f>
        <v/>
      </c>
      <c r="IS26" s="218">
        <f>IF(249&gt;=DeliverStart,ExpAdminPerUnit*TotalUnits/12*IS$8,0)</f>
        <v/>
      </c>
      <c r="IT26" s="218">
        <f>IF(250&gt;=DeliverStart,ExpAdminPerUnit*TotalUnits/12*IT$8,0)</f>
        <v/>
      </c>
      <c r="IU26" s="218">
        <f>IF(251&gt;=DeliverStart,ExpAdminPerUnit*TotalUnits/12*IU$8,0)</f>
        <v/>
      </c>
      <c r="IV26" s="218">
        <f>IF(252&gt;=DeliverStart,ExpAdminPerUnit*TotalUnits/12*IV$8,0)</f>
        <v/>
      </c>
      <c r="IW26" s="218">
        <f>IF(253&gt;=DeliverStart,ExpAdminPerUnit*TotalUnits/12*IW$8,0)</f>
        <v/>
      </c>
      <c r="IX26" s="218">
        <f>IF(254&gt;=DeliverStart,ExpAdminPerUnit*TotalUnits/12*IX$8,0)</f>
        <v/>
      </c>
      <c r="IY26" s="218">
        <f>IF(255&gt;=DeliverStart,ExpAdminPerUnit*TotalUnits/12*IY$8,0)</f>
        <v/>
      </c>
      <c r="IZ26" s="218">
        <f>IF(256&gt;=DeliverStart,ExpAdminPerUnit*TotalUnits/12*IZ$8,0)</f>
        <v/>
      </c>
      <c r="JA26" s="218">
        <f>IF(257&gt;=DeliverStart,ExpAdminPerUnit*TotalUnits/12*JA$8,0)</f>
        <v/>
      </c>
      <c r="JB26" s="218">
        <f>IF(258&gt;=DeliverStart,ExpAdminPerUnit*TotalUnits/12*JB$8,0)</f>
        <v/>
      </c>
      <c r="JC26" s="218">
        <f>IF(259&gt;=DeliverStart,ExpAdminPerUnit*TotalUnits/12*JC$8,0)</f>
        <v/>
      </c>
      <c r="JD26" s="218">
        <f>IF(260&gt;=DeliverStart,ExpAdminPerUnit*TotalUnits/12*JD$8,0)</f>
        <v/>
      </c>
      <c r="JE26" s="218">
        <f>IF(261&gt;=DeliverStart,ExpAdminPerUnit*TotalUnits/12*JE$8,0)</f>
        <v/>
      </c>
      <c r="JF26" s="218">
        <f>IF(262&gt;=DeliverStart,ExpAdminPerUnit*TotalUnits/12*JF$8,0)</f>
        <v/>
      </c>
      <c r="JG26" s="218">
        <f>IF(263&gt;=DeliverStart,ExpAdminPerUnit*TotalUnits/12*JG$8,0)</f>
        <v/>
      </c>
      <c r="JH26" s="218">
        <f>IF(264&gt;=DeliverStart,ExpAdminPerUnit*TotalUnits/12*JH$8,0)</f>
        <v/>
      </c>
      <c r="JI26" s="218">
        <f>IF(265&gt;=DeliverStart,ExpAdminPerUnit*TotalUnits/12*JI$8,0)</f>
        <v/>
      </c>
      <c r="JJ26" s="218">
        <f>IF(266&gt;=DeliverStart,ExpAdminPerUnit*TotalUnits/12*JJ$8,0)</f>
        <v/>
      </c>
      <c r="JK26" s="218">
        <f>IF(267&gt;=DeliverStart,ExpAdminPerUnit*TotalUnits/12*JK$8,0)</f>
        <v/>
      </c>
      <c r="JL26" s="218">
        <f>IF(268&gt;=DeliverStart,ExpAdminPerUnit*TotalUnits/12*JL$8,0)</f>
        <v/>
      </c>
      <c r="JM26" s="218">
        <f>IF(269&gt;=DeliverStart,ExpAdminPerUnit*TotalUnits/12*JM$8,0)</f>
        <v/>
      </c>
      <c r="JN26" s="218">
        <f>IF(270&gt;=DeliverStart,ExpAdminPerUnit*TotalUnits/12*JN$8,0)</f>
        <v/>
      </c>
      <c r="JO26" s="218">
        <f>IF(271&gt;=DeliverStart,ExpAdminPerUnit*TotalUnits/12*JO$8,0)</f>
        <v/>
      </c>
      <c r="JP26" s="218">
        <f>IF(272&gt;=DeliverStart,ExpAdminPerUnit*TotalUnits/12*JP$8,0)</f>
        <v/>
      </c>
      <c r="JQ26" s="218">
        <f>IF(273&gt;=DeliverStart,ExpAdminPerUnit*TotalUnits/12*JQ$8,0)</f>
        <v/>
      </c>
      <c r="JR26" s="218">
        <f>IF(274&gt;=DeliverStart,ExpAdminPerUnit*TotalUnits/12*JR$8,0)</f>
        <v/>
      </c>
      <c r="JS26" s="218">
        <f>IF(275&gt;=DeliverStart,ExpAdminPerUnit*TotalUnits/12*JS$8,0)</f>
        <v/>
      </c>
      <c r="JT26" s="218">
        <f>IF(276&gt;=DeliverStart,ExpAdminPerUnit*TotalUnits/12*JT$8,0)</f>
        <v/>
      </c>
      <c r="JU26" s="218">
        <f>IF(277&gt;=DeliverStart,ExpAdminPerUnit*TotalUnits/12*JU$8,0)</f>
        <v/>
      </c>
      <c r="JV26" s="218">
        <f>IF(278&gt;=DeliverStart,ExpAdminPerUnit*TotalUnits/12*JV$8,0)</f>
        <v/>
      </c>
      <c r="JW26" s="218">
        <f>IF(279&gt;=DeliverStart,ExpAdminPerUnit*TotalUnits/12*JW$8,0)</f>
        <v/>
      </c>
      <c r="JX26" s="218">
        <f>IF(280&gt;=DeliverStart,ExpAdminPerUnit*TotalUnits/12*JX$8,0)</f>
        <v/>
      </c>
      <c r="JY26" s="218">
        <f>IF(281&gt;=DeliverStart,ExpAdminPerUnit*TotalUnits/12*JY$8,0)</f>
        <v/>
      </c>
      <c r="JZ26" s="218">
        <f>IF(282&gt;=DeliverStart,ExpAdminPerUnit*TotalUnits/12*JZ$8,0)</f>
        <v/>
      </c>
      <c r="KA26" s="218">
        <f>IF(283&gt;=DeliverStart,ExpAdminPerUnit*TotalUnits/12*KA$8,0)</f>
        <v/>
      </c>
      <c r="KB26" s="218">
        <f>IF(284&gt;=DeliverStart,ExpAdminPerUnit*TotalUnits/12*KB$8,0)</f>
        <v/>
      </c>
      <c r="KC26" s="218">
        <f>IF(285&gt;=DeliverStart,ExpAdminPerUnit*TotalUnits/12*KC$8,0)</f>
        <v/>
      </c>
      <c r="KD26" s="218">
        <f>IF(286&gt;=DeliverStart,ExpAdminPerUnit*TotalUnits/12*KD$8,0)</f>
        <v/>
      </c>
      <c r="KE26" s="218">
        <f>IF(287&gt;=DeliverStart,ExpAdminPerUnit*TotalUnits/12*KE$8,0)</f>
        <v/>
      </c>
      <c r="KF26" s="218">
        <f>IF(288&gt;=DeliverStart,ExpAdminPerUnit*TotalUnits/12*KF$8,0)</f>
        <v/>
      </c>
      <c r="KG26" s="218">
        <f>IF(289&gt;=DeliverStart,ExpAdminPerUnit*TotalUnits/12*KG$8,0)</f>
        <v/>
      </c>
      <c r="KH26" s="218">
        <f>IF(290&gt;=DeliverStart,ExpAdminPerUnit*TotalUnits/12*KH$8,0)</f>
        <v/>
      </c>
      <c r="KI26" s="218">
        <f>IF(291&gt;=DeliverStart,ExpAdminPerUnit*TotalUnits/12*KI$8,0)</f>
        <v/>
      </c>
      <c r="KJ26" s="218">
        <f>IF(292&gt;=DeliverStart,ExpAdminPerUnit*TotalUnits/12*KJ$8,0)</f>
        <v/>
      </c>
      <c r="KK26" s="218">
        <f>IF(293&gt;=DeliverStart,ExpAdminPerUnit*TotalUnits/12*KK$8,0)</f>
        <v/>
      </c>
      <c r="KL26" s="218">
        <f>IF(294&gt;=DeliverStart,ExpAdminPerUnit*TotalUnits/12*KL$8,0)</f>
        <v/>
      </c>
      <c r="KM26" s="218">
        <f>IF(295&gt;=DeliverStart,ExpAdminPerUnit*TotalUnits/12*KM$8,0)</f>
        <v/>
      </c>
      <c r="KN26" s="218">
        <f>IF(296&gt;=DeliverStart,ExpAdminPerUnit*TotalUnits/12*KN$8,0)</f>
        <v/>
      </c>
      <c r="KO26" s="218">
        <f>IF(297&gt;=DeliverStart,ExpAdminPerUnit*TotalUnits/12*KO$8,0)</f>
        <v/>
      </c>
      <c r="KP26" s="218">
        <f>IF(298&gt;=DeliverStart,ExpAdminPerUnit*TotalUnits/12*KP$8,0)</f>
        <v/>
      </c>
      <c r="KQ26" s="218">
        <f>IF(299&gt;=DeliverStart,ExpAdminPerUnit*TotalUnits/12*KQ$8,0)</f>
        <v/>
      </c>
      <c r="KR26" s="218">
        <f>IF(300&gt;=DeliverStart,ExpAdminPerUnit*TotalUnits/12*KR$8,0)</f>
        <v/>
      </c>
      <c r="KS26" s="218">
        <f>IF(301&gt;=DeliverStart,ExpAdminPerUnit*TotalUnits/12*KS$8,0)</f>
        <v/>
      </c>
      <c r="KT26" s="218">
        <f>IF(302&gt;=DeliverStart,ExpAdminPerUnit*TotalUnits/12*KT$8,0)</f>
        <v/>
      </c>
      <c r="KU26" s="218">
        <f>IF(303&gt;=DeliverStart,ExpAdminPerUnit*TotalUnits/12*KU$8,0)</f>
        <v/>
      </c>
      <c r="KV26" s="218">
        <f>IF(304&gt;=DeliverStart,ExpAdminPerUnit*TotalUnits/12*KV$8,0)</f>
        <v/>
      </c>
      <c r="KW26" s="218">
        <f>IF(305&gt;=DeliverStart,ExpAdminPerUnit*TotalUnits/12*KW$8,0)</f>
        <v/>
      </c>
      <c r="KX26" s="218">
        <f>IF(306&gt;=DeliverStart,ExpAdminPerUnit*TotalUnits/12*KX$8,0)</f>
        <v/>
      </c>
      <c r="KY26" s="218">
        <f>IF(307&gt;=DeliverStart,ExpAdminPerUnit*TotalUnits/12*KY$8,0)</f>
        <v/>
      </c>
      <c r="KZ26" s="218">
        <f>IF(308&gt;=DeliverStart,ExpAdminPerUnit*TotalUnits/12*KZ$8,0)</f>
        <v/>
      </c>
      <c r="LA26" s="218">
        <f>IF(309&gt;=DeliverStart,ExpAdminPerUnit*TotalUnits/12*LA$8,0)</f>
        <v/>
      </c>
      <c r="LB26" s="218">
        <f>IF(310&gt;=DeliverStart,ExpAdminPerUnit*TotalUnits/12*LB$8,0)</f>
        <v/>
      </c>
      <c r="LC26" s="218">
        <f>IF(311&gt;=DeliverStart,ExpAdminPerUnit*TotalUnits/12*LC$8,0)</f>
        <v/>
      </c>
      <c r="LD26" s="218">
        <f>IF(312&gt;=DeliverStart,ExpAdminPerUnit*TotalUnits/12*LD$8,0)</f>
        <v/>
      </c>
      <c r="LE26" s="218">
        <f>IF(313&gt;=DeliverStart,ExpAdminPerUnit*TotalUnits/12*LE$8,0)</f>
        <v/>
      </c>
      <c r="LF26" s="218">
        <f>IF(314&gt;=DeliverStart,ExpAdminPerUnit*TotalUnits/12*LF$8,0)</f>
        <v/>
      </c>
      <c r="LG26" s="218">
        <f>IF(315&gt;=DeliverStart,ExpAdminPerUnit*TotalUnits/12*LG$8,0)</f>
        <v/>
      </c>
      <c r="LH26" s="218">
        <f>IF(316&gt;=DeliverStart,ExpAdminPerUnit*TotalUnits/12*LH$8,0)</f>
        <v/>
      </c>
      <c r="LI26" s="218">
        <f>IF(317&gt;=DeliverStart,ExpAdminPerUnit*TotalUnits/12*LI$8,0)</f>
        <v/>
      </c>
      <c r="LJ26" s="218">
        <f>IF(318&gt;=DeliverStart,ExpAdminPerUnit*TotalUnits/12*LJ$8,0)</f>
        <v/>
      </c>
      <c r="LK26" s="218">
        <f>IF(319&gt;=DeliverStart,ExpAdminPerUnit*TotalUnits/12*LK$8,0)</f>
        <v/>
      </c>
      <c r="LL26" s="218">
        <f>IF(320&gt;=DeliverStart,ExpAdminPerUnit*TotalUnits/12*LL$8,0)</f>
        <v/>
      </c>
      <c r="LM26" s="218">
        <f>IF(321&gt;=DeliverStart,ExpAdminPerUnit*TotalUnits/12*LM$8,0)</f>
        <v/>
      </c>
      <c r="LN26" s="218">
        <f>IF(322&gt;=DeliverStart,ExpAdminPerUnit*TotalUnits/12*LN$8,0)</f>
        <v/>
      </c>
      <c r="LO26" s="218">
        <f>IF(323&gt;=DeliverStart,ExpAdminPerUnit*TotalUnits/12*LO$8,0)</f>
        <v/>
      </c>
      <c r="LP26" s="218">
        <f>IF(324&gt;=DeliverStart,ExpAdminPerUnit*TotalUnits/12*LP$8,0)</f>
        <v/>
      </c>
      <c r="LQ26" s="218">
        <f>IF(325&gt;=DeliverStart,ExpAdminPerUnit*TotalUnits/12*LQ$8,0)</f>
        <v/>
      </c>
      <c r="LR26" s="218">
        <f>IF(326&gt;=DeliverStart,ExpAdminPerUnit*TotalUnits/12*LR$8,0)</f>
        <v/>
      </c>
      <c r="LS26" s="218">
        <f>IF(327&gt;=DeliverStart,ExpAdminPerUnit*TotalUnits/12*LS$8,0)</f>
        <v/>
      </c>
      <c r="LT26" s="218">
        <f>IF(328&gt;=DeliverStart,ExpAdminPerUnit*TotalUnits/12*LT$8,0)</f>
        <v/>
      </c>
      <c r="LU26" s="218">
        <f>IF(329&gt;=DeliverStart,ExpAdminPerUnit*TotalUnits/12*LU$8,0)</f>
        <v/>
      </c>
      <c r="LV26" s="218">
        <f>IF(330&gt;=DeliverStart,ExpAdminPerUnit*TotalUnits/12*LV$8,0)</f>
        <v/>
      </c>
      <c r="LW26" s="218">
        <f>IF(331&gt;=DeliverStart,ExpAdminPerUnit*TotalUnits/12*LW$8,0)</f>
        <v/>
      </c>
      <c r="LX26" s="218">
        <f>IF(332&gt;=DeliverStart,ExpAdminPerUnit*TotalUnits/12*LX$8,0)</f>
        <v/>
      </c>
      <c r="LY26" s="218">
        <f>IF(333&gt;=DeliverStart,ExpAdminPerUnit*TotalUnits/12*LY$8,0)</f>
        <v/>
      </c>
      <c r="LZ26" s="218">
        <f>IF(334&gt;=DeliverStart,ExpAdminPerUnit*TotalUnits/12*LZ$8,0)</f>
        <v/>
      </c>
      <c r="MA26" s="218">
        <f>IF(335&gt;=DeliverStart,ExpAdminPerUnit*TotalUnits/12*MA$8,0)</f>
        <v/>
      </c>
      <c r="MB26" s="218">
        <f>IF(336&gt;=DeliverStart,ExpAdminPerUnit*TotalUnits/12*MB$8,0)</f>
        <v/>
      </c>
      <c r="MC26" s="218">
        <f>IF(337&gt;=DeliverStart,ExpAdminPerUnit*TotalUnits/12*MC$8,0)</f>
        <v/>
      </c>
      <c r="MD26" s="218">
        <f>IF(338&gt;=DeliverStart,ExpAdminPerUnit*TotalUnits/12*MD$8,0)</f>
        <v/>
      </c>
      <c r="ME26" s="218">
        <f>IF(339&gt;=DeliverStart,ExpAdminPerUnit*TotalUnits/12*ME$8,0)</f>
        <v/>
      </c>
      <c r="MF26" s="218">
        <f>IF(340&gt;=DeliverStart,ExpAdminPerUnit*TotalUnits/12*MF$8,0)</f>
        <v/>
      </c>
      <c r="MG26" s="218">
        <f>IF(341&gt;=DeliverStart,ExpAdminPerUnit*TotalUnits/12*MG$8,0)</f>
        <v/>
      </c>
      <c r="MH26" s="218">
        <f>IF(342&gt;=DeliverStart,ExpAdminPerUnit*TotalUnits/12*MH$8,0)</f>
        <v/>
      </c>
      <c r="MI26" s="218">
        <f>IF(343&gt;=DeliverStart,ExpAdminPerUnit*TotalUnits/12*MI$8,0)</f>
        <v/>
      </c>
      <c r="MJ26" s="218">
        <f>IF(344&gt;=DeliverStart,ExpAdminPerUnit*TotalUnits/12*MJ$8,0)</f>
        <v/>
      </c>
      <c r="MK26" s="218">
        <f>IF(345&gt;=DeliverStart,ExpAdminPerUnit*TotalUnits/12*MK$8,0)</f>
        <v/>
      </c>
      <c r="ML26" s="218">
        <f>IF(346&gt;=DeliverStart,ExpAdminPerUnit*TotalUnits/12*ML$8,0)</f>
        <v/>
      </c>
      <c r="MM26" s="218">
        <f>IF(347&gt;=DeliverStart,ExpAdminPerUnit*TotalUnits/12*MM$8,0)</f>
        <v/>
      </c>
      <c r="MN26" s="218">
        <f>IF(348&gt;=DeliverStart,ExpAdminPerUnit*TotalUnits/12*MN$8,0)</f>
        <v/>
      </c>
      <c r="MO26" s="218">
        <f>IF(349&gt;=DeliverStart,ExpAdminPerUnit*TotalUnits/12*MO$8,0)</f>
        <v/>
      </c>
      <c r="MP26" s="218">
        <f>IF(350&gt;=DeliverStart,ExpAdminPerUnit*TotalUnits/12*MP$8,0)</f>
        <v/>
      </c>
      <c r="MQ26" s="218">
        <f>IF(351&gt;=DeliverStart,ExpAdminPerUnit*TotalUnits/12*MQ$8,0)</f>
        <v/>
      </c>
      <c r="MR26" s="218">
        <f>IF(352&gt;=DeliverStart,ExpAdminPerUnit*TotalUnits/12*MR$8,0)</f>
        <v/>
      </c>
      <c r="MS26" s="218">
        <f>IF(353&gt;=DeliverStart,ExpAdminPerUnit*TotalUnits/12*MS$8,0)</f>
        <v/>
      </c>
      <c r="MT26" s="218">
        <f>IF(354&gt;=DeliverStart,ExpAdminPerUnit*TotalUnits/12*MT$8,0)</f>
        <v/>
      </c>
      <c r="MU26" s="218">
        <f>IF(355&gt;=DeliverStart,ExpAdminPerUnit*TotalUnits/12*MU$8,0)</f>
        <v/>
      </c>
      <c r="MV26" s="218">
        <f>IF(356&gt;=DeliverStart,ExpAdminPerUnit*TotalUnits/12*MV$8,0)</f>
        <v/>
      </c>
      <c r="MW26" s="218">
        <f>IF(357&gt;=DeliverStart,ExpAdminPerUnit*TotalUnits/12*MW$8,0)</f>
        <v/>
      </c>
      <c r="MX26" s="218">
        <f>IF(358&gt;=DeliverStart,ExpAdminPerUnit*TotalUnits/12*MX$8,0)</f>
        <v/>
      </c>
      <c r="MY26" s="218">
        <f>IF(359&gt;=DeliverStart,ExpAdminPerUnit*TotalUnits/12*MY$8,0)</f>
        <v/>
      </c>
      <c r="MZ26" s="218">
        <f>IF(360&gt;=DeliverStart,ExpAdminPerUnit*TotalUnits/12*MZ$8,0)</f>
        <v/>
      </c>
      <c r="NA26" s="218">
        <f>IF(361&gt;=DeliverStart,ExpAdminPerUnit*TotalUnits/12*NA$8,0)</f>
        <v/>
      </c>
      <c r="NB26" s="218">
        <f>IF(362&gt;=DeliverStart,ExpAdminPerUnit*TotalUnits/12*NB$8,0)</f>
        <v/>
      </c>
      <c r="NC26" s="218">
        <f>IF(363&gt;=DeliverStart,ExpAdminPerUnit*TotalUnits/12*NC$8,0)</f>
        <v/>
      </c>
      <c r="ND26" s="218">
        <f>IF(364&gt;=DeliverStart,ExpAdminPerUnit*TotalUnits/12*ND$8,0)</f>
        <v/>
      </c>
      <c r="NE26" s="218">
        <f>IF(365&gt;=DeliverStart,ExpAdminPerUnit*TotalUnits/12*NE$8,0)</f>
        <v/>
      </c>
      <c r="NF26" s="218">
        <f>IF(366&gt;=DeliverStart,ExpAdminPerUnit*TotalUnits/12*NF$8,0)</f>
        <v/>
      </c>
      <c r="NG26" s="218">
        <f>IF(367&gt;=DeliverStart,ExpAdminPerUnit*TotalUnits/12*NG$8,0)</f>
        <v/>
      </c>
      <c r="NH26" s="218">
        <f>IF(368&gt;=DeliverStart,ExpAdminPerUnit*TotalUnits/12*NH$8,0)</f>
        <v/>
      </c>
      <c r="NI26" s="218">
        <f>IF(369&gt;=DeliverStart,ExpAdminPerUnit*TotalUnits/12*NI$8,0)</f>
        <v/>
      </c>
      <c r="NJ26" s="218">
        <f>IF(370&gt;=DeliverStart,ExpAdminPerUnit*TotalUnits/12*NJ$8,0)</f>
        <v/>
      </c>
      <c r="NK26" s="218">
        <f>IF(371&gt;=DeliverStart,ExpAdminPerUnit*TotalUnits/12*NK$8,0)</f>
        <v/>
      </c>
      <c r="NL26" s="225">
        <f>IF(372&gt;=DeliverStart,ExpAdminPerUnit*TotalUnits/12*NL$8,0)</f>
        <v/>
      </c>
    </row>
    <row r="27">
      <c r="B27" s="36" t="inlineStr">
        <is>
          <t>Utilities (variable)</t>
        </is>
      </c>
      <c r="D27" s="266">
        <f>SUM(E27:NL27)</f>
        <v/>
      </c>
      <c r="E27" s="218">
        <f>IF(1&gt;=DeliverStart,ExpUtilitiesPerUnit*TotalUnits/12*E$9*E$11,0)</f>
        <v/>
      </c>
      <c r="F27" s="218">
        <f>IF(2&gt;=DeliverStart,ExpUtilitiesPerUnit*TotalUnits/12*F$9*F$11,0)</f>
        <v/>
      </c>
      <c r="G27" s="218">
        <f>IF(3&gt;=DeliverStart,ExpUtilitiesPerUnit*TotalUnits/12*G$9*G$11,0)</f>
        <v/>
      </c>
      <c r="H27" s="218">
        <f>IF(4&gt;=DeliverStart,ExpUtilitiesPerUnit*TotalUnits/12*H$9*H$11,0)</f>
        <v/>
      </c>
      <c r="I27" s="218">
        <f>IF(5&gt;=DeliverStart,ExpUtilitiesPerUnit*TotalUnits/12*I$9*I$11,0)</f>
        <v/>
      </c>
      <c r="J27" s="218">
        <f>IF(6&gt;=DeliverStart,ExpUtilitiesPerUnit*TotalUnits/12*J$9*J$11,0)</f>
        <v/>
      </c>
      <c r="K27" s="218">
        <f>IF(7&gt;=DeliverStart,ExpUtilitiesPerUnit*TotalUnits/12*K$9*K$11,0)</f>
        <v/>
      </c>
      <c r="L27" s="218">
        <f>IF(8&gt;=DeliverStart,ExpUtilitiesPerUnit*TotalUnits/12*L$9*L$11,0)</f>
        <v/>
      </c>
      <c r="M27" s="218">
        <f>IF(9&gt;=DeliverStart,ExpUtilitiesPerUnit*TotalUnits/12*M$9*M$11,0)</f>
        <v/>
      </c>
      <c r="N27" s="218">
        <f>IF(10&gt;=DeliverStart,ExpUtilitiesPerUnit*TotalUnits/12*N$9*N$11,0)</f>
        <v/>
      </c>
      <c r="O27" s="218">
        <f>IF(11&gt;=DeliverStart,ExpUtilitiesPerUnit*TotalUnits/12*O$9*O$11,0)</f>
        <v/>
      </c>
      <c r="P27" s="218">
        <f>IF(12&gt;=DeliverStart,ExpUtilitiesPerUnit*TotalUnits/12*P$9*P$11,0)</f>
        <v/>
      </c>
      <c r="Q27" s="218">
        <f>IF(13&gt;=DeliverStart,ExpUtilitiesPerUnit*TotalUnits/12*Q$9*Q$11,0)</f>
        <v/>
      </c>
      <c r="R27" s="218">
        <f>IF(14&gt;=DeliverStart,ExpUtilitiesPerUnit*TotalUnits/12*R$9*R$11,0)</f>
        <v/>
      </c>
      <c r="S27" s="218">
        <f>IF(15&gt;=DeliverStart,ExpUtilitiesPerUnit*TotalUnits/12*S$9*S$11,0)</f>
        <v/>
      </c>
      <c r="T27" s="218">
        <f>IF(16&gt;=DeliverStart,ExpUtilitiesPerUnit*TotalUnits/12*T$9*T$11,0)</f>
        <v/>
      </c>
      <c r="U27" s="218">
        <f>IF(17&gt;=DeliverStart,ExpUtilitiesPerUnit*TotalUnits/12*U$9*U$11,0)</f>
        <v/>
      </c>
      <c r="V27" s="218">
        <f>IF(18&gt;=DeliverStart,ExpUtilitiesPerUnit*TotalUnits/12*V$9*V$11,0)</f>
        <v/>
      </c>
      <c r="W27" s="218">
        <f>IF(19&gt;=DeliverStart,ExpUtilitiesPerUnit*TotalUnits/12*W$9*W$11,0)</f>
        <v/>
      </c>
      <c r="X27" s="218">
        <f>IF(20&gt;=DeliverStart,ExpUtilitiesPerUnit*TotalUnits/12*X$9*X$11,0)</f>
        <v/>
      </c>
      <c r="Y27" s="218">
        <f>IF(21&gt;=DeliverStart,ExpUtilitiesPerUnit*TotalUnits/12*Y$9*Y$11,0)</f>
        <v/>
      </c>
      <c r="Z27" s="218">
        <f>IF(22&gt;=DeliverStart,ExpUtilitiesPerUnit*TotalUnits/12*Z$9*Z$11,0)</f>
        <v/>
      </c>
      <c r="AA27" s="218">
        <f>IF(23&gt;=DeliverStart,ExpUtilitiesPerUnit*TotalUnits/12*AA$9*AA$11,0)</f>
        <v/>
      </c>
      <c r="AB27" s="218">
        <f>IF(24&gt;=DeliverStart,ExpUtilitiesPerUnit*TotalUnits/12*AB$9*AB$11,0)</f>
        <v/>
      </c>
      <c r="AC27" s="218">
        <f>IF(25&gt;=DeliverStart,ExpUtilitiesPerUnit*TotalUnits/12*AC$9*AC$11,0)</f>
        <v/>
      </c>
      <c r="AD27" s="218">
        <f>IF(26&gt;=DeliverStart,ExpUtilitiesPerUnit*TotalUnits/12*AD$9*AD$11,0)</f>
        <v/>
      </c>
      <c r="AE27" s="218">
        <f>IF(27&gt;=DeliverStart,ExpUtilitiesPerUnit*TotalUnits/12*AE$9*AE$11,0)</f>
        <v/>
      </c>
      <c r="AF27" s="218">
        <f>IF(28&gt;=DeliverStart,ExpUtilitiesPerUnit*TotalUnits/12*AF$9*AF$11,0)</f>
        <v/>
      </c>
      <c r="AG27" s="218">
        <f>IF(29&gt;=DeliverStart,ExpUtilitiesPerUnit*TotalUnits/12*AG$9*AG$11,0)</f>
        <v/>
      </c>
      <c r="AH27" s="218">
        <f>IF(30&gt;=DeliverStart,ExpUtilitiesPerUnit*TotalUnits/12*AH$9*AH$11,0)</f>
        <v/>
      </c>
      <c r="AI27" s="218">
        <f>IF(31&gt;=DeliverStart,ExpUtilitiesPerUnit*TotalUnits/12*AI$9*AI$11,0)</f>
        <v/>
      </c>
      <c r="AJ27" s="218">
        <f>IF(32&gt;=DeliverStart,ExpUtilitiesPerUnit*TotalUnits/12*AJ$9*AJ$11,0)</f>
        <v/>
      </c>
      <c r="AK27" s="218">
        <f>IF(33&gt;=DeliverStart,ExpUtilitiesPerUnit*TotalUnits/12*AK$9*AK$11,0)</f>
        <v/>
      </c>
      <c r="AL27" s="218">
        <f>IF(34&gt;=DeliverStart,ExpUtilitiesPerUnit*TotalUnits/12*AL$9*AL$11,0)</f>
        <v/>
      </c>
      <c r="AM27" s="218">
        <f>IF(35&gt;=DeliverStart,ExpUtilitiesPerUnit*TotalUnits/12*AM$9*AM$11,0)</f>
        <v/>
      </c>
      <c r="AN27" s="218">
        <f>IF(36&gt;=DeliverStart,ExpUtilitiesPerUnit*TotalUnits/12*AN$9*AN$11,0)</f>
        <v/>
      </c>
      <c r="AO27" s="218">
        <f>IF(37&gt;=DeliverStart,ExpUtilitiesPerUnit*TotalUnits/12*AO$9*AO$11,0)</f>
        <v/>
      </c>
      <c r="AP27" s="218">
        <f>IF(38&gt;=DeliverStart,ExpUtilitiesPerUnit*TotalUnits/12*AP$9*AP$11,0)</f>
        <v/>
      </c>
      <c r="AQ27" s="218">
        <f>IF(39&gt;=DeliverStart,ExpUtilitiesPerUnit*TotalUnits/12*AQ$9*AQ$11,0)</f>
        <v/>
      </c>
      <c r="AR27" s="218">
        <f>IF(40&gt;=DeliverStart,ExpUtilitiesPerUnit*TotalUnits/12*AR$9*AR$11,0)</f>
        <v/>
      </c>
      <c r="AS27" s="218">
        <f>IF(41&gt;=DeliverStart,ExpUtilitiesPerUnit*TotalUnits/12*AS$9*AS$11,0)</f>
        <v/>
      </c>
      <c r="AT27" s="218">
        <f>IF(42&gt;=DeliverStart,ExpUtilitiesPerUnit*TotalUnits/12*AT$9*AT$11,0)</f>
        <v/>
      </c>
      <c r="AU27" s="218">
        <f>IF(43&gt;=DeliverStart,ExpUtilitiesPerUnit*TotalUnits/12*AU$9*AU$11,0)</f>
        <v/>
      </c>
      <c r="AV27" s="218">
        <f>IF(44&gt;=DeliverStart,ExpUtilitiesPerUnit*TotalUnits/12*AV$9*AV$11,0)</f>
        <v/>
      </c>
      <c r="AW27" s="218">
        <f>IF(45&gt;=DeliverStart,ExpUtilitiesPerUnit*TotalUnits/12*AW$9*AW$11,0)</f>
        <v/>
      </c>
      <c r="AX27" s="218">
        <f>IF(46&gt;=DeliverStart,ExpUtilitiesPerUnit*TotalUnits/12*AX$9*AX$11,0)</f>
        <v/>
      </c>
      <c r="AY27" s="218">
        <f>IF(47&gt;=DeliverStart,ExpUtilitiesPerUnit*TotalUnits/12*AY$9*AY$11,0)</f>
        <v/>
      </c>
      <c r="AZ27" s="218">
        <f>IF(48&gt;=DeliverStart,ExpUtilitiesPerUnit*TotalUnits/12*AZ$9*AZ$11,0)</f>
        <v/>
      </c>
      <c r="BA27" s="218">
        <f>IF(49&gt;=DeliverStart,ExpUtilitiesPerUnit*TotalUnits/12*BA$9*BA$11,0)</f>
        <v/>
      </c>
      <c r="BB27" s="218">
        <f>IF(50&gt;=DeliverStart,ExpUtilitiesPerUnit*TotalUnits/12*BB$9*BB$11,0)</f>
        <v/>
      </c>
      <c r="BC27" s="218">
        <f>IF(51&gt;=DeliverStart,ExpUtilitiesPerUnit*TotalUnits/12*BC$9*BC$11,0)</f>
        <v/>
      </c>
      <c r="BD27" s="218">
        <f>IF(52&gt;=DeliverStart,ExpUtilitiesPerUnit*TotalUnits/12*BD$9*BD$11,0)</f>
        <v/>
      </c>
      <c r="BE27" s="218">
        <f>IF(53&gt;=DeliverStart,ExpUtilitiesPerUnit*TotalUnits/12*BE$9*BE$11,0)</f>
        <v/>
      </c>
      <c r="BF27" s="218">
        <f>IF(54&gt;=DeliverStart,ExpUtilitiesPerUnit*TotalUnits/12*BF$9*BF$11,0)</f>
        <v/>
      </c>
      <c r="BG27" s="218">
        <f>IF(55&gt;=DeliverStart,ExpUtilitiesPerUnit*TotalUnits/12*BG$9*BG$11,0)</f>
        <v/>
      </c>
      <c r="BH27" s="218">
        <f>IF(56&gt;=DeliverStart,ExpUtilitiesPerUnit*TotalUnits/12*BH$9*BH$11,0)</f>
        <v/>
      </c>
      <c r="BI27" s="218">
        <f>IF(57&gt;=DeliverStart,ExpUtilitiesPerUnit*TotalUnits/12*BI$9*BI$11,0)</f>
        <v/>
      </c>
      <c r="BJ27" s="218">
        <f>IF(58&gt;=DeliverStart,ExpUtilitiesPerUnit*TotalUnits/12*BJ$9*BJ$11,0)</f>
        <v/>
      </c>
      <c r="BK27" s="218">
        <f>IF(59&gt;=DeliverStart,ExpUtilitiesPerUnit*TotalUnits/12*BK$9*BK$11,0)</f>
        <v/>
      </c>
      <c r="BL27" s="218">
        <f>IF(60&gt;=DeliverStart,ExpUtilitiesPerUnit*TotalUnits/12*BL$9*BL$11,0)</f>
        <v/>
      </c>
      <c r="BM27" s="218">
        <f>IF(61&gt;=DeliverStart,ExpUtilitiesPerUnit*TotalUnits/12*BM$9*BM$11,0)</f>
        <v/>
      </c>
      <c r="BN27" s="218">
        <f>IF(62&gt;=DeliverStart,ExpUtilitiesPerUnit*TotalUnits/12*BN$9*BN$11,0)</f>
        <v/>
      </c>
      <c r="BO27" s="218">
        <f>IF(63&gt;=DeliverStart,ExpUtilitiesPerUnit*TotalUnits/12*BO$9*BO$11,0)</f>
        <v/>
      </c>
      <c r="BP27" s="218">
        <f>IF(64&gt;=DeliverStart,ExpUtilitiesPerUnit*TotalUnits/12*BP$9*BP$11,0)</f>
        <v/>
      </c>
      <c r="BQ27" s="218">
        <f>IF(65&gt;=DeliverStart,ExpUtilitiesPerUnit*TotalUnits/12*BQ$9*BQ$11,0)</f>
        <v/>
      </c>
      <c r="BR27" s="218">
        <f>IF(66&gt;=DeliverStart,ExpUtilitiesPerUnit*TotalUnits/12*BR$9*BR$11,0)</f>
        <v/>
      </c>
      <c r="BS27" s="218">
        <f>IF(67&gt;=DeliverStart,ExpUtilitiesPerUnit*TotalUnits/12*BS$9*BS$11,0)</f>
        <v/>
      </c>
      <c r="BT27" s="218">
        <f>IF(68&gt;=DeliverStart,ExpUtilitiesPerUnit*TotalUnits/12*BT$9*BT$11,0)</f>
        <v/>
      </c>
      <c r="BU27" s="218">
        <f>IF(69&gt;=DeliverStart,ExpUtilitiesPerUnit*TotalUnits/12*BU$9*BU$11,0)</f>
        <v/>
      </c>
      <c r="BV27" s="218">
        <f>IF(70&gt;=DeliverStart,ExpUtilitiesPerUnit*TotalUnits/12*BV$9*BV$11,0)</f>
        <v/>
      </c>
      <c r="BW27" s="218">
        <f>IF(71&gt;=DeliverStart,ExpUtilitiesPerUnit*TotalUnits/12*BW$9*BW$11,0)</f>
        <v/>
      </c>
      <c r="BX27" s="218">
        <f>IF(72&gt;=DeliverStart,ExpUtilitiesPerUnit*TotalUnits/12*BX$9*BX$11,0)</f>
        <v/>
      </c>
      <c r="BY27" s="218">
        <f>IF(73&gt;=DeliverStart,ExpUtilitiesPerUnit*TotalUnits/12*BY$9*BY$11,0)</f>
        <v/>
      </c>
      <c r="BZ27" s="218">
        <f>IF(74&gt;=DeliverStart,ExpUtilitiesPerUnit*TotalUnits/12*BZ$9*BZ$11,0)</f>
        <v/>
      </c>
      <c r="CA27" s="218">
        <f>IF(75&gt;=DeliverStart,ExpUtilitiesPerUnit*TotalUnits/12*CA$9*CA$11,0)</f>
        <v/>
      </c>
      <c r="CB27" s="218">
        <f>IF(76&gt;=DeliverStart,ExpUtilitiesPerUnit*TotalUnits/12*CB$9*CB$11,0)</f>
        <v/>
      </c>
      <c r="CC27" s="218">
        <f>IF(77&gt;=DeliverStart,ExpUtilitiesPerUnit*TotalUnits/12*CC$9*CC$11,0)</f>
        <v/>
      </c>
      <c r="CD27" s="218">
        <f>IF(78&gt;=DeliverStart,ExpUtilitiesPerUnit*TotalUnits/12*CD$9*CD$11,0)</f>
        <v/>
      </c>
      <c r="CE27" s="218">
        <f>IF(79&gt;=DeliverStart,ExpUtilitiesPerUnit*TotalUnits/12*CE$9*CE$11,0)</f>
        <v/>
      </c>
      <c r="CF27" s="218">
        <f>IF(80&gt;=DeliverStart,ExpUtilitiesPerUnit*TotalUnits/12*CF$9*CF$11,0)</f>
        <v/>
      </c>
      <c r="CG27" s="218">
        <f>IF(81&gt;=DeliverStart,ExpUtilitiesPerUnit*TotalUnits/12*CG$9*CG$11,0)</f>
        <v/>
      </c>
      <c r="CH27" s="218">
        <f>IF(82&gt;=DeliverStart,ExpUtilitiesPerUnit*TotalUnits/12*CH$9*CH$11,0)</f>
        <v/>
      </c>
      <c r="CI27" s="218">
        <f>IF(83&gt;=DeliverStart,ExpUtilitiesPerUnit*TotalUnits/12*CI$9*CI$11,0)</f>
        <v/>
      </c>
      <c r="CJ27" s="218">
        <f>IF(84&gt;=DeliverStart,ExpUtilitiesPerUnit*TotalUnits/12*CJ$9*CJ$11,0)</f>
        <v/>
      </c>
      <c r="CK27" s="218">
        <f>IF(85&gt;=DeliverStart,ExpUtilitiesPerUnit*TotalUnits/12*CK$9*CK$11,0)</f>
        <v/>
      </c>
      <c r="CL27" s="218">
        <f>IF(86&gt;=DeliverStart,ExpUtilitiesPerUnit*TotalUnits/12*CL$9*CL$11,0)</f>
        <v/>
      </c>
      <c r="CM27" s="218">
        <f>IF(87&gt;=DeliverStart,ExpUtilitiesPerUnit*TotalUnits/12*CM$9*CM$11,0)</f>
        <v/>
      </c>
      <c r="CN27" s="218">
        <f>IF(88&gt;=DeliverStart,ExpUtilitiesPerUnit*TotalUnits/12*CN$9*CN$11,0)</f>
        <v/>
      </c>
      <c r="CO27" s="218">
        <f>IF(89&gt;=DeliverStart,ExpUtilitiesPerUnit*TotalUnits/12*CO$9*CO$11,0)</f>
        <v/>
      </c>
      <c r="CP27" s="218">
        <f>IF(90&gt;=DeliverStart,ExpUtilitiesPerUnit*TotalUnits/12*CP$9*CP$11,0)</f>
        <v/>
      </c>
      <c r="CQ27" s="218">
        <f>IF(91&gt;=DeliverStart,ExpUtilitiesPerUnit*TotalUnits/12*CQ$9*CQ$11,0)</f>
        <v/>
      </c>
      <c r="CR27" s="218">
        <f>IF(92&gt;=DeliverStart,ExpUtilitiesPerUnit*TotalUnits/12*CR$9*CR$11,0)</f>
        <v/>
      </c>
      <c r="CS27" s="218">
        <f>IF(93&gt;=DeliverStart,ExpUtilitiesPerUnit*TotalUnits/12*CS$9*CS$11,0)</f>
        <v/>
      </c>
      <c r="CT27" s="218">
        <f>IF(94&gt;=DeliverStart,ExpUtilitiesPerUnit*TotalUnits/12*CT$9*CT$11,0)</f>
        <v/>
      </c>
      <c r="CU27" s="218">
        <f>IF(95&gt;=DeliverStart,ExpUtilitiesPerUnit*TotalUnits/12*CU$9*CU$11,0)</f>
        <v/>
      </c>
      <c r="CV27" s="218">
        <f>IF(96&gt;=DeliverStart,ExpUtilitiesPerUnit*TotalUnits/12*CV$9*CV$11,0)</f>
        <v/>
      </c>
      <c r="CW27" s="218">
        <f>IF(97&gt;=DeliverStart,ExpUtilitiesPerUnit*TotalUnits/12*CW$9*CW$11,0)</f>
        <v/>
      </c>
      <c r="CX27" s="218">
        <f>IF(98&gt;=DeliverStart,ExpUtilitiesPerUnit*TotalUnits/12*CX$9*CX$11,0)</f>
        <v/>
      </c>
      <c r="CY27" s="218">
        <f>IF(99&gt;=DeliverStart,ExpUtilitiesPerUnit*TotalUnits/12*CY$9*CY$11,0)</f>
        <v/>
      </c>
      <c r="CZ27" s="218">
        <f>IF(100&gt;=DeliverStart,ExpUtilitiesPerUnit*TotalUnits/12*CZ$9*CZ$11,0)</f>
        <v/>
      </c>
      <c r="DA27" s="218">
        <f>IF(101&gt;=DeliverStart,ExpUtilitiesPerUnit*TotalUnits/12*DA$9*DA$11,0)</f>
        <v/>
      </c>
      <c r="DB27" s="218">
        <f>IF(102&gt;=DeliverStart,ExpUtilitiesPerUnit*TotalUnits/12*DB$9*DB$11,0)</f>
        <v/>
      </c>
      <c r="DC27" s="218">
        <f>IF(103&gt;=DeliverStart,ExpUtilitiesPerUnit*TotalUnits/12*DC$9*DC$11,0)</f>
        <v/>
      </c>
      <c r="DD27" s="218">
        <f>IF(104&gt;=DeliverStart,ExpUtilitiesPerUnit*TotalUnits/12*DD$9*DD$11,0)</f>
        <v/>
      </c>
      <c r="DE27" s="218">
        <f>IF(105&gt;=DeliverStart,ExpUtilitiesPerUnit*TotalUnits/12*DE$9*DE$11,0)</f>
        <v/>
      </c>
      <c r="DF27" s="218">
        <f>IF(106&gt;=DeliverStart,ExpUtilitiesPerUnit*TotalUnits/12*DF$9*DF$11,0)</f>
        <v/>
      </c>
      <c r="DG27" s="218">
        <f>IF(107&gt;=DeliverStart,ExpUtilitiesPerUnit*TotalUnits/12*DG$9*DG$11,0)</f>
        <v/>
      </c>
      <c r="DH27" s="218">
        <f>IF(108&gt;=DeliverStart,ExpUtilitiesPerUnit*TotalUnits/12*DH$9*DH$11,0)</f>
        <v/>
      </c>
      <c r="DI27" s="218">
        <f>IF(109&gt;=DeliverStart,ExpUtilitiesPerUnit*TotalUnits/12*DI$9*DI$11,0)</f>
        <v/>
      </c>
      <c r="DJ27" s="218">
        <f>IF(110&gt;=DeliverStart,ExpUtilitiesPerUnit*TotalUnits/12*DJ$9*DJ$11,0)</f>
        <v/>
      </c>
      <c r="DK27" s="218">
        <f>IF(111&gt;=DeliverStart,ExpUtilitiesPerUnit*TotalUnits/12*DK$9*DK$11,0)</f>
        <v/>
      </c>
      <c r="DL27" s="218">
        <f>IF(112&gt;=DeliverStart,ExpUtilitiesPerUnit*TotalUnits/12*DL$9*DL$11,0)</f>
        <v/>
      </c>
      <c r="DM27" s="218">
        <f>IF(113&gt;=DeliverStart,ExpUtilitiesPerUnit*TotalUnits/12*DM$9*DM$11,0)</f>
        <v/>
      </c>
      <c r="DN27" s="218">
        <f>IF(114&gt;=DeliverStart,ExpUtilitiesPerUnit*TotalUnits/12*DN$9*DN$11,0)</f>
        <v/>
      </c>
      <c r="DO27" s="218">
        <f>IF(115&gt;=DeliverStart,ExpUtilitiesPerUnit*TotalUnits/12*DO$9*DO$11,0)</f>
        <v/>
      </c>
      <c r="DP27" s="218">
        <f>IF(116&gt;=DeliverStart,ExpUtilitiesPerUnit*TotalUnits/12*DP$9*DP$11,0)</f>
        <v/>
      </c>
      <c r="DQ27" s="218">
        <f>IF(117&gt;=DeliverStart,ExpUtilitiesPerUnit*TotalUnits/12*DQ$9*DQ$11,0)</f>
        <v/>
      </c>
      <c r="DR27" s="218">
        <f>IF(118&gt;=DeliverStart,ExpUtilitiesPerUnit*TotalUnits/12*DR$9*DR$11,0)</f>
        <v/>
      </c>
      <c r="DS27" s="218">
        <f>IF(119&gt;=DeliverStart,ExpUtilitiesPerUnit*TotalUnits/12*DS$9*DS$11,0)</f>
        <v/>
      </c>
      <c r="DT27" s="218">
        <f>IF(120&gt;=DeliverStart,ExpUtilitiesPerUnit*TotalUnits/12*DT$9*DT$11,0)</f>
        <v/>
      </c>
      <c r="DU27" s="218">
        <f>IF(121&gt;=DeliverStart,ExpUtilitiesPerUnit*TotalUnits/12*DU$9*DU$11,0)</f>
        <v/>
      </c>
      <c r="DV27" s="218">
        <f>IF(122&gt;=DeliverStart,ExpUtilitiesPerUnit*TotalUnits/12*DV$9*DV$11,0)</f>
        <v/>
      </c>
      <c r="DW27" s="218">
        <f>IF(123&gt;=DeliverStart,ExpUtilitiesPerUnit*TotalUnits/12*DW$9*DW$11,0)</f>
        <v/>
      </c>
      <c r="DX27" s="218">
        <f>IF(124&gt;=DeliverStart,ExpUtilitiesPerUnit*TotalUnits/12*DX$9*DX$11,0)</f>
        <v/>
      </c>
      <c r="DY27" s="218">
        <f>IF(125&gt;=DeliverStart,ExpUtilitiesPerUnit*TotalUnits/12*DY$9*DY$11,0)</f>
        <v/>
      </c>
      <c r="DZ27" s="218">
        <f>IF(126&gt;=DeliverStart,ExpUtilitiesPerUnit*TotalUnits/12*DZ$9*DZ$11,0)</f>
        <v/>
      </c>
      <c r="EA27" s="218">
        <f>IF(127&gt;=DeliverStart,ExpUtilitiesPerUnit*TotalUnits/12*EA$9*EA$11,0)</f>
        <v/>
      </c>
      <c r="EB27" s="218">
        <f>IF(128&gt;=DeliverStart,ExpUtilitiesPerUnit*TotalUnits/12*EB$9*EB$11,0)</f>
        <v/>
      </c>
      <c r="EC27" s="218">
        <f>IF(129&gt;=DeliverStart,ExpUtilitiesPerUnit*TotalUnits/12*EC$9*EC$11,0)</f>
        <v/>
      </c>
      <c r="ED27" s="218">
        <f>IF(130&gt;=DeliverStart,ExpUtilitiesPerUnit*TotalUnits/12*ED$9*ED$11,0)</f>
        <v/>
      </c>
      <c r="EE27" s="218">
        <f>IF(131&gt;=DeliverStart,ExpUtilitiesPerUnit*TotalUnits/12*EE$9*EE$11,0)</f>
        <v/>
      </c>
      <c r="EF27" s="218">
        <f>IF(132&gt;=DeliverStart,ExpUtilitiesPerUnit*TotalUnits/12*EF$9*EF$11,0)</f>
        <v/>
      </c>
      <c r="EG27" s="218">
        <f>IF(133&gt;=DeliverStart,ExpUtilitiesPerUnit*TotalUnits/12*EG$9*EG$11,0)</f>
        <v/>
      </c>
      <c r="EH27" s="218">
        <f>IF(134&gt;=DeliverStart,ExpUtilitiesPerUnit*TotalUnits/12*EH$9*EH$11,0)</f>
        <v/>
      </c>
      <c r="EI27" s="218">
        <f>IF(135&gt;=DeliverStart,ExpUtilitiesPerUnit*TotalUnits/12*EI$9*EI$11,0)</f>
        <v/>
      </c>
      <c r="EJ27" s="218">
        <f>IF(136&gt;=DeliverStart,ExpUtilitiesPerUnit*TotalUnits/12*EJ$9*EJ$11,0)</f>
        <v/>
      </c>
      <c r="EK27" s="218">
        <f>IF(137&gt;=DeliverStart,ExpUtilitiesPerUnit*TotalUnits/12*EK$9*EK$11,0)</f>
        <v/>
      </c>
      <c r="EL27" s="218">
        <f>IF(138&gt;=DeliverStart,ExpUtilitiesPerUnit*TotalUnits/12*EL$9*EL$11,0)</f>
        <v/>
      </c>
      <c r="EM27" s="218">
        <f>IF(139&gt;=DeliverStart,ExpUtilitiesPerUnit*TotalUnits/12*EM$9*EM$11,0)</f>
        <v/>
      </c>
      <c r="EN27" s="218">
        <f>IF(140&gt;=DeliverStart,ExpUtilitiesPerUnit*TotalUnits/12*EN$9*EN$11,0)</f>
        <v/>
      </c>
      <c r="EO27" s="218">
        <f>IF(141&gt;=DeliverStart,ExpUtilitiesPerUnit*TotalUnits/12*EO$9*EO$11,0)</f>
        <v/>
      </c>
      <c r="EP27" s="218">
        <f>IF(142&gt;=DeliverStart,ExpUtilitiesPerUnit*TotalUnits/12*EP$9*EP$11,0)</f>
        <v/>
      </c>
      <c r="EQ27" s="218">
        <f>IF(143&gt;=DeliverStart,ExpUtilitiesPerUnit*TotalUnits/12*EQ$9*EQ$11,0)</f>
        <v/>
      </c>
      <c r="ER27" s="218">
        <f>IF(144&gt;=DeliverStart,ExpUtilitiesPerUnit*TotalUnits/12*ER$9*ER$11,0)</f>
        <v/>
      </c>
      <c r="ES27" s="218">
        <f>IF(145&gt;=DeliverStart,ExpUtilitiesPerUnit*TotalUnits/12*ES$9*ES$11,0)</f>
        <v/>
      </c>
      <c r="ET27" s="218">
        <f>IF(146&gt;=DeliverStart,ExpUtilitiesPerUnit*TotalUnits/12*ET$9*ET$11,0)</f>
        <v/>
      </c>
      <c r="EU27" s="218">
        <f>IF(147&gt;=DeliverStart,ExpUtilitiesPerUnit*TotalUnits/12*EU$9*EU$11,0)</f>
        <v/>
      </c>
      <c r="EV27" s="218">
        <f>IF(148&gt;=DeliverStart,ExpUtilitiesPerUnit*TotalUnits/12*EV$9*EV$11,0)</f>
        <v/>
      </c>
      <c r="EW27" s="218">
        <f>IF(149&gt;=DeliverStart,ExpUtilitiesPerUnit*TotalUnits/12*EW$9*EW$11,0)</f>
        <v/>
      </c>
      <c r="EX27" s="218">
        <f>IF(150&gt;=DeliverStart,ExpUtilitiesPerUnit*TotalUnits/12*EX$9*EX$11,0)</f>
        <v/>
      </c>
      <c r="EY27" s="218">
        <f>IF(151&gt;=DeliverStart,ExpUtilitiesPerUnit*TotalUnits/12*EY$9*EY$11,0)</f>
        <v/>
      </c>
      <c r="EZ27" s="218">
        <f>IF(152&gt;=DeliverStart,ExpUtilitiesPerUnit*TotalUnits/12*EZ$9*EZ$11,0)</f>
        <v/>
      </c>
      <c r="FA27" s="218">
        <f>IF(153&gt;=DeliverStart,ExpUtilitiesPerUnit*TotalUnits/12*FA$9*FA$11,0)</f>
        <v/>
      </c>
      <c r="FB27" s="218">
        <f>IF(154&gt;=DeliverStart,ExpUtilitiesPerUnit*TotalUnits/12*FB$9*FB$11,0)</f>
        <v/>
      </c>
      <c r="FC27" s="218">
        <f>IF(155&gt;=DeliverStart,ExpUtilitiesPerUnit*TotalUnits/12*FC$9*FC$11,0)</f>
        <v/>
      </c>
      <c r="FD27" s="218">
        <f>IF(156&gt;=DeliverStart,ExpUtilitiesPerUnit*TotalUnits/12*FD$9*FD$11,0)</f>
        <v/>
      </c>
      <c r="FE27" s="218">
        <f>IF(157&gt;=DeliverStart,ExpUtilitiesPerUnit*TotalUnits/12*FE$9*FE$11,0)</f>
        <v/>
      </c>
      <c r="FF27" s="218">
        <f>IF(158&gt;=DeliverStart,ExpUtilitiesPerUnit*TotalUnits/12*FF$9*FF$11,0)</f>
        <v/>
      </c>
      <c r="FG27" s="218">
        <f>IF(159&gt;=DeliverStart,ExpUtilitiesPerUnit*TotalUnits/12*FG$9*FG$11,0)</f>
        <v/>
      </c>
      <c r="FH27" s="218">
        <f>IF(160&gt;=DeliverStart,ExpUtilitiesPerUnit*TotalUnits/12*FH$9*FH$11,0)</f>
        <v/>
      </c>
      <c r="FI27" s="218">
        <f>IF(161&gt;=DeliverStart,ExpUtilitiesPerUnit*TotalUnits/12*FI$9*FI$11,0)</f>
        <v/>
      </c>
      <c r="FJ27" s="218">
        <f>IF(162&gt;=DeliverStart,ExpUtilitiesPerUnit*TotalUnits/12*FJ$9*FJ$11,0)</f>
        <v/>
      </c>
      <c r="FK27" s="218">
        <f>IF(163&gt;=DeliverStart,ExpUtilitiesPerUnit*TotalUnits/12*FK$9*FK$11,0)</f>
        <v/>
      </c>
      <c r="FL27" s="218">
        <f>IF(164&gt;=DeliverStart,ExpUtilitiesPerUnit*TotalUnits/12*FL$9*FL$11,0)</f>
        <v/>
      </c>
      <c r="FM27" s="218">
        <f>IF(165&gt;=DeliverStart,ExpUtilitiesPerUnit*TotalUnits/12*FM$9*FM$11,0)</f>
        <v/>
      </c>
      <c r="FN27" s="218">
        <f>IF(166&gt;=DeliverStart,ExpUtilitiesPerUnit*TotalUnits/12*FN$9*FN$11,0)</f>
        <v/>
      </c>
      <c r="FO27" s="218">
        <f>IF(167&gt;=DeliverStart,ExpUtilitiesPerUnit*TotalUnits/12*FO$9*FO$11,0)</f>
        <v/>
      </c>
      <c r="FP27" s="218">
        <f>IF(168&gt;=DeliverStart,ExpUtilitiesPerUnit*TotalUnits/12*FP$9*FP$11,0)</f>
        <v/>
      </c>
      <c r="FQ27" s="218">
        <f>IF(169&gt;=DeliverStart,ExpUtilitiesPerUnit*TotalUnits/12*FQ$9*FQ$11,0)</f>
        <v/>
      </c>
      <c r="FR27" s="218">
        <f>IF(170&gt;=DeliverStart,ExpUtilitiesPerUnit*TotalUnits/12*FR$9*FR$11,0)</f>
        <v/>
      </c>
      <c r="FS27" s="218">
        <f>IF(171&gt;=DeliverStart,ExpUtilitiesPerUnit*TotalUnits/12*FS$9*FS$11,0)</f>
        <v/>
      </c>
      <c r="FT27" s="218">
        <f>IF(172&gt;=DeliverStart,ExpUtilitiesPerUnit*TotalUnits/12*FT$9*FT$11,0)</f>
        <v/>
      </c>
      <c r="FU27" s="218">
        <f>IF(173&gt;=DeliverStart,ExpUtilitiesPerUnit*TotalUnits/12*FU$9*FU$11,0)</f>
        <v/>
      </c>
      <c r="FV27" s="218">
        <f>IF(174&gt;=DeliverStart,ExpUtilitiesPerUnit*TotalUnits/12*FV$9*FV$11,0)</f>
        <v/>
      </c>
      <c r="FW27" s="218">
        <f>IF(175&gt;=DeliverStart,ExpUtilitiesPerUnit*TotalUnits/12*FW$9*FW$11,0)</f>
        <v/>
      </c>
      <c r="FX27" s="218">
        <f>IF(176&gt;=DeliverStart,ExpUtilitiesPerUnit*TotalUnits/12*FX$9*FX$11,0)</f>
        <v/>
      </c>
      <c r="FY27" s="218">
        <f>IF(177&gt;=DeliverStart,ExpUtilitiesPerUnit*TotalUnits/12*FY$9*FY$11,0)</f>
        <v/>
      </c>
      <c r="FZ27" s="218">
        <f>IF(178&gt;=DeliverStart,ExpUtilitiesPerUnit*TotalUnits/12*FZ$9*FZ$11,0)</f>
        <v/>
      </c>
      <c r="GA27" s="218">
        <f>IF(179&gt;=DeliverStart,ExpUtilitiesPerUnit*TotalUnits/12*GA$9*GA$11,0)</f>
        <v/>
      </c>
      <c r="GB27" s="218">
        <f>IF(180&gt;=DeliverStart,ExpUtilitiesPerUnit*TotalUnits/12*GB$9*GB$11,0)</f>
        <v/>
      </c>
      <c r="GC27" s="218">
        <f>IF(181&gt;=DeliverStart,ExpUtilitiesPerUnit*TotalUnits/12*GC$9*GC$11,0)</f>
        <v/>
      </c>
      <c r="GD27" s="218">
        <f>IF(182&gt;=DeliverStart,ExpUtilitiesPerUnit*TotalUnits/12*GD$9*GD$11,0)</f>
        <v/>
      </c>
      <c r="GE27" s="218">
        <f>IF(183&gt;=DeliverStart,ExpUtilitiesPerUnit*TotalUnits/12*GE$9*GE$11,0)</f>
        <v/>
      </c>
      <c r="GF27" s="218">
        <f>IF(184&gt;=DeliverStart,ExpUtilitiesPerUnit*TotalUnits/12*GF$9*GF$11,0)</f>
        <v/>
      </c>
      <c r="GG27" s="218">
        <f>IF(185&gt;=DeliverStart,ExpUtilitiesPerUnit*TotalUnits/12*GG$9*GG$11,0)</f>
        <v/>
      </c>
      <c r="GH27" s="218">
        <f>IF(186&gt;=DeliverStart,ExpUtilitiesPerUnit*TotalUnits/12*GH$9*GH$11,0)</f>
        <v/>
      </c>
      <c r="GI27" s="218">
        <f>IF(187&gt;=DeliverStart,ExpUtilitiesPerUnit*TotalUnits/12*GI$9*GI$11,0)</f>
        <v/>
      </c>
      <c r="GJ27" s="218">
        <f>IF(188&gt;=DeliverStart,ExpUtilitiesPerUnit*TotalUnits/12*GJ$9*GJ$11,0)</f>
        <v/>
      </c>
      <c r="GK27" s="218">
        <f>IF(189&gt;=DeliverStart,ExpUtilitiesPerUnit*TotalUnits/12*GK$9*GK$11,0)</f>
        <v/>
      </c>
      <c r="GL27" s="218">
        <f>IF(190&gt;=DeliverStart,ExpUtilitiesPerUnit*TotalUnits/12*GL$9*GL$11,0)</f>
        <v/>
      </c>
      <c r="GM27" s="218">
        <f>IF(191&gt;=DeliverStart,ExpUtilitiesPerUnit*TotalUnits/12*GM$9*GM$11,0)</f>
        <v/>
      </c>
      <c r="GN27" s="218">
        <f>IF(192&gt;=DeliverStart,ExpUtilitiesPerUnit*TotalUnits/12*GN$9*GN$11,0)</f>
        <v/>
      </c>
      <c r="GO27" s="218">
        <f>IF(193&gt;=DeliverStart,ExpUtilitiesPerUnit*TotalUnits/12*GO$9*GO$11,0)</f>
        <v/>
      </c>
      <c r="GP27" s="218">
        <f>IF(194&gt;=DeliverStart,ExpUtilitiesPerUnit*TotalUnits/12*GP$9*GP$11,0)</f>
        <v/>
      </c>
      <c r="GQ27" s="218">
        <f>IF(195&gt;=DeliverStart,ExpUtilitiesPerUnit*TotalUnits/12*GQ$9*GQ$11,0)</f>
        <v/>
      </c>
      <c r="GR27" s="218">
        <f>IF(196&gt;=DeliverStart,ExpUtilitiesPerUnit*TotalUnits/12*GR$9*GR$11,0)</f>
        <v/>
      </c>
      <c r="GS27" s="218">
        <f>IF(197&gt;=DeliverStart,ExpUtilitiesPerUnit*TotalUnits/12*GS$9*GS$11,0)</f>
        <v/>
      </c>
      <c r="GT27" s="218">
        <f>IF(198&gt;=DeliverStart,ExpUtilitiesPerUnit*TotalUnits/12*GT$9*GT$11,0)</f>
        <v/>
      </c>
      <c r="GU27" s="218">
        <f>IF(199&gt;=DeliverStart,ExpUtilitiesPerUnit*TotalUnits/12*GU$9*GU$11,0)</f>
        <v/>
      </c>
      <c r="GV27" s="218">
        <f>IF(200&gt;=DeliverStart,ExpUtilitiesPerUnit*TotalUnits/12*GV$9*GV$11,0)</f>
        <v/>
      </c>
      <c r="GW27" s="218">
        <f>IF(201&gt;=DeliverStart,ExpUtilitiesPerUnit*TotalUnits/12*GW$9*GW$11,0)</f>
        <v/>
      </c>
      <c r="GX27" s="218">
        <f>IF(202&gt;=DeliverStart,ExpUtilitiesPerUnit*TotalUnits/12*GX$9*GX$11,0)</f>
        <v/>
      </c>
      <c r="GY27" s="218">
        <f>IF(203&gt;=DeliverStart,ExpUtilitiesPerUnit*TotalUnits/12*GY$9*GY$11,0)</f>
        <v/>
      </c>
      <c r="GZ27" s="218">
        <f>IF(204&gt;=DeliverStart,ExpUtilitiesPerUnit*TotalUnits/12*GZ$9*GZ$11,0)</f>
        <v/>
      </c>
      <c r="HA27" s="218">
        <f>IF(205&gt;=DeliverStart,ExpUtilitiesPerUnit*TotalUnits/12*HA$9*HA$11,0)</f>
        <v/>
      </c>
      <c r="HB27" s="218">
        <f>IF(206&gt;=DeliverStart,ExpUtilitiesPerUnit*TotalUnits/12*HB$9*HB$11,0)</f>
        <v/>
      </c>
      <c r="HC27" s="218">
        <f>IF(207&gt;=DeliverStart,ExpUtilitiesPerUnit*TotalUnits/12*HC$9*HC$11,0)</f>
        <v/>
      </c>
      <c r="HD27" s="218">
        <f>IF(208&gt;=DeliverStart,ExpUtilitiesPerUnit*TotalUnits/12*HD$9*HD$11,0)</f>
        <v/>
      </c>
      <c r="HE27" s="218">
        <f>IF(209&gt;=DeliverStart,ExpUtilitiesPerUnit*TotalUnits/12*HE$9*HE$11,0)</f>
        <v/>
      </c>
      <c r="HF27" s="218">
        <f>IF(210&gt;=DeliverStart,ExpUtilitiesPerUnit*TotalUnits/12*HF$9*HF$11,0)</f>
        <v/>
      </c>
      <c r="HG27" s="218">
        <f>IF(211&gt;=DeliverStart,ExpUtilitiesPerUnit*TotalUnits/12*HG$9*HG$11,0)</f>
        <v/>
      </c>
      <c r="HH27" s="218">
        <f>IF(212&gt;=DeliverStart,ExpUtilitiesPerUnit*TotalUnits/12*HH$9*HH$11,0)</f>
        <v/>
      </c>
      <c r="HI27" s="218">
        <f>IF(213&gt;=DeliverStart,ExpUtilitiesPerUnit*TotalUnits/12*HI$9*HI$11,0)</f>
        <v/>
      </c>
      <c r="HJ27" s="218">
        <f>IF(214&gt;=DeliverStart,ExpUtilitiesPerUnit*TotalUnits/12*HJ$9*HJ$11,0)</f>
        <v/>
      </c>
      <c r="HK27" s="218">
        <f>IF(215&gt;=DeliverStart,ExpUtilitiesPerUnit*TotalUnits/12*HK$9*HK$11,0)</f>
        <v/>
      </c>
      <c r="HL27" s="218">
        <f>IF(216&gt;=DeliverStart,ExpUtilitiesPerUnit*TotalUnits/12*HL$9*HL$11,0)</f>
        <v/>
      </c>
      <c r="HM27" s="218">
        <f>IF(217&gt;=DeliverStart,ExpUtilitiesPerUnit*TotalUnits/12*HM$9*HM$11,0)</f>
        <v/>
      </c>
      <c r="HN27" s="218">
        <f>IF(218&gt;=DeliverStart,ExpUtilitiesPerUnit*TotalUnits/12*HN$9*HN$11,0)</f>
        <v/>
      </c>
      <c r="HO27" s="218">
        <f>IF(219&gt;=DeliverStart,ExpUtilitiesPerUnit*TotalUnits/12*HO$9*HO$11,0)</f>
        <v/>
      </c>
      <c r="HP27" s="218">
        <f>IF(220&gt;=DeliverStart,ExpUtilitiesPerUnit*TotalUnits/12*HP$9*HP$11,0)</f>
        <v/>
      </c>
      <c r="HQ27" s="218">
        <f>IF(221&gt;=DeliverStart,ExpUtilitiesPerUnit*TotalUnits/12*HQ$9*HQ$11,0)</f>
        <v/>
      </c>
      <c r="HR27" s="218">
        <f>IF(222&gt;=DeliverStart,ExpUtilitiesPerUnit*TotalUnits/12*HR$9*HR$11,0)</f>
        <v/>
      </c>
      <c r="HS27" s="218">
        <f>IF(223&gt;=DeliverStart,ExpUtilitiesPerUnit*TotalUnits/12*HS$9*HS$11,0)</f>
        <v/>
      </c>
      <c r="HT27" s="218">
        <f>IF(224&gt;=DeliverStart,ExpUtilitiesPerUnit*TotalUnits/12*HT$9*HT$11,0)</f>
        <v/>
      </c>
      <c r="HU27" s="218">
        <f>IF(225&gt;=DeliverStart,ExpUtilitiesPerUnit*TotalUnits/12*HU$9*HU$11,0)</f>
        <v/>
      </c>
      <c r="HV27" s="218">
        <f>IF(226&gt;=DeliverStart,ExpUtilitiesPerUnit*TotalUnits/12*HV$9*HV$11,0)</f>
        <v/>
      </c>
      <c r="HW27" s="218">
        <f>IF(227&gt;=DeliverStart,ExpUtilitiesPerUnit*TotalUnits/12*HW$9*HW$11,0)</f>
        <v/>
      </c>
      <c r="HX27" s="218">
        <f>IF(228&gt;=DeliverStart,ExpUtilitiesPerUnit*TotalUnits/12*HX$9*HX$11,0)</f>
        <v/>
      </c>
      <c r="HY27" s="218">
        <f>IF(229&gt;=DeliverStart,ExpUtilitiesPerUnit*TotalUnits/12*HY$9*HY$11,0)</f>
        <v/>
      </c>
      <c r="HZ27" s="218">
        <f>IF(230&gt;=DeliverStart,ExpUtilitiesPerUnit*TotalUnits/12*HZ$9*HZ$11,0)</f>
        <v/>
      </c>
      <c r="IA27" s="218">
        <f>IF(231&gt;=DeliverStart,ExpUtilitiesPerUnit*TotalUnits/12*IA$9*IA$11,0)</f>
        <v/>
      </c>
      <c r="IB27" s="218">
        <f>IF(232&gt;=DeliverStart,ExpUtilitiesPerUnit*TotalUnits/12*IB$9*IB$11,0)</f>
        <v/>
      </c>
      <c r="IC27" s="218">
        <f>IF(233&gt;=DeliverStart,ExpUtilitiesPerUnit*TotalUnits/12*IC$9*IC$11,0)</f>
        <v/>
      </c>
      <c r="ID27" s="218">
        <f>IF(234&gt;=DeliverStart,ExpUtilitiesPerUnit*TotalUnits/12*ID$9*ID$11,0)</f>
        <v/>
      </c>
      <c r="IE27" s="218">
        <f>IF(235&gt;=DeliverStart,ExpUtilitiesPerUnit*TotalUnits/12*IE$9*IE$11,0)</f>
        <v/>
      </c>
      <c r="IF27" s="218">
        <f>IF(236&gt;=DeliverStart,ExpUtilitiesPerUnit*TotalUnits/12*IF$9*IF$11,0)</f>
        <v/>
      </c>
      <c r="IG27" s="218">
        <f>IF(237&gt;=DeliverStart,ExpUtilitiesPerUnit*TotalUnits/12*IG$9*IG$11,0)</f>
        <v/>
      </c>
      <c r="IH27" s="218">
        <f>IF(238&gt;=DeliverStart,ExpUtilitiesPerUnit*TotalUnits/12*IH$9*IH$11,0)</f>
        <v/>
      </c>
      <c r="II27" s="218">
        <f>IF(239&gt;=DeliverStart,ExpUtilitiesPerUnit*TotalUnits/12*II$9*II$11,0)</f>
        <v/>
      </c>
      <c r="IJ27" s="218">
        <f>IF(240&gt;=DeliverStart,ExpUtilitiesPerUnit*TotalUnits/12*IJ$9*IJ$11,0)</f>
        <v/>
      </c>
      <c r="IK27" s="218">
        <f>IF(241&gt;=DeliverStart,ExpUtilitiesPerUnit*TotalUnits/12*IK$9*IK$11,0)</f>
        <v/>
      </c>
      <c r="IL27" s="218">
        <f>IF(242&gt;=DeliverStart,ExpUtilitiesPerUnit*TotalUnits/12*IL$9*IL$11,0)</f>
        <v/>
      </c>
      <c r="IM27" s="218">
        <f>IF(243&gt;=DeliverStart,ExpUtilitiesPerUnit*TotalUnits/12*IM$9*IM$11,0)</f>
        <v/>
      </c>
      <c r="IN27" s="218">
        <f>IF(244&gt;=DeliverStart,ExpUtilitiesPerUnit*TotalUnits/12*IN$9*IN$11,0)</f>
        <v/>
      </c>
      <c r="IO27" s="218">
        <f>IF(245&gt;=DeliverStart,ExpUtilitiesPerUnit*TotalUnits/12*IO$9*IO$11,0)</f>
        <v/>
      </c>
      <c r="IP27" s="218">
        <f>IF(246&gt;=DeliverStart,ExpUtilitiesPerUnit*TotalUnits/12*IP$9*IP$11,0)</f>
        <v/>
      </c>
      <c r="IQ27" s="218">
        <f>IF(247&gt;=DeliverStart,ExpUtilitiesPerUnit*TotalUnits/12*IQ$9*IQ$11,0)</f>
        <v/>
      </c>
      <c r="IR27" s="218">
        <f>IF(248&gt;=DeliverStart,ExpUtilitiesPerUnit*TotalUnits/12*IR$9*IR$11,0)</f>
        <v/>
      </c>
      <c r="IS27" s="218">
        <f>IF(249&gt;=DeliverStart,ExpUtilitiesPerUnit*TotalUnits/12*IS$9*IS$11,0)</f>
        <v/>
      </c>
      <c r="IT27" s="218">
        <f>IF(250&gt;=DeliverStart,ExpUtilitiesPerUnit*TotalUnits/12*IT$9*IT$11,0)</f>
        <v/>
      </c>
      <c r="IU27" s="218">
        <f>IF(251&gt;=DeliverStart,ExpUtilitiesPerUnit*TotalUnits/12*IU$9*IU$11,0)</f>
        <v/>
      </c>
      <c r="IV27" s="218">
        <f>IF(252&gt;=DeliverStart,ExpUtilitiesPerUnit*TotalUnits/12*IV$9*IV$11,0)</f>
        <v/>
      </c>
      <c r="IW27" s="218">
        <f>IF(253&gt;=DeliverStart,ExpUtilitiesPerUnit*TotalUnits/12*IW$9*IW$11,0)</f>
        <v/>
      </c>
      <c r="IX27" s="218">
        <f>IF(254&gt;=DeliverStart,ExpUtilitiesPerUnit*TotalUnits/12*IX$9*IX$11,0)</f>
        <v/>
      </c>
      <c r="IY27" s="218">
        <f>IF(255&gt;=DeliverStart,ExpUtilitiesPerUnit*TotalUnits/12*IY$9*IY$11,0)</f>
        <v/>
      </c>
      <c r="IZ27" s="218">
        <f>IF(256&gt;=DeliverStart,ExpUtilitiesPerUnit*TotalUnits/12*IZ$9*IZ$11,0)</f>
        <v/>
      </c>
      <c r="JA27" s="218">
        <f>IF(257&gt;=DeliverStart,ExpUtilitiesPerUnit*TotalUnits/12*JA$9*JA$11,0)</f>
        <v/>
      </c>
      <c r="JB27" s="218">
        <f>IF(258&gt;=DeliverStart,ExpUtilitiesPerUnit*TotalUnits/12*JB$9*JB$11,0)</f>
        <v/>
      </c>
      <c r="JC27" s="218">
        <f>IF(259&gt;=DeliverStart,ExpUtilitiesPerUnit*TotalUnits/12*JC$9*JC$11,0)</f>
        <v/>
      </c>
      <c r="JD27" s="218">
        <f>IF(260&gt;=DeliverStart,ExpUtilitiesPerUnit*TotalUnits/12*JD$9*JD$11,0)</f>
        <v/>
      </c>
      <c r="JE27" s="218">
        <f>IF(261&gt;=DeliverStart,ExpUtilitiesPerUnit*TotalUnits/12*JE$9*JE$11,0)</f>
        <v/>
      </c>
      <c r="JF27" s="218">
        <f>IF(262&gt;=DeliverStart,ExpUtilitiesPerUnit*TotalUnits/12*JF$9*JF$11,0)</f>
        <v/>
      </c>
      <c r="JG27" s="218">
        <f>IF(263&gt;=DeliverStart,ExpUtilitiesPerUnit*TotalUnits/12*JG$9*JG$11,0)</f>
        <v/>
      </c>
      <c r="JH27" s="218">
        <f>IF(264&gt;=DeliverStart,ExpUtilitiesPerUnit*TotalUnits/12*JH$9*JH$11,0)</f>
        <v/>
      </c>
      <c r="JI27" s="218">
        <f>IF(265&gt;=DeliverStart,ExpUtilitiesPerUnit*TotalUnits/12*JI$9*JI$11,0)</f>
        <v/>
      </c>
      <c r="JJ27" s="218">
        <f>IF(266&gt;=DeliverStart,ExpUtilitiesPerUnit*TotalUnits/12*JJ$9*JJ$11,0)</f>
        <v/>
      </c>
      <c r="JK27" s="218">
        <f>IF(267&gt;=DeliverStart,ExpUtilitiesPerUnit*TotalUnits/12*JK$9*JK$11,0)</f>
        <v/>
      </c>
      <c r="JL27" s="218">
        <f>IF(268&gt;=DeliverStart,ExpUtilitiesPerUnit*TotalUnits/12*JL$9*JL$11,0)</f>
        <v/>
      </c>
      <c r="JM27" s="218">
        <f>IF(269&gt;=DeliverStart,ExpUtilitiesPerUnit*TotalUnits/12*JM$9*JM$11,0)</f>
        <v/>
      </c>
      <c r="JN27" s="218">
        <f>IF(270&gt;=DeliverStart,ExpUtilitiesPerUnit*TotalUnits/12*JN$9*JN$11,0)</f>
        <v/>
      </c>
      <c r="JO27" s="218">
        <f>IF(271&gt;=DeliverStart,ExpUtilitiesPerUnit*TotalUnits/12*JO$9*JO$11,0)</f>
        <v/>
      </c>
      <c r="JP27" s="218">
        <f>IF(272&gt;=DeliverStart,ExpUtilitiesPerUnit*TotalUnits/12*JP$9*JP$11,0)</f>
        <v/>
      </c>
      <c r="JQ27" s="218">
        <f>IF(273&gt;=DeliverStart,ExpUtilitiesPerUnit*TotalUnits/12*JQ$9*JQ$11,0)</f>
        <v/>
      </c>
      <c r="JR27" s="218">
        <f>IF(274&gt;=DeliverStart,ExpUtilitiesPerUnit*TotalUnits/12*JR$9*JR$11,0)</f>
        <v/>
      </c>
      <c r="JS27" s="218">
        <f>IF(275&gt;=DeliverStart,ExpUtilitiesPerUnit*TotalUnits/12*JS$9*JS$11,0)</f>
        <v/>
      </c>
      <c r="JT27" s="218">
        <f>IF(276&gt;=DeliverStart,ExpUtilitiesPerUnit*TotalUnits/12*JT$9*JT$11,0)</f>
        <v/>
      </c>
      <c r="JU27" s="218">
        <f>IF(277&gt;=DeliverStart,ExpUtilitiesPerUnit*TotalUnits/12*JU$9*JU$11,0)</f>
        <v/>
      </c>
      <c r="JV27" s="218">
        <f>IF(278&gt;=DeliverStart,ExpUtilitiesPerUnit*TotalUnits/12*JV$9*JV$11,0)</f>
        <v/>
      </c>
      <c r="JW27" s="218">
        <f>IF(279&gt;=DeliverStart,ExpUtilitiesPerUnit*TotalUnits/12*JW$9*JW$11,0)</f>
        <v/>
      </c>
      <c r="JX27" s="218">
        <f>IF(280&gt;=DeliverStart,ExpUtilitiesPerUnit*TotalUnits/12*JX$9*JX$11,0)</f>
        <v/>
      </c>
      <c r="JY27" s="218">
        <f>IF(281&gt;=DeliverStart,ExpUtilitiesPerUnit*TotalUnits/12*JY$9*JY$11,0)</f>
        <v/>
      </c>
      <c r="JZ27" s="218">
        <f>IF(282&gt;=DeliverStart,ExpUtilitiesPerUnit*TotalUnits/12*JZ$9*JZ$11,0)</f>
        <v/>
      </c>
      <c r="KA27" s="218">
        <f>IF(283&gt;=DeliverStart,ExpUtilitiesPerUnit*TotalUnits/12*KA$9*KA$11,0)</f>
        <v/>
      </c>
      <c r="KB27" s="218">
        <f>IF(284&gt;=DeliverStart,ExpUtilitiesPerUnit*TotalUnits/12*KB$9*KB$11,0)</f>
        <v/>
      </c>
      <c r="KC27" s="218">
        <f>IF(285&gt;=DeliverStart,ExpUtilitiesPerUnit*TotalUnits/12*KC$9*KC$11,0)</f>
        <v/>
      </c>
      <c r="KD27" s="218">
        <f>IF(286&gt;=DeliverStart,ExpUtilitiesPerUnit*TotalUnits/12*KD$9*KD$11,0)</f>
        <v/>
      </c>
      <c r="KE27" s="218">
        <f>IF(287&gt;=DeliverStart,ExpUtilitiesPerUnit*TotalUnits/12*KE$9*KE$11,0)</f>
        <v/>
      </c>
      <c r="KF27" s="218">
        <f>IF(288&gt;=DeliverStart,ExpUtilitiesPerUnit*TotalUnits/12*KF$9*KF$11,0)</f>
        <v/>
      </c>
      <c r="KG27" s="218">
        <f>IF(289&gt;=DeliverStart,ExpUtilitiesPerUnit*TotalUnits/12*KG$9*KG$11,0)</f>
        <v/>
      </c>
      <c r="KH27" s="218">
        <f>IF(290&gt;=DeliverStart,ExpUtilitiesPerUnit*TotalUnits/12*KH$9*KH$11,0)</f>
        <v/>
      </c>
      <c r="KI27" s="218">
        <f>IF(291&gt;=DeliverStart,ExpUtilitiesPerUnit*TotalUnits/12*KI$9*KI$11,0)</f>
        <v/>
      </c>
      <c r="KJ27" s="218">
        <f>IF(292&gt;=DeliverStart,ExpUtilitiesPerUnit*TotalUnits/12*KJ$9*KJ$11,0)</f>
        <v/>
      </c>
      <c r="KK27" s="218">
        <f>IF(293&gt;=DeliverStart,ExpUtilitiesPerUnit*TotalUnits/12*KK$9*KK$11,0)</f>
        <v/>
      </c>
      <c r="KL27" s="218">
        <f>IF(294&gt;=DeliverStart,ExpUtilitiesPerUnit*TotalUnits/12*KL$9*KL$11,0)</f>
        <v/>
      </c>
      <c r="KM27" s="218">
        <f>IF(295&gt;=DeliverStart,ExpUtilitiesPerUnit*TotalUnits/12*KM$9*KM$11,0)</f>
        <v/>
      </c>
      <c r="KN27" s="218">
        <f>IF(296&gt;=DeliverStart,ExpUtilitiesPerUnit*TotalUnits/12*KN$9*KN$11,0)</f>
        <v/>
      </c>
      <c r="KO27" s="218">
        <f>IF(297&gt;=DeliverStart,ExpUtilitiesPerUnit*TotalUnits/12*KO$9*KO$11,0)</f>
        <v/>
      </c>
      <c r="KP27" s="218">
        <f>IF(298&gt;=DeliverStart,ExpUtilitiesPerUnit*TotalUnits/12*KP$9*KP$11,0)</f>
        <v/>
      </c>
      <c r="KQ27" s="218">
        <f>IF(299&gt;=DeliverStart,ExpUtilitiesPerUnit*TotalUnits/12*KQ$9*KQ$11,0)</f>
        <v/>
      </c>
      <c r="KR27" s="218">
        <f>IF(300&gt;=DeliverStart,ExpUtilitiesPerUnit*TotalUnits/12*KR$9*KR$11,0)</f>
        <v/>
      </c>
      <c r="KS27" s="218">
        <f>IF(301&gt;=DeliverStart,ExpUtilitiesPerUnit*TotalUnits/12*KS$9*KS$11,0)</f>
        <v/>
      </c>
      <c r="KT27" s="218">
        <f>IF(302&gt;=DeliverStart,ExpUtilitiesPerUnit*TotalUnits/12*KT$9*KT$11,0)</f>
        <v/>
      </c>
      <c r="KU27" s="218">
        <f>IF(303&gt;=DeliverStart,ExpUtilitiesPerUnit*TotalUnits/12*KU$9*KU$11,0)</f>
        <v/>
      </c>
      <c r="KV27" s="218">
        <f>IF(304&gt;=DeliverStart,ExpUtilitiesPerUnit*TotalUnits/12*KV$9*KV$11,0)</f>
        <v/>
      </c>
      <c r="KW27" s="218">
        <f>IF(305&gt;=DeliverStart,ExpUtilitiesPerUnit*TotalUnits/12*KW$9*KW$11,0)</f>
        <v/>
      </c>
      <c r="KX27" s="218">
        <f>IF(306&gt;=DeliverStart,ExpUtilitiesPerUnit*TotalUnits/12*KX$9*KX$11,0)</f>
        <v/>
      </c>
      <c r="KY27" s="218">
        <f>IF(307&gt;=DeliverStart,ExpUtilitiesPerUnit*TotalUnits/12*KY$9*KY$11,0)</f>
        <v/>
      </c>
      <c r="KZ27" s="218">
        <f>IF(308&gt;=DeliverStart,ExpUtilitiesPerUnit*TotalUnits/12*KZ$9*KZ$11,0)</f>
        <v/>
      </c>
      <c r="LA27" s="218">
        <f>IF(309&gt;=DeliverStart,ExpUtilitiesPerUnit*TotalUnits/12*LA$9*LA$11,0)</f>
        <v/>
      </c>
      <c r="LB27" s="218">
        <f>IF(310&gt;=DeliverStart,ExpUtilitiesPerUnit*TotalUnits/12*LB$9*LB$11,0)</f>
        <v/>
      </c>
      <c r="LC27" s="218">
        <f>IF(311&gt;=DeliverStart,ExpUtilitiesPerUnit*TotalUnits/12*LC$9*LC$11,0)</f>
        <v/>
      </c>
      <c r="LD27" s="218">
        <f>IF(312&gt;=DeliverStart,ExpUtilitiesPerUnit*TotalUnits/12*LD$9*LD$11,0)</f>
        <v/>
      </c>
      <c r="LE27" s="218">
        <f>IF(313&gt;=DeliverStart,ExpUtilitiesPerUnit*TotalUnits/12*LE$9*LE$11,0)</f>
        <v/>
      </c>
      <c r="LF27" s="218">
        <f>IF(314&gt;=DeliverStart,ExpUtilitiesPerUnit*TotalUnits/12*LF$9*LF$11,0)</f>
        <v/>
      </c>
      <c r="LG27" s="218">
        <f>IF(315&gt;=DeliverStart,ExpUtilitiesPerUnit*TotalUnits/12*LG$9*LG$11,0)</f>
        <v/>
      </c>
      <c r="LH27" s="218">
        <f>IF(316&gt;=DeliverStart,ExpUtilitiesPerUnit*TotalUnits/12*LH$9*LH$11,0)</f>
        <v/>
      </c>
      <c r="LI27" s="218">
        <f>IF(317&gt;=DeliverStart,ExpUtilitiesPerUnit*TotalUnits/12*LI$9*LI$11,0)</f>
        <v/>
      </c>
      <c r="LJ27" s="218">
        <f>IF(318&gt;=DeliverStart,ExpUtilitiesPerUnit*TotalUnits/12*LJ$9*LJ$11,0)</f>
        <v/>
      </c>
      <c r="LK27" s="218">
        <f>IF(319&gt;=DeliverStart,ExpUtilitiesPerUnit*TotalUnits/12*LK$9*LK$11,0)</f>
        <v/>
      </c>
      <c r="LL27" s="218">
        <f>IF(320&gt;=DeliverStart,ExpUtilitiesPerUnit*TotalUnits/12*LL$9*LL$11,0)</f>
        <v/>
      </c>
      <c r="LM27" s="218">
        <f>IF(321&gt;=DeliverStart,ExpUtilitiesPerUnit*TotalUnits/12*LM$9*LM$11,0)</f>
        <v/>
      </c>
      <c r="LN27" s="218">
        <f>IF(322&gt;=DeliverStart,ExpUtilitiesPerUnit*TotalUnits/12*LN$9*LN$11,0)</f>
        <v/>
      </c>
      <c r="LO27" s="218">
        <f>IF(323&gt;=DeliverStart,ExpUtilitiesPerUnit*TotalUnits/12*LO$9*LO$11,0)</f>
        <v/>
      </c>
      <c r="LP27" s="218">
        <f>IF(324&gt;=DeliverStart,ExpUtilitiesPerUnit*TotalUnits/12*LP$9*LP$11,0)</f>
        <v/>
      </c>
      <c r="LQ27" s="218">
        <f>IF(325&gt;=DeliverStart,ExpUtilitiesPerUnit*TotalUnits/12*LQ$9*LQ$11,0)</f>
        <v/>
      </c>
      <c r="LR27" s="218">
        <f>IF(326&gt;=DeliverStart,ExpUtilitiesPerUnit*TotalUnits/12*LR$9*LR$11,0)</f>
        <v/>
      </c>
      <c r="LS27" s="218">
        <f>IF(327&gt;=DeliverStart,ExpUtilitiesPerUnit*TotalUnits/12*LS$9*LS$11,0)</f>
        <v/>
      </c>
      <c r="LT27" s="218">
        <f>IF(328&gt;=DeliverStart,ExpUtilitiesPerUnit*TotalUnits/12*LT$9*LT$11,0)</f>
        <v/>
      </c>
      <c r="LU27" s="218">
        <f>IF(329&gt;=DeliverStart,ExpUtilitiesPerUnit*TotalUnits/12*LU$9*LU$11,0)</f>
        <v/>
      </c>
      <c r="LV27" s="218">
        <f>IF(330&gt;=DeliverStart,ExpUtilitiesPerUnit*TotalUnits/12*LV$9*LV$11,0)</f>
        <v/>
      </c>
      <c r="LW27" s="218">
        <f>IF(331&gt;=DeliverStart,ExpUtilitiesPerUnit*TotalUnits/12*LW$9*LW$11,0)</f>
        <v/>
      </c>
      <c r="LX27" s="218">
        <f>IF(332&gt;=DeliverStart,ExpUtilitiesPerUnit*TotalUnits/12*LX$9*LX$11,0)</f>
        <v/>
      </c>
      <c r="LY27" s="218">
        <f>IF(333&gt;=DeliverStart,ExpUtilitiesPerUnit*TotalUnits/12*LY$9*LY$11,0)</f>
        <v/>
      </c>
      <c r="LZ27" s="218">
        <f>IF(334&gt;=DeliverStart,ExpUtilitiesPerUnit*TotalUnits/12*LZ$9*LZ$11,0)</f>
        <v/>
      </c>
      <c r="MA27" s="218">
        <f>IF(335&gt;=DeliverStart,ExpUtilitiesPerUnit*TotalUnits/12*MA$9*MA$11,0)</f>
        <v/>
      </c>
      <c r="MB27" s="218">
        <f>IF(336&gt;=DeliverStart,ExpUtilitiesPerUnit*TotalUnits/12*MB$9*MB$11,0)</f>
        <v/>
      </c>
      <c r="MC27" s="218">
        <f>IF(337&gt;=DeliverStart,ExpUtilitiesPerUnit*TotalUnits/12*MC$9*MC$11,0)</f>
        <v/>
      </c>
      <c r="MD27" s="218">
        <f>IF(338&gt;=DeliverStart,ExpUtilitiesPerUnit*TotalUnits/12*MD$9*MD$11,0)</f>
        <v/>
      </c>
      <c r="ME27" s="218">
        <f>IF(339&gt;=DeliverStart,ExpUtilitiesPerUnit*TotalUnits/12*ME$9*ME$11,0)</f>
        <v/>
      </c>
      <c r="MF27" s="218">
        <f>IF(340&gt;=DeliverStart,ExpUtilitiesPerUnit*TotalUnits/12*MF$9*MF$11,0)</f>
        <v/>
      </c>
      <c r="MG27" s="218">
        <f>IF(341&gt;=DeliverStart,ExpUtilitiesPerUnit*TotalUnits/12*MG$9*MG$11,0)</f>
        <v/>
      </c>
      <c r="MH27" s="218">
        <f>IF(342&gt;=DeliverStart,ExpUtilitiesPerUnit*TotalUnits/12*MH$9*MH$11,0)</f>
        <v/>
      </c>
      <c r="MI27" s="218">
        <f>IF(343&gt;=DeliverStart,ExpUtilitiesPerUnit*TotalUnits/12*MI$9*MI$11,0)</f>
        <v/>
      </c>
      <c r="MJ27" s="218">
        <f>IF(344&gt;=DeliverStart,ExpUtilitiesPerUnit*TotalUnits/12*MJ$9*MJ$11,0)</f>
        <v/>
      </c>
      <c r="MK27" s="218">
        <f>IF(345&gt;=DeliverStart,ExpUtilitiesPerUnit*TotalUnits/12*MK$9*MK$11,0)</f>
        <v/>
      </c>
      <c r="ML27" s="218">
        <f>IF(346&gt;=DeliverStart,ExpUtilitiesPerUnit*TotalUnits/12*ML$9*ML$11,0)</f>
        <v/>
      </c>
      <c r="MM27" s="218">
        <f>IF(347&gt;=DeliverStart,ExpUtilitiesPerUnit*TotalUnits/12*MM$9*MM$11,0)</f>
        <v/>
      </c>
      <c r="MN27" s="218">
        <f>IF(348&gt;=DeliverStart,ExpUtilitiesPerUnit*TotalUnits/12*MN$9*MN$11,0)</f>
        <v/>
      </c>
      <c r="MO27" s="218">
        <f>IF(349&gt;=DeliverStart,ExpUtilitiesPerUnit*TotalUnits/12*MO$9*MO$11,0)</f>
        <v/>
      </c>
      <c r="MP27" s="218">
        <f>IF(350&gt;=DeliverStart,ExpUtilitiesPerUnit*TotalUnits/12*MP$9*MP$11,0)</f>
        <v/>
      </c>
      <c r="MQ27" s="218">
        <f>IF(351&gt;=DeliverStart,ExpUtilitiesPerUnit*TotalUnits/12*MQ$9*MQ$11,0)</f>
        <v/>
      </c>
      <c r="MR27" s="218">
        <f>IF(352&gt;=DeliverStart,ExpUtilitiesPerUnit*TotalUnits/12*MR$9*MR$11,0)</f>
        <v/>
      </c>
      <c r="MS27" s="218">
        <f>IF(353&gt;=DeliverStart,ExpUtilitiesPerUnit*TotalUnits/12*MS$9*MS$11,0)</f>
        <v/>
      </c>
      <c r="MT27" s="218">
        <f>IF(354&gt;=DeliverStart,ExpUtilitiesPerUnit*TotalUnits/12*MT$9*MT$11,0)</f>
        <v/>
      </c>
      <c r="MU27" s="218">
        <f>IF(355&gt;=DeliverStart,ExpUtilitiesPerUnit*TotalUnits/12*MU$9*MU$11,0)</f>
        <v/>
      </c>
      <c r="MV27" s="218">
        <f>IF(356&gt;=DeliverStart,ExpUtilitiesPerUnit*TotalUnits/12*MV$9*MV$11,0)</f>
        <v/>
      </c>
      <c r="MW27" s="218">
        <f>IF(357&gt;=DeliverStart,ExpUtilitiesPerUnit*TotalUnits/12*MW$9*MW$11,0)</f>
        <v/>
      </c>
      <c r="MX27" s="218">
        <f>IF(358&gt;=DeliverStart,ExpUtilitiesPerUnit*TotalUnits/12*MX$9*MX$11,0)</f>
        <v/>
      </c>
      <c r="MY27" s="218">
        <f>IF(359&gt;=DeliverStart,ExpUtilitiesPerUnit*TotalUnits/12*MY$9*MY$11,0)</f>
        <v/>
      </c>
      <c r="MZ27" s="218">
        <f>IF(360&gt;=DeliverStart,ExpUtilitiesPerUnit*TotalUnits/12*MZ$9*MZ$11,0)</f>
        <v/>
      </c>
      <c r="NA27" s="218">
        <f>IF(361&gt;=DeliverStart,ExpUtilitiesPerUnit*TotalUnits/12*NA$9*NA$11,0)</f>
        <v/>
      </c>
      <c r="NB27" s="218">
        <f>IF(362&gt;=DeliverStart,ExpUtilitiesPerUnit*TotalUnits/12*NB$9*NB$11,0)</f>
        <v/>
      </c>
      <c r="NC27" s="218">
        <f>IF(363&gt;=DeliverStart,ExpUtilitiesPerUnit*TotalUnits/12*NC$9*NC$11,0)</f>
        <v/>
      </c>
      <c r="ND27" s="218">
        <f>IF(364&gt;=DeliverStart,ExpUtilitiesPerUnit*TotalUnits/12*ND$9*ND$11,0)</f>
        <v/>
      </c>
      <c r="NE27" s="218">
        <f>IF(365&gt;=DeliverStart,ExpUtilitiesPerUnit*TotalUnits/12*NE$9*NE$11,0)</f>
        <v/>
      </c>
      <c r="NF27" s="218">
        <f>IF(366&gt;=DeliverStart,ExpUtilitiesPerUnit*TotalUnits/12*NF$9*NF$11,0)</f>
        <v/>
      </c>
      <c r="NG27" s="218">
        <f>IF(367&gt;=DeliverStart,ExpUtilitiesPerUnit*TotalUnits/12*NG$9*NG$11,0)</f>
        <v/>
      </c>
      <c r="NH27" s="218">
        <f>IF(368&gt;=DeliverStart,ExpUtilitiesPerUnit*TotalUnits/12*NH$9*NH$11,0)</f>
        <v/>
      </c>
      <c r="NI27" s="218">
        <f>IF(369&gt;=DeliverStart,ExpUtilitiesPerUnit*TotalUnits/12*NI$9*NI$11,0)</f>
        <v/>
      </c>
      <c r="NJ27" s="218">
        <f>IF(370&gt;=DeliverStart,ExpUtilitiesPerUnit*TotalUnits/12*NJ$9*NJ$11,0)</f>
        <v/>
      </c>
      <c r="NK27" s="218">
        <f>IF(371&gt;=DeliverStart,ExpUtilitiesPerUnit*TotalUnits/12*NK$9*NK$11,0)</f>
        <v/>
      </c>
      <c r="NL27" s="225">
        <f>IF(372&gt;=DeliverStart,ExpUtilitiesPerUnit*TotalUnits/12*NL$9*NL$11,0)</f>
        <v/>
      </c>
    </row>
    <row r="28">
      <c r="B28" s="36" t="inlineStr">
        <is>
          <t>Repairs &amp; Maintenance (variable)</t>
        </is>
      </c>
      <c r="D28" s="266">
        <f>SUM(E28:NL28)</f>
        <v/>
      </c>
      <c r="E28" s="218">
        <f>IF(1&gt;=DeliverStart,ExpRMPerUnit*TotalUnits/12*E$8*E$11,0)</f>
        <v/>
      </c>
      <c r="F28" s="218">
        <f>IF(2&gt;=DeliverStart,ExpRMPerUnit*TotalUnits/12*F$8*F$11,0)</f>
        <v/>
      </c>
      <c r="G28" s="218">
        <f>IF(3&gt;=DeliverStart,ExpRMPerUnit*TotalUnits/12*G$8*G$11,0)</f>
        <v/>
      </c>
      <c r="H28" s="218">
        <f>IF(4&gt;=DeliverStart,ExpRMPerUnit*TotalUnits/12*H$8*H$11,0)</f>
        <v/>
      </c>
      <c r="I28" s="218">
        <f>IF(5&gt;=DeliverStart,ExpRMPerUnit*TotalUnits/12*I$8*I$11,0)</f>
        <v/>
      </c>
      <c r="J28" s="218">
        <f>IF(6&gt;=DeliverStart,ExpRMPerUnit*TotalUnits/12*J$8*J$11,0)</f>
        <v/>
      </c>
      <c r="K28" s="218">
        <f>IF(7&gt;=DeliverStart,ExpRMPerUnit*TotalUnits/12*K$8*K$11,0)</f>
        <v/>
      </c>
      <c r="L28" s="218">
        <f>IF(8&gt;=DeliverStart,ExpRMPerUnit*TotalUnits/12*L$8*L$11,0)</f>
        <v/>
      </c>
      <c r="M28" s="218">
        <f>IF(9&gt;=DeliverStart,ExpRMPerUnit*TotalUnits/12*M$8*M$11,0)</f>
        <v/>
      </c>
      <c r="N28" s="218">
        <f>IF(10&gt;=DeliverStart,ExpRMPerUnit*TotalUnits/12*N$8*N$11,0)</f>
        <v/>
      </c>
      <c r="O28" s="218">
        <f>IF(11&gt;=DeliverStart,ExpRMPerUnit*TotalUnits/12*O$8*O$11,0)</f>
        <v/>
      </c>
      <c r="P28" s="218">
        <f>IF(12&gt;=DeliverStart,ExpRMPerUnit*TotalUnits/12*P$8*P$11,0)</f>
        <v/>
      </c>
      <c r="Q28" s="218">
        <f>IF(13&gt;=DeliverStart,ExpRMPerUnit*TotalUnits/12*Q$8*Q$11,0)</f>
        <v/>
      </c>
      <c r="R28" s="218">
        <f>IF(14&gt;=DeliverStart,ExpRMPerUnit*TotalUnits/12*R$8*R$11,0)</f>
        <v/>
      </c>
      <c r="S28" s="218">
        <f>IF(15&gt;=DeliverStart,ExpRMPerUnit*TotalUnits/12*S$8*S$11,0)</f>
        <v/>
      </c>
      <c r="T28" s="218">
        <f>IF(16&gt;=DeliverStart,ExpRMPerUnit*TotalUnits/12*T$8*T$11,0)</f>
        <v/>
      </c>
      <c r="U28" s="218">
        <f>IF(17&gt;=DeliverStart,ExpRMPerUnit*TotalUnits/12*U$8*U$11,0)</f>
        <v/>
      </c>
      <c r="V28" s="218">
        <f>IF(18&gt;=DeliverStart,ExpRMPerUnit*TotalUnits/12*V$8*V$11,0)</f>
        <v/>
      </c>
      <c r="W28" s="218">
        <f>IF(19&gt;=DeliverStart,ExpRMPerUnit*TotalUnits/12*W$8*W$11,0)</f>
        <v/>
      </c>
      <c r="X28" s="218">
        <f>IF(20&gt;=DeliverStart,ExpRMPerUnit*TotalUnits/12*X$8*X$11,0)</f>
        <v/>
      </c>
      <c r="Y28" s="218">
        <f>IF(21&gt;=DeliverStart,ExpRMPerUnit*TotalUnits/12*Y$8*Y$11,0)</f>
        <v/>
      </c>
      <c r="Z28" s="218">
        <f>IF(22&gt;=DeliverStart,ExpRMPerUnit*TotalUnits/12*Z$8*Z$11,0)</f>
        <v/>
      </c>
      <c r="AA28" s="218">
        <f>IF(23&gt;=DeliverStart,ExpRMPerUnit*TotalUnits/12*AA$8*AA$11,0)</f>
        <v/>
      </c>
      <c r="AB28" s="218">
        <f>IF(24&gt;=DeliverStart,ExpRMPerUnit*TotalUnits/12*AB$8*AB$11,0)</f>
        <v/>
      </c>
      <c r="AC28" s="218">
        <f>IF(25&gt;=DeliverStart,ExpRMPerUnit*TotalUnits/12*AC$8*AC$11,0)</f>
        <v/>
      </c>
      <c r="AD28" s="218">
        <f>IF(26&gt;=DeliverStart,ExpRMPerUnit*TotalUnits/12*AD$8*AD$11,0)</f>
        <v/>
      </c>
      <c r="AE28" s="218">
        <f>IF(27&gt;=DeliverStart,ExpRMPerUnit*TotalUnits/12*AE$8*AE$11,0)</f>
        <v/>
      </c>
      <c r="AF28" s="218">
        <f>IF(28&gt;=DeliverStart,ExpRMPerUnit*TotalUnits/12*AF$8*AF$11,0)</f>
        <v/>
      </c>
      <c r="AG28" s="218">
        <f>IF(29&gt;=DeliverStart,ExpRMPerUnit*TotalUnits/12*AG$8*AG$11,0)</f>
        <v/>
      </c>
      <c r="AH28" s="218">
        <f>IF(30&gt;=DeliverStart,ExpRMPerUnit*TotalUnits/12*AH$8*AH$11,0)</f>
        <v/>
      </c>
      <c r="AI28" s="218">
        <f>IF(31&gt;=DeliverStart,ExpRMPerUnit*TotalUnits/12*AI$8*AI$11,0)</f>
        <v/>
      </c>
      <c r="AJ28" s="218">
        <f>IF(32&gt;=DeliverStart,ExpRMPerUnit*TotalUnits/12*AJ$8*AJ$11,0)</f>
        <v/>
      </c>
      <c r="AK28" s="218">
        <f>IF(33&gt;=DeliverStart,ExpRMPerUnit*TotalUnits/12*AK$8*AK$11,0)</f>
        <v/>
      </c>
      <c r="AL28" s="218">
        <f>IF(34&gt;=DeliverStart,ExpRMPerUnit*TotalUnits/12*AL$8*AL$11,0)</f>
        <v/>
      </c>
      <c r="AM28" s="218">
        <f>IF(35&gt;=DeliverStart,ExpRMPerUnit*TotalUnits/12*AM$8*AM$11,0)</f>
        <v/>
      </c>
      <c r="AN28" s="218">
        <f>IF(36&gt;=DeliverStart,ExpRMPerUnit*TotalUnits/12*AN$8*AN$11,0)</f>
        <v/>
      </c>
      <c r="AO28" s="218">
        <f>IF(37&gt;=DeliverStart,ExpRMPerUnit*TotalUnits/12*AO$8*AO$11,0)</f>
        <v/>
      </c>
      <c r="AP28" s="218">
        <f>IF(38&gt;=DeliverStart,ExpRMPerUnit*TotalUnits/12*AP$8*AP$11,0)</f>
        <v/>
      </c>
      <c r="AQ28" s="218">
        <f>IF(39&gt;=DeliverStart,ExpRMPerUnit*TotalUnits/12*AQ$8*AQ$11,0)</f>
        <v/>
      </c>
      <c r="AR28" s="218">
        <f>IF(40&gt;=DeliverStart,ExpRMPerUnit*TotalUnits/12*AR$8*AR$11,0)</f>
        <v/>
      </c>
      <c r="AS28" s="218">
        <f>IF(41&gt;=DeliverStart,ExpRMPerUnit*TotalUnits/12*AS$8*AS$11,0)</f>
        <v/>
      </c>
      <c r="AT28" s="218">
        <f>IF(42&gt;=DeliverStart,ExpRMPerUnit*TotalUnits/12*AT$8*AT$11,0)</f>
        <v/>
      </c>
      <c r="AU28" s="218">
        <f>IF(43&gt;=DeliverStart,ExpRMPerUnit*TotalUnits/12*AU$8*AU$11,0)</f>
        <v/>
      </c>
      <c r="AV28" s="218">
        <f>IF(44&gt;=DeliverStart,ExpRMPerUnit*TotalUnits/12*AV$8*AV$11,0)</f>
        <v/>
      </c>
      <c r="AW28" s="218">
        <f>IF(45&gt;=DeliverStart,ExpRMPerUnit*TotalUnits/12*AW$8*AW$11,0)</f>
        <v/>
      </c>
      <c r="AX28" s="218">
        <f>IF(46&gt;=DeliverStart,ExpRMPerUnit*TotalUnits/12*AX$8*AX$11,0)</f>
        <v/>
      </c>
      <c r="AY28" s="218">
        <f>IF(47&gt;=DeliverStart,ExpRMPerUnit*TotalUnits/12*AY$8*AY$11,0)</f>
        <v/>
      </c>
      <c r="AZ28" s="218">
        <f>IF(48&gt;=DeliverStart,ExpRMPerUnit*TotalUnits/12*AZ$8*AZ$11,0)</f>
        <v/>
      </c>
      <c r="BA28" s="218">
        <f>IF(49&gt;=DeliverStart,ExpRMPerUnit*TotalUnits/12*BA$8*BA$11,0)</f>
        <v/>
      </c>
      <c r="BB28" s="218">
        <f>IF(50&gt;=DeliverStart,ExpRMPerUnit*TotalUnits/12*BB$8*BB$11,0)</f>
        <v/>
      </c>
      <c r="BC28" s="218">
        <f>IF(51&gt;=DeliverStart,ExpRMPerUnit*TotalUnits/12*BC$8*BC$11,0)</f>
        <v/>
      </c>
      <c r="BD28" s="218">
        <f>IF(52&gt;=DeliverStart,ExpRMPerUnit*TotalUnits/12*BD$8*BD$11,0)</f>
        <v/>
      </c>
      <c r="BE28" s="218">
        <f>IF(53&gt;=DeliverStart,ExpRMPerUnit*TotalUnits/12*BE$8*BE$11,0)</f>
        <v/>
      </c>
      <c r="BF28" s="218">
        <f>IF(54&gt;=DeliverStart,ExpRMPerUnit*TotalUnits/12*BF$8*BF$11,0)</f>
        <v/>
      </c>
      <c r="BG28" s="218">
        <f>IF(55&gt;=DeliverStart,ExpRMPerUnit*TotalUnits/12*BG$8*BG$11,0)</f>
        <v/>
      </c>
      <c r="BH28" s="218">
        <f>IF(56&gt;=DeliverStart,ExpRMPerUnit*TotalUnits/12*BH$8*BH$11,0)</f>
        <v/>
      </c>
      <c r="BI28" s="218">
        <f>IF(57&gt;=DeliverStart,ExpRMPerUnit*TotalUnits/12*BI$8*BI$11,0)</f>
        <v/>
      </c>
      <c r="BJ28" s="218">
        <f>IF(58&gt;=DeliverStart,ExpRMPerUnit*TotalUnits/12*BJ$8*BJ$11,0)</f>
        <v/>
      </c>
      <c r="BK28" s="218">
        <f>IF(59&gt;=DeliverStart,ExpRMPerUnit*TotalUnits/12*BK$8*BK$11,0)</f>
        <v/>
      </c>
      <c r="BL28" s="218">
        <f>IF(60&gt;=DeliverStart,ExpRMPerUnit*TotalUnits/12*BL$8*BL$11,0)</f>
        <v/>
      </c>
      <c r="BM28" s="218">
        <f>IF(61&gt;=DeliverStart,ExpRMPerUnit*TotalUnits/12*BM$8*BM$11,0)</f>
        <v/>
      </c>
      <c r="BN28" s="218">
        <f>IF(62&gt;=DeliverStart,ExpRMPerUnit*TotalUnits/12*BN$8*BN$11,0)</f>
        <v/>
      </c>
      <c r="BO28" s="218">
        <f>IF(63&gt;=DeliverStart,ExpRMPerUnit*TotalUnits/12*BO$8*BO$11,0)</f>
        <v/>
      </c>
      <c r="BP28" s="218">
        <f>IF(64&gt;=DeliverStart,ExpRMPerUnit*TotalUnits/12*BP$8*BP$11,0)</f>
        <v/>
      </c>
      <c r="BQ28" s="218">
        <f>IF(65&gt;=DeliverStart,ExpRMPerUnit*TotalUnits/12*BQ$8*BQ$11,0)</f>
        <v/>
      </c>
      <c r="BR28" s="218">
        <f>IF(66&gt;=DeliverStart,ExpRMPerUnit*TotalUnits/12*BR$8*BR$11,0)</f>
        <v/>
      </c>
      <c r="BS28" s="218">
        <f>IF(67&gt;=DeliverStart,ExpRMPerUnit*TotalUnits/12*BS$8*BS$11,0)</f>
        <v/>
      </c>
      <c r="BT28" s="218">
        <f>IF(68&gt;=DeliverStart,ExpRMPerUnit*TotalUnits/12*BT$8*BT$11,0)</f>
        <v/>
      </c>
      <c r="BU28" s="218">
        <f>IF(69&gt;=DeliverStart,ExpRMPerUnit*TotalUnits/12*BU$8*BU$11,0)</f>
        <v/>
      </c>
      <c r="BV28" s="218">
        <f>IF(70&gt;=DeliverStart,ExpRMPerUnit*TotalUnits/12*BV$8*BV$11,0)</f>
        <v/>
      </c>
      <c r="BW28" s="218">
        <f>IF(71&gt;=DeliverStart,ExpRMPerUnit*TotalUnits/12*BW$8*BW$11,0)</f>
        <v/>
      </c>
      <c r="BX28" s="218">
        <f>IF(72&gt;=DeliverStart,ExpRMPerUnit*TotalUnits/12*BX$8*BX$11,0)</f>
        <v/>
      </c>
      <c r="BY28" s="218">
        <f>IF(73&gt;=DeliverStart,ExpRMPerUnit*TotalUnits/12*BY$8*BY$11,0)</f>
        <v/>
      </c>
      <c r="BZ28" s="218">
        <f>IF(74&gt;=DeliverStart,ExpRMPerUnit*TotalUnits/12*BZ$8*BZ$11,0)</f>
        <v/>
      </c>
      <c r="CA28" s="218">
        <f>IF(75&gt;=DeliverStart,ExpRMPerUnit*TotalUnits/12*CA$8*CA$11,0)</f>
        <v/>
      </c>
      <c r="CB28" s="218">
        <f>IF(76&gt;=DeliverStart,ExpRMPerUnit*TotalUnits/12*CB$8*CB$11,0)</f>
        <v/>
      </c>
      <c r="CC28" s="218">
        <f>IF(77&gt;=DeliverStart,ExpRMPerUnit*TotalUnits/12*CC$8*CC$11,0)</f>
        <v/>
      </c>
      <c r="CD28" s="218">
        <f>IF(78&gt;=DeliverStart,ExpRMPerUnit*TotalUnits/12*CD$8*CD$11,0)</f>
        <v/>
      </c>
      <c r="CE28" s="218">
        <f>IF(79&gt;=DeliverStart,ExpRMPerUnit*TotalUnits/12*CE$8*CE$11,0)</f>
        <v/>
      </c>
      <c r="CF28" s="218">
        <f>IF(80&gt;=DeliverStart,ExpRMPerUnit*TotalUnits/12*CF$8*CF$11,0)</f>
        <v/>
      </c>
      <c r="CG28" s="218">
        <f>IF(81&gt;=DeliverStart,ExpRMPerUnit*TotalUnits/12*CG$8*CG$11,0)</f>
        <v/>
      </c>
      <c r="CH28" s="218">
        <f>IF(82&gt;=DeliverStart,ExpRMPerUnit*TotalUnits/12*CH$8*CH$11,0)</f>
        <v/>
      </c>
      <c r="CI28" s="218">
        <f>IF(83&gt;=DeliverStart,ExpRMPerUnit*TotalUnits/12*CI$8*CI$11,0)</f>
        <v/>
      </c>
      <c r="CJ28" s="218">
        <f>IF(84&gt;=DeliverStart,ExpRMPerUnit*TotalUnits/12*CJ$8*CJ$11,0)</f>
        <v/>
      </c>
      <c r="CK28" s="218">
        <f>IF(85&gt;=DeliverStart,ExpRMPerUnit*TotalUnits/12*CK$8*CK$11,0)</f>
        <v/>
      </c>
      <c r="CL28" s="218">
        <f>IF(86&gt;=DeliverStart,ExpRMPerUnit*TotalUnits/12*CL$8*CL$11,0)</f>
        <v/>
      </c>
      <c r="CM28" s="218">
        <f>IF(87&gt;=DeliverStart,ExpRMPerUnit*TotalUnits/12*CM$8*CM$11,0)</f>
        <v/>
      </c>
      <c r="CN28" s="218">
        <f>IF(88&gt;=DeliverStart,ExpRMPerUnit*TotalUnits/12*CN$8*CN$11,0)</f>
        <v/>
      </c>
      <c r="CO28" s="218">
        <f>IF(89&gt;=DeliverStart,ExpRMPerUnit*TotalUnits/12*CO$8*CO$11,0)</f>
        <v/>
      </c>
      <c r="CP28" s="218">
        <f>IF(90&gt;=DeliverStart,ExpRMPerUnit*TotalUnits/12*CP$8*CP$11,0)</f>
        <v/>
      </c>
      <c r="CQ28" s="218">
        <f>IF(91&gt;=DeliverStart,ExpRMPerUnit*TotalUnits/12*CQ$8*CQ$11,0)</f>
        <v/>
      </c>
      <c r="CR28" s="218">
        <f>IF(92&gt;=DeliverStart,ExpRMPerUnit*TotalUnits/12*CR$8*CR$11,0)</f>
        <v/>
      </c>
      <c r="CS28" s="218">
        <f>IF(93&gt;=DeliverStart,ExpRMPerUnit*TotalUnits/12*CS$8*CS$11,0)</f>
        <v/>
      </c>
      <c r="CT28" s="218">
        <f>IF(94&gt;=DeliverStart,ExpRMPerUnit*TotalUnits/12*CT$8*CT$11,0)</f>
        <v/>
      </c>
      <c r="CU28" s="218">
        <f>IF(95&gt;=DeliverStart,ExpRMPerUnit*TotalUnits/12*CU$8*CU$11,0)</f>
        <v/>
      </c>
      <c r="CV28" s="218">
        <f>IF(96&gt;=DeliverStart,ExpRMPerUnit*TotalUnits/12*CV$8*CV$11,0)</f>
        <v/>
      </c>
      <c r="CW28" s="218">
        <f>IF(97&gt;=DeliverStart,ExpRMPerUnit*TotalUnits/12*CW$8*CW$11,0)</f>
        <v/>
      </c>
      <c r="CX28" s="218">
        <f>IF(98&gt;=DeliverStart,ExpRMPerUnit*TotalUnits/12*CX$8*CX$11,0)</f>
        <v/>
      </c>
      <c r="CY28" s="218">
        <f>IF(99&gt;=DeliverStart,ExpRMPerUnit*TotalUnits/12*CY$8*CY$11,0)</f>
        <v/>
      </c>
      <c r="CZ28" s="218">
        <f>IF(100&gt;=DeliverStart,ExpRMPerUnit*TotalUnits/12*CZ$8*CZ$11,0)</f>
        <v/>
      </c>
      <c r="DA28" s="218">
        <f>IF(101&gt;=DeliverStart,ExpRMPerUnit*TotalUnits/12*DA$8*DA$11,0)</f>
        <v/>
      </c>
      <c r="DB28" s="218">
        <f>IF(102&gt;=DeliverStart,ExpRMPerUnit*TotalUnits/12*DB$8*DB$11,0)</f>
        <v/>
      </c>
      <c r="DC28" s="218">
        <f>IF(103&gt;=DeliverStart,ExpRMPerUnit*TotalUnits/12*DC$8*DC$11,0)</f>
        <v/>
      </c>
      <c r="DD28" s="218">
        <f>IF(104&gt;=DeliverStart,ExpRMPerUnit*TotalUnits/12*DD$8*DD$11,0)</f>
        <v/>
      </c>
      <c r="DE28" s="218">
        <f>IF(105&gt;=DeliverStart,ExpRMPerUnit*TotalUnits/12*DE$8*DE$11,0)</f>
        <v/>
      </c>
      <c r="DF28" s="218">
        <f>IF(106&gt;=DeliverStart,ExpRMPerUnit*TotalUnits/12*DF$8*DF$11,0)</f>
        <v/>
      </c>
      <c r="DG28" s="218">
        <f>IF(107&gt;=DeliverStart,ExpRMPerUnit*TotalUnits/12*DG$8*DG$11,0)</f>
        <v/>
      </c>
      <c r="DH28" s="218">
        <f>IF(108&gt;=DeliverStart,ExpRMPerUnit*TotalUnits/12*DH$8*DH$11,0)</f>
        <v/>
      </c>
      <c r="DI28" s="218">
        <f>IF(109&gt;=DeliverStart,ExpRMPerUnit*TotalUnits/12*DI$8*DI$11,0)</f>
        <v/>
      </c>
      <c r="DJ28" s="218">
        <f>IF(110&gt;=DeliverStart,ExpRMPerUnit*TotalUnits/12*DJ$8*DJ$11,0)</f>
        <v/>
      </c>
      <c r="DK28" s="218">
        <f>IF(111&gt;=DeliverStart,ExpRMPerUnit*TotalUnits/12*DK$8*DK$11,0)</f>
        <v/>
      </c>
      <c r="DL28" s="218">
        <f>IF(112&gt;=DeliverStart,ExpRMPerUnit*TotalUnits/12*DL$8*DL$11,0)</f>
        <v/>
      </c>
      <c r="DM28" s="218">
        <f>IF(113&gt;=DeliverStart,ExpRMPerUnit*TotalUnits/12*DM$8*DM$11,0)</f>
        <v/>
      </c>
      <c r="DN28" s="218">
        <f>IF(114&gt;=DeliverStart,ExpRMPerUnit*TotalUnits/12*DN$8*DN$11,0)</f>
        <v/>
      </c>
      <c r="DO28" s="218">
        <f>IF(115&gt;=DeliverStart,ExpRMPerUnit*TotalUnits/12*DO$8*DO$11,0)</f>
        <v/>
      </c>
      <c r="DP28" s="218">
        <f>IF(116&gt;=DeliverStart,ExpRMPerUnit*TotalUnits/12*DP$8*DP$11,0)</f>
        <v/>
      </c>
      <c r="DQ28" s="218">
        <f>IF(117&gt;=DeliverStart,ExpRMPerUnit*TotalUnits/12*DQ$8*DQ$11,0)</f>
        <v/>
      </c>
      <c r="DR28" s="218">
        <f>IF(118&gt;=DeliverStart,ExpRMPerUnit*TotalUnits/12*DR$8*DR$11,0)</f>
        <v/>
      </c>
      <c r="DS28" s="218">
        <f>IF(119&gt;=DeliverStart,ExpRMPerUnit*TotalUnits/12*DS$8*DS$11,0)</f>
        <v/>
      </c>
      <c r="DT28" s="218">
        <f>IF(120&gt;=DeliverStart,ExpRMPerUnit*TotalUnits/12*DT$8*DT$11,0)</f>
        <v/>
      </c>
      <c r="DU28" s="218">
        <f>IF(121&gt;=DeliverStart,ExpRMPerUnit*TotalUnits/12*DU$8*DU$11,0)</f>
        <v/>
      </c>
      <c r="DV28" s="218">
        <f>IF(122&gt;=DeliverStart,ExpRMPerUnit*TotalUnits/12*DV$8*DV$11,0)</f>
        <v/>
      </c>
      <c r="DW28" s="218">
        <f>IF(123&gt;=DeliverStart,ExpRMPerUnit*TotalUnits/12*DW$8*DW$11,0)</f>
        <v/>
      </c>
      <c r="DX28" s="218">
        <f>IF(124&gt;=DeliverStart,ExpRMPerUnit*TotalUnits/12*DX$8*DX$11,0)</f>
        <v/>
      </c>
      <c r="DY28" s="218">
        <f>IF(125&gt;=DeliverStart,ExpRMPerUnit*TotalUnits/12*DY$8*DY$11,0)</f>
        <v/>
      </c>
      <c r="DZ28" s="218">
        <f>IF(126&gt;=DeliverStart,ExpRMPerUnit*TotalUnits/12*DZ$8*DZ$11,0)</f>
        <v/>
      </c>
      <c r="EA28" s="218">
        <f>IF(127&gt;=DeliverStart,ExpRMPerUnit*TotalUnits/12*EA$8*EA$11,0)</f>
        <v/>
      </c>
      <c r="EB28" s="218">
        <f>IF(128&gt;=DeliverStart,ExpRMPerUnit*TotalUnits/12*EB$8*EB$11,0)</f>
        <v/>
      </c>
      <c r="EC28" s="218">
        <f>IF(129&gt;=DeliverStart,ExpRMPerUnit*TotalUnits/12*EC$8*EC$11,0)</f>
        <v/>
      </c>
      <c r="ED28" s="218">
        <f>IF(130&gt;=DeliverStart,ExpRMPerUnit*TotalUnits/12*ED$8*ED$11,0)</f>
        <v/>
      </c>
      <c r="EE28" s="218">
        <f>IF(131&gt;=DeliverStart,ExpRMPerUnit*TotalUnits/12*EE$8*EE$11,0)</f>
        <v/>
      </c>
      <c r="EF28" s="218">
        <f>IF(132&gt;=DeliverStart,ExpRMPerUnit*TotalUnits/12*EF$8*EF$11,0)</f>
        <v/>
      </c>
      <c r="EG28" s="218">
        <f>IF(133&gt;=DeliverStart,ExpRMPerUnit*TotalUnits/12*EG$8*EG$11,0)</f>
        <v/>
      </c>
      <c r="EH28" s="218">
        <f>IF(134&gt;=DeliverStart,ExpRMPerUnit*TotalUnits/12*EH$8*EH$11,0)</f>
        <v/>
      </c>
      <c r="EI28" s="218">
        <f>IF(135&gt;=DeliverStart,ExpRMPerUnit*TotalUnits/12*EI$8*EI$11,0)</f>
        <v/>
      </c>
      <c r="EJ28" s="218">
        <f>IF(136&gt;=DeliverStart,ExpRMPerUnit*TotalUnits/12*EJ$8*EJ$11,0)</f>
        <v/>
      </c>
      <c r="EK28" s="218">
        <f>IF(137&gt;=DeliverStart,ExpRMPerUnit*TotalUnits/12*EK$8*EK$11,0)</f>
        <v/>
      </c>
      <c r="EL28" s="218">
        <f>IF(138&gt;=DeliverStart,ExpRMPerUnit*TotalUnits/12*EL$8*EL$11,0)</f>
        <v/>
      </c>
      <c r="EM28" s="218">
        <f>IF(139&gt;=DeliverStart,ExpRMPerUnit*TotalUnits/12*EM$8*EM$11,0)</f>
        <v/>
      </c>
      <c r="EN28" s="218">
        <f>IF(140&gt;=DeliverStart,ExpRMPerUnit*TotalUnits/12*EN$8*EN$11,0)</f>
        <v/>
      </c>
      <c r="EO28" s="218">
        <f>IF(141&gt;=DeliverStart,ExpRMPerUnit*TotalUnits/12*EO$8*EO$11,0)</f>
        <v/>
      </c>
      <c r="EP28" s="218">
        <f>IF(142&gt;=DeliverStart,ExpRMPerUnit*TotalUnits/12*EP$8*EP$11,0)</f>
        <v/>
      </c>
      <c r="EQ28" s="218">
        <f>IF(143&gt;=DeliverStart,ExpRMPerUnit*TotalUnits/12*EQ$8*EQ$11,0)</f>
        <v/>
      </c>
      <c r="ER28" s="218">
        <f>IF(144&gt;=DeliverStart,ExpRMPerUnit*TotalUnits/12*ER$8*ER$11,0)</f>
        <v/>
      </c>
      <c r="ES28" s="218">
        <f>IF(145&gt;=DeliverStart,ExpRMPerUnit*TotalUnits/12*ES$8*ES$11,0)</f>
        <v/>
      </c>
      <c r="ET28" s="218">
        <f>IF(146&gt;=DeliverStart,ExpRMPerUnit*TotalUnits/12*ET$8*ET$11,0)</f>
        <v/>
      </c>
      <c r="EU28" s="218">
        <f>IF(147&gt;=DeliverStart,ExpRMPerUnit*TotalUnits/12*EU$8*EU$11,0)</f>
        <v/>
      </c>
      <c r="EV28" s="218">
        <f>IF(148&gt;=DeliverStart,ExpRMPerUnit*TotalUnits/12*EV$8*EV$11,0)</f>
        <v/>
      </c>
      <c r="EW28" s="218">
        <f>IF(149&gt;=DeliverStart,ExpRMPerUnit*TotalUnits/12*EW$8*EW$11,0)</f>
        <v/>
      </c>
      <c r="EX28" s="218">
        <f>IF(150&gt;=DeliverStart,ExpRMPerUnit*TotalUnits/12*EX$8*EX$11,0)</f>
        <v/>
      </c>
      <c r="EY28" s="218">
        <f>IF(151&gt;=DeliverStart,ExpRMPerUnit*TotalUnits/12*EY$8*EY$11,0)</f>
        <v/>
      </c>
      <c r="EZ28" s="218">
        <f>IF(152&gt;=DeliverStart,ExpRMPerUnit*TotalUnits/12*EZ$8*EZ$11,0)</f>
        <v/>
      </c>
      <c r="FA28" s="218">
        <f>IF(153&gt;=DeliverStart,ExpRMPerUnit*TotalUnits/12*FA$8*FA$11,0)</f>
        <v/>
      </c>
      <c r="FB28" s="218">
        <f>IF(154&gt;=DeliverStart,ExpRMPerUnit*TotalUnits/12*FB$8*FB$11,0)</f>
        <v/>
      </c>
      <c r="FC28" s="218">
        <f>IF(155&gt;=DeliverStart,ExpRMPerUnit*TotalUnits/12*FC$8*FC$11,0)</f>
        <v/>
      </c>
      <c r="FD28" s="218">
        <f>IF(156&gt;=DeliverStart,ExpRMPerUnit*TotalUnits/12*FD$8*FD$11,0)</f>
        <v/>
      </c>
      <c r="FE28" s="218">
        <f>IF(157&gt;=DeliverStart,ExpRMPerUnit*TotalUnits/12*FE$8*FE$11,0)</f>
        <v/>
      </c>
      <c r="FF28" s="218">
        <f>IF(158&gt;=DeliverStart,ExpRMPerUnit*TotalUnits/12*FF$8*FF$11,0)</f>
        <v/>
      </c>
      <c r="FG28" s="218">
        <f>IF(159&gt;=DeliverStart,ExpRMPerUnit*TotalUnits/12*FG$8*FG$11,0)</f>
        <v/>
      </c>
      <c r="FH28" s="218">
        <f>IF(160&gt;=DeliverStart,ExpRMPerUnit*TotalUnits/12*FH$8*FH$11,0)</f>
        <v/>
      </c>
      <c r="FI28" s="218">
        <f>IF(161&gt;=DeliverStart,ExpRMPerUnit*TotalUnits/12*FI$8*FI$11,0)</f>
        <v/>
      </c>
      <c r="FJ28" s="218">
        <f>IF(162&gt;=DeliverStart,ExpRMPerUnit*TotalUnits/12*FJ$8*FJ$11,0)</f>
        <v/>
      </c>
      <c r="FK28" s="218">
        <f>IF(163&gt;=DeliverStart,ExpRMPerUnit*TotalUnits/12*FK$8*FK$11,0)</f>
        <v/>
      </c>
      <c r="FL28" s="218">
        <f>IF(164&gt;=DeliverStart,ExpRMPerUnit*TotalUnits/12*FL$8*FL$11,0)</f>
        <v/>
      </c>
      <c r="FM28" s="218">
        <f>IF(165&gt;=DeliverStart,ExpRMPerUnit*TotalUnits/12*FM$8*FM$11,0)</f>
        <v/>
      </c>
      <c r="FN28" s="218">
        <f>IF(166&gt;=DeliverStart,ExpRMPerUnit*TotalUnits/12*FN$8*FN$11,0)</f>
        <v/>
      </c>
      <c r="FO28" s="218">
        <f>IF(167&gt;=DeliverStart,ExpRMPerUnit*TotalUnits/12*FO$8*FO$11,0)</f>
        <v/>
      </c>
      <c r="FP28" s="218">
        <f>IF(168&gt;=DeliverStart,ExpRMPerUnit*TotalUnits/12*FP$8*FP$11,0)</f>
        <v/>
      </c>
      <c r="FQ28" s="218">
        <f>IF(169&gt;=DeliverStart,ExpRMPerUnit*TotalUnits/12*FQ$8*FQ$11,0)</f>
        <v/>
      </c>
      <c r="FR28" s="218">
        <f>IF(170&gt;=DeliverStart,ExpRMPerUnit*TotalUnits/12*FR$8*FR$11,0)</f>
        <v/>
      </c>
      <c r="FS28" s="218">
        <f>IF(171&gt;=DeliverStart,ExpRMPerUnit*TotalUnits/12*FS$8*FS$11,0)</f>
        <v/>
      </c>
      <c r="FT28" s="218">
        <f>IF(172&gt;=DeliverStart,ExpRMPerUnit*TotalUnits/12*FT$8*FT$11,0)</f>
        <v/>
      </c>
      <c r="FU28" s="218">
        <f>IF(173&gt;=DeliverStart,ExpRMPerUnit*TotalUnits/12*FU$8*FU$11,0)</f>
        <v/>
      </c>
      <c r="FV28" s="218">
        <f>IF(174&gt;=DeliverStart,ExpRMPerUnit*TotalUnits/12*FV$8*FV$11,0)</f>
        <v/>
      </c>
      <c r="FW28" s="218">
        <f>IF(175&gt;=DeliverStart,ExpRMPerUnit*TotalUnits/12*FW$8*FW$11,0)</f>
        <v/>
      </c>
      <c r="FX28" s="218">
        <f>IF(176&gt;=DeliverStart,ExpRMPerUnit*TotalUnits/12*FX$8*FX$11,0)</f>
        <v/>
      </c>
      <c r="FY28" s="218">
        <f>IF(177&gt;=DeliverStart,ExpRMPerUnit*TotalUnits/12*FY$8*FY$11,0)</f>
        <v/>
      </c>
      <c r="FZ28" s="218">
        <f>IF(178&gt;=DeliverStart,ExpRMPerUnit*TotalUnits/12*FZ$8*FZ$11,0)</f>
        <v/>
      </c>
      <c r="GA28" s="218">
        <f>IF(179&gt;=DeliverStart,ExpRMPerUnit*TotalUnits/12*GA$8*GA$11,0)</f>
        <v/>
      </c>
      <c r="GB28" s="218">
        <f>IF(180&gt;=DeliverStart,ExpRMPerUnit*TotalUnits/12*GB$8*GB$11,0)</f>
        <v/>
      </c>
      <c r="GC28" s="218">
        <f>IF(181&gt;=DeliverStart,ExpRMPerUnit*TotalUnits/12*GC$8*GC$11,0)</f>
        <v/>
      </c>
      <c r="GD28" s="218">
        <f>IF(182&gt;=DeliverStart,ExpRMPerUnit*TotalUnits/12*GD$8*GD$11,0)</f>
        <v/>
      </c>
      <c r="GE28" s="218">
        <f>IF(183&gt;=DeliverStart,ExpRMPerUnit*TotalUnits/12*GE$8*GE$11,0)</f>
        <v/>
      </c>
      <c r="GF28" s="218">
        <f>IF(184&gt;=DeliverStart,ExpRMPerUnit*TotalUnits/12*GF$8*GF$11,0)</f>
        <v/>
      </c>
      <c r="GG28" s="218">
        <f>IF(185&gt;=DeliverStart,ExpRMPerUnit*TotalUnits/12*GG$8*GG$11,0)</f>
        <v/>
      </c>
      <c r="GH28" s="218">
        <f>IF(186&gt;=DeliverStart,ExpRMPerUnit*TotalUnits/12*GH$8*GH$11,0)</f>
        <v/>
      </c>
      <c r="GI28" s="218">
        <f>IF(187&gt;=DeliverStart,ExpRMPerUnit*TotalUnits/12*GI$8*GI$11,0)</f>
        <v/>
      </c>
      <c r="GJ28" s="218">
        <f>IF(188&gt;=DeliverStart,ExpRMPerUnit*TotalUnits/12*GJ$8*GJ$11,0)</f>
        <v/>
      </c>
      <c r="GK28" s="218">
        <f>IF(189&gt;=DeliverStart,ExpRMPerUnit*TotalUnits/12*GK$8*GK$11,0)</f>
        <v/>
      </c>
      <c r="GL28" s="218">
        <f>IF(190&gt;=DeliverStart,ExpRMPerUnit*TotalUnits/12*GL$8*GL$11,0)</f>
        <v/>
      </c>
      <c r="GM28" s="218">
        <f>IF(191&gt;=DeliverStart,ExpRMPerUnit*TotalUnits/12*GM$8*GM$11,0)</f>
        <v/>
      </c>
      <c r="GN28" s="218">
        <f>IF(192&gt;=DeliverStart,ExpRMPerUnit*TotalUnits/12*GN$8*GN$11,0)</f>
        <v/>
      </c>
      <c r="GO28" s="218">
        <f>IF(193&gt;=DeliverStart,ExpRMPerUnit*TotalUnits/12*GO$8*GO$11,0)</f>
        <v/>
      </c>
      <c r="GP28" s="218">
        <f>IF(194&gt;=DeliverStart,ExpRMPerUnit*TotalUnits/12*GP$8*GP$11,0)</f>
        <v/>
      </c>
      <c r="GQ28" s="218">
        <f>IF(195&gt;=DeliverStart,ExpRMPerUnit*TotalUnits/12*GQ$8*GQ$11,0)</f>
        <v/>
      </c>
      <c r="GR28" s="218">
        <f>IF(196&gt;=DeliverStart,ExpRMPerUnit*TotalUnits/12*GR$8*GR$11,0)</f>
        <v/>
      </c>
      <c r="GS28" s="218">
        <f>IF(197&gt;=DeliverStart,ExpRMPerUnit*TotalUnits/12*GS$8*GS$11,0)</f>
        <v/>
      </c>
      <c r="GT28" s="218">
        <f>IF(198&gt;=DeliverStart,ExpRMPerUnit*TotalUnits/12*GT$8*GT$11,0)</f>
        <v/>
      </c>
      <c r="GU28" s="218">
        <f>IF(199&gt;=DeliverStart,ExpRMPerUnit*TotalUnits/12*GU$8*GU$11,0)</f>
        <v/>
      </c>
      <c r="GV28" s="218">
        <f>IF(200&gt;=DeliverStart,ExpRMPerUnit*TotalUnits/12*GV$8*GV$11,0)</f>
        <v/>
      </c>
      <c r="GW28" s="218">
        <f>IF(201&gt;=DeliverStart,ExpRMPerUnit*TotalUnits/12*GW$8*GW$11,0)</f>
        <v/>
      </c>
      <c r="GX28" s="218">
        <f>IF(202&gt;=DeliverStart,ExpRMPerUnit*TotalUnits/12*GX$8*GX$11,0)</f>
        <v/>
      </c>
      <c r="GY28" s="218">
        <f>IF(203&gt;=DeliverStart,ExpRMPerUnit*TotalUnits/12*GY$8*GY$11,0)</f>
        <v/>
      </c>
      <c r="GZ28" s="218">
        <f>IF(204&gt;=DeliverStart,ExpRMPerUnit*TotalUnits/12*GZ$8*GZ$11,0)</f>
        <v/>
      </c>
      <c r="HA28" s="218">
        <f>IF(205&gt;=DeliverStart,ExpRMPerUnit*TotalUnits/12*HA$8*HA$11,0)</f>
        <v/>
      </c>
      <c r="HB28" s="218">
        <f>IF(206&gt;=DeliverStart,ExpRMPerUnit*TotalUnits/12*HB$8*HB$11,0)</f>
        <v/>
      </c>
      <c r="HC28" s="218">
        <f>IF(207&gt;=DeliverStart,ExpRMPerUnit*TotalUnits/12*HC$8*HC$11,0)</f>
        <v/>
      </c>
      <c r="HD28" s="218">
        <f>IF(208&gt;=DeliverStart,ExpRMPerUnit*TotalUnits/12*HD$8*HD$11,0)</f>
        <v/>
      </c>
      <c r="HE28" s="218">
        <f>IF(209&gt;=DeliverStart,ExpRMPerUnit*TotalUnits/12*HE$8*HE$11,0)</f>
        <v/>
      </c>
      <c r="HF28" s="218">
        <f>IF(210&gt;=DeliverStart,ExpRMPerUnit*TotalUnits/12*HF$8*HF$11,0)</f>
        <v/>
      </c>
      <c r="HG28" s="218">
        <f>IF(211&gt;=DeliverStart,ExpRMPerUnit*TotalUnits/12*HG$8*HG$11,0)</f>
        <v/>
      </c>
      <c r="HH28" s="218">
        <f>IF(212&gt;=DeliverStart,ExpRMPerUnit*TotalUnits/12*HH$8*HH$11,0)</f>
        <v/>
      </c>
      <c r="HI28" s="218">
        <f>IF(213&gt;=DeliverStart,ExpRMPerUnit*TotalUnits/12*HI$8*HI$11,0)</f>
        <v/>
      </c>
      <c r="HJ28" s="218">
        <f>IF(214&gt;=DeliverStart,ExpRMPerUnit*TotalUnits/12*HJ$8*HJ$11,0)</f>
        <v/>
      </c>
      <c r="HK28" s="218">
        <f>IF(215&gt;=DeliverStart,ExpRMPerUnit*TotalUnits/12*HK$8*HK$11,0)</f>
        <v/>
      </c>
      <c r="HL28" s="218">
        <f>IF(216&gt;=DeliverStart,ExpRMPerUnit*TotalUnits/12*HL$8*HL$11,0)</f>
        <v/>
      </c>
      <c r="HM28" s="218">
        <f>IF(217&gt;=DeliverStart,ExpRMPerUnit*TotalUnits/12*HM$8*HM$11,0)</f>
        <v/>
      </c>
      <c r="HN28" s="218">
        <f>IF(218&gt;=DeliverStart,ExpRMPerUnit*TotalUnits/12*HN$8*HN$11,0)</f>
        <v/>
      </c>
      <c r="HO28" s="218">
        <f>IF(219&gt;=DeliverStart,ExpRMPerUnit*TotalUnits/12*HO$8*HO$11,0)</f>
        <v/>
      </c>
      <c r="HP28" s="218">
        <f>IF(220&gt;=DeliverStart,ExpRMPerUnit*TotalUnits/12*HP$8*HP$11,0)</f>
        <v/>
      </c>
      <c r="HQ28" s="218">
        <f>IF(221&gt;=DeliverStart,ExpRMPerUnit*TotalUnits/12*HQ$8*HQ$11,0)</f>
        <v/>
      </c>
      <c r="HR28" s="218">
        <f>IF(222&gt;=DeliverStart,ExpRMPerUnit*TotalUnits/12*HR$8*HR$11,0)</f>
        <v/>
      </c>
      <c r="HS28" s="218">
        <f>IF(223&gt;=DeliverStart,ExpRMPerUnit*TotalUnits/12*HS$8*HS$11,0)</f>
        <v/>
      </c>
      <c r="HT28" s="218">
        <f>IF(224&gt;=DeliverStart,ExpRMPerUnit*TotalUnits/12*HT$8*HT$11,0)</f>
        <v/>
      </c>
      <c r="HU28" s="218">
        <f>IF(225&gt;=DeliverStart,ExpRMPerUnit*TotalUnits/12*HU$8*HU$11,0)</f>
        <v/>
      </c>
      <c r="HV28" s="218">
        <f>IF(226&gt;=DeliverStart,ExpRMPerUnit*TotalUnits/12*HV$8*HV$11,0)</f>
        <v/>
      </c>
      <c r="HW28" s="218">
        <f>IF(227&gt;=DeliverStart,ExpRMPerUnit*TotalUnits/12*HW$8*HW$11,0)</f>
        <v/>
      </c>
      <c r="HX28" s="218">
        <f>IF(228&gt;=DeliverStart,ExpRMPerUnit*TotalUnits/12*HX$8*HX$11,0)</f>
        <v/>
      </c>
      <c r="HY28" s="218">
        <f>IF(229&gt;=DeliverStart,ExpRMPerUnit*TotalUnits/12*HY$8*HY$11,0)</f>
        <v/>
      </c>
      <c r="HZ28" s="218">
        <f>IF(230&gt;=DeliverStart,ExpRMPerUnit*TotalUnits/12*HZ$8*HZ$11,0)</f>
        <v/>
      </c>
      <c r="IA28" s="218">
        <f>IF(231&gt;=DeliverStart,ExpRMPerUnit*TotalUnits/12*IA$8*IA$11,0)</f>
        <v/>
      </c>
      <c r="IB28" s="218">
        <f>IF(232&gt;=DeliverStart,ExpRMPerUnit*TotalUnits/12*IB$8*IB$11,0)</f>
        <v/>
      </c>
      <c r="IC28" s="218">
        <f>IF(233&gt;=DeliverStart,ExpRMPerUnit*TotalUnits/12*IC$8*IC$11,0)</f>
        <v/>
      </c>
      <c r="ID28" s="218">
        <f>IF(234&gt;=DeliverStart,ExpRMPerUnit*TotalUnits/12*ID$8*ID$11,0)</f>
        <v/>
      </c>
      <c r="IE28" s="218">
        <f>IF(235&gt;=DeliverStart,ExpRMPerUnit*TotalUnits/12*IE$8*IE$11,0)</f>
        <v/>
      </c>
      <c r="IF28" s="218">
        <f>IF(236&gt;=DeliverStart,ExpRMPerUnit*TotalUnits/12*IF$8*IF$11,0)</f>
        <v/>
      </c>
      <c r="IG28" s="218">
        <f>IF(237&gt;=DeliverStart,ExpRMPerUnit*TotalUnits/12*IG$8*IG$11,0)</f>
        <v/>
      </c>
      <c r="IH28" s="218">
        <f>IF(238&gt;=DeliverStart,ExpRMPerUnit*TotalUnits/12*IH$8*IH$11,0)</f>
        <v/>
      </c>
      <c r="II28" s="218">
        <f>IF(239&gt;=DeliverStart,ExpRMPerUnit*TotalUnits/12*II$8*II$11,0)</f>
        <v/>
      </c>
      <c r="IJ28" s="218">
        <f>IF(240&gt;=DeliverStart,ExpRMPerUnit*TotalUnits/12*IJ$8*IJ$11,0)</f>
        <v/>
      </c>
      <c r="IK28" s="218">
        <f>IF(241&gt;=DeliverStart,ExpRMPerUnit*TotalUnits/12*IK$8*IK$11,0)</f>
        <v/>
      </c>
      <c r="IL28" s="218">
        <f>IF(242&gt;=DeliverStart,ExpRMPerUnit*TotalUnits/12*IL$8*IL$11,0)</f>
        <v/>
      </c>
      <c r="IM28" s="218">
        <f>IF(243&gt;=DeliverStart,ExpRMPerUnit*TotalUnits/12*IM$8*IM$11,0)</f>
        <v/>
      </c>
      <c r="IN28" s="218">
        <f>IF(244&gt;=DeliverStart,ExpRMPerUnit*TotalUnits/12*IN$8*IN$11,0)</f>
        <v/>
      </c>
      <c r="IO28" s="218">
        <f>IF(245&gt;=DeliverStart,ExpRMPerUnit*TotalUnits/12*IO$8*IO$11,0)</f>
        <v/>
      </c>
      <c r="IP28" s="218">
        <f>IF(246&gt;=DeliverStart,ExpRMPerUnit*TotalUnits/12*IP$8*IP$11,0)</f>
        <v/>
      </c>
      <c r="IQ28" s="218">
        <f>IF(247&gt;=DeliverStart,ExpRMPerUnit*TotalUnits/12*IQ$8*IQ$11,0)</f>
        <v/>
      </c>
      <c r="IR28" s="218">
        <f>IF(248&gt;=DeliverStart,ExpRMPerUnit*TotalUnits/12*IR$8*IR$11,0)</f>
        <v/>
      </c>
      <c r="IS28" s="218">
        <f>IF(249&gt;=DeliverStart,ExpRMPerUnit*TotalUnits/12*IS$8*IS$11,0)</f>
        <v/>
      </c>
      <c r="IT28" s="218">
        <f>IF(250&gt;=DeliverStart,ExpRMPerUnit*TotalUnits/12*IT$8*IT$11,0)</f>
        <v/>
      </c>
      <c r="IU28" s="218">
        <f>IF(251&gt;=DeliverStart,ExpRMPerUnit*TotalUnits/12*IU$8*IU$11,0)</f>
        <v/>
      </c>
      <c r="IV28" s="218">
        <f>IF(252&gt;=DeliverStart,ExpRMPerUnit*TotalUnits/12*IV$8*IV$11,0)</f>
        <v/>
      </c>
      <c r="IW28" s="218">
        <f>IF(253&gt;=DeliverStart,ExpRMPerUnit*TotalUnits/12*IW$8*IW$11,0)</f>
        <v/>
      </c>
      <c r="IX28" s="218">
        <f>IF(254&gt;=DeliverStart,ExpRMPerUnit*TotalUnits/12*IX$8*IX$11,0)</f>
        <v/>
      </c>
      <c r="IY28" s="218">
        <f>IF(255&gt;=DeliverStart,ExpRMPerUnit*TotalUnits/12*IY$8*IY$11,0)</f>
        <v/>
      </c>
      <c r="IZ28" s="218">
        <f>IF(256&gt;=DeliverStart,ExpRMPerUnit*TotalUnits/12*IZ$8*IZ$11,0)</f>
        <v/>
      </c>
      <c r="JA28" s="218">
        <f>IF(257&gt;=DeliverStart,ExpRMPerUnit*TotalUnits/12*JA$8*JA$11,0)</f>
        <v/>
      </c>
      <c r="JB28" s="218">
        <f>IF(258&gt;=DeliverStart,ExpRMPerUnit*TotalUnits/12*JB$8*JB$11,0)</f>
        <v/>
      </c>
      <c r="JC28" s="218">
        <f>IF(259&gt;=DeliverStart,ExpRMPerUnit*TotalUnits/12*JC$8*JC$11,0)</f>
        <v/>
      </c>
      <c r="JD28" s="218">
        <f>IF(260&gt;=DeliverStart,ExpRMPerUnit*TotalUnits/12*JD$8*JD$11,0)</f>
        <v/>
      </c>
      <c r="JE28" s="218">
        <f>IF(261&gt;=DeliverStart,ExpRMPerUnit*TotalUnits/12*JE$8*JE$11,0)</f>
        <v/>
      </c>
      <c r="JF28" s="218">
        <f>IF(262&gt;=DeliverStart,ExpRMPerUnit*TotalUnits/12*JF$8*JF$11,0)</f>
        <v/>
      </c>
      <c r="JG28" s="218">
        <f>IF(263&gt;=DeliverStart,ExpRMPerUnit*TotalUnits/12*JG$8*JG$11,0)</f>
        <v/>
      </c>
      <c r="JH28" s="218">
        <f>IF(264&gt;=DeliverStart,ExpRMPerUnit*TotalUnits/12*JH$8*JH$11,0)</f>
        <v/>
      </c>
      <c r="JI28" s="218">
        <f>IF(265&gt;=DeliverStart,ExpRMPerUnit*TotalUnits/12*JI$8*JI$11,0)</f>
        <v/>
      </c>
      <c r="JJ28" s="218">
        <f>IF(266&gt;=DeliverStart,ExpRMPerUnit*TotalUnits/12*JJ$8*JJ$11,0)</f>
        <v/>
      </c>
      <c r="JK28" s="218">
        <f>IF(267&gt;=DeliverStart,ExpRMPerUnit*TotalUnits/12*JK$8*JK$11,0)</f>
        <v/>
      </c>
      <c r="JL28" s="218">
        <f>IF(268&gt;=DeliverStart,ExpRMPerUnit*TotalUnits/12*JL$8*JL$11,0)</f>
        <v/>
      </c>
      <c r="JM28" s="218">
        <f>IF(269&gt;=DeliverStart,ExpRMPerUnit*TotalUnits/12*JM$8*JM$11,0)</f>
        <v/>
      </c>
      <c r="JN28" s="218">
        <f>IF(270&gt;=DeliverStart,ExpRMPerUnit*TotalUnits/12*JN$8*JN$11,0)</f>
        <v/>
      </c>
      <c r="JO28" s="218">
        <f>IF(271&gt;=DeliverStart,ExpRMPerUnit*TotalUnits/12*JO$8*JO$11,0)</f>
        <v/>
      </c>
      <c r="JP28" s="218">
        <f>IF(272&gt;=DeliverStart,ExpRMPerUnit*TotalUnits/12*JP$8*JP$11,0)</f>
        <v/>
      </c>
      <c r="JQ28" s="218">
        <f>IF(273&gt;=DeliverStart,ExpRMPerUnit*TotalUnits/12*JQ$8*JQ$11,0)</f>
        <v/>
      </c>
      <c r="JR28" s="218">
        <f>IF(274&gt;=DeliverStart,ExpRMPerUnit*TotalUnits/12*JR$8*JR$11,0)</f>
        <v/>
      </c>
      <c r="JS28" s="218">
        <f>IF(275&gt;=DeliverStart,ExpRMPerUnit*TotalUnits/12*JS$8*JS$11,0)</f>
        <v/>
      </c>
      <c r="JT28" s="218">
        <f>IF(276&gt;=DeliverStart,ExpRMPerUnit*TotalUnits/12*JT$8*JT$11,0)</f>
        <v/>
      </c>
      <c r="JU28" s="218">
        <f>IF(277&gt;=DeliverStart,ExpRMPerUnit*TotalUnits/12*JU$8*JU$11,0)</f>
        <v/>
      </c>
      <c r="JV28" s="218">
        <f>IF(278&gt;=DeliverStart,ExpRMPerUnit*TotalUnits/12*JV$8*JV$11,0)</f>
        <v/>
      </c>
      <c r="JW28" s="218">
        <f>IF(279&gt;=DeliverStart,ExpRMPerUnit*TotalUnits/12*JW$8*JW$11,0)</f>
        <v/>
      </c>
      <c r="JX28" s="218">
        <f>IF(280&gt;=DeliverStart,ExpRMPerUnit*TotalUnits/12*JX$8*JX$11,0)</f>
        <v/>
      </c>
      <c r="JY28" s="218">
        <f>IF(281&gt;=DeliverStart,ExpRMPerUnit*TotalUnits/12*JY$8*JY$11,0)</f>
        <v/>
      </c>
      <c r="JZ28" s="218">
        <f>IF(282&gt;=DeliverStart,ExpRMPerUnit*TotalUnits/12*JZ$8*JZ$11,0)</f>
        <v/>
      </c>
      <c r="KA28" s="218">
        <f>IF(283&gt;=DeliverStart,ExpRMPerUnit*TotalUnits/12*KA$8*KA$11,0)</f>
        <v/>
      </c>
      <c r="KB28" s="218">
        <f>IF(284&gt;=DeliverStart,ExpRMPerUnit*TotalUnits/12*KB$8*KB$11,0)</f>
        <v/>
      </c>
      <c r="KC28" s="218">
        <f>IF(285&gt;=DeliverStart,ExpRMPerUnit*TotalUnits/12*KC$8*KC$11,0)</f>
        <v/>
      </c>
      <c r="KD28" s="218">
        <f>IF(286&gt;=DeliverStart,ExpRMPerUnit*TotalUnits/12*KD$8*KD$11,0)</f>
        <v/>
      </c>
      <c r="KE28" s="218">
        <f>IF(287&gt;=DeliverStart,ExpRMPerUnit*TotalUnits/12*KE$8*KE$11,0)</f>
        <v/>
      </c>
      <c r="KF28" s="218">
        <f>IF(288&gt;=DeliverStart,ExpRMPerUnit*TotalUnits/12*KF$8*KF$11,0)</f>
        <v/>
      </c>
      <c r="KG28" s="218">
        <f>IF(289&gt;=DeliverStart,ExpRMPerUnit*TotalUnits/12*KG$8*KG$11,0)</f>
        <v/>
      </c>
      <c r="KH28" s="218">
        <f>IF(290&gt;=DeliverStart,ExpRMPerUnit*TotalUnits/12*KH$8*KH$11,0)</f>
        <v/>
      </c>
      <c r="KI28" s="218">
        <f>IF(291&gt;=DeliverStart,ExpRMPerUnit*TotalUnits/12*KI$8*KI$11,0)</f>
        <v/>
      </c>
      <c r="KJ28" s="218">
        <f>IF(292&gt;=DeliverStart,ExpRMPerUnit*TotalUnits/12*KJ$8*KJ$11,0)</f>
        <v/>
      </c>
      <c r="KK28" s="218">
        <f>IF(293&gt;=DeliverStart,ExpRMPerUnit*TotalUnits/12*KK$8*KK$11,0)</f>
        <v/>
      </c>
      <c r="KL28" s="218">
        <f>IF(294&gt;=DeliverStart,ExpRMPerUnit*TotalUnits/12*KL$8*KL$11,0)</f>
        <v/>
      </c>
      <c r="KM28" s="218">
        <f>IF(295&gt;=DeliverStart,ExpRMPerUnit*TotalUnits/12*KM$8*KM$11,0)</f>
        <v/>
      </c>
      <c r="KN28" s="218">
        <f>IF(296&gt;=DeliverStart,ExpRMPerUnit*TotalUnits/12*KN$8*KN$11,0)</f>
        <v/>
      </c>
      <c r="KO28" s="218">
        <f>IF(297&gt;=DeliverStart,ExpRMPerUnit*TotalUnits/12*KO$8*KO$11,0)</f>
        <v/>
      </c>
      <c r="KP28" s="218">
        <f>IF(298&gt;=DeliverStart,ExpRMPerUnit*TotalUnits/12*KP$8*KP$11,0)</f>
        <v/>
      </c>
      <c r="KQ28" s="218">
        <f>IF(299&gt;=DeliverStart,ExpRMPerUnit*TotalUnits/12*KQ$8*KQ$11,0)</f>
        <v/>
      </c>
      <c r="KR28" s="218">
        <f>IF(300&gt;=DeliverStart,ExpRMPerUnit*TotalUnits/12*KR$8*KR$11,0)</f>
        <v/>
      </c>
      <c r="KS28" s="218">
        <f>IF(301&gt;=DeliverStart,ExpRMPerUnit*TotalUnits/12*KS$8*KS$11,0)</f>
        <v/>
      </c>
      <c r="KT28" s="218">
        <f>IF(302&gt;=DeliverStart,ExpRMPerUnit*TotalUnits/12*KT$8*KT$11,0)</f>
        <v/>
      </c>
      <c r="KU28" s="218">
        <f>IF(303&gt;=DeliverStart,ExpRMPerUnit*TotalUnits/12*KU$8*KU$11,0)</f>
        <v/>
      </c>
      <c r="KV28" s="218">
        <f>IF(304&gt;=DeliverStart,ExpRMPerUnit*TotalUnits/12*KV$8*KV$11,0)</f>
        <v/>
      </c>
      <c r="KW28" s="218">
        <f>IF(305&gt;=DeliverStart,ExpRMPerUnit*TotalUnits/12*KW$8*KW$11,0)</f>
        <v/>
      </c>
      <c r="KX28" s="218">
        <f>IF(306&gt;=DeliverStart,ExpRMPerUnit*TotalUnits/12*KX$8*KX$11,0)</f>
        <v/>
      </c>
      <c r="KY28" s="218">
        <f>IF(307&gt;=DeliverStart,ExpRMPerUnit*TotalUnits/12*KY$8*KY$11,0)</f>
        <v/>
      </c>
      <c r="KZ28" s="218">
        <f>IF(308&gt;=DeliverStart,ExpRMPerUnit*TotalUnits/12*KZ$8*KZ$11,0)</f>
        <v/>
      </c>
      <c r="LA28" s="218">
        <f>IF(309&gt;=DeliverStart,ExpRMPerUnit*TotalUnits/12*LA$8*LA$11,0)</f>
        <v/>
      </c>
      <c r="LB28" s="218">
        <f>IF(310&gt;=DeliverStart,ExpRMPerUnit*TotalUnits/12*LB$8*LB$11,0)</f>
        <v/>
      </c>
      <c r="LC28" s="218">
        <f>IF(311&gt;=DeliverStart,ExpRMPerUnit*TotalUnits/12*LC$8*LC$11,0)</f>
        <v/>
      </c>
      <c r="LD28" s="218">
        <f>IF(312&gt;=DeliverStart,ExpRMPerUnit*TotalUnits/12*LD$8*LD$11,0)</f>
        <v/>
      </c>
      <c r="LE28" s="218">
        <f>IF(313&gt;=DeliverStart,ExpRMPerUnit*TotalUnits/12*LE$8*LE$11,0)</f>
        <v/>
      </c>
      <c r="LF28" s="218">
        <f>IF(314&gt;=DeliverStart,ExpRMPerUnit*TotalUnits/12*LF$8*LF$11,0)</f>
        <v/>
      </c>
      <c r="LG28" s="218">
        <f>IF(315&gt;=DeliverStart,ExpRMPerUnit*TotalUnits/12*LG$8*LG$11,0)</f>
        <v/>
      </c>
      <c r="LH28" s="218">
        <f>IF(316&gt;=DeliverStart,ExpRMPerUnit*TotalUnits/12*LH$8*LH$11,0)</f>
        <v/>
      </c>
      <c r="LI28" s="218">
        <f>IF(317&gt;=DeliverStart,ExpRMPerUnit*TotalUnits/12*LI$8*LI$11,0)</f>
        <v/>
      </c>
      <c r="LJ28" s="218">
        <f>IF(318&gt;=DeliverStart,ExpRMPerUnit*TotalUnits/12*LJ$8*LJ$11,0)</f>
        <v/>
      </c>
      <c r="LK28" s="218">
        <f>IF(319&gt;=DeliverStart,ExpRMPerUnit*TotalUnits/12*LK$8*LK$11,0)</f>
        <v/>
      </c>
      <c r="LL28" s="218">
        <f>IF(320&gt;=DeliverStart,ExpRMPerUnit*TotalUnits/12*LL$8*LL$11,0)</f>
        <v/>
      </c>
      <c r="LM28" s="218">
        <f>IF(321&gt;=DeliverStart,ExpRMPerUnit*TotalUnits/12*LM$8*LM$11,0)</f>
        <v/>
      </c>
      <c r="LN28" s="218">
        <f>IF(322&gt;=DeliverStart,ExpRMPerUnit*TotalUnits/12*LN$8*LN$11,0)</f>
        <v/>
      </c>
      <c r="LO28" s="218">
        <f>IF(323&gt;=DeliverStart,ExpRMPerUnit*TotalUnits/12*LO$8*LO$11,0)</f>
        <v/>
      </c>
      <c r="LP28" s="218">
        <f>IF(324&gt;=DeliverStart,ExpRMPerUnit*TotalUnits/12*LP$8*LP$11,0)</f>
        <v/>
      </c>
      <c r="LQ28" s="218">
        <f>IF(325&gt;=DeliverStart,ExpRMPerUnit*TotalUnits/12*LQ$8*LQ$11,0)</f>
        <v/>
      </c>
      <c r="LR28" s="218">
        <f>IF(326&gt;=DeliverStart,ExpRMPerUnit*TotalUnits/12*LR$8*LR$11,0)</f>
        <v/>
      </c>
      <c r="LS28" s="218">
        <f>IF(327&gt;=DeliverStart,ExpRMPerUnit*TotalUnits/12*LS$8*LS$11,0)</f>
        <v/>
      </c>
      <c r="LT28" s="218">
        <f>IF(328&gt;=DeliverStart,ExpRMPerUnit*TotalUnits/12*LT$8*LT$11,0)</f>
        <v/>
      </c>
      <c r="LU28" s="218">
        <f>IF(329&gt;=DeliverStart,ExpRMPerUnit*TotalUnits/12*LU$8*LU$11,0)</f>
        <v/>
      </c>
      <c r="LV28" s="218">
        <f>IF(330&gt;=DeliverStart,ExpRMPerUnit*TotalUnits/12*LV$8*LV$11,0)</f>
        <v/>
      </c>
      <c r="LW28" s="218">
        <f>IF(331&gt;=DeliverStart,ExpRMPerUnit*TotalUnits/12*LW$8*LW$11,0)</f>
        <v/>
      </c>
      <c r="LX28" s="218">
        <f>IF(332&gt;=DeliverStart,ExpRMPerUnit*TotalUnits/12*LX$8*LX$11,0)</f>
        <v/>
      </c>
      <c r="LY28" s="218">
        <f>IF(333&gt;=DeliverStart,ExpRMPerUnit*TotalUnits/12*LY$8*LY$11,0)</f>
        <v/>
      </c>
      <c r="LZ28" s="218">
        <f>IF(334&gt;=DeliverStart,ExpRMPerUnit*TotalUnits/12*LZ$8*LZ$11,0)</f>
        <v/>
      </c>
      <c r="MA28" s="218">
        <f>IF(335&gt;=DeliverStart,ExpRMPerUnit*TotalUnits/12*MA$8*MA$11,0)</f>
        <v/>
      </c>
      <c r="MB28" s="218">
        <f>IF(336&gt;=DeliverStart,ExpRMPerUnit*TotalUnits/12*MB$8*MB$11,0)</f>
        <v/>
      </c>
      <c r="MC28" s="218">
        <f>IF(337&gt;=DeliverStart,ExpRMPerUnit*TotalUnits/12*MC$8*MC$11,0)</f>
        <v/>
      </c>
      <c r="MD28" s="218">
        <f>IF(338&gt;=DeliverStart,ExpRMPerUnit*TotalUnits/12*MD$8*MD$11,0)</f>
        <v/>
      </c>
      <c r="ME28" s="218">
        <f>IF(339&gt;=DeliverStart,ExpRMPerUnit*TotalUnits/12*ME$8*ME$11,0)</f>
        <v/>
      </c>
      <c r="MF28" s="218">
        <f>IF(340&gt;=DeliverStart,ExpRMPerUnit*TotalUnits/12*MF$8*MF$11,0)</f>
        <v/>
      </c>
      <c r="MG28" s="218">
        <f>IF(341&gt;=DeliverStart,ExpRMPerUnit*TotalUnits/12*MG$8*MG$11,0)</f>
        <v/>
      </c>
      <c r="MH28" s="218">
        <f>IF(342&gt;=DeliverStart,ExpRMPerUnit*TotalUnits/12*MH$8*MH$11,0)</f>
        <v/>
      </c>
      <c r="MI28" s="218">
        <f>IF(343&gt;=DeliverStart,ExpRMPerUnit*TotalUnits/12*MI$8*MI$11,0)</f>
        <v/>
      </c>
      <c r="MJ28" s="218">
        <f>IF(344&gt;=DeliverStart,ExpRMPerUnit*TotalUnits/12*MJ$8*MJ$11,0)</f>
        <v/>
      </c>
      <c r="MK28" s="218">
        <f>IF(345&gt;=DeliverStart,ExpRMPerUnit*TotalUnits/12*MK$8*MK$11,0)</f>
        <v/>
      </c>
      <c r="ML28" s="218">
        <f>IF(346&gt;=DeliverStart,ExpRMPerUnit*TotalUnits/12*ML$8*ML$11,0)</f>
        <v/>
      </c>
      <c r="MM28" s="218">
        <f>IF(347&gt;=DeliverStart,ExpRMPerUnit*TotalUnits/12*MM$8*MM$11,0)</f>
        <v/>
      </c>
      <c r="MN28" s="218">
        <f>IF(348&gt;=DeliverStart,ExpRMPerUnit*TotalUnits/12*MN$8*MN$11,0)</f>
        <v/>
      </c>
      <c r="MO28" s="218">
        <f>IF(349&gt;=DeliverStart,ExpRMPerUnit*TotalUnits/12*MO$8*MO$11,0)</f>
        <v/>
      </c>
      <c r="MP28" s="218">
        <f>IF(350&gt;=DeliverStart,ExpRMPerUnit*TotalUnits/12*MP$8*MP$11,0)</f>
        <v/>
      </c>
      <c r="MQ28" s="218">
        <f>IF(351&gt;=DeliverStart,ExpRMPerUnit*TotalUnits/12*MQ$8*MQ$11,0)</f>
        <v/>
      </c>
      <c r="MR28" s="218">
        <f>IF(352&gt;=DeliverStart,ExpRMPerUnit*TotalUnits/12*MR$8*MR$11,0)</f>
        <v/>
      </c>
      <c r="MS28" s="218">
        <f>IF(353&gt;=DeliverStart,ExpRMPerUnit*TotalUnits/12*MS$8*MS$11,0)</f>
        <v/>
      </c>
      <c r="MT28" s="218">
        <f>IF(354&gt;=DeliverStart,ExpRMPerUnit*TotalUnits/12*MT$8*MT$11,0)</f>
        <v/>
      </c>
      <c r="MU28" s="218">
        <f>IF(355&gt;=DeliverStart,ExpRMPerUnit*TotalUnits/12*MU$8*MU$11,0)</f>
        <v/>
      </c>
      <c r="MV28" s="218">
        <f>IF(356&gt;=DeliverStart,ExpRMPerUnit*TotalUnits/12*MV$8*MV$11,0)</f>
        <v/>
      </c>
      <c r="MW28" s="218">
        <f>IF(357&gt;=DeliverStart,ExpRMPerUnit*TotalUnits/12*MW$8*MW$11,0)</f>
        <v/>
      </c>
      <c r="MX28" s="218">
        <f>IF(358&gt;=DeliverStart,ExpRMPerUnit*TotalUnits/12*MX$8*MX$11,0)</f>
        <v/>
      </c>
      <c r="MY28" s="218">
        <f>IF(359&gt;=DeliverStart,ExpRMPerUnit*TotalUnits/12*MY$8*MY$11,0)</f>
        <v/>
      </c>
      <c r="MZ28" s="218">
        <f>IF(360&gt;=DeliverStart,ExpRMPerUnit*TotalUnits/12*MZ$8*MZ$11,0)</f>
        <v/>
      </c>
      <c r="NA28" s="218">
        <f>IF(361&gt;=DeliverStart,ExpRMPerUnit*TotalUnits/12*NA$8*NA$11,0)</f>
        <v/>
      </c>
      <c r="NB28" s="218">
        <f>IF(362&gt;=DeliverStart,ExpRMPerUnit*TotalUnits/12*NB$8*NB$11,0)</f>
        <v/>
      </c>
      <c r="NC28" s="218">
        <f>IF(363&gt;=DeliverStart,ExpRMPerUnit*TotalUnits/12*NC$8*NC$11,0)</f>
        <v/>
      </c>
      <c r="ND28" s="218">
        <f>IF(364&gt;=DeliverStart,ExpRMPerUnit*TotalUnits/12*ND$8*ND$11,0)</f>
        <v/>
      </c>
      <c r="NE28" s="218">
        <f>IF(365&gt;=DeliverStart,ExpRMPerUnit*TotalUnits/12*NE$8*NE$11,0)</f>
        <v/>
      </c>
      <c r="NF28" s="218">
        <f>IF(366&gt;=DeliverStart,ExpRMPerUnit*TotalUnits/12*NF$8*NF$11,0)</f>
        <v/>
      </c>
      <c r="NG28" s="218">
        <f>IF(367&gt;=DeliverStart,ExpRMPerUnit*TotalUnits/12*NG$8*NG$11,0)</f>
        <v/>
      </c>
      <c r="NH28" s="218">
        <f>IF(368&gt;=DeliverStart,ExpRMPerUnit*TotalUnits/12*NH$8*NH$11,0)</f>
        <v/>
      </c>
      <c r="NI28" s="218">
        <f>IF(369&gt;=DeliverStart,ExpRMPerUnit*TotalUnits/12*NI$8*NI$11,0)</f>
        <v/>
      </c>
      <c r="NJ28" s="218">
        <f>IF(370&gt;=DeliverStart,ExpRMPerUnit*TotalUnits/12*NJ$8*NJ$11,0)</f>
        <v/>
      </c>
      <c r="NK28" s="218">
        <f>IF(371&gt;=DeliverStart,ExpRMPerUnit*TotalUnits/12*NK$8*NK$11,0)</f>
        <v/>
      </c>
      <c r="NL28" s="225">
        <f>IF(372&gt;=DeliverStart,ExpRMPerUnit*TotalUnits/12*NL$8*NL$11,0)</f>
        <v/>
      </c>
    </row>
    <row r="29">
      <c r="B29" s="36" t="inlineStr">
        <is>
          <t>Turnover (variable)</t>
        </is>
      </c>
      <c r="D29" s="266">
        <f>SUM(E29:NL29)</f>
        <v/>
      </c>
      <c r="E29" s="218">
        <f>IF(1&gt;=DeliverStart,ExpTurnoverPerUnit*TotalUnits/12*E$8*E$11,0)</f>
        <v/>
      </c>
      <c r="F29" s="218">
        <f>IF(2&gt;=DeliverStart,ExpTurnoverPerUnit*TotalUnits/12*F$8*F$11,0)</f>
        <v/>
      </c>
      <c r="G29" s="218">
        <f>IF(3&gt;=DeliverStart,ExpTurnoverPerUnit*TotalUnits/12*G$8*G$11,0)</f>
        <v/>
      </c>
      <c r="H29" s="218">
        <f>IF(4&gt;=DeliverStart,ExpTurnoverPerUnit*TotalUnits/12*H$8*H$11,0)</f>
        <v/>
      </c>
      <c r="I29" s="218">
        <f>IF(5&gt;=DeliverStart,ExpTurnoverPerUnit*TotalUnits/12*I$8*I$11,0)</f>
        <v/>
      </c>
      <c r="J29" s="218">
        <f>IF(6&gt;=DeliverStart,ExpTurnoverPerUnit*TotalUnits/12*J$8*J$11,0)</f>
        <v/>
      </c>
      <c r="K29" s="218">
        <f>IF(7&gt;=DeliverStart,ExpTurnoverPerUnit*TotalUnits/12*K$8*K$11,0)</f>
        <v/>
      </c>
      <c r="L29" s="218">
        <f>IF(8&gt;=DeliverStart,ExpTurnoverPerUnit*TotalUnits/12*L$8*L$11,0)</f>
        <v/>
      </c>
      <c r="M29" s="218">
        <f>IF(9&gt;=DeliverStart,ExpTurnoverPerUnit*TotalUnits/12*M$8*M$11,0)</f>
        <v/>
      </c>
      <c r="N29" s="218">
        <f>IF(10&gt;=DeliverStart,ExpTurnoverPerUnit*TotalUnits/12*N$8*N$11,0)</f>
        <v/>
      </c>
      <c r="O29" s="218">
        <f>IF(11&gt;=DeliverStart,ExpTurnoverPerUnit*TotalUnits/12*O$8*O$11,0)</f>
        <v/>
      </c>
      <c r="P29" s="218">
        <f>IF(12&gt;=DeliverStart,ExpTurnoverPerUnit*TotalUnits/12*P$8*P$11,0)</f>
        <v/>
      </c>
      <c r="Q29" s="218">
        <f>IF(13&gt;=DeliverStart,ExpTurnoverPerUnit*TotalUnits/12*Q$8*Q$11,0)</f>
        <v/>
      </c>
      <c r="R29" s="218">
        <f>IF(14&gt;=DeliverStart,ExpTurnoverPerUnit*TotalUnits/12*R$8*R$11,0)</f>
        <v/>
      </c>
      <c r="S29" s="218">
        <f>IF(15&gt;=DeliverStart,ExpTurnoverPerUnit*TotalUnits/12*S$8*S$11,0)</f>
        <v/>
      </c>
      <c r="T29" s="218">
        <f>IF(16&gt;=DeliverStart,ExpTurnoverPerUnit*TotalUnits/12*T$8*T$11,0)</f>
        <v/>
      </c>
      <c r="U29" s="218">
        <f>IF(17&gt;=DeliverStart,ExpTurnoverPerUnit*TotalUnits/12*U$8*U$11,0)</f>
        <v/>
      </c>
      <c r="V29" s="218">
        <f>IF(18&gt;=DeliverStart,ExpTurnoverPerUnit*TotalUnits/12*V$8*V$11,0)</f>
        <v/>
      </c>
      <c r="W29" s="218">
        <f>IF(19&gt;=DeliverStart,ExpTurnoverPerUnit*TotalUnits/12*W$8*W$11,0)</f>
        <v/>
      </c>
      <c r="X29" s="218">
        <f>IF(20&gt;=DeliverStart,ExpTurnoverPerUnit*TotalUnits/12*X$8*X$11,0)</f>
        <v/>
      </c>
      <c r="Y29" s="218">
        <f>IF(21&gt;=DeliverStart,ExpTurnoverPerUnit*TotalUnits/12*Y$8*Y$11,0)</f>
        <v/>
      </c>
      <c r="Z29" s="218">
        <f>IF(22&gt;=DeliverStart,ExpTurnoverPerUnit*TotalUnits/12*Z$8*Z$11,0)</f>
        <v/>
      </c>
      <c r="AA29" s="218">
        <f>IF(23&gt;=DeliverStart,ExpTurnoverPerUnit*TotalUnits/12*AA$8*AA$11,0)</f>
        <v/>
      </c>
      <c r="AB29" s="218">
        <f>IF(24&gt;=DeliverStart,ExpTurnoverPerUnit*TotalUnits/12*AB$8*AB$11,0)</f>
        <v/>
      </c>
      <c r="AC29" s="218">
        <f>IF(25&gt;=DeliverStart,ExpTurnoverPerUnit*TotalUnits/12*AC$8*AC$11,0)</f>
        <v/>
      </c>
      <c r="AD29" s="218">
        <f>IF(26&gt;=DeliverStart,ExpTurnoverPerUnit*TotalUnits/12*AD$8*AD$11,0)</f>
        <v/>
      </c>
      <c r="AE29" s="218">
        <f>IF(27&gt;=DeliverStart,ExpTurnoverPerUnit*TotalUnits/12*AE$8*AE$11,0)</f>
        <v/>
      </c>
      <c r="AF29" s="218">
        <f>IF(28&gt;=DeliverStart,ExpTurnoverPerUnit*TotalUnits/12*AF$8*AF$11,0)</f>
        <v/>
      </c>
      <c r="AG29" s="218">
        <f>IF(29&gt;=DeliverStart,ExpTurnoverPerUnit*TotalUnits/12*AG$8*AG$11,0)</f>
        <v/>
      </c>
      <c r="AH29" s="218">
        <f>IF(30&gt;=DeliverStart,ExpTurnoverPerUnit*TotalUnits/12*AH$8*AH$11,0)</f>
        <v/>
      </c>
      <c r="AI29" s="218">
        <f>IF(31&gt;=DeliverStart,ExpTurnoverPerUnit*TotalUnits/12*AI$8*AI$11,0)</f>
        <v/>
      </c>
      <c r="AJ29" s="218">
        <f>IF(32&gt;=DeliverStart,ExpTurnoverPerUnit*TotalUnits/12*AJ$8*AJ$11,0)</f>
        <v/>
      </c>
      <c r="AK29" s="218">
        <f>IF(33&gt;=DeliverStart,ExpTurnoverPerUnit*TotalUnits/12*AK$8*AK$11,0)</f>
        <v/>
      </c>
      <c r="AL29" s="218">
        <f>IF(34&gt;=DeliverStart,ExpTurnoverPerUnit*TotalUnits/12*AL$8*AL$11,0)</f>
        <v/>
      </c>
      <c r="AM29" s="218">
        <f>IF(35&gt;=DeliverStart,ExpTurnoverPerUnit*TotalUnits/12*AM$8*AM$11,0)</f>
        <v/>
      </c>
      <c r="AN29" s="218">
        <f>IF(36&gt;=DeliverStart,ExpTurnoverPerUnit*TotalUnits/12*AN$8*AN$11,0)</f>
        <v/>
      </c>
      <c r="AO29" s="218">
        <f>IF(37&gt;=DeliverStart,ExpTurnoverPerUnit*TotalUnits/12*AO$8*AO$11,0)</f>
        <v/>
      </c>
      <c r="AP29" s="218">
        <f>IF(38&gt;=DeliverStart,ExpTurnoverPerUnit*TotalUnits/12*AP$8*AP$11,0)</f>
        <v/>
      </c>
      <c r="AQ29" s="218">
        <f>IF(39&gt;=DeliverStart,ExpTurnoverPerUnit*TotalUnits/12*AQ$8*AQ$11,0)</f>
        <v/>
      </c>
      <c r="AR29" s="218">
        <f>IF(40&gt;=DeliverStart,ExpTurnoverPerUnit*TotalUnits/12*AR$8*AR$11,0)</f>
        <v/>
      </c>
      <c r="AS29" s="218">
        <f>IF(41&gt;=DeliverStart,ExpTurnoverPerUnit*TotalUnits/12*AS$8*AS$11,0)</f>
        <v/>
      </c>
      <c r="AT29" s="218">
        <f>IF(42&gt;=DeliverStart,ExpTurnoverPerUnit*TotalUnits/12*AT$8*AT$11,0)</f>
        <v/>
      </c>
      <c r="AU29" s="218">
        <f>IF(43&gt;=DeliverStart,ExpTurnoverPerUnit*TotalUnits/12*AU$8*AU$11,0)</f>
        <v/>
      </c>
      <c r="AV29" s="218">
        <f>IF(44&gt;=DeliverStart,ExpTurnoverPerUnit*TotalUnits/12*AV$8*AV$11,0)</f>
        <v/>
      </c>
      <c r="AW29" s="218">
        <f>IF(45&gt;=DeliverStart,ExpTurnoverPerUnit*TotalUnits/12*AW$8*AW$11,0)</f>
        <v/>
      </c>
      <c r="AX29" s="218">
        <f>IF(46&gt;=DeliverStart,ExpTurnoverPerUnit*TotalUnits/12*AX$8*AX$11,0)</f>
        <v/>
      </c>
      <c r="AY29" s="218">
        <f>IF(47&gt;=DeliverStart,ExpTurnoverPerUnit*TotalUnits/12*AY$8*AY$11,0)</f>
        <v/>
      </c>
      <c r="AZ29" s="218">
        <f>IF(48&gt;=DeliverStart,ExpTurnoverPerUnit*TotalUnits/12*AZ$8*AZ$11,0)</f>
        <v/>
      </c>
      <c r="BA29" s="218">
        <f>IF(49&gt;=DeliverStart,ExpTurnoverPerUnit*TotalUnits/12*BA$8*BA$11,0)</f>
        <v/>
      </c>
      <c r="BB29" s="218">
        <f>IF(50&gt;=DeliverStart,ExpTurnoverPerUnit*TotalUnits/12*BB$8*BB$11,0)</f>
        <v/>
      </c>
      <c r="BC29" s="218">
        <f>IF(51&gt;=DeliverStart,ExpTurnoverPerUnit*TotalUnits/12*BC$8*BC$11,0)</f>
        <v/>
      </c>
      <c r="BD29" s="218">
        <f>IF(52&gt;=DeliverStart,ExpTurnoverPerUnit*TotalUnits/12*BD$8*BD$11,0)</f>
        <v/>
      </c>
      <c r="BE29" s="218">
        <f>IF(53&gt;=DeliverStart,ExpTurnoverPerUnit*TotalUnits/12*BE$8*BE$11,0)</f>
        <v/>
      </c>
      <c r="BF29" s="218">
        <f>IF(54&gt;=DeliverStart,ExpTurnoverPerUnit*TotalUnits/12*BF$8*BF$11,0)</f>
        <v/>
      </c>
      <c r="BG29" s="218">
        <f>IF(55&gt;=DeliverStart,ExpTurnoverPerUnit*TotalUnits/12*BG$8*BG$11,0)</f>
        <v/>
      </c>
      <c r="BH29" s="218">
        <f>IF(56&gt;=DeliverStart,ExpTurnoverPerUnit*TotalUnits/12*BH$8*BH$11,0)</f>
        <v/>
      </c>
      <c r="BI29" s="218">
        <f>IF(57&gt;=DeliverStart,ExpTurnoverPerUnit*TotalUnits/12*BI$8*BI$11,0)</f>
        <v/>
      </c>
      <c r="BJ29" s="218">
        <f>IF(58&gt;=DeliverStart,ExpTurnoverPerUnit*TotalUnits/12*BJ$8*BJ$11,0)</f>
        <v/>
      </c>
      <c r="BK29" s="218">
        <f>IF(59&gt;=DeliverStart,ExpTurnoverPerUnit*TotalUnits/12*BK$8*BK$11,0)</f>
        <v/>
      </c>
      <c r="BL29" s="218">
        <f>IF(60&gt;=DeliverStart,ExpTurnoverPerUnit*TotalUnits/12*BL$8*BL$11,0)</f>
        <v/>
      </c>
      <c r="BM29" s="218">
        <f>IF(61&gt;=DeliverStart,ExpTurnoverPerUnit*TotalUnits/12*BM$8*BM$11,0)</f>
        <v/>
      </c>
      <c r="BN29" s="218">
        <f>IF(62&gt;=DeliverStart,ExpTurnoverPerUnit*TotalUnits/12*BN$8*BN$11,0)</f>
        <v/>
      </c>
      <c r="BO29" s="218">
        <f>IF(63&gt;=DeliverStart,ExpTurnoverPerUnit*TotalUnits/12*BO$8*BO$11,0)</f>
        <v/>
      </c>
      <c r="BP29" s="218">
        <f>IF(64&gt;=DeliverStart,ExpTurnoverPerUnit*TotalUnits/12*BP$8*BP$11,0)</f>
        <v/>
      </c>
      <c r="BQ29" s="218">
        <f>IF(65&gt;=DeliverStart,ExpTurnoverPerUnit*TotalUnits/12*BQ$8*BQ$11,0)</f>
        <v/>
      </c>
      <c r="BR29" s="218">
        <f>IF(66&gt;=DeliverStart,ExpTurnoverPerUnit*TotalUnits/12*BR$8*BR$11,0)</f>
        <v/>
      </c>
      <c r="BS29" s="218">
        <f>IF(67&gt;=DeliverStart,ExpTurnoverPerUnit*TotalUnits/12*BS$8*BS$11,0)</f>
        <v/>
      </c>
      <c r="BT29" s="218">
        <f>IF(68&gt;=DeliverStart,ExpTurnoverPerUnit*TotalUnits/12*BT$8*BT$11,0)</f>
        <v/>
      </c>
      <c r="BU29" s="218">
        <f>IF(69&gt;=DeliverStart,ExpTurnoverPerUnit*TotalUnits/12*BU$8*BU$11,0)</f>
        <v/>
      </c>
      <c r="BV29" s="218">
        <f>IF(70&gt;=DeliverStart,ExpTurnoverPerUnit*TotalUnits/12*BV$8*BV$11,0)</f>
        <v/>
      </c>
      <c r="BW29" s="218">
        <f>IF(71&gt;=DeliverStart,ExpTurnoverPerUnit*TotalUnits/12*BW$8*BW$11,0)</f>
        <v/>
      </c>
      <c r="BX29" s="218">
        <f>IF(72&gt;=DeliverStart,ExpTurnoverPerUnit*TotalUnits/12*BX$8*BX$11,0)</f>
        <v/>
      </c>
      <c r="BY29" s="218">
        <f>IF(73&gt;=DeliverStart,ExpTurnoverPerUnit*TotalUnits/12*BY$8*BY$11,0)</f>
        <v/>
      </c>
      <c r="BZ29" s="218">
        <f>IF(74&gt;=DeliverStart,ExpTurnoverPerUnit*TotalUnits/12*BZ$8*BZ$11,0)</f>
        <v/>
      </c>
      <c r="CA29" s="218">
        <f>IF(75&gt;=DeliverStart,ExpTurnoverPerUnit*TotalUnits/12*CA$8*CA$11,0)</f>
        <v/>
      </c>
      <c r="CB29" s="218">
        <f>IF(76&gt;=DeliverStart,ExpTurnoverPerUnit*TotalUnits/12*CB$8*CB$11,0)</f>
        <v/>
      </c>
      <c r="CC29" s="218">
        <f>IF(77&gt;=DeliverStart,ExpTurnoverPerUnit*TotalUnits/12*CC$8*CC$11,0)</f>
        <v/>
      </c>
      <c r="CD29" s="218">
        <f>IF(78&gt;=DeliverStart,ExpTurnoverPerUnit*TotalUnits/12*CD$8*CD$11,0)</f>
        <v/>
      </c>
      <c r="CE29" s="218">
        <f>IF(79&gt;=DeliverStart,ExpTurnoverPerUnit*TotalUnits/12*CE$8*CE$11,0)</f>
        <v/>
      </c>
      <c r="CF29" s="218">
        <f>IF(80&gt;=DeliverStart,ExpTurnoverPerUnit*TotalUnits/12*CF$8*CF$11,0)</f>
        <v/>
      </c>
      <c r="CG29" s="218">
        <f>IF(81&gt;=DeliverStart,ExpTurnoverPerUnit*TotalUnits/12*CG$8*CG$11,0)</f>
        <v/>
      </c>
      <c r="CH29" s="218">
        <f>IF(82&gt;=DeliverStart,ExpTurnoverPerUnit*TotalUnits/12*CH$8*CH$11,0)</f>
        <v/>
      </c>
      <c r="CI29" s="218">
        <f>IF(83&gt;=DeliverStart,ExpTurnoverPerUnit*TotalUnits/12*CI$8*CI$11,0)</f>
        <v/>
      </c>
      <c r="CJ29" s="218">
        <f>IF(84&gt;=DeliverStart,ExpTurnoverPerUnit*TotalUnits/12*CJ$8*CJ$11,0)</f>
        <v/>
      </c>
      <c r="CK29" s="218">
        <f>IF(85&gt;=DeliverStart,ExpTurnoverPerUnit*TotalUnits/12*CK$8*CK$11,0)</f>
        <v/>
      </c>
      <c r="CL29" s="218">
        <f>IF(86&gt;=DeliverStart,ExpTurnoverPerUnit*TotalUnits/12*CL$8*CL$11,0)</f>
        <v/>
      </c>
      <c r="CM29" s="218">
        <f>IF(87&gt;=DeliverStart,ExpTurnoverPerUnit*TotalUnits/12*CM$8*CM$11,0)</f>
        <v/>
      </c>
      <c r="CN29" s="218">
        <f>IF(88&gt;=DeliverStart,ExpTurnoverPerUnit*TotalUnits/12*CN$8*CN$11,0)</f>
        <v/>
      </c>
      <c r="CO29" s="218">
        <f>IF(89&gt;=DeliverStart,ExpTurnoverPerUnit*TotalUnits/12*CO$8*CO$11,0)</f>
        <v/>
      </c>
      <c r="CP29" s="218">
        <f>IF(90&gt;=DeliverStart,ExpTurnoverPerUnit*TotalUnits/12*CP$8*CP$11,0)</f>
        <v/>
      </c>
      <c r="CQ29" s="218">
        <f>IF(91&gt;=DeliverStart,ExpTurnoverPerUnit*TotalUnits/12*CQ$8*CQ$11,0)</f>
        <v/>
      </c>
      <c r="CR29" s="218">
        <f>IF(92&gt;=DeliverStart,ExpTurnoverPerUnit*TotalUnits/12*CR$8*CR$11,0)</f>
        <v/>
      </c>
      <c r="CS29" s="218">
        <f>IF(93&gt;=DeliverStart,ExpTurnoverPerUnit*TotalUnits/12*CS$8*CS$11,0)</f>
        <v/>
      </c>
      <c r="CT29" s="218">
        <f>IF(94&gt;=DeliverStart,ExpTurnoverPerUnit*TotalUnits/12*CT$8*CT$11,0)</f>
        <v/>
      </c>
      <c r="CU29" s="218">
        <f>IF(95&gt;=DeliverStart,ExpTurnoverPerUnit*TotalUnits/12*CU$8*CU$11,0)</f>
        <v/>
      </c>
      <c r="CV29" s="218">
        <f>IF(96&gt;=DeliverStart,ExpTurnoverPerUnit*TotalUnits/12*CV$8*CV$11,0)</f>
        <v/>
      </c>
      <c r="CW29" s="218">
        <f>IF(97&gt;=DeliverStart,ExpTurnoverPerUnit*TotalUnits/12*CW$8*CW$11,0)</f>
        <v/>
      </c>
      <c r="CX29" s="218">
        <f>IF(98&gt;=DeliverStart,ExpTurnoverPerUnit*TotalUnits/12*CX$8*CX$11,0)</f>
        <v/>
      </c>
      <c r="CY29" s="218">
        <f>IF(99&gt;=DeliverStart,ExpTurnoverPerUnit*TotalUnits/12*CY$8*CY$11,0)</f>
        <v/>
      </c>
      <c r="CZ29" s="218">
        <f>IF(100&gt;=DeliverStart,ExpTurnoverPerUnit*TotalUnits/12*CZ$8*CZ$11,0)</f>
        <v/>
      </c>
      <c r="DA29" s="218">
        <f>IF(101&gt;=DeliverStart,ExpTurnoverPerUnit*TotalUnits/12*DA$8*DA$11,0)</f>
        <v/>
      </c>
      <c r="DB29" s="218">
        <f>IF(102&gt;=DeliverStart,ExpTurnoverPerUnit*TotalUnits/12*DB$8*DB$11,0)</f>
        <v/>
      </c>
      <c r="DC29" s="218">
        <f>IF(103&gt;=DeliverStart,ExpTurnoverPerUnit*TotalUnits/12*DC$8*DC$11,0)</f>
        <v/>
      </c>
      <c r="DD29" s="218">
        <f>IF(104&gt;=DeliverStart,ExpTurnoverPerUnit*TotalUnits/12*DD$8*DD$11,0)</f>
        <v/>
      </c>
      <c r="DE29" s="218">
        <f>IF(105&gt;=DeliverStart,ExpTurnoverPerUnit*TotalUnits/12*DE$8*DE$11,0)</f>
        <v/>
      </c>
      <c r="DF29" s="218">
        <f>IF(106&gt;=DeliverStart,ExpTurnoverPerUnit*TotalUnits/12*DF$8*DF$11,0)</f>
        <v/>
      </c>
      <c r="DG29" s="218">
        <f>IF(107&gt;=DeliverStart,ExpTurnoverPerUnit*TotalUnits/12*DG$8*DG$11,0)</f>
        <v/>
      </c>
      <c r="DH29" s="218">
        <f>IF(108&gt;=DeliverStart,ExpTurnoverPerUnit*TotalUnits/12*DH$8*DH$11,0)</f>
        <v/>
      </c>
      <c r="DI29" s="218">
        <f>IF(109&gt;=DeliverStart,ExpTurnoverPerUnit*TotalUnits/12*DI$8*DI$11,0)</f>
        <v/>
      </c>
      <c r="DJ29" s="218">
        <f>IF(110&gt;=DeliverStart,ExpTurnoverPerUnit*TotalUnits/12*DJ$8*DJ$11,0)</f>
        <v/>
      </c>
      <c r="DK29" s="218">
        <f>IF(111&gt;=DeliverStart,ExpTurnoverPerUnit*TotalUnits/12*DK$8*DK$11,0)</f>
        <v/>
      </c>
      <c r="DL29" s="218">
        <f>IF(112&gt;=DeliverStart,ExpTurnoverPerUnit*TotalUnits/12*DL$8*DL$11,0)</f>
        <v/>
      </c>
      <c r="DM29" s="218">
        <f>IF(113&gt;=DeliverStart,ExpTurnoverPerUnit*TotalUnits/12*DM$8*DM$11,0)</f>
        <v/>
      </c>
      <c r="DN29" s="218">
        <f>IF(114&gt;=DeliverStart,ExpTurnoverPerUnit*TotalUnits/12*DN$8*DN$11,0)</f>
        <v/>
      </c>
      <c r="DO29" s="218">
        <f>IF(115&gt;=DeliverStart,ExpTurnoverPerUnit*TotalUnits/12*DO$8*DO$11,0)</f>
        <v/>
      </c>
      <c r="DP29" s="218">
        <f>IF(116&gt;=DeliverStart,ExpTurnoverPerUnit*TotalUnits/12*DP$8*DP$11,0)</f>
        <v/>
      </c>
      <c r="DQ29" s="218">
        <f>IF(117&gt;=DeliverStart,ExpTurnoverPerUnit*TotalUnits/12*DQ$8*DQ$11,0)</f>
        <v/>
      </c>
      <c r="DR29" s="218">
        <f>IF(118&gt;=DeliverStart,ExpTurnoverPerUnit*TotalUnits/12*DR$8*DR$11,0)</f>
        <v/>
      </c>
      <c r="DS29" s="218">
        <f>IF(119&gt;=DeliverStart,ExpTurnoverPerUnit*TotalUnits/12*DS$8*DS$11,0)</f>
        <v/>
      </c>
      <c r="DT29" s="218">
        <f>IF(120&gt;=DeliverStart,ExpTurnoverPerUnit*TotalUnits/12*DT$8*DT$11,0)</f>
        <v/>
      </c>
      <c r="DU29" s="218">
        <f>IF(121&gt;=DeliverStart,ExpTurnoverPerUnit*TotalUnits/12*DU$8*DU$11,0)</f>
        <v/>
      </c>
      <c r="DV29" s="218">
        <f>IF(122&gt;=DeliverStart,ExpTurnoverPerUnit*TotalUnits/12*DV$8*DV$11,0)</f>
        <v/>
      </c>
      <c r="DW29" s="218">
        <f>IF(123&gt;=DeliverStart,ExpTurnoverPerUnit*TotalUnits/12*DW$8*DW$11,0)</f>
        <v/>
      </c>
      <c r="DX29" s="218">
        <f>IF(124&gt;=DeliverStart,ExpTurnoverPerUnit*TotalUnits/12*DX$8*DX$11,0)</f>
        <v/>
      </c>
      <c r="DY29" s="218">
        <f>IF(125&gt;=DeliverStart,ExpTurnoverPerUnit*TotalUnits/12*DY$8*DY$11,0)</f>
        <v/>
      </c>
      <c r="DZ29" s="218">
        <f>IF(126&gt;=DeliverStart,ExpTurnoverPerUnit*TotalUnits/12*DZ$8*DZ$11,0)</f>
        <v/>
      </c>
      <c r="EA29" s="218">
        <f>IF(127&gt;=DeliverStart,ExpTurnoverPerUnit*TotalUnits/12*EA$8*EA$11,0)</f>
        <v/>
      </c>
      <c r="EB29" s="218">
        <f>IF(128&gt;=DeliverStart,ExpTurnoverPerUnit*TotalUnits/12*EB$8*EB$11,0)</f>
        <v/>
      </c>
      <c r="EC29" s="218">
        <f>IF(129&gt;=DeliverStart,ExpTurnoverPerUnit*TotalUnits/12*EC$8*EC$11,0)</f>
        <v/>
      </c>
      <c r="ED29" s="218">
        <f>IF(130&gt;=DeliverStart,ExpTurnoverPerUnit*TotalUnits/12*ED$8*ED$11,0)</f>
        <v/>
      </c>
      <c r="EE29" s="218">
        <f>IF(131&gt;=DeliverStart,ExpTurnoverPerUnit*TotalUnits/12*EE$8*EE$11,0)</f>
        <v/>
      </c>
      <c r="EF29" s="218">
        <f>IF(132&gt;=DeliverStart,ExpTurnoverPerUnit*TotalUnits/12*EF$8*EF$11,0)</f>
        <v/>
      </c>
      <c r="EG29" s="218">
        <f>IF(133&gt;=DeliverStart,ExpTurnoverPerUnit*TotalUnits/12*EG$8*EG$11,0)</f>
        <v/>
      </c>
      <c r="EH29" s="218">
        <f>IF(134&gt;=DeliverStart,ExpTurnoverPerUnit*TotalUnits/12*EH$8*EH$11,0)</f>
        <v/>
      </c>
      <c r="EI29" s="218">
        <f>IF(135&gt;=DeliverStart,ExpTurnoverPerUnit*TotalUnits/12*EI$8*EI$11,0)</f>
        <v/>
      </c>
      <c r="EJ29" s="218">
        <f>IF(136&gt;=DeliverStart,ExpTurnoverPerUnit*TotalUnits/12*EJ$8*EJ$11,0)</f>
        <v/>
      </c>
      <c r="EK29" s="218">
        <f>IF(137&gt;=DeliverStart,ExpTurnoverPerUnit*TotalUnits/12*EK$8*EK$11,0)</f>
        <v/>
      </c>
      <c r="EL29" s="218">
        <f>IF(138&gt;=DeliverStart,ExpTurnoverPerUnit*TotalUnits/12*EL$8*EL$11,0)</f>
        <v/>
      </c>
      <c r="EM29" s="218">
        <f>IF(139&gt;=DeliverStart,ExpTurnoverPerUnit*TotalUnits/12*EM$8*EM$11,0)</f>
        <v/>
      </c>
      <c r="EN29" s="218">
        <f>IF(140&gt;=DeliverStart,ExpTurnoverPerUnit*TotalUnits/12*EN$8*EN$11,0)</f>
        <v/>
      </c>
      <c r="EO29" s="218">
        <f>IF(141&gt;=DeliverStart,ExpTurnoverPerUnit*TotalUnits/12*EO$8*EO$11,0)</f>
        <v/>
      </c>
      <c r="EP29" s="218">
        <f>IF(142&gt;=DeliverStart,ExpTurnoverPerUnit*TotalUnits/12*EP$8*EP$11,0)</f>
        <v/>
      </c>
      <c r="EQ29" s="218">
        <f>IF(143&gt;=DeliverStart,ExpTurnoverPerUnit*TotalUnits/12*EQ$8*EQ$11,0)</f>
        <v/>
      </c>
      <c r="ER29" s="218">
        <f>IF(144&gt;=DeliverStart,ExpTurnoverPerUnit*TotalUnits/12*ER$8*ER$11,0)</f>
        <v/>
      </c>
      <c r="ES29" s="218">
        <f>IF(145&gt;=DeliverStart,ExpTurnoverPerUnit*TotalUnits/12*ES$8*ES$11,0)</f>
        <v/>
      </c>
      <c r="ET29" s="218">
        <f>IF(146&gt;=DeliverStart,ExpTurnoverPerUnit*TotalUnits/12*ET$8*ET$11,0)</f>
        <v/>
      </c>
      <c r="EU29" s="218">
        <f>IF(147&gt;=DeliverStart,ExpTurnoverPerUnit*TotalUnits/12*EU$8*EU$11,0)</f>
        <v/>
      </c>
      <c r="EV29" s="218">
        <f>IF(148&gt;=DeliverStart,ExpTurnoverPerUnit*TotalUnits/12*EV$8*EV$11,0)</f>
        <v/>
      </c>
      <c r="EW29" s="218">
        <f>IF(149&gt;=DeliverStart,ExpTurnoverPerUnit*TotalUnits/12*EW$8*EW$11,0)</f>
        <v/>
      </c>
      <c r="EX29" s="218">
        <f>IF(150&gt;=DeliverStart,ExpTurnoverPerUnit*TotalUnits/12*EX$8*EX$11,0)</f>
        <v/>
      </c>
      <c r="EY29" s="218">
        <f>IF(151&gt;=DeliverStart,ExpTurnoverPerUnit*TotalUnits/12*EY$8*EY$11,0)</f>
        <v/>
      </c>
      <c r="EZ29" s="218">
        <f>IF(152&gt;=DeliverStart,ExpTurnoverPerUnit*TotalUnits/12*EZ$8*EZ$11,0)</f>
        <v/>
      </c>
      <c r="FA29" s="218">
        <f>IF(153&gt;=DeliverStart,ExpTurnoverPerUnit*TotalUnits/12*FA$8*FA$11,0)</f>
        <v/>
      </c>
      <c r="FB29" s="218">
        <f>IF(154&gt;=DeliverStart,ExpTurnoverPerUnit*TotalUnits/12*FB$8*FB$11,0)</f>
        <v/>
      </c>
      <c r="FC29" s="218">
        <f>IF(155&gt;=DeliverStart,ExpTurnoverPerUnit*TotalUnits/12*FC$8*FC$11,0)</f>
        <v/>
      </c>
      <c r="FD29" s="218">
        <f>IF(156&gt;=DeliverStart,ExpTurnoverPerUnit*TotalUnits/12*FD$8*FD$11,0)</f>
        <v/>
      </c>
      <c r="FE29" s="218">
        <f>IF(157&gt;=DeliverStart,ExpTurnoverPerUnit*TotalUnits/12*FE$8*FE$11,0)</f>
        <v/>
      </c>
      <c r="FF29" s="218">
        <f>IF(158&gt;=DeliverStart,ExpTurnoverPerUnit*TotalUnits/12*FF$8*FF$11,0)</f>
        <v/>
      </c>
      <c r="FG29" s="218">
        <f>IF(159&gt;=DeliverStart,ExpTurnoverPerUnit*TotalUnits/12*FG$8*FG$11,0)</f>
        <v/>
      </c>
      <c r="FH29" s="218">
        <f>IF(160&gt;=DeliverStart,ExpTurnoverPerUnit*TotalUnits/12*FH$8*FH$11,0)</f>
        <v/>
      </c>
      <c r="FI29" s="218">
        <f>IF(161&gt;=DeliverStart,ExpTurnoverPerUnit*TotalUnits/12*FI$8*FI$11,0)</f>
        <v/>
      </c>
      <c r="FJ29" s="218">
        <f>IF(162&gt;=DeliverStart,ExpTurnoverPerUnit*TotalUnits/12*FJ$8*FJ$11,0)</f>
        <v/>
      </c>
      <c r="FK29" s="218">
        <f>IF(163&gt;=DeliverStart,ExpTurnoverPerUnit*TotalUnits/12*FK$8*FK$11,0)</f>
        <v/>
      </c>
      <c r="FL29" s="218">
        <f>IF(164&gt;=DeliverStart,ExpTurnoverPerUnit*TotalUnits/12*FL$8*FL$11,0)</f>
        <v/>
      </c>
      <c r="FM29" s="218">
        <f>IF(165&gt;=DeliverStart,ExpTurnoverPerUnit*TotalUnits/12*FM$8*FM$11,0)</f>
        <v/>
      </c>
      <c r="FN29" s="218">
        <f>IF(166&gt;=DeliverStart,ExpTurnoverPerUnit*TotalUnits/12*FN$8*FN$11,0)</f>
        <v/>
      </c>
      <c r="FO29" s="218">
        <f>IF(167&gt;=DeliverStart,ExpTurnoverPerUnit*TotalUnits/12*FO$8*FO$11,0)</f>
        <v/>
      </c>
      <c r="FP29" s="218">
        <f>IF(168&gt;=DeliverStart,ExpTurnoverPerUnit*TotalUnits/12*FP$8*FP$11,0)</f>
        <v/>
      </c>
      <c r="FQ29" s="218">
        <f>IF(169&gt;=DeliverStart,ExpTurnoverPerUnit*TotalUnits/12*FQ$8*FQ$11,0)</f>
        <v/>
      </c>
      <c r="FR29" s="218">
        <f>IF(170&gt;=DeliverStart,ExpTurnoverPerUnit*TotalUnits/12*FR$8*FR$11,0)</f>
        <v/>
      </c>
      <c r="FS29" s="218">
        <f>IF(171&gt;=DeliverStart,ExpTurnoverPerUnit*TotalUnits/12*FS$8*FS$11,0)</f>
        <v/>
      </c>
      <c r="FT29" s="218">
        <f>IF(172&gt;=DeliverStart,ExpTurnoverPerUnit*TotalUnits/12*FT$8*FT$11,0)</f>
        <v/>
      </c>
      <c r="FU29" s="218">
        <f>IF(173&gt;=DeliverStart,ExpTurnoverPerUnit*TotalUnits/12*FU$8*FU$11,0)</f>
        <v/>
      </c>
      <c r="FV29" s="218">
        <f>IF(174&gt;=DeliverStart,ExpTurnoverPerUnit*TotalUnits/12*FV$8*FV$11,0)</f>
        <v/>
      </c>
      <c r="FW29" s="218">
        <f>IF(175&gt;=DeliverStart,ExpTurnoverPerUnit*TotalUnits/12*FW$8*FW$11,0)</f>
        <v/>
      </c>
      <c r="FX29" s="218">
        <f>IF(176&gt;=DeliverStart,ExpTurnoverPerUnit*TotalUnits/12*FX$8*FX$11,0)</f>
        <v/>
      </c>
      <c r="FY29" s="218">
        <f>IF(177&gt;=DeliverStart,ExpTurnoverPerUnit*TotalUnits/12*FY$8*FY$11,0)</f>
        <v/>
      </c>
      <c r="FZ29" s="218">
        <f>IF(178&gt;=DeliverStart,ExpTurnoverPerUnit*TotalUnits/12*FZ$8*FZ$11,0)</f>
        <v/>
      </c>
      <c r="GA29" s="218">
        <f>IF(179&gt;=DeliverStart,ExpTurnoverPerUnit*TotalUnits/12*GA$8*GA$11,0)</f>
        <v/>
      </c>
      <c r="GB29" s="218">
        <f>IF(180&gt;=DeliverStart,ExpTurnoverPerUnit*TotalUnits/12*GB$8*GB$11,0)</f>
        <v/>
      </c>
      <c r="GC29" s="218">
        <f>IF(181&gt;=DeliverStart,ExpTurnoverPerUnit*TotalUnits/12*GC$8*GC$11,0)</f>
        <v/>
      </c>
      <c r="GD29" s="218">
        <f>IF(182&gt;=DeliverStart,ExpTurnoverPerUnit*TotalUnits/12*GD$8*GD$11,0)</f>
        <v/>
      </c>
      <c r="GE29" s="218">
        <f>IF(183&gt;=DeliverStart,ExpTurnoverPerUnit*TotalUnits/12*GE$8*GE$11,0)</f>
        <v/>
      </c>
      <c r="GF29" s="218">
        <f>IF(184&gt;=DeliverStart,ExpTurnoverPerUnit*TotalUnits/12*GF$8*GF$11,0)</f>
        <v/>
      </c>
      <c r="GG29" s="218">
        <f>IF(185&gt;=DeliverStart,ExpTurnoverPerUnit*TotalUnits/12*GG$8*GG$11,0)</f>
        <v/>
      </c>
      <c r="GH29" s="218">
        <f>IF(186&gt;=DeliverStart,ExpTurnoverPerUnit*TotalUnits/12*GH$8*GH$11,0)</f>
        <v/>
      </c>
      <c r="GI29" s="218">
        <f>IF(187&gt;=DeliverStart,ExpTurnoverPerUnit*TotalUnits/12*GI$8*GI$11,0)</f>
        <v/>
      </c>
      <c r="GJ29" s="218">
        <f>IF(188&gt;=DeliverStart,ExpTurnoverPerUnit*TotalUnits/12*GJ$8*GJ$11,0)</f>
        <v/>
      </c>
      <c r="GK29" s="218">
        <f>IF(189&gt;=DeliverStart,ExpTurnoverPerUnit*TotalUnits/12*GK$8*GK$11,0)</f>
        <v/>
      </c>
      <c r="GL29" s="218">
        <f>IF(190&gt;=DeliverStart,ExpTurnoverPerUnit*TotalUnits/12*GL$8*GL$11,0)</f>
        <v/>
      </c>
      <c r="GM29" s="218">
        <f>IF(191&gt;=DeliverStart,ExpTurnoverPerUnit*TotalUnits/12*GM$8*GM$11,0)</f>
        <v/>
      </c>
      <c r="GN29" s="218">
        <f>IF(192&gt;=DeliverStart,ExpTurnoverPerUnit*TotalUnits/12*GN$8*GN$11,0)</f>
        <v/>
      </c>
      <c r="GO29" s="218">
        <f>IF(193&gt;=DeliverStart,ExpTurnoverPerUnit*TotalUnits/12*GO$8*GO$11,0)</f>
        <v/>
      </c>
      <c r="GP29" s="218">
        <f>IF(194&gt;=DeliverStart,ExpTurnoverPerUnit*TotalUnits/12*GP$8*GP$11,0)</f>
        <v/>
      </c>
      <c r="GQ29" s="218">
        <f>IF(195&gt;=DeliverStart,ExpTurnoverPerUnit*TotalUnits/12*GQ$8*GQ$11,0)</f>
        <v/>
      </c>
      <c r="GR29" s="218">
        <f>IF(196&gt;=DeliverStart,ExpTurnoverPerUnit*TotalUnits/12*GR$8*GR$11,0)</f>
        <v/>
      </c>
      <c r="GS29" s="218">
        <f>IF(197&gt;=DeliverStart,ExpTurnoverPerUnit*TotalUnits/12*GS$8*GS$11,0)</f>
        <v/>
      </c>
      <c r="GT29" s="218">
        <f>IF(198&gt;=DeliverStart,ExpTurnoverPerUnit*TotalUnits/12*GT$8*GT$11,0)</f>
        <v/>
      </c>
      <c r="GU29" s="218">
        <f>IF(199&gt;=DeliverStart,ExpTurnoverPerUnit*TotalUnits/12*GU$8*GU$11,0)</f>
        <v/>
      </c>
      <c r="GV29" s="218">
        <f>IF(200&gt;=DeliverStart,ExpTurnoverPerUnit*TotalUnits/12*GV$8*GV$11,0)</f>
        <v/>
      </c>
      <c r="GW29" s="218">
        <f>IF(201&gt;=DeliverStart,ExpTurnoverPerUnit*TotalUnits/12*GW$8*GW$11,0)</f>
        <v/>
      </c>
      <c r="GX29" s="218">
        <f>IF(202&gt;=DeliverStart,ExpTurnoverPerUnit*TotalUnits/12*GX$8*GX$11,0)</f>
        <v/>
      </c>
      <c r="GY29" s="218">
        <f>IF(203&gt;=DeliverStart,ExpTurnoverPerUnit*TotalUnits/12*GY$8*GY$11,0)</f>
        <v/>
      </c>
      <c r="GZ29" s="218">
        <f>IF(204&gt;=DeliverStart,ExpTurnoverPerUnit*TotalUnits/12*GZ$8*GZ$11,0)</f>
        <v/>
      </c>
      <c r="HA29" s="218">
        <f>IF(205&gt;=DeliverStart,ExpTurnoverPerUnit*TotalUnits/12*HA$8*HA$11,0)</f>
        <v/>
      </c>
      <c r="HB29" s="218">
        <f>IF(206&gt;=DeliverStart,ExpTurnoverPerUnit*TotalUnits/12*HB$8*HB$11,0)</f>
        <v/>
      </c>
      <c r="HC29" s="218">
        <f>IF(207&gt;=DeliverStart,ExpTurnoverPerUnit*TotalUnits/12*HC$8*HC$11,0)</f>
        <v/>
      </c>
      <c r="HD29" s="218">
        <f>IF(208&gt;=DeliverStart,ExpTurnoverPerUnit*TotalUnits/12*HD$8*HD$11,0)</f>
        <v/>
      </c>
      <c r="HE29" s="218">
        <f>IF(209&gt;=DeliverStart,ExpTurnoverPerUnit*TotalUnits/12*HE$8*HE$11,0)</f>
        <v/>
      </c>
      <c r="HF29" s="218">
        <f>IF(210&gt;=DeliverStart,ExpTurnoverPerUnit*TotalUnits/12*HF$8*HF$11,0)</f>
        <v/>
      </c>
      <c r="HG29" s="218">
        <f>IF(211&gt;=DeliverStart,ExpTurnoverPerUnit*TotalUnits/12*HG$8*HG$11,0)</f>
        <v/>
      </c>
      <c r="HH29" s="218">
        <f>IF(212&gt;=DeliverStart,ExpTurnoverPerUnit*TotalUnits/12*HH$8*HH$11,0)</f>
        <v/>
      </c>
      <c r="HI29" s="218">
        <f>IF(213&gt;=DeliverStart,ExpTurnoverPerUnit*TotalUnits/12*HI$8*HI$11,0)</f>
        <v/>
      </c>
      <c r="HJ29" s="218">
        <f>IF(214&gt;=DeliverStart,ExpTurnoverPerUnit*TotalUnits/12*HJ$8*HJ$11,0)</f>
        <v/>
      </c>
      <c r="HK29" s="218">
        <f>IF(215&gt;=DeliverStart,ExpTurnoverPerUnit*TotalUnits/12*HK$8*HK$11,0)</f>
        <v/>
      </c>
      <c r="HL29" s="218">
        <f>IF(216&gt;=DeliverStart,ExpTurnoverPerUnit*TotalUnits/12*HL$8*HL$11,0)</f>
        <v/>
      </c>
      <c r="HM29" s="218">
        <f>IF(217&gt;=DeliverStart,ExpTurnoverPerUnit*TotalUnits/12*HM$8*HM$11,0)</f>
        <v/>
      </c>
      <c r="HN29" s="218">
        <f>IF(218&gt;=DeliverStart,ExpTurnoverPerUnit*TotalUnits/12*HN$8*HN$11,0)</f>
        <v/>
      </c>
      <c r="HO29" s="218">
        <f>IF(219&gt;=DeliverStart,ExpTurnoverPerUnit*TotalUnits/12*HO$8*HO$11,0)</f>
        <v/>
      </c>
      <c r="HP29" s="218">
        <f>IF(220&gt;=DeliverStart,ExpTurnoverPerUnit*TotalUnits/12*HP$8*HP$11,0)</f>
        <v/>
      </c>
      <c r="HQ29" s="218">
        <f>IF(221&gt;=DeliverStart,ExpTurnoverPerUnit*TotalUnits/12*HQ$8*HQ$11,0)</f>
        <v/>
      </c>
      <c r="HR29" s="218">
        <f>IF(222&gt;=DeliverStart,ExpTurnoverPerUnit*TotalUnits/12*HR$8*HR$11,0)</f>
        <v/>
      </c>
      <c r="HS29" s="218">
        <f>IF(223&gt;=DeliverStart,ExpTurnoverPerUnit*TotalUnits/12*HS$8*HS$11,0)</f>
        <v/>
      </c>
      <c r="HT29" s="218">
        <f>IF(224&gt;=DeliverStart,ExpTurnoverPerUnit*TotalUnits/12*HT$8*HT$11,0)</f>
        <v/>
      </c>
      <c r="HU29" s="218">
        <f>IF(225&gt;=DeliverStart,ExpTurnoverPerUnit*TotalUnits/12*HU$8*HU$11,0)</f>
        <v/>
      </c>
      <c r="HV29" s="218">
        <f>IF(226&gt;=DeliverStart,ExpTurnoverPerUnit*TotalUnits/12*HV$8*HV$11,0)</f>
        <v/>
      </c>
      <c r="HW29" s="218">
        <f>IF(227&gt;=DeliverStart,ExpTurnoverPerUnit*TotalUnits/12*HW$8*HW$11,0)</f>
        <v/>
      </c>
      <c r="HX29" s="218">
        <f>IF(228&gt;=DeliverStart,ExpTurnoverPerUnit*TotalUnits/12*HX$8*HX$11,0)</f>
        <v/>
      </c>
      <c r="HY29" s="218">
        <f>IF(229&gt;=DeliverStart,ExpTurnoverPerUnit*TotalUnits/12*HY$8*HY$11,0)</f>
        <v/>
      </c>
      <c r="HZ29" s="218">
        <f>IF(230&gt;=DeliverStart,ExpTurnoverPerUnit*TotalUnits/12*HZ$8*HZ$11,0)</f>
        <v/>
      </c>
      <c r="IA29" s="218">
        <f>IF(231&gt;=DeliverStart,ExpTurnoverPerUnit*TotalUnits/12*IA$8*IA$11,0)</f>
        <v/>
      </c>
      <c r="IB29" s="218">
        <f>IF(232&gt;=DeliverStart,ExpTurnoverPerUnit*TotalUnits/12*IB$8*IB$11,0)</f>
        <v/>
      </c>
      <c r="IC29" s="218">
        <f>IF(233&gt;=DeliverStart,ExpTurnoverPerUnit*TotalUnits/12*IC$8*IC$11,0)</f>
        <v/>
      </c>
      <c r="ID29" s="218">
        <f>IF(234&gt;=DeliverStart,ExpTurnoverPerUnit*TotalUnits/12*ID$8*ID$11,0)</f>
        <v/>
      </c>
      <c r="IE29" s="218">
        <f>IF(235&gt;=DeliverStart,ExpTurnoverPerUnit*TotalUnits/12*IE$8*IE$11,0)</f>
        <v/>
      </c>
      <c r="IF29" s="218">
        <f>IF(236&gt;=DeliverStart,ExpTurnoverPerUnit*TotalUnits/12*IF$8*IF$11,0)</f>
        <v/>
      </c>
      <c r="IG29" s="218">
        <f>IF(237&gt;=DeliverStart,ExpTurnoverPerUnit*TotalUnits/12*IG$8*IG$11,0)</f>
        <v/>
      </c>
      <c r="IH29" s="218">
        <f>IF(238&gt;=DeliverStart,ExpTurnoverPerUnit*TotalUnits/12*IH$8*IH$11,0)</f>
        <v/>
      </c>
      <c r="II29" s="218">
        <f>IF(239&gt;=DeliverStart,ExpTurnoverPerUnit*TotalUnits/12*II$8*II$11,0)</f>
        <v/>
      </c>
      <c r="IJ29" s="218">
        <f>IF(240&gt;=DeliverStart,ExpTurnoverPerUnit*TotalUnits/12*IJ$8*IJ$11,0)</f>
        <v/>
      </c>
      <c r="IK29" s="218">
        <f>IF(241&gt;=DeliverStart,ExpTurnoverPerUnit*TotalUnits/12*IK$8*IK$11,0)</f>
        <v/>
      </c>
      <c r="IL29" s="218">
        <f>IF(242&gt;=DeliverStart,ExpTurnoverPerUnit*TotalUnits/12*IL$8*IL$11,0)</f>
        <v/>
      </c>
      <c r="IM29" s="218">
        <f>IF(243&gt;=DeliverStart,ExpTurnoverPerUnit*TotalUnits/12*IM$8*IM$11,0)</f>
        <v/>
      </c>
      <c r="IN29" s="218">
        <f>IF(244&gt;=DeliverStart,ExpTurnoverPerUnit*TotalUnits/12*IN$8*IN$11,0)</f>
        <v/>
      </c>
      <c r="IO29" s="218">
        <f>IF(245&gt;=DeliverStart,ExpTurnoverPerUnit*TotalUnits/12*IO$8*IO$11,0)</f>
        <v/>
      </c>
      <c r="IP29" s="218">
        <f>IF(246&gt;=DeliverStart,ExpTurnoverPerUnit*TotalUnits/12*IP$8*IP$11,0)</f>
        <v/>
      </c>
      <c r="IQ29" s="218">
        <f>IF(247&gt;=DeliverStart,ExpTurnoverPerUnit*TotalUnits/12*IQ$8*IQ$11,0)</f>
        <v/>
      </c>
      <c r="IR29" s="218">
        <f>IF(248&gt;=DeliverStart,ExpTurnoverPerUnit*TotalUnits/12*IR$8*IR$11,0)</f>
        <v/>
      </c>
      <c r="IS29" s="218">
        <f>IF(249&gt;=DeliverStart,ExpTurnoverPerUnit*TotalUnits/12*IS$8*IS$11,0)</f>
        <v/>
      </c>
      <c r="IT29" s="218">
        <f>IF(250&gt;=DeliverStart,ExpTurnoverPerUnit*TotalUnits/12*IT$8*IT$11,0)</f>
        <v/>
      </c>
      <c r="IU29" s="218">
        <f>IF(251&gt;=DeliverStart,ExpTurnoverPerUnit*TotalUnits/12*IU$8*IU$11,0)</f>
        <v/>
      </c>
      <c r="IV29" s="218">
        <f>IF(252&gt;=DeliverStart,ExpTurnoverPerUnit*TotalUnits/12*IV$8*IV$11,0)</f>
        <v/>
      </c>
      <c r="IW29" s="218">
        <f>IF(253&gt;=DeliverStart,ExpTurnoverPerUnit*TotalUnits/12*IW$8*IW$11,0)</f>
        <v/>
      </c>
      <c r="IX29" s="218">
        <f>IF(254&gt;=DeliverStart,ExpTurnoverPerUnit*TotalUnits/12*IX$8*IX$11,0)</f>
        <v/>
      </c>
      <c r="IY29" s="218">
        <f>IF(255&gt;=DeliverStart,ExpTurnoverPerUnit*TotalUnits/12*IY$8*IY$11,0)</f>
        <v/>
      </c>
      <c r="IZ29" s="218">
        <f>IF(256&gt;=DeliverStart,ExpTurnoverPerUnit*TotalUnits/12*IZ$8*IZ$11,0)</f>
        <v/>
      </c>
      <c r="JA29" s="218">
        <f>IF(257&gt;=DeliverStart,ExpTurnoverPerUnit*TotalUnits/12*JA$8*JA$11,0)</f>
        <v/>
      </c>
      <c r="JB29" s="218">
        <f>IF(258&gt;=DeliverStart,ExpTurnoverPerUnit*TotalUnits/12*JB$8*JB$11,0)</f>
        <v/>
      </c>
      <c r="JC29" s="218">
        <f>IF(259&gt;=DeliverStart,ExpTurnoverPerUnit*TotalUnits/12*JC$8*JC$11,0)</f>
        <v/>
      </c>
      <c r="JD29" s="218">
        <f>IF(260&gt;=DeliverStart,ExpTurnoverPerUnit*TotalUnits/12*JD$8*JD$11,0)</f>
        <v/>
      </c>
      <c r="JE29" s="218">
        <f>IF(261&gt;=DeliverStart,ExpTurnoverPerUnit*TotalUnits/12*JE$8*JE$11,0)</f>
        <v/>
      </c>
      <c r="JF29" s="218">
        <f>IF(262&gt;=DeliverStart,ExpTurnoverPerUnit*TotalUnits/12*JF$8*JF$11,0)</f>
        <v/>
      </c>
      <c r="JG29" s="218">
        <f>IF(263&gt;=DeliverStart,ExpTurnoverPerUnit*TotalUnits/12*JG$8*JG$11,0)</f>
        <v/>
      </c>
      <c r="JH29" s="218">
        <f>IF(264&gt;=DeliverStart,ExpTurnoverPerUnit*TotalUnits/12*JH$8*JH$11,0)</f>
        <v/>
      </c>
      <c r="JI29" s="218">
        <f>IF(265&gt;=DeliverStart,ExpTurnoverPerUnit*TotalUnits/12*JI$8*JI$11,0)</f>
        <v/>
      </c>
      <c r="JJ29" s="218">
        <f>IF(266&gt;=DeliverStart,ExpTurnoverPerUnit*TotalUnits/12*JJ$8*JJ$11,0)</f>
        <v/>
      </c>
      <c r="JK29" s="218">
        <f>IF(267&gt;=DeliverStart,ExpTurnoverPerUnit*TotalUnits/12*JK$8*JK$11,0)</f>
        <v/>
      </c>
      <c r="JL29" s="218">
        <f>IF(268&gt;=DeliverStart,ExpTurnoverPerUnit*TotalUnits/12*JL$8*JL$11,0)</f>
        <v/>
      </c>
      <c r="JM29" s="218">
        <f>IF(269&gt;=DeliverStart,ExpTurnoverPerUnit*TotalUnits/12*JM$8*JM$11,0)</f>
        <v/>
      </c>
      <c r="JN29" s="218">
        <f>IF(270&gt;=DeliverStart,ExpTurnoverPerUnit*TotalUnits/12*JN$8*JN$11,0)</f>
        <v/>
      </c>
      <c r="JO29" s="218">
        <f>IF(271&gt;=DeliverStart,ExpTurnoverPerUnit*TotalUnits/12*JO$8*JO$11,0)</f>
        <v/>
      </c>
      <c r="JP29" s="218">
        <f>IF(272&gt;=DeliverStart,ExpTurnoverPerUnit*TotalUnits/12*JP$8*JP$11,0)</f>
        <v/>
      </c>
      <c r="JQ29" s="218">
        <f>IF(273&gt;=DeliverStart,ExpTurnoverPerUnit*TotalUnits/12*JQ$8*JQ$11,0)</f>
        <v/>
      </c>
      <c r="JR29" s="218">
        <f>IF(274&gt;=DeliverStart,ExpTurnoverPerUnit*TotalUnits/12*JR$8*JR$11,0)</f>
        <v/>
      </c>
      <c r="JS29" s="218">
        <f>IF(275&gt;=DeliverStart,ExpTurnoverPerUnit*TotalUnits/12*JS$8*JS$11,0)</f>
        <v/>
      </c>
      <c r="JT29" s="218">
        <f>IF(276&gt;=DeliverStart,ExpTurnoverPerUnit*TotalUnits/12*JT$8*JT$11,0)</f>
        <v/>
      </c>
      <c r="JU29" s="218">
        <f>IF(277&gt;=DeliverStart,ExpTurnoverPerUnit*TotalUnits/12*JU$8*JU$11,0)</f>
        <v/>
      </c>
      <c r="JV29" s="218">
        <f>IF(278&gt;=DeliverStart,ExpTurnoverPerUnit*TotalUnits/12*JV$8*JV$11,0)</f>
        <v/>
      </c>
      <c r="JW29" s="218">
        <f>IF(279&gt;=DeliverStart,ExpTurnoverPerUnit*TotalUnits/12*JW$8*JW$11,0)</f>
        <v/>
      </c>
      <c r="JX29" s="218">
        <f>IF(280&gt;=DeliverStart,ExpTurnoverPerUnit*TotalUnits/12*JX$8*JX$11,0)</f>
        <v/>
      </c>
      <c r="JY29" s="218">
        <f>IF(281&gt;=DeliverStart,ExpTurnoverPerUnit*TotalUnits/12*JY$8*JY$11,0)</f>
        <v/>
      </c>
      <c r="JZ29" s="218">
        <f>IF(282&gt;=DeliverStart,ExpTurnoverPerUnit*TotalUnits/12*JZ$8*JZ$11,0)</f>
        <v/>
      </c>
      <c r="KA29" s="218">
        <f>IF(283&gt;=DeliverStart,ExpTurnoverPerUnit*TotalUnits/12*KA$8*KA$11,0)</f>
        <v/>
      </c>
      <c r="KB29" s="218">
        <f>IF(284&gt;=DeliverStart,ExpTurnoverPerUnit*TotalUnits/12*KB$8*KB$11,0)</f>
        <v/>
      </c>
      <c r="KC29" s="218">
        <f>IF(285&gt;=DeliverStart,ExpTurnoverPerUnit*TotalUnits/12*KC$8*KC$11,0)</f>
        <v/>
      </c>
      <c r="KD29" s="218">
        <f>IF(286&gt;=DeliverStart,ExpTurnoverPerUnit*TotalUnits/12*KD$8*KD$11,0)</f>
        <v/>
      </c>
      <c r="KE29" s="218">
        <f>IF(287&gt;=DeliverStart,ExpTurnoverPerUnit*TotalUnits/12*KE$8*KE$11,0)</f>
        <v/>
      </c>
      <c r="KF29" s="218">
        <f>IF(288&gt;=DeliverStart,ExpTurnoverPerUnit*TotalUnits/12*KF$8*KF$11,0)</f>
        <v/>
      </c>
      <c r="KG29" s="218">
        <f>IF(289&gt;=DeliverStart,ExpTurnoverPerUnit*TotalUnits/12*KG$8*KG$11,0)</f>
        <v/>
      </c>
      <c r="KH29" s="218">
        <f>IF(290&gt;=DeliverStart,ExpTurnoverPerUnit*TotalUnits/12*KH$8*KH$11,0)</f>
        <v/>
      </c>
      <c r="KI29" s="218">
        <f>IF(291&gt;=DeliverStart,ExpTurnoverPerUnit*TotalUnits/12*KI$8*KI$11,0)</f>
        <v/>
      </c>
      <c r="KJ29" s="218">
        <f>IF(292&gt;=DeliverStart,ExpTurnoverPerUnit*TotalUnits/12*KJ$8*KJ$11,0)</f>
        <v/>
      </c>
      <c r="KK29" s="218">
        <f>IF(293&gt;=DeliverStart,ExpTurnoverPerUnit*TotalUnits/12*KK$8*KK$11,0)</f>
        <v/>
      </c>
      <c r="KL29" s="218">
        <f>IF(294&gt;=DeliverStart,ExpTurnoverPerUnit*TotalUnits/12*KL$8*KL$11,0)</f>
        <v/>
      </c>
      <c r="KM29" s="218">
        <f>IF(295&gt;=DeliverStart,ExpTurnoverPerUnit*TotalUnits/12*KM$8*KM$11,0)</f>
        <v/>
      </c>
      <c r="KN29" s="218">
        <f>IF(296&gt;=DeliverStart,ExpTurnoverPerUnit*TotalUnits/12*KN$8*KN$11,0)</f>
        <v/>
      </c>
      <c r="KO29" s="218">
        <f>IF(297&gt;=DeliverStart,ExpTurnoverPerUnit*TotalUnits/12*KO$8*KO$11,0)</f>
        <v/>
      </c>
      <c r="KP29" s="218">
        <f>IF(298&gt;=DeliverStart,ExpTurnoverPerUnit*TotalUnits/12*KP$8*KP$11,0)</f>
        <v/>
      </c>
      <c r="KQ29" s="218">
        <f>IF(299&gt;=DeliverStart,ExpTurnoverPerUnit*TotalUnits/12*KQ$8*KQ$11,0)</f>
        <v/>
      </c>
      <c r="KR29" s="218">
        <f>IF(300&gt;=DeliverStart,ExpTurnoverPerUnit*TotalUnits/12*KR$8*KR$11,0)</f>
        <v/>
      </c>
      <c r="KS29" s="218">
        <f>IF(301&gt;=DeliverStart,ExpTurnoverPerUnit*TotalUnits/12*KS$8*KS$11,0)</f>
        <v/>
      </c>
      <c r="KT29" s="218">
        <f>IF(302&gt;=DeliverStart,ExpTurnoverPerUnit*TotalUnits/12*KT$8*KT$11,0)</f>
        <v/>
      </c>
      <c r="KU29" s="218">
        <f>IF(303&gt;=DeliverStart,ExpTurnoverPerUnit*TotalUnits/12*KU$8*KU$11,0)</f>
        <v/>
      </c>
      <c r="KV29" s="218">
        <f>IF(304&gt;=DeliverStart,ExpTurnoverPerUnit*TotalUnits/12*KV$8*KV$11,0)</f>
        <v/>
      </c>
      <c r="KW29" s="218">
        <f>IF(305&gt;=DeliverStart,ExpTurnoverPerUnit*TotalUnits/12*KW$8*KW$11,0)</f>
        <v/>
      </c>
      <c r="KX29" s="218">
        <f>IF(306&gt;=DeliverStart,ExpTurnoverPerUnit*TotalUnits/12*KX$8*KX$11,0)</f>
        <v/>
      </c>
      <c r="KY29" s="218">
        <f>IF(307&gt;=DeliverStart,ExpTurnoverPerUnit*TotalUnits/12*KY$8*KY$11,0)</f>
        <v/>
      </c>
      <c r="KZ29" s="218">
        <f>IF(308&gt;=DeliverStart,ExpTurnoverPerUnit*TotalUnits/12*KZ$8*KZ$11,0)</f>
        <v/>
      </c>
      <c r="LA29" s="218">
        <f>IF(309&gt;=DeliverStart,ExpTurnoverPerUnit*TotalUnits/12*LA$8*LA$11,0)</f>
        <v/>
      </c>
      <c r="LB29" s="218">
        <f>IF(310&gt;=DeliverStart,ExpTurnoverPerUnit*TotalUnits/12*LB$8*LB$11,0)</f>
        <v/>
      </c>
      <c r="LC29" s="218">
        <f>IF(311&gt;=DeliverStart,ExpTurnoverPerUnit*TotalUnits/12*LC$8*LC$11,0)</f>
        <v/>
      </c>
      <c r="LD29" s="218">
        <f>IF(312&gt;=DeliverStart,ExpTurnoverPerUnit*TotalUnits/12*LD$8*LD$11,0)</f>
        <v/>
      </c>
      <c r="LE29" s="218">
        <f>IF(313&gt;=DeliverStart,ExpTurnoverPerUnit*TotalUnits/12*LE$8*LE$11,0)</f>
        <v/>
      </c>
      <c r="LF29" s="218">
        <f>IF(314&gt;=DeliverStart,ExpTurnoverPerUnit*TotalUnits/12*LF$8*LF$11,0)</f>
        <v/>
      </c>
      <c r="LG29" s="218">
        <f>IF(315&gt;=DeliverStart,ExpTurnoverPerUnit*TotalUnits/12*LG$8*LG$11,0)</f>
        <v/>
      </c>
      <c r="LH29" s="218">
        <f>IF(316&gt;=DeliverStart,ExpTurnoverPerUnit*TotalUnits/12*LH$8*LH$11,0)</f>
        <v/>
      </c>
      <c r="LI29" s="218">
        <f>IF(317&gt;=DeliverStart,ExpTurnoverPerUnit*TotalUnits/12*LI$8*LI$11,0)</f>
        <v/>
      </c>
      <c r="LJ29" s="218">
        <f>IF(318&gt;=DeliverStart,ExpTurnoverPerUnit*TotalUnits/12*LJ$8*LJ$11,0)</f>
        <v/>
      </c>
      <c r="LK29" s="218">
        <f>IF(319&gt;=DeliverStart,ExpTurnoverPerUnit*TotalUnits/12*LK$8*LK$11,0)</f>
        <v/>
      </c>
      <c r="LL29" s="218">
        <f>IF(320&gt;=DeliverStart,ExpTurnoverPerUnit*TotalUnits/12*LL$8*LL$11,0)</f>
        <v/>
      </c>
      <c r="LM29" s="218">
        <f>IF(321&gt;=DeliverStart,ExpTurnoverPerUnit*TotalUnits/12*LM$8*LM$11,0)</f>
        <v/>
      </c>
      <c r="LN29" s="218">
        <f>IF(322&gt;=DeliverStart,ExpTurnoverPerUnit*TotalUnits/12*LN$8*LN$11,0)</f>
        <v/>
      </c>
      <c r="LO29" s="218">
        <f>IF(323&gt;=DeliverStart,ExpTurnoverPerUnit*TotalUnits/12*LO$8*LO$11,0)</f>
        <v/>
      </c>
      <c r="LP29" s="218">
        <f>IF(324&gt;=DeliverStart,ExpTurnoverPerUnit*TotalUnits/12*LP$8*LP$11,0)</f>
        <v/>
      </c>
      <c r="LQ29" s="218">
        <f>IF(325&gt;=DeliverStart,ExpTurnoverPerUnit*TotalUnits/12*LQ$8*LQ$11,0)</f>
        <v/>
      </c>
      <c r="LR29" s="218">
        <f>IF(326&gt;=DeliverStart,ExpTurnoverPerUnit*TotalUnits/12*LR$8*LR$11,0)</f>
        <v/>
      </c>
      <c r="LS29" s="218">
        <f>IF(327&gt;=DeliverStart,ExpTurnoverPerUnit*TotalUnits/12*LS$8*LS$11,0)</f>
        <v/>
      </c>
      <c r="LT29" s="218">
        <f>IF(328&gt;=DeliverStart,ExpTurnoverPerUnit*TotalUnits/12*LT$8*LT$11,0)</f>
        <v/>
      </c>
      <c r="LU29" s="218">
        <f>IF(329&gt;=DeliverStart,ExpTurnoverPerUnit*TotalUnits/12*LU$8*LU$11,0)</f>
        <v/>
      </c>
      <c r="LV29" s="218">
        <f>IF(330&gt;=DeliverStart,ExpTurnoverPerUnit*TotalUnits/12*LV$8*LV$11,0)</f>
        <v/>
      </c>
      <c r="LW29" s="218">
        <f>IF(331&gt;=DeliverStart,ExpTurnoverPerUnit*TotalUnits/12*LW$8*LW$11,0)</f>
        <v/>
      </c>
      <c r="LX29" s="218">
        <f>IF(332&gt;=DeliverStart,ExpTurnoverPerUnit*TotalUnits/12*LX$8*LX$11,0)</f>
        <v/>
      </c>
      <c r="LY29" s="218">
        <f>IF(333&gt;=DeliverStart,ExpTurnoverPerUnit*TotalUnits/12*LY$8*LY$11,0)</f>
        <v/>
      </c>
      <c r="LZ29" s="218">
        <f>IF(334&gt;=DeliverStart,ExpTurnoverPerUnit*TotalUnits/12*LZ$8*LZ$11,0)</f>
        <v/>
      </c>
      <c r="MA29" s="218">
        <f>IF(335&gt;=DeliverStart,ExpTurnoverPerUnit*TotalUnits/12*MA$8*MA$11,0)</f>
        <v/>
      </c>
      <c r="MB29" s="218">
        <f>IF(336&gt;=DeliverStart,ExpTurnoverPerUnit*TotalUnits/12*MB$8*MB$11,0)</f>
        <v/>
      </c>
      <c r="MC29" s="218">
        <f>IF(337&gt;=DeliverStart,ExpTurnoverPerUnit*TotalUnits/12*MC$8*MC$11,0)</f>
        <v/>
      </c>
      <c r="MD29" s="218">
        <f>IF(338&gt;=DeliverStart,ExpTurnoverPerUnit*TotalUnits/12*MD$8*MD$11,0)</f>
        <v/>
      </c>
      <c r="ME29" s="218">
        <f>IF(339&gt;=DeliverStart,ExpTurnoverPerUnit*TotalUnits/12*ME$8*ME$11,0)</f>
        <v/>
      </c>
      <c r="MF29" s="218">
        <f>IF(340&gt;=DeliverStart,ExpTurnoverPerUnit*TotalUnits/12*MF$8*MF$11,0)</f>
        <v/>
      </c>
      <c r="MG29" s="218">
        <f>IF(341&gt;=DeliverStart,ExpTurnoverPerUnit*TotalUnits/12*MG$8*MG$11,0)</f>
        <v/>
      </c>
      <c r="MH29" s="218">
        <f>IF(342&gt;=DeliverStart,ExpTurnoverPerUnit*TotalUnits/12*MH$8*MH$11,0)</f>
        <v/>
      </c>
      <c r="MI29" s="218">
        <f>IF(343&gt;=DeliverStart,ExpTurnoverPerUnit*TotalUnits/12*MI$8*MI$11,0)</f>
        <v/>
      </c>
      <c r="MJ29" s="218">
        <f>IF(344&gt;=DeliverStart,ExpTurnoverPerUnit*TotalUnits/12*MJ$8*MJ$11,0)</f>
        <v/>
      </c>
      <c r="MK29" s="218">
        <f>IF(345&gt;=DeliverStart,ExpTurnoverPerUnit*TotalUnits/12*MK$8*MK$11,0)</f>
        <v/>
      </c>
      <c r="ML29" s="218">
        <f>IF(346&gt;=DeliverStart,ExpTurnoverPerUnit*TotalUnits/12*ML$8*ML$11,0)</f>
        <v/>
      </c>
      <c r="MM29" s="218">
        <f>IF(347&gt;=DeliverStart,ExpTurnoverPerUnit*TotalUnits/12*MM$8*MM$11,0)</f>
        <v/>
      </c>
      <c r="MN29" s="218">
        <f>IF(348&gt;=DeliverStart,ExpTurnoverPerUnit*TotalUnits/12*MN$8*MN$11,0)</f>
        <v/>
      </c>
      <c r="MO29" s="218">
        <f>IF(349&gt;=DeliverStart,ExpTurnoverPerUnit*TotalUnits/12*MO$8*MO$11,0)</f>
        <v/>
      </c>
      <c r="MP29" s="218">
        <f>IF(350&gt;=DeliverStart,ExpTurnoverPerUnit*TotalUnits/12*MP$8*MP$11,0)</f>
        <v/>
      </c>
      <c r="MQ29" s="218">
        <f>IF(351&gt;=DeliverStart,ExpTurnoverPerUnit*TotalUnits/12*MQ$8*MQ$11,0)</f>
        <v/>
      </c>
      <c r="MR29" s="218">
        <f>IF(352&gt;=DeliverStart,ExpTurnoverPerUnit*TotalUnits/12*MR$8*MR$11,0)</f>
        <v/>
      </c>
      <c r="MS29" s="218">
        <f>IF(353&gt;=DeliverStart,ExpTurnoverPerUnit*TotalUnits/12*MS$8*MS$11,0)</f>
        <v/>
      </c>
      <c r="MT29" s="218">
        <f>IF(354&gt;=DeliverStart,ExpTurnoverPerUnit*TotalUnits/12*MT$8*MT$11,0)</f>
        <v/>
      </c>
      <c r="MU29" s="218">
        <f>IF(355&gt;=DeliverStart,ExpTurnoverPerUnit*TotalUnits/12*MU$8*MU$11,0)</f>
        <v/>
      </c>
      <c r="MV29" s="218">
        <f>IF(356&gt;=DeliverStart,ExpTurnoverPerUnit*TotalUnits/12*MV$8*MV$11,0)</f>
        <v/>
      </c>
      <c r="MW29" s="218">
        <f>IF(357&gt;=DeliverStart,ExpTurnoverPerUnit*TotalUnits/12*MW$8*MW$11,0)</f>
        <v/>
      </c>
      <c r="MX29" s="218">
        <f>IF(358&gt;=DeliverStart,ExpTurnoverPerUnit*TotalUnits/12*MX$8*MX$11,0)</f>
        <v/>
      </c>
      <c r="MY29" s="218">
        <f>IF(359&gt;=DeliverStart,ExpTurnoverPerUnit*TotalUnits/12*MY$8*MY$11,0)</f>
        <v/>
      </c>
      <c r="MZ29" s="218">
        <f>IF(360&gt;=DeliverStart,ExpTurnoverPerUnit*TotalUnits/12*MZ$8*MZ$11,0)</f>
        <v/>
      </c>
      <c r="NA29" s="218">
        <f>IF(361&gt;=DeliverStart,ExpTurnoverPerUnit*TotalUnits/12*NA$8*NA$11,0)</f>
        <v/>
      </c>
      <c r="NB29" s="218">
        <f>IF(362&gt;=DeliverStart,ExpTurnoverPerUnit*TotalUnits/12*NB$8*NB$11,0)</f>
        <v/>
      </c>
      <c r="NC29" s="218">
        <f>IF(363&gt;=DeliverStart,ExpTurnoverPerUnit*TotalUnits/12*NC$8*NC$11,0)</f>
        <v/>
      </c>
      <c r="ND29" s="218">
        <f>IF(364&gt;=DeliverStart,ExpTurnoverPerUnit*TotalUnits/12*ND$8*ND$11,0)</f>
        <v/>
      </c>
      <c r="NE29" s="218">
        <f>IF(365&gt;=DeliverStart,ExpTurnoverPerUnit*TotalUnits/12*NE$8*NE$11,0)</f>
        <v/>
      </c>
      <c r="NF29" s="218">
        <f>IF(366&gt;=DeliverStart,ExpTurnoverPerUnit*TotalUnits/12*NF$8*NF$11,0)</f>
        <v/>
      </c>
      <c r="NG29" s="218">
        <f>IF(367&gt;=DeliverStart,ExpTurnoverPerUnit*TotalUnits/12*NG$8*NG$11,0)</f>
        <v/>
      </c>
      <c r="NH29" s="218">
        <f>IF(368&gt;=DeliverStart,ExpTurnoverPerUnit*TotalUnits/12*NH$8*NH$11,0)</f>
        <v/>
      </c>
      <c r="NI29" s="218">
        <f>IF(369&gt;=DeliverStart,ExpTurnoverPerUnit*TotalUnits/12*NI$8*NI$11,0)</f>
        <v/>
      </c>
      <c r="NJ29" s="218">
        <f>IF(370&gt;=DeliverStart,ExpTurnoverPerUnit*TotalUnits/12*NJ$8*NJ$11,0)</f>
        <v/>
      </c>
      <c r="NK29" s="218">
        <f>IF(371&gt;=DeliverStart,ExpTurnoverPerUnit*TotalUnits/12*NK$8*NK$11,0)</f>
        <v/>
      </c>
      <c r="NL29" s="225">
        <f>IF(372&gt;=DeliverStart,ExpTurnoverPerUnit*TotalUnits/12*NL$8*NL$11,0)</f>
        <v/>
      </c>
    </row>
    <row r="30">
      <c r="B30" s="36" t="inlineStr">
        <is>
          <t>Contract Services (variable)</t>
        </is>
      </c>
      <c r="D30" s="266">
        <f>SUM(E30:NL30)</f>
        <v/>
      </c>
      <c r="E30" s="218">
        <f>IF(1&gt;=DeliverStart,ExpContractPerUnit*TotalUnits/12*E$8*E$11,0)</f>
        <v/>
      </c>
      <c r="F30" s="218">
        <f>IF(2&gt;=DeliverStart,ExpContractPerUnit*TotalUnits/12*F$8*F$11,0)</f>
        <v/>
      </c>
      <c r="G30" s="218">
        <f>IF(3&gt;=DeliverStart,ExpContractPerUnit*TotalUnits/12*G$8*G$11,0)</f>
        <v/>
      </c>
      <c r="H30" s="218">
        <f>IF(4&gt;=DeliverStart,ExpContractPerUnit*TotalUnits/12*H$8*H$11,0)</f>
        <v/>
      </c>
      <c r="I30" s="218">
        <f>IF(5&gt;=DeliverStart,ExpContractPerUnit*TotalUnits/12*I$8*I$11,0)</f>
        <v/>
      </c>
      <c r="J30" s="218">
        <f>IF(6&gt;=DeliverStart,ExpContractPerUnit*TotalUnits/12*J$8*J$11,0)</f>
        <v/>
      </c>
      <c r="K30" s="218">
        <f>IF(7&gt;=DeliverStart,ExpContractPerUnit*TotalUnits/12*K$8*K$11,0)</f>
        <v/>
      </c>
      <c r="L30" s="218">
        <f>IF(8&gt;=DeliverStart,ExpContractPerUnit*TotalUnits/12*L$8*L$11,0)</f>
        <v/>
      </c>
      <c r="M30" s="218">
        <f>IF(9&gt;=DeliverStart,ExpContractPerUnit*TotalUnits/12*M$8*M$11,0)</f>
        <v/>
      </c>
      <c r="N30" s="218">
        <f>IF(10&gt;=DeliverStart,ExpContractPerUnit*TotalUnits/12*N$8*N$11,0)</f>
        <v/>
      </c>
      <c r="O30" s="218">
        <f>IF(11&gt;=DeliverStart,ExpContractPerUnit*TotalUnits/12*O$8*O$11,0)</f>
        <v/>
      </c>
      <c r="P30" s="218">
        <f>IF(12&gt;=DeliverStart,ExpContractPerUnit*TotalUnits/12*P$8*P$11,0)</f>
        <v/>
      </c>
      <c r="Q30" s="218">
        <f>IF(13&gt;=DeliverStart,ExpContractPerUnit*TotalUnits/12*Q$8*Q$11,0)</f>
        <v/>
      </c>
      <c r="R30" s="218">
        <f>IF(14&gt;=DeliverStart,ExpContractPerUnit*TotalUnits/12*R$8*R$11,0)</f>
        <v/>
      </c>
      <c r="S30" s="218">
        <f>IF(15&gt;=DeliverStart,ExpContractPerUnit*TotalUnits/12*S$8*S$11,0)</f>
        <v/>
      </c>
      <c r="T30" s="218">
        <f>IF(16&gt;=DeliverStart,ExpContractPerUnit*TotalUnits/12*T$8*T$11,0)</f>
        <v/>
      </c>
      <c r="U30" s="218">
        <f>IF(17&gt;=DeliverStart,ExpContractPerUnit*TotalUnits/12*U$8*U$11,0)</f>
        <v/>
      </c>
      <c r="V30" s="218">
        <f>IF(18&gt;=DeliverStart,ExpContractPerUnit*TotalUnits/12*V$8*V$11,0)</f>
        <v/>
      </c>
      <c r="W30" s="218">
        <f>IF(19&gt;=DeliverStart,ExpContractPerUnit*TotalUnits/12*W$8*W$11,0)</f>
        <v/>
      </c>
      <c r="X30" s="218">
        <f>IF(20&gt;=DeliverStart,ExpContractPerUnit*TotalUnits/12*X$8*X$11,0)</f>
        <v/>
      </c>
      <c r="Y30" s="218">
        <f>IF(21&gt;=DeliverStart,ExpContractPerUnit*TotalUnits/12*Y$8*Y$11,0)</f>
        <v/>
      </c>
      <c r="Z30" s="218">
        <f>IF(22&gt;=DeliverStart,ExpContractPerUnit*TotalUnits/12*Z$8*Z$11,0)</f>
        <v/>
      </c>
      <c r="AA30" s="218">
        <f>IF(23&gt;=DeliverStart,ExpContractPerUnit*TotalUnits/12*AA$8*AA$11,0)</f>
        <v/>
      </c>
      <c r="AB30" s="218">
        <f>IF(24&gt;=DeliverStart,ExpContractPerUnit*TotalUnits/12*AB$8*AB$11,0)</f>
        <v/>
      </c>
      <c r="AC30" s="218">
        <f>IF(25&gt;=DeliverStart,ExpContractPerUnit*TotalUnits/12*AC$8*AC$11,0)</f>
        <v/>
      </c>
      <c r="AD30" s="218">
        <f>IF(26&gt;=DeliverStart,ExpContractPerUnit*TotalUnits/12*AD$8*AD$11,0)</f>
        <v/>
      </c>
      <c r="AE30" s="218">
        <f>IF(27&gt;=DeliverStart,ExpContractPerUnit*TotalUnits/12*AE$8*AE$11,0)</f>
        <v/>
      </c>
      <c r="AF30" s="218">
        <f>IF(28&gt;=DeliverStart,ExpContractPerUnit*TotalUnits/12*AF$8*AF$11,0)</f>
        <v/>
      </c>
      <c r="AG30" s="218">
        <f>IF(29&gt;=DeliverStart,ExpContractPerUnit*TotalUnits/12*AG$8*AG$11,0)</f>
        <v/>
      </c>
      <c r="AH30" s="218">
        <f>IF(30&gt;=DeliverStart,ExpContractPerUnit*TotalUnits/12*AH$8*AH$11,0)</f>
        <v/>
      </c>
      <c r="AI30" s="218">
        <f>IF(31&gt;=DeliverStart,ExpContractPerUnit*TotalUnits/12*AI$8*AI$11,0)</f>
        <v/>
      </c>
      <c r="AJ30" s="218">
        <f>IF(32&gt;=DeliverStart,ExpContractPerUnit*TotalUnits/12*AJ$8*AJ$11,0)</f>
        <v/>
      </c>
      <c r="AK30" s="218">
        <f>IF(33&gt;=DeliverStart,ExpContractPerUnit*TotalUnits/12*AK$8*AK$11,0)</f>
        <v/>
      </c>
      <c r="AL30" s="218">
        <f>IF(34&gt;=DeliverStart,ExpContractPerUnit*TotalUnits/12*AL$8*AL$11,0)</f>
        <v/>
      </c>
      <c r="AM30" s="218">
        <f>IF(35&gt;=DeliverStart,ExpContractPerUnit*TotalUnits/12*AM$8*AM$11,0)</f>
        <v/>
      </c>
      <c r="AN30" s="218">
        <f>IF(36&gt;=DeliverStart,ExpContractPerUnit*TotalUnits/12*AN$8*AN$11,0)</f>
        <v/>
      </c>
      <c r="AO30" s="218">
        <f>IF(37&gt;=DeliverStart,ExpContractPerUnit*TotalUnits/12*AO$8*AO$11,0)</f>
        <v/>
      </c>
      <c r="AP30" s="218">
        <f>IF(38&gt;=DeliverStart,ExpContractPerUnit*TotalUnits/12*AP$8*AP$11,0)</f>
        <v/>
      </c>
      <c r="AQ30" s="218">
        <f>IF(39&gt;=DeliverStart,ExpContractPerUnit*TotalUnits/12*AQ$8*AQ$11,0)</f>
        <v/>
      </c>
      <c r="AR30" s="218">
        <f>IF(40&gt;=DeliverStart,ExpContractPerUnit*TotalUnits/12*AR$8*AR$11,0)</f>
        <v/>
      </c>
      <c r="AS30" s="218">
        <f>IF(41&gt;=DeliverStart,ExpContractPerUnit*TotalUnits/12*AS$8*AS$11,0)</f>
        <v/>
      </c>
      <c r="AT30" s="218">
        <f>IF(42&gt;=DeliverStart,ExpContractPerUnit*TotalUnits/12*AT$8*AT$11,0)</f>
        <v/>
      </c>
      <c r="AU30" s="218">
        <f>IF(43&gt;=DeliverStart,ExpContractPerUnit*TotalUnits/12*AU$8*AU$11,0)</f>
        <v/>
      </c>
      <c r="AV30" s="218">
        <f>IF(44&gt;=DeliverStart,ExpContractPerUnit*TotalUnits/12*AV$8*AV$11,0)</f>
        <v/>
      </c>
      <c r="AW30" s="218">
        <f>IF(45&gt;=DeliverStart,ExpContractPerUnit*TotalUnits/12*AW$8*AW$11,0)</f>
        <v/>
      </c>
      <c r="AX30" s="218">
        <f>IF(46&gt;=DeliverStart,ExpContractPerUnit*TotalUnits/12*AX$8*AX$11,0)</f>
        <v/>
      </c>
      <c r="AY30" s="218">
        <f>IF(47&gt;=DeliverStart,ExpContractPerUnit*TotalUnits/12*AY$8*AY$11,0)</f>
        <v/>
      </c>
      <c r="AZ30" s="218">
        <f>IF(48&gt;=DeliverStart,ExpContractPerUnit*TotalUnits/12*AZ$8*AZ$11,0)</f>
        <v/>
      </c>
      <c r="BA30" s="218">
        <f>IF(49&gt;=DeliverStart,ExpContractPerUnit*TotalUnits/12*BA$8*BA$11,0)</f>
        <v/>
      </c>
      <c r="BB30" s="218">
        <f>IF(50&gt;=DeliverStart,ExpContractPerUnit*TotalUnits/12*BB$8*BB$11,0)</f>
        <v/>
      </c>
      <c r="BC30" s="218">
        <f>IF(51&gt;=DeliverStart,ExpContractPerUnit*TotalUnits/12*BC$8*BC$11,0)</f>
        <v/>
      </c>
      <c r="BD30" s="218">
        <f>IF(52&gt;=DeliverStart,ExpContractPerUnit*TotalUnits/12*BD$8*BD$11,0)</f>
        <v/>
      </c>
      <c r="BE30" s="218">
        <f>IF(53&gt;=DeliverStart,ExpContractPerUnit*TotalUnits/12*BE$8*BE$11,0)</f>
        <v/>
      </c>
      <c r="BF30" s="218">
        <f>IF(54&gt;=DeliverStart,ExpContractPerUnit*TotalUnits/12*BF$8*BF$11,0)</f>
        <v/>
      </c>
      <c r="BG30" s="218">
        <f>IF(55&gt;=DeliverStart,ExpContractPerUnit*TotalUnits/12*BG$8*BG$11,0)</f>
        <v/>
      </c>
      <c r="BH30" s="218">
        <f>IF(56&gt;=DeliverStart,ExpContractPerUnit*TotalUnits/12*BH$8*BH$11,0)</f>
        <v/>
      </c>
      <c r="BI30" s="218">
        <f>IF(57&gt;=DeliverStart,ExpContractPerUnit*TotalUnits/12*BI$8*BI$11,0)</f>
        <v/>
      </c>
      <c r="BJ30" s="218">
        <f>IF(58&gt;=DeliverStart,ExpContractPerUnit*TotalUnits/12*BJ$8*BJ$11,0)</f>
        <v/>
      </c>
      <c r="BK30" s="218">
        <f>IF(59&gt;=DeliverStart,ExpContractPerUnit*TotalUnits/12*BK$8*BK$11,0)</f>
        <v/>
      </c>
      <c r="BL30" s="218">
        <f>IF(60&gt;=DeliverStart,ExpContractPerUnit*TotalUnits/12*BL$8*BL$11,0)</f>
        <v/>
      </c>
      <c r="BM30" s="218">
        <f>IF(61&gt;=DeliverStart,ExpContractPerUnit*TotalUnits/12*BM$8*BM$11,0)</f>
        <v/>
      </c>
      <c r="BN30" s="218">
        <f>IF(62&gt;=DeliverStart,ExpContractPerUnit*TotalUnits/12*BN$8*BN$11,0)</f>
        <v/>
      </c>
      <c r="BO30" s="218">
        <f>IF(63&gt;=DeliverStart,ExpContractPerUnit*TotalUnits/12*BO$8*BO$11,0)</f>
        <v/>
      </c>
      <c r="BP30" s="218">
        <f>IF(64&gt;=DeliverStart,ExpContractPerUnit*TotalUnits/12*BP$8*BP$11,0)</f>
        <v/>
      </c>
      <c r="BQ30" s="218">
        <f>IF(65&gt;=DeliverStart,ExpContractPerUnit*TotalUnits/12*BQ$8*BQ$11,0)</f>
        <v/>
      </c>
      <c r="BR30" s="218">
        <f>IF(66&gt;=DeliverStart,ExpContractPerUnit*TotalUnits/12*BR$8*BR$11,0)</f>
        <v/>
      </c>
      <c r="BS30" s="218">
        <f>IF(67&gt;=DeliverStart,ExpContractPerUnit*TotalUnits/12*BS$8*BS$11,0)</f>
        <v/>
      </c>
      <c r="BT30" s="218">
        <f>IF(68&gt;=DeliverStart,ExpContractPerUnit*TotalUnits/12*BT$8*BT$11,0)</f>
        <v/>
      </c>
      <c r="BU30" s="218">
        <f>IF(69&gt;=DeliverStart,ExpContractPerUnit*TotalUnits/12*BU$8*BU$11,0)</f>
        <v/>
      </c>
      <c r="BV30" s="218">
        <f>IF(70&gt;=DeliverStart,ExpContractPerUnit*TotalUnits/12*BV$8*BV$11,0)</f>
        <v/>
      </c>
      <c r="BW30" s="218">
        <f>IF(71&gt;=DeliverStart,ExpContractPerUnit*TotalUnits/12*BW$8*BW$11,0)</f>
        <v/>
      </c>
      <c r="BX30" s="218">
        <f>IF(72&gt;=DeliverStart,ExpContractPerUnit*TotalUnits/12*BX$8*BX$11,0)</f>
        <v/>
      </c>
      <c r="BY30" s="218">
        <f>IF(73&gt;=DeliverStart,ExpContractPerUnit*TotalUnits/12*BY$8*BY$11,0)</f>
        <v/>
      </c>
      <c r="BZ30" s="218">
        <f>IF(74&gt;=DeliverStart,ExpContractPerUnit*TotalUnits/12*BZ$8*BZ$11,0)</f>
        <v/>
      </c>
      <c r="CA30" s="218">
        <f>IF(75&gt;=DeliverStart,ExpContractPerUnit*TotalUnits/12*CA$8*CA$11,0)</f>
        <v/>
      </c>
      <c r="CB30" s="218">
        <f>IF(76&gt;=DeliverStart,ExpContractPerUnit*TotalUnits/12*CB$8*CB$11,0)</f>
        <v/>
      </c>
      <c r="CC30" s="218">
        <f>IF(77&gt;=DeliverStart,ExpContractPerUnit*TotalUnits/12*CC$8*CC$11,0)</f>
        <v/>
      </c>
      <c r="CD30" s="218">
        <f>IF(78&gt;=DeliverStart,ExpContractPerUnit*TotalUnits/12*CD$8*CD$11,0)</f>
        <v/>
      </c>
      <c r="CE30" s="218">
        <f>IF(79&gt;=DeliverStart,ExpContractPerUnit*TotalUnits/12*CE$8*CE$11,0)</f>
        <v/>
      </c>
      <c r="CF30" s="218">
        <f>IF(80&gt;=DeliverStart,ExpContractPerUnit*TotalUnits/12*CF$8*CF$11,0)</f>
        <v/>
      </c>
      <c r="CG30" s="218">
        <f>IF(81&gt;=DeliverStart,ExpContractPerUnit*TotalUnits/12*CG$8*CG$11,0)</f>
        <v/>
      </c>
      <c r="CH30" s="218">
        <f>IF(82&gt;=DeliverStart,ExpContractPerUnit*TotalUnits/12*CH$8*CH$11,0)</f>
        <v/>
      </c>
      <c r="CI30" s="218">
        <f>IF(83&gt;=DeliverStart,ExpContractPerUnit*TotalUnits/12*CI$8*CI$11,0)</f>
        <v/>
      </c>
      <c r="CJ30" s="218">
        <f>IF(84&gt;=DeliverStart,ExpContractPerUnit*TotalUnits/12*CJ$8*CJ$11,0)</f>
        <v/>
      </c>
      <c r="CK30" s="218">
        <f>IF(85&gt;=DeliverStart,ExpContractPerUnit*TotalUnits/12*CK$8*CK$11,0)</f>
        <v/>
      </c>
      <c r="CL30" s="218">
        <f>IF(86&gt;=DeliverStart,ExpContractPerUnit*TotalUnits/12*CL$8*CL$11,0)</f>
        <v/>
      </c>
      <c r="CM30" s="218">
        <f>IF(87&gt;=DeliverStart,ExpContractPerUnit*TotalUnits/12*CM$8*CM$11,0)</f>
        <v/>
      </c>
      <c r="CN30" s="218">
        <f>IF(88&gt;=DeliverStart,ExpContractPerUnit*TotalUnits/12*CN$8*CN$11,0)</f>
        <v/>
      </c>
      <c r="CO30" s="218">
        <f>IF(89&gt;=DeliverStart,ExpContractPerUnit*TotalUnits/12*CO$8*CO$11,0)</f>
        <v/>
      </c>
      <c r="CP30" s="218">
        <f>IF(90&gt;=DeliverStart,ExpContractPerUnit*TotalUnits/12*CP$8*CP$11,0)</f>
        <v/>
      </c>
      <c r="CQ30" s="218">
        <f>IF(91&gt;=DeliverStart,ExpContractPerUnit*TotalUnits/12*CQ$8*CQ$11,0)</f>
        <v/>
      </c>
      <c r="CR30" s="218">
        <f>IF(92&gt;=DeliverStart,ExpContractPerUnit*TotalUnits/12*CR$8*CR$11,0)</f>
        <v/>
      </c>
      <c r="CS30" s="218">
        <f>IF(93&gt;=DeliverStart,ExpContractPerUnit*TotalUnits/12*CS$8*CS$11,0)</f>
        <v/>
      </c>
      <c r="CT30" s="218">
        <f>IF(94&gt;=DeliverStart,ExpContractPerUnit*TotalUnits/12*CT$8*CT$11,0)</f>
        <v/>
      </c>
      <c r="CU30" s="218">
        <f>IF(95&gt;=DeliverStart,ExpContractPerUnit*TotalUnits/12*CU$8*CU$11,0)</f>
        <v/>
      </c>
      <c r="CV30" s="218">
        <f>IF(96&gt;=DeliverStart,ExpContractPerUnit*TotalUnits/12*CV$8*CV$11,0)</f>
        <v/>
      </c>
      <c r="CW30" s="218">
        <f>IF(97&gt;=DeliverStart,ExpContractPerUnit*TotalUnits/12*CW$8*CW$11,0)</f>
        <v/>
      </c>
      <c r="CX30" s="218">
        <f>IF(98&gt;=DeliverStart,ExpContractPerUnit*TotalUnits/12*CX$8*CX$11,0)</f>
        <v/>
      </c>
      <c r="CY30" s="218">
        <f>IF(99&gt;=DeliverStart,ExpContractPerUnit*TotalUnits/12*CY$8*CY$11,0)</f>
        <v/>
      </c>
      <c r="CZ30" s="218">
        <f>IF(100&gt;=DeliverStart,ExpContractPerUnit*TotalUnits/12*CZ$8*CZ$11,0)</f>
        <v/>
      </c>
      <c r="DA30" s="218">
        <f>IF(101&gt;=DeliverStart,ExpContractPerUnit*TotalUnits/12*DA$8*DA$11,0)</f>
        <v/>
      </c>
      <c r="DB30" s="218">
        <f>IF(102&gt;=DeliverStart,ExpContractPerUnit*TotalUnits/12*DB$8*DB$11,0)</f>
        <v/>
      </c>
      <c r="DC30" s="218">
        <f>IF(103&gt;=DeliverStart,ExpContractPerUnit*TotalUnits/12*DC$8*DC$11,0)</f>
        <v/>
      </c>
      <c r="DD30" s="218">
        <f>IF(104&gt;=DeliverStart,ExpContractPerUnit*TotalUnits/12*DD$8*DD$11,0)</f>
        <v/>
      </c>
      <c r="DE30" s="218">
        <f>IF(105&gt;=DeliverStart,ExpContractPerUnit*TotalUnits/12*DE$8*DE$11,0)</f>
        <v/>
      </c>
      <c r="DF30" s="218">
        <f>IF(106&gt;=DeliverStart,ExpContractPerUnit*TotalUnits/12*DF$8*DF$11,0)</f>
        <v/>
      </c>
      <c r="DG30" s="218">
        <f>IF(107&gt;=DeliverStart,ExpContractPerUnit*TotalUnits/12*DG$8*DG$11,0)</f>
        <v/>
      </c>
      <c r="DH30" s="218">
        <f>IF(108&gt;=DeliverStart,ExpContractPerUnit*TotalUnits/12*DH$8*DH$11,0)</f>
        <v/>
      </c>
      <c r="DI30" s="218">
        <f>IF(109&gt;=DeliverStart,ExpContractPerUnit*TotalUnits/12*DI$8*DI$11,0)</f>
        <v/>
      </c>
      <c r="DJ30" s="218">
        <f>IF(110&gt;=DeliverStart,ExpContractPerUnit*TotalUnits/12*DJ$8*DJ$11,0)</f>
        <v/>
      </c>
      <c r="DK30" s="218">
        <f>IF(111&gt;=DeliverStart,ExpContractPerUnit*TotalUnits/12*DK$8*DK$11,0)</f>
        <v/>
      </c>
      <c r="DL30" s="218">
        <f>IF(112&gt;=DeliverStart,ExpContractPerUnit*TotalUnits/12*DL$8*DL$11,0)</f>
        <v/>
      </c>
      <c r="DM30" s="218">
        <f>IF(113&gt;=DeliverStart,ExpContractPerUnit*TotalUnits/12*DM$8*DM$11,0)</f>
        <v/>
      </c>
      <c r="DN30" s="218">
        <f>IF(114&gt;=DeliverStart,ExpContractPerUnit*TotalUnits/12*DN$8*DN$11,0)</f>
        <v/>
      </c>
      <c r="DO30" s="218">
        <f>IF(115&gt;=DeliverStart,ExpContractPerUnit*TotalUnits/12*DO$8*DO$11,0)</f>
        <v/>
      </c>
      <c r="DP30" s="218">
        <f>IF(116&gt;=DeliverStart,ExpContractPerUnit*TotalUnits/12*DP$8*DP$11,0)</f>
        <v/>
      </c>
      <c r="DQ30" s="218">
        <f>IF(117&gt;=DeliverStart,ExpContractPerUnit*TotalUnits/12*DQ$8*DQ$11,0)</f>
        <v/>
      </c>
      <c r="DR30" s="218">
        <f>IF(118&gt;=DeliverStart,ExpContractPerUnit*TotalUnits/12*DR$8*DR$11,0)</f>
        <v/>
      </c>
      <c r="DS30" s="218">
        <f>IF(119&gt;=DeliverStart,ExpContractPerUnit*TotalUnits/12*DS$8*DS$11,0)</f>
        <v/>
      </c>
      <c r="DT30" s="218">
        <f>IF(120&gt;=DeliverStart,ExpContractPerUnit*TotalUnits/12*DT$8*DT$11,0)</f>
        <v/>
      </c>
      <c r="DU30" s="218">
        <f>IF(121&gt;=DeliverStart,ExpContractPerUnit*TotalUnits/12*DU$8*DU$11,0)</f>
        <v/>
      </c>
      <c r="DV30" s="218">
        <f>IF(122&gt;=DeliverStart,ExpContractPerUnit*TotalUnits/12*DV$8*DV$11,0)</f>
        <v/>
      </c>
      <c r="DW30" s="218">
        <f>IF(123&gt;=DeliverStart,ExpContractPerUnit*TotalUnits/12*DW$8*DW$11,0)</f>
        <v/>
      </c>
      <c r="DX30" s="218">
        <f>IF(124&gt;=DeliverStart,ExpContractPerUnit*TotalUnits/12*DX$8*DX$11,0)</f>
        <v/>
      </c>
      <c r="DY30" s="218">
        <f>IF(125&gt;=DeliverStart,ExpContractPerUnit*TotalUnits/12*DY$8*DY$11,0)</f>
        <v/>
      </c>
      <c r="DZ30" s="218">
        <f>IF(126&gt;=DeliverStart,ExpContractPerUnit*TotalUnits/12*DZ$8*DZ$11,0)</f>
        <v/>
      </c>
      <c r="EA30" s="218">
        <f>IF(127&gt;=DeliverStart,ExpContractPerUnit*TotalUnits/12*EA$8*EA$11,0)</f>
        <v/>
      </c>
      <c r="EB30" s="218">
        <f>IF(128&gt;=DeliverStart,ExpContractPerUnit*TotalUnits/12*EB$8*EB$11,0)</f>
        <v/>
      </c>
      <c r="EC30" s="218">
        <f>IF(129&gt;=DeliverStart,ExpContractPerUnit*TotalUnits/12*EC$8*EC$11,0)</f>
        <v/>
      </c>
      <c r="ED30" s="218">
        <f>IF(130&gt;=DeliverStart,ExpContractPerUnit*TotalUnits/12*ED$8*ED$11,0)</f>
        <v/>
      </c>
      <c r="EE30" s="218">
        <f>IF(131&gt;=DeliverStart,ExpContractPerUnit*TotalUnits/12*EE$8*EE$11,0)</f>
        <v/>
      </c>
      <c r="EF30" s="218">
        <f>IF(132&gt;=DeliverStart,ExpContractPerUnit*TotalUnits/12*EF$8*EF$11,0)</f>
        <v/>
      </c>
      <c r="EG30" s="218">
        <f>IF(133&gt;=DeliverStart,ExpContractPerUnit*TotalUnits/12*EG$8*EG$11,0)</f>
        <v/>
      </c>
      <c r="EH30" s="218">
        <f>IF(134&gt;=DeliverStart,ExpContractPerUnit*TotalUnits/12*EH$8*EH$11,0)</f>
        <v/>
      </c>
      <c r="EI30" s="218">
        <f>IF(135&gt;=DeliverStart,ExpContractPerUnit*TotalUnits/12*EI$8*EI$11,0)</f>
        <v/>
      </c>
      <c r="EJ30" s="218">
        <f>IF(136&gt;=DeliverStart,ExpContractPerUnit*TotalUnits/12*EJ$8*EJ$11,0)</f>
        <v/>
      </c>
      <c r="EK30" s="218">
        <f>IF(137&gt;=DeliverStart,ExpContractPerUnit*TotalUnits/12*EK$8*EK$11,0)</f>
        <v/>
      </c>
      <c r="EL30" s="218">
        <f>IF(138&gt;=DeliverStart,ExpContractPerUnit*TotalUnits/12*EL$8*EL$11,0)</f>
        <v/>
      </c>
      <c r="EM30" s="218">
        <f>IF(139&gt;=DeliverStart,ExpContractPerUnit*TotalUnits/12*EM$8*EM$11,0)</f>
        <v/>
      </c>
      <c r="EN30" s="218">
        <f>IF(140&gt;=DeliverStart,ExpContractPerUnit*TotalUnits/12*EN$8*EN$11,0)</f>
        <v/>
      </c>
      <c r="EO30" s="218">
        <f>IF(141&gt;=DeliverStart,ExpContractPerUnit*TotalUnits/12*EO$8*EO$11,0)</f>
        <v/>
      </c>
      <c r="EP30" s="218">
        <f>IF(142&gt;=DeliverStart,ExpContractPerUnit*TotalUnits/12*EP$8*EP$11,0)</f>
        <v/>
      </c>
      <c r="EQ30" s="218">
        <f>IF(143&gt;=DeliverStart,ExpContractPerUnit*TotalUnits/12*EQ$8*EQ$11,0)</f>
        <v/>
      </c>
      <c r="ER30" s="218">
        <f>IF(144&gt;=DeliverStart,ExpContractPerUnit*TotalUnits/12*ER$8*ER$11,0)</f>
        <v/>
      </c>
      <c r="ES30" s="218">
        <f>IF(145&gt;=DeliverStart,ExpContractPerUnit*TotalUnits/12*ES$8*ES$11,0)</f>
        <v/>
      </c>
      <c r="ET30" s="218">
        <f>IF(146&gt;=DeliverStart,ExpContractPerUnit*TotalUnits/12*ET$8*ET$11,0)</f>
        <v/>
      </c>
      <c r="EU30" s="218">
        <f>IF(147&gt;=DeliverStart,ExpContractPerUnit*TotalUnits/12*EU$8*EU$11,0)</f>
        <v/>
      </c>
      <c r="EV30" s="218">
        <f>IF(148&gt;=DeliverStart,ExpContractPerUnit*TotalUnits/12*EV$8*EV$11,0)</f>
        <v/>
      </c>
      <c r="EW30" s="218">
        <f>IF(149&gt;=DeliverStart,ExpContractPerUnit*TotalUnits/12*EW$8*EW$11,0)</f>
        <v/>
      </c>
      <c r="EX30" s="218">
        <f>IF(150&gt;=DeliverStart,ExpContractPerUnit*TotalUnits/12*EX$8*EX$11,0)</f>
        <v/>
      </c>
      <c r="EY30" s="218">
        <f>IF(151&gt;=DeliverStart,ExpContractPerUnit*TotalUnits/12*EY$8*EY$11,0)</f>
        <v/>
      </c>
      <c r="EZ30" s="218">
        <f>IF(152&gt;=DeliverStart,ExpContractPerUnit*TotalUnits/12*EZ$8*EZ$11,0)</f>
        <v/>
      </c>
      <c r="FA30" s="218">
        <f>IF(153&gt;=DeliverStart,ExpContractPerUnit*TotalUnits/12*FA$8*FA$11,0)</f>
        <v/>
      </c>
      <c r="FB30" s="218">
        <f>IF(154&gt;=DeliverStart,ExpContractPerUnit*TotalUnits/12*FB$8*FB$11,0)</f>
        <v/>
      </c>
      <c r="FC30" s="218">
        <f>IF(155&gt;=DeliverStart,ExpContractPerUnit*TotalUnits/12*FC$8*FC$11,0)</f>
        <v/>
      </c>
      <c r="FD30" s="218">
        <f>IF(156&gt;=DeliverStart,ExpContractPerUnit*TotalUnits/12*FD$8*FD$11,0)</f>
        <v/>
      </c>
      <c r="FE30" s="218">
        <f>IF(157&gt;=DeliverStart,ExpContractPerUnit*TotalUnits/12*FE$8*FE$11,0)</f>
        <v/>
      </c>
      <c r="FF30" s="218">
        <f>IF(158&gt;=DeliverStart,ExpContractPerUnit*TotalUnits/12*FF$8*FF$11,0)</f>
        <v/>
      </c>
      <c r="FG30" s="218">
        <f>IF(159&gt;=DeliverStart,ExpContractPerUnit*TotalUnits/12*FG$8*FG$11,0)</f>
        <v/>
      </c>
      <c r="FH30" s="218">
        <f>IF(160&gt;=DeliverStart,ExpContractPerUnit*TotalUnits/12*FH$8*FH$11,0)</f>
        <v/>
      </c>
      <c r="FI30" s="218">
        <f>IF(161&gt;=DeliverStart,ExpContractPerUnit*TotalUnits/12*FI$8*FI$11,0)</f>
        <v/>
      </c>
      <c r="FJ30" s="218">
        <f>IF(162&gt;=DeliverStart,ExpContractPerUnit*TotalUnits/12*FJ$8*FJ$11,0)</f>
        <v/>
      </c>
      <c r="FK30" s="218">
        <f>IF(163&gt;=DeliverStart,ExpContractPerUnit*TotalUnits/12*FK$8*FK$11,0)</f>
        <v/>
      </c>
      <c r="FL30" s="218">
        <f>IF(164&gt;=DeliverStart,ExpContractPerUnit*TotalUnits/12*FL$8*FL$11,0)</f>
        <v/>
      </c>
      <c r="FM30" s="218">
        <f>IF(165&gt;=DeliverStart,ExpContractPerUnit*TotalUnits/12*FM$8*FM$11,0)</f>
        <v/>
      </c>
      <c r="FN30" s="218">
        <f>IF(166&gt;=DeliverStart,ExpContractPerUnit*TotalUnits/12*FN$8*FN$11,0)</f>
        <v/>
      </c>
      <c r="FO30" s="218">
        <f>IF(167&gt;=DeliverStart,ExpContractPerUnit*TotalUnits/12*FO$8*FO$11,0)</f>
        <v/>
      </c>
      <c r="FP30" s="218">
        <f>IF(168&gt;=DeliverStart,ExpContractPerUnit*TotalUnits/12*FP$8*FP$11,0)</f>
        <v/>
      </c>
      <c r="FQ30" s="218">
        <f>IF(169&gt;=DeliverStart,ExpContractPerUnit*TotalUnits/12*FQ$8*FQ$11,0)</f>
        <v/>
      </c>
      <c r="FR30" s="218">
        <f>IF(170&gt;=DeliverStart,ExpContractPerUnit*TotalUnits/12*FR$8*FR$11,0)</f>
        <v/>
      </c>
      <c r="FS30" s="218">
        <f>IF(171&gt;=DeliverStart,ExpContractPerUnit*TotalUnits/12*FS$8*FS$11,0)</f>
        <v/>
      </c>
      <c r="FT30" s="218">
        <f>IF(172&gt;=DeliverStart,ExpContractPerUnit*TotalUnits/12*FT$8*FT$11,0)</f>
        <v/>
      </c>
      <c r="FU30" s="218">
        <f>IF(173&gt;=DeliverStart,ExpContractPerUnit*TotalUnits/12*FU$8*FU$11,0)</f>
        <v/>
      </c>
      <c r="FV30" s="218">
        <f>IF(174&gt;=DeliverStart,ExpContractPerUnit*TotalUnits/12*FV$8*FV$11,0)</f>
        <v/>
      </c>
      <c r="FW30" s="218">
        <f>IF(175&gt;=DeliverStart,ExpContractPerUnit*TotalUnits/12*FW$8*FW$11,0)</f>
        <v/>
      </c>
      <c r="FX30" s="218">
        <f>IF(176&gt;=DeliverStart,ExpContractPerUnit*TotalUnits/12*FX$8*FX$11,0)</f>
        <v/>
      </c>
      <c r="FY30" s="218">
        <f>IF(177&gt;=DeliverStart,ExpContractPerUnit*TotalUnits/12*FY$8*FY$11,0)</f>
        <v/>
      </c>
      <c r="FZ30" s="218">
        <f>IF(178&gt;=DeliverStart,ExpContractPerUnit*TotalUnits/12*FZ$8*FZ$11,0)</f>
        <v/>
      </c>
      <c r="GA30" s="218">
        <f>IF(179&gt;=DeliverStart,ExpContractPerUnit*TotalUnits/12*GA$8*GA$11,0)</f>
        <v/>
      </c>
      <c r="GB30" s="218">
        <f>IF(180&gt;=DeliverStart,ExpContractPerUnit*TotalUnits/12*GB$8*GB$11,0)</f>
        <v/>
      </c>
      <c r="GC30" s="218">
        <f>IF(181&gt;=DeliverStart,ExpContractPerUnit*TotalUnits/12*GC$8*GC$11,0)</f>
        <v/>
      </c>
      <c r="GD30" s="218">
        <f>IF(182&gt;=DeliverStart,ExpContractPerUnit*TotalUnits/12*GD$8*GD$11,0)</f>
        <v/>
      </c>
      <c r="GE30" s="218">
        <f>IF(183&gt;=DeliverStart,ExpContractPerUnit*TotalUnits/12*GE$8*GE$11,0)</f>
        <v/>
      </c>
      <c r="GF30" s="218">
        <f>IF(184&gt;=DeliverStart,ExpContractPerUnit*TotalUnits/12*GF$8*GF$11,0)</f>
        <v/>
      </c>
      <c r="GG30" s="218">
        <f>IF(185&gt;=DeliverStart,ExpContractPerUnit*TotalUnits/12*GG$8*GG$11,0)</f>
        <v/>
      </c>
      <c r="GH30" s="218">
        <f>IF(186&gt;=DeliverStart,ExpContractPerUnit*TotalUnits/12*GH$8*GH$11,0)</f>
        <v/>
      </c>
      <c r="GI30" s="218">
        <f>IF(187&gt;=DeliverStart,ExpContractPerUnit*TotalUnits/12*GI$8*GI$11,0)</f>
        <v/>
      </c>
      <c r="GJ30" s="218">
        <f>IF(188&gt;=DeliverStart,ExpContractPerUnit*TotalUnits/12*GJ$8*GJ$11,0)</f>
        <v/>
      </c>
      <c r="GK30" s="218">
        <f>IF(189&gt;=DeliverStart,ExpContractPerUnit*TotalUnits/12*GK$8*GK$11,0)</f>
        <v/>
      </c>
      <c r="GL30" s="218">
        <f>IF(190&gt;=DeliverStart,ExpContractPerUnit*TotalUnits/12*GL$8*GL$11,0)</f>
        <v/>
      </c>
      <c r="GM30" s="218">
        <f>IF(191&gt;=DeliverStart,ExpContractPerUnit*TotalUnits/12*GM$8*GM$11,0)</f>
        <v/>
      </c>
      <c r="GN30" s="218">
        <f>IF(192&gt;=DeliverStart,ExpContractPerUnit*TotalUnits/12*GN$8*GN$11,0)</f>
        <v/>
      </c>
      <c r="GO30" s="218">
        <f>IF(193&gt;=DeliverStart,ExpContractPerUnit*TotalUnits/12*GO$8*GO$11,0)</f>
        <v/>
      </c>
      <c r="GP30" s="218">
        <f>IF(194&gt;=DeliverStart,ExpContractPerUnit*TotalUnits/12*GP$8*GP$11,0)</f>
        <v/>
      </c>
      <c r="GQ30" s="218">
        <f>IF(195&gt;=DeliverStart,ExpContractPerUnit*TotalUnits/12*GQ$8*GQ$11,0)</f>
        <v/>
      </c>
      <c r="GR30" s="218">
        <f>IF(196&gt;=DeliverStart,ExpContractPerUnit*TotalUnits/12*GR$8*GR$11,0)</f>
        <v/>
      </c>
      <c r="GS30" s="218">
        <f>IF(197&gt;=DeliverStart,ExpContractPerUnit*TotalUnits/12*GS$8*GS$11,0)</f>
        <v/>
      </c>
      <c r="GT30" s="218">
        <f>IF(198&gt;=DeliverStart,ExpContractPerUnit*TotalUnits/12*GT$8*GT$11,0)</f>
        <v/>
      </c>
      <c r="GU30" s="218">
        <f>IF(199&gt;=DeliverStart,ExpContractPerUnit*TotalUnits/12*GU$8*GU$11,0)</f>
        <v/>
      </c>
      <c r="GV30" s="218">
        <f>IF(200&gt;=DeliverStart,ExpContractPerUnit*TotalUnits/12*GV$8*GV$11,0)</f>
        <v/>
      </c>
      <c r="GW30" s="218">
        <f>IF(201&gt;=DeliverStart,ExpContractPerUnit*TotalUnits/12*GW$8*GW$11,0)</f>
        <v/>
      </c>
      <c r="GX30" s="218">
        <f>IF(202&gt;=DeliverStart,ExpContractPerUnit*TotalUnits/12*GX$8*GX$11,0)</f>
        <v/>
      </c>
      <c r="GY30" s="218">
        <f>IF(203&gt;=DeliverStart,ExpContractPerUnit*TotalUnits/12*GY$8*GY$11,0)</f>
        <v/>
      </c>
      <c r="GZ30" s="218">
        <f>IF(204&gt;=DeliverStart,ExpContractPerUnit*TotalUnits/12*GZ$8*GZ$11,0)</f>
        <v/>
      </c>
      <c r="HA30" s="218">
        <f>IF(205&gt;=DeliverStart,ExpContractPerUnit*TotalUnits/12*HA$8*HA$11,0)</f>
        <v/>
      </c>
      <c r="HB30" s="218">
        <f>IF(206&gt;=DeliverStart,ExpContractPerUnit*TotalUnits/12*HB$8*HB$11,0)</f>
        <v/>
      </c>
      <c r="HC30" s="218">
        <f>IF(207&gt;=DeliverStart,ExpContractPerUnit*TotalUnits/12*HC$8*HC$11,0)</f>
        <v/>
      </c>
      <c r="HD30" s="218">
        <f>IF(208&gt;=DeliverStart,ExpContractPerUnit*TotalUnits/12*HD$8*HD$11,0)</f>
        <v/>
      </c>
      <c r="HE30" s="218">
        <f>IF(209&gt;=DeliverStart,ExpContractPerUnit*TotalUnits/12*HE$8*HE$11,0)</f>
        <v/>
      </c>
      <c r="HF30" s="218">
        <f>IF(210&gt;=DeliverStart,ExpContractPerUnit*TotalUnits/12*HF$8*HF$11,0)</f>
        <v/>
      </c>
      <c r="HG30" s="218">
        <f>IF(211&gt;=DeliverStart,ExpContractPerUnit*TotalUnits/12*HG$8*HG$11,0)</f>
        <v/>
      </c>
      <c r="HH30" s="218">
        <f>IF(212&gt;=DeliverStart,ExpContractPerUnit*TotalUnits/12*HH$8*HH$11,0)</f>
        <v/>
      </c>
      <c r="HI30" s="218">
        <f>IF(213&gt;=DeliverStart,ExpContractPerUnit*TotalUnits/12*HI$8*HI$11,0)</f>
        <v/>
      </c>
      <c r="HJ30" s="218">
        <f>IF(214&gt;=DeliverStart,ExpContractPerUnit*TotalUnits/12*HJ$8*HJ$11,0)</f>
        <v/>
      </c>
      <c r="HK30" s="218">
        <f>IF(215&gt;=DeliverStart,ExpContractPerUnit*TotalUnits/12*HK$8*HK$11,0)</f>
        <v/>
      </c>
      <c r="HL30" s="218">
        <f>IF(216&gt;=DeliverStart,ExpContractPerUnit*TotalUnits/12*HL$8*HL$11,0)</f>
        <v/>
      </c>
      <c r="HM30" s="218">
        <f>IF(217&gt;=DeliverStart,ExpContractPerUnit*TotalUnits/12*HM$8*HM$11,0)</f>
        <v/>
      </c>
      <c r="HN30" s="218">
        <f>IF(218&gt;=DeliverStart,ExpContractPerUnit*TotalUnits/12*HN$8*HN$11,0)</f>
        <v/>
      </c>
      <c r="HO30" s="218">
        <f>IF(219&gt;=DeliverStart,ExpContractPerUnit*TotalUnits/12*HO$8*HO$11,0)</f>
        <v/>
      </c>
      <c r="HP30" s="218">
        <f>IF(220&gt;=DeliverStart,ExpContractPerUnit*TotalUnits/12*HP$8*HP$11,0)</f>
        <v/>
      </c>
      <c r="HQ30" s="218">
        <f>IF(221&gt;=DeliverStart,ExpContractPerUnit*TotalUnits/12*HQ$8*HQ$11,0)</f>
        <v/>
      </c>
      <c r="HR30" s="218">
        <f>IF(222&gt;=DeliverStart,ExpContractPerUnit*TotalUnits/12*HR$8*HR$11,0)</f>
        <v/>
      </c>
      <c r="HS30" s="218">
        <f>IF(223&gt;=DeliverStart,ExpContractPerUnit*TotalUnits/12*HS$8*HS$11,0)</f>
        <v/>
      </c>
      <c r="HT30" s="218">
        <f>IF(224&gt;=DeliverStart,ExpContractPerUnit*TotalUnits/12*HT$8*HT$11,0)</f>
        <v/>
      </c>
      <c r="HU30" s="218">
        <f>IF(225&gt;=DeliverStart,ExpContractPerUnit*TotalUnits/12*HU$8*HU$11,0)</f>
        <v/>
      </c>
      <c r="HV30" s="218">
        <f>IF(226&gt;=DeliverStart,ExpContractPerUnit*TotalUnits/12*HV$8*HV$11,0)</f>
        <v/>
      </c>
      <c r="HW30" s="218">
        <f>IF(227&gt;=DeliverStart,ExpContractPerUnit*TotalUnits/12*HW$8*HW$11,0)</f>
        <v/>
      </c>
      <c r="HX30" s="218">
        <f>IF(228&gt;=DeliverStart,ExpContractPerUnit*TotalUnits/12*HX$8*HX$11,0)</f>
        <v/>
      </c>
      <c r="HY30" s="218">
        <f>IF(229&gt;=DeliverStart,ExpContractPerUnit*TotalUnits/12*HY$8*HY$11,0)</f>
        <v/>
      </c>
      <c r="HZ30" s="218">
        <f>IF(230&gt;=DeliverStart,ExpContractPerUnit*TotalUnits/12*HZ$8*HZ$11,0)</f>
        <v/>
      </c>
      <c r="IA30" s="218">
        <f>IF(231&gt;=DeliverStart,ExpContractPerUnit*TotalUnits/12*IA$8*IA$11,0)</f>
        <v/>
      </c>
      <c r="IB30" s="218">
        <f>IF(232&gt;=DeliverStart,ExpContractPerUnit*TotalUnits/12*IB$8*IB$11,0)</f>
        <v/>
      </c>
      <c r="IC30" s="218">
        <f>IF(233&gt;=DeliverStart,ExpContractPerUnit*TotalUnits/12*IC$8*IC$11,0)</f>
        <v/>
      </c>
      <c r="ID30" s="218">
        <f>IF(234&gt;=DeliverStart,ExpContractPerUnit*TotalUnits/12*ID$8*ID$11,0)</f>
        <v/>
      </c>
      <c r="IE30" s="218">
        <f>IF(235&gt;=DeliverStart,ExpContractPerUnit*TotalUnits/12*IE$8*IE$11,0)</f>
        <v/>
      </c>
      <c r="IF30" s="218">
        <f>IF(236&gt;=DeliverStart,ExpContractPerUnit*TotalUnits/12*IF$8*IF$11,0)</f>
        <v/>
      </c>
      <c r="IG30" s="218">
        <f>IF(237&gt;=DeliverStart,ExpContractPerUnit*TotalUnits/12*IG$8*IG$11,0)</f>
        <v/>
      </c>
      <c r="IH30" s="218">
        <f>IF(238&gt;=DeliverStart,ExpContractPerUnit*TotalUnits/12*IH$8*IH$11,0)</f>
        <v/>
      </c>
      <c r="II30" s="218">
        <f>IF(239&gt;=DeliverStart,ExpContractPerUnit*TotalUnits/12*II$8*II$11,0)</f>
        <v/>
      </c>
      <c r="IJ30" s="218">
        <f>IF(240&gt;=DeliverStart,ExpContractPerUnit*TotalUnits/12*IJ$8*IJ$11,0)</f>
        <v/>
      </c>
      <c r="IK30" s="218">
        <f>IF(241&gt;=DeliverStart,ExpContractPerUnit*TotalUnits/12*IK$8*IK$11,0)</f>
        <v/>
      </c>
      <c r="IL30" s="218">
        <f>IF(242&gt;=DeliverStart,ExpContractPerUnit*TotalUnits/12*IL$8*IL$11,0)</f>
        <v/>
      </c>
      <c r="IM30" s="218">
        <f>IF(243&gt;=DeliverStart,ExpContractPerUnit*TotalUnits/12*IM$8*IM$11,0)</f>
        <v/>
      </c>
      <c r="IN30" s="218">
        <f>IF(244&gt;=DeliverStart,ExpContractPerUnit*TotalUnits/12*IN$8*IN$11,0)</f>
        <v/>
      </c>
      <c r="IO30" s="218">
        <f>IF(245&gt;=DeliverStart,ExpContractPerUnit*TotalUnits/12*IO$8*IO$11,0)</f>
        <v/>
      </c>
      <c r="IP30" s="218">
        <f>IF(246&gt;=DeliverStart,ExpContractPerUnit*TotalUnits/12*IP$8*IP$11,0)</f>
        <v/>
      </c>
      <c r="IQ30" s="218">
        <f>IF(247&gt;=DeliverStart,ExpContractPerUnit*TotalUnits/12*IQ$8*IQ$11,0)</f>
        <v/>
      </c>
      <c r="IR30" s="218">
        <f>IF(248&gt;=DeliverStart,ExpContractPerUnit*TotalUnits/12*IR$8*IR$11,0)</f>
        <v/>
      </c>
      <c r="IS30" s="218">
        <f>IF(249&gt;=DeliverStart,ExpContractPerUnit*TotalUnits/12*IS$8*IS$11,0)</f>
        <v/>
      </c>
      <c r="IT30" s="218">
        <f>IF(250&gt;=DeliverStart,ExpContractPerUnit*TotalUnits/12*IT$8*IT$11,0)</f>
        <v/>
      </c>
      <c r="IU30" s="218">
        <f>IF(251&gt;=DeliverStart,ExpContractPerUnit*TotalUnits/12*IU$8*IU$11,0)</f>
        <v/>
      </c>
      <c r="IV30" s="218">
        <f>IF(252&gt;=DeliverStart,ExpContractPerUnit*TotalUnits/12*IV$8*IV$11,0)</f>
        <v/>
      </c>
      <c r="IW30" s="218">
        <f>IF(253&gt;=DeliverStart,ExpContractPerUnit*TotalUnits/12*IW$8*IW$11,0)</f>
        <v/>
      </c>
      <c r="IX30" s="218">
        <f>IF(254&gt;=DeliverStart,ExpContractPerUnit*TotalUnits/12*IX$8*IX$11,0)</f>
        <v/>
      </c>
      <c r="IY30" s="218">
        <f>IF(255&gt;=DeliverStart,ExpContractPerUnit*TotalUnits/12*IY$8*IY$11,0)</f>
        <v/>
      </c>
      <c r="IZ30" s="218">
        <f>IF(256&gt;=DeliverStart,ExpContractPerUnit*TotalUnits/12*IZ$8*IZ$11,0)</f>
        <v/>
      </c>
      <c r="JA30" s="218">
        <f>IF(257&gt;=DeliverStart,ExpContractPerUnit*TotalUnits/12*JA$8*JA$11,0)</f>
        <v/>
      </c>
      <c r="JB30" s="218">
        <f>IF(258&gt;=DeliverStart,ExpContractPerUnit*TotalUnits/12*JB$8*JB$11,0)</f>
        <v/>
      </c>
      <c r="JC30" s="218">
        <f>IF(259&gt;=DeliverStart,ExpContractPerUnit*TotalUnits/12*JC$8*JC$11,0)</f>
        <v/>
      </c>
      <c r="JD30" s="218">
        <f>IF(260&gt;=DeliverStart,ExpContractPerUnit*TotalUnits/12*JD$8*JD$11,0)</f>
        <v/>
      </c>
      <c r="JE30" s="218">
        <f>IF(261&gt;=DeliverStart,ExpContractPerUnit*TotalUnits/12*JE$8*JE$11,0)</f>
        <v/>
      </c>
      <c r="JF30" s="218">
        <f>IF(262&gt;=DeliverStart,ExpContractPerUnit*TotalUnits/12*JF$8*JF$11,0)</f>
        <v/>
      </c>
      <c r="JG30" s="218">
        <f>IF(263&gt;=DeliverStart,ExpContractPerUnit*TotalUnits/12*JG$8*JG$11,0)</f>
        <v/>
      </c>
      <c r="JH30" s="218">
        <f>IF(264&gt;=DeliverStart,ExpContractPerUnit*TotalUnits/12*JH$8*JH$11,0)</f>
        <v/>
      </c>
      <c r="JI30" s="218">
        <f>IF(265&gt;=DeliverStart,ExpContractPerUnit*TotalUnits/12*JI$8*JI$11,0)</f>
        <v/>
      </c>
      <c r="JJ30" s="218">
        <f>IF(266&gt;=DeliverStart,ExpContractPerUnit*TotalUnits/12*JJ$8*JJ$11,0)</f>
        <v/>
      </c>
      <c r="JK30" s="218">
        <f>IF(267&gt;=DeliverStart,ExpContractPerUnit*TotalUnits/12*JK$8*JK$11,0)</f>
        <v/>
      </c>
      <c r="JL30" s="218">
        <f>IF(268&gt;=DeliverStart,ExpContractPerUnit*TotalUnits/12*JL$8*JL$11,0)</f>
        <v/>
      </c>
      <c r="JM30" s="218">
        <f>IF(269&gt;=DeliverStart,ExpContractPerUnit*TotalUnits/12*JM$8*JM$11,0)</f>
        <v/>
      </c>
      <c r="JN30" s="218">
        <f>IF(270&gt;=DeliverStart,ExpContractPerUnit*TotalUnits/12*JN$8*JN$11,0)</f>
        <v/>
      </c>
      <c r="JO30" s="218">
        <f>IF(271&gt;=DeliverStart,ExpContractPerUnit*TotalUnits/12*JO$8*JO$11,0)</f>
        <v/>
      </c>
      <c r="JP30" s="218">
        <f>IF(272&gt;=DeliverStart,ExpContractPerUnit*TotalUnits/12*JP$8*JP$11,0)</f>
        <v/>
      </c>
      <c r="JQ30" s="218">
        <f>IF(273&gt;=DeliverStart,ExpContractPerUnit*TotalUnits/12*JQ$8*JQ$11,0)</f>
        <v/>
      </c>
      <c r="JR30" s="218">
        <f>IF(274&gt;=DeliverStart,ExpContractPerUnit*TotalUnits/12*JR$8*JR$11,0)</f>
        <v/>
      </c>
      <c r="JS30" s="218">
        <f>IF(275&gt;=DeliverStart,ExpContractPerUnit*TotalUnits/12*JS$8*JS$11,0)</f>
        <v/>
      </c>
      <c r="JT30" s="218">
        <f>IF(276&gt;=DeliverStart,ExpContractPerUnit*TotalUnits/12*JT$8*JT$11,0)</f>
        <v/>
      </c>
      <c r="JU30" s="218">
        <f>IF(277&gt;=DeliverStart,ExpContractPerUnit*TotalUnits/12*JU$8*JU$11,0)</f>
        <v/>
      </c>
      <c r="JV30" s="218">
        <f>IF(278&gt;=DeliverStart,ExpContractPerUnit*TotalUnits/12*JV$8*JV$11,0)</f>
        <v/>
      </c>
      <c r="JW30" s="218">
        <f>IF(279&gt;=DeliverStart,ExpContractPerUnit*TotalUnits/12*JW$8*JW$11,0)</f>
        <v/>
      </c>
      <c r="JX30" s="218">
        <f>IF(280&gt;=DeliverStart,ExpContractPerUnit*TotalUnits/12*JX$8*JX$11,0)</f>
        <v/>
      </c>
      <c r="JY30" s="218">
        <f>IF(281&gt;=DeliverStart,ExpContractPerUnit*TotalUnits/12*JY$8*JY$11,0)</f>
        <v/>
      </c>
      <c r="JZ30" s="218">
        <f>IF(282&gt;=DeliverStart,ExpContractPerUnit*TotalUnits/12*JZ$8*JZ$11,0)</f>
        <v/>
      </c>
      <c r="KA30" s="218">
        <f>IF(283&gt;=DeliverStart,ExpContractPerUnit*TotalUnits/12*KA$8*KA$11,0)</f>
        <v/>
      </c>
      <c r="KB30" s="218">
        <f>IF(284&gt;=DeliverStart,ExpContractPerUnit*TotalUnits/12*KB$8*KB$11,0)</f>
        <v/>
      </c>
      <c r="KC30" s="218">
        <f>IF(285&gt;=DeliverStart,ExpContractPerUnit*TotalUnits/12*KC$8*KC$11,0)</f>
        <v/>
      </c>
      <c r="KD30" s="218">
        <f>IF(286&gt;=DeliverStart,ExpContractPerUnit*TotalUnits/12*KD$8*KD$11,0)</f>
        <v/>
      </c>
      <c r="KE30" s="218">
        <f>IF(287&gt;=DeliverStart,ExpContractPerUnit*TotalUnits/12*KE$8*KE$11,0)</f>
        <v/>
      </c>
      <c r="KF30" s="218">
        <f>IF(288&gt;=DeliverStart,ExpContractPerUnit*TotalUnits/12*KF$8*KF$11,0)</f>
        <v/>
      </c>
      <c r="KG30" s="218">
        <f>IF(289&gt;=DeliverStart,ExpContractPerUnit*TotalUnits/12*KG$8*KG$11,0)</f>
        <v/>
      </c>
      <c r="KH30" s="218">
        <f>IF(290&gt;=DeliverStart,ExpContractPerUnit*TotalUnits/12*KH$8*KH$11,0)</f>
        <v/>
      </c>
      <c r="KI30" s="218">
        <f>IF(291&gt;=DeliverStart,ExpContractPerUnit*TotalUnits/12*KI$8*KI$11,0)</f>
        <v/>
      </c>
      <c r="KJ30" s="218">
        <f>IF(292&gt;=DeliverStart,ExpContractPerUnit*TotalUnits/12*KJ$8*KJ$11,0)</f>
        <v/>
      </c>
      <c r="KK30" s="218">
        <f>IF(293&gt;=DeliverStart,ExpContractPerUnit*TotalUnits/12*KK$8*KK$11,0)</f>
        <v/>
      </c>
      <c r="KL30" s="218">
        <f>IF(294&gt;=DeliverStart,ExpContractPerUnit*TotalUnits/12*KL$8*KL$11,0)</f>
        <v/>
      </c>
      <c r="KM30" s="218">
        <f>IF(295&gt;=DeliverStart,ExpContractPerUnit*TotalUnits/12*KM$8*KM$11,0)</f>
        <v/>
      </c>
      <c r="KN30" s="218">
        <f>IF(296&gt;=DeliverStart,ExpContractPerUnit*TotalUnits/12*KN$8*KN$11,0)</f>
        <v/>
      </c>
      <c r="KO30" s="218">
        <f>IF(297&gt;=DeliverStart,ExpContractPerUnit*TotalUnits/12*KO$8*KO$11,0)</f>
        <v/>
      </c>
      <c r="KP30" s="218">
        <f>IF(298&gt;=DeliverStart,ExpContractPerUnit*TotalUnits/12*KP$8*KP$11,0)</f>
        <v/>
      </c>
      <c r="KQ30" s="218">
        <f>IF(299&gt;=DeliverStart,ExpContractPerUnit*TotalUnits/12*KQ$8*KQ$11,0)</f>
        <v/>
      </c>
      <c r="KR30" s="218">
        <f>IF(300&gt;=DeliverStart,ExpContractPerUnit*TotalUnits/12*KR$8*KR$11,0)</f>
        <v/>
      </c>
      <c r="KS30" s="218">
        <f>IF(301&gt;=DeliverStart,ExpContractPerUnit*TotalUnits/12*KS$8*KS$11,0)</f>
        <v/>
      </c>
      <c r="KT30" s="218">
        <f>IF(302&gt;=DeliverStart,ExpContractPerUnit*TotalUnits/12*KT$8*KT$11,0)</f>
        <v/>
      </c>
      <c r="KU30" s="218">
        <f>IF(303&gt;=DeliverStart,ExpContractPerUnit*TotalUnits/12*KU$8*KU$11,0)</f>
        <v/>
      </c>
      <c r="KV30" s="218">
        <f>IF(304&gt;=DeliverStart,ExpContractPerUnit*TotalUnits/12*KV$8*KV$11,0)</f>
        <v/>
      </c>
      <c r="KW30" s="218">
        <f>IF(305&gt;=DeliverStart,ExpContractPerUnit*TotalUnits/12*KW$8*KW$11,0)</f>
        <v/>
      </c>
      <c r="KX30" s="218">
        <f>IF(306&gt;=DeliverStart,ExpContractPerUnit*TotalUnits/12*KX$8*KX$11,0)</f>
        <v/>
      </c>
      <c r="KY30" s="218">
        <f>IF(307&gt;=DeliverStart,ExpContractPerUnit*TotalUnits/12*KY$8*KY$11,0)</f>
        <v/>
      </c>
      <c r="KZ30" s="218">
        <f>IF(308&gt;=DeliverStart,ExpContractPerUnit*TotalUnits/12*KZ$8*KZ$11,0)</f>
        <v/>
      </c>
      <c r="LA30" s="218">
        <f>IF(309&gt;=DeliverStart,ExpContractPerUnit*TotalUnits/12*LA$8*LA$11,0)</f>
        <v/>
      </c>
      <c r="LB30" s="218">
        <f>IF(310&gt;=DeliverStart,ExpContractPerUnit*TotalUnits/12*LB$8*LB$11,0)</f>
        <v/>
      </c>
      <c r="LC30" s="218">
        <f>IF(311&gt;=DeliverStart,ExpContractPerUnit*TotalUnits/12*LC$8*LC$11,0)</f>
        <v/>
      </c>
      <c r="LD30" s="218">
        <f>IF(312&gt;=DeliverStart,ExpContractPerUnit*TotalUnits/12*LD$8*LD$11,0)</f>
        <v/>
      </c>
      <c r="LE30" s="218">
        <f>IF(313&gt;=DeliverStart,ExpContractPerUnit*TotalUnits/12*LE$8*LE$11,0)</f>
        <v/>
      </c>
      <c r="LF30" s="218">
        <f>IF(314&gt;=DeliverStart,ExpContractPerUnit*TotalUnits/12*LF$8*LF$11,0)</f>
        <v/>
      </c>
      <c r="LG30" s="218">
        <f>IF(315&gt;=DeliverStart,ExpContractPerUnit*TotalUnits/12*LG$8*LG$11,0)</f>
        <v/>
      </c>
      <c r="LH30" s="218">
        <f>IF(316&gt;=DeliverStart,ExpContractPerUnit*TotalUnits/12*LH$8*LH$11,0)</f>
        <v/>
      </c>
      <c r="LI30" s="218">
        <f>IF(317&gt;=DeliverStart,ExpContractPerUnit*TotalUnits/12*LI$8*LI$11,0)</f>
        <v/>
      </c>
      <c r="LJ30" s="218">
        <f>IF(318&gt;=DeliverStart,ExpContractPerUnit*TotalUnits/12*LJ$8*LJ$11,0)</f>
        <v/>
      </c>
      <c r="LK30" s="218">
        <f>IF(319&gt;=DeliverStart,ExpContractPerUnit*TotalUnits/12*LK$8*LK$11,0)</f>
        <v/>
      </c>
      <c r="LL30" s="218">
        <f>IF(320&gt;=DeliverStart,ExpContractPerUnit*TotalUnits/12*LL$8*LL$11,0)</f>
        <v/>
      </c>
      <c r="LM30" s="218">
        <f>IF(321&gt;=DeliverStart,ExpContractPerUnit*TotalUnits/12*LM$8*LM$11,0)</f>
        <v/>
      </c>
      <c r="LN30" s="218">
        <f>IF(322&gt;=DeliverStart,ExpContractPerUnit*TotalUnits/12*LN$8*LN$11,0)</f>
        <v/>
      </c>
      <c r="LO30" s="218">
        <f>IF(323&gt;=DeliverStart,ExpContractPerUnit*TotalUnits/12*LO$8*LO$11,0)</f>
        <v/>
      </c>
      <c r="LP30" s="218">
        <f>IF(324&gt;=DeliverStart,ExpContractPerUnit*TotalUnits/12*LP$8*LP$11,0)</f>
        <v/>
      </c>
      <c r="LQ30" s="218">
        <f>IF(325&gt;=DeliverStart,ExpContractPerUnit*TotalUnits/12*LQ$8*LQ$11,0)</f>
        <v/>
      </c>
      <c r="LR30" s="218">
        <f>IF(326&gt;=DeliverStart,ExpContractPerUnit*TotalUnits/12*LR$8*LR$11,0)</f>
        <v/>
      </c>
      <c r="LS30" s="218">
        <f>IF(327&gt;=DeliverStart,ExpContractPerUnit*TotalUnits/12*LS$8*LS$11,0)</f>
        <v/>
      </c>
      <c r="LT30" s="218">
        <f>IF(328&gt;=DeliverStart,ExpContractPerUnit*TotalUnits/12*LT$8*LT$11,0)</f>
        <v/>
      </c>
      <c r="LU30" s="218">
        <f>IF(329&gt;=DeliverStart,ExpContractPerUnit*TotalUnits/12*LU$8*LU$11,0)</f>
        <v/>
      </c>
      <c r="LV30" s="218">
        <f>IF(330&gt;=DeliverStart,ExpContractPerUnit*TotalUnits/12*LV$8*LV$11,0)</f>
        <v/>
      </c>
      <c r="LW30" s="218">
        <f>IF(331&gt;=DeliverStart,ExpContractPerUnit*TotalUnits/12*LW$8*LW$11,0)</f>
        <v/>
      </c>
      <c r="LX30" s="218">
        <f>IF(332&gt;=DeliverStart,ExpContractPerUnit*TotalUnits/12*LX$8*LX$11,0)</f>
        <v/>
      </c>
      <c r="LY30" s="218">
        <f>IF(333&gt;=DeliverStart,ExpContractPerUnit*TotalUnits/12*LY$8*LY$11,0)</f>
        <v/>
      </c>
      <c r="LZ30" s="218">
        <f>IF(334&gt;=DeliverStart,ExpContractPerUnit*TotalUnits/12*LZ$8*LZ$11,0)</f>
        <v/>
      </c>
      <c r="MA30" s="218">
        <f>IF(335&gt;=DeliverStart,ExpContractPerUnit*TotalUnits/12*MA$8*MA$11,0)</f>
        <v/>
      </c>
      <c r="MB30" s="218">
        <f>IF(336&gt;=DeliverStart,ExpContractPerUnit*TotalUnits/12*MB$8*MB$11,0)</f>
        <v/>
      </c>
      <c r="MC30" s="218">
        <f>IF(337&gt;=DeliverStart,ExpContractPerUnit*TotalUnits/12*MC$8*MC$11,0)</f>
        <v/>
      </c>
      <c r="MD30" s="218">
        <f>IF(338&gt;=DeliverStart,ExpContractPerUnit*TotalUnits/12*MD$8*MD$11,0)</f>
        <v/>
      </c>
      <c r="ME30" s="218">
        <f>IF(339&gt;=DeliverStart,ExpContractPerUnit*TotalUnits/12*ME$8*ME$11,0)</f>
        <v/>
      </c>
      <c r="MF30" s="218">
        <f>IF(340&gt;=DeliverStart,ExpContractPerUnit*TotalUnits/12*MF$8*MF$11,0)</f>
        <v/>
      </c>
      <c r="MG30" s="218">
        <f>IF(341&gt;=DeliverStart,ExpContractPerUnit*TotalUnits/12*MG$8*MG$11,0)</f>
        <v/>
      </c>
      <c r="MH30" s="218">
        <f>IF(342&gt;=DeliverStart,ExpContractPerUnit*TotalUnits/12*MH$8*MH$11,0)</f>
        <v/>
      </c>
      <c r="MI30" s="218">
        <f>IF(343&gt;=DeliverStart,ExpContractPerUnit*TotalUnits/12*MI$8*MI$11,0)</f>
        <v/>
      </c>
      <c r="MJ30" s="218">
        <f>IF(344&gt;=DeliverStart,ExpContractPerUnit*TotalUnits/12*MJ$8*MJ$11,0)</f>
        <v/>
      </c>
      <c r="MK30" s="218">
        <f>IF(345&gt;=DeliverStart,ExpContractPerUnit*TotalUnits/12*MK$8*MK$11,0)</f>
        <v/>
      </c>
      <c r="ML30" s="218">
        <f>IF(346&gt;=DeliverStart,ExpContractPerUnit*TotalUnits/12*ML$8*ML$11,0)</f>
        <v/>
      </c>
      <c r="MM30" s="218">
        <f>IF(347&gt;=DeliverStart,ExpContractPerUnit*TotalUnits/12*MM$8*MM$11,0)</f>
        <v/>
      </c>
      <c r="MN30" s="218">
        <f>IF(348&gt;=DeliverStart,ExpContractPerUnit*TotalUnits/12*MN$8*MN$11,0)</f>
        <v/>
      </c>
      <c r="MO30" s="218">
        <f>IF(349&gt;=DeliverStart,ExpContractPerUnit*TotalUnits/12*MO$8*MO$11,0)</f>
        <v/>
      </c>
      <c r="MP30" s="218">
        <f>IF(350&gt;=DeliverStart,ExpContractPerUnit*TotalUnits/12*MP$8*MP$11,0)</f>
        <v/>
      </c>
      <c r="MQ30" s="218">
        <f>IF(351&gt;=DeliverStart,ExpContractPerUnit*TotalUnits/12*MQ$8*MQ$11,0)</f>
        <v/>
      </c>
      <c r="MR30" s="218">
        <f>IF(352&gt;=DeliverStart,ExpContractPerUnit*TotalUnits/12*MR$8*MR$11,0)</f>
        <v/>
      </c>
      <c r="MS30" s="218">
        <f>IF(353&gt;=DeliverStart,ExpContractPerUnit*TotalUnits/12*MS$8*MS$11,0)</f>
        <v/>
      </c>
      <c r="MT30" s="218">
        <f>IF(354&gt;=DeliverStart,ExpContractPerUnit*TotalUnits/12*MT$8*MT$11,0)</f>
        <v/>
      </c>
      <c r="MU30" s="218">
        <f>IF(355&gt;=DeliverStart,ExpContractPerUnit*TotalUnits/12*MU$8*MU$11,0)</f>
        <v/>
      </c>
      <c r="MV30" s="218">
        <f>IF(356&gt;=DeliverStart,ExpContractPerUnit*TotalUnits/12*MV$8*MV$11,0)</f>
        <v/>
      </c>
      <c r="MW30" s="218">
        <f>IF(357&gt;=DeliverStart,ExpContractPerUnit*TotalUnits/12*MW$8*MW$11,0)</f>
        <v/>
      </c>
      <c r="MX30" s="218">
        <f>IF(358&gt;=DeliverStart,ExpContractPerUnit*TotalUnits/12*MX$8*MX$11,0)</f>
        <v/>
      </c>
      <c r="MY30" s="218">
        <f>IF(359&gt;=DeliverStart,ExpContractPerUnit*TotalUnits/12*MY$8*MY$11,0)</f>
        <v/>
      </c>
      <c r="MZ30" s="218">
        <f>IF(360&gt;=DeliverStart,ExpContractPerUnit*TotalUnits/12*MZ$8*MZ$11,0)</f>
        <v/>
      </c>
      <c r="NA30" s="218">
        <f>IF(361&gt;=DeliverStart,ExpContractPerUnit*TotalUnits/12*NA$8*NA$11,0)</f>
        <v/>
      </c>
      <c r="NB30" s="218">
        <f>IF(362&gt;=DeliverStart,ExpContractPerUnit*TotalUnits/12*NB$8*NB$11,0)</f>
        <v/>
      </c>
      <c r="NC30" s="218">
        <f>IF(363&gt;=DeliverStart,ExpContractPerUnit*TotalUnits/12*NC$8*NC$11,0)</f>
        <v/>
      </c>
      <c r="ND30" s="218">
        <f>IF(364&gt;=DeliverStart,ExpContractPerUnit*TotalUnits/12*ND$8*ND$11,0)</f>
        <v/>
      </c>
      <c r="NE30" s="218">
        <f>IF(365&gt;=DeliverStart,ExpContractPerUnit*TotalUnits/12*NE$8*NE$11,0)</f>
        <v/>
      </c>
      <c r="NF30" s="218">
        <f>IF(366&gt;=DeliverStart,ExpContractPerUnit*TotalUnits/12*NF$8*NF$11,0)</f>
        <v/>
      </c>
      <c r="NG30" s="218">
        <f>IF(367&gt;=DeliverStart,ExpContractPerUnit*TotalUnits/12*NG$8*NG$11,0)</f>
        <v/>
      </c>
      <c r="NH30" s="218">
        <f>IF(368&gt;=DeliverStart,ExpContractPerUnit*TotalUnits/12*NH$8*NH$11,0)</f>
        <v/>
      </c>
      <c r="NI30" s="218">
        <f>IF(369&gt;=DeliverStart,ExpContractPerUnit*TotalUnits/12*NI$8*NI$11,0)</f>
        <v/>
      </c>
      <c r="NJ30" s="218">
        <f>IF(370&gt;=DeliverStart,ExpContractPerUnit*TotalUnits/12*NJ$8*NJ$11,0)</f>
        <v/>
      </c>
      <c r="NK30" s="218">
        <f>IF(371&gt;=DeliverStart,ExpContractPerUnit*TotalUnits/12*NK$8*NK$11,0)</f>
        <v/>
      </c>
      <c r="NL30" s="225">
        <f>IF(372&gt;=DeliverStart,ExpContractPerUnit*TotalUnits/12*NL$8*NL$11,0)</f>
        <v/>
      </c>
    </row>
    <row r="31">
      <c r="B31" s="36" t="inlineStr">
        <is>
          <t>Payroll (elevated)</t>
        </is>
      </c>
      <c r="D31" s="266">
        <f>SUM(E31:NL31)</f>
        <v/>
      </c>
      <c r="E31" s="218">
        <f>IF(1&gt;=DeliverStart,ExpPayrollPerUnit*TotalUnits/12*E$8*E$12,0)</f>
        <v/>
      </c>
      <c r="F31" s="218">
        <f>IF(2&gt;=DeliverStart,ExpPayrollPerUnit*TotalUnits/12*F$8*F$12,0)</f>
        <v/>
      </c>
      <c r="G31" s="218">
        <f>IF(3&gt;=DeliverStart,ExpPayrollPerUnit*TotalUnits/12*G$8*G$12,0)</f>
        <v/>
      </c>
      <c r="H31" s="218">
        <f>IF(4&gt;=DeliverStart,ExpPayrollPerUnit*TotalUnits/12*H$8*H$12,0)</f>
        <v/>
      </c>
      <c r="I31" s="218">
        <f>IF(5&gt;=DeliverStart,ExpPayrollPerUnit*TotalUnits/12*I$8*I$12,0)</f>
        <v/>
      </c>
      <c r="J31" s="218">
        <f>IF(6&gt;=DeliverStart,ExpPayrollPerUnit*TotalUnits/12*J$8*J$12,0)</f>
        <v/>
      </c>
      <c r="K31" s="218">
        <f>IF(7&gt;=DeliverStart,ExpPayrollPerUnit*TotalUnits/12*K$8*K$12,0)</f>
        <v/>
      </c>
      <c r="L31" s="218">
        <f>IF(8&gt;=DeliverStart,ExpPayrollPerUnit*TotalUnits/12*L$8*L$12,0)</f>
        <v/>
      </c>
      <c r="M31" s="218">
        <f>IF(9&gt;=DeliverStart,ExpPayrollPerUnit*TotalUnits/12*M$8*M$12,0)</f>
        <v/>
      </c>
      <c r="N31" s="218">
        <f>IF(10&gt;=DeliverStart,ExpPayrollPerUnit*TotalUnits/12*N$8*N$12,0)</f>
        <v/>
      </c>
      <c r="O31" s="218">
        <f>IF(11&gt;=DeliverStart,ExpPayrollPerUnit*TotalUnits/12*O$8*O$12,0)</f>
        <v/>
      </c>
      <c r="P31" s="218">
        <f>IF(12&gt;=DeliverStart,ExpPayrollPerUnit*TotalUnits/12*P$8*P$12,0)</f>
        <v/>
      </c>
      <c r="Q31" s="218">
        <f>IF(13&gt;=DeliverStart,ExpPayrollPerUnit*TotalUnits/12*Q$8*Q$12,0)</f>
        <v/>
      </c>
      <c r="R31" s="218">
        <f>IF(14&gt;=DeliverStart,ExpPayrollPerUnit*TotalUnits/12*R$8*R$12,0)</f>
        <v/>
      </c>
      <c r="S31" s="218">
        <f>IF(15&gt;=DeliverStart,ExpPayrollPerUnit*TotalUnits/12*S$8*S$12,0)</f>
        <v/>
      </c>
      <c r="T31" s="218">
        <f>IF(16&gt;=DeliverStart,ExpPayrollPerUnit*TotalUnits/12*T$8*T$12,0)</f>
        <v/>
      </c>
      <c r="U31" s="218">
        <f>IF(17&gt;=DeliverStart,ExpPayrollPerUnit*TotalUnits/12*U$8*U$12,0)</f>
        <v/>
      </c>
      <c r="V31" s="218">
        <f>IF(18&gt;=DeliverStart,ExpPayrollPerUnit*TotalUnits/12*V$8*V$12,0)</f>
        <v/>
      </c>
      <c r="W31" s="218">
        <f>IF(19&gt;=DeliverStart,ExpPayrollPerUnit*TotalUnits/12*W$8*W$12,0)</f>
        <v/>
      </c>
      <c r="X31" s="218">
        <f>IF(20&gt;=DeliverStart,ExpPayrollPerUnit*TotalUnits/12*X$8*X$12,0)</f>
        <v/>
      </c>
      <c r="Y31" s="218">
        <f>IF(21&gt;=DeliverStart,ExpPayrollPerUnit*TotalUnits/12*Y$8*Y$12,0)</f>
        <v/>
      </c>
      <c r="Z31" s="218">
        <f>IF(22&gt;=DeliverStart,ExpPayrollPerUnit*TotalUnits/12*Z$8*Z$12,0)</f>
        <v/>
      </c>
      <c r="AA31" s="218">
        <f>IF(23&gt;=DeliverStart,ExpPayrollPerUnit*TotalUnits/12*AA$8*AA$12,0)</f>
        <v/>
      </c>
      <c r="AB31" s="218">
        <f>IF(24&gt;=DeliverStart,ExpPayrollPerUnit*TotalUnits/12*AB$8*AB$12,0)</f>
        <v/>
      </c>
      <c r="AC31" s="218">
        <f>IF(25&gt;=DeliverStart,ExpPayrollPerUnit*TotalUnits/12*AC$8*AC$12,0)</f>
        <v/>
      </c>
      <c r="AD31" s="218">
        <f>IF(26&gt;=DeliverStart,ExpPayrollPerUnit*TotalUnits/12*AD$8*AD$12,0)</f>
        <v/>
      </c>
      <c r="AE31" s="218">
        <f>IF(27&gt;=DeliverStart,ExpPayrollPerUnit*TotalUnits/12*AE$8*AE$12,0)</f>
        <v/>
      </c>
      <c r="AF31" s="218">
        <f>IF(28&gt;=DeliverStart,ExpPayrollPerUnit*TotalUnits/12*AF$8*AF$12,0)</f>
        <v/>
      </c>
      <c r="AG31" s="218">
        <f>IF(29&gt;=DeliverStart,ExpPayrollPerUnit*TotalUnits/12*AG$8*AG$12,0)</f>
        <v/>
      </c>
      <c r="AH31" s="218">
        <f>IF(30&gt;=DeliverStart,ExpPayrollPerUnit*TotalUnits/12*AH$8*AH$12,0)</f>
        <v/>
      </c>
      <c r="AI31" s="218">
        <f>IF(31&gt;=DeliverStart,ExpPayrollPerUnit*TotalUnits/12*AI$8*AI$12,0)</f>
        <v/>
      </c>
      <c r="AJ31" s="218">
        <f>IF(32&gt;=DeliverStart,ExpPayrollPerUnit*TotalUnits/12*AJ$8*AJ$12,0)</f>
        <v/>
      </c>
      <c r="AK31" s="218">
        <f>IF(33&gt;=DeliverStart,ExpPayrollPerUnit*TotalUnits/12*AK$8*AK$12,0)</f>
        <v/>
      </c>
      <c r="AL31" s="218">
        <f>IF(34&gt;=DeliverStart,ExpPayrollPerUnit*TotalUnits/12*AL$8*AL$12,0)</f>
        <v/>
      </c>
      <c r="AM31" s="218">
        <f>IF(35&gt;=DeliverStart,ExpPayrollPerUnit*TotalUnits/12*AM$8*AM$12,0)</f>
        <v/>
      </c>
      <c r="AN31" s="218">
        <f>IF(36&gt;=DeliverStart,ExpPayrollPerUnit*TotalUnits/12*AN$8*AN$12,0)</f>
        <v/>
      </c>
      <c r="AO31" s="218">
        <f>IF(37&gt;=DeliverStart,ExpPayrollPerUnit*TotalUnits/12*AO$8*AO$12,0)</f>
        <v/>
      </c>
      <c r="AP31" s="218">
        <f>IF(38&gt;=DeliverStart,ExpPayrollPerUnit*TotalUnits/12*AP$8*AP$12,0)</f>
        <v/>
      </c>
      <c r="AQ31" s="218">
        <f>IF(39&gt;=DeliverStart,ExpPayrollPerUnit*TotalUnits/12*AQ$8*AQ$12,0)</f>
        <v/>
      </c>
      <c r="AR31" s="218">
        <f>IF(40&gt;=DeliverStart,ExpPayrollPerUnit*TotalUnits/12*AR$8*AR$12,0)</f>
        <v/>
      </c>
      <c r="AS31" s="218">
        <f>IF(41&gt;=DeliverStart,ExpPayrollPerUnit*TotalUnits/12*AS$8*AS$12,0)</f>
        <v/>
      </c>
      <c r="AT31" s="218">
        <f>IF(42&gt;=DeliverStart,ExpPayrollPerUnit*TotalUnits/12*AT$8*AT$12,0)</f>
        <v/>
      </c>
      <c r="AU31" s="218">
        <f>IF(43&gt;=DeliverStart,ExpPayrollPerUnit*TotalUnits/12*AU$8*AU$12,0)</f>
        <v/>
      </c>
      <c r="AV31" s="218">
        <f>IF(44&gt;=DeliverStart,ExpPayrollPerUnit*TotalUnits/12*AV$8*AV$12,0)</f>
        <v/>
      </c>
      <c r="AW31" s="218">
        <f>IF(45&gt;=DeliverStart,ExpPayrollPerUnit*TotalUnits/12*AW$8*AW$12,0)</f>
        <v/>
      </c>
      <c r="AX31" s="218">
        <f>IF(46&gt;=DeliverStart,ExpPayrollPerUnit*TotalUnits/12*AX$8*AX$12,0)</f>
        <v/>
      </c>
      <c r="AY31" s="218">
        <f>IF(47&gt;=DeliverStart,ExpPayrollPerUnit*TotalUnits/12*AY$8*AY$12,0)</f>
        <v/>
      </c>
      <c r="AZ31" s="218">
        <f>IF(48&gt;=DeliverStart,ExpPayrollPerUnit*TotalUnits/12*AZ$8*AZ$12,0)</f>
        <v/>
      </c>
      <c r="BA31" s="218">
        <f>IF(49&gt;=DeliverStart,ExpPayrollPerUnit*TotalUnits/12*BA$8*BA$12,0)</f>
        <v/>
      </c>
      <c r="BB31" s="218">
        <f>IF(50&gt;=DeliverStart,ExpPayrollPerUnit*TotalUnits/12*BB$8*BB$12,0)</f>
        <v/>
      </c>
      <c r="BC31" s="218">
        <f>IF(51&gt;=DeliverStart,ExpPayrollPerUnit*TotalUnits/12*BC$8*BC$12,0)</f>
        <v/>
      </c>
      <c r="BD31" s="218">
        <f>IF(52&gt;=DeliverStart,ExpPayrollPerUnit*TotalUnits/12*BD$8*BD$12,0)</f>
        <v/>
      </c>
      <c r="BE31" s="218">
        <f>IF(53&gt;=DeliverStart,ExpPayrollPerUnit*TotalUnits/12*BE$8*BE$12,0)</f>
        <v/>
      </c>
      <c r="BF31" s="218">
        <f>IF(54&gt;=DeliverStart,ExpPayrollPerUnit*TotalUnits/12*BF$8*BF$12,0)</f>
        <v/>
      </c>
      <c r="BG31" s="218">
        <f>IF(55&gt;=DeliverStart,ExpPayrollPerUnit*TotalUnits/12*BG$8*BG$12,0)</f>
        <v/>
      </c>
      <c r="BH31" s="218">
        <f>IF(56&gt;=DeliverStart,ExpPayrollPerUnit*TotalUnits/12*BH$8*BH$12,0)</f>
        <v/>
      </c>
      <c r="BI31" s="218">
        <f>IF(57&gt;=DeliverStart,ExpPayrollPerUnit*TotalUnits/12*BI$8*BI$12,0)</f>
        <v/>
      </c>
      <c r="BJ31" s="218">
        <f>IF(58&gt;=DeliverStart,ExpPayrollPerUnit*TotalUnits/12*BJ$8*BJ$12,0)</f>
        <v/>
      </c>
      <c r="BK31" s="218">
        <f>IF(59&gt;=DeliverStart,ExpPayrollPerUnit*TotalUnits/12*BK$8*BK$12,0)</f>
        <v/>
      </c>
      <c r="BL31" s="218">
        <f>IF(60&gt;=DeliverStart,ExpPayrollPerUnit*TotalUnits/12*BL$8*BL$12,0)</f>
        <v/>
      </c>
      <c r="BM31" s="218">
        <f>IF(61&gt;=DeliverStart,ExpPayrollPerUnit*TotalUnits/12*BM$8*BM$12,0)</f>
        <v/>
      </c>
      <c r="BN31" s="218">
        <f>IF(62&gt;=DeliverStart,ExpPayrollPerUnit*TotalUnits/12*BN$8*BN$12,0)</f>
        <v/>
      </c>
      <c r="BO31" s="218">
        <f>IF(63&gt;=DeliverStart,ExpPayrollPerUnit*TotalUnits/12*BO$8*BO$12,0)</f>
        <v/>
      </c>
      <c r="BP31" s="218">
        <f>IF(64&gt;=DeliverStart,ExpPayrollPerUnit*TotalUnits/12*BP$8*BP$12,0)</f>
        <v/>
      </c>
      <c r="BQ31" s="218">
        <f>IF(65&gt;=DeliverStart,ExpPayrollPerUnit*TotalUnits/12*BQ$8*BQ$12,0)</f>
        <v/>
      </c>
      <c r="BR31" s="218">
        <f>IF(66&gt;=DeliverStart,ExpPayrollPerUnit*TotalUnits/12*BR$8*BR$12,0)</f>
        <v/>
      </c>
      <c r="BS31" s="218">
        <f>IF(67&gt;=DeliverStart,ExpPayrollPerUnit*TotalUnits/12*BS$8*BS$12,0)</f>
        <v/>
      </c>
      <c r="BT31" s="218">
        <f>IF(68&gt;=DeliverStart,ExpPayrollPerUnit*TotalUnits/12*BT$8*BT$12,0)</f>
        <v/>
      </c>
      <c r="BU31" s="218">
        <f>IF(69&gt;=DeliverStart,ExpPayrollPerUnit*TotalUnits/12*BU$8*BU$12,0)</f>
        <v/>
      </c>
      <c r="BV31" s="218">
        <f>IF(70&gt;=DeliverStart,ExpPayrollPerUnit*TotalUnits/12*BV$8*BV$12,0)</f>
        <v/>
      </c>
      <c r="BW31" s="218">
        <f>IF(71&gt;=DeliverStart,ExpPayrollPerUnit*TotalUnits/12*BW$8*BW$12,0)</f>
        <v/>
      </c>
      <c r="BX31" s="218">
        <f>IF(72&gt;=DeliverStart,ExpPayrollPerUnit*TotalUnits/12*BX$8*BX$12,0)</f>
        <v/>
      </c>
      <c r="BY31" s="218">
        <f>IF(73&gt;=DeliverStart,ExpPayrollPerUnit*TotalUnits/12*BY$8*BY$12,0)</f>
        <v/>
      </c>
      <c r="BZ31" s="218">
        <f>IF(74&gt;=DeliverStart,ExpPayrollPerUnit*TotalUnits/12*BZ$8*BZ$12,0)</f>
        <v/>
      </c>
      <c r="CA31" s="218">
        <f>IF(75&gt;=DeliverStart,ExpPayrollPerUnit*TotalUnits/12*CA$8*CA$12,0)</f>
        <v/>
      </c>
      <c r="CB31" s="218">
        <f>IF(76&gt;=DeliverStart,ExpPayrollPerUnit*TotalUnits/12*CB$8*CB$12,0)</f>
        <v/>
      </c>
      <c r="CC31" s="218">
        <f>IF(77&gt;=DeliverStart,ExpPayrollPerUnit*TotalUnits/12*CC$8*CC$12,0)</f>
        <v/>
      </c>
      <c r="CD31" s="218">
        <f>IF(78&gt;=DeliverStart,ExpPayrollPerUnit*TotalUnits/12*CD$8*CD$12,0)</f>
        <v/>
      </c>
      <c r="CE31" s="218">
        <f>IF(79&gt;=DeliverStart,ExpPayrollPerUnit*TotalUnits/12*CE$8*CE$12,0)</f>
        <v/>
      </c>
      <c r="CF31" s="218">
        <f>IF(80&gt;=DeliverStart,ExpPayrollPerUnit*TotalUnits/12*CF$8*CF$12,0)</f>
        <v/>
      </c>
      <c r="CG31" s="218">
        <f>IF(81&gt;=DeliverStart,ExpPayrollPerUnit*TotalUnits/12*CG$8*CG$12,0)</f>
        <v/>
      </c>
      <c r="CH31" s="218">
        <f>IF(82&gt;=DeliverStart,ExpPayrollPerUnit*TotalUnits/12*CH$8*CH$12,0)</f>
        <v/>
      </c>
      <c r="CI31" s="218">
        <f>IF(83&gt;=DeliverStart,ExpPayrollPerUnit*TotalUnits/12*CI$8*CI$12,0)</f>
        <v/>
      </c>
      <c r="CJ31" s="218">
        <f>IF(84&gt;=DeliverStart,ExpPayrollPerUnit*TotalUnits/12*CJ$8*CJ$12,0)</f>
        <v/>
      </c>
      <c r="CK31" s="218">
        <f>IF(85&gt;=DeliverStart,ExpPayrollPerUnit*TotalUnits/12*CK$8*CK$12,0)</f>
        <v/>
      </c>
      <c r="CL31" s="218">
        <f>IF(86&gt;=DeliverStart,ExpPayrollPerUnit*TotalUnits/12*CL$8*CL$12,0)</f>
        <v/>
      </c>
      <c r="CM31" s="218">
        <f>IF(87&gt;=DeliverStart,ExpPayrollPerUnit*TotalUnits/12*CM$8*CM$12,0)</f>
        <v/>
      </c>
      <c r="CN31" s="218">
        <f>IF(88&gt;=DeliverStart,ExpPayrollPerUnit*TotalUnits/12*CN$8*CN$12,0)</f>
        <v/>
      </c>
      <c r="CO31" s="218">
        <f>IF(89&gt;=DeliverStart,ExpPayrollPerUnit*TotalUnits/12*CO$8*CO$12,0)</f>
        <v/>
      </c>
      <c r="CP31" s="218">
        <f>IF(90&gt;=DeliverStart,ExpPayrollPerUnit*TotalUnits/12*CP$8*CP$12,0)</f>
        <v/>
      </c>
      <c r="CQ31" s="218">
        <f>IF(91&gt;=DeliverStart,ExpPayrollPerUnit*TotalUnits/12*CQ$8*CQ$12,0)</f>
        <v/>
      </c>
      <c r="CR31" s="218">
        <f>IF(92&gt;=DeliverStart,ExpPayrollPerUnit*TotalUnits/12*CR$8*CR$12,0)</f>
        <v/>
      </c>
      <c r="CS31" s="218">
        <f>IF(93&gt;=DeliverStart,ExpPayrollPerUnit*TotalUnits/12*CS$8*CS$12,0)</f>
        <v/>
      </c>
      <c r="CT31" s="218">
        <f>IF(94&gt;=DeliverStart,ExpPayrollPerUnit*TotalUnits/12*CT$8*CT$12,0)</f>
        <v/>
      </c>
      <c r="CU31" s="218">
        <f>IF(95&gt;=DeliverStart,ExpPayrollPerUnit*TotalUnits/12*CU$8*CU$12,0)</f>
        <v/>
      </c>
      <c r="CV31" s="218">
        <f>IF(96&gt;=DeliverStart,ExpPayrollPerUnit*TotalUnits/12*CV$8*CV$12,0)</f>
        <v/>
      </c>
      <c r="CW31" s="218">
        <f>IF(97&gt;=DeliverStart,ExpPayrollPerUnit*TotalUnits/12*CW$8*CW$12,0)</f>
        <v/>
      </c>
      <c r="CX31" s="218">
        <f>IF(98&gt;=DeliverStart,ExpPayrollPerUnit*TotalUnits/12*CX$8*CX$12,0)</f>
        <v/>
      </c>
      <c r="CY31" s="218">
        <f>IF(99&gt;=DeliverStart,ExpPayrollPerUnit*TotalUnits/12*CY$8*CY$12,0)</f>
        <v/>
      </c>
      <c r="CZ31" s="218">
        <f>IF(100&gt;=DeliverStart,ExpPayrollPerUnit*TotalUnits/12*CZ$8*CZ$12,0)</f>
        <v/>
      </c>
      <c r="DA31" s="218">
        <f>IF(101&gt;=DeliverStart,ExpPayrollPerUnit*TotalUnits/12*DA$8*DA$12,0)</f>
        <v/>
      </c>
      <c r="DB31" s="218">
        <f>IF(102&gt;=DeliverStart,ExpPayrollPerUnit*TotalUnits/12*DB$8*DB$12,0)</f>
        <v/>
      </c>
      <c r="DC31" s="218">
        <f>IF(103&gt;=DeliverStart,ExpPayrollPerUnit*TotalUnits/12*DC$8*DC$12,0)</f>
        <v/>
      </c>
      <c r="DD31" s="218">
        <f>IF(104&gt;=DeliverStart,ExpPayrollPerUnit*TotalUnits/12*DD$8*DD$12,0)</f>
        <v/>
      </c>
      <c r="DE31" s="218">
        <f>IF(105&gt;=DeliverStart,ExpPayrollPerUnit*TotalUnits/12*DE$8*DE$12,0)</f>
        <v/>
      </c>
      <c r="DF31" s="218">
        <f>IF(106&gt;=DeliverStart,ExpPayrollPerUnit*TotalUnits/12*DF$8*DF$12,0)</f>
        <v/>
      </c>
      <c r="DG31" s="218">
        <f>IF(107&gt;=DeliverStart,ExpPayrollPerUnit*TotalUnits/12*DG$8*DG$12,0)</f>
        <v/>
      </c>
      <c r="DH31" s="218">
        <f>IF(108&gt;=DeliverStart,ExpPayrollPerUnit*TotalUnits/12*DH$8*DH$12,0)</f>
        <v/>
      </c>
      <c r="DI31" s="218">
        <f>IF(109&gt;=DeliverStart,ExpPayrollPerUnit*TotalUnits/12*DI$8*DI$12,0)</f>
        <v/>
      </c>
      <c r="DJ31" s="218">
        <f>IF(110&gt;=DeliverStart,ExpPayrollPerUnit*TotalUnits/12*DJ$8*DJ$12,0)</f>
        <v/>
      </c>
      <c r="DK31" s="218">
        <f>IF(111&gt;=DeliverStart,ExpPayrollPerUnit*TotalUnits/12*DK$8*DK$12,0)</f>
        <v/>
      </c>
      <c r="DL31" s="218">
        <f>IF(112&gt;=DeliverStart,ExpPayrollPerUnit*TotalUnits/12*DL$8*DL$12,0)</f>
        <v/>
      </c>
      <c r="DM31" s="218">
        <f>IF(113&gt;=DeliverStart,ExpPayrollPerUnit*TotalUnits/12*DM$8*DM$12,0)</f>
        <v/>
      </c>
      <c r="DN31" s="218">
        <f>IF(114&gt;=DeliverStart,ExpPayrollPerUnit*TotalUnits/12*DN$8*DN$12,0)</f>
        <v/>
      </c>
      <c r="DO31" s="218">
        <f>IF(115&gt;=DeliverStart,ExpPayrollPerUnit*TotalUnits/12*DO$8*DO$12,0)</f>
        <v/>
      </c>
      <c r="DP31" s="218">
        <f>IF(116&gt;=DeliverStart,ExpPayrollPerUnit*TotalUnits/12*DP$8*DP$12,0)</f>
        <v/>
      </c>
      <c r="DQ31" s="218">
        <f>IF(117&gt;=DeliverStart,ExpPayrollPerUnit*TotalUnits/12*DQ$8*DQ$12,0)</f>
        <v/>
      </c>
      <c r="DR31" s="218">
        <f>IF(118&gt;=DeliverStart,ExpPayrollPerUnit*TotalUnits/12*DR$8*DR$12,0)</f>
        <v/>
      </c>
      <c r="DS31" s="218">
        <f>IF(119&gt;=DeliverStart,ExpPayrollPerUnit*TotalUnits/12*DS$8*DS$12,0)</f>
        <v/>
      </c>
      <c r="DT31" s="218">
        <f>IF(120&gt;=DeliverStart,ExpPayrollPerUnit*TotalUnits/12*DT$8*DT$12,0)</f>
        <v/>
      </c>
      <c r="DU31" s="218">
        <f>IF(121&gt;=DeliverStart,ExpPayrollPerUnit*TotalUnits/12*DU$8*DU$12,0)</f>
        <v/>
      </c>
      <c r="DV31" s="218">
        <f>IF(122&gt;=DeliverStart,ExpPayrollPerUnit*TotalUnits/12*DV$8*DV$12,0)</f>
        <v/>
      </c>
      <c r="DW31" s="218">
        <f>IF(123&gt;=DeliverStart,ExpPayrollPerUnit*TotalUnits/12*DW$8*DW$12,0)</f>
        <v/>
      </c>
      <c r="DX31" s="218">
        <f>IF(124&gt;=DeliverStart,ExpPayrollPerUnit*TotalUnits/12*DX$8*DX$12,0)</f>
        <v/>
      </c>
      <c r="DY31" s="218">
        <f>IF(125&gt;=DeliverStart,ExpPayrollPerUnit*TotalUnits/12*DY$8*DY$12,0)</f>
        <v/>
      </c>
      <c r="DZ31" s="218">
        <f>IF(126&gt;=DeliverStart,ExpPayrollPerUnit*TotalUnits/12*DZ$8*DZ$12,0)</f>
        <v/>
      </c>
      <c r="EA31" s="218">
        <f>IF(127&gt;=DeliverStart,ExpPayrollPerUnit*TotalUnits/12*EA$8*EA$12,0)</f>
        <v/>
      </c>
      <c r="EB31" s="218">
        <f>IF(128&gt;=DeliverStart,ExpPayrollPerUnit*TotalUnits/12*EB$8*EB$12,0)</f>
        <v/>
      </c>
      <c r="EC31" s="218">
        <f>IF(129&gt;=DeliverStart,ExpPayrollPerUnit*TotalUnits/12*EC$8*EC$12,0)</f>
        <v/>
      </c>
      <c r="ED31" s="218">
        <f>IF(130&gt;=DeliverStart,ExpPayrollPerUnit*TotalUnits/12*ED$8*ED$12,0)</f>
        <v/>
      </c>
      <c r="EE31" s="218">
        <f>IF(131&gt;=DeliverStart,ExpPayrollPerUnit*TotalUnits/12*EE$8*EE$12,0)</f>
        <v/>
      </c>
      <c r="EF31" s="218">
        <f>IF(132&gt;=DeliverStart,ExpPayrollPerUnit*TotalUnits/12*EF$8*EF$12,0)</f>
        <v/>
      </c>
      <c r="EG31" s="218">
        <f>IF(133&gt;=DeliverStart,ExpPayrollPerUnit*TotalUnits/12*EG$8*EG$12,0)</f>
        <v/>
      </c>
      <c r="EH31" s="218">
        <f>IF(134&gt;=DeliverStart,ExpPayrollPerUnit*TotalUnits/12*EH$8*EH$12,0)</f>
        <v/>
      </c>
      <c r="EI31" s="218">
        <f>IF(135&gt;=DeliverStart,ExpPayrollPerUnit*TotalUnits/12*EI$8*EI$12,0)</f>
        <v/>
      </c>
      <c r="EJ31" s="218">
        <f>IF(136&gt;=DeliverStart,ExpPayrollPerUnit*TotalUnits/12*EJ$8*EJ$12,0)</f>
        <v/>
      </c>
      <c r="EK31" s="218">
        <f>IF(137&gt;=DeliverStart,ExpPayrollPerUnit*TotalUnits/12*EK$8*EK$12,0)</f>
        <v/>
      </c>
      <c r="EL31" s="218">
        <f>IF(138&gt;=DeliverStart,ExpPayrollPerUnit*TotalUnits/12*EL$8*EL$12,0)</f>
        <v/>
      </c>
      <c r="EM31" s="218">
        <f>IF(139&gt;=DeliverStart,ExpPayrollPerUnit*TotalUnits/12*EM$8*EM$12,0)</f>
        <v/>
      </c>
      <c r="EN31" s="218">
        <f>IF(140&gt;=DeliverStart,ExpPayrollPerUnit*TotalUnits/12*EN$8*EN$12,0)</f>
        <v/>
      </c>
      <c r="EO31" s="218">
        <f>IF(141&gt;=DeliverStart,ExpPayrollPerUnit*TotalUnits/12*EO$8*EO$12,0)</f>
        <v/>
      </c>
      <c r="EP31" s="218">
        <f>IF(142&gt;=DeliverStart,ExpPayrollPerUnit*TotalUnits/12*EP$8*EP$12,0)</f>
        <v/>
      </c>
      <c r="EQ31" s="218">
        <f>IF(143&gt;=DeliverStart,ExpPayrollPerUnit*TotalUnits/12*EQ$8*EQ$12,0)</f>
        <v/>
      </c>
      <c r="ER31" s="218">
        <f>IF(144&gt;=DeliverStart,ExpPayrollPerUnit*TotalUnits/12*ER$8*ER$12,0)</f>
        <v/>
      </c>
      <c r="ES31" s="218">
        <f>IF(145&gt;=DeliverStart,ExpPayrollPerUnit*TotalUnits/12*ES$8*ES$12,0)</f>
        <v/>
      </c>
      <c r="ET31" s="218">
        <f>IF(146&gt;=DeliverStart,ExpPayrollPerUnit*TotalUnits/12*ET$8*ET$12,0)</f>
        <v/>
      </c>
      <c r="EU31" s="218">
        <f>IF(147&gt;=DeliverStart,ExpPayrollPerUnit*TotalUnits/12*EU$8*EU$12,0)</f>
        <v/>
      </c>
      <c r="EV31" s="218">
        <f>IF(148&gt;=DeliverStart,ExpPayrollPerUnit*TotalUnits/12*EV$8*EV$12,0)</f>
        <v/>
      </c>
      <c r="EW31" s="218">
        <f>IF(149&gt;=DeliverStart,ExpPayrollPerUnit*TotalUnits/12*EW$8*EW$12,0)</f>
        <v/>
      </c>
      <c r="EX31" s="218">
        <f>IF(150&gt;=DeliverStart,ExpPayrollPerUnit*TotalUnits/12*EX$8*EX$12,0)</f>
        <v/>
      </c>
      <c r="EY31" s="218">
        <f>IF(151&gt;=DeliverStart,ExpPayrollPerUnit*TotalUnits/12*EY$8*EY$12,0)</f>
        <v/>
      </c>
      <c r="EZ31" s="218">
        <f>IF(152&gt;=DeliverStart,ExpPayrollPerUnit*TotalUnits/12*EZ$8*EZ$12,0)</f>
        <v/>
      </c>
      <c r="FA31" s="218">
        <f>IF(153&gt;=DeliverStart,ExpPayrollPerUnit*TotalUnits/12*FA$8*FA$12,0)</f>
        <v/>
      </c>
      <c r="FB31" s="218">
        <f>IF(154&gt;=DeliverStart,ExpPayrollPerUnit*TotalUnits/12*FB$8*FB$12,0)</f>
        <v/>
      </c>
      <c r="FC31" s="218">
        <f>IF(155&gt;=DeliverStart,ExpPayrollPerUnit*TotalUnits/12*FC$8*FC$12,0)</f>
        <v/>
      </c>
      <c r="FD31" s="218">
        <f>IF(156&gt;=DeliverStart,ExpPayrollPerUnit*TotalUnits/12*FD$8*FD$12,0)</f>
        <v/>
      </c>
      <c r="FE31" s="218">
        <f>IF(157&gt;=DeliverStart,ExpPayrollPerUnit*TotalUnits/12*FE$8*FE$12,0)</f>
        <v/>
      </c>
      <c r="FF31" s="218">
        <f>IF(158&gt;=DeliverStart,ExpPayrollPerUnit*TotalUnits/12*FF$8*FF$12,0)</f>
        <v/>
      </c>
      <c r="FG31" s="218">
        <f>IF(159&gt;=DeliverStart,ExpPayrollPerUnit*TotalUnits/12*FG$8*FG$12,0)</f>
        <v/>
      </c>
      <c r="FH31" s="218">
        <f>IF(160&gt;=DeliverStart,ExpPayrollPerUnit*TotalUnits/12*FH$8*FH$12,0)</f>
        <v/>
      </c>
      <c r="FI31" s="218">
        <f>IF(161&gt;=DeliverStart,ExpPayrollPerUnit*TotalUnits/12*FI$8*FI$12,0)</f>
        <v/>
      </c>
      <c r="FJ31" s="218">
        <f>IF(162&gt;=DeliverStart,ExpPayrollPerUnit*TotalUnits/12*FJ$8*FJ$12,0)</f>
        <v/>
      </c>
      <c r="FK31" s="218">
        <f>IF(163&gt;=DeliverStart,ExpPayrollPerUnit*TotalUnits/12*FK$8*FK$12,0)</f>
        <v/>
      </c>
      <c r="FL31" s="218">
        <f>IF(164&gt;=DeliverStart,ExpPayrollPerUnit*TotalUnits/12*FL$8*FL$12,0)</f>
        <v/>
      </c>
      <c r="FM31" s="218">
        <f>IF(165&gt;=DeliverStart,ExpPayrollPerUnit*TotalUnits/12*FM$8*FM$12,0)</f>
        <v/>
      </c>
      <c r="FN31" s="218">
        <f>IF(166&gt;=DeliverStart,ExpPayrollPerUnit*TotalUnits/12*FN$8*FN$12,0)</f>
        <v/>
      </c>
      <c r="FO31" s="218">
        <f>IF(167&gt;=DeliverStart,ExpPayrollPerUnit*TotalUnits/12*FO$8*FO$12,0)</f>
        <v/>
      </c>
      <c r="FP31" s="218">
        <f>IF(168&gt;=DeliverStart,ExpPayrollPerUnit*TotalUnits/12*FP$8*FP$12,0)</f>
        <v/>
      </c>
      <c r="FQ31" s="218">
        <f>IF(169&gt;=DeliverStart,ExpPayrollPerUnit*TotalUnits/12*FQ$8*FQ$12,0)</f>
        <v/>
      </c>
      <c r="FR31" s="218">
        <f>IF(170&gt;=DeliverStart,ExpPayrollPerUnit*TotalUnits/12*FR$8*FR$12,0)</f>
        <v/>
      </c>
      <c r="FS31" s="218">
        <f>IF(171&gt;=DeliverStart,ExpPayrollPerUnit*TotalUnits/12*FS$8*FS$12,0)</f>
        <v/>
      </c>
      <c r="FT31" s="218">
        <f>IF(172&gt;=DeliverStart,ExpPayrollPerUnit*TotalUnits/12*FT$8*FT$12,0)</f>
        <v/>
      </c>
      <c r="FU31" s="218">
        <f>IF(173&gt;=DeliverStart,ExpPayrollPerUnit*TotalUnits/12*FU$8*FU$12,0)</f>
        <v/>
      </c>
      <c r="FV31" s="218">
        <f>IF(174&gt;=DeliverStart,ExpPayrollPerUnit*TotalUnits/12*FV$8*FV$12,0)</f>
        <v/>
      </c>
      <c r="FW31" s="218">
        <f>IF(175&gt;=DeliverStart,ExpPayrollPerUnit*TotalUnits/12*FW$8*FW$12,0)</f>
        <v/>
      </c>
      <c r="FX31" s="218">
        <f>IF(176&gt;=DeliverStart,ExpPayrollPerUnit*TotalUnits/12*FX$8*FX$12,0)</f>
        <v/>
      </c>
      <c r="FY31" s="218">
        <f>IF(177&gt;=DeliverStart,ExpPayrollPerUnit*TotalUnits/12*FY$8*FY$12,0)</f>
        <v/>
      </c>
      <c r="FZ31" s="218">
        <f>IF(178&gt;=DeliverStart,ExpPayrollPerUnit*TotalUnits/12*FZ$8*FZ$12,0)</f>
        <v/>
      </c>
      <c r="GA31" s="218">
        <f>IF(179&gt;=DeliverStart,ExpPayrollPerUnit*TotalUnits/12*GA$8*GA$12,0)</f>
        <v/>
      </c>
      <c r="GB31" s="218">
        <f>IF(180&gt;=DeliverStart,ExpPayrollPerUnit*TotalUnits/12*GB$8*GB$12,0)</f>
        <v/>
      </c>
      <c r="GC31" s="218">
        <f>IF(181&gt;=DeliverStart,ExpPayrollPerUnit*TotalUnits/12*GC$8*GC$12,0)</f>
        <v/>
      </c>
      <c r="GD31" s="218">
        <f>IF(182&gt;=DeliverStart,ExpPayrollPerUnit*TotalUnits/12*GD$8*GD$12,0)</f>
        <v/>
      </c>
      <c r="GE31" s="218">
        <f>IF(183&gt;=DeliverStart,ExpPayrollPerUnit*TotalUnits/12*GE$8*GE$12,0)</f>
        <v/>
      </c>
      <c r="GF31" s="218">
        <f>IF(184&gt;=DeliverStart,ExpPayrollPerUnit*TotalUnits/12*GF$8*GF$12,0)</f>
        <v/>
      </c>
      <c r="GG31" s="218">
        <f>IF(185&gt;=DeliverStart,ExpPayrollPerUnit*TotalUnits/12*GG$8*GG$12,0)</f>
        <v/>
      </c>
      <c r="GH31" s="218">
        <f>IF(186&gt;=DeliverStart,ExpPayrollPerUnit*TotalUnits/12*GH$8*GH$12,0)</f>
        <v/>
      </c>
      <c r="GI31" s="218">
        <f>IF(187&gt;=DeliverStart,ExpPayrollPerUnit*TotalUnits/12*GI$8*GI$12,0)</f>
        <v/>
      </c>
      <c r="GJ31" s="218">
        <f>IF(188&gt;=DeliverStart,ExpPayrollPerUnit*TotalUnits/12*GJ$8*GJ$12,0)</f>
        <v/>
      </c>
      <c r="GK31" s="218">
        <f>IF(189&gt;=DeliverStart,ExpPayrollPerUnit*TotalUnits/12*GK$8*GK$12,0)</f>
        <v/>
      </c>
      <c r="GL31" s="218">
        <f>IF(190&gt;=DeliverStart,ExpPayrollPerUnit*TotalUnits/12*GL$8*GL$12,0)</f>
        <v/>
      </c>
      <c r="GM31" s="218">
        <f>IF(191&gt;=DeliverStart,ExpPayrollPerUnit*TotalUnits/12*GM$8*GM$12,0)</f>
        <v/>
      </c>
      <c r="GN31" s="218">
        <f>IF(192&gt;=DeliverStart,ExpPayrollPerUnit*TotalUnits/12*GN$8*GN$12,0)</f>
        <v/>
      </c>
      <c r="GO31" s="218">
        <f>IF(193&gt;=DeliverStart,ExpPayrollPerUnit*TotalUnits/12*GO$8*GO$12,0)</f>
        <v/>
      </c>
      <c r="GP31" s="218">
        <f>IF(194&gt;=DeliverStart,ExpPayrollPerUnit*TotalUnits/12*GP$8*GP$12,0)</f>
        <v/>
      </c>
      <c r="GQ31" s="218">
        <f>IF(195&gt;=DeliverStart,ExpPayrollPerUnit*TotalUnits/12*GQ$8*GQ$12,0)</f>
        <v/>
      </c>
      <c r="GR31" s="218">
        <f>IF(196&gt;=DeliverStart,ExpPayrollPerUnit*TotalUnits/12*GR$8*GR$12,0)</f>
        <v/>
      </c>
      <c r="GS31" s="218">
        <f>IF(197&gt;=DeliverStart,ExpPayrollPerUnit*TotalUnits/12*GS$8*GS$12,0)</f>
        <v/>
      </c>
      <c r="GT31" s="218">
        <f>IF(198&gt;=DeliverStart,ExpPayrollPerUnit*TotalUnits/12*GT$8*GT$12,0)</f>
        <v/>
      </c>
      <c r="GU31" s="218">
        <f>IF(199&gt;=DeliverStart,ExpPayrollPerUnit*TotalUnits/12*GU$8*GU$12,0)</f>
        <v/>
      </c>
      <c r="GV31" s="218">
        <f>IF(200&gt;=DeliverStart,ExpPayrollPerUnit*TotalUnits/12*GV$8*GV$12,0)</f>
        <v/>
      </c>
      <c r="GW31" s="218">
        <f>IF(201&gt;=DeliverStart,ExpPayrollPerUnit*TotalUnits/12*GW$8*GW$12,0)</f>
        <v/>
      </c>
      <c r="GX31" s="218">
        <f>IF(202&gt;=DeliverStart,ExpPayrollPerUnit*TotalUnits/12*GX$8*GX$12,0)</f>
        <v/>
      </c>
      <c r="GY31" s="218">
        <f>IF(203&gt;=DeliverStart,ExpPayrollPerUnit*TotalUnits/12*GY$8*GY$12,0)</f>
        <v/>
      </c>
      <c r="GZ31" s="218">
        <f>IF(204&gt;=DeliverStart,ExpPayrollPerUnit*TotalUnits/12*GZ$8*GZ$12,0)</f>
        <v/>
      </c>
      <c r="HA31" s="218">
        <f>IF(205&gt;=DeliverStart,ExpPayrollPerUnit*TotalUnits/12*HA$8*HA$12,0)</f>
        <v/>
      </c>
      <c r="HB31" s="218">
        <f>IF(206&gt;=DeliverStart,ExpPayrollPerUnit*TotalUnits/12*HB$8*HB$12,0)</f>
        <v/>
      </c>
      <c r="HC31" s="218">
        <f>IF(207&gt;=DeliverStart,ExpPayrollPerUnit*TotalUnits/12*HC$8*HC$12,0)</f>
        <v/>
      </c>
      <c r="HD31" s="218">
        <f>IF(208&gt;=DeliverStart,ExpPayrollPerUnit*TotalUnits/12*HD$8*HD$12,0)</f>
        <v/>
      </c>
      <c r="HE31" s="218">
        <f>IF(209&gt;=DeliverStart,ExpPayrollPerUnit*TotalUnits/12*HE$8*HE$12,0)</f>
        <v/>
      </c>
      <c r="HF31" s="218">
        <f>IF(210&gt;=DeliverStart,ExpPayrollPerUnit*TotalUnits/12*HF$8*HF$12,0)</f>
        <v/>
      </c>
      <c r="HG31" s="218">
        <f>IF(211&gt;=DeliverStart,ExpPayrollPerUnit*TotalUnits/12*HG$8*HG$12,0)</f>
        <v/>
      </c>
      <c r="HH31" s="218">
        <f>IF(212&gt;=DeliverStart,ExpPayrollPerUnit*TotalUnits/12*HH$8*HH$12,0)</f>
        <v/>
      </c>
      <c r="HI31" s="218">
        <f>IF(213&gt;=DeliverStart,ExpPayrollPerUnit*TotalUnits/12*HI$8*HI$12,0)</f>
        <v/>
      </c>
      <c r="HJ31" s="218">
        <f>IF(214&gt;=DeliverStart,ExpPayrollPerUnit*TotalUnits/12*HJ$8*HJ$12,0)</f>
        <v/>
      </c>
      <c r="HK31" s="218">
        <f>IF(215&gt;=DeliverStart,ExpPayrollPerUnit*TotalUnits/12*HK$8*HK$12,0)</f>
        <v/>
      </c>
      <c r="HL31" s="218">
        <f>IF(216&gt;=DeliverStart,ExpPayrollPerUnit*TotalUnits/12*HL$8*HL$12,0)</f>
        <v/>
      </c>
      <c r="HM31" s="218">
        <f>IF(217&gt;=DeliverStart,ExpPayrollPerUnit*TotalUnits/12*HM$8*HM$12,0)</f>
        <v/>
      </c>
      <c r="HN31" s="218">
        <f>IF(218&gt;=DeliverStart,ExpPayrollPerUnit*TotalUnits/12*HN$8*HN$12,0)</f>
        <v/>
      </c>
      <c r="HO31" s="218">
        <f>IF(219&gt;=DeliverStart,ExpPayrollPerUnit*TotalUnits/12*HO$8*HO$12,0)</f>
        <v/>
      </c>
      <c r="HP31" s="218">
        <f>IF(220&gt;=DeliverStart,ExpPayrollPerUnit*TotalUnits/12*HP$8*HP$12,0)</f>
        <v/>
      </c>
      <c r="HQ31" s="218">
        <f>IF(221&gt;=DeliverStart,ExpPayrollPerUnit*TotalUnits/12*HQ$8*HQ$12,0)</f>
        <v/>
      </c>
      <c r="HR31" s="218">
        <f>IF(222&gt;=DeliverStart,ExpPayrollPerUnit*TotalUnits/12*HR$8*HR$12,0)</f>
        <v/>
      </c>
      <c r="HS31" s="218">
        <f>IF(223&gt;=DeliverStart,ExpPayrollPerUnit*TotalUnits/12*HS$8*HS$12,0)</f>
        <v/>
      </c>
      <c r="HT31" s="218">
        <f>IF(224&gt;=DeliverStart,ExpPayrollPerUnit*TotalUnits/12*HT$8*HT$12,0)</f>
        <v/>
      </c>
      <c r="HU31" s="218">
        <f>IF(225&gt;=DeliverStart,ExpPayrollPerUnit*TotalUnits/12*HU$8*HU$12,0)</f>
        <v/>
      </c>
      <c r="HV31" s="218">
        <f>IF(226&gt;=DeliverStart,ExpPayrollPerUnit*TotalUnits/12*HV$8*HV$12,0)</f>
        <v/>
      </c>
      <c r="HW31" s="218">
        <f>IF(227&gt;=DeliverStart,ExpPayrollPerUnit*TotalUnits/12*HW$8*HW$12,0)</f>
        <v/>
      </c>
      <c r="HX31" s="218">
        <f>IF(228&gt;=DeliverStart,ExpPayrollPerUnit*TotalUnits/12*HX$8*HX$12,0)</f>
        <v/>
      </c>
      <c r="HY31" s="218">
        <f>IF(229&gt;=DeliverStart,ExpPayrollPerUnit*TotalUnits/12*HY$8*HY$12,0)</f>
        <v/>
      </c>
      <c r="HZ31" s="218">
        <f>IF(230&gt;=DeliverStart,ExpPayrollPerUnit*TotalUnits/12*HZ$8*HZ$12,0)</f>
        <v/>
      </c>
      <c r="IA31" s="218">
        <f>IF(231&gt;=DeliverStart,ExpPayrollPerUnit*TotalUnits/12*IA$8*IA$12,0)</f>
        <v/>
      </c>
      <c r="IB31" s="218">
        <f>IF(232&gt;=DeliverStart,ExpPayrollPerUnit*TotalUnits/12*IB$8*IB$12,0)</f>
        <v/>
      </c>
      <c r="IC31" s="218">
        <f>IF(233&gt;=DeliverStart,ExpPayrollPerUnit*TotalUnits/12*IC$8*IC$12,0)</f>
        <v/>
      </c>
      <c r="ID31" s="218">
        <f>IF(234&gt;=DeliverStart,ExpPayrollPerUnit*TotalUnits/12*ID$8*ID$12,0)</f>
        <v/>
      </c>
      <c r="IE31" s="218">
        <f>IF(235&gt;=DeliverStart,ExpPayrollPerUnit*TotalUnits/12*IE$8*IE$12,0)</f>
        <v/>
      </c>
      <c r="IF31" s="218">
        <f>IF(236&gt;=DeliverStart,ExpPayrollPerUnit*TotalUnits/12*IF$8*IF$12,0)</f>
        <v/>
      </c>
      <c r="IG31" s="218">
        <f>IF(237&gt;=DeliverStart,ExpPayrollPerUnit*TotalUnits/12*IG$8*IG$12,0)</f>
        <v/>
      </c>
      <c r="IH31" s="218">
        <f>IF(238&gt;=DeliverStart,ExpPayrollPerUnit*TotalUnits/12*IH$8*IH$12,0)</f>
        <v/>
      </c>
      <c r="II31" s="218">
        <f>IF(239&gt;=DeliverStart,ExpPayrollPerUnit*TotalUnits/12*II$8*II$12,0)</f>
        <v/>
      </c>
      <c r="IJ31" s="218">
        <f>IF(240&gt;=DeliverStart,ExpPayrollPerUnit*TotalUnits/12*IJ$8*IJ$12,0)</f>
        <v/>
      </c>
      <c r="IK31" s="218">
        <f>IF(241&gt;=DeliverStart,ExpPayrollPerUnit*TotalUnits/12*IK$8*IK$12,0)</f>
        <v/>
      </c>
      <c r="IL31" s="218">
        <f>IF(242&gt;=DeliverStart,ExpPayrollPerUnit*TotalUnits/12*IL$8*IL$12,0)</f>
        <v/>
      </c>
      <c r="IM31" s="218">
        <f>IF(243&gt;=DeliverStart,ExpPayrollPerUnit*TotalUnits/12*IM$8*IM$12,0)</f>
        <v/>
      </c>
      <c r="IN31" s="218">
        <f>IF(244&gt;=DeliverStart,ExpPayrollPerUnit*TotalUnits/12*IN$8*IN$12,0)</f>
        <v/>
      </c>
      <c r="IO31" s="218">
        <f>IF(245&gt;=DeliverStart,ExpPayrollPerUnit*TotalUnits/12*IO$8*IO$12,0)</f>
        <v/>
      </c>
      <c r="IP31" s="218">
        <f>IF(246&gt;=DeliverStart,ExpPayrollPerUnit*TotalUnits/12*IP$8*IP$12,0)</f>
        <v/>
      </c>
      <c r="IQ31" s="218">
        <f>IF(247&gt;=DeliverStart,ExpPayrollPerUnit*TotalUnits/12*IQ$8*IQ$12,0)</f>
        <v/>
      </c>
      <c r="IR31" s="218">
        <f>IF(248&gt;=DeliverStart,ExpPayrollPerUnit*TotalUnits/12*IR$8*IR$12,0)</f>
        <v/>
      </c>
      <c r="IS31" s="218">
        <f>IF(249&gt;=DeliverStart,ExpPayrollPerUnit*TotalUnits/12*IS$8*IS$12,0)</f>
        <v/>
      </c>
      <c r="IT31" s="218">
        <f>IF(250&gt;=DeliverStart,ExpPayrollPerUnit*TotalUnits/12*IT$8*IT$12,0)</f>
        <v/>
      </c>
      <c r="IU31" s="218">
        <f>IF(251&gt;=DeliverStart,ExpPayrollPerUnit*TotalUnits/12*IU$8*IU$12,0)</f>
        <v/>
      </c>
      <c r="IV31" s="218">
        <f>IF(252&gt;=DeliverStart,ExpPayrollPerUnit*TotalUnits/12*IV$8*IV$12,0)</f>
        <v/>
      </c>
      <c r="IW31" s="218">
        <f>IF(253&gt;=DeliverStart,ExpPayrollPerUnit*TotalUnits/12*IW$8*IW$12,0)</f>
        <v/>
      </c>
      <c r="IX31" s="218">
        <f>IF(254&gt;=DeliverStart,ExpPayrollPerUnit*TotalUnits/12*IX$8*IX$12,0)</f>
        <v/>
      </c>
      <c r="IY31" s="218">
        <f>IF(255&gt;=DeliverStart,ExpPayrollPerUnit*TotalUnits/12*IY$8*IY$12,0)</f>
        <v/>
      </c>
      <c r="IZ31" s="218">
        <f>IF(256&gt;=DeliverStart,ExpPayrollPerUnit*TotalUnits/12*IZ$8*IZ$12,0)</f>
        <v/>
      </c>
      <c r="JA31" s="218">
        <f>IF(257&gt;=DeliverStart,ExpPayrollPerUnit*TotalUnits/12*JA$8*JA$12,0)</f>
        <v/>
      </c>
      <c r="JB31" s="218">
        <f>IF(258&gt;=DeliverStart,ExpPayrollPerUnit*TotalUnits/12*JB$8*JB$12,0)</f>
        <v/>
      </c>
      <c r="JC31" s="218">
        <f>IF(259&gt;=DeliverStart,ExpPayrollPerUnit*TotalUnits/12*JC$8*JC$12,0)</f>
        <v/>
      </c>
      <c r="JD31" s="218">
        <f>IF(260&gt;=DeliverStart,ExpPayrollPerUnit*TotalUnits/12*JD$8*JD$12,0)</f>
        <v/>
      </c>
      <c r="JE31" s="218">
        <f>IF(261&gt;=DeliverStart,ExpPayrollPerUnit*TotalUnits/12*JE$8*JE$12,0)</f>
        <v/>
      </c>
      <c r="JF31" s="218">
        <f>IF(262&gt;=DeliverStart,ExpPayrollPerUnit*TotalUnits/12*JF$8*JF$12,0)</f>
        <v/>
      </c>
      <c r="JG31" s="218">
        <f>IF(263&gt;=DeliverStart,ExpPayrollPerUnit*TotalUnits/12*JG$8*JG$12,0)</f>
        <v/>
      </c>
      <c r="JH31" s="218">
        <f>IF(264&gt;=DeliverStart,ExpPayrollPerUnit*TotalUnits/12*JH$8*JH$12,0)</f>
        <v/>
      </c>
      <c r="JI31" s="218">
        <f>IF(265&gt;=DeliverStart,ExpPayrollPerUnit*TotalUnits/12*JI$8*JI$12,0)</f>
        <v/>
      </c>
      <c r="JJ31" s="218">
        <f>IF(266&gt;=DeliverStart,ExpPayrollPerUnit*TotalUnits/12*JJ$8*JJ$12,0)</f>
        <v/>
      </c>
      <c r="JK31" s="218">
        <f>IF(267&gt;=DeliverStart,ExpPayrollPerUnit*TotalUnits/12*JK$8*JK$12,0)</f>
        <v/>
      </c>
      <c r="JL31" s="218">
        <f>IF(268&gt;=DeliverStart,ExpPayrollPerUnit*TotalUnits/12*JL$8*JL$12,0)</f>
        <v/>
      </c>
      <c r="JM31" s="218">
        <f>IF(269&gt;=DeliverStart,ExpPayrollPerUnit*TotalUnits/12*JM$8*JM$12,0)</f>
        <v/>
      </c>
      <c r="JN31" s="218">
        <f>IF(270&gt;=DeliverStart,ExpPayrollPerUnit*TotalUnits/12*JN$8*JN$12,0)</f>
        <v/>
      </c>
      <c r="JO31" s="218">
        <f>IF(271&gt;=DeliverStart,ExpPayrollPerUnit*TotalUnits/12*JO$8*JO$12,0)</f>
        <v/>
      </c>
      <c r="JP31" s="218">
        <f>IF(272&gt;=DeliverStart,ExpPayrollPerUnit*TotalUnits/12*JP$8*JP$12,0)</f>
        <v/>
      </c>
      <c r="JQ31" s="218">
        <f>IF(273&gt;=DeliverStart,ExpPayrollPerUnit*TotalUnits/12*JQ$8*JQ$12,0)</f>
        <v/>
      </c>
      <c r="JR31" s="218">
        <f>IF(274&gt;=DeliverStart,ExpPayrollPerUnit*TotalUnits/12*JR$8*JR$12,0)</f>
        <v/>
      </c>
      <c r="JS31" s="218">
        <f>IF(275&gt;=DeliverStart,ExpPayrollPerUnit*TotalUnits/12*JS$8*JS$12,0)</f>
        <v/>
      </c>
      <c r="JT31" s="218">
        <f>IF(276&gt;=DeliverStart,ExpPayrollPerUnit*TotalUnits/12*JT$8*JT$12,0)</f>
        <v/>
      </c>
      <c r="JU31" s="218">
        <f>IF(277&gt;=DeliverStart,ExpPayrollPerUnit*TotalUnits/12*JU$8*JU$12,0)</f>
        <v/>
      </c>
      <c r="JV31" s="218">
        <f>IF(278&gt;=DeliverStart,ExpPayrollPerUnit*TotalUnits/12*JV$8*JV$12,0)</f>
        <v/>
      </c>
      <c r="JW31" s="218">
        <f>IF(279&gt;=DeliverStart,ExpPayrollPerUnit*TotalUnits/12*JW$8*JW$12,0)</f>
        <v/>
      </c>
      <c r="JX31" s="218">
        <f>IF(280&gt;=DeliverStart,ExpPayrollPerUnit*TotalUnits/12*JX$8*JX$12,0)</f>
        <v/>
      </c>
      <c r="JY31" s="218">
        <f>IF(281&gt;=DeliverStart,ExpPayrollPerUnit*TotalUnits/12*JY$8*JY$12,0)</f>
        <v/>
      </c>
      <c r="JZ31" s="218">
        <f>IF(282&gt;=DeliverStart,ExpPayrollPerUnit*TotalUnits/12*JZ$8*JZ$12,0)</f>
        <v/>
      </c>
      <c r="KA31" s="218">
        <f>IF(283&gt;=DeliverStart,ExpPayrollPerUnit*TotalUnits/12*KA$8*KA$12,0)</f>
        <v/>
      </c>
      <c r="KB31" s="218">
        <f>IF(284&gt;=DeliverStart,ExpPayrollPerUnit*TotalUnits/12*KB$8*KB$12,0)</f>
        <v/>
      </c>
      <c r="KC31" s="218">
        <f>IF(285&gt;=DeliverStart,ExpPayrollPerUnit*TotalUnits/12*KC$8*KC$12,0)</f>
        <v/>
      </c>
      <c r="KD31" s="218">
        <f>IF(286&gt;=DeliverStart,ExpPayrollPerUnit*TotalUnits/12*KD$8*KD$12,0)</f>
        <v/>
      </c>
      <c r="KE31" s="218">
        <f>IF(287&gt;=DeliverStart,ExpPayrollPerUnit*TotalUnits/12*KE$8*KE$12,0)</f>
        <v/>
      </c>
      <c r="KF31" s="218">
        <f>IF(288&gt;=DeliverStart,ExpPayrollPerUnit*TotalUnits/12*KF$8*KF$12,0)</f>
        <v/>
      </c>
      <c r="KG31" s="218">
        <f>IF(289&gt;=DeliverStart,ExpPayrollPerUnit*TotalUnits/12*KG$8*KG$12,0)</f>
        <v/>
      </c>
      <c r="KH31" s="218">
        <f>IF(290&gt;=DeliverStart,ExpPayrollPerUnit*TotalUnits/12*KH$8*KH$12,0)</f>
        <v/>
      </c>
      <c r="KI31" s="218">
        <f>IF(291&gt;=DeliverStart,ExpPayrollPerUnit*TotalUnits/12*KI$8*KI$12,0)</f>
        <v/>
      </c>
      <c r="KJ31" s="218">
        <f>IF(292&gt;=DeliverStart,ExpPayrollPerUnit*TotalUnits/12*KJ$8*KJ$12,0)</f>
        <v/>
      </c>
      <c r="KK31" s="218">
        <f>IF(293&gt;=DeliverStart,ExpPayrollPerUnit*TotalUnits/12*KK$8*KK$12,0)</f>
        <v/>
      </c>
      <c r="KL31" s="218">
        <f>IF(294&gt;=DeliverStart,ExpPayrollPerUnit*TotalUnits/12*KL$8*KL$12,0)</f>
        <v/>
      </c>
      <c r="KM31" s="218">
        <f>IF(295&gt;=DeliverStart,ExpPayrollPerUnit*TotalUnits/12*KM$8*KM$12,0)</f>
        <v/>
      </c>
      <c r="KN31" s="218">
        <f>IF(296&gt;=DeliverStart,ExpPayrollPerUnit*TotalUnits/12*KN$8*KN$12,0)</f>
        <v/>
      </c>
      <c r="KO31" s="218">
        <f>IF(297&gt;=DeliverStart,ExpPayrollPerUnit*TotalUnits/12*KO$8*KO$12,0)</f>
        <v/>
      </c>
      <c r="KP31" s="218">
        <f>IF(298&gt;=DeliverStart,ExpPayrollPerUnit*TotalUnits/12*KP$8*KP$12,0)</f>
        <v/>
      </c>
      <c r="KQ31" s="218">
        <f>IF(299&gt;=DeliverStart,ExpPayrollPerUnit*TotalUnits/12*KQ$8*KQ$12,0)</f>
        <v/>
      </c>
      <c r="KR31" s="218">
        <f>IF(300&gt;=DeliverStart,ExpPayrollPerUnit*TotalUnits/12*KR$8*KR$12,0)</f>
        <v/>
      </c>
      <c r="KS31" s="218">
        <f>IF(301&gt;=DeliverStart,ExpPayrollPerUnit*TotalUnits/12*KS$8*KS$12,0)</f>
        <v/>
      </c>
      <c r="KT31" s="218">
        <f>IF(302&gt;=DeliverStart,ExpPayrollPerUnit*TotalUnits/12*KT$8*KT$12,0)</f>
        <v/>
      </c>
      <c r="KU31" s="218">
        <f>IF(303&gt;=DeliverStart,ExpPayrollPerUnit*TotalUnits/12*KU$8*KU$12,0)</f>
        <v/>
      </c>
      <c r="KV31" s="218">
        <f>IF(304&gt;=DeliverStart,ExpPayrollPerUnit*TotalUnits/12*KV$8*KV$12,0)</f>
        <v/>
      </c>
      <c r="KW31" s="218">
        <f>IF(305&gt;=DeliverStart,ExpPayrollPerUnit*TotalUnits/12*KW$8*KW$12,0)</f>
        <v/>
      </c>
      <c r="KX31" s="218">
        <f>IF(306&gt;=DeliverStart,ExpPayrollPerUnit*TotalUnits/12*KX$8*KX$12,0)</f>
        <v/>
      </c>
      <c r="KY31" s="218">
        <f>IF(307&gt;=DeliverStart,ExpPayrollPerUnit*TotalUnits/12*KY$8*KY$12,0)</f>
        <v/>
      </c>
      <c r="KZ31" s="218">
        <f>IF(308&gt;=DeliverStart,ExpPayrollPerUnit*TotalUnits/12*KZ$8*KZ$12,0)</f>
        <v/>
      </c>
      <c r="LA31" s="218">
        <f>IF(309&gt;=DeliverStart,ExpPayrollPerUnit*TotalUnits/12*LA$8*LA$12,0)</f>
        <v/>
      </c>
      <c r="LB31" s="218">
        <f>IF(310&gt;=DeliverStart,ExpPayrollPerUnit*TotalUnits/12*LB$8*LB$12,0)</f>
        <v/>
      </c>
      <c r="LC31" s="218">
        <f>IF(311&gt;=DeliverStart,ExpPayrollPerUnit*TotalUnits/12*LC$8*LC$12,0)</f>
        <v/>
      </c>
      <c r="LD31" s="218">
        <f>IF(312&gt;=DeliverStart,ExpPayrollPerUnit*TotalUnits/12*LD$8*LD$12,0)</f>
        <v/>
      </c>
      <c r="LE31" s="218">
        <f>IF(313&gt;=DeliverStart,ExpPayrollPerUnit*TotalUnits/12*LE$8*LE$12,0)</f>
        <v/>
      </c>
      <c r="LF31" s="218">
        <f>IF(314&gt;=DeliverStart,ExpPayrollPerUnit*TotalUnits/12*LF$8*LF$12,0)</f>
        <v/>
      </c>
      <c r="LG31" s="218">
        <f>IF(315&gt;=DeliverStart,ExpPayrollPerUnit*TotalUnits/12*LG$8*LG$12,0)</f>
        <v/>
      </c>
      <c r="LH31" s="218">
        <f>IF(316&gt;=DeliverStart,ExpPayrollPerUnit*TotalUnits/12*LH$8*LH$12,0)</f>
        <v/>
      </c>
      <c r="LI31" s="218">
        <f>IF(317&gt;=DeliverStart,ExpPayrollPerUnit*TotalUnits/12*LI$8*LI$12,0)</f>
        <v/>
      </c>
      <c r="LJ31" s="218">
        <f>IF(318&gt;=DeliverStart,ExpPayrollPerUnit*TotalUnits/12*LJ$8*LJ$12,0)</f>
        <v/>
      </c>
      <c r="LK31" s="218">
        <f>IF(319&gt;=DeliverStart,ExpPayrollPerUnit*TotalUnits/12*LK$8*LK$12,0)</f>
        <v/>
      </c>
      <c r="LL31" s="218">
        <f>IF(320&gt;=DeliverStart,ExpPayrollPerUnit*TotalUnits/12*LL$8*LL$12,0)</f>
        <v/>
      </c>
      <c r="LM31" s="218">
        <f>IF(321&gt;=DeliverStart,ExpPayrollPerUnit*TotalUnits/12*LM$8*LM$12,0)</f>
        <v/>
      </c>
      <c r="LN31" s="218">
        <f>IF(322&gt;=DeliverStart,ExpPayrollPerUnit*TotalUnits/12*LN$8*LN$12,0)</f>
        <v/>
      </c>
      <c r="LO31" s="218">
        <f>IF(323&gt;=DeliverStart,ExpPayrollPerUnit*TotalUnits/12*LO$8*LO$12,0)</f>
        <v/>
      </c>
      <c r="LP31" s="218">
        <f>IF(324&gt;=DeliverStart,ExpPayrollPerUnit*TotalUnits/12*LP$8*LP$12,0)</f>
        <v/>
      </c>
      <c r="LQ31" s="218">
        <f>IF(325&gt;=DeliverStart,ExpPayrollPerUnit*TotalUnits/12*LQ$8*LQ$12,0)</f>
        <v/>
      </c>
      <c r="LR31" s="218">
        <f>IF(326&gt;=DeliverStart,ExpPayrollPerUnit*TotalUnits/12*LR$8*LR$12,0)</f>
        <v/>
      </c>
      <c r="LS31" s="218">
        <f>IF(327&gt;=DeliverStart,ExpPayrollPerUnit*TotalUnits/12*LS$8*LS$12,0)</f>
        <v/>
      </c>
      <c r="LT31" s="218">
        <f>IF(328&gt;=DeliverStart,ExpPayrollPerUnit*TotalUnits/12*LT$8*LT$12,0)</f>
        <v/>
      </c>
      <c r="LU31" s="218">
        <f>IF(329&gt;=DeliverStart,ExpPayrollPerUnit*TotalUnits/12*LU$8*LU$12,0)</f>
        <v/>
      </c>
      <c r="LV31" s="218">
        <f>IF(330&gt;=DeliverStart,ExpPayrollPerUnit*TotalUnits/12*LV$8*LV$12,0)</f>
        <v/>
      </c>
      <c r="LW31" s="218">
        <f>IF(331&gt;=DeliverStart,ExpPayrollPerUnit*TotalUnits/12*LW$8*LW$12,0)</f>
        <v/>
      </c>
      <c r="LX31" s="218">
        <f>IF(332&gt;=DeliverStart,ExpPayrollPerUnit*TotalUnits/12*LX$8*LX$12,0)</f>
        <v/>
      </c>
      <c r="LY31" s="218">
        <f>IF(333&gt;=DeliverStart,ExpPayrollPerUnit*TotalUnits/12*LY$8*LY$12,0)</f>
        <v/>
      </c>
      <c r="LZ31" s="218">
        <f>IF(334&gt;=DeliverStart,ExpPayrollPerUnit*TotalUnits/12*LZ$8*LZ$12,0)</f>
        <v/>
      </c>
      <c r="MA31" s="218">
        <f>IF(335&gt;=DeliverStart,ExpPayrollPerUnit*TotalUnits/12*MA$8*MA$12,0)</f>
        <v/>
      </c>
      <c r="MB31" s="218">
        <f>IF(336&gt;=DeliverStart,ExpPayrollPerUnit*TotalUnits/12*MB$8*MB$12,0)</f>
        <v/>
      </c>
      <c r="MC31" s="218">
        <f>IF(337&gt;=DeliverStart,ExpPayrollPerUnit*TotalUnits/12*MC$8*MC$12,0)</f>
        <v/>
      </c>
      <c r="MD31" s="218">
        <f>IF(338&gt;=DeliverStart,ExpPayrollPerUnit*TotalUnits/12*MD$8*MD$12,0)</f>
        <v/>
      </c>
      <c r="ME31" s="218">
        <f>IF(339&gt;=DeliverStart,ExpPayrollPerUnit*TotalUnits/12*ME$8*ME$12,0)</f>
        <v/>
      </c>
      <c r="MF31" s="218">
        <f>IF(340&gt;=DeliverStart,ExpPayrollPerUnit*TotalUnits/12*MF$8*MF$12,0)</f>
        <v/>
      </c>
      <c r="MG31" s="218">
        <f>IF(341&gt;=DeliverStart,ExpPayrollPerUnit*TotalUnits/12*MG$8*MG$12,0)</f>
        <v/>
      </c>
      <c r="MH31" s="218">
        <f>IF(342&gt;=DeliverStart,ExpPayrollPerUnit*TotalUnits/12*MH$8*MH$12,0)</f>
        <v/>
      </c>
      <c r="MI31" s="218">
        <f>IF(343&gt;=DeliverStart,ExpPayrollPerUnit*TotalUnits/12*MI$8*MI$12,0)</f>
        <v/>
      </c>
      <c r="MJ31" s="218">
        <f>IF(344&gt;=DeliverStart,ExpPayrollPerUnit*TotalUnits/12*MJ$8*MJ$12,0)</f>
        <v/>
      </c>
      <c r="MK31" s="218">
        <f>IF(345&gt;=DeliverStart,ExpPayrollPerUnit*TotalUnits/12*MK$8*MK$12,0)</f>
        <v/>
      </c>
      <c r="ML31" s="218">
        <f>IF(346&gt;=DeliverStart,ExpPayrollPerUnit*TotalUnits/12*ML$8*ML$12,0)</f>
        <v/>
      </c>
      <c r="MM31" s="218">
        <f>IF(347&gt;=DeliverStart,ExpPayrollPerUnit*TotalUnits/12*MM$8*MM$12,0)</f>
        <v/>
      </c>
      <c r="MN31" s="218">
        <f>IF(348&gt;=DeliverStart,ExpPayrollPerUnit*TotalUnits/12*MN$8*MN$12,0)</f>
        <v/>
      </c>
      <c r="MO31" s="218">
        <f>IF(349&gt;=DeliverStart,ExpPayrollPerUnit*TotalUnits/12*MO$8*MO$12,0)</f>
        <v/>
      </c>
      <c r="MP31" s="218">
        <f>IF(350&gt;=DeliverStart,ExpPayrollPerUnit*TotalUnits/12*MP$8*MP$12,0)</f>
        <v/>
      </c>
      <c r="MQ31" s="218">
        <f>IF(351&gt;=DeliverStart,ExpPayrollPerUnit*TotalUnits/12*MQ$8*MQ$12,0)</f>
        <v/>
      </c>
      <c r="MR31" s="218">
        <f>IF(352&gt;=DeliverStart,ExpPayrollPerUnit*TotalUnits/12*MR$8*MR$12,0)</f>
        <v/>
      </c>
      <c r="MS31" s="218">
        <f>IF(353&gt;=DeliverStart,ExpPayrollPerUnit*TotalUnits/12*MS$8*MS$12,0)</f>
        <v/>
      </c>
      <c r="MT31" s="218">
        <f>IF(354&gt;=DeliverStart,ExpPayrollPerUnit*TotalUnits/12*MT$8*MT$12,0)</f>
        <v/>
      </c>
      <c r="MU31" s="218">
        <f>IF(355&gt;=DeliverStart,ExpPayrollPerUnit*TotalUnits/12*MU$8*MU$12,0)</f>
        <v/>
      </c>
      <c r="MV31" s="218">
        <f>IF(356&gt;=DeliverStart,ExpPayrollPerUnit*TotalUnits/12*MV$8*MV$12,0)</f>
        <v/>
      </c>
      <c r="MW31" s="218">
        <f>IF(357&gt;=DeliverStart,ExpPayrollPerUnit*TotalUnits/12*MW$8*MW$12,0)</f>
        <v/>
      </c>
      <c r="MX31" s="218">
        <f>IF(358&gt;=DeliverStart,ExpPayrollPerUnit*TotalUnits/12*MX$8*MX$12,0)</f>
        <v/>
      </c>
      <c r="MY31" s="218">
        <f>IF(359&gt;=DeliverStart,ExpPayrollPerUnit*TotalUnits/12*MY$8*MY$12,0)</f>
        <v/>
      </c>
      <c r="MZ31" s="218">
        <f>IF(360&gt;=DeliverStart,ExpPayrollPerUnit*TotalUnits/12*MZ$8*MZ$12,0)</f>
        <v/>
      </c>
      <c r="NA31" s="218">
        <f>IF(361&gt;=DeliverStart,ExpPayrollPerUnit*TotalUnits/12*NA$8*NA$12,0)</f>
        <v/>
      </c>
      <c r="NB31" s="218">
        <f>IF(362&gt;=DeliverStart,ExpPayrollPerUnit*TotalUnits/12*NB$8*NB$12,0)</f>
        <v/>
      </c>
      <c r="NC31" s="218">
        <f>IF(363&gt;=DeliverStart,ExpPayrollPerUnit*TotalUnits/12*NC$8*NC$12,0)</f>
        <v/>
      </c>
      <c r="ND31" s="218">
        <f>IF(364&gt;=DeliverStart,ExpPayrollPerUnit*TotalUnits/12*ND$8*ND$12,0)</f>
        <v/>
      </c>
      <c r="NE31" s="218">
        <f>IF(365&gt;=DeliverStart,ExpPayrollPerUnit*TotalUnits/12*NE$8*NE$12,0)</f>
        <v/>
      </c>
      <c r="NF31" s="218">
        <f>IF(366&gt;=DeliverStart,ExpPayrollPerUnit*TotalUnits/12*NF$8*NF$12,0)</f>
        <v/>
      </c>
      <c r="NG31" s="218">
        <f>IF(367&gt;=DeliverStart,ExpPayrollPerUnit*TotalUnits/12*NG$8*NG$12,0)</f>
        <v/>
      </c>
      <c r="NH31" s="218">
        <f>IF(368&gt;=DeliverStart,ExpPayrollPerUnit*TotalUnits/12*NH$8*NH$12,0)</f>
        <v/>
      </c>
      <c r="NI31" s="218">
        <f>IF(369&gt;=DeliverStart,ExpPayrollPerUnit*TotalUnits/12*NI$8*NI$12,0)</f>
        <v/>
      </c>
      <c r="NJ31" s="218">
        <f>IF(370&gt;=DeliverStart,ExpPayrollPerUnit*TotalUnits/12*NJ$8*NJ$12,0)</f>
        <v/>
      </c>
      <c r="NK31" s="218">
        <f>IF(371&gt;=DeliverStart,ExpPayrollPerUnit*TotalUnits/12*NK$8*NK$12,0)</f>
        <v/>
      </c>
      <c r="NL31" s="225">
        <f>IF(372&gt;=DeliverStart,ExpPayrollPerUnit*TotalUnits/12*NL$8*NL$12,0)</f>
        <v/>
      </c>
    </row>
    <row r="32">
      <c r="B32" s="36" t="inlineStr">
        <is>
          <t>Advertising (elevated)</t>
        </is>
      </c>
      <c r="D32" s="266">
        <f>SUM(E32:NL32)</f>
        <v/>
      </c>
      <c r="E32" s="218">
        <f>IF(1&gt;=DeliverStart,ExpAdvertisingPerUnit*TotalUnits/12*E$8*E$12,0)</f>
        <v/>
      </c>
      <c r="F32" s="218">
        <f>IF(2&gt;=DeliverStart,ExpAdvertisingPerUnit*TotalUnits/12*F$8*F$12,0)</f>
        <v/>
      </c>
      <c r="G32" s="218">
        <f>IF(3&gt;=DeliverStart,ExpAdvertisingPerUnit*TotalUnits/12*G$8*G$12,0)</f>
        <v/>
      </c>
      <c r="H32" s="218">
        <f>IF(4&gt;=DeliverStart,ExpAdvertisingPerUnit*TotalUnits/12*H$8*H$12,0)</f>
        <v/>
      </c>
      <c r="I32" s="218">
        <f>IF(5&gt;=DeliverStart,ExpAdvertisingPerUnit*TotalUnits/12*I$8*I$12,0)</f>
        <v/>
      </c>
      <c r="J32" s="218">
        <f>IF(6&gt;=DeliverStart,ExpAdvertisingPerUnit*TotalUnits/12*J$8*J$12,0)</f>
        <v/>
      </c>
      <c r="K32" s="218">
        <f>IF(7&gt;=DeliverStart,ExpAdvertisingPerUnit*TotalUnits/12*K$8*K$12,0)</f>
        <v/>
      </c>
      <c r="L32" s="218">
        <f>IF(8&gt;=DeliverStart,ExpAdvertisingPerUnit*TotalUnits/12*L$8*L$12,0)</f>
        <v/>
      </c>
      <c r="M32" s="218">
        <f>IF(9&gt;=DeliverStart,ExpAdvertisingPerUnit*TotalUnits/12*M$8*M$12,0)</f>
        <v/>
      </c>
      <c r="N32" s="218">
        <f>IF(10&gt;=DeliverStart,ExpAdvertisingPerUnit*TotalUnits/12*N$8*N$12,0)</f>
        <v/>
      </c>
      <c r="O32" s="218">
        <f>IF(11&gt;=DeliverStart,ExpAdvertisingPerUnit*TotalUnits/12*O$8*O$12,0)</f>
        <v/>
      </c>
      <c r="P32" s="218">
        <f>IF(12&gt;=DeliverStart,ExpAdvertisingPerUnit*TotalUnits/12*P$8*P$12,0)</f>
        <v/>
      </c>
      <c r="Q32" s="218">
        <f>IF(13&gt;=DeliverStart,ExpAdvertisingPerUnit*TotalUnits/12*Q$8*Q$12,0)</f>
        <v/>
      </c>
      <c r="R32" s="218">
        <f>IF(14&gt;=DeliverStart,ExpAdvertisingPerUnit*TotalUnits/12*R$8*R$12,0)</f>
        <v/>
      </c>
      <c r="S32" s="218">
        <f>IF(15&gt;=DeliverStart,ExpAdvertisingPerUnit*TotalUnits/12*S$8*S$12,0)</f>
        <v/>
      </c>
      <c r="T32" s="218">
        <f>IF(16&gt;=DeliverStart,ExpAdvertisingPerUnit*TotalUnits/12*T$8*T$12,0)</f>
        <v/>
      </c>
      <c r="U32" s="218">
        <f>IF(17&gt;=DeliverStart,ExpAdvertisingPerUnit*TotalUnits/12*U$8*U$12,0)</f>
        <v/>
      </c>
      <c r="V32" s="218">
        <f>IF(18&gt;=DeliverStart,ExpAdvertisingPerUnit*TotalUnits/12*V$8*V$12,0)</f>
        <v/>
      </c>
      <c r="W32" s="218">
        <f>IF(19&gt;=DeliverStart,ExpAdvertisingPerUnit*TotalUnits/12*W$8*W$12,0)</f>
        <v/>
      </c>
      <c r="X32" s="218">
        <f>IF(20&gt;=DeliverStart,ExpAdvertisingPerUnit*TotalUnits/12*X$8*X$12,0)</f>
        <v/>
      </c>
      <c r="Y32" s="218">
        <f>IF(21&gt;=DeliverStart,ExpAdvertisingPerUnit*TotalUnits/12*Y$8*Y$12,0)</f>
        <v/>
      </c>
      <c r="Z32" s="218">
        <f>IF(22&gt;=DeliverStart,ExpAdvertisingPerUnit*TotalUnits/12*Z$8*Z$12,0)</f>
        <v/>
      </c>
      <c r="AA32" s="218">
        <f>IF(23&gt;=DeliverStart,ExpAdvertisingPerUnit*TotalUnits/12*AA$8*AA$12,0)</f>
        <v/>
      </c>
      <c r="AB32" s="218">
        <f>IF(24&gt;=DeliverStart,ExpAdvertisingPerUnit*TotalUnits/12*AB$8*AB$12,0)</f>
        <v/>
      </c>
      <c r="AC32" s="218">
        <f>IF(25&gt;=DeliverStart,ExpAdvertisingPerUnit*TotalUnits/12*AC$8*AC$12,0)</f>
        <v/>
      </c>
      <c r="AD32" s="218">
        <f>IF(26&gt;=DeliverStart,ExpAdvertisingPerUnit*TotalUnits/12*AD$8*AD$12,0)</f>
        <v/>
      </c>
      <c r="AE32" s="218">
        <f>IF(27&gt;=DeliverStart,ExpAdvertisingPerUnit*TotalUnits/12*AE$8*AE$12,0)</f>
        <v/>
      </c>
      <c r="AF32" s="218">
        <f>IF(28&gt;=DeliverStart,ExpAdvertisingPerUnit*TotalUnits/12*AF$8*AF$12,0)</f>
        <v/>
      </c>
      <c r="AG32" s="218">
        <f>IF(29&gt;=DeliverStart,ExpAdvertisingPerUnit*TotalUnits/12*AG$8*AG$12,0)</f>
        <v/>
      </c>
      <c r="AH32" s="218">
        <f>IF(30&gt;=DeliverStart,ExpAdvertisingPerUnit*TotalUnits/12*AH$8*AH$12,0)</f>
        <v/>
      </c>
      <c r="AI32" s="218">
        <f>IF(31&gt;=DeliverStart,ExpAdvertisingPerUnit*TotalUnits/12*AI$8*AI$12,0)</f>
        <v/>
      </c>
      <c r="AJ32" s="218">
        <f>IF(32&gt;=DeliverStart,ExpAdvertisingPerUnit*TotalUnits/12*AJ$8*AJ$12,0)</f>
        <v/>
      </c>
      <c r="AK32" s="218">
        <f>IF(33&gt;=DeliverStart,ExpAdvertisingPerUnit*TotalUnits/12*AK$8*AK$12,0)</f>
        <v/>
      </c>
      <c r="AL32" s="218">
        <f>IF(34&gt;=DeliverStart,ExpAdvertisingPerUnit*TotalUnits/12*AL$8*AL$12,0)</f>
        <v/>
      </c>
      <c r="AM32" s="218">
        <f>IF(35&gt;=DeliverStart,ExpAdvertisingPerUnit*TotalUnits/12*AM$8*AM$12,0)</f>
        <v/>
      </c>
      <c r="AN32" s="218">
        <f>IF(36&gt;=DeliverStart,ExpAdvertisingPerUnit*TotalUnits/12*AN$8*AN$12,0)</f>
        <v/>
      </c>
      <c r="AO32" s="218">
        <f>IF(37&gt;=DeliverStart,ExpAdvertisingPerUnit*TotalUnits/12*AO$8*AO$12,0)</f>
        <v/>
      </c>
      <c r="AP32" s="218">
        <f>IF(38&gt;=DeliverStart,ExpAdvertisingPerUnit*TotalUnits/12*AP$8*AP$12,0)</f>
        <v/>
      </c>
      <c r="AQ32" s="218">
        <f>IF(39&gt;=DeliverStart,ExpAdvertisingPerUnit*TotalUnits/12*AQ$8*AQ$12,0)</f>
        <v/>
      </c>
      <c r="AR32" s="218">
        <f>IF(40&gt;=DeliverStart,ExpAdvertisingPerUnit*TotalUnits/12*AR$8*AR$12,0)</f>
        <v/>
      </c>
      <c r="AS32" s="218">
        <f>IF(41&gt;=DeliverStart,ExpAdvertisingPerUnit*TotalUnits/12*AS$8*AS$12,0)</f>
        <v/>
      </c>
      <c r="AT32" s="218">
        <f>IF(42&gt;=DeliverStart,ExpAdvertisingPerUnit*TotalUnits/12*AT$8*AT$12,0)</f>
        <v/>
      </c>
      <c r="AU32" s="218">
        <f>IF(43&gt;=DeliverStart,ExpAdvertisingPerUnit*TotalUnits/12*AU$8*AU$12,0)</f>
        <v/>
      </c>
      <c r="AV32" s="218">
        <f>IF(44&gt;=DeliverStart,ExpAdvertisingPerUnit*TotalUnits/12*AV$8*AV$12,0)</f>
        <v/>
      </c>
      <c r="AW32" s="218">
        <f>IF(45&gt;=DeliverStart,ExpAdvertisingPerUnit*TotalUnits/12*AW$8*AW$12,0)</f>
        <v/>
      </c>
      <c r="AX32" s="218">
        <f>IF(46&gt;=DeliverStart,ExpAdvertisingPerUnit*TotalUnits/12*AX$8*AX$12,0)</f>
        <v/>
      </c>
      <c r="AY32" s="218">
        <f>IF(47&gt;=DeliverStart,ExpAdvertisingPerUnit*TotalUnits/12*AY$8*AY$12,0)</f>
        <v/>
      </c>
      <c r="AZ32" s="218">
        <f>IF(48&gt;=DeliverStart,ExpAdvertisingPerUnit*TotalUnits/12*AZ$8*AZ$12,0)</f>
        <v/>
      </c>
      <c r="BA32" s="218">
        <f>IF(49&gt;=DeliverStart,ExpAdvertisingPerUnit*TotalUnits/12*BA$8*BA$12,0)</f>
        <v/>
      </c>
      <c r="BB32" s="218">
        <f>IF(50&gt;=DeliverStart,ExpAdvertisingPerUnit*TotalUnits/12*BB$8*BB$12,0)</f>
        <v/>
      </c>
      <c r="BC32" s="218">
        <f>IF(51&gt;=DeliverStart,ExpAdvertisingPerUnit*TotalUnits/12*BC$8*BC$12,0)</f>
        <v/>
      </c>
      <c r="BD32" s="218">
        <f>IF(52&gt;=DeliverStart,ExpAdvertisingPerUnit*TotalUnits/12*BD$8*BD$12,0)</f>
        <v/>
      </c>
      <c r="BE32" s="218">
        <f>IF(53&gt;=DeliverStart,ExpAdvertisingPerUnit*TotalUnits/12*BE$8*BE$12,0)</f>
        <v/>
      </c>
      <c r="BF32" s="218">
        <f>IF(54&gt;=DeliverStart,ExpAdvertisingPerUnit*TotalUnits/12*BF$8*BF$12,0)</f>
        <v/>
      </c>
      <c r="BG32" s="218">
        <f>IF(55&gt;=DeliverStart,ExpAdvertisingPerUnit*TotalUnits/12*BG$8*BG$12,0)</f>
        <v/>
      </c>
      <c r="BH32" s="218">
        <f>IF(56&gt;=DeliverStart,ExpAdvertisingPerUnit*TotalUnits/12*BH$8*BH$12,0)</f>
        <v/>
      </c>
      <c r="BI32" s="218">
        <f>IF(57&gt;=DeliverStart,ExpAdvertisingPerUnit*TotalUnits/12*BI$8*BI$12,0)</f>
        <v/>
      </c>
      <c r="BJ32" s="218">
        <f>IF(58&gt;=DeliverStart,ExpAdvertisingPerUnit*TotalUnits/12*BJ$8*BJ$12,0)</f>
        <v/>
      </c>
      <c r="BK32" s="218">
        <f>IF(59&gt;=DeliverStart,ExpAdvertisingPerUnit*TotalUnits/12*BK$8*BK$12,0)</f>
        <v/>
      </c>
      <c r="BL32" s="218">
        <f>IF(60&gt;=DeliverStart,ExpAdvertisingPerUnit*TotalUnits/12*BL$8*BL$12,0)</f>
        <v/>
      </c>
      <c r="BM32" s="218">
        <f>IF(61&gt;=DeliverStart,ExpAdvertisingPerUnit*TotalUnits/12*BM$8*BM$12,0)</f>
        <v/>
      </c>
      <c r="BN32" s="218">
        <f>IF(62&gt;=DeliverStart,ExpAdvertisingPerUnit*TotalUnits/12*BN$8*BN$12,0)</f>
        <v/>
      </c>
      <c r="BO32" s="218">
        <f>IF(63&gt;=DeliverStart,ExpAdvertisingPerUnit*TotalUnits/12*BO$8*BO$12,0)</f>
        <v/>
      </c>
      <c r="BP32" s="218">
        <f>IF(64&gt;=DeliverStart,ExpAdvertisingPerUnit*TotalUnits/12*BP$8*BP$12,0)</f>
        <v/>
      </c>
      <c r="BQ32" s="218">
        <f>IF(65&gt;=DeliverStart,ExpAdvertisingPerUnit*TotalUnits/12*BQ$8*BQ$12,0)</f>
        <v/>
      </c>
      <c r="BR32" s="218">
        <f>IF(66&gt;=DeliverStart,ExpAdvertisingPerUnit*TotalUnits/12*BR$8*BR$12,0)</f>
        <v/>
      </c>
      <c r="BS32" s="218">
        <f>IF(67&gt;=DeliverStart,ExpAdvertisingPerUnit*TotalUnits/12*BS$8*BS$12,0)</f>
        <v/>
      </c>
      <c r="BT32" s="218">
        <f>IF(68&gt;=DeliverStart,ExpAdvertisingPerUnit*TotalUnits/12*BT$8*BT$12,0)</f>
        <v/>
      </c>
      <c r="BU32" s="218">
        <f>IF(69&gt;=DeliverStart,ExpAdvertisingPerUnit*TotalUnits/12*BU$8*BU$12,0)</f>
        <v/>
      </c>
      <c r="BV32" s="218">
        <f>IF(70&gt;=DeliverStart,ExpAdvertisingPerUnit*TotalUnits/12*BV$8*BV$12,0)</f>
        <v/>
      </c>
      <c r="BW32" s="218">
        <f>IF(71&gt;=DeliverStart,ExpAdvertisingPerUnit*TotalUnits/12*BW$8*BW$12,0)</f>
        <v/>
      </c>
      <c r="BX32" s="218">
        <f>IF(72&gt;=DeliverStart,ExpAdvertisingPerUnit*TotalUnits/12*BX$8*BX$12,0)</f>
        <v/>
      </c>
      <c r="BY32" s="218">
        <f>IF(73&gt;=DeliverStart,ExpAdvertisingPerUnit*TotalUnits/12*BY$8*BY$12,0)</f>
        <v/>
      </c>
      <c r="BZ32" s="218">
        <f>IF(74&gt;=DeliverStart,ExpAdvertisingPerUnit*TotalUnits/12*BZ$8*BZ$12,0)</f>
        <v/>
      </c>
      <c r="CA32" s="218">
        <f>IF(75&gt;=DeliverStart,ExpAdvertisingPerUnit*TotalUnits/12*CA$8*CA$12,0)</f>
        <v/>
      </c>
      <c r="CB32" s="218">
        <f>IF(76&gt;=DeliverStart,ExpAdvertisingPerUnit*TotalUnits/12*CB$8*CB$12,0)</f>
        <v/>
      </c>
      <c r="CC32" s="218">
        <f>IF(77&gt;=DeliverStart,ExpAdvertisingPerUnit*TotalUnits/12*CC$8*CC$12,0)</f>
        <v/>
      </c>
      <c r="CD32" s="218">
        <f>IF(78&gt;=DeliverStart,ExpAdvertisingPerUnit*TotalUnits/12*CD$8*CD$12,0)</f>
        <v/>
      </c>
      <c r="CE32" s="218">
        <f>IF(79&gt;=DeliverStart,ExpAdvertisingPerUnit*TotalUnits/12*CE$8*CE$12,0)</f>
        <v/>
      </c>
      <c r="CF32" s="218">
        <f>IF(80&gt;=DeliverStart,ExpAdvertisingPerUnit*TotalUnits/12*CF$8*CF$12,0)</f>
        <v/>
      </c>
      <c r="CG32" s="218">
        <f>IF(81&gt;=DeliverStart,ExpAdvertisingPerUnit*TotalUnits/12*CG$8*CG$12,0)</f>
        <v/>
      </c>
      <c r="CH32" s="218">
        <f>IF(82&gt;=DeliverStart,ExpAdvertisingPerUnit*TotalUnits/12*CH$8*CH$12,0)</f>
        <v/>
      </c>
      <c r="CI32" s="218">
        <f>IF(83&gt;=DeliverStart,ExpAdvertisingPerUnit*TotalUnits/12*CI$8*CI$12,0)</f>
        <v/>
      </c>
      <c r="CJ32" s="218">
        <f>IF(84&gt;=DeliverStart,ExpAdvertisingPerUnit*TotalUnits/12*CJ$8*CJ$12,0)</f>
        <v/>
      </c>
      <c r="CK32" s="218">
        <f>IF(85&gt;=DeliverStart,ExpAdvertisingPerUnit*TotalUnits/12*CK$8*CK$12,0)</f>
        <v/>
      </c>
      <c r="CL32" s="218">
        <f>IF(86&gt;=DeliverStart,ExpAdvertisingPerUnit*TotalUnits/12*CL$8*CL$12,0)</f>
        <v/>
      </c>
      <c r="CM32" s="218">
        <f>IF(87&gt;=DeliverStart,ExpAdvertisingPerUnit*TotalUnits/12*CM$8*CM$12,0)</f>
        <v/>
      </c>
      <c r="CN32" s="218">
        <f>IF(88&gt;=DeliverStart,ExpAdvertisingPerUnit*TotalUnits/12*CN$8*CN$12,0)</f>
        <v/>
      </c>
      <c r="CO32" s="218">
        <f>IF(89&gt;=DeliverStart,ExpAdvertisingPerUnit*TotalUnits/12*CO$8*CO$12,0)</f>
        <v/>
      </c>
      <c r="CP32" s="218">
        <f>IF(90&gt;=DeliverStart,ExpAdvertisingPerUnit*TotalUnits/12*CP$8*CP$12,0)</f>
        <v/>
      </c>
      <c r="CQ32" s="218">
        <f>IF(91&gt;=DeliverStart,ExpAdvertisingPerUnit*TotalUnits/12*CQ$8*CQ$12,0)</f>
        <v/>
      </c>
      <c r="CR32" s="218">
        <f>IF(92&gt;=DeliverStart,ExpAdvertisingPerUnit*TotalUnits/12*CR$8*CR$12,0)</f>
        <v/>
      </c>
      <c r="CS32" s="218">
        <f>IF(93&gt;=DeliverStart,ExpAdvertisingPerUnit*TotalUnits/12*CS$8*CS$12,0)</f>
        <v/>
      </c>
      <c r="CT32" s="218">
        <f>IF(94&gt;=DeliverStart,ExpAdvertisingPerUnit*TotalUnits/12*CT$8*CT$12,0)</f>
        <v/>
      </c>
      <c r="CU32" s="218">
        <f>IF(95&gt;=DeliverStart,ExpAdvertisingPerUnit*TotalUnits/12*CU$8*CU$12,0)</f>
        <v/>
      </c>
      <c r="CV32" s="218">
        <f>IF(96&gt;=DeliverStart,ExpAdvertisingPerUnit*TotalUnits/12*CV$8*CV$12,0)</f>
        <v/>
      </c>
      <c r="CW32" s="218">
        <f>IF(97&gt;=DeliverStart,ExpAdvertisingPerUnit*TotalUnits/12*CW$8*CW$12,0)</f>
        <v/>
      </c>
      <c r="CX32" s="218">
        <f>IF(98&gt;=DeliverStart,ExpAdvertisingPerUnit*TotalUnits/12*CX$8*CX$12,0)</f>
        <v/>
      </c>
      <c r="CY32" s="218">
        <f>IF(99&gt;=DeliverStart,ExpAdvertisingPerUnit*TotalUnits/12*CY$8*CY$12,0)</f>
        <v/>
      </c>
      <c r="CZ32" s="218">
        <f>IF(100&gt;=DeliverStart,ExpAdvertisingPerUnit*TotalUnits/12*CZ$8*CZ$12,0)</f>
        <v/>
      </c>
      <c r="DA32" s="218">
        <f>IF(101&gt;=DeliverStart,ExpAdvertisingPerUnit*TotalUnits/12*DA$8*DA$12,0)</f>
        <v/>
      </c>
      <c r="DB32" s="218">
        <f>IF(102&gt;=DeliverStart,ExpAdvertisingPerUnit*TotalUnits/12*DB$8*DB$12,0)</f>
        <v/>
      </c>
      <c r="DC32" s="218">
        <f>IF(103&gt;=DeliverStart,ExpAdvertisingPerUnit*TotalUnits/12*DC$8*DC$12,0)</f>
        <v/>
      </c>
      <c r="DD32" s="218">
        <f>IF(104&gt;=DeliverStart,ExpAdvertisingPerUnit*TotalUnits/12*DD$8*DD$12,0)</f>
        <v/>
      </c>
      <c r="DE32" s="218">
        <f>IF(105&gt;=DeliverStart,ExpAdvertisingPerUnit*TotalUnits/12*DE$8*DE$12,0)</f>
        <v/>
      </c>
      <c r="DF32" s="218">
        <f>IF(106&gt;=DeliverStart,ExpAdvertisingPerUnit*TotalUnits/12*DF$8*DF$12,0)</f>
        <v/>
      </c>
      <c r="DG32" s="218">
        <f>IF(107&gt;=DeliverStart,ExpAdvertisingPerUnit*TotalUnits/12*DG$8*DG$12,0)</f>
        <v/>
      </c>
      <c r="DH32" s="218">
        <f>IF(108&gt;=DeliverStart,ExpAdvertisingPerUnit*TotalUnits/12*DH$8*DH$12,0)</f>
        <v/>
      </c>
      <c r="DI32" s="218">
        <f>IF(109&gt;=DeliverStart,ExpAdvertisingPerUnit*TotalUnits/12*DI$8*DI$12,0)</f>
        <v/>
      </c>
      <c r="DJ32" s="218">
        <f>IF(110&gt;=DeliverStart,ExpAdvertisingPerUnit*TotalUnits/12*DJ$8*DJ$12,0)</f>
        <v/>
      </c>
      <c r="DK32" s="218">
        <f>IF(111&gt;=DeliverStart,ExpAdvertisingPerUnit*TotalUnits/12*DK$8*DK$12,0)</f>
        <v/>
      </c>
      <c r="DL32" s="218">
        <f>IF(112&gt;=DeliverStart,ExpAdvertisingPerUnit*TotalUnits/12*DL$8*DL$12,0)</f>
        <v/>
      </c>
      <c r="DM32" s="218">
        <f>IF(113&gt;=DeliverStart,ExpAdvertisingPerUnit*TotalUnits/12*DM$8*DM$12,0)</f>
        <v/>
      </c>
      <c r="DN32" s="218">
        <f>IF(114&gt;=DeliverStart,ExpAdvertisingPerUnit*TotalUnits/12*DN$8*DN$12,0)</f>
        <v/>
      </c>
      <c r="DO32" s="218">
        <f>IF(115&gt;=DeliverStart,ExpAdvertisingPerUnit*TotalUnits/12*DO$8*DO$12,0)</f>
        <v/>
      </c>
      <c r="DP32" s="218">
        <f>IF(116&gt;=DeliverStart,ExpAdvertisingPerUnit*TotalUnits/12*DP$8*DP$12,0)</f>
        <v/>
      </c>
      <c r="DQ32" s="218">
        <f>IF(117&gt;=DeliverStart,ExpAdvertisingPerUnit*TotalUnits/12*DQ$8*DQ$12,0)</f>
        <v/>
      </c>
      <c r="DR32" s="218">
        <f>IF(118&gt;=DeliverStart,ExpAdvertisingPerUnit*TotalUnits/12*DR$8*DR$12,0)</f>
        <v/>
      </c>
      <c r="DS32" s="218">
        <f>IF(119&gt;=DeliverStart,ExpAdvertisingPerUnit*TotalUnits/12*DS$8*DS$12,0)</f>
        <v/>
      </c>
      <c r="DT32" s="218">
        <f>IF(120&gt;=DeliverStart,ExpAdvertisingPerUnit*TotalUnits/12*DT$8*DT$12,0)</f>
        <v/>
      </c>
      <c r="DU32" s="218">
        <f>IF(121&gt;=DeliverStart,ExpAdvertisingPerUnit*TotalUnits/12*DU$8*DU$12,0)</f>
        <v/>
      </c>
      <c r="DV32" s="218">
        <f>IF(122&gt;=DeliverStart,ExpAdvertisingPerUnit*TotalUnits/12*DV$8*DV$12,0)</f>
        <v/>
      </c>
      <c r="DW32" s="218">
        <f>IF(123&gt;=DeliverStart,ExpAdvertisingPerUnit*TotalUnits/12*DW$8*DW$12,0)</f>
        <v/>
      </c>
      <c r="DX32" s="218">
        <f>IF(124&gt;=DeliverStart,ExpAdvertisingPerUnit*TotalUnits/12*DX$8*DX$12,0)</f>
        <v/>
      </c>
      <c r="DY32" s="218">
        <f>IF(125&gt;=DeliverStart,ExpAdvertisingPerUnit*TotalUnits/12*DY$8*DY$12,0)</f>
        <v/>
      </c>
      <c r="DZ32" s="218">
        <f>IF(126&gt;=DeliverStart,ExpAdvertisingPerUnit*TotalUnits/12*DZ$8*DZ$12,0)</f>
        <v/>
      </c>
      <c r="EA32" s="218">
        <f>IF(127&gt;=DeliverStart,ExpAdvertisingPerUnit*TotalUnits/12*EA$8*EA$12,0)</f>
        <v/>
      </c>
      <c r="EB32" s="218">
        <f>IF(128&gt;=DeliverStart,ExpAdvertisingPerUnit*TotalUnits/12*EB$8*EB$12,0)</f>
        <v/>
      </c>
      <c r="EC32" s="218">
        <f>IF(129&gt;=DeliverStart,ExpAdvertisingPerUnit*TotalUnits/12*EC$8*EC$12,0)</f>
        <v/>
      </c>
      <c r="ED32" s="218">
        <f>IF(130&gt;=DeliverStart,ExpAdvertisingPerUnit*TotalUnits/12*ED$8*ED$12,0)</f>
        <v/>
      </c>
      <c r="EE32" s="218">
        <f>IF(131&gt;=DeliverStart,ExpAdvertisingPerUnit*TotalUnits/12*EE$8*EE$12,0)</f>
        <v/>
      </c>
      <c r="EF32" s="218">
        <f>IF(132&gt;=DeliverStart,ExpAdvertisingPerUnit*TotalUnits/12*EF$8*EF$12,0)</f>
        <v/>
      </c>
      <c r="EG32" s="218">
        <f>IF(133&gt;=DeliverStart,ExpAdvertisingPerUnit*TotalUnits/12*EG$8*EG$12,0)</f>
        <v/>
      </c>
      <c r="EH32" s="218">
        <f>IF(134&gt;=DeliverStart,ExpAdvertisingPerUnit*TotalUnits/12*EH$8*EH$12,0)</f>
        <v/>
      </c>
      <c r="EI32" s="218">
        <f>IF(135&gt;=DeliverStart,ExpAdvertisingPerUnit*TotalUnits/12*EI$8*EI$12,0)</f>
        <v/>
      </c>
      <c r="EJ32" s="218">
        <f>IF(136&gt;=DeliverStart,ExpAdvertisingPerUnit*TotalUnits/12*EJ$8*EJ$12,0)</f>
        <v/>
      </c>
      <c r="EK32" s="218">
        <f>IF(137&gt;=DeliverStart,ExpAdvertisingPerUnit*TotalUnits/12*EK$8*EK$12,0)</f>
        <v/>
      </c>
      <c r="EL32" s="218">
        <f>IF(138&gt;=DeliverStart,ExpAdvertisingPerUnit*TotalUnits/12*EL$8*EL$12,0)</f>
        <v/>
      </c>
      <c r="EM32" s="218">
        <f>IF(139&gt;=DeliverStart,ExpAdvertisingPerUnit*TotalUnits/12*EM$8*EM$12,0)</f>
        <v/>
      </c>
      <c r="EN32" s="218">
        <f>IF(140&gt;=DeliverStart,ExpAdvertisingPerUnit*TotalUnits/12*EN$8*EN$12,0)</f>
        <v/>
      </c>
      <c r="EO32" s="218">
        <f>IF(141&gt;=DeliverStart,ExpAdvertisingPerUnit*TotalUnits/12*EO$8*EO$12,0)</f>
        <v/>
      </c>
      <c r="EP32" s="218">
        <f>IF(142&gt;=DeliverStart,ExpAdvertisingPerUnit*TotalUnits/12*EP$8*EP$12,0)</f>
        <v/>
      </c>
      <c r="EQ32" s="218">
        <f>IF(143&gt;=DeliverStart,ExpAdvertisingPerUnit*TotalUnits/12*EQ$8*EQ$12,0)</f>
        <v/>
      </c>
      <c r="ER32" s="218">
        <f>IF(144&gt;=DeliverStart,ExpAdvertisingPerUnit*TotalUnits/12*ER$8*ER$12,0)</f>
        <v/>
      </c>
      <c r="ES32" s="218">
        <f>IF(145&gt;=DeliverStart,ExpAdvertisingPerUnit*TotalUnits/12*ES$8*ES$12,0)</f>
        <v/>
      </c>
      <c r="ET32" s="218">
        <f>IF(146&gt;=DeliverStart,ExpAdvertisingPerUnit*TotalUnits/12*ET$8*ET$12,0)</f>
        <v/>
      </c>
      <c r="EU32" s="218">
        <f>IF(147&gt;=DeliverStart,ExpAdvertisingPerUnit*TotalUnits/12*EU$8*EU$12,0)</f>
        <v/>
      </c>
      <c r="EV32" s="218">
        <f>IF(148&gt;=DeliverStart,ExpAdvertisingPerUnit*TotalUnits/12*EV$8*EV$12,0)</f>
        <v/>
      </c>
      <c r="EW32" s="218">
        <f>IF(149&gt;=DeliverStart,ExpAdvertisingPerUnit*TotalUnits/12*EW$8*EW$12,0)</f>
        <v/>
      </c>
      <c r="EX32" s="218">
        <f>IF(150&gt;=DeliverStart,ExpAdvertisingPerUnit*TotalUnits/12*EX$8*EX$12,0)</f>
        <v/>
      </c>
      <c r="EY32" s="218">
        <f>IF(151&gt;=DeliverStart,ExpAdvertisingPerUnit*TotalUnits/12*EY$8*EY$12,0)</f>
        <v/>
      </c>
      <c r="EZ32" s="218">
        <f>IF(152&gt;=DeliverStart,ExpAdvertisingPerUnit*TotalUnits/12*EZ$8*EZ$12,0)</f>
        <v/>
      </c>
      <c r="FA32" s="218">
        <f>IF(153&gt;=DeliverStart,ExpAdvertisingPerUnit*TotalUnits/12*FA$8*FA$12,0)</f>
        <v/>
      </c>
      <c r="FB32" s="218">
        <f>IF(154&gt;=DeliverStart,ExpAdvertisingPerUnit*TotalUnits/12*FB$8*FB$12,0)</f>
        <v/>
      </c>
      <c r="FC32" s="218">
        <f>IF(155&gt;=DeliverStart,ExpAdvertisingPerUnit*TotalUnits/12*FC$8*FC$12,0)</f>
        <v/>
      </c>
      <c r="FD32" s="218">
        <f>IF(156&gt;=DeliverStart,ExpAdvertisingPerUnit*TotalUnits/12*FD$8*FD$12,0)</f>
        <v/>
      </c>
      <c r="FE32" s="218">
        <f>IF(157&gt;=DeliverStart,ExpAdvertisingPerUnit*TotalUnits/12*FE$8*FE$12,0)</f>
        <v/>
      </c>
      <c r="FF32" s="218">
        <f>IF(158&gt;=DeliverStart,ExpAdvertisingPerUnit*TotalUnits/12*FF$8*FF$12,0)</f>
        <v/>
      </c>
      <c r="FG32" s="218">
        <f>IF(159&gt;=DeliverStart,ExpAdvertisingPerUnit*TotalUnits/12*FG$8*FG$12,0)</f>
        <v/>
      </c>
      <c r="FH32" s="218">
        <f>IF(160&gt;=DeliverStart,ExpAdvertisingPerUnit*TotalUnits/12*FH$8*FH$12,0)</f>
        <v/>
      </c>
      <c r="FI32" s="218">
        <f>IF(161&gt;=DeliverStart,ExpAdvertisingPerUnit*TotalUnits/12*FI$8*FI$12,0)</f>
        <v/>
      </c>
      <c r="FJ32" s="218">
        <f>IF(162&gt;=DeliverStart,ExpAdvertisingPerUnit*TotalUnits/12*FJ$8*FJ$12,0)</f>
        <v/>
      </c>
      <c r="FK32" s="218">
        <f>IF(163&gt;=DeliverStart,ExpAdvertisingPerUnit*TotalUnits/12*FK$8*FK$12,0)</f>
        <v/>
      </c>
      <c r="FL32" s="218">
        <f>IF(164&gt;=DeliverStart,ExpAdvertisingPerUnit*TotalUnits/12*FL$8*FL$12,0)</f>
        <v/>
      </c>
      <c r="FM32" s="218">
        <f>IF(165&gt;=DeliverStart,ExpAdvertisingPerUnit*TotalUnits/12*FM$8*FM$12,0)</f>
        <v/>
      </c>
      <c r="FN32" s="218">
        <f>IF(166&gt;=DeliverStart,ExpAdvertisingPerUnit*TotalUnits/12*FN$8*FN$12,0)</f>
        <v/>
      </c>
      <c r="FO32" s="218">
        <f>IF(167&gt;=DeliverStart,ExpAdvertisingPerUnit*TotalUnits/12*FO$8*FO$12,0)</f>
        <v/>
      </c>
      <c r="FP32" s="218">
        <f>IF(168&gt;=DeliverStart,ExpAdvertisingPerUnit*TotalUnits/12*FP$8*FP$12,0)</f>
        <v/>
      </c>
      <c r="FQ32" s="218">
        <f>IF(169&gt;=DeliverStart,ExpAdvertisingPerUnit*TotalUnits/12*FQ$8*FQ$12,0)</f>
        <v/>
      </c>
      <c r="FR32" s="218">
        <f>IF(170&gt;=DeliverStart,ExpAdvertisingPerUnit*TotalUnits/12*FR$8*FR$12,0)</f>
        <v/>
      </c>
      <c r="FS32" s="218">
        <f>IF(171&gt;=DeliverStart,ExpAdvertisingPerUnit*TotalUnits/12*FS$8*FS$12,0)</f>
        <v/>
      </c>
      <c r="FT32" s="218">
        <f>IF(172&gt;=DeliverStart,ExpAdvertisingPerUnit*TotalUnits/12*FT$8*FT$12,0)</f>
        <v/>
      </c>
      <c r="FU32" s="218">
        <f>IF(173&gt;=DeliverStart,ExpAdvertisingPerUnit*TotalUnits/12*FU$8*FU$12,0)</f>
        <v/>
      </c>
      <c r="FV32" s="218">
        <f>IF(174&gt;=DeliverStart,ExpAdvertisingPerUnit*TotalUnits/12*FV$8*FV$12,0)</f>
        <v/>
      </c>
      <c r="FW32" s="218">
        <f>IF(175&gt;=DeliverStart,ExpAdvertisingPerUnit*TotalUnits/12*FW$8*FW$12,0)</f>
        <v/>
      </c>
      <c r="FX32" s="218">
        <f>IF(176&gt;=DeliverStart,ExpAdvertisingPerUnit*TotalUnits/12*FX$8*FX$12,0)</f>
        <v/>
      </c>
      <c r="FY32" s="218">
        <f>IF(177&gt;=DeliverStart,ExpAdvertisingPerUnit*TotalUnits/12*FY$8*FY$12,0)</f>
        <v/>
      </c>
      <c r="FZ32" s="218">
        <f>IF(178&gt;=DeliverStart,ExpAdvertisingPerUnit*TotalUnits/12*FZ$8*FZ$12,0)</f>
        <v/>
      </c>
      <c r="GA32" s="218">
        <f>IF(179&gt;=DeliverStart,ExpAdvertisingPerUnit*TotalUnits/12*GA$8*GA$12,0)</f>
        <v/>
      </c>
      <c r="GB32" s="218">
        <f>IF(180&gt;=DeliverStart,ExpAdvertisingPerUnit*TotalUnits/12*GB$8*GB$12,0)</f>
        <v/>
      </c>
      <c r="GC32" s="218">
        <f>IF(181&gt;=DeliverStart,ExpAdvertisingPerUnit*TotalUnits/12*GC$8*GC$12,0)</f>
        <v/>
      </c>
      <c r="GD32" s="218">
        <f>IF(182&gt;=DeliverStart,ExpAdvertisingPerUnit*TotalUnits/12*GD$8*GD$12,0)</f>
        <v/>
      </c>
      <c r="GE32" s="218">
        <f>IF(183&gt;=DeliverStart,ExpAdvertisingPerUnit*TotalUnits/12*GE$8*GE$12,0)</f>
        <v/>
      </c>
      <c r="GF32" s="218">
        <f>IF(184&gt;=DeliverStart,ExpAdvertisingPerUnit*TotalUnits/12*GF$8*GF$12,0)</f>
        <v/>
      </c>
      <c r="GG32" s="218">
        <f>IF(185&gt;=DeliverStart,ExpAdvertisingPerUnit*TotalUnits/12*GG$8*GG$12,0)</f>
        <v/>
      </c>
      <c r="GH32" s="218">
        <f>IF(186&gt;=DeliverStart,ExpAdvertisingPerUnit*TotalUnits/12*GH$8*GH$12,0)</f>
        <v/>
      </c>
      <c r="GI32" s="218">
        <f>IF(187&gt;=DeliverStart,ExpAdvertisingPerUnit*TotalUnits/12*GI$8*GI$12,0)</f>
        <v/>
      </c>
      <c r="GJ32" s="218">
        <f>IF(188&gt;=DeliverStart,ExpAdvertisingPerUnit*TotalUnits/12*GJ$8*GJ$12,0)</f>
        <v/>
      </c>
      <c r="GK32" s="218">
        <f>IF(189&gt;=DeliverStart,ExpAdvertisingPerUnit*TotalUnits/12*GK$8*GK$12,0)</f>
        <v/>
      </c>
      <c r="GL32" s="218">
        <f>IF(190&gt;=DeliverStart,ExpAdvertisingPerUnit*TotalUnits/12*GL$8*GL$12,0)</f>
        <v/>
      </c>
      <c r="GM32" s="218">
        <f>IF(191&gt;=DeliverStart,ExpAdvertisingPerUnit*TotalUnits/12*GM$8*GM$12,0)</f>
        <v/>
      </c>
      <c r="GN32" s="218">
        <f>IF(192&gt;=DeliverStart,ExpAdvertisingPerUnit*TotalUnits/12*GN$8*GN$12,0)</f>
        <v/>
      </c>
      <c r="GO32" s="218">
        <f>IF(193&gt;=DeliverStart,ExpAdvertisingPerUnit*TotalUnits/12*GO$8*GO$12,0)</f>
        <v/>
      </c>
      <c r="GP32" s="218">
        <f>IF(194&gt;=DeliverStart,ExpAdvertisingPerUnit*TotalUnits/12*GP$8*GP$12,0)</f>
        <v/>
      </c>
      <c r="GQ32" s="218">
        <f>IF(195&gt;=DeliverStart,ExpAdvertisingPerUnit*TotalUnits/12*GQ$8*GQ$12,0)</f>
        <v/>
      </c>
      <c r="GR32" s="218">
        <f>IF(196&gt;=DeliverStart,ExpAdvertisingPerUnit*TotalUnits/12*GR$8*GR$12,0)</f>
        <v/>
      </c>
      <c r="GS32" s="218">
        <f>IF(197&gt;=DeliverStart,ExpAdvertisingPerUnit*TotalUnits/12*GS$8*GS$12,0)</f>
        <v/>
      </c>
      <c r="GT32" s="218">
        <f>IF(198&gt;=DeliverStart,ExpAdvertisingPerUnit*TotalUnits/12*GT$8*GT$12,0)</f>
        <v/>
      </c>
      <c r="GU32" s="218">
        <f>IF(199&gt;=DeliverStart,ExpAdvertisingPerUnit*TotalUnits/12*GU$8*GU$12,0)</f>
        <v/>
      </c>
      <c r="GV32" s="218">
        <f>IF(200&gt;=DeliverStart,ExpAdvertisingPerUnit*TotalUnits/12*GV$8*GV$12,0)</f>
        <v/>
      </c>
      <c r="GW32" s="218">
        <f>IF(201&gt;=DeliverStart,ExpAdvertisingPerUnit*TotalUnits/12*GW$8*GW$12,0)</f>
        <v/>
      </c>
      <c r="GX32" s="218">
        <f>IF(202&gt;=DeliverStart,ExpAdvertisingPerUnit*TotalUnits/12*GX$8*GX$12,0)</f>
        <v/>
      </c>
      <c r="GY32" s="218">
        <f>IF(203&gt;=DeliverStart,ExpAdvertisingPerUnit*TotalUnits/12*GY$8*GY$12,0)</f>
        <v/>
      </c>
      <c r="GZ32" s="218">
        <f>IF(204&gt;=DeliverStart,ExpAdvertisingPerUnit*TotalUnits/12*GZ$8*GZ$12,0)</f>
        <v/>
      </c>
      <c r="HA32" s="218">
        <f>IF(205&gt;=DeliverStart,ExpAdvertisingPerUnit*TotalUnits/12*HA$8*HA$12,0)</f>
        <v/>
      </c>
      <c r="HB32" s="218">
        <f>IF(206&gt;=DeliverStart,ExpAdvertisingPerUnit*TotalUnits/12*HB$8*HB$12,0)</f>
        <v/>
      </c>
      <c r="HC32" s="218">
        <f>IF(207&gt;=DeliverStart,ExpAdvertisingPerUnit*TotalUnits/12*HC$8*HC$12,0)</f>
        <v/>
      </c>
      <c r="HD32" s="218">
        <f>IF(208&gt;=DeliverStart,ExpAdvertisingPerUnit*TotalUnits/12*HD$8*HD$12,0)</f>
        <v/>
      </c>
      <c r="HE32" s="218">
        <f>IF(209&gt;=DeliverStart,ExpAdvertisingPerUnit*TotalUnits/12*HE$8*HE$12,0)</f>
        <v/>
      </c>
      <c r="HF32" s="218">
        <f>IF(210&gt;=DeliverStart,ExpAdvertisingPerUnit*TotalUnits/12*HF$8*HF$12,0)</f>
        <v/>
      </c>
      <c r="HG32" s="218">
        <f>IF(211&gt;=DeliverStart,ExpAdvertisingPerUnit*TotalUnits/12*HG$8*HG$12,0)</f>
        <v/>
      </c>
      <c r="HH32" s="218">
        <f>IF(212&gt;=DeliverStart,ExpAdvertisingPerUnit*TotalUnits/12*HH$8*HH$12,0)</f>
        <v/>
      </c>
      <c r="HI32" s="218">
        <f>IF(213&gt;=DeliverStart,ExpAdvertisingPerUnit*TotalUnits/12*HI$8*HI$12,0)</f>
        <v/>
      </c>
      <c r="HJ32" s="218">
        <f>IF(214&gt;=DeliverStart,ExpAdvertisingPerUnit*TotalUnits/12*HJ$8*HJ$12,0)</f>
        <v/>
      </c>
      <c r="HK32" s="218">
        <f>IF(215&gt;=DeliverStart,ExpAdvertisingPerUnit*TotalUnits/12*HK$8*HK$12,0)</f>
        <v/>
      </c>
      <c r="HL32" s="218">
        <f>IF(216&gt;=DeliverStart,ExpAdvertisingPerUnit*TotalUnits/12*HL$8*HL$12,0)</f>
        <v/>
      </c>
      <c r="HM32" s="218">
        <f>IF(217&gt;=DeliverStart,ExpAdvertisingPerUnit*TotalUnits/12*HM$8*HM$12,0)</f>
        <v/>
      </c>
      <c r="HN32" s="218">
        <f>IF(218&gt;=DeliverStart,ExpAdvertisingPerUnit*TotalUnits/12*HN$8*HN$12,0)</f>
        <v/>
      </c>
      <c r="HO32" s="218">
        <f>IF(219&gt;=DeliverStart,ExpAdvertisingPerUnit*TotalUnits/12*HO$8*HO$12,0)</f>
        <v/>
      </c>
      <c r="HP32" s="218">
        <f>IF(220&gt;=DeliverStart,ExpAdvertisingPerUnit*TotalUnits/12*HP$8*HP$12,0)</f>
        <v/>
      </c>
      <c r="HQ32" s="218">
        <f>IF(221&gt;=DeliverStart,ExpAdvertisingPerUnit*TotalUnits/12*HQ$8*HQ$12,0)</f>
        <v/>
      </c>
      <c r="HR32" s="218">
        <f>IF(222&gt;=DeliverStart,ExpAdvertisingPerUnit*TotalUnits/12*HR$8*HR$12,0)</f>
        <v/>
      </c>
      <c r="HS32" s="218">
        <f>IF(223&gt;=DeliverStart,ExpAdvertisingPerUnit*TotalUnits/12*HS$8*HS$12,0)</f>
        <v/>
      </c>
      <c r="HT32" s="218">
        <f>IF(224&gt;=DeliverStart,ExpAdvertisingPerUnit*TotalUnits/12*HT$8*HT$12,0)</f>
        <v/>
      </c>
      <c r="HU32" s="218">
        <f>IF(225&gt;=DeliverStart,ExpAdvertisingPerUnit*TotalUnits/12*HU$8*HU$12,0)</f>
        <v/>
      </c>
      <c r="HV32" s="218">
        <f>IF(226&gt;=DeliverStart,ExpAdvertisingPerUnit*TotalUnits/12*HV$8*HV$12,0)</f>
        <v/>
      </c>
      <c r="HW32" s="218">
        <f>IF(227&gt;=DeliverStart,ExpAdvertisingPerUnit*TotalUnits/12*HW$8*HW$12,0)</f>
        <v/>
      </c>
      <c r="HX32" s="218">
        <f>IF(228&gt;=DeliverStart,ExpAdvertisingPerUnit*TotalUnits/12*HX$8*HX$12,0)</f>
        <v/>
      </c>
      <c r="HY32" s="218">
        <f>IF(229&gt;=DeliverStart,ExpAdvertisingPerUnit*TotalUnits/12*HY$8*HY$12,0)</f>
        <v/>
      </c>
      <c r="HZ32" s="218">
        <f>IF(230&gt;=DeliverStart,ExpAdvertisingPerUnit*TotalUnits/12*HZ$8*HZ$12,0)</f>
        <v/>
      </c>
      <c r="IA32" s="218">
        <f>IF(231&gt;=DeliverStart,ExpAdvertisingPerUnit*TotalUnits/12*IA$8*IA$12,0)</f>
        <v/>
      </c>
      <c r="IB32" s="218">
        <f>IF(232&gt;=DeliverStart,ExpAdvertisingPerUnit*TotalUnits/12*IB$8*IB$12,0)</f>
        <v/>
      </c>
      <c r="IC32" s="218">
        <f>IF(233&gt;=DeliverStart,ExpAdvertisingPerUnit*TotalUnits/12*IC$8*IC$12,0)</f>
        <v/>
      </c>
      <c r="ID32" s="218">
        <f>IF(234&gt;=DeliverStart,ExpAdvertisingPerUnit*TotalUnits/12*ID$8*ID$12,0)</f>
        <v/>
      </c>
      <c r="IE32" s="218">
        <f>IF(235&gt;=DeliverStart,ExpAdvertisingPerUnit*TotalUnits/12*IE$8*IE$12,0)</f>
        <v/>
      </c>
      <c r="IF32" s="218">
        <f>IF(236&gt;=DeliverStart,ExpAdvertisingPerUnit*TotalUnits/12*IF$8*IF$12,0)</f>
        <v/>
      </c>
      <c r="IG32" s="218">
        <f>IF(237&gt;=DeliverStart,ExpAdvertisingPerUnit*TotalUnits/12*IG$8*IG$12,0)</f>
        <v/>
      </c>
      <c r="IH32" s="218">
        <f>IF(238&gt;=DeliverStart,ExpAdvertisingPerUnit*TotalUnits/12*IH$8*IH$12,0)</f>
        <v/>
      </c>
      <c r="II32" s="218">
        <f>IF(239&gt;=DeliverStart,ExpAdvertisingPerUnit*TotalUnits/12*II$8*II$12,0)</f>
        <v/>
      </c>
      <c r="IJ32" s="218">
        <f>IF(240&gt;=DeliverStart,ExpAdvertisingPerUnit*TotalUnits/12*IJ$8*IJ$12,0)</f>
        <v/>
      </c>
      <c r="IK32" s="218">
        <f>IF(241&gt;=DeliverStart,ExpAdvertisingPerUnit*TotalUnits/12*IK$8*IK$12,0)</f>
        <v/>
      </c>
      <c r="IL32" s="218">
        <f>IF(242&gt;=DeliverStart,ExpAdvertisingPerUnit*TotalUnits/12*IL$8*IL$12,0)</f>
        <v/>
      </c>
      <c r="IM32" s="218">
        <f>IF(243&gt;=DeliverStart,ExpAdvertisingPerUnit*TotalUnits/12*IM$8*IM$12,0)</f>
        <v/>
      </c>
      <c r="IN32" s="218">
        <f>IF(244&gt;=DeliverStart,ExpAdvertisingPerUnit*TotalUnits/12*IN$8*IN$12,0)</f>
        <v/>
      </c>
      <c r="IO32" s="218">
        <f>IF(245&gt;=DeliverStart,ExpAdvertisingPerUnit*TotalUnits/12*IO$8*IO$12,0)</f>
        <v/>
      </c>
      <c r="IP32" s="218">
        <f>IF(246&gt;=DeliverStart,ExpAdvertisingPerUnit*TotalUnits/12*IP$8*IP$12,0)</f>
        <v/>
      </c>
      <c r="IQ32" s="218">
        <f>IF(247&gt;=DeliverStart,ExpAdvertisingPerUnit*TotalUnits/12*IQ$8*IQ$12,0)</f>
        <v/>
      </c>
      <c r="IR32" s="218">
        <f>IF(248&gt;=DeliverStart,ExpAdvertisingPerUnit*TotalUnits/12*IR$8*IR$12,0)</f>
        <v/>
      </c>
      <c r="IS32" s="218">
        <f>IF(249&gt;=DeliverStart,ExpAdvertisingPerUnit*TotalUnits/12*IS$8*IS$12,0)</f>
        <v/>
      </c>
      <c r="IT32" s="218">
        <f>IF(250&gt;=DeliverStart,ExpAdvertisingPerUnit*TotalUnits/12*IT$8*IT$12,0)</f>
        <v/>
      </c>
      <c r="IU32" s="218">
        <f>IF(251&gt;=DeliverStart,ExpAdvertisingPerUnit*TotalUnits/12*IU$8*IU$12,0)</f>
        <v/>
      </c>
      <c r="IV32" s="218">
        <f>IF(252&gt;=DeliverStart,ExpAdvertisingPerUnit*TotalUnits/12*IV$8*IV$12,0)</f>
        <v/>
      </c>
      <c r="IW32" s="218">
        <f>IF(253&gt;=DeliverStart,ExpAdvertisingPerUnit*TotalUnits/12*IW$8*IW$12,0)</f>
        <v/>
      </c>
      <c r="IX32" s="218">
        <f>IF(254&gt;=DeliverStart,ExpAdvertisingPerUnit*TotalUnits/12*IX$8*IX$12,0)</f>
        <v/>
      </c>
      <c r="IY32" s="218">
        <f>IF(255&gt;=DeliverStart,ExpAdvertisingPerUnit*TotalUnits/12*IY$8*IY$12,0)</f>
        <v/>
      </c>
      <c r="IZ32" s="218">
        <f>IF(256&gt;=DeliverStart,ExpAdvertisingPerUnit*TotalUnits/12*IZ$8*IZ$12,0)</f>
        <v/>
      </c>
      <c r="JA32" s="218">
        <f>IF(257&gt;=DeliverStart,ExpAdvertisingPerUnit*TotalUnits/12*JA$8*JA$12,0)</f>
        <v/>
      </c>
      <c r="JB32" s="218">
        <f>IF(258&gt;=DeliverStart,ExpAdvertisingPerUnit*TotalUnits/12*JB$8*JB$12,0)</f>
        <v/>
      </c>
      <c r="JC32" s="218">
        <f>IF(259&gt;=DeliverStart,ExpAdvertisingPerUnit*TotalUnits/12*JC$8*JC$12,0)</f>
        <v/>
      </c>
      <c r="JD32" s="218">
        <f>IF(260&gt;=DeliverStart,ExpAdvertisingPerUnit*TotalUnits/12*JD$8*JD$12,0)</f>
        <v/>
      </c>
      <c r="JE32" s="218">
        <f>IF(261&gt;=DeliverStart,ExpAdvertisingPerUnit*TotalUnits/12*JE$8*JE$12,0)</f>
        <v/>
      </c>
      <c r="JF32" s="218">
        <f>IF(262&gt;=DeliverStart,ExpAdvertisingPerUnit*TotalUnits/12*JF$8*JF$12,0)</f>
        <v/>
      </c>
      <c r="JG32" s="218">
        <f>IF(263&gt;=DeliverStart,ExpAdvertisingPerUnit*TotalUnits/12*JG$8*JG$12,0)</f>
        <v/>
      </c>
      <c r="JH32" s="218">
        <f>IF(264&gt;=DeliverStart,ExpAdvertisingPerUnit*TotalUnits/12*JH$8*JH$12,0)</f>
        <v/>
      </c>
      <c r="JI32" s="218">
        <f>IF(265&gt;=DeliverStart,ExpAdvertisingPerUnit*TotalUnits/12*JI$8*JI$12,0)</f>
        <v/>
      </c>
      <c r="JJ32" s="218">
        <f>IF(266&gt;=DeliverStart,ExpAdvertisingPerUnit*TotalUnits/12*JJ$8*JJ$12,0)</f>
        <v/>
      </c>
      <c r="JK32" s="218">
        <f>IF(267&gt;=DeliverStart,ExpAdvertisingPerUnit*TotalUnits/12*JK$8*JK$12,0)</f>
        <v/>
      </c>
      <c r="JL32" s="218">
        <f>IF(268&gt;=DeliverStart,ExpAdvertisingPerUnit*TotalUnits/12*JL$8*JL$12,0)</f>
        <v/>
      </c>
      <c r="JM32" s="218">
        <f>IF(269&gt;=DeliverStart,ExpAdvertisingPerUnit*TotalUnits/12*JM$8*JM$12,0)</f>
        <v/>
      </c>
      <c r="JN32" s="218">
        <f>IF(270&gt;=DeliverStart,ExpAdvertisingPerUnit*TotalUnits/12*JN$8*JN$12,0)</f>
        <v/>
      </c>
      <c r="JO32" s="218">
        <f>IF(271&gt;=DeliverStart,ExpAdvertisingPerUnit*TotalUnits/12*JO$8*JO$12,0)</f>
        <v/>
      </c>
      <c r="JP32" s="218">
        <f>IF(272&gt;=DeliverStart,ExpAdvertisingPerUnit*TotalUnits/12*JP$8*JP$12,0)</f>
        <v/>
      </c>
      <c r="JQ32" s="218">
        <f>IF(273&gt;=DeliverStart,ExpAdvertisingPerUnit*TotalUnits/12*JQ$8*JQ$12,0)</f>
        <v/>
      </c>
      <c r="JR32" s="218">
        <f>IF(274&gt;=DeliverStart,ExpAdvertisingPerUnit*TotalUnits/12*JR$8*JR$12,0)</f>
        <v/>
      </c>
      <c r="JS32" s="218">
        <f>IF(275&gt;=DeliverStart,ExpAdvertisingPerUnit*TotalUnits/12*JS$8*JS$12,0)</f>
        <v/>
      </c>
      <c r="JT32" s="218">
        <f>IF(276&gt;=DeliverStart,ExpAdvertisingPerUnit*TotalUnits/12*JT$8*JT$12,0)</f>
        <v/>
      </c>
      <c r="JU32" s="218">
        <f>IF(277&gt;=DeliverStart,ExpAdvertisingPerUnit*TotalUnits/12*JU$8*JU$12,0)</f>
        <v/>
      </c>
      <c r="JV32" s="218">
        <f>IF(278&gt;=DeliverStart,ExpAdvertisingPerUnit*TotalUnits/12*JV$8*JV$12,0)</f>
        <v/>
      </c>
      <c r="JW32" s="218">
        <f>IF(279&gt;=DeliverStart,ExpAdvertisingPerUnit*TotalUnits/12*JW$8*JW$12,0)</f>
        <v/>
      </c>
      <c r="JX32" s="218">
        <f>IF(280&gt;=DeliverStart,ExpAdvertisingPerUnit*TotalUnits/12*JX$8*JX$12,0)</f>
        <v/>
      </c>
      <c r="JY32" s="218">
        <f>IF(281&gt;=DeliverStart,ExpAdvertisingPerUnit*TotalUnits/12*JY$8*JY$12,0)</f>
        <v/>
      </c>
      <c r="JZ32" s="218">
        <f>IF(282&gt;=DeliverStart,ExpAdvertisingPerUnit*TotalUnits/12*JZ$8*JZ$12,0)</f>
        <v/>
      </c>
      <c r="KA32" s="218">
        <f>IF(283&gt;=DeliverStart,ExpAdvertisingPerUnit*TotalUnits/12*KA$8*KA$12,0)</f>
        <v/>
      </c>
      <c r="KB32" s="218">
        <f>IF(284&gt;=DeliverStart,ExpAdvertisingPerUnit*TotalUnits/12*KB$8*KB$12,0)</f>
        <v/>
      </c>
      <c r="KC32" s="218">
        <f>IF(285&gt;=DeliverStart,ExpAdvertisingPerUnit*TotalUnits/12*KC$8*KC$12,0)</f>
        <v/>
      </c>
      <c r="KD32" s="218">
        <f>IF(286&gt;=DeliverStart,ExpAdvertisingPerUnit*TotalUnits/12*KD$8*KD$12,0)</f>
        <v/>
      </c>
      <c r="KE32" s="218">
        <f>IF(287&gt;=DeliverStart,ExpAdvertisingPerUnit*TotalUnits/12*KE$8*KE$12,0)</f>
        <v/>
      </c>
      <c r="KF32" s="218">
        <f>IF(288&gt;=DeliverStart,ExpAdvertisingPerUnit*TotalUnits/12*KF$8*KF$12,0)</f>
        <v/>
      </c>
      <c r="KG32" s="218">
        <f>IF(289&gt;=DeliverStart,ExpAdvertisingPerUnit*TotalUnits/12*KG$8*KG$12,0)</f>
        <v/>
      </c>
      <c r="KH32" s="218">
        <f>IF(290&gt;=DeliverStart,ExpAdvertisingPerUnit*TotalUnits/12*KH$8*KH$12,0)</f>
        <v/>
      </c>
      <c r="KI32" s="218">
        <f>IF(291&gt;=DeliverStart,ExpAdvertisingPerUnit*TotalUnits/12*KI$8*KI$12,0)</f>
        <v/>
      </c>
      <c r="KJ32" s="218">
        <f>IF(292&gt;=DeliverStart,ExpAdvertisingPerUnit*TotalUnits/12*KJ$8*KJ$12,0)</f>
        <v/>
      </c>
      <c r="KK32" s="218">
        <f>IF(293&gt;=DeliverStart,ExpAdvertisingPerUnit*TotalUnits/12*KK$8*KK$12,0)</f>
        <v/>
      </c>
      <c r="KL32" s="218">
        <f>IF(294&gt;=DeliverStart,ExpAdvertisingPerUnit*TotalUnits/12*KL$8*KL$12,0)</f>
        <v/>
      </c>
      <c r="KM32" s="218">
        <f>IF(295&gt;=DeliverStart,ExpAdvertisingPerUnit*TotalUnits/12*KM$8*KM$12,0)</f>
        <v/>
      </c>
      <c r="KN32" s="218">
        <f>IF(296&gt;=DeliverStart,ExpAdvertisingPerUnit*TotalUnits/12*KN$8*KN$12,0)</f>
        <v/>
      </c>
      <c r="KO32" s="218">
        <f>IF(297&gt;=DeliverStart,ExpAdvertisingPerUnit*TotalUnits/12*KO$8*KO$12,0)</f>
        <v/>
      </c>
      <c r="KP32" s="218">
        <f>IF(298&gt;=DeliverStart,ExpAdvertisingPerUnit*TotalUnits/12*KP$8*KP$12,0)</f>
        <v/>
      </c>
      <c r="KQ32" s="218">
        <f>IF(299&gt;=DeliverStart,ExpAdvertisingPerUnit*TotalUnits/12*KQ$8*KQ$12,0)</f>
        <v/>
      </c>
      <c r="KR32" s="218">
        <f>IF(300&gt;=DeliverStart,ExpAdvertisingPerUnit*TotalUnits/12*KR$8*KR$12,0)</f>
        <v/>
      </c>
      <c r="KS32" s="218">
        <f>IF(301&gt;=DeliverStart,ExpAdvertisingPerUnit*TotalUnits/12*KS$8*KS$12,0)</f>
        <v/>
      </c>
      <c r="KT32" s="218">
        <f>IF(302&gt;=DeliverStart,ExpAdvertisingPerUnit*TotalUnits/12*KT$8*KT$12,0)</f>
        <v/>
      </c>
      <c r="KU32" s="218">
        <f>IF(303&gt;=DeliverStart,ExpAdvertisingPerUnit*TotalUnits/12*KU$8*KU$12,0)</f>
        <v/>
      </c>
      <c r="KV32" s="218">
        <f>IF(304&gt;=DeliverStart,ExpAdvertisingPerUnit*TotalUnits/12*KV$8*KV$12,0)</f>
        <v/>
      </c>
      <c r="KW32" s="218">
        <f>IF(305&gt;=DeliverStart,ExpAdvertisingPerUnit*TotalUnits/12*KW$8*KW$12,0)</f>
        <v/>
      </c>
      <c r="KX32" s="218">
        <f>IF(306&gt;=DeliverStart,ExpAdvertisingPerUnit*TotalUnits/12*KX$8*KX$12,0)</f>
        <v/>
      </c>
      <c r="KY32" s="218">
        <f>IF(307&gt;=DeliverStart,ExpAdvertisingPerUnit*TotalUnits/12*KY$8*KY$12,0)</f>
        <v/>
      </c>
      <c r="KZ32" s="218">
        <f>IF(308&gt;=DeliverStart,ExpAdvertisingPerUnit*TotalUnits/12*KZ$8*KZ$12,0)</f>
        <v/>
      </c>
      <c r="LA32" s="218">
        <f>IF(309&gt;=DeliverStart,ExpAdvertisingPerUnit*TotalUnits/12*LA$8*LA$12,0)</f>
        <v/>
      </c>
      <c r="LB32" s="218">
        <f>IF(310&gt;=DeliverStart,ExpAdvertisingPerUnit*TotalUnits/12*LB$8*LB$12,0)</f>
        <v/>
      </c>
      <c r="LC32" s="218">
        <f>IF(311&gt;=DeliverStart,ExpAdvertisingPerUnit*TotalUnits/12*LC$8*LC$12,0)</f>
        <v/>
      </c>
      <c r="LD32" s="218">
        <f>IF(312&gt;=DeliverStart,ExpAdvertisingPerUnit*TotalUnits/12*LD$8*LD$12,0)</f>
        <v/>
      </c>
      <c r="LE32" s="218">
        <f>IF(313&gt;=DeliverStart,ExpAdvertisingPerUnit*TotalUnits/12*LE$8*LE$12,0)</f>
        <v/>
      </c>
      <c r="LF32" s="218">
        <f>IF(314&gt;=DeliverStart,ExpAdvertisingPerUnit*TotalUnits/12*LF$8*LF$12,0)</f>
        <v/>
      </c>
      <c r="LG32" s="218">
        <f>IF(315&gt;=DeliverStart,ExpAdvertisingPerUnit*TotalUnits/12*LG$8*LG$12,0)</f>
        <v/>
      </c>
      <c r="LH32" s="218">
        <f>IF(316&gt;=DeliverStart,ExpAdvertisingPerUnit*TotalUnits/12*LH$8*LH$12,0)</f>
        <v/>
      </c>
      <c r="LI32" s="218">
        <f>IF(317&gt;=DeliverStart,ExpAdvertisingPerUnit*TotalUnits/12*LI$8*LI$12,0)</f>
        <v/>
      </c>
      <c r="LJ32" s="218">
        <f>IF(318&gt;=DeliverStart,ExpAdvertisingPerUnit*TotalUnits/12*LJ$8*LJ$12,0)</f>
        <v/>
      </c>
      <c r="LK32" s="218">
        <f>IF(319&gt;=DeliverStart,ExpAdvertisingPerUnit*TotalUnits/12*LK$8*LK$12,0)</f>
        <v/>
      </c>
      <c r="LL32" s="218">
        <f>IF(320&gt;=DeliverStart,ExpAdvertisingPerUnit*TotalUnits/12*LL$8*LL$12,0)</f>
        <v/>
      </c>
      <c r="LM32" s="218">
        <f>IF(321&gt;=DeliverStart,ExpAdvertisingPerUnit*TotalUnits/12*LM$8*LM$12,0)</f>
        <v/>
      </c>
      <c r="LN32" s="218">
        <f>IF(322&gt;=DeliverStart,ExpAdvertisingPerUnit*TotalUnits/12*LN$8*LN$12,0)</f>
        <v/>
      </c>
      <c r="LO32" s="218">
        <f>IF(323&gt;=DeliverStart,ExpAdvertisingPerUnit*TotalUnits/12*LO$8*LO$12,0)</f>
        <v/>
      </c>
      <c r="LP32" s="218">
        <f>IF(324&gt;=DeliverStart,ExpAdvertisingPerUnit*TotalUnits/12*LP$8*LP$12,0)</f>
        <v/>
      </c>
      <c r="LQ32" s="218">
        <f>IF(325&gt;=DeliverStart,ExpAdvertisingPerUnit*TotalUnits/12*LQ$8*LQ$12,0)</f>
        <v/>
      </c>
      <c r="LR32" s="218">
        <f>IF(326&gt;=DeliverStart,ExpAdvertisingPerUnit*TotalUnits/12*LR$8*LR$12,0)</f>
        <v/>
      </c>
      <c r="LS32" s="218">
        <f>IF(327&gt;=DeliverStart,ExpAdvertisingPerUnit*TotalUnits/12*LS$8*LS$12,0)</f>
        <v/>
      </c>
      <c r="LT32" s="218">
        <f>IF(328&gt;=DeliverStart,ExpAdvertisingPerUnit*TotalUnits/12*LT$8*LT$12,0)</f>
        <v/>
      </c>
      <c r="LU32" s="218">
        <f>IF(329&gt;=DeliverStart,ExpAdvertisingPerUnit*TotalUnits/12*LU$8*LU$12,0)</f>
        <v/>
      </c>
      <c r="LV32" s="218">
        <f>IF(330&gt;=DeliverStart,ExpAdvertisingPerUnit*TotalUnits/12*LV$8*LV$12,0)</f>
        <v/>
      </c>
      <c r="LW32" s="218">
        <f>IF(331&gt;=DeliverStart,ExpAdvertisingPerUnit*TotalUnits/12*LW$8*LW$12,0)</f>
        <v/>
      </c>
      <c r="LX32" s="218">
        <f>IF(332&gt;=DeliverStart,ExpAdvertisingPerUnit*TotalUnits/12*LX$8*LX$12,0)</f>
        <v/>
      </c>
      <c r="LY32" s="218">
        <f>IF(333&gt;=DeliverStart,ExpAdvertisingPerUnit*TotalUnits/12*LY$8*LY$12,0)</f>
        <v/>
      </c>
      <c r="LZ32" s="218">
        <f>IF(334&gt;=DeliverStart,ExpAdvertisingPerUnit*TotalUnits/12*LZ$8*LZ$12,0)</f>
        <v/>
      </c>
      <c r="MA32" s="218">
        <f>IF(335&gt;=DeliverStart,ExpAdvertisingPerUnit*TotalUnits/12*MA$8*MA$12,0)</f>
        <v/>
      </c>
      <c r="MB32" s="218">
        <f>IF(336&gt;=DeliverStart,ExpAdvertisingPerUnit*TotalUnits/12*MB$8*MB$12,0)</f>
        <v/>
      </c>
      <c r="MC32" s="218">
        <f>IF(337&gt;=DeliverStart,ExpAdvertisingPerUnit*TotalUnits/12*MC$8*MC$12,0)</f>
        <v/>
      </c>
      <c r="MD32" s="218">
        <f>IF(338&gt;=DeliverStart,ExpAdvertisingPerUnit*TotalUnits/12*MD$8*MD$12,0)</f>
        <v/>
      </c>
      <c r="ME32" s="218">
        <f>IF(339&gt;=DeliverStart,ExpAdvertisingPerUnit*TotalUnits/12*ME$8*ME$12,0)</f>
        <v/>
      </c>
      <c r="MF32" s="218">
        <f>IF(340&gt;=DeliverStart,ExpAdvertisingPerUnit*TotalUnits/12*MF$8*MF$12,0)</f>
        <v/>
      </c>
      <c r="MG32" s="218">
        <f>IF(341&gt;=DeliverStart,ExpAdvertisingPerUnit*TotalUnits/12*MG$8*MG$12,0)</f>
        <v/>
      </c>
      <c r="MH32" s="218">
        <f>IF(342&gt;=DeliverStart,ExpAdvertisingPerUnit*TotalUnits/12*MH$8*MH$12,0)</f>
        <v/>
      </c>
      <c r="MI32" s="218">
        <f>IF(343&gt;=DeliverStart,ExpAdvertisingPerUnit*TotalUnits/12*MI$8*MI$12,0)</f>
        <v/>
      </c>
      <c r="MJ32" s="218">
        <f>IF(344&gt;=DeliverStart,ExpAdvertisingPerUnit*TotalUnits/12*MJ$8*MJ$12,0)</f>
        <v/>
      </c>
      <c r="MK32" s="218">
        <f>IF(345&gt;=DeliverStart,ExpAdvertisingPerUnit*TotalUnits/12*MK$8*MK$12,0)</f>
        <v/>
      </c>
      <c r="ML32" s="218">
        <f>IF(346&gt;=DeliverStart,ExpAdvertisingPerUnit*TotalUnits/12*ML$8*ML$12,0)</f>
        <v/>
      </c>
      <c r="MM32" s="218">
        <f>IF(347&gt;=DeliverStart,ExpAdvertisingPerUnit*TotalUnits/12*MM$8*MM$12,0)</f>
        <v/>
      </c>
      <c r="MN32" s="218">
        <f>IF(348&gt;=DeliverStart,ExpAdvertisingPerUnit*TotalUnits/12*MN$8*MN$12,0)</f>
        <v/>
      </c>
      <c r="MO32" s="218">
        <f>IF(349&gt;=DeliverStart,ExpAdvertisingPerUnit*TotalUnits/12*MO$8*MO$12,0)</f>
        <v/>
      </c>
      <c r="MP32" s="218">
        <f>IF(350&gt;=DeliverStart,ExpAdvertisingPerUnit*TotalUnits/12*MP$8*MP$12,0)</f>
        <v/>
      </c>
      <c r="MQ32" s="218">
        <f>IF(351&gt;=DeliverStart,ExpAdvertisingPerUnit*TotalUnits/12*MQ$8*MQ$12,0)</f>
        <v/>
      </c>
      <c r="MR32" s="218">
        <f>IF(352&gt;=DeliverStart,ExpAdvertisingPerUnit*TotalUnits/12*MR$8*MR$12,0)</f>
        <v/>
      </c>
      <c r="MS32" s="218">
        <f>IF(353&gt;=DeliverStart,ExpAdvertisingPerUnit*TotalUnits/12*MS$8*MS$12,0)</f>
        <v/>
      </c>
      <c r="MT32" s="218">
        <f>IF(354&gt;=DeliverStart,ExpAdvertisingPerUnit*TotalUnits/12*MT$8*MT$12,0)</f>
        <v/>
      </c>
      <c r="MU32" s="218">
        <f>IF(355&gt;=DeliverStart,ExpAdvertisingPerUnit*TotalUnits/12*MU$8*MU$12,0)</f>
        <v/>
      </c>
      <c r="MV32" s="218">
        <f>IF(356&gt;=DeliverStart,ExpAdvertisingPerUnit*TotalUnits/12*MV$8*MV$12,0)</f>
        <v/>
      </c>
      <c r="MW32" s="218">
        <f>IF(357&gt;=DeliverStart,ExpAdvertisingPerUnit*TotalUnits/12*MW$8*MW$12,0)</f>
        <v/>
      </c>
      <c r="MX32" s="218">
        <f>IF(358&gt;=DeliverStart,ExpAdvertisingPerUnit*TotalUnits/12*MX$8*MX$12,0)</f>
        <v/>
      </c>
      <c r="MY32" s="218">
        <f>IF(359&gt;=DeliverStart,ExpAdvertisingPerUnit*TotalUnits/12*MY$8*MY$12,0)</f>
        <v/>
      </c>
      <c r="MZ32" s="218">
        <f>IF(360&gt;=DeliverStart,ExpAdvertisingPerUnit*TotalUnits/12*MZ$8*MZ$12,0)</f>
        <v/>
      </c>
      <c r="NA32" s="218">
        <f>IF(361&gt;=DeliverStart,ExpAdvertisingPerUnit*TotalUnits/12*NA$8*NA$12,0)</f>
        <v/>
      </c>
      <c r="NB32" s="218">
        <f>IF(362&gt;=DeliverStart,ExpAdvertisingPerUnit*TotalUnits/12*NB$8*NB$12,0)</f>
        <v/>
      </c>
      <c r="NC32" s="218">
        <f>IF(363&gt;=DeliverStart,ExpAdvertisingPerUnit*TotalUnits/12*NC$8*NC$12,0)</f>
        <v/>
      </c>
      <c r="ND32" s="218">
        <f>IF(364&gt;=DeliverStart,ExpAdvertisingPerUnit*TotalUnits/12*ND$8*ND$12,0)</f>
        <v/>
      </c>
      <c r="NE32" s="218">
        <f>IF(365&gt;=DeliverStart,ExpAdvertisingPerUnit*TotalUnits/12*NE$8*NE$12,0)</f>
        <v/>
      </c>
      <c r="NF32" s="218">
        <f>IF(366&gt;=DeliverStart,ExpAdvertisingPerUnit*TotalUnits/12*NF$8*NF$12,0)</f>
        <v/>
      </c>
      <c r="NG32" s="218">
        <f>IF(367&gt;=DeliverStart,ExpAdvertisingPerUnit*TotalUnits/12*NG$8*NG$12,0)</f>
        <v/>
      </c>
      <c r="NH32" s="218">
        <f>IF(368&gt;=DeliverStart,ExpAdvertisingPerUnit*TotalUnits/12*NH$8*NH$12,0)</f>
        <v/>
      </c>
      <c r="NI32" s="218">
        <f>IF(369&gt;=DeliverStart,ExpAdvertisingPerUnit*TotalUnits/12*NI$8*NI$12,0)</f>
        <v/>
      </c>
      <c r="NJ32" s="218">
        <f>IF(370&gt;=DeliverStart,ExpAdvertisingPerUnit*TotalUnits/12*NJ$8*NJ$12,0)</f>
        <v/>
      </c>
      <c r="NK32" s="218">
        <f>IF(371&gt;=DeliverStart,ExpAdvertisingPerUnit*TotalUnits/12*NK$8*NK$12,0)</f>
        <v/>
      </c>
      <c r="NL32" s="225">
        <f>IF(372&gt;=DeliverStart,ExpAdvertisingPerUnit*TotalUnits/12*NL$8*NL$12,0)</f>
        <v/>
      </c>
    </row>
    <row r="33">
      <c r="B33" s="36" t="inlineStr">
        <is>
          <t>Management Fee</t>
        </is>
      </c>
      <c r="D33" s="266">
        <f>SUM(E33:NL33)</f>
        <v/>
      </c>
      <c r="E33" s="218">
        <f>IF(1&gt;=DeliverStart,MgmtFeePct*E$23,0)</f>
        <v/>
      </c>
      <c r="F33" s="218">
        <f>IF(2&gt;=DeliverStart,MgmtFeePct*F$23,0)</f>
        <v/>
      </c>
      <c r="G33" s="218">
        <f>IF(3&gt;=DeliverStart,MgmtFeePct*G$23,0)</f>
        <v/>
      </c>
      <c r="H33" s="218">
        <f>IF(4&gt;=DeliverStart,MgmtFeePct*H$23,0)</f>
        <v/>
      </c>
      <c r="I33" s="218">
        <f>IF(5&gt;=DeliverStart,MgmtFeePct*I$23,0)</f>
        <v/>
      </c>
      <c r="J33" s="218">
        <f>IF(6&gt;=DeliverStart,MgmtFeePct*J$23,0)</f>
        <v/>
      </c>
      <c r="K33" s="218">
        <f>IF(7&gt;=DeliverStart,MgmtFeePct*K$23,0)</f>
        <v/>
      </c>
      <c r="L33" s="218">
        <f>IF(8&gt;=DeliverStart,MgmtFeePct*L$23,0)</f>
        <v/>
      </c>
      <c r="M33" s="218">
        <f>IF(9&gt;=DeliverStart,MgmtFeePct*M$23,0)</f>
        <v/>
      </c>
      <c r="N33" s="218">
        <f>IF(10&gt;=DeliverStart,MgmtFeePct*N$23,0)</f>
        <v/>
      </c>
      <c r="O33" s="218">
        <f>IF(11&gt;=DeliverStart,MgmtFeePct*O$23,0)</f>
        <v/>
      </c>
      <c r="P33" s="218">
        <f>IF(12&gt;=DeliverStart,MgmtFeePct*P$23,0)</f>
        <v/>
      </c>
      <c r="Q33" s="218">
        <f>IF(13&gt;=DeliverStart,MgmtFeePct*Q$23,0)</f>
        <v/>
      </c>
      <c r="R33" s="218">
        <f>IF(14&gt;=DeliverStart,MgmtFeePct*R$23,0)</f>
        <v/>
      </c>
      <c r="S33" s="218">
        <f>IF(15&gt;=DeliverStart,MgmtFeePct*S$23,0)</f>
        <v/>
      </c>
      <c r="T33" s="218">
        <f>IF(16&gt;=DeliverStart,MgmtFeePct*T$23,0)</f>
        <v/>
      </c>
      <c r="U33" s="218">
        <f>IF(17&gt;=DeliverStart,MgmtFeePct*U$23,0)</f>
        <v/>
      </c>
      <c r="V33" s="218">
        <f>IF(18&gt;=DeliverStart,MgmtFeePct*V$23,0)</f>
        <v/>
      </c>
      <c r="W33" s="218">
        <f>IF(19&gt;=DeliverStart,MgmtFeePct*W$23,0)</f>
        <v/>
      </c>
      <c r="X33" s="218">
        <f>IF(20&gt;=DeliverStart,MgmtFeePct*X$23,0)</f>
        <v/>
      </c>
      <c r="Y33" s="218">
        <f>IF(21&gt;=DeliverStart,MgmtFeePct*Y$23,0)</f>
        <v/>
      </c>
      <c r="Z33" s="218">
        <f>IF(22&gt;=DeliverStart,MgmtFeePct*Z$23,0)</f>
        <v/>
      </c>
      <c r="AA33" s="218">
        <f>IF(23&gt;=DeliverStart,MgmtFeePct*AA$23,0)</f>
        <v/>
      </c>
      <c r="AB33" s="218">
        <f>IF(24&gt;=DeliverStart,MgmtFeePct*AB$23,0)</f>
        <v/>
      </c>
      <c r="AC33" s="218">
        <f>IF(25&gt;=DeliverStart,MgmtFeePct*AC$23,0)</f>
        <v/>
      </c>
      <c r="AD33" s="218">
        <f>IF(26&gt;=DeliverStart,MgmtFeePct*AD$23,0)</f>
        <v/>
      </c>
      <c r="AE33" s="218">
        <f>IF(27&gt;=DeliverStart,MgmtFeePct*AE$23,0)</f>
        <v/>
      </c>
      <c r="AF33" s="218">
        <f>IF(28&gt;=DeliverStart,MgmtFeePct*AF$23,0)</f>
        <v/>
      </c>
      <c r="AG33" s="218">
        <f>IF(29&gt;=DeliverStart,MgmtFeePct*AG$23,0)</f>
        <v/>
      </c>
      <c r="AH33" s="218">
        <f>IF(30&gt;=DeliverStart,MgmtFeePct*AH$23,0)</f>
        <v/>
      </c>
      <c r="AI33" s="218">
        <f>IF(31&gt;=DeliverStart,MgmtFeePct*AI$23,0)</f>
        <v/>
      </c>
      <c r="AJ33" s="218">
        <f>IF(32&gt;=DeliverStart,MgmtFeePct*AJ$23,0)</f>
        <v/>
      </c>
      <c r="AK33" s="218">
        <f>IF(33&gt;=DeliverStart,MgmtFeePct*AK$23,0)</f>
        <v/>
      </c>
      <c r="AL33" s="218">
        <f>IF(34&gt;=DeliverStart,MgmtFeePct*AL$23,0)</f>
        <v/>
      </c>
      <c r="AM33" s="218">
        <f>IF(35&gt;=DeliverStart,MgmtFeePct*AM$23,0)</f>
        <v/>
      </c>
      <c r="AN33" s="218">
        <f>IF(36&gt;=DeliverStart,MgmtFeePct*AN$23,0)</f>
        <v/>
      </c>
      <c r="AO33" s="218">
        <f>IF(37&gt;=DeliverStart,MgmtFeePct*AO$23,0)</f>
        <v/>
      </c>
      <c r="AP33" s="218">
        <f>IF(38&gt;=DeliverStart,MgmtFeePct*AP$23,0)</f>
        <v/>
      </c>
      <c r="AQ33" s="218">
        <f>IF(39&gt;=DeliverStart,MgmtFeePct*AQ$23,0)</f>
        <v/>
      </c>
      <c r="AR33" s="218">
        <f>IF(40&gt;=DeliverStart,MgmtFeePct*AR$23,0)</f>
        <v/>
      </c>
      <c r="AS33" s="218">
        <f>IF(41&gt;=DeliverStart,MgmtFeePct*AS$23,0)</f>
        <v/>
      </c>
      <c r="AT33" s="218">
        <f>IF(42&gt;=DeliverStart,MgmtFeePct*AT$23,0)</f>
        <v/>
      </c>
      <c r="AU33" s="218">
        <f>IF(43&gt;=DeliverStart,MgmtFeePct*AU$23,0)</f>
        <v/>
      </c>
      <c r="AV33" s="218">
        <f>IF(44&gt;=DeliverStart,MgmtFeePct*AV$23,0)</f>
        <v/>
      </c>
      <c r="AW33" s="218">
        <f>IF(45&gt;=DeliverStart,MgmtFeePct*AW$23,0)</f>
        <v/>
      </c>
      <c r="AX33" s="218">
        <f>IF(46&gt;=DeliverStart,MgmtFeePct*AX$23,0)</f>
        <v/>
      </c>
      <c r="AY33" s="218">
        <f>IF(47&gt;=DeliverStart,MgmtFeePct*AY$23,0)</f>
        <v/>
      </c>
      <c r="AZ33" s="218">
        <f>IF(48&gt;=DeliverStart,MgmtFeePct*AZ$23,0)</f>
        <v/>
      </c>
      <c r="BA33" s="218">
        <f>IF(49&gt;=DeliverStart,MgmtFeePct*BA$23,0)</f>
        <v/>
      </c>
      <c r="BB33" s="218">
        <f>IF(50&gt;=DeliverStart,MgmtFeePct*BB$23,0)</f>
        <v/>
      </c>
      <c r="BC33" s="218">
        <f>IF(51&gt;=DeliverStart,MgmtFeePct*BC$23,0)</f>
        <v/>
      </c>
      <c r="BD33" s="218">
        <f>IF(52&gt;=DeliverStart,MgmtFeePct*BD$23,0)</f>
        <v/>
      </c>
      <c r="BE33" s="218">
        <f>IF(53&gt;=DeliverStart,MgmtFeePct*BE$23,0)</f>
        <v/>
      </c>
      <c r="BF33" s="218">
        <f>IF(54&gt;=DeliverStart,MgmtFeePct*BF$23,0)</f>
        <v/>
      </c>
      <c r="BG33" s="218">
        <f>IF(55&gt;=DeliverStart,MgmtFeePct*BG$23,0)</f>
        <v/>
      </c>
      <c r="BH33" s="218">
        <f>IF(56&gt;=DeliverStart,MgmtFeePct*BH$23,0)</f>
        <v/>
      </c>
      <c r="BI33" s="218">
        <f>IF(57&gt;=DeliverStart,MgmtFeePct*BI$23,0)</f>
        <v/>
      </c>
      <c r="BJ33" s="218">
        <f>IF(58&gt;=DeliverStart,MgmtFeePct*BJ$23,0)</f>
        <v/>
      </c>
      <c r="BK33" s="218">
        <f>IF(59&gt;=DeliverStart,MgmtFeePct*BK$23,0)</f>
        <v/>
      </c>
      <c r="BL33" s="218">
        <f>IF(60&gt;=DeliverStart,MgmtFeePct*BL$23,0)</f>
        <v/>
      </c>
      <c r="BM33" s="218">
        <f>IF(61&gt;=DeliverStart,MgmtFeePct*BM$23,0)</f>
        <v/>
      </c>
      <c r="BN33" s="218">
        <f>IF(62&gt;=DeliverStart,MgmtFeePct*BN$23,0)</f>
        <v/>
      </c>
      <c r="BO33" s="218">
        <f>IF(63&gt;=DeliverStart,MgmtFeePct*BO$23,0)</f>
        <v/>
      </c>
      <c r="BP33" s="218">
        <f>IF(64&gt;=DeliverStart,MgmtFeePct*BP$23,0)</f>
        <v/>
      </c>
      <c r="BQ33" s="218">
        <f>IF(65&gt;=DeliverStart,MgmtFeePct*BQ$23,0)</f>
        <v/>
      </c>
      <c r="BR33" s="218">
        <f>IF(66&gt;=DeliverStart,MgmtFeePct*BR$23,0)</f>
        <v/>
      </c>
      <c r="BS33" s="218">
        <f>IF(67&gt;=DeliverStart,MgmtFeePct*BS$23,0)</f>
        <v/>
      </c>
      <c r="BT33" s="218">
        <f>IF(68&gt;=DeliverStart,MgmtFeePct*BT$23,0)</f>
        <v/>
      </c>
      <c r="BU33" s="218">
        <f>IF(69&gt;=DeliverStart,MgmtFeePct*BU$23,0)</f>
        <v/>
      </c>
      <c r="BV33" s="218">
        <f>IF(70&gt;=DeliverStart,MgmtFeePct*BV$23,0)</f>
        <v/>
      </c>
      <c r="BW33" s="218">
        <f>IF(71&gt;=DeliverStart,MgmtFeePct*BW$23,0)</f>
        <v/>
      </c>
      <c r="BX33" s="218">
        <f>IF(72&gt;=DeliverStart,MgmtFeePct*BX$23,0)</f>
        <v/>
      </c>
      <c r="BY33" s="218">
        <f>IF(73&gt;=DeliverStart,MgmtFeePct*BY$23,0)</f>
        <v/>
      </c>
      <c r="BZ33" s="218">
        <f>IF(74&gt;=DeliverStart,MgmtFeePct*BZ$23,0)</f>
        <v/>
      </c>
      <c r="CA33" s="218">
        <f>IF(75&gt;=DeliverStart,MgmtFeePct*CA$23,0)</f>
        <v/>
      </c>
      <c r="CB33" s="218">
        <f>IF(76&gt;=DeliverStart,MgmtFeePct*CB$23,0)</f>
        <v/>
      </c>
      <c r="CC33" s="218">
        <f>IF(77&gt;=DeliverStart,MgmtFeePct*CC$23,0)</f>
        <v/>
      </c>
      <c r="CD33" s="218">
        <f>IF(78&gt;=DeliverStart,MgmtFeePct*CD$23,0)</f>
        <v/>
      </c>
      <c r="CE33" s="218">
        <f>IF(79&gt;=DeliverStart,MgmtFeePct*CE$23,0)</f>
        <v/>
      </c>
      <c r="CF33" s="218">
        <f>IF(80&gt;=DeliverStart,MgmtFeePct*CF$23,0)</f>
        <v/>
      </c>
      <c r="CG33" s="218">
        <f>IF(81&gt;=DeliverStart,MgmtFeePct*CG$23,0)</f>
        <v/>
      </c>
      <c r="CH33" s="218">
        <f>IF(82&gt;=DeliverStart,MgmtFeePct*CH$23,0)</f>
        <v/>
      </c>
      <c r="CI33" s="218">
        <f>IF(83&gt;=DeliverStart,MgmtFeePct*CI$23,0)</f>
        <v/>
      </c>
      <c r="CJ33" s="218">
        <f>IF(84&gt;=DeliverStart,MgmtFeePct*CJ$23,0)</f>
        <v/>
      </c>
      <c r="CK33" s="218">
        <f>IF(85&gt;=DeliverStart,MgmtFeePct*CK$23,0)</f>
        <v/>
      </c>
      <c r="CL33" s="218">
        <f>IF(86&gt;=DeliverStart,MgmtFeePct*CL$23,0)</f>
        <v/>
      </c>
      <c r="CM33" s="218">
        <f>IF(87&gt;=DeliverStart,MgmtFeePct*CM$23,0)</f>
        <v/>
      </c>
      <c r="CN33" s="218">
        <f>IF(88&gt;=DeliverStart,MgmtFeePct*CN$23,0)</f>
        <v/>
      </c>
      <c r="CO33" s="218">
        <f>IF(89&gt;=DeliverStart,MgmtFeePct*CO$23,0)</f>
        <v/>
      </c>
      <c r="CP33" s="218">
        <f>IF(90&gt;=DeliverStart,MgmtFeePct*CP$23,0)</f>
        <v/>
      </c>
      <c r="CQ33" s="218">
        <f>IF(91&gt;=DeliverStart,MgmtFeePct*CQ$23,0)</f>
        <v/>
      </c>
      <c r="CR33" s="218">
        <f>IF(92&gt;=DeliverStart,MgmtFeePct*CR$23,0)</f>
        <v/>
      </c>
      <c r="CS33" s="218">
        <f>IF(93&gt;=DeliverStart,MgmtFeePct*CS$23,0)</f>
        <v/>
      </c>
      <c r="CT33" s="218">
        <f>IF(94&gt;=DeliverStart,MgmtFeePct*CT$23,0)</f>
        <v/>
      </c>
      <c r="CU33" s="218">
        <f>IF(95&gt;=DeliverStart,MgmtFeePct*CU$23,0)</f>
        <v/>
      </c>
      <c r="CV33" s="218">
        <f>IF(96&gt;=DeliverStart,MgmtFeePct*CV$23,0)</f>
        <v/>
      </c>
      <c r="CW33" s="218">
        <f>IF(97&gt;=DeliverStart,MgmtFeePct*CW$23,0)</f>
        <v/>
      </c>
      <c r="CX33" s="218">
        <f>IF(98&gt;=DeliverStart,MgmtFeePct*CX$23,0)</f>
        <v/>
      </c>
      <c r="CY33" s="218">
        <f>IF(99&gt;=DeliverStart,MgmtFeePct*CY$23,0)</f>
        <v/>
      </c>
      <c r="CZ33" s="218">
        <f>IF(100&gt;=DeliverStart,MgmtFeePct*CZ$23,0)</f>
        <v/>
      </c>
      <c r="DA33" s="218">
        <f>IF(101&gt;=DeliverStart,MgmtFeePct*DA$23,0)</f>
        <v/>
      </c>
      <c r="DB33" s="218">
        <f>IF(102&gt;=DeliverStart,MgmtFeePct*DB$23,0)</f>
        <v/>
      </c>
      <c r="DC33" s="218">
        <f>IF(103&gt;=DeliverStart,MgmtFeePct*DC$23,0)</f>
        <v/>
      </c>
      <c r="DD33" s="218">
        <f>IF(104&gt;=DeliverStart,MgmtFeePct*DD$23,0)</f>
        <v/>
      </c>
      <c r="DE33" s="218">
        <f>IF(105&gt;=DeliverStart,MgmtFeePct*DE$23,0)</f>
        <v/>
      </c>
      <c r="DF33" s="218">
        <f>IF(106&gt;=DeliverStart,MgmtFeePct*DF$23,0)</f>
        <v/>
      </c>
      <c r="DG33" s="218">
        <f>IF(107&gt;=DeliverStart,MgmtFeePct*DG$23,0)</f>
        <v/>
      </c>
      <c r="DH33" s="218">
        <f>IF(108&gt;=DeliverStart,MgmtFeePct*DH$23,0)</f>
        <v/>
      </c>
      <c r="DI33" s="218">
        <f>IF(109&gt;=DeliverStart,MgmtFeePct*DI$23,0)</f>
        <v/>
      </c>
      <c r="DJ33" s="218">
        <f>IF(110&gt;=DeliverStart,MgmtFeePct*DJ$23,0)</f>
        <v/>
      </c>
      <c r="DK33" s="218">
        <f>IF(111&gt;=DeliverStart,MgmtFeePct*DK$23,0)</f>
        <v/>
      </c>
      <c r="DL33" s="218">
        <f>IF(112&gt;=DeliverStart,MgmtFeePct*DL$23,0)</f>
        <v/>
      </c>
      <c r="DM33" s="218">
        <f>IF(113&gt;=DeliverStart,MgmtFeePct*DM$23,0)</f>
        <v/>
      </c>
      <c r="DN33" s="218">
        <f>IF(114&gt;=DeliverStart,MgmtFeePct*DN$23,0)</f>
        <v/>
      </c>
      <c r="DO33" s="218">
        <f>IF(115&gt;=DeliverStart,MgmtFeePct*DO$23,0)</f>
        <v/>
      </c>
      <c r="DP33" s="218">
        <f>IF(116&gt;=DeliverStart,MgmtFeePct*DP$23,0)</f>
        <v/>
      </c>
      <c r="DQ33" s="218">
        <f>IF(117&gt;=DeliverStart,MgmtFeePct*DQ$23,0)</f>
        <v/>
      </c>
      <c r="DR33" s="218">
        <f>IF(118&gt;=DeliverStart,MgmtFeePct*DR$23,0)</f>
        <v/>
      </c>
      <c r="DS33" s="218">
        <f>IF(119&gt;=DeliverStart,MgmtFeePct*DS$23,0)</f>
        <v/>
      </c>
      <c r="DT33" s="218">
        <f>IF(120&gt;=DeliverStart,MgmtFeePct*DT$23,0)</f>
        <v/>
      </c>
      <c r="DU33" s="218">
        <f>IF(121&gt;=DeliverStart,MgmtFeePct*DU$23,0)</f>
        <v/>
      </c>
      <c r="DV33" s="218">
        <f>IF(122&gt;=DeliverStart,MgmtFeePct*DV$23,0)</f>
        <v/>
      </c>
      <c r="DW33" s="218">
        <f>IF(123&gt;=DeliverStart,MgmtFeePct*DW$23,0)</f>
        <v/>
      </c>
      <c r="DX33" s="218">
        <f>IF(124&gt;=DeliverStart,MgmtFeePct*DX$23,0)</f>
        <v/>
      </c>
      <c r="DY33" s="218">
        <f>IF(125&gt;=DeliverStart,MgmtFeePct*DY$23,0)</f>
        <v/>
      </c>
      <c r="DZ33" s="218">
        <f>IF(126&gt;=DeliverStart,MgmtFeePct*DZ$23,0)</f>
        <v/>
      </c>
      <c r="EA33" s="218">
        <f>IF(127&gt;=DeliverStart,MgmtFeePct*EA$23,0)</f>
        <v/>
      </c>
      <c r="EB33" s="218">
        <f>IF(128&gt;=DeliverStart,MgmtFeePct*EB$23,0)</f>
        <v/>
      </c>
      <c r="EC33" s="218">
        <f>IF(129&gt;=DeliverStart,MgmtFeePct*EC$23,0)</f>
        <v/>
      </c>
      <c r="ED33" s="218">
        <f>IF(130&gt;=DeliverStart,MgmtFeePct*ED$23,0)</f>
        <v/>
      </c>
      <c r="EE33" s="218">
        <f>IF(131&gt;=DeliverStart,MgmtFeePct*EE$23,0)</f>
        <v/>
      </c>
      <c r="EF33" s="218">
        <f>IF(132&gt;=DeliverStart,MgmtFeePct*EF$23,0)</f>
        <v/>
      </c>
      <c r="EG33" s="218">
        <f>IF(133&gt;=DeliverStart,MgmtFeePct*EG$23,0)</f>
        <v/>
      </c>
      <c r="EH33" s="218">
        <f>IF(134&gt;=DeliverStart,MgmtFeePct*EH$23,0)</f>
        <v/>
      </c>
      <c r="EI33" s="218">
        <f>IF(135&gt;=DeliverStart,MgmtFeePct*EI$23,0)</f>
        <v/>
      </c>
      <c r="EJ33" s="218">
        <f>IF(136&gt;=DeliverStart,MgmtFeePct*EJ$23,0)</f>
        <v/>
      </c>
      <c r="EK33" s="218">
        <f>IF(137&gt;=DeliverStart,MgmtFeePct*EK$23,0)</f>
        <v/>
      </c>
      <c r="EL33" s="218">
        <f>IF(138&gt;=DeliverStart,MgmtFeePct*EL$23,0)</f>
        <v/>
      </c>
      <c r="EM33" s="218">
        <f>IF(139&gt;=DeliverStart,MgmtFeePct*EM$23,0)</f>
        <v/>
      </c>
      <c r="EN33" s="218">
        <f>IF(140&gt;=DeliverStart,MgmtFeePct*EN$23,0)</f>
        <v/>
      </c>
      <c r="EO33" s="218">
        <f>IF(141&gt;=DeliverStart,MgmtFeePct*EO$23,0)</f>
        <v/>
      </c>
      <c r="EP33" s="218">
        <f>IF(142&gt;=DeliverStart,MgmtFeePct*EP$23,0)</f>
        <v/>
      </c>
      <c r="EQ33" s="218">
        <f>IF(143&gt;=DeliverStart,MgmtFeePct*EQ$23,0)</f>
        <v/>
      </c>
      <c r="ER33" s="218">
        <f>IF(144&gt;=DeliverStart,MgmtFeePct*ER$23,0)</f>
        <v/>
      </c>
      <c r="ES33" s="218">
        <f>IF(145&gt;=DeliverStart,MgmtFeePct*ES$23,0)</f>
        <v/>
      </c>
      <c r="ET33" s="218">
        <f>IF(146&gt;=DeliverStart,MgmtFeePct*ET$23,0)</f>
        <v/>
      </c>
      <c r="EU33" s="218">
        <f>IF(147&gt;=DeliverStart,MgmtFeePct*EU$23,0)</f>
        <v/>
      </c>
      <c r="EV33" s="218">
        <f>IF(148&gt;=DeliverStart,MgmtFeePct*EV$23,0)</f>
        <v/>
      </c>
      <c r="EW33" s="218">
        <f>IF(149&gt;=DeliverStart,MgmtFeePct*EW$23,0)</f>
        <v/>
      </c>
      <c r="EX33" s="218">
        <f>IF(150&gt;=DeliverStart,MgmtFeePct*EX$23,0)</f>
        <v/>
      </c>
      <c r="EY33" s="218">
        <f>IF(151&gt;=DeliverStart,MgmtFeePct*EY$23,0)</f>
        <v/>
      </c>
      <c r="EZ33" s="218">
        <f>IF(152&gt;=DeliverStart,MgmtFeePct*EZ$23,0)</f>
        <v/>
      </c>
      <c r="FA33" s="218">
        <f>IF(153&gt;=DeliverStart,MgmtFeePct*FA$23,0)</f>
        <v/>
      </c>
      <c r="FB33" s="218">
        <f>IF(154&gt;=DeliverStart,MgmtFeePct*FB$23,0)</f>
        <v/>
      </c>
      <c r="FC33" s="218">
        <f>IF(155&gt;=DeliverStart,MgmtFeePct*FC$23,0)</f>
        <v/>
      </c>
      <c r="FD33" s="218">
        <f>IF(156&gt;=DeliverStart,MgmtFeePct*FD$23,0)</f>
        <v/>
      </c>
      <c r="FE33" s="218">
        <f>IF(157&gt;=DeliverStart,MgmtFeePct*FE$23,0)</f>
        <v/>
      </c>
      <c r="FF33" s="218">
        <f>IF(158&gt;=DeliverStart,MgmtFeePct*FF$23,0)</f>
        <v/>
      </c>
      <c r="FG33" s="218">
        <f>IF(159&gt;=DeliverStart,MgmtFeePct*FG$23,0)</f>
        <v/>
      </c>
      <c r="FH33" s="218">
        <f>IF(160&gt;=DeliverStart,MgmtFeePct*FH$23,0)</f>
        <v/>
      </c>
      <c r="FI33" s="218">
        <f>IF(161&gt;=DeliverStart,MgmtFeePct*FI$23,0)</f>
        <v/>
      </c>
      <c r="FJ33" s="218">
        <f>IF(162&gt;=DeliverStart,MgmtFeePct*FJ$23,0)</f>
        <v/>
      </c>
      <c r="FK33" s="218">
        <f>IF(163&gt;=DeliverStart,MgmtFeePct*FK$23,0)</f>
        <v/>
      </c>
      <c r="FL33" s="218">
        <f>IF(164&gt;=DeliverStart,MgmtFeePct*FL$23,0)</f>
        <v/>
      </c>
      <c r="FM33" s="218">
        <f>IF(165&gt;=DeliverStart,MgmtFeePct*FM$23,0)</f>
        <v/>
      </c>
      <c r="FN33" s="218">
        <f>IF(166&gt;=DeliverStart,MgmtFeePct*FN$23,0)</f>
        <v/>
      </c>
      <c r="FO33" s="218">
        <f>IF(167&gt;=DeliverStart,MgmtFeePct*FO$23,0)</f>
        <v/>
      </c>
      <c r="FP33" s="218">
        <f>IF(168&gt;=DeliverStart,MgmtFeePct*FP$23,0)</f>
        <v/>
      </c>
      <c r="FQ33" s="218">
        <f>IF(169&gt;=DeliverStart,MgmtFeePct*FQ$23,0)</f>
        <v/>
      </c>
      <c r="FR33" s="218">
        <f>IF(170&gt;=DeliverStart,MgmtFeePct*FR$23,0)</f>
        <v/>
      </c>
      <c r="FS33" s="218">
        <f>IF(171&gt;=DeliverStart,MgmtFeePct*FS$23,0)</f>
        <v/>
      </c>
      <c r="FT33" s="218">
        <f>IF(172&gt;=DeliverStart,MgmtFeePct*FT$23,0)</f>
        <v/>
      </c>
      <c r="FU33" s="218">
        <f>IF(173&gt;=DeliverStart,MgmtFeePct*FU$23,0)</f>
        <v/>
      </c>
      <c r="FV33" s="218">
        <f>IF(174&gt;=DeliverStart,MgmtFeePct*FV$23,0)</f>
        <v/>
      </c>
      <c r="FW33" s="218">
        <f>IF(175&gt;=DeliverStart,MgmtFeePct*FW$23,0)</f>
        <v/>
      </c>
      <c r="FX33" s="218">
        <f>IF(176&gt;=DeliverStart,MgmtFeePct*FX$23,0)</f>
        <v/>
      </c>
      <c r="FY33" s="218">
        <f>IF(177&gt;=DeliverStart,MgmtFeePct*FY$23,0)</f>
        <v/>
      </c>
      <c r="FZ33" s="218">
        <f>IF(178&gt;=DeliverStart,MgmtFeePct*FZ$23,0)</f>
        <v/>
      </c>
      <c r="GA33" s="218">
        <f>IF(179&gt;=DeliverStart,MgmtFeePct*GA$23,0)</f>
        <v/>
      </c>
      <c r="GB33" s="218">
        <f>IF(180&gt;=DeliverStart,MgmtFeePct*GB$23,0)</f>
        <v/>
      </c>
      <c r="GC33" s="218">
        <f>IF(181&gt;=DeliverStart,MgmtFeePct*GC$23,0)</f>
        <v/>
      </c>
      <c r="GD33" s="218">
        <f>IF(182&gt;=DeliverStart,MgmtFeePct*GD$23,0)</f>
        <v/>
      </c>
      <c r="GE33" s="218">
        <f>IF(183&gt;=DeliverStart,MgmtFeePct*GE$23,0)</f>
        <v/>
      </c>
      <c r="GF33" s="218">
        <f>IF(184&gt;=DeliverStart,MgmtFeePct*GF$23,0)</f>
        <v/>
      </c>
      <c r="GG33" s="218">
        <f>IF(185&gt;=DeliverStart,MgmtFeePct*GG$23,0)</f>
        <v/>
      </c>
      <c r="GH33" s="218">
        <f>IF(186&gt;=DeliverStart,MgmtFeePct*GH$23,0)</f>
        <v/>
      </c>
      <c r="GI33" s="218">
        <f>IF(187&gt;=DeliverStart,MgmtFeePct*GI$23,0)</f>
        <v/>
      </c>
      <c r="GJ33" s="218">
        <f>IF(188&gt;=DeliverStart,MgmtFeePct*GJ$23,0)</f>
        <v/>
      </c>
      <c r="GK33" s="218">
        <f>IF(189&gt;=DeliverStart,MgmtFeePct*GK$23,0)</f>
        <v/>
      </c>
      <c r="GL33" s="218">
        <f>IF(190&gt;=DeliverStart,MgmtFeePct*GL$23,0)</f>
        <v/>
      </c>
      <c r="GM33" s="218">
        <f>IF(191&gt;=DeliverStart,MgmtFeePct*GM$23,0)</f>
        <v/>
      </c>
      <c r="GN33" s="218">
        <f>IF(192&gt;=DeliverStart,MgmtFeePct*GN$23,0)</f>
        <v/>
      </c>
      <c r="GO33" s="218">
        <f>IF(193&gt;=DeliverStart,MgmtFeePct*GO$23,0)</f>
        <v/>
      </c>
      <c r="GP33" s="218">
        <f>IF(194&gt;=DeliverStart,MgmtFeePct*GP$23,0)</f>
        <v/>
      </c>
      <c r="GQ33" s="218">
        <f>IF(195&gt;=DeliverStart,MgmtFeePct*GQ$23,0)</f>
        <v/>
      </c>
      <c r="GR33" s="218">
        <f>IF(196&gt;=DeliverStart,MgmtFeePct*GR$23,0)</f>
        <v/>
      </c>
      <c r="GS33" s="218">
        <f>IF(197&gt;=DeliverStart,MgmtFeePct*GS$23,0)</f>
        <v/>
      </c>
      <c r="GT33" s="218">
        <f>IF(198&gt;=DeliverStart,MgmtFeePct*GT$23,0)</f>
        <v/>
      </c>
      <c r="GU33" s="218">
        <f>IF(199&gt;=DeliverStart,MgmtFeePct*GU$23,0)</f>
        <v/>
      </c>
      <c r="GV33" s="218">
        <f>IF(200&gt;=DeliverStart,MgmtFeePct*GV$23,0)</f>
        <v/>
      </c>
      <c r="GW33" s="218">
        <f>IF(201&gt;=DeliverStart,MgmtFeePct*GW$23,0)</f>
        <v/>
      </c>
      <c r="GX33" s="218">
        <f>IF(202&gt;=DeliverStart,MgmtFeePct*GX$23,0)</f>
        <v/>
      </c>
      <c r="GY33" s="218">
        <f>IF(203&gt;=DeliverStart,MgmtFeePct*GY$23,0)</f>
        <v/>
      </c>
      <c r="GZ33" s="218">
        <f>IF(204&gt;=DeliverStart,MgmtFeePct*GZ$23,0)</f>
        <v/>
      </c>
      <c r="HA33" s="218">
        <f>IF(205&gt;=DeliverStart,MgmtFeePct*HA$23,0)</f>
        <v/>
      </c>
      <c r="HB33" s="218">
        <f>IF(206&gt;=DeliverStart,MgmtFeePct*HB$23,0)</f>
        <v/>
      </c>
      <c r="HC33" s="218">
        <f>IF(207&gt;=DeliverStart,MgmtFeePct*HC$23,0)</f>
        <v/>
      </c>
      <c r="HD33" s="218">
        <f>IF(208&gt;=DeliverStart,MgmtFeePct*HD$23,0)</f>
        <v/>
      </c>
      <c r="HE33" s="218">
        <f>IF(209&gt;=DeliverStart,MgmtFeePct*HE$23,0)</f>
        <v/>
      </c>
      <c r="HF33" s="218">
        <f>IF(210&gt;=DeliverStart,MgmtFeePct*HF$23,0)</f>
        <v/>
      </c>
      <c r="HG33" s="218">
        <f>IF(211&gt;=DeliverStart,MgmtFeePct*HG$23,0)</f>
        <v/>
      </c>
      <c r="HH33" s="218">
        <f>IF(212&gt;=DeliverStart,MgmtFeePct*HH$23,0)</f>
        <v/>
      </c>
      <c r="HI33" s="218">
        <f>IF(213&gt;=DeliverStart,MgmtFeePct*HI$23,0)</f>
        <v/>
      </c>
      <c r="HJ33" s="218">
        <f>IF(214&gt;=DeliverStart,MgmtFeePct*HJ$23,0)</f>
        <v/>
      </c>
      <c r="HK33" s="218">
        <f>IF(215&gt;=DeliverStart,MgmtFeePct*HK$23,0)</f>
        <v/>
      </c>
      <c r="HL33" s="218">
        <f>IF(216&gt;=DeliverStart,MgmtFeePct*HL$23,0)</f>
        <v/>
      </c>
      <c r="HM33" s="218">
        <f>IF(217&gt;=DeliverStart,MgmtFeePct*HM$23,0)</f>
        <v/>
      </c>
      <c r="HN33" s="218">
        <f>IF(218&gt;=DeliverStart,MgmtFeePct*HN$23,0)</f>
        <v/>
      </c>
      <c r="HO33" s="218">
        <f>IF(219&gt;=DeliverStart,MgmtFeePct*HO$23,0)</f>
        <v/>
      </c>
      <c r="HP33" s="218">
        <f>IF(220&gt;=DeliverStart,MgmtFeePct*HP$23,0)</f>
        <v/>
      </c>
      <c r="HQ33" s="218">
        <f>IF(221&gt;=DeliverStart,MgmtFeePct*HQ$23,0)</f>
        <v/>
      </c>
      <c r="HR33" s="218">
        <f>IF(222&gt;=DeliverStart,MgmtFeePct*HR$23,0)</f>
        <v/>
      </c>
      <c r="HS33" s="218">
        <f>IF(223&gt;=DeliverStart,MgmtFeePct*HS$23,0)</f>
        <v/>
      </c>
      <c r="HT33" s="218">
        <f>IF(224&gt;=DeliverStart,MgmtFeePct*HT$23,0)</f>
        <v/>
      </c>
      <c r="HU33" s="218">
        <f>IF(225&gt;=DeliverStart,MgmtFeePct*HU$23,0)</f>
        <v/>
      </c>
      <c r="HV33" s="218">
        <f>IF(226&gt;=DeliverStart,MgmtFeePct*HV$23,0)</f>
        <v/>
      </c>
      <c r="HW33" s="218">
        <f>IF(227&gt;=DeliverStart,MgmtFeePct*HW$23,0)</f>
        <v/>
      </c>
      <c r="HX33" s="218">
        <f>IF(228&gt;=DeliverStart,MgmtFeePct*HX$23,0)</f>
        <v/>
      </c>
      <c r="HY33" s="218">
        <f>IF(229&gt;=DeliverStart,MgmtFeePct*HY$23,0)</f>
        <v/>
      </c>
      <c r="HZ33" s="218">
        <f>IF(230&gt;=DeliverStart,MgmtFeePct*HZ$23,0)</f>
        <v/>
      </c>
      <c r="IA33" s="218">
        <f>IF(231&gt;=DeliverStart,MgmtFeePct*IA$23,0)</f>
        <v/>
      </c>
      <c r="IB33" s="218">
        <f>IF(232&gt;=DeliverStart,MgmtFeePct*IB$23,0)</f>
        <v/>
      </c>
      <c r="IC33" s="218">
        <f>IF(233&gt;=DeliverStart,MgmtFeePct*IC$23,0)</f>
        <v/>
      </c>
      <c r="ID33" s="218">
        <f>IF(234&gt;=DeliverStart,MgmtFeePct*ID$23,0)</f>
        <v/>
      </c>
      <c r="IE33" s="218">
        <f>IF(235&gt;=DeliverStart,MgmtFeePct*IE$23,0)</f>
        <v/>
      </c>
      <c r="IF33" s="218">
        <f>IF(236&gt;=DeliverStart,MgmtFeePct*IF$23,0)</f>
        <v/>
      </c>
      <c r="IG33" s="218">
        <f>IF(237&gt;=DeliverStart,MgmtFeePct*IG$23,0)</f>
        <v/>
      </c>
      <c r="IH33" s="218">
        <f>IF(238&gt;=DeliverStart,MgmtFeePct*IH$23,0)</f>
        <v/>
      </c>
      <c r="II33" s="218">
        <f>IF(239&gt;=DeliverStart,MgmtFeePct*II$23,0)</f>
        <v/>
      </c>
      <c r="IJ33" s="218">
        <f>IF(240&gt;=DeliverStart,MgmtFeePct*IJ$23,0)</f>
        <v/>
      </c>
      <c r="IK33" s="218">
        <f>IF(241&gt;=DeliverStart,MgmtFeePct*IK$23,0)</f>
        <v/>
      </c>
      <c r="IL33" s="218">
        <f>IF(242&gt;=DeliverStart,MgmtFeePct*IL$23,0)</f>
        <v/>
      </c>
      <c r="IM33" s="218">
        <f>IF(243&gt;=DeliverStart,MgmtFeePct*IM$23,0)</f>
        <v/>
      </c>
      <c r="IN33" s="218">
        <f>IF(244&gt;=DeliverStart,MgmtFeePct*IN$23,0)</f>
        <v/>
      </c>
      <c r="IO33" s="218">
        <f>IF(245&gt;=DeliverStart,MgmtFeePct*IO$23,0)</f>
        <v/>
      </c>
      <c r="IP33" s="218">
        <f>IF(246&gt;=DeliverStart,MgmtFeePct*IP$23,0)</f>
        <v/>
      </c>
      <c r="IQ33" s="218">
        <f>IF(247&gt;=DeliverStart,MgmtFeePct*IQ$23,0)</f>
        <v/>
      </c>
      <c r="IR33" s="218">
        <f>IF(248&gt;=DeliverStart,MgmtFeePct*IR$23,0)</f>
        <v/>
      </c>
      <c r="IS33" s="218">
        <f>IF(249&gt;=DeliverStart,MgmtFeePct*IS$23,0)</f>
        <v/>
      </c>
      <c r="IT33" s="218">
        <f>IF(250&gt;=DeliverStart,MgmtFeePct*IT$23,0)</f>
        <v/>
      </c>
      <c r="IU33" s="218">
        <f>IF(251&gt;=DeliverStart,MgmtFeePct*IU$23,0)</f>
        <v/>
      </c>
      <c r="IV33" s="218">
        <f>IF(252&gt;=DeliverStart,MgmtFeePct*IV$23,0)</f>
        <v/>
      </c>
      <c r="IW33" s="218">
        <f>IF(253&gt;=DeliverStart,MgmtFeePct*IW$23,0)</f>
        <v/>
      </c>
      <c r="IX33" s="218">
        <f>IF(254&gt;=DeliverStart,MgmtFeePct*IX$23,0)</f>
        <v/>
      </c>
      <c r="IY33" s="218">
        <f>IF(255&gt;=DeliverStart,MgmtFeePct*IY$23,0)</f>
        <v/>
      </c>
      <c r="IZ33" s="218">
        <f>IF(256&gt;=DeliverStart,MgmtFeePct*IZ$23,0)</f>
        <v/>
      </c>
      <c r="JA33" s="218">
        <f>IF(257&gt;=DeliverStart,MgmtFeePct*JA$23,0)</f>
        <v/>
      </c>
      <c r="JB33" s="218">
        <f>IF(258&gt;=DeliverStart,MgmtFeePct*JB$23,0)</f>
        <v/>
      </c>
      <c r="JC33" s="218">
        <f>IF(259&gt;=DeliverStart,MgmtFeePct*JC$23,0)</f>
        <v/>
      </c>
      <c r="JD33" s="218">
        <f>IF(260&gt;=DeliverStart,MgmtFeePct*JD$23,0)</f>
        <v/>
      </c>
      <c r="JE33" s="218">
        <f>IF(261&gt;=DeliverStart,MgmtFeePct*JE$23,0)</f>
        <v/>
      </c>
      <c r="JF33" s="218">
        <f>IF(262&gt;=DeliverStart,MgmtFeePct*JF$23,0)</f>
        <v/>
      </c>
      <c r="JG33" s="218">
        <f>IF(263&gt;=DeliverStart,MgmtFeePct*JG$23,0)</f>
        <v/>
      </c>
      <c r="JH33" s="218">
        <f>IF(264&gt;=DeliverStart,MgmtFeePct*JH$23,0)</f>
        <v/>
      </c>
      <c r="JI33" s="218">
        <f>IF(265&gt;=DeliverStart,MgmtFeePct*JI$23,0)</f>
        <v/>
      </c>
      <c r="JJ33" s="218">
        <f>IF(266&gt;=DeliverStart,MgmtFeePct*JJ$23,0)</f>
        <v/>
      </c>
      <c r="JK33" s="218">
        <f>IF(267&gt;=DeliverStart,MgmtFeePct*JK$23,0)</f>
        <v/>
      </c>
      <c r="JL33" s="218">
        <f>IF(268&gt;=DeliverStart,MgmtFeePct*JL$23,0)</f>
        <v/>
      </c>
      <c r="JM33" s="218">
        <f>IF(269&gt;=DeliverStart,MgmtFeePct*JM$23,0)</f>
        <v/>
      </c>
      <c r="JN33" s="218">
        <f>IF(270&gt;=DeliverStart,MgmtFeePct*JN$23,0)</f>
        <v/>
      </c>
      <c r="JO33" s="218">
        <f>IF(271&gt;=DeliverStart,MgmtFeePct*JO$23,0)</f>
        <v/>
      </c>
      <c r="JP33" s="218">
        <f>IF(272&gt;=DeliverStart,MgmtFeePct*JP$23,0)</f>
        <v/>
      </c>
      <c r="JQ33" s="218">
        <f>IF(273&gt;=DeliverStart,MgmtFeePct*JQ$23,0)</f>
        <v/>
      </c>
      <c r="JR33" s="218">
        <f>IF(274&gt;=DeliverStart,MgmtFeePct*JR$23,0)</f>
        <v/>
      </c>
      <c r="JS33" s="218">
        <f>IF(275&gt;=DeliverStart,MgmtFeePct*JS$23,0)</f>
        <v/>
      </c>
      <c r="JT33" s="218">
        <f>IF(276&gt;=DeliverStart,MgmtFeePct*JT$23,0)</f>
        <v/>
      </c>
      <c r="JU33" s="218">
        <f>IF(277&gt;=DeliverStart,MgmtFeePct*JU$23,0)</f>
        <v/>
      </c>
      <c r="JV33" s="218">
        <f>IF(278&gt;=DeliverStart,MgmtFeePct*JV$23,0)</f>
        <v/>
      </c>
      <c r="JW33" s="218">
        <f>IF(279&gt;=DeliverStart,MgmtFeePct*JW$23,0)</f>
        <v/>
      </c>
      <c r="JX33" s="218">
        <f>IF(280&gt;=DeliverStart,MgmtFeePct*JX$23,0)</f>
        <v/>
      </c>
      <c r="JY33" s="218">
        <f>IF(281&gt;=DeliverStart,MgmtFeePct*JY$23,0)</f>
        <v/>
      </c>
      <c r="JZ33" s="218">
        <f>IF(282&gt;=DeliverStart,MgmtFeePct*JZ$23,0)</f>
        <v/>
      </c>
      <c r="KA33" s="218">
        <f>IF(283&gt;=DeliverStart,MgmtFeePct*KA$23,0)</f>
        <v/>
      </c>
      <c r="KB33" s="218">
        <f>IF(284&gt;=DeliverStart,MgmtFeePct*KB$23,0)</f>
        <v/>
      </c>
      <c r="KC33" s="218">
        <f>IF(285&gt;=DeliverStart,MgmtFeePct*KC$23,0)</f>
        <v/>
      </c>
      <c r="KD33" s="218">
        <f>IF(286&gt;=DeliverStart,MgmtFeePct*KD$23,0)</f>
        <v/>
      </c>
      <c r="KE33" s="218">
        <f>IF(287&gt;=DeliverStart,MgmtFeePct*KE$23,0)</f>
        <v/>
      </c>
      <c r="KF33" s="218">
        <f>IF(288&gt;=DeliverStart,MgmtFeePct*KF$23,0)</f>
        <v/>
      </c>
      <c r="KG33" s="218">
        <f>IF(289&gt;=DeliverStart,MgmtFeePct*KG$23,0)</f>
        <v/>
      </c>
      <c r="KH33" s="218">
        <f>IF(290&gt;=DeliverStart,MgmtFeePct*KH$23,0)</f>
        <v/>
      </c>
      <c r="KI33" s="218">
        <f>IF(291&gt;=DeliverStart,MgmtFeePct*KI$23,0)</f>
        <v/>
      </c>
      <c r="KJ33" s="218">
        <f>IF(292&gt;=DeliverStart,MgmtFeePct*KJ$23,0)</f>
        <v/>
      </c>
      <c r="KK33" s="218">
        <f>IF(293&gt;=DeliverStart,MgmtFeePct*KK$23,0)</f>
        <v/>
      </c>
      <c r="KL33" s="218">
        <f>IF(294&gt;=DeliverStart,MgmtFeePct*KL$23,0)</f>
        <v/>
      </c>
      <c r="KM33" s="218">
        <f>IF(295&gt;=DeliverStart,MgmtFeePct*KM$23,0)</f>
        <v/>
      </c>
      <c r="KN33" s="218">
        <f>IF(296&gt;=DeliverStart,MgmtFeePct*KN$23,0)</f>
        <v/>
      </c>
      <c r="KO33" s="218">
        <f>IF(297&gt;=DeliverStart,MgmtFeePct*KO$23,0)</f>
        <v/>
      </c>
      <c r="KP33" s="218">
        <f>IF(298&gt;=DeliverStart,MgmtFeePct*KP$23,0)</f>
        <v/>
      </c>
      <c r="KQ33" s="218">
        <f>IF(299&gt;=DeliverStart,MgmtFeePct*KQ$23,0)</f>
        <v/>
      </c>
      <c r="KR33" s="218">
        <f>IF(300&gt;=DeliverStart,MgmtFeePct*KR$23,0)</f>
        <v/>
      </c>
      <c r="KS33" s="218">
        <f>IF(301&gt;=DeliverStart,MgmtFeePct*KS$23,0)</f>
        <v/>
      </c>
      <c r="KT33" s="218">
        <f>IF(302&gt;=DeliverStart,MgmtFeePct*KT$23,0)</f>
        <v/>
      </c>
      <c r="KU33" s="218">
        <f>IF(303&gt;=DeliverStart,MgmtFeePct*KU$23,0)</f>
        <v/>
      </c>
      <c r="KV33" s="218">
        <f>IF(304&gt;=DeliverStart,MgmtFeePct*KV$23,0)</f>
        <v/>
      </c>
      <c r="KW33" s="218">
        <f>IF(305&gt;=DeliverStart,MgmtFeePct*KW$23,0)</f>
        <v/>
      </c>
      <c r="KX33" s="218">
        <f>IF(306&gt;=DeliverStart,MgmtFeePct*KX$23,0)</f>
        <v/>
      </c>
      <c r="KY33" s="218">
        <f>IF(307&gt;=DeliverStart,MgmtFeePct*KY$23,0)</f>
        <v/>
      </c>
      <c r="KZ33" s="218">
        <f>IF(308&gt;=DeliverStart,MgmtFeePct*KZ$23,0)</f>
        <v/>
      </c>
      <c r="LA33" s="218">
        <f>IF(309&gt;=DeliverStart,MgmtFeePct*LA$23,0)</f>
        <v/>
      </c>
      <c r="LB33" s="218">
        <f>IF(310&gt;=DeliverStart,MgmtFeePct*LB$23,0)</f>
        <v/>
      </c>
      <c r="LC33" s="218">
        <f>IF(311&gt;=DeliverStart,MgmtFeePct*LC$23,0)</f>
        <v/>
      </c>
      <c r="LD33" s="218">
        <f>IF(312&gt;=DeliverStart,MgmtFeePct*LD$23,0)</f>
        <v/>
      </c>
      <c r="LE33" s="218">
        <f>IF(313&gt;=DeliverStart,MgmtFeePct*LE$23,0)</f>
        <v/>
      </c>
      <c r="LF33" s="218">
        <f>IF(314&gt;=DeliverStart,MgmtFeePct*LF$23,0)</f>
        <v/>
      </c>
      <c r="LG33" s="218">
        <f>IF(315&gt;=DeliverStart,MgmtFeePct*LG$23,0)</f>
        <v/>
      </c>
      <c r="LH33" s="218">
        <f>IF(316&gt;=DeliverStart,MgmtFeePct*LH$23,0)</f>
        <v/>
      </c>
      <c r="LI33" s="218">
        <f>IF(317&gt;=DeliverStart,MgmtFeePct*LI$23,0)</f>
        <v/>
      </c>
      <c r="LJ33" s="218">
        <f>IF(318&gt;=DeliverStart,MgmtFeePct*LJ$23,0)</f>
        <v/>
      </c>
      <c r="LK33" s="218">
        <f>IF(319&gt;=DeliverStart,MgmtFeePct*LK$23,0)</f>
        <v/>
      </c>
      <c r="LL33" s="218">
        <f>IF(320&gt;=DeliverStart,MgmtFeePct*LL$23,0)</f>
        <v/>
      </c>
      <c r="LM33" s="218">
        <f>IF(321&gt;=DeliverStart,MgmtFeePct*LM$23,0)</f>
        <v/>
      </c>
      <c r="LN33" s="218">
        <f>IF(322&gt;=DeliverStart,MgmtFeePct*LN$23,0)</f>
        <v/>
      </c>
      <c r="LO33" s="218">
        <f>IF(323&gt;=DeliverStart,MgmtFeePct*LO$23,0)</f>
        <v/>
      </c>
      <c r="LP33" s="218">
        <f>IF(324&gt;=DeliverStart,MgmtFeePct*LP$23,0)</f>
        <v/>
      </c>
      <c r="LQ33" s="218">
        <f>IF(325&gt;=DeliverStart,MgmtFeePct*LQ$23,0)</f>
        <v/>
      </c>
      <c r="LR33" s="218">
        <f>IF(326&gt;=DeliverStart,MgmtFeePct*LR$23,0)</f>
        <v/>
      </c>
      <c r="LS33" s="218">
        <f>IF(327&gt;=DeliverStart,MgmtFeePct*LS$23,0)</f>
        <v/>
      </c>
      <c r="LT33" s="218">
        <f>IF(328&gt;=DeliverStart,MgmtFeePct*LT$23,0)</f>
        <v/>
      </c>
      <c r="LU33" s="218">
        <f>IF(329&gt;=DeliverStart,MgmtFeePct*LU$23,0)</f>
        <v/>
      </c>
      <c r="LV33" s="218">
        <f>IF(330&gt;=DeliverStart,MgmtFeePct*LV$23,0)</f>
        <v/>
      </c>
      <c r="LW33" s="218">
        <f>IF(331&gt;=DeliverStart,MgmtFeePct*LW$23,0)</f>
        <v/>
      </c>
      <c r="LX33" s="218">
        <f>IF(332&gt;=DeliverStart,MgmtFeePct*LX$23,0)</f>
        <v/>
      </c>
      <c r="LY33" s="218">
        <f>IF(333&gt;=DeliverStart,MgmtFeePct*LY$23,0)</f>
        <v/>
      </c>
      <c r="LZ33" s="218">
        <f>IF(334&gt;=DeliverStart,MgmtFeePct*LZ$23,0)</f>
        <v/>
      </c>
      <c r="MA33" s="218">
        <f>IF(335&gt;=DeliverStart,MgmtFeePct*MA$23,0)</f>
        <v/>
      </c>
      <c r="MB33" s="218">
        <f>IF(336&gt;=DeliverStart,MgmtFeePct*MB$23,0)</f>
        <v/>
      </c>
      <c r="MC33" s="218">
        <f>IF(337&gt;=DeliverStart,MgmtFeePct*MC$23,0)</f>
        <v/>
      </c>
      <c r="MD33" s="218">
        <f>IF(338&gt;=DeliverStart,MgmtFeePct*MD$23,0)</f>
        <v/>
      </c>
      <c r="ME33" s="218">
        <f>IF(339&gt;=DeliverStart,MgmtFeePct*ME$23,0)</f>
        <v/>
      </c>
      <c r="MF33" s="218">
        <f>IF(340&gt;=DeliverStart,MgmtFeePct*MF$23,0)</f>
        <v/>
      </c>
      <c r="MG33" s="218">
        <f>IF(341&gt;=DeliverStart,MgmtFeePct*MG$23,0)</f>
        <v/>
      </c>
      <c r="MH33" s="218">
        <f>IF(342&gt;=DeliverStart,MgmtFeePct*MH$23,0)</f>
        <v/>
      </c>
      <c r="MI33" s="218">
        <f>IF(343&gt;=DeliverStart,MgmtFeePct*MI$23,0)</f>
        <v/>
      </c>
      <c r="MJ33" s="218">
        <f>IF(344&gt;=DeliverStart,MgmtFeePct*MJ$23,0)</f>
        <v/>
      </c>
      <c r="MK33" s="218">
        <f>IF(345&gt;=DeliverStart,MgmtFeePct*MK$23,0)</f>
        <v/>
      </c>
      <c r="ML33" s="218">
        <f>IF(346&gt;=DeliverStart,MgmtFeePct*ML$23,0)</f>
        <v/>
      </c>
      <c r="MM33" s="218">
        <f>IF(347&gt;=DeliverStart,MgmtFeePct*MM$23,0)</f>
        <v/>
      </c>
      <c r="MN33" s="218">
        <f>IF(348&gt;=DeliverStart,MgmtFeePct*MN$23,0)</f>
        <v/>
      </c>
      <c r="MO33" s="218">
        <f>IF(349&gt;=DeliverStart,MgmtFeePct*MO$23,0)</f>
        <v/>
      </c>
      <c r="MP33" s="218">
        <f>IF(350&gt;=DeliverStart,MgmtFeePct*MP$23,0)</f>
        <v/>
      </c>
      <c r="MQ33" s="218">
        <f>IF(351&gt;=DeliverStart,MgmtFeePct*MQ$23,0)</f>
        <v/>
      </c>
      <c r="MR33" s="218">
        <f>IF(352&gt;=DeliverStart,MgmtFeePct*MR$23,0)</f>
        <v/>
      </c>
      <c r="MS33" s="218">
        <f>IF(353&gt;=DeliverStart,MgmtFeePct*MS$23,0)</f>
        <v/>
      </c>
      <c r="MT33" s="218">
        <f>IF(354&gt;=DeliverStart,MgmtFeePct*MT$23,0)</f>
        <v/>
      </c>
      <c r="MU33" s="218">
        <f>IF(355&gt;=DeliverStart,MgmtFeePct*MU$23,0)</f>
        <v/>
      </c>
      <c r="MV33" s="218">
        <f>IF(356&gt;=DeliverStart,MgmtFeePct*MV$23,0)</f>
        <v/>
      </c>
      <c r="MW33" s="218">
        <f>IF(357&gt;=DeliverStart,MgmtFeePct*MW$23,0)</f>
        <v/>
      </c>
      <c r="MX33" s="218">
        <f>IF(358&gt;=DeliverStart,MgmtFeePct*MX$23,0)</f>
        <v/>
      </c>
      <c r="MY33" s="218">
        <f>IF(359&gt;=DeliverStart,MgmtFeePct*MY$23,0)</f>
        <v/>
      </c>
      <c r="MZ33" s="218">
        <f>IF(360&gt;=DeliverStart,MgmtFeePct*MZ$23,0)</f>
        <v/>
      </c>
      <c r="NA33" s="218">
        <f>IF(361&gt;=DeliverStart,MgmtFeePct*NA$23,0)</f>
        <v/>
      </c>
      <c r="NB33" s="218">
        <f>IF(362&gt;=DeliverStart,MgmtFeePct*NB$23,0)</f>
        <v/>
      </c>
      <c r="NC33" s="218">
        <f>IF(363&gt;=DeliverStart,MgmtFeePct*NC$23,0)</f>
        <v/>
      </c>
      <c r="ND33" s="218">
        <f>IF(364&gt;=DeliverStart,MgmtFeePct*ND$23,0)</f>
        <v/>
      </c>
      <c r="NE33" s="218">
        <f>IF(365&gt;=DeliverStart,MgmtFeePct*NE$23,0)</f>
        <v/>
      </c>
      <c r="NF33" s="218">
        <f>IF(366&gt;=DeliverStart,MgmtFeePct*NF$23,0)</f>
        <v/>
      </c>
      <c r="NG33" s="218">
        <f>IF(367&gt;=DeliverStart,MgmtFeePct*NG$23,0)</f>
        <v/>
      </c>
      <c r="NH33" s="218">
        <f>IF(368&gt;=DeliverStart,MgmtFeePct*NH$23,0)</f>
        <v/>
      </c>
      <c r="NI33" s="218">
        <f>IF(369&gt;=DeliverStart,MgmtFeePct*NI$23,0)</f>
        <v/>
      </c>
      <c r="NJ33" s="218">
        <f>IF(370&gt;=DeliverStart,MgmtFeePct*NJ$23,0)</f>
        <v/>
      </c>
      <c r="NK33" s="218">
        <f>IF(371&gt;=DeliverStart,MgmtFeePct*NK$23,0)</f>
        <v/>
      </c>
      <c r="NL33" s="225">
        <f>IF(372&gt;=DeliverStart,MgmtFeePct*NL$23,0)</f>
        <v/>
      </c>
    </row>
    <row r="34">
      <c r="B34" s="50" t="inlineStr">
        <is>
          <t>OpEx before Property Tax</t>
        </is>
      </c>
      <c r="D34" s="266">
        <f>SUM(E34:NL34)</f>
        <v/>
      </c>
      <c r="E34" s="267">
        <f>E$25+E$26+E$27+E$28+E$29+E$30+E$31+E$32+E$33</f>
        <v/>
      </c>
      <c r="F34" s="267">
        <f>F$25+F$26+F$27+F$28+F$29+F$30+F$31+F$32+F$33</f>
        <v/>
      </c>
      <c r="G34" s="267">
        <f>G$25+G$26+G$27+G$28+G$29+G$30+G$31+G$32+G$33</f>
        <v/>
      </c>
      <c r="H34" s="267">
        <f>H$25+H$26+H$27+H$28+H$29+H$30+H$31+H$32+H$33</f>
        <v/>
      </c>
      <c r="I34" s="267">
        <f>I$25+I$26+I$27+I$28+I$29+I$30+I$31+I$32+I$33</f>
        <v/>
      </c>
      <c r="J34" s="267">
        <f>J$25+J$26+J$27+J$28+J$29+J$30+J$31+J$32+J$33</f>
        <v/>
      </c>
      <c r="K34" s="267">
        <f>K$25+K$26+K$27+K$28+K$29+K$30+K$31+K$32+K$33</f>
        <v/>
      </c>
      <c r="L34" s="267">
        <f>L$25+L$26+L$27+L$28+L$29+L$30+L$31+L$32+L$33</f>
        <v/>
      </c>
      <c r="M34" s="267">
        <f>M$25+M$26+M$27+M$28+M$29+M$30+M$31+M$32+M$33</f>
        <v/>
      </c>
      <c r="N34" s="267">
        <f>N$25+N$26+N$27+N$28+N$29+N$30+N$31+N$32+N$33</f>
        <v/>
      </c>
      <c r="O34" s="267">
        <f>O$25+O$26+O$27+O$28+O$29+O$30+O$31+O$32+O$33</f>
        <v/>
      </c>
      <c r="P34" s="267">
        <f>P$25+P$26+P$27+P$28+P$29+P$30+P$31+P$32+P$33</f>
        <v/>
      </c>
      <c r="Q34" s="267">
        <f>Q$25+Q$26+Q$27+Q$28+Q$29+Q$30+Q$31+Q$32+Q$33</f>
        <v/>
      </c>
      <c r="R34" s="267">
        <f>R$25+R$26+R$27+R$28+R$29+R$30+R$31+R$32+R$33</f>
        <v/>
      </c>
      <c r="S34" s="267">
        <f>S$25+S$26+S$27+S$28+S$29+S$30+S$31+S$32+S$33</f>
        <v/>
      </c>
      <c r="T34" s="267">
        <f>T$25+T$26+T$27+T$28+T$29+T$30+T$31+T$32+T$33</f>
        <v/>
      </c>
      <c r="U34" s="267">
        <f>U$25+U$26+U$27+U$28+U$29+U$30+U$31+U$32+U$33</f>
        <v/>
      </c>
      <c r="V34" s="267">
        <f>V$25+V$26+V$27+V$28+V$29+V$30+V$31+V$32+V$33</f>
        <v/>
      </c>
      <c r="W34" s="267">
        <f>W$25+W$26+W$27+W$28+W$29+W$30+W$31+W$32+W$33</f>
        <v/>
      </c>
      <c r="X34" s="267">
        <f>X$25+X$26+X$27+X$28+X$29+X$30+X$31+X$32+X$33</f>
        <v/>
      </c>
      <c r="Y34" s="267">
        <f>Y$25+Y$26+Y$27+Y$28+Y$29+Y$30+Y$31+Y$32+Y$33</f>
        <v/>
      </c>
      <c r="Z34" s="267">
        <f>Z$25+Z$26+Z$27+Z$28+Z$29+Z$30+Z$31+Z$32+Z$33</f>
        <v/>
      </c>
      <c r="AA34" s="267">
        <f>AA$25+AA$26+AA$27+AA$28+AA$29+AA$30+AA$31+AA$32+AA$33</f>
        <v/>
      </c>
      <c r="AB34" s="267">
        <f>AB$25+AB$26+AB$27+AB$28+AB$29+AB$30+AB$31+AB$32+AB$33</f>
        <v/>
      </c>
      <c r="AC34" s="267">
        <f>AC$25+AC$26+AC$27+AC$28+AC$29+AC$30+AC$31+AC$32+AC$33</f>
        <v/>
      </c>
      <c r="AD34" s="267">
        <f>AD$25+AD$26+AD$27+AD$28+AD$29+AD$30+AD$31+AD$32+AD$33</f>
        <v/>
      </c>
      <c r="AE34" s="267">
        <f>AE$25+AE$26+AE$27+AE$28+AE$29+AE$30+AE$31+AE$32+AE$33</f>
        <v/>
      </c>
      <c r="AF34" s="267">
        <f>AF$25+AF$26+AF$27+AF$28+AF$29+AF$30+AF$31+AF$32+AF$33</f>
        <v/>
      </c>
      <c r="AG34" s="267">
        <f>AG$25+AG$26+AG$27+AG$28+AG$29+AG$30+AG$31+AG$32+AG$33</f>
        <v/>
      </c>
      <c r="AH34" s="267">
        <f>AH$25+AH$26+AH$27+AH$28+AH$29+AH$30+AH$31+AH$32+AH$33</f>
        <v/>
      </c>
      <c r="AI34" s="267">
        <f>AI$25+AI$26+AI$27+AI$28+AI$29+AI$30+AI$31+AI$32+AI$33</f>
        <v/>
      </c>
      <c r="AJ34" s="267">
        <f>AJ$25+AJ$26+AJ$27+AJ$28+AJ$29+AJ$30+AJ$31+AJ$32+AJ$33</f>
        <v/>
      </c>
      <c r="AK34" s="267">
        <f>AK$25+AK$26+AK$27+AK$28+AK$29+AK$30+AK$31+AK$32+AK$33</f>
        <v/>
      </c>
      <c r="AL34" s="267">
        <f>AL$25+AL$26+AL$27+AL$28+AL$29+AL$30+AL$31+AL$32+AL$33</f>
        <v/>
      </c>
      <c r="AM34" s="267">
        <f>AM$25+AM$26+AM$27+AM$28+AM$29+AM$30+AM$31+AM$32+AM$33</f>
        <v/>
      </c>
      <c r="AN34" s="267">
        <f>AN$25+AN$26+AN$27+AN$28+AN$29+AN$30+AN$31+AN$32+AN$33</f>
        <v/>
      </c>
      <c r="AO34" s="267">
        <f>AO$25+AO$26+AO$27+AO$28+AO$29+AO$30+AO$31+AO$32+AO$33</f>
        <v/>
      </c>
      <c r="AP34" s="267">
        <f>AP$25+AP$26+AP$27+AP$28+AP$29+AP$30+AP$31+AP$32+AP$33</f>
        <v/>
      </c>
      <c r="AQ34" s="267">
        <f>AQ$25+AQ$26+AQ$27+AQ$28+AQ$29+AQ$30+AQ$31+AQ$32+AQ$33</f>
        <v/>
      </c>
      <c r="AR34" s="267">
        <f>AR$25+AR$26+AR$27+AR$28+AR$29+AR$30+AR$31+AR$32+AR$33</f>
        <v/>
      </c>
      <c r="AS34" s="267">
        <f>AS$25+AS$26+AS$27+AS$28+AS$29+AS$30+AS$31+AS$32+AS$33</f>
        <v/>
      </c>
      <c r="AT34" s="267">
        <f>AT$25+AT$26+AT$27+AT$28+AT$29+AT$30+AT$31+AT$32+AT$33</f>
        <v/>
      </c>
      <c r="AU34" s="267">
        <f>AU$25+AU$26+AU$27+AU$28+AU$29+AU$30+AU$31+AU$32+AU$33</f>
        <v/>
      </c>
      <c r="AV34" s="267">
        <f>AV$25+AV$26+AV$27+AV$28+AV$29+AV$30+AV$31+AV$32+AV$33</f>
        <v/>
      </c>
      <c r="AW34" s="267">
        <f>AW$25+AW$26+AW$27+AW$28+AW$29+AW$30+AW$31+AW$32+AW$33</f>
        <v/>
      </c>
      <c r="AX34" s="267">
        <f>AX$25+AX$26+AX$27+AX$28+AX$29+AX$30+AX$31+AX$32+AX$33</f>
        <v/>
      </c>
      <c r="AY34" s="267">
        <f>AY$25+AY$26+AY$27+AY$28+AY$29+AY$30+AY$31+AY$32+AY$33</f>
        <v/>
      </c>
      <c r="AZ34" s="267">
        <f>AZ$25+AZ$26+AZ$27+AZ$28+AZ$29+AZ$30+AZ$31+AZ$32+AZ$33</f>
        <v/>
      </c>
      <c r="BA34" s="267">
        <f>BA$25+BA$26+BA$27+BA$28+BA$29+BA$30+BA$31+BA$32+BA$33</f>
        <v/>
      </c>
      <c r="BB34" s="267">
        <f>BB$25+BB$26+BB$27+BB$28+BB$29+BB$30+BB$31+BB$32+BB$33</f>
        <v/>
      </c>
      <c r="BC34" s="267">
        <f>BC$25+BC$26+BC$27+BC$28+BC$29+BC$30+BC$31+BC$32+BC$33</f>
        <v/>
      </c>
      <c r="BD34" s="267">
        <f>BD$25+BD$26+BD$27+BD$28+BD$29+BD$30+BD$31+BD$32+BD$33</f>
        <v/>
      </c>
      <c r="BE34" s="267">
        <f>BE$25+BE$26+BE$27+BE$28+BE$29+BE$30+BE$31+BE$32+BE$33</f>
        <v/>
      </c>
      <c r="BF34" s="267">
        <f>BF$25+BF$26+BF$27+BF$28+BF$29+BF$30+BF$31+BF$32+BF$33</f>
        <v/>
      </c>
      <c r="BG34" s="267">
        <f>BG$25+BG$26+BG$27+BG$28+BG$29+BG$30+BG$31+BG$32+BG$33</f>
        <v/>
      </c>
      <c r="BH34" s="267">
        <f>BH$25+BH$26+BH$27+BH$28+BH$29+BH$30+BH$31+BH$32+BH$33</f>
        <v/>
      </c>
      <c r="BI34" s="267">
        <f>BI$25+BI$26+BI$27+BI$28+BI$29+BI$30+BI$31+BI$32+BI$33</f>
        <v/>
      </c>
      <c r="BJ34" s="267">
        <f>BJ$25+BJ$26+BJ$27+BJ$28+BJ$29+BJ$30+BJ$31+BJ$32+BJ$33</f>
        <v/>
      </c>
      <c r="BK34" s="267">
        <f>BK$25+BK$26+BK$27+BK$28+BK$29+BK$30+BK$31+BK$32+BK$33</f>
        <v/>
      </c>
      <c r="BL34" s="267">
        <f>BL$25+BL$26+BL$27+BL$28+BL$29+BL$30+BL$31+BL$32+BL$33</f>
        <v/>
      </c>
      <c r="BM34" s="267">
        <f>BM$25+BM$26+BM$27+BM$28+BM$29+BM$30+BM$31+BM$32+BM$33</f>
        <v/>
      </c>
      <c r="BN34" s="267">
        <f>BN$25+BN$26+BN$27+BN$28+BN$29+BN$30+BN$31+BN$32+BN$33</f>
        <v/>
      </c>
      <c r="BO34" s="267">
        <f>BO$25+BO$26+BO$27+BO$28+BO$29+BO$30+BO$31+BO$32+BO$33</f>
        <v/>
      </c>
      <c r="BP34" s="267">
        <f>BP$25+BP$26+BP$27+BP$28+BP$29+BP$30+BP$31+BP$32+BP$33</f>
        <v/>
      </c>
      <c r="BQ34" s="267">
        <f>BQ$25+BQ$26+BQ$27+BQ$28+BQ$29+BQ$30+BQ$31+BQ$32+BQ$33</f>
        <v/>
      </c>
      <c r="BR34" s="267">
        <f>BR$25+BR$26+BR$27+BR$28+BR$29+BR$30+BR$31+BR$32+BR$33</f>
        <v/>
      </c>
      <c r="BS34" s="267">
        <f>BS$25+BS$26+BS$27+BS$28+BS$29+BS$30+BS$31+BS$32+BS$33</f>
        <v/>
      </c>
      <c r="BT34" s="267">
        <f>BT$25+BT$26+BT$27+BT$28+BT$29+BT$30+BT$31+BT$32+BT$33</f>
        <v/>
      </c>
      <c r="BU34" s="267">
        <f>BU$25+BU$26+BU$27+BU$28+BU$29+BU$30+BU$31+BU$32+BU$33</f>
        <v/>
      </c>
      <c r="BV34" s="267">
        <f>BV$25+BV$26+BV$27+BV$28+BV$29+BV$30+BV$31+BV$32+BV$33</f>
        <v/>
      </c>
      <c r="BW34" s="267">
        <f>BW$25+BW$26+BW$27+BW$28+BW$29+BW$30+BW$31+BW$32+BW$33</f>
        <v/>
      </c>
      <c r="BX34" s="267">
        <f>BX$25+BX$26+BX$27+BX$28+BX$29+BX$30+BX$31+BX$32+BX$33</f>
        <v/>
      </c>
      <c r="BY34" s="267">
        <f>BY$25+BY$26+BY$27+BY$28+BY$29+BY$30+BY$31+BY$32+BY$33</f>
        <v/>
      </c>
      <c r="BZ34" s="267">
        <f>BZ$25+BZ$26+BZ$27+BZ$28+BZ$29+BZ$30+BZ$31+BZ$32+BZ$33</f>
        <v/>
      </c>
      <c r="CA34" s="267">
        <f>CA$25+CA$26+CA$27+CA$28+CA$29+CA$30+CA$31+CA$32+CA$33</f>
        <v/>
      </c>
      <c r="CB34" s="267">
        <f>CB$25+CB$26+CB$27+CB$28+CB$29+CB$30+CB$31+CB$32+CB$33</f>
        <v/>
      </c>
      <c r="CC34" s="267">
        <f>CC$25+CC$26+CC$27+CC$28+CC$29+CC$30+CC$31+CC$32+CC$33</f>
        <v/>
      </c>
      <c r="CD34" s="267">
        <f>CD$25+CD$26+CD$27+CD$28+CD$29+CD$30+CD$31+CD$32+CD$33</f>
        <v/>
      </c>
      <c r="CE34" s="267">
        <f>CE$25+CE$26+CE$27+CE$28+CE$29+CE$30+CE$31+CE$32+CE$33</f>
        <v/>
      </c>
      <c r="CF34" s="267">
        <f>CF$25+CF$26+CF$27+CF$28+CF$29+CF$30+CF$31+CF$32+CF$33</f>
        <v/>
      </c>
      <c r="CG34" s="267">
        <f>CG$25+CG$26+CG$27+CG$28+CG$29+CG$30+CG$31+CG$32+CG$33</f>
        <v/>
      </c>
      <c r="CH34" s="267">
        <f>CH$25+CH$26+CH$27+CH$28+CH$29+CH$30+CH$31+CH$32+CH$33</f>
        <v/>
      </c>
      <c r="CI34" s="267">
        <f>CI$25+CI$26+CI$27+CI$28+CI$29+CI$30+CI$31+CI$32+CI$33</f>
        <v/>
      </c>
      <c r="CJ34" s="267">
        <f>CJ$25+CJ$26+CJ$27+CJ$28+CJ$29+CJ$30+CJ$31+CJ$32+CJ$33</f>
        <v/>
      </c>
      <c r="CK34" s="267">
        <f>CK$25+CK$26+CK$27+CK$28+CK$29+CK$30+CK$31+CK$32+CK$33</f>
        <v/>
      </c>
      <c r="CL34" s="267">
        <f>CL$25+CL$26+CL$27+CL$28+CL$29+CL$30+CL$31+CL$32+CL$33</f>
        <v/>
      </c>
      <c r="CM34" s="267">
        <f>CM$25+CM$26+CM$27+CM$28+CM$29+CM$30+CM$31+CM$32+CM$33</f>
        <v/>
      </c>
      <c r="CN34" s="267">
        <f>CN$25+CN$26+CN$27+CN$28+CN$29+CN$30+CN$31+CN$32+CN$33</f>
        <v/>
      </c>
      <c r="CO34" s="267">
        <f>CO$25+CO$26+CO$27+CO$28+CO$29+CO$30+CO$31+CO$32+CO$33</f>
        <v/>
      </c>
      <c r="CP34" s="267">
        <f>CP$25+CP$26+CP$27+CP$28+CP$29+CP$30+CP$31+CP$32+CP$33</f>
        <v/>
      </c>
      <c r="CQ34" s="267">
        <f>CQ$25+CQ$26+CQ$27+CQ$28+CQ$29+CQ$30+CQ$31+CQ$32+CQ$33</f>
        <v/>
      </c>
      <c r="CR34" s="267">
        <f>CR$25+CR$26+CR$27+CR$28+CR$29+CR$30+CR$31+CR$32+CR$33</f>
        <v/>
      </c>
      <c r="CS34" s="267">
        <f>CS$25+CS$26+CS$27+CS$28+CS$29+CS$30+CS$31+CS$32+CS$33</f>
        <v/>
      </c>
      <c r="CT34" s="267">
        <f>CT$25+CT$26+CT$27+CT$28+CT$29+CT$30+CT$31+CT$32+CT$33</f>
        <v/>
      </c>
      <c r="CU34" s="267">
        <f>CU$25+CU$26+CU$27+CU$28+CU$29+CU$30+CU$31+CU$32+CU$33</f>
        <v/>
      </c>
      <c r="CV34" s="267">
        <f>CV$25+CV$26+CV$27+CV$28+CV$29+CV$30+CV$31+CV$32+CV$33</f>
        <v/>
      </c>
      <c r="CW34" s="267">
        <f>CW$25+CW$26+CW$27+CW$28+CW$29+CW$30+CW$31+CW$32+CW$33</f>
        <v/>
      </c>
      <c r="CX34" s="267">
        <f>CX$25+CX$26+CX$27+CX$28+CX$29+CX$30+CX$31+CX$32+CX$33</f>
        <v/>
      </c>
      <c r="CY34" s="267">
        <f>CY$25+CY$26+CY$27+CY$28+CY$29+CY$30+CY$31+CY$32+CY$33</f>
        <v/>
      </c>
      <c r="CZ34" s="267">
        <f>CZ$25+CZ$26+CZ$27+CZ$28+CZ$29+CZ$30+CZ$31+CZ$32+CZ$33</f>
        <v/>
      </c>
      <c r="DA34" s="267">
        <f>DA$25+DA$26+DA$27+DA$28+DA$29+DA$30+DA$31+DA$32+DA$33</f>
        <v/>
      </c>
      <c r="DB34" s="267">
        <f>DB$25+DB$26+DB$27+DB$28+DB$29+DB$30+DB$31+DB$32+DB$33</f>
        <v/>
      </c>
      <c r="DC34" s="267">
        <f>DC$25+DC$26+DC$27+DC$28+DC$29+DC$30+DC$31+DC$32+DC$33</f>
        <v/>
      </c>
      <c r="DD34" s="267">
        <f>DD$25+DD$26+DD$27+DD$28+DD$29+DD$30+DD$31+DD$32+DD$33</f>
        <v/>
      </c>
      <c r="DE34" s="267">
        <f>DE$25+DE$26+DE$27+DE$28+DE$29+DE$30+DE$31+DE$32+DE$33</f>
        <v/>
      </c>
      <c r="DF34" s="267">
        <f>DF$25+DF$26+DF$27+DF$28+DF$29+DF$30+DF$31+DF$32+DF$33</f>
        <v/>
      </c>
      <c r="DG34" s="267">
        <f>DG$25+DG$26+DG$27+DG$28+DG$29+DG$30+DG$31+DG$32+DG$33</f>
        <v/>
      </c>
      <c r="DH34" s="267">
        <f>DH$25+DH$26+DH$27+DH$28+DH$29+DH$30+DH$31+DH$32+DH$33</f>
        <v/>
      </c>
      <c r="DI34" s="267">
        <f>DI$25+DI$26+DI$27+DI$28+DI$29+DI$30+DI$31+DI$32+DI$33</f>
        <v/>
      </c>
      <c r="DJ34" s="267">
        <f>DJ$25+DJ$26+DJ$27+DJ$28+DJ$29+DJ$30+DJ$31+DJ$32+DJ$33</f>
        <v/>
      </c>
      <c r="DK34" s="267">
        <f>DK$25+DK$26+DK$27+DK$28+DK$29+DK$30+DK$31+DK$32+DK$33</f>
        <v/>
      </c>
      <c r="DL34" s="267">
        <f>DL$25+DL$26+DL$27+DL$28+DL$29+DL$30+DL$31+DL$32+DL$33</f>
        <v/>
      </c>
      <c r="DM34" s="267">
        <f>DM$25+DM$26+DM$27+DM$28+DM$29+DM$30+DM$31+DM$32+DM$33</f>
        <v/>
      </c>
      <c r="DN34" s="267">
        <f>DN$25+DN$26+DN$27+DN$28+DN$29+DN$30+DN$31+DN$32+DN$33</f>
        <v/>
      </c>
      <c r="DO34" s="267">
        <f>DO$25+DO$26+DO$27+DO$28+DO$29+DO$30+DO$31+DO$32+DO$33</f>
        <v/>
      </c>
      <c r="DP34" s="267">
        <f>DP$25+DP$26+DP$27+DP$28+DP$29+DP$30+DP$31+DP$32+DP$33</f>
        <v/>
      </c>
      <c r="DQ34" s="267">
        <f>DQ$25+DQ$26+DQ$27+DQ$28+DQ$29+DQ$30+DQ$31+DQ$32+DQ$33</f>
        <v/>
      </c>
      <c r="DR34" s="267">
        <f>DR$25+DR$26+DR$27+DR$28+DR$29+DR$30+DR$31+DR$32+DR$33</f>
        <v/>
      </c>
      <c r="DS34" s="267">
        <f>DS$25+DS$26+DS$27+DS$28+DS$29+DS$30+DS$31+DS$32+DS$33</f>
        <v/>
      </c>
      <c r="DT34" s="267">
        <f>DT$25+DT$26+DT$27+DT$28+DT$29+DT$30+DT$31+DT$32+DT$33</f>
        <v/>
      </c>
      <c r="DU34" s="267">
        <f>DU$25+DU$26+DU$27+DU$28+DU$29+DU$30+DU$31+DU$32+DU$33</f>
        <v/>
      </c>
      <c r="DV34" s="267">
        <f>DV$25+DV$26+DV$27+DV$28+DV$29+DV$30+DV$31+DV$32+DV$33</f>
        <v/>
      </c>
      <c r="DW34" s="267">
        <f>DW$25+DW$26+DW$27+DW$28+DW$29+DW$30+DW$31+DW$32+DW$33</f>
        <v/>
      </c>
      <c r="DX34" s="267">
        <f>DX$25+DX$26+DX$27+DX$28+DX$29+DX$30+DX$31+DX$32+DX$33</f>
        <v/>
      </c>
      <c r="DY34" s="267">
        <f>DY$25+DY$26+DY$27+DY$28+DY$29+DY$30+DY$31+DY$32+DY$33</f>
        <v/>
      </c>
      <c r="DZ34" s="267">
        <f>DZ$25+DZ$26+DZ$27+DZ$28+DZ$29+DZ$30+DZ$31+DZ$32+DZ$33</f>
        <v/>
      </c>
      <c r="EA34" s="267">
        <f>EA$25+EA$26+EA$27+EA$28+EA$29+EA$30+EA$31+EA$32+EA$33</f>
        <v/>
      </c>
      <c r="EB34" s="267">
        <f>EB$25+EB$26+EB$27+EB$28+EB$29+EB$30+EB$31+EB$32+EB$33</f>
        <v/>
      </c>
      <c r="EC34" s="267">
        <f>EC$25+EC$26+EC$27+EC$28+EC$29+EC$30+EC$31+EC$32+EC$33</f>
        <v/>
      </c>
      <c r="ED34" s="267">
        <f>ED$25+ED$26+ED$27+ED$28+ED$29+ED$30+ED$31+ED$32+ED$33</f>
        <v/>
      </c>
      <c r="EE34" s="267">
        <f>EE$25+EE$26+EE$27+EE$28+EE$29+EE$30+EE$31+EE$32+EE$33</f>
        <v/>
      </c>
      <c r="EF34" s="267">
        <f>EF$25+EF$26+EF$27+EF$28+EF$29+EF$30+EF$31+EF$32+EF$33</f>
        <v/>
      </c>
      <c r="EG34" s="267">
        <f>EG$25+EG$26+EG$27+EG$28+EG$29+EG$30+EG$31+EG$32+EG$33</f>
        <v/>
      </c>
      <c r="EH34" s="267">
        <f>EH$25+EH$26+EH$27+EH$28+EH$29+EH$30+EH$31+EH$32+EH$33</f>
        <v/>
      </c>
      <c r="EI34" s="267">
        <f>EI$25+EI$26+EI$27+EI$28+EI$29+EI$30+EI$31+EI$32+EI$33</f>
        <v/>
      </c>
      <c r="EJ34" s="267">
        <f>EJ$25+EJ$26+EJ$27+EJ$28+EJ$29+EJ$30+EJ$31+EJ$32+EJ$33</f>
        <v/>
      </c>
      <c r="EK34" s="267">
        <f>EK$25+EK$26+EK$27+EK$28+EK$29+EK$30+EK$31+EK$32+EK$33</f>
        <v/>
      </c>
      <c r="EL34" s="267">
        <f>EL$25+EL$26+EL$27+EL$28+EL$29+EL$30+EL$31+EL$32+EL$33</f>
        <v/>
      </c>
      <c r="EM34" s="267">
        <f>EM$25+EM$26+EM$27+EM$28+EM$29+EM$30+EM$31+EM$32+EM$33</f>
        <v/>
      </c>
      <c r="EN34" s="267">
        <f>EN$25+EN$26+EN$27+EN$28+EN$29+EN$30+EN$31+EN$32+EN$33</f>
        <v/>
      </c>
      <c r="EO34" s="267">
        <f>EO$25+EO$26+EO$27+EO$28+EO$29+EO$30+EO$31+EO$32+EO$33</f>
        <v/>
      </c>
      <c r="EP34" s="267">
        <f>EP$25+EP$26+EP$27+EP$28+EP$29+EP$30+EP$31+EP$32+EP$33</f>
        <v/>
      </c>
      <c r="EQ34" s="267">
        <f>EQ$25+EQ$26+EQ$27+EQ$28+EQ$29+EQ$30+EQ$31+EQ$32+EQ$33</f>
        <v/>
      </c>
      <c r="ER34" s="267">
        <f>ER$25+ER$26+ER$27+ER$28+ER$29+ER$30+ER$31+ER$32+ER$33</f>
        <v/>
      </c>
      <c r="ES34" s="267">
        <f>ES$25+ES$26+ES$27+ES$28+ES$29+ES$30+ES$31+ES$32+ES$33</f>
        <v/>
      </c>
      <c r="ET34" s="267">
        <f>ET$25+ET$26+ET$27+ET$28+ET$29+ET$30+ET$31+ET$32+ET$33</f>
        <v/>
      </c>
      <c r="EU34" s="267">
        <f>EU$25+EU$26+EU$27+EU$28+EU$29+EU$30+EU$31+EU$32+EU$33</f>
        <v/>
      </c>
      <c r="EV34" s="267">
        <f>EV$25+EV$26+EV$27+EV$28+EV$29+EV$30+EV$31+EV$32+EV$33</f>
        <v/>
      </c>
      <c r="EW34" s="267">
        <f>EW$25+EW$26+EW$27+EW$28+EW$29+EW$30+EW$31+EW$32+EW$33</f>
        <v/>
      </c>
      <c r="EX34" s="267">
        <f>EX$25+EX$26+EX$27+EX$28+EX$29+EX$30+EX$31+EX$32+EX$33</f>
        <v/>
      </c>
      <c r="EY34" s="267">
        <f>EY$25+EY$26+EY$27+EY$28+EY$29+EY$30+EY$31+EY$32+EY$33</f>
        <v/>
      </c>
      <c r="EZ34" s="267">
        <f>EZ$25+EZ$26+EZ$27+EZ$28+EZ$29+EZ$30+EZ$31+EZ$32+EZ$33</f>
        <v/>
      </c>
      <c r="FA34" s="267">
        <f>FA$25+FA$26+FA$27+FA$28+FA$29+FA$30+FA$31+FA$32+FA$33</f>
        <v/>
      </c>
      <c r="FB34" s="267">
        <f>FB$25+FB$26+FB$27+FB$28+FB$29+FB$30+FB$31+FB$32+FB$33</f>
        <v/>
      </c>
      <c r="FC34" s="267">
        <f>FC$25+FC$26+FC$27+FC$28+FC$29+FC$30+FC$31+FC$32+FC$33</f>
        <v/>
      </c>
      <c r="FD34" s="267">
        <f>FD$25+FD$26+FD$27+FD$28+FD$29+FD$30+FD$31+FD$32+FD$33</f>
        <v/>
      </c>
      <c r="FE34" s="267">
        <f>FE$25+FE$26+FE$27+FE$28+FE$29+FE$30+FE$31+FE$32+FE$33</f>
        <v/>
      </c>
      <c r="FF34" s="267">
        <f>FF$25+FF$26+FF$27+FF$28+FF$29+FF$30+FF$31+FF$32+FF$33</f>
        <v/>
      </c>
      <c r="FG34" s="267">
        <f>FG$25+FG$26+FG$27+FG$28+FG$29+FG$30+FG$31+FG$32+FG$33</f>
        <v/>
      </c>
      <c r="FH34" s="267">
        <f>FH$25+FH$26+FH$27+FH$28+FH$29+FH$30+FH$31+FH$32+FH$33</f>
        <v/>
      </c>
      <c r="FI34" s="267">
        <f>FI$25+FI$26+FI$27+FI$28+FI$29+FI$30+FI$31+FI$32+FI$33</f>
        <v/>
      </c>
      <c r="FJ34" s="267">
        <f>FJ$25+FJ$26+FJ$27+FJ$28+FJ$29+FJ$30+FJ$31+FJ$32+FJ$33</f>
        <v/>
      </c>
      <c r="FK34" s="267">
        <f>FK$25+FK$26+FK$27+FK$28+FK$29+FK$30+FK$31+FK$32+FK$33</f>
        <v/>
      </c>
      <c r="FL34" s="267">
        <f>FL$25+FL$26+FL$27+FL$28+FL$29+FL$30+FL$31+FL$32+FL$33</f>
        <v/>
      </c>
      <c r="FM34" s="267">
        <f>FM$25+FM$26+FM$27+FM$28+FM$29+FM$30+FM$31+FM$32+FM$33</f>
        <v/>
      </c>
      <c r="FN34" s="267">
        <f>FN$25+FN$26+FN$27+FN$28+FN$29+FN$30+FN$31+FN$32+FN$33</f>
        <v/>
      </c>
      <c r="FO34" s="267">
        <f>FO$25+FO$26+FO$27+FO$28+FO$29+FO$30+FO$31+FO$32+FO$33</f>
        <v/>
      </c>
      <c r="FP34" s="267">
        <f>FP$25+FP$26+FP$27+FP$28+FP$29+FP$30+FP$31+FP$32+FP$33</f>
        <v/>
      </c>
      <c r="FQ34" s="267">
        <f>FQ$25+FQ$26+FQ$27+FQ$28+FQ$29+FQ$30+FQ$31+FQ$32+FQ$33</f>
        <v/>
      </c>
      <c r="FR34" s="267">
        <f>FR$25+FR$26+FR$27+FR$28+FR$29+FR$30+FR$31+FR$32+FR$33</f>
        <v/>
      </c>
      <c r="FS34" s="267">
        <f>FS$25+FS$26+FS$27+FS$28+FS$29+FS$30+FS$31+FS$32+FS$33</f>
        <v/>
      </c>
      <c r="FT34" s="267">
        <f>FT$25+FT$26+FT$27+FT$28+FT$29+FT$30+FT$31+FT$32+FT$33</f>
        <v/>
      </c>
      <c r="FU34" s="267">
        <f>FU$25+FU$26+FU$27+FU$28+FU$29+FU$30+FU$31+FU$32+FU$33</f>
        <v/>
      </c>
      <c r="FV34" s="267">
        <f>FV$25+FV$26+FV$27+FV$28+FV$29+FV$30+FV$31+FV$32+FV$33</f>
        <v/>
      </c>
      <c r="FW34" s="267">
        <f>FW$25+FW$26+FW$27+FW$28+FW$29+FW$30+FW$31+FW$32+FW$33</f>
        <v/>
      </c>
      <c r="FX34" s="267">
        <f>FX$25+FX$26+FX$27+FX$28+FX$29+FX$30+FX$31+FX$32+FX$33</f>
        <v/>
      </c>
      <c r="FY34" s="267">
        <f>FY$25+FY$26+FY$27+FY$28+FY$29+FY$30+FY$31+FY$32+FY$33</f>
        <v/>
      </c>
      <c r="FZ34" s="267">
        <f>FZ$25+FZ$26+FZ$27+FZ$28+FZ$29+FZ$30+FZ$31+FZ$32+FZ$33</f>
        <v/>
      </c>
      <c r="GA34" s="267">
        <f>GA$25+GA$26+GA$27+GA$28+GA$29+GA$30+GA$31+GA$32+GA$33</f>
        <v/>
      </c>
      <c r="GB34" s="267">
        <f>GB$25+GB$26+GB$27+GB$28+GB$29+GB$30+GB$31+GB$32+GB$33</f>
        <v/>
      </c>
      <c r="GC34" s="267">
        <f>GC$25+GC$26+GC$27+GC$28+GC$29+GC$30+GC$31+GC$32+GC$33</f>
        <v/>
      </c>
      <c r="GD34" s="267">
        <f>GD$25+GD$26+GD$27+GD$28+GD$29+GD$30+GD$31+GD$32+GD$33</f>
        <v/>
      </c>
      <c r="GE34" s="267">
        <f>GE$25+GE$26+GE$27+GE$28+GE$29+GE$30+GE$31+GE$32+GE$33</f>
        <v/>
      </c>
      <c r="GF34" s="267">
        <f>GF$25+GF$26+GF$27+GF$28+GF$29+GF$30+GF$31+GF$32+GF$33</f>
        <v/>
      </c>
      <c r="GG34" s="267">
        <f>GG$25+GG$26+GG$27+GG$28+GG$29+GG$30+GG$31+GG$32+GG$33</f>
        <v/>
      </c>
      <c r="GH34" s="267">
        <f>GH$25+GH$26+GH$27+GH$28+GH$29+GH$30+GH$31+GH$32+GH$33</f>
        <v/>
      </c>
      <c r="GI34" s="267">
        <f>GI$25+GI$26+GI$27+GI$28+GI$29+GI$30+GI$31+GI$32+GI$33</f>
        <v/>
      </c>
      <c r="GJ34" s="267">
        <f>GJ$25+GJ$26+GJ$27+GJ$28+GJ$29+GJ$30+GJ$31+GJ$32+GJ$33</f>
        <v/>
      </c>
      <c r="GK34" s="267">
        <f>GK$25+GK$26+GK$27+GK$28+GK$29+GK$30+GK$31+GK$32+GK$33</f>
        <v/>
      </c>
      <c r="GL34" s="267">
        <f>GL$25+GL$26+GL$27+GL$28+GL$29+GL$30+GL$31+GL$32+GL$33</f>
        <v/>
      </c>
      <c r="GM34" s="267">
        <f>GM$25+GM$26+GM$27+GM$28+GM$29+GM$30+GM$31+GM$32+GM$33</f>
        <v/>
      </c>
      <c r="GN34" s="267">
        <f>GN$25+GN$26+GN$27+GN$28+GN$29+GN$30+GN$31+GN$32+GN$33</f>
        <v/>
      </c>
      <c r="GO34" s="267">
        <f>GO$25+GO$26+GO$27+GO$28+GO$29+GO$30+GO$31+GO$32+GO$33</f>
        <v/>
      </c>
      <c r="GP34" s="267">
        <f>GP$25+GP$26+GP$27+GP$28+GP$29+GP$30+GP$31+GP$32+GP$33</f>
        <v/>
      </c>
      <c r="GQ34" s="267">
        <f>GQ$25+GQ$26+GQ$27+GQ$28+GQ$29+GQ$30+GQ$31+GQ$32+GQ$33</f>
        <v/>
      </c>
      <c r="GR34" s="267">
        <f>GR$25+GR$26+GR$27+GR$28+GR$29+GR$30+GR$31+GR$32+GR$33</f>
        <v/>
      </c>
      <c r="GS34" s="267">
        <f>GS$25+GS$26+GS$27+GS$28+GS$29+GS$30+GS$31+GS$32+GS$33</f>
        <v/>
      </c>
      <c r="GT34" s="267">
        <f>GT$25+GT$26+GT$27+GT$28+GT$29+GT$30+GT$31+GT$32+GT$33</f>
        <v/>
      </c>
      <c r="GU34" s="267">
        <f>GU$25+GU$26+GU$27+GU$28+GU$29+GU$30+GU$31+GU$32+GU$33</f>
        <v/>
      </c>
      <c r="GV34" s="267">
        <f>GV$25+GV$26+GV$27+GV$28+GV$29+GV$30+GV$31+GV$32+GV$33</f>
        <v/>
      </c>
      <c r="GW34" s="267">
        <f>GW$25+GW$26+GW$27+GW$28+GW$29+GW$30+GW$31+GW$32+GW$33</f>
        <v/>
      </c>
      <c r="GX34" s="267">
        <f>GX$25+GX$26+GX$27+GX$28+GX$29+GX$30+GX$31+GX$32+GX$33</f>
        <v/>
      </c>
      <c r="GY34" s="267">
        <f>GY$25+GY$26+GY$27+GY$28+GY$29+GY$30+GY$31+GY$32+GY$33</f>
        <v/>
      </c>
      <c r="GZ34" s="267">
        <f>GZ$25+GZ$26+GZ$27+GZ$28+GZ$29+GZ$30+GZ$31+GZ$32+GZ$33</f>
        <v/>
      </c>
      <c r="HA34" s="267">
        <f>HA$25+HA$26+HA$27+HA$28+HA$29+HA$30+HA$31+HA$32+HA$33</f>
        <v/>
      </c>
      <c r="HB34" s="267">
        <f>HB$25+HB$26+HB$27+HB$28+HB$29+HB$30+HB$31+HB$32+HB$33</f>
        <v/>
      </c>
      <c r="HC34" s="267">
        <f>HC$25+HC$26+HC$27+HC$28+HC$29+HC$30+HC$31+HC$32+HC$33</f>
        <v/>
      </c>
      <c r="HD34" s="267">
        <f>HD$25+HD$26+HD$27+HD$28+HD$29+HD$30+HD$31+HD$32+HD$33</f>
        <v/>
      </c>
      <c r="HE34" s="267">
        <f>HE$25+HE$26+HE$27+HE$28+HE$29+HE$30+HE$31+HE$32+HE$33</f>
        <v/>
      </c>
      <c r="HF34" s="267">
        <f>HF$25+HF$26+HF$27+HF$28+HF$29+HF$30+HF$31+HF$32+HF$33</f>
        <v/>
      </c>
      <c r="HG34" s="267">
        <f>HG$25+HG$26+HG$27+HG$28+HG$29+HG$30+HG$31+HG$32+HG$33</f>
        <v/>
      </c>
      <c r="HH34" s="267">
        <f>HH$25+HH$26+HH$27+HH$28+HH$29+HH$30+HH$31+HH$32+HH$33</f>
        <v/>
      </c>
      <c r="HI34" s="267">
        <f>HI$25+HI$26+HI$27+HI$28+HI$29+HI$30+HI$31+HI$32+HI$33</f>
        <v/>
      </c>
      <c r="HJ34" s="267">
        <f>HJ$25+HJ$26+HJ$27+HJ$28+HJ$29+HJ$30+HJ$31+HJ$32+HJ$33</f>
        <v/>
      </c>
      <c r="HK34" s="267">
        <f>HK$25+HK$26+HK$27+HK$28+HK$29+HK$30+HK$31+HK$32+HK$33</f>
        <v/>
      </c>
      <c r="HL34" s="267">
        <f>HL$25+HL$26+HL$27+HL$28+HL$29+HL$30+HL$31+HL$32+HL$33</f>
        <v/>
      </c>
      <c r="HM34" s="267">
        <f>HM$25+HM$26+HM$27+HM$28+HM$29+HM$30+HM$31+HM$32+HM$33</f>
        <v/>
      </c>
      <c r="HN34" s="267">
        <f>HN$25+HN$26+HN$27+HN$28+HN$29+HN$30+HN$31+HN$32+HN$33</f>
        <v/>
      </c>
      <c r="HO34" s="267">
        <f>HO$25+HO$26+HO$27+HO$28+HO$29+HO$30+HO$31+HO$32+HO$33</f>
        <v/>
      </c>
      <c r="HP34" s="267">
        <f>HP$25+HP$26+HP$27+HP$28+HP$29+HP$30+HP$31+HP$32+HP$33</f>
        <v/>
      </c>
      <c r="HQ34" s="267">
        <f>HQ$25+HQ$26+HQ$27+HQ$28+HQ$29+HQ$30+HQ$31+HQ$32+HQ$33</f>
        <v/>
      </c>
      <c r="HR34" s="267">
        <f>HR$25+HR$26+HR$27+HR$28+HR$29+HR$30+HR$31+HR$32+HR$33</f>
        <v/>
      </c>
      <c r="HS34" s="267">
        <f>HS$25+HS$26+HS$27+HS$28+HS$29+HS$30+HS$31+HS$32+HS$33</f>
        <v/>
      </c>
      <c r="HT34" s="267">
        <f>HT$25+HT$26+HT$27+HT$28+HT$29+HT$30+HT$31+HT$32+HT$33</f>
        <v/>
      </c>
      <c r="HU34" s="267">
        <f>HU$25+HU$26+HU$27+HU$28+HU$29+HU$30+HU$31+HU$32+HU$33</f>
        <v/>
      </c>
      <c r="HV34" s="267">
        <f>HV$25+HV$26+HV$27+HV$28+HV$29+HV$30+HV$31+HV$32+HV$33</f>
        <v/>
      </c>
      <c r="HW34" s="267">
        <f>HW$25+HW$26+HW$27+HW$28+HW$29+HW$30+HW$31+HW$32+HW$33</f>
        <v/>
      </c>
      <c r="HX34" s="267">
        <f>HX$25+HX$26+HX$27+HX$28+HX$29+HX$30+HX$31+HX$32+HX$33</f>
        <v/>
      </c>
      <c r="HY34" s="267">
        <f>HY$25+HY$26+HY$27+HY$28+HY$29+HY$30+HY$31+HY$32+HY$33</f>
        <v/>
      </c>
      <c r="HZ34" s="267">
        <f>HZ$25+HZ$26+HZ$27+HZ$28+HZ$29+HZ$30+HZ$31+HZ$32+HZ$33</f>
        <v/>
      </c>
      <c r="IA34" s="267">
        <f>IA$25+IA$26+IA$27+IA$28+IA$29+IA$30+IA$31+IA$32+IA$33</f>
        <v/>
      </c>
      <c r="IB34" s="267">
        <f>IB$25+IB$26+IB$27+IB$28+IB$29+IB$30+IB$31+IB$32+IB$33</f>
        <v/>
      </c>
      <c r="IC34" s="267">
        <f>IC$25+IC$26+IC$27+IC$28+IC$29+IC$30+IC$31+IC$32+IC$33</f>
        <v/>
      </c>
      <c r="ID34" s="267">
        <f>ID$25+ID$26+ID$27+ID$28+ID$29+ID$30+ID$31+ID$32+ID$33</f>
        <v/>
      </c>
      <c r="IE34" s="267">
        <f>IE$25+IE$26+IE$27+IE$28+IE$29+IE$30+IE$31+IE$32+IE$33</f>
        <v/>
      </c>
      <c r="IF34" s="267">
        <f>IF$25+IF$26+IF$27+IF$28+IF$29+IF$30+IF$31+IF$32+IF$33</f>
        <v/>
      </c>
      <c r="IG34" s="267">
        <f>IG$25+IG$26+IG$27+IG$28+IG$29+IG$30+IG$31+IG$32+IG$33</f>
        <v/>
      </c>
      <c r="IH34" s="267">
        <f>IH$25+IH$26+IH$27+IH$28+IH$29+IH$30+IH$31+IH$32+IH$33</f>
        <v/>
      </c>
      <c r="II34" s="267">
        <f>II$25+II$26+II$27+II$28+II$29+II$30+II$31+II$32+II$33</f>
        <v/>
      </c>
      <c r="IJ34" s="267">
        <f>IJ$25+IJ$26+IJ$27+IJ$28+IJ$29+IJ$30+IJ$31+IJ$32+IJ$33</f>
        <v/>
      </c>
      <c r="IK34" s="267">
        <f>IK$25+IK$26+IK$27+IK$28+IK$29+IK$30+IK$31+IK$32+IK$33</f>
        <v/>
      </c>
      <c r="IL34" s="267">
        <f>IL$25+IL$26+IL$27+IL$28+IL$29+IL$30+IL$31+IL$32+IL$33</f>
        <v/>
      </c>
      <c r="IM34" s="267">
        <f>IM$25+IM$26+IM$27+IM$28+IM$29+IM$30+IM$31+IM$32+IM$33</f>
        <v/>
      </c>
      <c r="IN34" s="267">
        <f>IN$25+IN$26+IN$27+IN$28+IN$29+IN$30+IN$31+IN$32+IN$33</f>
        <v/>
      </c>
      <c r="IO34" s="267">
        <f>IO$25+IO$26+IO$27+IO$28+IO$29+IO$30+IO$31+IO$32+IO$33</f>
        <v/>
      </c>
      <c r="IP34" s="267">
        <f>IP$25+IP$26+IP$27+IP$28+IP$29+IP$30+IP$31+IP$32+IP$33</f>
        <v/>
      </c>
      <c r="IQ34" s="267">
        <f>IQ$25+IQ$26+IQ$27+IQ$28+IQ$29+IQ$30+IQ$31+IQ$32+IQ$33</f>
        <v/>
      </c>
      <c r="IR34" s="267">
        <f>IR$25+IR$26+IR$27+IR$28+IR$29+IR$30+IR$31+IR$32+IR$33</f>
        <v/>
      </c>
      <c r="IS34" s="267">
        <f>IS$25+IS$26+IS$27+IS$28+IS$29+IS$30+IS$31+IS$32+IS$33</f>
        <v/>
      </c>
      <c r="IT34" s="267">
        <f>IT$25+IT$26+IT$27+IT$28+IT$29+IT$30+IT$31+IT$32+IT$33</f>
        <v/>
      </c>
      <c r="IU34" s="267">
        <f>IU$25+IU$26+IU$27+IU$28+IU$29+IU$30+IU$31+IU$32+IU$33</f>
        <v/>
      </c>
      <c r="IV34" s="267">
        <f>IV$25+IV$26+IV$27+IV$28+IV$29+IV$30+IV$31+IV$32+IV$33</f>
        <v/>
      </c>
      <c r="IW34" s="267">
        <f>IW$25+IW$26+IW$27+IW$28+IW$29+IW$30+IW$31+IW$32+IW$33</f>
        <v/>
      </c>
      <c r="IX34" s="267">
        <f>IX$25+IX$26+IX$27+IX$28+IX$29+IX$30+IX$31+IX$32+IX$33</f>
        <v/>
      </c>
      <c r="IY34" s="267">
        <f>IY$25+IY$26+IY$27+IY$28+IY$29+IY$30+IY$31+IY$32+IY$33</f>
        <v/>
      </c>
      <c r="IZ34" s="267">
        <f>IZ$25+IZ$26+IZ$27+IZ$28+IZ$29+IZ$30+IZ$31+IZ$32+IZ$33</f>
        <v/>
      </c>
      <c r="JA34" s="267">
        <f>JA$25+JA$26+JA$27+JA$28+JA$29+JA$30+JA$31+JA$32+JA$33</f>
        <v/>
      </c>
      <c r="JB34" s="267">
        <f>JB$25+JB$26+JB$27+JB$28+JB$29+JB$30+JB$31+JB$32+JB$33</f>
        <v/>
      </c>
      <c r="JC34" s="267">
        <f>JC$25+JC$26+JC$27+JC$28+JC$29+JC$30+JC$31+JC$32+JC$33</f>
        <v/>
      </c>
      <c r="JD34" s="267">
        <f>JD$25+JD$26+JD$27+JD$28+JD$29+JD$30+JD$31+JD$32+JD$33</f>
        <v/>
      </c>
      <c r="JE34" s="267">
        <f>JE$25+JE$26+JE$27+JE$28+JE$29+JE$30+JE$31+JE$32+JE$33</f>
        <v/>
      </c>
      <c r="JF34" s="267">
        <f>JF$25+JF$26+JF$27+JF$28+JF$29+JF$30+JF$31+JF$32+JF$33</f>
        <v/>
      </c>
      <c r="JG34" s="267">
        <f>JG$25+JG$26+JG$27+JG$28+JG$29+JG$30+JG$31+JG$32+JG$33</f>
        <v/>
      </c>
      <c r="JH34" s="267">
        <f>JH$25+JH$26+JH$27+JH$28+JH$29+JH$30+JH$31+JH$32+JH$33</f>
        <v/>
      </c>
      <c r="JI34" s="267">
        <f>JI$25+JI$26+JI$27+JI$28+JI$29+JI$30+JI$31+JI$32+JI$33</f>
        <v/>
      </c>
      <c r="JJ34" s="267">
        <f>JJ$25+JJ$26+JJ$27+JJ$28+JJ$29+JJ$30+JJ$31+JJ$32+JJ$33</f>
        <v/>
      </c>
      <c r="JK34" s="267">
        <f>JK$25+JK$26+JK$27+JK$28+JK$29+JK$30+JK$31+JK$32+JK$33</f>
        <v/>
      </c>
      <c r="JL34" s="267">
        <f>JL$25+JL$26+JL$27+JL$28+JL$29+JL$30+JL$31+JL$32+JL$33</f>
        <v/>
      </c>
      <c r="JM34" s="267">
        <f>JM$25+JM$26+JM$27+JM$28+JM$29+JM$30+JM$31+JM$32+JM$33</f>
        <v/>
      </c>
      <c r="JN34" s="267">
        <f>JN$25+JN$26+JN$27+JN$28+JN$29+JN$30+JN$31+JN$32+JN$33</f>
        <v/>
      </c>
      <c r="JO34" s="267">
        <f>JO$25+JO$26+JO$27+JO$28+JO$29+JO$30+JO$31+JO$32+JO$33</f>
        <v/>
      </c>
      <c r="JP34" s="267">
        <f>JP$25+JP$26+JP$27+JP$28+JP$29+JP$30+JP$31+JP$32+JP$33</f>
        <v/>
      </c>
      <c r="JQ34" s="267">
        <f>JQ$25+JQ$26+JQ$27+JQ$28+JQ$29+JQ$30+JQ$31+JQ$32+JQ$33</f>
        <v/>
      </c>
      <c r="JR34" s="267">
        <f>JR$25+JR$26+JR$27+JR$28+JR$29+JR$30+JR$31+JR$32+JR$33</f>
        <v/>
      </c>
      <c r="JS34" s="267">
        <f>JS$25+JS$26+JS$27+JS$28+JS$29+JS$30+JS$31+JS$32+JS$33</f>
        <v/>
      </c>
      <c r="JT34" s="267">
        <f>JT$25+JT$26+JT$27+JT$28+JT$29+JT$30+JT$31+JT$32+JT$33</f>
        <v/>
      </c>
      <c r="JU34" s="267">
        <f>JU$25+JU$26+JU$27+JU$28+JU$29+JU$30+JU$31+JU$32+JU$33</f>
        <v/>
      </c>
      <c r="JV34" s="267">
        <f>JV$25+JV$26+JV$27+JV$28+JV$29+JV$30+JV$31+JV$32+JV$33</f>
        <v/>
      </c>
      <c r="JW34" s="267">
        <f>JW$25+JW$26+JW$27+JW$28+JW$29+JW$30+JW$31+JW$32+JW$33</f>
        <v/>
      </c>
      <c r="JX34" s="267">
        <f>JX$25+JX$26+JX$27+JX$28+JX$29+JX$30+JX$31+JX$32+JX$33</f>
        <v/>
      </c>
      <c r="JY34" s="267">
        <f>JY$25+JY$26+JY$27+JY$28+JY$29+JY$30+JY$31+JY$32+JY$33</f>
        <v/>
      </c>
      <c r="JZ34" s="267">
        <f>JZ$25+JZ$26+JZ$27+JZ$28+JZ$29+JZ$30+JZ$31+JZ$32+JZ$33</f>
        <v/>
      </c>
      <c r="KA34" s="267">
        <f>KA$25+KA$26+KA$27+KA$28+KA$29+KA$30+KA$31+KA$32+KA$33</f>
        <v/>
      </c>
      <c r="KB34" s="267">
        <f>KB$25+KB$26+KB$27+KB$28+KB$29+KB$30+KB$31+KB$32+KB$33</f>
        <v/>
      </c>
      <c r="KC34" s="267">
        <f>KC$25+KC$26+KC$27+KC$28+KC$29+KC$30+KC$31+KC$32+KC$33</f>
        <v/>
      </c>
      <c r="KD34" s="267">
        <f>KD$25+KD$26+KD$27+KD$28+KD$29+KD$30+KD$31+KD$32+KD$33</f>
        <v/>
      </c>
      <c r="KE34" s="267">
        <f>KE$25+KE$26+KE$27+KE$28+KE$29+KE$30+KE$31+KE$32+KE$33</f>
        <v/>
      </c>
      <c r="KF34" s="267">
        <f>KF$25+KF$26+KF$27+KF$28+KF$29+KF$30+KF$31+KF$32+KF$33</f>
        <v/>
      </c>
      <c r="KG34" s="267">
        <f>KG$25+KG$26+KG$27+KG$28+KG$29+KG$30+KG$31+KG$32+KG$33</f>
        <v/>
      </c>
      <c r="KH34" s="267">
        <f>KH$25+KH$26+KH$27+KH$28+KH$29+KH$30+KH$31+KH$32+KH$33</f>
        <v/>
      </c>
      <c r="KI34" s="267">
        <f>KI$25+KI$26+KI$27+KI$28+KI$29+KI$30+KI$31+KI$32+KI$33</f>
        <v/>
      </c>
      <c r="KJ34" s="267">
        <f>KJ$25+KJ$26+KJ$27+KJ$28+KJ$29+KJ$30+KJ$31+KJ$32+KJ$33</f>
        <v/>
      </c>
      <c r="KK34" s="267">
        <f>KK$25+KK$26+KK$27+KK$28+KK$29+KK$30+KK$31+KK$32+KK$33</f>
        <v/>
      </c>
      <c r="KL34" s="267">
        <f>KL$25+KL$26+KL$27+KL$28+KL$29+KL$30+KL$31+KL$32+KL$33</f>
        <v/>
      </c>
      <c r="KM34" s="267">
        <f>KM$25+KM$26+KM$27+KM$28+KM$29+KM$30+KM$31+KM$32+KM$33</f>
        <v/>
      </c>
      <c r="KN34" s="267">
        <f>KN$25+KN$26+KN$27+KN$28+KN$29+KN$30+KN$31+KN$32+KN$33</f>
        <v/>
      </c>
      <c r="KO34" s="267">
        <f>KO$25+KO$26+KO$27+KO$28+KO$29+KO$30+KO$31+KO$32+KO$33</f>
        <v/>
      </c>
      <c r="KP34" s="267">
        <f>KP$25+KP$26+KP$27+KP$28+KP$29+KP$30+KP$31+KP$32+KP$33</f>
        <v/>
      </c>
      <c r="KQ34" s="267">
        <f>KQ$25+KQ$26+KQ$27+KQ$28+KQ$29+KQ$30+KQ$31+KQ$32+KQ$33</f>
        <v/>
      </c>
      <c r="KR34" s="267">
        <f>KR$25+KR$26+KR$27+KR$28+KR$29+KR$30+KR$31+KR$32+KR$33</f>
        <v/>
      </c>
      <c r="KS34" s="267">
        <f>KS$25+KS$26+KS$27+KS$28+KS$29+KS$30+KS$31+KS$32+KS$33</f>
        <v/>
      </c>
      <c r="KT34" s="267">
        <f>KT$25+KT$26+KT$27+KT$28+KT$29+KT$30+KT$31+KT$32+KT$33</f>
        <v/>
      </c>
      <c r="KU34" s="267">
        <f>KU$25+KU$26+KU$27+KU$28+KU$29+KU$30+KU$31+KU$32+KU$33</f>
        <v/>
      </c>
      <c r="KV34" s="267">
        <f>KV$25+KV$26+KV$27+KV$28+KV$29+KV$30+KV$31+KV$32+KV$33</f>
        <v/>
      </c>
      <c r="KW34" s="267">
        <f>KW$25+KW$26+KW$27+KW$28+KW$29+KW$30+KW$31+KW$32+KW$33</f>
        <v/>
      </c>
      <c r="KX34" s="267">
        <f>KX$25+KX$26+KX$27+KX$28+KX$29+KX$30+KX$31+KX$32+KX$33</f>
        <v/>
      </c>
      <c r="KY34" s="267">
        <f>KY$25+KY$26+KY$27+KY$28+KY$29+KY$30+KY$31+KY$32+KY$33</f>
        <v/>
      </c>
      <c r="KZ34" s="267">
        <f>KZ$25+KZ$26+KZ$27+KZ$28+KZ$29+KZ$30+KZ$31+KZ$32+KZ$33</f>
        <v/>
      </c>
      <c r="LA34" s="267">
        <f>LA$25+LA$26+LA$27+LA$28+LA$29+LA$30+LA$31+LA$32+LA$33</f>
        <v/>
      </c>
      <c r="LB34" s="267">
        <f>LB$25+LB$26+LB$27+LB$28+LB$29+LB$30+LB$31+LB$32+LB$33</f>
        <v/>
      </c>
      <c r="LC34" s="267">
        <f>LC$25+LC$26+LC$27+LC$28+LC$29+LC$30+LC$31+LC$32+LC$33</f>
        <v/>
      </c>
      <c r="LD34" s="267">
        <f>LD$25+LD$26+LD$27+LD$28+LD$29+LD$30+LD$31+LD$32+LD$33</f>
        <v/>
      </c>
      <c r="LE34" s="267">
        <f>LE$25+LE$26+LE$27+LE$28+LE$29+LE$30+LE$31+LE$32+LE$33</f>
        <v/>
      </c>
      <c r="LF34" s="267">
        <f>LF$25+LF$26+LF$27+LF$28+LF$29+LF$30+LF$31+LF$32+LF$33</f>
        <v/>
      </c>
      <c r="LG34" s="267">
        <f>LG$25+LG$26+LG$27+LG$28+LG$29+LG$30+LG$31+LG$32+LG$33</f>
        <v/>
      </c>
      <c r="LH34" s="267">
        <f>LH$25+LH$26+LH$27+LH$28+LH$29+LH$30+LH$31+LH$32+LH$33</f>
        <v/>
      </c>
      <c r="LI34" s="267">
        <f>LI$25+LI$26+LI$27+LI$28+LI$29+LI$30+LI$31+LI$32+LI$33</f>
        <v/>
      </c>
      <c r="LJ34" s="267">
        <f>LJ$25+LJ$26+LJ$27+LJ$28+LJ$29+LJ$30+LJ$31+LJ$32+LJ$33</f>
        <v/>
      </c>
      <c r="LK34" s="267">
        <f>LK$25+LK$26+LK$27+LK$28+LK$29+LK$30+LK$31+LK$32+LK$33</f>
        <v/>
      </c>
      <c r="LL34" s="267">
        <f>LL$25+LL$26+LL$27+LL$28+LL$29+LL$30+LL$31+LL$32+LL$33</f>
        <v/>
      </c>
      <c r="LM34" s="267">
        <f>LM$25+LM$26+LM$27+LM$28+LM$29+LM$30+LM$31+LM$32+LM$33</f>
        <v/>
      </c>
      <c r="LN34" s="267">
        <f>LN$25+LN$26+LN$27+LN$28+LN$29+LN$30+LN$31+LN$32+LN$33</f>
        <v/>
      </c>
      <c r="LO34" s="267">
        <f>LO$25+LO$26+LO$27+LO$28+LO$29+LO$30+LO$31+LO$32+LO$33</f>
        <v/>
      </c>
      <c r="LP34" s="267">
        <f>LP$25+LP$26+LP$27+LP$28+LP$29+LP$30+LP$31+LP$32+LP$33</f>
        <v/>
      </c>
      <c r="LQ34" s="267">
        <f>LQ$25+LQ$26+LQ$27+LQ$28+LQ$29+LQ$30+LQ$31+LQ$32+LQ$33</f>
        <v/>
      </c>
      <c r="LR34" s="267">
        <f>LR$25+LR$26+LR$27+LR$28+LR$29+LR$30+LR$31+LR$32+LR$33</f>
        <v/>
      </c>
      <c r="LS34" s="267">
        <f>LS$25+LS$26+LS$27+LS$28+LS$29+LS$30+LS$31+LS$32+LS$33</f>
        <v/>
      </c>
      <c r="LT34" s="267">
        <f>LT$25+LT$26+LT$27+LT$28+LT$29+LT$30+LT$31+LT$32+LT$33</f>
        <v/>
      </c>
      <c r="LU34" s="267">
        <f>LU$25+LU$26+LU$27+LU$28+LU$29+LU$30+LU$31+LU$32+LU$33</f>
        <v/>
      </c>
      <c r="LV34" s="267">
        <f>LV$25+LV$26+LV$27+LV$28+LV$29+LV$30+LV$31+LV$32+LV$33</f>
        <v/>
      </c>
      <c r="LW34" s="267">
        <f>LW$25+LW$26+LW$27+LW$28+LW$29+LW$30+LW$31+LW$32+LW$33</f>
        <v/>
      </c>
      <c r="LX34" s="267">
        <f>LX$25+LX$26+LX$27+LX$28+LX$29+LX$30+LX$31+LX$32+LX$33</f>
        <v/>
      </c>
      <c r="LY34" s="267">
        <f>LY$25+LY$26+LY$27+LY$28+LY$29+LY$30+LY$31+LY$32+LY$33</f>
        <v/>
      </c>
      <c r="LZ34" s="267">
        <f>LZ$25+LZ$26+LZ$27+LZ$28+LZ$29+LZ$30+LZ$31+LZ$32+LZ$33</f>
        <v/>
      </c>
      <c r="MA34" s="267">
        <f>MA$25+MA$26+MA$27+MA$28+MA$29+MA$30+MA$31+MA$32+MA$33</f>
        <v/>
      </c>
      <c r="MB34" s="267">
        <f>MB$25+MB$26+MB$27+MB$28+MB$29+MB$30+MB$31+MB$32+MB$33</f>
        <v/>
      </c>
      <c r="MC34" s="267">
        <f>MC$25+MC$26+MC$27+MC$28+MC$29+MC$30+MC$31+MC$32+MC$33</f>
        <v/>
      </c>
      <c r="MD34" s="267">
        <f>MD$25+MD$26+MD$27+MD$28+MD$29+MD$30+MD$31+MD$32+MD$33</f>
        <v/>
      </c>
      <c r="ME34" s="267">
        <f>ME$25+ME$26+ME$27+ME$28+ME$29+ME$30+ME$31+ME$32+ME$33</f>
        <v/>
      </c>
      <c r="MF34" s="267">
        <f>MF$25+MF$26+MF$27+MF$28+MF$29+MF$30+MF$31+MF$32+MF$33</f>
        <v/>
      </c>
      <c r="MG34" s="267">
        <f>MG$25+MG$26+MG$27+MG$28+MG$29+MG$30+MG$31+MG$32+MG$33</f>
        <v/>
      </c>
      <c r="MH34" s="267">
        <f>MH$25+MH$26+MH$27+MH$28+MH$29+MH$30+MH$31+MH$32+MH$33</f>
        <v/>
      </c>
      <c r="MI34" s="267">
        <f>MI$25+MI$26+MI$27+MI$28+MI$29+MI$30+MI$31+MI$32+MI$33</f>
        <v/>
      </c>
      <c r="MJ34" s="267">
        <f>MJ$25+MJ$26+MJ$27+MJ$28+MJ$29+MJ$30+MJ$31+MJ$32+MJ$33</f>
        <v/>
      </c>
      <c r="MK34" s="267">
        <f>MK$25+MK$26+MK$27+MK$28+MK$29+MK$30+MK$31+MK$32+MK$33</f>
        <v/>
      </c>
      <c r="ML34" s="267">
        <f>ML$25+ML$26+ML$27+ML$28+ML$29+ML$30+ML$31+ML$32+ML$33</f>
        <v/>
      </c>
      <c r="MM34" s="267">
        <f>MM$25+MM$26+MM$27+MM$28+MM$29+MM$30+MM$31+MM$32+MM$33</f>
        <v/>
      </c>
      <c r="MN34" s="267">
        <f>MN$25+MN$26+MN$27+MN$28+MN$29+MN$30+MN$31+MN$32+MN$33</f>
        <v/>
      </c>
      <c r="MO34" s="267">
        <f>MO$25+MO$26+MO$27+MO$28+MO$29+MO$30+MO$31+MO$32+MO$33</f>
        <v/>
      </c>
      <c r="MP34" s="267">
        <f>MP$25+MP$26+MP$27+MP$28+MP$29+MP$30+MP$31+MP$32+MP$33</f>
        <v/>
      </c>
      <c r="MQ34" s="267">
        <f>MQ$25+MQ$26+MQ$27+MQ$28+MQ$29+MQ$30+MQ$31+MQ$32+MQ$33</f>
        <v/>
      </c>
      <c r="MR34" s="267">
        <f>MR$25+MR$26+MR$27+MR$28+MR$29+MR$30+MR$31+MR$32+MR$33</f>
        <v/>
      </c>
      <c r="MS34" s="267">
        <f>MS$25+MS$26+MS$27+MS$28+MS$29+MS$30+MS$31+MS$32+MS$33</f>
        <v/>
      </c>
      <c r="MT34" s="267">
        <f>MT$25+MT$26+MT$27+MT$28+MT$29+MT$30+MT$31+MT$32+MT$33</f>
        <v/>
      </c>
      <c r="MU34" s="267">
        <f>MU$25+MU$26+MU$27+MU$28+MU$29+MU$30+MU$31+MU$32+MU$33</f>
        <v/>
      </c>
      <c r="MV34" s="267">
        <f>MV$25+MV$26+MV$27+MV$28+MV$29+MV$30+MV$31+MV$32+MV$33</f>
        <v/>
      </c>
      <c r="MW34" s="267">
        <f>MW$25+MW$26+MW$27+MW$28+MW$29+MW$30+MW$31+MW$32+MW$33</f>
        <v/>
      </c>
      <c r="MX34" s="267">
        <f>MX$25+MX$26+MX$27+MX$28+MX$29+MX$30+MX$31+MX$32+MX$33</f>
        <v/>
      </c>
      <c r="MY34" s="267">
        <f>MY$25+MY$26+MY$27+MY$28+MY$29+MY$30+MY$31+MY$32+MY$33</f>
        <v/>
      </c>
      <c r="MZ34" s="267">
        <f>MZ$25+MZ$26+MZ$27+MZ$28+MZ$29+MZ$30+MZ$31+MZ$32+MZ$33</f>
        <v/>
      </c>
      <c r="NA34" s="267">
        <f>NA$25+NA$26+NA$27+NA$28+NA$29+NA$30+NA$31+NA$32+NA$33</f>
        <v/>
      </c>
      <c r="NB34" s="267">
        <f>NB$25+NB$26+NB$27+NB$28+NB$29+NB$30+NB$31+NB$32+NB$33</f>
        <v/>
      </c>
      <c r="NC34" s="267">
        <f>NC$25+NC$26+NC$27+NC$28+NC$29+NC$30+NC$31+NC$32+NC$33</f>
        <v/>
      </c>
      <c r="ND34" s="267">
        <f>ND$25+ND$26+ND$27+ND$28+ND$29+ND$30+ND$31+ND$32+ND$33</f>
        <v/>
      </c>
      <c r="NE34" s="267">
        <f>NE$25+NE$26+NE$27+NE$28+NE$29+NE$30+NE$31+NE$32+NE$33</f>
        <v/>
      </c>
      <c r="NF34" s="267">
        <f>NF$25+NF$26+NF$27+NF$28+NF$29+NF$30+NF$31+NF$32+NF$33</f>
        <v/>
      </c>
      <c r="NG34" s="267">
        <f>NG$25+NG$26+NG$27+NG$28+NG$29+NG$30+NG$31+NG$32+NG$33</f>
        <v/>
      </c>
      <c r="NH34" s="267">
        <f>NH$25+NH$26+NH$27+NH$28+NH$29+NH$30+NH$31+NH$32+NH$33</f>
        <v/>
      </c>
      <c r="NI34" s="267">
        <f>NI$25+NI$26+NI$27+NI$28+NI$29+NI$30+NI$31+NI$32+NI$33</f>
        <v/>
      </c>
      <c r="NJ34" s="267">
        <f>NJ$25+NJ$26+NJ$27+NJ$28+NJ$29+NJ$30+NJ$31+NJ$32+NJ$33</f>
        <v/>
      </c>
      <c r="NK34" s="267">
        <f>NK$25+NK$26+NK$27+NK$28+NK$29+NK$30+NK$31+NK$32+NK$33</f>
        <v/>
      </c>
      <c r="NL34" s="253">
        <f>NL$25+NL$26+NL$27+NL$28+NL$29+NL$30+NL$31+NL$32+NL$33</f>
        <v/>
      </c>
    </row>
    <row r="35">
      <c r="B35" s="50" t="inlineStr">
        <is>
          <t>NOI before Property Tax</t>
        </is>
      </c>
      <c r="D35" s="266">
        <f>SUM(E35:NL35)</f>
        <v/>
      </c>
      <c r="E35" s="267">
        <f>E$23-E$34</f>
        <v/>
      </c>
      <c r="F35" s="267">
        <f>F$23-F$34</f>
        <v/>
      </c>
      <c r="G35" s="267">
        <f>G$23-G$34</f>
        <v/>
      </c>
      <c r="H35" s="267">
        <f>H$23-H$34</f>
        <v/>
      </c>
      <c r="I35" s="267">
        <f>I$23-I$34</f>
        <v/>
      </c>
      <c r="J35" s="267">
        <f>J$23-J$34</f>
        <v/>
      </c>
      <c r="K35" s="267">
        <f>K$23-K$34</f>
        <v/>
      </c>
      <c r="L35" s="267">
        <f>L$23-L$34</f>
        <v/>
      </c>
      <c r="M35" s="267">
        <f>M$23-M$34</f>
        <v/>
      </c>
      <c r="N35" s="267">
        <f>N$23-N$34</f>
        <v/>
      </c>
      <c r="O35" s="267">
        <f>O$23-O$34</f>
        <v/>
      </c>
      <c r="P35" s="267">
        <f>P$23-P$34</f>
        <v/>
      </c>
      <c r="Q35" s="267">
        <f>Q$23-Q$34</f>
        <v/>
      </c>
      <c r="R35" s="267">
        <f>R$23-R$34</f>
        <v/>
      </c>
      <c r="S35" s="267">
        <f>S$23-S$34</f>
        <v/>
      </c>
      <c r="T35" s="267">
        <f>T$23-T$34</f>
        <v/>
      </c>
      <c r="U35" s="267">
        <f>U$23-U$34</f>
        <v/>
      </c>
      <c r="V35" s="267">
        <f>V$23-V$34</f>
        <v/>
      </c>
      <c r="W35" s="267">
        <f>W$23-W$34</f>
        <v/>
      </c>
      <c r="X35" s="267">
        <f>X$23-X$34</f>
        <v/>
      </c>
      <c r="Y35" s="267">
        <f>Y$23-Y$34</f>
        <v/>
      </c>
      <c r="Z35" s="267">
        <f>Z$23-Z$34</f>
        <v/>
      </c>
      <c r="AA35" s="267">
        <f>AA$23-AA$34</f>
        <v/>
      </c>
      <c r="AB35" s="267">
        <f>AB$23-AB$34</f>
        <v/>
      </c>
      <c r="AC35" s="267">
        <f>AC$23-AC$34</f>
        <v/>
      </c>
      <c r="AD35" s="267">
        <f>AD$23-AD$34</f>
        <v/>
      </c>
      <c r="AE35" s="267">
        <f>AE$23-AE$34</f>
        <v/>
      </c>
      <c r="AF35" s="267">
        <f>AF$23-AF$34</f>
        <v/>
      </c>
      <c r="AG35" s="267">
        <f>AG$23-AG$34</f>
        <v/>
      </c>
      <c r="AH35" s="267">
        <f>AH$23-AH$34</f>
        <v/>
      </c>
      <c r="AI35" s="267">
        <f>AI$23-AI$34</f>
        <v/>
      </c>
      <c r="AJ35" s="267">
        <f>AJ$23-AJ$34</f>
        <v/>
      </c>
      <c r="AK35" s="267">
        <f>AK$23-AK$34</f>
        <v/>
      </c>
      <c r="AL35" s="267">
        <f>AL$23-AL$34</f>
        <v/>
      </c>
      <c r="AM35" s="267">
        <f>AM$23-AM$34</f>
        <v/>
      </c>
      <c r="AN35" s="267">
        <f>AN$23-AN$34</f>
        <v/>
      </c>
      <c r="AO35" s="267">
        <f>AO$23-AO$34</f>
        <v/>
      </c>
      <c r="AP35" s="267">
        <f>AP$23-AP$34</f>
        <v/>
      </c>
      <c r="AQ35" s="267">
        <f>AQ$23-AQ$34</f>
        <v/>
      </c>
      <c r="AR35" s="267">
        <f>AR$23-AR$34</f>
        <v/>
      </c>
      <c r="AS35" s="267">
        <f>AS$23-AS$34</f>
        <v/>
      </c>
      <c r="AT35" s="267">
        <f>AT$23-AT$34</f>
        <v/>
      </c>
      <c r="AU35" s="267">
        <f>AU$23-AU$34</f>
        <v/>
      </c>
      <c r="AV35" s="267">
        <f>AV$23-AV$34</f>
        <v/>
      </c>
      <c r="AW35" s="267">
        <f>AW$23-AW$34</f>
        <v/>
      </c>
      <c r="AX35" s="267">
        <f>AX$23-AX$34</f>
        <v/>
      </c>
      <c r="AY35" s="267">
        <f>AY$23-AY$34</f>
        <v/>
      </c>
      <c r="AZ35" s="267">
        <f>AZ$23-AZ$34</f>
        <v/>
      </c>
      <c r="BA35" s="267">
        <f>BA$23-BA$34</f>
        <v/>
      </c>
      <c r="BB35" s="267">
        <f>BB$23-BB$34</f>
        <v/>
      </c>
      <c r="BC35" s="267">
        <f>BC$23-BC$34</f>
        <v/>
      </c>
      <c r="BD35" s="267">
        <f>BD$23-BD$34</f>
        <v/>
      </c>
      <c r="BE35" s="267">
        <f>BE$23-BE$34</f>
        <v/>
      </c>
      <c r="BF35" s="267">
        <f>BF$23-BF$34</f>
        <v/>
      </c>
      <c r="BG35" s="267">
        <f>BG$23-BG$34</f>
        <v/>
      </c>
      <c r="BH35" s="267">
        <f>BH$23-BH$34</f>
        <v/>
      </c>
      <c r="BI35" s="267">
        <f>BI$23-BI$34</f>
        <v/>
      </c>
      <c r="BJ35" s="267">
        <f>BJ$23-BJ$34</f>
        <v/>
      </c>
      <c r="BK35" s="267">
        <f>BK$23-BK$34</f>
        <v/>
      </c>
      <c r="BL35" s="267">
        <f>BL$23-BL$34</f>
        <v/>
      </c>
      <c r="BM35" s="267">
        <f>BM$23-BM$34</f>
        <v/>
      </c>
      <c r="BN35" s="267">
        <f>BN$23-BN$34</f>
        <v/>
      </c>
      <c r="BO35" s="267">
        <f>BO$23-BO$34</f>
        <v/>
      </c>
      <c r="BP35" s="267">
        <f>BP$23-BP$34</f>
        <v/>
      </c>
      <c r="BQ35" s="267">
        <f>BQ$23-BQ$34</f>
        <v/>
      </c>
      <c r="BR35" s="267">
        <f>BR$23-BR$34</f>
        <v/>
      </c>
      <c r="BS35" s="267">
        <f>BS$23-BS$34</f>
        <v/>
      </c>
      <c r="BT35" s="267">
        <f>BT$23-BT$34</f>
        <v/>
      </c>
      <c r="BU35" s="267">
        <f>BU$23-BU$34</f>
        <v/>
      </c>
      <c r="BV35" s="267">
        <f>BV$23-BV$34</f>
        <v/>
      </c>
      <c r="BW35" s="267">
        <f>BW$23-BW$34</f>
        <v/>
      </c>
      <c r="BX35" s="267">
        <f>BX$23-BX$34</f>
        <v/>
      </c>
      <c r="BY35" s="267">
        <f>BY$23-BY$34</f>
        <v/>
      </c>
      <c r="BZ35" s="267">
        <f>BZ$23-BZ$34</f>
        <v/>
      </c>
      <c r="CA35" s="267">
        <f>CA$23-CA$34</f>
        <v/>
      </c>
      <c r="CB35" s="267">
        <f>CB$23-CB$34</f>
        <v/>
      </c>
      <c r="CC35" s="267">
        <f>CC$23-CC$34</f>
        <v/>
      </c>
      <c r="CD35" s="267">
        <f>CD$23-CD$34</f>
        <v/>
      </c>
      <c r="CE35" s="267">
        <f>CE$23-CE$34</f>
        <v/>
      </c>
      <c r="CF35" s="267">
        <f>CF$23-CF$34</f>
        <v/>
      </c>
      <c r="CG35" s="267">
        <f>CG$23-CG$34</f>
        <v/>
      </c>
      <c r="CH35" s="267">
        <f>CH$23-CH$34</f>
        <v/>
      </c>
      <c r="CI35" s="267">
        <f>CI$23-CI$34</f>
        <v/>
      </c>
      <c r="CJ35" s="267">
        <f>CJ$23-CJ$34</f>
        <v/>
      </c>
      <c r="CK35" s="267">
        <f>CK$23-CK$34</f>
        <v/>
      </c>
      <c r="CL35" s="267">
        <f>CL$23-CL$34</f>
        <v/>
      </c>
      <c r="CM35" s="267">
        <f>CM$23-CM$34</f>
        <v/>
      </c>
      <c r="CN35" s="267">
        <f>CN$23-CN$34</f>
        <v/>
      </c>
      <c r="CO35" s="267">
        <f>CO$23-CO$34</f>
        <v/>
      </c>
      <c r="CP35" s="267">
        <f>CP$23-CP$34</f>
        <v/>
      </c>
      <c r="CQ35" s="267">
        <f>CQ$23-CQ$34</f>
        <v/>
      </c>
      <c r="CR35" s="267">
        <f>CR$23-CR$34</f>
        <v/>
      </c>
      <c r="CS35" s="267">
        <f>CS$23-CS$34</f>
        <v/>
      </c>
      <c r="CT35" s="267">
        <f>CT$23-CT$34</f>
        <v/>
      </c>
      <c r="CU35" s="267">
        <f>CU$23-CU$34</f>
        <v/>
      </c>
      <c r="CV35" s="267">
        <f>CV$23-CV$34</f>
        <v/>
      </c>
      <c r="CW35" s="267">
        <f>CW$23-CW$34</f>
        <v/>
      </c>
      <c r="CX35" s="267">
        <f>CX$23-CX$34</f>
        <v/>
      </c>
      <c r="CY35" s="267">
        <f>CY$23-CY$34</f>
        <v/>
      </c>
      <c r="CZ35" s="267">
        <f>CZ$23-CZ$34</f>
        <v/>
      </c>
      <c r="DA35" s="267">
        <f>DA$23-DA$34</f>
        <v/>
      </c>
      <c r="DB35" s="267">
        <f>DB$23-DB$34</f>
        <v/>
      </c>
      <c r="DC35" s="267">
        <f>DC$23-DC$34</f>
        <v/>
      </c>
      <c r="DD35" s="267">
        <f>DD$23-DD$34</f>
        <v/>
      </c>
      <c r="DE35" s="267">
        <f>DE$23-DE$34</f>
        <v/>
      </c>
      <c r="DF35" s="267">
        <f>DF$23-DF$34</f>
        <v/>
      </c>
      <c r="DG35" s="267">
        <f>DG$23-DG$34</f>
        <v/>
      </c>
      <c r="DH35" s="267">
        <f>DH$23-DH$34</f>
        <v/>
      </c>
      <c r="DI35" s="267">
        <f>DI$23-DI$34</f>
        <v/>
      </c>
      <c r="DJ35" s="267">
        <f>DJ$23-DJ$34</f>
        <v/>
      </c>
      <c r="DK35" s="267">
        <f>DK$23-DK$34</f>
        <v/>
      </c>
      <c r="DL35" s="267">
        <f>DL$23-DL$34</f>
        <v/>
      </c>
      <c r="DM35" s="267">
        <f>DM$23-DM$34</f>
        <v/>
      </c>
      <c r="DN35" s="267">
        <f>DN$23-DN$34</f>
        <v/>
      </c>
      <c r="DO35" s="267">
        <f>DO$23-DO$34</f>
        <v/>
      </c>
      <c r="DP35" s="267">
        <f>DP$23-DP$34</f>
        <v/>
      </c>
      <c r="DQ35" s="267">
        <f>DQ$23-DQ$34</f>
        <v/>
      </c>
      <c r="DR35" s="267">
        <f>DR$23-DR$34</f>
        <v/>
      </c>
      <c r="DS35" s="267">
        <f>DS$23-DS$34</f>
        <v/>
      </c>
      <c r="DT35" s="267">
        <f>DT$23-DT$34</f>
        <v/>
      </c>
      <c r="DU35" s="267">
        <f>DU$23-DU$34</f>
        <v/>
      </c>
      <c r="DV35" s="267">
        <f>DV$23-DV$34</f>
        <v/>
      </c>
      <c r="DW35" s="267">
        <f>DW$23-DW$34</f>
        <v/>
      </c>
      <c r="DX35" s="267">
        <f>DX$23-DX$34</f>
        <v/>
      </c>
      <c r="DY35" s="267">
        <f>DY$23-DY$34</f>
        <v/>
      </c>
      <c r="DZ35" s="267">
        <f>DZ$23-DZ$34</f>
        <v/>
      </c>
      <c r="EA35" s="267">
        <f>EA$23-EA$34</f>
        <v/>
      </c>
      <c r="EB35" s="267">
        <f>EB$23-EB$34</f>
        <v/>
      </c>
      <c r="EC35" s="267">
        <f>EC$23-EC$34</f>
        <v/>
      </c>
      <c r="ED35" s="267">
        <f>ED$23-ED$34</f>
        <v/>
      </c>
      <c r="EE35" s="267">
        <f>EE$23-EE$34</f>
        <v/>
      </c>
      <c r="EF35" s="267">
        <f>EF$23-EF$34</f>
        <v/>
      </c>
      <c r="EG35" s="267">
        <f>EG$23-EG$34</f>
        <v/>
      </c>
      <c r="EH35" s="267">
        <f>EH$23-EH$34</f>
        <v/>
      </c>
      <c r="EI35" s="267">
        <f>EI$23-EI$34</f>
        <v/>
      </c>
      <c r="EJ35" s="267">
        <f>EJ$23-EJ$34</f>
        <v/>
      </c>
      <c r="EK35" s="267">
        <f>EK$23-EK$34</f>
        <v/>
      </c>
      <c r="EL35" s="267">
        <f>EL$23-EL$34</f>
        <v/>
      </c>
      <c r="EM35" s="267">
        <f>EM$23-EM$34</f>
        <v/>
      </c>
      <c r="EN35" s="267">
        <f>EN$23-EN$34</f>
        <v/>
      </c>
      <c r="EO35" s="267">
        <f>EO$23-EO$34</f>
        <v/>
      </c>
      <c r="EP35" s="267">
        <f>EP$23-EP$34</f>
        <v/>
      </c>
      <c r="EQ35" s="267">
        <f>EQ$23-EQ$34</f>
        <v/>
      </c>
      <c r="ER35" s="267">
        <f>ER$23-ER$34</f>
        <v/>
      </c>
      <c r="ES35" s="267">
        <f>ES$23-ES$34</f>
        <v/>
      </c>
      <c r="ET35" s="267">
        <f>ET$23-ET$34</f>
        <v/>
      </c>
      <c r="EU35" s="267">
        <f>EU$23-EU$34</f>
        <v/>
      </c>
      <c r="EV35" s="267">
        <f>EV$23-EV$34</f>
        <v/>
      </c>
      <c r="EW35" s="267">
        <f>EW$23-EW$34</f>
        <v/>
      </c>
      <c r="EX35" s="267">
        <f>EX$23-EX$34</f>
        <v/>
      </c>
      <c r="EY35" s="267">
        <f>EY$23-EY$34</f>
        <v/>
      </c>
      <c r="EZ35" s="267">
        <f>EZ$23-EZ$34</f>
        <v/>
      </c>
      <c r="FA35" s="267">
        <f>FA$23-FA$34</f>
        <v/>
      </c>
      <c r="FB35" s="267">
        <f>FB$23-FB$34</f>
        <v/>
      </c>
      <c r="FC35" s="267">
        <f>FC$23-FC$34</f>
        <v/>
      </c>
      <c r="FD35" s="267">
        <f>FD$23-FD$34</f>
        <v/>
      </c>
      <c r="FE35" s="267">
        <f>FE$23-FE$34</f>
        <v/>
      </c>
      <c r="FF35" s="267">
        <f>FF$23-FF$34</f>
        <v/>
      </c>
      <c r="FG35" s="267">
        <f>FG$23-FG$34</f>
        <v/>
      </c>
      <c r="FH35" s="267">
        <f>FH$23-FH$34</f>
        <v/>
      </c>
      <c r="FI35" s="267">
        <f>FI$23-FI$34</f>
        <v/>
      </c>
      <c r="FJ35" s="267">
        <f>FJ$23-FJ$34</f>
        <v/>
      </c>
      <c r="FK35" s="267">
        <f>FK$23-FK$34</f>
        <v/>
      </c>
      <c r="FL35" s="267">
        <f>FL$23-FL$34</f>
        <v/>
      </c>
      <c r="FM35" s="267">
        <f>FM$23-FM$34</f>
        <v/>
      </c>
      <c r="FN35" s="267">
        <f>FN$23-FN$34</f>
        <v/>
      </c>
      <c r="FO35" s="267">
        <f>FO$23-FO$34</f>
        <v/>
      </c>
      <c r="FP35" s="267">
        <f>FP$23-FP$34</f>
        <v/>
      </c>
      <c r="FQ35" s="267">
        <f>FQ$23-FQ$34</f>
        <v/>
      </c>
      <c r="FR35" s="267">
        <f>FR$23-FR$34</f>
        <v/>
      </c>
      <c r="FS35" s="267">
        <f>FS$23-FS$34</f>
        <v/>
      </c>
      <c r="FT35" s="267">
        <f>FT$23-FT$34</f>
        <v/>
      </c>
      <c r="FU35" s="267">
        <f>FU$23-FU$34</f>
        <v/>
      </c>
      <c r="FV35" s="267">
        <f>FV$23-FV$34</f>
        <v/>
      </c>
      <c r="FW35" s="267">
        <f>FW$23-FW$34</f>
        <v/>
      </c>
      <c r="FX35" s="267">
        <f>FX$23-FX$34</f>
        <v/>
      </c>
      <c r="FY35" s="267">
        <f>FY$23-FY$34</f>
        <v/>
      </c>
      <c r="FZ35" s="267">
        <f>FZ$23-FZ$34</f>
        <v/>
      </c>
      <c r="GA35" s="267">
        <f>GA$23-GA$34</f>
        <v/>
      </c>
      <c r="GB35" s="267">
        <f>GB$23-GB$34</f>
        <v/>
      </c>
      <c r="GC35" s="267">
        <f>GC$23-GC$34</f>
        <v/>
      </c>
      <c r="GD35" s="267">
        <f>GD$23-GD$34</f>
        <v/>
      </c>
      <c r="GE35" s="267">
        <f>GE$23-GE$34</f>
        <v/>
      </c>
      <c r="GF35" s="267">
        <f>GF$23-GF$34</f>
        <v/>
      </c>
      <c r="GG35" s="267">
        <f>GG$23-GG$34</f>
        <v/>
      </c>
      <c r="GH35" s="267">
        <f>GH$23-GH$34</f>
        <v/>
      </c>
      <c r="GI35" s="267">
        <f>GI$23-GI$34</f>
        <v/>
      </c>
      <c r="GJ35" s="267">
        <f>GJ$23-GJ$34</f>
        <v/>
      </c>
      <c r="GK35" s="267">
        <f>GK$23-GK$34</f>
        <v/>
      </c>
      <c r="GL35" s="267">
        <f>GL$23-GL$34</f>
        <v/>
      </c>
      <c r="GM35" s="267">
        <f>GM$23-GM$34</f>
        <v/>
      </c>
      <c r="GN35" s="267">
        <f>GN$23-GN$34</f>
        <v/>
      </c>
      <c r="GO35" s="267">
        <f>GO$23-GO$34</f>
        <v/>
      </c>
      <c r="GP35" s="267">
        <f>GP$23-GP$34</f>
        <v/>
      </c>
      <c r="GQ35" s="267">
        <f>GQ$23-GQ$34</f>
        <v/>
      </c>
      <c r="GR35" s="267">
        <f>GR$23-GR$34</f>
        <v/>
      </c>
      <c r="GS35" s="267">
        <f>GS$23-GS$34</f>
        <v/>
      </c>
      <c r="GT35" s="267">
        <f>GT$23-GT$34</f>
        <v/>
      </c>
      <c r="GU35" s="267">
        <f>GU$23-GU$34</f>
        <v/>
      </c>
      <c r="GV35" s="267">
        <f>GV$23-GV$34</f>
        <v/>
      </c>
      <c r="GW35" s="267">
        <f>GW$23-GW$34</f>
        <v/>
      </c>
      <c r="GX35" s="267">
        <f>GX$23-GX$34</f>
        <v/>
      </c>
      <c r="GY35" s="267">
        <f>GY$23-GY$34</f>
        <v/>
      </c>
      <c r="GZ35" s="267">
        <f>GZ$23-GZ$34</f>
        <v/>
      </c>
      <c r="HA35" s="267">
        <f>HA$23-HA$34</f>
        <v/>
      </c>
      <c r="HB35" s="267">
        <f>HB$23-HB$34</f>
        <v/>
      </c>
      <c r="HC35" s="267">
        <f>HC$23-HC$34</f>
        <v/>
      </c>
      <c r="HD35" s="267">
        <f>HD$23-HD$34</f>
        <v/>
      </c>
      <c r="HE35" s="267">
        <f>HE$23-HE$34</f>
        <v/>
      </c>
      <c r="HF35" s="267">
        <f>HF$23-HF$34</f>
        <v/>
      </c>
      <c r="HG35" s="267">
        <f>HG$23-HG$34</f>
        <v/>
      </c>
      <c r="HH35" s="267">
        <f>HH$23-HH$34</f>
        <v/>
      </c>
      <c r="HI35" s="267">
        <f>HI$23-HI$34</f>
        <v/>
      </c>
      <c r="HJ35" s="267">
        <f>HJ$23-HJ$34</f>
        <v/>
      </c>
      <c r="HK35" s="267">
        <f>HK$23-HK$34</f>
        <v/>
      </c>
      <c r="HL35" s="267">
        <f>HL$23-HL$34</f>
        <v/>
      </c>
      <c r="HM35" s="267">
        <f>HM$23-HM$34</f>
        <v/>
      </c>
      <c r="HN35" s="267">
        <f>HN$23-HN$34</f>
        <v/>
      </c>
      <c r="HO35" s="267">
        <f>HO$23-HO$34</f>
        <v/>
      </c>
      <c r="HP35" s="267">
        <f>HP$23-HP$34</f>
        <v/>
      </c>
      <c r="HQ35" s="267">
        <f>HQ$23-HQ$34</f>
        <v/>
      </c>
      <c r="HR35" s="267">
        <f>HR$23-HR$34</f>
        <v/>
      </c>
      <c r="HS35" s="267">
        <f>HS$23-HS$34</f>
        <v/>
      </c>
      <c r="HT35" s="267">
        <f>HT$23-HT$34</f>
        <v/>
      </c>
      <c r="HU35" s="267">
        <f>HU$23-HU$34</f>
        <v/>
      </c>
      <c r="HV35" s="267">
        <f>HV$23-HV$34</f>
        <v/>
      </c>
      <c r="HW35" s="267">
        <f>HW$23-HW$34</f>
        <v/>
      </c>
      <c r="HX35" s="267">
        <f>HX$23-HX$34</f>
        <v/>
      </c>
      <c r="HY35" s="267">
        <f>HY$23-HY$34</f>
        <v/>
      </c>
      <c r="HZ35" s="267">
        <f>HZ$23-HZ$34</f>
        <v/>
      </c>
      <c r="IA35" s="267">
        <f>IA$23-IA$34</f>
        <v/>
      </c>
      <c r="IB35" s="267">
        <f>IB$23-IB$34</f>
        <v/>
      </c>
      <c r="IC35" s="267">
        <f>IC$23-IC$34</f>
        <v/>
      </c>
      <c r="ID35" s="267">
        <f>ID$23-ID$34</f>
        <v/>
      </c>
      <c r="IE35" s="267">
        <f>IE$23-IE$34</f>
        <v/>
      </c>
      <c r="IF35" s="267">
        <f>IF$23-IF$34</f>
        <v/>
      </c>
      <c r="IG35" s="267">
        <f>IG$23-IG$34</f>
        <v/>
      </c>
      <c r="IH35" s="267">
        <f>IH$23-IH$34</f>
        <v/>
      </c>
      <c r="II35" s="267">
        <f>II$23-II$34</f>
        <v/>
      </c>
      <c r="IJ35" s="267">
        <f>IJ$23-IJ$34</f>
        <v/>
      </c>
      <c r="IK35" s="267">
        <f>IK$23-IK$34</f>
        <v/>
      </c>
      <c r="IL35" s="267">
        <f>IL$23-IL$34</f>
        <v/>
      </c>
      <c r="IM35" s="267">
        <f>IM$23-IM$34</f>
        <v/>
      </c>
      <c r="IN35" s="267">
        <f>IN$23-IN$34</f>
        <v/>
      </c>
      <c r="IO35" s="267">
        <f>IO$23-IO$34</f>
        <v/>
      </c>
      <c r="IP35" s="267">
        <f>IP$23-IP$34</f>
        <v/>
      </c>
      <c r="IQ35" s="267">
        <f>IQ$23-IQ$34</f>
        <v/>
      </c>
      <c r="IR35" s="267">
        <f>IR$23-IR$34</f>
        <v/>
      </c>
      <c r="IS35" s="267">
        <f>IS$23-IS$34</f>
        <v/>
      </c>
      <c r="IT35" s="267">
        <f>IT$23-IT$34</f>
        <v/>
      </c>
      <c r="IU35" s="267">
        <f>IU$23-IU$34</f>
        <v/>
      </c>
      <c r="IV35" s="267">
        <f>IV$23-IV$34</f>
        <v/>
      </c>
      <c r="IW35" s="267">
        <f>IW$23-IW$34</f>
        <v/>
      </c>
      <c r="IX35" s="267">
        <f>IX$23-IX$34</f>
        <v/>
      </c>
      <c r="IY35" s="267">
        <f>IY$23-IY$34</f>
        <v/>
      </c>
      <c r="IZ35" s="267">
        <f>IZ$23-IZ$34</f>
        <v/>
      </c>
      <c r="JA35" s="267">
        <f>JA$23-JA$34</f>
        <v/>
      </c>
      <c r="JB35" s="267">
        <f>JB$23-JB$34</f>
        <v/>
      </c>
      <c r="JC35" s="267">
        <f>JC$23-JC$34</f>
        <v/>
      </c>
      <c r="JD35" s="267">
        <f>JD$23-JD$34</f>
        <v/>
      </c>
      <c r="JE35" s="267">
        <f>JE$23-JE$34</f>
        <v/>
      </c>
      <c r="JF35" s="267">
        <f>JF$23-JF$34</f>
        <v/>
      </c>
      <c r="JG35" s="267">
        <f>JG$23-JG$34</f>
        <v/>
      </c>
      <c r="JH35" s="267">
        <f>JH$23-JH$34</f>
        <v/>
      </c>
      <c r="JI35" s="267">
        <f>JI$23-JI$34</f>
        <v/>
      </c>
      <c r="JJ35" s="267">
        <f>JJ$23-JJ$34</f>
        <v/>
      </c>
      <c r="JK35" s="267">
        <f>JK$23-JK$34</f>
        <v/>
      </c>
      <c r="JL35" s="267">
        <f>JL$23-JL$34</f>
        <v/>
      </c>
      <c r="JM35" s="267">
        <f>JM$23-JM$34</f>
        <v/>
      </c>
      <c r="JN35" s="267">
        <f>JN$23-JN$34</f>
        <v/>
      </c>
      <c r="JO35" s="267">
        <f>JO$23-JO$34</f>
        <v/>
      </c>
      <c r="JP35" s="267">
        <f>JP$23-JP$34</f>
        <v/>
      </c>
      <c r="JQ35" s="267">
        <f>JQ$23-JQ$34</f>
        <v/>
      </c>
      <c r="JR35" s="267">
        <f>JR$23-JR$34</f>
        <v/>
      </c>
      <c r="JS35" s="267">
        <f>JS$23-JS$34</f>
        <v/>
      </c>
      <c r="JT35" s="267">
        <f>JT$23-JT$34</f>
        <v/>
      </c>
      <c r="JU35" s="267">
        <f>JU$23-JU$34</f>
        <v/>
      </c>
      <c r="JV35" s="267">
        <f>JV$23-JV$34</f>
        <v/>
      </c>
      <c r="JW35" s="267">
        <f>JW$23-JW$34</f>
        <v/>
      </c>
      <c r="JX35" s="267">
        <f>JX$23-JX$34</f>
        <v/>
      </c>
      <c r="JY35" s="267">
        <f>JY$23-JY$34</f>
        <v/>
      </c>
      <c r="JZ35" s="267">
        <f>JZ$23-JZ$34</f>
        <v/>
      </c>
      <c r="KA35" s="267">
        <f>KA$23-KA$34</f>
        <v/>
      </c>
      <c r="KB35" s="267">
        <f>KB$23-KB$34</f>
        <v/>
      </c>
      <c r="KC35" s="267">
        <f>KC$23-KC$34</f>
        <v/>
      </c>
      <c r="KD35" s="267">
        <f>KD$23-KD$34</f>
        <v/>
      </c>
      <c r="KE35" s="267">
        <f>KE$23-KE$34</f>
        <v/>
      </c>
      <c r="KF35" s="267">
        <f>KF$23-KF$34</f>
        <v/>
      </c>
      <c r="KG35" s="267">
        <f>KG$23-KG$34</f>
        <v/>
      </c>
      <c r="KH35" s="267">
        <f>KH$23-KH$34</f>
        <v/>
      </c>
      <c r="KI35" s="267">
        <f>KI$23-KI$34</f>
        <v/>
      </c>
      <c r="KJ35" s="267">
        <f>KJ$23-KJ$34</f>
        <v/>
      </c>
      <c r="KK35" s="267">
        <f>KK$23-KK$34</f>
        <v/>
      </c>
      <c r="KL35" s="267">
        <f>KL$23-KL$34</f>
        <v/>
      </c>
      <c r="KM35" s="267">
        <f>KM$23-KM$34</f>
        <v/>
      </c>
      <c r="KN35" s="267">
        <f>KN$23-KN$34</f>
        <v/>
      </c>
      <c r="KO35" s="267">
        <f>KO$23-KO$34</f>
        <v/>
      </c>
      <c r="KP35" s="267">
        <f>KP$23-KP$34</f>
        <v/>
      </c>
      <c r="KQ35" s="267">
        <f>KQ$23-KQ$34</f>
        <v/>
      </c>
      <c r="KR35" s="267">
        <f>KR$23-KR$34</f>
        <v/>
      </c>
      <c r="KS35" s="267">
        <f>KS$23-KS$34</f>
        <v/>
      </c>
      <c r="KT35" s="267">
        <f>KT$23-KT$34</f>
        <v/>
      </c>
      <c r="KU35" s="267">
        <f>KU$23-KU$34</f>
        <v/>
      </c>
      <c r="KV35" s="267">
        <f>KV$23-KV$34</f>
        <v/>
      </c>
      <c r="KW35" s="267">
        <f>KW$23-KW$34</f>
        <v/>
      </c>
      <c r="KX35" s="267">
        <f>KX$23-KX$34</f>
        <v/>
      </c>
      <c r="KY35" s="267">
        <f>KY$23-KY$34</f>
        <v/>
      </c>
      <c r="KZ35" s="267">
        <f>KZ$23-KZ$34</f>
        <v/>
      </c>
      <c r="LA35" s="267">
        <f>LA$23-LA$34</f>
        <v/>
      </c>
      <c r="LB35" s="267">
        <f>LB$23-LB$34</f>
        <v/>
      </c>
      <c r="LC35" s="267">
        <f>LC$23-LC$34</f>
        <v/>
      </c>
      <c r="LD35" s="267">
        <f>LD$23-LD$34</f>
        <v/>
      </c>
      <c r="LE35" s="267">
        <f>LE$23-LE$34</f>
        <v/>
      </c>
      <c r="LF35" s="267">
        <f>LF$23-LF$34</f>
        <v/>
      </c>
      <c r="LG35" s="267">
        <f>LG$23-LG$34</f>
        <v/>
      </c>
      <c r="LH35" s="267">
        <f>LH$23-LH$34</f>
        <v/>
      </c>
      <c r="LI35" s="267">
        <f>LI$23-LI$34</f>
        <v/>
      </c>
      <c r="LJ35" s="267">
        <f>LJ$23-LJ$34</f>
        <v/>
      </c>
      <c r="LK35" s="267">
        <f>LK$23-LK$34</f>
        <v/>
      </c>
      <c r="LL35" s="267">
        <f>LL$23-LL$34</f>
        <v/>
      </c>
      <c r="LM35" s="267">
        <f>LM$23-LM$34</f>
        <v/>
      </c>
      <c r="LN35" s="267">
        <f>LN$23-LN$34</f>
        <v/>
      </c>
      <c r="LO35" s="267">
        <f>LO$23-LO$34</f>
        <v/>
      </c>
      <c r="LP35" s="267">
        <f>LP$23-LP$34</f>
        <v/>
      </c>
      <c r="LQ35" s="267">
        <f>LQ$23-LQ$34</f>
        <v/>
      </c>
      <c r="LR35" s="267">
        <f>LR$23-LR$34</f>
        <v/>
      </c>
      <c r="LS35" s="267">
        <f>LS$23-LS$34</f>
        <v/>
      </c>
      <c r="LT35" s="267">
        <f>LT$23-LT$34</f>
        <v/>
      </c>
      <c r="LU35" s="267">
        <f>LU$23-LU$34</f>
        <v/>
      </c>
      <c r="LV35" s="267">
        <f>LV$23-LV$34</f>
        <v/>
      </c>
      <c r="LW35" s="267">
        <f>LW$23-LW$34</f>
        <v/>
      </c>
      <c r="LX35" s="267">
        <f>LX$23-LX$34</f>
        <v/>
      </c>
      <c r="LY35" s="267">
        <f>LY$23-LY$34</f>
        <v/>
      </c>
      <c r="LZ35" s="267">
        <f>LZ$23-LZ$34</f>
        <v/>
      </c>
      <c r="MA35" s="267">
        <f>MA$23-MA$34</f>
        <v/>
      </c>
      <c r="MB35" s="267">
        <f>MB$23-MB$34</f>
        <v/>
      </c>
      <c r="MC35" s="267">
        <f>MC$23-MC$34</f>
        <v/>
      </c>
      <c r="MD35" s="267">
        <f>MD$23-MD$34</f>
        <v/>
      </c>
      <c r="ME35" s="267">
        <f>ME$23-ME$34</f>
        <v/>
      </c>
      <c r="MF35" s="267">
        <f>MF$23-MF$34</f>
        <v/>
      </c>
      <c r="MG35" s="267">
        <f>MG$23-MG$34</f>
        <v/>
      </c>
      <c r="MH35" s="267">
        <f>MH$23-MH$34</f>
        <v/>
      </c>
      <c r="MI35" s="267">
        <f>MI$23-MI$34</f>
        <v/>
      </c>
      <c r="MJ35" s="267">
        <f>MJ$23-MJ$34</f>
        <v/>
      </c>
      <c r="MK35" s="267">
        <f>MK$23-MK$34</f>
        <v/>
      </c>
      <c r="ML35" s="267">
        <f>ML$23-ML$34</f>
        <v/>
      </c>
      <c r="MM35" s="267">
        <f>MM$23-MM$34</f>
        <v/>
      </c>
      <c r="MN35" s="267">
        <f>MN$23-MN$34</f>
        <v/>
      </c>
      <c r="MO35" s="267">
        <f>MO$23-MO$34</f>
        <v/>
      </c>
      <c r="MP35" s="267">
        <f>MP$23-MP$34</f>
        <v/>
      </c>
      <c r="MQ35" s="267">
        <f>MQ$23-MQ$34</f>
        <v/>
      </c>
      <c r="MR35" s="267">
        <f>MR$23-MR$34</f>
        <v/>
      </c>
      <c r="MS35" s="267">
        <f>MS$23-MS$34</f>
        <v/>
      </c>
      <c r="MT35" s="267">
        <f>MT$23-MT$34</f>
        <v/>
      </c>
      <c r="MU35" s="267">
        <f>MU$23-MU$34</f>
        <v/>
      </c>
      <c r="MV35" s="267">
        <f>MV$23-MV$34</f>
        <v/>
      </c>
      <c r="MW35" s="267">
        <f>MW$23-MW$34</f>
        <v/>
      </c>
      <c r="MX35" s="267">
        <f>MX$23-MX$34</f>
        <v/>
      </c>
      <c r="MY35" s="267">
        <f>MY$23-MY$34</f>
        <v/>
      </c>
      <c r="MZ35" s="267">
        <f>MZ$23-MZ$34</f>
        <v/>
      </c>
      <c r="NA35" s="267">
        <f>NA$23-NA$34</f>
        <v/>
      </c>
      <c r="NB35" s="267">
        <f>NB$23-NB$34</f>
        <v/>
      </c>
      <c r="NC35" s="267">
        <f>NC$23-NC$34</f>
        <v/>
      </c>
      <c r="ND35" s="267">
        <f>ND$23-ND$34</f>
        <v/>
      </c>
      <c r="NE35" s="267">
        <f>NE$23-NE$34</f>
        <v/>
      </c>
      <c r="NF35" s="267">
        <f>NF$23-NF$34</f>
        <v/>
      </c>
      <c r="NG35" s="267">
        <f>NG$23-NG$34</f>
        <v/>
      </c>
      <c r="NH35" s="267">
        <f>NH$23-NH$34</f>
        <v/>
      </c>
      <c r="NI35" s="267">
        <f>NI$23-NI$34</f>
        <v/>
      </c>
      <c r="NJ35" s="267">
        <f>NJ$23-NJ$34</f>
        <v/>
      </c>
      <c r="NK35" s="267">
        <f>NK$23-NK$34</f>
        <v/>
      </c>
      <c r="NL35" s="253">
        <f>NL$23-NL$34</f>
        <v/>
      </c>
    </row>
    <row r="36">
      <c r="B36" s="36" t="inlineStr">
        <is>
          <t>Property Tax</t>
        </is>
      </c>
      <c r="D36" s="266">
        <f>SUM(E36:NL36)</f>
        <v/>
      </c>
      <c r="E36" s="218">
        <f>IF(1&lt;TaxOpStartMonth,0,IF(1&lt;StabMonth,MAX(0,E$35*12)/EntryCapRate*EffTaxRateOnValue/12,IF(TaxMethodValue&gt;=1,TaxYear1*(1+GrowthTax)^(MAX(0,(1-StabMonth)/12))/12,MAX(0,E$35*12)/EntryCapRate*EffTaxRateOnValue/12)))</f>
        <v/>
      </c>
      <c r="F36" s="218">
        <f>IF(2&lt;TaxOpStartMonth,0,IF(2&lt;StabMonth,MAX(0,F$35*12)/EntryCapRate*EffTaxRateOnValue/12,IF(TaxMethodValue&gt;=1,TaxYear1*(1+GrowthTax)^(MAX(0,(2-StabMonth)/12))/12,MAX(0,F$35*12)/EntryCapRate*EffTaxRateOnValue/12)))</f>
        <v/>
      </c>
      <c r="G36" s="218">
        <f>IF(3&lt;TaxOpStartMonth,0,IF(3&lt;StabMonth,MAX(0,G$35*12)/EntryCapRate*EffTaxRateOnValue/12,IF(TaxMethodValue&gt;=1,TaxYear1*(1+GrowthTax)^(MAX(0,(3-StabMonth)/12))/12,MAX(0,G$35*12)/EntryCapRate*EffTaxRateOnValue/12)))</f>
        <v/>
      </c>
      <c r="H36" s="218">
        <f>IF(4&lt;TaxOpStartMonth,0,IF(4&lt;StabMonth,MAX(0,H$35*12)/EntryCapRate*EffTaxRateOnValue/12,IF(TaxMethodValue&gt;=1,TaxYear1*(1+GrowthTax)^(MAX(0,(4-StabMonth)/12))/12,MAX(0,H$35*12)/EntryCapRate*EffTaxRateOnValue/12)))</f>
        <v/>
      </c>
      <c r="I36" s="218">
        <f>IF(5&lt;TaxOpStartMonth,0,IF(5&lt;StabMonth,MAX(0,I$35*12)/EntryCapRate*EffTaxRateOnValue/12,IF(TaxMethodValue&gt;=1,TaxYear1*(1+GrowthTax)^(MAX(0,(5-StabMonth)/12))/12,MAX(0,I$35*12)/EntryCapRate*EffTaxRateOnValue/12)))</f>
        <v/>
      </c>
      <c r="J36" s="218">
        <f>IF(6&lt;TaxOpStartMonth,0,IF(6&lt;StabMonth,MAX(0,J$35*12)/EntryCapRate*EffTaxRateOnValue/12,IF(TaxMethodValue&gt;=1,TaxYear1*(1+GrowthTax)^(MAX(0,(6-StabMonth)/12))/12,MAX(0,J$35*12)/EntryCapRate*EffTaxRateOnValue/12)))</f>
        <v/>
      </c>
      <c r="K36" s="218">
        <f>IF(7&lt;TaxOpStartMonth,0,IF(7&lt;StabMonth,MAX(0,K$35*12)/EntryCapRate*EffTaxRateOnValue/12,IF(TaxMethodValue&gt;=1,TaxYear1*(1+GrowthTax)^(MAX(0,(7-StabMonth)/12))/12,MAX(0,K$35*12)/EntryCapRate*EffTaxRateOnValue/12)))</f>
        <v/>
      </c>
      <c r="L36" s="218">
        <f>IF(8&lt;TaxOpStartMonth,0,IF(8&lt;StabMonth,MAX(0,L$35*12)/EntryCapRate*EffTaxRateOnValue/12,IF(TaxMethodValue&gt;=1,TaxYear1*(1+GrowthTax)^(MAX(0,(8-StabMonth)/12))/12,MAX(0,L$35*12)/EntryCapRate*EffTaxRateOnValue/12)))</f>
        <v/>
      </c>
      <c r="M36" s="218">
        <f>IF(9&lt;TaxOpStartMonth,0,IF(9&lt;StabMonth,MAX(0,M$35*12)/EntryCapRate*EffTaxRateOnValue/12,IF(TaxMethodValue&gt;=1,TaxYear1*(1+GrowthTax)^(MAX(0,(9-StabMonth)/12))/12,MAX(0,M$35*12)/EntryCapRate*EffTaxRateOnValue/12)))</f>
        <v/>
      </c>
      <c r="N36" s="218">
        <f>IF(10&lt;TaxOpStartMonth,0,IF(10&lt;StabMonth,MAX(0,N$35*12)/EntryCapRate*EffTaxRateOnValue/12,IF(TaxMethodValue&gt;=1,TaxYear1*(1+GrowthTax)^(MAX(0,(10-StabMonth)/12))/12,MAX(0,N$35*12)/EntryCapRate*EffTaxRateOnValue/12)))</f>
        <v/>
      </c>
      <c r="O36" s="218">
        <f>IF(11&lt;TaxOpStartMonth,0,IF(11&lt;StabMonth,MAX(0,O$35*12)/EntryCapRate*EffTaxRateOnValue/12,IF(TaxMethodValue&gt;=1,TaxYear1*(1+GrowthTax)^(MAX(0,(11-StabMonth)/12))/12,MAX(0,O$35*12)/EntryCapRate*EffTaxRateOnValue/12)))</f>
        <v/>
      </c>
      <c r="P36" s="218">
        <f>IF(12&lt;TaxOpStartMonth,0,IF(12&lt;StabMonth,MAX(0,P$35*12)/EntryCapRate*EffTaxRateOnValue/12,IF(TaxMethodValue&gt;=1,TaxYear1*(1+GrowthTax)^(MAX(0,(12-StabMonth)/12))/12,MAX(0,P$35*12)/EntryCapRate*EffTaxRateOnValue/12)))</f>
        <v/>
      </c>
      <c r="Q36" s="218">
        <f>IF(13&lt;TaxOpStartMonth,0,IF(13&lt;StabMonth,MAX(0,Q$35*12)/EntryCapRate*EffTaxRateOnValue/12,IF(TaxMethodValue&gt;=1,TaxYear1*(1+GrowthTax)^(MAX(0,(13-StabMonth)/12))/12,MAX(0,Q$35*12)/EntryCapRate*EffTaxRateOnValue/12)))</f>
        <v/>
      </c>
      <c r="R36" s="218">
        <f>IF(14&lt;TaxOpStartMonth,0,IF(14&lt;StabMonth,MAX(0,R$35*12)/EntryCapRate*EffTaxRateOnValue/12,IF(TaxMethodValue&gt;=1,TaxYear1*(1+GrowthTax)^(MAX(0,(14-StabMonth)/12))/12,MAX(0,R$35*12)/EntryCapRate*EffTaxRateOnValue/12)))</f>
        <v/>
      </c>
      <c r="S36" s="218">
        <f>IF(15&lt;TaxOpStartMonth,0,IF(15&lt;StabMonth,MAX(0,S$35*12)/EntryCapRate*EffTaxRateOnValue/12,IF(TaxMethodValue&gt;=1,TaxYear1*(1+GrowthTax)^(MAX(0,(15-StabMonth)/12))/12,MAX(0,S$35*12)/EntryCapRate*EffTaxRateOnValue/12)))</f>
        <v/>
      </c>
      <c r="T36" s="218">
        <f>IF(16&lt;TaxOpStartMonth,0,IF(16&lt;StabMonth,MAX(0,T$35*12)/EntryCapRate*EffTaxRateOnValue/12,IF(TaxMethodValue&gt;=1,TaxYear1*(1+GrowthTax)^(MAX(0,(16-StabMonth)/12))/12,MAX(0,T$35*12)/EntryCapRate*EffTaxRateOnValue/12)))</f>
        <v/>
      </c>
      <c r="U36" s="218">
        <f>IF(17&lt;TaxOpStartMonth,0,IF(17&lt;StabMonth,MAX(0,U$35*12)/EntryCapRate*EffTaxRateOnValue/12,IF(TaxMethodValue&gt;=1,TaxYear1*(1+GrowthTax)^(MAX(0,(17-StabMonth)/12))/12,MAX(0,U$35*12)/EntryCapRate*EffTaxRateOnValue/12)))</f>
        <v/>
      </c>
      <c r="V36" s="218">
        <f>IF(18&lt;TaxOpStartMonth,0,IF(18&lt;StabMonth,MAX(0,V$35*12)/EntryCapRate*EffTaxRateOnValue/12,IF(TaxMethodValue&gt;=1,TaxYear1*(1+GrowthTax)^(MAX(0,(18-StabMonth)/12))/12,MAX(0,V$35*12)/EntryCapRate*EffTaxRateOnValue/12)))</f>
        <v/>
      </c>
      <c r="W36" s="218">
        <f>IF(19&lt;TaxOpStartMonth,0,IF(19&lt;StabMonth,MAX(0,W$35*12)/EntryCapRate*EffTaxRateOnValue/12,IF(TaxMethodValue&gt;=1,TaxYear1*(1+GrowthTax)^(MAX(0,(19-StabMonth)/12))/12,MAX(0,W$35*12)/EntryCapRate*EffTaxRateOnValue/12)))</f>
        <v/>
      </c>
      <c r="X36" s="218">
        <f>IF(20&lt;TaxOpStartMonth,0,IF(20&lt;StabMonth,MAX(0,X$35*12)/EntryCapRate*EffTaxRateOnValue/12,IF(TaxMethodValue&gt;=1,TaxYear1*(1+GrowthTax)^(MAX(0,(20-StabMonth)/12))/12,MAX(0,X$35*12)/EntryCapRate*EffTaxRateOnValue/12)))</f>
        <v/>
      </c>
      <c r="Y36" s="218">
        <f>IF(21&lt;TaxOpStartMonth,0,IF(21&lt;StabMonth,MAX(0,Y$35*12)/EntryCapRate*EffTaxRateOnValue/12,IF(TaxMethodValue&gt;=1,TaxYear1*(1+GrowthTax)^(MAX(0,(21-StabMonth)/12))/12,MAX(0,Y$35*12)/EntryCapRate*EffTaxRateOnValue/12)))</f>
        <v/>
      </c>
      <c r="Z36" s="218">
        <f>IF(22&lt;TaxOpStartMonth,0,IF(22&lt;StabMonth,MAX(0,Z$35*12)/EntryCapRate*EffTaxRateOnValue/12,IF(TaxMethodValue&gt;=1,TaxYear1*(1+GrowthTax)^(MAX(0,(22-StabMonth)/12))/12,MAX(0,Z$35*12)/EntryCapRate*EffTaxRateOnValue/12)))</f>
        <v/>
      </c>
      <c r="AA36" s="218">
        <f>IF(23&lt;TaxOpStartMonth,0,IF(23&lt;StabMonth,MAX(0,AA$35*12)/EntryCapRate*EffTaxRateOnValue/12,IF(TaxMethodValue&gt;=1,TaxYear1*(1+GrowthTax)^(MAX(0,(23-StabMonth)/12))/12,MAX(0,AA$35*12)/EntryCapRate*EffTaxRateOnValue/12)))</f>
        <v/>
      </c>
      <c r="AB36" s="218">
        <f>IF(24&lt;TaxOpStartMonth,0,IF(24&lt;StabMonth,MAX(0,AB$35*12)/EntryCapRate*EffTaxRateOnValue/12,IF(TaxMethodValue&gt;=1,TaxYear1*(1+GrowthTax)^(MAX(0,(24-StabMonth)/12))/12,MAX(0,AB$35*12)/EntryCapRate*EffTaxRateOnValue/12)))</f>
        <v/>
      </c>
      <c r="AC36" s="218">
        <f>IF(25&lt;TaxOpStartMonth,0,IF(25&lt;StabMonth,MAX(0,AC$35*12)/EntryCapRate*EffTaxRateOnValue/12,IF(TaxMethodValue&gt;=1,TaxYear1*(1+GrowthTax)^(MAX(0,(25-StabMonth)/12))/12,MAX(0,AC$35*12)/EntryCapRate*EffTaxRateOnValue/12)))</f>
        <v/>
      </c>
      <c r="AD36" s="218">
        <f>IF(26&lt;TaxOpStartMonth,0,IF(26&lt;StabMonth,MAX(0,AD$35*12)/EntryCapRate*EffTaxRateOnValue/12,IF(TaxMethodValue&gt;=1,TaxYear1*(1+GrowthTax)^(MAX(0,(26-StabMonth)/12))/12,MAX(0,AD$35*12)/EntryCapRate*EffTaxRateOnValue/12)))</f>
        <v/>
      </c>
      <c r="AE36" s="218">
        <f>IF(27&lt;TaxOpStartMonth,0,IF(27&lt;StabMonth,MAX(0,AE$35*12)/EntryCapRate*EffTaxRateOnValue/12,IF(TaxMethodValue&gt;=1,TaxYear1*(1+GrowthTax)^(MAX(0,(27-StabMonth)/12))/12,MAX(0,AE$35*12)/EntryCapRate*EffTaxRateOnValue/12)))</f>
        <v/>
      </c>
      <c r="AF36" s="218">
        <f>IF(28&lt;TaxOpStartMonth,0,IF(28&lt;StabMonth,MAX(0,AF$35*12)/EntryCapRate*EffTaxRateOnValue/12,IF(TaxMethodValue&gt;=1,TaxYear1*(1+GrowthTax)^(MAX(0,(28-StabMonth)/12))/12,MAX(0,AF$35*12)/EntryCapRate*EffTaxRateOnValue/12)))</f>
        <v/>
      </c>
      <c r="AG36" s="218">
        <f>IF(29&lt;TaxOpStartMonth,0,IF(29&lt;StabMonth,MAX(0,AG$35*12)/EntryCapRate*EffTaxRateOnValue/12,IF(TaxMethodValue&gt;=1,TaxYear1*(1+GrowthTax)^(MAX(0,(29-StabMonth)/12))/12,MAX(0,AG$35*12)/EntryCapRate*EffTaxRateOnValue/12)))</f>
        <v/>
      </c>
      <c r="AH36" s="218">
        <f>IF(30&lt;TaxOpStartMonth,0,IF(30&lt;StabMonth,MAX(0,AH$35*12)/EntryCapRate*EffTaxRateOnValue/12,IF(TaxMethodValue&gt;=1,TaxYear1*(1+GrowthTax)^(MAX(0,(30-StabMonth)/12))/12,MAX(0,AH$35*12)/EntryCapRate*EffTaxRateOnValue/12)))</f>
        <v/>
      </c>
      <c r="AI36" s="218">
        <f>IF(31&lt;TaxOpStartMonth,0,IF(31&lt;StabMonth,MAX(0,AI$35*12)/EntryCapRate*EffTaxRateOnValue/12,IF(TaxMethodValue&gt;=1,TaxYear1*(1+GrowthTax)^(MAX(0,(31-StabMonth)/12))/12,MAX(0,AI$35*12)/EntryCapRate*EffTaxRateOnValue/12)))</f>
        <v/>
      </c>
      <c r="AJ36" s="218">
        <f>IF(32&lt;TaxOpStartMonth,0,IF(32&lt;StabMonth,MAX(0,AJ$35*12)/EntryCapRate*EffTaxRateOnValue/12,IF(TaxMethodValue&gt;=1,TaxYear1*(1+GrowthTax)^(MAX(0,(32-StabMonth)/12))/12,MAX(0,AJ$35*12)/EntryCapRate*EffTaxRateOnValue/12)))</f>
        <v/>
      </c>
      <c r="AK36" s="218">
        <f>IF(33&lt;TaxOpStartMonth,0,IF(33&lt;StabMonth,MAX(0,AK$35*12)/EntryCapRate*EffTaxRateOnValue/12,IF(TaxMethodValue&gt;=1,TaxYear1*(1+GrowthTax)^(MAX(0,(33-StabMonth)/12))/12,MAX(0,AK$35*12)/EntryCapRate*EffTaxRateOnValue/12)))</f>
        <v/>
      </c>
      <c r="AL36" s="218">
        <f>IF(34&lt;TaxOpStartMonth,0,IF(34&lt;StabMonth,MAX(0,AL$35*12)/EntryCapRate*EffTaxRateOnValue/12,IF(TaxMethodValue&gt;=1,TaxYear1*(1+GrowthTax)^(MAX(0,(34-StabMonth)/12))/12,MAX(0,AL$35*12)/EntryCapRate*EffTaxRateOnValue/12)))</f>
        <v/>
      </c>
      <c r="AM36" s="218">
        <f>IF(35&lt;TaxOpStartMonth,0,IF(35&lt;StabMonth,MAX(0,AM$35*12)/EntryCapRate*EffTaxRateOnValue/12,IF(TaxMethodValue&gt;=1,TaxYear1*(1+GrowthTax)^(MAX(0,(35-StabMonth)/12))/12,MAX(0,AM$35*12)/EntryCapRate*EffTaxRateOnValue/12)))</f>
        <v/>
      </c>
      <c r="AN36" s="218">
        <f>IF(36&lt;TaxOpStartMonth,0,IF(36&lt;StabMonth,MAX(0,AN$35*12)/EntryCapRate*EffTaxRateOnValue/12,IF(TaxMethodValue&gt;=1,TaxYear1*(1+GrowthTax)^(MAX(0,(36-StabMonth)/12))/12,MAX(0,AN$35*12)/EntryCapRate*EffTaxRateOnValue/12)))</f>
        <v/>
      </c>
      <c r="AO36" s="218">
        <f>IF(37&lt;TaxOpStartMonth,0,IF(37&lt;StabMonth,MAX(0,AO$35*12)/EntryCapRate*EffTaxRateOnValue/12,IF(TaxMethodValue&gt;=1,TaxYear1*(1+GrowthTax)^(MAX(0,(37-StabMonth)/12))/12,MAX(0,AO$35*12)/EntryCapRate*EffTaxRateOnValue/12)))</f>
        <v/>
      </c>
      <c r="AP36" s="218">
        <f>IF(38&lt;TaxOpStartMonth,0,IF(38&lt;StabMonth,MAX(0,AP$35*12)/EntryCapRate*EffTaxRateOnValue/12,IF(TaxMethodValue&gt;=1,TaxYear1*(1+GrowthTax)^(MAX(0,(38-StabMonth)/12))/12,MAX(0,AP$35*12)/EntryCapRate*EffTaxRateOnValue/12)))</f>
        <v/>
      </c>
      <c r="AQ36" s="218">
        <f>IF(39&lt;TaxOpStartMonth,0,IF(39&lt;StabMonth,MAX(0,AQ$35*12)/EntryCapRate*EffTaxRateOnValue/12,IF(TaxMethodValue&gt;=1,TaxYear1*(1+GrowthTax)^(MAX(0,(39-StabMonth)/12))/12,MAX(0,AQ$35*12)/EntryCapRate*EffTaxRateOnValue/12)))</f>
        <v/>
      </c>
      <c r="AR36" s="218">
        <f>IF(40&lt;TaxOpStartMonth,0,IF(40&lt;StabMonth,MAX(0,AR$35*12)/EntryCapRate*EffTaxRateOnValue/12,IF(TaxMethodValue&gt;=1,TaxYear1*(1+GrowthTax)^(MAX(0,(40-StabMonth)/12))/12,MAX(0,AR$35*12)/EntryCapRate*EffTaxRateOnValue/12)))</f>
        <v/>
      </c>
      <c r="AS36" s="218">
        <f>IF(41&lt;TaxOpStartMonth,0,IF(41&lt;StabMonth,MAX(0,AS$35*12)/EntryCapRate*EffTaxRateOnValue/12,IF(TaxMethodValue&gt;=1,TaxYear1*(1+GrowthTax)^(MAX(0,(41-StabMonth)/12))/12,MAX(0,AS$35*12)/EntryCapRate*EffTaxRateOnValue/12)))</f>
        <v/>
      </c>
      <c r="AT36" s="218">
        <f>IF(42&lt;TaxOpStartMonth,0,IF(42&lt;StabMonth,MAX(0,AT$35*12)/EntryCapRate*EffTaxRateOnValue/12,IF(TaxMethodValue&gt;=1,TaxYear1*(1+GrowthTax)^(MAX(0,(42-StabMonth)/12))/12,MAX(0,AT$35*12)/EntryCapRate*EffTaxRateOnValue/12)))</f>
        <v/>
      </c>
      <c r="AU36" s="218">
        <f>IF(43&lt;TaxOpStartMonth,0,IF(43&lt;StabMonth,MAX(0,AU$35*12)/EntryCapRate*EffTaxRateOnValue/12,IF(TaxMethodValue&gt;=1,TaxYear1*(1+GrowthTax)^(MAX(0,(43-StabMonth)/12))/12,MAX(0,AU$35*12)/EntryCapRate*EffTaxRateOnValue/12)))</f>
        <v/>
      </c>
      <c r="AV36" s="218">
        <f>IF(44&lt;TaxOpStartMonth,0,IF(44&lt;StabMonth,MAX(0,AV$35*12)/EntryCapRate*EffTaxRateOnValue/12,IF(TaxMethodValue&gt;=1,TaxYear1*(1+GrowthTax)^(MAX(0,(44-StabMonth)/12))/12,MAX(0,AV$35*12)/EntryCapRate*EffTaxRateOnValue/12)))</f>
        <v/>
      </c>
      <c r="AW36" s="218">
        <f>IF(45&lt;TaxOpStartMonth,0,IF(45&lt;StabMonth,MAX(0,AW$35*12)/EntryCapRate*EffTaxRateOnValue/12,IF(TaxMethodValue&gt;=1,TaxYear1*(1+GrowthTax)^(MAX(0,(45-StabMonth)/12))/12,MAX(0,AW$35*12)/EntryCapRate*EffTaxRateOnValue/12)))</f>
        <v/>
      </c>
      <c r="AX36" s="218">
        <f>IF(46&lt;TaxOpStartMonth,0,IF(46&lt;StabMonth,MAX(0,AX$35*12)/EntryCapRate*EffTaxRateOnValue/12,IF(TaxMethodValue&gt;=1,TaxYear1*(1+GrowthTax)^(MAX(0,(46-StabMonth)/12))/12,MAX(0,AX$35*12)/EntryCapRate*EffTaxRateOnValue/12)))</f>
        <v/>
      </c>
      <c r="AY36" s="218">
        <f>IF(47&lt;TaxOpStartMonth,0,IF(47&lt;StabMonth,MAX(0,AY$35*12)/EntryCapRate*EffTaxRateOnValue/12,IF(TaxMethodValue&gt;=1,TaxYear1*(1+GrowthTax)^(MAX(0,(47-StabMonth)/12))/12,MAX(0,AY$35*12)/EntryCapRate*EffTaxRateOnValue/12)))</f>
        <v/>
      </c>
      <c r="AZ36" s="218">
        <f>IF(48&lt;TaxOpStartMonth,0,IF(48&lt;StabMonth,MAX(0,AZ$35*12)/EntryCapRate*EffTaxRateOnValue/12,IF(TaxMethodValue&gt;=1,TaxYear1*(1+GrowthTax)^(MAX(0,(48-StabMonth)/12))/12,MAX(0,AZ$35*12)/EntryCapRate*EffTaxRateOnValue/12)))</f>
        <v/>
      </c>
      <c r="BA36" s="218">
        <f>IF(49&lt;TaxOpStartMonth,0,IF(49&lt;StabMonth,MAX(0,BA$35*12)/EntryCapRate*EffTaxRateOnValue/12,IF(TaxMethodValue&gt;=1,TaxYear1*(1+GrowthTax)^(MAX(0,(49-StabMonth)/12))/12,MAX(0,BA$35*12)/EntryCapRate*EffTaxRateOnValue/12)))</f>
        <v/>
      </c>
      <c r="BB36" s="218">
        <f>IF(50&lt;TaxOpStartMonth,0,IF(50&lt;StabMonth,MAX(0,BB$35*12)/EntryCapRate*EffTaxRateOnValue/12,IF(TaxMethodValue&gt;=1,TaxYear1*(1+GrowthTax)^(MAX(0,(50-StabMonth)/12))/12,MAX(0,BB$35*12)/EntryCapRate*EffTaxRateOnValue/12)))</f>
        <v/>
      </c>
      <c r="BC36" s="218">
        <f>IF(51&lt;TaxOpStartMonth,0,IF(51&lt;StabMonth,MAX(0,BC$35*12)/EntryCapRate*EffTaxRateOnValue/12,IF(TaxMethodValue&gt;=1,TaxYear1*(1+GrowthTax)^(MAX(0,(51-StabMonth)/12))/12,MAX(0,BC$35*12)/EntryCapRate*EffTaxRateOnValue/12)))</f>
        <v/>
      </c>
      <c r="BD36" s="218">
        <f>IF(52&lt;TaxOpStartMonth,0,IF(52&lt;StabMonth,MAX(0,BD$35*12)/EntryCapRate*EffTaxRateOnValue/12,IF(TaxMethodValue&gt;=1,TaxYear1*(1+GrowthTax)^(MAX(0,(52-StabMonth)/12))/12,MAX(0,BD$35*12)/EntryCapRate*EffTaxRateOnValue/12)))</f>
        <v/>
      </c>
      <c r="BE36" s="218">
        <f>IF(53&lt;TaxOpStartMonth,0,IF(53&lt;StabMonth,MAX(0,BE$35*12)/EntryCapRate*EffTaxRateOnValue/12,IF(TaxMethodValue&gt;=1,TaxYear1*(1+GrowthTax)^(MAX(0,(53-StabMonth)/12))/12,MAX(0,BE$35*12)/EntryCapRate*EffTaxRateOnValue/12)))</f>
        <v/>
      </c>
      <c r="BF36" s="218">
        <f>IF(54&lt;TaxOpStartMonth,0,IF(54&lt;StabMonth,MAX(0,BF$35*12)/EntryCapRate*EffTaxRateOnValue/12,IF(TaxMethodValue&gt;=1,TaxYear1*(1+GrowthTax)^(MAX(0,(54-StabMonth)/12))/12,MAX(0,BF$35*12)/EntryCapRate*EffTaxRateOnValue/12)))</f>
        <v/>
      </c>
      <c r="BG36" s="218">
        <f>IF(55&lt;TaxOpStartMonth,0,IF(55&lt;StabMonth,MAX(0,BG$35*12)/EntryCapRate*EffTaxRateOnValue/12,IF(TaxMethodValue&gt;=1,TaxYear1*(1+GrowthTax)^(MAX(0,(55-StabMonth)/12))/12,MAX(0,BG$35*12)/EntryCapRate*EffTaxRateOnValue/12)))</f>
        <v/>
      </c>
      <c r="BH36" s="218">
        <f>IF(56&lt;TaxOpStartMonth,0,IF(56&lt;StabMonth,MAX(0,BH$35*12)/EntryCapRate*EffTaxRateOnValue/12,IF(TaxMethodValue&gt;=1,TaxYear1*(1+GrowthTax)^(MAX(0,(56-StabMonth)/12))/12,MAX(0,BH$35*12)/EntryCapRate*EffTaxRateOnValue/12)))</f>
        <v/>
      </c>
      <c r="BI36" s="218">
        <f>IF(57&lt;TaxOpStartMonth,0,IF(57&lt;StabMonth,MAX(0,BI$35*12)/EntryCapRate*EffTaxRateOnValue/12,IF(TaxMethodValue&gt;=1,TaxYear1*(1+GrowthTax)^(MAX(0,(57-StabMonth)/12))/12,MAX(0,BI$35*12)/EntryCapRate*EffTaxRateOnValue/12)))</f>
        <v/>
      </c>
      <c r="BJ36" s="218">
        <f>IF(58&lt;TaxOpStartMonth,0,IF(58&lt;StabMonth,MAX(0,BJ$35*12)/EntryCapRate*EffTaxRateOnValue/12,IF(TaxMethodValue&gt;=1,TaxYear1*(1+GrowthTax)^(MAX(0,(58-StabMonth)/12))/12,MAX(0,BJ$35*12)/EntryCapRate*EffTaxRateOnValue/12)))</f>
        <v/>
      </c>
      <c r="BK36" s="218">
        <f>IF(59&lt;TaxOpStartMonth,0,IF(59&lt;StabMonth,MAX(0,BK$35*12)/EntryCapRate*EffTaxRateOnValue/12,IF(TaxMethodValue&gt;=1,TaxYear1*(1+GrowthTax)^(MAX(0,(59-StabMonth)/12))/12,MAX(0,BK$35*12)/EntryCapRate*EffTaxRateOnValue/12)))</f>
        <v/>
      </c>
      <c r="BL36" s="218">
        <f>IF(60&lt;TaxOpStartMonth,0,IF(60&lt;StabMonth,MAX(0,BL$35*12)/EntryCapRate*EffTaxRateOnValue/12,IF(TaxMethodValue&gt;=1,TaxYear1*(1+GrowthTax)^(MAX(0,(60-StabMonth)/12))/12,MAX(0,BL$35*12)/EntryCapRate*EffTaxRateOnValue/12)))</f>
        <v/>
      </c>
      <c r="BM36" s="218">
        <f>IF(61&lt;TaxOpStartMonth,0,IF(61&lt;StabMonth,MAX(0,BM$35*12)/EntryCapRate*EffTaxRateOnValue/12,IF(TaxMethodValue&gt;=1,TaxYear1*(1+GrowthTax)^(MAX(0,(61-StabMonth)/12))/12,MAX(0,BM$35*12)/EntryCapRate*EffTaxRateOnValue/12)))</f>
        <v/>
      </c>
      <c r="BN36" s="218">
        <f>IF(62&lt;TaxOpStartMonth,0,IF(62&lt;StabMonth,MAX(0,BN$35*12)/EntryCapRate*EffTaxRateOnValue/12,IF(TaxMethodValue&gt;=1,TaxYear1*(1+GrowthTax)^(MAX(0,(62-StabMonth)/12))/12,MAX(0,BN$35*12)/EntryCapRate*EffTaxRateOnValue/12)))</f>
        <v/>
      </c>
      <c r="BO36" s="218">
        <f>IF(63&lt;TaxOpStartMonth,0,IF(63&lt;StabMonth,MAX(0,BO$35*12)/EntryCapRate*EffTaxRateOnValue/12,IF(TaxMethodValue&gt;=1,TaxYear1*(1+GrowthTax)^(MAX(0,(63-StabMonth)/12))/12,MAX(0,BO$35*12)/EntryCapRate*EffTaxRateOnValue/12)))</f>
        <v/>
      </c>
      <c r="BP36" s="218">
        <f>IF(64&lt;TaxOpStartMonth,0,IF(64&lt;StabMonth,MAX(0,BP$35*12)/EntryCapRate*EffTaxRateOnValue/12,IF(TaxMethodValue&gt;=1,TaxYear1*(1+GrowthTax)^(MAX(0,(64-StabMonth)/12))/12,MAX(0,BP$35*12)/EntryCapRate*EffTaxRateOnValue/12)))</f>
        <v/>
      </c>
      <c r="BQ36" s="218">
        <f>IF(65&lt;TaxOpStartMonth,0,IF(65&lt;StabMonth,MAX(0,BQ$35*12)/EntryCapRate*EffTaxRateOnValue/12,IF(TaxMethodValue&gt;=1,TaxYear1*(1+GrowthTax)^(MAX(0,(65-StabMonth)/12))/12,MAX(0,BQ$35*12)/EntryCapRate*EffTaxRateOnValue/12)))</f>
        <v/>
      </c>
      <c r="BR36" s="218">
        <f>IF(66&lt;TaxOpStartMonth,0,IF(66&lt;StabMonth,MAX(0,BR$35*12)/EntryCapRate*EffTaxRateOnValue/12,IF(TaxMethodValue&gt;=1,TaxYear1*(1+GrowthTax)^(MAX(0,(66-StabMonth)/12))/12,MAX(0,BR$35*12)/EntryCapRate*EffTaxRateOnValue/12)))</f>
        <v/>
      </c>
      <c r="BS36" s="218">
        <f>IF(67&lt;TaxOpStartMonth,0,IF(67&lt;StabMonth,MAX(0,BS$35*12)/EntryCapRate*EffTaxRateOnValue/12,IF(TaxMethodValue&gt;=1,TaxYear1*(1+GrowthTax)^(MAX(0,(67-StabMonth)/12))/12,MAX(0,BS$35*12)/EntryCapRate*EffTaxRateOnValue/12)))</f>
        <v/>
      </c>
      <c r="BT36" s="218">
        <f>IF(68&lt;TaxOpStartMonth,0,IF(68&lt;StabMonth,MAX(0,BT$35*12)/EntryCapRate*EffTaxRateOnValue/12,IF(TaxMethodValue&gt;=1,TaxYear1*(1+GrowthTax)^(MAX(0,(68-StabMonth)/12))/12,MAX(0,BT$35*12)/EntryCapRate*EffTaxRateOnValue/12)))</f>
        <v/>
      </c>
      <c r="BU36" s="218">
        <f>IF(69&lt;TaxOpStartMonth,0,IF(69&lt;StabMonth,MAX(0,BU$35*12)/EntryCapRate*EffTaxRateOnValue/12,IF(TaxMethodValue&gt;=1,TaxYear1*(1+GrowthTax)^(MAX(0,(69-StabMonth)/12))/12,MAX(0,BU$35*12)/EntryCapRate*EffTaxRateOnValue/12)))</f>
        <v/>
      </c>
      <c r="BV36" s="218">
        <f>IF(70&lt;TaxOpStartMonth,0,IF(70&lt;StabMonth,MAX(0,BV$35*12)/EntryCapRate*EffTaxRateOnValue/12,IF(TaxMethodValue&gt;=1,TaxYear1*(1+GrowthTax)^(MAX(0,(70-StabMonth)/12))/12,MAX(0,BV$35*12)/EntryCapRate*EffTaxRateOnValue/12)))</f>
        <v/>
      </c>
      <c r="BW36" s="218">
        <f>IF(71&lt;TaxOpStartMonth,0,IF(71&lt;StabMonth,MAX(0,BW$35*12)/EntryCapRate*EffTaxRateOnValue/12,IF(TaxMethodValue&gt;=1,TaxYear1*(1+GrowthTax)^(MAX(0,(71-StabMonth)/12))/12,MAX(0,BW$35*12)/EntryCapRate*EffTaxRateOnValue/12)))</f>
        <v/>
      </c>
      <c r="BX36" s="218">
        <f>IF(72&lt;TaxOpStartMonth,0,IF(72&lt;StabMonth,MAX(0,BX$35*12)/EntryCapRate*EffTaxRateOnValue/12,IF(TaxMethodValue&gt;=1,TaxYear1*(1+GrowthTax)^(MAX(0,(72-StabMonth)/12))/12,MAX(0,BX$35*12)/EntryCapRate*EffTaxRateOnValue/12)))</f>
        <v/>
      </c>
      <c r="BY36" s="218">
        <f>IF(73&lt;TaxOpStartMonth,0,IF(73&lt;StabMonth,MAX(0,BY$35*12)/EntryCapRate*EffTaxRateOnValue/12,IF(TaxMethodValue&gt;=1,TaxYear1*(1+GrowthTax)^(MAX(0,(73-StabMonth)/12))/12,MAX(0,BY$35*12)/EntryCapRate*EffTaxRateOnValue/12)))</f>
        <v/>
      </c>
      <c r="BZ36" s="218">
        <f>IF(74&lt;TaxOpStartMonth,0,IF(74&lt;StabMonth,MAX(0,BZ$35*12)/EntryCapRate*EffTaxRateOnValue/12,IF(TaxMethodValue&gt;=1,TaxYear1*(1+GrowthTax)^(MAX(0,(74-StabMonth)/12))/12,MAX(0,BZ$35*12)/EntryCapRate*EffTaxRateOnValue/12)))</f>
        <v/>
      </c>
      <c r="CA36" s="218">
        <f>IF(75&lt;TaxOpStartMonth,0,IF(75&lt;StabMonth,MAX(0,CA$35*12)/EntryCapRate*EffTaxRateOnValue/12,IF(TaxMethodValue&gt;=1,TaxYear1*(1+GrowthTax)^(MAX(0,(75-StabMonth)/12))/12,MAX(0,CA$35*12)/EntryCapRate*EffTaxRateOnValue/12)))</f>
        <v/>
      </c>
      <c r="CB36" s="218">
        <f>IF(76&lt;TaxOpStartMonth,0,IF(76&lt;StabMonth,MAX(0,CB$35*12)/EntryCapRate*EffTaxRateOnValue/12,IF(TaxMethodValue&gt;=1,TaxYear1*(1+GrowthTax)^(MAX(0,(76-StabMonth)/12))/12,MAX(0,CB$35*12)/EntryCapRate*EffTaxRateOnValue/12)))</f>
        <v/>
      </c>
      <c r="CC36" s="218">
        <f>IF(77&lt;TaxOpStartMonth,0,IF(77&lt;StabMonth,MAX(0,CC$35*12)/EntryCapRate*EffTaxRateOnValue/12,IF(TaxMethodValue&gt;=1,TaxYear1*(1+GrowthTax)^(MAX(0,(77-StabMonth)/12))/12,MAX(0,CC$35*12)/EntryCapRate*EffTaxRateOnValue/12)))</f>
        <v/>
      </c>
      <c r="CD36" s="218">
        <f>IF(78&lt;TaxOpStartMonth,0,IF(78&lt;StabMonth,MAX(0,CD$35*12)/EntryCapRate*EffTaxRateOnValue/12,IF(TaxMethodValue&gt;=1,TaxYear1*(1+GrowthTax)^(MAX(0,(78-StabMonth)/12))/12,MAX(0,CD$35*12)/EntryCapRate*EffTaxRateOnValue/12)))</f>
        <v/>
      </c>
      <c r="CE36" s="218">
        <f>IF(79&lt;TaxOpStartMonth,0,IF(79&lt;StabMonth,MAX(0,CE$35*12)/EntryCapRate*EffTaxRateOnValue/12,IF(TaxMethodValue&gt;=1,TaxYear1*(1+GrowthTax)^(MAX(0,(79-StabMonth)/12))/12,MAX(0,CE$35*12)/EntryCapRate*EffTaxRateOnValue/12)))</f>
        <v/>
      </c>
      <c r="CF36" s="218">
        <f>IF(80&lt;TaxOpStartMonth,0,IF(80&lt;StabMonth,MAX(0,CF$35*12)/EntryCapRate*EffTaxRateOnValue/12,IF(TaxMethodValue&gt;=1,TaxYear1*(1+GrowthTax)^(MAX(0,(80-StabMonth)/12))/12,MAX(0,CF$35*12)/EntryCapRate*EffTaxRateOnValue/12)))</f>
        <v/>
      </c>
      <c r="CG36" s="218">
        <f>IF(81&lt;TaxOpStartMonth,0,IF(81&lt;StabMonth,MAX(0,CG$35*12)/EntryCapRate*EffTaxRateOnValue/12,IF(TaxMethodValue&gt;=1,TaxYear1*(1+GrowthTax)^(MAX(0,(81-StabMonth)/12))/12,MAX(0,CG$35*12)/EntryCapRate*EffTaxRateOnValue/12)))</f>
        <v/>
      </c>
      <c r="CH36" s="218">
        <f>IF(82&lt;TaxOpStartMonth,0,IF(82&lt;StabMonth,MAX(0,CH$35*12)/EntryCapRate*EffTaxRateOnValue/12,IF(TaxMethodValue&gt;=1,TaxYear1*(1+GrowthTax)^(MAX(0,(82-StabMonth)/12))/12,MAX(0,CH$35*12)/EntryCapRate*EffTaxRateOnValue/12)))</f>
        <v/>
      </c>
      <c r="CI36" s="218">
        <f>IF(83&lt;TaxOpStartMonth,0,IF(83&lt;StabMonth,MAX(0,CI$35*12)/EntryCapRate*EffTaxRateOnValue/12,IF(TaxMethodValue&gt;=1,TaxYear1*(1+GrowthTax)^(MAX(0,(83-StabMonth)/12))/12,MAX(0,CI$35*12)/EntryCapRate*EffTaxRateOnValue/12)))</f>
        <v/>
      </c>
      <c r="CJ36" s="218">
        <f>IF(84&lt;TaxOpStartMonth,0,IF(84&lt;StabMonth,MAX(0,CJ$35*12)/EntryCapRate*EffTaxRateOnValue/12,IF(TaxMethodValue&gt;=1,TaxYear1*(1+GrowthTax)^(MAX(0,(84-StabMonth)/12))/12,MAX(0,CJ$35*12)/EntryCapRate*EffTaxRateOnValue/12)))</f>
        <v/>
      </c>
      <c r="CK36" s="218">
        <f>IF(85&lt;TaxOpStartMonth,0,IF(85&lt;StabMonth,MAX(0,CK$35*12)/EntryCapRate*EffTaxRateOnValue/12,IF(TaxMethodValue&gt;=1,TaxYear1*(1+GrowthTax)^(MAX(0,(85-StabMonth)/12))/12,MAX(0,CK$35*12)/EntryCapRate*EffTaxRateOnValue/12)))</f>
        <v/>
      </c>
      <c r="CL36" s="218">
        <f>IF(86&lt;TaxOpStartMonth,0,IF(86&lt;StabMonth,MAX(0,CL$35*12)/EntryCapRate*EffTaxRateOnValue/12,IF(TaxMethodValue&gt;=1,TaxYear1*(1+GrowthTax)^(MAX(0,(86-StabMonth)/12))/12,MAX(0,CL$35*12)/EntryCapRate*EffTaxRateOnValue/12)))</f>
        <v/>
      </c>
      <c r="CM36" s="218">
        <f>IF(87&lt;TaxOpStartMonth,0,IF(87&lt;StabMonth,MAX(0,CM$35*12)/EntryCapRate*EffTaxRateOnValue/12,IF(TaxMethodValue&gt;=1,TaxYear1*(1+GrowthTax)^(MAX(0,(87-StabMonth)/12))/12,MAX(0,CM$35*12)/EntryCapRate*EffTaxRateOnValue/12)))</f>
        <v/>
      </c>
      <c r="CN36" s="218">
        <f>IF(88&lt;TaxOpStartMonth,0,IF(88&lt;StabMonth,MAX(0,CN$35*12)/EntryCapRate*EffTaxRateOnValue/12,IF(TaxMethodValue&gt;=1,TaxYear1*(1+GrowthTax)^(MAX(0,(88-StabMonth)/12))/12,MAX(0,CN$35*12)/EntryCapRate*EffTaxRateOnValue/12)))</f>
        <v/>
      </c>
      <c r="CO36" s="218">
        <f>IF(89&lt;TaxOpStartMonth,0,IF(89&lt;StabMonth,MAX(0,CO$35*12)/EntryCapRate*EffTaxRateOnValue/12,IF(TaxMethodValue&gt;=1,TaxYear1*(1+GrowthTax)^(MAX(0,(89-StabMonth)/12))/12,MAX(0,CO$35*12)/EntryCapRate*EffTaxRateOnValue/12)))</f>
        <v/>
      </c>
      <c r="CP36" s="218">
        <f>IF(90&lt;TaxOpStartMonth,0,IF(90&lt;StabMonth,MAX(0,CP$35*12)/EntryCapRate*EffTaxRateOnValue/12,IF(TaxMethodValue&gt;=1,TaxYear1*(1+GrowthTax)^(MAX(0,(90-StabMonth)/12))/12,MAX(0,CP$35*12)/EntryCapRate*EffTaxRateOnValue/12)))</f>
        <v/>
      </c>
      <c r="CQ36" s="218">
        <f>IF(91&lt;TaxOpStartMonth,0,IF(91&lt;StabMonth,MAX(0,CQ$35*12)/EntryCapRate*EffTaxRateOnValue/12,IF(TaxMethodValue&gt;=1,TaxYear1*(1+GrowthTax)^(MAX(0,(91-StabMonth)/12))/12,MAX(0,CQ$35*12)/EntryCapRate*EffTaxRateOnValue/12)))</f>
        <v/>
      </c>
      <c r="CR36" s="218">
        <f>IF(92&lt;TaxOpStartMonth,0,IF(92&lt;StabMonth,MAX(0,CR$35*12)/EntryCapRate*EffTaxRateOnValue/12,IF(TaxMethodValue&gt;=1,TaxYear1*(1+GrowthTax)^(MAX(0,(92-StabMonth)/12))/12,MAX(0,CR$35*12)/EntryCapRate*EffTaxRateOnValue/12)))</f>
        <v/>
      </c>
      <c r="CS36" s="218">
        <f>IF(93&lt;TaxOpStartMonth,0,IF(93&lt;StabMonth,MAX(0,CS$35*12)/EntryCapRate*EffTaxRateOnValue/12,IF(TaxMethodValue&gt;=1,TaxYear1*(1+GrowthTax)^(MAX(0,(93-StabMonth)/12))/12,MAX(0,CS$35*12)/EntryCapRate*EffTaxRateOnValue/12)))</f>
        <v/>
      </c>
      <c r="CT36" s="218">
        <f>IF(94&lt;TaxOpStartMonth,0,IF(94&lt;StabMonth,MAX(0,CT$35*12)/EntryCapRate*EffTaxRateOnValue/12,IF(TaxMethodValue&gt;=1,TaxYear1*(1+GrowthTax)^(MAX(0,(94-StabMonth)/12))/12,MAX(0,CT$35*12)/EntryCapRate*EffTaxRateOnValue/12)))</f>
        <v/>
      </c>
      <c r="CU36" s="218">
        <f>IF(95&lt;TaxOpStartMonth,0,IF(95&lt;StabMonth,MAX(0,CU$35*12)/EntryCapRate*EffTaxRateOnValue/12,IF(TaxMethodValue&gt;=1,TaxYear1*(1+GrowthTax)^(MAX(0,(95-StabMonth)/12))/12,MAX(0,CU$35*12)/EntryCapRate*EffTaxRateOnValue/12)))</f>
        <v/>
      </c>
      <c r="CV36" s="218">
        <f>IF(96&lt;TaxOpStartMonth,0,IF(96&lt;StabMonth,MAX(0,CV$35*12)/EntryCapRate*EffTaxRateOnValue/12,IF(TaxMethodValue&gt;=1,TaxYear1*(1+GrowthTax)^(MAX(0,(96-StabMonth)/12))/12,MAX(0,CV$35*12)/EntryCapRate*EffTaxRateOnValue/12)))</f>
        <v/>
      </c>
      <c r="CW36" s="218">
        <f>IF(97&lt;TaxOpStartMonth,0,IF(97&lt;StabMonth,MAX(0,CW$35*12)/EntryCapRate*EffTaxRateOnValue/12,IF(TaxMethodValue&gt;=1,TaxYear1*(1+GrowthTax)^(MAX(0,(97-StabMonth)/12))/12,MAX(0,CW$35*12)/EntryCapRate*EffTaxRateOnValue/12)))</f>
        <v/>
      </c>
      <c r="CX36" s="218">
        <f>IF(98&lt;TaxOpStartMonth,0,IF(98&lt;StabMonth,MAX(0,CX$35*12)/EntryCapRate*EffTaxRateOnValue/12,IF(TaxMethodValue&gt;=1,TaxYear1*(1+GrowthTax)^(MAX(0,(98-StabMonth)/12))/12,MAX(0,CX$35*12)/EntryCapRate*EffTaxRateOnValue/12)))</f>
        <v/>
      </c>
      <c r="CY36" s="218">
        <f>IF(99&lt;TaxOpStartMonth,0,IF(99&lt;StabMonth,MAX(0,CY$35*12)/EntryCapRate*EffTaxRateOnValue/12,IF(TaxMethodValue&gt;=1,TaxYear1*(1+GrowthTax)^(MAX(0,(99-StabMonth)/12))/12,MAX(0,CY$35*12)/EntryCapRate*EffTaxRateOnValue/12)))</f>
        <v/>
      </c>
      <c r="CZ36" s="218">
        <f>IF(100&lt;TaxOpStartMonth,0,IF(100&lt;StabMonth,MAX(0,CZ$35*12)/EntryCapRate*EffTaxRateOnValue/12,IF(TaxMethodValue&gt;=1,TaxYear1*(1+GrowthTax)^(MAX(0,(100-StabMonth)/12))/12,MAX(0,CZ$35*12)/EntryCapRate*EffTaxRateOnValue/12)))</f>
        <v/>
      </c>
      <c r="DA36" s="218">
        <f>IF(101&lt;TaxOpStartMonth,0,IF(101&lt;StabMonth,MAX(0,DA$35*12)/EntryCapRate*EffTaxRateOnValue/12,IF(TaxMethodValue&gt;=1,TaxYear1*(1+GrowthTax)^(MAX(0,(101-StabMonth)/12))/12,MAX(0,DA$35*12)/EntryCapRate*EffTaxRateOnValue/12)))</f>
        <v/>
      </c>
      <c r="DB36" s="218">
        <f>IF(102&lt;TaxOpStartMonth,0,IF(102&lt;StabMonth,MAX(0,DB$35*12)/EntryCapRate*EffTaxRateOnValue/12,IF(TaxMethodValue&gt;=1,TaxYear1*(1+GrowthTax)^(MAX(0,(102-StabMonth)/12))/12,MAX(0,DB$35*12)/EntryCapRate*EffTaxRateOnValue/12)))</f>
        <v/>
      </c>
      <c r="DC36" s="218">
        <f>IF(103&lt;TaxOpStartMonth,0,IF(103&lt;StabMonth,MAX(0,DC$35*12)/EntryCapRate*EffTaxRateOnValue/12,IF(TaxMethodValue&gt;=1,TaxYear1*(1+GrowthTax)^(MAX(0,(103-StabMonth)/12))/12,MAX(0,DC$35*12)/EntryCapRate*EffTaxRateOnValue/12)))</f>
        <v/>
      </c>
      <c r="DD36" s="218">
        <f>IF(104&lt;TaxOpStartMonth,0,IF(104&lt;StabMonth,MAX(0,DD$35*12)/EntryCapRate*EffTaxRateOnValue/12,IF(TaxMethodValue&gt;=1,TaxYear1*(1+GrowthTax)^(MAX(0,(104-StabMonth)/12))/12,MAX(0,DD$35*12)/EntryCapRate*EffTaxRateOnValue/12)))</f>
        <v/>
      </c>
      <c r="DE36" s="218">
        <f>IF(105&lt;TaxOpStartMonth,0,IF(105&lt;StabMonth,MAX(0,DE$35*12)/EntryCapRate*EffTaxRateOnValue/12,IF(TaxMethodValue&gt;=1,TaxYear1*(1+GrowthTax)^(MAX(0,(105-StabMonth)/12))/12,MAX(0,DE$35*12)/EntryCapRate*EffTaxRateOnValue/12)))</f>
        <v/>
      </c>
      <c r="DF36" s="218">
        <f>IF(106&lt;TaxOpStartMonth,0,IF(106&lt;StabMonth,MAX(0,DF$35*12)/EntryCapRate*EffTaxRateOnValue/12,IF(TaxMethodValue&gt;=1,TaxYear1*(1+GrowthTax)^(MAX(0,(106-StabMonth)/12))/12,MAX(0,DF$35*12)/EntryCapRate*EffTaxRateOnValue/12)))</f>
        <v/>
      </c>
      <c r="DG36" s="218">
        <f>IF(107&lt;TaxOpStartMonth,0,IF(107&lt;StabMonth,MAX(0,DG$35*12)/EntryCapRate*EffTaxRateOnValue/12,IF(TaxMethodValue&gt;=1,TaxYear1*(1+GrowthTax)^(MAX(0,(107-StabMonth)/12))/12,MAX(0,DG$35*12)/EntryCapRate*EffTaxRateOnValue/12)))</f>
        <v/>
      </c>
      <c r="DH36" s="218">
        <f>IF(108&lt;TaxOpStartMonth,0,IF(108&lt;StabMonth,MAX(0,DH$35*12)/EntryCapRate*EffTaxRateOnValue/12,IF(TaxMethodValue&gt;=1,TaxYear1*(1+GrowthTax)^(MAX(0,(108-StabMonth)/12))/12,MAX(0,DH$35*12)/EntryCapRate*EffTaxRateOnValue/12)))</f>
        <v/>
      </c>
      <c r="DI36" s="218">
        <f>IF(109&lt;TaxOpStartMonth,0,IF(109&lt;StabMonth,MAX(0,DI$35*12)/EntryCapRate*EffTaxRateOnValue/12,IF(TaxMethodValue&gt;=1,TaxYear1*(1+GrowthTax)^(MAX(0,(109-StabMonth)/12))/12,MAX(0,DI$35*12)/EntryCapRate*EffTaxRateOnValue/12)))</f>
        <v/>
      </c>
      <c r="DJ36" s="218">
        <f>IF(110&lt;TaxOpStartMonth,0,IF(110&lt;StabMonth,MAX(0,DJ$35*12)/EntryCapRate*EffTaxRateOnValue/12,IF(TaxMethodValue&gt;=1,TaxYear1*(1+GrowthTax)^(MAX(0,(110-StabMonth)/12))/12,MAX(0,DJ$35*12)/EntryCapRate*EffTaxRateOnValue/12)))</f>
        <v/>
      </c>
      <c r="DK36" s="218">
        <f>IF(111&lt;TaxOpStartMonth,0,IF(111&lt;StabMonth,MAX(0,DK$35*12)/EntryCapRate*EffTaxRateOnValue/12,IF(TaxMethodValue&gt;=1,TaxYear1*(1+GrowthTax)^(MAX(0,(111-StabMonth)/12))/12,MAX(0,DK$35*12)/EntryCapRate*EffTaxRateOnValue/12)))</f>
        <v/>
      </c>
      <c r="DL36" s="218">
        <f>IF(112&lt;TaxOpStartMonth,0,IF(112&lt;StabMonth,MAX(0,DL$35*12)/EntryCapRate*EffTaxRateOnValue/12,IF(TaxMethodValue&gt;=1,TaxYear1*(1+GrowthTax)^(MAX(0,(112-StabMonth)/12))/12,MAX(0,DL$35*12)/EntryCapRate*EffTaxRateOnValue/12)))</f>
        <v/>
      </c>
      <c r="DM36" s="218">
        <f>IF(113&lt;TaxOpStartMonth,0,IF(113&lt;StabMonth,MAX(0,DM$35*12)/EntryCapRate*EffTaxRateOnValue/12,IF(TaxMethodValue&gt;=1,TaxYear1*(1+GrowthTax)^(MAX(0,(113-StabMonth)/12))/12,MAX(0,DM$35*12)/EntryCapRate*EffTaxRateOnValue/12)))</f>
        <v/>
      </c>
      <c r="DN36" s="218">
        <f>IF(114&lt;TaxOpStartMonth,0,IF(114&lt;StabMonth,MAX(0,DN$35*12)/EntryCapRate*EffTaxRateOnValue/12,IF(TaxMethodValue&gt;=1,TaxYear1*(1+GrowthTax)^(MAX(0,(114-StabMonth)/12))/12,MAX(0,DN$35*12)/EntryCapRate*EffTaxRateOnValue/12)))</f>
        <v/>
      </c>
      <c r="DO36" s="218">
        <f>IF(115&lt;TaxOpStartMonth,0,IF(115&lt;StabMonth,MAX(0,DO$35*12)/EntryCapRate*EffTaxRateOnValue/12,IF(TaxMethodValue&gt;=1,TaxYear1*(1+GrowthTax)^(MAX(0,(115-StabMonth)/12))/12,MAX(0,DO$35*12)/EntryCapRate*EffTaxRateOnValue/12)))</f>
        <v/>
      </c>
      <c r="DP36" s="218">
        <f>IF(116&lt;TaxOpStartMonth,0,IF(116&lt;StabMonth,MAX(0,DP$35*12)/EntryCapRate*EffTaxRateOnValue/12,IF(TaxMethodValue&gt;=1,TaxYear1*(1+GrowthTax)^(MAX(0,(116-StabMonth)/12))/12,MAX(0,DP$35*12)/EntryCapRate*EffTaxRateOnValue/12)))</f>
        <v/>
      </c>
      <c r="DQ36" s="218">
        <f>IF(117&lt;TaxOpStartMonth,0,IF(117&lt;StabMonth,MAX(0,DQ$35*12)/EntryCapRate*EffTaxRateOnValue/12,IF(TaxMethodValue&gt;=1,TaxYear1*(1+GrowthTax)^(MAX(0,(117-StabMonth)/12))/12,MAX(0,DQ$35*12)/EntryCapRate*EffTaxRateOnValue/12)))</f>
        <v/>
      </c>
      <c r="DR36" s="218">
        <f>IF(118&lt;TaxOpStartMonth,0,IF(118&lt;StabMonth,MAX(0,DR$35*12)/EntryCapRate*EffTaxRateOnValue/12,IF(TaxMethodValue&gt;=1,TaxYear1*(1+GrowthTax)^(MAX(0,(118-StabMonth)/12))/12,MAX(0,DR$35*12)/EntryCapRate*EffTaxRateOnValue/12)))</f>
        <v/>
      </c>
      <c r="DS36" s="218">
        <f>IF(119&lt;TaxOpStartMonth,0,IF(119&lt;StabMonth,MAX(0,DS$35*12)/EntryCapRate*EffTaxRateOnValue/12,IF(TaxMethodValue&gt;=1,TaxYear1*(1+GrowthTax)^(MAX(0,(119-StabMonth)/12))/12,MAX(0,DS$35*12)/EntryCapRate*EffTaxRateOnValue/12)))</f>
        <v/>
      </c>
      <c r="DT36" s="218">
        <f>IF(120&lt;TaxOpStartMonth,0,IF(120&lt;StabMonth,MAX(0,DT$35*12)/EntryCapRate*EffTaxRateOnValue/12,IF(TaxMethodValue&gt;=1,TaxYear1*(1+GrowthTax)^(MAX(0,(120-StabMonth)/12))/12,MAX(0,DT$35*12)/EntryCapRate*EffTaxRateOnValue/12)))</f>
        <v/>
      </c>
      <c r="DU36" s="218">
        <f>IF(121&lt;TaxOpStartMonth,0,IF(121&lt;StabMonth,MAX(0,DU$35*12)/EntryCapRate*EffTaxRateOnValue/12,IF(TaxMethodValue&gt;=1,TaxYear1*(1+GrowthTax)^(MAX(0,(121-StabMonth)/12))/12,MAX(0,DU$35*12)/EntryCapRate*EffTaxRateOnValue/12)))</f>
        <v/>
      </c>
      <c r="DV36" s="218">
        <f>IF(122&lt;TaxOpStartMonth,0,IF(122&lt;StabMonth,MAX(0,DV$35*12)/EntryCapRate*EffTaxRateOnValue/12,IF(TaxMethodValue&gt;=1,TaxYear1*(1+GrowthTax)^(MAX(0,(122-StabMonth)/12))/12,MAX(0,DV$35*12)/EntryCapRate*EffTaxRateOnValue/12)))</f>
        <v/>
      </c>
      <c r="DW36" s="218">
        <f>IF(123&lt;TaxOpStartMonth,0,IF(123&lt;StabMonth,MAX(0,DW$35*12)/EntryCapRate*EffTaxRateOnValue/12,IF(TaxMethodValue&gt;=1,TaxYear1*(1+GrowthTax)^(MAX(0,(123-StabMonth)/12))/12,MAX(0,DW$35*12)/EntryCapRate*EffTaxRateOnValue/12)))</f>
        <v/>
      </c>
      <c r="DX36" s="218">
        <f>IF(124&lt;TaxOpStartMonth,0,IF(124&lt;StabMonth,MAX(0,DX$35*12)/EntryCapRate*EffTaxRateOnValue/12,IF(TaxMethodValue&gt;=1,TaxYear1*(1+GrowthTax)^(MAX(0,(124-StabMonth)/12))/12,MAX(0,DX$35*12)/EntryCapRate*EffTaxRateOnValue/12)))</f>
        <v/>
      </c>
      <c r="DY36" s="218">
        <f>IF(125&lt;TaxOpStartMonth,0,IF(125&lt;StabMonth,MAX(0,DY$35*12)/EntryCapRate*EffTaxRateOnValue/12,IF(TaxMethodValue&gt;=1,TaxYear1*(1+GrowthTax)^(MAX(0,(125-StabMonth)/12))/12,MAX(0,DY$35*12)/EntryCapRate*EffTaxRateOnValue/12)))</f>
        <v/>
      </c>
      <c r="DZ36" s="218">
        <f>IF(126&lt;TaxOpStartMonth,0,IF(126&lt;StabMonth,MAX(0,DZ$35*12)/EntryCapRate*EffTaxRateOnValue/12,IF(TaxMethodValue&gt;=1,TaxYear1*(1+GrowthTax)^(MAX(0,(126-StabMonth)/12))/12,MAX(0,DZ$35*12)/EntryCapRate*EffTaxRateOnValue/12)))</f>
        <v/>
      </c>
      <c r="EA36" s="218">
        <f>IF(127&lt;TaxOpStartMonth,0,IF(127&lt;StabMonth,MAX(0,EA$35*12)/EntryCapRate*EffTaxRateOnValue/12,IF(TaxMethodValue&gt;=1,TaxYear1*(1+GrowthTax)^(MAX(0,(127-StabMonth)/12))/12,MAX(0,EA$35*12)/EntryCapRate*EffTaxRateOnValue/12)))</f>
        <v/>
      </c>
      <c r="EB36" s="218">
        <f>IF(128&lt;TaxOpStartMonth,0,IF(128&lt;StabMonth,MAX(0,EB$35*12)/EntryCapRate*EffTaxRateOnValue/12,IF(TaxMethodValue&gt;=1,TaxYear1*(1+GrowthTax)^(MAX(0,(128-StabMonth)/12))/12,MAX(0,EB$35*12)/EntryCapRate*EffTaxRateOnValue/12)))</f>
        <v/>
      </c>
      <c r="EC36" s="218">
        <f>IF(129&lt;TaxOpStartMonth,0,IF(129&lt;StabMonth,MAX(0,EC$35*12)/EntryCapRate*EffTaxRateOnValue/12,IF(TaxMethodValue&gt;=1,TaxYear1*(1+GrowthTax)^(MAX(0,(129-StabMonth)/12))/12,MAX(0,EC$35*12)/EntryCapRate*EffTaxRateOnValue/12)))</f>
        <v/>
      </c>
      <c r="ED36" s="218">
        <f>IF(130&lt;TaxOpStartMonth,0,IF(130&lt;StabMonth,MAX(0,ED$35*12)/EntryCapRate*EffTaxRateOnValue/12,IF(TaxMethodValue&gt;=1,TaxYear1*(1+GrowthTax)^(MAX(0,(130-StabMonth)/12))/12,MAX(0,ED$35*12)/EntryCapRate*EffTaxRateOnValue/12)))</f>
        <v/>
      </c>
      <c r="EE36" s="218">
        <f>IF(131&lt;TaxOpStartMonth,0,IF(131&lt;StabMonth,MAX(0,EE$35*12)/EntryCapRate*EffTaxRateOnValue/12,IF(TaxMethodValue&gt;=1,TaxYear1*(1+GrowthTax)^(MAX(0,(131-StabMonth)/12))/12,MAX(0,EE$35*12)/EntryCapRate*EffTaxRateOnValue/12)))</f>
        <v/>
      </c>
      <c r="EF36" s="218">
        <f>IF(132&lt;TaxOpStartMonth,0,IF(132&lt;StabMonth,MAX(0,EF$35*12)/EntryCapRate*EffTaxRateOnValue/12,IF(TaxMethodValue&gt;=1,TaxYear1*(1+GrowthTax)^(MAX(0,(132-StabMonth)/12))/12,MAX(0,EF$35*12)/EntryCapRate*EffTaxRateOnValue/12)))</f>
        <v/>
      </c>
      <c r="EG36" s="218">
        <f>IF(133&lt;TaxOpStartMonth,0,IF(133&lt;StabMonth,MAX(0,EG$35*12)/EntryCapRate*EffTaxRateOnValue/12,IF(TaxMethodValue&gt;=1,TaxYear1*(1+GrowthTax)^(MAX(0,(133-StabMonth)/12))/12,MAX(0,EG$35*12)/EntryCapRate*EffTaxRateOnValue/12)))</f>
        <v/>
      </c>
      <c r="EH36" s="218">
        <f>IF(134&lt;TaxOpStartMonth,0,IF(134&lt;StabMonth,MAX(0,EH$35*12)/EntryCapRate*EffTaxRateOnValue/12,IF(TaxMethodValue&gt;=1,TaxYear1*(1+GrowthTax)^(MAX(0,(134-StabMonth)/12))/12,MAX(0,EH$35*12)/EntryCapRate*EffTaxRateOnValue/12)))</f>
        <v/>
      </c>
      <c r="EI36" s="218">
        <f>IF(135&lt;TaxOpStartMonth,0,IF(135&lt;StabMonth,MAX(0,EI$35*12)/EntryCapRate*EffTaxRateOnValue/12,IF(TaxMethodValue&gt;=1,TaxYear1*(1+GrowthTax)^(MAX(0,(135-StabMonth)/12))/12,MAX(0,EI$35*12)/EntryCapRate*EffTaxRateOnValue/12)))</f>
        <v/>
      </c>
      <c r="EJ36" s="218">
        <f>IF(136&lt;TaxOpStartMonth,0,IF(136&lt;StabMonth,MAX(0,EJ$35*12)/EntryCapRate*EffTaxRateOnValue/12,IF(TaxMethodValue&gt;=1,TaxYear1*(1+GrowthTax)^(MAX(0,(136-StabMonth)/12))/12,MAX(0,EJ$35*12)/EntryCapRate*EffTaxRateOnValue/12)))</f>
        <v/>
      </c>
      <c r="EK36" s="218">
        <f>IF(137&lt;TaxOpStartMonth,0,IF(137&lt;StabMonth,MAX(0,EK$35*12)/EntryCapRate*EffTaxRateOnValue/12,IF(TaxMethodValue&gt;=1,TaxYear1*(1+GrowthTax)^(MAX(0,(137-StabMonth)/12))/12,MAX(0,EK$35*12)/EntryCapRate*EffTaxRateOnValue/12)))</f>
        <v/>
      </c>
      <c r="EL36" s="218">
        <f>IF(138&lt;TaxOpStartMonth,0,IF(138&lt;StabMonth,MAX(0,EL$35*12)/EntryCapRate*EffTaxRateOnValue/12,IF(TaxMethodValue&gt;=1,TaxYear1*(1+GrowthTax)^(MAX(0,(138-StabMonth)/12))/12,MAX(0,EL$35*12)/EntryCapRate*EffTaxRateOnValue/12)))</f>
        <v/>
      </c>
      <c r="EM36" s="218">
        <f>IF(139&lt;TaxOpStartMonth,0,IF(139&lt;StabMonth,MAX(0,EM$35*12)/EntryCapRate*EffTaxRateOnValue/12,IF(TaxMethodValue&gt;=1,TaxYear1*(1+GrowthTax)^(MAX(0,(139-StabMonth)/12))/12,MAX(0,EM$35*12)/EntryCapRate*EffTaxRateOnValue/12)))</f>
        <v/>
      </c>
      <c r="EN36" s="218">
        <f>IF(140&lt;TaxOpStartMonth,0,IF(140&lt;StabMonth,MAX(0,EN$35*12)/EntryCapRate*EffTaxRateOnValue/12,IF(TaxMethodValue&gt;=1,TaxYear1*(1+GrowthTax)^(MAX(0,(140-StabMonth)/12))/12,MAX(0,EN$35*12)/EntryCapRate*EffTaxRateOnValue/12)))</f>
        <v/>
      </c>
      <c r="EO36" s="218">
        <f>IF(141&lt;TaxOpStartMonth,0,IF(141&lt;StabMonth,MAX(0,EO$35*12)/EntryCapRate*EffTaxRateOnValue/12,IF(TaxMethodValue&gt;=1,TaxYear1*(1+GrowthTax)^(MAX(0,(141-StabMonth)/12))/12,MAX(0,EO$35*12)/EntryCapRate*EffTaxRateOnValue/12)))</f>
        <v/>
      </c>
      <c r="EP36" s="218">
        <f>IF(142&lt;TaxOpStartMonth,0,IF(142&lt;StabMonth,MAX(0,EP$35*12)/EntryCapRate*EffTaxRateOnValue/12,IF(TaxMethodValue&gt;=1,TaxYear1*(1+GrowthTax)^(MAX(0,(142-StabMonth)/12))/12,MAX(0,EP$35*12)/EntryCapRate*EffTaxRateOnValue/12)))</f>
        <v/>
      </c>
      <c r="EQ36" s="218">
        <f>IF(143&lt;TaxOpStartMonth,0,IF(143&lt;StabMonth,MAX(0,EQ$35*12)/EntryCapRate*EffTaxRateOnValue/12,IF(TaxMethodValue&gt;=1,TaxYear1*(1+GrowthTax)^(MAX(0,(143-StabMonth)/12))/12,MAX(0,EQ$35*12)/EntryCapRate*EffTaxRateOnValue/12)))</f>
        <v/>
      </c>
      <c r="ER36" s="218">
        <f>IF(144&lt;TaxOpStartMonth,0,IF(144&lt;StabMonth,MAX(0,ER$35*12)/EntryCapRate*EffTaxRateOnValue/12,IF(TaxMethodValue&gt;=1,TaxYear1*(1+GrowthTax)^(MAX(0,(144-StabMonth)/12))/12,MAX(0,ER$35*12)/EntryCapRate*EffTaxRateOnValue/12)))</f>
        <v/>
      </c>
      <c r="ES36" s="218">
        <f>IF(145&lt;TaxOpStartMonth,0,IF(145&lt;StabMonth,MAX(0,ES$35*12)/EntryCapRate*EffTaxRateOnValue/12,IF(TaxMethodValue&gt;=1,TaxYear1*(1+GrowthTax)^(MAX(0,(145-StabMonth)/12))/12,MAX(0,ES$35*12)/EntryCapRate*EffTaxRateOnValue/12)))</f>
        <v/>
      </c>
      <c r="ET36" s="218">
        <f>IF(146&lt;TaxOpStartMonth,0,IF(146&lt;StabMonth,MAX(0,ET$35*12)/EntryCapRate*EffTaxRateOnValue/12,IF(TaxMethodValue&gt;=1,TaxYear1*(1+GrowthTax)^(MAX(0,(146-StabMonth)/12))/12,MAX(0,ET$35*12)/EntryCapRate*EffTaxRateOnValue/12)))</f>
        <v/>
      </c>
      <c r="EU36" s="218">
        <f>IF(147&lt;TaxOpStartMonth,0,IF(147&lt;StabMonth,MAX(0,EU$35*12)/EntryCapRate*EffTaxRateOnValue/12,IF(TaxMethodValue&gt;=1,TaxYear1*(1+GrowthTax)^(MAX(0,(147-StabMonth)/12))/12,MAX(0,EU$35*12)/EntryCapRate*EffTaxRateOnValue/12)))</f>
        <v/>
      </c>
      <c r="EV36" s="218">
        <f>IF(148&lt;TaxOpStartMonth,0,IF(148&lt;StabMonth,MAX(0,EV$35*12)/EntryCapRate*EffTaxRateOnValue/12,IF(TaxMethodValue&gt;=1,TaxYear1*(1+GrowthTax)^(MAX(0,(148-StabMonth)/12))/12,MAX(0,EV$35*12)/EntryCapRate*EffTaxRateOnValue/12)))</f>
        <v/>
      </c>
      <c r="EW36" s="218">
        <f>IF(149&lt;TaxOpStartMonth,0,IF(149&lt;StabMonth,MAX(0,EW$35*12)/EntryCapRate*EffTaxRateOnValue/12,IF(TaxMethodValue&gt;=1,TaxYear1*(1+GrowthTax)^(MAX(0,(149-StabMonth)/12))/12,MAX(0,EW$35*12)/EntryCapRate*EffTaxRateOnValue/12)))</f>
        <v/>
      </c>
      <c r="EX36" s="218">
        <f>IF(150&lt;TaxOpStartMonth,0,IF(150&lt;StabMonth,MAX(0,EX$35*12)/EntryCapRate*EffTaxRateOnValue/12,IF(TaxMethodValue&gt;=1,TaxYear1*(1+GrowthTax)^(MAX(0,(150-StabMonth)/12))/12,MAX(0,EX$35*12)/EntryCapRate*EffTaxRateOnValue/12)))</f>
        <v/>
      </c>
      <c r="EY36" s="218">
        <f>IF(151&lt;TaxOpStartMonth,0,IF(151&lt;StabMonth,MAX(0,EY$35*12)/EntryCapRate*EffTaxRateOnValue/12,IF(TaxMethodValue&gt;=1,TaxYear1*(1+GrowthTax)^(MAX(0,(151-StabMonth)/12))/12,MAX(0,EY$35*12)/EntryCapRate*EffTaxRateOnValue/12)))</f>
        <v/>
      </c>
      <c r="EZ36" s="218">
        <f>IF(152&lt;TaxOpStartMonth,0,IF(152&lt;StabMonth,MAX(0,EZ$35*12)/EntryCapRate*EffTaxRateOnValue/12,IF(TaxMethodValue&gt;=1,TaxYear1*(1+GrowthTax)^(MAX(0,(152-StabMonth)/12))/12,MAX(0,EZ$35*12)/EntryCapRate*EffTaxRateOnValue/12)))</f>
        <v/>
      </c>
      <c r="FA36" s="218">
        <f>IF(153&lt;TaxOpStartMonth,0,IF(153&lt;StabMonth,MAX(0,FA$35*12)/EntryCapRate*EffTaxRateOnValue/12,IF(TaxMethodValue&gt;=1,TaxYear1*(1+GrowthTax)^(MAX(0,(153-StabMonth)/12))/12,MAX(0,FA$35*12)/EntryCapRate*EffTaxRateOnValue/12)))</f>
        <v/>
      </c>
      <c r="FB36" s="218">
        <f>IF(154&lt;TaxOpStartMonth,0,IF(154&lt;StabMonth,MAX(0,FB$35*12)/EntryCapRate*EffTaxRateOnValue/12,IF(TaxMethodValue&gt;=1,TaxYear1*(1+GrowthTax)^(MAX(0,(154-StabMonth)/12))/12,MAX(0,FB$35*12)/EntryCapRate*EffTaxRateOnValue/12)))</f>
        <v/>
      </c>
      <c r="FC36" s="218">
        <f>IF(155&lt;TaxOpStartMonth,0,IF(155&lt;StabMonth,MAX(0,FC$35*12)/EntryCapRate*EffTaxRateOnValue/12,IF(TaxMethodValue&gt;=1,TaxYear1*(1+GrowthTax)^(MAX(0,(155-StabMonth)/12))/12,MAX(0,FC$35*12)/EntryCapRate*EffTaxRateOnValue/12)))</f>
        <v/>
      </c>
      <c r="FD36" s="218">
        <f>IF(156&lt;TaxOpStartMonth,0,IF(156&lt;StabMonth,MAX(0,FD$35*12)/EntryCapRate*EffTaxRateOnValue/12,IF(TaxMethodValue&gt;=1,TaxYear1*(1+GrowthTax)^(MAX(0,(156-StabMonth)/12))/12,MAX(0,FD$35*12)/EntryCapRate*EffTaxRateOnValue/12)))</f>
        <v/>
      </c>
      <c r="FE36" s="218">
        <f>IF(157&lt;TaxOpStartMonth,0,IF(157&lt;StabMonth,MAX(0,FE$35*12)/EntryCapRate*EffTaxRateOnValue/12,IF(TaxMethodValue&gt;=1,TaxYear1*(1+GrowthTax)^(MAX(0,(157-StabMonth)/12))/12,MAX(0,FE$35*12)/EntryCapRate*EffTaxRateOnValue/12)))</f>
        <v/>
      </c>
      <c r="FF36" s="218">
        <f>IF(158&lt;TaxOpStartMonth,0,IF(158&lt;StabMonth,MAX(0,FF$35*12)/EntryCapRate*EffTaxRateOnValue/12,IF(TaxMethodValue&gt;=1,TaxYear1*(1+GrowthTax)^(MAX(0,(158-StabMonth)/12))/12,MAX(0,FF$35*12)/EntryCapRate*EffTaxRateOnValue/12)))</f>
        <v/>
      </c>
      <c r="FG36" s="218">
        <f>IF(159&lt;TaxOpStartMonth,0,IF(159&lt;StabMonth,MAX(0,FG$35*12)/EntryCapRate*EffTaxRateOnValue/12,IF(TaxMethodValue&gt;=1,TaxYear1*(1+GrowthTax)^(MAX(0,(159-StabMonth)/12))/12,MAX(0,FG$35*12)/EntryCapRate*EffTaxRateOnValue/12)))</f>
        <v/>
      </c>
      <c r="FH36" s="218">
        <f>IF(160&lt;TaxOpStartMonth,0,IF(160&lt;StabMonth,MAX(0,FH$35*12)/EntryCapRate*EffTaxRateOnValue/12,IF(TaxMethodValue&gt;=1,TaxYear1*(1+GrowthTax)^(MAX(0,(160-StabMonth)/12))/12,MAX(0,FH$35*12)/EntryCapRate*EffTaxRateOnValue/12)))</f>
        <v/>
      </c>
      <c r="FI36" s="218">
        <f>IF(161&lt;TaxOpStartMonth,0,IF(161&lt;StabMonth,MAX(0,FI$35*12)/EntryCapRate*EffTaxRateOnValue/12,IF(TaxMethodValue&gt;=1,TaxYear1*(1+GrowthTax)^(MAX(0,(161-StabMonth)/12))/12,MAX(0,FI$35*12)/EntryCapRate*EffTaxRateOnValue/12)))</f>
        <v/>
      </c>
      <c r="FJ36" s="218">
        <f>IF(162&lt;TaxOpStartMonth,0,IF(162&lt;StabMonth,MAX(0,FJ$35*12)/EntryCapRate*EffTaxRateOnValue/12,IF(TaxMethodValue&gt;=1,TaxYear1*(1+GrowthTax)^(MAX(0,(162-StabMonth)/12))/12,MAX(0,FJ$35*12)/EntryCapRate*EffTaxRateOnValue/12)))</f>
        <v/>
      </c>
      <c r="FK36" s="218">
        <f>IF(163&lt;TaxOpStartMonth,0,IF(163&lt;StabMonth,MAX(0,FK$35*12)/EntryCapRate*EffTaxRateOnValue/12,IF(TaxMethodValue&gt;=1,TaxYear1*(1+GrowthTax)^(MAX(0,(163-StabMonth)/12))/12,MAX(0,FK$35*12)/EntryCapRate*EffTaxRateOnValue/12)))</f>
        <v/>
      </c>
      <c r="FL36" s="218">
        <f>IF(164&lt;TaxOpStartMonth,0,IF(164&lt;StabMonth,MAX(0,FL$35*12)/EntryCapRate*EffTaxRateOnValue/12,IF(TaxMethodValue&gt;=1,TaxYear1*(1+GrowthTax)^(MAX(0,(164-StabMonth)/12))/12,MAX(0,FL$35*12)/EntryCapRate*EffTaxRateOnValue/12)))</f>
        <v/>
      </c>
      <c r="FM36" s="218">
        <f>IF(165&lt;TaxOpStartMonth,0,IF(165&lt;StabMonth,MAX(0,FM$35*12)/EntryCapRate*EffTaxRateOnValue/12,IF(TaxMethodValue&gt;=1,TaxYear1*(1+GrowthTax)^(MAX(0,(165-StabMonth)/12))/12,MAX(0,FM$35*12)/EntryCapRate*EffTaxRateOnValue/12)))</f>
        <v/>
      </c>
      <c r="FN36" s="218">
        <f>IF(166&lt;TaxOpStartMonth,0,IF(166&lt;StabMonth,MAX(0,FN$35*12)/EntryCapRate*EffTaxRateOnValue/12,IF(TaxMethodValue&gt;=1,TaxYear1*(1+GrowthTax)^(MAX(0,(166-StabMonth)/12))/12,MAX(0,FN$35*12)/EntryCapRate*EffTaxRateOnValue/12)))</f>
        <v/>
      </c>
      <c r="FO36" s="218">
        <f>IF(167&lt;TaxOpStartMonth,0,IF(167&lt;StabMonth,MAX(0,FO$35*12)/EntryCapRate*EffTaxRateOnValue/12,IF(TaxMethodValue&gt;=1,TaxYear1*(1+GrowthTax)^(MAX(0,(167-StabMonth)/12))/12,MAX(0,FO$35*12)/EntryCapRate*EffTaxRateOnValue/12)))</f>
        <v/>
      </c>
      <c r="FP36" s="218">
        <f>IF(168&lt;TaxOpStartMonth,0,IF(168&lt;StabMonth,MAX(0,FP$35*12)/EntryCapRate*EffTaxRateOnValue/12,IF(TaxMethodValue&gt;=1,TaxYear1*(1+GrowthTax)^(MAX(0,(168-StabMonth)/12))/12,MAX(0,FP$35*12)/EntryCapRate*EffTaxRateOnValue/12)))</f>
        <v/>
      </c>
      <c r="FQ36" s="218">
        <f>IF(169&lt;TaxOpStartMonth,0,IF(169&lt;StabMonth,MAX(0,FQ$35*12)/EntryCapRate*EffTaxRateOnValue/12,IF(TaxMethodValue&gt;=1,TaxYear1*(1+GrowthTax)^(MAX(0,(169-StabMonth)/12))/12,MAX(0,FQ$35*12)/EntryCapRate*EffTaxRateOnValue/12)))</f>
        <v/>
      </c>
      <c r="FR36" s="218">
        <f>IF(170&lt;TaxOpStartMonth,0,IF(170&lt;StabMonth,MAX(0,FR$35*12)/EntryCapRate*EffTaxRateOnValue/12,IF(TaxMethodValue&gt;=1,TaxYear1*(1+GrowthTax)^(MAX(0,(170-StabMonth)/12))/12,MAX(0,FR$35*12)/EntryCapRate*EffTaxRateOnValue/12)))</f>
        <v/>
      </c>
      <c r="FS36" s="218">
        <f>IF(171&lt;TaxOpStartMonth,0,IF(171&lt;StabMonth,MAX(0,FS$35*12)/EntryCapRate*EffTaxRateOnValue/12,IF(TaxMethodValue&gt;=1,TaxYear1*(1+GrowthTax)^(MAX(0,(171-StabMonth)/12))/12,MAX(0,FS$35*12)/EntryCapRate*EffTaxRateOnValue/12)))</f>
        <v/>
      </c>
      <c r="FT36" s="218">
        <f>IF(172&lt;TaxOpStartMonth,0,IF(172&lt;StabMonth,MAX(0,FT$35*12)/EntryCapRate*EffTaxRateOnValue/12,IF(TaxMethodValue&gt;=1,TaxYear1*(1+GrowthTax)^(MAX(0,(172-StabMonth)/12))/12,MAX(0,FT$35*12)/EntryCapRate*EffTaxRateOnValue/12)))</f>
        <v/>
      </c>
      <c r="FU36" s="218">
        <f>IF(173&lt;TaxOpStartMonth,0,IF(173&lt;StabMonth,MAX(0,FU$35*12)/EntryCapRate*EffTaxRateOnValue/12,IF(TaxMethodValue&gt;=1,TaxYear1*(1+GrowthTax)^(MAX(0,(173-StabMonth)/12))/12,MAX(0,FU$35*12)/EntryCapRate*EffTaxRateOnValue/12)))</f>
        <v/>
      </c>
      <c r="FV36" s="218">
        <f>IF(174&lt;TaxOpStartMonth,0,IF(174&lt;StabMonth,MAX(0,FV$35*12)/EntryCapRate*EffTaxRateOnValue/12,IF(TaxMethodValue&gt;=1,TaxYear1*(1+GrowthTax)^(MAX(0,(174-StabMonth)/12))/12,MAX(0,FV$35*12)/EntryCapRate*EffTaxRateOnValue/12)))</f>
        <v/>
      </c>
      <c r="FW36" s="218">
        <f>IF(175&lt;TaxOpStartMonth,0,IF(175&lt;StabMonth,MAX(0,FW$35*12)/EntryCapRate*EffTaxRateOnValue/12,IF(TaxMethodValue&gt;=1,TaxYear1*(1+GrowthTax)^(MAX(0,(175-StabMonth)/12))/12,MAX(0,FW$35*12)/EntryCapRate*EffTaxRateOnValue/12)))</f>
        <v/>
      </c>
      <c r="FX36" s="218">
        <f>IF(176&lt;TaxOpStartMonth,0,IF(176&lt;StabMonth,MAX(0,FX$35*12)/EntryCapRate*EffTaxRateOnValue/12,IF(TaxMethodValue&gt;=1,TaxYear1*(1+GrowthTax)^(MAX(0,(176-StabMonth)/12))/12,MAX(0,FX$35*12)/EntryCapRate*EffTaxRateOnValue/12)))</f>
        <v/>
      </c>
      <c r="FY36" s="218">
        <f>IF(177&lt;TaxOpStartMonth,0,IF(177&lt;StabMonth,MAX(0,FY$35*12)/EntryCapRate*EffTaxRateOnValue/12,IF(TaxMethodValue&gt;=1,TaxYear1*(1+GrowthTax)^(MAX(0,(177-StabMonth)/12))/12,MAX(0,FY$35*12)/EntryCapRate*EffTaxRateOnValue/12)))</f>
        <v/>
      </c>
      <c r="FZ36" s="218">
        <f>IF(178&lt;TaxOpStartMonth,0,IF(178&lt;StabMonth,MAX(0,FZ$35*12)/EntryCapRate*EffTaxRateOnValue/12,IF(TaxMethodValue&gt;=1,TaxYear1*(1+GrowthTax)^(MAX(0,(178-StabMonth)/12))/12,MAX(0,FZ$35*12)/EntryCapRate*EffTaxRateOnValue/12)))</f>
        <v/>
      </c>
      <c r="GA36" s="218">
        <f>IF(179&lt;TaxOpStartMonth,0,IF(179&lt;StabMonth,MAX(0,GA$35*12)/EntryCapRate*EffTaxRateOnValue/12,IF(TaxMethodValue&gt;=1,TaxYear1*(1+GrowthTax)^(MAX(0,(179-StabMonth)/12))/12,MAX(0,GA$35*12)/EntryCapRate*EffTaxRateOnValue/12)))</f>
        <v/>
      </c>
      <c r="GB36" s="218">
        <f>IF(180&lt;TaxOpStartMonth,0,IF(180&lt;StabMonth,MAX(0,GB$35*12)/EntryCapRate*EffTaxRateOnValue/12,IF(TaxMethodValue&gt;=1,TaxYear1*(1+GrowthTax)^(MAX(0,(180-StabMonth)/12))/12,MAX(0,GB$35*12)/EntryCapRate*EffTaxRateOnValue/12)))</f>
        <v/>
      </c>
      <c r="GC36" s="218">
        <f>IF(181&lt;TaxOpStartMonth,0,IF(181&lt;StabMonth,MAX(0,GC$35*12)/EntryCapRate*EffTaxRateOnValue/12,IF(TaxMethodValue&gt;=1,TaxYear1*(1+GrowthTax)^(MAX(0,(181-StabMonth)/12))/12,MAX(0,GC$35*12)/EntryCapRate*EffTaxRateOnValue/12)))</f>
        <v/>
      </c>
      <c r="GD36" s="218">
        <f>IF(182&lt;TaxOpStartMonth,0,IF(182&lt;StabMonth,MAX(0,GD$35*12)/EntryCapRate*EffTaxRateOnValue/12,IF(TaxMethodValue&gt;=1,TaxYear1*(1+GrowthTax)^(MAX(0,(182-StabMonth)/12))/12,MAX(0,GD$35*12)/EntryCapRate*EffTaxRateOnValue/12)))</f>
        <v/>
      </c>
      <c r="GE36" s="218">
        <f>IF(183&lt;TaxOpStartMonth,0,IF(183&lt;StabMonth,MAX(0,GE$35*12)/EntryCapRate*EffTaxRateOnValue/12,IF(TaxMethodValue&gt;=1,TaxYear1*(1+GrowthTax)^(MAX(0,(183-StabMonth)/12))/12,MAX(0,GE$35*12)/EntryCapRate*EffTaxRateOnValue/12)))</f>
        <v/>
      </c>
      <c r="GF36" s="218">
        <f>IF(184&lt;TaxOpStartMonth,0,IF(184&lt;StabMonth,MAX(0,GF$35*12)/EntryCapRate*EffTaxRateOnValue/12,IF(TaxMethodValue&gt;=1,TaxYear1*(1+GrowthTax)^(MAX(0,(184-StabMonth)/12))/12,MAX(0,GF$35*12)/EntryCapRate*EffTaxRateOnValue/12)))</f>
        <v/>
      </c>
      <c r="GG36" s="218">
        <f>IF(185&lt;TaxOpStartMonth,0,IF(185&lt;StabMonth,MAX(0,GG$35*12)/EntryCapRate*EffTaxRateOnValue/12,IF(TaxMethodValue&gt;=1,TaxYear1*(1+GrowthTax)^(MAX(0,(185-StabMonth)/12))/12,MAX(0,GG$35*12)/EntryCapRate*EffTaxRateOnValue/12)))</f>
        <v/>
      </c>
      <c r="GH36" s="218">
        <f>IF(186&lt;TaxOpStartMonth,0,IF(186&lt;StabMonth,MAX(0,GH$35*12)/EntryCapRate*EffTaxRateOnValue/12,IF(TaxMethodValue&gt;=1,TaxYear1*(1+GrowthTax)^(MAX(0,(186-StabMonth)/12))/12,MAX(0,GH$35*12)/EntryCapRate*EffTaxRateOnValue/12)))</f>
        <v/>
      </c>
      <c r="GI36" s="218">
        <f>IF(187&lt;TaxOpStartMonth,0,IF(187&lt;StabMonth,MAX(0,GI$35*12)/EntryCapRate*EffTaxRateOnValue/12,IF(TaxMethodValue&gt;=1,TaxYear1*(1+GrowthTax)^(MAX(0,(187-StabMonth)/12))/12,MAX(0,GI$35*12)/EntryCapRate*EffTaxRateOnValue/12)))</f>
        <v/>
      </c>
      <c r="GJ36" s="218">
        <f>IF(188&lt;TaxOpStartMonth,0,IF(188&lt;StabMonth,MAX(0,GJ$35*12)/EntryCapRate*EffTaxRateOnValue/12,IF(TaxMethodValue&gt;=1,TaxYear1*(1+GrowthTax)^(MAX(0,(188-StabMonth)/12))/12,MAX(0,GJ$35*12)/EntryCapRate*EffTaxRateOnValue/12)))</f>
        <v/>
      </c>
      <c r="GK36" s="218">
        <f>IF(189&lt;TaxOpStartMonth,0,IF(189&lt;StabMonth,MAX(0,GK$35*12)/EntryCapRate*EffTaxRateOnValue/12,IF(TaxMethodValue&gt;=1,TaxYear1*(1+GrowthTax)^(MAX(0,(189-StabMonth)/12))/12,MAX(0,GK$35*12)/EntryCapRate*EffTaxRateOnValue/12)))</f>
        <v/>
      </c>
      <c r="GL36" s="218">
        <f>IF(190&lt;TaxOpStartMonth,0,IF(190&lt;StabMonth,MAX(0,GL$35*12)/EntryCapRate*EffTaxRateOnValue/12,IF(TaxMethodValue&gt;=1,TaxYear1*(1+GrowthTax)^(MAX(0,(190-StabMonth)/12))/12,MAX(0,GL$35*12)/EntryCapRate*EffTaxRateOnValue/12)))</f>
        <v/>
      </c>
      <c r="GM36" s="218">
        <f>IF(191&lt;TaxOpStartMonth,0,IF(191&lt;StabMonth,MAX(0,GM$35*12)/EntryCapRate*EffTaxRateOnValue/12,IF(TaxMethodValue&gt;=1,TaxYear1*(1+GrowthTax)^(MAX(0,(191-StabMonth)/12))/12,MAX(0,GM$35*12)/EntryCapRate*EffTaxRateOnValue/12)))</f>
        <v/>
      </c>
      <c r="GN36" s="218">
        <f>IF(192&lt;TaxOpStartMonth,0,IF(192&lt;StabMonth,MAX(0,GN$35*12)/EntryCapRate*EffTaxRateOnValue/12,IF(TaxMethodValue&gt;=1,TaxYear1*(1+GrowthTax)^(MAX(0,(192-StabMonth)/12))/12,MAX(0,GN$35*12)/EntryCapRate*EffTaxRateOnValue/12)))</f>
        <v/>
      </c>
      <c r="GO36" s="218">
        <f>IF(193&lt;TaxOpStartMonth,0,IF(193&lt;StabMonth,MAX(0,GO$35*12)/EntryCapRate*EffTaxRateOnValue/12,IF(TaxMethodValue&gt;=1,TaxYear1*(1+GrowthTax)^(MAX(0,(193-StabMonth)/12))/12,MAX(0,GO$35*12)/EntryCapRate*EffTaxRateOnValue/12)))</f>
        <v/>
      </c>
      <c r="GP36" s="218">
        <f>IF(194&lt;TaxOpStartMonth,0,IF(194&lt;StabMonth,MAX(0,GP$35*12)/EntryCapRate*EffTaxRateOnValue/12,IF(TaxMethodValue&gt;=1,TaxYear1*(1+GrowthTax)^(MAX(0,(194-StabMonth)/12))/12,MAX(0,GP$35*12)/EntryCapRate*EffTaxRateOnValue/12)))</f>
        <v/>
      </c>
      <c r="GQ36" s="218">
        <f>IF(195&lt;TaxOpStartMonth,0,IF(195&lt;StabMonth,MAX(0,GQ$35*12)/EntryCapRate*EffTaxRateOnValue/12,IF(TaxMethodValue&gt;=1,TaxYear1*(1+GrowthTax)^(MAX(0,(195-StabMonth)/12))/12,MAX(0,GQ$35*12)/EntryCapRate*EffTaxRateOnValue/12)))</f>
        <v/>
      </c>
      <c r="GR36" s="218">
        <f>IF(196&lt;TaxOpStartMonth,0,IF(196&lt;StabMonth,MAX(0,GR$35*12)/EntryCapRate*EffTaxRateOnValue/12,IF(TaxMethodValue&gt;=1,TaxYear1*(1+GrowthTax)^(MAX(0,(196-StabMonth)/12))/12,MAX(0,GR$35*12)/EntryCapRate*EffTaxRateOnValue/12)))</f>
        <v/>
      </c>
      <c r="GS36" s="218">
        <f>IF(197&lt;TaxOpStartMonth,0,IF(197&lt;StabMonth,MAX(0,GS$35*12)/EntryCapRate*EffTaxRateOnValue/12,IF(TaxMethodValue&gt;=1,TaxYear1*(1+GrowthTax)^(MAX(0,(197-StabMonth)/12))/12,MAX(0,GS$35*12)/EntryCapRate*EffTaxRateOnValue/12)))</f>
        <v/>
      </c>
      <c r="GT36" s="218">
        <f>IF(198&lt;TaxOpStartMonth,0,IF(198&lt;StabMonth,MAX(0,GT$35*12)/EntryCapRate*EffTaxRateOnValue/12,IF(TaxMethodValue&gt;=1,TaxYear1*(1+GrowthTax)^(MAX(0,(198-StabMonth)/12))/12,MAX(0,GT$35*12)/EntryCapRate*EffTaxRateOnValue/12)))</f>
        <v/>
      </c>
      <c r="GU36" s="218">
        <f>IF(199&lt;TaxOpStartMonth,0,IF(199&lt;StabMonth,MAX(0,GU$35*12)/EntryCapRate*EffTaxRateOnValue/12,IF(TaxMethodValue&gt;=1,TaxYear1*(1+GrowthTax)^(MAX(0,(199-StabMonth)/12))/12,MAX(0,GU$35*12)/EntryCapRate*EffTaxRateOnValue/12)))</f>
        <v/>
      </c>
      <c r="GV36" s="218">
        <f>IF(200&lt;TaxOpStartMonth,0,IF(200&lt;StabMonth,MAX(0,GV$35*12)/EntryCapRate*EffTaxRateOnValue/12,IF(TaxMethodValue&gt;=1,TaxYear1*(1+GrowthTax)^(MAX(0,(200-StabMonth)/12))/12,MAX(0,GV$35*12)/EntryCapRate*EffTaxRateOnValue/12)))</f>
        <v/>
      </c>
      <c r="GW36" s="218">
        <f>IF(201&lt;TaxOpStartMonth,0,IF(201&lt;StabMonth,MAX(0,GW$35*12)/EntryCapRate*EffTaxRateOnValue/12,IF(TaxMethodValue&gt;=1,TaxYear1*(1+GrowthTax)^(MAX(0,(201-StabMonth)/12))/12,MAX(0,GW$35*12)/EntryCapRate*EffTaxRateOnValue/12)))</f>
        <v/>
      </c>
      <c r="GX36" s="218">
        <f>IF(202&lt;TaxOpStartMonth,0,IF(202&lt;StabMonth,MAX(0,GX$35*12)/EntryCapRate*EffTaxRateOnValue/12,IF(TaxMethodValue&gt;=1,TaxYear1*(1+GrowthTax)^(MAX(0,(202-StabMonth)/12))/12,MAX(0,GX$35*12)/EntryCapRate*EffTaxRateOnValue/12)))</f>
        <v/>
      </c>
      <c r="GY36" s="218">
        <f>IF(203&lt;TaxOpStartMonth,0,IF(203&lt;StabMonth,MAX(0,GY$35*12)/EntryCapRate*EffTaxRateOnValue/12,IF(TaxMethodValue&gt;=1,TaxYear1*(1+GrowthTax)^(MAX(0,(203-StabMonth)/12))/12,MAX(0,GY$35*12)/EntryCapRate*EffTaxRateOnValue/12)))</f>
        <v/>
      </c>
      <c r="GZ36" s="218">
        <f>IF(204&lt;TaxOpStartMonth,0,IF(204&lt;StabMonth,MAX(0,GZ$35*12)/EntryCapRate*EffTaxRateOnValue/12,IF(TaxMethodValue&gt;=1,TaxYear1*(1+GrowthTax)^(MAX(0,(204-StabMonth)/12))/12,MAX(0,GZ$35*12)/EntryCapRate*EffTaxRateOnValue/12)))</f>
        <v/>
      </c>
      <c r="HA36" s="218">
        <f>IF(205&lt;TaxOpStartMonth,0,IF(205&lt;StabMonth,MAX(0,HA$35*12)/EntryCapRate*EffTaxRateOnValue/12,IF(TaxMethodValue&gt;=1,TaxYear1*(1+GrowthTax)^(MAX(0,(205-StabMonth)/12))/12,MAX(0,HA$35*12)/EntryCapRate*EffTaxRateOnValue/12)))</f>
        <v/>
      </c>
      <c r="HB36" s="218">
        <f>IF(206&lt;TaxOpStartMonth,0,IF(206&lt;StabMonth,MAX(0,HB$35*12)/EntryCapRate*EffTaxRateOnValue/12,IF(TaxMethodValue&gt;=1,TaxYear1*(1+GrowthTax)^(MAX(0,(206-StabMonth)/12))/12,MAX(0,HB$35*12)/EntryCapRate*EffTaxRateOnValue/12)))</f>
        <v/>
      </c>
      <c r="HC36" s="218">
        <f>IF(207&lt;TaxOpStartMonth,0,IF(207&lt;StabMonth,MAX(0,HC$35*12)/EntryCapRate*EffTaxRateOnValue/12,IF(TaxMethodValue&gt;=1,TaxYear1*(1+GrowthTax)^(MAX(0,(207-StabMonth)/12))/12,MAX(0,HC$35*12)/EntryCapRate*EffTaxRateOnValue/12)))</f>
        <v/>
      </c>
      <c r="HD36" s="218">
        <f>IF(208&lt;TaxOpStartMonth,0,IF(208&lt;StabMonth,MAX(0,HD$35*12)/EntryCapRate*EffTaxRateOnValue/12,IF(TaxMethodValue&gt;=1,TaxYear1*(1+GrowthTax)^(MAX(0,(208-StabMonth)/12))/12,MAX(0,HD$35*12)/EntryCapRate*EffTaxRateOnValue/12)))</f>
        <v/>
      </c>
      <c r="HE36" s="218">
        <f>IF(209&lt;TaxOpStartMonth,0,IF(209&lt;StabMonth,MAX(0,HE$35*12)/EntryCapRate*EffTaxRateOnValue/12,IF(TaxMethodValue&gt;=1,TaxYear1*(1+GrowthTax)^(MAX(0,(209-StabMonth)/12))/12,MAX(0,HE$35*12)/EntryCapRate*EffTaxRateOnValue/12)))</f>
        <v/>
      </c>
      <c r="HF36" s="218">
        <f>IF(210&lt;TaxOpStartMonth,0,IF(210&lt;StabMonth,MAX(0,HF$35*12)/EntryCapRate*EffTaxRateOnValue/12,IF(TaxMethodValue&gt;=1,TaxYear1*(1+GrowthTax)^(MAX(0,(210-StabMonth)/12))/12,MAX(0,HF$35*12)/EntryCapRate*EffTaxRateOnValue/12)))</f>
        <v/>
      </c>
      <c r="HG36" s="218">
        <f>IF(211&lt;TaxOpStartMonth,0,IF(211&lt;StabMonth,MAX(0,HG$35*12)/EntryCapRate*EffTaxRateOnValue/12,IF(TaxMethodValue&gt;=1,TaxYear1*(1+GrowthTax)^(MAX(0,(211-StabMonth)/12))/12,MAX(0,HG$35*12)/EntryCapRate*EffTaxRateOnValue/12)))</f>
        <v/>
      </c>
      <c r="HH36" s="218">
        <f>IF(212&lt;TaxOpStartMonth,0,IF(212&lt;StabMonth,MAX(0,HH$35*12)/EntryCapRate*EffTaxRateOnValue/12,IF(TaxMethodValue&gt;=1,TaxYear1*(1+GrowthTax)^(MAX(0,(212-StabMonth)/12))/12,MAX(0,HH$35*12)/EntryCapRate*EffTaxRateOnValue/12)))</f>
        <v/>
      </c>
      <c r="HI36" s="218">
        <f>IF(213&lt;TaxOpStartMonth,0,IF(213&lt;StabMonth,MAX(0,HI$35*12)/EntryCapRate*EffTaxRateOnValue/12,IF(TaxMethodValue&gt;=1,TaxYear1*(1+GrowthTax)^(MAX(0,(213-StabMonth)/12))/12,MAX(0,HI$35*12)/EntryCapRate*EffTaxRateOnValue/12)))</f>
        <v/>
      </c>
      <c r="HJ36" s="218">
        <f>IF(214&lt;TaxOpStartMonth,0,IF(214&lt;StabMonth,MAX(0,HJ$35*12)/EntryCapRate*EffTaxRateOnValue/12,IF(TaxMethodValue&gt;=1,TaxYear1*(1+GrowthTax)^(MAX(0,(214-StabMonth)/12))/12,MAX(0,HJ$35*12)/EntryCapRate*EffTaxRateOnValue/12)))</f>
        <v/>
      </c>
      <c r="HK36" s="218">
        <f>IF(215&lt;TaxOpStartMonth,0,IF(215&lt;StabMonth,MAX(0,HK$35*12)/EntryCapRate*EffTaxRateOnValue/12,IF(TaxMethodValue&gt;=1,TaxYear1*(1+GrowthTax)^(MAX(0,(215-StabMonth)/12))/12,MAX(0,HK$35*12)/EntryCapRate*EffTaxRateOnValue/12)))</f>
        <v/>
      </c>
      <c r="HL36" s="218">
        <f>IF(216&lt;TaxOpStartMonth,0,IF(216&lt;StabMonth,MAX(0,HL$35*12)/EntryCapRate*EffTaxRateOnValue/12,IF(TaxMethodValue&gt;=1,TaxYear1*(1+GrowthTax)^(MAX(0,(216-StabMonth)/12))/12,MAX(0,HL$35*12)/EntryCapRate*EffTaxRateOnValue/12)))</f>
        <v/>
      </c>
      <c r="HM36" s="218">
        <f>IF(217&lt;TaxOpStartMonth,0,IF(217&lt;StabMonth,MAX(0,HM$35*12)/EntryCapRate*EffTaxRateOnValue/12,IF(TaxMethodValue&gt;=1,TaxYear1*(1+GrowthTax)^(MAX(0,(217-StabMonth)/12))/12,MAX(0,HM$35*12)/EntryCapRate*EffTaxRateOnValue/12)))</f>
        <v/>
      </c>
      <c r="HN36" s="218">
        <f>IF(218&lt;TaxOpStartMonth,0,IF(218&lt;StabMonth,MAX(0,HN$35*12)/EntryCapRate*EffTaxRateOnValue/12,IF(TaxMethodValue&gt;=1,TaxYear1*(1+GrowthTax)^(MAX(0,(218-StabMonth)/12))/12,MAX(0,HN$35*12)/EntryCapRate*EffTaxRateOnValue/12)))</f>
        <v/>
      </c>
      <c r="HO36" s="218">
        <f>IF(219&lt;TaxOpStartMonth,0,IF(219&lt;StabMonth,MAX(0,HO$35*12)/EntryCapRate*EffTaxRateOnValue/12,IF(TaxMethodValue&gt;=1,TaxYear1*(1+GrowthTax)^(MAX(0,(219-StabMonth)/12))/12,MAX(0,HO$35*12)/EntryCapRate*EffTaxRateOnValue/12)))</f>
        <v/>
      </c>
      <c r="HP36" s="218">
        <f>IF(220&lt;TaxOpStartMonth,0,IF(220&lt;StabMonth,MAX(0,HP$35*12)/EntryCapRate*EffTaxRateOnValue/12,IF(TaxMethodValue&gt;=1,TaxYear1*(1+GrowthTax)^(MAX(0,(220-StabMonth)/12))/12,MAX(0,HP$35*12)/EntryCapRate*EffTaxRateOnValue/12)))</f>
        <v/>
      </c>
      <c r="HQ36" s="218">
        <f>IF(221&lt;TaxOpStartMonth,0,IF(221&lt;StabMonth,MAX(0,HQ$35*12)/EntryCapRate*EffTaxRateOnValue/12,IF(TaxMethodValue&gt;=1,TaxYear1*(1+GrowthTax)^(MAX(0,(221-StabMonth)/12))/12,MAX(0,HQ$35*12)/EntryCapRate*EffTaxRateOnValue/12)))</f>
        <v/>
      </c>
      <c r="HR36" s="218">
        <f>IF(222&lt;TaxOpStartMonth,0,IF(222&lt;StabMonth,MAX(0,HR$35*12)/EntryCapRate*EffTaxRateOnValue/12,IF(TaxMethodValue&gt;=1,TaxYear1*(1+GrowthTax)^(MAX(0,(222-StabMonth)/12))/12,MAX(0,HR$35*12)/EntryCapRate*EffTaxRateOnValue/12)))</f>
        <v/>
      </c>
      <c r="HS36" s="218">
        <f>IF(223&lt;TaxOpStartMonth,0,IF(223&lt;StabMonth,MAX(0,HS$35*12)/EntryCapRate*EffTaxRateOnValue/12,IF(TaxMethodValue&gt;=1,TaxYear1*(1+GrowthTax)^(MAX(0,(223-StabMonth)/12))/12,MAX(0,HS$35*12)/EntryCapRate*EffTaxRateOnValue/12)))</f>
        <v/>
      </c>
      <c r="HT36" s="218">
        <f>IF(224&lt;TaxOpStartMonth,0,IF(224&lt;StabMonth,MAX(0,HT$35*12)/EntryCapRate*EffTaxRateOnValue/12,IF(TaxMethodValue&gt;=1,TaxYear1*(1+GrowthTax)^(MAX(0,(224-StabMonth)/12))/12,MAX(0,HT$35*12)/EntryCapRate*EffTaxRateOnValue/12)))</f>
        <v/>
      </c>
      <c r="HU36" s="218">
        <f>IF(225&lt;TaxOpStartMonth,0,IF(225&lt;StabMonth,MAX(0,HU$35*12)/EntryCapRate*EffTaxRateOnValue/12,IF(TaxMethodValue&gt;=1,TaxYear1*(1+GrowthTax)^(MAX(0,(225-StabMonth)/12))/12,MAX(0,HU$35*12)/EntryCapRate*EffTaxRateOnValue/12)))</f>
        <v/>
      </c>
      <c r="HV36" s="218">
        <f>IF(226&lt;TaxOpStartMonth,0,IF(226&lt;StabMonth,MAX(0,HV$35*12)/EntryCapRate*EffTaxRateOnValue/12,IF(TaxMethodValue&gt;=1,TaxYear1*(1+GrowthTax)^(MAX(0,(226-StabMonth)/12))/12,MAX(0,HV$35*12)/EntryCapRate*EffTaxRateOnValue/12)))</f>
        <v/>
      </c>
      <c r="HW36" s="218">
        <f>IF(227&lt;TaxOpStartMonth,0,IF(227&lt;StabMonth,MAX(0,HW$35*12)/EntryCapRate*EffTaxRateOnValue/12,IF(TaxMethodValue&gt;=1,TaxYear1*(1+GrowthTax)^(MAX(0,(227-StabMonth)/12))/12,MAX(0,HW$35*12)/EntryCapRate*EffTaxRateOnValue/12)))</f>
        <v/>
      </c>
      <c r="HX36" s="218">
        <f>IF(228&lt;TaxOpStartMonth,0,IF(228&lt;StabMonth,MAX(0,HX$35*12)/EntryCapRate*EffTaxRateOnValue/12,IF(TaxMethodValue&gt;=1,TaxYear1*(1+GrowthTax)^(MAX(0,(228-StabMonth)/12))/12,MAX(0,HX$35*12)/EntryCapRate*EffTaxRateOnValue/12)))</f>
        <v/>
      </c>
      <c r="HY36" s="218">
        <f>IF(229&lt;TaxOpStartMonth,0,IF(229&lt;StabMonth,MAX(0,HY$35*12)/EntryCapRate*EffTaxRateOnValue/12,IF(TaxMethodValue&gt;=1,TaxYear1*(1+GrowthTax)^(MAX(0,(229-StabMonth)/12))/12,MAX(0,HY$35*12)/EntryCapRate*EffTaxRateOnValue/12)))</f>
        <v/>
      </c>
      <c r="HZ36" s="218">
        <f>IF(230&lt;TaxOpStartMonth,0,IF(230&lt;StabMonth,MAX(0,HZ$35*12)/EntryCapRate*EffTaxRateOnValue/12,IF(TaxMethodValue&gt;=1,TaxYear1*(1+GrowthTax)^(MAX(0,(230-StabMonth)/12))/12,MAX(0,HZ$35*12)/EntryCapRate*EffTaxRateOnValue/12)))</f>
        <v/>
      </c>
      <c r="IA36" s="218">
        <f>IF(231&lt;TaxOpStartMonth,0,IF(231&lt;StabMonth,MAX(0,IA$35*12)/EntryCapRate*EffTaxRateOnValue/12,IF(TaxMethodValue&gt;=1,TaxYear1*(1+GrowthTax)^(MAX(0,(231-StabMonth)/12))/12,MAX(0,IA$35*12)/EntryCapRate*EffTaxRateOnValue/12)))</f>
        <v/>
      </c>
      <c r="IB36" s="218">
        <f>IF(232&lt;TaxOpStartMonth,0,IF(232&lt;StabMonth,MAX(0,IB$35*12)/EntryCapRate*EffTaxRateOnValue/12,IF(TaxMethodValue&gt;=1,TaxYear1*(1+GrowthTax)^(MAX(0,(232-StabMonth)/12))/12,MAX(0,IB$35*12)/EntryCapRate*EffTaxRateOnValue/12)))</f>
        <v/>
      </c>
      <c r="IC36" s="218">
        <f>IF(233&lt;TaxOpStartMonth,0,IF(233&lt;StabMonth,MAX(0,IC$35*12)/EntryCapRate*EffTaxRateOnValue/12,IF(TaxMethodValue&gt;=1,TaxYear1*(1+GrowthTax)^(MAX(0,(233-StabMonth)/12))/12,MAX(0,IC$35*12)/EntryCapRate*EffTaxRateOnValue/12)))</f>
        <v/>
      </c>
      <c r="ID36" s="218">
        <f>IF(234&lt;TaxOpStartMonth,0,IF(234&lt;StabMonth,MAX(0,ID$35*12)/EntryCapRate*EffTaxRateOnValue/12,IF(TaxMethodValue&gt;=1,TaxYear1*(1+GrowthTax)^(MAX(0,(234-StabMonth)/12))/12,MAX(0,ID$35*12)/EntryCapRate*EffTaxRateOnValue/12)))</f>
        <v/>
      </c>
      <c r="IE36" s="218">
        <f>IF(235&lt;TaxOpStartMonth,0,IF(235&lt;StabMonth,MAX(0,IE$35*12)/EntryCapRate*EffTaxRateOnValue/12,IF(TaxMethodValue&gt;=1,TaxYear1*(1+GrowthTax)^(MAX(0,(235-StabMonth)/12))/12,MAX(0,IE$35*12)/EntryCapRate*EffTaxRateOnValue/12)))</f>
        <v/>
      </c>
      <c r="IF36" s="218">
        <f>IF(236&lt;TaxOpStartMonth,0,IF(236&lt;StabMonth,MAX(0,IF$35*12)/EntryCapRate*EffTaxRateOnValue/12,IF(TaxMethodValue&gt;=1,TaxYear1*(1+GrowthTax)^(MAX(0,(236-StabMonth)/12))/12,MAX(0,IF$35*12)/EntryCapRate*EffTaxRateOnValue/12)))</f>
        <v/>
      </c>
      <c r="IG36" s="218">
        <f>IF(237&lt;TaxOpStartMonth,0,IF(237&lt;StabMonth,MAX(0,IG$35*12)/EntryCapRate*EffTaxRateOnValue/12,IF(TaxMethodValue&gt;=1,TaxYear1*(1+GrowthTax)^(MAX(0,(237-StabMonth)/12))/12,MAX(0,IG$35*12)/EntryCapRate*EffTaxRateOnValue/12)))</f>
        <v/>
      </c>
      <c r="IH36" s="218">
        <f>IF(238&lt;TaxOpStartMonth,0,IF(238&lt;StabMonth,MAX(0,IH$35*12)/EntryCapRate*EffTaxRateOnValue/12,IF(TaxMethodValue&gt;=1,TaxYear1*(1+GrowthTax)^(MAX(0,(238-StabMonth)/12))/12,MAX(0,IH$35*12)/EntryCapRate*EffTaxRateOnValue/12)))</f>
        <v/>
      </c>
      <c r="II36" s="218">
        <f>IF(239&lt;TaxOpStartMonth,0,IF(239&lt;StabMonth,MAX(0,II$35*12)/EntryCapRate*EffTaxRateOnValue/12,IF(TaxMethodValue&gt;=1,TaxYear1*(1+GrowthTax)^(MAX(0,(239-StabMonth)/12))/12,MAX(0,II$35*12)/EntryCapRate*EffTaxRateOnValue/12)))</f>
        <v/>
      </c>
      <c r="IJ36" s="218">
        <f>IF(240&lt;TaxOpStartMonth,0,IF(240&lt;StabMonth,MAX(0,IJ$35*12)/EntryCapRate*EffTaxRateOnValue/12,IF(TaxMethodValue&gt;=1,TaxYear1*(1+GrowthTax)^(MAX(0,(240-StabMonth)/12))/12,MAX(0,IJ$35*12)/EntryCapRate*EffTaxRateOnValue/12)))</f>
        <v/>
      </c>
      <c r="IK36" s="218">
        <f>IF(241&lt;TaxOpStartMonth,0,IF(241&lt;StabMonth,MAX(0,IK$35*12)/EntryCapRate*EffTaxRateOnValue/12,IF(TaxMethodValue&gt;=1,TaxYear1*(1+GrowthTax)^(MAX(0,(241-StabMonth)/12))/12,MAX(0,IK$35*12)/EntryCapRate*EffTaxRateOnValue/12)))</f>
        <v/>
      </c>
      <c r="IL36" s="218">
        <f>IF(242&lt;TaxOpStartMonth,0,IF(242&lt;StabMonth,MAX(0,IL$35*12)/EntryCapRate*EffTaxRateOnValue/12,IF(TaxMethodValue&gt;=1,TaxYear1*(1+GrowthTax)^(MAX(0,(242-StabMonth)/12))/12,MAX(0,IL$35*12)/EntryCapRate*EffTaxRateOnValue/12)))</f>
        <v/>
      </c>
      <c r="IM36" s="218">
        <f>IF(243&lt;TaxOpStartMonth,0,IF(243&lt;StabMonth,MAX(0,IM$35*12)/EntryCapRate*EffTaxRateOnValue/12,IF(TaxMethodValue&gt;=1,TaxYear1*(1+GrowthTax)^(MAX(0,(243-StabMonth)/12))/12,MAX(0,IM$35*12)/EntryCapRate*EffTaxRateOnValue/12)))</f>
        <v/>
      </c>
      <c r="IN36" s="218">
        <f>IF(244&lt;TaxOpStartMonth,0,IF(244&lt;StabMonth,MAX(0,IN$35*12)/EntryCapRate*EffTaxRateOnValue/12,IF(TaxMethodValue&gt;=1,TaxYear1*(1+GrowthTax)^(MAX(0,(244-StabMonth)/12))/12,MAX(0,IN$35*12)/EntryCapRate*EffTaxRateOnValue/12)))</f>
        <v/>
      </c>
      <c r="IO36" s="218">
        <f>IF(245&lt;TaxOpStartMonth,0,IF(245&lt;StabMonth,MAX(0,IO$35*12)/EntryCapRate*EffTaxRateOnValue/12,IF(TaxMethodValue&gt;=1,TaxYear1*(1+GrowthTax)^(MAX(0,(245-StabMonth)/12))/12,MAX(0,IO$35*12)/EntryCapRate*EffTaxRateOnValue/12)))</f>
        <v/>
      </c>
      <c r="IP36" s="218">
        <f>IF(246&lt;TaxOpStartMonth,0,IF(246&lt;StabMonth,MAX(0,IP$35*12)/EntryCapRate*EffTaxRateOnValue/12,IF(TaxMethodValue&gt;=1,TaxYear1*(1+GrowthTax)^(MAX(0,(246-StabMonth)/12))/12,MAX(0,IP$35*12)/EntryCapRate*EffTaxRateOnValue/12)))</f>
        <v/>
      </c>
      <c r="IQ36" s="218">
        <f>IF(247&lt;TaxOpStartMonth,0,IF(247&lt;StabMonth,MAX(0,IQ$35*12)/EntryCapRate*EffTaxRateOnValue/12,IF(TaxMethodValue&gt;=1,TaxYear1*(1+GrowthTax)^(MAX(0,(247-StabMonth)/12))/12,MAX(0,IQ$35*12)/EntryCapRate*EffTaxRateOnValue/12)))</f>
        <v/>
      </c>
      <c r="IR36" s="218">
        <f>IF(248&lt;TaxOpStartMonth,0,IF(248&lt;StabMonth,MAX(0,IR$35*12)/EntryCapRate*EffTaxRateOnValue/12,IF(TaxMethodValue&gt;=1,TaxYear1*(1+GrowthTax)^(MAX(0,(248-StabMonth)/12))/12,MAX(0,IR$35*12)/EntryCapRate*EffTaxRateOnValue/12)))</f>
        <v/>
      </c>
      <c r="IS36" s="218">
        <f>IF(249&lt;TaxOpStartMonth,0,IF(249&lt;StabMonth,MAX(0,IS$35*12)/EntryCapRate*EffTaxRateOnValue/12,IF(TaxMethodValue&gt;=1,TaxYear1*(1+GrowthTax)^(MAX(0,(249-StabMonth)/12))/12,MAX(0,IS$35*12)/EntryCapRate*EffTaxRateOnValue/12)))</f>
        <v/>
      </c>
      <c r="IT36" s="218">
        <f>IF(250&lt;TaxOpStartMonth,0,IF(250&lt;StabMonth,MAX(0,IT$35*12)/EntryCapRate*EffTaxRateOnValue/12,IF(TaxMethodValue&gt;=1,TaxYear1*(1+GrowthTax)^(MAX(0,(250-StabMonth)/12))/12,MAX(0,IT$35*12)/EntryCapRate*EffTaxRateOnValue/12)))</f>
        <v/>
      </c>
      <c r="IU36" s="218">
        <f>IF(251&lt;TaxOpStartMonth,0,IF(251&lt;StabMonth,MAX(0,IU$35*12)/EntryCapRate*EffTaxRateOnValue/12,IF(TaxMethodValue&gt;=1,TaxYear1*(1+GrowthTax)^(MAX(0,(251-StabMonth)/12))/12,MAX(0,IU$35*12)/EntryCapRate*EffTaxRateOnValue/12)))</f>
        <v/>
      </c>
      <c r="IV36" s="218">
        <f>IF(252&lt;TaxOpStartMonth,0,IF(252&lt;StabMonth,MAX(0,IV$35*12)/EntryCapRate*EffTaxRateOnValue/12,IF(TaxMethodValue&gt;=1,TaxYear1*(1+GrowthTax)^(MAX(0,(252-StabMonth)/12))/12,MAX(0,IV$35*12)/EntryCapRate*EffTaxRateOnValue/12)))</f>
        <v/>
      </c>
      <c r="IW36" s="218">
        <f>IF(253&lt;TaxOpStartMonth,0,IF(253&lt;StabMonth,MAX(0,IW$35*12)/EntryCapRate*EffTaxRateOnValue/12,IF(TaxMethodValue&gt;=1,TaxYear1*(1+GrowthTax)^(MAX(0,(253-StabMonth)/12))/12,MAX(0,IW$35*12)/EntryCapRate*EffTaxRateOnValue/12)))</f>
        <v/>
      </c>
      <c r="IX36" s="218">
        <f>IF(254&lt;TaxOpStartMonth,0,IF(254&lt;StabMonth,MAX(0,IX$35*12)/EntryCapRate*EffTaxRateOnValue/12,IF(TaxMethodValue&gt;=1,TaxYear1*(1+GrowthTax)^(MAX(0,(254-StabMonth)/12))/12,MAX(0,IX$35*12)/EntryCapRate*EffTaxRateOnValue/12)))</f>
        <v/>
      </c>
      <c r="IY36" s="218">
        <f>IF(255&lt;TaxOpStartMonth,0,IF(255&lt;StabMonth,MAX(0,IY$35*12)/EntryCapRate*EffTaxRateOnValue/12,IF(TaxMethodValue&gt;=1,TaxYear1*(1+GrowthTax)^(MAX(0,(255-StabMonth)/12))/12,MAX(0,IY$35*12)/EntryCapRate*EffTaxRateOnValue/12)))</f>
        <v/>
      </c>
      <c r="IZ36" s="218">
        <f>IF(256&lt;TaxOpStartMonth,0,IF(256&lt;StabMonth,MAX(0,IZ$35*12)/EntryCapRate*EffTaxRateOnValue/12,IF(TaxMethodValue&gt;=1,TaxYear1*(1+GrowthTax)^(MAX(0,(256-StabMonth)/12))/12,MAX(0,IZ$35*12)/EntryCapRate*EffTaxRateOnValue/12)))</f>
        <v/>
      </c>
      <c r="JA36" s="218">
        <f>IF(257&lt;TaxOpStartMonth,0,IF(257&lt;StabMonth,MAX(0,JA$35*12)/EntryCapRate*EffTaxRateOnValue/12,IF(TaxMethodValue&gt;=1,TaxYear1*(1+GrowthTax)^(MAX(0,(257-StabMonth)/12))/12,MAX(0,JA$35*12)/EntryCapRate*EffTaxRateOnValue/12)))</f>
        <v/>
      </c>
      <c r="JB36" s="218">
        <f>IF(258&lt;TaxOpStartMonth,0,IF(258&lt;StabMonth,MAX(0,JB$35*12)/EntryCapRate*EffTaxRateOnValue/12,IF(TaxMethodValue&gt;=1,TaxYear1*(1+GrowthTax)^(MAX(0,(258-StabMonth)/12))/12,MAX(0,JB$35*12)/EntryCapRate*EffTaxRateOnValue/12)))</f>
        <v/>
      </c>
      <c r="JC36" s="218">
        <f>IF(259&lt;TaxOpStartMonth,0,IF(259&lt;StabMonth,MAX(0,JC$35*12)/EntryCapRate*EffTaxRateOnValue/12,IF(TaxMethodValue&gt;=1,TaxYear1*(1+GrowthTax)^(MAX(0,(259-StabMonth)/12))/12,MAX(0,JC$35*12)/EntryCapRate*EffTaxRateOnValue/12)))</f>
        <v/>
      </c>
      <c r="JD36" s="218">
        <f>IF(260&lt;TaxOpStartMonth,0,IF(260&lt;StabMonth,MAX(0,JD$35*12)/EntryCapRate*EffTaxRateOnValue/12,IF(TaxMethodValue&gt;=1,TaxYear1*(1+GrowthTax)^(MAX(0,(260-StabMonth)/12))/12,MAX(0,JD$35*12)/EntryCapRate*EffTaxRateOnValue/12)))</f>
        <v/>
      </c>
      <c r="JE36" s="218">
        <f>IF(261&lt;TaxOpStartMonth,0,IF(261&lt;StabMonth,MAX(0,JE$35*12)/EntryCapRate*EffTaxRateOnValue/12,IF(TaxMethodValue&gt;=1,TaxYear1*(1+GrowthTax)^(MAX(0,(261-StabMonth)/12))/12,MAX(0,JE$35*12)/EntryCapRate*EffTaxRateOnValue/12)))</f>
        <v/>
      </c>
      <c r="JF36" s="218">
        <f>IF(262&lt;TaxOpStartMonth,0,IF(262&lt;StabMonth,MAX(0,JF$35*12)/EntryCapRate*EffTaxRateOnValue/12,IF(TaxMethodValue&gt;=1,TaxYear1*(1+GrowthTax)^(MAX(0,(262-StabMonth)/12))/12,MAX(0,JF$35*12)/EntryCapRate*EffTaxRateOnValue/12)))</f>
        <v/>
      </c>
      <c r="JG36" s="218">
        <f>IF(263&lt;TaxOpStartMonth,0,IF(263&lt;StabMonth,MAX(0,JG$35*12)/EntryCapRate*EffTaxRateOnValue/12,IF(TaxMethodValue&gt;=1,TaxYear1*(1+GrowthTax)^(MAX(0,(263-StabMonth)/12))/12,MAX(0,JG$35*12)/EntryCapRate*EffTaxRateOnValue/12)))</f>
        <v/>
      </c>
      <c r="JH36" s="218">
        <f>IF(264&lt;TaxOpStartMonth,0,IF(264&lt;StabMonth,MAX(0,JH$35*12)/EntryCapRate*EffTaxRateOnValue/12,IF(TaxMethodValue&gt;=1,TaxYear1*(1+GrowthTax)^(MAX(0,(264-StabMonth)/12))/12,MAX(0,JH$35*12)/EntryCapRate*EffTaxRateOnValue/12)))</f>
        <v/>
      </c>
      <c r="JI36" s="218">
        <f>IF(265&lt;TaxOpStartMonth,0,IF(265&lt;StabMonth,MAX(0,JI$35*12)/EntryCapRate*EffTaxRateOnValue/12,IF(TaxMethodValue&gt;=1,TaxYear1*(1+GrowthTax)^(MAX(0,(265-StabMonth)/12))/12,MAX(0,JI$35*12)/EntryCapRate*EffTaxRateOnValue/12)))</f>
        <v/>
      </c>
      <c r="JJ36" s="218">
        <f>IF(266&lt;TaxOpStartMonth,0,IF(266&lt;StabMonth,MAX(0,JJ$35*12)/EntryCapRate*EffTaxRateOnValue/12,IF(TaxMethodValue&gt;=1,TaxYear1*(1+GrowthTax)^(MAX(0,(266-StabMonth)/12))/12,MAX(0,JJ$35*12)/EntryCapRate*EffTaxRateOnValue/12)))</f>
        <v/>
      </c>
      <c r="JK36" s="218">
        <f>IF(267&lt;TaxOpStartMonth,0,IF(267&lt;StabMonth,MAX(0,JK$35*12)/EntryCapRate*EffTaxRateOnValue/12,IF(TaxMethodValue&gt;=1,TaxYear1*(1+GrowthTax)^(MAX(0,(267-StabMonth)/12))/12,MAX(0,JK$35*12)/EntryCapRate*EffTaxRateOnValue/12)))</f>
        <v/>
      </c>
      <c r="JL36" s="218">
        <f>IF(268&lt;TaxOpStartMonth,0,IF(268&lt;StabMonth,MAX(0,JL$35*12)/EntryCapRate*EffTaxRateOnValue/12,IF(TaxMethodValue&gt;=1,TaxYear1*(1+GrowthTax)^(MAX(0,(268-StabMonth)/12))/12,MAX(0,JL$35*12)/EntryCapRate*EffTaxRateOnValue/12)))</f>
        <v/>
      </c>
      <c r="JM36" s="218">
        <f>IF(269&lt;TaxOpStartMonth,0,IF(269&lt;StabMonth,MAX(0,JM$35*12)/EntryCapRate*EffTaxRateOnValue/12,IF(TaxMethodValue&gt;=1,TaxYear1*(1+GrowthTax)^(MAX(0,(269-StabMonth)/12))/12,MAX(0,JM$35*12)/EntryCapRate*EffTaxRateOnValue/12)))</f>
        <v/>
      </c>
      <c r="JN36" s="218">
        <f>IF(270&lt;TaxOpStartMonth,0,IF(270&lt;StabMonth,MAX(0,JN$35*12)/EntryCapRate*EffTaxRateOnValue/12,IF(TaxMethodValue&gt;=1,TaxYear1*(1+GrowthTax)^(MAX(0,(270-StabMonth)/12))/12,MAX(0,JN$35*12)/EntryCapRate*EffTaxRateOnValue/12)))</f>
        <v/>
      </c>
      <c r="JO36" s="218">
        <f>IF(271&lt;TaxOpStartMonth,0,IF(271&lt;StabMonth,MAX(0,JO$35*12)/EntryCapRate*EffTaxRateOnValue/12,IF(TaxMethodValue&gt;=1,TaxYear1*(1+GrowthTax)^(MAX(0,(271-StabMonth)/12))/12,MAX(0,JO$35*12)/EntryCapRate*EffTaxRateOnValue/12)))</f>
        <v/>
      </c>
      <c r="JP36" s="218">
        <f>IF(272&lt;TaxOpStartMonth,0,IF(272&lt;StabMonth,MAX(0,JP$35*12)/EntryCapRate*EffTaxRateOnValue/12,IF(TaxMethodValue&gt;=1,TaxYear1*(1+GrowthTax)^(MAX(0,(272-StabMonth)/12))/12,MAX(0,JP$35*12)/EntryCapRate*EffTaxRateOnValue/12)))</f>
        <v/>
      </c>
      <c r="JQ36" s="218">
        <f>IF(273&lt;TaxOpStartMonth,0,IF(273&lt;StabMonth,MAX(0,JQ$35*12)/EntryCapRate*EffTaxRateOnValue/12,IF(TaxMethodValue&gt;=1,TaxYear1*(1+GrowthTax)^(MAX(0,(273-StabMonth)/12))/12,MAX(0,JQ$35*12)/EntryCapRate*EffTaxRateOnValue/12)))</f>
        <v/>
      </c>
      <c r="JR36" s="218">
        <f>IF(274&lt;TaxOpStartMonth,0,IF(274&lt;StabMonth,MAX(0,JR$35*12)/EntryCapRate*EffTaxRateOnValue/12,IF(TaxMethodValue&gt;=1,TaxYear1*(1+GrowthTax)^(MAX(0,(274-StabMonth)/12))/12,MAX(0,JR$35*12)/EntryCapRate*EffTaxRateOnValue/12)))</f>
        <v/>
      </c>
      <c r="JS36" s="218">
        <f>IF(275&lt;TaxOpStartMonth,0,IF(275&lt;StabMonth,MAX(0,JS$35*12)/EntryCapRate*EffTaxRateOnValue/12,IF(TaxMethodValue&gt;=1,TaxYear1*(1+GrowthTax)^(MAX(0,(275-StabMonth)/12))/12,MAX(0,JS$35*12)/EntryCapRate*EffTaxRateOnValue/12)))</f>
        <v/>
      </c>
      <c r="JT36" s="218">
        <f>IF(276&lt;TaxOpStartMonth,0,IF(276&lt;StabMonth,MAX(0,JT$35*12)/EntryCapRate*EffTaxRateOnValue/12,IF(TaxMethodValue&gt;=1,TaxYear1*(1+GrowthTax)^(MAX(0,(276-StabMonth)/12))/12,MAX(0,JT$35*12)/EntryCapRate*EffTaxRateOnValue/12)))</f>
        <v/>
      </c>
      <c r="JU36" s="218">
        <f>IF(277&lt;TaxOpStartMonth,0,IF(277&lt;StabMonth,MAX(0,JU$35*12)/EntryCapRate*EffTaxRateOnValue/12,IF(TaxMethodValue&gt;=1,TaxYear1*(1+GrowthTax)^(MAX(0,(277-StabMonth)/12))/12,MAX(0,JU$35*12)/EntryCapRate*EffTaxRateOnValue/12)))</f>
        <v/>
      </c>
      <c r="JV36" s="218">
        <f>IF(278&lt;TaxOpStartMonth,0,IF(278&lt;StabMonth,MAX(0,JV$35*12)/EntryCapRate*EffTaxRateOnValue/12,IF(TaxMethodValue&gt;=1,TaxYear1*(1+GrowthTax)^(MAX(0,(278-StabMonth)/12))/12,MAX(0,JV$35*12)/EntryCapRate*EffTaxRateOnValue/12)))</f>
        <v/>
      </c>
      <c r="JW36" s="218">
        <f>IF(279&lt;TaxOpStartMonth,0,IF(279&lt;StabMonth,MAX(0,JW$35*12)/EntryCapRate*EffTaxRateOnValue/12,IF(TaxMethodValue&gt;=1,TaxYear1*(1+GrowthTax)^(MAX(0,(279-StabMonth)/12))/12,MAX(0,JW$35*12)/EntryCapRate*EffTaxRateOnValue/12)))</f>
        <v/>
      </c>
      <c r="JX36" s="218">
        <f>IF(280&lt;TaxOpStartMonth,0,IF(280&lt;StabMonth,MAX(0,JX$35*12)/EntryCapRate*EffTaxRateOnValue/12,IF(TaxMethodValue&gt;=1,TaxYear1*(1+GrowthTax)^(MAX(0,(280-StabMonth)/12))/12,MAX(0,JX$35*12)/EntryCapRate*EffTaxRateOnValue/12)))</f>
        <v/>
      </c>
      <c r="JY36" s="218">
        <f>IF(281&lt;TaxOpStartMonth,0,IF(281&lt;StabMonth,MAX(0,JY$35*12)/EntryCapRate*EffTaxRateOnValue/12,IF(TaxMethodValue&gt;=1,TaxYear1*(1+GrowthTax)^(MAX(0,(281-StabMonth)/12))/12,MAX(0,JY$35*12)/EntryCapRate*EffTaxRateOnValue/12)))</f>
        <v/>
      </c>
      <c r="JZ36" s="218">
        <f>IF(282&lt;TaxOpStartMonth,0,IF(282&lt;StabMonth,MAX(0,JZ$35*12)/EntryCapRate*EffTaxRateOnValue/12,IF(TaxMethodValue&gt;=1,TaxYear1*(1+GrowthTax)^(MAX(0,(282-StabMonth)/12))/12,MAX(0,JZ$35*12)/EntryCapRate*EffTaxRateOnValue/12)))</f>
        <v/>
      </c>
      <c r="KA36" s="218">
        <f>IF(283&lt;TaxOpStartMonth,0,IF(283&lt;StabMonth,MAX(0,KA$35*12)/EntryCapRate*EffTaxRateOnValue/12,IF(TaxMethodValue&gt;=1,TaxYear1*(1+GrowthTax)^(MAX(0,(283-StabMonth)/12))/12,MAX(0,KA$35*12)/EntryCapRate*EffTaxRateOnValue/12)))</f>
        <v/>
      </c>
      <c r="KB36" s="218">
        <f>IF(284&lt;TaxOpStartMonth,0,IF(284&lt;StabMonth,MAX(0,KB$35*12)/EntryCapRate*EffTaxRateOnValue/12,IF(TaxMethodValue&gt;=1,TaxYear1*(1+GrowthTax)^(MAX(0,(284-StabMonth)/12))/12,MAX(0,KB$35*12)/EntryCapRate*EffTaxRateOnValue/12)))</f>
        <v/>
      </c>
      <c r="KC36" s="218">
        <f>IF(285&lt;TaxOpStartMonth,0,IF(285&lt;StabMonth,MAX(0,KC$35*12)/EntryCapRate*EffTaxRateOnValue/12,IF(TaxMethodValue&gt;=1,TaxYear1*(1+GrowthTax)^(MAX(0,(285-StabMonth)/12))/12,MAX(0,KC$35*12)/EntryCapRate*EffTaxRateOnValue/12)))</f>
        <v/>
      </c>
      <c r="KD36" s="218">
        <f>IF(286&lt;TaxOpStartMonth,0,IF(286&lt;StabMonth,MAX(0,KD$35*12)/EntryCapRate*EffTaxRateOnValue/12,IF(TaxMethodValue&gt;=1,TaxYear1*(1+GrowthTax)^(MAX(0,(286-StabMonth)/12))/12,MAX(0,KD$35*12)/EntryCapRate*EffTaxRateOnValue/12)))</f>
        <v/>
      </c>
      <c r="KE36" s="218">
        <f>IF(287&lt;TaxOpStartMonth,0,IF(287&lt;StabMonth,MAX(0,KE$35*12)/EntryCapRate*EffTaxRateOnValue/12,IF(TaxMethodValue&gt;=1,TaxYear1*(1+GrowthTax)^(MAX(0,(287-StabMonth)/12))/12,MAX(0,KE$35*12)/EntryCapRate*EffTaxRateOnValue/12)))</f>
        <v/>
      </c>
      <c r="KF36" s="218">
        <f>IF(288&lt;TaxOpStartMonth,0,IF(288&lt;StabMonth,MAX(0,KF$35*12)/EntryCapRate*EffTaxRateOnValue/12,IF(TaxMethodValue&gt;=1,TaxYear1*(1+GrowthTax)^(MAX(0,(288-StabMonth)/12))/12,MAX(0,KF$35*12)/EntryCapRate*EffTaxRateOnValue/12)))</f>
        <v/>
      </c>
      <c r="KG36" s="218">
        <f>IF(289&lt;TaxOpStartMonth,0,IF(289&lt;StabMonth,MAX(0,KG$35*12)/EntryCapRate*EffTaxRateOnValue/12,IF(TaxMethodValue&gt;=1,TaxYear1*(1+GrowthTax)^(MAX(0,(289-StabMonth)/12))/12,MAX(0,KG$35*12)/EntryCapRate*EffTaxRateOnValue/12)))</f>
        <v/>
      </c>
      <c r="KH36" s="218">
        <f>IF(290&lt;TaxOpStartMonth,0,IF(290&lt;StabMonth,MAX(0,KH$35*12)/EntryCapRate*EffTaxRateOnValue/12,IF(TaxMethodValue&gt;=1,TaxYear1*(1+GrowthTax)^(MAX(0,(290-StabMonth)/12))/12,MAX(0,KH$35*12)/EntryCapRate*EffTaxRateOnValue/12)))</f>
        <v/>
      </c>
      <c r="KI36" s="218">
        <f>IF(291&lt;TaxOpStartMonth,0,IF(291&lt;StabMonth,MAX(0,KI$35*12)/EntryCapRate*EffTaxRateOnValue/12,IF(TaxMethodValue&gt;=1,TaxYear1*(1+GrowthTax)^(MAX(0,(291-StabMonth)/12))/12,MAX(0,KI$35*12)/EntryCapRate*EffTaxRateOnValue/12)))</f>
        <v/>
      </c>
      <c r="KJ36" s="218">
        <f>IF(292&lt;TaxOpStartMonth,0,IF(292&lt;StabMonth,MAX(0,KJ$35*12)/EntryCapRate*EffTaxRateOnValue/12,IF(TaxMethodValue&gt;=1,TaxYear1*(1+GrowthTax)^(MAX(0,(292-StabMonth)/12))/12,MAX(0,KJ$35*12)/EntryCapRate*EffTaxRateOnValue/12)))</f>
        <v/>
      </c>
      <c r="KK36" s="218">
        <f>IF(293&lt;TaxOpStartMonth,0,IF(293&lt;StabMonth,MAX(0,KK$35*12)/EntryCapRate*EffTaxRateOnValue/12,IF(TaxMethodValue&gt;=1,TaxYear1*(1+GrowthTax)^(MAX(0,(293-StabMonth)/12))/12,MAX(0,KK$35*12)/EntryCapRate*EffTaxRateOnValue/12)))</f>
        <v/>
      </c>
      <c r="KL36" s="218">
        <f>IF(294&lt;TaxOpStartMonth,0,IF(294&lt;StabMonth,MAX(0,KL$35*12)/EntryCapRate*EffTaxRateOnValue/12,IF(TaxMethodValue&gt;=1,TaxYear1*(1+GrowthTax)^(MAX(0,(294-StabMonth)/12))/12,MAX(0,KL$35*12)/EntryCapRate*EffTaxRateOnValue/12)))</f>
        <v/>
      </c>
      <c r="KM36" s="218">
        <f>IF(295&lt;TaxOpStartMonth,0,IF(295&lt;StabMonth,MAX(0,KM$35*12)/EntryCapRate*EffTaxRateOnValue/12,IF(TaxMethodValue&gt;=1,TaxYear1*(1+GrowthTax)^(MAX(0,(295-StabMonth)/12))/12,MAX(0,KM$35*12)/EntryCapRate*EffTaxRateOnValue/12)))</f>
        <v/>
      </c>
      <c r="KN36" s="218">
        <f>IF(296&lt;TaxOpStartMonth,0,IF(296&lt;StabMonth,MAX(0,KN$35*12)/EntryCapRate*EffTaxRateOnValue/12,IF(TaxMethodValue&gt;=1,TaxYear1*(1+GrowthTax)^(MAX(0,(296-StabMonth)/12))/12,MAX(0,KN$35*12)/EntryCapRate*EffTaxRateOnValue/12)))</f>
        <v/>
      </c>
      <c r="KO36" s="218">
        <f>IF(297&lt;TaxOpStartMonth,0,IF(297&lt;StabMonth,MAX(0,KO$35*12)/EntryCapRate*EffTaxRateOnValue/12,IF(TaxMethodValue&gt;=1,TaxYear1*(1+GrowthTax)^(MAX(0,(297-StabMonth)/12))/12,MAX(0,KO$35*12)/EntryCapRate*EffTaxRateOnValue/12)))</f>
        <v/>
      </c>
      <c r="KP36" s="218">
        <f>IF(298&lt;TaxOpStartMonth,0,IF(298&lt;StabMonth,MAX(0,KP$35*12)/EntryCapRate*EffTaxRateOnValue/12,IF(TaxMethodValue&gt;=1,TaxYear1*(1+GrowthTax)^(MAX(0,(298-StabMonth)/12))/12,MAX(0,KP$35*12)/EntryCapRate*EffTaxRateOnValue/12)))</f>
        <v/>
      </c>
      <c r="KQ36" s="218">
        <f>IF(299&lt;TaxOpStartMonth,0,IF(299&lt;StabMonth,MAX(0,KQ$35*12)/EntryCapRate*EffTaxRateOnValue/12,IF(TaxMethodValue&gt;=1,TaxYear1*(1+GrowthTax)^(MAX(0,(299-StabMonth)/12))/12,MAX(0,KQ$35*12)/EntryCapRate*EffTaxRateOnValue/12)))</f>
        <v/>
      </c>
      <c r="KR36" s="218">
        <f>IF(300&lt;TaxOpStartMonth,0,IF(300&lt;StabMonth,MAX(0,KR$35*12)/EntryCapRate*EffTaxRateOnValue/12,IF(TaxMethodValue&gt;=1,TaxYear1*(1+GrowthTax)^(MAX(0,(300-StabMonth)/12))/12,MAX(0,KR$35*12)/EntryCapRate*EffTaxRateOnValue/12)))</f>
        <v/>
      </c>
      <c r="KS36" s="218">
        <f>IF(301&lt;TaxOpStartMonth,0,IF(301&lt;StabMonth,MAX(0,KS$35*12)/EntryCapRate*EffTaxRateOnValue/12,IF(TaxMethodValue&gt;=1,TaxYear1*(1+GrowthTax)^(MAX(0,(301-StabMonth)/12))/12,MAX(0,KS$35*12)/EntryCapRate*EffTaxRateOnValue/12)))</f>
        <v/>
      </c>
      <c r="KT36" s="218">
        <f>IF(302&lt;TaxOpStartMonth,0,IF(302&lt;StabMonth,MAX(0,KT$35*12)/EntryCapRate*EffTaxRateOnValue/12,IF(TaxMethodValue&gt;=1,TaxYear1*(1+GrowthTax)^(MAX(0,(302-StabMonth)/12))/12,MAX(0,KT$35*12)/EntryCapRate*EffTaxRateOnValue/12)))</f>
        <v/>
      </c>
      <c r="KU36" s="218">
        <f>IF(303&lt;TaxOpStartMonth,0,IF(303&lt;StabMonth,MAX(0,KU$35*12)/EntryCapRate*EffTaxRateOnValue/12,IF(TaxMethodValue&gt;=1,TaxYear1*(1+GrowthTax)^(MAX(0,(303-StabMonth)/12))/12,MAX(0,KU$35*12)/EntryCapRate*EffTaxRateOnValue/12)))</f>
        <v/>
      </c>
      <c r="KV36" s="218">
        <f>IF(304&lt;TaxOpStartMonth,0,IF(304&lt;StabMonth,MAX(0,KV$35*12)/EntryCapRate*EffTaxRateOnValue/12,IF(TaxMethodValue&gt;=1,TaxYear1*(1+GrowthTax)^(MAX(0,(304-StabMonth)/12))/12,MAX(0,KV$35*12)/EntryCapRate*EffTaxRateOnValue/12)))</f>
        <v/>
      </c>
      <c r="KW36" s="218">
        <f>IF(305&lt;TaxOpStartMonth,0,IF(305&lt;StabMonth,MAX(0,KW$35*12)/EntryCapRate*EffTaxRateOnValue/12,IF(TaxMethodValue&gt;=1,TaxYear1*(1+GrowthTax)^(MAX(0,(305-StabMonth)/12))/12,MAX(0,KW$35*12)/EntryCapRate*EffTaxRateOnValue/12)))</f>
        <v/>
      </c>
      <c r="KX36" s="218">
        <f>IF(306&lt;TaxOpStartMonth,0,IF(306&lt;StabMonth,MAX(0,KX$35*12)/EntryCapRate*EffTaxRateOnValue/12,IF(TaxMethodValue&gt;=1,TaxYear1*(1+GrowthTax)^(MAX(0,(306-StabMonth)/12))/12,MAX(0,KX$35*12)/EntryCapRate*EffTaxRateOnValue/12)))</f>
        <v/>
      </c>
      <c r="KY36" s="218">
        <f>IF(307&lt;TaxOpStartMonth,0,IF(307&lt;StabMonth,MAX(0,KY$35*12)/EntryCapRate*EffTaxRateOnValue/12,IF(TaxMethodValue&gt;=1,TaxYear1*(1+GrowthTax)^(MAX(0,(307-StabMonth)/12))/12,MAX(0,KY$35*12)/EntryCapRate*EffTaxRateOnValue/12)))</f>
        <v/>
      </c>
      <c r="KZ36" s="218">
        <f>IF(308&lt;TaxOpStartMonth,0,IF(308&lt;StabMonth,MAX(0,KZ$35*12)/EntryCapRate*EffTaxRateOnValue/12,IF(TaxMethodValue&gt;=1,TaxYear1*(1+GrowthTax)^(MAX(0,(308-StabMonth)/12))/12,MAX(0,KZ$35*12)/EntryCapRate*EffTaxRateOnValue/12)))</f>
        <v/>
      </c>
      <c r="LA36" s="218">
        <f>IF(309&lt;TaxOpStartMonth,0,IF(309&lt;StabMonth,MAX(0,LA$35*12)/EntryCapRate*EffTaxRateOnValue/12,IF(TaxMethodValue&gt;=1,TaxYear1*(1+GrowthTax)^(MAX(0,(309-StabMonth)/12))/12,MAX(0,LA$35*12)/EntryCapRate*EffTaxRateOnValue/12)))</f>
        <v/>
      </c>
      <c r="LB36" s="218">
        <f>IF(310&lt;TaxOpStartMonth,0,IF(310&lt;StabMonth,MAX(0,LB$35*12)/EntryCapRate*EffTaxRateOnValue/12,IF(TaxMethodValue&gt;=1,TaxYear1*(1+GrowthTax)^(MAX(0,(310-StabMonth)/12))/12,MAX(0,LB$35*12)/EntryCapRate*EffTaxRateOnValue/12)))</f>
        <v/>
      </c>
      <c r="LC36" s="218">
        <f>IF(311&lt;TaxOpStartMonth,0,IF(311&lt;StabMonth,MAX(0,LC$35*12)/EntryCapRate*EffTaxRateOnValue/12,IF(TaxMethodValue&gt;=1,TaxYear1*(1+GrowthTax)^(MAX(0,(311-StabMonth)/12))/12,MAX(0,LC$35*12)/EntryCapRate*EffTaxRateOnValue/12)))</f>
        <v/>
      </c>
      <c r="LD36" s="218">
        <f>IF(312&lt;TaxOpStartMonth,0,IF(312&lt;StabMonth,MAX(0,LD$35*12)/EntryCapRate*EffTaxRateOnValue/12,IF(TaxMethodValue&gt;=1,TaxYear1*(1+GrowthTax)^(MAX(0,(312-StabMonth)/12))/12,MAX(0,LD$35*12)/EntryCapRate*EffTaxRateOnValue/12)))</f>
        <v/>
      </c>
      <c r="LE36" s="218">
        <f>IF(313&lt;TaxOpStartMonth,0,IF(313&lt;StabMonth,MAX(0,LE$35*12)/EntryCapRate*EffTaxRateOnValue/12,IF(TaxMethodValue&gt;=1,TaxYear1*(1+GrowthTax)^(MAX(0,(313-StabMonth)/12))/12,MAX(0,LE$35*12)/EntryCapRate*EffTaxRateOnValue/12)))</f>
        <v/>
      </c>
      <c r="LF36" s="218">
        <f>IF(314&lt;TaxOpStartMonth,0,IF(314&lt;StabMonth,MAX(0,LF$35*12)/EntryCapRate*EffTaxRateOnValue/12,IF(TaxMethodValue&gt;=1,TaxYear1*(1+GrowthTax)^(MAX(0,(314-StabMonth)/12))/12,MAX(0,LF$35*12)/EntryCapRate*EffTaxRateOnValue/12)))</f>
        <v/>
      </c>
      <c r="LG36" s="218">
        <f>IF(315&lt;TaxOpStartMonth,0,IF(315&lt;StabMonth,MAX(0,LG$35*12)/EntryCapRate*EffTaxRateOnValue/12,IF(TaxMethodValue&gt;=1,TaxYear1*(1+GrowthTax)^(MAX(0,(315-StabMonth)/12))/12,MAX(0,LG$35*12)/EntryCapRate*EffTaxRateOnValue/12)))</f>
        <v/>
      </c>
      <c r="LH36" s="218">
        <f>IF(316&lt;TaxOpStartMonth,0,IF(316&lt;StabMonth,MAX(0,LH$35*12)/EntryCapRate*EffTaxRateOnValue/12,IF(TaxMethodValue&gt;=1,TaxYear1*(1+GrowthTax)^(MAX(0,(316-StabMonth)/12))/12,MAX(0,LH$35*12)/EntryCapRate*EffTaxRateOnValue/12)))</f>
        <v/>
      </c>
      <c r="LI36" s="218">
        <f>IF(317&lt;TaxOpStartMonth,0,IF(317&lt;StabMonth,MAX(0,LI$35*12)/EntryCapRate*EffTaxRateOnValue/12,IF(TaxMethodValue&gt;=1,TaxYear1*(1+GrowthTax)^(MAX(0,(317-StabMonth)/12))/12,MAX(0,LI$35*12)/EntryCapRate*EffTaxRateOnValue/12)))</f>
        <v/>
      </c>
      <c r="LJ36" s="218">
        <f>IF(318&lt;TaxOpStartMonth,0,IF(318&lt;StabMonth,MAX(0,LJ$35*12)/EntryCapRate*EffTaxRateOnValue/12,IF(TaxMethodValue&gt;=1,TaxYear1*(1+GrowthTax)^(MAX(0,(318-StabMonth)/12))/12,MAX(0,LJ$35*12)/EntryCapRate*EffTaxRateOnValue/12)))</f>
        <v/>
      </c>
      <c r="LK36" s="218">
        <f>IF(319&lt;TaxOpStartMonth,0,IF(319&lt;StabMonth,MAX(0,LK$35*12)/EntryCapRate*EffTaxRateOnValue/12,IF(TaxMethodValue&gt;=1,TaxYear1*(1+GrowthTax)^(MAX(0,(319-StabMonth)/12))/12,MAX(0,LK$35*12)/EntryCapRate*EffTaxRateOnValue/12)))</f>
        <v/>
      </c>
      <c r="LL36" s="218">
        <f>IF(320&lt;TaxOpStartMonth,0,IF(320&lt;StabMonth,MAX(0,LL$35*12)/EntryCapRate*EffTaxRateOnValue/12,IF(TaxMethodValue&gt;=1,TaxYear1*(1+GrowthTax)^(MAX(0,(320-StabMonth)/12))/12,MAX(0,LL$35*12)/EntryCapRate*EffTaxRateOnValue/12)))</f>
        <v/>
      </c>
      <c r="LM36" s="218">
        <f>IF(321&lt;TaxOpStartMonth,0,IF(321&lt;StabMonth,MAX(0,LM$35*12)/EntryCapRate*EffTaxRateOnValue/12,IF(TaxMethodValue&gt;=1,TaxYear1*(1+GrowthTax)^(MAX(0,(321-StabMonth)/12))/12,MAX(0,LM$35*12)/EntryCapRate*EffTaxRateOnValue/12)))</f>
        <v/>
      </c>
      <c r="LN36" s="218">
        <f>IF(322&lt;TaxOpStartMonth,0,IF(322&lt;StabMonth,MAX(0,LN$35*12)/EntryCapRate*EffTaxRateOnValue/12,IF(TaxMethodValue&gt;=1,TaxYear1*(1+GrowthTax)^(MAX(0,(322-StabMonth)/12))/12,MAX(0,LN$35*12)/EntryCapRate*EffTaxRateOnValue/12)))</f>
        <v/>
      </c>
      <c r="LO36" s="218">
        <f>IF(323&lt;TaxOpStartMonth,0,IF(323&lt;StabMonth,MAX(0,LO$35*12)/EntryCapRate*EffTaxRateOnValue/12,IF(TaxMethodValue&gt;=1,TaxYear1*(1+GrowthTax)^(MAX(0,(323-StabMonth)/12))/12,MAX(0,LO$35*12)/EntryCapRate*EffTaxRateOnValue/12)))</f>
        <v/>
      </c>
      <c r="LP36" s="218">
        <f>IF(324&lt;TaxOpStartMonth,0,IF(324&lt;StabMonth,MAX(0,LP$35*12)/EntryCapRate*EffTaxRateOnValue/12,IF(TaxMethodValue&gt;=1,TaxYear1*(1+GrowthTax)^(MAX(0,(324-StabMonth)/12))/12,MAX(0,LP$35*12)/EntryCapRate*EffTaxRateOnValue/12)))</f>
        <v/>
      </c>
      <c r="LQ36" s="218">
        <f>IF(325&lt;TaxOpStartMonth,0,IF(325&lt;StabMonth,MAX(0,LQ$35*12)/EntryCapRate*EffTaxRateOnValue/12,IF(TaxMethodValue&gt;=1,TaxYear1*(1+GrowthTax)^(MAX(0,(325-StabMonth)/12))/12,MAX(0,LQ$35*12)/EntryCapRate*EffTaxRateOnValue/12)))</f>
        <v/>
      </c>
      <c r="LR36" s="218">
        <f>IF(326&lt;TaxOpStartMonth,0,IF(326&lt;StabMonth,MAX(0,LR$35*12)/EntryCapRate*EffTaxRateOnValue/12,IF(TaxMethodValue&gt;=1,TaxYear1*(1+GrowthTax)^(MAX(0,(326-StabMonth)/12))/12,MAX(0,LR$35*12)/EntryCapRate*EffTaxRateOnValue/12)))</f>
        <v/>
      </c>
      <c r="LS36" s="218">
        <f>IF(327&lt;TaxOpStartMonth,0,IF(327&lt;StabMonth,MAX(0,LS$35*12)/EntryCapRate*EffTaxRateOnValue/12,IF(TaxMethodValue&gt;=1,TaxYear1*(1+GrowthTax)^(MAX(0,(327-StabMonth)/12))/12,MAX(0,LS$35*12)/EntryCapRate*EffTaxRateOnValue/12)))</f>
        <v/>
      </c>
      <c r="LT36" s="218">
        <f>IF(328&lt;TaxOpStartMonth,0,IF(328&lt;StabMonth,MAX(0,LT$35*12)/EntryCapRate*EffTaxRateOnValue/12,IF(TaxMethodValue&gt;=1,TaxYear1*(1+GrowthTax)^(MAX(0,(328-StabMonth)/12))/12,MAX(0,LT$35*12)/EntryCapRate*EffTaxRateOnValue/12)))</f>
        <v/>
      </c>
      <c r="LU36" s="218">
        <f>IF(329&lt;TaxOpStartMonth,0,IF(329&lt;StabMonth,MAX(0,LU$35*12)/EntryCapRate*EffTaxRateOnValue/12,IF(TaxMethodValue&gt;=1,TaxYear1*(1+GrowthTax)^(MAX(0,(329-StabMonth)/12))/12,MAX(0,LU$35*12)/EntryCapRate*EffTaxRateOnValue/12)))</f>
        <v/>
      </c>
      <c r="LV36" s="218">
        <f>IF(330&lt;TaxOpStartMonth,0,IF(330&lt;StabMonth,MAX(0,LV$35*12)/EntryCapRate*EffTaxRateOnValue/12,IF(TaxMethodValue&gt;=1,TaxYear1*(1+GrowthTax)^(MAX(0,(330-StabMonth)/12))/12,MAX(0,LV$35*12)/EntryCapRate*EffTaxRateOnValue/12)))</f>
        <v/>
      </c>
      <c r="LW36" s="218">
        <f>IF(331&lt;TaxOpStartMonth,0,IF(331&lt;StabMonth,MAX(0,LW$35*12)/EntryCapRate*EffTaxRateOnValue/12,IF(TaxMethodValue&gt;=1,TaxYear1*(1+GrowthTax)^(MAX(0,(331-StabMonth)/12))/12,MAX(0,LW$35*12)/EntryCapRate*EffTaxRateOnValue/12)))</f>
        <v/>
      </c>
      <c r="LX36" s="218">
        <f>IF(332&lt;TaxOpStartMonth,0,IF(332&lt;StabMonth,MAX(0,LX$35*12)/EntryCapRate*EffTaxRateOnValue/12,IF(TaxMethodValue&gt;=1,TaxYear1*(1+GrowthTax)^(MAX(0,(332-StabMonth)/12))/12,MAX(0,LX$35*12)/EntryCapRate*EffTaxRateOnValue/12)))</f>
        <v/>
      </c>
      <c r="LY36" s="218">
        <f>IF(333&lt;TaxOpStartMonth,0,IF(333&lt;StabMonth,MAX(0,LY$35*12)/EntryCapRate*EffTaxRateOnValue/12,IF(TaxMethodValue&gt;=1,TaxYear1*(1+GrowthTax)^(MAX(0,(333-StabMonth)/12))/12,MAX(0,LY$35*12)/EntryCapRate*EffTaxRateOnValue/12)))</f>
        <v/>
      </c>
      <c r="LZ36" s="218">
        <f>IF(334&lt;TaxOpStartMonth,0,IF(334&lt;StabMonth,MAX(0,LZ$35*12)/EntryCapRate*EffTaxRateOnValue/12,IF(TaxMethodValue&gt;=1,TaxYear1*(1+GrowthTax)^(MAX(0,(334-StabMonth)/12))/12,MAX(0,LZ$35*12)/EntryCapRate*EffTaxRateOnValue/12)))</f>
        <v/>
      </c>
      <c r="MA36" s="218">
        <f>IF(335&lt;TaxOpStartMonth,0,IF(335&lt;StabMonth,MAX(0,MA$35*12)/EntryCapRate*EffTaxRateOnValue/12,IF(TaxMethodValue&gt;=1,TaxYear1*(1+GrowthTax)^(MAX(0,(335-StabMonth)/12))/12,MAX(0,MA$35*12)/EntryCapRate*EffTaxRateOnValue/12)))</f>
        <v/>
      </c>
      <c r="MB36" s="218">
        <f>IF(336&lt;TaxOpStartMonth,0,IF(336&lt;StabMonth,MAX(0,MB$35*12)/EntryCapRate*EffTaxRateOnValue/12,IF(TaxMethodValue&gt;=1,TaxYear1*(1+GrowthTax)^(MAX(0,(336-StabMonth)/12))/12,MAX(0,MB$35*12)/EntryCapRate*EffTaxRateOnValue/12)))</f>
        <v/>
      </c>
      <c r="MC36" s="218">
        <f>IF(337&lt;TaxOpStartMonth,0,IF(337&lt;StabMonth,MAX(0,MC$35*12)/EntryCapRate*EffTaxRateOnValue/12,IF(TaxMethodValue&gt;=1,TaxYear1*(1+GrowthTax)^(MAX(0,(337-StabMonth)/12))/12,MAX(0,MC$35*12)/EntryCapRate*EffTaxRateOnValue/12)))</f>
        <v/>
      </c>
      <c r="MD36" s="218">
        <f>IF(338&lt;TaxOpStartMonth,0,IF(338&lt;StabMonth,MAX(0,MD$35*12)/EntryCapRate*EffTaxRateOnValue/12,IF(TaxMethodValue&gt;=1,TaxYear1*(1+GrowthTax)^(MAX(0,(338-StabMonth)/12))/12,MAX(0,MD$35*12)/EntryCapRate*EffTaxRateOnValue/12)))</f>
        <v/>
      </c>
      <c r="ME36" s="218">
        <f>IF(339&lt;TaxOpStartMonth,0,IF(339&lt;StabMonth,MAX(0,ME$35*12)/EntryCapRate*EffTaxRateOnValue/12,IF(TaxMethodValue&gt;=1,TaxYear1*(1+GrowthTax)^(MAX(0,(339-StabMonth)/12))/12,MAX(0,ME$35*12)/EntryCapRate*EffTaxRateOnValue/12)))</f>
        <v/>
      </c>
      <c r="MF36" s="218">
        <f>IF(340&lt;TaxOpStartMonth,0,IF(340&lt;StabMonth,MAX(0,MF$35*12)/EntryCapRate*EffTaxRateOnValue/12,IF(TaxMethodValue&gt;=1,TaxYear1*(1+GrowthTax)^(MAX(0,(340-StabMonth)/12))/12,MAX(0,MF$35*12)/EntryCapRate*EffTaxRateOnValue/12)))</f>
        <v/>
      </c>
      <c r="MG36" s="218">
        <f>IF(341&lt;TaxOpStartMonth,0,IF(341&lt;StabMonth,MAX(0,MG$35*12)/EntryCapRate*EffTaxRateOnValue/12,IF(TaxMethodValue&gt;=1,TaxYear1*(1+GrowthTax)^(MAX(0,(341-StabMonth)/12))/12,MAX(0,MG$35*12)/EntryCapRate*EffTaxRateOnValue/12)))</f>
        <v/>
      </c>
      <c r="MH36" s="218">
        <f>IF(342&lt;TaxOpStartMonth,0,IF(342&lt;StabMonth,MAX(0,MH$35*12)/EntryCapRate*EffTaxRateOnValue/12,IF(TaxMethodValue&gt;=1,TaxYear1*(1+GrowthTax)^(MAX(0,(342-StabMonth)/12))/12,MAX(0,MH$35*12)/EntryCapRate*EffTaxRateOnValue/12)))</f>
        <v/>
      </c>
      <c r="MI36" s="218">
        <f>IF(343&lt;TaxOpStartMonth,0,IF(343&lt;StabMonth,MAX(0,MI$35*12)/EntryCapRate*EffTaxRateOnValue/12,IF(TaxMethodValue&gt;=1,TaxYear1*(1+GrowthTax)^(MAX(0,(343-StabMonth)/12))/12,MAX(0,MI$35*12)/EntryCapRate*EffTaxRateOnValue/12)))</f>
        <v/>
      </c>
      <c r="MJ36" s="218">
        <f>IF(344&lt;TaxOpStartMonth,0,IF(344&lt;StabMonth,MAX(0,MJ$35*12)/EntryCapRate*EffTaxRateOnValue/12,IF(TaxMethodValue&gt;=1,TaxYear1*(1+GrowthTax)^(MAX(0,(344-StabMonth)/12))/12,MAX(0,MJ$35*12)/EntryCapRate*EffTaxRateOnValue/12)))</f>
        <v/>
      </c>
      <c r="MK36" s="218">
        <f>IF(345&lt;TaxOpStartMonth,0,IF(345&lt;StabMonth,MAX(0,MK$35*12)/EntryCapRate*EffTaxRateOnValue/12,IF(TaxMethodValue&gt;=1,TaxYear1*(1+GrowthTax)^(MAX(0,(345-StabMonth)/12))/12,MAX(0,MK$35*12)/EntryCapRate*EffTaxRateOnValue/12)))</f>
        <v/>
      </c>
      <c r="ML36" s="218">
        <f>IF(346&lt;TaxOpStartMonth,0,IF(346&lt;StabMonth,MAX(0,ML$35*12)/EntryCapRate*EffTaxRateOnValue/12,IF(TaxMethodValue&gt;=1,TaxYear1*(1+GrowthTax)^(MAX(0,(346-StabMonth)/12))/12,MAX(0,ML$35*12)/EntryCapRate*EffTaxRateOnValue/12)))</f>
        <v/>
      </c>
      <c r="MM36" s="218">
        <f>IF(347&lt;TaxOpStartMonth,0,IF(347&lt;StabMonth,MAX(0,MM$35*12)/EntryCapRate*EffTaxRateOnValue/12,IF(TaxMethodValue&gt;=1,TaxYear1*(1+GrowthTax)^(MAX(0,(347-StabMonth)/12))/12,MAX(0,MM$35*12)/EntryCapRate*EffTaxRateOnValue/12)))</f>
        <v/>
      </c>
      <c r="MN36" s="218">
        <f>IF(348&lt;TaxOpStartMonth,0,IF(348&lt;StabMonth,MAX(0,MN$35*12)/EntryCapRate*EffTaxRateOnValue/12,IF(TaxMethodValue&gt;=1,TaxYear1*(1+GrowthTax)^(MAX(0,(348-StabMonth)/12))/12,MAX(0,MN$35*12)/EntryCapRate*EffTaxRateOnValue/12)))</f>
        <v/>
      </c>
      <c r="MO36" s="218">
        <f>IF(349&lt;TaxOpStartMonth,0,IF(349&lt;StabMonth,MAX(0,MO$35*12)/EntryCapRate*EffTaxRateOnValue/12,IF(TaxMethodValue&gt;=1,TaxYear1*(1+GrowthTax)^(MAX(0,(349-StabMonth)/12))/12,MAX(0,MO$35*12)/EntryCapRate*EffTaxRateOnValue/12)))</f>
        <v/>
      </c>
      <c r="MP36" s="218">
        <f>IF(350&lt;TaxOpStartMonth,0,IF(350&lt;StabMonth,MAX(0,MP$35*12)/EntryCapRate*EffTaxRateOnValue/12,IF(TaxMethodValue&gt;=1,TaxYear1*(1+GrowthTax)^(MAX(0,(350-StabMonth)/12))/12,MAX(0,MP$35*12)/EntryCapRate*EffTaxRateOnValue/12)))</f>
        <v/>
      </c>
      <c r="MQ36" s="218">
        <f>IF(351&lt;TaxOpStartMonth,0,IF(351&lt;StabMonth,MAX(0,MQ$35*12)/EntryCapRate*EffTaxRateOnValue/12,IF(TaxMethodValue&gt;=1,TaxYear1*(1+GrowthTax)^(MAX(0,(351-StabMonth)/12))/12,MAX(0,MQ$35*12)/EntryCapRate*EffTaxRateOnValue/12)))</f>
        <v/>
      </c>
      <c r="MR36" s="218">
        <f>IF(352&lt;TaxOpStartMonth,0,IF(352&lt;StabMonth,MAX(0,MR$35*12)/EntryCapRate*EffTaxRateOnValue/12,IF(TaxMethodValue&gt;=1,TaxYear1*(1+GrowthTax)^(MAX(0,(352-StabMonth)/12))/12,MAX(0,MR$35*12)/EntryCapRate*EffTaxRateOnValue/12)))</f>
        <v/>
      </c>
      <c r="MS36" s="218">
        <f>IF(353&lt;TaxOpStartMonth,0,IF(353&lt;StabMonth,MAX(0,MS$35*12)/EntryCapRate*EffTaxRateOnValue/12,IF(TaxMethodValue&gt;=1,TaxYear1*(1+GrowthTax)^(MAX(0,(353-StabMonth)/12))/12,MAX(0,MS$35*12)/EntryCapRate*EffTaxRateOnValue/12)))</f>
        <v/>
      </c>
      <c r="MT36" s="218">
        <f>IF(354&lt;TaxOpStartMonth,0,IF(354&lt;StabMonth,MAX(0,MT$35*12)/EntryCapRate*EffTaxRateOnValue/12,IF(TaxMethodValue&gt;=1,TaxYear1*(1+GrowthTax)^(MAX(0,(354-StabMonth)/12))/12,MAX(0,MT$35*12)/EntryCapRate*EffTaxRateOnValue/12)))</f>
        <v/>
      </c>
      <c r="MU36" s="218">
        <f>IF(355&lt;TaxOpStartMonth,0,IF(355&lt;StabMonth,MAX(0,MU$35*12)/EntryCapRate*EffTaxRateOnValue/12,IF(TaxMethodValue&gt;=1,TaxYear1*(1+GrowthTax)^(MAX(0,(355-StabMonth)/12))/12,MAX(0,MU$35*12)/EntryCapRate*EffTaxRateOnValue/12)))</f>
        <v/>
      </c>
      <c r="MV36" s="218">
        <f>IF(356&lt;TaxOpStartMonth,0,IF(356&lt;StabMonth,MAX(0,MV$35*12)/EntryCapRate*EffTaxRateOnValue/12,IF(TaxMethodValue&gt;=1,TaxYear1*(1+GrowthTax)^(MAX(0,(356-StabMonth)/12))/12,MAX(0,MV$35*12)/EntryCapRate*EffTaxRateOnValue/12)))</f>
        <v/>
      </c>
      <c r="MW36" s="218">
        <f>IF(357&lt;TaxOpStartMonth,0,IF(357&lt;StabMonth,MAX(0,MW$35*12)/EntryCapRate*EffTaxRateOnValue/12,IF(TaxMethodValue&gt;=1,TaxYear1*(1+GrowthTax)^(MAX(0,(357-StabMonth)/12))/12,MAX(0,MW$35*12)/EntryCapRate*EffTaxRateOnValue/12)))</f>
        <v/>
      </c>
      <c r="MX36" s="218">
        <f>IF(358&lt;TaxOpStartMonth,0,IF(358&lt;StabMonth,MAX(0,MX$35*12)/EntryCapRate*EffTaxRateOnValue/12,IF(TaxMethodValue&gt;=1,TaxYear1*(1+GrowthTax)^(MAX(0,(358-StabMonth)/12))/12,MAX(0,MX$35*12)/EntryCapRate*EffTaxRateOnValue/12)))</f>
        <v/>
      </c>
      <c r="MY36" s="218">
        <f>IF(359&lt;TaxOpStartMonth,0,IF(359&lt;StabMonth,MAX(0,MY$35*12)/EntryCapRate*EffTaxRateOnValue/12,IF(TaxMethodValue&gt;=1,TaxYear1*(1+GrowthTax)^(MAX(0,(359-StabMonth)/12))/12,MAX(0,MY$35*12)/EntryCapRate*EffTaxRateOnValue/12)))</f>
        <v/>
      </c>
      <c r="MZ36" s="218">
        <f>IF(360&lt;TaxOpStartMonth,0,IF(360&lt;StabMonth,MAX(0,MZ$35*12)/EntryCapRate*EffTaxRateOnValue/12,IF(TaxMethodValue&gt;=1,TaxYear1*(1+GrowthTax)^(MAX(0,(360-StabMonth)/12))/12,MAX(0,MZ$35*12)/EntryCapRate*EffTaxRateOnValue/12)))</f>
        <v/>
      </c>
      <c r="NA36" s="218">
        <f>IF(361&lt;TaxOpStartMonth,0,IF(361&lt;StabMonth,MAX(0,NA$35*12)/EntryCapRate*EffTaxRateOnValue/12,IF(TaxMethodValue&gt;=1,TaxYear1*(1+GrowthTax)^(MAX(0,(361-StabMonth)/12))/12,MAX(0,NA$35*12)/EntryCapRate*EffTaxRateOnValue/12)))</f>
        <v/>
      </c>
      <c r="NB36" s="218">
        <f>IF(362&lt;TaxOpStartMonth,0,IF(362&lt;StabMonth,MAX(0,NB$35*12)/EntryCapRate*EffTaxRateOnValue/12,IF(TaxMethodValue&gt;=1,TaxYear1*(1+GrowthTax)^(MAX(0,(362-StabMonth)/12))/12,MAX(0,NB$35*12)/EntryCapRate*EffTaxRateOnValue/12)))</f>
        <v/>
      </c>
      <c r="NC36" s="218">
        <f>IF(363&lt;TaxOpStartMonth,0,IF(363&lt;StabMonth,MAX(0,NC$35*12)/EntryCapRate*EffTaxRateOnValue/12,IF(TaxMethodValue&gt;=1,TaxYear1*(1+GrowthTax)^(MAX(0,(363-StabMonth)/12))/12,MAX(0,NC$35*12)/EntryCapRate*EffTaxRateOnValue/12)))</f>
        <v/>
      </c>
      <c r="ND36" s="218">
        <f>IF(364&lt;TaxOpStartMonth,0,IF(364&lt;StabMonth,MAX(0,ND$35*12)/EntryCapRate*EffTaxRateOnValue/12,IF(TaxMethodValue&gt;=1,TaxYear1*(1+GrowthTax)^(MAX(0,(364-StabMonth)/12))/12,MAX(0,ND$35*12)/EntryCapRate*EffTaxRateOnValue/12)))</f>
        <v/>
      </c>
      <c r="NE36" s="218">
        <f>IF(365&lt;TaxOpStartMonth,0,IF(365&lt;StabMonth,MAX(0,NE$35*12)/EntryCapRate*EffTaxRateOnValue/12,IF(TaxMethodValue&gt;=1,TaxYear1*(1+GrowthTax)^(MAX(0,(365-StabMonth)/12))/12,MAX(0,NE$35*12)/EntryCapRate*EffTaxRateOnValue/12)))</f>
        <v/>
      </c>
      <c r="NF36" s="218">
        <f>IF(366&lt;TaxOpStartMonth,0,IF(366&lt;StabMonth,MAX(0,NF$35*12)/EntryCapRate*EffTaxRateOnValue/12,IF(TaxMethodValue&gt;=1,TaxYear1*(1+GrowthTax)^(MAX(0,(366-StabMonth)/12))/12,MAX(0,NF$35*12)/EntryCapRate*EffTaxRateOnValue/12)))</f>
        <v/>
      </c>
      <c r="NG36" s="218">
        <f>IF(367&lt;TaxOpStartMonth,0,IF(367&lt;StabMonth,MAX(0,NG$35*12)/EntryCapRate*EffTaxRateOnValue/12,IF(TaxMethodValue&gt;=1,TaxYear1*(1+GrowthTax)^(MAX(0,(367-StabMonth)/12))/12,MAX(0,NG$35*12)/EntryCapRate*EffTaxRateOnValue/12)))</f>
        <v/>
      </c>
      <c r="NH36" s="218">
        <f>IF(368&lt;TaxOpStartMonth,0,IF(368&lt;StabMonth,MAX(0,NH$35*12)/EntryCapRate*EffTaxRateOnValue/12,IF(TaxMethodValue&gt;=1,TaxYear1*(1+GrowthTax)^(MAX(0,(368-StabMonth)/12))/12,MAX(0,NH$35*12)/EntryCapRate*EffTaxRateOnValue/12)))</f>
        <v/>
      </c>
      <c r="NI36" s="218">
        <f>IF(369&lt;TaxOpStartMonth,0,IF(369&lt;StabMonth,MAX(0,NI$35*12)/EntryCapRate*EffTaxRateOnValue/12,IF(TaxMethodValue&gt;=1,TaxYear1*(1+GrowthTax)^(MAX(0,(369-StabMonth)/12))/12,MAX(0,NI$35*12)/EntryCapRate*EffTaxRateOnValue/12)))</f>
        <v/>
      </c>
      <c r="NJ36" s="218">
        <f>IF(370&lt;TaxOpStartMonth,0,IF(370&lt;StabMonth,MAX(0,NJ$35*12)/EntryCapRate*EffTaxRateOnValue/12,IF(TaxMethodValue&gt;=1,TaxYear1*(1+GrowthTax)^(MAX(0,(370-StabMonth)/12))/12,MAX(0,NJ$35*12)/EntryCapRate*EffTaxRateOnValue/12)))</f>
        <v/>
      </c>
      <c r="NK36" s="218">
        <f>IF(371&lt;TaxOpStartMonth,0,IF(371&lt;StabMonth,MAX(0,NK$35*12)/EntryCapRate*EffTaxRateOnValue/12,IF(TaxMethodValue&gt;=1,TaxYear1*(1+GrowthTax)^(MAX(0,(371-StabMonth)/12))/12,MAX(0,NK$35*12)/EntryCapRate*EffTaxRateOnValue/12)))</f>
        <v/>
      </c>
      <c r="NL36" s="225">
        <f>IF(372&lt;TaxOpStartMonth,0,IF(372&lt;StabMonth,MAX(0,NL$35*12)/EntryCapRate*EffTaxRateOnValue/12,IF(TaxMethodValue&gt;=1,TaxYear1*(1+GrowthTax)^(MAX(0,(372-StabMonth)/12))/12,MAX(0,NL$35*12)/EntryCapRate*EffTaxRateOnValue/12)))</f>
        <v/>
      </c>
    </row>
    <row r="37">
      <c r="B37" s="50" t="inlineStr">
        <is>
          <t>Total Operating Expenses</t>
        </is>
      </c>
      <c r="D37" s="266">
        <f>SUM(E37:NL37)</f>
        <v/>
      </c>
      <c r="E37" s="267">
        <f>E$34+E$36</f>
        <v/>
      </c>
      <c r="F37" s="267">
        <f>F$34+F$36</f>
        <v/>
      </c>
      <c r="G37" s="267">
        <f>G$34+G$36</f>
        <v/>
      </c>
      <c r="H37" s="267">
        <f>H$34+H$36</f>
        <v/>
      </c>
      <c r="I37" s="267">
        <f>I$34+I$36</f>
        <v/>
      </c>
      <c r="J37" s="267">
        <f>J$34+J$36</f>
        <v/>
      </c>
      <c r="K37" s="267">
        <f>K$34+K$36</f>
        <v/>
      </c>
      <c r="L37" s="267">
        <f>L$34+L$36</f>
        <v/>
      </c>
      <c r="M37" s="267">
        <f>M$34+M$36</f>
        <v/>
      </c>
      <c r="N37" s="267">
        <f>N$34+N$36</f>
        <v/>
      </c>
      <c r="O37" s="267">
        <f>O$34+O$36</f>
        <v/>
      </c>
      <c r="P37" s="267">
        <f>P$34+P$36</f>
        <v/>
      </c>
      <c r="Q37" s="267">
        <f>Q$34+Q$36</f>
        <v/>
      </c>
      <c r="R37" s="267">
        <f>R$34+R$36</f>
        <v/>
      </c>
      <c r="S37" s="267">
        <f>S$34+S$36</f>
        <v/>
      </c>
      <c r="T37" s="267">
        <f>T$34+T$36</f>
        <v/>
      </c>
      <c r="U37" s="267">
        <f>U$34+U$36</f>
        <v/>
      </c>
      <c r="V37" s="267">
        <f>V$34+V$36</f>
        <v/>
      </c>
      <c r="W37" s="267">
        <f>W$34+W$36</f>
        <v/>
      </c>
      <c r="X37" s="267">
        <f>X$34+X$36</f>
        <v/>
      </c>
      <c r="Y37" s="267">
        <f>Y$34+Y$36</f>
        <v/>
      </c>
      <c r="Z37" s="267">
        <f>Z$34+Z$36</f>
        <v/>
      </c>
      <c r="AA37" s="267">
        <f>AA$34+AA$36</f>
        <v/>
      </c>
      <c r="AB37" s="267">
        <f>AB$34+AB$36</f>
        <v/>
      </c>
      <c r="AC37" s="267">
        <f>AC$34+AC$36</f>
        <v/>
      </c>
      <c r="AD37" s="267">
        <f>AD$34+AD$36</f>
        <v/>
      </c>
      <c r="AE37" s="267">
        <f>AE$34+AE$36</f>
        <v/>
      </c>
      <c r="AF37" s="267">
        <f>AF$34+AF$36</f>
        <v/>
      </c>
      <c r="AG37" s="267">
        <f>AG$34+AG$36</f>
        <v/>
      </c>
      <c r="AH37" s="267">
        <f>AH$34+AH$36</f>
        <v/>
      </c>
      <c r="AI37" s="267">
        <f>AI$34+AI$36</f>
        <v/>
      </c>
      <c r="AJ37" s="267">
        <f>AJ$34+AJ$36</f>
        <v/>
      </c>
      <c r="AK37" s="267">
        <f>AK$34+AK$36</f>
        <v/>
      </c>
      <c r="AL37" s="267">
        <f>AL$34+AL$36</f>
        <v/>
      </c>
      <c r="AM37" s="267">
        <f>AM$34+AM$36</f>
        <v/>
      </c>
      <c r="AN37" s="267">
        <f>AN$34+AN$36</f>
        <v/>
      </c>
      <c r="AO37" s="267">
        <f>AO$34+AO$36</f>
        <v/>
      </c>
      <c r="AP37" s="267">
        <f>AP$34+AP$36</f>
        <v/>
      </c>
      <c r="AQ37" s="267">
        <f>AQ$34+AQ$36</f>
        <v/>
      </c>
      <c r="AR37" s="267">
        <f>AR$34+AR$36</f>
        <v/>
      </c>
      <c r="AS37" s="267">
        <f>AS$34+AS$36</f>
        <v/>
      </c>
      <c r="AT37" s="267">
        <f>AT$34+AT$36</f>
        <v/>
      </c>
      <c r="AU37" s="267">
        <f>AU$34+AU$36</f>
        <v/>
      </c>
      <c r="AV37" s="267">
        <f>AV$34+AV$36</f>
        <v/>
      </c>
      <c r="AW37" s="267">
        <f>AW$34+AW$36</f>
        <v/>
      </c>
      <c r="AX37" s="267">
        <f>AX$34+AX$36</f>
        <v/>
      </c>
      <c r="AY37" s="267">
        <f>AY$34+AY$36</f>
        <v/>
      </c>
      <c r="AZ37" s="267">
        <f>AZ$34+AZ$36</f>
        <v/>
      </c>
      <c r="BA37" s="267">
        <f>BA$34+BA$36</f>
        <v/>
      </c>
      <c r="BB37" s="267">
        <f>BB$34+BB$36</f>
        <v/>
      </c>
      <c r="BC37" s="267">
        <f>BC$34+BC$36</f>
        <v/>
      </c>
      <c r="BD37" s="267">
        <f>BD$34+BD$36</f>
        <v/>
      </c>
      <c r="BE37" s="267">
        <f>BE$34+BE$36</f>
        <v/>
      </c>
      <c r="BF37" s="267">
        <f>BF$34+BF$36</f>
        <v/>
      </c>
      <c r="BG37" s="267">
        <f>BG$34+BG$36</f>
        <v/>
      </c>
      <c r="BH37" s="267">
        <f>BH$34+BH$36</f>
        <v/>
      </c>
      <c r="BI37" s="267">
        <f>BI$34+BI$36</f>
        <v/>
      </c>
      <c r="BJ37" s="267">
        <f>BJ$34+BJ$36</f>
        <v/>
      </c>
      <c r="BK37" s="267">
        <f>BK$34+BK$36</f>
        <v/>
      </c>
      <c r="BL37" s="267">
        <f>BL$34+BL$36</f>
        <v/>
      </c>
      <c r="BM37" s="267">
        <f>BM$34+BM$36</f>
        <v/>
      </c>
      <c r="BN37" s="267">
        <f>BN$34+BN$36</f>
        <v/>
      </c>
      <c r="BO37" s="267">
        <f>BO$34+BO$36</f>
        <v/>
      </c>
      <c r="BP37" s="267">
        <f>BP$34+BP$36</f>
        <v/>
      </c>
      <c r="BQ37" s="267">
        <f>BQ$34+BQ$36</f>
        <v/>
      </c>
      <c r="BR37" s="267">
        <f>BR$34+BR$36</f>
        <v/>
      </c>
      <c r="BS37" s="267">
        <f>BS$34+BS$36</f>
        <v/>
      </c>
      <c r="BT37" s="267">
        <f>BT$34+BT$36</f>
        <v/>
      </c>
      <c r="BU37" s="267">
        <f>BU$34+BU$36</f>
        <v/>
      </c>
      <c r="BV37" s="267">
        <f>BV$34+BV$36</f>
        <v/>
      </c>
      <c r="BW37" s="267">
        <f>BW$34+BW$36</f>
        <v/>
      </c>
      <c r="BX37" s="267">
        <f>BX$34+BX$36</f>
        <v/>
      </c>
      <c r="BY37" s="267">
        <f>BY$34+BY$36</f>
        <v/>
      </c>
      <c r="BZ37" s="267">
        <f>BZ$34+BZ$36</f>
        <v/>
      </c>
      <c r="CA37" s="267">
        <f>CA$34+CA$36</f>
        <v/>
      </c>
      <c r="CB37" s="267">
        <f>CB$34+CB$36</f>
        <v/>
      </c>
      <c r="CC37" s="267">
        <f>CC$34+CC$36</f>
        <v/>
      </c>
      <c r="CD37" s="267">
        <f>CD$34+CD$36</f>
        <v/>
      </c>
      <c r="CE37" s="267">
        <f>CE$34+CE$36</f>
        <v/>
      </c>
      <c r="CF37" s="267">
        <f>CF$34+CF$36</f>
        <v/>
      </c>
      <c r="CG37" s="267">
        <f>CG$34+CG$36</f>
        <v/>
      </c>
      <c r="CH37" s="267">
        <f>CH$34+CH$36</f>
        <v/>
      </c>
      <c r="CI37" s="267">
        <f>CI$34+CI$36</f>
        <v/>
      </c>
      <c r="CJ37" s="267">
        <f>CJ$34+CJ$36</f>
        <v/>
      </c>
      <c r="CK37" s="267">
        <f>CK$34+CK$36</f>
        <v/>
      </c>
      <c r="CL37" s="267">
        <f>CL$34+CL$36</f>
        <v/>
      </c>
      <c r="CM37" s="267">
        <f>CM$34+CM$36</f>
        <v/>
      </c>
      <c r="CN37" s="267">
        <f>CN$34+CN$36</f>
        <v/>
      </c>
      <c r="CO37" s="267">
        <f>CO$34+CO$36</f>
        <v/>
      </c>
      <c r="CP37" s="267">
        <f>CP$34+CP$36</f>
        <v/>
      </c>
      <c r="CQ37" s="267">
        <f>CQ$34+CQ$36</f>
        <v/>
      </c>
      <c r="CR37" s="267">
        <f>CR$34+CR$36</f>
        <v/>
      </c>
      <c r="CS37" s="267">
        <f>CS$34+CS$36</f>
        <v/>
      </c>
      <c r="CT37" s="267">
        <f>CT$34+CT$36</f>
        <v/>
      </c>
      <c r="CU37" s="267">
        <f>CU$34+CU$36</f>
        <v/>
      </c>
      <c r="CV37" s="267">
        <f>CV$34+CV$36</f>
        <v/>
      </c>
      <c r="CW37" s="267">
        <f>CW$34+CW$36</f>
        <v/>
      </c>
      <c r="CX37" s="267">
        <f>CX$34+CX$36</f>
        <v/>
      </c>
      <c r="CY37" s="267">
        <f>CY$34+CY$36</f>
        <v/>
      </c>
      <c r="CZ37" s="267">
        <f>CZ$34+CZ$36</f>
        <v/>
      </c>
      <c r="DA37" s="267">
        <f>DA$34+DA$36</f>
        <v/>
      </c>
      <c r="DB37" s="267">
        <f>DB$34+DB$36</f>
        <v/>
      </c>
      <c r="DC37" s="267">
        <f>DC$34+DC$36</f>
        <v/>
      </c>
      <c r="DD37" s="267">
        <f>DD$34+DD$36</f>
        <v/>
      </c>
      <c r="DE37" s="267">
        <f>DE$34+DE$36</f>
        <v/>
      </c>
      <c r="DF37" s="267">
        <f>DF$34+DF$36</f>
        <v/>
      </c>
      <c r="DG37" s="267">
        <f>DG$34+DG$36</f>
        <v/>
      </c>
      <c r="DH37" s="267">
        <f>DH$34+DH$36</f>
        <v/>
      </c>
      <c r="DI37" s="267">
        <f>DI$34+DI$36</f>
        <v/>
      </c>
      <c r="DJ37" s="267">
        <f>DJ$34+DJ$36</f>
        <v/>
      </c>
      <c r="DK37" s="267">
        <f>DK$34+DK$36</f>
        <v/>
      </c>
      <c r="DL37" s="267">
        <f>DL$34+DL$36</f>
        <v/>
      </c>
      <c r="DM37" s="267">
        <f>DM$34+DM$36</f>
        <v/>
      </c>
      <c r="DN37" s="267">
        <f>DN$34+DN$36</f>
        <v/>
      </c>
      <c r="DO37" s="267">
        <f>DO$34+DO$36</f>
        <v/>
      </c>
      <c r="DP37" s="267">
        <f>DP$34+DP$36</f>
        <v/>
      </c>
      <c r="DQ37" s="267">
        <f>DQ$34+DQ$36</f>
        <v/>
      </c>
      <c r="DR37" s="267">
        <f>DR$34+DR$36</f>
        <v/>
      </c>
      <c r="DS37" s="267">
        <f>DS$34+DS$36</f>
        <v/>
      </c>
      <c r="DT37" s="267">
        <f>DT$34+DT$36</f>
        <v/>
      </c>
      <c r="DU37" s="267">
        <f>DU$34+DU$36</f>
        <v/>
      </c>
      <c r="DV37" s="267">
        <f>DV$34+DV$36</f>
        <v/>
      </c>
      <c r="DW37" s="267">
        <f>DW$34+DW$36</f>
        <v/>
      </c>
      <c r="DX37" s="267">
        <f>DX$34+DX$36</f>
        <v/>
      </c>
      <c r="DY37" s="267">
        <f>DY$34+DY$36</f>
        <v/>
      </c>
      <c r="DZ37" s="267">
        <f>DZ$34+DZ$36</f>
        <v/>
      </c>
      <c r="EA37" s="267">
        <f>EA$34+EA$36</f>
        <v/>
      </c>
      <c r="EB37" s="267">
        <f>EB$34+EB$36</f>
        <v/>
      </c>
      <c r="EC37" s="267">
        <f>EC$34+EC$36</f>
        <v/>
      </c>
      <c r="ED37" s="267">
        <f>ED$34+ED$36</f>
        <v/>
      </c>
      <c r="EE37" s="267">
        <f>EE$34+EE$36</f>
        <v/>
      </c>
      <c r="EF37" s="267">
        <f>EF$34+EF$36</f>
        <v/>
      </c>
      <c r="EG37" s="267">
        <f>EG$34+EG$36</f>
        <v/>
      </c>
      <c r="EH37" s="267">
        <f>EH$34+EH$36</f>
        <v/>
      </c>
      <c r="EI37" s="267">
        <f>EI$34+EI$36</f>
        <v/>
      </c>
      <c r="EJ37" s="267">
        <f>EJ$34+EJ$36</f>
        <v/>
      </c>
      <c r="EK37" s="267">
        <f>EK$34+EK$36</f>
        <v/>
      </c>
      <c r="EL37" s="267">
        <f>EL$34+EL$36</f>
        <v/>
      </c>
      <c r="EM37" s="267">
        <f>EM$34+EM$36</f>
        <v/>
      </c>
      <c r="EN37" s="267">
        <f>EN$34+EN$36</f>
        <v/>
      </c>
      <c r="EO37" s="267">
        <f>EO$34+EO$36</f>
        <v/>
      </c>
      <c r="EP37" s="267">
        <f>EP$34+EP$36</f>
        <v/>
      </c>
      <c r="EQ37" s="267">
        <f>EQ$34+EQ$36</f>
        <v/>
      </c>
      <c r="ER37" s="267">
        <f>ER$34+ER$36</f>
        <v/>
      </c>
      <c r="ES37" s="267">
        <f>ES$34+ES$36</f>
        <v/>
      </c>
      <c r="ET37" s="267">
        <f>ET$34+ET$36</f>
        <v/>
      </c>
      <c r="EU37" s="267">
        <f>EU$34+EU$36</f>
        <v/>
      </c>
      <c r="EV37" s="267">
        <f>EV$34+EV$36</f>
        <v/>
      </c>
      <c r="EW37" s="267">
        <f>EW$34+EW$36</f>
        <v/>
      </c>
      <c r="EX37" s="267">
        <f>EX$34+EX$36</f>
        <v/>
      </c>
      <c r="EY37" s="267">
        <f>EY$34+EY$36</f>
        <v/>
      </c>
      <c r="EZ37" s="267">
        <f>EZ$34+EZ$36</f>
        <v/>
      </c>
      <c r="FA37" s="267">
        <f>FA$34+FA$36</f>
        <v/>
      </c>
      <c r="FB37" s="267">
        <f>FB$34+FB$36</f>
        <v/>
      </c>
      <c r="FC37" s="267">
        <f>FC$34+FC$36</f>
        <v/>
      </c>
      <c r="FD37" s="267">
        <f>FD$34+FD$36</f>
        <v/>
      </c>
      <c r="FE37" s="267">
        <f>FE$34+FE$36</f>
        <v/>
      </c>
      <c r="FF37" s="267">
        <f>FF$34+FF$36</f>
        <v/>
      </c>
      <c r="FG37" s="267">
        <f>FG$34+FG$36</f>
        <v/>
      </c>
      <c r="FH37" s="267">
        <f>FH$34+FH$36</f>
        <v/>
      </c>
      <c r="FI37" s="267">
        <f>FI$34+FI$36</f>
        <v/>
      </c>
      <c r="FJ37" s="267">
        <f>FJ$34+FJ$36</f>
        <v/>
      </c>
      <c r="FK37" s="267">
        <f>FK$34+FK$36</f>
        <v/>
      </c>
      <c r="FL37" s="267">
        <f>FL$34+FL$36</f>
        <v/>
      </c>
      <c r="FM37" s="267">
        <f>FM$34+FM$36</f>
        <v/>
      </c>
      <c r="FN37" s="267">
        <f>FN$34+FN$36</f>
        <v/>
      </c>
      <c r="FO37" s="267">
        <f>FO$34+FO$36</f>
        <v/>
      </c>
      <c r="FP37" s="267">
        <f>FP$34+FP$36</f>
        <v/>
      </c>
      <c r="FQ37" s="267">
        <f>FQ$34+FQ$36</f>
        <v/>
      </c>
      <c r="FR37" s="267">
        <f>FR$34+FR$36</f>
        <v/>
      </c>
      <c r="FS37" s="267">
        <f>FS$34+FS$36</f>
        <v/>
      </c>
      <c r="FT37" s="267">
        <f>FT$34+FT$36</f>
        <v/>
      </c>
      <c r="FU37" s="267">
        <f>FU$34+FU$36</f>
        <v/>
      </c>
      <c r="FV37" s="267">
        <f>FV$34+FV$36</f>
        <v/>
      </c>
      <c r="FW37" s="267">
        <f>FW$34+FW$36</f>
        <v/>
      </c>
      <c r="FX37" s="267">
        <f>FX$34+FX$36</f>
        <v/>
      </c>
      <c r="FY37" s="267">
        <f>FY$34+FY$36</f>
        <v/>
      </c>
      <c r="FZ37" s="267">
        <f>FZ$34+FZ$36</f>
        <v/>
      </c>
      <c r="GA37" s="267">
        <f>GA$34+GA$36</f>
        <v/>
      </c>
      <c r="GB37" s="267">
        <f>GB$34+GB$36</f>
        <v/>
      </c>
      <c r="GC37" s="267">
        <f>GC$34+GC$36</f>
        <v/>
      </c>
      <c r="GD37" s="267">
        <f>GD$34+GD$36</f>
        <v/>
      </c>
      <c r="GE37" s="267">
        <f>GE$34+GE$36</f>
        <v/>
      </c>
      <c r="GF37" s="267">
        <f>GF$34+GF$36</f>
        <v/>
      </c>
      <c r="GG37" s="267">
        <f>GG$34+GG$36</f>
        <v/>
      </c>
      <c r="GH37" s="267">
        <f>GH$34+GH$36</f>
        <v/>
      </c>
      <c r="GI37" s="267">
        <f>GI$34+GI$36</f>
        <v/>
      </c>
      <c r="GJ37" s="267">
        <f>GJ$34+GJ$36</f>
        <v/>
      </c>
      <c r="GK37" s="267">
        <f>GK$34+GK$36</f>
        <v/>
      </c>
      <c r="GL37" s="267">
        <f>GL$34+GL$36</f>
        <v/>
      </c>
      <c r="GM37" s="267">
        <f>GM$34+GM$36</f>
        <v/>
      </c>
      <c r="GN37" s="267">
        <f>GN$34+GN$36</f>
        <v/>
      </c>
      <c r="GO37" s="267">
        <f>GO$34+GO$36</f>
        <v/>
      </c>
      <c r="GP37" s="267">
        <f>GP$34+GP$36</f>
        <v/>
      </c>
      <c r="GQ37" s="267">
        <f>GQ$34+GQ$36</f>
        <v/>
      </c>
      <c r="GR37" s="267">
        <f>GR$34+GR$36</f>
        <v/>
      </c>
      <c r="GS37" s="267">
        <f>GS$34+GS$36</f>
        <v/>
      </c>
      <c r="GT37" s="267">
        <f>GT$34+GT$36</f>
        <v/>
      </c>
      <c r="GU37" s="267">
        <f>GU$34+GU$36</f>
        <v/>
      </c>
      <c r="GV37" s="267">
        <f>GV$34+GV$36</f>
        <v/>
      </c>
      <c r="GW37" s="267">
        <f>GW$34+GW$36</f>
        <v/>
      </c>
      <c r="GX37" s="267">
        <f>GX$34+GX$36</f>
        <v/>
      </c>
      <c r="GY37" s="267">
        <f>GY$34+GY$36</f>
        <v/>
      </c>
      <c r="GZ37" s="267">
        <f>GZ$34+GZ$36</f>
        <v/>
      </c>
      <c r="HA37" s="267">
        <f>HA$34+HA$36</f>
        <v/>
      </c>
      <c r="HB37" s="267">
        <f>HB$34+HB$36</f>
        <v/>
      </c>
      <c r="HC37" s="267">
        <f>HC$34+HC$36</f>
        <v/>
      </c>
      <c r="HD37" s="267">
        <f>HD$34+HD$36</f>
        <v/>
      </c>
      <c r="HE37" s="267">
        <f>HE$34+HE$36</f>
        <v/>
      </c>
      <c r="HF37" s="267">
        <f>HF$34+HF$36</f>
        <v/>
      </c>
      <c r="HG37" s="267">
        <f>HG$34+HG$36</f>
        <v/>
      </c>
      <c r="HH37" s="267">
        <f>HH$34+HH$36</f>
        <v/>
      </c>
      <c r="HI37" s="267">
        <f>HI$34+HI$36</f>
        <v/>
      </c>
      <c r="HJ37" s="267">
        <f>HJ$34+HJ$36</f>
        <v/>
      </c>
      <c r="HK37" s="267">
        <f>HK$34+HK$36</f>
        <v/>
      </c>
      <c r="HL37" s="267">
        <f>HL$34+HL$36</f>
        <v/>
      </c>
      <c r="HM37" s="267">
        <f>HM$34+HM$36</f>
        <v/>
      </c>
      <c r="HN37" s="267">
        <f>HN$34+HN$36</f>
        <v/>
      </c>
      <c r="HO37" s="267">
        <f>HO$34+HO$36</f>
        <v/>
      </c>
      <c r="HP37" s="267">
        <f>HP$34+HP$36</f>
        <v/>
      </c>
      <c r="HQ37" s="267">
        <f>HQ$34+HQ$36</f>
        <v/>
      </c>
      <c r="HR37" s="267">
        <f>HR$34+HR$36</f>
        <v/>
      </c>
      <c r="HS37" s="267">
        <f>HS$34+HS$36</f>
        <v/>
      </c>
      <c r="HT37" s="267">
        <f>HT$34+HT$36</f>
        <v/>
      </c>
      <c r="HU37" s="267">
        <f>HU$34+HU$36</f>
        <v/>
      </c>
      <c r="HV37" s="267">
        <f>HV$34+HV$36</f>
        <v/>
      </c>
      <c r="HW37" s="267">
        <f>HW$34+HW$36</f>
        <v/>
      </c>
      <c r="HX37" s="267">
        <f>HX$34+HX$36</f>
        <v/>
      </c>
      <c r="HY37" s="267">
        <f>HY$34+HY$36</f>
        <v/>
      </c>
      <c r="HZ37" s="267">
        <f>HZ$34+HZ$36</f>
        <v/>
      </c>
      <c r="IA37" s="267">
        <f>IA$34+IA$36</f>
        <v/>
      </c>
      <c r="IB37" s="267">
        <f>IB$34+IB$36</f>
        <v/>
      </c>
      <c r="IC37" s="267">
        <f>IC$34+IC$36</f>
        <v/>
      </c>
      <c r="ID37" s="267">
        <f>ID$34+ID$36</f>
        <v/>
      </c>
      <c r="IE37" s="267">
        <f>IE$34+IE$36</f>
        <v/>
      </c>
      <c r="IF37" s="267">
        <f>IF$34+IF$36</f>
        <v/>
      </c>
      <c r="IG37" s="267">
        <f>IG$34+IG$36</f>
        <v/>
      </c>
      <c r="IH37" s="267">
        <f>IH$34+IH$36</f>
        <v/>
      </c>
      <c r="II37" s="267">
        <f>II$34+II$36</f>
        <v/>
      </c>
      <c r="IJ37" s="267">
        <f>IJ$34+IJ$36</f>
        <v/>
      </c>
      <c r="IK37" s="267">
        <f>IK$34+IK$36</f>
        <v/>
      </c>
      <c r="IL37" s="267">
        <f>IL$34+IL$36</f>
        <v/>
      </c>
      <c r="IM37" s="267">
        <f>IM$34+IM$36</f>
        <v/>
      </c>
      <c r="IN37" s="267">
        <f>IN$34+IN$36</f>
        <v/>
      </c>
      <c r="IO37" s="267">
        <f>IO$34+IO$36</f>
        <v/>
      </c>
      <c r="IP37" s="267">
        <f>IP$34+IP$36</f>
        <v/>
      </c>
      <c r="IQ37" s="267">
        <f>IQ$34+IQ$36</f>
        <v/>
      </c>
      <c r="IR37" s="267">
        <f>IR$34+IR$36</f>
        <v/>
      </c>
      <c r="IS37" s="267">
        <f>IS$34+IS$36</f>
        <v/>
      </c>
      <c r="IT37" s="267">
        <f>IT$34+IT$36</f>
        <v/>
      </c>
      <c r="IU37" s="267">
        <f>IU$34+IU$36</f>
        <v/>
      </c>
      <c r="IV37" s="267">
        <f>IV$34+IV$36</f>
        <v/>
      </c>
      <c r="IW37" s="267">
        <f>IW$34+IW$36</f>
        <v/>
      </c>
      <c r="IX37" s="267">
        <f>IX$34+IX$36</f>
        <v/>
      </c>
      <c r="IY37" s="267">
        <f>IY$34+IY$36</f>
        <v/>
      </c>
      <c r="IZ37" s="267">
        <f>IZ$34+IZ$36</f>
        <v/>
      </c>
      <c r="JA37" s="267">
        <f>JA$34+JA$36</f>
        <v/>
      </c>
      <c r="JB37" s="267">
        <f>JB$34+JB$36</f>
        <v/>
      </c>
      <c r="JC37" s="267">
        <f>JC$34+JC$36</f>
        <v/>
      </c>
      <c r="JD37" s="267">
        <f>JD$34+JD$36</f>
        <v/>
      </c>
      <c r="JE37" s="267">
        <f>JE$34+JE$36</f>
        <v/>
      </c>
      <c r="JF37" s="267">
        <f>JF$34+JF$36</f>
        <v/>
      </c>
      <c r="JG37" s="267">
        <f>JG$34+JG$36</f>
        <v/>
      </c>
      <c r="JH37" s="267">
        <f>JH$34+JH$36</f>
        <v/>
      </c>
      <c r="JI37" s="267">
        <f>JI$34+JI$36</f>
        <v/>
      </c>
      <c r="JJ37" s="267">
        <f>JJ$34+JJ$36</f>
        <v/>
      </c>
      <c r="JK37" s="267">
        <f>JK$34+JK$36</f>
        <v/>
      </c>
      <c r="JL37" s="267">
        <f>JL$34+JL$36</f>
        <v/>
      </c>
      <c r="JM37" s="267">
        <f>JM$34+JM$36</f>
        <v/>
      </c>
      <c r="JN37" s="267">
        <f>JN$34+JN$36</f>
        <v/>
      </c>
      <c r="JO37" s="267">
        <f>JO$34+JO$36</f>
        <v/>
      </c>
      <c r="JP37" s="267">
        <f>JP$34+JP$36</f>
        <v/>
      </c>
      <c r="JQ37" s="267">
        <f>JQ$34+JQ$36</f>
        <v/>
      </c>
      <c r="JR37" s="267">
        <f>JR$34+JR$36</f>
        <v/>
      </c>
      <c r="JS37" s="267">
        <f>JS$34+JS$36</f>
        <v/>
      </c>
      <c r="JT37" s="267">
        <f>JT$34+JT$36</f>
        <v/>
      </c>
      <c r="JU37" s="267">
        <f>JU$34+JU$36</f>
        <v/>
      </c>
      <c r="JV37" s="267">
        <f>JV$34+JV$36</f>
        <v/>
      </c>
      <c r="JW37" s="267">
        <f>JW$34+JW$36</f>
        <v/>
      </c>
      <c r="JX37" s="267">
        <f>JX$34+JX$36</f>
        <v/>
      </c>
      <c r="JY37" s="267">
        <f>JY$34+JY$36</f>
        <v/>
      </c>
      <c r="JZ37" s="267">
        <f>JZ$34+JZ$36</f>
        <v/>
      </c>
      <c r="KA37" s="267">
        <f>KA$34+KA$36</f>
        <v/>
      </c>
      <c r="KB37" s="267">
        <f>KB$34+KB$36</f>
        <v/>
      </c>
      <c r="KC37" s="267">
        <f>KC$34+KC$36</f>
        <v/>
      </c>
      <c r="KD37" s="267">
        <f>KD$34+KD$36</f>
        <v/>
      </c>
      <c r="KE37" s="267">
        <f>KE$34+KE$36</f>
        <v/>
      </c>
      <c r="KF37" s="267">
        <f>KF$34+KF$36</f>
        <v/>
      </c>
      <c r="KG37" s="267">
        <f>KG$34+KG$36</f>
        <v/>
      </c>
      <c r="KH37" s="267">
        <f>KH$34+KH$36</f>
        <v/>
      </c>
      <c r="KI37" s="267">
        <f>KI$34+KI$36</f>
        <v/>
      </c>
      <c r="KJ37" s="267">
        <f>KJ$34+KJ$36</f>
        <v/>
      </c>
      <c r="KK37" s="267">
        <f>KK$34+KK$36</f>
        <v/>
      </c>
      <c r="KL37" s="267">
        <f>KL$34+KL$36</f>
        <v/>
      </c>
      <c r="KM37" s="267">
        <f>KM$34+KM$36</f>
        <v/>
      </c>
      <c r="KN37" s="267">
        <f>KN$34+KN$36</f>
        <v/>
      </c>
      <c r="KO37" s="267">
        <f>KO$34+KO$36</f>
        <v/>
      </c>
      <c r="KP37" s="267">
        <f>KP$34+KP$36</f>
        <v/>
      </c>
      <c r="KQ37" s="267">
        <f>KQ$34+KQ$36</f>
        <v/>
      </c>
      <c r="KR37" s="267">
        <f>KR$34+KR$36</f>
        <v/>
      </c>
      <c r="KS37" s="267">
        <f>KS$34+KS$36</f>
        <v/>
      </c>
      <c r="KT37" s="267">
        <f>KT$34+KT$36</f>
        <v/>
      </c>
      <c r="KU37" s="267">
        <f>KU$34+KU$36</f>
        <v/>
      </c>
      <c r="KV37" s="267">
        <f>KV$34+KV$36</f>
        <v/>
      </c>
      <c r="KW37" s="267">
        <f>KW$34+KW$36</f>
        <v/>
      </c>
      <c r="KX37" s="267">
        <f>KX$34+KX$36</f>
        <v/>
      </c>
      <c r="KY37" s="267">
        <f>KY$34+KY$36</f>
        <v/>
      </c>
      <c r="KZ37" s="267">
        <f>KZ$34+KZ$36</f>
        <v/>
      </c>
      <c r="LA37" s="267">
        <f>LA$34+LA$36</f>
        <v/>
      </c>
      <c r="LB37" s="267">
        <f>LB$34+LB$36</f>
        <v/>
      </c>
      <c r="LC37" s="267">
        <f>LC$34+LC$36</f>
        <v/>
      </c>
      <c r="LD37" s="267">
        <f>LD$34+LD$36</f>
        <v/>
      </c>
      <c r="LE37" s="267">
        <f>LE$34+LE$36</f>
        <v/>
      </c>
      <c r="LF37" s="267">
        <f>LF$34+LF$36</f>
        <v/>
      </c>
      <c r="LG37" s="267">
        <f>LG$34+LG$36</f>
        <v/>
      </c>
      <c r="LH37" s="267">
        <f>LH$34+LH$36</f>
        <v/>
      </c>
      <c r="LI37" s="267">
        <f>LI$34+LI$36</f>
        <v/>
      </c>
      <c r="LJ37" s="267">
        <f>LJ$34+LJ$36</f>
        <v/>
      </c>
      <c r="LK37" s="267">
        <f>LK$34+LK$36</f>
        <v/>
      </c>
      <c r="LL37" s="267">
        <f>LL$34+LL$36</f>
        <v/>
      </c>
      <c r="LM37" s="267">
        <f>LM$34+LM$36</f>
        <v/>
      </c>
      <c r="LN37" s="267">
        <f>LN$34+LN$36</f>
        <v/>
      </c>
      <c r="LO37" s="267">
        <f>LO$34+LO$36</f>
        <v/>
      </c>
      <c r="LP37" s="267">
        <f>LP$34+LP$36</f>
        <v/>
      </c>
      <c r="LQ37" s="267">
        <f>LQ$34+LQ$36</f>
        <v/>
      </c>
      <c r="LR37" s="267">
        <f>LR$34+LR$36</f>
        <v/>
      </c>
      <c r="LS37" s="267">
        <f>LS$34+LS$36</f>
        <v/>
      </c>
      <c r="LT37" s="267">
        <f>LT$34+LT$36</f>
        <v/>
      </c>
      <c r="LU37" s="267">
        <f>LU$34+LU$36</f>
        <v/>
      </c>
      <c r="LV37" s="267">
        <f>LV$34+LV$36</f>
        <v/>
      </c>
      <c r="LW37" s="267">
        <f>LW$34+LW$36</f>
        <v/>
      </c>
      <c r="LX37" s="267">
        <f>LX$34+LX$36</f>
        <v/>
      </c>
      <c r="LY37" s="267">
        <f>LY$34+LY$36</f>
        <v/>
      </c>
      <c r="LZ37" s="267">
        <f>LZ$34+LZ$36</f>
        <v/>
      </c>
      <c r="MA37" s="267">
        <f>MA$34+MA$36</f>
        <v/>
      </c>
      <c r="MB37" s="267">
        <f>MB$34+MB$36</f>
        <v/>
      </c>
      <c r="MC37" s="267">
        <f>MC$34+MC$36</f>
        <v/>
      </c>
      <c r="MD37" s="267">
        <f>MD$34+MD$36</f>
        <v/>
      </c>
      <c r="ME37" s="267">
        <f>ME$34+ME$36</f>
        <v/>
      </c>
      <c r="MF37" s="267">
        <f>MF$34+MF$36</f>
        <v/>
      </c>
      <c r="MG37" s="267">
        <f>MG$34+MG$36</f>
        <v/>
      </c>
      <c r="MH37" s="267">
        <f>MH$34+MH$36</f>
        <v/>
      </c>
      <c r="MI37" s="267">
        <f>MI$34+MI$36</f>
        <v/>
      </c>
      <c r="MJ37" s="267">
        <f>MJ$34+MJ$36</f>
        <v/>
      </c>
      <c r="MK37" s="267">
        <f>MK$34+MK$36</f>
        <v/>
      </c>
      <c r="ML37" s="267">
        <f>ML$34+ML$36</f>
        <v/>
      </c>
      <c r="MM37" s="267">
        <f>MM$34+MM$36</f>
        <v/>
      </c>
      <c r="MN37" s="267">
        <f>MN$34+MN$36</f>
        <v/>
      </c>
      <c r="MO37" s="267">
        <f>MO$34+MO$36</f>
        <v/>
      </c>
      <c r="MP37" s="267">
        <f>MP$34+MP$36</f>
        <v/>
      </c>
      <c r="MQ37" s="267">
        <f>MQ$34+MQ$36</f>
        <v/>
      </c>
      <c r="MR37" s="267">
        <f>MR$34+MR$36</f>
        <v/>
      </c>
      <c r="MS37" s="267">
        <f>MS$34+MS$36</f>
        <v/>
      </c>
      <c r="MT37" s="267">
        <f>MT$34+MT$36</f>
        <v/>
      </c>
      <c r="MU37" s="267">
        <f>MU$34+MU$36</f>
        <v/>
      </c>
      <c r="MV37" s="267">
        <f>MV$34+MV$36</f>
        <v/>
      </c>
      <c r="MW37" s="267">
        <f>MW$34+MW$36</f>
        <v/>
      </c>
      <c r="MX37" s="267">
        <f>MX$34+MX$36</f>
        <v/>
      </c>
      <c r="MY37" s="267">
        <f>MY$34+MY$36</f>
        <v/>
      </c>
      <c r="MZ37" s="267">
        <f>MZ$34+MZ$36</f>
        <v/>
      </c>
      <c r="NA37" s="267">
        <f>NA$34+NA$36</f>
        <v/>
      </c>
      <c r="NB37" s="267">
        <f>NB$34+NB$36</f>
        <v/>
      </c>
      <c r="NC37" s="267">
        <f>NC$34+NC$36</f>
        <v/>
      </c>
      <c r="ND37" s="267">
        <f>ND$34+ND$36</f>
        <v/>
      </c>
      <c r="NE37" s="267">
        <f>NE$34+NE$36</f>
        <v/>
      </c>
      <c r="NF37" s="267">
        <f>NF$34+NF$36</f>
        <v/>
      </c>
      <c r="NG37" s="267">
        <f>NG$34+NG$36</f>
        <v/>
      </c>
      <c r="NH37" s="267">
        <f>NH$34+NH$36</f>
        <v/>
      </c>
      <c r="NI37" s="267">
        <f>NI$34+NI$36</f>
        <v/>
      </c>
      <c r="NJ37" s="267">
        <f>NJ$34+NJ$36</f>
        <v/>
      </c>
      <c r="NK37" s="267">
        <f>NK$34+NK$36</f>
        <v/>
      </c>
      <c r="NL37" s="253">
        <f>NL$34+NL$36</f>
        <v/>
      </c>
    </row>
    <row r="38">
      <c r="B38" s="50" t="inlineStr">
        <is>
          <t>Net Operating Income</t>
        </is>
      </c>
      <c r="D38" s="266">
        <f>SUM(E38:NL38)</f>
        <v/>
      </c>
      <c r="E38" s="267">
        <f>E$35-E$36</f>
        <v/>
      </c>
      <c r="F38" s="267">
        <f>F$35-F$36</f>
        <v/>
      </c>
      <c r="G38" s="267">
        <f>G$35-G$36</f>
        <v/>
      </c>
      <c r="H38" s="267">
        <f>H$35-H$36</f>
        <v/>
      </c>
      <c r="I38" s="267">
        <f>I$35-I$36</f>
        <v/>
      </c>
      <c r="J38" s="267">
        <f>J$35-J$36</f>
        <v/>
      </c>
      <c r="K38" s="267">
        <f>K$35-K$36</f>
        <v/>
      </c>
      <c r="L38" s="267">
        <f>L$35-L$36</f>
        <v/>
      </c>
      <c r="M38" s="267">
        <f>M$35-M$36</f>
        <v/>
      </c>
      <c r="N38" s="267">
        <f>N$35-N$36</f>
        <v/>
      </c>
      <c r="O38" s="267">
        <f>O$35-O$36</f>
        <v/>
      </c>
      <c r="P38" s="267">
        <f>P$35-P$36</f>
        <v/>
      </c>
      <c r="Q38" s="267">
        <f>Q$35-Q$36</f>
        <v/>
      </c>
      <c r="R38" s="267">
        <f>R$35-R$36</f>
        <v/>
      </c>
      <c r="S38" s="267">
        <f>S$35-S$36</f>
        <v/>
      </c>
      <c r="T38" s="267">
        <f>T$35-T$36</f>
        <v/>
      </c>
      <c r="U38" s="267">
        <f>U$35-U$36</f>
        <v/>
      </c>
      <c r="V38" s="267">
        <f>V$35-V$36</f>
        <v/>
      </c>
      <c r="W38" s="267">
        <f>W$35-W$36</f>
        <v/>
      </c>
      <c r="X38" s="267">
        <f>X$35-X$36</f>
        <v/>
      </c>
      <c r="Y38" s="267">
        <f>Y$35-Y$36</f>
        <v/>
      </c>
      <c r="Z38" s="267">
        <f>Z$35-Z$36</f>
        <v/>
      </c>
      <c r="AA38" s="267">
        <f>AA$35-AA$36</f>
        <v/>
      </c>
      <c r="AB38" s="267">
        <f>AB$35-AB$36</f>
        <v/>
      </c>
      <c r="AC38" s="267">
        <f>AC$35-AC$36</f>
        <v/>
      </c>
      <c r="AD38" s="267">
        <f>AD$35-AD$36</f>
        <v/>
      </c>
      <c r="AE38" s="267">
        <f>AE$35-AE$36</f>
        <v/>
      </c>
      <c r="AF38" s="267">
        <f>AF$35-AF$36</f>
        <v/>
      </c>
      <c r="AG38" s="267">
        <f>AG$35-AG$36</f>
        <v/>
      </c>
      <c r="AH38" s="267">
        <f>AH$35-AH$36</f>
        <v/>
      </c>
      <c r="AI38" s="267">
        <f>AI$35-AI$36</f>
        <v/>
      </c>
      <c r="AJ38" s="267">
        <f>AJ$35-AJ$36</f>
        <v/>
      </c>
      <c r="AK38" s="267">
        <f>AK$35-AK$36</f>
        <v/>
      </c>
      <c r="AL38" s="267">
        <f>AL$35-AL$36</f>
        <v/>
      </c>
      <c r="AM38" s="267">
        <f>AM$35-AM$36</f>
        <v/>
      </c>
      <c r="AN38" s="267">
        <f>AN$35-AN$36</f>
        <v/>
      </c>
      <c r="AO38" s="267">
        <f>AO$35-AO$36</f>
        <v/>
      </c>
      <c r="AP38" s="267">
        <f>AP$35-AP$36</f>
        <v/>
      </c>
      <c r="AQ38" s="267">
        <f>AQ$35-AQ$36</f>
        <v/>
      </c>
      <c r="AR38" s="267">
        <f>AR$35-AR$36</f>
        <v/>
      </c>
      <c r="AS38" s="267">
        <f>AS$35-AS$36</f>
        <v/>
      </c>
      <c r="AT38" s="267">
        <f>AT$35-AT$36</f>
        <v/>
      </c>
      <c r="AU38" s="267">
        <f>AU$35-AU$36</f>
        <v/>
      </c>
      <c r="AV38" s="267">
        <f>AV$35-AV$36</f>
        <v/>
      </c>
      <c r="AW38" s="267">
        <f>AW$35-AW$36</f>
        <v/>
      </c>
      <c r="AX38" s="267">
        <f>AX$35-AX$36</f>
        <v/>
      </c>
      <c r="AY38" s="267">
        <f>AY$35-AY$36</f>
        <v/>
      </c>
      <c r="AZ38" s="267">
        <f>AZ$35-AZ$36</f>
        <v/>
      </c>
      <c r="BA38" s="267">
        <f>BA$35-BA$36</f>
        <v/>
      </c>
      <c r="BB38" s="267">
        <f>BB$35-BB$36</f>
        <v/>
      </c>
      <c r="BC38" s="267">
        <f>BC$35-BC$36</f>
        <v/>
      </c>
      <c r="BD38" s="267">
        <f>BD$35-BD$36</f>
        <v/>
      </c>
      <c r="BE38" s="267">
        <f>BE$35-BE$36</f>
        <v/>
      </c>
      <c r="BF38" s="267">
        <f>BF$35-BF$36</f>
        <v/>
      </c>
      <c r="BG38" s="267">
        <f>BG$35-BG$36</f>
        <v/>
      </c>
      <c r="BH38" s="267">
        <f>BH$35-BH$36</f>
        <v/>
      </c>
      <c r="BI38" s="267">
        <f>BI$35-BI$36</f>
        <v/>
      </c>
      <c r="BJ38" s="267">
        <f>BJ$35-BJ$36</f>
        <v/>
      </c>
      <c r="BK38" s="267">
        <f>BK$35-BK$36</f>
        <v/>
      </c>
      <c r="BL38" s="267">
        <f>BL$35-BL$36</f>
        <v/>
      </c>
      <c r="BM38" s="267">
        <f>BM$35-BM$36</f>
        <v/>
      </c>
      <c r="BN38" s="267">
        <f>BN$35-BN$36</f>
        <v/>
      </c>
      <c r="BO38" s="267">
        <f>BO$35-BO$36</f>
        <v/>
      </c>
      <c r="BP38" s="267">
        <f>BP$35-BP$36</f>
        <v/>
      </c>
      <c r="BQ38" s="267">
        <f>BQ$35-BQ$36</f>
        <v/>
      </c>
      <c r="BR38" s="267">
        <f>BR$35-BR$36</f>
        <v/>
      </c>
      <c r="BS38" s="267">
        <f>BS$35-BS$36</f>
        <v/>
      </c>
      <c r="BT38" s="267">
        <f>BT$35-BT$36</f>
        <v/>
      </c>
      <c r="BU38" s="267">
        <f>BU$35-BU$36</f>
        <v/>
      </c>
      <c r="BV38" s="267">
        <f>BV$35-BV$36</f>
        <v/>
      </c>
      <c r="BW38" s="267">
        <f>BW$35-BW$36</f>
        <v/>
      </c>
      <c r="BX38" s="267">
        <f>BX$35-BX$36</f>
        <v/>
      </c>
      <c r="BY38" s="267">
        <f>BY$35-BY$36</f>
        <v/>
      </c>
      <c r="BZ38" s="267">
        <f>BZ$35-BZ$36</f>
        <v/>
      </c>
      <c r="CA38" s="267">
        <f>CA$35-CA$36</f>
        <v/>
      </c>
      <c r="CB38" s="267">
        <f>CB$35-CB$36</f>
        <v/>
      </c>
      <c r="CC38" s="267">
        <f>CC$35-CC$36</f>
        <v/>
      </c>
      <c r="CD38" s="267">
        <f>CD$35-CD$36</f>
        <v/>
      </c>
      <c r="CE38" s="267">
        <f>CE$35-CE$36</f>
        <v/>
      </c>
      <c r="CF38" s="267">
        <f>CF$35-CF$36</f>
        <v/>
      </c>
      <c r="CG38" s="267">
        <f>CG$35-CG$36</f>
        <v/>
      </c>
      <c r="CH38" s="267">
        <f>CH$35-CH$36</f>
        <v/>
      </c>
      <c r="CI38" s="267">
        <f>CI$35-CI$36</f>
        <v/>
      </c>
      <c r="CJ38" s="267">
        <f>CJ$35-CJ$36</f>
        <v/>
      </c>
      <c r="CK38" s="267">
        <f>CK$35-CK$36</f>
        <v/>
      </c>
      <c r="CL38" s="267">
        <f>CL$35-CL$36</f>
        <v/>
      </c>
      <c r="CM38" s="267">
        <f>CM$35-CM$36</f>
        <v/>
      </c>
      <c r="CN38" s="267">
        <f>CN$35-CN$36</f>
        <v/>
      </c>
      <c r="CO38" s="267">
        <f>CO$35-CO$36</f>
        <v/>
      </c>
      <c r="CP38" s="267">
        <f>CP$35-CP$36</f>
        <v/>
      </c>
      <c r="CQ38" s="267">
        <f>CQ$35-CQ$36</f>
        <v/>
      </c>
      <c r="CR38" s="267">
        <f>CR$35-CR$36</f>
        <v/>
      </c>
      <c r="CS38" s="267">
        <f>CS$35-CS$36</f>
        <v/>
      </c>
      <c r="CT38" s="267">
        <f>CT$35-CT$36</f>
        <v/>
      </c>
      <c r="CU38" s="267">
        <f>CU$35-CU$36</f>
        <v/>
      </c>
      <c r="CV38" s="267">
        <f>CV$35-CV$36</f>
        <v/>
      </c>
      <c r="CW38" s="267">
        <f>CW$35-CW$36</f>
        <v/>
      </c>
      <c r="CX38" s="267">
        <f>CX$35-CX$36</f>
        <v/>
      </c>
      <c r="CY38" s="267">
        <f>CY$35-CY$36</f>
        <v/>
      </c>
      <c r="CZ38" s="267">
        <f>CZ$35-CZ$36</f>
        <v/>
      </c>
      <c r="DA38" s="267">
        <f>DA$35-DA$36</f>
        <v/>
      </c>
      <c r="DB38" s="267">
        <f>DB$35-DB$36</f>
        <v/>
      </c>
      <c r="DC38" s="267">
        <f>DC$35-DC$36</f>
        <v/>
      </c>
      <c r="DD38" s="267">
        <f>DD$35-DD$36</f>
        <v/>
      </c>
      <c r="DE38" s="267">
        <f>DE$35-DE$36</f>
        <v/>
      </c>
      <c r="DF38" s="267">
        <f>DF$35-DF$36</f>
        <v/>
      </c>
      <c r="DG38" s="267">
        <f>DG$35-DG$36</f>
        <v/>
      </c>
      <c r="DH38" s="267">
        <f>DH$35-DH$36</f>
        <v/>
      </c>
      <c r="DI38" s="267">
        <f>DI$35-DI$36</f>
        <v/>
      </c>
      <c r="DJ38" s="267">
        <f>DJ$35-DJ$36</f>
        <v/>
      </c>
      <c r="DK38" s="267">
        <f>DK$35-DK$36</f>
        <v/>
      </c>
      <c r="DL38" s="267">
        <f>DL$35-DL$36</f>
        <v/>
      </c>
      <c r="DM38" s="267">
        <f>DM$35-DM$36</f>
        <v/>
      </c>
      <c r="DN38" s="267">
        <f>DN$35-DN$36</f>
        <v/>
      </c>
      <c r="DO38" s="267">
        <f>DO$35-DO$36</f>
        <v/>
      </c>
      <c r="DP38" s="267">
        <f>DP$35-DP$36</f>
        <v/>
      </c>
      <c r="DQ38" s="267">
        <f>DQ$35-DQ$36</f>
        <v/>
      </c>
      <c r="DR38" s="267">
        <f>DR$35-DR$36</f>
        <v/>
      </c>
      <c r="DS38" s="267">
        <f>DS$35-DS$36</f>
        <v/>
      </c>
      <c r="DT38" s="267">
        <f>DT$35-DT$36</f>
        <v/>
      </c>
      <c r="DU38" s="267">
        <f>DU$35-DU$36</f>
        <v/>
      </c>
      <c r="DV38" s="267">
        <f>DV$35-DV$36</f>
        <v/>
      </c>
      <c r="DW38" s="267">
        <f>DW$35-DW$36</f>
        <v/>
      </c>
      <c r="DX38" s="267">
        <f>DX$35-DX$36</f>
        <v/>
      </c>
      <c r="DY38" s="267">
        <f>DY$35-DY$36</f>
        <v/>
      </c>
      <c r="DZ38" s="267">
        <f>DZ$35-DZ$36</f>
        <v/>
      </c>
      <c r="EA38" s="267">
        <f>EA$35-EA$36</f>
        <v/>
      </c>
      <c r="EB38" s="267">
        <f>EB$35-EB$36</f>
        <v/>
      </c>
      <c r="EC38" s="267">
        <f>EC$35-EC$36</f>
        <v/>
      </c>
      <c r="ED38" s="267">
        <f>ED$35-ED$36</f>
        <v/>
      </c>
      <c r="EE38" s="267">
        <f>EE$35-EE$36</f>
        <v/>
      </c>
      <c r="EF38" s="267">
        <f>EF$35-EF$36</f>
        <v/>
      </c>
      <c r="EG38" s="267">
        <f>EG$35-EG$36</f>
        <v/>
      </c>
      <c r="EH38" s="267">
        <f>EH$35-EH$36</f>
        <v/>
      </c>
      <c r="EI38" s="267">
        <f>EI$35-EI$36</f>
        <v/>
      </c>
      <c r="EJ38" s="267">
        <f>EJ$35-EJ$36</f>
        <v/>
      </c>
      <c r="EK38" s="267">
        <f>EK$35-EK$36</f>
        <v/>
      </c>
      <c r="EL38" s="267">
        <f>EL$35-EL$36</f>
        <v/>
      </c>
      <c r="EM38" s="267">
        <f>EM$35-EM$36</f>
        <v/>
      </c>
      <c r="EN38" s="267">
        <f>EN$35-EN$36</f>
        <v/>
      </c>
      <c r="EO38" s="267">
        <f>EO$35-EO$36</f>
        <v/>
      </c>
      <c r="EP38" s="267">
        <f>EP$35-EP$36</f>
        <v/>
      </c>
      <c r="EQ38" s="267">
        <f>EQ$35-EQ$36</f>
        <v/>
      </c>
      <c r="ER38" s="267">
        <f>ER$35-ER$36</f>
        <v/>
      </c>
      <c r="ES38" s="267">
        <f>ES$35-ES$36</f>
        <v/>
      </c>
      <c r="ET38" s="267">
        <f>ET$35-ET$36</f>
        <v/>
      </c>
      <c r="EU38" s="267">
        <f>EU$35-EU$36</f>
        <v/>
      </c>
      <c r="EV38" s="267">
        <f>EV$35-EV$36</f>
        <v/>
      </c>
      <c r="EW38" s="267">
        <f>EW$35-EW$36</f>
        <v/>
      </c>
      <c r="EX38" s="267">
        <f>EX$35-EX$36</f>
        <v/>
      </c>
      <c r="EY38" s="267">
        <f>EY$35-EY$36</f>
        <v/>
      </c>
      <c r="EZ38" s="267">
        <f>EZ$35-EZ$36</f>
        <v/>
      </c>
      <c r="FA38" s="267">
        <f>FA$35-FA$36</f>
        <v/>
      </c>
      <c r="FB38" s="267">
        <f>FB$35-FB$36</f>
        <v/>
      </c>
      <c r="FC38" s="267">
        <f>FC$35-FC$36</f>
        <v/>
      </c>
      <c r="FD38" s="267">
        <f>FD$35-FD$36</f>
        <v/>
      </c>
      <c r="FE38" s="267">
        <f>FE$35-FE$36</f>
        <v/>
      </c>
      <c r="FF38" s="267">
        <f>FF$35-FF$36</f>
        <v/>
      </c>
      <c r="FG38" s="267">
        <f>FG$35-FG$36</f>
        <v/>
      </c>
      <c r="FH38" s="267">
        <f>FH$35-FH$36</f>
        <v/>
      </c>
      <c r="FI38" s="267">
        <f>FI$35-FI$36</f>
        <v/>
      </c>
      <c r="FJ38" s="267">
        <f>FJ$35-FJ$36</f>
        <v/>
      </c>
      <c r="FK38" s="267">
        <f>FK$35-FK$36</f>
        <v/>
      </c>
      <c r="FL38" s="267">
        <f>FL$35-FL$36</f>
        <v/>
      </c>
      <c r="FM38" s="267">
        <f>FM$35-FM$36</f>
        <v/>
      </c>
      <c r="FN38" s="267">
        <f>FN$35-FN$36</f>
        <v/>
      </c>
      <c r="FO38" s="267">
        <f>FO$35-FO$36</f>
        <v/>
      </c>
      <c r="FP38" s="267">
        <f>FP$35-FP$36</f>
        <v/>
      </c>
      <c r="FQ38" s="267">
        <f>FQ$35-FQ$36</f>
        <v/>
      </c>
      <c r="FR38" s="267">
        <f>FR$35-FR$36</f>
        <v/>
      </c>
      <c r="FS38" s="267">
        <f>FS$35-FS$36</f>
        <v/>
      </c>
      <c r="FT38" s="267">
        <f>FT$35-FT$36</f>
        <v/>
      </c>
      <c r="FU38" s="267">
        <f>FU$35-FU$36</f>
        <v/>
      </c>
      <c r="FV38" s="267">
        <f>FV$35-FV$36</f>
        <v/>
      </c>
      <c r="FW38" s="267">
        <f>FW$35-FW$36</f>
        <v/>
      </c>
      <c r="FX38" s="267">
        <f>FX$35-FX$36</f>
        <v/>
      </c>
      <c r="FY38" s="267">
        <f>FY$35-FY$36</f>
        <v/>
      </c>
      <c r="FZ38" s="267">
        <f>FZ$35-FZ$36</f>
        <v/>
      </c>
      <c r="GA38" s="267">
        <f>GA$35-GA$36</f>
        <v/>
      </c>
      <c r="GB38" s="267">
        <f>GB$35-GB$36</f>
        <v/>
      </c>
      <c r="GC38" s="267">
        <f>GC$35-GC$36</f>
        <v/>
      </c>
      <c r="GD38" s="267">
        <f>GD$35-GD$36</f>
        <v/>
      </c>
      <c r="GE38" s="267">
        <f>GE$35-GE$36</f>
        <v/>
      </c>
      <c r="GF38" s="267">
        <f>GF$35-GF$36</f>
        <v/>
      </c>
      <c r="GG38" s="267">
        <f>GG$35-GG$36</f>
        <v/>
      </c>
      <c r="GH38" s="267">
        <f>GH$35-GH$36</f>
        <v/>
      </c>
      <c r="GI38" s="267">
        <f>GI$35-GI$36</f>
        <v/>
      </c>
      <c r="GJ38" s="267">
        <f>GJ$35-GJ$36</f>
        <v/>
      </c>
      <c r="GK38" s="267">
        <f>GK$35-GK$36</f>
        <v/>
      </c>
      <c r="GL38" s="267">
        <f>GL$35-GL$36</f>
        <v/>
      </c>
      <c r="GM38" s="267">
        <f>GM$35-GM$36</f>
        <v/>
      </c>
      <c r="GN38" s="267">
        <f>GN$35-GN$36</f>
        <v/>
      </c>
      <c r="GO38" s="267">
        <f>GO$35-GO$36</f>
        <v/>
      </c>
      <c r="GP38" s="267">
        <f>GP$35-GP$36</f>
        <v/>
      </c>
      <c r="GQ38" s="267">
        <f>GQ$35-GQ$36</f>
        <v/>
      </c>
      <c r="GR38" s="267">
        <f>GR$35-GR$36</f>
        <v/>
      </c>
      <c r="GS38" s="267">
        <f>GS$35-GS$36</f>
        <v/>
      </c>
      <c r="GT38" s="267">
        <f>GT$35-GT$36</f>
        <v/>
      </c>
      <c r="GU38" s="267">
        <f>GU$35-GU$36</f>
        <v/>
      </c>
      <c r="GV38" s="267">
        <f>GV$35-GV$36</f>
        <v/>
      </c>
      <c r="GW38" s="267">
        <f>GW$35-GW$36</f>
        <v/>
      </c>
      <c r="GX38" s="267">
        <f>GX$35-GX$36</f>
        <v/>
      </c>
      <c r="GY38" s="267">
        <f>GY$35-GY$36</f>
        <v/>
      </c>
      <c r="GZ38" s="267">
        <f>GZ$35-GZ$36</f>
        <v/>
      </c>
      <c r="HA38" s="267">
        <f>HA$35-HA$36</f>
        <v/>
      </c>
      <c r="HB38" s="267">
        <f>HB$35-HB$36</f>
        <v/>
      </c>
      <c r="HC38" s="267">
        <f>HC$35-HC$36</f>
        <v/>
      </c>
      <c r="HD38" s="267">
        <f>HD$35-HD$36</f>
        <v/>
      </c>
      <c r="HE38" s="267">
        <f>HE$35-HE$36</f>
        <v/>
      </c>
      <c r="HF38" s="267">
        <f>HF$35-HF$36</f>
        <v/>
      </c>
      <c r="HG38" s="267">
        <f>HG$35-HG$36</f>
        <v/>
      </c>
      <c r="HH38" s="267">
        <f>HH$35-HH$36</f>
        <v/>
      </c>
      <c r="HI38" s="267">
        <f>HI$35-HI$36</f>
        <v/>
      </c>
      <c r="HJ38" s="267">
        <f>HJ$35-HJ$36</f>
        <v/>
      </c>
      <c r="HK38" s="267">
        <f>HK$35-HK$36</f>
        <v/>
      </c>
      <c r="HL38" s="267">
        <f>HL$35-HL$36</f>
        <v/>
      </c>
      <c r="HM38" s="267">
        <f>HM$35-HM$36</f>
        <v/>
      </c>
      <c r="HN38" s="267">
        <f>HN$35-HN$36</f>
        <v/>
      </c>
      <c r="HO38" s="267">
        <f>HO$35-HO$36</f>
        <v/>
      </c>
      <c r="HP38" s="267">
        <f>HP$35-HP$36</f>
        <v/>
      </c>
      <c r="HQ38" s="267">
        <f>HQ$35-HQ$36</f>
        <v/>
      </c>
      <c r="HR38" s="267">
        <f>HR$35-HR$36</f>
        <v/>
      </c>
      <c r="HS38" s="267">
        <f>HS$35-HS$36</f>
        <v/>
      </c>
      <c r="HT38" s="267">
        <f>HT$35-HT$36</f>
        <v/>
      </c>
      <c r="HU38" s="267">
        <f>HU$35-HU$36</f>
        <v/>
      </c>
      <c r="HV38" s="267">
        <f>HV$35-HV$36</f>
        <v/>
      </c>
      <c r="HW38" s="267">
        <f>HW$35-HW$36</f>
        <v/>
      </c>
      <c r="HX38" s="267">
        <f>HX$35-HX$36</f>
        <v/>
      </c>
      <c r="HY38" s="267">
        <f>HY$35-HY$36</f>
        <v/>
      </c>
      <c r="HZ38" s="267">
        <f>HZ$35-HZ$36</f>
        <v/>
      </c>
      <c r="IA38" s="267">
        <f>IA$35-IA$36</f>
        <v/>
      </c>
      <c r="IB38" s="267">
        <f>IB$35-IB$36</f>
        <v/>
      </c>
      <c r="IC38" s="267">
        <f>IC$35-IC$36</f>
        <v/>
      </c>
      <c r="ID38" s="267">
        <f>ID$35-ID$36</f>
        <v/>
      </c>
      <c r="IE38" s="267">
        <f>IE$35-IE$36</f>
        <v/>
      </c>
      <c r="IF38" s="267">
        <f>IF$35-IF$36</f>
        <v/>
      </c>
      <c r="IG38" s="267">
        <f>IG$35-IG$36</f>
        <v/>
      </c>
      <c r="IH38" s="267">
        <f>IH$35-IH$36</f>
        <v/>
      </c>
      <c r="II38" s="267">
        <f>II$35-II$36</f>
        <v/>
      </c>
      <c r="IJ38" s="267">
        <f>IJ$35-IJ$36</f>
        <v/>
      </c>
      <c r="IK38" s="267">
        <f>IK$35-IK$36</f>
        <v/>
      </c>
      <c r="IL38" s="267">
        <f>IL$35-IL$36</f>
        <v/>
      </c>
      <c r="IM38" s="267">
        <f>IM$35-IM$36</f>
        <v/>
      </c>
      <c r="IN38" s="267">
        <f>IN$35-IN$36</f>
        <v/>
      </c>
      <c r="IO38" s="267">
        <f>IO$35-IO$36</f>
        <v/>
      </c>
      <c r="IP38" s="267">
        <f>IP$35-IP$36</f>
        <v/>
      </c>
      <c r="IQ38" s="267">
        <f>IQ$35-IQ$36</f>
        <v/>
      </c>
      <c r="IR38" s="267">
        <f>IR$35-IR$36</f>
        <v/>
      </c>
      <c r="IS38" s="267">
        <f>IS$35-IS$36</f>
        <v/>
      </c>
      <c r="IT38" s="267">
        <f>IT$35-IT$36</f>
        <v/>
      </c>
      <c r="IU38" s="267">
        <f>IU$35-IU$36</f>
        <v/>
      </c>
      <c r="IV38" s="267">
        <f>IV$35-IV$36</f>
        <v/>
      </c>
      <c r="IW38" s="267">
        <f>IW$35-IW$36</f>
        <v/>
      </c>
      <c r="IX38" s="267">
        <f>IX$35-IX$36</f>
        <v/>
      </c>
      <c r="IY38" s="267">
        <f>IY$35-IY$36</f>
        <v/>
      </c>
      <c r="IZ38" s="267">
        <f>IZ$35-IZ$36</f>
        <v/>
      </c>
      <c r="JA38" s="267">
        <f>JA$35-JA$36</f>
        <v/>
      </c>
      <c r="JB38" s="267">
        <f>JB$35-JB$36</f>
        <v/>
      </c>
      <c r="JC38" s="267">
        <f>JC$35-JC$36</f>
        <v/>
      </c>
      <c r="JD38" s="267">
        <f>JD$35-JD$36</f>
        <v/>
      </c>
      <c r="JE38" s="267">
        <f>JE$35-JE$36</f>
        <v/>
      </c>
      <c r="JF38" s="267">
        <f>JF$35-JF$36</f>
        <v/>
      </c>
      <c r="JG38" s="267">
        <f>JG$35-JG$36</f>
        <v/>
      </c>
      <c r="JH38" s="267">
        <f>JH$35-JH$36</f>
        <v/>
      </c>
      <c r="JI38" s="267">
        <f>JI$35-JI$36</f>
        <v/>
      </c>
      <c r="JJ38" s="267">
        <f>JJ$35-JJ$36</f>
        <v/>
      </c>
      <c r="JK38" s="267">
        <f>JK$35-JK$36</f>
        <v/>
      </c>
      <c r="JL38" s="267">
        <f>JL$35-JL$36</f>
        <v/>
      </c>
      <c r="JM38" s="267">
        <f>JM$35-JM$36</f>
        <v/>
      </c>
      <c r="JN38" s="267">
        <f>JN$35-JN$36</f>
        <v/>
      </c>
      <c r="JO38" s="267">
        <f>JO$35-JO$36</f>
        <v/>
      </c>
      <c r="JP38" s="267">
        <f>JP$35-JP$36</f>
        <v/>
      </c>
      <c r="JQ38" s="267">
        <f>JQ$35-JQ$36</f>
        <v/>
      </c>
      <c r="JR38" s="267">
        <f>JR$35-JR$36</f>
        <v/>
      </c>
      <c r="JS38" s="267">
        <f>JS$35-JS$36</f>
        <v/>
      </c>
      <c r="JT38" s="267">
        <f>JT$35-JT$36</f>
        <v/>
      </c>
      <c r="JU38" s="267">
        <f>JU$35-JU$36</f>
        <v/>
      </c>
      <c r="JV38" s="267">
        <f>JV$35-JV$36</f>
        <v/>
      </c>
      <c r="JW38" s="267">
        <f>JW$35-JW$36</f>
        <v/>
      </c>
      <c r="JX38" s="267">
        <f>JX$35-JX$36</f>
        <v/>
      </c>
      <c r="JY38" s="267">
        <f>JY$35-JY$36</f>
        <v/>
      </c>
      <c r="JZ38" s="267">
        <f>JZ$35-JZ$36</f>
        <v/>
      </c>
      <c r="KA38" s="267">
        <f>KA$35-KA$36</f>
        <v/>
      </c>
      <c r="KB38" s="267">
        <f>KB$35-KB$36</f>
        <v/>
      </c>
      <c r="KC38" s="267">
        <f>KC$35-KC$36</f>
        <v/>
      </c>
      <c r="KD38" s="267">
        <f>KD$35-KD$36</f>
        <v/>
      </c>
      <c r="KE38" s="267">
        <f>KE$35-KE$36</f>
        <v/>
      </c>
      <c r="KF38" s="267">
        <f>KF$35-KF$36</f>
        <v/>
      </c>
      <c r="KG38" s="267">
        <f>KG$35-KG$36</f>
        <v/>
      </c>
      <c r="KH38" s="267">
        <f>KH$35-KH$36</f>
        <v/>
      </c>
      <c r="KI38" s="267">
        <f>KI$35-KI$36</f>
        <v/>
      </c>
      <c r="KJ38" s="267">
        <f>KJ$35-KJ$36</f>
        <v/>
      </c>
      <c r="KK38" s="267">
        <f>KK$35-KK$36</f>
        <v/>
      </c>
      <c r="KL38" s="267">
        <f>KL$35-KL$36</f>
        <v/>
      </c>
      <c r="KM38" s="267">
        <f>KM$35-KM$36</f>
        <v/>
      </c>
      <c r="KN38" s="267">
        <f>KN$35-KN$36</f>
        <v/>
      </c>
      <c r="KO38" s="267">
        <f>KO$35-KO$36</f>
        <v/>
      </c>
      <c r="KP38" s="267">
        <f>KP$35-KP$36</f>
        <v/>
      </c>
      <c r="KQ38" s="267">
        <f>KQ$35-KQ$36</f>
        <v/>
      </c>
      <c r="KR38" s="267">
        <f>KR$35-KR$36</f>
        <v/>
      </c>
      <c r="KS38" s="267">
        <f>KS$35-KS$36</f>
        <v/>
      </c>
      <c r="KT38" s="267">
        <f>KT$35-KT$36</f>
        <v/>
      </c>
      <c r="KU38" s="267">
        <f>KU$35-KU$36</f>
        <v/>
      </c>
      <c r="KV38" s="267">
        <f>KV$35-KV$36</f>
        <v/>
      </c>
      <c r="KW38" s="267">
        <f>KW$35-KW$36</f>
        <v/>
      </c>
      <c r="KX38" s="267">
        <f>KX$35-KX$36</f>
        <v/>
      </c>
      <c r="KY38" s="267">
        <f>KY$35-KY$36</f>
        <v/>
      </c>
      <c r="KZ38" s="267">
        <f>KZ$35-KZ$36</f>
        <v/>
      </c>
      <c r="LA38" s="267">
        <f>LA$35-LA$36</f>
        <v/>
      </c>
      <c r="LB38" s="267">
        <f>LB$35-LB$36</f>
        <v/>
      </c>
      <c r="LC38" s="267">
        <f>LC$35-LC$36</f>
        <v/>
      </c>
      <c r="LD38" s="267">
        <f>LD$35-LD$36</f>
        <v/>
      </c>
      <c r="LE38" s="267">
        <f>LE$35-LE$36</f>
        <v/>
      </c>
      <c r="LF38" s="267">
        <f>LF$35-LF$36</f>
        <v/>
      </c>
      <c r="LG38" s="267">
        <f>LG$35-LG$36</f>
        <v/>
      </c>
      <c r="LH38" s="267">
        <f>LH$35-LH$36</f>
        <v/>
      </c>
      <c r="LI38" s="267">
        <f>LI$35-LI$36</f>
        <v/>
      </c>
      <c r="LJ38" s="267">
        <f>LJ$35-LJ$36</f>
        <v/>
      </c>
      <c r="LK38" s="267">
        <f>LK$35-LK$36</f>
        <v/>
      </c>
      <c r="LL38" s="267">
        <f>LL$35-LL$36</f>
        <v/>
      </c>
      <c r="LM38" s="267">
        <f>LM$35-LM$36</f>
        <v/>
      </c>
      <c r="LN38" s="267">
        <f>LN$35-LN$36</f>
        <v/>
      </c>
      <c r="LO38" s="267">
        <f>LO$35-LO$36</f>
        <v/>
      </c>
      <c r="LP38" s="267">
        <f>LP$35-LP$36</f>
        <v/>
      </c>
      <c r="LQ38" s="267">
        <f>LQ$35-LQ$36</f>
        <v/>
      </c>
      <c r="LR38" s="267">
        <f>LR$35-LR$36</f>
        <v/>
      </c>
      <c r="LS38" s="267">
        <f>LS$35-LS$36</f>
        <v/>
      </c>
      <c r="LT38" s="267">
        <f>LT$35-LT$36</f>
        <v/>
      </c>
      <c r="LU38" s="267">
        <f>LU$35-LU$36</f>
        <v/>
      </c>
      <c r="LV38" s="267">
        <f>LV$35-LV$36</f>
        <v/>
      </c>
      <c r="LW38" s="267">
        <f>LW$35-LW$36</f>
        <v/>
      </c>
      <c r="LX38" s="267">
        <f>LX$35-LX$36</f>
        <v/>
      </c>
      <c r="LY38" s="267">
        <f>LY$35-LY$36</f>
        <v/>
      </c>
      <c r="LZ38" s="267">
        <f>LZ$35-LZ$36</f>
        <v/>
      </c>
      <c r="MA38" s="267">
        <f>MA$35-MA$36</f>
        <v/>
      </c>
      <c r="MB38" s="267">
        <f>MB$35-MB$36</f>
        <v/>
      </c>
      <c r="MC38" s="267">
        <f>MC$35-MC$36</f>
        <v/>
      </c>
      <c r="MD38" s="267">
        <f>MD$35-MD$36</f>
        <v/>
      </c>
      <c r="ME38" s="267">
        <f>ME$35-ME$36</f>
        <v/>
      </c>
      <c r="MF38" s="267">
        <f>MF$35-MF$36</f>
        <v/>
      </c>
      <c r="MG38" s="267">
        <f>MG$35-MG$36</f>
        <v/>
      </c>
      <c r="MH38" s="267">
        <f>MH$35-MH$36</f>
        <v/>
      </c>
      <c r="MI38" s="267">
        <f>MI$35-MI$36</f>
        <v/>
      </c>
      <c r="MJ38" s="267">
        <f>MJ$35-MJ$36</f>
        <v/>
      </c>
      <c r="MK38" s="267">
        <f>MK$35-MK$36</f>
        <v/>
      </c>
      <c r="ML38" s="267">
        <f>ML$35-ML$36</f>
        <v/>
      </c>
      <c r="MM38" s="267">
        <f>MM$35-MM$36</f>
        <v/>
      </c>
      <c r="MN38" s="267">
        <f>MN$35-MN$36</f>
        <v/>
      </c>
      <c r="MO38" s="267">
        <f>MO$35-MO$36</f>
        <v/>
      </c>
      <c r="MP38" s="267">
        <f>MP$35-MP$36</f>
        <v/>
      </c>
      <c r="MQ38" s="267">
        <f>MQ$35-MQ$36</f>
        <v/>
      </c>
      <c r="MR38" s="267">
        <f>MR$35-MR$36</f>
        <v/>
      </c>
      <c r="MS38" s="267">
        <f>MS$35-MS$36</f>
        <v/>
      </c>
      <c r="MT38" s="267">
        <f>MT$35-MT$36</f>
        <v/>
      </c>
      <c r="MU38" s="267">
        <f>MU$35-MU$36</f>
        <v/>
      </c>
      <c r="MV38" s="267">
        <f>MV$35-MV$36</f>
        <v/>
      </c>
      <c r="MW38" s="267">
        <f>MW$35-MW$36</f>
        <v/>
      </c>
      <c r="MX38" s="267">
        <f>MX$35-MX$36</f>
        <v/>
      </c>
      <c r="MY38" s="267">
        <f>MY$35-MY$36</f>
        <v/>
      </c>
      <c r="MZ38" s="267">
        <f>MZ$35-MZ$36</f>
        <v/>
      </c>
      <c r="NA38" s="267">
        <f>NA$35-NA$36</f>
        <v/>
      </c>
      <c r="NB38" s="267">
        <f>NB$35-NB$36</f>
        <v/>
      </c>
      <c r="NC38" s="267">
        <f>NC$35-NC$36</f>
        <v/>
      </c>
      <c r="ND38" s="267">
        <f>ND$35-ND$36</f>
        <v/>
      </c>
      <c r="NE38" s="267">
        <f>NE$35-NE$36</f>
        <v/>
      </c>
      <c r="NF38" s="267">
        <f>NF$35-NF$36</f>
        <v/>
      </c>
      <c r="NG38" s="267">
        <f>NG$35-NG$36</f>
        <v/>
      </c>
      <c r="NH38" s="267">
        <f>NH$35-NH$36</f>
        <v/>
      </c>
      <c r="NI38" s="267">
        <f>NI$35-NI$36</f>
        <v/>
      </c>
      <c r="NJ38" s="267">
        <f>NJ$35-NJ$36</f>
        <v/>
      </c>
      <c r="NK38" s="267">
        <f>NK$35-NK$36</f>
        <v/>
      </c>
      <c r="NL38" s="253">
        <f>NL$35-NL$36</f>
        <v/>
      </c>
    </row>
    <row r="39">
      <c r="B39" s="154" t="inlineStr">
        <is>
          <t>Below-NOI Items</t>
        </is>
      </c>
      <c r="C39" s="155" t="n"/>
      <c r="D39" s="155" t="n"/>
      <c r="NL39" s="53" t="n"/>
    </row>
    <row r="40">
      <c r="B40" s="36" t="inlineStr">
        <is>
          <t>Capital Reserves + Tax Prep + Asset Mgmt Fee</t>
        </is>
      </c>
      <c r="D40" s="266">
        <f>SUM(E40:NL40)</f>
        <v/>
      </c>
      <c r="E40" s="218">
        <f>IF(1&gt;=DeliverStart,CapReservePerUnit*TotalUnits/12+TaxPrepPerUnit*TotalUnits/12+AssetMgmtFeePct*E$23,0)</f>
        <v/>
      </c>
      <c r="F40" s="218">
        <f>IF(2&gt;=DeliverStart,CapReservePerUnit*TotalUnits/12+TaxPrepPerUnit*TotalUnits/12+AssetMgmtFeePct*F$23,0)</f>
        <v/>
      </c>
      <c r="G40" s="218">
        <f>IF(3&gt;=DeliverStart,CapReservePerUnit*TotalUnits/12+TaxPrepPerUnit*TotalUnits/12+AssetMgmtFeePct*G$23,0)</f>
        <v/>
      </c>
      <c r="H40" s="218">
        <f>IF(4&gt;=DeliverStart,CapReservePerUnit*TotalUnits/12+TaxPrepPerUnit*TotalUnits/12+AssetMgmtFeePct*H$23,0)</f>
        <v/>
      </c>
      <c r="I40" s="218">
        <f>IF(5&gt;=DeliverStart,CapReservePerUnit*TotalUnits/12+TaxPrepPerUnit*TotalUnits/12+AssetMgmtFeePct*I$23,0)</f>
        <v/>
      </c>
      <c r="J40" s="218">
        <f>IF(6&gt;=DeliverStart,CapReservePerUnit*TotalUnits/12+TaxPrepPerUnit*TotalUnits/12+AssetMgmtFeePct*J$23,0)</f>
        <v/>
      </c>
      <c r="K40" s="218">
        <f>IF(7&gt;=DeliverStart,CapReservePerUnit*TotalUnits/12+TaxPrepPerUnit*TotalUnits/12+AssetMgmtFeePct*K$23,0)</f>
        <v/>
      </c>
      <c r="L40" s="218">
        <f>IF(8&gt;=DeliverStart,CapReservePerUnit*TotalUnits/12+TaxPrepPerUnit*TotalUnits/12+AssetMgmtFeePct*L$23,0)</f>
        <v/>
      </c>
      <c r="M40" s="218">
        <f>IF(9&gt;=DeliverStart,CapReservePerUnit*TotalUnits/12+TaxPrepPerUnit*TotalUnits/12+AssetMgmtFeePct*M$23,0)</f>
        <v/>
      </c>
      <c r="N40" s="218">
        <f>IF(10&gt;=DeliverStart,CapReservePerUnit*TotalUnits/12+TaxPrepPerUnit*TotalUnits/12+AssetMgmtFeePct*N$23,0)</f>
        <v/>
      </c>
      <c r="O40" s="218">
        <f>IF(11&gt;=DeliverStart,CapReservePerUnit*TotalUnits/12+TaxPrepPerUnit*TotalUnits/12+AssetMgmtFeePct*O$23,0)</f>
        <v/>
      </c>
      <c r="P40" s="218">
        <f>IF(12&gt;=DeliverStart,CapReservePerUnit*TotalUnits/12+TaxPrepPerUnit*TotalUnits/12+AssetMgmtFeePct*P$23,0)</f>
        <v/>
      </c>
      <c r="Q40" s="218">
        <f>IF(13&gt;=DeliverStart,CapReservePerUnit*TotalUnits/12+TaxPrepPerUnit*TotalUnits/12+AssetMgmtFeePct*Q$23,0)</f>
        <v/>
      </c>
      <c r="R40" s="218">
        <f>IF(14&gt;=DeliverStart,CapReservePerUnit*TotalUnits/12+TaxPrepPerUnit*TotalUnits/12+AssetMgmtFeePct*R$23,0)</f>
        <v/>
      </c>
      <c r="S40" s="218">
        <f>IF(15&gt;=DeliverStart,CapReservePerUnit*TotalUnits/12+TaxPrepPerUnit*TotalUnits/12+AssetMgmtFeePct*S$23,0)</f>
        <v/>
      </c>
      <c r="T40" s="218">
        <f>IF(16&gt;=DeliverStart,CapReservePerUnit*TotalUnits/12+TaxPrepPerUnit*TotalUnits/12+AssetMgmtFeePct*T$23,0)</f>
        <v/>
      </c>
      <c r="U40" s="218">
        <f>IF(17&gt;=DeliverStart,CapReservePerUnit*TotalUnits/12+TaxPrepPerUnit*TotalUnits/12+AssetMgmtFeePct*U$23,0)</f>
        <v/>
      </c>
      <c r="V40" s="218">
        <f>IF(18&gt;=DeliverStart,CapReservePerUnit*TotalUnits/12+TaxPrepPerUnit*TotalUnits/12+AssetMgmtFeePct*V$23,0)</f>
        <v/>
      </c>
      <c r="W40" s="218">
        <f>IF(19&gt;=DeliverStart,CapReservePerUnit*TotalUnits/12+TaxPrepPerUnit*TotalUnits/12+AssetMgmtFeePct*W$23,0)</f>
        <v/>
      </c>
      <c r="X40" s="218">
        <f>IF(20&gt;=DeliverStart,CapReservePerUnit*TotalUnits/12+TaxPrepPerUnit*TotalUnits/12+AssetMgmtFeePct*X$23,0)</f>
        <v/>
      </c>
      <c r="Y40" s="218">
        <f>IF(21&gt;=DeliverStart,CapReservePerUnit*TotalUnits/12+TaxPrepPerUnit*TotalUnits/12+AssetMgmtFeePct*Y$23,0)</f>
        <v/>
      </c>
      <c r="Z40" s="218">
        <f>IF(22&gt;=DeliverStart,CapReservePerUnit*TotalUnits/12+TaxPrepPerUnit*TotalUnits/12+AssetMgmtFeePct*Z$23,0)</f>
        <v/>
      </c>
      <c r="AA40" s="218">
        <f>IF(23&gt;=DeliverStart,CapReservePerUnit*TotalUnits/12+TaxPrepPerUnit*TotalUnits/12+AssetMgmtFeePct*AA$23,0)</f>
        <v/>
      </c>
      <c r="AB40" s="218">
        <f>IF(24&gt;=DeliverStart,CapReservePerUnit*TotalUnits/12+TaxPrepPerUnit*TotalUnits/12+AssetMgmtFeePct*AB$23,0)</f>
        <v/>
      </c>
      <c r="AC40" s="218">
        <f>IF(25&gt;=DeliverStart,CapReservePerUnit*TotalUnits/12+TaxPrepPerUnit*TotalUnits/12+AssetMgmtFeePct*AC$23,0)</f>
        <v/>
      </c>
      <c r="AD40" s="218">
        <f>IF(26&gt;=DeliverStart,CapReservePerUnit*TotalUnits/12+TaxPrepPerUnit*TotalUnits/12+AssetMgmtFeePct*AD$23,0)</f>
        <v/>
      </c>
      <c r="AE40" s="218">
        <f>IF(27&gt;=DeliverStart,CapReservePerUnit*TotalUnits/12+TaxPrepPerUnit*TotalUnits/12+AssetMgmtFeePct*AE$23,0)</f>
        <v/>
      </c>
      <c r="AF40" s="218">
        <f>IF(28&gt;=DeliverStart,CapReservePerUnit*TotalUnits/12+TaxPrepPerUnit*TotalUnits/12+AssetMgmtFeePct*AF$23,0)</f>
        <v/>
      </c>
      <c r="AG40" s="218">
        <f>IF(29&gt;=DeliverStart,CapReservePerUnit*TotalUnits/12+TaxPrepPerUnit*TotalUnits/12+AssetMgmtFeePct*AG$23,0)</f>
        <v/>
      </c>
      <c r="AH40" s="218">
        <f>IF(30&gt;=DeliverStart,CapReservePerUnit*TotalUnits/12+TaxPrepPerUnit*TotalUnits/12+AssetMgmtFeePct*AH$23,0)</f>
        <v/>
      </c>
      <c r="AI40" s="218">
        <f>IF(31&gt;=DeliverStart,CapReservePerUnit*TotalUnits/12+TaxPrepPerUnit*TotalUnits/12+AssetMgmtFeePct*AI$23,0)</f>
        <v/>
      </c>
      <c r="AJ40" s="218">
        <f>IF(32&gt;=DeliverStart,CapReservePerUnit*TotalUnits/12+TaxPrepPerUnit*TotalUnits/12+AssetMgmtFeePct*AJ$23,0)</f>
        <v/>
      </c>
      <c r="AK40" s="218">
        <f>IF(33&gt;=DeliverStart,CapReservePerUnit*TotalUnits/12+TaxPrepPerUnit*TotalUnits/12+AssetMgmtFeePct*AK$23,0)</f>
        <v/>
      </c>
      <c r="AL40" s="218">
        <f>IF(34&gt;=DeliverStart,CapReservePerUnit*TotalUnits/12+TaxPrepPerUnit*TotalUnits/12+AssetMgmtFeePct*AL$23,0)</f>
        <v/>
      </c>
      <c r="AM40" s="218">
        <f>IF(35&gt;=DeliverStart,CapReservePerUnit*TotalUnits/12+TaxPrepPerUnit*TotalUnits/12+AssetMgmtFeePct*AM$23,0)</f>
        <v/>
      </c>
      <c r="AN40" s="218">
        <f>IF(36&gt;=DeliverStart,CapReservePerUnit*TotalUnits/12+TaxPrepPerUnit*TotalUnits/12+AssetMgmtFeePct*AN$23,0)</f>
        <v/>
      </c>
      <c r="AO40" s="218">
        <f>IF(37&gt;=DeliverStart,CapReservePerUnit*TotalUnits/12+TaxPrepPerUnit*TotalUnits/12+AssetMgmtFeePct*AO$23,0)</f>
        <v/>
      </c>
      <c r="AP40" s="218">
        <f>IF(38&gt;=DeliverStart,CapReservePerUnit*TotalUnits/12+TaxPrepPerUnit*TotalUnits/12+AssetMgmtFeePct*AP$23,0)</f>
        <v/>
      </c>
      <c r="AQ40" s="218">
        <f>IF(39&gt;=DeliverStart,CapReservePerUnit*TotalUnits/12+TaxPrepPerUnit*TotalUnits/12+AssetMgmtFeePct*AQ$23,0)</f>
        <v/>
      </c>
      <c r="AR40" s="218">
        <f>IF(40&gt;=DeliverStart,CapReservePerUnit*TotalUnits/12+TaxPrepPerUnit*TotalUnits/12+AssetMgmtFeePct*AR$23,0)</f>
        <v/>
      </c>
      <c r="AS40" s="218">
        <f>IF(41&gt;=DeliverStart,CapReservePerUnit*TotalUnits/12+TaxPrepPerUnit*TotalUnits/12+AssetMgmtFeePct*AS$23,0)</f>
        <v/>
      </c>
      <c r="AT40" s="218">
        <f>IF(42&gt;=DeliverStart,CapReservePerUnit*TotalUnits/12+TaxPrepPerUnit*TotalUnits/12+AssetMgmtFeePct*AT$23,0)</f>
        <v/>
      </c>
      <c r="AU40" s="218">
        <f>IF(43&gt;=DeliverStart,CapReservePerUnit*TotalUnits/12+TaxPrepPerUnit*TotalUnits/12+AssetMgmtFeePct*AU$23,0)</f>
        <v/>
      </c>
      <c r="AV40" s="218">
        <f>IF(44&gt;=DeliverStart,CapReservePerUnit*TotalUnits/12+TaxPrepPerUnit*TotalUnits/12+AssetMgmtFeePct*AV$23,0)</f>
        <v/>
      </c>
      <c r="AW40" s="218">
        <f>IF(45&gt;=DeliverStart,CapReservePerUnit*TotalUnits/12+TaxPrepPerUnit*TotalUnits/12+AssetMgmtFeePct*AW$23,0)</f>
        <v/>
      </c>
      <c r="AX40" s="218">
        <f>IF(46&gt;=DeliverStart,CapReservePerUnit*TotalUnits/12+TaxPrepPerUnit*TotalUnits/12+AssetMgmtFeePct*AX$23,0)</f>
        <v/>
      </c>
      <c r="AY40" s="218">
        <f>IF(47&gt;=DeliverStart,CapReservePerUnit*TotalUnits/12+TaxPrepPerUnit*TotalUnits/12+AssetMgmtFeePct*AY$23,0)</f>
        <v/>
      </c>
      <c r="AZ40" s="218">
        <f>IF(48&gt;=DeliverStart,CapReservePerUnit*TotalUnits/12+TaxPrepPerUnit*TotalUnits/12+AssetMgmtFeePct*AZ$23,0)</f>
        <v/>
      </c>
      <c r="BA40" s="218">
        <f>IF(49&gt;=DeliverStart,CapReservePerUnit*TotalUnits/12+TaxPrepPerUnit*TotalUnits/12+AssetMgmtFeePct*BA$23,0)</f>
        <v/>
      </c>
      <c r="BB40" s="218">
        <f>IF(50&gt;=DeliverStart,CapReservePerUnit*TotalUnits/12+TaxPrepPerUnit*TotalUnits/12+AssetMgmtFeePct*BB$23,0)</f>
        <v/>
      </c>
      <c r="BC40" s="218">
        <f>IF(51&gt;=DeliverStart,CapReservePerUnit*TotalUnits/12+TaxPrepPerUnit*TotalUnits/12+AssetMgmtFeePct*BC$23,0)</f>
        <v/>
      </c>
      <c r="BD40" s="218">
        <f>IF(52&gt;=DeliverStart,CapReservePerUnit*TotalUnits/12+TaxPrepPerUnit*TotalUnits/12+AssetMgmtFeePct*BD$23,0)</f>
        <v/>
      </c>
      <c r="BE40" s="218">
        <f>IF(53&gt;=DeliverStart,CapReservePerUnit*TotalUnits/12+TaxPrepPerUnit*TotalUnits/12+AssetMgmtFeePct*BE$23,0)</f>
        <v/>
      </c>
      <c r="BF40" s="218">
        <f>IF(54&gt;=DeliverStart,CapReservePerUnit*TotalUnits/12+TaxPrepPerUnit*TotalUnits/12+AssetMgmtFeePct*BF$23,0)</f>
        <v/>
      </c>
      <c r="BG40" s="218">
        <f>IF(55&gt;=DeliverStart,CapReservePerUnit*TotalUnits/12+TaxPrepPerUnit*TotalUnits/12+AssetMgmtFeePct*BG$23,0)</f>
        <v/>
      </c>
      <c r="BH40" s="218">
        <f>IF(56&gt;=DeliverStart,CapReservePerUnit*TotalUnits/12+TaxPrepPerUnit*TotalUnits/12+AssetMgmtFeePct*BH$23,0)</f>
        <v/>
      </c>
      <c r="BI40" s="218">
        <f>IF(57&gt;=DeliverStart,CapReservePerUnit*TotalUnits/12+TaxPrepPerUnit*TotalUnits/12+AssetMgmtFeePct*BI$23,0)</f>
        <v/>
      </c>
      <c r="BJ40" s="218">
        <f>IF(58&gt;=DeliverStart,CapReservePerUnit*TotalUnits/12+TaxPrepPerUnit*TotalUnits/12+AssetMgmtFeePct*BJ$23,0)</f>
        <v/>
      </c>
      <c r="BK40" s="218">
        <f>IF(59&gt;=DeliverStart,CapReservePerUnit*TotalUnits/12+TaxPrepPerUnit*TotalUnits/12+AssetMgmtFeePct*BK$23,0)</f>
        <v/>
      </c>
      <c r="BL40" s="218">
        <f>IF(60&gt;=DeliverStart,CapReservePerUnit*TotalUnits/12+TaxPrepPerUnit*TotalUnits/12+AssetMgmtFeePct*BL$23,0)</f>
        <v/>
      </c>
      <c r="BM40" s="218">
        <f>IF(61&gt;=DeliverStart,CapReservePerUnit*TotalUnits/12+TaxPrepPerUnit*TotalUnits/12+AssetMgmtFeePct*BM$23,0)</f>
        <v/>
      </c>
      <c r="BN40" s="218">
        <f>IF(62&gt;=DeliverStart,CapReservePerUnit*TotalUnits/12+TaxPrepPerUnit*TotalUnits/12+AssetMgmtFeePct*BN$23,0)</f>
        <v/>
      </c>
      <c r="BO40" s="218">
        <f>IF(63&gt;=DeliverStart,CapReservePerUnit*TotalUnits/12+TaxPrepPerUnit*TotalUnits/12+AssetMgmtFeePct*BO$23,0)</f>
        <v/>
      </c>
      <c r="BP40" s="218">
        <f>IF(64&gt;=DeliverStart,CapReservePerUnit*TotalUnits/12+TaxPrepPerUnit*TotalUnits/12+AssetMgmtFeePct*BP$23,0)</f>
        <v/>
      </c>
      <c r="BQ40" s="218">
        <f>IF(65&gt;=DeliverStart,CapReservePerUnit*TotalUnits/12+TaxPrepPerUnit*TotalUnits/12+AssetMgmtFeePct*BQ$23,0)</f>
        <v/>
      </c>
      <c r="BR40" s="218">
        <f>IF(66&gt;=DeliverStart,CapReservePerUnit*TotalUnits/12+TaxPrepPerUnit*TotalUnits/12+AssetMgmtFeePct*BR$23,0)</f>
        <v/>
      </c>
      <c r="BS40" s="218">
        <f>IF(67&gt;=DeliverStart,CapReservePerUnit*TotalUnits/12+TaxPrepPerUnit*TotalUnits/12+AssetMgmtFeePct*BS$23,0)</f>
        <v/>
      </c>
      <c r="BT40" s="218">
        <f>IF(68&gt;=DeliverStart,CapReservePerUnit*TotalUnits/12+TaxPrepPerUnit*TotalUnits/12+AssetMgmtFeePct*BT$23,0)</f>
        <v/>
      </c>
      <c r="BU40" s="218">
        <f>IF(69&gt;=DeliverStart,CapReservePerUnit*TotalUnits/12+TaxPrepPerUnit*TotalUnits/12+AssetMgmtFeePct*BU$23,0)</f>
        <v/>
      </c>
      <c r="BV40" s="218">
        <f>IF(70&gt;=DeliverStart,CapReservePerUnit*TotalUnits/12+TaxPrepPerUnit*TotalUnits/12+AssetMgmtFeePct*BV$23,0)</f>
        <v/>
      </c>
      <c r="BW40" s="218">
        <f>IF(71&gt;=DeliverStart,CapReservePerUnit*TotalUnits/12+TaxPrepPerUnit*TotalUnits/12+AssetMgmtFeePct*BW$23,0)</f>
        <v/>
      </c>
      <c r="BX40" s="218">
        <f>IF(72&gt;=DeliverStart,CapReservePerUnit*TotalUnits/12+TaxPrepPerUnit*TotalUnits/12+AssetMgmtFeePct*BX$23,0)</f>
        <v/>
      </c>
      <c r="BY40" s="218">
        <f>IF(73&gt;=DeliverStart,CapReservePerUnit*TotalUnits/12+TaxPrepPerUnit*TotalUnits/12+AssetMgmtFeePct*BY$23,0)</f>
        <v/>
      </c>
      <c r="BZ40" s="218">
        <f>IF(74&gt;=DeliverStart,CapReservePerUnit*TotalUnits/12+TaxPrepPerUnit*TotalUnits/12+AssetMgmtFeePct*BZ$23,0)</f>
        <v/>
      </c>
      <c r="CA40" s="218">
        <f>IF(75&gt;=DeliverStart,CapReservePerUnit*TotalUnits/12+TaxPrepPerUnit*TotalUnits/12+AssetMgmtFeePct*CA$23,0)</f>
        <v/>
      </c>
      <c r="CB40" s="218">
        <f>IF(76&gt;=DeliverStart,CapReservePerUnit*TotalUnits/12+TaxPrepPerUnit*TotalUnits/12+AssetMgmtFeePct*CB$23,0)</f>
        <v/>
      </c>
      <c r="CC40" s="218">
        <f>IF(77&gt;=DeliverStart,CapReservePerUnit*TotalUnits/12+TaxPrepPerUnit*TotalUnits/12+AssetMgmtFeePct*CC$23,0)</f>
        <v/>
      </c>
      <c r="CD40" s="218">
        <f>IF(78&gt;=DeliverStart,CapReservePerUnit*TotalUnits/12+TaxPrepPerUnit*TotalUnits/12+AssetMgmtFeePct*CD$23,0)</f>
        <v/>
      </c>
      <c r="CE40" s="218">
        <f>IF(79&gt;=DeliverStart,CapReservePerUnit*TotalUnits/12+TaxPrepPerUnit*TotalUnits/12+AssetMgmtFeePct*CE$23,0)</f>
        <v/>
      </c>
      <c r="CF40" s="218">
        <f>IF(80&gt;=DeliverStart,CapReservePerUnit*TotalUnits/12+TaxPrepPerUnit*TotalUnits/12+AssetMgmtFeePct*CF$23,0)</f>
        <v/>
      </c>
      <c r="CG40" s="218">
        <f>IF(81&gt;=DeliverStart,CapReservePerUnit*TotalUnits/12+TaxPrepPerUnit*TotalUnits/12+AssetMgmtFeePct*CG$23,0)</f>
        <v/>
      </c>
      <c r="CH40" s="218">
        <f>IF(82&gt;=DeliverStart,CapReservePerUnit*TotalUnits/12+TaxPrepPerUnit*TotalUnits/12+AssetMgmtFeePct*CH$23,0)</f>
        <v/>
      </c>
      <c r="CI40" s="218">
        <f>IF(83&gt;=DeliverStart,CapReservePerUnit*TotalUnits/12+TaxPrepPerUnit*TotalUnits/12+AssetMgmtFeePct*CI$23,0)</f>
        <v/>
      </c>
      <c r="CJ40" s="218">
        <f>IF(84&gt;=DeliverStart,CapReservePerUnit*TotalUnits/12+TaxPrepPerUnit*TotalUnits/12+AssetMgmtFeePct*CJ$23,0)</f>
        <v/>
      </c>
      <c r="CK40" s="218">
        <f>IF(85&gt;=DeliverStart,CapReservePerUnit*TotalUnits/12+TaxPrepPerUnit*TotalUnits/12+AssetMgmtFeePct*CK$23,0)</f>
        <v/>
      </c>
      <c r="CL40" s="218">
        <f>IF(86&gt;=DeliverStart,CapReservePerUnit*TotalUnits/12+TaxPrepPerUnit*TotalUnits/12+AssetMgmtFeePct*CL$23,0)</f>
        <v/>
      </c>
      <c r="CM40" s="218">
        <f>IF(87&gt;=DeliverStart,CapReservePerUnit*TotalUnits/12+TaxPrepPerUnit*TotalUnits/12+AssetMgmtFeePct*CM$23,0)</f>
        <v/>
      </c>
      <c r="CN40" s="218">
        <f>IF(88&gt;=DeliverStart,CapReservePerUnit*TotalUnits/12+TaxPrepPerUnit*TotalUnits/12+AssetMgmtFeePct*CN$23,0)</f>
        <v/>
      </c>
      <c r="CO40" s="218">
        <f>IF(89&gt;=DeliverStart,CapReservePerUnit*TotalUnits/12+TaxPrepPerUnit*TotalUnits/12+AssetMgmtFeePct*CO$23,0)</f>
        <v/>
      </c>
      <c r="CP40" s="218">
        <f>IF(90&gt;=DeliverStart,CapReservePerUnit*TotalUnits/12+TaxPrepPerUnit*TotalUnits/12+AssetMgmtFeePct*CP$23,0)</f>
        <v/>
      </c>
      <c r="CQ40" s="218">
        <f>IF(91&gt;=DeliverStart,CapReservePerUnit*TotalUnits/12+TaxPrepPerUnit*TotalUnits/12+AssetMgmtFeePct*CQ$23,0)</f>
        <v/>
      </c>
      <c r="CR40" s="218">
        <f>IF(92&gt;=DeliverStart,CapReservePerUnit*TotalUnits/12+TaxPrepPerUnit*TotalUnits/12+AssetMgmtFeePct*CR$23,0)</f>
        <v/>
      </c>
      <c r="CS40" s="218">
        <f>IF(93&gt;=DeliverStart,CapReservePerUnit*TotalUnits/12+TaxPrepPerUnit*TotalUnits/12+AssetMgmtFeePct*CS$23,0)</f>
        <v/>
      </c>
      <c r="CT40" s="218">
        <f>IF(94&gt;=DeliverStart,CapReservePerUnit*TotalUnits/12+TaxPrepPerUnit*TotalUnits/12+AssetMgmtFeePct*CT$23,0)</f>
        <v/>
      </c>
      <c r="CU40" s="218">
        <f>IF(95&gt;=DeliverStart,CapReservePerUnit*TotalUnits/12+TaxPrepPerUnit*TotalUnits/12+AssetMgmtFeePct*CU$23,0)</f>
        <v/>
      </c>
      <c r="CV40" s="218">
        <f>IF(96&gt;=DeliverStart,CapReservePerUnit*TotalUnits/12+TaxPrepPerUnit*TotalUnits/12+AssetMgmtFeePct*CV$23,0)</f>
        <v/>
      </c>
      <c r="CW40" s="218">
        <f>IF(97&gt;=DeliverStart,CapReservePerUnit*TotalUnits/12+TaxPrepPerUnit*TotalUnits/12+AssetMgmtFeePct*CW$23,0)</f>
        <v/>
      </c>
      <c r="CX40" s="218">
        <f>IF(98&gt;=DeliverStart,CapReservePerUnit*TotalUnits/12+TaxPrepPerUnit*TotalUnits/12+AssetMgmtFeePct*CX$23,0)</f>
        <v/>
      </c>
      <c r="CY40" s="218">
        <f>IF(99&gt;=DeliverStart,CapReservePerUnit*TotalUnits/12+TaxPrepPerUnit*TotalUnits/12+AssetMgmtFeePct*CY$23,0)</f>
        <v/>
      </c>
      <c r="CZ40" s="218">
        <f>IF(100&gt;=DeliverStart,CapReservePerUnit*TotalUnits/12+TaxPrepPerUnit*TotalUnits/12+AssetMgmtFeePct*CZ$23,0)</f>
        <v/>
      </c>
      <c r="DA40" s="218">
        <f>IF(101&gt;=DeliverStart,CapReservePerUnit*TotalUnits/12+TaxPrepPerUnit*TotalUnits/12+AssetMgmtFeePct*DA$23,0)</f>
        <v/>
      </c>
      <c r="DB40" s="218">
        <f>IF(102&gt;=DeliverStart,CapReservePerUnit*TotalUnits/12+TaxPrepPerUnit*TotalUnits/12+AssetMgmtFeePct*DB$23,0)</f>
        <v/>
      </c>
      <c r="DC40" s="218">
        <f>IF(103&gt;=DeliverStart,CapReservePerUnit*TotalUnits/12+TaxPrepPerUnit*TotalUnits/12+AssetMgmtFeePct*DC$23,0)</f>
        <v/>
      </c>
      <c r="DD40" s="218">
        <f>IF(104&gt;=DeliverStart,CapReservePerUnit*TotalUnits/12+TaxPrepPerUnit*TotalUnits/12+AssetMgmtFeePct*DD$23,0)</f>
        <v/>
      </c>
      <c r="DE40" s="218">
        <f>IF(105&gt;=DeliverStart,CapReservePerUnit*TotalUnits/12+TaxPrepPerUnit*TotalUnits/12+AssetMgmtFeePct*DE$23,0)</f>
        <v/>
      </c>
      <c r="DF40" s="218">
        <f>IF(106&gt;=DeliverStart,CapReservePerUnit*TotalUnits/12+TaxPrepPerUnit*TotalUnits/12+AssetMgmtFeePct*DF$23,0)</f>
        <v/>
      </c>
      <c r="DG40" s="218">
        <f>IF(107&gt;=DeliverStart,CapReservePerUnit*TotalUnits/12+TaxPrepPerUnit*TotalUnits/12+AssetMgmtFeePct*DG$23,0)</f>
        <v/>
      </c>
      <c r="DH40" s="218">
        <f>IF(108&gt;=DeliverStart,CapReservePerUnit*TotalUnits/12+TaxPrepPerUnit*TotalUnits/12+AssetMgmtFeePct*DH$23,0)</f>
        <v/>
      </c>
      <c r="DI40" s="218">
        <f>IF(109&gt;=DeliverStart,CapReservePerUnit*TotalUnits/12+TaxPrepPerUnit*TotalUnits/12+AssetMgmtFeePct*DI$23,0)</f>
        <v/>
      </c>
      <c r="DJ40" s="218">
        <f>IF(110&gt;=DeliverStart,CapReservePerUnit*TotalUnits/12+TaxPrepPerUnit*TotalUnits/12+AssetMgmtFeePct*DJ$23,0)</f>
        <v/>
      </c>
      <c r="DK40" s="218">
        <f>IF(111&gt;=DeliverStart,CapReservePerUnit*TotalUnits/12+TaxPrepPerUnit*TotalUnits/12+AssetMgmtFeePct*DK$23,0)</f>
        <v/>
      </c>
      <c r="DL40" s="218">
        <f>IF(112&gt;=DeliverStart,CapReservePerUnit*TotalUnits/12+TaxPrepPerUnit*TotalUnits/12+AssetMgmtFeePct*DL$23,0)</f>
        <v/>
      </c>
      <c r="DM40" s="218">
        <f>IF(113&gt;=DeliverStart,CapReservePerUnit*TotalUnits/12+TaxPrepPerUnit*TotalUnits/12+AssetMgmtFeePct*DM$23,0)</f>
        <v/>
      </c>
      <c r="DN40" s="218">
        <f>IF(114&gt;=DeliverStart,CapReservePerUnit*TotalUnits/12+TaxPrepPerUnit*TotalUnits/12+AssetMgmtFeePct*DN$23,0)</f>
        <v/>
      </c>
      <c r="DO40" s="218">
        <f>IF(115&gt;=DeliverStart,CapReservePerUnit*TotalUnits/12+TaxPrepPerUnit*TotalUnits/12+AssetMgmtFeePct*DO$23,0)</f>
        <v/>
      </c>
      <c r="DP40" s="218">
        <f>IF(116&gt;=DeliverStart,CapReservePerUnit*TotalUnits/12+TaxPrepPerUnit*TotalUnits/12+AssetMgmtFeePct*DP$23,0)</f>
        <v/>
      </c>
      <c r="DQ40" s="218">
        <f>IF(117&gt;=DeliverStart,CapReservePerUnit*TotalUnits/12+TaxPrepPerUnit*TotalUnits/12+AssetMgmtFeePct*DQ$23,0)</f>
        <v/>
      </c>
      <c r="DR40" s="218">
        <f>IF(118&gt;=DeliverStart,CapReservePerUnit*TotalUnits/12+TaxPrepPerUnit*TotalUnits/12+AssetMgmtFeePct*DR$23,0)</f>
        <v/>
      </c>
      <c r="DS40" s="218">
        <f>IF(119&gt;=DeliverStart,CapReservePerUnit*TotalUnits/12+TaxPrepPerUnit*TotalUnits/12+AssetMgmtFeePct*DS$23,0)</f>
        <v/>
      </c>
      <c r="DT40" s="218">
        <f>IF(120&gt;=DeliverStart,CapReservePerUnit*TotalUnits/12+TaxPrepPerUnit*TotalUnits/12+AssetMgmtFeePct*DT$23,0)</f>
        <v/>
      </c>
      <c r="DU40" s="218">
        <f>IF(121&gt;=DeliverStart,CapReservePerUnit*TotalUnits/12+TaxPrepPerUnit*TotalUnits/12+AssetMgmtFeePct*DU$23,0)</f>
        <v/>
      </c>
      <c r="DV40" s="218">
        <f>IF(122&gt;=DeliverStart,CapReservePerUnit*TotalUnits/12+TaxPrepPerUnit*TotalUnits/12+AssetMgmtFeePct*DV$23,0)</f>
        <v/>
      </c>
      <c r="DW40" s="218">
        <f>IF(123&gt;=DeliverStart,CapReservePerUnit*TotalUnits/12+TaxPrepPerUnit*TotalUnits/12+AssetMgmtFeePct*DW$23,0)</f>
        <v/>
      </c>
      <c r="DX40" s="218">
        <f>IF(124&gt;=DeliverStart,CapReservePerUnit*TotalUnits/12+TaxPrepPerUnit*TotalUnits/12+AssetMgmtFeePct*DX$23,0)</f>
        <v/>
      </c>
      <c r="DY40" s="218">
        <f>IF(125&gt;=DeliverStart,CapReservePerUnit*TotalUnits/12+TaxPrepPerUnit*TotalUnits/12+AssetMgmtFeePct*DY$23,0)</f>
        <v/>
      </c>
      <c r="DZ40" s="218">
        <f>IF(126&gt;=DeliverStart,CapReservePerUnit*TotalUnits/12+TaxPrepPerUnit*TotalUnits/12+AssetMgmtFeePct*DZ$23,0)</f>
        <v/>
      </c>
      <c r="EA40" s="218">
        <f>IF(127&gt;=DeliverStart,CapReservePerUnit*TotalUnits/12+TaxPrepPerUnit*TotalUnits/12+AssetMgmtFeePct*EA$23,0)</f>
        <v/>
      </c>
      <c r="EB40" s="218">
        <f>IF(128&gt;=DeliverStart,CapReservePerUnit*TotalUnits/12+TaxPrepPerUnit*TotalUnits/12+AssetMgmtFeePct*EB$23,0)</f>
        <v/>
      </c>
      <c r="EC40" s="218">
        <f>IF(129&gt;=DeliverStart,CapReservePerUnit*TotalUnits/12+TaxPrepPerUnit*TotalUnits/12+AssetMgmtFeePct*EC$23,0)</f>
        <v/>
      </c>
      <c r="ED40" s="218">
        <f>IF(130&gt;=DeliverStart,CapReservePerUnit*TotalUnits/12+TaxPrepPerUnit*TotalUnits/12+AssetMgmtFeePct*ED$23,0)</f>
        <v/>
      </c>
      <c r="EE40" s="218">
        <f>IF(131&gt;=DeliverStart,CapReservePerUnit*TotalUnits/12+TaxPrepPerUnit*TotalUnits/12+AssetMgmtFeePct*EE$23,0)</f>
        <v/>
      </c>
      <c r="EF40" s="218">
        <f>IF(132&gt;=DeliverStart,CapReservePerUnit*TotalUnits/12+TaxPrepPerUnit*TotalUnits/12+AssetMgmtFeePct*EF$23,0)</f>
        <v/>
      </c>
      <c r="EG40" s="218">
        <f>IF(133&gt;=DeliverStart,CapReservePerUnit*TotalUnits/12+TaxPrepPerUnit*TotalUnits/12+AssetMgmtFeePct*EG$23,0)</f>
        <v/>
      </c>
      <c r="EH40" s="218">
        <f>IF(134&gt;=DeliverStart,CapReservePerUnit*TotalUnits/12+TaxPrepPerUnit*TotalUnits/12+AssetMgmtFeePct*EH$23,0)</f>
        <v/>
      </c>
      <c r="EI40" s="218">
        <f>IF(135&gt;=DeliverStart,CapReservePerUnit*TotalUnits/12+TaxPrepPerUnit*TotalUnits/12+AssetMgmtFeePct*EI$23,0)</f>
        <v/>
      </c>
      <c r="EJ40" s="218">
        <f>IF(136&gt;=DeliverStart,CapReservePerUnit*TotalUnits/12+TaxPrepPerUnit*TotalUnits/12+AssetMgmtFeePct*EJ$23,0)</f>
        <v/>
      </c>
      <c r="EK40" s="218">
        <f>IF(137&gt;=DeliverStart,CapReservePerUnit*TotalUnits/12+TaxPrepPerUnit*TotalUnits/12+AssetMgmtFeePct*EK$23,0)</f>
        <v/>
      </c>
      <c r="EL40" s="218">
        <f>IF(138&gt;=DeliverStart,CapReservePerUnit*TotalUnits/12+TaxPrepPerUnit*TotalUnits/12+AssetMgmtFeePct*EL$23,0)</f>
        <v/>
      </c>
      <c r="EM40" s="218">
        <f>IF(139&gt;=DeliverStart,CapReservePerUnit*TotalUnits/12+TaxPrepPerUnit*TotalUnits/12+AssetMgmtFeePct*EM$23,0)</f>
        <v/>
      </c>
      <c r="EN40" s="218">
        <f>IF(140&gt;=DeliverStart,CapReservePerUnit*TotalUnits/12+TaxPrepPerUnit*TotalUnits/12+AssetMgmtFeePct*EN$23,0)</f>
        <v/>
      </c>
      <c r="EO40" s="218">
        <f>IF(141&gt;=DeliverStart,CapReservePerUnit*TotalUnits/12+TaxPrepPerUnit*TotalUnits/12+AssetMgmtFeePct*EO$23,0)</f>
        <v/>
      </c>
      <c r="EP40" s="218">
        <f>IF(142&gt;=DeliverStart,CapReservePerUnit*TotalUnits/12+TaxPrepPerUnit*TotalUnits/12+AssetMgmtFeePct*EP$23,0)</f>
        <v/>
      </c>
      <c r="EQ40" s="218">
        <f>IF(143&gt;=DeliverStart,CapReservePerUnit*TotalUnits/12+TaxPrepPerUnit*TotalUnits/12+AssetMgmtFeePct*EQ$23,0)</f>
        <v/>
      </c>
      <c r="ER40" s="218">
        <f>IF(144&gt;=DeliverStart,CapReservePerUnit*TotalUnits/12+TaxPrepPerUnit*TotalUnits/12+AssetMgmtFeePct*ER$23,0)</f>
        <v/>
      </c>
      <c r="ES40" s="218">
        <f>IF(145&gt;=DeliverStart,CapReservePerUnit*TotalUnits/12+TaxPrepPerUnit*TotalUnits/12+AssetMgmtFeePct*ES$23,0)</f>
        <v/>
      </c>
      <c r="ET40" s="218">
        <f>IF(146&gt;=DeliverStart,CapReservePerUnit*TotalUnits/12+TaxPrepPerUnit*TotalUnits/12+AssetMgmtFeePct*ET$23,0)</f>
        <v/>
      </c>
      <c r="EU40" s="218">
        <f>IF(147&gt;=DeliverStart,CapReservePerUnit*TotalUnits/12+TaxPrepPerUnit*TotalUnits/12+AssetMgmtFeePct*EU$23,0)</f>
        <v/>
      </c>
      <c r="EV40" s="218">
        <f>IF(148&gt;=DeliverStart,CapReservePerUnit*TotalUnits/12+TaxPrepPerUnit*TotalUnits/12+AssetMgmtFeePct*EV$23,0)</f>
        <v/>
      </c>
      <c r="EW40" s="218">
        <f>IF(149&gt;=DeliverStart,CapReservePerUnit*TotalUnits/12+TaxPrepPerUnit*TotalUnits/12+AssetMgmtFeePct*EW$23,0)</f>
        <v/>
      </c>
      <c r="EX40" s="218">
        <f>IF(150&gt;=DeliverStart,CapReservePerUnit*TotalUnits/12+TaxPrepPerUnit*TotalUnits/12+AssetMgmtFeePct*EX$23,0)</f>
        <v/>
      </c>
      <c r="EY40" s="218">
        <f>IF(151&gt;=DeliverStart,CapReservePerUnit*TotalUnits/12+TaxPrepPerUnit*TotalUnits/12+AssetMgmtFeePct*EY$23,0)</f>
        <v/>
      </c>
      <c r="EZ40" s="218">
        <f>IF(152&gt;=DeliverStart,CapReservePerUnit*TotalUnits/12+TaxPrepPerUnit*TotalUnits/12+AssetMgmtFeePct*EZ$23,0)</f>
        <v/>
      </c>
      <c r="FA40" s="218">
        <f>IF(153&gt;=DeliverStart,CapReservePerUnit*TotalUnits/12+TaxPrepPerUnit*TotalUnits/12+AssetMgmtFeePct*FA$23,0)</f>
        <v/>
      </c>
      <c r="FB40" s="218">
        <f>IF(154&gt;=DeliverStart,CapReservePerUnit*TotalUnits/12+TaxPrepPerUnit*TotalUnits/12+AssetMgmtFeePct*FB$23,0)</f>
        <v/>
      </c>
      <c r="FC40" s="218">
        <f>IF(155&gt;=DeliverStart,CapReservePerUnit*TotalUnits/12+TaxPrepPerUnit*TotalUnits/12+AssetMgmtFeePct*FC$23,0)</f>
        <v/>
      </c>
      <c r="FD40" s="218">
        <f>IF(156&gt;=DeliverStart,CapReservePerUnit*TotalUnits/12+TaxPrepPerUnit*TotalUnits/12+AssetMgmtFeePct*FD$23,0)</f>
        <v/>
      </c>
      <c r="FE40" s="218">
        <f>IF(157&gt;=DeliverStart,CapReservePerUnit*TotalUnits/12+TaxPrepPerUnit*TotalUnits/12+AssetMgmtFeePct*FE$23,0)</f>
        <v/>
      </c>
      <c r="FF40" s="218">
        <f>IF(158&gt;=DeliverStart,CapReservePerUnit*TotalUnits/12+TaxPrepPerUnit*TotalUnits/12+AssetMgmtFeePct*FF$23,0)</f>
        <v/>
      </c>
      <c r="FG40" s="218">
        <f>IF(159&gt;=DeliverStart,CapReservePerUnit*TotalUnits/12+TaxPrepPerUnit*TotalUnits/12+AssetMgmtFeePct*FG$23,0)</f>
        <v/>
      </c>
      <c r="FH40" s="218">
        <f>IF(160&gt;=DeliverStart,CapReservePerUnit*TotalUnits/12+TaxPrepPerUnit*TotalUnits/12+AssetMgmtFeePct*FH$23,0)</f>
        <v/>
      </c>
      <c r="FI40" s="218">
        <f>IF(161&gt;=DeliverStart,CapReservePerUnit*TotalUnits/12+TaxPrepPerUnit*TotalUnits/12+AssetMgmtFeePct*FI$23,0)</f>
        <v/>
      </c>
      <c r="FJ40" s="218">
        <f>IF(162&gt;=DeliverStart,CapReservePerUnit*TotalUnits/12+TaxPrepPerUnit*TotalUnits/12+AssetMgmtFeePct*FJ$23,0)</f>
        <v/>
      </c>
      <c r="FK40" s="218">
        <f>IF(163&gt;=DeliverStart,CapReservePerUnit*TotalUnits/12+TaxPrepPerUnit*TotalUnits/12+AssetMgmtFeePct*FK$23,0)</f>
        <v/>
      </c>
      <c r="FL40" s="218">
        <f>IF(164&gt;=DeliverStart,CapReservePerUnit*TotalUnits/12+TaxPrepPerUnit*TotalUnits/12+AssetMgmtFeePct*FL$23,0)</f>
        <v/>
      </c>
      <c r="FM40" s="218">
        <f>IF(165&gt;=DeliverStart,CapReservePerUnit*TotalUnits/12+TaxPrepPerUnit*TotalUnits/12+AssetMgmtFeePct*FM$23,0)</f>
        <v/>
      </c>
      <c r="FN40" s="218">
        <f>IF(166&gt;=DeliverStart,CapReservePerUnit*TotalUnits/12+TaxPrepPerUnit*TotalUnits/12+AssetMgmtFeePct*FN$23,0)</f>
        <v/>
      </c>
      <c r="FO40" s="218">
        <f>IF(167&gt;=DeliverStart,CapReservePerUnit*TotalUnits/12+TaxPrepPerUnit*TotalUnits/12+AssetMgmtFeePct*FO$23,0)</f>
        <v/>
      </c>
      <c r="FP40" s="218">
        <f>IF(168&gt;=DeliverStart,CapReservePerUnit*TotalUnits/12+TaxPrepPerUnit*TotalUnits/12+AssetMgmtFeePct*FP$23,0)</f>
        <v/>
      </c>
      <c r="FQ40" s="218">
        <f>IF(169&gt;=DeliverStart,CapReservePerUnit*TotalUnits/12+TaxPrepPerUnit*TotalUnits/12+AssetMgmtFeePct*FQ$23,0)</f>
        <v/>
      </c>
      <c r="FR40" s="218">
        <f>IF(170&gt;=DeliverStart,CapReservePerUnit*TotalUnits/12+TaxPrepPerUnit*TotalUnits/12+AssetMgmtFeePct*FR$23,0)</f>
        <v/>
      </c>
      <c r="FS40" s="218">
        <f>IF(171&gt;=DeliverStart,CapReservePerUnit*TotalUnits/12+TaxPrepPerUnit*TotalUnits/12+AssetMgmtFeePct*FS$23,0)</f>
        <v/>
      </c>
      <c r="FT40" s="218">
        <f>IF(172&gt;=DeliverStart,CapReservePerUnit*TotalUnits/12+TaxPrepPerUnit*TotalUnits/12+AssetMgmtFeePct*FT$23,0)</f>
        <v/>
      </c>
      <c r="FU40" s="218">
        <f>IF(173&gt;=DeliverStart,CapReservePerUnit*TotalUnits/12+TaxPrepPerUnit*TotalUnits/12+AssetMgmtFeePct*FU$23,0)</f>
        <v/>
      </c>
      <c r="FV40" s="218">
        <f>IF(174&gt;=DeliverStart,CapReservePerUnit*TotalUnits/12+TaxPrepPerUnit*TotalUnits/12+AssetMgmtFeePct*FV$23,0)</f>
        <v/>
      </c>
      <c r="FW40" s="218">
        <f>IF(175&gt;=DeliverStart,CapReservePerUnit*TotalUnits/12+TaxPrepPerUnit*TotalUnits/12+AssetMgmtFeePct*FW$23,0)</f>
        <v/>
      </c>
      <c r="FX40" s="218">
        <f>IF(176&gt;=DeliverStart,CapReservePerUnit*TotalUnits/12+TaxPrepPerUnit*TotalUnits/12+AssetMgmtFeePct*FX$23,0)</f>
        <v/>
      </c>
      <c r="FY40" s="218">
        <f>IF(177&gt;=DeliverStart,CapReservePerUnit*TotalUnits/12+TaxPrepPerUnit*TotalUnits/12+AssetMgmtFeePct*FY$23,0)</f>
        <v/>
      </c>
      <c r="FZ40" s="218">
        <f>IF(178&gt;=DeliverStart,CapReservePerUnit*TotalUnits/12+TaxPrepPerUnit*TotalUnits/12+AssetMgmtFeePct*FZ$23,0)</f>
        <v/>
      </c>
      <c r="GA40" s="218">
        <f>IF(179&gt;=DeliverStart,CapReservePerUnit*TotalUnits/12+TaxPrepPerUnit*TotalUnits/12+AssetMgmtFeePct*GA$23,0)</f>
        <v/>
      </c>
      <c r="GB40" s="218">
        <f>IF(180&gt;=DeliverStart,CapReservePerUnit*TotalUnits/12+TaxPrepPerUnit*TotalUnits/12+AssetMgmtFeePct*GB$23,0)</f>
        <v/>
      </c>
      <c r="GC40" s="218">
        <f>IF(181&gt;=DeliverStart,CapReservePerUnit*TotalUnits/12+TaxPrepPerUnit*TotalUnits/12+AssetMgmtFeePct*GC$23,0)</f>
        <v/>
      </c>
      <c r="GD40" s="218">
        <f>IF(182&gt;=DeliverStart,CapReservePerUnit*TotalUnits/12+TaxPrepPerUnit*TotalUnits/12+AssetMgmtFeePct*GD$23,0)</f>
        <v/>
      </c>
      <c r="GE40" s="218">
        <f>IF(183&gt;=DeliverStart,CapReservePerUnit*TotalUnits/12+TaxPrepPerUnit*TotalUnits/12+AssetMgmtFeePct*GE$23,0)</f>
        <v/>
      </c>
      <c r="GF40" s="218">
        <f>IF(184&gt;=DeliverStart,CapReservePerUnit*TotalUnits/12+TaxPrepPerUnit*TotalUnits/12+AssetMgmtFeePct*GF$23,0)</f>
        <v/>
      </c>
      <c r="GG40" s="218">
        <f>IF(185&gt;=DeliverStart,CapReservePerUnit*TotalUnits/12+TaxPrepPerUnit*TotalUnits/12+AssetMgmtFeePct*GG$23,0)</f>
        <v/>
      </c>
      <c r="GH40" s="218">
        <f>IF(186&gt;=DeliverStart,CapReservePerUnit*TotalUnits/12+TaxPrepPerUnit*TotalUnits/12+AssetMgmtFeePct*GH$23,0)</f>
        <v/>
      </c>
      <c r="GI40" s="218">
        <f>IF(187&gt;=DeliverStart,CapReservePerUnit*TotalUnits/12+TaxPrepPerUnit*TotalUnits/12+AssetMgmtFeePct*GI$23,0)</f>
        <v/>
      </c>
      <c r="GJ40" s="218">
        <f>IF(188&gt;=DeliverStart,CapReservePerUnit*TotalUnits/12+TaxPrepPerUnit*TotalUnits/12+AssetMgmtFeePct*GJ$23,0)</f>
        <v/>
      </c>
      <c r="GK40" s="218">
        <f>IF(189&gt;=DeliverStart,CapReservePerUnit*TotalUnits/12+TaxPrepPerUnit*TotalUnits/12+AssetMgmtFeePct*GK$23,0)</f>
        <v/>
      </c>
      <c r="GL40" s="218">
        <f>IF(190&gt;=DeliverStart,CapReservePerUnit*TotalUnits/12+TaxPrepPerUnit*TotalUnits/12+AssetMgmtFeePct*GL$23,0)</f>
        <v/>
      </c>
      <c r="GM40" s="218">
        <f>IF(191&gt;=DeliverStart,CapReservePerUnit*TotalUnits/12+TaxPrepPerUnit*TotalUnits/12+AssetMgmtFeePct*GM$23,0)</f>
        <v/>
      </c>
      <c r="GN40" s="218">
        <f>IF(192&gt;=DeliverStart,CapReservePerUnit*TotalUnits/12+TaxPrepPerUnit*TotalUnits/12+AssetMgmtFeePct*GN$23,0)</f>
        <v/>
      </c>
      <c r="GO40" s="218">
        <f>IF(193&gt;=DeliverStart,CapReservePerUnit*TotalUnits/12+TaxPrepPerUnit*TotalUnits/12+AssetMgmtFeePct*GO$23,0)</f>
        <v/>
      </c>
      <c r="GP40" s="218">
        <f>IF(194&gt;=DeliverStart,CapReservePerUnit*TotalUnits/12+TaxPrepPerUnit*TotalUnits/12+AssetMgmtFeePct*GP$23,0)</f>
        <v/>
      </c>
      <c r="GQ40" s="218">
        <f>IF(195&gt;=DeliverStart,CapReservePerUnit*TotalUnits/12+TaxPrepPerUnit*TotalUnits/12+AssetMgmtFeePct*GQ$23,0)</f>
        <v/>
      </c>
      <c r="GR40" s="218">
        <f>IF(196&gt;=DeliverStart,CapReservePerUnit*TotalUnits/12+TaxPrepPerUnit*TotalUnits/12+AssetMgmtFeePct*GR$23,0)</f>
        <v/>
      </c>
      <c r="GS40" s="218">
        <f>IF(197&gt;=DeliverStart,CapReservePerUnit*TotalUnits/12+TaxPrepPerUnit*TotalUnits/12+AssetMgmtFeePct*GS$23,0)</f>
        <v/>
      </c>
      <c r="GT40" s="218">
        <f>IF(198&gt;=DeliverStart,CapReservePerUnit*TotalUnits/12+TaxPrepPerUnit*TotalUnits/12+AssetMgmtFeePct*GT$23,0)</f>
        <v/>
      </c>
      <c r="GU40" s="218">
        <f>IF(199&gt;=DeliverStart,CapReservePerUnit*TotalUnits/12+TaxPrepPerUnit*TotalUnits/12+AssetMgmtFeePct*GU$23,0)</f>
        <v/>
      </c>
      <c r="GV40" s="218">
        <f>IF(200&gt;=DeliverStart,CapReservePerUnit*TotalUnits/12+TaxPrepPerUnit*TotalUnits/12+AssetMgmtFeePct*GV$23,0)</f>
        <v/>
      </c>
      <c r="GW40" s="218">
        <f>IF(201&gt;=DeliverStart,CapReservePerUnit*TotalUnits/12+TaxPrepPerUnit*TotalUnits/12+AssetMgmtFeePct*GW$23,0)</f>
        <v/>
      </c>
      <c r="GX40" s="218">
        <f>IF(202&gt;=DeliverStart,CapReservePerUnit*TotalUnits/12+TaxPrepPerUnit*TotalUnits/12+AssetMgmtFeePct*GX$23,0)</f>
        <v/>
      </c>
      <c r="GY40" s="218">
        <f>IF(203&gt;=DeliverStart,CapReservePerUnit*TotalUnits/12+TaxPrepPerUnit*TotalUnits/12+AssetMgmtFeePct*GY$23,0)</f>
        <v/>
      </c>
      <c r="GZ40" s="218">
        <f>IF(204&gt;=DeliverStart,CapReservePerUnit*TotalUnits/12+TaxPrepPerUnit*TotalUnits/12+AssetMgmtFeePct*GZ$23,0)</f>
        <v/>
      </c>
      <c r="HA40" s="218">
        <f>IF(205&gt;=DeliverStart,CapReservePerUnit*TotalUnits/12+TaxPrepPerUnit*TotalUnits/12+AssetMgmtFeePct*HA$23,0)</f>
        <v/>
      </c>
      <c r="HB40" s="218">
        <f>IF(206&gt;=DeliverStart,CapReservePerUnit*TotalUnits/12+TaxPrepPerUnit*TotalUnits/12+AssetMgmtFeePct*HB$23,0)</f>
        <v/>
      </c>
      <c r="HC40" s="218">
        <f>IF(207&gt;=DeliverStart,CapReservePerUnit*TotalUnits/12+TaxPrepPerUnit*TotalUnits/12+AssetMgmtFeePct*HC$23,0)</f>
        <v/>
      </c>
      <c r="HD40" s="218">
        <f>IF(208&gt;=DeliverStart,CapReservePerUnit*TotalUnits/12+TaxPrepPerUnit*TotalUnits/12+AssetMgmtFeePct*HD$23,0)</f>
        <v/>
      </c>
      <c r="HE40" s="218">
        <f>IF(209&gt;=DeliverStart,CapReservePerUnit*TotalUnits/12+TaxPrepPerUnit*TotalUnits/12+AssetMgmtFeePct*HE$23,0)</f>
        <v/>
      </c>
      <c r="HF40" s="218">
        <f>IF(210&gt;=DeliverStart,CapReservePerUnit*TotalUnits/12+TaxPrepPerUnit*TotalUnits/12+AssetMgmtFeePct*HF$23,0)</f>
        <v/>
      </c>
      <c r="HG40" s="218">
        <f>IF(211&gt;=DeliverStart,CapReservePerUnit*TotalUnits/12+TaxPrepPerUnit*TotalUnits/12+AssetMgmtFeePct*HG$23,0)</f>
        <v/>
      </c>
      <c r="HH40" s="218">
        <f>IF(212&gt;=DeliverStart,CapReservePerUnit*TotalUnits/12+TaxPrepPerUnit*TotalUnits/12+AssetMgmtFeePct*HH$23,0)</f>
        <v/>
      </c>
      <c r="HI40" s="218">
        <f>IF(213&gt;=DeliverStart,CapReservePerUnit*TotalUnits/12+TaxPrepPerUnit*TotalUnits/12+AssetMgmtFeePct*HI$23,0)</f>
        <v/>
      </c>
      <c r="HJ40" s="218">
        <f>IF(214&gt;=DeliverStart,CapReservePerUnit*TotalUnits/12+TaxPrepPerUnit*TotalUnits/12+AssetMgmtFeePct*HJ$23,0)</f>
        <v/>
      </c>
      <c r="HK40" s="218">
        <f>IF(215&gt;=DeliverStart,CapReservePerUnit*TotalUnits/12+TaxPrepPerUnit*TotalUnits/12+AssetMgmtFeePct*HK$23,0)</f>
        <v/>
      </c>
      <c r="HL40" s="218">
        <f>IF(216&gt;=DeliverStart,CapReservePerUnit*TotalUnits/12+TaxPrepPerUnit*TotalUnits/12+AssetMgmtFeePct*HL$23,0)</f>
        <v/>
      </c>
      <c r="HM40" s="218">
        <f>IF(217&gt;=DeliverStart,CapReservePerUnit*TotalUnits/12+TaxPrepPerUnit*TotalUnits/12+AssetMgmtFeePct*HM$23,0)</f>
        <v/>
      </c>
      <c r="HN40" s="218">
        <f>IF(218&gt;=DeliverStart,CapReservePerUnit*TotalUnits/12+TaxPrepPerUnit*TotalUnits/12+AssetMgmtFeePct*HN$23,0)</f>
        <v/>
      </c>
      <c r="HO40" s="218">
        <f>IF(219&gt;=DeliverStart,CapReservePerUnit*TotalUnits/12+TaxPrepPerUnit*TotalUnits/12+AssetMgmtFeePct*HO$23,0)</f>
        <v/>
      </c>
      <c r="HP40" s="218">
        <f>IF(220&gt;=DeliverStart,CapReservePerUnit*TotalUnits/12+TaxPrepPerUnit*TotalUnits/12+AssetMgmtFeePct*HP$23,0)</f>
        <v/>
      </c>
      <c r="HQ40" s="218">
        <f>IF(221&gt;=DeliverStart,CapReservePerUnit*TotalUnits/12+TaxPrepPerUnit*TotalUnits/12+AssetMgmtFeePct*HQ$23,0)</f>
        <v/>
      </c>
      <c r="HR40" s="218">
        <f>IF(222&gt;=DeliverStart,CapReservePerUnit*TotalUnits/12+TaxPrepPerUnit*TotalUnits/12+AssetMgmtFeePct*HR$23,0)</f>
        <v/>
      </c>
      <c r="HS40" s="218">
        <f>IF(223&gt;=DeliverStart,CapReservePerUnit*TotalUnits/12+TaxPrepPerUnit*TotalUnits/12+AssetMgmtFeePct*HS$23,0)</f>
        <v/>
      </c>
      <c r="HT40" s="218">
        <f>IF(224&gt;=DeliverStart,CapReservePerUnit*TotalUnits/12+TaxPrepPerUnit*TotalUnits/12+AssetMgmtFeePct*HT$23,0)</f>
        <v/>
      </c>
      <c r="HU40" s="218">
        <f>IF(225&gt;=DeliverStart,CapReservePerUnit*TotalUnits/12+TaxPrepPerUnit*TotalUnits/12+AssetMgmtFeePct*HU$23,0)</f>
        <v/>
      </c>
      <c r="HV40" s="218">
        <f>IF(226&gt;=DeliverStart,CapReservePerUnit*TotalUnits/12+TaxPrepPerUnit*TotalUnits/12+AssetMgmtFeePct*HV$23,0)</f>
        <v/>
      </c>
      <c r="HW40" s="218">
        <f>IF(227&gt;=DeliverStart,CapReservePerUnit*TotalUnits/12+TaxPrepPerUnit*TotalUnits/12+AssetMgmtFeePct*HW$23,0)</f>
        <v/>
      </c>
      <c r="HX40" s="218">
        <f>IF(228&gt;=DeliverStart,CapReservePerUnit*TotalUnits/12+TaxPrepPerUnit*TotalUnits/12+AssetMgmtFeePct*HX$23,0)</f>
        <v/>
      </c>
      <c r="HY40" s="218">
        <f>IF(229&gt;=DeliverStart,CapReservePerUnit*TotalUnits/12+TaxPrepPerUnit*TotalUnits/12+AssetMgmtFeePct*HY$23,0)</f>
        <v/>
      </c>
      <c r="HZ40" s="218">
        <f>IF(230&gt;=DeliverStart,CapReservePerUnit*TotalUnits/12+TaxPrepPerUnit*TotalUnits/12+AssetMgmtFeePct*HZ$23,0)</f>
        <v/>
      </c>
      <c r="IA40" s="218">
        <f>IF(231&gt;=DeliverStart,CapReservePerUnit*TotalUnits/12+TaxPrepPerUnit*TotalUnits/12+AssetMgmtFeePct*IA$23,0)</f>
        <v/>
      </c>
      <c r="IB40" s="218">
        <f>IF(232&gt;=DeliverStart,CapReservePerUnit*TotalUnits/12+TaxPrepPerUnit*TotalUnits/12+AssetMgmtFeePct*IB$23,0)</f>
        <v/>
      </c>
      <c r="IC40" s="218">
        <f>IF(233&gt;=DeliverStart,CapReservePerUnit*TotalUnits/12+TaxPrepPerUnit*TotalUnits/12+AssetMgmtFeePct*IC$23,0)</f>
        <v/>
      </c>
      <c r="ID40" s="218">
        <f>IF(234&gt;=DeliverStart,CapReservePerUnit*TotalUnits/12+TaxPrepPerUnit*TotalUnits/12+AssetMgmtFeePct*ID$23,0)</f>
        <v/>
      </c>
      <c r="IE40" s="218">
        <f>IF(235&gt;=DeliverStart,CapReservePerUnit*TotalUnits/12+TaxPrepPerUnit*TotalUnits/12+AssetMgmtFeePct*IE$23,0)</f>
        <v/>
      </c>
      <c r="IF40" s="218">
        <f>IF(236&gt;=DeliverStart,CapReservePerUnit*TotalUnits/12+TaxPrepPerUnit*TotalUnits/12+AssetMgmtFeePct*IF$23,0)</f>
        <v/>
      </c>
      <c r="IG40" s="218">
        <f>IF(237&gt;=DeliverStart,CapReservePerUnit*TotalUnits/12+TaxPrepPerUnit*TotalUnits/12+AssetMgmtFeePct*IG$23,0)</f>
        <v/>
      </c>
      <c r="IH40" s="218">
        <f>IF(238&gt;=DeliverStart,CapReservePerUnit*TotalUnits/12+TaxPrepPerUnit*TotalUnits/12+AssetMgmtFeePct*IH$23,0)</f>
        <v/>
      </c>
      <c r="II40" s="218">
        <f>IF(239&gt;=DeliverStart,CapReservePerUnit*TotalUnits/12+TaxPrepPerUnit*TotalUnits/12+AssetMgmtFeePct*II$23,0)</f>
        <v/>
      </c>
      <c r="IJ40" s="218">
        <f>IF(240&gt;=DeliverStart,CapReservePerUnit*TotalUnits/12+TaxPrepPerUnit*TotalUnits/12+AssetMgmtFeePct*IJ$23,0)</f>
        <v/>
      </c>
      <c r="IK40" s="218">
        <f>IF(241&gt;=DeliverStart,CapReservePerUnit*TotalUnits/12+TaxPrepPerUnit*TotalUnits/12+AssetMgmtFeePct*IK$23,0)</f>
        <v/>
      </c>
      <c r="IL40" s="218">
        <f>IF(242&gt;=DeliverStart,CapReservePerUnit*TotalUnits/12+TaxPrepPerUnit*TotalUnits/12+AssetMgmtFeePct*IL$23,0)</f>
        <v/>
      </c>
      <c r="IM40" s="218">
        <f>IF(243&gt;=DeliverStart,CapReservePerUnit*TotalUnits/12+TaxPrepPerUnit*TotalUnits/12+AssetMgmtFeePct*IM$23,0)</f>
        <v/>
      </c>
      <c r="IN40" s="218">
        <f>IF(244&gt;=DeliverStart,CapReservePerUnit*TotalUnits/12+TaxPrepPerUnit*TotalUnits/12+AssetMgmtFeePct*IN$23,0)</f>
        <v/>
      </c>
      <c r="IO40" s="218">
        <f>IF(245&gt;=DeliverStart,CapReservePerUnit*TotalUnits/12+TaxPrepPerUnit*TotalUnits/12+AssetMgmtFeePct*IO$23,0)</f>
        <v/>
      </c>
      <c r="IP40" s="218">
        <f>IF(246&gt;=DeliverStart,CapReservePerUnit*TotalUnits/12+TaxPrepPerUnit*TotalUnits/12+AssetMgmtFeePct*IP$23,0)</f>
        <v/>
      </c>
      <c r="IQ40" s="218">
        <f>IF(247&gt;=DeliverStart,CapReservePerUnit*TotalUnits/12+TaxPrepPerUnit*TotalUnits/12+AssetMgmtFeePct*IQ$23,0)</f>
        <v/>
      </c>
      <c r="IR40" s="218">
        <f>IF(248&gt;=DeliverStart,CapReservePerUnit*TotalUnits/12+TaxPrepPerUnit*TotalUnits/12+AssetMgmtFeePct*IR$23,0)</f>
        <v/>
      </c>
      <c r="IS40" s="218">
        <f>IF(249&gt;=DeliverStart,CapReservePerUnit*TotalUnits/12+TaxPrepPerUnit*TotalUnits/12+AssetMgmtFeePct*IS$23,0)</f>
        <v/>
      </c>
      <c r="IT40" s="218">
        <f>IF(250&gt;=DeliverStart,CapReservePerUnit*TotalUnits/12+TaxPrepPerUnit*TotalUnits/12+AssetMgmtFeePct*IT$23,0)</f>
        <v/>
      </c>
      <c r="IU40" s="218">
        <f>IF(251&gt;=DeliverStart,CapReservePerUnit*TotalUnits/12+TaxPrepPerUnit*TotalUnits/12+AssetMgmtFeePct*IU$23,0)</f>
        <v/>
      </c>
      <c r="IV40" s="218">
        <f>IF(252&gt;=DeliverStart,CapReservePerUnit*TotalUnits/12+TaxPrepPerUnit*TotalUnits/12+AssetMgmtFeePct*IV$23,0)</f>
        <v/>
      </c>
      <c r="IW40" s="218">
        <f>IF(253&gt;=DeliverStart,CapReservePerUnit*TotalUnits/12+TaxPrepPerUnit*TotalUnits/12+AssetMgmtFeePct*IW$23,0)</f>
        <v/>
      </c>
      <c r="IX40" s="218">
        <f>IF(254&gt;=DeliverStart,CapReservePerUnit*TotalUnits/12+TaxPrepPerUnit*TotalUnits/12+AssetMgmtFeePct*IX$23,0)</f>
        <v/>
      </c>
      <c r="IY40" s="218">
        <f>IF(255&gt;=DeliverStart,CapReservePerUnit*TotalUnits/12+TaxPrepPerUnit*TotalUnits/12+AssetMgmtFeePct*IY$23,0)</f>
        <v/>
      </c>
      <c r="IZ40" s="218">
        <f>IF(256&gt;=DeliverStart,CapReservePerUnit*TotalUnits/12+TaxPrepPerUnit*TotalUnits/12+AssetMgmtFeePct*IZ$23,0)</f>
        <v/>
      </c>
      <c r="JA40" s="218">
        <f>IF(257&gt;=DeliverStart,CapReservePerUnit*TotalUnits/12+TaxPrepPerUnit*TotalUnits/12+AssetMgmtFeePct*JA$23,0)</f>
        <v/>
      </c>
      <c r="JB40" s="218">
        <f>IF(258&gt;=DeliverStart,CapReservePerUnit*TotalUnits/12+TaxPrepPerUnit*TotalUnits/12+AssetMgmtFeePct*JB$23,0)</f>
        <v/>
      </c>
      <c r="JC40" s="218">
        <f>IF(259&gt;=DeliverStart,CapReservePerUnit*TotalUnits/12+TaxPrepPerUnit*TotalUnits/12+AssetMgmtFeePct*JC$23,0)</f>
        <v/>
      </c>
      <c r="JD40" s="218">
        <f>IF(260&gt;=DeliverStart,CapReservePerUnit*TotalUnits/12+TaxPrepPerUnit*TotalUnits/12+AssetMgmtFeePct*JD$23,0)</f>
        <v/>
      </c>
      <c r="JE40" s="218">
        <f>IF(261&gt;=DeliverStart,CapReservePerUnit*TotalUnits/12+TaxPrepPerUnit*TotalUnits/12+AssetMgmtFeePct*JE$23,0)</f>
        <v/>
      </c>
      <c r="JF40" s="218">
        <f>IF(262&gt;=DeliverStart,CapReservePerUnit*TotalUnits/12+TaxPrepPerUnit*TotalUnits/12+AssetMgmtFeePct*JF$23,0)</f>
        <v/>
      </c>
      <c r="JG40" s="218">
        <f>IF(263&gt;=DeliverStart,CapReservePerUnit*TotalUnits/12+TaxPrepPerUnit*TotalUnits/12+AssetMgmtFeePct*JG$23,0)</f>
        <v/>
      </c>
      <c r="JH40" s="218">
        <f>IF(264&gt;=DeliverStart,CapReservePerUnit*TotalUnits/12+TaxPrepPerUnit*TotalUnits/12+AssetMgmtFeePct*JH$23,0)</f>
        <v/>
      </c>
      <c r="JI40" s="218">
        <f>IF(265&gt;=DeliverStart,CapReservePerUnit*TotalUnits/12+TaxPrepPerUnit*TotalUnits/12+AssetMgmtFeePct*JI$23,0)</f>
        <v/>
      </c>
      <c r="JJ40" s="218">
        <f>IF(266&gt;=DeliverStart,CapReservePerUnit*TotalUnits/12+TaxPrepPerUnit*TotalUnits/12+AssetMgmtFeePct*JJ$23,0)</f>
        <v/>
      </c>
      <c r="JK40" s="218">
        <f>IF(267&gt;=DeliverStart,CapReservePerUnit*TotalUnits/12+TaxPrepPerUnit*TotalUnits/12+AssetMgmtFeePct*JK$23,0)</f>
        <v/>
      </c>
      <c r="JL40" s="218">
        <f>IF(268&gt;=DeliverStart,CapReservePerUnit*TotalUnits/12+TaxPrepPerUnit*TotalUnits/12+AssetMgmtFeePct*JL$23,0)</f>
        <v/>
      </c>
      <c r="JM40" s="218">
        <f>IF(269&gt;=DeliverStart,CapReservePerUnit*TotalUnits/12+TaxPrepPerUnit*TotalUnits/12+AssetMgmtFeePct*JM$23,0)</f>
        <v/>
      </c>
      <c r="JN40" s="218">
        <f>IF(270&gt;=DeliverStart,CapReservePerUnit*TotalUnits/12+TaxPrepPerUnit*TotalUnits/12+AssetMgmtFeePct*JN$23,0)</f>
        <v/>
      </c>
      <c r="JO40" s="218">
        <f>IF(271&gt;=DeliverStart,CapReservePerUnit*TotalUnits/12+TaxPrepPerUnit*TotalUnits/12+AssetMgmtFeePct*JO$23,0)</f>
        <v/>
      </c>
      <c r="JP40" s="218">
        <f>IF(272&gt;=DeliverStart,CapReservePerUnit*TotalUnits/12+TaxPrepPerUnit*TotalUnits/12+AssetMgmtFeePct*JP$23,0)</f>
        <v/>
      </c>
      <c r="JQ40" s="218">
        <f>IF(273&gt;=DeliverStart,CapReservePerUnit*TotalUnits/12+TaxPrepPerUnit*TotalUnits/12+AssetMgmtFeePct*JQ$23,0)</f>
        <v/>
      </c>
      <c r="JR40" s="218">
        <f>IF(274&gt;=DeliverStart,CapReservePerUnit*TotalUnits/12+TaxPrepPerUnit*TotalUnits/12+AssetMgmtFeePct*JR$23,0)</f>
        <v/>
      </c>
      <c r="JS40" s="218">
        <f>IF(275&gt;=DeliverStart,CapReservePerUnit*TotalUnits/12+TaxPrepPerUnit*TotalUnits/12+AssetMgmtFeePct*JS$23,0)</f>
        <v/>
      </c>
      <c r="JT40" s="218">
        <f>IF(276&gt;=DeliverStart,CapReservePerUnit*TotalUnits/12+TaxPrepPerUnit*TotalUnits/12+AssetMgmtFeePct*JT$23,0)</f>
        <v/>
      </c>
      <c r="JU40" s="218">
        <f>IF(277&gt;=DeliverStart,CapReservePerUnit*TotalUnits/12+TaxPrepPerUnit*TotalUnits/12+AssetMgmtFeePct*JU$23,0)</f>
        <v/>
      </c>
      <c r="JV40" s="218">
        <f>IF(278&gt;=DeliverStart,CapReservePerUnit*TotalUnits/12+TaxPrepPerUnit*TotalUnits/12+AssetMgmtFeePct*JV$23,0)</f>
        <v/>
      </c>
      <c r="JW40" s="218">
        <f>IF(279&gt;=DeliverStart,CapReservePerUnit*TotalUnits/12+TaxPrepPerUnit*TotalUnits/12+AssetMgmtFeePct*JW$23,0)</f>
        <v/>
      </c>
      <c r="JX40" s="218">
        <f>IF(280&gt;=DeliverStart,CapReservePerUnit*TotalUnits/12+TaxPrepPerUnit*TotalUnits/12+AssetMgmtFeePct*JX$23,0)</f>
        <v/>
      </c>
      <c r="JY40" s="218">
        <f>IF(281&gt;=DeliverStart,CapReservePerUnit*TotalUnits/12+TaxPrepPerUnit*TotalUnits/12+AssetMgmtFeePct*JY$23,0)</f>
        <v/>
      </c>
      <c r="JZ40" s="218">
        <f>IF(282&gt;=DeliverStart,CapReservePerUnit*TotalUnits/12+TaxPrepPerUnit*TotalUnits/12+AssetMgmtFeePct*JZ$23,0)</f>
        <v/>
      </c>
      <c r="KA40" s="218">
        <f>IF(283&gt;=DeliverStart,CapReservePerUnit*TotalUnits/12+TaxPrepPerUnit*TotalUnits/12+AssetMgmtFeePct*KA$23,0)</f>
        <v/>
      </c>
      <c r="KB40" s="218">
        <f>IF(284&gt;=DeliverStart,CapReservePerUnit*TotalUnits/12+TaxPrepPerUnit*TotalUnits/12+AssetMgmtFeePct*KB$23,0)</f>
        <v/>
      </c>
      <c r="KC40" s="218">
        <f>IF(285&gt;=DeliverStart,CapReservePerUnit*TotalUnits/12+TaxPrepPerUnit*TotalUnits/12+AssetMgmtFeePct*KC$23,0)</f>
        <v/>
      </c>
      <c r="KD40" s="218">
        <f>IF(286&gt;=DeliverStart,CapReservePerUnit*TotalUnits/12+TaxPrepPerUnit*TotalUnits/12+AssetMgmtFeePct*KD$23,0)</f>
        <v/>
      </c>
      <c r="KE40" s="218">
        <f>IF(287&gt;=DeliverStart,CapReservePerUnit*TotalUnits/12+TaxPrepPerUnit*TotalUnits/12+AssetMgmtFeePct*KE$23,0)</f>
        <v/>
      </c>
      <c r="KF40" s="218">
        <f>IF(288&gt;=DeliverStart,CapReservePerUnit*TotalUnits/12+TaxPrepPerUnit*TotalUnits/12+AssetMgmtFeePct*KF$23,0)</f>
        <v/>
      </c>
      <c r="KG40" s="218">
        <f>IF(289&gt;=DeliverStart,CapReservePerUnit*TotalUnits/12+TaxPrepPerUnit*TotalUnits/12+AssetMgmtFeePct*KG$23,0)</f>
        <v/>
      </c>
      <c r="KH40" s="218">
        <f>IF(290&gt;=DeliverStart,CapReservePerUnit*TotalUnits/12+TaxPrepPerUnit*TotalUnits/12+AssetMgmtFeePct*KH$23,0)</f>
        <v/>
      </c>
      <c r="KI40" s="218">
        <f>IF(291&gt;=DeliverStart,CapReservePerUnit*TotalUnits/12+TaxPrepPerUnit*TotalUnits/12+AssetMgmtFeePct*KI$23,0)</f>
        <v/>
      </c>
      <c r="KJ40" s="218">
        <f>IF(292&gt;=DeliverStart,CapReservePerUnit*TotalUnits/12+TaxPrepPerUnit*TotalUnits/12+AssetMgmtFeePct*KJ$23,0)</f>
        <v/>
      </c>
      <c r="KK40" s="218">
        <f>IF(293&gt;=DeliverStart,CapReservePerUnit*TotalUnits/12+TaxPrepPerUnit*TotalUnits/12+AssetMgmtFeePct*KK$23,0)</f>
        <v/>
      </c>
      <c r="KL40" s="218">
        <f>IF(294&gt;=DeliverStart,CapReservePerUnit*TotalUnits/12+TaxPrepPerUnit*TotalUnits/12+AssetMgmtFeePct*KL$23,0)</f>
        <v/>
      </c>
      <c r="KM40" s="218">
        <f>IF(295&gt;=DeliverStart,CapReservePerUnit*TotalUnits/12+TaxPrepPerUnit*TotalUnits/12+AssetMgmtFeePct*KM$23,0)</f>
        <v/>
      </c>
      <c r="KN40" s="218">
        <f>IF(296&gt;=DeliverStart,CapReservePerUnit*TotalUnits/12+TaxPrepPerUnit*TotalUnits/12+AssetMgmtFeePct*KN$23,0)</f>
        <v/>
      </c>
      <c r="KO40" s="218">
        <f>IF(297&gt;=DeliverStart,CapReservePerUnit*TotalUnits/12+TaxPrepPerUnit*TotalUnits/12+AssetMgmtFeePct*KO$23,0)</f>
        <v/>
      </c>
      <c r="KP40" s="218">
        <f>IF(298&gt;=DeliverStart,CapReservePerUnit*TotalUnits/12+TaxPrepPerUnit*TotalUnits/12+AssetMgmtFeePct*KP$23,0)</f>
        <v/>
      </c>
      <c r="KQ40" s="218">
        <f>IF(299&gt;=DeliverStart,CapReservePerUnit*TotalUnits/12+TaxPrepPerUnit*TotalUnits/12+AssetMgmtFeePct*KQ$23,0)</f>
        <v/>
      </c>
      <c r="KR40" s="218">
        <f>IF(300&gt;=DeliverStart,CapReservePerUnit*TotalUnits/12+TaxPrepPerUnit*TotalUnits/12+AssetMgmtFeePct*KR$23,0)</f>
        <v/>
      </c>
      <c r="KS40" s="218">
        <f>IF(301&gt;=DeliverStart,CapReservePerUnit*TotalUnits/12+TaxPrepPerUnit*TotalUnits/12+AssetMgmtFeePct*KS$23,0)</f>
        <v/>
      </c>
      <c r="KT40" s="218">
        <f>IF(302&gt;=DeliverStart,CapReservePerUnit*TotalUnits/12+TaxPrepPerUnit*TotalUnits/12+AssetMgmtFeePct*KT$23,0)</f>
        <v/>
      </c>
      <c r="KU40" s="218">
        <f>IF(303&gt;=DeliverStart,CapReservePerUnit*TotalUnits/12+TaxPrepPerUnit*TotalUnits/12+AssetMgmtFeePct*KU$23,0)</f>
        <v/>
      </c>
      <c r="KV40" s="218">
        <f>IF(304&gt;=DeliverStart,CapReservePerUnit*TotalUnits/12+TaxPrepPerUnit*TotalUnits/12+AssetMgmtFeePct*KV$23,0)</f>
        <v/>
      </c>
      <c r="KW40" s="218">
        <f>IF(305&gt;=DeliverStart,CapReservePerUnit*TotalUnits/12+TaxPrepPerUnit*TotalUnits/12+AssetMgmtFeePct*KW$23,0)</f>
        <v/>
      </c>
      <c r="KX40" s="218">
        <f>IF(306&gt;=DeliverStart,CapReservePerUnit*TotalUnits/12+TaxPrepPerUnit*TotalUnits/12+AssetMgmtFeePct*KX$23,0)</f>
        <v/>
      </c>
      <c r="KY40" s="218">
        <f>IF(307&gt;=DeliverStart,CapReservePerUnit*TotalUnits/12+TaxPrepPerUnit*TotalUnits/12+AssetMgmtFeePct*KY$23,0)</f>
        <v/>
      </c>
      <c r="KZ40" s="218">
        <f>IF(308&gt;=DeliverStart,CapReservePerUnit*TotalUnits/12+TaxPrepPerUnit*TotalUnits/12+AssetMgmtFeePct*KZ$23,0)</f>
        <v/>
      </c>
      <c r="LA40" s="218">
        <f>IF(309&gt;=DeliverStart,CapReservePerUnit*TotalUnits/12+TaxPrepPerUnit*TotalUnits/12+AssetMgmtFeePct*LA$23,0)</f>
        <v/>
      </c>
      <c r="LB40" s="218">
        <f>IF(310&gt;=DeliverStart,CapReservePerUnit*TotalUnits/12+TaxPrepPerUnit*TotalUnits/12+AssetMgmtFeePct*LB$23,0)</f>
        <v/>
      </c>
      <c r="LC40" s="218">
        <f>IF(311&gt;=DeliverStart,CapReservePerUnit*TotalUnits/12+TaxPrepPerUnit*TotalUnits/12+AssetMgmtFeePct*LC$23,0)</f>
        <v/>
      </c>
      <c r="LD40" s="218">
        <f>IF(312&gt;=DeliverStart,CapReservePerUnit*TotalUnits/12+TaxPrepPerUnit*TotalUnits/12+AssetMgmtFeePct*LD$23,0)</f>
        <v/>
      </c>
      <c r="LE40" s="218">
        <f>IF(313&gt;=DeliverStart,CapReservePerUnit*TotalUnits/12+TaxPrepPerUnit*TotalUnits/12+AssetMgmtFeePct*LE$23,0)</f>
        <v/>
      </c>
      <c r="LF40" s="218">
        <f>IF(314&gt;=DeliverStart,CapReservePerUnit*TotalUnits/12+TaxPrepPerUnit*TotalUnits/12+AssetMgmtFeePct*LF$23,0)</f>
        <v/>
      </c>
      <c r="LG40" s="218">
        <f>IF(315&gt;=DeliverStart,CapReservePerUnit*TotalUnits/12+TaxPrepPerUnit*TotalUnits/12+AssetMgmtFeePct*LG$23,0)</f>
        <v/>
      </c>
      <c r="LH40" s="218">
        <f>IF(316&gt;=DeliverStart,CapReservePerUnit*TotalUnits/12+TaxPrepPerUnit*TotalUnits/12+AssetMgmtFeePct*LH$23,0)</f>
        <v/>
      </c>
      <c r="LI40" s="218">
        <f>IF(317&gt;=DeliverStart,CapReservePerUnit*TotalUnits/12+TaxPrepPerUnit*TotalUnits/12+AssetMgmtFeePct*LI$23,0)</f>
        <v/>
      </c>
      <c r="LJ40" s="218">
        <f>IF(318&gt;=DeliverStart,CapReservePerUnit*TotalUnits/12+TaxPrepPerUnit*TotalUnits/12+AssetMgmtFeePct*LJ$23,0)</f>
        <v/>
      </c>
      <c r="LK40" s="218">
        <f>IF(319&gt;=DeliverStart,CapReservePerUnit*TotalUnits/12+TaxPrepPerUnit*TotalUnits/12+AssetMgmtFeePct*LK$23,0)</f>
        <v/>
      </c>
      <c r="LL40" s="218">
        <f>IF(320&gt;=DeliverStart,CapReservePerUnit*TotalUnits/12+TaxPrepPerUnit*TotalUnits/12+AssetMgmtFeePct*LL$23,0)</f>
        <v/>
      </c>
      <c r="LM40" s="218">
        <f>IF(321&gt;=DeliverStart,CapReservePerUnit*TotalUnits/12+TaxPrepPerUnit*TotalUnits/12+AssetMgmtFeePct*LM$23,0)</f>
        <v/>
      </c>
      <c r="LN40" s="218">
        <f>IF(322&gt;=DeliverStart,CapReservePerUnit*TotalUnits/12+TaxPrepPerUnit*TotalUnits/12+AssetMgmtFeePct*LN$23,0)</f>
        <v/>
      </c>
      <c r="LO40" s="218">
        <f>IF(323&gt;=DeliverStart,CapReservePerUnit*TotalUnits/12+TaxPrepPerUnit*TotalUnits/12+AssetMgmtFeePct*LO$23,0)</f>
        <v/>
      </c>
      <c r="LP40" s="218">
        <f>IF(324&gt;=DeliverStart,CapReservePerUnit*TotalUnits/12+TaxPrepPerUnit*TotalUnits/12+AssetMgmtFeePct*LP$23,0)</f>
        <v/>
      </c>
      <c r="LQ40" s="218">
        <f>IF(325&gt;=DeliverStart,CapReservePerUnit*TotalUnits/12+TaxPrepPerUnit*TotalUnits/12+AssetMgmtFeePct*LQ$23,0)</f>
        <v/>
      </c>
      <c r="LR40" s="218">
        <f>IF(326&gt;=DeliverStart,CapReservePerUnit*TotalUnits/12+TaxPrepPerUnit*TotalUnits/12+AssetMgmtFeePct*LR$23,0)</f>
        <v/>
      </c>
      <c r="LS40" s="218">
        <f>IF(327&gt;=DeliverStart,CapReservePerUnit*TotalUnits/12+TaxPrepPerUnit*TotalUnits/12+AssetMgmtFeePct*LS$23,0)</f>
        <v/>
      </c>
      <c r="LT40" s="218">
        <f>IF(328&gt;=DeliverStart,CapReservePerUnit*TotalUnits/12+TaxPrepPerUnit*TotalUnits/12+AssetMgmtFeePct*LT$23,0)</f>
        <v/>
      </c>
      <c r="LU40" s="218">
        <f>IF(329&gt;=DeliverStart,CapReservePerUnit*TotalUnits/12+TaxPrepPerUnit*TotalUnits/12+AssetMgmtFeePct*LU$23,0)</f>
        <v/>
      </c>
      <c r="LV40" s="218">
        <f>IF(330&gt;=DeliverStart,CapReservePerUnit*TotalUnits/12+TaxPrepPerUnit*TotalUnits/12+AssetMgmtFeePct*LV$23,0)</f>
        <v/>
      </c>
      <c r="LW40" s="218">
        <f>IF(331&gt;=DeliverStart,CapReservePerUnit*TotalUnits/12+TaxPrepPerUnit*TotalUnits/12+AssetMgmtFeePct*LW$23,0)</f>
        <v/>
      </c>
      <c r="LX40" s="218">
        <f>IF(332&gt;=DeliverStart,CapReservePerUnit*TotalUnits/12+TaxPrepPerUnit*TotalUnits/12+AssetMgmtFeePct*LX$23,0)</f>
        <v/>
      </c>
      <c r="LY40" s="218">
        <f>IF(333&gt;=DeliverStart,CapReservePerUnit*TotalUnits/12+TaxPrepPerUnit*TotalUnits/12+AssetMgmtFeePct*LY$23,0)</f>
        <v/>
      </c>
      <c r="LZ40" s="218">
        <f>IF(334&gt;=DeliverStart,CapReservePerUnit*TotalUnits/12+TaxPrepPerUnit*TotalUnits/12+AssetMgmtFeePct*LZ$23,0)</f>
        <v/>
      </c>
      <c r="MA40" s="218">
        <f>IF(335&gt;=DeliverStart,CapReservePerUnit*TotalUnits/12+TaxPrepPerUnit*TotalUnits/12+AssetMgmtFeePct*MA$23,0)</f>
        <v/>
      </c>
      <c r="MB40" s="218">
        <f>IF(336&gt;=DeliverStart,CapReservePerUnit*TotalUnits/12+TaxPrepPerUnit*TotalUnits/12+AssetMgmtFeePct*MB$23,0)</f>
        <v/>
      </c>
      <c r="MC40" s="218">
        <f>IF(337&gt;=DeliverStart,CapReservePerUnit*TotalUnits/12+TaxPrepPerUnit*TotalUnits/12+AssetMgmtFeePct*MC$23,0)</f>
        <v/>
      </c>
      <c r="MD40" s="218">
        <f>IF(338&gt;=DeliverStart,CapReservePerUnit*TotalUnits/12+TaxPrepPerUnit*TotalUnits/12+AssetMgmtFeePct*MD$23,0)</f>
        <v/>
      </c>
      <c r="ME40" s="218">
        <f>IF(339&gt;=DeliverStart,CapReservePerUnit*TotalUnits/12+TaxPrepPerUnit*TotalUnits/12+AssetMgmtFeePct*ME$23,0)</f>
        <v/>
      </c>
      <c r="MF40" s="218">
        <f>IF(340&gt;=DeliverStart,CapReservePerUnit*TotalUnits/12+TaxPrepPerUnit*TotalUnits/12+AssetMgmtFeePct*MF$23,0)</f>
        <v/>
      </c>
      <c r="MG40" s="218">
        <f>IF(341&gt;=DeliverStart,CapReservePerUnit*TotalUnits/12+TaxPrepPerUnit*TotalUnits/12+AssetMgmtFeePct*MG$23,0)</f>
        <v/>
      </c>
      <c r="MH40" s="218">
        <f>IF(342&gt;=DeliverStart,CapReservePerUnit*TotalUnits/12+TaxPrepPerUnit*TotalUnits/12+AssetMgmtFeePct*MH$23,0)</f>
        <v/>
      </c>
      <c r="MI40" s="218">
        <f>IF(343&gt;=DeliverStart,CapReservePerUnit*TotalUnits/12+TaxPrepPerUnit*TotalUnits/12+AssetMgmtFeePct*MI$23,0)</f>
        <v/>
      </c>
      <c r="MJ40" s="218">
        <f>IF(344&gt;=DeliverStart,CapReservePerUnit*TotalUnits/12+TaxPrepPerUnit*TotalUnits/12+AssetMgmtFeePct*MJ$23,0)</f>
        <v/>
      </c>
      <c r="MK40" s="218">
        <f>IF(345&gt;=DeliverStart,CapReservePerUnit*TotalUnits/12+TaxPrepPerUnit*TotalUnits/12+AssetMgmtFeePct*MK$23,0)</f>
        <v/>
      </c>
      <c r="ML40" s="218">
        <f>IF(346&gt;=DeliverStart,CapReservePerUnit*TotalUnits/12+TaxPrepPerUnit*TotalUnits/12+AssetMgmtFeePct*ML$23,0)</f>
        <v/>
      </c>
      <c r="MM40" s="218">
        <f>IF(347&gt;=DeliverStart,CapReservePerUnit*TotalUnits/12+TaxPrepPerUnit*TotalUnits/12+AssetMgmtFeePct*MM$23,0)</f>
        <v/>
      </c>
      <c r="MN40" s="218">
        <f>IF(348&gt;=DeliverStart,CapReservePerUnit*TotalUnits/12+TaxPrepPerUnit*TotalUnits/12+AssetMgmtFeePct*MN$23,0)</f>
        <v/>
      </c>
      <c r="MO40" s="218">
        <f>IF(349&gt;=DeliverStart,CapReservePerUnit*TotalUnits/12+TaxPrepPerUnit*TotalUnits/12+AssetMgmtFeePct*MO$23,0)</f>
        <v/>
      </c>
      <c r="MP40" s="218">
        <f>IF(350&gt;=DeliverStart,CapReservePerUnit*TotalUnits/12+TaxPrepPerUnit*TotalUnits/12+AssetMgmtFeePct*MP$23,0)</f>
        <v/>
      </c>
      <c r="MQ40" s="218">
        <f>IF(351&gt;=DeliverStart,CapReservePerUnit*TotalUnits/12+TaxPrepPerUnit*TotalUnits/12+AssetMgmtFeePct*MQ$23,0)</f>
        <v/>
      </c>
      <c r="MR40" s="218">
        <f>IF(352&gt;=DeliverStart,CapReservePerUnit*TotalUnits/12+TaxPrepPerUnit*TotalUnits/12+AssetMgmtFeePct*MR$23,0)</f>
        <v/>
      </c>
      <c r="MS40" s="218">
        <f>IF(353&gt;=DeliverStart,CapReservePerUnit*TotalUnits/12+TaxPrepPerUnit*TotalUnits/12+AssetMgmtFeePct*MS$23,0)</f>
        <v/>
      </c>
      <c r="MT40" s="218">
        <f>IF(354&gt;=DeliverStart,CapReservePerUnit*TotalUnits/12+TaxPrepPerUnit*TotalUnits/12+AssetMgmtFeePct*MT$23,0)</f>
        <v/>
      </c>
      <c r="MU40" s="218">
        <f>IF(355&gt;=DeliverStart,CapReservePerUnit*TotalUnits/12+TaxPrepPerUnit*TotalUnits/12+AssetMgmtFeePct*MU$23,0)</f>
        <v/>
      </c>
      <c r="MV40" s="218">
        <f>IF(356&gt;=DeliverStart,CapReservePerUnit*TotalUnits/12+TaxPrepPerUnit*TotalUnits/12+AssetMgmtFeePct*MV$23,0)</f>
        <v/>
      </c>
      <c r="MW40" s="218">
        <f>IF(357&gt;=DeliverStart,CapReservePerUnit*TotalUnits/12+TaxPrepPerUnit*TotalUnits/12+AssetMgmtFeePct*MW$23,0)</f>
        <v/>
      </c>
      <c r="MX40" s="218">
        <f>IF(358&gt;=DeliverStart,CapReservePerUnit*TotalUnits/12+TaxPrepPerUnit*TotalUnits/12+AssetMgmtFeePct*MX$23,0)</f>
        <v/>
      </c>
      <c r="MY40" s="218">
        <f>IF(359&gt;=DeliverStart,CapReservePerUnit*TotalUnits/12+TaxPrepPerUnit*TotalUnits/12+AssetMgmtFeePct*MY$23,0)</f>
        <v/>
      </c>
      <c r="MZ40" s="218">
        <f>IF(360&gt;=DeliverStart,CapReservePerUnit*TotalUnits/12+TaxPrepPerUnit*TotalUnits/12+AssetMgmtFeePct*MZ$23,0)</f>
        <v/>
      </c>
      <c r="NA40" s="218">
        <f>IF(361&gt;=DeliverStart,CapReservePerUnit*TotalUnits/12+TaxPrepPerUnit*TotalUnits/12+AssetMgmtFeePct*NA$23,0)</f>
        <v/>
      </c>
      <c r="NB40" s="218">
        <f>IF(362&gt;=DeliverStart,CapReservePerUnit*TotalUnits/12+TaxPrepPerUnit*TotalUnits/12+AssetMgmtFeePct*NB$23,0)</f>
        <v/>
      </c>
      <c r="NC40" s="218">
        <f>IF(363&gt;=DeliverStart,CapReservePerUnit*TotalUnits/12+TaxPrepPerUnit*TotalUnits/12+AssetMgmtFeePct*NC$23,0)</f>
        <v/>
      </c>
      <c r="ND40" s="218">
        <f>IF(364&gt;=DeliverStart,CapReservePerUnit*TotalUnits/12+TaxPrepPerUnit*TotalUnits/12+AssetMgmtFeePct*ND$23,0)</f>
        <v/>
      </c>
      <c r="NE40" s="218">
        <f>IF(365&gt;=DeliverStart,CapReservePerUnit*TotalUnits/12+TaxPrepPerUnit*TotalUnits/12+AssetMgmtFeePct*NE$23,0)</f>
        <v/>
      </c>
      <c r="NF40" s="218">
        <f>IF(366&gt;=DeliverStart,CapReservePerUnit*TotalUnits/12+TaxPrepPerUnit*TotalUnits/12+AssetMgmtFeePct*NF$23,0)</f>
        <v/>
      </c>
      <c r="NG40" s="218">
        <f>IF(367&gt;=DeliverStart,CapReservePerUnit*TotalUnits/12+TaxPrepPerUnit*TotalUnits/12+AssetMgmtFeePct*NG$23,0)</f>
        <v/>
      </c>
      <c r="NH40" s="218">
        <f>IF(368&gt;=DeliverStart,CapReservePerUnit*TotalUnits/12+TaxPrepPerUnit*TotalUnits/12+AssetMgmtFeePct*NH$23,0)</f>
        <v/>
      </c>
      <c r="NI40" s="218">
        <f>IF(369&gt;=DeliverStart,CapReservePerUnit*TotalUnits/12+TaxPrepPerUnit*TotalUnits/12+AssetMgmtFeePct*NI$23,0)</f>
        <v/>
      </c>
      <c r="NJ40" s="218">
        <f>IF(370&gt;=DeliverStart,CapReservePerUnit*TotalUnits/12+TaxPrepPerUnit*TotalUnits/12+AssetMgmtFeePct*NJ$23,0)</f>
        <v/>
      </c>
      <c r="NK40" s="218">
        <f>IF(371&gt;=DeliverStart,CapReservePerUnit*TotalUnits/12+TaxPrepPerUnit*TotalUnits/12+AssetMgmtFeePct*NK$23,0)</f>
        <v/>
      </c>
      <c r="NL40" s="225">
        <f>IF(372&gt;=DeliverStart,CapReservePerUnit*TotalUnits/12+TaxPrepPerUnit*TotalUnits/12+AssetMgmtFeePct*NL$23,0)</f>
        <v/>
      </c>
    </row>
    <row r="41">
      <c r="B41" s="154" t="inlineStr">
        <is>
          <t>Operating Cash Flow</t>
        </is>
      </c>
      <c r="C41" s="155" t="n"/>
      <c r="D41" s="155" t="n"/>
      <c r="NL41" s="53" t="n"/>
    </row>
    <row r="42">
      <c r="B42" s="36" t="inlineStr">
        <is>
          <t>Operating CF before Debt (property)</t>
        </is>
      </c>
      <c r="D42" s="266">
        <f>SUM(E42:NL42)</f>
        <v/>
      </c>
      <c r="E42" s="218">
        <f>E$38-E$40</f>
        <v/>
      </c>
      <c r="F42" s="218">
        <f>F$38-F$40</f>
        <v/>
      </c>
      <c r="G42" s="218">
        <f>G$38-G$40</f>
        <v/>
      </c>
      <c r="H42" s="218">
        <f>H$38-H$40</f>
        <v/>
      </c>
      <c r="I42" s="218">
        <f>I$38-I$40</f>
        <v/>
      </c>
      <c r="J42" s="218">
        <f>J$38-J$40</f>
        <v/>
      </c>
      <c r="K42" s="218">
        <f>K$38-K$40</f>
        <v/>
      </c>
      <c r="L42" s="218">
        <f>L$38-L$40</f>
        <v/>
      </c>
      <c r="M42" s="218">
        <f>M$38-M$40</f>
        <v/>
      </c>
      <c r="N42" s="218">
        <f>N$38-N$40</f>
        <v/>
      </c>
      <c r="O42" s="218">
        <f>O$38-O$40</f>
        <v/>
      </c>
      <c r="P42" s="218">
        <f>P$38-P$40</f>
        <v/>
      </c>
      <c r="Q42" s="218">
        <f>Q$38-Q$40</f>
        <v/>
      </c>
      <c r="R42" s="218">
        <f>R$38-R$40</f>
        <v/>
      </c>
      <c r="S42" s="218">
        <f>S$38-S$40</f>
        <v/>
      </c>
      <c r="T42" s="218">
        <f>T$38-T$40</f>
        <v/>
      </c>
      <c r="U42" s="218">
        <f>U$38-U$40</f>
        <v/>
      </c>
      <c r="V42" s="218">
        <f>V$38-V$40</f>
        <v/>
      </c>
      <c r="W42" s="218">
        <f>W$38-W$40</f>
        <v/>
      </c>
      <c r="X42" s="218">
        <f>X$38-X$40</f>
        <v/>
      </c>
      <c r="Y42" s="218">
        <f>Y$38-Y$40</f>
        <v/>
      </c>
      <c r="Z42" s="218">
        <f>Z$38-Z$40</f>
        <v/>
      </c>
      <c r="AA42" s="218">
        <f>AA$38-AA$40</f>
        <v/>
      </c>
      <c r="AB42" s="218">
        <f>AB$38-AB$40</f>
        <v/>
      </c>
      <c r="AC42" s="218">
        <f>AC$38-AC$40</f>
        <v/>
      </c>
      <c r="AD42" s="218">
        <f>AD$38-AD$40</f>
        <v/>
      </c>
      <c r="AE42" s="218">
        <f>AE$38-AE$40</f>
        <v/>
      </c>
      <c r="AF42" s="218">
        <f>AF$38-AF$40</f>
        <v/>
      </c>
      <c r="AG42" s="218">
        <f>AG$38-AG$40</f>
        <v/>
      </c>
      <c r="AH42" s="218">
        <f>AH$38-AH$40</f>
        <v/>
      </c>
      <c r="AI42" s="218">
        <f>AI$38-AI$40</f>
        <v/>
      </c>
      <c r="AJ42" s="218">
        <f>AJ$38-AJ$40</f>
        <v/>
      </c>
      <c r="AK42" s="218">
        <f>AK$38-AK$40</f>
        <v/>
      </c>
      <c r="AL42" s="218">
        <f>AL$38-AL$40</f>
        <v/>
      </c>
      <c r="AM42" s="218">
        <f>AM$38-AM$40</f>
        <v/>
      </c>
      <c r="AN42" s="218">
        <f>AN$38-AN$40</f>
        <v/>
      </c>
      <c r="AO42" s="218">
        <f>AO$38-AO$40</f>
        <v/>
      </c>
      <c r="AP42" s="218">
        <f>AP$38-AP$40</f>
        <v/>
      </c>
      <c r="AQ42" s="218">
        <f>AQ$38-AQ$40</f>
        <v/>
      </c>
      <c r="AR42" s="218">
        <f>AR$38-AR$40</f>
        <v/>
      </c>
      <c r="AS42" s="218">
        <f>AS$38-AS$40</f>
        <v/>
      </c>
      <c r="AT42" s="218">
        <f>AT$38-AT$40</f>
        <v/>
      </c>
      <c r="AU42" s="218">
        <f>AU$38-AU$40</f>
        <v/>
      </c>
      <c r="AV42" s="218">
        <f>AV$38-AV$40</f>
        <v/>
      </c>
      <c r="AW42" s="218">
        <f>AW$38-AW$40</f>
        <v/>
      </c>
      <c r="AX42" s="218">
        <f>AX$38-AX$40</f>
        <v/>
      </c>
      <c r="AY42" s="218">
        <f>AY$38-AY$40</f>
        <v/>
      </c>
      <c r="AZ42" s="218">
        <f>AZ$38-AZ$40</f>
        <v/>
      </c>
      <c r="BA42" s="218">
        <f>BA$38-BA$40</f>
        <v/>
      </c>
      <c r="BB42" s="218">
        <f>BB$38-BB$40</f>
        <v/>
      </c>
      <c r="BC42" s="218">
        <f>BC$38-BC$40</f>
        <v/>
      </c>
      <c r="BD42" s="218">
        <f>BD$38-BD$40</f>
        <v/>
      </c>
      <c r="BE42" s="218">
        <f>BE$38-BE$40</f>
        <v/>
      </c>
      <c r="BF42" s="218">
        <f>BF$38-BF$40</f>
        <v/>
      </c>
      <c r="BG42" s="218">
        <f>BG$38-BG$40</f>
        <v/>
      </c>
      <c r="BH42" s="218">
        <f>BH$38-BH$40</f>
        <v/>
      </c>
      <c r="BI42" s="218">
        <f>BI$38-BI$40</f>
        <v/>
      </c>
      <c r="BJ42" s="218">
        <f>BJ$38-BJ$40</f>
        <v/>
      </c>
      <c r="BK42" s="218">
        <f>BK$38-BK$40</f>
        <v/>
      </c>
      <c r="BL42" s="218">
        <f>BL$38-BL$40</f>
        <v/>
      </c>
      <c r="BM42" s="218">
        <f>BM$38-BM$40</f>
        <v/>
      </c>
      <c r="BN42" s="218">
        <f>BN$38-BN$40</f>
        <v/>
      </c>
      <c r="BO42" s="218">
        <f>BO$38-BO$40</f>
        <v/>
      </c>
      <c r="BP42" s="218">
        <f>BP$38-BP$40</f>
        <v/>
      </c>
      <c r="BQ42" s="218">
        <f>BQ$38-BQ$40</f>
        <v/>
      </c>
      <c r="BR42" s="218">
        <f>BR$38-BR$40</f>
        <v/>
      </c>
      <c r="BS42" s="218">
        <f>BS$38-BS$40</f>
        <v/>
      </c>
      <c r="BT42" s="218">
        <f>BT$38-BT$40</f>
        <v/>
      </c>
      <c r="BU42" s="218">
        <f>BU$38-BU$40</f>
        <v/>
      </c>
      <c r="BV42" s="218">
        <f>BV$38-BV$40</f>
        <v/>
      </c>
      <c r="BW42" s="218">
        <f>BW$38-BW$40</f>
        <v/>
      </c>
      <c r="BX42" s="218">
        <f>BX$38-BX$40</f>
        <v/>
      </c>
      <c r="BY42" s="218">
        <f>BY$38-BY$40</f>
        <v/>
      </c>
      <c r="BZ42" s="218">
        <f>BZ$38-BZ$40</f>
        <v/>
      </c>
      <c r="CA42" s="218">
        <f>CA$38-CA$40</f>
        <v/>
      </c>
      <c r="CB42" s="218">
        <f>CB$38-CB$40</f>
        <v/>
      </c>
      <c r="CC42" s="218">
        <f>CC$38-CC$40</f>
        <v/>
      </c>
      <c r="CD42" s="218">
        <f>CD$38-CD$40</f>
        <v/>
      </c>
      <c r="CE42" s="218">
        <f>CE$38-CE$40</f>
        <v/>
      </c>
      <c r="CF42" s="218">
        <f>CF$38-CF$40</f>
        <v/>
      </c>
      <c r="CG42" s="218">
        <f>CG$38-CG$40</f>
        <v/>
      </c>
      <c r="CH42" s="218">
        <f>CH$38-CH$40</f>
        <v/>
      </c>
      <c r="CI42" s="218">
        <f>CI$38-CI$40</f>
        <v/>
      </c>
      <c r="CJ42" s="218">
        <f>CJ$38-CJ$40</f>
        <v/>
      </c>
      <c r="CK42" s="218">
        <f>CK$38-CK$40</f>
        <v/>
      </c>
      <c r="CL42" s="218">
        <f>CL$38-CL$40</f>
        <v/>
      </c>
      <c r="CM42" s="218">
        <f>CM$38-CM$40</f>
        <v/>
      </c>
      <c r="CN42" s="218">
        <f>CN$38-CN$40</f>
        <v/>
      </c>
      <c r="CO42" s="218">
        <f>CO$38-CO$40</f>
        <v/>
      </c>
      <c r="CP42" s="218">
        <f>CP$38-CP$40</f>
        <v/>
      </c>
      <c r="CQ42" s="218">
        <f>CQ$38-CQ$40</f>
        <v/>
      </c>
      <c r="CR42" s="218">
        <f>CR$38-CR$40</f>
        <v/>
      </c>
      <c r="CS42" s="218">
        <f>CS$38-CS$40</f>
        <v/>
      </c>
      <c r="CT42" s="218">
        <f>CT$38-CT$40</f>
        <v/>
      </c>
      <c r="CU42" s="218">
        <f>CU$38-CU$40</f>
        <v/>
      </c>
      <c r="CV42" s="218">
        <f>CV$38-CV$40</f>
        <v/>
      </c>
      <c r="CW42" s="218">
        <f>CW$38-CW$40</f>
        <v/>
      </c>
      <c r="CX42" s="218">
        <f>CX$38-CX$40</f>
        <v/>
      </c>
      <c r="CY42" s="218">
        <f>CY$38-CY$40</f>
        <v/>
      </c>
      <c r="CZ42" s="218">
        <f>CZ$38-CZ$40</f>
        <v/>
      </c>
      <c r="DA42" s="218">
        <f>DA$38-DA$40</f>
        <v/>
      </c>
      <c r="DB42" s="218">
        <f>DB$38-DB$40</f>
        <v/>
      </c>
      <c r="DC42" s="218">
        <f>DC$38-DC$40</f>
        <v/>
      </c>
      <c r="DD42" s="218">
        <f>DD$38-DD$40</f>
        <v/>
      </c>
      <c r="DE42" s="218">
        <f>DE$38-DE$40</f>
        <v/>
      </c>
      <c r="DF42" s="218">
        <f>DF$38-DF$40</f>
        <v/>
      </c>
      <c r="DG42" s="218">
        <f>DG$38-DG$40</f>
        <v/>
      </c>
      <c r="DH42" s="218">
        <f>DH$38-DH$40</f>
        <v/>
      </c>
      <c r="DI42" s="218">
        <f>DI$38-DI$40</f>
        <v/>
      </c>
      <c r="DJ42" s="218">
        <f>DJ$38-DJ$40</f>
        <v/>
      </c>
      <c r="DK42" s="218">
        <f>DK$38-DK$40</f>
        <v/>
      </c>
      <c r="DL42" s="218">
        <f>DL$38-DL$40</f>
        <v/>
      </c>
      <c r="DM42" s="218">
        <f>DM$38-DM$40</f>
        <v/>
      </c>
      <c r="DN42" s="218">
        <f>DN$38-DN$40</f>
        <v/>
      </c>
      <c r="DO42" s="218">
        <f>DO$38-DO$40</f>
        <v/>
      </c>
      <c r="DP42" s="218">
        <f>DP$38-DP$40</f>
        <v/>
      </c>
      <c r="DQ42" s="218">
        <f>DQ$38-DQ$40</f>
        <v/>
      </c>
      <c r="DR42" s="218">
        <f>DR$38-DR$40</f>
        <v/>
      </c>
      <c r="DS42" s="218">
        <f>DS$38-DS$40</f>
        <v/>
      </c>
      <c r="DT42" s="218">
        <f>DT$38-DT$40</f>
        <v/>
      </c>
      <c r="DU42" s="218">
        <f>DU$38-DU$40</f>
        <v/>
      </c>
      <c r="DV42" s="218">
        <f>DV$38-DV$40</f>
        <v/>
      </c>
      <c r="DW42" s="218">
        <f>DW$38-DW$40</f>
        <v/>
      </c>
      <c r="DX42" s="218">
        <f>DX$38-DX$40</f>
        <v/>
      </c>
      <c r="DY42" s="218">
        <f>DY$38-DY$40</f>
        <v/>
      </c>
      <c r="DZ42" s="218">
        <f>DZ$38-DZ$40</f>
        <v/>
      </c>
      <c r="EA42" s="218">
        <f>EA$38-EA$40</f>
        <v/>
      </c>
      <c r="EB42" s="218">
        <f>EB$38-EB$40</f>
        <v/>
      </c>
      <c r="EC42" s="218">
        <f>EC$38-EC$40</f>
        <v/>
      </c>
      <c r="ED42" s="218">
        <f>ED$38-ED$40</f>
        <v/>
      </c>
      <c r="EE42" s="218">
        <f>EE$38-EE$40</f>
        <v/>
      </c>
      <c r="EF42" s="218">
        <f>EF$38-EF$40</f>
        <v/>
      </c>
      <c r="EG42" s="218">
        <f>EG$38-EG$40</f>
        <v/>
      </c>
      <c r="EH42" s="218">
        <f>EH$38-EH$40</f>
        <v/>
      </c>
      <c r="EI42" s="218">
        <f>EI$38-EI$40</f>
        <v/>
      </c>
      <c r="EJ42" s="218">
        <f>EJ$38-EJ$40</f>
        <v/>
      </c>
      <c r="EK42" s="218">
        <f>EK$38-EK$40</f>
        <v/>
      </c>
      <c r="EL42" s="218">
        <f>EL$38-EL$40</f>
        <v/>
      </c>
      <c r="EM42" s="218">
        <f>EM$38-EM$40</f>
        <v/>
      </c>
      <c r="EN42" s="218">
        <f>EN$38-EN$40</f>
        <v/>
      </c>
      <c r="EO42" s="218">
        <f>EO$38-EO$40</f>
        <v/>
      </c>
      <c r="EP42" s="218">
        <f>EP$38-EP$40</f>
        <v/>
      </c>
      <c r="EQ42" s="218">
        <f>EQ$38-EQ$40</f>
        <v/>
      </c>
      <c r="ER42" s="218">
        <f>ER$38-ER$40</f>
        <v/>
      </c>
      <c r="ES42" s="218">
        <f>ES$38-ES$40</f>
        <v/>
      </c>
      <c r="ET42" s="218">
        <f>ET$38-ET$40</f>
        <v/>
      </c>
      <c r="EU42" s="218">
        <f>EU$38-EU$40</f>
        <v/>
      </c>
      <c r="EV42" s="218">
        <f>EV$38-EV$40</f>
        <v/>
      </c>
      <c r="EW42" s="218">
        <f>EW$38-EW$40</f>
        <v/>
      </c>
      <c r="EX42" s="218">
        <f>EX$38-EX$40</f>
        <v/>
      </c>
      <c r="EY42" s="218">
        <f>EY$38-EY$40</f>
        <v/>
      </c>
      <c r="EZ42" s="218">
        <f>EZ$38-EZ$40</f>
        <v/>
      </c>
      <c r="FA42" s="218">
        <f>FA$38-FA$40</f>
        <v/>
      </c>
      <c r="FB42" s="218">
        <f>FB$38-FB$40</f>
        <v/>
      </c>
      <c r="FC42" s="218">
        <f>FC$38-FC$40</f>
        <v/>
      </c>
      <c r="FD42" s="218">
        <f>FD$38-FD$40</f>
        <v/>
      </c>
      <c r="FE42" s="218">
        <f>FE$38-FE$40</f>
        <v/>
      </c>
      <c r="FF42" s="218">
        <f>FF$38-FF$40</f>
        <v/>
      </c>
      <c r="FG42" s="218">
        <f>FG$38-FG$40</f>
        <v/>
      </c>
      <c r="FH42" s="218">
        <f>FH$38-FH$40</f>
        <v/>
      </c>
      <c r="FI42" s="218">
        <f>FI$38-FI$40</f>
        <v/>
      </c>
      <c r="FJ42" s="218">
        <f>FJ$38-FJ$40</f>
        <v/>
      </c>
      <c r="FK42" s="218">
        <f>FK$38-FK$40</f>
        <v/>
      </c>
      <c r="FL42" s="218">
        <f>FL$38-FL$40</f>
        <v/>
      </c>
      <c r="FM42" s="218">
        <f>FM$38-FM$40</f>
        <v/>
      </c>
      <c r="FN42" s="218">
        <f>FN$38-FN$40</f>
        <v/>
      </c>
      <c r="FO42" s="218">
        <f>FO$38-FO$40</f>
        <v/>
      </c>
      <c r="FP42" s="218">
        <f>FP$38-FP$40</f>
        <v/>
      </c>
      <c r="FQ42" s="218">
        <f>FQ$38-FQ$40</f>
        <v/>
      </c>
      <c r="FR42" s="218">
        <f>FR$38-FR$40</f>
        <v/>
      </c>
      <c r="FS42" s="218">
        <f>FS$38-FS$40</f>
        <v/>
      </c>
      <c r="FT42" s="218">
        <f>FT$38-FT$40</f>
        <v/>
      </c>
      <c r="FU42" s="218">
        <f>FU$38-FU$40</f>
        <v/>
      </c>
      <c r="FV42" s="218">
        <f>FV$38-FV$40</f>
        <v/>
      </c>
      <c r="FW42" s="218">
        <f>FW$38-FW$40</f>
        <v/>
      </c>
      <c r="FX42" s="218">
        <f>FX$38-FX$40</f>
        <v/>
      </c>
      <c r="FY42" s="218">
        <f>FY$38-FY$40</f>
        <v/>
      </c>
      <c r="FZ42" s="218">
        <f>FZ$38-FZ$40</f>
        <v/>
      </c>
      <c r="GA42" s="218">
        <f>GA$38-GA$40</f>
        <v/>
      </c>
      <c r="GB42" s="218">
        <f>GB$38-GB$40</f>
        <v/>
      </c>
      <c r="GC42" s="218">
        <f>GC$38-GC$40</f>
        <v/>
      </c>
      <c r="GD42" s="218">
        <f>GD$38-GD$40</f>
        <v/>
      </c>
      <c r="GE42" s="218">
        <f>GE$38-GE$40</f>
        <v/>
      </c>
      <c r="GF42" s="218">
        <f>GF$38-GF$40</f>
        <v/>
      </c>
      <c r="GG42" s="218">
        <f>GG$38-GG$40</f>
        <v/>
      </c>
      <c r="GH42" s="218">
        <f>GH$38-GH$40</f>
        <v/>
      </c>
      <c r="GI42" s="218">
        <f>GI$38-GI$40</f>
        <v/>
      </c>
      <c r="GJ42" s="218">
        <f>GJ$38-GJ$40</f>
        <v/>
      </c>
      <c r="GK42" s="218">
        <f>GK$38-GK$40</f>
        <v/>
      </c>
      <c r="GL42" s="218">
        <f>GL$38-GL$40</f>
        <v/>
      </c>
      <c r="GM42" s="218">
        <f>GM$38-GM$40</f>
        <v/>
      </c>
      <c r="GN42" s="218">
        <f>GN$38-GN$40</f>
        <v/>
      </c>
      <c r="GO42" s="218">
        <f>GO$38-GO$40</f>
        <v/>
      </c>
      <c r="GP42" s="218">
        <f>GP$38-GP$40</f>
        <v/>
      </c>
      <c r="GQ42" s="218">
        <f>GQ$38-GQ$40</f>
        <v/>
      </c>
      <c r="GR42" s="218">
        <f>GR$38-GR$40</f>
        <v/>
      </c>
      <c r="GS42" s="218">
        <f>GS$38-GS$40</f>
        <v/>
      </c>
      <c r="GT42" s="218">
        <f>GT$38-GT$40</f>
        <v/>
      </c>
      <c r="GU42" s="218">
        <f>GU$38-GU$40</f>
        <v/>
      </c>
      <c r="GV42" s="218">
        <f>GV$38-GV$40</f>
        <v/>
      </c>
      <c r="GW42" s="218">
        <f>GW$38-GW$40</f>
        <v/>
      </c>
      <c r="GX42" s="218">
        <f>GX$38-GX$40</f>
        <v/>
      </c>
      <c r="GY42" s="218">
        <f>GY$38-GY$40</f>
        <v/>
      </c>
      <c r="GZ42" s="218">
        <f>GZ$38-GZ$40</f>
        <v/>
      </c>
      <c r="HA42" s="218">
        <f>HA$38-HA$40</f>
        <v/>
      </c>
      <c r="HB42" s="218">
        <f>HB$38-HB$40</f>
        <v/>
      </c>
      <c r="HC42" s="218">
        <f>HC$38-HC$40</f>
        <v/>
      </c>
      <c r="HD42" s="218">
        <f>HD$38-HD$40</f>
        <v/>
      </c>
      <c r="HE42" s="218">
        <f>HE$38-HE$40</f>
        <v/>
      </c>
      <c r="HF42" s="218">
        <f>HF$38-HF$40</f>
        <v/>
      </c>
      <c r="HG42" s="218">
        <f>HG$38-HG$40</f>
        <v/>
      </c>
      <c r="HH42" s="218">
        <f>HH$38-HH$40</f>
        <v/>
      </c>
      <c r="HI42" s="218">
        <f>HI$38-HI$40</f>
        <v/>
      </c>
      <c r="HJ42" s="218">
        <f>HJ$38-HJ$40</f>
        <v/>
      </c>
      <c r="HK42" s="218">
        <f>HK$38-HK$40</f>
        <v/>
      </c>
      <c r="HL42" s="218">
        <f>HL$38-HL$40</f>
        <v/>
      </c>
      <c r="HM42" s="218">
        <f>HM$38-HM$40</f>
        <v/>
      </c>
      <c r="HN42" s="218">
        <f>HN$38-HN$40</f>
        <v/>
      </c>
      <c r="HO42" s="218">
        <f>HO$38-HO$40</f>
        <v/>
      </c>
      <c r="HP42" s="218">
        <f>HP$38-HP$40</f>
        <v/>
      </c>
      <c r="HQ42" s="218">
        <f>HQ$38-HQ$40</f>
        <v/>
      </c>
      <c r="HR42" s="218">
        <f>HR$38-HR$40</f>
        <v/>
      </c>
      <c r="HS42" s="218">
        <f>HS$38-HS$40</f>
        <v/>
      </c>
      <c r="HT42" s="218">
        <f>HT$38-HT$40</f>
        <v/>
      </c>
      <c r="HU42" s="218">
        <f>HU$38-HU$40</f>
        <v/>
      </c>
      <c r="HV42" s="218">
        <f>HV$38-HV$40</f>
        <v/>
      </c>
      <c r="HW42" s="218">
        <f>HW$38-HW$40</f>
        <v/>
      </c>
      <c r="HX42" s="218">
        <f>HX$38-HX$40</f>
        <v/>
      </c>
      <c r="HY42" s="218">
        <f>HY$38-HY$40</f>
        <v/>
      </c>
      <c r="HZ42" s="218">
        <f>HZ$38-HZ$40</f>
        <v/>
      </c>
      <c r="IA42" s="218">
        <f>IA$38-IA$40</f>
        <v/>
      </c>
      <c r="IB42" s="218">
        <f>IB$38-IB$40</f>
        <v/>
      </c>
      <c r="IC42" s="218">
        <f>IC$38-IC$40</f>
        <v/>
      </c>
      <c r="ID42" s="218">
        <f>ID$38-ID$40</f>
        <v/>
      </c>
      <c r="IE42" s="218">
        <f>IE$38-IE$40</f>
        <v/>
      </c>
      <c r="IF42" s="218">
        <f>IF$38-IF$40</f>
        <v/>
      </c>
      <c r="IG42" s="218">
        <f>IG$38-IG$40</f>
        <v/>
      </c>
      <c r="IH42" s="218">
        <f>IH$38-IH$40</f>
        <v/>
      </c>
      <c r="II42" s="218">
        <f>II$38-II$40</f>
        <v/>
      </c>
      <c r="IJ42" s="218">
        <f>IJ$38-IJ$40</f>
        <v/>
      </c>
      <c r="IK42" s="218">
        <f>IK$38-IK$40</f>
        <v/>
      </c>
      <c r="IL42" s="218">
        <f>IL$38-IL$40</f>
        <v/>
      </c>
      <c r="IM42" s="218">
        <f>IM$38-IM$40</f>
        <v/>
      </c>
      <c r="IN42" s="218">
        <f>IN$38-IN$40</f>
        <v/>
      </c>
      <c r="IO42" s="218">
        <f>IO$38-IO$40</f>
        <v/>
      </c>
      <c r="IP42" s="218">
        <f>IP$38-IP$40</f>
        <v/>
      </c>
      <c r="IQ42" s="218">
        <f>IQ$38-IQ$40</f>
        <v/>
      </c>
      <c r="IR42" s="218">
        <f>IR$38-IR$40</f>
        <v/>
      </c>
      <c r="IS42" s="218">
        <f>IS$38-IS$40</f>
        <v/>
      </c>
      <c r="IT42" s="218">
        <f>IT$38-IT$40</f>
        <v/>
      </c>
      <c r="IU42" s="218">
        <f>IU$38-IU$40</f>
        <v/>
      </c>
      <c r="IV42" s="218">
        <f>IV$38-IV$40</f>
        <v/>
      </c>
      <c r="IW42" s="218">
        <f>IW$38-IW$40</f>
        <v/>
      </c>
      <c r="IX42" s="218">
        <f>IX$38-IX$40</f>
        <v/>
      </c>
      <c r="IY42" s="218">
        <f>IY$38-IY$40</f>
        <v/>
      </c>
      <c r="IZ42" s="218">
        <f>IZ$38-IZ$40</f>
        <v/>
      </c>
      <c r="JA42" s="218">
        <f>JA$38-JA$40</f>
        <v/>
      </c>
      <c r="JB42" s="218">
        <f>JB$38-JB$40</f>
        <v/>
      </c>
      <c r="JC42" s="218">
        <f>JC$38-JC$40</f>
        <v/>
      </c>
      <c r="JD42" s="218">
        <f>JD$38-JD$40</f>
        <v/>
      </c>
      <c r="JE42" s="218">
        <f>JE$38-JE$40</f>
        <v/>
      </c>
      <c r="JF42" s="218">
        <f>JF$38-JF$40</f>
        <v/>
      </c>
      <c r="JG42" s="218">
        <f>JG$38-JG$40</f>
        <v/>
      </c>
      <c r="JH42" s="218">
        <f>JH$38-JH$40</f>
        <v/>
      </c>
      <c r="JI42" s="218">
        <f>JI$38-JI$40</f>
        <v/>
      </c>
      <c r="JJ42" s="218">
        <f>JJ$38-JJ$40</f>
        <v/>
      </c>
      <c r="JK42" s="218">
        <f>JK$38-JK$40</f>
        <v/>
      </c>
      <c r="JL42" s="218">
        <f>JL$38-JL$40</f>
        <v/>
      </c>
      <c r="JM42" s="218">
        <f>JM$38-JM$40</f>
        <v/>
      </c>
      <c r="JN42" s="218">
        <f>JN$38-JN$40</f>
        <v/>
      </c>
      <c r="JO42" s="218">
        <f>JO$38-JO$40</f>
        <v/>
      </c>
      <c r="JP42" s="218">
        <f>JP$38-JP$40</f>
        <v/>
      </c>
      <c r="JQ42" s="218">
        <f>JQ$38-JQ$40</f>
        <v/>
      </c>
      <c r="JR42" s="218">
        <f>JR$38-JR$40</f>
        <v/>
      </c>
      <c r="JS42" s="218">
        <f>JS$38-JS$40</f>
        <v/>
      </c>
      <c r="JT42" s="218">
        <f>JT$38-JT$40</f>
        <v/>
      </c>
      <c r="JU42" s="218">
        <f>JU$38-JU$40</f>
        <v/>
      </c>
      <c r="JV42" s="218">
        <f>JV$38-JV$40</f>
        <v/>
      </c>
      <c r="JW42" s="218">
        <f>JW$38-JW$40</f>
        <v/>
      </c>
      <c r="JX42" s="218">
        <f>JX$38-JX$40</f>
        <v/>
      </c>
      <c r="JY42" s="218">
        <f>JY$38-JY$40</f>
        <v/>
      </c>
      <c r="JZ42" s="218">
        <f>JZ$38-JZ$40</f>
        <v/>
      </c>
      <c r="KA42" s="218">
        <f>KA$38-KA$40</f>
        <v/>
      </c>
      <c r="KB42" s="218">
        <f>KB$38-KB$40</f>
        <v/>
      </c>
      <c r="KC42" s="218">
        <f>KC$38-KC$40</f>
        <v/>
      </c>
      <c r="KD42" s="218">
        <f>KD$38-KD$40</f>
        <v/>
      </c>
      <c r="KE42" s="218">
        <f>KE$38-KE$40</f>
        <v/>
      </c>
      <c r="KF42" s="218">
        <f>KF$38-KF$40</f>
        <v/>
      </c>
      <c r="KG42" s="218">
        <f>KG$38-KG$40</f>
        <v/>
      </c>
      <c r="KH42" s="218">
        <f>KH$38-KH$40</f>
        <v/>
      </c>
      <c r="KI42" s="218">
        <f>KI$38-KI$40</f>
        <v/>
      </c>
      <c r="KJ42" s="218">
        <f>KJ$38-KJ$40</f>
        <v/>
      </c>
      <c r="KK42" s="218">
        <f>KK$38-KK$40</f>
        <v/>
      </c>
      <c r="KL42" s="218">
        <f>KL$38-KL$40</f>
        <v/>
      </c>
      <c r="KM42" s="218">
        <f>KM$38-KM$40</f>
        <v/>
      </c>
      <c r="KN42" s="218">
        <f>KN$38-KN$40</f>
        <v/>
      </c>
      <c r="KO42" s="218">
        <f>KO$38-KO$40</f>
        <v/>
      </c>
      <c r="KP42" s="218">
        <f>KP$38-KP$40</f>
        <v/>
      </c>
      <c r="KQ42" s="218">
        <f>KQ$38-KQ$40</f>
        <v/>
      </c>
      <c r="KR42" s="218">
        <f>KR$38-KR$40</f>
        <v/>
      </c>
      <c r="KS42" s="218">
        <f>KS$38-KS$40</f>
        <v/>
      </c>
      <c r="KT42" s="218">
        <f>KT$38-KT$40</f>
        <v/>
      </c>
      <c r="KU42" s="218">
        <f>KU$38-KU$40</f>
        <v/>
      </c>
      <c r="KV42" s="218">
        <f>KV$38-KV$40</f>
        <v/>
      </c>
      <c r="KW42" s="218">
        <f>KW$38-KW$40</f>
        <v/>
      </c>
      <c r="KX42" s="218">
        <f>KX$38-KX$40</f>
        <v/>
      </c>
      <c r="KY42" s="218">
        <f>KY$38-KY$40</f>
        <v/>
      </c>
      <c r="KZ42" s="218">
        <f>KZ$38-KZ$40</f>
        <v/>
      </c>
      <c r="LA42" s="218">
        <f>LA$38-LA$40</f>
        <v/>
      </c>
      <c r="LB42" s="218">
        <f>LB$38-LB$40</f>
        <v/>
      </c>
      <c r="LC42" s="218">
        <f>LC$38-LC$40</f>
        <v/>
      </c>
      <c r="LD42" s="218">
        <f>LD$38-LD$40</f>
        <v/>
      </c>
      <c r="LE42" s="218">
        <f>LE$38-LE$40</f>
        <v/>
      </c>
      <c r="LF42" s="218">
        <f>LF$38-LF$40</f>
        <v/>
      </c>
      <c r="LG42" s="218">
        <f>LG$38-LG$40</f>
        <v/>
      </c>
      <c r="LH42" s="218">
        <f>LH$38-LH$40</f>
        <v/>
      </c>
      <c r="LI42" s="218">
        <f>LI$38-LI$40</f>
        <v/>
      </c>
      <c r="LJ42" s="218">
        <f>LJ$38-LJ$40</f>
        <v/>
      </c>
      <c r="LK42" s="218">
        <f>LK$38-LK$40</f>
        <v/>
      </c>
      <c r="LL42" s="218">
        <f>LL$38-LL$40</f>
        <v/>
      </c>
      <c r="LM42" s="218">
        <f>LM$38-LM$40</f>
        <v/>
      </c>
      <c r="LN42" s="218">
        <f>LN$38-LN$40</f>
        <v/>
      </c>
      <c r="LO42" s="218">
        <f>LO$38-LO$40</f>
        <v/>
      </c>
      <c r="LP42" s="218">
        <f>LP$38-LP$40</f>
        <v/>
      </c>
      <c r="LQ42" s="218">
        <f>LQ$38-LQ$40</f>
        <v/>
      </c>
      <c r="LR42" s="218">
        <f>LR$38-LR$40</f>
        <v/>
      </c>
      <c r="LS42" s="218">
        <f>LS$38-LS$40</f>
        <v/>
      </c>
      <c r="LT42" s="218">
        <f>LT$38-LT$40</f>
        <v/>
      </c>
      <c r="LU42" s="218">
        <f>LU$38-LU$40</f>
        <v/>
      </c>
      <c r="LV42" s="218">
        <f>LV$38-LV$40</f>
        <v/>
      </c>
      <c r="LW42" s="218">
        <f>LW$38-LW$40</f>
        <v/>
      </c>
      <c r="LX42" s="218">
        <f>LX$38-LX$40</f>
        <v/>
      </c>
      <c r="LY42" s="218">
        <f>LY$38-LY$40</f>
        <v/>
      </c>
      <c r="LZ42" s="218">
        <f>LZ$38-LZ$40</f>
        <v/>
      </c>
      <c r="MA42" s="218">
        <f>MA$38-MA$40</f>
        <v/>
      </c>
      <c r="MB42" s="218">
        <f>MB$38-MB$40</f>
        <v/>
      </c>
      <c r="MC42" s="218">
        <f>MC$38-MC$40</f>
        <v/>
      </c>
      <c r="MD42" s="218">
        <f>MD$38-MD$40</f>
        <v/>
      </c>
      <c r="ME42" s="218">
        <f>ME$38-ME$40</f>
        <v/>
      </c>
      <c r="MF42" s="218">
        <f>MF$38-MF$40</f>
        <v/>
      </c>
      <c r="MG42" s="218">
        <f>MG$38-MG$40</f>
        <v/>
      </c>
      <c r="MH42" s="218">
        <f>MH$38-MH$40</f>
        <v/>
      </c>
      <c r="MI42" s="218">
        <f>MI$38-MI$40</f>
        <v/>
      </c>
      <c r="MJ42" s="218">
        <f>MJ$38-MJ$40</f>
        <v/>
      </c>
      <c r="MK42" s="218">
        <f>MK$38-MK$40</f>
        <v/>
      </c>
      <c r="ML42" s="218">
        <f>ML$38-ML$40</f>
        <v/>
      </c>
      <c r="MM42" s="218">
        <f>MM$38-MM$40</f>
        <v/>
      </c>
      <c r="MN42" s="218">
        <f>MN$38-MN$40</f>
        <v/>
      </c>
      <c r="MO42" s="218">
        <f>MO$38-MO$40</f>
        <v/>
      </c>
      <c r="MP42" s="218">
        <f>MP$38-MP$40</f>
        <v/>
      </c>
      <c r="MQ42" s="218">
        <f>MQ$38-MQ$40</f>
        <v/>
      </c>
      <c r="MR42" s="218">
        <f>MR$38-MR$40</f>
        <v/>
      </c>
      <c r="MS42" s="218">
        <f>MS$38-MS$40</f>
        <v/>
      </c>
      <c r="MT42" s="218">
        <f>MT$38-MT$40</f>
        <v/>
      </c>
      <c r="MU42" s="218">
        <f>MU$38-MU$40</f>
        <v/>
      </c>
      <c r="MV42" s="218">
        <f>MV$38-MV$40</f>
        <v/>
      </c>
      <c r="MW42" s="218">
        <f>MW$38-MW$40</f>
        <v/>
      </c>
      <c r="MX42" s="218">
        <f>MX$38-MX$40</f>
        <v/>
      </c>
      <c r="MY42" s="218">
        <f>MY$38-MY$40</f>
        <v/>
      </c>
      <c r="MZ42" s="218">
        <f>MZ$38-MZ$40</f>
        <v/>
      </c>
      <c r="NA42" s="218">
        <f>NA$38-NA$40</f>
        <v/>
      </c>
      <c r="NB42" s="218">
        <f>NB$38-NB$40</f>
        <v/>
      </c>
      <c r="NC42" s="218">
        <f>NC$38-NC$40</f>
        <v/>
      </c>
      <c r="ND42" s="218">
        <f>ND$38-ND$40</f>
        <v/>
      </c>
      <c r="NE42" s="218">
        <f>NE$38-NE$40</f>
        <v/>
      </c>
      <c r="NF42" s="218">
        <f>NF$38-NF$40</f>
        <v/>
      </c>
      <c r="NG42" s="218">
        <f>NG$38-NG$40</f>
        <v/>
      </c>
      <c r="NH42" s="218">
        <f>NH$38-NH$40</f>
        <v/>
      </c>
      <c r="NI42" s="218">
        <f>NI$38-NI$40</f>
        <v/>
      </c>
      <c r="NJ42" s="218">
        <f>NJ$38-NJ$40</f>
        <v/>
      </c>
      <c r="NK42" s="218">
        <f>NK$38-NK$40</f>
        <v/>
      </c>
      <c r="NL42" s="225">
        <f>NL$38-NL$40</f>
        <v/>
      </c>
    </row>
    <row r="43">
      <c r="B43" s="36" t="inlineStr">
        <is>
          <t>Cumulative Op CF (lease-up)</t>
        </is>
      </c>
      <c r="D43" s="267" t="n"/>
      <c r="E43" s="218">
        <f>IF(1&lt;DeliverStart,0,0+E$42)</f>
        <v/>
      </c>
      <c r="F43" s="218">
        <f>IF(2&lt;DeliverStart,0,E$43+F$42)</f>
        <v/>
      </c>
      <c r="G43" s="218">
        <f>IF(3&lt;DeliverStart,0,F$43+G$42)</f>
        <v/>
      </c>
      <c r="H43" s="218">
        <f>IF(4&lt;DeliverStart,0,G$43+H$42)</f>
        <v/>
      </c>
      <c r="I43" s="218">
        <f>IF(5&lt;DeliverStart,0,H$43+I$42)</f>
        <v/>
      </c>
      <c r="J43" s="218">
        <f>IF(6&lt;DeliverStart,0,I$43+J$42)</f>
        <v/>
      </c>
      <c r="K43" s="218">
        <f>IF(7&lt;DeliverStart,0,J$43+K$42)</f>
        <v/>
      </c>
      <c r="L43" s="218">
        <f>IF(8&lt;DeliverStart,0,K$43+L$42)</f>
        <v/>
      </c>
      <c r="M43" s="218">
        <f>IF(9&lt;DeliverStart,0,L$43+M$42)</f>
        <v/>
      </c>
      <c r="N43" s="218">
        <f>IF(10&lt;DeliverStart,0,M$43+N$42)</f>
        <v/>
      </c>
      <c r="O43" s="218">
        <f>IF(11&lt;DeliverStart,0,N$43+O$42)</f>
        <v/>
      </c>
      <c r="P43" s="218">
        <f>IF(12&lt;DeliverStart,0,O$43+P$42)</f>
        <v/>
      </c>
      <c r="Q43" s="218">
        <f>IF(13&lt;DeliverStart,0,P$43+Q$42)</f>
        <v/>
      </c>
      <c r="R43" s="218">
        <f>IF(14&lt;DeliverStart,0,Q$43+R$42)</f>
        <v/>
      </c>
      <c r="S43" s="218">
        <f>IF(15&lt;DeliverStart,0,R$43+S$42)</f>
        <v/>
      </c>
      <c r="T43" s="218">
        <f>IF(16&lt;DeliverStart,0,S$43+T$42)</f>
        <v/>
      </c>
      <c r="U43" s="218">
        <f>IF(17&lt;DeliverStart,0,T$43+U$42)</f>
        <v/>
      </c>
      <c r="V43" s="218">
        <f>IF(18&lt;DeliverStart,0,U$43+V$42)</f>
        <v/>
      </c>
      <c r="W43" s="218">
        <f>IF(19&lt;DeliverStart,0,V$43+W$42)</f>
        <v/>
      </c>
      <c r="X43" s="218">
        <f>IF(20&lt;DeliverStart,0,W$43+X$42)</f>
        <v/>
      </c>
      <c r="Y43" s="218">
        <f>IF(21&lt;DeliverStart,0,X$43+Y$42)</f>
        <v/>
      </c>
      <c r="Z43" s="218">
        <f>IF(22&lt;DeliverStart,0,Y$43+Z$42)</f>
        <v/>
      </c>
      <c r="AA43" s="218">
        <f>IF(23&lt;DeliverStart,0,Z$43+AA$42)</f>
        <v/>
      </c>
      <c r="AB43" s="218">
        <f>IF(24&lt;DeliverStart,0,AA$43+AB$42)</f>
        <v/>
      </c>
      <c r="AC43" s="218">
        <f>IF(25&lt;DeliverStart,0,AB$43+AC$42)</f>
        <v/>
      </c>
      <c r="AD43" s="218">
        <f>IF(26&lt;DeliverStart,0,AC$43+AD$42)</f>
        <v/>
      </c>
      <c r="AE43" s="218">
        <f>IF(27&lt;DeliverStart,0,AD$43+AE$42)</f>
        <v/>
      </c>
      <c r="AF43" s="218">
        <f>IF(28&lt;DeliverStart,0,AE$43+AF$42)</f>
        <v/>
      </c>
      <c r="AG43" s="218">
        <f>IF(29&lt;DeliverStart,0,AF$43+AG$42)</f>
        <v/>
      </c>
      <c r="AH43" s="218">
        <f>IF(30&lt;DeliverStart,0,AG$43+AH$42)</f>
        <v/>
      </c>
      <c r="AI43" s="218">
        <f>IF(31&lt;DeliverStart,0,AH$43+AI$42)</f>
        <v/>
      </c>
      <c r="AJ43" s="218">
        <f>IF(32&lt;DeliverStart,0,AI$43+AJ$42)</f>
        <v/>
      </c>
      <c r="AK43" s="218">
        <f>IF(33&lt;DeliverStart,0,AJ$43+AK$42)</f>
        <v/>
      </c>
      <c r="AL43" s="218">
        <f>IF(34&lt;DeliverStart,0,AK$43+AL$42)</f>
        <v/>
      </c>
      <c r="AM43" s="218">
        <f>IF(35&lt;DeliverStart,0,AL$43+AM$42)</f>
        <v/>
      </c>
      <c r="AN43" s="218">
        <f>IF(36&lt;DeliverStart,0,AM$43+AN$42)</f>
        <v/>
      </c>
      <c r="AO43" s="218">
        <f>IF(37&lt;DeliverStart,0,AN$43+AO$42)</f>
        <v/>
      </c>
      <c r="AP43" s="218">
        <f>IF(38&lt;DeliverStart,0,AO$43+AP$42)</f>
        <v/>
      </c>
      <c r="AQ43" s="218">
        <f>IF(39&lt;DeliverStart,0,AP$43+AQ$42)</f>
        <v/>
      </c>
      <c r="AR43" s="218">
        <f>IF(40&lt;DeliverStart,0,AQ$43+AR$42)</f>
        <v/>
      </c>
      <c r="AS43" s="218">
        <f>IF(41&lt;DeliverStart,0,AR$43+AS$42)</f>
        <v/>
      </c>
      <c r="AT43" s="218">
        <f>IF(42&lt;DeliverStart,0,AS$43+AT$42)</f>
        <v/>
      </c>
      <c r="AU43" s="218">
        <f>IF(43&lt;DeliverStart,0,AT$43+AU$42)</f>
        <v/>
      </c>
      <c r="AV43" s="218">
        <f>IF(44&lt;DeliverStart,0,AU$43+AV$42)</f>
        <v/>
      </c>
      <c r="AW43" s="218">
        <f>IF(45&lt;DeliverStart,0,AV$43+AW$42)</f>
        <v/>
      </c>
      <c r="AX43" s="218">
        <f>IF(46&lt;DeliverStart,0,AW$43+AX$42)</f>
        <v/>
      </c>
      <c r="AY43" s="218">
        <f>IF(47&lt;DeliverStart,0,AX$43+AY$42)</f>
        <v/>
      </c>
      <c r="AZ43" s="218">
        <f>IF(48&lt;DeliverStart,0,AY$43+AZ$42)</f>
        <v/>
      </c>
      <c r="BA43" s="218">
        <f>IF(49&lt;DeliverStart,0,AZ$43+BA$42)</f>
        <v/>
      </c>
      <c r="BB43" s="218">
        <f>IF(50&lt;DeliverStart,0,BA$43+BB$42)</f>
        <v/>
      </c>
      <c r="BC43" s="218">
        <f>IF(51&lt;DeliverStart,0,BB$43+BC$42)</f>
        <v/>
      </c>
      <c r="BD43" s="218">
        <f>IF(52&lt;DeliverStart,0,BC$43+BD$42)</f>
        <v/>
      </c>
      <c r="BE43" s="218">
        <f>IF(53&lt;DeliverStart,0,BD$43+BE$42)</f>
        <v/>
      </c>
      <c r="BF43" s="218">
        <f>IF(54&lt;DeliverStart,0,BE$43+BF$42)</f>
        <v/>
      </c>
      <c r="BG43" s="218">
        <f>IF(55&lt;DeliverStart,0,BF$43+BG$42)</f>
        <v/>
      </c>
      <c r="BH43" s="218">
        <f>IF(56&lt;DeliverStart,0,BG$43+BH$42)</f>
        <v/>
      </c>
      <c r="BI43" s="218">
        <f>IF(57&lt;DeliverStart,0,BH$43+BI$42)</f>
        <v/>
      </c>
      <c r="BJ43" s="218">
        <f>IF(58&lt;DeliverStart,0,BI$43+BJ$42)</f>
        <v/>
      </c>
      <c r="BK43" s="218">
        <f>IF(59&lt;DeliverStart,0,BJ$43+BK$42)</f>
        <v/>
      </c>
      <c r="BL43" s="218">
        <f>IF(60&lt;DeliverStart,0,BK$43+BL$42)</f>
        <v/>
      </c>
      <c r="BM43" s="218">
        <f>IF(61&lt;DeliverStart,0,BL$43+BM$42)</f>
        <v/>
      </c>
      <c r="BN43" s="218">
        <f>IF(62&lt;DeliverStart,0,BM$43+BN$42)</f>
        <v/>
      </c>
      <c r="BO43" s="218">
        <f>IF(63&lt;DeliverStart,0,BN$43+BO$42)</f>
        <v/>
      </c>
      <c r="BP43" s="218">
        <f>IF(64&lt;DeliverStart,0,BO$43+BP$42)</f>
        <v/>
      </c>
      <c r="BQ43" s="218">
        <f>IF(65&lt;DeliverStart,0,BP$43+BQ$42)</f>
        <v/>
      </c>
      <c r="BR43" s="218">
        <f>IF(66&lt;DeliverStart,0,BQ$43+BR$42)</f>
        <v/>
      </c>
      <c r="BS43" s="218">
        <f>IF(67&lt;DeliverStart,0,BR$43+BS$42)</f>
        <v/>
      </c>
      <c r="BT43" s="218">
        <f>IF(68&lt;DeliverStart,0,BS$43+BT$42)</f>
        <v/>
      </c>
      <c r="BU43" s="218">
        <f>IF(69&lt;DeliverStart,0,BT$43+BU$42)</f>
        <v/>
      </c>
      <c r="BV43" s="218">
        <f>IF(70&lt;DeliverStart,0,BU$43+BV$42)</f>
        <v/>
      </c>
      <c r="BW43" s="218">
        <f>IF(71&lt;DeliverStart,0,BV$43+BW$42)</f>
        <v/>
      </c>
      <c r="BX43" s="218">
        <f>IF(72&lt;DeliverStart,0,BW$43+BX$42)</f>
        <v/>
      </c>
      <c r="BY43" s="218">
        <f>IF(73&lt;DeliverStart,0,BX$43+BY$42)</f>
        <v/>
      </c>
      <c r="BZ43" s="218">
        <f>IF(74&lt;DeliverStart,0,BY$43+BZ$42)</f>
        <v/>
      </c>
      <c r="CA43" s="218">
        <f>IF(75&lt;DeliverStart,0,BZ$43+CA$42)</f>
        <v/>
      </c>
      <c r="CB43" s="218">
        <f>IF(76&lt;DeliverStart,0,CA$43+CB$42)</f>
        <v/>
      </c>
      <c r="CC43" s="218">
        <f>IF(77&lt;DeliverStart,0,CB$43+CC$42)</f>
        <v/>
      </c>
      <c r="CD43" s="218">
        <f>IF(78&lt;DeliverStart,0,CC$43+CD$42)</f>
        <v/>
      </c>
      <c r="CE43" s="218">
        <f>IF(79&lt;DeliverStart,0,CD$43+CE$42)</f>
        <v/>
      </c>
      <c r="CF43" s="218">
        <f>IF(80&lt;DeliverStart,0,CE$43+CF$42)</f>
        <v/>
      </c>
      <c r="CG43" s="218">
        <f>IF(81&lt;DeliverStart,0,CF$43+CG$42)</f>
        <v/>
      </c>
      <c r="CH43" s="218">
        <f>IF(82&lt;DeliverStart,0,CG$43+CH$42)</f>
        <v/>
      </c>
      <c r="CI43" s="218">
        <f>IF(83&lt;DeliverStart,0,CH$43+CI$42)</f>
        <v/>
      </c>
      <c r="CJ43" s="218">
        <f>IF(84&lt;DeliverStart,0,CI$43+CJ$42)</f>
        <v/>
      </c>
      <c r="CK43" s="218">
        <f>IF(85&lt;DeliverStart,0,CJ$43+CK$42)</f>
        <v/>
      </c>
      <c r="CL43" s="218">
        <f>IF(86&lt;DeliverStart,0,CK$43+CL$42)</f>
        <v/>
      </c>
      <c r="CM43" s="218">
        <f>IF(87&lt;DeliverStart,0,CL$43+CM$42)</f>
        <v/>
      </c>
      <c r="CN43" s="218">
        <f>IF(88&lt;DeliverStart,0,CM$43+CN$42)</f>
        <v/>
      </c>
      <c r="CO43" s="218">
        <f>IF(89&lt;DeliverStart,0,CN$43+CO$42)</f>
        <v/>
      </c>
      <c r="CP43" s="218">
        <f>IF(90&lt;DeliverStart,0,CO$43+CP$42)</f>
        <v/>
      </c>
      <c r="CQ43" s="218">
        <f>IF(91&lt;DeliverStart,0,CP$43+CQ$42)</f>
        <v/>
      </c>
      <c r="CR43" s="218">
        <f>IF(92&lt;DeliverStart,0,CQ$43+CR$42)</f>
        <v/>
      </c>
      <c r="CS43" s="218">
        <f>IF(93&lt;DeliverStart,0,CR$43+CS$42)</f>
        <v/>
      </c>
      <c r="CT43" s="218">
        <f>IF(94&lt;DeliverStart,0,CS$43+CT$42)</f>
        <v/>
      </c>
      <c r="CU43" s="218">
        <f>IF(95&lt;DeliverStart,0,CT$43+CU$42)</f>
        <v/>
      </c>
      <c r="CV43" s="218">
        <f>IF(96&lt;DeliverStart,0,CU$43+CV$42)</f>
        <v/>
      </c>
      <c r="CW43" s="218">
        <f>IF(97&lt;DeliverStart,0,CV$43+CW$42)</f>
        <v/>
      </c>
      <c r="CX43" s="218">
        <f>IF(98&lt;DeliverStart,0,CW$43+CX$42)</f>
        <v/>
      </c>
      <c r="CY43" s="218">
        <f>IF(99&lt;DeliverStart,0,CX$43+CY$42)</f>
        <v/>
      </c>
      <c r="CZ43" s="218">
        <f>IF(100&lt;DeliverStart,0,CY$43+CZ$42)</f>
        <v/>
      </c>
      <c r="DA43" s="218">
        <f>IF(101&lt;DeliverStart,0,CZ$43+DA$42)</f>
        <v/>
      </c>
      <c r="DB43" s="218">
        <f>IF(102&lt;DeliverStart,0,DA$43+DB$42)</f>
        <v/>
      </c>
      <c r="DC43" s="218">
        <f>IF(103&lt;DeliverStart,0,DB$43+DC$42)</f>
        <v/>
      </c>
      <c r="DD43" s="218">
        <f>IF(104&lt;DeliverStart,0,DC$43+DD$42)</f>
        <v/>
      </c>
      <c r="DE43" s="218">
        <f>IF(105&lt;DeliverStart,0,DD$43+DE$42)</f>
        <v/>
      </c>
      <c r="DF43" s="218">
        <f>IF(106&lt;DeliverStart,0,DE$43+DF$42)</f>
        <v/>
      </c>
      <c r="DG43" s="218">
        <f>IF(107&lt;DeliverStart,0,DF$43+DG$42)</f>
        <v/>
      </c>
      <c r="DH43" s="218">
        <f>IF(108&lt;DeliverStart,0,DG$43+DH$42)</f>
        <v/>
      </c>
      <c r="DI43" s="218">
        <f>IF(109&lt;DeliverStart,0,DH$43+DI$42)</f>
        <v/>
      </c>
      <c r="DJ43" s="218">
        <f>IF(110&lt;DeliverStart,0,DI$43+DJ$42)</f>
        <v/>
      </c>
      <c r="DK43" s="218">
        <f>IF(111&lt;DeliverStart,0,DJ$43+DK$42)</f>
        <v/>
      </c>
      <c r="DL43" s="218">
        <f>IF(112&lt;DeliverStart,0,DK$43+DL$42)</f>
        <v/>
      </c>
      <c r="DM43" s="218">
        <f>IF(113&lt;DeliverStart,0,DL$43+DM$42)</f>
        <v/>
      </c>
      <c r="DN43" s="218">
        <f>IF(114&lt;DeliverStart,0,DM$43+DN$42)</f>
        <v/>
      </c>
      <c r="DO43" s="218">
        <f>IF(115&lt;DeliverStart,0,DN$43+DO$42)</f>
        <v/>
      </c>
      <c r="DP43" s="218">
        <f>IF(116&lt;DeliverStart,0,DO$43+DP$42)</f>
        <v/>
      </c>
      <c r="DQ43" s="218">
        <f>IF(117&lt;DeliverStart,0,DP$43+DQ$42)</f>
        <v/>
      </c>
      <c r="DR43" s="218">
        <f>IF(118&lt;DeliverStart,0,DQ$43+DR$42)</f>
        <v/>
      </c>
      <c r="DS43" s="218">
        <f>IF(119&lt;DeliverStart,0,DR$43+DS$42)</f>
        <v/>
      </c>
      <c r="DT43" s="218">
        <f>IF(120&lt;DeliverStart,0,DS$43+DT$42)</f>
        <v/>
      </c>
      <c r="DU43" s="218">
        <f>IF(121&lt;DeliverStart,0,DT$43+DU$42)</f>
        <v/>
      </c>
      <c r="DV43" s="218">
        <f>IF(122&lt;DeliverStart,0,DU$43+DV$42)</f>
        <v/>
      </c>
      <c r="DW43" s="218">
        <f>IF(123&lt;DeliverStart,0,DV$43+DW$42)</f>
        <v/>
      </c>
      <c r="DX43" s="218">
        <f>IF(124&lt;DeliverStart,0,DW$43+DX$42)</f>
        <v/>
      </c>
      <c r="DY43" s="218">
        <f>IF(125&lt;DeliverStart,0,DX$43+DY$42)</f>
        <v/>
      </c>
      <c r="DZ43" s="218">
        <f>IF(126&lt;DeliverStart,0,DY$43+DZ$42)</f>
        <v/>
      </c>
      <c r="EA43" s="218">
        <f>IF(127&lt;DeliverStart,0,DZ$43+EA$42)</f>
        <v/>
      </c>
      <c r="EB43" s="218">
        <f>IF(128&lt;DeliverStart,0,EA$43+EB$42)</f>
        <v/>
      </c>
      <c r="EC43" s="218">
        <f>IF(129&lt;DeliverStart,0,EB$43+EC$42)</f>
        <v/>
      </c>
      <c r="ED43" s="218">
        <f>IF(130&lt;DeliverStart,0,EC$43+ED$42)</f>
        <v/>
      </c>
      <c r="EE43" s="218">
        <f>IF(131&lt;DeliverStart,0,ED$43+EE$42)</f>
        <v/>
      </c>
      <c r="EF43" s="218">
        <f>IF(132&lt;DeliverStart,0,EE$43+EF$42)</f>
        <v/>
      </c>
      <c r="EG43" s="218">
        <f>IF(133&lt;DeliverStart,0,EF$43+EG$42)</f>
        <v/>
      </c>
      <c r="EH43" s="218">
        <f>IF(134&lt;DeliverStart,0,EG$43+EH$42)</f>
        <v/>
      </c>
      <c r="EI43" s="218">
        <f>IF(135&lt;DeliverStart,0,EH$43+EI$42)</f>
        <v/>
      </c>
      <c r="EJ43" s="218">
        <f>IF(136&lt;DeliverStart,0,EI$43+EJ$42)</f>
        <v/>
      </c>
      <c r="EK43" s="218">
        <f>IF(137&lt;DeliverStart,0,EJ$43+EK$42)</f>
        <v/>
      </c>
      <c r="EL43" s="218">
        <f>IF(138&lt;DeliverStart,0,EK$43+EL$42)</f>
        <v/>
      </c>
      <c r="EM43" s="218">
        <f>IF(139&lt;DeliverStart,0,EL$43+EM$42)</f>
        <v/>
      </c>
      <c r="EN43" s="218">
        <f>IF(140&lt;DeliverStart,0,EM$43+EN$42)</f>
        <v/>
      </c>
      <c r="EO43" s="218">
        <f>IF(141&lt;DeliverStart,0,EN$43+EO$42)</f>
        <v/>
      </c>
      <c r="EP43" s="218">
        <f>IF(142&lt;DeliverStart,0,EO$43+EP$42)</f>
        <v/>
      </c>
      <c r="EQ43" s="218">
        <f>IF(143&lt;DeliverStart,0,EP$43+EQ$42)</f>
        <v/>
      </c>
      <c r="ER43" s="218">
        <f>IF(144&lt;DeliverStart,0,EQ$43+ER$42)</f>
        <v/>
      </c>
      <c r="ES43" s="218">
        <f>IF(145&lt;DeliverStart,0,ER$43+ES$42)</f>
        <v/>
      </c>
      <c r="ET43" s="218">
        <f>IF(146&lt;DeliverStart,0,ES$43+ET$42)</f>
        <v/>
      </c>
      <c r="EU43" s="218">
        <f>IF(147&lt;DeliverStart,0,ET$43+EU$42)</f>
        <v/>
      </c>
      <c r="EV43" s="218">
        <f>IF(148&lt;DeliverStart,0,EU$43+EV$42)</f>
        <v/>
      </c>
      <c r="EW43" s="218">
        <f>IF(149&lt;DeliverStart,0,EV$43+EW$42)</f>
        <v/>
      </c>
      <c r="EX43" s="218">
        <f>IF(150&lt;DeliverStart,0,EW$43+EX$42)</f>
        <v/>
      </c>
      <c r="EY43" s="218">
        <f>IF(151&lt;DeliverStart,0,EX$43+EY$42)</f>
        <v/>
      </c>
      <c r="EZ43" s="218">
        <f>IF(152&lt;DeliverStart,0,EY$43+EZ$42)</f>
        <v/>
      </c>
      <c r="FA43" s="218">
        <f>IF(153&lt;DeliverStart,0,EZ$43+FA$42)</f>
        <v/>
      </c>
      <c r="FB43" s="218">
        <f>IF(154&lt;DeliverStart,0,FA$43+FB$42)</f>
        <v/>
      </c>
      <c r="FC43" s="218">
        <f>IF(155&lt;DeliverStart,0,FB$43+FC$42)</f>
        <v/>
      </c>
      <c r="FD43" s="218">
        <f>IF(156&lt;DeliverStart,0,FC$43+FD$42)</f>
        <v/>
      </c>
      <c r="FE43" s="218">
        <f>IF(157&lt;DeliverStart,0,FD$43+FE$42)</f>
        <v/>
      </c>
      <c r="FF43" s="218">
        <f>IF(158&lt;DeliverStart,0,FE$43+FF$42)</f>
        <v/>
      </c>
      <c r="FG43" s="218">
        <f>IF(159&lt;DeliverStart,0,FF$43+FG$42)</f>
        <v/>
      </c>
      <c r="FH43" s="218">
        <f>IF(160&lt;DeliverStart,0,FG$43+FH$42)</f>
        <v/>
      </c>
      <c r="FI43" s="218">
        <f>IF(161&lt;DeliverStart,0,FH$43+FI$42)</f>
        <v/>
      </c>
      <c r="FJ43" s="218">
        <f>IF(162&lt;DeliverStart,0,FI$43+FJ$42)</f>
        <v/>
      </c>
      <c r="FK43" s="218">
        <f>IF(163&lt;DeliverStart,0,FJ$43+FK$42)</f>
        <v/>
      </c>
      <c r="FL43" s="218">
        <f>IF(164&lt;DeliverStart,0,FK$43+FL$42)</f>
        <v/>
      </c>
      <c r="FM43" s="218">
        <f>IF(165&lt;DeliverStart,0,FL$43+FM$42)</f>
        <v/>
      </c>
      <c r="FN43" s="218">
        <f>IF(166&lt;DeliverStart,0,FM$43+FN$42)</f>
        <v/>
      </c>
      <c r="FO43" s="218">
        <f>IF(167&lt;DeliverStart,0,FN$43+FO$42)</f>
        <v/>
      </c>
      <c r="FP43" s="218">
        <f>IF(168&lt;DeliverStart,0,FO$43+FP$42)</f>
        <v/>
      </c>
      <c r="FQ43" s="218">
        <f>IF(169&lt;DeliverStart,0,FP$43+FQ$42)</f>
        <v/>
      </c>
      <c r="FR43" s="218">
        <f>IF(170&lt;DeliverStart,0,FQ$43+FR$42)</f>
        <v/>
      </c>
      <c r="FS43" s="218">
        <f>IF(171&lt;DeliverStart,0,FR$43+FS$42)</f>
        <v/>
      </c>
      <c r="FT43" s="218">
        <f>IF(172&lt;DeliverStart,0,FS$43+FT$42)</f>
        <v/>
      </c>
      <c r="FU43" s="218">
        <f>IF(173&lt;DeliverStart,0,FT$43+FU$42)</f>
        <v/>
      </c>
      <c r="FV43" s="218">
        <f>IF(174&lt;DeliverStart,0,FU$43+FV$42)</f>
        <v/>
      </c>
      <c r="FW43" s="218">
        <f>IF(175&lt;DeliverStart,0,FV$43+FW$42)</f>
        <v/>
      </c>
      <c r="FX43" s="218">
        <f>IF(176&lt;DeliverStart,0,FW$43+FX$42)</f>
        <v/>
      </c>
      <c r="FY43" s="218">
        <f>IF(177&lt;DeliverStart,0,FX$43+FY$42)</f>
        <v/>
      </c>
      <c r="FZ43" s="218">
        <f>IF(178&lt;DeliverStart,0,FY$43+FZ$42)</f>
        <v/>
      </c>
      <c r="GA43" s="218">
        <f>IF(179&lt;DeliverStart,0,FZ$43+GA$42)</f>
        <v/>
      </c>
      <c r="GB43" s="218">
        <f>IF(180&lt;DeliverStart,0,GA$43+GB$42)</f>
        <v/>
      </c>
      <c r="GC43" s="218">
        <f>IF(181&lt;DeliverStart,0,GB$43+GC$42)</f>
        <v/>
      </c>
      <c r="GD43" s="218">
        <f>IF(182&lt;DeliverStart,0,GC$43+GD$42)</f>
        <v/>
      </c>
      <c r="GE43" s="218">
        <f>IF(183&lt;DeliverStart,0,GD$43+GE$42)</f>
        <v/>
      </c>
      <c r="GF43" s="218">
        <f>IF(184&lt;DeliverStart,0,GE$43+GF$42)</f>
        <v/>
      </c>
      <c r="GG43" s="218">
        <f>IF(185&lt;DeliverStart,0,GF$43+GG$42)</f>
        <v/>
      </c>
      <c r="GH43" s="218">
        <f>IF(186&lt;DeliverStart,0,GG$43+GH$42)</f>
        <v/>
      </c>
      <c r="GI43" s="218">
        <f>IF(187&lt;DeliverStart,0,GH$43+GI$42)</f>
        <v/>
      </c>
      <c r="GJ43" s="218">
        <f>IF(188&lt;DeliverStart,0,GI$43+GJ$42)</f>
        <v/>
      </c>
      <c r="GK43" s="218">
        <f>IF(189&lt;DeliverStart,0,GJ$43+GK$42)</f>
        <v/>
      </c>
      <c r="GL43" s="218">
        <f>IF(190&lt;DeliverStart,0,GK$43+GL$42)</f>
        <v/>
      </c>
      <c r="GM43" s="218">
        <f>IF(191&lt;DeliverStart,0,GL$43+GM$42)</f>
        <v/>
      </c>
      <c r="GN43" s="218">
        <f>IF(192&lt;DeliverStart,0,GM$43+GN$42)</f>
        <v/>
      </c>
      <c r="GO43" s="218">
        <f>IF(193&lt;DeliverStart,0,GN$43+GO$42)</f>
        <v/>
      </c>
      <c r="GP43" s="218">
        <f>IF(194&lt;DeliverStart,0,GO$43+GP$42)</f>
        <v/>
      </c>
      <c r="GQ43" s="218">
        <f>IF(195&lt;DeliverStart,0,GP$43+GQ$42)</f>
        <v/>
      </c>
      <c r="GR43" s="218">
        <f>IF(196&lt;DeliverStart,0,GQ$43+GR$42)</f>
        <v/>
      </c>
      <c r="GS43" s="218">
        <f>IF(197&lt;DeliverStart,0,GR$43+GS$42)</f>
        <v/>
      </c>
      <c r="GT43" s="218">
        <f>IF(198&lt;DeliverStart,0,GS$43+GT$42)</f>
        <v/>
      </c>
      <c r="GU43" s="218">
        <f>IF(199&lt;DeliverStart,0,GT$43+GU$42)</f>
        <v/>
      </c>
      <c r="GV43" s="218">
        <f>IF(200&lt;DeliverStart,0,GU$43+GV$42)</f>
        <v/>
      </c>
      <c r="GW43" s="218">
        <f>IF(201&lt;DeliverStart,0,GV$43+GW$42)</f>
        <v/>
      </c>
      <c r="GX43" s="218">
        <f>IF(202&lt;DeliverStart,0,GW$43+GX$42)</f>
        <v/>
      </c>
      <c r="GY43" s="218">
        <f>IF(203&lt;DeliverStart,0,GX$43+GY$42)</f>
        <v/>
      </c>
      <c r="GZ43" s="218">
        <f>IF(204&lt;DeliverStart,0,GY$43+GZ$42)</f>
        <v/>
      </c>
      <c r="HA43" s="218">
        <f>IF(205&lt;DeliverStart,0,GZ$43+HA$42)</f>
        <v/>
      </c>
      <c r="HB43" s="218">
        <f>IF(206&lt;DeliverStart,0,HA$43+HB$42)</f>
        <v/>
      </c>
      <c r="HC43" s="218">
        <f>IF(207&lt;DeliverStart,0,HB$43+HC$42)</f>
        <v/>
      </c>
      <c r="HD43" s="218">
        <f>IF(208&lt;DeliverStart,0,HC$43+HD$42)</f>
        <v/>
      </c>
      <c r="HE43" s="218">
        <f>IF(209&lt;DeliverStart,0,HD$43+HE$42)</f>
        <v/>
      </c>
      <c r="HF43" s="218">
        <f>IF(210&lt;DeliverStart,0,HE$43+HF$42)</f>
        <v/>
      </c>
      <c r="HG43" s="218">
        <f>IF(211&lt;DeliverStart,0,HF$43+HG$42)</f>
        <v/>
      </c>
      <c r="HH43" s="218">
        <f>IF(212&lt;DeliverStart,0,HG$43+HH$42)</f>
        <v/>
      </c>
      <c r="HI43" s="218">
        <f>IF(213&lt;DeliverStart,0,HH$43+HI$42)</f>
        <v/>
      </c>
      <c r="HJ43" s="218">
        <f>IF(214&lt;DeliverStart,0,HI$43+HJ$42)</f>
        <v/>
      </c>
      <c r="HK43" s="218">
        <f>IF(215&lt;DeliverStart,0,HJ$43+HK$42)</f>
        <v/>
      </c>
      <c r="HL43" s="218">
        <f>IF(216&lt;DeliverStart,0,HK$43+HL$42)</f>
        <v/>
      </c>
      <c r="HM43" s="218">
        <f>IF(217&lt;DeliverStart,0,HL$43+HM$42)</f>
        <v/>
      </c>
      <c r="HN43" s="218">
        <f>IF(218&lt;DeliverStart,0,HM$43+HN$42)</f>
        <v/>
      </c>
      <c r="HO43" s="218">
        <f>IF(219&lt;DeliverStart,0,HN$43+HO$42)</f>
        <v/>
      </c>
      <c r="HP43" s="218">
        <f>IF(220&lt;DeliverStart,0,HO$43+HP$42)</f>
        <v/>
      </c>
      <c r="HQ43" s="218">
        <f>IF(221&lt;DeliverStart,0,HP$43+HQ$42)</f>
        <v/>
      </c>
      <c r="HR43" s="218">
        <f>IF(222&lt;DeliverStart,0,HQ$43+HR$42)</f>
        <v/>
      </c>
      <c r="HS43" s="218">
        <f>IF(223&lt;DeliverStart,0,HR$43+HS$42)</f>
        <v/>
      </c>
      <c r="HT43" s="218">
        <f>IF(224&lt;DeliverStart,0,HS$43+HT$42)</f>
        <v/>
      </c>
      <c r="HU43" s="218">
        <f>IF(225&lt;DeliverStart,0,HT$43+HU$42)</f>
        <v/>
      </c>
      <c r="HV43" s="218">
        <f>IF(226&lt;DeliverStart,0,HU$43+HV$42)</f>
        <v/>
      </c>
      <c r="HW43" s="218">
        <f>IF(227&lt;DeliverStart,0,HV$43+HW$42)</f>
        <v/>
      </c>
      <c r="HX43" s="218">
        <f>IF(228&lt;DeliverStart,0,HW$43+HX$42)</f>
        <v/>
      </c>
      <c r="HY43" s="218">
        <f>IF(229&lt;DeliverStart,0,HX$43+HY$42)</f>
        <v/>
      </c>
      <c r="HZ43" s="218">
        <f>IF(230&lt;DeliverStart,0,HY$43+HZ$42)</f>
        <v/>
      </c>
      <c r="IA43" s="218">
        <f>IF(231&lt;DeliverStart,0,HZ$43+IA$42)</f>
        <v/>
      </c>
      <c r="IB43" s="218">
        <f>IF(232&lt;DeliverStart,0,IA$43+IB$42)</f>
        <v/>
      </c>
      <c r="IC43" s="218">
        <f>IF(233&lt;DeliverStart,0,IB$43+IC$42)</f>
        <v/>
      </c>
      <c r="ID43" s="218">
        <f>IF(234&lt;DeliverStart,0,IC$43+ID$42)</f>
        <v/>
      </c>
      <c r="IE43" s="218">
        <f>IF(235&lt;DeliverStart,0,ID$43+IE$42)</f>
        <v/>
      </c>
      <c r="IF43" s="218">
        <f>IF(236&lt;DeliverStart,0,IE$43+IF$42)</f>
        <v/>
      </c>
      <c r="IG43" s="218">
        <f>IF(237&lt;DeliverStart,0,IF$43+IG$42)</f>
        <v/>
      </c>
      <c r="IH43" s="218">
        <f>IF(238&lt;DeliverStart,0,IG$43+IH$42)</f>
        <v/>
      </c>
      <c r="II43" s="218">
        <f>IF(239&lt;DeliverStart,0,IH$43+II$42)</f>
        <v/>
      </c>
      <c r="IJ43" s="218">
        <f>IF(240&lt;DeliverStart,0,II$43+IJ$42)</f>
        <v/>
      </c>
      <c r="IK43" s="218">
        <f>IF(241&lt;DeliverStart,0,IJ$43+IK$42)</f>
        <v/>
      </c>
      <c r="IL43" s="218">
        <f>IF(242&lt;DeliverStart,0,IK$43+IL$42)</f>
        <v/>
      </c>
      <c r="IM43" s="218">
        <f>IF(243&lt;DeliverStart,0,IL$43+IM$42)</f>
        <v/>
      </c>
      <c r="IN43" s="218">
        <f>IF(244&lt;DeliverStart,0,IM$43+IN$42)</f>
        <v/>
      </c>
      <c r="IO43" s="218">
        <f>IF(245&lt;DeliverStart,0,IN$43+IO$42)</f>
        <v/>
      </c>
      <c r="IP43" s="218">
        <f>IF(246&lt;DeliverStart,0,IO$43+IP$42)</f>
        <v/>
      </c>
      <c r="IQ43" s="218">
        <f>IF(247&lt;DeliverStart,0,IP$43+IQ$42)</f>
        <v/>
      </c>
      <c r="IR43" s="218">
        <f>IF(248&lt;DeliverStart,0,IQ$43+IR$42)</f>
        <v/>
      </c>
      <c r="IS43" s="218">
        <f>IF(249&lt;DeliverStart,0,IR$43+IS$42)</f>
        <v/>
      </c>
      <c r="IT43" s="218">
        <f>IF(250&lt;DeliverStart,0,IS$43+IT$42)</f>
        <v/>
      </c>
      <c r="IU43" s="218">
        <f>IF(251&lt;DeliverStart,0,IT$43+IU$42)</f>
        <v/>
      </c>
      <c r="IV43" s="218">
        <f>IF(252&lt;DeliverStart,0,IU$43+IV$42)</f>
        <v/>
      </c>
      <c r="IW43" s="218">
        <f>IF(253&lt;DeliverStart,0,IV$43+IW$42)</f>
        <v/>
      </c>
      <c r="IX43" s="218">
        <f>IF(254&lt;DeliverStart,0,IW$43+IX$42)</f>
        <v/>
      </c>
      <c r="IY43" s="218">
        <f>IF(255&lt;DeliverStart,0,IX$43+IY$42)</f>
        <v/>
      </c>
      <c r="IZ43" s="218">
        <f>IF(256&lt;DeliverStart,0,IY$43+IZ$42)</f>
        <v/>
      </c>
      <c r="JA43" s="218">
        <f>IF(257&lt;DeliverStart,0,IZ$43+JA$42)</f>
        <v/>
      </c>
      <c r="JB43" s="218">
        <f>IF(258&lt;DeliverStart,0,JA$43+JB$42)</f>
        <v/>
      </c>
      <c r="JC43" s="218">
        <f>IF(259&lt;DeliverStart,0,JB$43+JC$42)</f>
        <v/>
      </c>
      <c r="JD43" s="218">
        <f>IF(260&lt;DeliverStart,0,JC$43+JD$42)</f>
        <v/>
      </c>
      <c r="JE43" s="218">
        <f>IF(261&lt;DeliverStart,0,JD$43+JE$42)</f>
        <v/>
      </c>
      <c r="JF43" s="218">
        <f>IF(262&lt;DeliverStart,0,JE$43+JF$42)</f>
        <v/>
      </c>
      <c r="JG43" s="218">
        <f>IF(263&lt;DeliverStart,0,JF$43+JG$42)</f>
        <v/>
      </c>
      <c r="JH43" s="218">
        <f>IF(264&lt;DeliverStart,0,JG$43+JH$42)</f>
        <v/>
      </c>
      <c r="JI43" s="218">
        <f>IF(265&lt;DeliverStart,0,JH$43+JI$42)</f>
        <v/>
      </c>
      <c r="JJ43" s="218">
        <f>IF(266&lt;DeliverStart,0,JI$43+JJ$42)</f>
        <v/>
      </c>
      <c r="JK43" s="218">
        <f>IF(267&lt;DeliverStart,0,JJ$43+JK$42)</f>
        <v/>
      </c>
      <c r="JL43" s="218">
        <f>IF(268&lt;DeliverStart,0,JK$43+JL$42)</f>
        <v/>
      </c>
      <c r="JM43" s="218">
        <f>IF(269&lt;DeliverStart,0,JL$43+JM$42)</f>
        <v/>
      </c>
      <c r="JN43" s="218">
        <f>IF(270&lt;DeliverStart,0,JM$43+JN$42)</f>
        <v/>
      </c>
      <c r="JO43" s="218">
        <f>IF(271&lt;DeliverStart,0,JN$43+JO$42)</f>
        <v/>
      </c>
      <c r="JP43" s="218">
        <f>IF(272&lt;DeliverStart,0,JO$43+JP$42)</f>
        <v/>
      </c>
      <c r="JQ43" s="218">
        <f>IF(273&lt;DeliverStart,0,JP$43+JQ$42)</f>
        <v/>
      </c>
      <c r="JR43" s="218">
        <f>IF(274&lt;DeliverStart,0,JQ$43+JR$42)</f>
        <v/>
      </c>
      <c r="JS43" s="218">
        <f>IF(275&lt;DeliverStart,0,JR$43+JS$42)</f>
        <v/>
      </c>
      <c r="JT43" s="218">
        <f>IF(276&lt;DeliverStart,0,JS$43+JT$42)</f>
        <v/>
      </c>
      <c r="JU43" s="218">
        <f>IF(277&lt;DeliverStart,0,JT$43+JU$42)</f>
        <v/>
      </c>
      <c r="JV43" s="218">
        <f>IF(278&lt;DeliverStart,0,JU$43+JV$42)</f>
        <v/>
      </c>
      <c r="JW43" s="218">
        <f>IF(279&lt;DeliverStart,0,JV$43+JW$42)</f>
        <v/>
      </c>
      <c r="JX43" s="218">
        <f>IF(280&lt;DeliverStart,0,JW$43+JX$42)</f>
        <v/>
      </c>
      <c r="JY43" s="218">
        <f>IF(281&lt;DeliverStart,0,JX$43+JY$42)</f>
        <v/>
      </c>
      <c r="JZ43" s="218">
        <f>IF(282&lt;DeliverStart,0,JY$43+JZ$42)</f>
        <v/>
      </c>
      <c r="KA43" s="218">
        <f>IF(283&lt;DeliverStart,0,JZ$43+KA$42)</f>
        <v/>
      </c>
      <c r="KB43" s="218">
        <f>IF(284&lt;DeliverStart,0,KA$43+KB$42)</f>
        <v/>
      </c>
      <c r="KC43" s="218">
        <f>IF(285&lt;DeliverStart,0,KB$43+KC$42)</f>
        <v/>
      </c>
      <c r="KD43" s="218">
        <f>IF(286&lt;DeliverStart,0,KC$43+KD$42)</f>
        <v/>
      </c>
      <c r="KE43" s="218">
        <f>IF(287&lt;DeliverStart,0,KD$43+KE$42)</f>
        <v/>
      </c>
      <c r="KF43" s="218">
        <f>IF(288&lt;DeliverStart,0,KE$43+KF$42)</f>
        <v/>
      </c>
      <c r="KG43" s="218">
        <f>IF(289&lt;DeliverStart,0,KF$43+KG$42)</f>
        <v/>
      </c>
      <c r="KH43" s="218">
        <f>IF(290&lt;DeliverStart,0,KG$43+KH$42)</f>
        <v/>
      </c>
      <c r="KI43" s="218">
        <f>IF(291&lt;DeliverStart,0,KH$43+KI$42)</f>
        <v/>
      </c>
      <c r="KJ43" s="218">
        <f>IF(292&lt;DeliverStart,0,KI$43+KJ$42)</f>
        <v/>
      </c>
      <c r="KK43" s="218">
        <f>IF(293&lt;DeliverStart,0,KJ$43+KK$42)</f>
        <v/>
      </c>
      <c r="KL43" s="218">
        <f>IF(294&lt;DeliverStart,0,KK$43+KL$42)</f>
        <v/>
      </c>
      <c r="KM43" s="218">
        <f>IF(295&lt;DeliverStart,0,KL$43+KM$42)</f>
        <v/>
      </c>
      <c r="KN43" s="218">
        <f>IF(296&lt;DeliverStart,0,KM$43+KN$42)</f>
        <v/>
      </c>
      <c r="KO43" s="218">
        <f>IF(297&lt;DeliverStart,0,KN$43+KO$42)</f>
        <v/>
      </c>
      <c r="KP43" s="218">
        <f>IF(298&lt;DeliverStart,0,KO$43+KP$42)</f>
        <v/>
      </c>
      <c r="KQ43" s="218">
        <f>IF(299&lt;DeliverStart,0,KP$43+KQ$42)</f>
        <v/>
      </c>
      <c r="KR43" s="218">
        <f>IF(300&lt;DeliverStart,0,KQ$43+KR$42)</f>
        <v/>
      </c>
      <c r="KS43" s="218">
        <f>IF(301&lt;DeliverStart,0,KR$43+KS$42)</f>
        <v/>
      </c>
      <c r="KT43" s="218">
        <f>IF(302&lt;DeliverStart,0,KS$43+KT$42)</f>
        <v/>
      </c>
      <c r="KU43" s="218">
        <f>IF(303&lt;DeliverStart,0,KT$43+KU$42)</f>
        <v/>
      </c>
      <c r="KV43" s="218">
        <f>IF(304&lt;DeliverStart,0,KU$43+KV$42)</f>
        <v/>
      </c>
      <c r="KW43" s="218">
        <f>IF(305&lt;DeliverStart,0,KV$43+KW$42)</f>
        <v/>
      </c>
      <c r="KX43" s="218">
        <f>IF(306&lt;DeliverStart,0,KW$43+KX$42)</f>
        <v/>
      </c>
      <c r="KY43" s="218">
        <f>IF(307&lt;DeliverStart,0,KX$43+KY$42)</f>
        <v/>
      </c>
      <c r="KZ43" s="218">
        <f>IF(308&lt;DeliverStart,0,KY$43+KZ$42)</f>
        <v/>
      </c>
      <c r="LA43" s="218">
        <f>IF(309&lt;DeliverStart,0,KZ$43+LA$42)</f>
        <v/>
      </c>
      <c r="LB43" s="218">
        <f>IF(310&lt;DeliverStart,0,LA$43+LB$42)</f>
        <v/>
      </c>
      <c r="LC43" s="218">
        <f>IF(311&lt;DeliverStart,0,LB$43+LC$42)</f>
        <v/>
      </c>
      <c r="LD43" s="218">
        <f>IF(312&lt;DeliverStart,0,LC$43+LD$42)</f>
        <v/>
      </c>
      <c r="LE43" s="218">
        <f>IF(313&lt;DeliverStart,0,LD$43+LE$42)</f>
        <v/>
      </c>
      <c r="LF43" s="218">
        <f>IF(314&lt;DeliverStart,0,LE$43+LF$42)</f>
        <v/>
      </c>
      <c r="LG43" s="218">
        <f>IF(315&lt;DeliverStart,0,LF$43+LG$42)</f>
        <v/>
      </c>
      <c r="LH43" s="218">
        <f>IF(316&lt;DeliverStart,0,LG$43+LH$42)</f>
        <v/>
      </c>
      <c r="LI43" s="218">
        <f>IF(317&lt;DeliverStart,0,LH$43+LI$42)</f>
        <v/>
      </c>
      <c r="LJ43" s="218">
        <f>IF(318&lt;DeliverStart,0,LI$43+LJ$42)</f>
        <v/>
      </c>
      <c r="LK43" s="218">
        <f>IF(319&lt;DeliverStart,0,LJ$43+LK$42)</f>
        <v/>
      </c>
      <c r="LL43" s="218">
        <f>IF(320&lt;DeliverStart,0,LK$43+LL$42)</f>
        <v/>
      </c>
      <c r="LM43" s="218">
        <f>IF(321&lt;DeliverStart,0,LL$43+LM$42)</f>
        <v/>
      </c>
      <c r="LN43" s="218">
        <f>IF(322&lt;DeliverStart,0,LM$43+LN$42)</f>
        <v/>
      </c>
      <c r="LO43" s="218">
        <f>IF(323&lt;DeliverStart,0,LN$43+LO$42)</f>
        <v/>
      </c>
      <c r="LP43" s="218">
        <f>IF(324&lt;DeliverStart,0,LO$43+LP$42)</f>
        <v/>
      </c>
      <c r="LQ43" s="218">
        <f>IF(325&lt;DeliverStart,0,LP$43+LQ$42)</f>
        <v/>
      </c>
      <c r="LR43" s="218">
        <f>IF(326&lt;DeliverStart,0,LQ$43+LR$42)</f>
        <v/>
      </c>
      <c r="LS43" s="218">
        <f>IF(327&lt;DeliverStart,0,LR$43+LS$42)</f>
        <v/>
      </c>
      <c r="LT43" s="218">
        <f>IF(328&lt;DeliverStart,0,LS$43+LT$42)</f>
        <v/>
      </c>
      <c r="LU43" s="218">
        <f>IF(329&lt;DeliverStart,0,LT$43+LU$42)</f>
        <v/>
      </c>
      <c r="LV43" s="218">
        <f>IF(330&lt;DeliverStart,0,LU$43+LV$42)</f>
        <v/>
      </c>
      <c r="LW43" s="218">
        <f>IF(331&lt;DeliverStart,0,LV$43+LW$42)</f>
        <v/>
      </c>
      <c r="LX43" s="218">
        <f>IF(332&lt;DeliverStart,0,LW$43+LX$42)</f>
        <v/>
      </c>
      <c r="LY43" s="218">
        <f>IF(333&lt;DeliverStart,0,LX$43+LY$42)</f>
        <v/>
      </c>
      <c r="LZ43" s="218">
        <f>IF(334&lt;DeliverStart,0,LY$43+LZ$42)</f>
        <v/>
      </c>
      <c r="MA43" s="218">
        <f>IF(335&lt;DeliverStart,0,LZ$43+MA$42)</f>
        <v/>
      </c>
      <c r="MB43" s="218">
        <f>IF(336&lt;DeliverStart,0,MA$43+MB$42)</f>
        <v/>
      </c>
      <c r="MC43" s="218">
        <f>IF(337&lt;DeliverStart,0,MB$43+MC$42)</f>
        <v/>
      </c>
      <c r="MD43" s="218">
        <f>IF(338&lt;DeliverStart,0,MC$43+MD$42)</f>
        <v/>
      </c>
      <c r="ME43" s="218">
        <f>IF(339&lt;DeliverStart,0,MD$43+ME$42)</f>
        <v/>
      </c>
      <c r="MF43" s="218">
        <f>IF(340&lt;DeliverStart,0,ME$43+MF$42)</f>
        <v/>
      </c>
      <c r="MG43" s="218">
        <f>IF(341&lt;DeliverStart,0,MF$43+MG$42)</f>
        <v/>
      </c>
      <c r="MH43" s="218">
        <f>IF(342&lt;DeliverStart,0,MG$43+MH$42)</f>
        <v/>
      </c>
      <c r="MI43" s="218">
        <f>IF(343&lt;DeliverStart,0,MH$43+MI$42)</f>
        <v/>
      </c>
      <c r="MJ43" s="218">
        <f>IF(344&lt;DeliverStart,0,MI$43+MJ$42)</f>
        <v/>
      </c>
      <c r="MK43" s="218">
        <f>IF(345&lt;DeliverStart,0,MJ$43+MK$42)</f>
        <v/>
      </c>
      <c r="ML43" s="218">
        <f>IF(346&lt;DeliverStart,0,MK$43+ML$42)</f>
        <v/>
      </c>
      <c r="MM43" s="218">
        <f>IF(347&lt;DeliverStart,0,ML$43+MM$42)</f>
        <v/>
      </c>
      <c r="MN43" s="218">
        <f>IF(348&lt;DeliverStart,0,MM$43+MN$42)</f>
        <v/>
      </c>
      <c r="MO43" s="218">
        <f>IF(349&lt;DeliverStart,0,MN$43+MO$42)</f>
        <v/>
      </c>
      <c r="MP43" s="218">
        <f>IF(350&lt;DeliverStart,0,MO$43+MP$42)</f>
        <v/>
      </c>
      <c r="MQ43" s="218">
        <f>IF(351&lt;DeliverStart,0,MP$43+MQ$42)</f>
        <v/>
      </c>
      <c r="MR43" s="218">
        <f>IF(352&lt;DeliverStart,0,MQ$43+MR$42)</f>
        <v/>
      </c>
      <c r="MS43" s="218">
        <f>IF(353&lt;DeliverStart,0,MR$43+MS$42)</f>
        <v/>
      </c>
      <c r="MT43" s="218">
        <f>IF(354&lt;DeliverStart,0,MS$43+MT$42)</f>
        <v/>
      </c>
      <c r="MU43" s="218">
        <f>IF(355&lt;DeliverStart,0,MT$43+MU$42)</f>
        <v/>
      </c>
      <c r="MV43" s="218">
        <f>IF(356&lt;DeliverStart,0,MU$43+MV$42)</f>
        <v/>
      </c>
      <c r="MW43" s="218">
        <f>IF(357&lt;DeliverStart,0,MV$43+MW$42)</f>
        <v/>
      </c>
      <c r="MX43" s="218">
        <f>IF(358&lt;DeliverStart,0,MW$43+MX$42)</f>
        <v/>
      </c>
      <c r="MY43" s="218">
        <f>IF(359&lt;DeliverStart,0,MX$43+MY$42)</f>
        <v/>
      </c>
      <c r="MZ43" s="218">
        <f>IF(360&lt;DeliverStart,0,MY$43+MZ$42)</f>
        <v/>
      </c>
      <c r="NA43" s="218">
        <f>IF(361&lt;DeliverStart,0,MZ$43+NA$42)</f>
        <v/>
      </c>
      <c r="NB43" s="218">
        <f>IF(362&lt;DeliverStart,0,NA$43+NB$42)</f>
        <v/>
      </c>
      <c r="NC43" s="218">
        <f>IF(363&lt;DeliverStart,0,NB$43+NC$42)</f>
        <v/>
      </c>
      <c r="ND43" s="218">
        <f>IF(364&lt;DeliverStart,0,NC$43+ND$42)</f>
        <v/>
      </c>
      <c r="NE43" s="218">
        <f>IF(365&lt;DeliverStart,0,ND$43+NE$42)</f>
        <v/>
      </c>
      <c r="NF43" s="218">
        <f>IF(366&lt;DeliverStart,0,NE$43+NF$42)</f>
        <v/>
      </c>
      <c r="NG43" s="218">
        <f>IF(367&lt;DeliverStart,0,NF$43+NG$42)</f>
        <v/>
      </c>
      <c r="NH43" s="218">
        <f>IF(368&lt;DeliverStart,0,NG$43+NH$42)</f>
        <v/>
      </c>
      <c r="NI43" s="218">
        <f>IF(369&lt;DeliverStart,0,NH$43+NI$42)</f>
        <v/>
      </c>
      <c r="NJ43" s="218">
        <f>IF(370&lt;DeliverStart,0,NI$43+NJ$42)</f>
        <v/>
      </c>
      <c r="NK43" s="218">
        <f>IF(371&lt;DeliverStart,0,NJ$43+NK$42)</f>
        <v/>
      </c>
      <c r="NL43" s="225">
        <f>IF(372&lt;DeliverStart,0,NK$43+NL$42)</f>
        <v/>
      </c>
    </row>
    <row r="44">
      <c r="B44" s="40" t="inlineStr">
        <is>
          <t>Unlevered Operating CF (property)</t>
        </is>
      </c>
      <c r="C44" s="79" t="n"/>
      <c r="D44" s="268">
        <f>SUM(E44:NL44)</f>
        <v/>
      </c>
      <c r="E44" s="263">
        <f>IF(Timeline!E$41=1,E$42,0)</f>
        <v/>
      </c>
      <c r="F44" s="263">
        <f>IF(Timeline!F$41=1,F$42,0)</f>
        <v/>
      </c>
      <c r="G44" s="263">
        <f>IF(Timeline!G$41=1,G$42,0)</f>
        <v/>
      </c>
      <c r="H44" s="263">
        <f>IF(Timeline!H$41=1,H$42,0)</f>
        <v/>
      </c>
      <c r="I44" s="263">
        <f>IF(Timeline!I$41=1,I$42,0)</f>
        <v/>
      </c>
      <c r="J44" s="263">
        <f>IF(Timeline!J$41=1,J$42,0)</f>
        <v/>
      </c>
      <c r="K44" s="263">
        <f>IF(Timeline!K$41=1,K$42,0)</f>
        <v/>
      </c>
      <c r="L44" s="263">
        <f>IF(Timeline!L$41=1,L$42,0)</f>
        <v/>
      </c>
      <c r="M44" s="263">
        <f>IF(Timeline!M$41=1,M$42,0)</f>
        <v/>
      </c>
      <c r="N44" s="263">
        <f>IF(Timeline!N$41=1,N$42,0)</f>
        <v/>
      </c>
      <c r="O44" s="263">
        <f>IF(Timeline!O$41=1,O$42,0)</f>
        <v/>
      </c>
      <c r="P44" s="263">
        <f>IF(Timeline!P$41=1,P$42,0)</f>
        <v/>
      </c>
      <c r="Q44" s="263">
        <f>IF(Timeline!Q$41=1,Q$42,0)</f>
        <v/>
      </c>
      <c r="R44" s="263">
        <f>IF(Timeline!R$41=1,R$42,0)</f>
        <v/>
      </c>
      <c r="S44" s="263">
        <f>IF(Timeline!S$41=1,S$42,0)</f>
        <v/>
      </c>
      <c r="T44" s="263">
        <f>IF(Timeline!T$41=1,T$42,0)</f>
        <v/>
      </c>
      <c r="U44" s="263">
        <f>IF(Timeline!U$41=1,U$42,0)</f>
        <v/>
      </c>
      <c r="V44" s="263">
        <f>IF(Timeline!V$41=1,V$42,0)</f>
        <v/>
      </c>
      <c r="W44" s="263">
        <f>IF(Timeline!W$41=1,W$42,0)</f>
        <v/>
      </c>
      <c r="X44" s="263">
        <f>IF(Timeline!X$41=1,X$42,0)</f>
        <v/>
      </c>
      <c r="Y44" s="263">
        <f>IF(Timeline!Y$41=1,Y$42,0)</f>
        <v/>
      </c>
      <c r="Z44" s="263">
        <f>IF(Timeline!Z$41=1,Z$42,0)</f>
        <v/>
      </c>
      <c r="AA44" s="263">
        <f>IF(Timeline!AA$41=1,AA$42,0)</f>
        <v/>
      </c>
      <c r="AB44" s="263">
        <f>IF(Timeline!AB$41=1,AB$42,0)</f>
        <v/>
      </c>
      <c r="AC44" s="263">
        <f>IF(Timeline!AC$41=1,AC$42,0)</f>
        <v/>
      </c>
      <c r="AD44" s="263">
        <f>IF(Timeline!AD$41=1,AD$42,0)</f>
        <v/>
      </c>
      <c r="AE44" s="263">
        <f>IF(Timeline!AE$41=1,AE$42,0)</f>
        <v/>
      </c>
      <c r="AF44" s="263">
        <f>IF(Timeline!AF$41=1,AF$42,0)</f>
        <v/>
      </c>
      <c r="AG44" s="263">
        <f>IF(Timeline!AG$41=1,AG$42,0)</f>
        <v/>
      </c>
      <c r="AH44" s="263">
        <f>IF(Timeline!AH$41=1,AH$42,0)</f>
        <v/>
      </c>
      <c r="AI44" s="263">
        <f>IF(Timeline!AI$41=1,AI$42,0)</f>
        <v/>
      </c>
      <c r="AJ44" s="263">
        <f>IF(Timeline!AJ$41=1,AJ$42,0)</f>
        <v/>
      </c>
      <c r="AK44" s="263">
        <f>IF(Timeline!AK$41=1,AK$42,0)</f>
        <v/>
      </c>
      <c r="AL44" s="263">
        <f>IF(Timeline!AL$41=1,AL$42,0)</f>
        <v/>
      </c>
      <c r="AM44" s="263">
        <f>IF(Timeline!AM$41=1,AM$42,0)</f>
        <v/>
      </c>
      <c r="AN44" s="263">
        <f>IF(Timeline!AN$41=1,AN$42,0)</f>
        <v/>
      </c>
      <c r="AO44" s="263">
        <f>IF(Timeline!AO$41=1,AO$42,0)</f>
        <v/>
      </c>
      <c r="AP44" s="263">
        <f>IF(Timeline!AP$41=1,AP$42,0)</f>
        <v/>
      </c>
      <c r="AQ44" s="263">
        <f>IF(Timeline!AQ$41=1,AQ$42,0)</f>
        <v/>
      </c>
      <c r="AR44" s="263">
        <f>IF(Timeline!AR$41=1,AR$42,0)</f>
        <v/>
      </c>
      <c r="AS44" s="263">
        <f>IF(Timeline!AS$41=1,AS$42,0)</f>
        <v/>
      </c>
      <c r="AT44" s="263">
        <f>IF(Timeline!AT$41=1,AT$42,0)</f>
        <v/>
      </c>
      <c r="AU44" s="263">
        <f>IF(Timeline!AU$41=1,AU$42,0)</f>
        <v/>
      </c>
      <c r="AV44" s="263">
        <f>IF(Timeline!AV$41=1,AV$42,0)</f>
        <v/>
      </c>
      <c r="AW44" s="263">
        <f>IF(Timeline!AW$41=1,AW$42,0)</f>
        <v/>
      </c>
      <c r="AX44" s="263">
        <f>IF(Timeline!AX$41=1,AX$42,0)</f>
        <v/>
      </c>
      <c r="AY44" s="263">
        <f>IF(Timeline!AY$41=1,AY$42,0)</f>
        <v/>
      </c>
      <c r="AZ44" s="263">
        <f>IF(Timeline!AZ$41=1,AZ$42,0)</f>
        <v/>
      </c>
      <c r="BA44" s="263">
        <f>IF(Timeline!BA$41=1,BA$42,0)</f>
        <v/>
      </c>
      <c r="BB44" s="263">
        <f>IF(Timeline!BB$41=1,BB$42,0)</f>
        <v/>
      </c>
      <c r="BC44" s="263">
        <f>IF(Timeline!BC$41=1,BC$42,0)</f>
        <v/>
      </c>
      <c r="BD44" s="263">
        <f>IF(Timeline!BD$41=1,BD$42,0)</f>
        <v/>
      </c>
      <c r="BE44" s="263">
        <f>IF(Timeline!BE$41=1,BE$42,0)</f>
        <v/>
      </c>
      <c r="BF44" s="263">
        <f>IF(Timeline!BF$41=1,BF$42,0)</f>
        <v/>
      </c>
      <c r="BG44" s="263">
        <f>IF(Timeline!BG$41=1,BG$42,0)</f>
        <v/>
      </c>
      <c r="BH44" s="263">
        <f>IF(Timeline!BH$41=1,BH$42,0)</f>
        <v/>
      </c>
      <c r="BI44" s="263">
        <f>IF(Timeline!BI$41=1,BI$42,0)</f>
        <v/>
      </c>
      <c r="BJ44" s="263">
        <f>IF(Timeline!BJ$41=1,BJ$42,0)</f>
        <v/>
      </c>
      <c r="BK44" s="263">
        <f>IF(Timeline!BK$41=1,BK$42,0)</f>
        <v/>
      </c>
      <c r="BL44" s="263">
        <f>IF(Timeline!BL$41=1,BL$42,0)</f>
        <v/>
      </c>
      <c r="BM44" s="263">
        <f>IF(Timeline!BM$41=1,BM$42,0)</f>
        <v/>
      </c>
      <c r="BN44" s="263">
        <f>IF(Timeline!BN$41=1,BN$42,0)</f>
        <v/>
      </c>
      <c r="BO44" s="263">
        <f>IF(Timeline!BO$41=1,BO$42,0)</f>
        <v/>
      </c>
      <c r="BP44" s="263">
        <f>IF(Timeline!BP$41=1,BP$42,0)</f>
        <v/>
      </c>
      <c r="BQ44" s="263">
        <f>IF(Timeline!BQ$41=1,BQ$42,0)</f>
        <v/>
      </c>
      <c r="BR44" s="263">
        <f>IF(Timeline!BR$41=1,BR$42,0)</f>
        <v/>
      </c>
      <c r="BS44" s="263">
        <f>IF(Timeline!BS$41=1,BS$42,0)</f>
        <v/>
      </c>
      <c r="BT44" s="263">
        <f>IF(Timeline!BT$41=1,BT$42,0)</f>
        <v/>
      </c>
      <c r="BU44" s="263">
        <f>IF(Timeline!BU$41=1,BU$42,0)</f>
        <v/>
      </c>
      <c r="BV44" s="263">
        <f>IF(Timeline!BV$41=1,BV$42,0)</f>
        <v/>
      </c>
      <c r="BW44" s="263">
        <f>IF(Timeline!BW$41=1,BW$42,0)</f>
        <v/>
      </c>
      <c r="BX44" s="263">
        <f>IF(Timeline!BX$41=1,BX$42,0)</f>
        <v/>
      </c>
      <c r="BY44" s="263">
        <f>IF(Timeline!BY$41=1,BY$42,0)</f>
        <v/>
      </c>
      <c r="BZ44" s="263">
        <f>IF(Timeline!BZ$41=1,BZ$42,0)</f>
        <v/>
      </c>
      <c r="CA44" s="263">
        <f>IF(Timeline!CA$41=1,CA$42,0)</f>
        <v/>
      </c>
      <c r="CB44" s="263">
        <f>IF(Timeline!CB$41=1,CB$42,0)</f>
        <v/>
      </c>
      <c r="CC44" s="263">
        <f>IF(Timeline!CC$41=1,CC$42,0)</f>
        <v/>
      </c>
      <c r="CD44" s="263">
        <f>IF(Timeline!CD$41=1,CD$42,0)</f>
        <v/>
      </c>
      <c r="CE44" s="263">
        <f>IF(Timeline!CE$41=1,CE$42,0)</f>
        <v/>
      </c>
      <c r="CF44" s="263">
        <f>IF(Timeline!CF$41=1,CF$42,0)</f>
        <v/>
      </c>
      <c r="CG44" s="263">
        <f>IF(Timeline!CG$41=1,CG$42,0)</f>
        <v/>
      </c>
      <c r="CH44" s="263">
        <f>IF(Timeline!CH$41=1,CH$42,0)</f>
        <v/>
      </c>
      <c r="CI44" s="263">
        <f>IF(Timeline!CI$41=1,CI$42,0)</f>
        <v/>
      </c>
      <c r="CJ44" s="263">
        <f>IF(Timeline!CJ$41=1,CJ$42,0)</f>
        <v/>
      </c>
      <c r="CK44" s="263">
        <f>IF(Timeline!CK$41=1,CK$42,0)</f>
        <v/>
      </c>
      <c r="CL44" s="263">
        <f>IF(Timeline!CL$41=1,CL$42,0)</f>
        <v/>
      </c>
      <c r="CM44" s="263">
        <f>IF(Timeline!CM$41=1,CM$42,0)</f>
        <v/>
      </c>
      <c r="CN44" s="263">
        <f>IF(Timeline!CN$41=1,CN$42,0)</f>
        <v/>
      </c>
      <c r="CO44" s="263">
        <f>IF(Timeline!CO$41=1,CO$42,0)</f>
        <v/>
      </c>
      <c r="CP44" s="263">
        <f>IF(Timeline!CP$41=1,CP$42,0)</f>
        <v/>
      </c>
      <c r="CQ44" s="263">
        <f>IF(Timeline!CQ$41=1,CQ$42,0)</f>
        <v/>
      </c>
      <c r="CR44" s="263">
        <f>IF(Timeline!CR$41=1,CR$42,0)</f>
        <v/>
      </c>
      <c r="CS44" s="263">
        <f>IF(Timeline!CS$41=1,CS$42,0)</f>
        <v/>
      </c>
      <c r="CT44" s="263">
        <f>IF(Timeline!CT$41=1,CT$42,0)</f>
        <v/>
      </c>
      <c r="CU44" s="263">
        <f>IF(Timeline!CU$41=1,CU$42,0)</f>
        <v/>
      </c>
      <c r="CV44" s="263">
        <f>IF(Timeline!CV$41=1,CV$42,0)</f>
        <v/>
      </c>
      <c r="CW44" s="263">
        <f>IF(Timeline!CW$41=1,CW$42,0)</f>
        <v/>
      </c>
      <c r="CX44" s="263">
        <f>IF(Timeline!CX$41=1,CX$42,0)</f>
        <v/>
      </c>
      <c r="CY44" s="263">
        <f>IF(Timeline!CY$41=1,CY$42,0)</f>
        <v/>
      </c>
      <c r="CZ44" s="263">
        <f>IF(Timeline!CZ$41=1,CZ$42,0)</f>
        <v/>
      </c>
      <c r="DA44" s="263">
        <f>IF(Timeline!DA$41=1,DA$42,0)</f>
        <v/>
      </c>
      <c r="DB44" s="263">
        <f>IF(Timeline!DB$41=1,DB$42,0)</f>
        <v/>
      </c>
      <c r="DC44" s="263">
        <f>IF(Timeline!DC$41=1,DC$42,0)</f>
        <v/>
      </c>
      <c r="DD44" s="263">
        <f>IF(Timeline!DD$41=1,DD$42,0)</f>
        <v/>
      </c>
      <c r="DE44" s="263">
        <f>IF(Timeline!DE$41=1,DE$42,0)</f>
        <v/>
      </c>
      <c r="DF44" s="263">
        <f>IF(Timeline!DF$41=1,DF$42,0)</f>
        <v/>
      </c>
      <c r="DG44" s="263">
        <f>IF(Timeline!DG$41=1,DG$42,0)</f>
        <v/>
      </c>
      <c r="DH44" s="263">
        <f>IF(Timeline!DH$41=1,DH$42,0)</f>
        <v/>
      </c>
      <c r="DI44" s="263">
        <f>IF(Timeline!DI$41=1,DI$42,0)</f>
        <v/>
      </c>
      <c r="DJ44" s="263">
        <f>IF(Timeline!DJ$41=1,DJ$42,0)</f>
        <v/>
      </c>
      <c r="DK44" s="263">
        <f>IF(Timeline!DK$41=1,DK$42,0)</f>
        <v/>
      </c>
      <c r="DL44" s="263">
        <f>IF(Timeline!DL$41=1,DL$42,0)</f>
        <v/>
      </c>
      <c r="DM44" s="263">
        <f>IF(Timeline!DM$41=1,DM$42,0)</f>
        <v/>
      </c>
      <c r="DN44" s="263">
        <f>IF(Timeline!DN$41=1,DN$42,0)</f>
        <v/>
      </c>
      <c r="DO44" s="263">
        <f>IF(Timeline!DO$41=1,DO$42,0)</f>
        <v/>
      </c>
      <c r="DP44" s="263">
        <f>IF(Timeline!DP$41=1,DP$42,0)</f>
        <v/>
      </c>
      <c r="DQ44" s="263">
        <f>IF(Timeline!DQ$41=1,DQ$42,0)</f>
        <v/>
      </c>
      <c r="DR44" s="263">
        <f>IF(Timeline!DR$41=1,DR$42,0)</f>
        <v/>
      </c>
      <c r="DS44" s="263">
        <f>IF(Timeline!DS$41=1,DS$42,0)</f>
        <v/>
      </c>
      <c r="DT44" s="263">
        <f>IF(Timeline!DT$41=1,DT$42,0)</f>
        <v/>
      </c>
      <c r="DU44" s="263">
        <f>IF(Timeline!DU$41=1,DU$42,0)</f>
        <v/>
      </c>
      <c r="DV44" s="263">
        <f>IF(Timeline!DV$41=1,DV$42,0)</f>
        <v/>
      </c>
      <c r="DW44" s="263">
        <f>IF(Timeline!DW$41=1,DW$42,0)</f>
        <v/>
      </c>
      <c r="DX44" s="263">
        <f>IF(Timeline!DX$41=1,DX$42,0)</f>
        <v/>
      </c>
      <c r="DY44" s="263">
        <f>IF(Timeline!DY$41=1,DY$42,0)</f>
        <v/>
      </c>
      <c r="DZ44" s="263">
        <f>IF(Timeline!DZ$41=1,DZ$42,0)</f>
        <v/>
      </c>
      <c r="EA44" s="263">
        <f>IF(Timeline!EA$41=1,EA$42,0)</f>
        <v/>
      </c>
      <c r="EB44" s="263">
        <f>IF(Timeline!EB$41=1,EB$42,0)</f>
        <v/>
      </c>
      <c r="EC44" s="263">
        <f>IF(Timeline!EC$41=1,EC$42,0)</f>
        <v/>
      </c>
      <c r="ED44" s="263">
        <f>IF(Timeline!ED$41=1,ED$42,0)</f>
        <v/>
      </c>
      <c r="EE44" s="263">
        <f>IF(Timeline!EE$41=1,EE$42,0)</f>
        <v/>
      </c>
      <c r="EF44" s="263">
        <f>IF(Timeline!EF$41=1,EF$42,0)</f>
        <v/>
      </c>
      <c r="EG44" s="263">
        <f>IF(Timeline!EG$41=1,EG$42,0)</f>
        <v/>
      </c>
      <c r="EH44" s="263">
        <f>IF(Timeline!EH$41=1,EH$42,0)</f>
        <v/>
      </c>
      <c r="EI44" s="263">
        <f>IF(Timeline!EI$41=1,EI$42,0)</f>
        <v/>
      </c>
      <c r="EJ44" s="263">
        <f>IF(Timeline!EJ$41=1,EJ$42,0)</f>
        <v/>
      </c>
      <c r="EK44" s="263">
        <f>IF(Timeline!EK$41=1,EK$42,0)</f>
        <v/>
      </c>
      <c r="EL44" s="263">
        <f>IF(Timeline!EL$41=1,EL$42,0)</f>
        <v/>
      </c>
      <c r="EM44" s="263">
        <f>IF(Timeline!EM$41=1,EM$42,0)</f>
        <v/>
      </c>
      <c r="EN44" s="263">
        <f>IF(Timeline!EN$41=1,EN$42,0)</f>
        <v/>
      </c>
      <c r="EO44" s="263">
        <f>IF(Timeline!EO$41=1,EO$42,0)</f>
        <v/>
      </c>
      <c r="EP44" s="263">
        <f>IF(Timeline!EP$41=1,EP$42,0)</f>
        <v/>
      </c>
      <c r="EQ44" s="263">
        <f>IF(Timeline!EQ$41=1,EQ$42,0)</f>
        <v/>
      </c>
      <c r="ER44" s="263">
        <f>IF(Timeline!ER$41=1,ER$42,0)</f>
        <v/>
      </c>
      <c r="ES44" s="263">
        <f>IF(Timeline!ES$41=1,ES$42,0)</f>
        <v/>
      </c>
      <c r="ET44" s="263">
        <f>IF(Timeline!ET$41=1,ET$42,0)</f>
        <v/>
      </c>
      <c r="EU44" s="263">
        <f>IF(Timeline!EU$41=1,EU$42,0)</f>
        <v/>
      </c>
      <c r="EV44" s="263">
        <f>IF(Timeline!EV$41=1,EV$42,0)</f>
        <v/>
      </c>
      <c r="EW44" s="263">
        <f>IF(Timeline!EW$41=1,EW$42,0)</f>
        <v/>
      </c>
      <c r="EX44" s="263">
        <f>IF(Timeline!EX$41=1,EX$42,0)</f>
        <v/>
      </c>
      <c r="EY44" s="263">
        <f>IF(Timeline!EY$41=1,EY$42,0)</f>
        <v/>
      </c>
      <c r="EZ44" s="263">
        <f>IF(Timeline!EZ$41=1,EZ$42,0)</f>
        <v/>
      </c>
      <c r="FA44" s="263">
        <f>IF(Timeline!FA$41=1,FA$42,0)</f>
        <v/>
      </c>
      <c r="FB44" s="263">
        <f>IF(Timeline!FB$41=1,FB$42,0)</f>
        <v/>
      </c>
      <c r="FC44" s="263">
        <f>IF(Timeline!FC$41=1,FC$42,0)</f>
        <v/>
      </c>
      <c r="FD44" s="263">
        <f>IF(Timeline!FD$41=1,FD$42,0)</f>
        <v/>
      </c>
      <c r="FE44" s="263">
        <f>IF(Timeline!FE$41=1,FE$42,0)</f>
        <v/>
      </c>
      <c r="FF44" s="263">
        <f>IF(Timeline!FF$41=1,FF$42,0)</f>
        <v/>
      </c>
      <c r="FG44" s="263">
        <f>IF(Timeline!FG$41=1,FG$42,0)</f>
        <v/>
      </c>
      <c r="FH44" s="263">
        <f>IF(Timeline!FH$41=1,FH$42,0)</f>
        <v/>
      </c>
      <c r="FI44" s="263">
        <f>IF(Timeline!FI$41=1,FI$42,0)</f>
        <v/>
      </c>
      <c r="FJ44" s="263">
        <f>IF(Timeline!FJ$41=1,FJ$42,0)</f>
        <v/>
      </c>
      <c r="FK44" s="263">
        <f>IF(Timeline!FK$41=1,FK$42,0)</f>
        <v/>
      </c>
      <c r="FL44" s="263">
        <f>IF(Timeline!FL$41=1,FL$42,0)</f>
        <v/>
      </c>
      <c r="FM44" s="263">
        <f>IF(Timeline!FM$41=1,FM$42,0)</f>
        <v/>
      </c>
      <c r="FN44" s="263">
        <f>IF(Timeline!FN$41=1,FN$42,0)</f>
        <v/>
      </c>
      <c r="FO44" s="263">
        <f>IF(Timeline!FO$41=1,FO$42,0)</f>
        <v/>
      </c>
      <c r="FP44" s="263">
        <f>IF(Timeline!FP$41=1,FP$42,0)</f>
        <v/>
      </c>
      <c r="FQ44" s="263">
        <f>IF(Timeline!FQ$41=1,FQ$42,0)</f>
        <v/>
      </c>
      <c r="FR44" s="263">
        <f>IF(Timeline!FR$41=1,FR$42,0)</f>
        <v/>
      </c>
      <c r="FS44" s="263">
        <f>IF(Timeline!FS$41=1,FS$42,0)</f>
        <v/>
      </c>
      <c r="FT44" s="263">
        <f>IF(Timeline!FT$41=1,FT$42,0)</f>
        <v/>
      </c>
      <c r="FU44" s="263">
        <f>IF(Timeline!FU$41=1,FU$42,0)</f>
        <v/>
      </c>
      <c r="FV44" s="263">
        <f>IF(Timeline!FV$41=1,FV$42,0)</f>
        <v/>
      </c>
      <c r="FW44" s="263">
        <f>IF(Timeline!FW$41=1,FW$42,0)</f>
        <v/>
      </c>
      <c r="FX44" s="263">
        <f>IF(Timeline!FX$41=1,FX$42,0)</f>
        <v/>
      </c>
      <c r="FY44" s="263">
        <f>IF(Timeline!FY$41=1,FY$42,0)</f>
        <v/>
      </c>
      <c r="FZ44" s="263">
        <f>IF(Timeline!FZ$41=1,FZ$42,0)</f>
        <v/>
      </c>
      <c r="GA44" s="263">
        <f>IF(Timeline!GA$41=1,GA$42,0)</f>
        <v/>
      </c>
      <c r="GB44" s="263">
        <f>IF(Timeline!GB$41=1,GB$42,0)</f>
        <v/>
      </c>
      <c r="GC44" s="263">
        <f>IF(Timeline!GC$41=1,GC$42,0)</f>
        <v/>
      </c>
      <c r="GD44" s="263">
        <f>IF(Timeline!GD$41=1,GD$42,0)</f>
        <v/>
      </c>
      <c r="GE44" s="263">
        <f>IF(Timeline!GE$41=1,GE$42,0)</f>
        <v/>
      </c>
      <c r="GF44" s="263">
        <f>IF(Timeline!GF$41=1,GF$42,0)</f>
        <v/>
      </c>
      <c r="GG44" s="263">
        <f>IF(Timeline!GG$41=1,GG$42,0)</f>
        <v/>
      </c>
      <c r="GH44" s="263">
        <f>IF(Timeline!GH$41=1,GH$42,0)</f>
        <v/>
      </c>
      <c r="GI44" s="263">
        <f>IF(Timeline!GI$41=1,GI$42,0)</f>
        <v/>
      </c>
      <c r="GJ44" s="263">
        <f>IF(Timeline!GJ$41=1,GJ$42,0)</f>
        <v/>
      </c>
      <c r="GK44" s="263">
        <f>IF(Timeline!GK$41=1,GK$42,0)</f>
        <v/>
      </c>
      <c r="GL44" s="263">
        <f>IF(Timeline!GL$41=1,GL$42,0)</f>
        <v/>
      </c>
      <c r="GM44" s="263">
        <f>IF(Timeline!GM$41=1,GM$42,0)</f>
        <v/>
      </c>
      <c r="GN44" s="263">
        <f>IF(Timeline!GN$41=1,GN$42,0)</f>
        <v/>
      </c>
      <c r="GO44" s="263">
        <f>IF(Timeline!GO$41=1,GO$42,0)</f>
        <v/>
      </c>
      <c r="GP44" s="263">
        <f>IF(Timeline!GP$41=1,GP$42,0)</f>
        <v/>
      </c>
      <c r="GQ44" s="263">
        <f>IF(Timeline!GQ$41=1,GQ$42,0)</f>
        <v/>
      </c>
      <c r="GR44" s="263">
        <f>IF(Timeline!GR$41=1,GR$42,0)</f>
        <v/>
      </c>
      <c r="GS44" s="263">
        <f>IF(Timeline!GS$41=1,GS$42,0)</f>
        <v/>
      </c>
      <c r="GT44" s="263">
        <f>IF(Timeline!GT$41=1,GT$42,0)</f>
        <v/>
      </c>
      <c r="GU44" s="263">
        <f>IF(Timeline!GU$41=1,GU$42,0)</f>
        <v/>
      </c>
      <c r="GV44" s="263">
        <f>IF(Timeline!GV$41=1,GV$42,0)</f>
        <v/>
      </c>
      <c r="GW44" s="263">
        <f>IF(Timeline!GW$41=1,GW$42,0)</f>
        <v/>
      </c>
      <c r="GX44" s="263">
        <f>IF(Timeline!GX$41=1,GX$42,0)</f>
        <v/>
      </c>
      <c r="GY44" s="263">
        <f>IF(Timeline!GY$41=1,GY$42,0)</f>
        <v/>
      </c>
      <c r="GZ44" s="263">
        <f>IF(Timeline!GZ$41=1,GZ$42,0)</f>
        <v/>
      </c>
      <c r="HA44" s="263">
        <f>IF(Timeline!HA$41=1,HA$42,0)</f>
        <v/>
      </c>
      <c r="HB44" s="263">
        <f>IF(Timeline!HB$41=1,HB$42,0)</f>
        <v/>
      </c>
      <c r="HC44" s="263">
        <f>IF(Timeline!HC$41=1,HC$42,0)</f>
        <v/>
      </c>
      <c r="HD44" s="263">
        <f>IF(Timeline!HD$41=1,HD$42,0)</f>
        <v/>
      </c>
      <c r="HE44" s="263">
        <f>IF(Timeline!HE$41=1,HE$42,0)</f>
        <v/>
      </c>
      <c r="HF44" s="263">
        <f>IF(Timeline!HF$41=1,HF$42,0)</f>
        <v/>
      </c>
      <c r="HG44" s="263">
        <f>IF(Timeline!HG$41=1,HG$42,0)</f>
        <v/>
      </c>
      <c r="HH44" s="263">
        <f>IF(Timeline!HH$41=1,HH$42,0)</f>
        <v/>
      </c>
      <c r="HI44" s="263">
        <f>IF(Timeline!HI$41=1,HI$42,0)</f>
        <v/>
      </c>
      <c r="HJ44" s="263">
        <f>IF(Timeline!HJ$41=1,HJ$42,0)</f>
        <v/>
      </c>
      <c r="HK44" s="263">
        <f>IF(Timeline!HK$41=1,HK$42,0)</f>
        <v/>
      </c>
      <c r="HL44" s="263">
        <f>IF(Timeline!HL$41=1,HL$42,0)</f>
        <v/>
      </c>
      <c r="HM44" s="263">
        <f>IF(Timeline!HM$41=1,HM$42,0)</f>
        <v/>
      </c>
      <c r="HN44" s="263">
        <f>IF(Timeline!HN$41=1,HN$42,0)</f>
        <v/>
      </c>
      <c r="HO44" s="263">
        <f>IF(Timeline!HO$41=1,HO$42,0)</f>
        <v/>
      </c>
      <c r="HP44" s="263">
        <f>IF(Timeline!HP$41=1,HP$42,0)</f>
        <v/>
      </c>
      <c r="HQ44" s="263">
        <f>IF(Timeline!HQ$41=1,HQ$42,0)</f>
        <v/>
      </c>
      <c r="HR44" s="263">
        <f>IF(Timeline!HR$41=1,HR$42,0)</f>
        <v/>
      </c>
      <c r="HS44" s="263">
        <f>IF(Timeline!HS$41=1,HS$42,0)</f>
        <v/>
      </c>
      <c r="HT44" s="263">
        <f>IF(Timeline!HT$41=1,HT$42,0)</f>
        <v/>
      </c>
      <c r="HU44" s="263">
        <f>IF(Timeline!HU$41=1,HU$42,0)</f>
        <v/>
      </c>
      <c r="HV44" s="263">
        <f>IF(Timeline!HV$41=1,HV$42,0)</f>
        <v/>
      </c>
      <c r="HW44" s="263">
        <f>IF(Timeline!HW$41=1,HW$42,0)</f>
        <v/>
      </c>
      <c r="HX44" s="263">
        <f>IF(Timeline!HX$41=1,HX$42,0)</f>
        <v/>
      </c>
      <c r="HY44" s="263">
        <f>IF(Timeline!HY$41=1,HY$42,0)</f>
        <v/>
      </c>
      <c r="HZ44" s="263">
        <f>IF(Timeline!HZ$41=1,HZ$42,0)</f>
        <v/>
      </c>
      <c r="IA44" s="263">
        <f>IF(Timeline!IA$41=1,IA$42,0)</f>
        <v/>
      </c>
      <c r="IB44" s="263">
        <f>IF(Timeline!IB$41=1,IB$42,0)</f>
        <v/>
      </c>
      <c r="IC44" s="263">
        <f>IF(Timeline!IC$41=1,IC$42,0)</f>
        <v/>
      </c>
      <c r="ID44" s="263">
        <f>IF(Timeline!ID$41=1,ID$42,0)</f>
        <v/>
      </c>
      <c r="IE44" s="263">
        <f>IF(Timeline!IE$41=1,IE$42,0)</f>
        <v/>
      </c>
      <c r="IF44" s="263">
        <f>IF(Timeline!IF$41=1,IF$42,0)</f>
        <v/>
      </c>
      <c r="IG44" s="263">
        <f>IF(Timeline!IG$41=1,IG$42,0)</f>
        <v/>
      </c>
      <c r="IH44" s="263">
        <f>IF(Timeline!IH$41=1,IH$42,0)</f>
        <v/>
      </c>
      <c r="II44" s="263">
        <f>IF(Timeline!II$41=1,II$42,0)</f>
        <v/>
      </c>
      <c r="IJ44" s="263">
        <f>IF(Timeline!IJ$41=1,IJ$42,0)</f>
        <v/>
      </c>
      <c r="IK44" s="263">
        <f>IF(Timeline!IK$41=1,IK$42,0)</f>
        <v/>
      </c>
      <c r="IL44" s="263">
        <f>IF(Timeline!IL$41=1,IL$42,0)</f>
        <v/>
      </c>
      <c r="IM44" s="263">
        <f>IF(Timeline!IM$41=1,IM$42,0)</f>
        <v/>
      </c>
      <c r="IN44" s="263">
        <f>IF(Timeline!IN$41=1,IN$42,0)</f>
        <v/>
      </c>
      <c r="IO44" s="263">
        <f>IF(Timeline!IO$41=1,IO$42,0)</f>
        <v/>
      </c>
      <c r="IP44" s="263">
        <f>IF(Timeline!IP$41=1,IP$42,0)</f>
        <v/>
      </c>
      <c r="IQ44" s="263">
        <f>IF(Timeline!IQ$41=1,IQ$42,0)</f>
        <v/>
      </c>
      <c r="IR44" s="263">
        <f>IF(Timeline!IR$41=1,IR$42,0)</f>
        <v/>
      </c>
      <c r="IS44" s="263">
        <f>IF(Timeline!IS$41=1,IS$42,0)</f>
        <v/>
      </c>
      <c r="IT44" s="263">
        <f>IF(Timeline!IT$41=1,IT$42,0)</f>
        <v/>
      </c>
      <c r="IU44" s="263">
        <f>IF(Timeline!IU$41=1,IU$42,0)</f>
        <v/>
      </c>
      <c r="IV44" s="263">
        <f>IF(Timeline!IV$41=1,IV$42,0)</f>
        <v/>
      </c>
      <c r="IW44" s="263">
        <f>IF(Timeline!IW$41=1,IW$42,0)</f>
        <v/>
      </c>
      <c r="IX44" s="263">
        <f>IF(Timeline!IX$41=1,IX$42,0)</f>
        <v/>
      </c>
      <c r="IY44" s="263">
        <f>IF(Timeline!IY$41=1,IY$42,0)</f>
        <v/>
      </c>
      <c r="IZ44" s="263">
        <f>IF(Timeline!IZ$41=1,IZ$42,0)</f>
        <v/>
      </c>
      <c r="JA44" s="263">
        <f>IF(Timeline!JA$41=1,JA$42,0)</f>
        <v/>
      </c>
      <c r="JB44" s="263">
        <f>IF(Timeline!JB$41=1,JB$42,0)</f>
        <v/>
      </c>
      <c r="JC44" s="263">
        <f>IF(Timeline!JC$41=1,JC$42,0)</f>
        <v/>
      </c>
      <c r="JD44" s="263">
        <f>IF(Timeline!JD$41=1,JD$42,0)</f>
        <v/>
      </c>
      <c r="JE44" s="263">
        <f>IF(Timeline!JE$41=1,JE$42,0)</f>
        <v/>
      </c>
      <c r="JF44" s="263">
        <f>IF(Timeline!JF$41=1,JF$42,0)</f>
        <v/>
      </c>
      <c r="JG44" s="263">
        <f>IF(Timeline!JG$41=1,JG$42,0)</f>
        <v/>
      </c>
      <c r="JH44" s="263">
        <f>IF(Timeline!JH$41=1,JH$42,0)</f>
        <v/>
      </c>
      <c r="JI44" s="263">
        <f>IF(Timeline!JI$41=1,JI$42,0)</f>
        <v/>
      </c>
      <c r="JJ44" s="263">
        <f>IF(Timeline!JJ$41=1,JJ$42,0)</f>
        <v/>
      </c>
      <c r="JK44" s="263">
        <f>IF(Timeline!JK$41=1,JK$42,0)</f>
        <v/>
      </c>
      <c r="JL44" s="263">
        <f>IF(Timeline!JL$41=1,JL$42,0)</f>
        <v/>
      </c>
      <c r="JM44" s="263">
        <f>IF(Timeline!JM$41=1,JM$42,0)</f>
        <v/>
      </c>
      <c r="JN44" s="263">
        <f>IF(Timeline!JN$41=1,JN$42,0)</f>
        <v/>
      </c>
      <c r="JO44" s="263">
        <f>IF(Timeline!JO$41=1,JO$42,0)</f>
        <v/>
      </c>
      <c r="JP44" s="263">
        <f>IF(Timeline!JP$41=1,JP$42,0)</f>
        <v/>
      </c>
      <c r="JQ44" s="263">
        <f>IF(Timeline!JQ$41=1,JQ$42,0)</f>
        <v/>
      </c>
      <c r="JR44" s="263">
        <f>IF(Timeline!JR$41=1,JR$42,0)</f>
        <v/>
      </c>
      <c r="JS44" s="263">
        <f>IF(Timeline!JS$41=1,JS$42,0)</f>
        <v/>
      </c>
      <c r="JT44" s="263">
        <f>IF(Timeline!JT$41=1,JT$42,0)</f>
        <v/>
      </c>
      <c r="JU44" s="263">
        <f>IF(Timeline!JU$41=1,JU$42,0)</f>
        <v/>
      </c>
      <c r="JV44" s="263">
        <f>IF(Timeline!JV$41=1,JV$42,0)</f>
        <v/>
      </c>
      <c r="JW44" s="263">
        <f>IF(Timeline!JW$41=1,JW$42,0)</f>
        <v/>
      </c>
      <c r="JX44" s="263">
        <f>IF(Timeline!JX$41=1,JX$42,0)</f>
        <v/>
      </c>
      <c r="JY44" s="263">
        <f>IF(Timeline!JY$41=1,JY$42,0)</f>
        <v/>
      </c>
      <c r="JZ44" s="263">
        <f>IF(Timeline!JZ$41=1,JZ$42,0)</f>
        <v/>
      </c>
      <c r="KA44" s="263">
        <f>IF(Timeline!KA$41=1,KA$42,0)</f>
        <v/>
      </c>
      <c r="KB44" s="263">
        <f>IF(Timeline!KB$41=1,KB$42,0)</f>
        <v/>
      </c>
      <c r="KC44" s="263">
        <f>IF(Timeline!KC$41=1,KC$42,0)</f>
        <v/>
      </c>
      <c r="KD44" s="263">
        <f>IF(Timeline!KD$41=1,KD$42,0)</f>
        <v/>
      </c>
      <c r="KE44" s="263">
        <f>IF(Timeline!KE$41=1,KE$42,0)</f>
        <v/>
      </c>
      <c r="KF44" s="263">
        <f>IF(Timeline!KF$41=1,KF$42,0)</f>
        <v/>
      </c>
      <c r="KG44" s="263">
        <f>IF(Timeline!KG$41=1,KG$42,0)</f>
        <v/>
      </c>
      <c r="KH44" s="263">
        <f>IF(Timeline!KH$41=1,KH$42,0)</f>
        <v/>
      </c>
      <c r="KI44" s="263">
        <f>IF(Timeline!KI$41=1,KI$42,0)</f>
        <v/>
      </c>
      <c r="KJ44" s="263">
        <f>IF(Timeline!KJ$41=1,KJ$42,0)</f>
        <v/>
      </c>
      <c r="KK44" s="263">
        <f>IF(Timeline!KK$41=1,KK$42,0)</f>
        <v/>
      </c>
      <c r="KL44" s="263">
        <f>IF(Timeline!KL$41=1,KL$42,0)</f>
        <v/>
      </c>
      <c r="KM44" s="263">
        <f>IF(Timeline!KM$41=1,KM$42,0)</f>
        <v/>
      </c>
      <c r="KN44" s="263">
        <f>IF(Timeline!KN$41=1,KN$42,0)</f>
        <v/>
      </c>
      <c r="KO44" s="263">
        <f>IF(Timeline!KO$41=1,KO$42,0)</f>
        <v/>
      </c>
      <c r="KP44" s="263">
        <f>IF(Timeline!KP$41=1,KP$42,0)</f>
        <v/>
      </c>
      <c r="KQ44" s="263">
        <f>IF(Timeline!KQ$41=1,KQ$42,0)</f>
        <v/>
      </c>
      <c r="KR44" s="263">
        <f>IF(Timeline!KR$41=1,KR$42,0)</f>
        <v/>
      </c>
      <c r="KS44" s="263">
        <f>IF(Timeline!KS$41=1,KS$42,0)</f>
        <v/>
      </c>
      <c r="KT44" s="263">
        <f>IF(Timeline!KT$41=1,KT$42,0)</f>
        <v/>
      </c>
      <c r="KU44" s="263">
        <f>IF(Timeline!KU$41=1,KU$42,0)</f>
        <v/>
      </c>
      <c r="KV44" s="263">
        <f>IF(Timeline!KV$41=1,KV$42,0)</f>
        <v/>
      </c>
      <c r="KW44" s="263">
        <f>IF(Timeline!KW$41=1,KW$42,0)</f>
        <v/>
      </c>
      <c r="KX44" s="263">
        <f>IF(Timeline!KX$41=1,KX$42,0)</f>
        <v/>
      </c>
      <c r="KY44" s="263">
        <f>IF(Timeline!KY$41=1,KY$42,0)</f>
        <v/>
      </c>
      <c r="KZ44" s="263">
        <f>IF(Timeline!KZ$41=1,KZ$42,0)</f>
        <v/>
      </c>
      <c r="LA44" s="263">
        <f>IF(Timeline!LA$41=1,LA$42,0)</f>
        <v/>
      </c>
      <c r="LB44" s="263">
        <f>IF(Timeline!LB$41=1,LB$42,0)</f>
        <v/>
      </c>
      <c r="LC44" s="263">
        <f>IF(Timeline!LC$41=1,LC$42,0)</f>
        <v/>
      </c>
      <c r="LD44" s="263">
        <f>IF(Timeline!LD$41=1,LD$42,0)</f>
        <v/>
      </c>
      <c r="LE44" s="263">
        <f>IF(Timeline!LE$41=1,LE$42,0)</f>
        <v/>
      </c>
      <c r="LF44" s="263">
        <f>IF(Timeline!LF$41=1,LF$42,0)</f>
        <v/>
      </c>
      <c r="LG44" s="263">
        <f>IF(Timeline!LG$41=1,LG$42,0)</f>
        <v/>
      </c>
      <c r="LH44" s="263">
        <f>IF(Timeline!LH$41=1,LH$42,0)</f>
        <v/>
      </c>
      <c r="LI44" s="263">
        <f>IF(Timeline!LI$41=1,LI$42,0)</f>
        <v/>
      </c>
      <c r="LJ44" s="263">
        <f>IF(Timeline!LJ$41=1,LJ$42,0)</f>
        <v/>
      </c>
      <c r="LK44" s="263">
        <f>IF(Timeline!LK$41=1,LK$42,0)</f>
        <v/>
      </c>
      <c r="LL44" s="263">
        <f>IF(Timeline!LL$41=1,LL$42,0)</f>
        <v/>
      </c>
      <c r="LM44" s="263">
        <f>IF(Timeline!LM$41=1,LM$42,0)</f>
        <v/>
      </c>
      <c r="LN44" s="263">
        <f>IF(Timeline!LN$41=1,LN$42,0)</f>
        <v/>
      </c>
      <c r="LO44" s="263">
        <f>IF(Timeline!LO$41=1,LO$42,0)</f>
        <v/>
      </c>
      <c r="LP44" s="263">
        <f>IF(Timeline!LP$41=1,LP$42,0)</f>
        <v/>
      </c>
      <c r="LQ44" s="263">
        <f>IF(Timeline!LQ$41=1,LQ$42,0)</f>
        <v/>
      </c>
      <c r="LR44" s="263">
        <f>IF(Timeline!LR$41=1,LR$42,0)</f>
        <v/>
      </c>
      <c r="LS44" s="263">
        <f>IF(Timeline!LS$41=1,LS$42,0)</f>
        <v/>
      </c>
      <c r="LT44" s="263">
        <f>IF(Timeline!LT$41=1,LT$42,0)</f>
        <v/>
      </c>
      <c r="LU44" s="263">
        <f>IF(Timeline!LU$41=1,LU$42,0)</f>
        <v/>
      </c>
      <c r="LV44" s="263">
        <f>IF(Timeline!LV$41=1,LV$42,0)</f>
        <v/>
      </c>
      <c r="LW44" s="263">
        <f>IF(Timeline!LW$41=1,LW$42,0)</f>
        <v/>
      </c>
      <c r="LX44" s="263">
        <f>IF(Timeline!LX$41=1,LX$42,0)</f>
        <v/>
      </c>
      <c r="LY44" s="263">
        <f>IF(Timeline!LY$41=1,LY$42,0)</f>
        <v/>
      </c>
      <c r="LZ44" s="263">
        <f>IF(Timeline!LZ$41=1,LZ$42,0)</f>
        <v/>
      </c>
      <c r="MA44" s="263">
        <f>IF(Timeline!MA$41=1,MA$42,0)</f>
        <v/>
      </c>
      <c r="MB44" s="263">
        <f>IF(Timeline!MB$41=1,MB$42,0)</f>
        <v/>
      </c>
      <c r="MC44" s="263">
        <f>IF(Timeline!MC$41=1,MC$42,0)</f>
        <v/>
      </c>
      <c r="MD44" s="263">
        <f>IF(Timeline!MD$41=1,MD$42,0)</f>
        <v/>
      </c>
      <c r="ME44" s="263">
        <f>IF(Timeline!ME$41=1,ME$42,0)</f>
        <v/>
      </c>
      <c r="MF44" s="263">
        <f>IF(Timeline!MF$41=1,MF$42,0)</f>
        <v/>
      </c>
      <c r="MG44" s="263">
        <f>IF(Timeline!MG$41=1,MG$42,0)</f>
        <v/>
      </c>
      <c r="MH44" s="263">
        <f>IF(Timeline!MH$41=1,MH$42,0)</f>
        <v/>
      </c>
      <c r="MI44" s="263">
        <f>IF(Timeline!MI$41=1,MI$42,0)</f>
        <v/>
      </c>
      <c r="MJ44" s="263">
        <f>IF(Timeline!MJ$41=1,MJ$42,0)</f>
        <v/>
      </c>
      <c r="MK44" s="263">
        <f>IF(Timeline!MK$41=1,MK$42,0)</f>
        <v/>
      </c>
      <c r="ML44" s="263">
        <f>IF(Timeline!ML$41=1,ML$42,0)</f>
        <v/>
      </c>
      <c r="MM44" s="263">
        <f>IF(Timeline!MM$41=1,MM$42,0)</f>
        <v/>
      </c>
      <c r="MN44" s="263">
        <f>IF(Timeline!MN$41=1,MN$42,0)</f>
        <v/>
      </c>
      <c r="MO44" s="263">
        <f>IF(Timeline!MO$41=1,MO$42,0)</f>
        <v/>
      </c>
      <c r="MP44" s="263">
        <f>IF(Timeline!MP$41=1,MP$42,0)</f>
        <v/>
      </c>
      <c r="MQ44" s="263">
        <f>IF(Timeline!MQ$41=1,MQ$42,0)</f>
        <v/>
      </c>
      <c r="MR44" s="263">
        <f>IF(Timeline!MR$41=1,MR$42,0)</f>
        <v/>
      </c>
      <c r="MS44" s="263">
        <f>IF(Timeline!MS$41=1,MS$42,0)</f>
        <v/>
      </c>
      <c r="MT44" s="263">
        <f>IF(Timeline!MT$41=1,MT$42,0)</f>
        <v/>
      </c>
      <c r="MU44" s="263">
        <f>IF(Timeline!MU$41=1,MU$42,0)</f>
        <v/>
      </c>
      <c r="MV44" s="263">
        <f>IF(Timeline!MV$41=1,MV$42,0)</f>
        <v/>
      </c>
      <c r="MW44" s="263">
        <f>IF(Timeline!MW$41=1,MW$42,0)</f>
        <v/>
      </c>
      <c r="MX44" s="263">
        <f>IF(Timeline!MX$41=1,MX$42,0)</f>
        <v/>
      </c>
      <c r="MY44" s="263">
        <f>IF(Timeline!MY$41=1,MY$42,0)</f>
        <v/>
      </c>
      <c r="MZ44" s="263">
        <f>IF(Timeline!MZ$41=1,MZ$42,0)</f>
        <v/>
      </c>
      <c r="NA44" s="263">
        <f>IF(Timeline!NA$41=1,NA$42,0)</f>
        <v/>
      </c>
      <c r="NB44" s="263">
        <f>IF(Timeline!NB$41=1,NB$42,0)</f>
        <v/>
      </c>
      <c r="NC44" s="263">
        <f>IF(Timeline!NC$41=1,NC$42,0)</f>
        <v/>
      </c>
      <c r="ND44" s="263">
        <f>IF(Timeline!ND$41=1,ND$42,0)</f>
        <v/>
      </c>
      <c r="NE44" s="263">
        <f>IF(Timeline!NE$41=1,NE$42,0)</f>
        <v/>
      </c>
      <c r="NF44" s="263">
        <f>IF(Timeline!NF$41=1,NF$42,0)</f>
        <v/>
      </c>
      <c r="NG44" s="263">
        <f>IF(Timeline!NG$41=1,NG$42,0)</f>
        <v/>
      </c>
      <c r="NH44" s="263">
        <f>IF(Timeline!NH$41=1,NH$42,0)</f>
        <v/>
      </c>
      <c r="NI44" s="263">
        <f>IF(Timeline!NI$41=1,NI$42,0)</f>
        <v/>
      </c>
      <c r="NJ44" s="263">
        <f>IF(Timeline!NJ$41=1,NJ$42,0)</f>
        <v/>
      </c>
      <c r="NK44" s="263">
        <f>IF(Timeline!NK$41=1,NK$42,0)</f>
        <v/>
      </c>
      <c r="NL44" s="254">
        <f>IF(Timeline!NL$41=1,NL$42,0)</f>
        <v/>
      </c>
    </row>
    <row r="46">
      <c r="B46" s="14" t="inlineStr">
        <is>
          <t>Operating Aggregates &amp; Reserve</t>
        </is>
      </c>
      <c r="C46" s="100" t="n"/>
      <c r="D46" s="100" t="n"/>
    </row>
    <row r="47">
      <c r="B47" s="84" t="inlineStr">
        <is>
          <t>Stabilized NOI before Tax (fwd 12mo)</t>
        </is>
      </c>
      <c r="C47" s="262">
        <f>SUM(INDEX(E35:NL35,StabMonth):INDEX(E35:NL35,StabMonth+11))</f>
        <v/>
      </c>
    </row>
    <row r="48">
      <c r="B48" s="84" t="inlineStr">
        <is>
          <t>Stabilized NOI (fwd 12mo)</t>
        </is>
      </c>
      <c r="C48" s="262">
        <f>SUM(INDEX(E38:NL38,StabMonth):INDEX(E38:NL38,StabMonth+11))</f>
        <v/>
      </c>
    </row>
    <row r="49">
      <c r="B49" s="84" t="inlineStr">
        <is>
          <t>Year-1 NOI (fwd 12mo from delivery)</t>
        </is>
      </c>
      <c r="C49" s="262">
        <f>SUM(INDEX(E38:NL38,DeliverStart):INDEX(E38:NL38,DeliverStart+11))</f>
        <v/>
      </c>
    </row>
    <row r="50">
      <c r="B50" s="84" t="inlineStr">
        <is>
          <t>Peak Cumulative Lease-Up Shortfall</t>
        </is>
      </c>
      <c r="C50" s="262">
        <f>MIN(0,MIN(INDEX(E43:NL43,DeliverStart):INDEX(E43:NL43,StabMonth)))</f>
        <v/>
      </c>
    </row>
    <row r="51">
      <c r="B51" s="84" t="inlineStr">
        <is>
          <t>Operating Reserve (model-calculated)</t>
        </is>
      </c>
      <c r="C51" s="262">
        <f>MAX(MAX(0,-PeakShort+(1-LeaseUpIncomeOffset)*SUM(INDEX(E$23:NL$23,DeliverStart):INDEX(E$23:NL$23,MAX(DeliverStart,StabMonth-1))))*OpReserveCoverage,OpReserveMinMonths*INDEX(E$37:NL$37,StabMonth))</f>
        <v/>
      </c>
    </row>
    <row r="53">
      <c r="B53" s="3" t="inlineStr">
        <is>
          <t>Property Tax Engine</t>
        </is>
      </c>
      <c r="C53" s="155" t="n"/>
      <c r="D53" s="155" t="n"/>
    </row>
    <row r="54">
      <c r="B54" s="84" t="inlineStr">
        <is>
          <t>Effective Tax Rate on Value (operating)</t>
        </is>
      </c>
      <c r="C54" s="269">
        <f>TaxLevyPct*TaxAssessmentPct*TaxValueAdjFactor</f>
        <v/>
      </c>
    </row>
    <row r="55">
      <c r="B55" s="84" t="inlineStr">
        <is>
          <t>Disposition-Period Tax Rate on Value</t>
        </is>
      </c>
      <c r="C55" s="269">
        <f>IF(DispoTaxRatePct&gt;0,DispoTaxRatePct,EffTaxRateOnValue)</f>
        <v/>
      </c>
    </row>
    <row r="56">
      <c r="B56" s="84" t="inlineStr">
        <is>
          <t>Stabilized Assessed Value</t>
        </is>
      </c>
      <c r="C56" s="227">
        <f>IF((EntryCapRate+EffTaxRateOnValue)=0,0,StabNOIbt/(EntryCapRate+EffTaxRateOnValue))</f>
        <v/>
      </c>
    </row>
    <row r="57">
      <c r="B57" s="84" t="inlineStr">
        <is>
          <t>Year-1 Stabilized Tax (dynamic / override)</t>
        </is>
      </c>
      <c r="C57" s="227">
        <f>IF(TaxYear1Override&gt;0,TaxYear1Override,AssessedValueStab*EffTaxRateOnValue)</f>
        <v/>
      </c>
    </row>
    <row r="58">
      <c r="B58" s="84" t="inlineStr">
        <is>
          <t>Stabilized Annual Property Tax (fwd 12mo)</t>
        </is>
      </c>
      <c r="C58" s="227">
        <f>SUM(INDEX(E36:NL36,StabMonth):INDEX(E36:NL36,StabMonth+11))</f>
        <v/>
      </c>
    </row>
    <row r="59">
      <c r="B59" s="84" t="inlineStr">
        <is>
          <t>Tax Method (1=value / 0=income)</t>
        </is>
      </c>
      <c r="C59" s="85">
        <f>TaxMethodValue</f>
        <v/>
      </c>
    </row>
    <row r="61">
      <c r="B61" s="14" t="inlineStr">
        <is>
          <t>Long-Term Operating Cash Flow (over hold)</t>
        </is>
      </c>
      <c r="C61" s="100" t="n"/>
      <c r="D61" s="100" t="n"/>
    </row>
    <row r="62">
      <c r="B62" s="84" t="inlineStr">
        <is>
          <t>Σ Operating CF before Debt (property)</t>
        </is>
      </c>
      <c r="C62" s="262">
        <f>Operating!$D$42</f>
        <v/>
      </c>
    </row>
    <row r="63">
      <c r="B63" s="84" t="inlineStr">
        <is>
          <t>Σ Unlevered Operating CF (property)</t>
        </is>
      </c>
      <c r="C63" s="262">
        <f>Operating!$D$44</f>
        <v/>
      </c>
    </row>
    <row r="64">
      <c r="B64" s="84" t="inlineStr">
        <is>
          <t>Σ NOI over horizon</t>
        </is>
      </c>
      <c r="C64" s="262">
        <f>Operating!$D$38</f>
        <v/>
      </c>
    </row>
    <row r="66">
      <c r="B66" s="3" t="inlineStr">
        <is>
          <t>Static (No-Growth) Reference NOI</t>
        </is>
      </c>
      <c r="C66" s="155" t="n"/>
      <c r="D66" s="155" t="n"/>
    </row>
    <row r="67">
      <c r="B67" s="25" t="inlineStr">
        <is>
          <t>Period →</t>
        </is>
      </c>
      <c r="D67" s="74" t="inlineStr">
        <is>
          <t>Total</t>
        </is>
      </c>
      <c r="E67" s="27" t="n">
        <v>1</v>
      </c>
      <c r="F67" s="27" t="n">
        <v>2</v>
      </c>
      <c r="G67" s="27" t="n">
        <v>3</v>
      </c>
      <c r="H67" s="27" t="n">
        <v>4</v>
      </c>
      <c r="I67" s="27" t="n">
        <v>5</v>
      </c>
      <c r="J67" s="27" t="n">
        <v>6</v>
      </c>
      <c r="K67" s="27" t="n">
        <v>7</v>
      </c>
      <c r="L67" s="27" t="n">
        <v>8</v>
      </c>
      <c r="M67" s="27" t="n">
        <v>9</v>
      </c>
      <c r="N67" s="27" t="n">
        <v>10</v>
      </c>
      <c r="O67" s="27" t="n">
        <v>11</v>
      </c>
      <c r="P67" s="27" t="n">
        <v>12</v>
      </c>
      <c r="Q67" s="27" t="n">
        <v>13</v>
      </c>
      <c r="R67" s="27" t="n">
        <v>14</v>
      </c>
      <c r="S67" s="27" t="n">
        <v>15</v>
      </c>
      <c r="T67" s="27" t="n">
        <v>16</v>
      </c>
      <c r="U67" s="27" t="n">
        <v>17</v>
      </c>
      <c r="V67" s="27" t="n">
        <v>18</v>
      </c>
      <c r="W67" s="27" t="n">
        <v>19</v>
      </c>
      <c r="X67" s="27" t="n">
        <v>20</v>
      </c>
      <c r="Y67" s="27" t="n">
        <v>21</v>
      </c>
      <c r="Z67" s="27" t="n">
        <v>22</v>
      </c>
      <c r="AA67" s="27" t="n">
        <v>23</v>
      </c>
      <c r="AB67" s="27" t="n">
        <v>24</v>
      </c>
      <c r="AC67" s="27" t="n">
        <v>25</v>
      </c>
      <c r="AD67" s="27" t="n">
        <v>26</v>
      </c>
      <c r="AE67" s="27" t="n">
        <v>27</v>
      </c>
      <c r="AF67" s="27" t="n">
        <v>28</v>
      </c>
      <c r="AG67" s="27" t="n">
        <v>29</v>
      </c>
      <c r="AH67" s="27" t="n">
        <v>30</v>
      </c>
      <c r="AI67" s="27" t="n">
        <v>31</v>
      </c>
      <c r="AJ67" s="27" t="n">
        <v>32</v>
      </c>
      <c r="AK67" s="27" t="n">
        <v>33</v>
      </c>
      <c r="AL67" s="27" t="n">
        <v>34</v>
      </c>
      <c r="AM67" s="27" t="n">
        <v>35</v>
      </c>
      <c r="AN67" s="27" t="n">
        <v>36</v>
      </c>
      <c r="AO67" s="27" t="n">
        <v>37</v>
      </c>
      <c r="AP67" s="27" t="n">
        <v>38</v>
      </c>
      <c r="AQ67" s="27" t="n">
        <v>39</v>
      </c>
      <c r="AR67" s="27" t="n">
        <v>40</v>
      </c>
      <c r="AS67" s="27" t="n">
        <v>41</v>
      </c>
      <c r="AT67" s="27" t="n">
        <v>42</v>
      </c>
      <c r="AU67" s="27" t="n">
        <v>43</v>
      </c>
      <c r="AV67" s="27" t="n">
        <v>44</v>
      </c>
      <c r="AW67" s="27" t="n">
        <v>45</v>
      </c>
      <c r="AX67" s="27" t="n">
        <v>46</v>
      </c>
      <c r="AY67" s="27" t="n">
        <v>47</v>
      </c>
      <c r="AZ67" s="27" t="n">
        <v>48</v>
      </c>
      <c r="BA67" s="27" t="n">
        <v>49</v>
      </c>
      <c r="BB67" s="27" t="n">
        <v>50</v>
      </c>
      <c r="BC67" s="27" t="n">
        <v>51</v>
      </c>
      <c r="BD67" s="27" t="n">
        <v>52</v>
      </c>
      <c r="BE67" s="27" t="n">
        <v>53</v>
      </c>
      <c r="BF67" s="27" t="n">
        <v>54</v>
      </c>
      <c r="BG67" s="27" t="n">
        <v>55</v>
      </c>
      <c r="BH67" s="27" t="n">
        <v>56</v>
      </c>
      <c r="BI67" s="27" t="n">
        <v>57</v>
      </c>
      <c r="BJ67" s="27" t="n">
        <v>58</v>
      </c>
      <c r="BK67" s="27" t="n">
        <v>59</v>
      </c>
      <c r="BL67" s="27" t="n">
        <v>60</v>
      </c>
      <c r="BM67" s="27" t="n">
        <v>61</v>
      </c>
      <c r="BN67" s="27" t="n">
        <v>62</v>
      </c>
      <c r="BO67" s="27" t="n">
        <v>63</v>
      </c>
      <c r="BP67" s="27" t="n">
        <v>64</v>
      </c>
      <c r="BQ67" s="27" t="n">
        <v>65</v>
      </c>
      <c r="BR67" s="27" t="n">
        <v>66</v>
      </c>
      <c r="BS67" s="27" t="n">
        <v>67</v>
      </c>
      <c r="BT67" s="27" t="n">
        <v>68</v>
      </c>
      <c r="BU67" s="27" t="n">
        <v>69</v>
      </c>
      <c r="BV67" s="27" t="n">
        <v>70</v>
      </c>
      <c r="BW67" s="27" t="n">
        <v>71</v>
      </c>
      <c r="BX67" s="27" t="n">
        <v>72</v>
      </c>
      <c r="BY67" s="27" t="n">
        <v>73</v>
      </c>
      <c r="BZ67" s="27" t="n">
        <v>74</v>
      </c>
      <c r="CA67" s="27" t="n">
        <v>75</v>
      </c>
      <c r="CB67" s="27" t="n">
        <v>76</v>
      </c>
      <c r="CC67" s="27" t="n">
        <v>77</v>
      </c>
      <c r="CD67" s="27" t="n">
        <v>78</v>
      </c>
      <c r="CE67" s="27" t="n">
        <v>79</v>
      </c>
      <c r="CF67" s="27" t="n">
        <v>80</v>
      </c>
      <c r="CG67" s="27" t="n">
        <v>81</v>
      </c>
      <c r="CH67" s="27" t="n">
        <v>82</v>
      </c>
      <c r="CI67" s="27" t="n">
        <v>83</v>
      </c>
      <c r="CJ67" s="27" t="n">
        <v>84</v>
      </c>
      <c r="CK67" s="27" t="n">
        <v>85</v>
      </c>
      <c r="CL67" s="27" t="n">
        <v>86</v>
      </c>
      <c r="CM67" s="27" t="n">
        <v>87</v>
      </c>
      <c r="CN67" s="27" t="n">
        <v>88</v>
      </c>
      <c r="CO67" s="27" t="n">
        <v>89</v>
      </c>
      <c r="CP67" s="27" t="n">
        <v>90</v>
      </c>
      <c r="CQ67" s="27" t="n">
        <v>91</v>
      </c>
      <c r="CR67" s="27" t="n">
        <v>92</v>
      </c>
      <c r="CS67" s="27" t="n">
        <v>93</v>
      </c>
      <c r="CT67" s="27" t="n">
        <v>94</v>
      </c>
      <c r="CU67" s="27" t="n">
        <v>95</v>
      </c>
      <c r="CV67" s="27" t="n">
        <v>96</v>
      </c>
      <c r="CW67" s="27" t="n">
        <v>97</v>
      </c>
      <c r="CX67" s="27" t="n">
        <v>98</v>
      </c>
      <c r="CY67" s="27" t="n">
        <v>99</v>
      </c>
      <c r="CZ67" s="27" t="n">
        <v>100</v>
      </c>
      <c r="DA67" s="27" t="n">
        <v>101</v>
      </c>
      <c r="DB67" s="27" t="n">
        <v>102</v>
      </c>
      <c r="DC67" s="27" t="n">
        <v>103</v>
      </c>
      <c r="DD67" s="27" t="n">
        <v>104</v>
      </c>
      <c r="DE67" s="27" t="n">
        <v>105</v>
      </c>
      <c r="DF67" s="27" t="n">
        <v>106</v>
      </c>
      <c r="DG67" s="27" t="n">
        <v>107</v>
      </c>
      <c r="DH67" s="27" t="n">
        <v>108</v>
      </c>
      <c r="DI67" s="27" t="n">
        <v>109</v>
      </c>
      <c r="DJ67" s="27" t="n">
        <v>110</v>
      </c>
      <c r="DK67" s="27" t="n">
        <v>111</v>
      </c>
      <c r="DL67" s="27" t="n">
        <v>112</v>
      </c>
      <c r="DM67" s="27" t="n">
        <v>113</v>
      </c>
      <c r="DN67" s="27" t="n">
        <v>114</v>
      </c>
      <c r="DO67" s="27" t="n">
        <v>115</v>
      </c>
      <c r="DP67" s="27" t="n">
        <v>116</v>
      </c>
      <c r="DQ67" s="27" t="n">
        <v>117</v>
      </c>
      <c r="DR67" s="27" t="n">
        <v>118</v>
      </c>
      <c r="DS67" s="27" t="n">
        <v>119</v>
      </c>
      <c r="DT67" s="27" t="n">
        <v>120</v>
      </c>
      <c r="DU67" s="27" t="n">
        <v>121</v>
      </c>
      <c r="DV67" s="27" t="n">
        <v>122</v>
      </c>
      <c r="DW67" s="27" t="n">
        <v>123</v>
      </c>
      <c r="DX67" s="27" t="n">
        <v>124</v>
      </c>
      <c r="DY67" s="27" t="n">
        <v>125</v>
      </c>
      <c r="DZ67" s="27" t="n">
        <v>126</v>
      </c>
      <c r="EA67" s="27" t="n">
        <v>127</v>
      </c>
      <c r="EB67" s="27" t="n">
        <v>128</v>
      </c>
      <c r="EC67" s="27" t="n">
        <v>129</v>
      </c>
      <c r="ED67" s="27" t="n">
        <v>130</v>
      </c>
      <c r="EE67" s="27" t="n">
        <v>131</v>
      </c>
      <c r="EF67" s="27" t="n">
        <v>132</v>
      </c>
      <c r="EG67" s="27" t="n">
        <v>133</v>
      </c>
      <c r="EH67" s="27" t="n">
        <v>134</v>
      </c>
      <c r="EI67" s="27" t="n">
        <v>135</v>
      </c>
      <c r="EJ67" s="27" t="n">
        <v>136</v>
      </c>
      <c r="EK67" s="27" t="n">
        <v>137</v>
      </c>
      <c r="EL67" s="27" t="n">
        <v>138</v>
      </c>
      <c r="EM67" s="27" t="n">
        <v>139</v>
      </c>
      <c r="EN67" s="27" t="n">
        <v>140</v>
      </c>
      <c r="EO67" s="27" t="n">
        <v>141</v>
      </c>
      <c r="EP67" s="27" t="n">
        <v>142</v>
      </c>
      <c r="EQ67" s="27" t="n">
        <v>143</v>
      </c>
      <c r="ER67" s="27" t="n">
        <v>144</v>
      </c>
      <c r="ES67" s="27" t="n">
        <v>145</v>
      </c>
      <c r="ET67" s="27" t="n">
        <v>146</v>
      </c>
      <c r="EU67" s="27" t="n">
        <v>147</v>
      </c>
      <c r="EV67" s="27" t="n">
        <v>148</v>
      </c>
      <c r="EW67" s="27" t="n">
        <v>149</v>
      </c>
      <c r="EX67" s="27" t="n">
        <v>150</v>
      </c>
      <c r="EY67" s="27" t="n">
        <v>151</v>
      </c>
      <c r="EZ67" s="27" t="n">
        <v>152</v>
      </c>
      <c r="FA67" s="27" t="n">
        <v>153</v>
      </c>
      <c r="FB67" s="27" t="n">
        <v>154</v>
      </c>
      <c r="FC67" s="27" t="n">
        <v>155</v>
      </c>
      <c r="FD67" s="27" t="n">
        <v>156</v>
      </c>
      <c r="FE67" s="27" t="n">
        <v>157</v>
      </c>
      <c r="FF67" s="27" t="n">
        <v>158</v>
      </c>
      <c r="FG67" s="27" t="n">
        <v>159</v>
      </c>
      <c r="FH67" s="27" t="n">
        <v>160</v>
      </c>
      <c r="FI67" s="27" t="n">
        <v>161</v>
      </c>
      <c r="FJ67" s="27" t="n">
        <v>162</v>
      </c>
      <c r="FK67" s="27" t="n">
        <v>163</v>
      </c>
      <c r="FL67" s="27" t="n">
        <v>164</v>
      </c>
      <c r="FM67" s="27" t="n">
        <v>165</v>
      </c>
      <c r="FN67" s="27" t="n">
        <v>166</v>
      </c>
      <c r="FO67" s="27" t="n">
        <v>167</v>
      </c>
      <c r="FP67" s="27" t="n">
        <v>168</v>
      </c>
      <c r="FQ67" s="27" t="n">
        <v>169</v>
      </c>
      <c r="FR67" s="27" t="n">
        <v>170</v>
      </c>
      <c r="FS67" s="27" t="n">
        <v>171</v>
      </c>
      <c r="FT67" s="27" t="n">
        <v>172</v>
      </c>
      <c r="FU67" s="27" t="n">
        <v>173</v>
      </c>
      <c r="FV67" s="27" t="n">
        <v>174</v>
      </c>
      <c r="FW67" s="27" t="n">
        <v>175</v>
      </c>
      <c r="FX67" s="27" t="n">
        <v>176</v>
      </c>
      <c r="FY67" s="27" t="n">
        <v>177</v>
      </c>
      <c r="FZ67" s="27" t="n">
        <v>178</v>
      </c>
      <c r="GA67" s="27" t="n">
        <v>179</v>
      </c>
      <c r="GB67" s="27" t="n">
        <v>180</v>
      </c>
      <c r="GC67" s="27" t="n">
        <v>181</v>
      </c>
      <c r="GD67" s="27" t="n">
        <v>182</v>
      </c>
      <c r="GE67" s="27" t="n">
        <v>183</v>
      </c>
      <c r="GF67" s="27" t="n">
        <v>184</v>
      </c>
      <c r="GG67" s="27" t="n">
        <v>185</v>
      </c>
      <c r="GH67" s="27" t="n">
        <v>186</v>
      </c>
      <c r="GI67" s="27" t="n">
        <v>187</v>
      </c>
      <c r="GJ67" s="27" t="n">
        <v>188</v>
      </c>
      <c r="GK67" s="27" t="n">
        <v>189</v>
      </c>
      <c r="GL67" s="27" t="n">
        <v>190</v>
      </c>
      <c r="GM67" s="27" t="n">
        <v>191</v>
      </c>
      <c r="GN67" s="27" t="n">
        <v>192</v>
      </c>
      <c r="GO67" s="27" t="n">
        <v>193</v>
      </c>
      <c r="GP67" s="27" t="n">
        <v>194</v>
      </c>
      <c r="GQ67" s="27" t="n">
        <v>195</v>
      </c>
      <c r="GR67" s="27" t="n">
        <v>196</v>
      </c>
      <c r="GS67" s="27" t="n">
        <v>197</v>
      </c>
      <c r="GT67" s="27" t="n">
        <v>198</v>
      </c>
      <c r="GU67" s="27" t="n">
        <v>199</v>
      </c>
      <c r="GV67" s="27" t="n">
        <v>200</v>
      </c>
      <c r="GW67" s="27" t="n">
        <v>201</v>
      </c>
      <c r="GX67" s="27" t="n">
        <v>202</v>
      </c>
      <c r="GY67" s="27" t="n">
        <v>203</v>
      </c>
      <c r="GZ67" s="27" t="n">
        <v>204</v>
      </c>
      <c r="HA67" s="27" t="n">
        <v>205</v>
      </c>
      <c r="HB67" s="27" t="n">
        <v>206</v>
      </c>
      <c r="HC67" s="27" t="n">
        <v>207</v>
      </c>
      <c r="HD67" s="27" t="n">
        <v>208</v>
      </c>
      <c r="HE67" s="27" t="n">
        <v>209</v>
      </c>
      <c r="HF67" s="27" t="n">
        <v>210</v>
      </c>
      <c r="HG67" s="27" t="n">
        <v>211</v>
      </c>
      <c r="HH67" s="27" t="n">
        <v>212</v>
      </c>
      <c r="HI67" s="27" t="n">
        <v>213</v>
      </c>
      <c r="HJ67" s="27" t="n">
        <v>214</v>
      </c>
      <c r="HK67" s="27" t="n">
        <v>215</v>
      </c>
      <c r="HL67" s="27" t="n">
        <v>216</v>
      </c>
      <c r="HM67" s="27" t="n">
        <v>217</v>
      </c>
      <c r="HN67" s="27" t="n">
        <v>218</v>
      </c>
      <c r="HO67" s="27" t="n">
        <v>219</v>
      </c>
      <c r="HP67" s="27" t="n">
        <v>220</v>
      </c>
      <c r="HQ67" s="27" t="n">
        <v>221</v>
      </c>
      <c r="HR67" s="27" t="n">
        <v>222</v>
      </c>
      <c r="HS67" s="27" t="n">
        <v>223</v>
      </c>
      <c r="HT67" s="27" t="n">
        <v>224</v>
      </c>
      <c r="HU67" s="27" t="n">
        <v>225</v>
      </c>
      <c r="HV67" s="27" t="n">
        <v>226</v>
      </c>
      <c r="HW67" s="27" t="n">
        <v>227</v>
      </c>
      <c r="HX67" s="27" t="n">
        <v>228</v>
      </c>
      <c r="HY67" s="27" t="n">
        <v>229</v>
      </c>
      <c r="HZ67" s="27" t="n">
        <v>230</v>
      </c>
      <c r="IA67" s="27" t="n">
        <v>231</v>
      </c>
      <c r="IB67" s="27" t="n">
        <v>232</v>
      </c>
      <c r="IC67" s="27" t="n">
        <v>233</v>
      </c>
      <c r="ID67" s="27" t="n">
        <v>234</v>
      </c>
      <c r="IE67" s="27" t="n">
        <v>235</v>
      </c>
      <c r="IF67" s="27" t="n">
        <v>236</v>
      </c>
      <c r="IG67" s="27" t="n">
        <v>237</v>
      </c>
      <c r="IH67" s="27" t="n">
        <v>238</v>
      </c>
      <c r="II67" s="27" t="n">
        <v>239</v>
      </c>
      <c r="IJ67" s="27" t="n">
        <v>240</v>
      </c>
      <c r="IK67" s="27" t="n">
        <v>241</v>
      </c>
      <c r="IL67" s="27" t="n">
        <v>242</v>
      </c>
      <c r="IM67" s="27" t="n">
        <v>243</v>
      </c>
      <c r="IN67" s="27" t="n">
        <v>244</v>
      </c>
      <c r="IO67" s="27" t="n">
        <v>245</v>
      </c>
      <c r="IP67" s="27" t="n">
        <v>246</v>
      </c>
      <c r="IQ67" s="27" t="n">
        <v>247</v>
      </c>
      <c r="IR67" s="27" t="n">
        <v>248</v>
      </c>
      <c r="IS67" s="27" t="n">
        <v>249</v>
      </c>
      <c r="IT67" s="27" t="n">
        <v>250</v>
      </c>
      <c r="IU67" s="27" t="n">
        <v>251</v>
      </c>
      <c r="IV67" s="27" t="n">
        <v>252</v>
      </c>
      <c r="IW67" s="27" t="n">
        <v>253</v>
      </c>
      <c r="IX67" s="27" t="n">
        <v>254</v>
      </c>
      <c r="IY67" s="27" t="n">
        <v>255</v>
      </c>
      <c r="IZ67" s="27" t="n">
        <v>256</v>
      </c>
      <c r="JA67" s="27" t="n">
        <v>257</v>
      </c>
      <c r="JB67" s="27" t="n">
        <v>258</v>
      </c>
      <c r="JC67" s="27" t="n">
        <v>259</v>
      </c>
      <c r="JD67" s="27" t="n">
        <v>260</v>
      </c>
      <c r="JE67" s="27" t="n">
        <v>261</v>
      </c>
      <c r="JF67" s="27" t="n">
        <v>262</v>
      </c>
      <c r="JG67" s="27" t="n">
        <v>263</v>
      </c>
      <c r="JH67" s="27" t="n">
        <v>264</v>
      </c>
      <c r="JI67" s="27" t="n">
        <v>265</v>
      </c>
      <c r="JJ67" s="27" t="n">
        <v>266</v>
      </c>
      <c r="JK67" s="27" t="n">
        <v>267</v>
      </c>
      <c r="JL67" s="27" t="n">
        <v>268</v>
      </c>
      <c r="JM67" s="27" t="n">
        <v>269</v>
      </c>
      <c r="JN67" s="27" t="n">
        <v>270</v>
      </c>
      <c r="JO67" s="27" t="n">
        <v>271</v>
      </c>
      <c r="JP67" s="27" t="n">
        <v>272</v>
      </c>
      <c r="JQ67" s="27" t="n">
        <v>273</v>
      </c>
      <c r="JR67" s="27" t="n">
        <v>274</v>
      </c>
      <c r="JS67" s="27" t="n">
        <v>275</v>
      </c>
      <c r="JT67" s="27" t="n">
        <v>276</v>
      </c>
      <c r="JU67" s="27" t="n">
        <v>277</v>
      </c>
      <c r="JV67" s="27" t="n">
        <v>278</v>
      </c>
      <c r="JW67" s="27" t="n">
        <v>279</v>
      </c>
      <c r="JX67" s="27" t="n">
        <v>280</v>
      </c>
      <c r="JY67" s="27" t="n">
        <v>281</v>
      </c>
      <c r="JZ67" s="27" t="n">
        <v>282</v>
      </c>
      <c r="KA67" s="27" t="n">
        <v>283</v>
      </c>
      <c r="KB67" s="27" t="n">
        <v>284</v>
      </c>
      <c r="KC67" s="27" t="n">
        <v>285</v>
      </c>
      <c r="KD67" s="27" t="n">
        <v>286</v>
      </c>
      <c r="KE67" s="27" t="n">
        <v>287</v>
      </c>
      <c r="KF67" s="27" t="n">
        <v>288</v>
      </c>
      <c r="KG67" s="27" t="n">
        <v>289</v>
      </c>
      <c r="KH67" s="27" t="n">
        <v>290</v>
      </c>
      <c r="KI67" s="27" t="n">
        <v>291</v>
      </c>
      <c r="KJ67" s="27" t="n">
        <v>292</v>
      </c>
      <c r="KK67" s="27" t="n">
        <v>293</v>
      </c>
      <c r="KL67" s="27" t="n">
        <v>294</v>
      </c>
      <c r="KM67" s="27" t="n">
        <v>295</v>
      </c>
      <c r="KN67" s="27" t="n">
        <v>296</v>
      </c>
      <c r="KO67" s="27" t="n">
        <v>297</v>
      </c>
      <c r="KP67" s="27" t="n">
        <v>298</v>
      </c>
      <c r="KQ67" s="27" t="n">
        <v>299</v>
      </c>
      <c r="KR67" s="27" t="n">
        <v>300</v>
      </c>
      <c r="KS67" s="27" t="n">
        <v>301</v>
      </c>
      <c r="KT67" s="27" t="n">
        <v>302</v>
      </c>
      <c r="KU67" s="27" t="n">
        <v>303</v>
      </c>
      <c r="KV67" s="27" t="n">
        <v>304</v>
      </c>
      <c r="KW67" s="27" t="n">
        <v>305</v>
      </c>
      <c r="KX67" s="27" t="n">
        <v>306</v>
      </c>
      <c r="KY67" s="27" t="n">
        <v>307</v>
      </c>
      <c r="KZ67" s="27" t="n">
        <v>308</v>
      </c>
      <c r="LA67" s="27" t="n">
        <v>309</v>
      </c>
      <c r="LB67" s="27" t="n">
        <v>310</v>
      </c>
      <c r="LC67" s="27" t="n">
        <v>311</v>
      </c>
      <c r="LD67" s="27" t="n">
        <v>312</v>
      </c>
      <c r="LE67" s="27" t="n">
        <v>313</v>
      </c>
      <c r="LF67" s="27" t="n">
        <v>314</v>
      </c>
      <c r="LG67" s="27" t="n">
        <v>315</v>
      </c>
      <c r="LH67" s="27" t="n">
        <v>316</v>
      </c>
      <c r="LI67" s="27" t="n">
        <v>317</v>
      </c>
      <c r="LJ67" s="27" t="n">
        <v>318</v>
      </c>
      <c r="LK67" s="27" t="n">
        <v>319</v>
      </c>
      <c r="LL67" s="27" t="n">
        <v>320</v>
      </c>
      <c r="LM67" s="27" t="n">
        <v>321</v>
      </c>
      <c r="LN67" s="27" t="n">
        <v>322</v>
      </c>
      <c r="LO67" s="27" t="n">
        <v>323</v>
      </c>
      <c r="LP67" s="27" t="n">
        <v>324</v>
      </c>
      <c r="LQ67" s="27" t="n">
        <v>325</v>
      </c>
      <c r="LR67" s="27" t="n">
        <v>326</v>
      </c>
      <c r="LS67" s="27" t="n">
        <v>327</v>
      </c>
      <c r="LT67" s="27" t="n">
        <v>328</v>
      </c>
      <c r="LU67" s="27" t="n">
        <v>329</v>
      </c>
      <c r="LV67" s="27" t="n">
        <v>330</v>
      </c>
      <c r="LW67" s="27" t="n">
        <v>331</v>
      </c>
      <c r="LX67" s="27" t="n">
        <v>332</v>
      </c>
      <c r="LY67" s="27" t="n">
        <v>333</v>
      </c>
      <c r="LZ67" s="27" t="n">
        <v>334</v>
      </c>
      <c r="MA67" s="27" t="n">
        <v>335</v>
      </c>
      <c r="MB67" s="27" t="n">
        <v>336</v>
      </c>
      <c r="MC67" s="27" t="n">
        <v>337</v>
      </c>
      <c r="MD67" s="27" t="n">
        <v>338</v>
      </c>
      <c r="ME67" s="27" t="n">
        <v>339</v>
      </c>
      <c r="MF67" s="27" t="n">
        <v>340</v>
      </c>
      <c r="MG67" s="27" t="n">
        <v>341</v>
      </c>
      <c r="MH67" s="27" t="n">
        <v>342</v>
      </c>
      <c r="MI67" s="27" t="n">
        <v>343</v>
      </c>
      <c r="MJ67" s="27" t="n">
        <v>344</v>
      </c>
      <c r="MK67" s="27" t="n">
        <v>345</v>
      </c>
      <c r="ML67" s="27" t="n">
        <v>346</v>
      </c>
      <c r="MM67" s="27" t="n">
        <v>347</v>
      </c>
      <c r="MN67" s="27" t="n">
        <v>348</v>
      </c>
      <c r="MO67" s="27" t="n">
        <v>349</v>
      </c>
      <c r="MP67" s="27" t="n">
        <v>350</v>
      </c>
      <c r="MQ67" s="27" t="n">
        <v>351</v>
      </c>
      <c r="MR67" s="27" t="n">
        <v>352</v>
      </c>
      <c r="MS67" s="27" t="n">
        <v>353</v>
      </c>
      <c r="MT67" s="27" t="n">
        <v>354</v>
      </c>
      <c r="MU67" s="27" t="n">
        <v>355</v>
      </c>
      <c r="MV67" s="27" t="n">
        <v>356</v>
      </c>
      <c r="MW67" s="27" t="n">
        <v>357</v>
      </c>
      <c r="MX67" s="27" t="n">
        <v>358</v>
      </c>
      <c r="MY67" s="27" t="n">
        <v>359</v>
      </c>
      <c r="MZ67" s="27" t="n">
        <v>360</v>
      </c>
      <c r="NA67" s="27" t="n">
        <v>361</v>
      </c>
      <c r="NB67" s="27" t="n">
        <v>362</v>
      </c>
      <c r="NC67" s="27" t="n">
        <v>363</v>
      </c>
      <c r="ND67" s="27" t="n">
        <v>364</v>
      </c>
      <c r="NE67" s="27" t="n">
        <v>365</v>
      </c>
      <c r="NF67" s="27" t="n">
        <v>366</v>
      </c>
      <c r="NG67" s="27" t="n">
        <v>367</v>
      </c>
      <c r="NH67" s="27" t="n">
        <v>368</v>
      </c>
      <c r="NI67" s="27" t="n">
        <v>369</v>
      </c>
      <c r="NJ67" s="27" t="n">
        <v>370</v>
      </c>
      <c r="NK67" s="27" t="n">
        <v>371</v>
      </c>
      <c r="NL67" s="27" t="n">
        <v>372</v>
      </c>
    </row>
    <row r="68">
      <c r="B68" s="84" t="inlineStr">
        <is>
          <t>Static NOI before Tax</t>
        </is>
      </c>
      <c r="D68" s="266">
        <f>SUM(E68:NL68)</f>
        <v/>
      </c>
      <c r="E68" s="218">
        <f>IF(1&gt;=DeliverStart,((BaseMarketRentMo+BaseLowRentMo)*(LeaseUp!E$10-LossToLeasePct-BadDebtPct-ConcessionsPct)+LeaseUp!E$9*(ParkingPerUnitMo+UtilReimbPerUnitMo+OtherIncPerUnitMo)+RetailRentMo*MIN(1,LeaseUp!E$10/StabilizedOccupancy))*(1-MgmtFeePct)-TotalUnits/12*(ExpInsurancePerUnit+ExpAdminPerUnit)-TotalUnits/12*E$11*(ExpUtilitiesPerUnit+ExpRMPerUnit+ExpTurnoverPerUnit+ExpContractPerUnit)-TotalUnits/12*E$12*(ExpPayrollPerUnit+ExpAdvertisingPerUnit),0)</f>
        <v/>
      </c>
      <c r="F68" s="218">
        <f>IF(2&gt;=DeliverStart,((BaseMarketRentMo+BaseLowRentMo)*(LeaseUp!F$10-LossToLeasePct-BadDebtPct-ConcessionsPct)+LeaseUp!F$9*(ParkingPerUnitMo+UtilReimbPerUnitMo+OtherIncPerUnitMo)+RetailRentMo*MIN(1,LeaseUp!F$10/StabilizedOccupancy))*(1-MgmtFeePct)-TotalUnits/12*(ExpInsurancePerUnit+ExpAdminPerUnit)-TotalUnits/12*F$11*(ExpUtilitiesPerUnit+ExpRMPerUnit+ExpTurnoverPerUnit+ExpContractPerUnit)-TotalUnits/12*F$12*(ExpPayrollPerUnit+ExpAdvertisingPerUnit),0)</f>
        <v/>
      </c>
      <c r="G68" s="218">
        <f>IF(3&gt;=DeliverStart,((BaseMarketRentMo+BaseLowRentMo)*(LeaseUp!G$10-LossToLeasePct-BadDebtPct-ConcessionsPct)+LeaseUp!G$9*(ParkingPerUnitMo+UtilReimbPerUnitMo+OtherIncPerUnitMo)+RetailRentMo*MIN(1,LeaseUp!G$10/StabilizedOccupancy))*(1-MgmtFeePct)-TotalUnits/12*(ExpInsurancePerUnit+ExpAdminPerUnit)-TotalUnits/12*G$11*(ExpUtilitiesPerUnit+ExpRMPerUnit+ExpTurnoverPerUnit+ExpContractPerUnit)-TotalUnits/12*G$12*(ExpPayrollPerUnit+ExpAdvertisingPerUnit),0)</f>
        <v/>
      </c>
      <c r="H68" s="218">
        <f>IF(4&gt;=DeliverStart,((BaseMarketRentMo+BaseLowRentMo)*(LeaseUp!H$10-LossToLeasePct-BadDebtPct-ConcessionsPct)+LeaseUp!H$9*(ParkingPerUnitMo+UtilReimbPerUnitMo+OtherIncPerUnitMo)+RetailRentMo*MIN(1,LeaseUp!H$10/StabilizedOccupancy))*(1-MgmtFeePct)-TotalUnits/12*(ExpInsurancePerUnit+ExpAdminPerUnit)-TotalUnits/12*H$11*(ExpUtilitiesPerUnit+ExpRMPerUnit+ExpTurnoverPerUnit+ExpContractPerUnit)-TotalUnits/12*H$12*(ExpPayrollPerUnit+ExpAdvertisingPerUnit),0)</f>
        <v/>
      </c>
      <c r="I68" s="218">
        <f>IF(5&gt;=DeliverStart,((BaseMarketRentMo+BaseLowRentMo)*(LeaseUp!I$10-LossToLeasePct-BadDebtPct-ConcessionsPct)+LeaseUp!I$9*(ParkingPerUnitMo+UtilReimbPerUnitMo+OtherIncPerUnitMo)+RetailRentMo*MIN(1,LeaseUp!I$10/StabilizedOccupancy))*(1-MgmtFeePct)-TotalUnits/12*(ExpInsurancePerUnit+ExpAdminPerUnit)-TotalUnits/12*I$11*(ExpUtilitiesPerUnit+ExpRMPerUnit+ExpTurnoverPerUnit+ExpContractPerUnit)-TotalUnits/12*I$12*(ExpPayrollPerUnit+ExpAdvertisingPerUnit),0)</f>
        <v/>
      </c>
      <c r="J68" s="218">
        <f>IF(6&gt;=DeliverStart,((BaseMarketRentMo+BaseLowRentMo)*(LeaseUp!J$10-LossToLeasePct-BadDebtPct-ConcessionsPct)+LeaseUp!J$9*(ParkingPerUnitMo+UtilReimbPerUnitMo+OtherIncPerUnitMo)+RetailRentMo*MIN(1,LeaseUp!J$10/StabilizedOccupancy))*(1-MgmtFeePct)-TotalUnits/12*(ExpInsurancePerUnit+ExpAdminPerUnit)-TotalUnits/12*J$11*(ExpUtilitiesPerUnit+ExpRMPerUnit+ExpTurnoverPerUnit+ExpContractPerUnit)-TotalUnits/12*J$12*(ExpPayrollPerUnit+ExpAdvertisingPerUnit),0)</f>
        <v/>
      </c>
      <c r="K68" s="218">
        <f>IF(7&gt;=DeliverStart,((BaseMarketRentMo+BaseLowRentMo)*(LeaseUp!K$10-LossToLeasePct-BadDebtPct-ConcessionsPct)+LeaseUp!K$9*(ParkingPerUnitMo+UtilReimbPerUnitMo+OtherIncPerUnitMo)+RetailRentMo*MIN(1,LeaseUp!K$10/StabilizedOccupancy))*(1-MgmtFeePct)-TotalUnits/12*(ExpInsurancePerUnit+ExpAdminPerUnit)-TotalUnits/12*K$11*(ExpUtilitiesPerUnit+ExpRMPerUnit+ExpTurnoverPerUnit+ExpContractPerUnit)-TotalUnits/12*K$12*(ExpPayrollPerUnit+ExpAdvertisingPerUnit),0)</f>
        <v/>
      </c>
      <c r="L68" s="218">
        <f>IF(8&gt;=DeliverStart,((BaseMarketRentMo+BaseLowRentMo)*(LeaseUp!L$10-LossToLeasePct-BadDebtPct-ConcessionsPct)+LeaseUp!L$9*(ParkingPerUnitMo+UtilReimbPerUnitMo+OtherIncPerUnitMo)+RetailRentMo*MIN(1,LeaseUp!L$10/StabilizedOccupancy))*(1-MgmtFeePct)-TotalUnits/12*(ExpInsurancePerUnit+ExpAdminPerUnit)-TotalUnits/12*L$11*(ExpUtilitiesPerUnit+ExpRMPerUnit+ExpTurnoverPerUnit+ExpContractPerUnit)-TotalUnits/12*L$12*(ExpPayrollPerUnit+ExpAdvertisingPerUnit),0)</f>
        <v/>
      </c>
      <c r="M68" s="218">
        <f>IF(9&gt;=DeliverStart,((BaseMarketRentMo+BaseLowRentMo)*(LeaseUp!M$10-LossToLeasePct-BadDebtPct-ConcessionsPct)+LeaseUp!M$9*(ParkingPerUnitMo+UtilReimbPerUnitMo+OtherIncPerUnitMo)+RetailRentMo*MIN(1,LeaseUp!M$10/StabilizedOccupancy))*(1-MgmtFeePct)-TotalUnits/12*(ExpInsurancePerUnit+ExpAdminPerUnit)-TotalUnits/12*M$11*(ExpUtilitiesPerUnit+ExpRMPerUnit+ExpTurnoverPerUnit+ExpContractPerUnit)-TotalUnits/12*M$12*(ExpPayrollPerUnit+ExpAdvertisingPerUnit),0)</f>
        <v/>
      </c>
      <c r="N68" s="218">
        <f>IF(10&gt;=DeliverStart,((BaseMarketRentMo+BaseLowRentMo)*(LeaseUp!N$10-LossToLeasePct-BadDebtPct-ConcessionsPct)+LeaseUp!N$9*(ParkingPerUnitMo+UtilReimbPerUnitMo+OtherIncPerUnitMo)+RetailRentMo*MIN(1,LeaseUp!N$10/StabilizedOccupancy))*(1-MgmtFeePct)-TotalUnits/12*(ExpInsurancePerUnit+ExpAdminPerUnit)-TotalUnits/12*N$11*(ExpUtilitiesPerUnit+ExpRMPerUnit+ExpTurnoverPerUnit+ExpContractPerUnit)-TotalUnits/12*N$12*(ExpPayrollPerUnit+ExpAdvertisingPerUnit),0)</f>
        <v/>
      </c>
      <c r="O68" s="218">
        <f>IF(11&gt;=DeliverStart,((BaseMarketRentMo+BaseLowRentMo)*(LeaseUp!O$10-LossToLeasePct-BadDebtPct-ConcessionsPct)+LeaseUp!O$9*(ParkingPerUnitMo+UtilReimbPerUnitMo+OtherIncPerUnitMo)+RetailRentMo*MIN(1,LeaseUp!O$10/StabilizedOccupancy))*(1-MgmtFeePct)-TotalUnits/12*(ExpInsurancePerUnit+ExpAdminPerUnit)-TotalUnits/12*O$11*(ExpUtilitiesPerUnit+ExpRMPerUnit+ExpTurnoverPerUnit+ExpContractPerUnit)-TotalUnits/12*O$12*(ExpPayrollPerUnit+ExpAdvertisingPerUnit),0)</f>
        <v/>
      </c>
      <c r="P68" s="218">
        <f>IF(12&gt;=DeliverStart,((BaseMarketRentMo+BaseLowRentMo)*(LeaseUp!P$10-LossToLeasePct-BadDebtPct-ConcessionsPct)+LeaseUp!P$9*(ParkingPerUnitMo+UtilReimbPerUnitMo+OtherIncPerUnitMo)+RetailRentMo*MIN(1,LeaseUp!P$10/StabilizedOccupancy))*(1-MgmtFeePct)-TotalUnits/12*(ExpInsurancePerUnit+ExpAdminPerUnit)-TotalUnits/12*P$11*(ExpUtilitiesPerUnit+ExpRMPerUnit+ExpTurnoverPerUnit+ExpContractPerUnit)-TotalUnits/12*P$12*(ExpPayrollPerUnit+ExpAdvertisingPerUnit),0)</f>
        <v/>
      </c>
      <c r="Q68" s="218">
        <f>IF(13&gt;=DeliverStart,((BaseMarketRentMo+BaseLowRentMo)*(LeaseUp!Q$10-LossToLeasePct-BadDebtPct-ConcessionsPct)+LeaseUp!Q$9*(ParkingPerUnitMo+UtilReimbPerUnitMo+OtherIncPerUnitMo)+RetailRentMo*MIN(1,LeaseUp!Q$10/StabilizedOccupancy))*(1-MgmtFeePct)-TotalUnits/12*(ExpInsurancePerUnit+ExpAdminPerUnit)-TotalUnits/12*Q$11*(ExpUtilitiesPerUnit+ExpRMPerUnit+ExpTurnoverPerUnit+ExpContractPerUnit)-TotalUnits/12*Q$12*(ExpPayrollPerUnit+ExpAdvertisingPerUnit),0)</f>
        <v/>
      </c>
      <c r="R68" s="218">
        <f>IF(14&gt;=DeliverStart,((BaseMarketRentMo+BaseLowRentMo)*(LeaseUp!R$10-LossToLeasePct-BadDebtPct-ConcessionsPct)+LeaseUp!R$9*(ParkingPerUnitMo+UtilReimbPerUnitMo+OtherIncPerUnitMo)+RetailRentMo*MIN(1,LeaseUp!R$10/StabilizedOccupancy))*(1-MgmtFeePct)-TotalUnits/12*(ExpInsurancePerUnit+ExpAdminPerUnit)-TotalUnits/12*R$11*(ExpUtilitiesPerUnit+ExpRMPerUnit+ExpTurnoverPerUnit+ExpContractPerUnit)-TotalUnits/12*R$12*(ExpPayrollPerUnit+ExpAdvertisingPerUnit),0)</f>
        <v/>
      </c>
      <c r="S68" s="218">
        <f>IF(15&gt;=DeliverStart,((BaseMarketRentMo+BaseLowRentMo)*(LeaseUp!S$10-LossToLeasePct-BadDebtPct-ConcessionsPct)+LeaseUp!S$9*(ParkingPerUnitMo+UtilReimbPerUnitMo+OtherIncPerUnitMo)+RetailRentMo*MIN(1,LeaseUp!S$10/StabilizedOccupancy))*(1-MgmtFeePct)-TotalUnits/12*(ExpInsurancePerUnit+ExpAdminPerUnit)-TotalUnits/12*S$11*(ExpUtilitiesPerUnit+ExpRMPerUnit+ExpTurnoverPerUnit+ExpContractPerUnit)-TotalUnits/12*S$12*(ExpPayrollPerUnit+ExpAdvertisingPerUnit),0)</f>
        <v/>
      </c>
      <c r="T68" s="218">
        <f>IF(16&gt;=DeliverStart,((BaseMarketRentMo+BaseLowRentMo)*(LeaseUp!T$10-LossToLeasePct-BadDebtPct-ConcessionsPct)+LeaseUp!T$9*(ParkingPerUnitMo+UtilReimbPerUnitMo+OtherIncPerUnitMo)+RetailRentMo*MIN(1,LeaseUp!T$10/StabilizedOccupancy))*(1-MgmtFeePct)-TotalUnits/12*(ExpInsurancePerUnit+ExpAdminPerUnit)-TotalUnits/12*T$11*(ExpUtilitiesPerUnit+ExpRMPerUnit+ExpTurnoverPerUnit+ExpContractPerUnit)-TotalUnits/12*T$12*(ExpPayrollPerUnit+ExpAdvertisingPerUnit),0)</f>
        <v/>
      </c>
      <c r="U68" s="218">
        <f>IF(17&gt;=DeliverStart,((BaseMarketRentMo+BaseLowRentMo)*(LeaseUp!U$10-LossToLeasePct-BadDebtPct-ConcessionsPct)+LeaseUp!U$9*(ParkingPerUnitMo+UtilReimbPerUnitMo+OtherIncPerUnitMo)+RetailRentMo*MIN(1,LeaseUp!U$10/StabilizedOccupancy))*(1-MgmtFeePct)-TotalUnits/12*(ExpInsurancePerUnit+ExpAdminPerUnit)-TotalUnits/12*U$11*(ExpUtilitiesPerUnit+ExpRMPerUnit+ExpTurnoverPerUnit+ExpContractPerUnit)-TotalUnits/12*U$12*(ExpPayrollPerUnit+ExpAdvertisingPerUnit),0)</f>
        <v/>
      </c>
      <c r="V68" s="218">
        <f>IF(18&gt;=DeliverStart,((BaseMarketRentMo+BaseLowRentMo)*(LeaseUp!V$10-LossToLeasePct-BadDebtPct-ConcessionsPct)+LeaseUp!V$9*(ParkingPerUnitMo+UtilReimbPerUnitMo+OtherIncPerUnitMo)+RetailRentMo*MIN(1,LeaseUp!V$10/StabilizedOccupancy))*(1-MgmtFeePct)-TotalUnits/12*(ExpInsurancePerUnit+ExpAdminPerUnit)-TotalUnits/12*V$11*(ExpUtilitiesPerUnit+ExpRMPerUnit+ExpTurnoverPerUnit+ExpContractPerUnit)-TotalUnits/12*V$12*(ExpPayrollPerUnit+ExpAdvertisingPerUnit),0)</f>
        <v/>
      </c>
      <c r="W68" s="218">
        <f>IF(19&gt;=DeliverStart,((BaseMarketRentMo+BaseLowRentMo)*(LeaseUp!W$10-LossToLeasePct-BadDebtPct-ConcessionsPct)+LeaseUp!W$9*(ParkingPerUnitMo+UtilReimbPerUnitMo+OtherIncPerUnitMo)+RetailRentMo*MIN(1,LeaseUp!W$10/StabilizedOccupancy))*(1-MgmtFeePct)-TotalUnits/12*(ExpInsurancePerUnit+ExpAdminPerUnit)-TotalUnits/12*W$11*(ExpUtilitiesPerUnit+ExpRMPerUnit+ExpTurnoverPerUnit+ExpContractPerUnit)-TotalUnits/12*W$12*(ExpPayrollPerUnit+ExpAdvertisingPerUnit),0)</f>
        <v/>
      </c>
      <c r="X68" s="218">
        <f>IF(20&gt;=DeliverStart,((BaseMarketRentMo+BaseLowRentMo)*(LeaseUp!X$10-LossToLeasePct-BadDebtPct-ConcessionsPct)+LeaseUp!X$9*(ParkingPerUnitMo+UtilReimbPerUnitMo+OtherIncPerUnitMo)+RetailRentMo*MIN(1,LeaseUp!X$10/StabilizedOccupancy))*(1-MgmtFeePct)-TotalUnits/12*(ExpInsurancePerUnit+ExpAdminPerUnit)-TotalUnits/12*X$11*(ExpUtilitiesPerUnit+ExpRMPerUnit+ExpTurnoverPerUnit+ExpContractPerUnit)-TotalUnits/12*X$12*(ExpPayrollPerUnit+ExpAdvertisingPerUnit),0)</f>
        <v/>
      </c>
      <c r="Y68" s="218">
        <f>IF(21&gt;=DeliverStart,((BaseMarketRentMo+BaseLowRentMo)*(LeaseUp!Y$10-LossToLeasePct-BadDebtPct-ConcessionsPct)+LeaseUp!Y$9*(ParkingPerUnitMo+UtilReimbPerUnitMo+OtherIncPerUnitMo)+RetailRentMo*MIN(1,LeaseUp!Y$10/StabilizedOccupancy))*(1-MgmtFeePct)-TotalUnits/12*(ExpInsurancePerUnit+ExpAdminPerUnit)-TotalUnits/12*Y$11*(ExpUtilitiesPerUnit+ExpRMPerUnit+ExpTurnoverPerUnit+ExpContractPerUnit)-TotalUnits/12*Y$12*(ExpPayrollPerUnit+ExpAdvertisingPerUnit),0)</f>
        <v/>
      </c>
      <c r="Z68" s="218">
        <f>IF(22&gt;=DeliverStart,((BaseMarketRentMo+BaseLowRentMo)*(LeaseUp!Z$10-LossToLeasePct-BadDebtPct-ConcessionsPct)+LeaseUp!Z$9*(ParkingPerUnitMo+UtilReimbPerUnitMo+OtherIncPerUnitMo)+RetailRentMo*MIN(1,LeaseUp!Z$10/StabilizedOccupancy))*(1-MgmtFeePct)-TotalUnits/12*(ExpInsurancePerUnit+ExpAdminPerUnit)-TotalUnits/12*Z$11*(ExpUtilitiesPerUnit+ExpRMPerUnit+ExpTurnoverPerUnit+ExpContractPerUnit)-TotalUnits/12*Z$12*(ExpPayrollPerUnit+ExpAdvertisingPerUnit),0)</f>
        <v/>
      </c>
      <c r="AA68" s="218">
        <f>IF(23&gt;=DeliverStart,((BaseMarketRentMo+BaseLowRentMo)*(LeaseUp!AA$10-LossToLeasePct-BadDebtPct-ConcessionsPct)+LeaseUp!AA$9*(ParkingPerUnitMo+UtilReimbPerUnitMo+OtherIncPerUnitMo)+RetailRentMo*MIN(1,LeaseUp!AA$10/StabilizedOccupancy))*(1-MgmtFeePct)-TotalUnits/12*(ExpInsurancePerUnit+ExpAdminPerUnit)-TotalUnits/12*AA$11*(ExpUtilitiesPerUnit+ExpRMPerUnit+ExpTurnoverPerUnit+ExpContractPerUnit)-TotalUnits/12*AA$12*(ExpPayrollPerUnit+ExpAdvertisingPerUnit),0)</f>
        <v/>
      </c>
      <c r="AB68" s="218">
        <f>IF(24&gt;=DeliverStart,((BaseMarketRentMo+BaseLowRentMo)*(LeaseUp!AB$10-LossToLeasePct-BadDebtPct-ConcessionsPct)+LeaseUp!AB$9*(ParkingPerUnitMo+UtilReimbPerUnitMo+OtherIncPerUnitMo)+RetailRentMo*MIN(1,LeaseUp!AB$10/StabilizedOccupancy))*(1-MgmtFeePct)-TotalUnits/12*(ExpInsurancePerUnit+ExpAdminPerUnit)-TotalUnits/12*AB$11*(ExpUtilitiesPerUnit+ExpRMPerUnit+ExpTurnoverPerUnit+ExpContractPerUnit)-TotalUnits/12*AB$12*(ExpPayrollPerUnit+ExpAdvertisingPerUnit),0)</f>
        <v/>
      </c>
      <c r="AC68" s="218">
        <f>IF(25&gt;=DeliverStart,((BaseMarketRentMo+BaseLowRentMo)*(LeaseUp!AC$10-LossToLeasePct-BadDebtPct-ConcessionsPct)+LeaseUp!AC$9*(ParkingPerUnitMo+UtilReimbPerUnitMo+OtherIncPerUnitMo)+RetailRentMo*MIN(1,LeaseUp!AC$10/StabilizedOccupancy))*(1-MgmtFeePct)-TotalUnits/12*(ExpInsurancePerUnit+ExpAdminPerUnit)-TotalUnits/12*AC$11*(ExpUtilitiesPerUnit+ExpRMPerUnit+ExpTurnoverPerUnit+ExpContractPerUnit)-TotalUnits/12*AC$12*(ExpPayrollPerUnit+ExpAdvertisingPerUnit),0)</f>
        <v/>
      </c>
      <c r="AD68" s="218">
        <f>IF(26&gt;=DeliverStart,((BaseMarketRentMo+BaseLowRentMo)*(LeaseUp!AD$10-LossToLeasePct-BadDebtPct-ConcessionsPct)+LeaseUp!AD$9*(ParkingPerUnitMo+UtilReimbPerUnitMo+OtherIncPerUnitMo)+RetailRentMo*MIN(1,LeaseUp!AD$10/StabilizedOccupancy))*(1-MgmtFeePct)-TotalUnits/12*(ExpInsurancePerUnit+ExpAdminPerUnit)-TotalUnits/12*AD$11*(ExpUtilitiesPerUnit+ExpRMPerUnit+ExpTurnoverPerUnit+ExpContractPerUnit)-TotalUnits/12*AD$12*(ExpPayrollPerUnit+ExpAdvertisingPerUnit),0)</f>
        <v/>
      </c>
      <c r="AE68" s="218">
        <f>IF(27&gt;=DeliverStart,((BaseMarketRentMo+BaseLowRentMo)*(LeaseUp!AE$10-LossToLeasePct-BadDebtPct-ConcessionsPct)+LeaseUp!AE$9*(ParkingPerUnitMo+UtilReimbPerUnitMo+OtherIncPerUnitMo)+RetailRentMo*MIN(1,LeaseUp!AE$10/StabilizedOccupancy))*(1-MgmtFeePct)-TotalUnits/12*(ExpInsurancePerUnit+ExpAdminPerUnit)-TotalUnits/12*AE$11*(ExpUtilitiesPerUnit+ExpRMPerUnit+ExpTurnoverPerUnit+ExpContractPerUnit)-TotalUnits/12*AE$12*(ExpPayrollPerUnit+ExpAdvertisingPerUnit),0)</f>
        <v/>
      </c>
      <c r="AF68" s="218">
        <f>IF(28&gt;=DeliverStart,((BaseMarketRentMo+BaseLowRentMo)*(LeaseUp!AF$10-LossToLeasePct-BadDebtPct-ConcessionsPct)+LeaseUp!AF$9*(ParkingPerUnitMo+UtilReimbPerUnitMo+OtherIncPerUnitMo)+RetailRentMo*MIN(1,LeaseUp!AF$10/StabilizedOccupancy))*(1-MgmtFeePct)-TotalUnits/12*(ExpInsurancePerUnit+ExpAdminPerUnit)-TotalUnits/12*AF$11*(ExpUtilitiesPerUnit+ExpRMPerUnit+ExpTurnoverPerUnit+ExpContractPerUnit)-TotalUnits/12*AF$12*(ExpPayrollPerUnit+ExpAdvertisingPerUnit),0)</f>
        <v/>
      </c>
      <c r="AG68" s="218">
        <f>IF(29&gt;=DeliverStart,((BaseMarketRentMo+BaseLowRentMo)*(LeaseUp!AG$10-LossToLeasePct-BadDebtPct-ConcessionsPct)+LeaseUp!AG$9*(ParkingPerUnitMo+UtilReimbPerUnitMo+OtherIncPerUnitMo)+RetailRentMo*MIN(1,LeaseUp!AG$10/StabilizedOccupancy))*(1-MgmtFeePct)-TotalUnits/12*(ExpInsurancePerUnit+ExpAdminPerUnit)-TotalUnits/12*AG$11*(ExpUtilitiesPerUnit+ExpRMPerUnit+ExpTurnoverPerUnit+ExpContractPerUnit)-TotalUnits/12*AG$12*(ExpPayrollPerUnit+ExpAdvertisingPerUnit),0)</f>
        <v/>
      </c>
      <c r="AH68" s="218">
        <f>IF(30&gt;=DeliverStart,((BaseMarketRentMo+BaseLowRentMo)*(LeaseUp!AH$10-LossToLeasePct-BadDebtPct-ConcessionsPct)+LeaseUp!AH$9*(ParkingPerUnitMo+UtilReimbPerUnitMo+OtherIncPerUnitMo)+RetailRentMo*MIN(1,LeaseUp!AH$10/StabilizedOccupancy))*(1-MgmtFeePct)-TotalUnits/12*(ExpInsurancePerUnit+ExpAdminPerUnit)-TotalUnits/12*AH$11*(ExpUtilitiesPerUnit+ExpRMPerUnit+ExpTurnoverPerUnit+ExpContractPerUnit)-TotalUnits/12*AH$12*(ExpPayrollPerUnit+ExpAdvertisingPerUnit),0)</f>
        <v/>
      </c>
      <c r="AI68" s="218">
        <f>IF(31&gt;=DeliverStart,((BaseMarketRentMo+BaseLowRentMo)*(LeaseUp!AI$10-LossToLeasePct-BadDebtPct-ConcessionsPct)+LeaseUp!AI$9*(ParkingPerUnitMo+UtilReimbPerUnitMo+OtherIncPerUnitMo)+RetailRentMo*MIN(1,LeaseUp!AI$10/StabilizedOccupancy))*(1-MgmtFeePct)-TotalUnits/12*(ExpInsurancePerUnit+ExpAdminPerUnit)-TotalUnits/12*AI$11*(ExpUtilitiesPerUnit+ExpRMPerUnit+ExpTurnoverPerUnit+ExpContractPerUnit)-TotalUnits/12*AI$12*(ExpPayrollPerUnit+ExpAdvertisingPerUnit),0)</f>
        <v/>
      </c>
      <c r="AJ68" s="218">
        <f>IF(32&gt;=DeliverStart,((BaseMarketRentMo+BaseLowRentMo)*(LeaseUp!AJ$10-LossToLeasePct-BadDebtPct-ConcessionsPct)+LeaseUp!AJ$9*(ParkingPerUnitMo+UtilReimbPerUnitMo+OtherIncPerUnitMo)+RetailRentMo*MIN(1,LeaseUp!AJ$10/StabilizedOccupancy))*(1-MgmtFeePct)-TotalUnits/12*(ExpInsurancePerUnit+ExpAdminPerUnit)-TotalUnits/12*AJ$11*(ExpUtilitiesPerUnit+ExpRMPerUnit+ExpTurnoverPerUnit+ExpContractPerUnit)-TotalUnits/12*AJ$12*(ExpPayrollPerUnit+ExpAdvertisingPerUnit),0)</f>
        <v/>
      </c>
      <c r="AK68" s="218">
        <f>IF(33&gt;=DeliverStart,((BaseMarketRentMo+BaseLowRentMo)*(LeaseUp!AK$10-LossToLeasePct-BadDebtPct-ConcessionsPct)+LeaseUp!AK$9*(ParkingPerUnitMo+UtilReimbPerUnitMo+OtherIncPerUnitMo)+RetailRentMo*MIN(1,LeaseUp!AK$10/StabilizedOccupancy))*(1-MgmtFeePct)-TotalUnits/12*(ExpInsurancePerUnit+ExpAdminPerUnit)-TotalUnits/12*AK$11*(ExpUtilitiesPerUnit+ExpRMPerUnit+ExpTurnoverPerUnit+ExpContractPerUnit)-TotalUnits/12*AK$12*(ExpPayrollPerUnit+ExpAdvertisingPerUnit),0)</f>
        <v/>
      </c>
      <c r="AL68" s="218">
        <f>IF(34&gt;=DeliverStart,((BaseMarketRentMo+BaseLowRentMo)*(LeaseUp!AL$10-LossToLeasePct-BadDebtPct-ConcessionsPct)+LeaseUp!AL$9*(ParkingPerUnitMo+UtilReimbPerUnitMo+OtherIncPerUnitMo)+RetailRentMo*MIN(1,LeaseUp!AL$10/StabilizedOccupancy))*(1-MgmtFeePct)-TotalUnits/12*(ExpInsurancePerUnit+ExpAdminPerUnit)-TotalUnits/12*AL$11*(ExpUtilitiesPerUnit+ExpRMPerUnit+ExpTurnoverPerUnit+ExpContractPerUnit)-TotalUnits/12*AL$12*(ExpPayrollPerUnit+ExpAdvertisingPerUnit),0)</f>
        <v/>
      </c>
      <c r="AM68" s="218">
        <f>IF(35&gt;=DeliverStart,((BaseMarketRentMo+BaseLowRentMo)*(LeaseUp!AM$10-LossToLeasePct-BadDebtPct-ConcessionsPct)+LeaseUp!AM$9*(ParkingPerUnitMo+UtilReimbPerUnitMo+OtherIncPerUnitMo)+RetailRentMo*MIN(1,LeaseUp!AM$10/StabilizedOccupancy))*(1-MgmtFeePct)-TotalUnits/12*(ExpInsurancePerUnit+ExpAdminPerUnit)-TotalUnits/12*AM$11*(ExpUtilitiesPerUnit+ExpRMPerUnit+ExpTurnoverPerUnit+ExpContractPerUnit)-TotalUnits/12*AM$12*(ExpPayrollPerUnit+ExpAdvertisingPerUnit),0)</f>
        <v/>
      </c>
      <c r="AN68" s="218">
        <f>IF(36&gt;=DeliverStart,((BaseMarketRentMo+BaseLowRentMo)*(LeaseUp!AN$10-LossToLeasePct-BadDebtPct-ConcessionsPct)+LeaseUp!AN$9*(ParkingPerUnitMo+UtilReimbPerUnitMo+OtherIncPerUnitMo)+RetailRentMo*MIN(1,LeaseUp!AN$10/StabilizedOccupancy))*(1-MgmtFeePct)-TotalUnits/12*(ExpInsurancePerUnit+ExpAdminPerUnit)-TotalUnits/12*AN$11*(ExpUtilitiesPerUnit+ExpRMPerUnit+ExpTurnoverPerUnit+ExpContractPerUnit)-TotalUnits/12*AN$12*(ExpPayrollPerUnit+ExpAdvertisingPerUnit),0)</f>
        <v/>
      </c>
      <c r="AO68" s="218">
        <f>IF(37&gt;=DeliverStart,((BaseMarketRentMo+BaseLowRentMo)*(LeaseUp!AO$10-LossToLeasePct-BadDebtPct-ConcessionsPct)+LeaseUp!AO$9*(ParkingPerUnitMo+UtilReimbPerUnitMo+OtherIncPerUnitMo)+RetailRentMo*MIN(1,LeaseUp!AO$10/StabilizedOccupancy))*(1-MgmtFeePct)-TotalUnits/12*(ExpInsurancePerUnit+ExpAdminPerUnit)-TotalUnits/12*AO$11*(ExpUtilitiesPerUnit+ExpRMPerUnit+ExpTurnoverPerUnit+ExpContractPerUnit)-TotalUnits/12*AO$12*(ExpPayrollPerUnit+ExpAdvertisingPerUnit),0)</f>
        <v/>
      </c>
      <c r="AP68" s="218">
        <f>IF(38&gt;=DeliverStart,((BaseMarketRentMo+BaseLowRentMo)*(LeaseUp!AP$10-LossToLeasePct-BadDebtPct-ConcessionsPct)+LeaseUp!AP$9*(ParkingPerUnitMo+UtilReimbPerUnitMo+OtherIncPerUnitMo)+RetailRentMo*MIN(1,LeaseUp!AP$10/StabilizedOccupancy))*(1-MgmtFeePct)-TotalUnits/12*(ExpInsurancePerUnit+ExpAdminPerUnit)-TotalUnits/12*AP$11*(ExpUtilitiesPerUnit+ExpRMPerUnit+ExpTurnoverPerUnit+ExpContractPerUnit)-TotalUnits/12*AP$12*(ExpPayrollPerUnit+ExpAdvertisingPerUnit),0)</f>
        <v/>
      </c>
      <c r="AQ68" s="218">
        <f>IF(39&gt;=DeliverStart,((BaseMarketRentMo+BaseLowRentMo)*(LeaseUp!AQ$10-LossToLeasePct-BadDebtPct-ConcessionsPct)+LeaseUp!AQ$9*(ParkingPerUnitMo+UtilReimbPerUnitMo+OtherIncPerUnitMo)+RetailRentMo*MIN(1,LeaseUp!AQ$10/StabilizedOccupancy))*(1-MgmtFeePct)-TotalUnits/12*(ExpInsurancePerUnit+ExpAdminPerUnit)-TotalUnits/12*AQ$11*(ExpUtilitiesPerUnit+ExpRMPerUnit+ExpTurnoverPerUnit+ExpContractPerUnit)-TotalUnits/12*AQ$12*(ExpPayrollPerUnit+ExpAdvertisingPerUnit),0)</f>
        <v/>
      </c>
      <c r="AR68" s="218">
        <f>IF(40&gt;=DeliverStart,((BaseMarketRentMo+BaseLowRentMo)*(LeaseUp!AR$10-LossToLeasePct-BadDebtPct-ConcessionsPct)+LeaseUp!AR$9*(ParkingPerUnitMo+UtilReimbPerUnitMo+OtherIncPerUnitMo)+RetailRentMo*MIN(1,LeaseUp!AR$10/StabilizedOccupancy))*(1-MgmtFeePct)-TotalUnits/12*(ExpInsurancePerUnit+ExpAdminPerUnit)-TotalUnits/12*AR$11*(ExpUtilitiesPerUnit+ExpRMPerUnit+ExpTurnoverPerUnit+ExpContractPerUnit)-TotalUnits/12*AR$12*(ExpPayrollPerUnit+ExpAdvertisingPerUnit),0)</f>
        <v/>
      </c>
      <c r="AS68" s="218">
        <f>IF(41&gt;=DeliverStart,((BaseMarketRentMo+BaseLowRentMo)*(LeaseUp!AS$10-LossToLeasePct-BadDebtPct-ConcessionsPct)+LeaseUp!AS$9*(ParkingPerUnitMo+UtilReimbPerUnitMo+OtherIncPerUnitMo)+RetailRentMo*MIN(1,LeaseUp!AS$10/StabilizedOccupancy))*(1-MgmtFeePct)-TotalUnits/12*(ExpInsurancePerUnit+ExpAdminPerUnit)-TotalUnits/12*AS$11*(ExpUtilitiesPerUnit+ExpRMPerUnit+ExpTurnoverPerUnit+ExpContractPerUnit)-TotalUnits/12*AS$12*(ExpPayrollPerUnit+ExpAdvertisingPerUnit),0)</f>
        <v/>
      </c>
      <c r="AT68" s="218">
        <f>IF(42&gt;=DeliverStart,((BaseMarketRentMo+BaseLowRentMo)*(LeaseUp!AT$10-LossToLeasePct-BadDebtPct-ConcessionsPct)+LeaseUp!AT$9*(ParkingPerUnitMo+UtilReimbPerUnitMo+OtherIncPerUnitMo)+RetailRentMo*MIN(1,LeaseUp!AT$10/StabilizedOccupancy))*(1-MgmtFeePct)-TotalUnits/12*(ExpInsurancePerUnit+ExpAdminPerUnit)-TotalUnits/12*AT$11*(ExpUtilitiesPerUnit+ExpRMPerUnit+ExpTurnoverPerUnit+ExpContractPerUnit)-TotalUnits/12*AT$12*(ExpPayrollPerUnit+ExpAdvertisingPerUnit),0)</f>
        <v/>
      </c>
      <c r="AU68" s="218">
        <f>IF(43&gt;=DeliverStart,((BaseMarketRentMo+BaseLowRentMo)*(LeaseUp!AU$10-LossToLeasePct-BadDebtPct-ConcessionsPct)+LeaseUp!AU$9*(ParkingPerUnitMo+UtilReimbPerUnitMo+OtherIncPerUnitMo)+RetailRentMo*MIN(1,LeaseUp!AU$10/StabilizedOccupancy))*(1-MgmtFeePct)-TotalUnits/12*(ExpInsurancePerUnit+ExpAdminPerUnit)-TotalUnits/12*AU$11*(ExpUtilitiesPerUnit+ExpRMPerUnit+ExpTurnoverPerUnit+ExpContractPerUnit)-TotalUnits/12*AU$12*(ExpPayrollPerUnit+ExpAdvertisingPerUnit),0)</f>
        <v/>
      </c>
      <c r="AV68" s="218">
        <f>IF(44&gt;=DeliverStart,((BaseMarketRentMo+BaseLowRentMo)*(LeaseUp!AV$10-LossToLeasePct-BadDebtPct-ConcessionsPct)+LeaseUp!AV$9*(ParkingPerUnitMo+UtilReimbPerUnitMo+OtherIncPerUnitMo)+RetailRentMo*MIN(1,LeaseUp!AV$10/StabilizedOccupancy))*(1-MgmtFeePct)-TotalUnits/12*(ExpInsurancePerUnit+ExpAdminPerUnit)-TotalUnits/12*AV$11*(ExpUtilitiesPerUnit+ExpRMPerUnit+ExpTurnoverPerUnit+ExpContractPerUnit)-TotalUnits/12*AV$12*(ExpPayrollPerUnit+ExpAdvertisingPerUnit),0)</f>
        <v/>
      </c>
      <c r="AW68" s="218">
        <f>IF(45&gt;=DeliverStart,((BaseMarketRentMo+BaseLowRentMo)*(LeaseUp!AW$10-LossToLeasePct-BadDebtPct-ConcessionsPct)+LeaseUp!AW$9*(ParkingPerUnitMo+UtilReimbPerUnitMo+OtherIncPerUnitMo)+RetailRentMo*MIN(1,LeaseUp!AW$10/StabilizedOccupancy))*(1-MgmtFeePct)-TotalUnits/12*(ExpInsurancePerUnit+ExpAdminPerUnit)-TotalUnits/12*AW$11*(ExpUtilitiesPerUnit+ExpRMPerUnit+ExpTurnoverPerUnit+ExpContractPerUnit)-TotalUnits/12*AW$12*(ExpPayrollPerUnit+ExpAdvertisingPerUnit),0)</f>
        <v/>
      </c>
      <c r="AX68" s="218">
        <f>IF(46&gt;=DeliverStart,((BaseMarketRentMo+BaseLowRentMo)*(LeaseUp!AX$10-LossToLeasePct-BadDebtPct-ConcessionsPct)+LeaseUp!AX$9*(ParkingPerUnitMo+UtilReimbPerUnitMo+OtherIncPerUnitMo)+RetailRentMo*MIN(1,LeaseUp!AX$10/StabilizedOccupancy))*(1-MgmtFeePct)-TotalUnits/12*(ExpInsurancePerUnit+ExpAdminPerUnit)-TotalUnits/12*AX$11*(ExpUtilitiesPerUnit+ExpRMPerUnit+ExpTurnoverPerUnit+ExpContractPerUnit)-TotalUnits/12*AX$12*(ExpPayrollPerUnit+ExpAdvertisingPerUnit),0)</f>
        <v/>
      </c>
      <c r="AY68" s="218">
        <f>IF(47&gt;=DeliverStart,((BaseMarketRentMo+BaseLowRentMo)*(LeaseUp!AY$10-LossToLeasePct-BadDebtPct-ConcessionsPct)+LeaseUp!AY$9*(ParkingPerUnitMo+UtilReimbPerUnitMo+OtherIncPerUnitMo)+RetailRentMo*MIN(1,LeaseUp!AY$10/StabilizedOccupancy))*(1-MgmtFeePct)-TotalUnits/12*(ExpInsurancePerUnit+ExpAdminPerUnit)-TotalUnits/12*AY$11*(ExpUtilitiesPerUnit+ExpRMPerUnit+ExpTurnoverPerUnit+ExpContractPerUnit)-TotalUnits/12*AY$12*(ExpPayrollPerUnit+ExpAdvertisingPerUnit),0)</f>
        <v/>
      </c>
      <c r="AZ68" s="218">
        <f>IF(48&gt;=DeliverStart,((BaseMarketRentMo+BaseLowRentMo)*(LeaseUp!AZ$10-LossToLeasePct-BadDebtPct-ConcessionsPct)+LeaseUp!AZ$9*(ParkingPerUnitMo+UtilReimbPerUnitMo+OtherIncPerUnitMo)+RetailRentMo*MIN(1,LeaseUp!AZ$10/StabilizedOccupancy))*(1-MgmtFeePct)-TotalUnits/12*(ExpInsurancePerUnit+ExpAdminPerUnit)-TotalUnits/12*AZ$11*(ExpUtilitiesPerUnit+ExpRMPerUnit+ExpTurnoverPerUnit+ExpContractPerUnit)-TotalUnits/12*AZ$12*(ExpPayrollPerUnit+ExpAdvertisingPerUnit),0)</f>
        <v/>
      </c>
      <c r="BA68" s="218">
        <f>IF(49&gt;=DeliverStart,((BaseMarketRentMo+BaseLowRentMo)*(LeaseUp!BA$10-LossToLeasePct-BadDebtPct-ConcessionsPct)+LeaseUp!BA$9*(ParkingPerUnitMo+UtilReimbPerUnitMo+OtherIncPerUnitMo)+RetailRentMo*MIN(1,LeaseUp!BA$10/StabilizedOccupancy))*(1-MgmtFeePct)-TotalUnits/12*(ExpInsurancePerUnit+ExpAdminPerUnit)-TotalUnits/12*BA$11*(ExpUtilitiesPerUnit+ExpRMPerUnit+ExpTurnoverPerUnit+ExpContractPerUnit)-TotalUnits/12*BA$12*(ExpPayrollPerUnit+ExpAdvertisingPerUnit),0)</f>
        <v/>
      </c>
      <c r="BB68" s="218">
        <f>IF(50&gt;=DeliverStart,((BaseMarketRentMo+BaseLowRentMo)*(LeaseUp!BB$10-LossToLeasePct-BadDebtPct-ConcessionsPct)+LeaseUp!BB$9*(ParkingPerUnitMo+UtilReimbPerUnitMo+OtherIncPerUnitMo)+RetailRentMo*MIN(1,LeaseUp!BB$10/StabilizedOccupancy))*(1-MgmtFeePct)-TotalUnits/12*(ExpInsurancePerUnit+ExpAdminPerUnit)-TotalUnits/12*BB$11*(ExpUtilitiesPerUnit+ExpRMPerUnit+ExpTurnoverPerUnit+ExpContractPerUnit)-TotalUnits/12*BB$12*(ExpPayrollPerUnit+ExpAdvertisingPerUnit),0)</f>
        <v/>
      </c>
      <c r="BC68" s="218">
        <f>IF(51&gt;=DeliverStart,((BaseMarketRentMo+BaseLowRentMo)*(LeaseUp!BC$10-LossToLeasePct-BadDebtPct-ConcessionsPct)+LeaseUp!BC$9*(ParkingPerUnitMo+UtilReimbPerUnitMo+OtherIncPerUnitMo)+RetailRentMo*MIN(1,LeaseUp!BC$10/StabilizedOccupancy))*(1-MgmtFeePct)-TotalUnits/12*(ExpInsurancePerUnit+ExpAdminPerUnit)-TotalUnits/12*BC$11*(ExpUtilitiesPerUnit+ExpRMPerUnit+ExpTurnoverPerUnit+ExpContractPerUnit)-TotalUnits/12*BC$12*(ExpPayrollPerUnit+ExpAdvertisingPerUnit),0)</f>
        <v/>
      </c>
      <c r="BD68" s="218">
        <f>IF(52&gt;=DeliverStart,((BaseMarketRentMo+BaseLowRentMo)*(LeaseUp!BD$10-LossToLeasePct-BadDebtPct-ConcessionsPct)+LeaseUp!BD$9*(ParkingPerUnitMo+UtilReimbPerUnitMo+OtherIncPerUnitMo)+RetailRentMo*MIN(1,LeaseUp!BD$10/StabilizedOccupancy))*(1-MgmtFeePct)-TotalUnits/12*(ExpInsurancePerUnit+ExpAdminPerUnit)-TotalUnits/12*BD$11*(ExpUtilitiesPerUnit+ExpRMPerUnit+ExpTurnoverPerUnit+ExpContractPerUnit)-TotalUnits/12*BD$12*(ExpPayrollPerUnit+ExpAdvertisingPerUnit),0)</f>
        <v/>
      </c>
      <c r="BE68" s="218">
        <f>IF(53&gt;=DeliverStart,((BaseMarketRentMo+BaseLowRentMo)*(LeaseUp!BE$10-LossToLeasePct-BadDebtPct-ConcessionsPct)+LeaseUp!BE$9*(ParkingPerUnitMo+UtilReimbPerUnitMo+OtherIncPerUnitMo)+RetailRentMo*MIN(1,LeaseUp!BE$10/StabilizedOccupancy))*(1-MgmtFeePct)-TotalUnits/12*(ExpInsurancePerUnit+ExpAdminPerUnit)-TotalUnits/12*BE$11*(ExpUtilitiesPerUnit+ExpRMPerUnit+ExpTurnoverPerUnit+ExpContractPerUnit)-TotalUnits/12*BE$12*(ExpPayrollPerUnit+ExpAdvertisingPerUnit),0)</f>
        <v/>
      </c>
      <c r="BF68" s="218">
        <f>IF(54&gt;=DeliverStart,((BaseMarketRentMo+BaseLowRentMo)*(LeaseUp!BF$10-LossToLeasePct-BadDebtPct-ConcessionsPct)+LeaseUp!BF$9*(ParkingPerUnitMo+UtilReimbPerUnitMo+OtherIncPerUnitMo)+RetailRentMo*MIN(1,LeaseUp!BF$10/StabilizedOccupancy))*(1-MgmtFeePct)-TotalUnits/12*(ExpInsurancePerUnit+ExpAdminPerUnit)-TotalUnits/12*BF$11*(ExpUtilitiesPerUnit+ExpRMPerUnit+ExpTurnoverPerUnit+ExpContractPerUnit)-TotalUnits/12*BF$12*(ExpPayrollPerUnit+ExpAdvertisingPerUnit),0)</f>
        <v/>
      </c>
      <c r="BG68" s="218">
        <f>IF(55&gt;=DeliverStart,((BaseMarketRentMo+BaseLowRentMo)*(LeaseUp!BG$10-LossToLeasePct-BadDebtPct-ConcessionsPct)+LeaseUp!BG$9*(ParkingPerUnitMo+UtilReimbPerUnitMo+OtherIncPerUnitMo)+RetailRentMo*MIN(1,LeaseUp!BG$10/StabilizedOccupancy))*(1-MgmtFeePct)-TotalUnits/12*(ExpInsurancePerUnit+ExpAdminPerUnit)-TotalUnits/12*BG$11*(ExpUtilitiesPerUnit+ExpRMPerUnit+ExpTurnoverPerUnit+ExpContractPerUnit)-TotalUnits/12*BG$12*(ExpPayrollPerUnit+ExpAdvertisingPerUnit),0)</f>
        <v/>
      </c>
      <c r="BH68" s="218">
        <f>IF(56&gt;=DeliverStart,((BaseMarketRentMo+BaseLowRentMo)*(LeaseUp!BH$10-LossToLeasePct-BadDebtPct-ConcessionsPct)+LeaseUp!BH$9*(ParkingPerUnitMo+UtilReimbPerUnitMo+OtherIncPerUnitMo)+RetailRentMo*MIN(1,LeaseUp!BH$10/StabilizedOccupancy))*(1-MgmtFeePct)-TotalUnits/12*(ExpInsurancePerUnit+ExpAdminPerUnit)-TotalUnits/12*BH$11*(ExpUtilitiesPerUnit+ExpRMPerUnit+ExpTurnoverPerUnit+ExpContractPerUnit)-TotalUnits/12*BH$12*(ExpPayrollPerUnit+ExpAdvertisingPerUnit),0)</f>
        <v/>
      </c>
      <c r="BI68" s="218">
        <f>IF(57&gt;=DeliverStart,((BaseMarketRentMo+BaseLowRentMo)*(LeaseUp!BI$10-LossToLeasePct-BadDebtPct-ConcessionsPct)+LeaseUp!BI$9*(ParkingPerUnitMo+UtilReimbPerUnitMo+OtherIncPerUnitMo)+RetailRentMo*MIN(1,LeaseUp!BI$10/StabilizedOccupancy))*(1-MgmtFeePct)-TotalUnits/12*(ExpInsurancePerUnit+ExpAdminPerUnit)-TotalUnits/12*BI$11*(ExpUtilitiesPerUnit+ExpRMPerUnit+ExpTurnoverPerUnit+ExpContractPerUnit)-TotalUnits/12*BI$12*(ExpPayrollPerUnit+ExpAdvertisingPerUnit),0)</f>
        <v/>
      </c>
      <c r="BJ68" s="218">
        <f>IF(58&gt;=DeliverStart,((BaseMarketRentMo+BaseLowRentMo)*(LeaseUp!BJ$10-LossToLeasePct-BadDebtPct-ConcessionsPct)+LeaseUp!BJ$9*(ParkingPerUnitMo+UtilReimbPerUnitMo+OtherIncPerUnitMo)+RetailRentMo*MIN(1,LeaseUp!BJ$10/StabilizedOccupancy))*(1-MgmtFeePct)-TotalUnits/12*(ExpInsurancePerUnit+ExpAdminPerUnit)-TotalUnits/12*BJ$11*(ExpUtilitiesPerUnit+ExpRMPerUnit+ExpTurnoverPerUnit+ExpContractPerUnit)-TotalUnits/12*BJ$12*(ExpPayrollPerUnit+ExpAdvertisingPerUnit),0)</f>
        <v/>
      </c>
      <c r="BK68" s="218">
        <f>IF(59&gt;=DeliverStart,((BaseMarketRentMo+BaseLowRentMo)*(LeaseUp!BK$10-LossToLeasePct-BadDebtPct-ConcessionsPct)+LeaseUp!BK$9*(ParkingPerUnitMo+UtilReimbPerUnitMo+OtherIncPerUnitMo)+RetailRentMo*MIN(1,LeaseUp!BK$10/StabilizedOccupancy))*(1-MgmtFeePct)-TotalUnits/12*(ExpInsurancePerUnit+ExpAdminPerUnit)-TotalUnits/12*BK$11*(ExpUtilitiesPerUnit+ExpRMPerUnit+ExpTurnoverPerUnit+ExpContractPerUnit)-TotalUnits/12*BK$12*(ExpPayrollPerUnit+ExpAdvertisingPerUnit),0)</f>
        <v/>
      </c>
      <c r="BL68" s="218">
        <f>IF(60&gt;=DeliverStart,((BaseMarketRentMo+BaseLowRentMo)*(LeaseUp!BL$10-LossToLeasePct-BadDebtPct-ConcessionsPct)+LeaseUp!BL$9*(ParkingPerUnitMo+UtilReimbPerUnitMo+OtherIncPerUnitMo)+RetailRentMo*MIN(1,LeaseUp!BL$10/StabilizedOccupancy))*(1-MgmtFeePct)-TotalUnits/12*(ExpInsurancePerUnit+ExpAdminPerUnit)-TotalUnits/12*BL$11*(ExpUtilitiesPerUnit+ExpRMPerUnit+ExpTurnoverPerUnit+ExpContractPerUnit)-TotalUnits/12*BL$12*(ExpPayrollPerUnit+ExpAdvertisingPerUnit),0)</f>
        <v/>
      </c>
      <c r="BM68" s="218">
        <f>IF(61&gt;=DeliverStart,((BaseMarketRentMo+BaseLowRentMo)*(LeaseUp!BM$10-LossToLeasePct-BadDebtPct-ConcessionsPct)+LeaseUp!BM$9*(ParkingPerUnitMo+UtilReimbPerUnitMo+OtherIncPerUnitMo)+RetailRentMo*MIN(1,LeaseUp!BM$10/StabilizedOccupancy))*(1-MgmtFeePct)-TotalUnits/12*(ExpInsurancePerUnit+ExpAdminPerUnit)-TotalUnits/12*BM$11*(ExpUtilitiesPerUnit+ExpRMPerUnit+ExpTurnoverPerUnit+ExpContractPerUnit)-TotalUnits/12*BM$12*(ExpPayrollPerUnit+ExpAdvertisingPerUnit),0)</f>
        <v/>
      </c>
      <c r="BN68" s="218">
        <f>IF(62&gt;=DeliverStart,((BaseMarketRentMo+BaseLowRentMo)*(LeaseUp!BN$10-LossToLeasePct-BadDebtPct-ConcessionsPct)+LeaseUp!BN$9*(ParkingPerUnitMo+UtilReimbPerUnitMo+OtherIncPerUnitMo)+RetailRentMo*MIN(1,LeaseUp!BN$10/StabilizedOccupancy))*(1-MgmtFeePct)-TotalUnits/12*(ExpInsurancePerUnit+ExpAdminPerUnit)-TotalUnits/12*BN$11*(ExpUtilitiesPerUnit+ExpRMPerUnit+ExpTurnoverPerUnit+ExpContractPerUnit)-TotalUnits/12*BN$12*(ExpPayrollPerUnit+ExpAdvertisingPerUnit),0)</f>
        <v/>
      </c>
      <c r="BO68" s="218">
        <f>IF(63&gt;=DeliverStart,((BaseMarketRentMo+BaseLowRentMo)*(LeaseUp!BO$10-LossToLeasePct-BadDebtPct-ConcessionsPct)+LeaseUp!BO$9*(ParkingPerUnitMo+UtilReimbPerUnitMo+OtherIncPerUnitMo)+RetailRentMo*MIN(1,LeaseUp!BO$10/StabilizedOccupancy))*(1-MgmtFeePct)-TotalUnits/12*(ExpInsurancePerUnit+ExpAdminPerUnit)-TotalUnits/12*BO$11*(ExpUtilitiesPerUnit+ExpRMPerUnit+ExpTurnoverPerUnit+ExpContractPerUnit)-TotalUnits/12*BO$12*(ExpPayrollPerUnit+ExpAdvertisingPerUnit),0)</f>
        <v/>
      </c>
      <c r="BP68" s="218">
        <f>IF(64&gt;=DeliverStart,((BaseMarketRentMo+BaseLowRentMo)*(LeaseUp!BP$10-LossToLeasePct-BadDebtPct-ConcessionsPct)+LeaseUp!BP$9*(ParkingPerUnitMo+UtilReimbPerUnitMo+OtherIncPerUnitMo)+RetailRentMo*MIN(1,LeaseUp!BP$10/StabilizedOccupancy))*(1-MgmtFeePct)-TotalUnits/12*(ExpInsurancePerUnit+ExpAdminPerUnit)-TotalUnits/12*BP$11*(ExpUtilitiesPerUnit+ExpRMPerUnit+ExpTurnoverPerUnit+ExpContractPerUnit)-TotalUnits/12*BP$12*(ExpPayrollPerUnit+ExpAdvertisingPerUnit),0)</f>
        <v/>
      </c>
      <c r="BQ68" s="218">
        <f>IF(65&gt;=DeliverStart,((BaseMarketRentMo+BaseLowRentMo)*(LeaseUp!BQ$10-LossToLeasePct-BadDebtPct-ConcessionsPct)+LeaseUp!BQ$9*(ParkingPerUnitMo+UtilReimbPerUnitMo+OtherIncPerUnitMo)+RetailRentMo*MIN(1,LeaseUp!BQ$10/StabilizedOccupancy))*(1-MgmtFeePct)-TotalUnits/12*(ExpInsurancePerUnit+ExpAdminPerUnit)-TotalUnits/12*BQ$11*(ExpUtilitiesPerUnit+ExpRMPerUnit+ExpTurnoverPerUnit+ExpContractPerUnit)-TotalUnits/12*BQ$12*(ExpPayrollPerUnit+ExpAdvertisingPerUnit),0)</f>
        <v/>
      </c>
      <c r="BR68" s="218">
        <f>IF(66&gt;=DeliverStart,((BaseMarketRentMo+BaseLowRentMo)*(LeaseUp!BR$10-LossToLeasePct-BadDebtPct-ConcessionsPct)+LeaseUp!BR$9*(ParkingPerUnitMo+UtilReimbPerUnitMo+OtherIncPerUnitMo)+RetailRentMo*MIN(1,LeaseUp!BR$10/StabilizedOccupancy))*(1-MgmtFeePct)-TotalUnits/12*(ExpInsurancePerUnit+ExpAdminPerUnit)-TotalUnits/12*BR$11*(ExpUtilitiesPerUnit+ExpRMPerUnit+ExpTurnoverPerUnit+ExpContractPerUnit)-TotalUnits/12*BR$12*(ExpPayrollPerUnit+ExpAdvertisingPerUnit),0)</f>
        <v/>
      </c>
      <c r="BS68" s="218">
        <f>IF(67&gt;=DeliverStart,((BaseMarketRentMo+BaseLowRentMo)*(LeaseUp!BS$10-LossToLeasePct-BadDebtPct-ConcessionsPct)+LeaseUp!BS$9*(ParkingPerUnitMo+UtilReimbPerUnitMo+OtherIncPerUnitMo)+RetailRentMo*MIN(1,LeaseUp!BS$10/StabilizedOccupancy))*(1-MgmtFeePct)-TotalUnits/12*(ExpInsurancePerUnit+ExpAdminPerUnit)-TotalUnits/12*BS$11*(ExpUtilitiesPerUnit+ExpRMPerUnit+ExpTurnoverPerUnit+ExpContractPerUnit)-TotalUnits/12*BS$12*(ExpPayrollPerUnit+ExpAdvertisingPerUnit),0)</f>
        <v/>
      </c>
      <c r="BT68" s="218">
        <f>IF(68&gt;=DeliverStart,((BaseMarketRentMo+BaseLowRentMo)*(LeaseUp!BT$10-LossToLeasePct-BadDebtPct-ConcessionsPct)+LeaseUp!BT$9*(ParkingPerUnitMo+UtilReimbPerUnitMo+OtherIncPerUnitMo)+RetailRentMo*MIN(1,LeaseUp!BT$10/StabilizedOccupancy))*(1-MgmtFeePct)-TotalUnits/12*(ExpInsurancePerUnit+ExpAdminPerUnit)-TotalUnits/12*BT$11*(ExpUtilitiesPerUnit+ExpRMPerUnit+ExpTurnoverPerUnit+ExpContractPerUnit)-TotalUnits/12*BT$12*(ExpPayrollPerUnit+ExpAdvertisingPerUnit),0)</f>
        <v/>
      </c>
      <c r="BU68" s="218">
        <f>IF(69&gt;=DeliverStart,((BaseMarketRentMo+BaseLowRentMo)*(LeaseUp!BU$10-LossToLeasePct-BadDebtPct-ConcessionsPct)+LeaseUp!BU$9*(ParkingPerUnitMo+UtilReimbPerUnitMo+OtherIncPerUnitMo)+RetailRentMo*MIN(1,LeaseUp!BU$10/StabilizedOccupancy))*(1-MgmtFeePct)-TotalUnits/12*(ExpInsurancePerUnit+ExpAdminPerUnit)-TotalUnits/12*BU$11*(ExpUtilitiesPerUnit+ExpRMPerUnit+ExpTurnoverPerUnit+ExpContractPerUnit)-TotalUnits/12*BU$12*(ExpPayrollPerUnit+ExpAdvertisingPerUnit),0)</f>
        <v/>
      </c>
      <c r="BV68" s="218">
        <f>IF(70&gt;=DeliverStart,((BaseMarketRentMo+BaseLowRentMo)*(LeaseUp!BV$10-LossToLeasePct-BadDebtPct-ConcessionsPct)+LeaseUp!BV$9*(ParkingPerUnitMo+UtilReimbPerUnitMo+OtherIncPerUnitMo)+RetailRentMo*MIN(1,LeaseUp!BV$10/StabilizedOccupancy))*(1-MgmtFeePct)-TotalUnits/12*(ExpInsurancePerUnit+ExpAdminPerUnit)-TotalUnits/12*BV$11*(ExpUtilitiesPerUnit+ExpRMPerUnit+ExpTurnoverPerUnit+ExpContractPerUnit)-TotalUnits/12*BV$12*(ExpPayrollPerUnit+ExpAdvertisingPerUnit),0)</f>
        <v/>
      </c>
      <c r="BW68" s="218">
        <f>IF(71&gt;=DeliverStart,((BaseMarketRentMo+BaseLowRentMo)*(LeaseUp!BW$10-LossToLeasePct-BadDebtPct-ConcessionsPct)+LeaseUp!BW$9*(ParkingPerUnitMo+UtilReimbPerUnitMo+OtherIncPerUnitMo)+RetailRentMo*MIN(1,LeaseUp!BW$10/StabilizedOccupancy))*(1-MgmtFeePct)-TotalUnits/12*(ExpInsurancePerUnit+ExpAdminPerUnit)-TotalUnits/12*BW$11*(ExpUtilitiesPerUnit+ExpRMPerUnit+ExpTurnoverPerUnit+ExpContractPerUnit)-TotalUnits/12*BW$12*(ExpPayrollPerUnit+ExpAdvertisingPerUnit),0)</f>
        <v/>
      </c>
      <c r="BX68" s="218">
        <f>IF(72&gt;=DeliverStart,((BaseMarketRentMo+BaseLowRentMo)*(LeaseUp!BX$10-LossToLeasePct-BadDebtPct-ConcessionsPct)+LeaseUp!BX$9*(ParkingPerUnitMo+UtilReimbPerUnitMo+OtherIncPerUnitMo)+RetailRentMo*MIN(1,LeaseUp!BX$10/StabilizedOccupancy))*(1-MgmtFeePct)-TotalUnits/12*(ExpInsurancePerUnit+ExpAdminPerUnit)-TotalUnits/12*BX$11*(ExpUtilitiesPerUnit+ExpRMPerUnit+ExpTurnoverPerUnit+ExpContractPerUnit)-TotalUnits/12*BX$12*(ExpPayrollPerUnit+ExpAdvertisingPerUnit),0)</f>
        <v/>
      </c>
      <c r="BY68" s="218">
        <f>IF(73&gt;=DeliverStart,((BaseMarketRentMo+BaseLowRentMo)*(LeaseUp!BY$10-LossToLeasePct-BadDebtPct-ConcessionsPct)+LeaseUp!BY$9*(ParkingPerUnitMo+UtilReimbPerUnitMo+OtherIncPerUnitMo)+RetailRentMo*MIN(1,LeaseUp!BY$10/StabilizedOccupancy))*(1-MgmtFeePct)-TotalUnits/12*(ExpInsurancePerUnit+ExpAdminPerUnit)-TotalUnits/12*BY$11*(ExpUtilitiesPerUnit+ExpRMPerUnit+ExpTurnoverPerUnit+ExpContractPerUnit)-TotalUnits/12*BY$12*(ExpPayrollPerUnit+ExpAdvertisingPerUnit),0)</f>
        <v/>
      </c>
      <c r="BZ68" s="218">
        <f>IF(74&gt;=DeliverStart,((BaseMarketRentMo+BaseLowRentMo)*(LeaseUp!BZ$10-LossToLeasePct-BadDebtPct-ConcessionsPct)+LeaseUp!BZ$9*(ParkingPerUnitMo+UtilReimbPerUnitMo+OtherIncPerUnitMo)+RetailRentMo*MIN(1,LeaseUp!BZ$10/StabilizedOccupancy))*(1-MgmtFeePct)-TotalUnits/12*(ExpInsurancePerUnit+ExpAdminPerUnit)-TotalUnits/12*BZ$11*(ExpUtilitiesPerUnit+ExpRMPerUnit+ExpTurnoverPerUnit+ExpContractPerUnit)-TotalUnits/12*BZ$12*(ExpPayrollPerUnit+ExpAdvertisingPerUnit),0)</f>
        <v/>
      </c>
      <c r="CA68" s="218">
        <f>IF(75&gt;=DeliverStart,((BaseMarketRentMo+BaseLowRentMo)*(LeaseUp!CA$10-LossToLeasePct-BadDebtPct-ConcessionsPct)+LeaseUp!CA$9*(ParkingPerUnitMo+UtilReimbPerUnitMo+OtherIncPerUnitMo)+RetailRentMo*MIN(1,LeaseUp!CA$10/StabilizedOccupancy))*(1-MgmtFeePct)-TotalUnits/12*(ExpInsurancePerUnit+ExpAdminPerUnit)-TotalUnits/12*CA$11*(ExpUtilitiesPerUnit+ExpRMPerUnit+ExpTurnoverPerUnit+ExpContractPerUnit)-TotalUnits/12*CA$12*(ExpPayrollPerUnit+ExpAdvertisingPerUnit),0)</f>
        <v/>
      </c>
      <c r="CB68" s="218">
        <f>IF(76&gt;=DeliverStart,((BaseMarketRentMo+BaseLowRentMo)*(LeaseUp!CB$10-LossToLeasePct-BadDebtPct-ConcessionsPct)+LeaseUp!CB$9*(ParkingPerUnitMo+UtilReimbPerUnitMo+OtherIncPerUnitMo)+RetailRentMo*MIN(1,LeaseUp!CB$10/StabilizedOccupancy))*(1-MgmtFeePct)-TotalUnits/12*(ExpInsurancePerUnit+ExpAdminPerUnit)-TotalUnits/12*CB$11*(ExpUtilitiesPerUnit+ExpRMPerUnit+ExpTurnoverPerUnit+ExpContractPerUnit)-TotalUnits/12*CB$12*(ExpPayrollPerUnit+ExpAdvertisingPerUnit),0)</f>
        <v/>
      </c>
      <c r="CC68" s="218">
        <f>IF(77&gt;=DeliverStart,((BaseMarketRentMo+BaseLowRentMo)*(LeaseUp!CC$10-LossToLeasePct-BadDebtPct-ConcessionsPct)+LeaseUp!CC$9*(ParkingPerUnitMo+UtilReimbPerUnitMo+OtherIncPerUnitMo)+RetailRentMo*MIN(1,LeaseUp!CC$10/StabilizedOccupancy))*(1-MgmtFeePct)-TotalUnits/12*(ExpInsurancePerUnit+ExpAdminPerUnit)-TotalUnits/12*CC$11*(ExpUtilitiesPerUnit+ExpRMPerUnit+ExpTurnoverPerUnit+ExpContractPerUnit)-TotalUnits/12*CC$12*(ExpPayrollPerUnit+ExpAdvertisingPerUnit),0)</f>
        <v/>
      </c>
      <c r="CD68" s="218">
        <f>IF(78&gt;=DeliverStart,((BaseMarketRentMo+BaseLowRentMo)*(LeaseUp!CD$10-LossToLeasePct-BadDebtPct-ConcessionsPct)+LeaseUp!CD$9*(ParkingPerUnitMo+UtilReimbPerUnitMo+OtherIncPerUnitMo)+RetailRentMo*MIN(1,LeaseUp!CD$10/StabilizedOccupancy))*(1-MgmtFeePct)-TotalUnits/12*(ExpInsurancePerUnit+ExpAdminPerUnit)-TotalUnits/12*CD$11*(ExpUtilitiesPerUnit+ExpRMPerUnit+ExpTurnoverPerUnit+ExpContractPerUnit)-TotalUnits/12*CD$12*(ExpPayrollPerUnit+ExpAdvertisingPerUnit),0)</f>
        <v/>
      </c>
      <c r="CE68" s="218">
        <f>IF(79&gt;=DeliverStart,((BaseMarketRentMo+BaseLowRentMo)*(LeaseUp!CE$10-LossToLeasePct-BadDebtPct-ConcessionsPct)+LeaseUp!CE$9*(ParkingPerUnitMo+UtilReimbPerUnitMo+OtherIncPerUnitMo)+RetailRentMo*MIN(1,LeaseUp!CE$10/StabilizedOccupancy))*(1-MgmtFeePct)-TotalUnits/12*(ExpInsurancePerUnit+ExpAdminPerUnit)-TotalUnits/12*CE$11*(ExpUtilitiesPerUnit+ExpRMPerUnit+ExpTurnoverPerUnit+ExpContractPerUnit)-TotalUnits/12*CE$12*(ExpPayrollPerUnit+ExpAdvertisingPerUnit),0)</f>
        <v/>
      </c>
      <c r="CF68" s="218">
        <f>IF(80&gt;=DeliverStart,((BaseMarketRentMo+BaseLowRentMo)*(LeaseUp!CF$10-LossToLeasePct-BadDebtPct-ConcessionsPct)+LeaseUp!CF$9*(ParkingPerUnitMo+UtilReimbPerUnitMo+OtherIncPerUnitMo)+RetailRentMo*MIN(1,LeaseUp!CF$10/StabilizedOccupancy))*(1-MgmtFeePct)-TotalUnits/12*(ExpInsurancePerUnit+ExpAdminPerUnit)-TotalUnits/12*CF$11*(ExpUtilitiesPerUnit+ExpRMPerUnit+ExpTurnoverPerUnit+ExpContractPerUnit)-TotalUnits/12*CF$12*(ExpPayrollPerUnit+ExpAdvertisingPerUnit),0)</f>
        <v/>
      </c>
      <c r="CG68" s="218">
        <f>IF(81&gt;=DeliverStart,((BaseMarketRentMo+BaseLowRentMo)*(LeaseUp!CG$10-LossToLeasePct-BadDebtPct-ConcessionsPct)+LeaseUp!CG$9*(ParkingPerUnitMo+UtilReimbPerUnitMo+OtherIncPerUnitMo)+RetailRentMo*MIN(1,LeaseUp!CG$10/StabilizedOccupancy))*(1-MgmtFeePct)-TotalUnits/12*(ExpInsurancePerUnit+ExpAdminPerUnit)-TotalUnits/12*CG$11*(ExpUtilitiesPerUnit+ExpRMPerUnit+ExpTurnoverPerUnit+ExpContractPerUnit)-TotalUnits/12*CG$12*(ExpPayrollPerUnit+ExpAdvertisingPerUnit),0)</f>
        <v/>
      </c>
      <c r="CH68" s="218">
        <f>IF(82&gt;=DeliverStart,((BaseMarketRentMo+BaseLowRentMo)*(LeaseUp!CH$10-LossToLeasePct-BadDebtPct-ConcessionsPct)+LeaseUp!CH$9*(ParkingPerUnitMo+UtilReimbPerUnitMo+OtherIncPerUnitMo)+RetailRentMo*MIN(1,LeaseUp!CH$10/StabilizedOccupancy))*(1-MgmtFeePct)-TotalUnits/12*(ExpInsurancePerUnit+ExpAdminPerUnit)-TotalUnits/12*CH$11*(ExpUtilitiesPerUnit+ExpRMPerUnit+ExpTurnoverPerUnit+ExpContractPerUnit)-TotalUnits/12*CH$12*(ExpPayrollPerUnit+ExpAdvertisingPerUnit),0)</f>
        <v/>
      </c>
      <c r="CI68" s="218">
        <f>IF(83&gt;=DeliverStart,((BaseMarketRentMo+BaseLowRentMo)*(LeaseUp!CI$10-LossToLeasePct-BadDebtPct-ConcessionsPct)+LeaseUp!CI$9*(ParkingPerUnitMo+UtilReimbPerUnitMo+OtherIncPerUnitMo)+RetailRentMo*MIN(1,LeaseUp!CI$10/StabilizedOccupancy))*(1-MgmtFeePct)-TotalUnits/12*(ExpInsurancePerUnit+ExpAdminPerUnit)-TotalUnits/12*CI$11*(ExpUtilitiesPerUnit+ExpRMPerUnit+ExpTurnoverPerUnit+ExpContractPerUnit)-TotalUnits/12*CI$12*(ExpPayrollPerUnit+ExpAdvertisingPerUnit),0)</f>
        <v/>
      </c>
      <c r="CJ68" s="218">
        <f>IF(84&gt;=DeliverStart,((BaseMarketRentMo+BaseLowRentMo)*(LeaseUp!CJ$10-LossToLeasePct-BadDebtPct-ConcessionsPct)+LeaseUp!CJ$9*(ParkingPerUnitMo+UtilReimbPerUnitMo+OtherIncPerUnitMo)+RetailRentMo*MIN(1,LeaseUp!CJ$10/StabilizedOccupancy))*(1-MgmtFeePct)-TotalUnits/12*(ExpInsurancePerUnit+ExpAdminPerUnit)-TotalUnits/12*CJ$11*(ExpUtilitiesPerUnit+ExpRMPerUnit+ExpTurnoverPerUnit+ExpContractPerUnit)-TotalUnits/12*CJ$12*(ExpPayrollPerUnit+ExpAdvertisingPerUnit),0)</f>
        <v/>
      </c>
      <c r="CK68" s="218">
        <f>IF(85&gt;=DeliverStart,((BaseMarketRentMo+BaseLowRentMo)*(LeaseUp!CK$10-LossToLeasePct-BadDebtPct-ConcessionsPct)+LeaseUp!CK$9*(ParkingPerUnitMo+UtilReimbPerUnitMo+OtherIncPerUnitMo)+RetailRentMo*MIN(1,LeaseUp!CK$10/StabilizedOccupancy))*(1-MgmtFeePct)-TotalUnits/12*(ExpInsurancePerUnit+ExpAdminPerUnit)-TotalUnits/12*CK$11*(ExpUtilitiesPerUnit+ExpRMPerUnit+ExpTurnoverPerUnit+ExpContractPerUnit)-TotalUnits/12*CK$12*(ExpPayrollPerUnit+ExpAdvertisingPerUnit),0)</f>
        <v/>
      </c>
      <c r="CL68" s="218">
        <f>IF(86&gt;=DeliverStart,((BaseMarketRentMo+BaseLowRentMo)*(LeaseUp!CL$10-LossToLeasePct-BadDebtPct-ConcessionsPct)+LeaseUp!CL$9*(ParkingPerUnitMo+UtilReimbPerUnitMo+OtherIncPerUnitMo)+RetailRentMo*MIN(1,LeaseUp!CL$10/StabilizedOccupancy))*(1-MgmtFeePct)-TotalUnits/12*(ExpInsurancePerUnit+ExpAdminPerUnit)-TotalUnits/12*CL$11*(ExpUtilitiesPerUnit+ExpRMPerUnit+ExpTurnoverPerUnit+ExpContractPerUnit)-TotalUnits/12*CL$12*(ExpPayrollPerUnit+ExpAdvertisingPerUnit),0)</f>
        <v/>
      </c>
      <c r="CM68" s="218">
        <f>IF(87&gt;=DeliverStart,((BaseMarketRentMo+BaseLowRentMo)*(LeaseUp!CM$10-LossToLeasePct-BadDebtPct-ConcessionsPct)+LeaseUp!CM$9*(ParkingPerUnitMo+UtilReimbPerUnitMo+OtherIncPerUnitMo)+RetailRentMo*MIN(1,LeaseUp!CM$10/StabilizedOccupancy))*(1-MgmtFeePct)-TotalUnits/12*(ExpInsurancePerUnit+ExpAdminPerUnit)-TotalUnits/12*CM$11*(ExpUtilitiesPerUnit+ExpRMPerUnit+ExpTurnoverPerUnit+ExpContractPerUnit)-TotalUnits/12*CM$12*(ExpPayrollPerUnit+ExpAdvertisingPerUnit),0)</f>
        <v/>
      </c>
      <c r="CN68" s="218">
        <f>IF(88&gt;=DeliverStart,((BaseMarketRentMo+BaseLowRentMo)*(LeaseUp!CN$10-LossToLeasePct-BadDebtPct-ConcessionsPct)+LeaseUp!CN$9*(ParkingPerUnitMo+UtilReimbPerUnitMo+OtherIncPerUnitMo)+RetailRentMo*MIN(1,LeaseUp!CN$10/StabilizedOccupancy))*(1-MgmtFeePct)-TotalUnits/12*(ExpInsurancePerUnit+ExpAdminPerUnit)-TotalUnits/12*CN$11*(ExpUtilitiesPerUnit+ExpRMPerUnit+ExpTurnoverPerUnit+ExpContractPerUnit)-TotalUnits/12*CN$12*(ExpPayrollPerUnit+ExpAdvertisingPerUnit),0)</f>
        <v/>
      </c>
      <c r="CO68" s="218">
        <f>IF(89&gt;=DeliverStart,((BaseMarketRentMo+BaseLowRentMo)*(LeaseUp!CO$10-LossToLeasePct-BadDebtPct-ConcessionsPct)+LeaseUp!CO$9*(ParkingPerUnitMo+UtilReimbPerUnitMo+OtherIncPerUnitMo)+RetailRentMo*MIN(1,LeaseUp!CO$10/StabilizedOccupancy))*(1-MgmtFeePct)-TotalUnits/12*(ExpInsurancePerUnit+ExpAdminPerUnit)-TotalUnits/12*CO$11*(ExpUtilitiesPerUnit+ExpRMPerUnit+ExpTurnoverPerUnit+ExpContractPerUnit)-TotalUnits/12*CO$12*(ExpPayrollPerUnit+ExpAdvertisingPerUnit),0)</f>
        <v/>
      </c>
      <c r="CP68" s="218">
        <f>IF(90&gt;=DeliverStart,((BaseMarketRentMo+BaseLowRentMo)*(LeaseUp!CP$10-LossToLeasePct-BadDebtPct-ConcessionsPct)+LeaseUp!CP$9*(ParkingPerUnitMo+UtilReimbPerUnitMo+OtherIncPerUnitMo)+RetailRentMo*MIN(1,LeaseUp!CP$10/StabilizedOccupancy))*(1-MgmtFeePct)-TotalUnits/12*(ExpInsurancePerUnit+ExpAdminPerUnit)-TotalUnits/12*CP$11*(ExpUtilitiesPerUnit+ExpRMPerUnit+ExpTurnoverPerUnit+ExpContractPerUnit)-TotalUnits/12*CP$12*(ExpPayrollPerUnit+ExpAdvertisingPerUnit),0)</f>
        <v/>
      </c>
      <c r="CQ68" s="218">
        <f>IF(91&gt;=DeliverStart,((BaseMarketRentMo+BaseLowRentMo)*(LeaseUp!CQ$10-LossToLeasePct-BadDebtPct-ConcessionsPct)+LeaseUp!CQ$9*(ParkingPerUnitMo+UtilReimbPerUnitMo+OtherIncPerUnitMo)+RetailRentMo*MIN(1,LeaseUp!CQ$10/StabilizedOccupancy))*(1-MgmtFeePct)-TotalUnits/12*(ExpInsurancePerUnit+ExpAdminPerUnit)-TotalUnits/12*CQ$11*(ExpUtilitiesPerUnit+ExpRMPerUnit+ExpTurnoverPerUnit+ExpContractPerUnit)-TotalUnits/12*CQ$12*(ExpPayrollPerUnit+ExpAdvertisingPerUnit),0)</f>
        <v/>
      </c>
      <c r="CR68" s="218">
        <f>IF(92&gt;=DeliverStart,((BaseMarketRentMo+BaseLowRentMo)*(LeaseUp!CR$10-LossToLeasePct-BadDebtPct-ConcessionsPct)+LeaseUp!CR$9*(ParkingPerUnitMo+UtilReimbPerUnitMo+OtherIncPerUnitMo)+RetailRentMo*MIN(1,LeaseUp!CR$10/StabilizedOccupancy))*(1-MgmtFeePct)-TotalUnits/12*(ExpInsurancePerUnit+ExpAdminPerUnit)-TotalUnits/12*CR$11*(ExpUtilitiesPerUnit+ExpRMPerUnit+ExpTurnoverPerUnit+ExpContractPerUnit)-TotalUnits/12*CR$12*(ExpPayrollPerUnit+ExpAdvertisingPerUnit),0)</f>
        <v/>
      </c>
      <c r="CS68" s="218">
        <f>IF(93&gt;=DeliverStart,((BaseMarketRentMo+BaseLowRentMo)*(LeaseUp!CS$10-LossToLeasePct-BadDebtPct-ConcessionsPct)+LeaseUp!CS$9*(ParkingPerUnitMo+UtilReimbPerUnitMo+OtherIncPerUnitMo)+RetailRentMo*MIN(1,LeaseUp!CS$10/StabilizedOccupancy))*(1-MgmtFeePct)-TotalUnits/12*(ExpInsurancePerUnit+ExpAdminPerUnit)-TotalUnits/12*CS$11*(ExpUtilitiesPerUnit+ExpRMPerUnit+ExpTurnoverPerUnit+ExpContractPerUnit)-TotalUnits/12*CS$12*(ExpPayrollPerUnit+ExpAdvertisingPerUnit),0)</f>
        <v/>
      </c>
      <c r="CT68" s="218">
        <f>IF(94&gt;=DeliverStart,((BaseMarketRentMo+BaseLowRentMo)*(LeaseUp!CT$10-LossToLeasePct-BadDebtPct-ConcessionsPct)+LeaseUp!CT$9*(ParkingPerUnitMo+UtilReimbPerUnitMo+OtherIncPerUnitMo)+RetailRentMo*MIN(1,LeaseUp!CT$10/StabilizedOccupancy))*(1-MgmtFeePct)-TotalUnits/12*(ExpInsurancePerUnit+ExpAdminPerUnit)-TotalUnits/12*CT$11*(ExpUtilitiesPerUnit+ExpRMPerUnit+ExpTurnoverPerUnit+ExpContractPerUnit)-TotalUnits/12*CT$12*(ExpPayrollPerUnit+ExpAdvertisingPerUnit),0)</f>
        <v/>
      </c>
      <c r="CU68" s="218">
        <f>IF(95&gt;=DeliverStart,((BaseMarketRentMo+BaseLowRentMo)*(LeaseUp!CU$10-LossToLeasePct-BadDebtPct-ConcessionsPct)+LeaseUp!CU$9*(ParkingPerUnitMo+UtilReimbPerUnitMo+OtherIncPerUnitMo)+RetailRentMo*MIN(1,LeaseUp!CU$10/StabilizedOccupancy))*(1-MgmtFeePct)-TotalUnits/12*(ExpInsurancePerUnit+ExpAdminPerUnit)-TotalUnits/12*CU$11*(ExpUtilitiesPerUnit+ExpRMPerUnit+ExpTurnoverPerUnit+ExpContractPerUnit)-TotalUnits/12*CU$12*(ExpPayrollPerUnit+ExpAdvertisingPerUnit),0)</f>
        <v/>
      </c>
      <c r="CV68" s="218">
        <f>IF(96&gt;=DeliverStart,((BaseMarketRentMo+BaseLowRentMo)*(LeaseUp!CV$10-LossToLeasePct-BadDebtPct-ConcessionsPct)+LeaseUp!CV$9*(ParkingPerUnitMo+UtilReimbPerUnitMo+OtherIncPerUnitMo)+RetailRentMo*MIN(1,LeaseUp!CV$10/StabilizedOccupancy))*(1-MgmtFeePct)-TotalUnits/12*(ExpInsurancePerUnit+ExpAdminPerUnit)-TotalUnits/12*CV$11*(ExpUtilitiesPerUnit+ExpRMPerUnit+ExpTurnoverPerUnit+ExpContractPerUnit)-TotalUnits/12*CV$12*(ExpPayrollPerUnit+ExpAdvertisingPerUnit),0)</f>
        <v/>
      </c>
      <c r="CW68" s="218">
        <f>IF(97&gt;=DeliverStart,((BaseMarketRentMo+BaseLowRentMo)*(LeaseUp!CW$10-LossToLeasePct-BadDebtPct-ConcessionsPct)+LeaseUp!CW$9*(ParkingPerUnitMo+UtilReimbPerUnitMo+OtherIncPerUnitMo)+RetailRentMo*MIN(1,LeaseUp!CW$10/StabilizedOccupancy))*(1-MgmtFeePct)-TotalUnits/12*(ExpInsurancePerUnit+ExpAdminPerUnit)-TotalUnits/12*CW$11*(ExpUtilitiesPerUnit+ExpRMPerUnit+ExpTurnoverPerUnit+ExpContractPerUnit)-TotalUnits/12*CW$12*(ExpPayrollPerUnit+ExpAdvertisingPerUnit),0)</f>
        <v/>
      </c>
      <c r="CX68" s="218">
        <f>IF(98&gt;=DeliverStart,((BaseMarketRentMo+BaseLowRentMo)*(LeaseUp!CX$10-LossToLeasePct-BadDebtPct-ConcessionsPct)+LeaseUp!CX$9*(ParkingPerUnitMo+UtilReimbPerUnitMo+OtherIncPerUnitMo)+RetailRentMo*MIN(1,LeaseUp!CX$10/StabilizedOccupancy))*(1-MgmtFeePct)-TotalUnits/12*(ExpInsurancePerUnit+ExpAdminPerUnit)-TotalUnits/12*CX$11*(ExpUtilitiesPerUnit+ExpRMPerUnit+ExpTurnoverPerUnit+ExpContractPerUnit)-TotalUnits/12*CX$12*(ExpPayrollPerUnit+ExpAdvertisingPerUnit),0)</f>
        <v/>
      </c>
      <c r="CY68" s="218">
        <f>IF(99&gt;=DeliverStart,((BaseMarketRentMo+BaseLowRentMo)*(LeaseUp!CY$10-LossToLeasePct-BadDebtPct-ConcessionsPct)+LeaseUp!CY$9*(ParkingPerUnitMo+UtilReimbPerUnitMo+OtherIncPerUnitMo)+RetailRentMo*MIN(1,LeaseUp!CY$10/StabilizedOccupancy))*(1-MgmtFeePct)-TotalUnits/12*(ExpInsurancePerUnit+ExpAdminPerUnit)-TotalUnits/12*CY$11*(ExpUtilitiesPerUnit+ExpRMPerUnit+ExpTurnoverPerUnit+ExpContractPerUnit)-TotalUnits/12*CY$12*(ExpPayrollPerUnit+ExpAdvertisingPerUnit),0)</f>
        <v/>
      </c>
      <c r="CZ68" s="218">
        <f>IF(100&gt;=DeliverStart,((BaseMarketRentMo+BaseLowRentMo)*(LeaseUp!CZ$10-LossToLeasePct-BadDebtPct-ConcessionsPct)+LeaseUp!CZ$9*(ParkingPerUnitMo+UtilReimbPerUnitMo+OtherIncPerUnitMo)+RetailRentMo*MIN(1,LeaseUp!CZ$10/StabilizedOccupancy))*(1-MgmtFeePct)-TotalUnits/12*(ExpInsurancePerUnit+ExpAdminPerUnit)-TotalUnits/12*CZ$11*(ExpUtilitiesPerUnit+ExpRMPerUnit+ExpTurnoverPerUnit+ExpContractPerUnit)-TotalUnits/12*CZ$12*(ExpPayrollPerUnit+ExpAdvertisingPerUnit),0)</f>
        <v/>
      </c>
      <c r="DA68" s="218">
        <f>IF(101&gt;=DeliverStart,((BaseMarketRentMo+BaseLowRentMo)*(LeaseUp!DA$10-LossToLeasePct-BadDebtPct-ConcessionsPct)+LeaseUp!DA$9*(ParkingPerUnitMo+UtilReimbPerUnitMo+OtherIncPerUnitMo)+RetailRentMo*MIN(1,LeaseUp!DA$10/StabilizedOccupancy))*(1-MgmtFeePct)-TotalUnits/12*(ExpInsurancePerUnit+ExpAdminPerUnit)-TotalUnits/12*DA$11*(ExpUtilitiesPerUnit+ExpRMPerUnit+ExpTurnoverPerUnit+ExpContractPerUnit)-TotalUnits/12*DA$12*(ExpPayrollPerUnit+ExpAdvertisingPerUnit),0)</f>
        <v/>
      </c>
      <c r="DB68" s="218">
        <f>IF(102&gt;=DeliverStart,((BaseMarketRentMo+BaseLowRentMo)*(LeaseUp!DB$10-LossToLeasePct-BadDebtPct-ConcessionsPct)+LeaseUp!DB$9*(ParkingPerUnitMo+UtilReimbPerUnitMo+OtherIncPerUnitMo)+RetailRentMo*MIN(1,LeaseUp!DB$10/StabilizedOccupancy))*(1-MgmtFeePct)-TotalUnits/12*(ExpInsurancePerUnit+ExpAdminPerUnit)-TotalUnits/12*DB$11*(ExpUtilitiesPerUnit+ExpRMPerUnit+ExpTurnoverPerUnit+ExpContractPerUnit)-TotalUnits/12*DB$12*(ExpPayrollPerUnit+ExpAdvertisingPerUnit),0)</f>
        <v/>
      </c>
      <c r="DC68" s="218">
        <f>IF(103&gt;=DeliverStart,((BaseMarketRentMo+BaseLowRentMo)*(LeaseUp!DC$10-LossToLeasePct-BadDebtPct-ConcessionsPct)+LeaseUp!DC$9*(ParkingPerUnitMo+UtilReimbPerUnitMo+OtherIncPerUnitMo)+RetailRentMo*MIN(1,LeaseUp!DC$10/StabilizedOccupancy))*(1-MgmtFeePct)-TotalUnits/12*(ExpInsurancePerUnit+ExpAdminPerUnit)-TotalUnits/12*DC$11*(ExpUtilitiesPerUnit+ExpRMPerUnit+ExpTurnoverPerUnit+ExpContractPerUnit)-TotalUnits/12*DC$12*(ExpPayrollPerUnit+ExpAdvertisingPerUnit),0)</f>
        <v/>
      </c>
      <c r="DD68" s="218">
        <f>IF(104&gt;=DeliverStart,((BaseMarketRentMo+BaseLowRentMo)*(LeaseUp!DD$10-LossToLeasePct-BadDebtPct-ConcessionsPct)+LeaseUp!DD$9*(ParkingPerUnitMo+UtilReimbPerUnitMo+OtherIncPerUnitMo)+RetailRentMo*MIN(1,LeaseUp!DD$10/StabilizedOccupancy))*(1-MgmtFeePct)-TotalUnits/12*(ExpInsurancePerUnit+ExpAdminPerUnit)-TotalUnits/12*DD$11*(ExpUtilitiesPerUnit+ExpRMPerUnit+ExpTurnoverPerUnit+ExpContractPerUnit)-TotalUnits/12*DD$12*(ExpPayrollPerUnit+ExpAdvertisingPerUnit),0)</f>
        <v/>
      </c>
      <c r="DE68" s="218">
        <f>IF(105&gt;=DeliverStart,((BaseMarketRentMo+BaseLowRentMo)*(LeaseUp!DE$10-LossToLeasePct-BadDebtPct-ConcessionsPct)+LeaseUp!DE$9*(ParkingPerUnitMo+UtilReimbPerUnitMo+OtherIncPerUnitMo)+RetailRentMo*MIN(1,LeaseUp!DE$10/StabilizedOccupancy))*(1-MgmtFeePct)-TotalUnits/12*(ExpInsurancePerUnit+ExpAdminPerUnit)-TotalUnits/12*DE$11*(ExpUtilitiesPerUnit+ExpRMPerUnit+ExpTurnoverPerUnit+ExpContractPerUnit)-TotalUnits/12*DE$12*(ExpPayrollPerUnit+ExpAdvertisingPerUnit),0)</f>
        <v/>
      </c>
      <c r="DF68" s="218">
        <f>IF(106&gt;=DeliverStart,((BaseMarketRentMo+BaseLowRentMo)*(LeaseUp!DF$10-LossToLeasePct-BadDebtPct-ConcessionsPct)+LeaseUp!DF$9*(ParkingPerUnitMo+UtilReimbPerUnitMo+OtherIncPerUnitMo)+RetailRentMo*MIN(1,LeaseUp!DF$10/StabilizedOccupancy))*(1-MgmtFeePct)-TotalUnits/12*(ExpInsurancePerUnit+ExpAdminPerUnit)-TotalUnits/12*DF$11*(ExpUtilitiesPerUnit+ExpRMPerUnit+ExpTurnoverPerUnit+ExpContractPerUnit)-TotalUnits/12*DF$12*(ExpPayrollPerUnit+ExpAdvertisingPerUnit),0)</f>
        <v/>
      </c>
      <c r="DG68" s="218">
        <f>IF(107&gt;=DeliverStart,((BaseMarketRentMo+BaseLowRentMo)*(LeaseUp!DG$10-LossToLeasePct-BadDebtPct-ConcessionsPct)+LeaseUp!DG$9*(ParkingPerUnitMo+UtilReimbPerUnitMo+OtherIncPerUnitMo)+RetailRentMo*MIN(1,LeaseUp!DG$10/StabilizedOccupancy))*(1-MgmtFeePct)-TotalUnits/12*(ExpInsurancePerUnit+ExpAdminPerUnit)-TotalUnits/12*DG$11*(ExpUtilitiesPerUnit+ExpRMPerUnit+ExpTurnoverPerUnit+ExpContractPerUnit)-TotalUnits/12*DG$12*(ExpPayrollPerUnit+ExpAdvertisingPerUnit),0)</f>
        <v/>
      </c>
      <c r="DH68" s="218">
        <f>IF(108&gt;=DeliverStart,((BaseMarketRentMo+BaseLowRentMo)*(LeaseUp!DH$10-LossToLeasePct-BadDebtPct-ConcessionsPct)+LeaseUp!DH$9*(ParkingPerUnitMo+UtilReimbPerUnitMo+OtherIncPerUnitMo)+RetailRentMo*MIN(1,LeaseUp!DH$10/StabilizedOccupancy))*(1-MgmtFeePct)-TotalUnits/12*(ExpInsurancePerUnit+ExpAdminPerUnit)-TotalUnits/12*DH$11*(ExpUtilitiesPerUnit+ExpRMPerUnit+ExpTurnoverPerUnit+ExpContractPerUnit)-TotalUnits/12*DH$12*(ExpPayrollPerUnit+ExpAdvertisingPerUnit),0)</f>
        <v/>
      </c>
      <c r="DI68" s="218">
        <f>IF(109&gt;=DeliverStart,((BaseMarketRentMo+BaseLowRentMo)*(LeaseUp!DI$10-LossToLeasePct-BadDebtPct-ConcessionsPct)+LeaseUp!DI$9*(ParkingPerUnitMo+UtilReimbPerUnitMo+OtherIncPerUnitMo)+RetailRentMo*MIN(1,LeaseUp!DI$10/StabilizedOccupancy))*(1-MgmtFeePct)-TotalUnits/12*(ExpInsurancePerUnit+ExpAdminPerUnit)-TotalUnits/12*DI$11*(ExpUtilitiesPerUnit+ExpRMPerUnit+ExpTurnoverPerUnit+ExpContractPerUnit)-TotalUnits/12*DI$12*(ExpPayrollPerUnit+ExpAdvertisingPerUnit),0)</f>
        <v/>
      </c>
      <c r="DJ68" s="218">
        <f>IF(110&gt;=DeliverStart,((BaseMarketRentMo+BaseLowRentMo)*(LeaseUp!DJ$10-LossToLeasePct-BadDebtPct-ConcessionsPct)+LeaseUp!DJ$9*(ParkingPerUnitMo+UtilReimbPerUnitMo+OtherIncPerUnitMo)+RetailRentMo*MIN(1,LeaseUp!DJ$10/StabilizedOccupancy))*(1-MgmtFeePct)-TotalUnits/12*(ExpInsurancePerUnit+ExpAdminPerUnit)-TotalUnits/12*DJ$11*(ExpUtilitiesPerUnit+ExpRMPerUnit+ExpTurnoverPerUnit+ExpContractPerUnit)-TotalUnits/12*DJ$12*(ExpPayrollPerUnit+ExpAdvertisingPerUnit),0)</f>
        <v/>
      </c>
      <c r="DK68" s="218">
        <f>IF(111&gt;=DeliverStart,((BaseMarketRentMo+BaseLowRentMo)*(LeaseUp!DK$10-LossToLeasePct-BadDebtPct-ConcessionsPct)+LeaseUp!DK$9*(ParkingPerUnitMo+UtilReimbPerUnitMo+OtherIncPerUnitMo)+RetailRentMo*MIN(1,LeaseUp!DK$10/StabilizedOccupancy))*(1-MgmtFeePct)-TotalUnits/12*(ExpInsurancePerUnit+ExpAdminPerUnit)-TotalUnits/12*DK$11*(ExpUtilitiesPerUnit+ExpRMPerUnit+ExpTurnoverPerUnit+ExpContractPerUnit)-TotalUnits/12*DK$12*(ExpPayrollPerUnit+ExpAdvertisingPerUnit),0)</f>
        <v/>
      </c>
      <c r="DL68" s="218">
        <f>IF(112&gt;=DeliverStart,((BaseMarketRentMo+BaseLowRentMo)*(LeaseUp!DL$10-LossToLeasePct-BadDebtPct-ConcessionsPct)+LeaseUp!DL$9*(ParkingPerUnitMo+UtilReimbPerUnitMo+OtherIncPerUnitMo)+RetailRentMo*MIN(1,LeaseUp!DL$10/StabilizedOccupancy))*(1-MgmtFeePct)-TotalUnits/12*(ExpInsurancePerUnit+ExpAdminPerUnit)-TotalUnits/12*DL$11*(ExpUtilitiesPerUnit+ExpRMPerUnit+ExpTurnoverPerUnit+ExpContractPerUnit)-TotalUnits/12*DL$12*(ExpPayrollPerUnit+ExpAdvertisingPerUnit),0)</f>
        <v/>
      </c>
      <c r="DM68" s="218">
        <f>IF(113&gt;=DeliverStart,((BaseMarketRentMo+BaseLowRentMo)*(LeaseUp!DM$10-LossToLeasePct-BadDebtPct-ConcessionsPct)+LeaseUp!DM$9*(ParkingPerUnitMo+UtilReimbPerUnitMo+OtherIncPerUnitMo)+RetailRentMo*MIN(1,LeaseUp!DM$10/StabilizedOccupancy))*(1-MgmtFeePct)-TotalUnits/12*(ExpInsurancePerUnit+ExpAdminPerUnit)-TotalUnits/12*DM$11*(ExpUtilitiesPerUnit+ExpRMPerUnit+ExpTurnoverPerUnit+ExpContractPerUnit)-TotalUnits/12*DM$12*(ExpPayrollPerUnit+ExpAdvertisingPerUnit),0)</f>
        <v/>
      </c>
      <c r="DN68" s="218">
        <f>IF(114&gt;=DeliverStart,((BaseMarketRentMo+BaseLowRentMo)*(LeaseUp!DN$10-LossToLeasePct-BadDebtPct-ConcessionsPct)+LeaseUp!DN$9*(ParkingPerUnitMo+UtilReimbPerUnitMo+OtherIncPerUnitMo)+RetailRentMo*MIN(1,LeaseUp!DN$10/StabilizedOccupancy))*(1-MgmtFeePct)-TotalUnits/12*(ExpInsurancePerUnit+ExpAdminPerUnit)-TotalUnits/12*DN$11*(ExpUtilitiesPerUnit+ExpRMPerUnit+ExpTurnoverPerUnit+ExpContractPerUnit)-TotalUnits/12*DN$12*(ExpPayrollPerUnit+ExpAdvertisingPerUnit),0)</f>
        <v/>
      </c>
      <c r="DO68" s="218">
        <f>IF(115&gt;=DeliverStart,((BaseMarketRentMo+BaseLowRentMo)*(LeaseUp!DO$10-LossToLeasePct-BadDebtPct-ConcessionsPct)+LeaseUp!DO$9*(ParkingPerUnitMo+UtilReimbPerUnitMo+OtherIncPerUnitMo)+RetailRentMo*MIN(1,LeaseUp!DO$10/StabilizedOccupancy))*(1-MgmtFeePct)-TotalUnits/12*(ExpInsurancePerUnit+ExpAdminPerUnit)-TotalUnits/12*DO$11*(ExpUtilitiesPerUnit+ExpRMPerUnit+ExpTurnoverPerUnit+ExpContractPerUnit)-TotalUnits/12*DO$12*(ExpPayrollPerUnit+ExpAdvertisingPerUnit),0)</f>
        <v/>
      </c>
      <c r="DP68" s="218">
        <f>IF(116&gt;=DeliverStart,((BaseMarketRentMo+BaseLowRentMo)*(LeaseUp!DP$10-LossToLeasePct-BadDebtPct-ConcessionsPct)+LeaseUp!DP$9*(ParkingPerUnitMo+UtilReimbPerUnitMo+OtherIncPerUnitMo)+RetailRentMo*MIN(1,LeaseUp!DP$10/StabilizedOccupancy))*(1-MgmtFeePct)-TotalUnits/12*(ExpInsurancePerUnit+ExpAdminPerUnit)-TotalUnits/12*DP$11*(ExpUtilitiesPerUnit+ExpRMPerUnit+ExpTurnoverPerUnit+ExpContractPerUnit)-TotalUnits/12*DP$12*(ExpPayrollPerUnit+ExpAdvertisingPerUnit),0)</f>
        <v/>
      </c>
      <c r="DQ68" s="218">
        <f>IF(117&gt;=DeliverStart,((BaseMarketRentMo+BaseLowRentMo)*(LeaseUp!DQ$10-LossToLeasePct-BadDebtPct-ConcessionsPct)+LeaseUp!DQ$9*(ParkingPerUnitMo+UtilReimbPerUnitMo+OtherIncPerUnitMo)+RetailRentMo*MIN(1,LeaseUp!DQ$10/StabilizedOccupancy))*(1-MgmtFeePct)-TotalUnits/12*(ExpInsurancePerUnit+ExpAdminPerUnit)-TotalUnits/12*DQ$11*(ExpUtilitiesPerUnit+ExpRMPerUnit+ExpTurnoverPerUnit+ExpContractPerUnit)-TotalUnits/12*DQ$12*(ExpPayrollPerUnit+ExpAdvertisingPerUnit),0)</f>
        <v/>
      </c>
      <c r="DR68" s="218">
        <f>IF(118&gt;=DeliverStart,((BaseMarketRentMo+BaseLowRentMo)*(LeaseUp!DR$10-LossToLeasePct-BadDebtPct-ConcessionsPct)+LeaseUp!DR$9*(ParkingPerUnitMo+UtilReimbPerUnitMo+OtherIncPerUnitMo)+RetailRentMo*MIN(1,LeaseUp!DR$10/StabilizedOccupancy))*(1-MgmtFeePct)-TotalUnits/12*(ExpInsurancePerUnit+ExpAdminPerUnit)-TotalUnits/12*DR$11*(ExpUtilitiesPerUnit+ExpRMPerUnit+ExpTurnoverPerUnit+ExpContractPerUnit)-TotalUnits/12*DR$12*(ExpPayrollPerUnit+ExpAdvertisingPerUnit),0)</f>
        <v/>
      </c>
      <c r="DS68" s="218">
        <f>IF(119&gt;=DeliverStart,((BaseMarketRentMo+BaseLowRentMo)*(LeaseUp!DS$10-LossToLeasePct-BadDebtPct-ConcessionsPct)+LeaseUp!DS$9*(ParkingPerUnitMo+UtilReimbPerUnitMo+OtherIncPerUnitMo)+RetailRentMo*MIN(1,LeaseUp!DS$10/StabilizedOccupancy))*(1-MgmtFeePct)-TotalUnits/12*(ExpInsurancePerUnit+ExpAdminPerUnit)-TotalUnits/12*DS$11*(ExpUtilitiesPerUnit+ExpRMPerUnit+ExpTurnoverPerUnit+ExpContractPerUnit)-TotalUnits/12*DS$12*(ExpPayrollPerUnit+ExpAdvertisingPerUnit),0)</f>
        <v/>
      </c>
      <c r="DT68" s="218">
        <f>IF(120&gt;=DeliverStart,((BaseMarketRentMo+BaseLowRentMo)*(LeaseUp!DT$10-LossToLeasePct-BadDebtPct-ConcessionsPct)+LeaseUp!DT$9*(ParkingPerUnitMo+UtilReimbPerUnitMo+OtherIncPerUnitMo)+RetailRentMo*MIN(1,LeaseUp!DT$10/StabilizedOccupancy))*(1-MgmtFeePct)-TotalUnits/12*(ExpInsurancePerUnit+ExpAdminPerUnit)-TotalUnits/12*DT$11*(ExpUtilitiesPerUnit+ExpRMPerUnit+ExpTurnoverPerUnit+ExpContractPerUnit)-TotalUnits/12*DT$12*(ExpPayrollPerUnit+ExpAdvertisingPerUnit),0)</f>
        <v/>
      </c>
      <c r="DU68" s="218">
        <f>IF(121&gt;=DeliverStart,((BaseMarketRentMo+BaseLowRentMo)*(LeaseUp!DU$10-LossToLeasePct-BadDebtPct-ConcessionsPct)+LeaseUp!DU$9*(ParkingPerUnitMo+UtilReimbPerUnitMo+OtherIncPerUnitMo)+RetailRentMo*MIN(1,LeaseUp!DU$10/StabilizedOccupancy))*(1-MgmtFeePct)-TotalUnits/12*(ExpInsurancePerUnit+ExpAdminPerUnit)-TotalUnits/12*DU$11*(ExpUtilitiesPerUnit+ExpRMPerUnit+ExpTurnoverPerUnit+ExpContractPerUnit)-TotalUnits/12*DU$12*(ExpPayrollPerUnit+ExpAdvertisingPerUnit),0)</f>
        <v/>
      </c>
      <c r="DV68" s="218">
        <f>IF(122&gt;=DeliverStart,((BaseMarketRentMo+BaseLowRentMo)*(LeaseUp!DV$10-LossToLeasePct-BadDebtPct-ConcessionsPct)+LeaseUp!DV$9*(ParkingPerUnitMo+UtilReimbPerUnitMo+OtherIncPerUnitMo)+RetailRentMo*MIN(1,LeaseUp!DV$10/StabilizedOccupancy))*(1-MgmtFeePct)-TotalUnits/12*(ExpInsurancePerUnit+ExpAdminPerUnit)-TotalUnits/12*DV$11*(ExpUtilitiesPerUnit+ExpRMPerUnit+ExpTurnoverPerUnit+ExpContractPerUnit)-TotalUnits/12*DV$12*(ExpPayrollPerUnit+ExpAdvertisingPerUnit),0)</f>
        <v/>
      </c>
      <c r="DW68" s="218">
        <f>IF(123&gt;=DeliverStart,((BaseMarketRentMo+BaseLowRentMo)*(LeaseUp!DW$10-LossToLeasePct-BadDebtPct-ConcessionsPct)+LeaseUp!DW$9*(ParkingPerUnitMo+UtilReimbPerUnitMo+OtherIncPerUnitMo)+RetailRentMo*MIN(1,LeaseUp!DW$10/StabilizedOccupancy))*(1-MgmtFeePct)-TotalUnits/12*(ExpInsurancePerUnit+ExpAdminPerUnit)-TotalUnits/12*DW$11*(ExpUtilitiesPerUnit+ExpRMPerUnit+ExpTurnoverPerUnit+ExpContractPerUnit)-TotalUnits/12*DW$12*(ExpPayrollPerUnit+ExpAdvertisingPerUnit),0)</f>
        <v/>
      </c>
      <c r="DX68" s="218">
        <f>IF(124&gt;=DeliverStart,((BaseMarketRentMo+BaseLowRentMo)*(LeaseUp!DX$10-LossToLeasePct-BadDebtPct-ConcessionsPct)+LeaseUp!DX$9*(ParkingPerUnitMo+UtilReimbPerUnitMo+OtherIncPerUnitMo)+RetailRentMo*MIN(1,LeaseUp!DX$10/StabilizedOccupancy))*(1-MgmtFeePct)-TotalUnits/12*(ExpInsurancePerUnit+ExpAdminPerUnit)-TotalUnits/12*DX$11*(ExpUtilitiesPerUnit+ExpRMPerUnit+ExpTurnoverPerUnit+ExpContractPerUnit)-TotalUnits/12*DX$12*(ExpPayrollPerUnit+ExpAdvertisingPerUnit),0)</f>
        <v/>
      </c>
      <c r="DY68" s="218">
        <f>IF(125&gt;=DeliverStart,((BaseMarketRentMo+BaseLowRentMo)*(LeaseUp!DY$10-LossToLeasePct-BadDebtPct-ConcessionsPct)+LeaseUp!DY$9*(ParkingPerUnitMo+UtilReimbPerUnitMo+OtherIncPerUnitMo)+RetailRentMo*MIN(1,LeaseUp!DY$10/StabilizedOccupancy))*(1-MgmtFeePct)-TotalUnits/12*(ExpInsurancePerUnit+ExpAdminPerUnit)-TotalUnits/12*DY$11*(ExpUtilitiesPerUnit+ExpRMPerUnit+ExpTurnoverPerUnit+ExpContractPerUnit)-TotalUnits/12*DY$12*(ExpPayrollPerUnit+ExpAdvertisingPerUnit),0)</f>
        <v/>
      </c>
      <c r="DZ68" s="218">
        <f>IF(126&gt;=DeliverStart,((BaseMarketRentMo+BaseLowRentMo)*(LeaseUp!DZ$10-LossToLeasePct-BadDebtPct-ConcessionsPct)+LeaseUp!DZ$9*(ParkingPerUnitMo+UtilReimbPerUnitMo+OtherIncPerUnitMo)+RetailRentMo*MIN(1,LeaseUp!DZ$10/StabilizedOccupancy))*(1-MgmtFeePct)-TotalUnits/12*(ExpInsurancePerUnit+ExpAdminPerUnit)-TotalUnits/12*DZ$11*(ExpUtilitiesPerUnit+ExpRMPerUnit+ExpTurnoverPerUnit+ExpContractPerUnit)-TotalUnits/12*DZ$12*(ExpPayrollPerUnit+ExpAdvertisingPerUnit),0)</f>
        <v/>
      </c>
      <c r="EA68" s="218">
        <f>IF(127&gt;=DeliverStart,((BaseMarketRentMo+BaseLowRentMo)*(LeaseUp!EA$10-LossToLeasePct-BadDebtPct-ConcessionsPct)+LeaseUp!EA$9*(ParkingPerUnitMo+UtilReimbPerUnitMo+OtherIncPerUnitMo)+RetailRentMo*MIN(1,LeaseUp!EA$10/StabilizedOccupancy))*(1-MgmtFeePct)-TotalUnits/12*(ExpInsurancePerUnit+ExpAdminPerUnit)-TotalUnits/12*EA$11*(ExpUtilitiesPerUnit+ExpRMPerUnit+ExpTurnoverPerUnit+ExpContractPerUnit)-TotalUnits/12*EA$12*(ExpPayrollPerUnit+ExpAdvertisingPerUnit),0)</f>
        <v/>
      </c>
      <c r="EB68" s="218">
        <f>IF(128&gt;=DeliverStart,((BaseMarketRentMo+BaseLowRentMo)*(LeaseUp!EB$10-LossToLeasePct-BadDebtPct-ConcessionsPct)+LeaseUp!EB$9*(ParkingPerUnitMo+UtilReimbPerUnitMo+OtherIncPerUnitMo)+RetailRentMo*MIN(1,LeaseUp!EB$10/StabilizedOccupancy))*(1-MgmtFeePct)-TotalUnits/12*(ExpInsurancePerUnit+ExpAdminPerUnit)-TotalUnits/12*EB$11*(ExpUtilitiesPerUnit+ExpRMPerUnit+ExpTurnoverPerUnit+ExpContractPerUnit)-TotalUnits/12*EB$12*(ExpPayrollPerUnit+ExpAdvertisingPerUnit),0)</f>
        <v/>
      </c>
      <c r="EC68" s="218">
        <f>IF(129&gt;=DeliverStart,((BaseMarketRentMo+BaseLowRentMo)*(LeaseUp!EC$10-LossToLeasePct-BadDebtPct-ConcessionsPct)+LeaseUp!EC$9*(ParkingPerUnitMo+UtilReimbPerUnitMo+OtherIncPerUnitMo)+RetailRentMo*MIN(1,LeaseUp!EC$10/StabilizedOccupancy))*(1-MgmtFeePct)-TotalUnits/12*(ExpInsurancePerUnit+ExpAdminPerUnit)-TotalUnits/12*EC$11*(ExpUtilitiesPerUnit+ExpRMPerUnit+ExpTurnoverPerUnit+ExpContractPerUnit)-TotalUnits/12*EC$12*(ExpPayrollPerUnit+ExpAdvertisingPerUnit),0)</f>
        <v/>
      </c>
      <c r="ED68" s="218">
        <f>IF(130&gt;=DeliverStart,((BaseMarketRentMo+BaseLowRentMo)*(LeaseUp!ED$10-LossToLeasePct-BadDebtPct-ConcessionsPct)+LeaseUp!ED$9*(ParkingPerUnitMo+UtilReimbPerUnitMo+OtherIncPerUnitMo)+RetailRentMo*MIN(1,LeaseUp!ED$10/StabilizedOccupancy))*(1-MgmtFeePct)-TotalUnits/12*(ExpInsurancePerUnit+ExpAdminPerUnit)-TotalUnits/12*ED$11*(ExpUtilitiesPerUnit+ExpRMPerUnit+ExpTurnoverPerUnit+ExpContractPerUnit)-TotalUnits/12*ED$12*(ExpPayrollPerUnit+ExpAdvertisingPerUnit),0)</f>
        <v/>
      </c>
      <c r="EE68" s="218">
        <f>IF(131&gt;=DeliverStart,((BaseMarketRentMo+BaseLowRentMo)*(LeaseUp!EE$10-LossToLeasePct-BadDebtPct-ConcessionsPct)+LeaseUp!EE$9*(ParkingPerUnitMo+UtilReimbPerUnitMo+OtherIncPerUnitMo)+RetailRentMo*MIN(1,LeaseUp!EE$10/StabilizedOccupancy))*(1-MgmtFeePct)-TotalUnits/12*(ExpInsurancePerUnit+ExpAdminPerUnit)-TotalUnits/12*EE$11*(ExpUtilitiesPerUnit+ExpRMPerUnit+ExpTurnoverPerUnit+ExpContractPerUnit)-TotalUnits/12*EE$12*(ExpPayrollPerUnit+ExpAdvertisingPerUnit),0)</f>
        <v/>
      </c>
      <c r="EF68" s="218">
        <f>IF(132&gt;=DeliverStart,((BaseMarketRentMo+BaseLowRentMo)*(LeaseUp!EF$10-LossToLeasePct-BadDebtPct-ConcessionsPct)+LeaseUp!EF$9*(ParkingPerUnitMo+UtilReimbPerUnitMo+OtherIncPerUnitMo)+RetailRentMo*MIN(1,LeaseUp!EF$10/StabilizedOccupancy))*(1-MgmtFeePct)-TotalUnits/12*(ExpInsurancePerUnit+ExpAdminPerUnit)-TotalUnits/12*EF$11*(ExpUtilitiesPerUnit+ExpRMPerUnit+ExpTurnoverPerUnit+ExpContractPerUnit)-TotalUnits/12*EF$12*(ExpPayrollPerUnit+ExpAdvertisingPerUnit),0)</f>
        <v/>
      </c>
      <c r="EG68" s="218">
        <f>IF(133&gt;=DeliverStart,((BaseMarketRentMo+BaseLowRentMo)*(LeaseUp!EG$10-LossToLeasePct-BadDebtPct-ConcessionsPct)+LeaseUp!EG$9*(ParkingPerUnitMo+UtilReimbPerUnitMo+OtherIncPerUnitMo)+RetailRentMo*MIN(1,LeaseUp!EG$10/StabilizedOccupancy))*(1-MgmtFeePct)-TotalUnits/12*(ExpInsurancePerUnit+ExpAdminPerUnit)-TotalUnits/12*EG$11*(ExpUtilitiesPerUnit+ExpRMPerUnit+ExpTurnoverPerUnit+ExpContractPerUnit)-TotalUnits/12*EG$12*(ExpPayrollPerUnit+ExpAdvertisingPerUnit),0)</f>
        <v/>
      </c>
      <c r="EH68" s="218">
        <f>IF(134&gt;=DeliverStart,((BaseMarketRentMo+BaseLowRentMo)*(LeaseUp!EH$10-LossToLeasePct-BadDebtPct-ConcessionsPct)+LeaseUp!EH$9*(ParkingPerUnitMo+UtilReimbPerUnitMo+OtherIncPerUnitMo)+RetailRentMo*MIN(1,LeaseUp!EH$10/StabilizedOccupancy))*(1-MgmtFeePct)-TotalUnits/12*(ExpInsurancePerUnit+ExpAdminPerUnit)-TotalUnits/12*EH$11*(ExpUtilitiesPerUnit+ExpRMPerUnit+ExpTurnoverPerUnit+ExpContractPerUnit)-TotalUnits/12*EH$12*(ExpPayrollPerUnit+ExpAdvertisingPerUnit),0)</f>
        <v/>
      </c>
      <c r="EI68" s="218">
        <f>IF(135&gt;=DeliverStart,((BaseMarketRentMo+BaseLowRentMo)*(LeaseUp!EI$10-LossToLeasePct-BadDebtPct-ConcessionsPct)+LeaseUp!EI$9*(ParkingPerUnitMo+UtilReimbPerUnitMo+OtherIncPerUnitMo)+RetailRentMo*MIN(1,LeaseUp!EI$10/StabilizedOccupancy))*(1-MgmtFeePct)-TotalUnits/12*(ExpInsurancePerUnit+ExpAdminPerUnit)-TotalUnits/12*EI$11*(ExpUtilitiesPerUnit+ExpRMPerUnit+ExpTurnoverPerUnit+ExpContractPerUnit)-TotalUnits/12*EI$12*(ExpPayrollPerUnit+ExpAdvertisingPerUnit),0)</f>
        <v/>
      </c>
      <c r="EJ68" s="218">
        <f>IF(136&gt;=DeliverStart,((BaseMarketRentMo+BaseLowRentMo)*(LeaseUp!EJ$10-LossToLeasePct-BadDebtPct-ConcessionsPct)+LeaseUp!EJ$9*(ParkingPerUnitMo+UtilReimbPerUnitMo+OtherIncPerUnitMo)+RetailRentMo*MIN(1,LeaseUp!EJ$10/StabilizedOccupancy))*(1-MgmtFeePct)-TotalUnits/12*(ExpInsurancePerUnit+ExpAdminPerUnit)-TotalUnits/12*EJ$11*(ExpUtilitiesPerUnit+ExpRMPerUnit+ExpTurnoverPerUnit+ExpContractPerUnit)-TotalUnits/12*EJ$12*(ExpPayrollPerUnit+ExpAdvertisingPerUnit),0)</f>
        <v/>
      </c>
      <c r="EK68" s="218">
        <f>IF(137&gt;=DeliverStart,((BaseMarketRentMo+BaseLowRentMo)*(LeaseUp!EK$10-LossToLeasePct-BadDebtPct-ConcessionsPct)+LeaseUp!EK$9*(ParkingPerUnitMo+UtilReimbPerUnitMo+OtherIncPerUnitMo)+RetailRentMo*MIN(1,LeaseUp!EK$10/StabilizedOccupancy))*(1-MgmtFeePct)-TotalUnits/12*(ExpInsurancePerUnit+ExpAdminPerUnit)-TotalUnits/12*EK$11*(ExpUtilitiesPerUnit+ExpRMPerUnit+ExpTurnoverPerUnit+ExpContractPerUnit)-TotalUnits/12*EK$12*(ExpPayrollPerUnit+ExpAdvertisingPerUnit),0)</f>
        <v/>
      </c>
      <c r="EL68" s="218">
        <f>IF(138&gt;=DeliverStart,((BaseMarketRentMo+BaseLowRentMo)*(LeaseUp!EL$10-LossToLeasePct-BadDebtPct-ConcessionsPct)+LeaseUp!EL$9*(ParkingPerUnitMo+UtilReimbPerUnitMo+OtherIncPerUnitMo)+RetailRentMo*MIN(1,LeaseUp!EL$10/StabilizedOccupancy))*(1-MgmtFeePct)-TotalUnits/12*(ExpInsurancePerUnit+ExpAdminPerUnit)-TotalUnits/12*EL$11*(ExpUtilitiesPerUnit+ExpRMPerUnit+ExpTurnoverPerUnit+ExpContractPerUnit)-TotalUnits/12*EL$12*(ExpPayrollPerUnit+ExpAdvertisingPerUnit),0)</f>
        <v/>
      </c>
      <c r="EM68" s="218">
        <f>IF(139&gt;=DeliverStart,((BaseMarketRentMo+BaseLowRentMo)*(LeaseUp!EM$10-LossToLeasePct-BadDebtPct-ConcessionsPct)+LeaseUp!EM$9*(ParkingPerUnitMo+UtilReimbPerUnitMo+OtherIncPerUnitMo)+RetailRentMo*MIN(1,LeaseUp!EM$10/StabilizedOccupancy))*(1-MgmtFeePct)-TotalUnits/12*(ExpInsurancePerUnit+ExpAdminPerUnit)-TotalUnits/12*EM$11*(ExpUtilitiesPerUnit+ExpRMPerUnit+ExpTurnoverPerUnit+ExpContractPerUnit)-TotalUnits/12*EM$12*(ExpPayrollPerUnit+ExpAdvertisingPerUnit),0)</f>
        <v/>
      </c>
      <c r="EN68" s="218">
        <f>IF(140&gt;=DeliverStart,((BaseMarketRentMo+BaseLowRentMo)*(LeaseUp!EN$10-LossToLeasePct-BadDebtPct-ConcessionsPct)+LeaseUp!EN$9*(ParkingPerUnitMo+UtilReimbPerUnitMo+OtherIncPerUnitMo)+RetailRentMo*MIN(1,LeaseUp!EN$10/StabilizedOccupancy))*(1-MgmtFeePct)-TotalUnits/12*(ExpInsurancePerUnit+ExpAdminPerUnit)-TotalUnits/12*EN$11*(ExpUtilitiesPerUnit+ExpRMPerUnit+ExpTurnoverPerUnit+ExpContractPerUnit)-TotalUnits/12*EN$12*(ExpPayrollPerUnit+ExpAdvertisingPerUnit),0)</f>
        <v/>
      </c>
      <c r="EO68" s="218">
        <f>IF(141&gt;=DeliverStart,((BaseMarketRentMo+BaseLowRentMo)*(LeaseUp!EO$10-LossToLeasePct-BadDebtPct-ConcessionsPct)+LeaseUp!EO$9*(ParkingPerUnitMo+UtilReimbPerUnitMo+OtherIncPerUnitMo)+RetailRentMo*MIN(1,LeaseUp!EO$10/StabilizedOccupancy))*(1-MgmtFeePct)-TotalUnits/12*(ExpInsurancePerUnit+ExpAdminPerUnit)-TotalUnits/12*EO$11*(ExpUtilitiesPerUnit+ExpRMPerUnit+ExpTurnoverPerUnit+ExpContractPerUnit)-TotalUnits/12*EO$12*(ExpPayrollPerUnit+ExpAdvertisingPerUnit),0)</f>
        <v/>
      </c>
      <c r="EP68" s="218">
        <f>IF(142&gt;=DeliverStart,((BaseMarketRentMo+BaseLowRentMo)*(LeaseUp!EP$10-LossToLeasePct-BadDebtPct-ConcessionsPct)+LeaseUp!EP$9*(ParkingPerUnitMo+UtilReimbPerUnitMo+OtherIncPerUnitMo)+RetailRentMo*MIN(1,LeaseUp!EP$10/StabilizedOccupancy))*(1-MgmtFeePct)-TotalUnits/12*(ExpInsurancePerUnit+ExpAdminPerUnit)-TotalUnits/12*EP$11*(ExpUtilitiesPerUnit+ExpRMPerUnit+ExpTurnoverPerUnit+ExpContractPerUnit)-TotalUnits/12*EP$12*(ExpPayrollPerUnit+ExpAdvertisingPerUnit),0)</f>
        <v/>
      </c>
      <c r="EQ68" s="218">
        <f>IF(143&gt;=DeliverStart,((BaseMarketRentMo+BaseLowRentMo)*(LeaseUp!EQ$10-LossToLeasePct-BadDebtPct-ConcessionsPct)+LeaseUp!EQ$9*(ParkingPerUnitMo+UtilReimbPerUnitMo+OtherIncPerUnitMo)+RetailRentMo*MIN(1,LeaseUp!EQ$10/StabilizedOccupancy))*(1-MgmtFeePct)-TotalUnits/12*(ExpInsurancePerUnit+ExpAdminPerUnit)-TotalUnits/12*EQ$11*(ExpUtilitiesPerUnit+ExpRMPerUnit+ExpTurnoverPerUnit+ExpContractPerUnit)-TotalUnits/12*EQ$12*(ExpPayrollPerUnit+ExpAdvertisingPerUnit),0)</f>
        <v/>
      </c>
      <c r="ER68" s="218">
        <f>IF(144&gt;=DeliverStart,((BaseMarketRentMo+BaseLowRentMo)*(LeaseUp!ER$10-LossToLeasePct-BadDebtPct-ConcessionsPct)+LeaseUp!ER$9*(ParkingPerUnitMo+UtilReimbPerUnitMo+OtherIncPerUnitMo)+RetailRentMo*MIN(1,LeaseUp!ER$10/StabilizedOccupancy))*(1-MgmtFeePct)-TotalUnits/12*(ExpInsurancePerUnit+ExpAdminPerUnit)-TotalUnits/12*ER$11*(ExpUtilitiesPerUnit+ExpRMPerUnit+ExpTurnoverPerUnit+ExpContractPerUnit)-TotalUnits/12*ER$12*(ExpPayrollPerUnit+ExpAdvertisingPerUnit),0)</f>
        <v/>
      </c>
      <c r="ES68" s="218">
        <f>IF(145&gt;=DeliverStart,((BaseMarketRentMo+BaseLowRentMo)*(LeaseUp!ES$10-LossToLeasePct-BadDebtPct-ConcessionsPct)+LeaseUp!ES$9*(ParkingPerUnitMo+UtilReimbPerUnitMo+OtherIncPerUnitMo)+RetailRentMo*MIN(1,LeaseUp!ES$10/StabilizedOccupancy))*(1-MgmtFeePct)-TotalUnits/12*(ExpInsurancePerUnit+ExpAdminPerUnit)-TotalUnits/12*ES$11*(ExpUtilitiesPerUnit+ExpRMPerUnit+ExpTurnoverPerUnit+ExpContractPerUnit)-TotalUnits/12*ES$12*(ExpPayrollPerUnit+ExpAdvertisingPerUnit),0)</f>
        <v/>
      </c>
      <c r="ET68" s="218">
        <f>IF(146&gt;=DeliverStart,((BaseMarketRentMo+BaseLowRentMo)*(LeaseUp!ET$10-LossToLeasePct-BadDebtPct-ConcessionsPct)+LeaseUp!ET$9*(ParkingPerUnitMo+UtilReimbPerUnitMo+OtherIncPerUnitMo)+RetailRentMo*MIN(1,LeaseUp!ET$10/StabilizedOccupancy))*(1-MgmtFeePct)-TotalUnits/12*(ExpInsurancePerUnit+ExpAdminPerUnit)-TotalUnits/12*ET$11*(ExpUtilitiesPerUnit+ExpRMPerUnit+ExpTurnoverPerUnit+ExpContractPerUnit)-TotalUnits/12*ET$12*(ExpPayrollPerUnit+ExpAdvertisingPerUnit),0)</f>
        <v/>
      </c>
      <c r="EU68" s="218">
        <f>IF(147&gt;=DeliverStart,((BaseMarketRentMo+BaseLowRentMo)*(LeaseUp!EU$10-LossToLeasePct-BadDebtPct-ConcessionsPct)+LeaseUp!EU$9*(ParkingPerUnitMo+UtilReimbPerUnitMo+OtherIncPerUnitMo)+RetailRentMo*MIN(1,LeaseUp!EU$10/StabilizedOccupancy))*(1-MgmtFeePct)-TotalUnits/12*(ExpInsurancePerUnit+ExpAdminPerUnit)-TotalUnits/12*EU$11*(ExpUtilitiesPerUnit+ExpRMPerUnit+ExpTurnoverPerUnit+ExpContractPerUnit)-TotalUnits/12*EU$12*(ExpPayrollPerUnit+ExpAdvertisingPerUnit),0)</f>
        <v/>
      </c>
      <c r="EV68" s="218">
        <f>IF(148&gt;=DeliverStart,((BaseMarketRentMo+BaseLowRentMo)*(LeaseUp!EV$10-LossToLeasePct-BadDebtPct-ConcessionsPct)+LeaseUp!EV$9*(ParkingPerUnitMo+UtilReimbPerUnitMo+OtherIncPerUnitMo)+RetailRentMo*MIN(1,LeaseUp!EV$10/StabilizedOccupancy))*(1-MgmtFeePct)-TotalUnits/12*(ExpInsurancePerUnit+ExpAdminPerUnit)-TotalUnits/12*EV$11*(ExpUtilitiesPerUnit+ExpRMPerUnit+ExpTurnoverPerUnit+ExpContractPerUnit)-TotalUnits/12*EV$12*(ExpPayrollPerUnit+ExpAdvertisingPerUnit),0)</f>
        <v/>
      </c>
      <c r="EW68" s="218">
        <f>IF(149&gt;=DeliverStart,((BaseMarketRentMo+BaseLowRentMo)*(LeaseUp!EW$10-LossToLeasePct-BadDebtPct-ConcessionsPct)+LeaseUp!EW$9*(ParkingPerUnitMo+UtilReimbPerUnitMo+OtherIncPerUnitMo)+RetailRentMo*MIN(1,LeaseUp!EW$10/StabilizedOccupancy))*(1-MgmtFeePct)-TotalUnits/12*(ExpInsurancePerUnit+ExpAdminPerUnit)-TotalUnits/12*EW$11*(ExpUtilitiesPerUnit+ExpRMPerUnit+ExpTurnoverPerUnit+ExpContractPerUnit)-TotalUnits/12*EW$12*(ExpPayrollPerUnit+ExpAdvertisingPerUnit),0)</f>
        <v/>
      </c>
      <c r="EX68" s="218">
        <f>IF(150&gt;=DeliverStart,((BaseMarketRentMo+BaseLowRentMo)*(LeaseUp!EX$10-LossToLeasePct-BadDebtPct-ConcessionsPct)+LeaseUp!EX$9*(ParkingPerUnitMo+UtilReimbPerUnitMo+OtherIncPerUnitMo)+RetailRentMo*MIN(1,LeaseUp!EX$10/StabilizedOccupancy))*(1-MgmtFeePct)-TotalUnits/12*(ExpInsurancePerUnit+ExpAdminPerUnit)-TotalUnits/12*EX$11*(ExpUtilitiesPerUnit+ExpRMPerUnit+ExpTurnoverPerUnit+ExpContractPerUnit)-TotalUnits/12*EX$12*(ExpPayrollPerUnit+ExpAdvertisingPerUnit),0)</f>
        <v/>
      </c>
      <c r="EY68" s="218">
        <f>IF(151&gt;=DeliverStart,((BaseMarketRentMo+BaseLowRentMo)*(LeaseUp!EY$10-LossToLeasePct-BadDebtPct-ConcessionsPct)+LeaseUp!EY$9*(ParkingPerUnitMo+UtilReimbPerUnitMo+OtherIncPerUnitMo)+RetailRentMo*MIN(1,LeaseUp!EY$10/StabilizedOccupancy))*(1-MgmtFeePct)-TotalUnits/12*(ExpInsurancePerUnit+ExpAdminPerUnit)-TotalUnits/12*EY$11*(ExpUtilitiesPerUnit+ExpRMPerUnit+ExpTurnoverPerUnit+ExpContractPerUnit)-TotalUnits/12*EY$12*(ExpPayrollPerUnit+ExpAdvertisingPerUnit),0)</f>
        <v/>
      </c>
      <c r="EZ68" s="218">
        <f>IF(152&gt;=DeliverStart,((BaseMarketRentMo+BaseLowRentMo)*(LeaseUp!EZ$10-LossToLeasePct-BadDebtPct-ConcessionsPct)+LeaseUp!EZ$9*(ParkingPerUnitMo+UtilReimbPerUnitMo+OtherIncPerUnitMo)+RetailRentMo*MIN(1,LeaseUp!EZ$10/StabilizedOccupancy))*(1-MgmtFeePct)-TotalUnits/12*(ExpInsurancePerUnit+ExpAdminPerUnit)-TotalUnits/12*EZ$11*(ExpUtilitiesPerUnit+ExpRMPerUnit+ExpTurnoverPerUnit+ExpContractPerUnit)-TotalUnits/12*EZ$12*(ExpPayrollPerUnit+ExpAdvertisingPerUnit),0)</f>
        <v/>
      </c>
      <c r="FA68" s="218">
        <f>IF(153&gt;=DeliverStart,((BaseMarketRentMo+BaseLowRentMo)*(LeaseUp!FA$10-LossToLeasePct-BadDebtPct-ConcessionsPct)+LeaseUp!FA$9*(ParkingPerUnitMo+UtilReimbPerUnitMo+OtherIncPerUnitMo)+RetailRentMo*MIN(1,LeaseUp!FA$10/StabilizedOccupancy))*(1-MgmtFeePct)-TotalUnits/12*(ExpInsurancePerUnit+ExpAdminPerUnit)-TotalUnits/12*FA$11*(ExpUtilitiesPerUnit+ExpRMPerUnit+ExpTurnoverPerUnit+ExpContractPerUnit)-TotalUnits/12*FA$12*(ExpPayrollPerUnit+ExpAdvertisingPerUnit),0)</f>
        <v/>
      </c>
      <c r="FB68" s="218">
        <f>IF(154&gt;=DeliverStart,((BaseMarketRentMo+BaseLowRentMo)*(LeaseUp!FB$10-LossToLeasePct-BadDebtPct-ConcessionsPct)+LeaseUp!FB$9*(ParkingPerUnitMo+UtilReimbPerUnitMo+OtherIncPerUnitMo)+RetailRentMo*MIN(1,LeaseUp!FB$10/StabilizedOccupancy))*(1-MgmtFeePct)-TotalUnits/12*(ExpInsurancePerUnit+ExpAdminPerUnit)-TotalUnits/12*FB$11*(ExpUtilitiesPerUnit+ExpRMPerUnit+ExpTurnoverPerUnit+ExpContractPerUnit)-TotalUnits/12*FB$12*(ExpPayrollPerUnit+ExpAdvertisingPerUnit),0)</f>
        <v/>
      </c>
      <c r="FC68" s="218">
        <f>IF(155&gt;=DeliverStart,((BaseMarketRentMo+BaseLowRentMo)*(LeaseUp!FC$10-LossToLeasePct-BadDebtPct-ConcessionsPct)+LeaseUp!FC$9*(ParkingPerUnitMo+UtilReimbPerUnitMo+OtherIncPerUnitMo)+RetailRentMo*MIN(1,LeaseUp!FC$10/StabilizedOccupancy))*(1-MgmtFeePct)-TotalUnits/12*(ExpInsurancePerUnit+ExpAdminPerUnit)-TotalUnits/12*FC$11*(ExpUtilitiesPerUnit+ExpRMPerUnit+ExpTurnoverPerUnit+ExpContractPerUnit)-TotalUnits/12*FC$12*(ExpPayrollPerUnit+ExpAdvertisingPerUnit),0)</f>
        <v/>
      </c>
      <c r="FD68" s="218">
        <f>IF(156&gt;=DeliverStart,((BaseMarketRentMo+BaseLowRentMo)*(LeaseUp!FD$10-LossToLeasePct-BadDebtPct-ConcessionsPct)+LeaseUp!FD$9*(ParkingPerUnitMo+UtilReimbPerUnitMo+OtherIncPerUnitMo)+RetailRentMo*MIN(1,LeaseUp!FD$10/StabilizedOccupancy))*(1-MgmtFeePct)-TotalUnits/12*(ExpInsurancePerUnit+ExpAdminPerUnit)-TotalUnits/12*FD$11*(ExpUtilitiesPerUnit+ExpRMPerUnit+ExpTurnoverPerUnit+ExpContractPerUnit)-TotalUnits/12*FD$12*(ExpPayrollPerUnit+ExpAdvertisingPerUnit),0)</f>
        <v/>
      </c>
      <c r="FE68" s="218">
        <f>IF(157&gt;=DeliverStart,((BaseMarketRentMo+BaseLowRentMo)*(LeaseUp!FE$10-LossToLeasePct-BadDebtPct-ConcessionsPct)+LeaseUp!FE$9*(ParkingPerUnitMo+UtilReimbPerUnitMo+OtherIncPerUnitMo)+RetailRentMo*MIN(1,LeaseUp!FE$10/StabilizedOccupancy))*(1-MgmtFeePct)-TotalUnits/12*(ExpInsurancePerUnit+ExpAdminPerUnit)-TotalUnits/12*FE$11*(ExpUtilitiesPerUnit+ExpRMPerUnit+ExpTurnoverPerUnit+ExpContractPerUnit)-TotalUnits/12*FE$12*(ExpPayrollPerUnit+ExpAdvertisingPerUnit),0)</f>
        <v/>
      </c>
      <c r="FF68" s="218">
        <f>IF(158&gt;=DeliverStart,((BaseMarketRentMo+BaseLowRentMo)*(LeaseUp!FF$10-LossToLeasePct-BadDebtPct-ConcessionsPct)+LeaseUp!FF$9*(ParkingPerUnitMo+UtilReimbPerUnitMo+OtherIncPerUnitMo)+RetailRentMo*MIN(1,LeaseUp!FF$10/StabilizedOccupancy))*(1-MgmtFeePct)-TotalUnits/12*(ExpInsurancePerUnit+ExpAdminPerUnit)-TotalUnits/12*FF$11*(ExpUtilitiesPerUnit+ExpRMPerUnit+ExpTurnoverPerUnit+ExpContractPerUnit)-TotalUnits/12*FF$12*(ExpPayrollPerUnit+ExpAdvertisingPerUnit),0)</f>
        <v/>
      </c>
      <c r="FG68" s="218">
        <f>IF(159&gt;=DeliverStart,((BaseMarketRentMo+BaseLowRentMo)*(LeaseUp!FG$10-LossToLeasePct-BadDebtPct-ConcessionsPct)+LeaseUp!FG$9*(ParkingPerUnitMo+UtilReimbPerUnitMo+OtherIncPerUnitMo)+RetailRentMo*MIN(1,LeaseUp!FG$10/StabilizedOccupancy))*(1-MgmtFeePct)-TotalUnits/12*(ExpInsurancePerUnit+ExpAdminPerUnit)-TotalUnits/12*FG$11*(ExpUtilitiesPerUnit+ExpRMPerUnit+ExpTurnoverPerUnit+ExpContractPerUnit)-TotalUnits/12*FG$12*(ExpPayrollPerUnit+ExpAdvertisingPerUnit),0)</f>
        <v/>
      </c>
      <c r="FH68" s="218">
        <f>IF(160&gt;=DeliverStart,((BaseMarketRentMo+BaseLowRentMo)*(LeaseUp!FH$10-LossToLeasePct-BadDebtPct-ConcessionsPct)+LeaseUp!FH$9*(ParkingPerUnitMo+UtilReimbPerUnitMo+OtherIncPerUnitMo)+RetailRentMo*MIN(1,LeaseUp!FH$10/StabilizedOccupancy))*(1-MgmtFeePct)-TotalUnits/12*(ExpInsurancePerUnit+ExpAdminPerUnit)-TotalUnits/12*FH$11*(ExpUtilitiesPerUnit+ExpRMPerUnit+ExpTurnoverPerUnit+ExpContractPerUnit)-TotalUnits/12*FH$12*(ExpPayrollPerUnit+ExpAdvertisingPerUnit),0)</f>
        <v/>
      </c>
      <c r="FI68" s="218">
        <f>IF(161&gt;=DeliverStart,((BaseMarketRentMo+BaseLowRentMo)*(LeaseUp!FI$10-LossToLeasePct-BadDebtPct-ConcessionsPct)+LeaseUp!FI$9*(ParkingPerUnitMo+UtilReimbPerUnitMo+OtherIncPerUnitMo)+RetailRentMo*MIN(1,LeaseUp!FI$10/StabilizedOccupancy))*(1-MgmtFeePct)-TotalUnits/12*(ExpInsurancePerUnit+ExpAdminPerUnit)-TotalUnits/12*FI$11*(ExpUtilitiesPerUnit+ExpRMPerUnit+ExpTurnoverPerUnit+ExpContractPerUnit)-TotalUnits/12*FI$12*(ExpPayrollPerUnit+ExpAdvertisingPerUnit),0)</f>
        <v/>
      </c>
      <c r="FJ68" s="218">
        <f>IF(162&gt;=DeliverStart,((BaseMarketRentMo+BaseLowRentMo)*(LeaseUp!FJ$10-LossToLeasePct-BadDebtPct-ConcessionsPct)+LeaseUp!FJ$9*(ParkingPerUnitMo+UtilReimbPerUnitMo+OtherIncPerUnitMo)+RetailRentMo*MIN(1,LeaseUp!FJ$10/StabilizedOccupancy))*(1-MgmtFeePct)-TotalUnits/12*(ExpInsurancePerUnit+ExpAdminPerUnit)-TotalUnits/12*FJ$11*(ExpUtilitiesPerUnit+ExpRMPerUnit+ExpTurnoverPerUnit+ExpContractPerUnit)-TotalUnits/12*FJ$12*(ExpPayrollPerUnit+ExpAdvertisingPerUnit),0)</f>
        <v/>
      </c>
      <c r="FK68" s="218">
        <f>IF(163&gt;=DeliverStart,((BaseMarketRentMo+BaseLowRentMo)*(LeaseUp!FK$10-LossToLeasePct-BadDebtPct-ConcessionsPct)+LeaseUp!FK$9*(ParkingPerUnitMo+UtilReimbPerUnitMo+OtherIncPerUnitMo)+RetailRentMo*MIN(1,LeaseUp!FK$10/StabilizedOccupancy))*(1-MgmtFeePct)-TotalUnits/12*(ExpInsurancePerUnit+ExpAdminPerUnit)-TotalUnits/12*FK$11*(ExpUtilitiesPerUnit+ExpRMPerUnit+ExpTurnoverPerUnit+ExpContractPerUnit)-TotalUnits/12*FK$12*(ExpPayrollPerUnit+ExpAdvertisingPerUnit),0)</f>
        <v/>
      </c>
      <c r="FL68" s="218">
        <f>IF(164&gt;=DeliverStart,((BaseMarketRentMo+BaseLowRentMo)*(LeaseUp!FL$10-LossToLeasePct-BadDebtPct-ConcessionsPct)+LeaseUp!FL$9*(ParkingPerUnitMo+UtilReimbPerUnitMo+OtherIncPerUnitMo)+RetailRentMo*MIN(1,LeaseUp!FL$10/StabilizedOccupancy))*(1-MgmtFeePct)-TotalUnits/12*(ExpInsurancePerUnit+ExpAdminPerUnit)-TotalUnits/12*FL$11*(ExpUtilitiesPerUnit+ExpRMPerUnit+ExpTurnoverPerUnit+ExpContractPerUnit)-TotalUnits/12*FL$12*(ExpPayrollPerUnit+ExpAdvertisingPerUnit),0)</f>
        <v/>
      </c>
      <c r="FM68" s="218">
        <f>IF(165&gt;=DeliverStart,((BaseMarketRentMo+BaseLowRentMo)*(LeaseUp!FM$10-LossToLeasePct-BadDebtPct-ConcessionsPct)+LeaseUp!FM$9*(ParkingPerUnitMo+UtilReimbPerUnitMo+OtherIncPerUnitMo)+RetailRentMo*MIN(1,LeaseUp!FM$10/StabilizedOccupancy))*(1-MgmtFeePct)-TotalUnits/12*(ExpInsurancePerUnit+ExpAdminPerUnit)-TotalUnits/12*FM$11*(ExpUtilitiesPerUnit+ExpRMPerUnit+ExpTurnoverPerUnit+ExpContractPerUnit)-TotalUnits/12*FM$12*(ExpPayrollPerUnit+ExpAdvertisingPerUnit),0)</f>
        <v/>
      </c>
      <c r="FN68" s="218">
        <f>IF(166&gt;=DeliverStart,((BaseMarketRentMo+BaseLowRentMo)*(LeaseUp!FN$10-LossToLeasePct-BadDebtPct-ConcessionsPct)+LeaseUp!FN$9*(ParkingPerUnitMo+UtilReimbPerUnitMo+OtherIncPerUnitMo)+RetailRentMo*MIN(1,LeaseUp!FN$10/StabilizedOccupancy))*(1-MgmtFeePct)-TotalUnits/12*(ExpInsurancePerUnit+ExpAdminPerUnit)-TotalUnits/12*FN$11*(ExpUtilitiesPerUnit+ExpRMPerUnit+ExpTurnoverPerUnit+ExpContractPerUnit)-TotalUnits/12*FN$12*(ExpPayrollPerUnit+ExpAdvertisingPerUnit),0)</f>
        <v/>
      </c>
      <c r="FO68" s="218">
        <f>IF(167&gt;=DeliverStart,((BaseMarketRentMo+BaseLowRentMo)*(LeaseUp!FO$10-LossToLeasePct-BadDebtPct-ConcessionsPct)+LeaseUp!FO$9*(ParkingPerUnitMo+UtilReimbPerUnitMo+OtherIncPerUnitMo)+RetailRentMo*MIN(1,LeaseUp!FO$10/StabilizedOccupancy))*(1-MgmtFeePct)-TotalUnits/12*(ExpInsurancePerUnit+ExpAdminPerUnit)-TotalUnits/12*FO$11*(ExpUtilitiesPerUnit+ExpRMPerUnit+ExpTurnoverPerUnit+ExpContractPerUnit)-TotalUnits/12*FO$12*(ExpPayrollPerUnit+ExpAdvertisingPerUnit),0)</f>
        <v/>
      </c>
      <c r="FP68" s="218">
        <f>IF(168&gt;=DeliverStart,((BaseMarketRentMo+BaseLowRentMo)*(LeaseUp!FP$10-LossToLeasePct-BadDebtPct-ConcessionsPct)+LeaseUp!FP$9*(ParkingPerUnitMo+UtilReimbPerUnitMo+OtherIncPerUnitMo)+RetailRentMo*MIN(1,LeaseUp!FP$10/StabilizedOccupancy))*(1-MgmtFeePct)-TotalUnits/12*(ExpInsurancePerUnit+ExpAdminPerUnit)-TotalUnits/12*FP$11*(ExpUtilitiesPerUnit+ExpRMPerUnit+ExpTurnoverPerUnit+ExpContractPerUnit)-TotalUnits/12*FP$12*(ExpPayrollPerUnit+ExpAdvertisingPerUnit),0)</f>
        <v/>
      </c>
      <c r="FQ68" s="218">
        <f>IF(169&gt;=DeliverStart,((BaseMarketRentMo+BaseLowRentMo)*(LeaseUp!FQ$10-LossToLeasePct-BadDebtPct-ConcessionsPct)+LeaseUp!FQ$9*(ParkingPerUnitMo+UtilReimbPerUnitMo+OtherIncPerUnitMo)+RetailRentMo*MIN(1,LeaseUp!FQ$10/StabilizedOccupancy))*(1-MgmtFeePct)-TotalUnits/12*(ExpInsurancePerUnit+ExpAdminPerUnit)-TotalUnits/12*FQ$11*(ExpUtilitiesPerUnit+ExpRMPerUnit+ExpTurnoverPerUnit+ExpContractPerUnit)-TotalUnits/12*FQ$12*(ExpPayrollPerUnit+ExpAdvertisingPerUnit),0)</f>
        <v/>
      </c>
      <c r="FR68" s="218">
        <f>IF(170&gt;=DeliverStart,((BaseMarketRentMo+BaseLowRentMo)*(LeaseUp!FR$10-LossToLeasePct-BadDebtPct-ConcessionsPct)+LeaseUp!FR$9*(ParkingPerUnitMo+UtilReimbPerUnitMo+OtherIncPerUnitMo)+RetailRentMo*MIN(1,LeaseUp!FR$10/StabilizedOccupancy))*(1-MgmtFeePct)-TotalUnits/12*(ExpInsurancePerUnit+ExpAdminPerUnit)-TotalUnits/12*FR$11*(ExpUtilitiesPerUnit+ExpRMPerUnit+ExpTurnoverPerUnit+ExpContractPerUnit)-TotalUnits/12*FR$12*(ExpPayrollPerUnit+ExpAdvertisingPerUnit),0)</f>
        <v/>
      </c>
      <c r="FS68" s="218">
        <f>IF(171&gt;=DeliverStart,((BaseMarketRentMo+BaseLowRentMo)*(LeaseUp!FS$10-LossToLeasePct-BadDebtPct-ConcessionsPct)+LeaseUp!FS$9*(ParkingPerUnitMo+UtilReimbPerUnitMo+OtherIncPerUnitMo)+RetailRentMo*MIN(1,LeaseUp!FS$10/StabilizedOccupancy))*(1-MgmtFeePct)-TotalUnits/12*(ExpInsurancePerUnit+ExpAdminPerUnit)-TotalUnits/12*FS$11*(ExpUtilitiesPerUnit+ExpRMPerUnit+ExpTurnoverPerUnit+ExpContractPerUnit)-TotalUnits/12*FS$12*(ExpPayrollPerUnit+ExpAdvertisingPerUnit),0)</f>
        <v/>
      </c>
      <c r="FT68" s="218">
        <f>IF(172&gt;=DeliverStart,((BaseMarketRentMo+BaseLowRentMo)*(LeaseUp!FT$10-LossToLeasePct-BadDebtPct-ConcessionsPct)+LeaseUp!FT$9*(ParkingPerUnitMo+UtilReimbPerUnitMo+OtherIncPerUnitMo)+RetailRentMo*MIN(1,LeaseUp!FT$10/StabilizedOccupancy))*(1-MgmtFeePct)-TotalUnits/12*(ExpInsurancePerUnit+ExpAdminPerUnit)-TotalUnits/12*FT$11*(ExpUtilitiesPerUnit+ExpRMPerUnit+ExpTurnoverPerUnit+ExpContractPerUnit)-TotalUnits/12*FT$12*(ExpPayrollPerUnit+ExpAdvertisingPerUnit),0)</f>
        <v/>
      </c>
      <c r="FU68" s="218">
        <f>IF(173&gt;=DeliverStart,((BaseMarketRentMo+BaseLowRentMo)*(LeaseUp!FU$10-LossToLeasePct-BadDebtPct-ConcessionsPct)+LeaseUp!FU$9*(ParkingPerUnitMo+UtilReimbPerUnitMo+OtherIncPerUnitMo)+RetailRentMo*MIN(1,LeaseUp!FU$10/StabilizedOccupancy))*(1-MgmtFeePct)-TotalUnits/12*(ExpInsurancePerUnit+ExpAdminPerUnit)-TotalUnits/12*FU$11*(ExpUtilitiesPerUnit+ExpRMPerUnit+ExpTurnoverPerUnit+ExpContractPerUnit)-TotalUnits/12*FU$12*(ExpPayrollPerUnit+ExpAdvertisingPerUnit),0)</f>
        <v/>
      </c>
      <c r="FV68" s="218">
        <f>IF(174&gt;=DeliverStart,((BaseMarketRentMo+BaseLowRentMo)*(LeaseUp!FV$10-LossToLeasePct-BadDebtPct-ConcessionsPct)+LeaseUp!FV$9*(ParkingPerUnitMo+UtilReimbPerUnitMo+OtherIncPerUnitMo)+RetailRentMo*MIN(1,LeaseUp!FV$10/StabilizedOccupancy))*(1-MgmtFeePct)-TotalUnits/12*(ExpInsurancePerUnit+ExpAdminPerUnit)-TotalUnits/12*FV$11*(ExpUtilitiesPerUnit+ExpRMPerUnit+ExpTurnoverPerUnit+ExpContractPerUnit)-TotalUnits/12*FV$12*(ExpPayrollPerUnit+ExpAdvertisingPerUnit),0)</f>
        <v/>
      </c>
      <c r="FW68" s="218">
        <f>IF(175&gt;=DeliverStart,((BaseMarketRentMo+BaseLowRentMo)*(LeaseUp!FW$10-LossToLeasePct-BadDebtPct-ConcessionsPct)+LeaseUp!FW$9*(ParkingPerUnitMo+UtilReimbPerUnitMo+OtherIncPerUnitMo)+RetailRentMo*MIN(1,LeaseUp!FW$10/StabilizedOccupancy))*(1-MgmtFeePct)-TotalUnits/12*(ExpInsurancePerUnit+ExpAdminPerUnit)-TotalUnits/12*FW$11*(ExpUtilitiesPerUnit+ExpRMPerUnit+ExpTurnoverPerUnit+ExpContractPerUnit)-TotalUnits/12*FW$12*(ExpPayrollPerUnit+ExpAdvertisingPerUnit),0)</f>
        <v/>
      </c>
      <c r="FX68" s="218">
        <f>IF(176&gt;=DeliverStart,((BaseMarketRentMo+BaseLowRentMo)*(LeaseUp!FX$10-LossToLeasePct-BadDebtPct-ConcessionsPct)+LeaseUp!FX$9*(ParkingPerUnitMo+UtilReimbPerUnitMo+OtherIncPerUnitMo)+RetailRentMo*MIN(1,LeaseUp!FX$10/StabilizedOccupancy))*(1-MgmtFeePct)-TotalUnits/12*(ExpInsurancePerUnit+ExpAdminPerUnit)-TotalUnits/12*FX$11*(ExpUtilitiesPerUnit+ExpRMPerUnit+ExpTurnoverPerUnit+ExpContractPerUnit)-TotalUnits/12*FX$12*(ExpPayrollPerUnit+ExpAdvertisingPerUnit),0)</f>
        <v/>
      </c>
      <c r="FY68" s="218">
        <f>IF(177&gt;=DeliverStart,((BaseMarketRentMo+BaseLowRentMo)*(LeaseUp!FY$10-LossToLeasePct-BadDebtPct-ConcessionsPct)+LeaseUp!FY$9*(ParkingPerUnitMo+UtilReimbPerUnitMo+OtherIncPerUnitMo)+RetailRentMo*MIN(1,LeaseUp!FY$10/StabilizedOccupancy))*(1-MgmtFeePct)-TotalUnits/12*(ExpInsurancePerUnit+ExpAdminPerUnit)-TotalUnits/12*FY$11*(ExpUtilitiesPerUnit+ExpRMPerUnit+ExpTurnoverPerUnit+ExpContractPerUnit)-TotalUnits/12*FY$12*(ExpPayrollPerUnit+ExpAdvertisingPerUnit),0)</f>
        <v/>
      </c>
      <c r="FZ68" s="218">
        <f>IF(178&gt;=DeliverStart,((BaseMarketRentMo+BaseLowRentMo)*(LeaseUp!FZ$10-LossToLeasePct-BadDebtPct-ConcessionsPct)+LeaseUp!FZ$9*(ParkingPerUnitMo+UtilReimbPerUnitMo+OtherIncPerUnitMo)+RetailRentMo*MIN(1,LeaseUp!FZ$10/StabilizedOccupancy))*(1-MgmtFeePct)-TotalUnits/12*(ExpInsurancePerUnit+ExpAdminPerUnit)-TotalUnits/12*FZ$11*(ExpUtilitiesPerUnit+ExpRMPerUnit+ExpTurnoverPerUnit+ExpContractPerUnit)-TotalUnits/12*FZ$12*(ExpPayrollPerUnit+ExpAdvertisingPerUnit),0)</f>
        <v/>
      </c>
      <c r="GA68" s="218">
        <f>IF(179&gt;=DeliverStart,((BaseMarketRentMo+BaseLowRentMo)*(LeaseUp!GA$10-LossToLeasePct-BadDebtPct-ConcessionsPct)+LeaseUp!GA$9*(ParkingPerUnitMo+UtilReimbPerUnitMo+OtherIncPerUnitMo)+RetailRentMo*MIN(1,LeaseUp!GA$10/StabilizedOccupancy))*(1-MgmtFeePct)-TotalUnits/12*(ExpInsurancePerUnit+ExpAdminPerUnit)-TotalUnits/12*GA$11*(ExpUtilitiesPerUnit+ExpRMPerUnit+ExpTurnoverPerUnit+ExpContractPerUnit)-TotalUnits/12*GA$12*(ExpPayrollPerUnit+ExpAdvertisingPerUnit),0)</f>
        <v/>
      </c>
      <c r="GB68" s="218">
        <f>IF(180&gt;=DeliverStart,((BaseMarketRentMo+BaseLowRentMo)*(LeaseUp!GB$10-LossToLeasePct-BadDebtPct-ConcessionsPct)+LeaseUp!GB$9*(ParkingPerUnitMo+UtilReimbPerUnitMo+OtherIncPerUnitMo)+RetailRentMo*MIN(1,LeaseUp!GB$10/StabilizedOccupancy))*(1-MgmtFeePct)-TotalUnits/12*(ExpInsurancePerUnit+ExpAdminPerUnit)-TotalUnits/12*GB$11*(ExpUtilitiesPerUnit+ExpRMPerUnit+ExpTurnoverPerUnit+ExpContractPerUnit)-TotalUnits/12*GB$12*(ExpPayrollPerUnit+ExpAdvertisingPerUnit),0)</f>
        <v/>
      </c>
      <c r="GC68" s="218">
        <f>IF(181&gt;=DeliverStart,((BaseMarketRentMo+BaseLowRentMo)*(LeaseUp!GC$10-LossToLeasePct-BadDebtPct-ConcessionsPct)+LeaseUp!GC$9*(ParkingPerUnitMo+UtilReimbPerUnitMo+OtherIncPerUnitMo)+RetailRentMo*MIN(1,LeaseUp!GC$10/StabilizedOccupancy))*(1-MgmtFeePct)-TotalUnits/12*(ExpInsurancePerUnit+ExpAdminPerUnit)-TotalUnits/12*GC$11*(ExpUtilitiesPerUnit+ExpRMPerUnit+ExpTurnoverPerUnit+ExpContractPerUnit)-TotalUnits/12*GC$12*(ExpPayrollPerUnit+ExpAdvertisingPerUnit),0)</f>
        <v/>
      </c>
      <c r="GD68" s="218">
        <f>IF(182&gt;=DeliverStart,((BaseMarketRentMo+BaseLowRentMo)*(LeaseUp!GD$10-LossToLeasePct-BadDebtPct-ConcessionsPct)+LeaseUp!GD$9*(ParkingPerUnitMo+UtilReimbPerUnitMo+OtherIncPerUnitMo)+RetailRentMo*MIN(1,LeaseUp!GD$10/StabilizedOccupancy))*(1-MgmtFeePct)-TotalUnits/12*(ExpInsurancePerUnit+ExpAdminPerUnit)-TotalUnits/12*GD$11*(ExpUtilitiesPerUnit+ExpRMPerUnit+ExpTurnoverPerUnit+ExpContractPerUnit)-TotalUnits/12*GD$12*(ExpPayrollPerUnit+ExpAdvertisingPerUnit),0)</f>
        <v/>
      </c>
      <c r="GE68" s="218">
        <f>IF(183&gt;=DeliverStart,((BaseMarketRentMo+BaseLowRentMo)*(LeaseUp!GE$10-LossToLeasePct-BadDebtPct-ConcessionsPct)+LeaseUp!GE$9*(ParkingPerUnitMo+UtilReimbPerUnitMo+OtherIncPerUnitMo)+RetailRentMo*MIN(1,LeaseUp!GE$10/StabilizedOccupancy))*(1-MgmtFeePct)-TotalUnits/12*(ExpInsurancePerUnit+ExpAdminPerUnit)-TotalUnits/12*GE$11*(ExpUtilitiesPerUnit+ExpRMPerUnit+ExpTurnoverPerUnit+ExpContractPerUnit)-TotalUnits/12*GE$12*(ExpPayrollPerUnit+ExpAdvertisingPerUnit),0)</f>
        <v/>
      </c>
      <c r="GF68" s="218">
        <f>IF(184&gt;=DeliverStart,((BaseMarketRentMo+BaseLowRentMo)*(LeaseUp!GF$10-LossToLeasePct-BadDebtPct-ConcessionsPct)+LeaseUp!GF$9*(ParkingPerUnitMo+UtilReimbPerUnitMo+OtherIncPerUnitMo)+RetailRentMo*MIN(1,LeaseUp!GF$10/StabilizedOccupancy))*(1-MgmtFeePct)-TotalUnits/12*(ExpInsurancePerUnit+ExpAdminPerUnit)-TotalUnits/12*GF$11*(ExpUtilitiesPerUnit+ExpRMPerUnit+ExpTurnoverPerUnit+ExpContractPerUnit)-TotalUnits/12*GF$12*(ExpPayrollPerUnit+ExpAdvertisingPerUnit),0)</f>
        <v/>
      </c>
      <c r="GG68" s="218">
        <f>IF(185&gt;=DeliverStart,((BaseMarketRentMo+BaseLowRentMo)*(LeaseUp!GG$10-LossToLeasePct-BadDebtPct-ConcessionsPct)+LeaseUp!GG$9*(ParkingPerUnitMo+UtilReimbPerUnitMo+OtherIncPerUnitMo)+RetailRentMo*MIN(1,LeaseUp!GG$10/StabilizedOccupancy))*(1-MgmtFeePct)-TotalUnits/12*(ExpInsurancePerUnit+ExpAdminPerUnit)-TotalUnits/12*GG$11*(ExpUtilitiesPerUnit+ExpRMPerUnit+ExpTurnoverPerUnit+ExpContractPerUnit)-TotalUnits/12*GG$12*(ExpPayrollPerUnit+ExpAdvertisingPerUnit),0)</f>
        <v/>
      </c>
      <c r="GH68" s="218">
        <f>IF(186&gt;=DeliverStart,((BaseMarketRentMo+BaseLowRentMo)*(LeaseUp!GH$10-LossToLeasePct-BadDebtPct-ConcessionsPct)+LeaseUp!GH$9*(ParkingPerUnitMo+UtilReimbPerUnitMo+OtherIncPerUnitMo)+RetailRentMo*MIN(1,LeaseUp!GH$10/StabilizedOccupancy))*(1-MgmtFeePct)-TotalUnits/12*(ExpInsurancePerUnit+ExpAdminPerUnit)-TotalUnits/12*GH$11*(ExpUtilitiesPerUnit+ExpRMPerUnit+ExpTurnoverPerUnit+ExpContractPerUnit)-TotalUnits/12*GH$12*(ExpPayrollPerUnit+ExpAdvertisingPerUnit),0)</f>
        <v/>
      </c>
      <c r="GI68" s="218">
        <f>IF(187&gt;=DeliverStart,((BaseMarketRentMo+BaseLowRentMo)*(LeaseUp!GI$10-LossToLeasePct-BadDebtPct-ConcessionsPct)+LeaseUp!GI$9*(ParkingPerUnitMo+UtilReimbPerUnitMo+OtherIncPerUnitMo)+RetailRentMo*MIN(1,LeaseUp!GI$10/StabilizedOccupancy))*(1-MgmtFeePct)-TotalUnits/12*(ExpInsurancePerUnit+ExpAdminPerUnit)-TotalUnits/12*GI$11*(ExpUtilitiesPerUnit+ExpRMPerUnit+ExpTurnoverPerUnit+ExpContractPerUnit)-TotalUnits/12*GI$12*(ExpPayrollPerUnit+ExpAdvertisingPerUnit),0)</f>
        <v/>
      </c>
      <c r="GJ68" s="218">
        <f>IF(188&gt;=DeliverStart,((BaseMarketRentMo+BaseLowRentMo)*(LeaseUp!GJ$10-LossToLeasePct-BadDebtPct-ConcessionsPct)+LeaseUp!GJ$9*(ParkingPerUnitMo+UtilReimbPerUnitMo+OtherIncPerUnitMo)+RetailRentMo*MIN(1,LeaseUp!GJ$10/StabilizedOccupancy))*(1-MgmtFeePct)-TotalUnits/12*(ExpInsurancePerUnit+ExpAdminPerUnit)-TotalUnits/12*GJ$11*(ExpUtilitiesPerUnit+ExpRMPerUnit+ExpTurnoverPerUnit+ExpContractPerUnit)-TotalUnits/12*GJ$12*(ExpPayrollPerUnit+ExpAdvertisingPerUnit),0)</f>
        <v/>
      </c>
      <c r="GK68" s="218">
        <f>IF(189&gt;=DeliverStart,((BaseMarketRentMo+BaseLowRentMo)*(LeaseUp!GK$10-LossToLeasePct-BadDebtPct-ConcessionsPct)+LeaseUp!GK$9*(ParkingPerUnitMo+UtilReimbPerUnitMo+OtherIncPerUnitMo)+RetailRentMo*MIN(1,LeaseUp!GK$10/StabilizedOccupancy))*(1-MgmtFeePct)-TotalUnits/12*(ExpInsurancePerUnit+ExpAdminPerUnit)-TotalUnits/12*GK$11*(ExpUtilitiesPerUnit+ExpRMPerUnit+ExpTurnoverPerUnit+ExpContractPerUnit)-TotalUnits/12*GK$12*(ExpPayrollPerUnit+ExpAdvertisingPerUnit),0)</f>
        <v/>
      </c>
      <c r="GL68" s="218">
        <f>IF(190&gt;=DeliverStart,((BaseMarketRentMo+BaseLowRentMo)*(LeaseUp!GL$10-LossToLeasePct-BadDebtPct-ConcessionsPct)+LeaseUp!GL$9*(ParkingPerUnitMo+UtilReimbPerUnitMo+OtherIncPerUnitMo)+RetailRentMo*MIN(1,LeaseUp!GL$10/StabilizedOccupancy))*(1-MgmtFeePct)-TotalUnits/12*(ExpInsurancePerUnit+ExpAdminPerUnit)-TotalUnits/12*GL$11*(ExpUtilitiesPerUnit+ExpRMPerUnit+ExpTurnoverPerUnit+ExpContractPerUnit)-TotalUnits/12*GL$12*(ExpPayrollPerUnit+ExpAdvertisingPerUnit),0)</f>
        <v/>
      </c>
      <c r="GM68" s="218">
        <f>IF(191&gt;=DeliverStart,((BaseMarketRentMo+BaseLowRentMo)*(LeaseUp!GM$10-LossToLeasePct-BadDebtPct-ConcessionsPct)+LeaseUp!GM$9*(ParkingPerUnitMo+UtilReimbPerUnitMo+OtherIncPerUnitMo)+RetailRentMo*MIN(1,LeaseUp!GM$10/StabilizedOccupancy))*(1-MgmtFeePct)-TotalUnits/12*(ExpInsurancePerUnit+ExpAdminPerUnit)-TotalUnits/12*GM$11*(ExpUtilitiesPerUnit+ExpRMPerUnit+ExpTurnoverPerUnit+ExpContractPerUnit)-TotalUnits/12*GM$12*(ExpPayrollPerUnit+ExpAdvertisingPerUnit),0)</f>
        <v/>
      </c>
      <c r="GN68" s="218">
        <f>IF(192&gt;=DeliverStart,((BaseMarketRentMo+BaseLowRentMo)*(LeaseUp!GN$10-LossToLeasePct-BadDebtPct-ConcessionsPct)+LeaseUp!GN$9*(ParkingPerUnitMo+UtilReimbPerUnitMo+OtherIncPerUnitMo)+RetailRentMo*MIN(1,LeaseUp!GN$10/StabilizedOccupancy))*(1-MgmtFeePct)-TotalUnits/12*(ExpInsurancePerUnit+ExpAdminPerUnit)-TotalUnits/12*GN$11*(ExpUtilitiesPerUnit+ExpRMPerUnit+ExpTurnoverPerUnit+ExpContractPerUnit)-TotalUnits/12*GN$12*(ExpPayrollPerUnit+ExpAdvertisingPerUnit),0)</f>
        <v/>
      </c>
      <c r="GO68" s="218">
        <f>IF(193&gt;=DeliverStart,((BaseMarketRentMo+BaseLowRentMo)*(LeaseUp!GO$10-LossToLeasePct-BadDebtPct-ConcessionsPct)+LeaseUp!GO$9*(ParkingPerUnitMo+UtilReimbPerUnitMo+OtherIncPerUnitMo)+RetailRentMo*MIN(1,LeaseUp!GO$10/StabilizedOccupancy))*(1-MgmtFeePct)-TotalUnits/12*(ExpInsurancePerUnit+ExpAdminPerUnit)-TotalUnits/12*GO$11*(ExpUtilitiesPerUnit+ExpRMPerUnit+ExpTurnoverPerUnit+ExpContractPerUnit)-TotalUnits/12*GO$12*(ExpPayrollPerUnit+ExpAdvertisingPerUnit),0)</f>
        <v/>
      </c>
      <c r="GP68" s="218">
        <f>IF(194&gt;=DeliverStart,((BaseMarketRentMo+BaseLowRentMo)*(LeaseUp!GP$10-LossToLeasePct-BadDebtPct-ConcessionsPct)+LeaseUp!GP$9*(ParkingPerUnitMo+UtilReimbPerUnitMo+OtherIncPerUnitMo)+RetailRentMo*MIN(1,LeaseUp!GP$10/StabilizedOccupancy))*(1-MgmtFeePct)-TotalUnits/12*(ExpInsurancePerUnit+ExpAdminPerUnit)-TotalUnits/12*GP$11*(ExpUtilitiesPerUnit+ExpRMPerUnit+ExpTurnoverPerUnit+ExpContractPerUnit)-TotalUnits/12*GP$12*(ExpPayrollPerUnit+ExpAdvertisingPerUnit),0)</f>
        <v/>
      </c>
      <c r="GQ68" s="218">
        <f>IF(195&gt;=DeliverStart,((BaseMarketRentMo+BaseLowRentMo)*(LeaseUp!GQ$10-LossToLeasePct-BadDebtPct-ConcessionsPct)+LeaseUp!GQ$9*(ParkingPerUnitMo+UtilReimbPerUnitMo+OtherIncPerUnitMo)+RetailRentMo*MIN(1,LeaseUp!GQ$10/StabilizedOccupancy))*(1-MgmtFeePct)-TotalUnits/12*(ExpInsurancePerUnit+ExpAdminPerUnit)-TotalUnits/12*GQ$11*(ExpUtilitiesPerUnit+ExpRMPerUnit+ExpTurnoverPerUnit+ExpContractPerUnit)-TotalUnits/12*GQ$12*(ExpPayrollPerUnit+ExpAdvertisingPerUnit),0)</f>
        <v/>
      </c>
      <c r="GR68" s="218">
        <f>IF(196&gt;=DeliverStart,((BaseMarketRentMo+BaseLowRentMo)*(LeaseUp!GR$10-LossToLeasePct-BadDebtPct-ConcessionsPct)+LeaseUp!GR$9*(ParkingPerUnitMo+UtilReimbPerUnitMo+OtherIncPerUnitMo)+RetailRentMo*MIN(1,LeaseUp!GR$10/StabilizedOccupancy))*(1-MgmtFeePct)-TotalUnits/12*(ExpInsurancePerUnit+ExpAdminPerUnit)-TotalUnits/12*GR$11*(ExpUtilitiesPerUnit+ExpRMPerUnit+ExpTurnoverPerUnit+ExpContractPerUnit)-TotalUnits/12*GR$12*(ExpPayrollPerUnit+ExpAdvertisingPerUnit),0)</f>
        <v/>
      </c>
      <c r="GS68" s="218">
        <f>IF(197&gt;=DeliverStart,((BaseMarketRentMo+BaseLowRentMo)*(LeaseUp!GS$10-LossToLeasePct-BadDebtPct-ConcessionsPct)+LeaseUp!GS$9*(ParkingPerUnitMo+UtilReimbPerUnitMo+OtherIncPerUnitMo)+RetailRentMo*MIN(1,LeaseUp!GS$10/StabilizedOccupancy))*(1-MgmtFeePct)-TotalUnits/12*(ExpInsurancePerUnit+ExpAdminPerUnit)-TotalUnits/12*GS$11*(ExpUtilitiesPerUnit+ExpRMPerUnit+ExpTurnoverPerUnit+ExpContractPerUnit)-TotalUnits/12*GS$12*(ExpPayrollPerUnit+ExpAdvertisingPerUnit),0)</f>
        <v/>
      </c>
      <c r="GT68" s="218">
        <f>IF(198&gt;=DeliverStart,((BaseMarketRentMo+BaseLowRentMo)*(LeaseUp!GT$10-LossToLeasePct-BadDebtPct-ConcessionsPct)+LeaseUp!GT$9*(ParkingPerUnitMo+UtilReimbPerUnitMo+OtherIncPerUnitMo)+RetailRentMo*MIN(1,LeaseUp!GT$10/StabilizedOccupancy))*(1-MgmtFeePct)-TotalUnits/12*(ExpInsurancePerUnit+ExpAdminPerUnit)-TotalUnits/12*GT$11*(ExpUtilitiesPerUnit+ExpRMPerUnit+ExpTurnoverPerUnit+ExpContractPerUnit)-TotalUnits/12*GT$12*(ExpPayrollPerUnit+ExpAdvertisingPerUnit),0)</f>
        <v/>
      </c>
      <c r="GU68" s="218">
        <f>IF(199&gt;=DeliverStart,((BaseMarketRentMo+BaseLowRentMo)*(LeaseUp!GU$10-LossToLeasePct-BadDebtPct-ConcessionsPct)+LeaseUp!GU$9*(ParkingPerUnitMo+UtilReimbPerUnitMo+OtherIncPerUnitMo)+RetailRentMo*MIN(1,LeaseUp!GU$10/StabilizedOccupancy))*(1-MgmtFeePct)-TotalUnits/12*(ExpInsurancePerUnit+ExpAdminPerUnit)-TotalUnits/12*GU$11*(ExpUtilitiesPerUnit+ExpRMPerUnit+ExpTurnoverPerUnit+ExpContractPerUnit)-TotalUnits/12*GU$12*(ExpPayrollPerUnit+ExpAdvertisingPerUnit),0)</f>
        <v/>
      </c>
      <c r="GV68" s="218">
        <f>IF(200&gt;=DeliverStart,((BaseMarketRentMo+BaseLowRentMo)*(LeaseUp!GV$10-LossToLeasePct-BadDebtPct-ConcessionsPct)+LeaseUp!GV$9*(ParkingPerUnitMo+UtilReimbPerUnitMo+OtherIncPerUnitMo)+RetailRentMo*MIN(1,LeaseUp!GV$10/StabilizedOccupancy))*(1-MgmtFeePct)-TotalUnits/12*(ExpInsurancePerUnit+ExpAdminPerUnit)-TotalUnits/12*GV$11*(ExpUtilitiesPerUnit+ExpRMPerUnit+ExpTurnoverPerUnit+ExpContractPerUnit)-TotalUnits/12*GV$12*(ExpPayrollPerUnit+ExpAdvertisingPerUnit),0)</f>
        <v/>
      </c>
      <c r="GW68" s="218">
        <f>IF(201&gt;=DeliverStart,((BaseMarketRentMo+BaseLowRentMo)*(LeaseUp!GW$10-LossToLeasePct-BadDebtPct-ConcessionsPct)+LeaseUp!GW$9*(ParkingPerUnitMo+UtilReimbPerUnitMo+OtherIncPerUnitMo)+RetailRentMo*MIN(1,LeaseUp!GW$10/StabilizedOccupancy))*(1-MgmtFeePct)-TotalUnits/12*(ExpInsurancePerUnit+ExpAdminPerUnit)-TotalUnits/12*GW$11*(ExpUtilitiesPerUnit+ExpRMPerUnit+ExpTurnoverPerUnit+ExpContractPerUnit)-TotalUnits/12*GW$12*(ExpPayrollPerUnit+ExpAdvertisingPerUnit),0)</f>
        <v/>
      </c>
      <c r="GX68" s="218">
        <f>IF(202&gt;=DeliverStart,((BaseMarketRentMo+BaseLowRentMo)*(LeaseUp!GX$10-LossToLeasePct-BadDebtPct-ConcessionsPct)+LeaseUp!GX$9*(ParkingPerUnitMo+UtilReimbPerUnitMo+OtherIncPerUnitMo)+RetailRentMo*MIN(1,LeaseUp!GX$10/StabilizedOccupancy))*(1-MgmtFeePct)-TotalUnits/12*(ExpInsurancePerUnit+ExpAdminPerUnit)-TotalUnits/12*GX$11*(ExpUtilitiesPerUnit+ExpRMPerUnit+ExpTurnoverPerUnit+ExpContractPerUnit)-TotalUnits/12*GX$12*(ExpPayrollPerUnit+ExpAdvertisingPerUnit),0)</f>
        <v/>
      </c>
      <c r="GY68" s="218">
        <f>IF(203&gt;=DeliverStart,((BaseMarketRentMo+BaseLowRentMo)*(LeaseUp!GY$10-LossToLeasePct-BadDebtPct-ConcessionsPct)+LeaseUp!GY$9*(ParkingPerUnitMo+UtilReimbPerUnitMo+OtherIncPerUnitMo)+RetailRentMo*MIN(1,LeaseUp!GY$10/StabilizedOccupancy))*(1-MgmtFeePct)-TotalUnits/12*(ExpInsurancePerUnit+ExpAdminPerUnit)-TotalUnits/12*GY$11*(ExpUtilitiesPerUnit+ExpRMPerUnit+ExpTurnoverPerUnit+ExpContractPerUnit)-TotalUnits/12*GY$12*(ExpPayrollPerUnit+ExpAdvertisingPerUnit),0)</f>
        <v/>
      </c>
      <c r="GZ68" s="218">
        <f>IF(204&gt;=DeliverStart,((BaseMarketRentMo+BaseLowRentMo)*(LeaseUp!GZ$10-LossToLeasePct-BadDebtPct-ConcessionsPct)+LeaseUp!GZ$9*(ParkingPerUnitMo+UtilReimbPerUnitMo+OtherIncPerUnitMo)+RetailRentMo*MIN(1,LeaseUp!GZ$10/StabilizedOccupancy))*(1-MgmtFeePct)-TotalUnits/12*(ExpInsurancePerUnit+ExpAdminPerUnit)-TotalUnits/12*GZ$11*(ExpUtilitiesPerUnit+ExpRMPerUnit+ExpTurnoverPerUnit+ExpContractPerUnit)-TotalUnits/12*GZ$12*(ExpPayrollPerUnit+ExpAdvertisingPerUnit),0)</f>
        <v/>
      </c>
      <c r="HA68" s="218">
        <f>IF(205&gt;=DeliverStart,((BaseMarketRentMo+BaseLowRentMo)*(LeaseUp!HA$10-LossToLeasePct-BadDebtPct-ConcessionsPct)+LeaseUp!HA$9*(ParkingPerUnitMo+UtilReimbPerUnitMo+OtherIncPerUnitMo)+RetailRentMo*MIN(1,LeaseUp!HA$10/StabilizedOccupancy))*(1-MgmtFeePct)-TotalUnits/12*(ExpInsurancePerUnit+ExpAdminPerUnit)-TotalUnits/12*HA$11*(ExpUtilitiesPerUnit+ExpRMPerUnit+ExpTurnoverPerUnit+ExpContractPerUnit)-TotalUnits/12*HA$12*(ExpPayrollPerUnit+ExpAdvertisingPerUnit),0)</f>
        <v/>
      </c>
      <c r="HB68" s="218">
        <f>IF(206&gt;=DeliverStart,((BaseMarketRentMo+BaseLowRentMo)*(LeaseUp!HB$10-LossToLeasePct-BadDebtPct-ConcessionsPct)+LeaseUp!HB$9*(ParkingPerUnitMo+UtilReimbPerUnitMo+OtherIncPerUnitMo)+RetailRentMo*MIN(1,LeaseUp!HB$10/StabilizedOccupancy))*(1-MgmtFeePct)-TotalUnits/12*(ExpInsurancePerUnit+ExpAdminPerUnit)-TotalUnits/12*HB$11*(ExpUtilitiesPerUnit+ExpRMPerUnit+ExpTurnoverPerUnit+ExpContractPerUnit)-TotalUnits/12*HB$12*(ExpPayrollPerUnit+ExpAdvertisingPerUnit),0)</f>
        <v/>
      </c>
      <c r="HC68" s="218">
        <f>IF(207&gt;=DeliverStart,((BaseMarketRentMo+BaseLowRentMo)*(LeaseUp!HC$10-LossToLeasePct-BadDebtPct-ConcessionsPct)+LeaseUp!HC$9*(ParkingPerUnitMo+UtilReimbPerUnitMo+OtherIncPerUnitMo)+RetailRentMo*MIN(1,LeaseUp!HC$10/StabilizedOccupancy))*(1-MgmtFeePct)-TotalUnits/12*(ExpInsurancePerUnit+ExpAdminPerUnit)-TotalUnits/12*HC$11*(ExpUtilitiesPerUnit+ExpRMPerUnit+ExpTurnoverPerUnit+ExpContractPerUnit)-TotalUnits/12*HC$12*(ExpPayrollPerUnit+ExpAdvertisingPerUnit),0)</f>
        <v/>
      </c>
      <c r="HD68" s="218">
        <f>IF(208&gt;=DeliverStart,((BaseMarketRentMo+BaseLowRentMo)*(LeaseUp!HD$10-LossToLeasePct-BadDebtPct-ConcessionsPct)+LeaseUp!HD$9*(ParkingPerUnitMo+UtilReimbPerUnitMo+OtherIncPerUnitMo)+RetailRentMo*MIN(1,LeaseUp!HD$10/StabilizedOccupancy))*(1-MgmtFeePct)-TotalUnits/12*(ExpInsurancePerUnit+ExpAdminPerUnit)-TotalUnits/12*HD$11*(ExpUtilitiesPerUnit+ExpRMPerUnit+ExpTurnoverPerUnit+ExpContractPerUnit)-TotalUnits/12*HD$12*(ExpPayrollPerUnit+ExpAdvertisingPerUnit),0)</f>
        <v/>
      </c>
      <c r="HE68" s="218">
        <f>IF(209&gt;=DeliverStart,((BaseMarketRentMo+BaseLowRentMo)*(LeaseUp!HE$10-LossToLeasePct-BadDebtPct-ConcessionsPct)+LeaseUp!HE$9*(ParkingPerUnitMo+UtilReimbPerUnitMo+OtherIncPerUnitMo)+RetailRentMo*MIN(1,LeaseUp!HE$10/StabilizedOccupancy))*(1-MgmtFeePct)-TotalUnits/12*(ExpInsurancePerUnit+ExpAdminPerUnit)-TotalUnits/12*HE$11*(ExpUtilitiesPerUnit+ExpRMPerUnit+ExpTurnoverPerUnit+ExpContractPerUnit)-TotalUnits/12*HE$12*(ExpPayrollPerUnit+ExpAdvertisingPerUnit),0)</f>
        <v/>
      </c>
      <c r="HF68" s="218">
        <f>IF(210&gt;=DeliverStart,((BaseMarketRentMo+BaseLowRentMo)*(LeaseUp!HF$10-LossToLeasePct-BadDebtPct-ConcessionsPct)+LeaseUp!HF$9*(ParkingPerUnitMo+UtilReimbPerUnitMo+OtherIncPerUnitMo)+RetailRentMo*MIN(1,LeaseUp!HF$10/StabilizedOccupancy))*(1-MgmtFeePct)-TotalUnits/12*(ExpInsurancePerUnit+ExpAdminPerUnit)-TotalUnits/12*HF$11*(ExpUtilitiesPerUnit+ExpRMPerUnit+ExpTurnoverPerUnit+ExpContractPerUnit)-TotalUnits/12*HF$12*(ExpPayrollPerUnit+ExpAdvertisingPerUnit),0)</f>
        <v/>
      </c>
      <c r="HG68" s="218">
        <f>IF(211&gt;=DeliverStart,((BaseMarketRentMo+BaseLowRentMo)*(LeaseUp!HG$10-LossToLeasePct-BadDebtPct-ConcessionsPct)+LeaseUp!HG$9*(ParkingPerUnitMo+UtilReimbPerUnitMo+OtherIncPerUnitMo)+RetailRentMo*MIN(1,LeaseUp!HG$10/StabilizedOccupancy))*(1-MgmtFeePct)-TotalUnits/12*(ExpInsurancePerUnit+ExpAdminPerUnit)-TotalUnits/12*HG$11*(ExpUtilitiesPerUnit+ExpRMPerUnit+ExpTurnoverPerUnit+ExpContractPerUnit)-TotalUnits/12*HG$12*(ExpPayrollPerUnit+ExpAdvertisingPerUnit),0)</f>
        <v/>
      </c>
      <c r="HH68" s="218">
        <f>IF(212&gt;=DeliverStart,((BaseMarketRentMo+BaseLowRentMo)*(LeaseUp!HH$10-LossToLeasePct-BadDebtPct-ConcessionsPct)+LeaseUp!HH$9*(ParkingPerUnitMo+UtilReimbPerUnitMo+OtherIncPerUnitMo)+RetailRentMo*MIN(1,LeaseUp!HH$10/StabilizedOccupancy))*(1-MgmtFeePct)-TotalUnits/12*(ExpInsurancePerUnit+ExpAdminPerUnit)-TotalUnits/12*HH$11*(ExpUtilitiesPerUnit+ExpRMPerUnit+ExpTurnoverPerUnit+ExpContractPerUnit)-TotalUnits/12*HH$12*(ExpPayrollPerUnit+ExpAdvertisingPerUnit),0)</f>
        <v/>
      </c>
      <c r="HI68" s="218">
        <f>IF(213&gt;=DeliverStart,((BaseMarketRentMo+BaseLowRentMo)*(LeaseUp!HI$10-LossToLeasePct-BadDebtPct-ConcessionsPct)+LeaseUp!HI$9*(ParkingPerUnitMo+UtilReimbPerUnitMo+OtherIncPerUnitMo)+RetailRentMo*MIN(1,LeaseUp!HI$10/StabilizedOccupancy))*(1-MgmtFeePct)-TotalUnits/12*(ExpInsurancePerUnit+ExpAdminPerUnit)-TotalUnits/12*HI$11*(ExpUtilitiesPerUnit+ExpRMPerUnit+ExpTurnoverPerUnit+ExpContractPerUnit)-TotalUnits/12*HI$12*(ExpPayrollPerUnit+ExpAdvertisingPerUnit),0)</f>
        <v/>
      </c>
      <c r="HJ68" s="218">
        <f>IF(214&gt;=DeliverStart,((BaseMarketRentMo+BaseLowRentMo)*(LeaseUp!HJ$10-LossToLeasePct-BadDebtPct-ConcessionsPct)+LeaseUp!HJ$9*(ParkingPerUnitMo+UtilReimbPerUnitMo+OtherIncPerUnitMo)+RetailRentMo*MIN(1,LeaseUp!HJ$10/StabilizedOccupancy))*(1-MgmtFeePct)-TotalUnits/12*(ExpInsurancePerUnit+ExpAdminPerUnit)-TotalUnits/12*HJ$11*(ExpUtilitiesPerUnit+ExpRMPerUnit+ExpTurnoverPerUnit+ExpContractPerUnit)-TotalUnits/12*HJ$12*(ExpPayrollPerUnit+ExpAdvertisingPerUnit),0)</f>
        <v/>
      </c>
      <c r="HK68" s="218">
        <f>IF(215&gt;=DeliverStart,((BaseMarketRentMo+BaseLowRentMo)*(LeaseUp!HK$10-LossToLeasePct-BadDebtPct-ConcessionsPct)+LeaseUp!HK$9*(ParkingPerUnitMo+UtilReimbPerUnitMo+OtherIncPerUnitMo)+RetailRentMo*MIN(1,LeaseUp!HK$10/StabilizedOccupancy))*(1-MgmtFeePct)-TotalUnits/12*(ExpInsurancePerUnit+ExpAdminPerUnit)-TotalUnits/12*HK$11*(ExpUtilitiesPerUnit+ExpRMPerUnit+ExpTurnoverPerUnit+ExpContractPerUnit)-TotalUnits/12*HK$12*(ExpPayrollPerUnit+ExpAdvertisingPerUnit),0)</f>
        <v/>
      </c>
      <c r="HL68" s="218">
        <f>IF(216&gt;=DeliverStart,((BaseMarketRentMo+BaseLowRentMo)*(LeaseUp!HL$10-LossToLeasePct-BadDebtPct-ConcessionsPct)+LeaseUp!HL$9*(ParkingPerUnitMo+UtilReimbPerUnitMo+OtherIncPerUnitMo)+RetailRentMo*MIN(1,LeaseUp!HL$10/StabilizedOccupancy))*(1-MgmtFeePct)-TotalUnits/12*(ExpInsurancePerUnit+ExpAdminPerUnit)-TotalUnits/12*HL$11*(ExpUtilitiesPerUnit+ExpRMPerUnit+ExpTurnoverPerUnit+ExpContractPerUnit)-TotalUnits/12*HL$12*(ExpPayrollPerUnit+ExpAdvertisingPerUnit),0)</f>
        <v/>
      </c>
      <c r="HM68" s="218">
        <f>IF(217&gt;=DeliverStart,((BaseMarketRentMo+BaseLowRentMo)*(LeaseUp!HM$10-LossToLeasePct-BadDebtPct-ConcessionsPct)+LeaseUp!HM$9*(ParkingPerUnitMo+UtilReimbPerUnitMo+OtherIncPerUnitMo)+RetailRentMo*MIN(1,LeaseUp!HM$10/StabilizedOccupancy))*(1-MgmtFeePct)-TotalUnits/12*(ExpInsurancePerUnit+ExpAdminPerUnit)-TotalUnits/12*HM$11*(ExpUtilitiesPerUnit+ExpRMPerUnit+ExpTurnoverPerUnit+ExpContractPerUnit)-TotalUnits/12*HM$12*(ExpPayrollPerUnit+ExpAdvertisingPerUnit),0)</f>
        <v/>
      </c>
      <c r="HN68" s="218">
        <f>IF(218&gt;=DeliverStart,((BaseMarketRentMo+BaseLowRentMo)*(LeaseUp!HN$10-LossToLeasePct-BadDebtPct-ConcessionsPct)+LeaseUp!HN$9*(ParkingPerUnitMo+UtilReimbPerUnitMo+OtherIncPerUnitMo)+RetailRentMo*MIN(1,LeaseUp!HN$10/StabilizedOccupancy))*(1-MgmtFeePct)-TotalUnits/12*(ExpInsurancePerUnit+ExpAdminPerUnit)-TotalUnits/12*HN$11*(ExpUtilitiesPerUnit+ExpRMPerUnit+ExpTurnoverPerUnit+ExpContractPerUnit)-TotalUnits/12*HN$12*(ExpPayrollPerUnit+ExpAdvertisingPerUnit),0)</f>
        <v/>
      </c>
      <c r="HO68" s="218">
        <f>IF(219&gt;=DeliverStart,((BaseMarketRentMo+BaseLowRentMo)*(LeaseUp!HO$10-LossToLeasePct-BadDebtPct-ConcessionsPct)+LeaseUp!HO$9*(ParkingPerUnitMo+UtilReimbPerUnitMo+OtherIncPerUnitMo)+RetailRentMo*MIN(1,LeaseUp!HO$10/StabilizedOccupancy))*(1-MgmtFeePct)-TotalUnits/12*(ExpInsurancePerUnit+ExpAdminPerUnit)-TotalUnits/12*HO$11*(ExpUtilitiesPerUnit+ExpRMPerUnit+ExpTurnoverPerUnit+ExpContractPerUnit)-TotalUnits/12*HO$12*(ExpPayrollPerUnit+ExpAdvertisingPerUnit),0)</f>
        <v/>
      </c>
      <c r="HP68" s="218">
        <f>IF(220&gt;=DeliverStart,((BaseMarketRentMo+BaseLowRentMo)*(LeaseUp!HP$10-LossToLeasePct-BadDebtPct-ConcessionsPct)+LeaseUp!HP$9*(ParkingPerUnitMo+UtilReimbPerUnitMo+OtherIncPerUnitMo)+RetailRentMo*MIN(1,LeaseUp!HP$10/StabilizedOccupancy))*(1-MgmtFeePct)-TotalUnits/12*(ExpInsurancePerUnit+ExpAdminPerUnit)-TotalUnits/12*HP$11*(ExpUtilitiesPerUnit+ExpRMPerUnit+ExpTurnoverPerUnit+ExpContractPerUnit)-TotalUnits/12*HP$12*(ExpPayrollPerUnit+ExpAdvertisingPerUnit),0)</f>
        <v/>
      </c>
      <c r="HQ68" s="218">
        <f>IF(221&gt;=DeliverStart,((BaseMarketRentMo+BaseLowRentMo)*(LeaseUp!HQ$10-LossToLeasePct-BadDebtPct-ConcessionsPct)+LeaseUp!HQ$9*(ParkingPerUnitMo+UtilReimbPerUnitMo+OtherIncPerUnitMo)+RetailRentMo*MIN(1,LeaseUp!HQ$10/StabilizedOccupancy))*(1-MgmtFeePct)-TotalUnits/12*(ExpInsurancePerUnit+ExpAdminPerUnit)-TotalUnits/12*HQ$11*(ExpUtilitiesPerUnit+ExpRMPerUnit+ExpTurnoverPerUnit+ExpContractPerUnit)-TotalUnits/12*HQ$12*(ExpPayrollPerUnit+ExpAdvertisingPerUnit),0)</f>
        <v/>
      </c>
      <c r="HR68" s="218">
        <f>IF(222&gt;=DeliverStart,((BaseMarketRentMo+BaseLowRentMo)*(LeaseUp!HR$10-LossToLeasePct-BadDebtPct-ConcessionsPct)+LeaseUp!HR$9*(ParkingPerUnitMo+UtilReimbPerUnitMo+OtherIncPerUnitMo)+RetailRentMo*MIN(1,LeaseUp!HR$10/StabilizedOccupancy))*(1-MgmtFeePct)-TotalUnits/12*(ExpInsurancePerUnit+ExpAdminPerUnit)-TotalUnits/12*HR$11*(ExpUtilitiesPerUnit+ExpRMPerUnit+ExpTurnoverPerUnit+ExpContractPerUnit)-TotalUnits/12*HR$12*(ExpPayrollPerUnit+ExpAdvertisingPerUnit),0)</f>
        <v/>
      </c>
      <c r="HS68" s="218">
        <f>IF(223&gt;=DeliverStart,((BaseMarketRentMo+BaseLowRentMo)*(LeaseUp!HS$10-LossToLeasePct-BadDebtPct-ConcessionsPct)+LeaseUp!HS$9*(ParkingPerUnitMo+UtilReimbPerUnitMo+OtherIncPerUnitMo)+RetailRentMo*MIN(1,LeaseUp!HS$10/StabilizedOccupancy))*(1-MgmtFeePct)-TotalUnits/12*(ExpInsurancePerUnit+ExpAdminPerUnit)-TotalUnits/12*HS$11*(ExpUtilitiesPerUnit+ExpRMPerUnit+ExpTurnoverPerUnit+ExpContractPerUnit)-TotalUnits/12*HS$12*(ExpPayrollPerUnit+ExpAdvertisingPerUnit),0)</f>
        <v/>
      </c>
      <c r="HT68" s="218">
        <f>IF(224&gt;=DeliverStart,((BaseMarketRentMo+BaseLowRentMo)*(LeaseUp!HT$10-LossToLeasePct-BadDebtPct-ConcessionsPct)+LeaseUp!HT$9*(ParkingPerUnitMo+UtilReimbPerUnitMo+OtherIncPerUnitMo)+RetailRentMo*MIN(1,LeaseUp!HT$10/StabilizedOccupancy))*(1-MgmtFeePct)-TotalUnits/12*(ExpInsurancePerUnit+ExpAdminPerUnit)-TotalUnits/12*HT$11*(ExpUtilitiesPerUnit+ExpRMPerUnit+ExpTurnoverPerUnit+ExpContractPerUnit)-TotalUnits/12*HT$12*(ExpPayrollPerUnit+ExpAdvertisingPerUnit),0)</f>
        <v/>
      </c>
      <c r="HU68" s="218">
        <f>IF(225&gt;=DeliverStart,((BaseMarketRentMo+BaseLowRentMo)*(LeaseUp!HU$10-LossToLeasePct-BadDebtPct-ConcessionsPct)+LeaseUp!HU$9*(ParkingPerUnitMo+UtilReimbPerUnitMo+OtherIncPerUnitMo)+RetailRentMo*MIN(1,LeaseUp!HU$10/StabilizedOccupancy))*(1-MgmtFeePct)-TotalUnits/12*(ExpInsurancePerUnit+ExpAdminPerUnit)-TotalUnits/12*HU$11*(ExpUtilitiesPerUnit+ExpRMPerUnit+ExpTurnoverPerUnit+ExpContractPerUnit)-TotalUnits/12*HU$12*(ExpPayrollPerUnit+ExpAdvertisingPerUnit),0)</f>
        <v/>
      </c>
      <c r="HV68" s="218">
        <f>IF(226&gt;=DeliverStart,((BaseMarketRentMo+BaseLowRentMo)*(LeaseUp!HV$10-LossToLeasePct-BadDebtPct-ConcessionsPct)+LeaseUp!HV$9*(ParkingPerUnitMo+UtilReimbPerUnitMo+OtherIncPerUnitMo)+RetailRentMo*MIN(1,LeaseUp!HV$10/StabilizedOccupancy))*(1-MgmtFeePct)-TotalUnits/12*(ExpInsurancePerUnit+ExpAdminPerUnit)-TotalUnits/12*HV$11*(ExpUtilitiesPerUnit+ExpRMPerUnit+ExpTurnoverPerUnit+ExpContractPerUnit)-TotalUnits/12*HV$12*(ExpPayrollPerUnit+ExpAdvertisingPerUnit),0)</f>
        <v/>
      </c>
      <c r="HW68" s="218">
        <f>IF(227&gt;=DeliverStart,((BaseMarketRentMo+BaseLowRentMo)*(LeaseUp!HW$10-LossToLeasePct-BadDebtPct-ConcessionsPct)+LeaseUp!HW$9*(ParkingPerUnitMo+UtilReimbPerUnitMo+OtherIncPerUnitMo)+RetailRentMo*MIN(1,LeaseUp!HW$10/StabilizedOccupancy))*(1-MgmtFeePct)-TotalUnits/12*(ExpInsurancePerUnit+ExpAdminPerUnit)-TotalUnits/12*HW$11*(ExpUtilitiesPerUnit+ExpRMPerUnit+ExpTurnoverPerUnit+ExpContractPerUnit)-TotalUnits/12*HW$12*(ExpPayrollPerUnit+ExpAdvertisingPerUnit),0)</f>
        <v/>
      </c>
      <c r="HX68" s="218">
        <f>IF(228&gt;=DeliverStart,((BaseMarketRentMo+BaseLowRentMo)*(LeaseUp!HX$10-LossToLeasePct-BadDebtPct-ConcessionsPct)+LeaseUp!HX$9*(ParkingPerUnitMo+UtilReimbPerUnitMo+OtherIncPerUnitMo)+RetailRentMo*MIN(1,LeaseUp!HX$10/StabilizedOccupancy))*(1-MgmtFeePct)-TotalUnits/12*(ExpInsurancePerUnit+ExpAdminPerUnit)-TotalUnits/12*HX$11*(ExpUtilitiesPerUnit+ExpRMPerUnit+ExpTurnoverPerUnit+ExpContractPerUnit)-TotalUnits/12*HX$12*(ExpPayrollPerUnit+ExpAdvertisingPerUnit),0)</f>
        <v/>
      </c>
      <c r="HY68" s="218">
        <f>IF(229&gt;=DeliverStart,((BaseMarketRentMo+BaseLowRentMo)*(LeaseUp!HY$10-LossToLeasePct-BadDebtPct-ConcessionsPct)+LeaseUp!HY$9*(ParkingPerUnitMo+UtilReimbPerUnitMo+OtherIncPerUnitMo)+RetailRentMo*MIN(1,LeaseUp!HY$10/StabilizedOccupancy))*(1-MgmtFeePct)-TotalUnits/12*(ExpInsurancePerUnit+ExpAdminPerUnit)-TotalUnits/12*HY$11*(ExpUtilitiesPerUnit+ExpRMPerUnit+ExpTurnoverPerUnit+ExpContractPerUnit)-TotalUnits/12*HY$12*(ExpPayrollPerUnit+ExpAdvertisingPerUnit),0)</f>
        <v/>
      </c>
      <c r="HZ68" s="218">
        <f>IF(230&gt;=DeliverStart,((BaseMarketRentMo+BaseLowRentMo)*(LeaseUp!HZ$10-LossToLeasePct-BadDebtPct-ConcessionsPct)+LeaseUp!HZ$9*(ParkingPerUnitMo+UtilReimbPerUnitMo+OtherIncPerUnitMo)+RetailRentMo*MIN(1,LeaseUp!HZ$10/StabilizedOccupancy))*(1-MgmtFeePct)-TotalUnits/12*(ExpInsurancePerUnit+ExpAdminPerUnit)-TotalUnits/12*HZ$11*(ExpUtilitiesPerUnit+ExpRMPerUnit+ExpTurnoverPerUnit+ExpContractPerUnit)-TotalUnits/12*HZ$12*(ExpPayrollPerUnit+ExpAdvertisingPerUnit),0)</f>
        <v/>
      </c>
      <c r="IA68" s="218">
        <f>IF(231&gt;=DeliverStart,((BaseMarketRentMo+BaseLowRentMo)*(LeaseUp!IA$10-LossToLeasePct-BadDebtPct-ConcessionsPct)+LeaseUp!IA$9*(ParkingPerUnitMo+UtilReimbPerUnitMo+OtherIncPerUnitMo)+RetailRentMo*MIN(1,LeaseUp!IA$10/StabilizedOccupancy))*(1-MgmtFeePct)-TotalUnits/12*(ExpInsurancePerUnit+ExpAdminPerUnit)-TotalUnits/12*IA$11*(ExpUtilitiesPerUnit+ExpRMPerUnit+ExpTurnoverPerUnit+ExpContractPerUnit)-TotalUnits/12*IA$12*(ExpPayrollPerUnit+ExpAdvertisingPerUnit),0)</f>
        <v/>
      </c>
      <c r="IB68" s="218">
        <f>IF(232&gt;=DeliverStart,((BaseMarketRentMo+BaseLowRentMo)*(LeaseUp!IB$10-LossToLeasePct-BadDebtPct-ConcessionsPct)+LeaseUp!IB$9*(ParkingPerUnitMo+UtilReimbPerUnitMo+OtherIncPerUnitMo)+RetailRentMo*MIN(1,LeaseUp!IB$10/StabilizedOccupancy))*(1-MgmtFeePct)-TotalUnits/12*(ExpInsurancePerUnit+ExpAdminPerUnit)-TotalUnits/12*IB$11*(ExpUtilitiesPerUnit+ExpRMPerUnit+ExpTurnoverPerUnit+ExpContractPerUnit)-TotalUnits/12*IB$12*(ExpPayrollPerUnit+ExpAdvertisingPerUnit),0)</f>
        <v/>
      </c>
      <c r="IC68" s="218">
        <f>IF(233&gt;=DeliverStart,((BaseMarketRentMo+BaseLowRentMo)*(LeaseUp!IC$10-LossToLeasePct-BadDebtPct-ConcessionsPct)+LeaseUp!IC$9*(ParkingPerUnitMo+UtilReimbPerUnitMo+OtherIncPerUnitMo)+RetailRentMo*MIN(1,LeaseUp!IC$10/StabilizedOccupancy))*(1-MgmtFeePct)-TotalUnits/12*(ExpInsurancePerUnit+ExpAdminPerUnit)-TotalUnits/12*IC$11*(ExpUtilitiesPerUnit+ExpRMPerUnit+ExpTurnoverPerUnit+ExpContractPerUnit)-TotalUnits/12*IC$12*(ExpPayrollPerUnit+ExpAdvertisingPerUnit),0)</f>
        <v/>
      </c>
      <c r="ID68" s="218">
        <f>IF(234&gt;=DeliverStart,((BaseMarketRentMo+BaseLowRentMo)*(LeaseUp!ID$10-LossToLeasePct-BadDebtPct-ConcessionsPct)+LeaseUp!ID$9*(ParkingPerUnitMo+UtilReimbPerUnitMo+OtherIncPerUnitMo)+RetailRentMo*MIN(1,LeaseUp!ID$10/StabilizedOccupancy))*(1-MgmtFeePct)-TotalUnits/12*(ExpInsurancePerUnit+ExpAdminPerUnit)-TotalUnits/12*ID$11*(ExpUtilitiesPerUnit+ExpRMPerUnit+ExpTurnoverPerUnit+ExpContractPerUnit)-TotalUnits/12*ID$12*(ExpPayrollPerUnit+ExpAdvertisingPerUnit),0)</f>
        <v/>
      </c>
      <c r="IE68" s="218">
        <f>IF(235&gt;=DeliverStart,((BaseMarketRentMo+BaseLowRentMo)*(LeaseUp!IE$10-LossToLeasePct-BadDebtPct-ConcessionsPct)+LeaseUp!IE$9*(ParkingPerUnitMo+UtilReimbPerUnitMo+OtherIncPerUnitMo)+RetailRentMo*MIN(1,LeaseUp!IE$10/StabilizedOccupancy))*(1-MgmtFeePct)-TotalUnits/12*(ExpInsurancePerUnit+ExpAdminPerUnit)-TotalUnits/12*IE$11*(ExpUtilitiesPerUnit+ExpRMPerUnit+ExpTurnoverPerUnit+ExpContractPerUnit)-TotalUnits/12*IE$12*(ExpPayrollPerUnit+ExpAdvertisingPerUnit),0)</f>
        <v/>
      </c>
      <c r="IF68" s="218">
        <f>IF(236&gt;=DeliverStart,((BaseMarketRentMo+BaseLowRentMo)*(LeaseUp!IF$10-LossToLeasePct-BadDebtPct-ConcessionsPct)+LeaseUp!IF$9*(ParkingPerUnitMo+UtilReimbPerUnitMo+OtherIncPerUnitMo)+RetailRentMo*MIN(1,LeaseUp!IF$10/StabilizedOccupancy))*(1-MgmtFeePct)-TotalUnits/12*(ExpInsurancePerUnit+ExpAdminPerUnit)-TotalUnits/12*IF$11*(ExpUtilitiesPerUnit+ExpRMPerUnit+ExpTurnoverPerUnit+ExpContractPerUnit)-TotalUnits/12*IF$12*(ExpPayrollPerUnit+ExpAdvertisingPerUnit),0)</f>
        <v/>
      </c>
      <c r="IG68" s="218">
        <f>IF(237&gt;=DeliverStart,((BaseMarketRentMo+BaseLowRentMo)*(LeaseUp!IG$10-LossToLeasePct-BadDebtPct-ConcessionsPct)+LeaseUp!IG$9*(ParkingPerUnitMo+UtilReimbPerUnitMo+OtherIncPerUnitMo)+RetailRentMo*MIN(1,LeaseUp!IG$10/StabilizedOccupancy))*(1-MgmtFeePct)-TotalUnits/12*(ExpInsurancePerUnit+ExpAdminPerUnit)-TotalUnits/12*IG$11*(ExpUtilitiesPerUnit+ExpRMPerUnit+ExpTurnoverPerUnit+ExpContractPerUnit)-TotalUnits/12*IG$12*(ExpPayrollPerUnit+ExpAdvertisingPerUnit),0)</f>
        <v/>
      </c>
      <c r="IH68" s="218">
        <f>IF(238&gt;=DeliverStart,((BaseMarketRentMo+BaseLowRentMo)*(LeaseUp!IH$10-LossToLeasePct-BadDebtPct-ConcessionsPct)+LeaseUp!IH$9*(ParkingPerUnitMo+UtilReimbPerUnitMo+OtherIncPerUnitMo)+RetailRentMo*MIN(1,LeaseUp!IH$10/StabilizedOccupancy))*(1-MgmtFeePct)-TotalUnits/12*(ExpInsurancePerUnit+ExpAdminPerUnit)-TotalUnits/12*IH$11*(ExpUtilitiesPerUnit+ExpRMPerUnit+ExpTurnoverPerUnit+ExpContractPerUnit)-TotalUnits/12*IH$12*(ExpPayrollPerUnit+ExpAdvertisingPerUnit),0)</f>
        <v/>
      </c>
      <c r="II68" s="218">
        <f>IF(239&gt;=DeliverStart,((BaseMarketRentMo+BaseLowRentMo)*(LeaseUp!II$10-LossToLeasePct-BadDebtPct-ConcessionsPct)+LeaseUp!II$9*(ParkingPerUnitMo+UtilReimbPerUnitMo+OtherIncPerUnitMo)+RetailRentMo*MIN(1,LeaseUp!II$10/StabilizedOccupancy))*(1-MgmtFeePct)-TotalUnits/12*(ExpInsurancePerUnit+ExpAdminPerUnit)-TotalUnits/12*II$11*(ExpUtilitiesPerUnit+ExpRMPerUnit+ExpTurnoverPerUnit+ExpContractPerUnit)-TotalUnits/12*II$12*(ExpPayrollPerUnit+ExpAdvertisingPerUnit),0)</f>
        <v/>
      </c>
      <c r="IJ68" s="218">
        <f>IF(240&gt;=DeliverStart,((BaseMarketRentMo+BaseLowRentMo)*(LeaseUp!IJ$10-LossToLeasePct-BadDebtPct-ConcessionsPct)+LeaseUp!IJ$9*(ParkingPerUnitMo+UtilReimbPerUnitMo+OtherIncPerUnitMo)+RetailRentMo*MIN(1,LeaseUp!IJ$10/StabilizedOccupancy))*(1-MgmtFeePct)-TotalUnits/12*(ExpInsurancePerUnit+ExpAdminPerUnit)-TotalUnits/12*IJ$11*(ExpUtilitiesPerUnit+ExpRMPerUnit+ExpTurnoverPerUnit+ExpContractPerUnit)-TotalUnits/12*IJ$12*(ExpPayrollPerUnit+ExpAdvertisingPerUnit),0)</f>
        <v/>
      </c>
      <c r="IK68" s="218">
        <f>IF(241&gt;=DeliverStart,((BaseMarketRentMo+BaseLowRentMo)*(LeaseUp!IK$10-LossToLeasePct-BadDebtPct-ConcessionsPct)+LeaseUp!IK$9*(ParkingPerUnitMo+UtilReimbPerUnitMo+OtherIncPerUnitMo)+RetailRentMo*MIN(1,LeaseUp!IK$10/StabilizedOccupancy))*(1-MgmtFeePct)-TotalUnits/12*(ExpInsurancePerUnit+ExpAdminPerUnit)-TotalUnits/12*IK$11*(ExpUtilitiesPerUnit+ExpRMPerUnit+ExpTurnoverPerUnit+ExpContractPerUnit)-TotalUnits/12*IK$12*(ExpPayrollPerUnit+ExpAdvertisingPerUnit),0)</f>
        <v/>
      </c>
      <c r="IL68" s="218">
        <f>IF(242&gt;=DeliverStart,((BaseMarketRentMo+BaseLowRentMo)*(LeaseUp!IL$10-LossToLeasePct-BadDebtPct-ConcessionsPct)+LeaseUp!IL$9*(ParkingPerUnitMo+UtilReimbPerUnitMo+OtherIncPerUnitMo)+RetailRentMo*MIN(1,LeaseUp!IL$10/StabilizedOccupancy))*(1-MgmtFeePct)-TotalUnits/12*(ExpInsurancePerUnit+ExpAdminPerUnit)-TotalUnits/12*IL$11*(ExpUtilitiesPerUnit+ExpRMPerUnit+ExpTurnoverPerUnit+ExpContractPerUnit)-TotalUnits/12*IL$12*(ExpPayrollPerUnit+ExpAdvertisingPerUnit),0)</f>
        <v/>
      </c>
      <c r="IM68" s="218">
        <f>IF(243&gt;=DeliverStart,((BaseMarketRentMo+BaseLowRentMo)*(LeaseUp!IM$10-LossToLeasePct-BadDebtPct-ConcessionsPct)+LeaseUp!IM$9*(ParkingPerUnitMo+UtilReimbPerUnitMo+OtherIncPerUnitMo)+RetailRentMo*MIN(1,LeaseUp!IM$10/StabilizedOccupancy))*(1-MgmtFeePct)-TotalUnits/12*(ExpInsurancePerUnit+ExpAdminPerUnit)-TotalUnits/12*IM$11*(ExpUtilitiesPerUnit+ExpRMPerUnit+ExpTurnoverPerUnit+ExpContractPerUnit)-TotalUnits/12*IM$12*(ExpPayrollPerUnit+ExpAdvertisingPerUnit),0)</f>
        <v/>
      </c>
      <c r="IN68" s="218">
        <f>IF(244&gt;=DeliverStart,((BaseMarketRentMo+BaseLowRentMo)*(LeaseUp!IN$10-LossToLeasePct-BadDebtPct-ConcessionsPct)+LeaseUp!IN$9*(ParkingPerUnitMo+UtilReimbPerUnitMo+OtherIncPerUnitMo)+RetailRentMo*MIN(1,LeaseUp!IN$10/StabilizedOccupancy))*(1-MgmtFeePct)-TotalUnits/12*(ExpInsurancePerUnit+ExpAdminPerUnit)-TotalUnits/12*IN$11*(ExpUtilitiesPerUnit+ExpRMPerUnit+ExpTurnoverPerUnit+ExpContractPerUnit)-TotalUnits/12*IN$12*(ExpPayrollPerUnit+ExpAdvertisingPerUnit),0)</f>
        <v/>
      </c>
      <c r="IO68" s="218">
        <f>IF(245&gt;=DeliverStart,((BaseMarketRentMo+BaseLowRentMo)*(LeaseUp!IO$10-LossToLeasePct-BadDebtPct-ConcessionsPct)+LeaseUp!IO$9*(ParkingPerUnitMo+UtilReimbPerUnitMo+OtherIncPerUnitMo)+RetailRentMo*MIN(1,LeaseUp!IO$10/StabilizedOccupancy))*(1-MgmtFeePct)-TotalUnits/12*(ExpInsurancePerUnit+ExpAdminPerUnit)-TotalUnits/12*IO$11*(ExpUtilitiesPerUnit+ExpRMPerUnit+ExpTurnoverPerUnit+ExpContractPerUnit)-TotalUnits/12*IO$12*(ExpPayrollPerUnit+ExpAdvertisingPerUnit),0)</f>
        <v/>
      </c>
      <c r="IP68" s="218">
        <f>IF(246&gt;=DeliverStart,((BaseMarketRentMo+BaseLowRentMo)*(LeaseUp!IP$10-LossToLeasePct-BadDebtPct-ConcessionsPct)+LeaseUp!IP$9*(ParkingPerUnitMo+UtilReimbPerUnitMo+OtherIncPerUnitMo)+RetailRentMo*MIN(1,LeaseUp!IP$10/StabilizedOccupancy))*(1-MgmtFeePct)-TotalUnits/12*(ExpInsurancePerUnit+ExpAdminPerUnit)-TotalUnits/12*IP$11*(ExpUtilitiesPerUnit+ExpRMPerUnit+ExpTurnoverPerUnit+ExpContractPerUnit)-TotalUnits/12*IP$12*(ExpPayrollPerUnit+ExpAdvertisingPerUnit),0)</f>
        <v/>
      </c>
      <c r="IQ68" s="218">
        <f>IF(247&gt;=DeliverStart,((BaseMarketRentMo+BaseLowRentMo)*(LeaseUp!IQ$10-LossToLeasePct-BadDebtPct-ConcessionsPct)+LeaseUp!IQ$9*(ParkingPerUnitMo+UtilReimbPerUnitMo+OtherIncPerUnitMo)+RetailRentMo*MIN(1,LeaseUp!IQ$10/StabilizedOccupancy))*(1-MgmtFeePct)-TotalUnits/12*(ExpInsurancePerUnit+ExpAdminPerUnit)-TotalUnits/12*IQ$11*(ExpUtilitiesPerUnit+ExpRMPerUnit+ExpTurnoverPerUnit+ExpContractPerUnit)-TotalUnits/12*IQ$12*(ExpPayrollPerUnit+ExpAdvertisingPerUnit),0)</f>
        <v/>
      </c>
      <c r="IR68" s="218">
        <f>IF(248&gt;=DeliverStart,((BaseMarketRentMo+BaseLowRentMo)*(LeaseUp!IR$10-LossToLeasePct-BadDebtPct-ConcessionsPct)+LeaseUp!IR$9*(ParkingPerUnitMo+UtilReimbPerUnitMo+OtherIncPerUnitMo)+RetailRentMo*MIN(1,LeaseUp!IR$10/StabilizedOccupancy))*(1-MgmtFeePct)-TotalUnits/12*(ExpInsurancePerUnit+ExpAdminPerUnit)-TotalUnits/12*IR$11*(ExpUtilitiesPerUnit+ExpRMPerUnit+ExpTurnoverPerUnit+ExpContractPerUnit)-TotalUnits/12*IR$12*(ExpPayrollPerUnit+ExpAdvertisingPerUnit),0)</f>
        <v/>
      </c>
      <c r="IS68" s="218">
        <f>IF(249&gt;=DeliverStart,((BaseMarketRentMo+BaseLowRentMo)*(LeaseUp!IS$10-LossToLeasePct-BadDebtPct-ConcessionsPct)+LeaseUp!IS$9*(ParkingPerUnitMo+UtilReimbPerUnitMo+OtherIncPerUnitMo)+RetailRentMo*MIN(1,LeaseUp!IS$10/StabilizedOccupancy))*(1-MgmtFeePct)-TotalUnits/12*(ExpInsurancePerUnit+ExpAdminPerUnit)-TotalUnits/12*IS$11*(ExpUtilitiesPerUnit+ExpRMPerUnit+ExpTurnoverPerUnit+ExpContractPerUnit)-TotalUnits/12*IS$12*(ExpPayrollPerUnit+ExpAdvertisingPerUnit),0)</f>
        <v/>
      </c>
      <c r="IT68" s="218">
        <f>IF(250&gt;=DeliverStart,((BaseMarketRentMo+BaseLowRentMo)*(LeaseUp!IT$10-LossToLeasePct-BadDebtPct-ConcessionsPct)+LeaseUp!IT$9*(ParkingPerUnitMo+UtilReimbPerUnitMo+OtherIncPerUnitMo)+RetailRentMo*MIN(1,LeaseUp!IT$10/StabilizedOccupancy))*(1-MgmtFeePct)-TotalUnits/12*(ExpInsurancePerUnit+ExpAdminPerUnit)-TotalUnits/12*IT$11*(ExpUtilitiesPerUnit+ExpRMPerUnit+ExpTurnoverPerUnit+ExpContractPerUnit)-TotalUnits/12*IT$12*(ExpPayrollPerUnit+ExpAdvertisingPerUnit),0)</f>
        <v/>
      </c>
      <c r="IU68" s="218">
        <f>IF(251&gt;=DeliverStart,((BaseMarketRentMo+BaseLowRentMo)*(LeaseUp!IU$10-LossToLeasePct-BadDebtPct-ConcessionsPct)+LeaseUp!IU$9*(ParkingPerUnitMo+UtilReimbPerUnitMo+OtherIncPerUnitMo)+RetailRentMo*MIN(1,LeaseUp!IU$10/StabilizedOccupancy))*(1-MgmtFeePct)-TotalUnits/12*(ExpInsurancePerUnit+ExpAdminPerUnit)-TotalUnits/12*IU$11*(ExpUtilitiesPerUnit+ExpRMPerUnit+ExpTurnoverPerUnit+ExpContractPerUnit)-TotalUnits/12*IU$12*(ExpPayrollPerUnit+ExpAdvertisingPerUnit),0)</f>
        <v/>
      </c>
      <c r="IV68" s="218">
        <f>IF(252&gt;=DeliverStart,((BaseMarketRentMo+BaseLowRentMo)*(LeaseUp!IV$10-LossToLeasePct-BadDebtPct-ConcessionsPct)+LeaseUp!IV$9*(ParkingPerUnitMo+UtilReimbPerUnitMo+OtherIncPerUnitMo)+RetailRentMo*MIN(1,LeaseUp!IV$10/StabilizedOccupancy))*(1-MgmtFeePct)-TotalUnits/12*(ExpInsurancePerUnit+ExpAdminPerUnit)-TotalUnits/12*IV$11*(ExpUtilitiesPerUnit+ExpRMPerUnit+ExpTurnoverPerUnit+ExpContractPerUnit)-TotalUnits/12*IV$12*(ExpPayrollPerUnit+ExpAdvertisingPerUnit),0)</f>
        <v/>
      </c>
      <c r="IW68" s="218">
        <f>IF(253&gt;=DeliverStart,((BaseMarketRentMo+BaseLowRentMo)*(LeaseUp!IW$10-LossToLeasePct-BadDebtPct-ConcessionsPct)+LeaseUp!IW$9*(ParkingPerUnitMo+UtilReimbPerUnitMo+OtherIncPerUnitMo)+RetailRentMo*MIN(1,LeaseUp!IW$10/StabilizedOccupancy))*(1-MgmtFeePct)-TotalUnits/12*(ExpInsurancePerUnit+ExpAdminPerUnit)-TotalUnits/12*IW$11*(ExpUtilitiesPerUnit+ExpRMPerUnit+ExpTurnoverPerUnit+ExpContractPerUnit)-TotalUnits/12*IW$12*(ExpPayrollPerUnit+ExpAdvertisingPerUnit),0)</f>
        <v/>
      </c>
      <c r="IX68" s="218">
        <f>IF(254&gt;=DeliverStart,((BaseMarketRentMo+BaseLowRentMo)*(LeaseUp!IX$10-LossToLeasePct-BadDebtPct-ConcessionsPct)+LeaseUp!IX$9*(ParkingPerUnitMo+UtilReimbPerUnitMo+OtherIncPerUnitMo)+RetailRentMo*MIN(1,LeaseUp!IX$10/StabilizedOccupancy))*(1-MgmtFeePct)-TotalUnits/12*(ExpInsurancePerUnit+ExpAdminPerUnit)-TotalUnits/12*IX$11*(ExpUtilitiesPerUnit+ExpRMPerUnit+ExpTurnoverPerUnit+ExpContractPerUnit)-TotalUnits/12*IX$12*(ExpPayrollPerUnit+ExpAdvertisingPerUnit),0)</f>
        <v/>
      </c>
      <c r="IY68" s="218">
        <f>IF(255&gt;=DeliverStart,((BaseMarketRentMo+BaseLowRentMo)*(LeaseUp!IY$10-LossToLeasePct-BadDebtPct-ConcessionsPct)+LeaseUp!IY$9*(ParkingPerUnitMo+UtilReimbPerUnitMo+OtherIncPerUnitMo)+RetailRentMo*MIN(1,LeaseUp!IY$10/StabilizedOccupancy))*(1-MgmtFeePct)-TotalUnits/12*(ExpInsurancePerUnit+ExpAdminPerUnit)-TotalUnits/12*IY$11*(ExpUtilitiesPerUnit+ExpRMPerUnit+ExpTurnoverPerUnit+ExpContractPerUnit)-TotalUnits/12*IY$12*(ExpPayrollPerUnit+ExpAdvertisingPerUnit),0)</f>
        <v/>
      </c>
      <c r="IZ68" s="218">
        <f>IF(256&gt;=DeliverStart,((BaseMarketRentMo+BaseLowRentMo)*(LeaseUp!IZ$10-LossToLeasePct-BadDebtPct-ConcessionsPct)+LeaseUp!IZ$9*(ParkingPerUnitMo+UtilReimbPerUnitMo+OtherIncPerUnitMo)+RetailRentMo*MIN(1,LeaseUp!IZ$10/StabilizedOccupancy))*(1-MgmtFeePct)-TotalUnits/12*(ExpInsurancePerUnit+ExpAdminPerUnit)-TotalUnits/12*IZ$11*(ExpUtilitiesPerUnit+ExpRMPerUnit+ExpTurnoverPerUnit+ExpContractPerUnit)-TotalUnits/12*IZ$12*(ExpPayrollPerUnit+ExpAdvertisingPerUnit),0)</f>
        <v/>
      </c>
      <c r="JA68" s="218">
        <f>IF(257&gt;=DeliverStart,((BaseMarketRentMo+BaseLowRentMo)*(LeaseUp!JA$10-LossToLeasePct-BadDebtPct-ConcessionsPct)+LeaseUp!JA$9*(ParkingPerUnitMo+UtilReimbPerUnitMo+OtherIncPerUnitMo)+RetailRentMo*MIN(1,LeaseUp!JA$10/StabilizedOccupancy))*(1-MgmtFeePct)-TotalUnits/12*(ExpInsurancePerUnit+ExpAdminPerUnit)-TotalUnits/12*JA$11*(ExpUtilitiesPerUnit+ExpRMPerUnit+ExpTurnoverPerUnit+ExpContractPerUnit)-TotalUnits/12*JA$12*(ExpPayrollPerUnit+ExpAdvertisingPerUnit),0)</f>
        <v/>
      </c>
      <c r="JB68" s="218">
        <f>IF(258&gt;=DeliverStart,((BaseMarketRentMo+BaseLowRentMo)*(LeaseUp!JB$10-LossToLeasePct-BadDebtPct-ConcessionsPct)+LeaseUp!JB$9*(ParkingPerUnitMo+UtilReimbPerUnitMo+OtherIncPerUnitMo)+RetailRentMo*MIN(1,LeaseUp!JB$10/StabilizedOccupancy))*(1-MgmtFeePct)-TotalUnits/12*(ExpInsurancePerUnit+ExpAdminPerUnit)-TotalUnits/12*JB$11*(ExpUtilitiesPerUnit+ExpRMPerUnit+ExpTurnoverPerUnit+ExpContractPerUnit)-TotalUnits/12*JB$12*(ExpPayrollPerUnit+ExpAdvertisingPerUnit),0)</f>
        <v/>
      </c>
      <c r="JC68" s="218">
        <f>IF(259&gt;=DeliverStart,((BaseMarketRentMo+BaseLowRentMo)*(LeaseUp!JC$10-LossToLeasePct-BadDebtPct-ConcessionsPct)+LeaseUp!JC$9*(ParkingPerUnitMo+UtilReimbPerUnitMo+OtherIncPerUnitMo)+RetailRentMo*MIN(1,LeaseUp!JC$10/StabilizedOccupancy))*(1-MgmtFeePct)-TotalUnits/12*(ExpInsurancePerUnit+ExpAdminPerUnit)-TotalUnits/12*JC$11*(ExpUtilitiesPerUnit+ExpRMPerUnit+ExpTurnoverPerUnit+ExpContractPerUnit)-TotalUnits/12*JC$12*(ExpPayrollPerUnit+ExpAdvertisingPerUnit),0)</f>
        <v/>
      </c>
      <c r="JD68" s="218">
        <f>IF(260&gt;=DeliverStart,((BaseMarketRentMo+BaseLowRentMo)*(LeaseUp!JD$10-LossToLeasePct-BadDebtPct-ConcessionsPct)+LeaseUp!JD$9*(ParkingPerUnitMo+UtilReimbPerUnitMo+OtherIncPerUnitMo)+RetailRentMo*MIN(1,LeaseUp!JD$10/StabilizedOccupancy))*(1-MgmtFeePct)-TotalUnits/12*(ExpInsurancePerUnit+ExpAdminPerUnit)-TotalUnits/12*JD$11*(ExpUtilitiesPerUnit+ExpRMPerUnit+ExpTurnoverPerUnit+ExpContractPerUnit)-TotalUnits/12*JD$12*(ExpPayrollPerUnit+ExpAdvertisingPerUnit),0)</f>
        <v/>
      </c>
      <c r="JE68" s="218">
        <f>IF(261&gt;=DeliverStart,((BaseMarketRentMo+BaseLowRentMo)*(LeaseUp!JE$10-LossToLeasePct-BadDebtPct-ConcessionsPct)+LeaseUp!JE$9*(ParkingPerUnitMo+UtilReimbPerUnitMo+OtherIncPerUnitMo)+RetailRentMo*MIN(1,LeaseUp!JE$10/StabilizedOccupancy))*(1-MgmtFeePct)-TotalUnits/12*(ExpInsurancePerUnit+ExpAdminPerUnit)-TotalUnits/12*JE$11*(ExpUtilitiesPerUnit+ExpRMPerUnit+ExpTurnoverPerUnit+ExpContractPerUnit)-TotalUnits/12*JE$12*(ExpPayrollPerUnit+ExpAdvertisingPerUnit),0)</f>
        <v/>
      </c>
      <c r="JF68" s="218">
        <f>IF(262&gt;=DeliverStart,((BaseMarketRentMo+BaseLowRentMo)*(LeaseUp!JF$10-LossToLeasePct-BadDebtPct-ConcessionsPct)+LeaseUp!JF$9*(ParkingPerUnitMo+UtilReimbPerUnitMo+OtherIncPerUnitMo)+RetailRentMo*MIN(1,LeaseUp!JF$10/StabilizedOccupancy))*(1-MgmtFeePct)-TotalUnits/12*(ExpInsurancePerUnit+ExpAdminPerUnit)-TotalUnits/12*JF$11*(ExpUtilitiesPerUnit+ExpRMPerUnit+ExpTurnoverPerUnit+ExpContractPerUnit)-TotalUnits/12*JF$12*(ExpPayrollPerUnit+ExpAdvertisingPerUnit),0)</f>
        <v/>
      </c>
      <c r="JG68" s="218">
        <f>IF(263&gt;=DeliverStart,((BaseMarketRentMo+BaseLowRentMo)*(LeaseUp!JG$10-LossToLeasePct-BadDebtPct-ConcessionsPct)+LeaseUp!JG$9*(ParkingPerUnitMo+UtilReimbPerUnitMo+OtherIncPerUnitMo)+RetailRentMo*MIN(1,LeaseUp!JG$10/StabilizedOccupancy))*(1-MgmtFeePct)-TotalUnits/12*(ExpInsurancePerUnit+ExpAdminPerUnit)-TotalUnits/12*JG$11*(ExpUtilitiesPerUnit+ExpRMPerUnit+ExpTurnoverPerUnit+ExpContractPerUnit)-TotalUnits/12*JG$12*(ExpPayrollPerUnit+ExpAdvertisingPerUnit),0)</f>
        <v/>
      </c>
      <c r="JH68" s="218">
        <f>IF(264&gt;=DeliverStart,((BaseMarketRentMo+BaseLowRentMo)*(LeaseUp!JH$10-LossToLeasePct-BadDebtPct-ConcessionsPct)+LeaseUp!JH$9*(ParkingPerUnitMo+UtilReimbPerUnitMo+OtherIncPerUnitMo)+RetailRentMo*MIN(1,LeaseUp!JH$10/StabilizedOccupancy))*(1-MgmtFeePct)-TotalUnits/12*(ExpInsurancePerUnit+ExpAdminPerUnit)-TotalUnits/12*JH$11*(ExpUtilitiesPerUnit+ExpRMPerUnit+ExpTurnoverPerUnit+ExpContractPerUnit)-TotalUnits/12*JH$12*(ExpPayrollPerUnit+ExpAdvertisingPerUnit),0)</f>
        <v/>
      </c>
      <c r="JI68" s="218">
        <f>IF(265&gt;=DeliverStart,((BaseMarketRentMo+BaseLowRentMo)*(LeaseUp!JI$10-LossToLeasePct-BadDebtPct-ConcessionsPct)+LeaseUp!JI$9*(ParkingPerUnitMo+UtilReimbPerUnitMo+OtherIncPerUnitMo)+RetailRentMo*MIN(1,LeaseUp!JI$10/StabilizedOccupancy))*(1-MgmtFeePct)-TotalUnits/12*(ExpInsurancePerUnit+ExpAdminPerUnit)-TotalUnits/12*JI$11*(ExpUtilitiesPerUnit+ExpRMPerUnit+ExpTurnoverPerUnit+ExpContractPerUnit)-TotalUnits/12*JI$12*(ExpPayrollPerUnit+ExpAdvertisingPerUnit),0)</f>
        <v/>
      </c>
      <c r="JJ68" s="218">
        <f>IF(266&gt;=DeliverStart,((BaseMarketRentMo+BaseLowRentMo)*(LeaseUp!JJ$10-LossToLeasePct-BadDebtPct-ConcessionsPct)+LeaseUp!JJ$9*(ParkingPerUnitMo+UtilReimbPerUnitMo+OtherIncPerUnitMo)+RetailRentMo*MIN(1,LeaseUp!JJ$10/StabilizedOccupancy))*(1-MgmtFeePct)-TotalUnits/12*(ExpInsurancePerUnit+ExpAdminPerUnit)-TotalUnits/12*JJ$11*(ExpUtilitiesPerUnit+ExpRMPerUnit+ExpTurnoverPerUnit+ExpContractPerUnit)-TotalUnits/12*JJ$12*(ExpPayrollPerUnit+ExpAdvertisingPerUnit),0)</f>
        <v/>
      </c>
      <c r="JK68" s="218">
        <f>IF(267&gt;=DeliverStart,((BaseMarketRentMo+BaseLowRentMo)*(LeaseUp!JK$10-LossToLeasePct-BadDebtPct-ConcessionsPct)+LeaseUp!JK$9*(ParkingPerUnitMo+UtilReimbPerUnitMo+OtherIncPerUnitMo)+RetailRentMo*MIN(1,LeaseUp!JK$10/StabilizedOccupancy))*(1-MgmtFeePct)-TotalUnits/12*(ExpInsurancePerUnit+ExpAdminPerUnit)-TotalUnits/12*JK$11*(ExpUtilitiesPerUnit+ExpRMPerUnit+ExpTurnoverPerUnit+ExpContractPerUnit)-TotalUnits/12*JK$12*(ExpPayrollPerUnit+ExpAdvertisingPerUnit),0)</f>
        <v/>
      </c>
      <c r="JL68" s="218">
        <f>IF(268&gt;=DeliverStart,((BaseMarketRentMo+BaseLowRentMo)*(LeaseUp!JL$10-LossToLeasePct-BadDebtPct-ConcessionsPct)+LeaseUp!JL$9*(ParkingPerUnitMo+UtilReimbPerUnitMo+OtherIncPerUnitMo)+RetailRentMo*MIN(1,LeaseUp!JL$10/StabilizedOccupancy))*(1-MgmtFeePct)-TotalUnits/12*(ExpInsurancePerUnit+ExpAdminPerUnit)-TotalUnits/12*JL$11*(ExpUtilitiesPerUnit+ExpRMPerUnit+ExpTurnoverPerUnit+ExpContractPerUnit)-TotalUnits/12*JL$12*(ExpPayrollPerUnit+ExpAdvertisingPerUnit),0)</f>
        <v/>
      </c>
      <c r="JM68" s="218">
        <f>IF(269&gt;=DeliverStart,((BaseMarketRentMo+BaseLowRentMo)*(LeaseUp!JM$10-LossToLeasePct-BadDebtPct-ConcessionsPct)+LeaseUp!JM$9*(ParkingPerUnitMo+UtilReimbPerUnitMo+OtherIncPerUnitMo)+RetailRentMo*MIN(1,LeaseUp!JM$10/StabilizedOccupancy))*(1-MgmtFeePct)-TotalUnits/12*(ExpInsurancePerUnit+ExpAdminPerUnit)-TotalUnits/12*JM$11*(ExpUtilitiesPerUnit+ExpRMPerUnit+ExpTurnoverPerUnit+ExpContractPerUnit)-TotalUnits/12*JM$12*(ExpPayrollPerUnit+ExpAdvertisingPerUnit),0)</f>
        <v/>
      </c>
      <c r="JN68" s="218">
        <f>IF(270&gt;=DeliverStart,((BaseMarketRentMo+BaseLowRentMo)*(LeaseUp!JN$10-LossToLeasePct-BadDebtPct-ConcessionsPct)+LeaseUp!JN$9*(ParkingPerUnitMo+UtilReimbPerUnitMo+OtherIncPerUnitMo)+RetailRentMo*MIN(1,LeaseUp!JN$10/StabilizedOccupancy))*(1-MgmtFeePct)-TotalUnits/12*(ExpInsurancePerUnit+ExpAdminPerUnit)-TotalUnits/12*JN$11*(ExpUtilitiesPerUnit+ExpRMPerUnit+ExpTurnoverPerUnit+ExpContractPerUnit)-TotalUnits/12*JN$12*(ExpPayrollPerUnit+ExpAdvertisingPerUnit),0)</f>
        <v/>
      </c>
      <c r="JO68" s="218">
        <f>IF(271&gt;=DeliverStart,((BaseMarketRentMo+BaseLowRentMo)*(LeaseUp!JO$10-LossToLeasePct-BadDebtPct-ConcessionsPct)+LeaseUp!JO$9*(ParkingPerUnitMo+UtilReimbPerUnitMo+OtherIncPerUnitMo)+RetailRentMo*MIN(1,LeaseUp!JO$10/StabilizedOccupancy))*(1-MgmtFeePct)-TotalUnits/12*(ExpInsurancePerUnit+ExpAdminPerUnit)-TotalUnits/12*JO$11*(ExpUtilitiesPerUnit+ExpRMPerUnit+ExpTurnoverPerUnit+ExpContractPerUnit)-TotalUnits/12*JO$12*(ExpPayrollPerUnit+ExpAdvertisingPerUnit),0)</f>
        <v/>
      </c>
      <c r="JP68" s="218">
        <f>IF(272&gt;=DeliverStart,((BaseMarketRentMo+BaseLowRentMo)*(LeaseUp!JP$10-LossToLeasePct-BadDebtPct-ConcessionsPct)+LeaseUp!JP$9*(ParkingPerUnitMo+UtilReimbPerUnitMo+OtherIncPerUnitMo)+RetailRentMo*MIN(1,LeaseUp!JP$10/StabilizedOccupancy))*(1-MgmtFeePct)-TotalUnits/12*(ExpInsurancePerUnit+ExpAdminPerUnit)-TotalUnits/12*JP$11*(ExpUtilitiesPerUnit+ExpRMPerUnit+ExpTurnoverPerUnit+ExpContractPerUnit)-TotalUnits/12*JP$12*(ExpPayrollPerUnit+ExpAdvertisingPerUnit),0)</f>
        <v/>
      </c>
      <c r="JQ68" s="218">
        <f>IF(273&gt;=DeliverStart,((BaseMarketRentMo+BaseLowRentMo)*(LeaseUp!JQ$10-LossToLeasePct-BadDebtPct-ConcessionsPct)+LeaseUp!JQ$9*(ParkingPerUnitMo+UtilReimbPerUnitMo+OtherIncPerUnitMo)+RetailRentMo*MIN(1,LeaseUp!JQ$10/StabilizedOccupancy))*(1-MgmtFeePct)-TotalUnits/12*(ExpInsurancePerUnit+ExpAdminPerUnit)-TotalUnits/12*JQ$11*(ExpUtilitiesPerUnit+ExpRMPerUnit+ExpTurnoverPerUnit+ExpContractPerUnit)-TotalUnits/12*JQ$12*(ExpPayrollPerUnit+ExpAdvertisingPerUnit),0)</f>
        <v/>
      </c>
      <c r="JR68" s="218">
        <f>IF(274&gt;=DeliverStart,((BaseMarketRentMo+BaseLowRentMo)*(LeaseUp!JR$10-LossToLeasePct-BadDebtPct-ConcessionsPct)+LeaseUp!JR$9*(ParkingPerUnitMo+UtilReimbPerUnitMo+OtherIncPerUnitMo)+RetailRentMo*MIN(1,LeaseUp!JR$10/StabilizedOccupancy))*(1-MgmtFeePct)-TotalUnits/12*(ExpInsurancePerUnit+ExpAdminPerUnit)-TotalUnits/12*JR$11*(ExpUtilitiesPerUnit+ExpRMPerUnit+ExpTurnoverPerUnit+ExpContractPerUnit)-TotalUnits/12*JR$12*(ExpPayrollPerUnit+ExpAdvertisingPerUnit),0)</f>
        <v/>
      </c>
      <c r="JS68" s="218">
        <f>IF(275&gt;=DeliverStart,((BaseMarketRentMo+BaseLowRentMo)*(LeaseUp!JS$10-LossToLeasePct-BadDebtPct-ConcessionsPct)+LeaseUp!JS$9*(ParkingPerUnitMo+UtilReimbPerUnitMo+OtherIncPerUnitMo)+RetailRentMo*MIN(1,LeaseUp!JS$10/StabilizedOccupancy))*(1-MgmtFeePct)-TotalUnits/12*(ExpInsurancePerUnit+ExpAdminPerUnit)-TotalUnits/12*JS$11*(ExpUtilitiesPerUnit+ExpRMPerUnit+ExpTurnoverPerUnit+ExpContractPerUnit)-TotalUnits/12*JS$12*(ExpPayrollPerUnit+ExpAdvertisingPerUnit),0)</f>
        <v/>
      </c>
      <c r="JT68" s="218">
        <f>IF(276&gt;=DeliverStart,((BaseMarketRentMo+BaseLowRentMo)*(LeaseUp!JT$10-LossToLeasePct-BadDebtPct-ConcessionsPct)+LeaseUp!JT$9*(ParkingPerUnitMo+UtilReimbPerUnitMo+OtherIncPerUnitMo)+RetailRentMo*MIN(1,LeaseUp!JT$10/StabilizedOccupancy))*(1-MgmtFeePct)-TotalUnits/12*(ExpInsurancePerUnit+ExpAdminPerUnit)-TotalUnits/12*JT$11*(ExpUtilitiesPerUnit+ExpRMPerUnit+ExpTurnoverPerUnit+ExpContractPerUnit)-TotalUnits/12*JT$12*(ExpPayrollPerUnit+ExpAdvertisingPerUnit),0)</f>
        <v/>
      </c>
      <c r="JU68" s="218">
        <f>IF(277&gt;=DeliverStart,((BaseMarketRentMo+BaseLowRentMo)*(LeaseUp!JU$10-LossToLeasePct-BadDebtPct-ConcessionsPct)+LeaseUp!JU$9*(ParkingPerUnitMo+UtilReimbPerUnitMo+OtherIncPerUnitMo)+RetailRentMo*MIN(1,LeaseUp!JU$10/StabilizedOccupancy))*(1-MgmtFeePct)-TotalUnits/12*(ExpInsurancePerUnit+ExpAdminPerUnit)-TotalUnits/12*JU$11*(ExpUtilitiesPerUnit+ExpRMPerUnit+ExpTurnoverPerUnit+ExpContractPerUnit)-TotalUnits/12*JU$12*(ExpPayrollPerUnit+ExpAdvertisingPerUnit),0)</f>
        <v/>
      </c>
      <c r="JV68" s="218">
        <f>IF(278&gt;=DeliverStart,((BaseMarketRentMo+BaseLowRentMo)*(LeaseUp!JV$10-LossToLeasePct-BadDebtPct-ConcessionsPct)+LeaseUp!JV$9*(ParkingPerUnitMo+UtilReimbPerUnitMo+OtherIncPerUnitMo)+RetailRentMo*MIN(1,LeaseUp!JV$10/StabilizedOccupancy))*(1-MgmtFeePct)-TotalUnits/12*(ExpInsurancePerUnit+ExpAdminPerUnit)-TotalUnits/12*JV$11*(ExpUtilitiesPerUnit+ExpRMPerUnit+ExpTurnoverPerUnit+ExpContractPerUnit)-TotalUnits/12*JV$12*(ExpPayrollPerUnit+ExpAdvertisingPerUnit),0)</f>
        <v/>
      </c>
      <c r="JW68" s="218">
        <f>IF(279&gt;=DeliverStart,((BaseMarketRentMo+BaseLowRentMo)*(LeaseUp!JW$10-LossToLeasePct-BadDebtPct-ConcessionsPct)+LeaseUp!JW$9*(ParkingPerUnitMo+UtilReimbPerUnitMo+OtherIncPerUnitMo)+RetailRentMo*MIN(1,LeaseUp!JW$10/StabilizedOccupancy))*(1-MgmtFeePct)-TotalUnits/12*(ExpInsurancePerUnit+ExpAdminPerUnit)-TotalUnits/12*JW$11*(ExpUtilitiesPerUnit+ExpRMPerUnit+ExpTurnoverPerUnit+ExpContractPerUnit)-TotalUnits/12*JW$12*(ExpPayrollPerUnit+ExpAdvertisingPerUnit),0)</f>
        <v/>
      </c>
      <c r="JX68" s="218">
        <f>IF(280&gt;=DeliverStart,((BaseMarketRentMo+BaseLowRentMo)*(LeaseUp!JX$10-LossToLeasePct-BadDebtPct-ConcessionsPct)+LeaseUp!JX$9*(ParkingPerUnitMo+UtilReimbPerUnitMo+OtherIncPerUnitMo)+RetailRentMo*MIN(1,LeaseUp!JX$10/StabilizedOccupancy))*(1-MgmtFeePct)-TotalUnits/12*(ExpInsurancePerUnit+ExpAdminPerUnit)-TotalUnits/12*JX$11*(ExpUtilitiesPerUnit+ExpRMPerUnit+ExpTurnoverPerUnit+ExpContractPerUnit)-TotalUnits/12*JX$12*(ExpPayrollPerUnit+ExpAdvertisingPerUnit),0)</f>
        <v/>
      </c>
      <c r="JY68" s="218">
        <f>IF(281&gt;=DeliverStart,((BaseMarketRentMo+BaseLowRentMo)*(LeaseUp!JY$10-LossToLeasePct-BadDebtPct-ConcessionsPct)+LeaseUp!JY$9*(ParkingPerUnitMo+UtilReimbPerUnitMo+OtherIncPerUnitMo)+RetailRentMo*MIN(1,LeaseUp!JY$10/StabilizedOccupancy))*(1-MgmtFeePct)-TotalUnits/12*(ExpInsurancePerUnit+ExpAdminPerUnit)-TotalUnits/12*JY$11*(ExpUtilitiesPerUnit+ExpRMPerUnit+ExpTurnoverPerUnit+ExpContractPerUnit)-TotalUnits/12*JY$12*(ExpPayrollPerUnit+ExpAdvertisingPerUnit),0)</f>
        <v/>
      </c>
      <c r="JZ68" s="218">
        <f>IF(282&gt;=DeliverStart,((BaseMarketRentMo+BaseLowRentMo)*(LeaseUp!JZ$10-LossToLeasePct-BadDebtPct-ConcessionsPct)+LeaseUp!JZ$9*(ParkingPerUnitMo+UtilReimbPerUnitMo+OtherIncPerUnitMo)+RetailRentMo*MIN(1,LeaseUp!JZ$10/StabilizedOccupancy))*(1-MgmtFeePct)-TotalUnits/12*(ExpInsurancePerUnit+ExpAdminPerUnit)-TotalUnits/12*JZ$11*(ExpUtilitiesPerUnit+ExpRMPerUnit+ExpTurnoverPerUnit+ExpContractPerUnit)-TotalUnits/12*JZ$12*(ExpPayrollPerUnit+ExpAdvertisingPerUnit),0)</f>
        <v/>
      </c>
      <c r="KA68" s="218">
        <f>IF(283&gt;=DeliverStart,((BaseMarketRentMo+BaseLowRentMo)*(LeaseUp!KA$10-LossToLeasePct-BadDebtPct-ConcessionsPct)+LeaseUp!KA$9*(ParkingPerUnitMo+UtilReimbPerUnitMo+OtherIncPerUnitMo)+RetailRentMo*MIN(1,LeaseUp!KA$10/StabilizedOccupancy))*(1-MgmtFeePct)-TotalUnits/12*(ExpInsurancePerUnit+ExpAdminPerUnit)-TotalUnits/12*KA$11*(ExpUtilitiesPerUnit+ExpRMPerUnit+ExpTurnoverPerUnit+ExpContractPerUnit)-TotalUnits/12*KA$12*(ExpPayrollPerUnit+ExpAdvertisingPerUnit),0)</f>
        <v/>
      </c>
      <c r="KB68" s="218">
        <f>IF(284&gt;=DeliverStart,((BaseMarketRentMo+BaseLowRentMo)*(LeaseUp!KB$10-LossToLeasePct-BadDebtPct-ConcessionsPct)+LeaseUp!KB$9*(ParkingPerUnitMo+UtilReimbPerUnitMo+OtherIncPerUnitMo)+RetailRentMo*MIN(1,LeaseUp!KB$10/StabilizedOccupancy))*(1-MgmtFeePct)-TotalUnits/12*(ExpInsurancePerUnit+ExpAdminPerUnit)-TotalUnits/12*KB$11*(ExpUtilitiesPerUnit+ExpRMPerUnit+ExpTurnoverPerUnit+ExpContractPerUnit)-TotalUnits/12*KB$12*(ExpPayrollPerUnit+ExpAdvertisingPerUnit),0)</f>
        <v/>
      </c>
      <c r="KC68" s="218">
        <f>IF(285&gt;=DeliverStart,((BaseMarketRentMo+BaseLowRentMo)*(LeaseUp!KC$10-LossToLeasePct-BadDebtPct-ConcessionsPct)+LeaseUp!KC$9*(ParkingPerUnitMo+UtilReimbPerUnitMo+OtherIncPerUnitMo)+RetailRentMo*MIN(1,LeaseUp!KC$10/StabilizedOccupancy))*(1-MgmtFeePct)-TotalUnits/12*(ExpInsurancePerUnit+ExpAdminPerUnit)-TotalUnits/12*KC$11*(ExpUtilitiesPerUnit+ExpRMPerUnit+ExpTurnoverPerUnit+ExpContractPerUnit)-TotalUnits/12*KC$12*(ExpPayrollPerUnit+ExpAdvertisingPerUnit),0)</f>
        <v/>
      </c>
      <c r="KD68" s="218">
        <f>IF(286&gt;=DeliverStart,((BaseMarketRentMo+BaseLowRentMo)*(LeaseUp!KD$10-LossToLeasePct-BadDebtPct-ConcessionsPct)+LeaseUp!KD$9*(ParkingPerUnitMo+UtilReimbPerUnitMo+OtherIncPerUnitMo)+RetailRentMo*MIN(1,LeaseUp!KD$10/StabilizedOccupancy))*(1-MgmtFeePct)-TotalUnits/12*(ExpInsurancePerUnit+ExpAdminPerUnit)-TotalUnits/12*KD$11*(ExpUtilitiesPerUnit+ExpRMPerUnit+ExpTurnoverPerUnit+ExpContractPerUnit)-TotalUnits/12*KD$12*(ExpPayrollPerUnit+ExpAdvertisingPerUnit),0)</f>
        <v/>
      </c>
      <c r="KE68" s="218">
        <f>IF(287&gt;=DeliverStart,((BaseMarketRentMo+BaseLowRentMo)*(LeaseUp!KE$10-LossToLeasePct-BadDebtPct-ConcessionsPct)+LeaseUp!KE$9*(ParkingPerUnitMo+UtilReimbPerUnitMo+OtherIncPerUnitMo)+RetailRentMo*MIN(1,LeaseUp!KE$10/StabilizedOccupancy))*(1-MgmtFeePct)-TotalUnits/12*(ExpInsurancePerUnit+ExpAdminPerUnit)-TotalUnits/12*KE$11*(ExpUtilitiesPerUnit+ExpRMPerUnit+ExpTurnoverPerUnit+ExpContractPerUnit)-TotalUnits/12*KE$12*(ExpPayrollPerUnit+ExpAdvertisingPerUnit),0)</f>
        <v/>
      </c>
      <c r="KF68" s="218">
        <f>IF(288&gt;=DeliverStart,((BaseMarketRentMo+BaseLowRentMo)*(LeaseUp!KF$10-LossToLeasePct-BadDebtPct-ConcessionsPct)+LeaseUp!KF$9*(ParkingPerUnitMo+UtilReimbPerUnitMo+OtherIncPerUnitMo)+RetailRentMo*MIN(1,LeaseUp!KF$10/StabilizedOccupancy))*(1-MgmtFeePct)-TotalUnits/12*(ExpInsurancePerUnit+ExpAdminPerUnit)-TotalUnits/12*KF$11*(ExpUtilitiesPerUnit+ExpRMPerUnit+ExpTurnoverPerUnit+ExpContractPerUnit)-TotalUnits/12*KF$12*(ExpPayrollPerUnit+ExpAdvertisingPerUnit),0)</f>
        <v/>
      </c>
      <c r="KG68" s="218">
        <f>IF(289&gt;=DeliverStart,((BaseMarketRentMo+BaseLowRentMo)*(LeaseUp!KG$10-LossToLeasePct-BadDebtPct-ConcessionsPct)+LeaseUp!KG$9*(ParkingPerUnitMo+UtilReimbPerUnitMo+OtherIncPerUnitMo)+RetailRentMo*MIN(1,LeaseUp!KG$10/StabilizedOccupancy))*(1-MgmtFeePct)-TotalUnits/12*(ExpInsurancePerUnit+ExpAdminPerUnit)-TotalUnits/12*KG$11*(ExpUtilitiesPerUnit+ExpRMPerUnit+ExpTurnoverPerUnit+ExpContractPerUnit)-TotalUnits/12*KG$12*(ExpPayrollPerUnit+ExpAdvertisingPerUnit),0)</f>
        <v/>
      </c>
      <c r="KH68" s="218">
        <f>IF(290&gt;=DeliverStart,((BaseMarketRentMo+BaseLowRentMo)*(LeaseUp!KH$10-LossToLeasePct-BadDebtPct-ConcessionsPct)+LeaseUp!KH$9*(ParkingPerUnitMo+UtilReimbPerUnitMo+OtherIncPerUnitMo)+RetailRentMo*MIN(1,LeaseUp!KH$10/StabilizedOccupancy))*(1-MgmtFeePct)-TotalUnits/12*(ExpInsurancePerUnit+ExpAdminPerUnit)-TotalUnits/12*KH$11*(ExpUtilitiesPerUnit+ExpRMPerUnit+ExpTurnoverPerUnit+ExpContractPerUnit)-TotalUnits/12*KH$12*(ExpPayrollPerUnit+ExpAdvertisingPerUnit),0)</f>
        <v/>
      </c>
      <c r="KI68" s="218">
        <f>IF(291&gt;=DeliverStart,((BaseMarketRentMo+BaseLowRentMo)*(LeaseUp!KI$10-LossToLeasePct-BadDebtPct-ConcessionsPct)+LeaseUp!KI$9*(ParkingPerUnitMo+UtilReimbPerUnitMo+OtherIncPerUnitMo)+RetailRentMo*MIN(1,LeaseUp!KI$10/StabilizedOccupancy))*(1-MgmtFeePct)-TotalUnits/12*(ExpInsurancePerUnit+ExpAdminPerUnit)-TotalUnits/12*KI$11*(ExpUtilitiesPerUnit+ExpRMPerUnit+ExpTurnoverPerUnit+ExpContractPerUnit)-TotalUnits/12*KI$12*(ExpPayrollPerUnit+ExpAdvertisingPerUnit),0)</f>
        <v/>
      </c>
      <c r="KJ68" s="218">
        <f>IF(292&gt;=DeliverStart,((BaseMarketRentMo+BaseLowRentMo)*(LeaseUp!KJ$10-LossToLeasePct-BadDebtPct-ConcessionsPct)+LeaseUp!KJ$9*(ParkingPerUnitMo+UtilReimbPerUnitMo+OtherIncPerUnitMo)+RetailRentMo*MIN(1,LeaseUp!KJ$10/StabilizedOccupancy))*(1-MgmtFeePct)-TotalUnits/12*(ExpInsurancePerUnit+ExpAdminPerUnit)-TotalUnits/12*KJ$11*(ExpUtilitiesPerUnit+ExpRMPerUnit+ExpTurnoverPerUnit+ExpContractPerUnit)-TotalUnits/12*KJ$12*(ExpPayrollPerUnit+ExpAdvertisingPerUnit),0)</f>
        <v/>
      </c>
      <c r="KK68" s="218">
        <f>IF(293&gt;=DeliverStart,((BaseMarketRentMo+BaseLowRentMo)*(LeaseUp!KK$10-LossToLeasePct-BadDebtPct-ConcessionsPct)+LeaseUp!KK$9*(ParkingPerUnitMo+UtilReimbPerUnitMo+OtherIncPerUnitMo)+RetailRentMo*MIN(1,LeaseUp!KK$10/StabilizedOccupancy))*(1-MgmtFeePct)-TotalUnits/12*(ExpInsurancePerUnit+ExpAdminPerUnit)-TotalUnits/12*KK$11*(ExpUtilitiesPerUnit+ExpRMPerUnit+ExpTurnoverPerUnit+ExpContractPerUnit)-TotalUnits/12*KK$12*(ExpPayrollPerUnit+ExpAdvertisingPerUnit),0)</f>
        <v/>
      </c>
      <c r="KL68" s="218">
        <f>IF(294&gt;=DeliverStart,((BaseMarketRentMo+BaseLowRentMo)*(LeaseUp!KL$10-LossToLeasePct-BadDebtPct-ConcessionsPct)+LeaseUp!KL$9*(ParkingPerUnitMo+UtilReimbPerUnitMo+OtherIncPerUnitMo)+RetailRentMo*MIN(1,LeaseUp!KL$10/StabilizedOccupancy))*(1-MgmtFeePct)-TotalUnits/12*(ExpInsurancePerUnit+ExpAdminPerUnit)-TotalUnits/12*KL$11*(ExpUtilitiesPerUnit+ExpRMPerUnit+ExpTurnoverPerUnit+ExpContractPerUnit)-TotalUnits/12*KL$12*(ExpPayrollPerUnit+ExpAdvertisingPerUnit),0)</f>
        <v/>
      </c>
      <c r="KM68" s="218">
        <f>IF(295&gt;=DeliverStart,((BaseMarketRentMo+BaseLowRentMo)*(LeaseUp!KM$10-LossToLeasePct-BadDebtPct-ConcessionsPct)+LeaseUp!KM$9*(ParkingPerUnitMo+UtilReimbPerUnitMo+OtherIncPerUnitMo)+RetailRentMo*MIN(1,LeaseUp!KM$10/StabilizedOccupancy))*(1-MgmtFeePct)-TotalUnits/12*(ExpInsurancePerUnit+ExpAdminPerUnit)-TotalUnits/12*KM$11*(ExpUtilitiesPerUnit+ExpRMPerUnit+ExpTurnoverPerUnit+ExpContractPerUnit)-TotalUnits/12*KM$12*(ExpPayrollPerUnit+ExpAdvertisingPerUnit),0)</f>
        <v/>
      </c>
      <c r="KN68" s="218">
        <f>IF(296&gt;=DeliverStart,((BaseMarketRentMo+BaseLowRentMo)*(LeaseUp!KN$10-LossToLeasePct-BadDebtPct-ConcessionsPct)+LeaseUp!KN$9*(ParkingPerUnitMo+UtilReimbPerUnitMo+OtherIncPerUnitMo)+RetailRentMo*MIN(1,LeaseUp!KN$10/StabilizedOccupancy))*(1-MgmtFeePct)-TotalUnits/12*(ExpInsurancePerUnit+ExpAdminPerUnit)-TotalUnits/12*KN$11*(ExpUtilitiesPerUnit+ExpRMPerUnit+ExpTurnoverPerUnit+ExpContractPerUnit)-TotalUnits/12*KN$12*(ExpPayrollPerUnit+ExpAdvertisingPerUnit),0)</f>
        <v/>
      </c>
      <c r="KO68" s="218">
        <f>IF(297&gt;=DeliverStart,((BaseMarketRentMo+BaseLowRentMo)*(LeaseUp!KO$10-LossToLeasePct-BadDebtPct-ConcessionsPct)+LeaseUp!KO$9*(ParkingPerUnitMo+UtilReimbPerUnitMo+OtherIncPerUnitMo)+RetailRentMo*MIN(1,LeaseUp!KO$10/StabilizedOccupancy))*(1-MgmtFeePct)-TotalUnits/12*(ExpInsurancePerUnit+ExpAdminPerUnit)-TotalUnits/12*KO$11*(ExpUtilitiesPerUnit+ExpRMPerUnit+ExpTurnoverPerUnit+ExpContractPerUnit)-TotalUnits/12*KO$12*(ExpPayrollPerUnit+ExpAdvertisingPerUnit),0)</f>
        <v/>
      </c>
      <c r="KP68" s="218">
        <f>IF(298&gt;=DeliverStart,((BaseMarketRentMo+BaseLowRentMo)*(LeaseUp!KP$10-LossToLeasePct-BadDebtPct-ConcessionsPct)+LeaseUp!KP$9*(ParkingPerUnitMo+UtilReimbPerUnitMo+OtherIncPerUnitMo)+RetailRentMo*MIN(1,LeaseUp!KP$10/StabilizedOccupancy))*(1-MgmtFeePct)-TotalUnits/12*(ExpInsurancePerUnit+ExpAdminPerUnit)-TotalUnits/12*KP$11*(ExpUtilitiesPerUnit+ExpRMPerUnit+ExpTurnoverPerUnit+ExpContractPerUnit)-TotalUnits/12*KP$12*(ExpPayrollPerUnit+ExpAdvertisingPerUnit),0)</f>
        <v/>
      </c>
      <c r="KQ68" s="218">
        <f>IF(299&gt;=DeliverStart,((BaseMarketRentMo+BaseLowRentMo)*(LeaseUp!KQ$10-LossToLeasePct-BadDebtPct-ConcessionsPct)+LeaseUp!KQ$9*(ParkingPerUnitMo+UtilReimbPerUnitMo+OtherIncPerUnitMo)+RetailRentMo*MIN(1,LeaseUp!KQ$10/StabilizedOccupancy))*(1-MgmtFeePct)-TotalUnits/12*(ExpInsurancePerUnit+ExpAdminPerUnit)-TotalUnits/12*KQ$11*(ExpUtilitiesPerUnit+ExpRMPerUnit+ExpTurnoverPerUnit+ExpContractPerUnit)-TotalUnits/12*KQ$12*(ExpPayrollPerUnit+ExpAdvertisingPerUnit),0)</f>
        <v/>
      </c>
      <c r="KR68" s="218">
        <f>IF(300&gt;=DeliverStart,((BaseMarketRentMo+BaseLowRentMo)*(LeaseUp!KR$10-LossToLeasePct-BadDebtPct-ConcessionsPct)+LeaseUp!KR$9*(ParkingPerUnitMo+UtilReimbPerUnitMo+OtherIncPerUnitMo)+RetailRentMo*MIN(1,LeaseUp!KR$10/StabilizedOccupancy))*(1-MgmtFeePct)-TotalUnits/12*(ExpInsurancePerUnit+ExpAdminPerUnit)-TotalUnits/12*KR$11*(ExpUtilitiesPerUnit+ExpRMPerUnit+ExpTurnoverPerUnit+ExpContractPerUnit)-TotalUnits/12*KR$12*(ExpPayrollPerUnit+ExpAdvertisingPerUnit),0)</f>
        <v/>
      </c>
      <c r="KS68" s="218">
        <f>IF(301&gt;=DeliverStart,((BaseMarketRentMo+BaseLowRentMo)*(LeaseUp!KS$10-LossToLeasePct-BadDebtPct-ConcessionsPct)+LeaseUp!KS$9*(ParkingPerUnitMo+UtilReimbPerUnitMo+OtherIncPerUnitMo)+RetailRentMo*MIN(1,LeaseUp!KS$10/StabilizedOccupancy))*(1-MgmtFeePct)-TotalUnits/12*(ExpInsurancePerUnit+ExpAdminPerUnit)-TotalUnits/12*KS$11*(ExpUtilitiesPerUnit+ExpRMPerUnit+ExpTurnoverPerUnit+ExpContractPerUnit)-TotalUnits/12*KS$12*(ExpPayrollPerUnit+ExpAdvertisingPerUnit),0)</f>
        <v/>
      </c>
      <c r="KT68" s="218">
        <f>IF(302&gt;=DeliverStart,((BaseMarketRentMo+BaseLowRentMo)*(LeaseUp!KT$10-LossToLeasePct-BadDebtPct-ConcessionsPct)+LeaseUp!KT$9*(ParkingPerUnitMo+UtilReimbPerUnitMo+OtherIncPerUnitMo)+RetailRentMo*MIN(1,LeaseUp!KT$10/StabilizedOccupancy))*(1-MgmtFeePct)-TotalUnits/12*(ExpInsurancePerUnit+ExpAdminPerUnit)-TotalUnits/12*KT$11*(ExpUtilitiesPerUnit+ExpRMPerUnit+ExpTurnoverPerUnit+ExpContractPerUnit)-TotalUnits/12*KT$12*(ExpPayrollPerUnit+ExpAdvertisingPerUnit),0)</f>
        <v/>
      </c>
      <c r="KU68" s="218">
        <f>IF(303&gt;=DeliverStart,((BaseMarketRentMo+BaseLowRentMo)*(LeaseUp!KU$10-LossToLeasePct-BadDebtPct-ConcessionsPct)+LeaseUp!KU$9*(ParkingPerUnitMo+UtilReimbPerUnitMo+OtherIncPerUnitMo)+RetailRentMo*MIN(1,LeaseUp!KU$10/StabilizedOccupancy))*(1-MgmtFeePct)-TotalUnits/12*(ExpInsurancePerUnit+ExpAdminPerUnit)-TotalUnits/12*KU$11*(ExpUtilitiesPerUnit+ExpRMPerUnit+ExpTurnoverPerUnit+ExpContractPerUnit)-TotalUnits/12*KU$12*(ExpPayrollPerUnit+ExpAdvertisingPerUnit),0)</f>
        <v/>
      </c>
      <c r="KV68" s="218">
        <f>IF(304&gt;=DeliverStart,((BaseMarketRentMo+BaseLowRentMo)*(LeaseUp!KV$10-LossToLeasePct-BadDebtPct-ConcessionsPct)+LeaseUp!KV$9*(ParkingPerUnitMo+UtilReimbPerUnitMo+OtherIncPerUnitMo)+RetailRentMo*MIN(1,LeaseUp!KV$10/StabilizedOccupancy))*(1-MgmtFeePct)-TotalUnits/12*(ExpInsurancePerUnit+ExpAdminPerUnit)-TotalUnits/12*KV$11*(ExpUtilitiesPerUnit+ExpRMPerUnit+ExpTurnoverPerUnit+ExpContractPerUnit)-TotalUnits/12*KV$12*(ExpPayrollPerUnit+ExpAdvertisingPerUnit),0)</f>
        <v/>
      </c>
      <c r="KW68" s="218">
        <f>IF(305&gt;=DeliverStart,((BaseMarketRentMo+BaseLowRentMo)*(LeaseUp!KW$10-LossToLeasePct-BadDebtPct-ConcessionsPct)+LeaseUp!KW$9*(ParkingPerUnitMo+UtilReimbPerUnitMo+OtherIncPerUnitMo)+RetailRentMo*MIN(1,LeaseUp!KW$10/StabilizedOccupancy))*(1-MgmtFeePct)-TotalUnits/12*(ExpInsurancePerUnit+ExpAdminPerUnit)-TotalUnits/12*KW$11*(ExpUtilitiesPerUnit+ExpRMPerUnit+ExpTurnoverPerUnit+ExpContractPerUnit)-TotalUnits/12*KW$12*(ExpPayrollPerUnit+ExpAdvertisingPerUnit),0)</f>
        <v/>
      </c>
      <c r="KX68" s="218">
        <f>IF(306&gt;=DeliverStart,((BaseMarketRentMo+BaseLowRentMo)*(LeaseUp!KX$10-LossToLeasePct-BadDebtPct-ConcessionsPct)+LeaseUp!KX$9*(ParkingPerUnitMo+UtilReimbPerUnitMo+OtherIncPerUnitMo)+RetailRentMo*MIN(1,LeaseUp!KX$10/StabilizedOccupancy))*(1-MgmtFeePct)-TotalUnits/12*(ExpInsurancePerUnit+ExpAdminPerUnit)-TotalUnits/12*KX$11*(ExpUtilitiesPerUnit+ExpRMPerUnit+ExpTurnoverPerUnit+ExpContractPerUnit)-TotalUnits/12*KX$12*(ExpPayrollPerUnit+ExpAdvertisingPerUnit),0)</f>
        <v/>
      </c>
      <c r="KY68" s="218">
        <f>IF(307&gt;=DeliverStart,((BaseMarketRentMo+BaseLowRentMo)*(LeaseUp!KY$10-LossToLeasePct-BadDebtPct-ConcessionsPct)+LeaseUp!KY$9*(ParkingPerUnitMo+UtilReimbPerUnitMo+OtherIncPerUnitMo)+RetailRentMo*MIN(1,LeaseUp!KY$10/StabilizedOccupancy))*(1-MgmtFeePct)-TotalUnits/12*(ExpInsurancePerUnit+ExpAdminPerUnit)-TotalUnits/12*KY$11*(ExpUtilitiesPerUnit+ExpRMPerUnit+ExpTurnoverPerUnit+ExpContractPerUnit)-TotalUnits/12*KY$12*(ExpPayrollPerUnit+ExpAdvertisingPerUnit),0)</f>
        <v/>
      </c>
      <c r="KZ68" s="218">
        <f>IF(308&gt;=DeliverStart,((BaseMarketRentMo+BaseLowRentMo)*(LeaseUp!KZ$10-LossToLeasePct-BadDebtPct-ConcessionsPct)+LeaseUp!KZ$9*(ParkingPerUnitMo+UtilReimbPerUnitMo+OtherIncPerUnitMo)+RetailRentMo*MIN(1,LeaseUp!KZ$10/StabilizedOccupancy))*(1-MgmtFeePct)-TotalUnits/12*(ExpInsurancePerUnit+ExpAdminPerUnit)-TotalUnits/12*KZ$11*(ExpUtilitiesPerUnit+ExpRMPerUnit+ExpTurnoverPerUnit+ExpContractPerUnit)-TotalUnits/12*KZ$12*(ExpPayrollPerUnit+ExpAdvertisingPerUnit),0)</f>
        <v/>
      </c>
      <c r="LA68" s="218">
        <f>IF(309&gt;=DeliverStart,((BaseMarketRentMo+BaseLowRentMo)*(LeaseUp!LA$10-LossToLeasePct-BadDebtPct-ConcessionsPct)+LeaseUp!LA$9*(ParkingPerUnitMo+UtilReimbPerUnitMo+OtherIncPerUnitMo)+RetailRentMo*MIN(1,LeaseUp!LA$10/StabilizedOccupancy))*(1-MgmtFeePct)-TotalUnits/12*(ExpInsurancePerUnit+ExpAdminPerUnit)-TotalUnits/12*LA$11*(ExpUtilitiesPerUnit+ExpRMPerUnit+ExpTurnoverPerUnit+ExpContractPerUnit)-TotalUnits/12*LA$12*(ExpPayrollPerUnit+ExpAdvertisingPerUnit),0)</f>
        <v/>
      </c>
      <c r="LB68" s="218">
        <f>IF(310&gt;=DeliverStart,((BaseMarketRentMo+BaseLowRentMo)*(LeaseUp!LB$10-LossToLeasePct-BadDebtPct-ConcessionsPct)+LeaseUp!LB$9*(ParkingPerUnitMo+UtilReimbPerUnitMo+OtherIncPerUnitMo)+RetailRentMo*MIN(1,LeaseUp!LB$10/StabilizedOccupancy))*(1-MgmtFeePct)-TotalUnits/12*(ExpInsurancePerUnit+ExpAdminPerUnit)-TotalUnits/12*LB$11*(ExpUtilitiesPerUnit+ExpRMPerUnit+ExpTurnoverPerUnit+ExpContractPerUnit)-TotalUnits/12*LB$12*(ExpPayrollPerUnit+ExpAdvertisingPerUnit),0)</f>
        <v/>
      </c>
      <c r="LC68" s="218">
        <f>IF(311&gt;=DeliverStart,((BaseMarketRentMo+BaseLowRentMo)*(LeaseUp!LC$10-LossToLeasePct-BadDebtPct-ConcessionsPct)+LeaseUp!LC$9*(ParkingPerUnitMo+UtilReimbPerUnitMo+OtherIncPerUnitMo)+RetailRentMo*MIN(1,LeaseUp!LC$10/StabilizedOccupancy))*(1-MgmtFeePct)-TotalUnits/12*(ExpInsurancePerUnit+ExpAdminPerUnit)-TotalUnits/12*LC$11*(ExpUtilitiesPerUnit+ExpRMPerUnit+ExpTurnoverPerUnit+ExpContractPerUnit)-TotalUnits/12*LC$12*(ExpPayrollPerUnit+ExpAdvertisingPerUnit),0)</f>
        <v/>
      </c>
      <c r="LD68" s="218">
        <f>IF(312&gt;=DeliverStart,((BaseMarketRentMo+BaseLowRentMo)*(LeaseUp!LD$10-LossToLeasePct-BadDebtPct-ConcessionsPct)+LeaseUp!LD$9*(ParkingPerUnitMo+UtilReimbPerUnitMo+OtherIncPerUnitMo)+RetailRentMo*MIN(1,LeaseUp!LD$10/StabilizedOccupancy))*(1-MgmtFeePct)-TotalUnits/12*(ExpInsurancePerUnit+ExpAdminPerUnit)-TotalUnits/12*LD$11*(ExpUtilitiesPerUnit+ExpRMPerUnit+ExpTurnoverPerUnit+ExpContractPerUnit)-TotalUnits/12*LD$12*(ExpPayrollPerUnit+ExpAdvertisingPerUnit),0)</f>
        <v/>
      </c>
      <c r="LE68" s="218">
        <f>IF(313&gt;=DeliverStart,((BaseMarketRentMo+BaseLowRentMo)*(LeaseUp!LE$10-LossToLeasePct-BadDebtPct-ConcessionsPct)+LeaseUp!LE$9*(ParkingPerUnitMo+UtilReimbPerUnitMo+OtherIncPerUnitMo)+RetailRentMo*MIN(1,LeaseUp!LE$10/StabilizedOccupancy))*(1-MgmtFeePct)-TotalUnits/12*(ExpInsurancePerUnit+ExpAdminPerUnit)-TotalUnits/12*LE$11*(ExpUtilitiesPerUnit+ExpRMPerUnit+ExpTurnoverPerUnit+ExpContractPerUnit)-TotalUnits/12*LE$12*(ExpPayrollPerUnit+ExpAdvertisingPerUnit),0)</f>
        <v/>
      </c>
      <c r="LF68" s="218">
        <f>IF(314&gt;=DeliverStart,((BaseMarketRentMo+BaseLowRentMo)*(LeaseUp!LF$10-LossToLeasePct-BadDebtPct-ConcessionsPct)+LeaseUp!LF$9*(ParkingPerUnitMo+UtilReimbPerUnitMo+OtherIncPerUnitMo)+RetailRentMo*MIN(1,LeaseUp!LF$10/StabilizedOccupancy))*(1-MgmtFeePct)-TotalUnits/12*(ExpInsurancePerUnit+ExpAdminPerUnit)-TotalUnits/12*LF$11*(ExpUtilitiesPerUnit+ExpRMPerUnit+ExpTurnoverPerUnit+ExpContractPerUnit)-TotalUnits/12*LF$12*(ExpPayrollPerUnit+ExpAdvertisingPerUnit),0)</f>
        <v/>
      </c>
      <c r="LG68" s="218">
        <f>IF(315&gt;=DeliverStart,((BaseMarketRentMo+BaseLowRentMo)*(LeaseUp!LG$10-LossToLeasePct-BadDebtPct-ConcessionsPct)+LeaseUp!LG$9*(ParkingPerUnitMo+UtilReimbPerUnitMo+OtherIncPerUnitMo)+RetailRentMo*MIN(1,LeaseUp!LG$10/StabilizedOccupancy))*(1-MgmtFeePct)-TotalUnits/12*(ExpInsurancePerUnit+ExpAdminPerUnit)-TotalUnits/12*LG$11*(ExpUtilitiesPerUnit+ExpRMPerUnit+ExpTurnoverPerUnit+ExpContractPerUnit)-TotalUnits/12*LG$12*(ExpPayrollPerUnit+ExpAdvertisingPerUnit),0)</f>
        <v/>
      </c>
      <c r="LH68" s="218">
        <f>IF(316&gt;=DeliverStart,((BaseMarketRentMo+BaseLowRentMo)*(LeaseUp!LH$10-LossToLeasePct-BadDebtPct-ConcessionsPct)+LeaseUp!LH$9*(ParkingPerUnitMo+UtilReimbPerUnitMo+OtherIncPerUnitMo)+RetailRentMo*MIN(1,LeaseUp!LH$10/StabilizedOccupancy))*(1-MgmtFeePct)-TotalUnits/12*(ExpInsurancePerUnit+ExpAdminPerUnit)-TotalUnits/12*LH$11*(ExpUtilitiesPerUnit+ExpRMPerUnit+ExpTurnoverPerUnit+ExpContractPerUnit)-TotalUnits/12*LH$12*(ExpPayrollPerUnit+ExpAdvertisingPerUnit),0)</f>
        <v/>
      </c>
      <c r="LI68" s="218">
        <f>IF(317&gt;=DeliverStart,((BaseMarketRentMo+BaseLowRentMo)*(LeaseUp!LI$10-LossToLeasePct-BadDebtPct-ConcessionsPct)+LeaseUp!LI$9*(ParkingPerUnitMo+UtilReimbPerUnitMo+OtherIncPerUnitMo)+RetailRentMo*MIN(1,LeaseUp!LI$10/StabilizedOccupancy))*(1-MgmtFeePct)-TotalUnits/12*(ExpInsurancePerUnit+ExpAdminPerUnit)-TotalUnits/12*LI$11*(ExpUtilitiesPerUnit+ExpRMPerUnit+ExpTurnoverPerUnit+ExpContractPerUnit)-TotalUnits/12*LI$12*(ExpPayrollPerUnit+ExpAdvertisingPerUnit),0)</f>
        <v/>
      </c>
      <c r="LJ68" s="218">
        <f>IF(318&gt;=DeliverStart,((BaseMarketRentMo+BaseLowRentMo)*(LeaseUp!LJ$10-LossToLeasePct-BadDebtPct-ConcessionsPct)+LeaseUp!LJ$9*(ParkingPerUnitMo+UtilReimbPerUnitMo+OtherIncPerUnitMo)+RetailRentMo*MIN(1,LeaseUp!LJ$10/StabilizedOccupancy))*(1-MgmtFeePct)-TotalUnits/12*(ExpInsurancePerUnit+ExpAdminPerUnit)-TotalUnits/12*LJ$11*(ExpUtilitiesPerUnit+ExpRMPerUnit+ExpTurnoverPerUnit+ExpContractPerUnit)-TotalUnits/12*LJ$12*(ExpPayrollPerUnit+ExpAdvertisingPerUnit),0)</f>
        <v/>
      </c>
      <c r="LK68" s="218">
        <f>IF(319&gt;=DeliverStart,((BaseMarketRentMo+BaseLowRentMo)*(LeaseUp!LK$10-LossToLeasePct-BadDebtPct-ConcessionsPct)+LeaseUp!LK$9*(ParkingPerUnitMo+UtilReimbPerUnitMo+OtherIncPerUnitMo)+RetailRentMo*MIN(1,LeaseUp!LK$10/StabilizedOccupancy))*(1-MgmtFeePct)-TotalUnits/12*(ExpInsurancePerUnit+ExpAdminPerUnit)-TotalUnits/12*LK$11*(ExpUtilitiesPerUnit+ExpRMPerUnit+ExpTurnoverPerUnit+ExpContractPerUnit)-TotalUnits/12*LK$12*(ExpPayrollPerUnit+ExpAdvertisingPerUnit),0)</f>
        <v/>
      </c>
      <c r="LL68" s="218">
        <f>IF(320&gt;=DeliverStart,((BaseMarketRentMo+BaseLowRentMo)*(LeaseUp!LL$10-LossToLeasePct-BadDebtPct-ConcessionsPct)+LeaseUp!LL$9*(ParkingPerUnitMo+UtilReimbPerUnitMo+OtherIncPerUnitMo)+RetailRentMo*MIN(1,LeaseUp!LL$10/StabilizedOccupancy))*(1-MgmtFeePct)-TotalUnits/12*(ExpInsurancePerUnit+ExpAdminPerUnit)-TotalUnits/12*LL$11*(ExpUtilitiesPerUnit+ExpRMPerUnit+ExpTurnoverPerUnit+ExpContractPerUnit)-TotalUnits/12*LL$12*(ExpPayrollPerUnit+ExpAdvertisingPerUnit),0)</f>
        <v/>
      </c>
      <c r="LM68" s="218">
        <f>IF(321&gt;=DeliverStart,((BaseMarketRentMo+BaseLowRentMo)*(LeaseUp!LM$10-LossToLeasePct-BadDebtPct-ConcessionsPct)+LeaseUp!LM$9*(ParkingPerUnitMo+UtilReimbPerUnitMo+OtherIncPerUnitMo)+RetailRentMo*MIN(1,LeaseUp!LM$10/StabilizedOccupancy))*(1-MgmtFeePct)-TotalUnits/12*(ExpInsurancePerUnit+ExpAdminPerUnit)-TotalUnits/12*LM$11*(ExpUtilitiesPerUnit+ExpRMPerUnit+ExpTurnoverPerUnit+ExpContractPerUnit)-TotalUnits/12*LM$12*(ExpPayrollPerUnit+ExpAdvertisingPerUnit),0)</f>
        <v/>
      </c>
      <c r="LN68" s="218">
        <f>IF(322&gt;=DeliverStart,((BaseMarketRentMo+BaseLowRentMo)*(LeaseUp!LN$10-LossToLeasePct-BadDebtPct-ConcessionsPct)+LeaseUp!LN$9*(ParkingPerUnitMo+UtilReimbPerUnitMo+OtherIncPerUnitMo)+RetailRentMo*MIN(1,LeaseUp!LN$10/StabilizedOccupancy))*(1-MgmtFeePct)-TotalUnits/12*(ExpInsurancePerUnit+ExpAdminPerUnit)-TotalUnits/12*LN$11*(ExpUtilitiesPerUnit+ExpRMPerUnit+ExpTurnoverPerUnit+ExpContractPerUnit)-TotalUnits/12*LN$12*(ExpPayrollPerUnit+ExpAdvertisingPerUnit),0)</f>
        <v/>
      </c>
      <c r="LO68" s="218">
        <f>IF(323&gt;=DeliverStart,((BaseMarketRentMo+BaseLowRentMo)*(LeaseUp!LO$10-LossToLeasePct-BadDebtPct-ConcessionsPct)+LeaseUp!LO$9*(ParkingPerUnitMo+UtilReimbPerUnitMo+OtherIncPerUnitMo)+RetailRentMo*MIN(1,LeaseUp!LO$10/StabilizedOccupancy))*(1-MgmtFeePct)-TotalUnits/12*(ExpInsurancePerUnit+ExpAdminPerUnit)-TotalUnits/12*LO$11*(ExpUtilitiesPerUnit+ExpRMPerUnit+ExpTurnoverPerUnit+ExpContractPerUnit)-TotalUnits/12*LO$12*(ExpPayrollPerUnit+ExpAdvertisingPerUnit),0)</f>
        <v/>
      </c>
      <c r="LP68" s="218">
        <f>IF(324&gt;=DeliverStart,((BaseMarketRentMo+BaseLowRentMo)*(LeaseUp!LP$10-LossToLeasePct-BadDebtPct-ConcessionsPct)+LeaseUp!LP$9*(ParkingPerUnitMo+UtilReimbPerUnitMo+OtherIncPerUnitMo)+RetailRentMo*MIN(1,LeaseUp!LP$10/StabilizedOccupancy))*(1-MgmtFeePct)-TotalUnits/12*(ExpInsurancePerUnit+ExpAdminPerUnit)-TotalUnits/12*LP$11*(ExpUtilitiesPerUnit+ExpRMPerUnit+ExpTurnoverPerUnit+ExpContractPerUnit)-TotalUnits/12*LP$12*(ExpPayrollPerUnit+ExpAdvertisingPerUnit),0)</f>
        <v/>
      </c>
      <c r="LQ68" s="218">
        <f>IF(325&gt;=DeliverStart,((BaseMarketRentMo+BaseLowRentMo)*(LeaseUp!LQ$10-LossToLeasePct-BadDebtPct-ConcessionsPct)+LeaseUp!LQ$9*(ParkingPerUnitMo+UtilReimbPerUnitMo+OtherIncPerUnitMo)+RetailRentMo*MIN(1,LeaseUp!LQ$10/StabilizedOccupancy))*(1-MgmtFeePct)-TotalUnits/12*(ExpInsurancePerUnit+ExpAdminPerUnit)-TotalUnits/12*LQ$11*(ExpUtilitiesPerUnit+ExpRMPerUnit+ExpTurnoverPerUnit+ExpContractPerUnit)-TotalUnits/12*LQ$12*(ExpPayrollPerUnit+ExpAdvertisingPerUnit),0)</f>
        <v/>
      </c>
      <c r="LR68" s="218">
        <f>IF(326&gt;=DeliverStart,((BaseMarketRentMo+BaseLowRentMo)*(LeaseUp!LR$10-LossToLeasePct-BadDebtPct-ConcessionsPct)+LeaseUp!LR$9*(ParkingPerUnitMo+UtilReimbPerUnitMo+OtherIncPerUnitMo)+RetailRentMo*MIN(1,LeaseUp!LR$10/StabilizedOccupancy))*(1-MgmtFeePct)-TotalUnits/12*(ExpInsurancePerUnit+ExpAdminPerUnit)-TotalUnits/12*LR$11*(ExpUtilitiesPerUnit+ExpRMPerUnit+ExpTurnoverPerUnit+ExpContractPerUnit)-TotalUnits/12*LR$12*(ExpPayrollPerUnit+ExpAdvertisingPerUnit),0)</f>
        <v/>
      </c>
      <c r="LS68" s="218">
        <f>IF(327&gt;=DeliverStart,((BaseMarketRentMo+BaseLowRentMo)*(LeaseUp!LS$10-LossToLeasePct-BadDebtPct-ConcessionsPct)+LeaseUp!LS$9*(ParkingPerUnitMo+UtilReimbPerUnitMo+OtherIncPerUnitMo)+RetailRentMo*MIN(1,LeaseUp!LS$10/StabilizedOccupancy))*(1-MgmtFeePct)-TotalUnits/12*(ExpInsurancePerUnit+ExpAdminPerUnit)-TotalUnits/12*LS$11*(ExpUtilitiesPerUnit+ExpRMPerUnit+ExpTurnoverPerUnit+ExpContractPerUnit)-TotalUnits/12*LS$12*(ExpPayrollPerUnit+ExpAdvertisingPerUnit),0)</f>
        <v/>
      </c>
      <c r="LT68" s="218">
        <f>IF(328&gt;=DeliverStart,((BaseMarketRentMo+BaseLowRentMo)*(LeaseUp!LT$10-LossToLeasePct-BadDebtPct-ConcessionsPct)+LeaseUp!LT$9*(ParkingPerUnitMo+UtilReimbPerUnitMo+OtherIncPerUnitMo)+RetailRentMo*MIN(1,LeaseUp!LT$10/StabilizedOccupancy))*(1-MgmtFeePct)-TotalUnits/12*(ExpInsurancePerUnit+ExpAdminPerUnit)-TotalUnits/12*LT$11*(ExpUtilitiesPerUnit+ExpRMPerUnit+ExpTurnoverPerUnit+ExpContractPerUnit)-TotalUnits/12*LT$12*(ExpPayrollPerUnit+ExpAdvertisingPerUnit),0)</f>
        <v/>
      </c>
      <c r="LU68" s="218">
        <f>IF(329&gt;=DeliverStart,((BaseMarketRentMo+BaseLowRentMo)*(LeaseUp!LU$10-LossToLeasePct-BadDebtPct-ConcessionsPct)+LeaseUp!LU$9*(ParkingPerUnitMo+UtilReimbPerUnitMo+OtherIncPerUnitMo)+RetailRentMo*MIN(1,LeaseUp!LU$10/StabilizedOccupancy))*(1-MgmtFeePct)-TotalUnits/12*(ExpInsurancePerUnit+ExpAdminPerUnit)-TotalUnits/12*LU$11*(ExpUtilitiesPerUnit+ExpRMPerUnit+ExpTurnoverPerUnit+ExpContractPerUnit)-TotalUnits/12*LU$12*(ExpPayrollPerUnit+ExpAdvertisingPerUnit),0)</f>
        <v/>
      </c>
      <c r="LV68" s="218">
        <f>IF(330&gt;=DeliverStart,((BaseMarketRentMo+BaseLowRentMo)*(LeaseUp!LV$10-LossToLeasePct-BadDebtPct-ConcessionsPct)+LeaseUp!LV$9*(ParkingPerUnitMo+UtilReimbPerUnitMo+OtherIncPerUnitMo)+RetailRentMo*MIN(1,LeaseUp!LV$10/StabilizedOccupancy))*(1-MgmtFeePct)-TotalUnits/12*(ExpInsurancePerUnit+ExpAdminPerUnit)-TotalUnits/12*LV$11*(ExpUtilitiesPerUnit+ExpRMPerUnit+ExpTurnoverPerUnit+ExpContractPerUnit)-TotalUnits/12*LV$12*(ExpPayrollPerUnit+ExpAdvertisingPerUnit),0)</f>
        <v/>
      </c>
      <c r="LW68" s="218">
        <f>IF(331&gt;=DeliverStart,((BaseMarketRentMo+BaseLowRentMo)*(LeaseUp!LW$10-LossToLeasePct-BadDebtPct-ConcessionsPct)+LeaseUp!LW$9*(ParkingPerUnitMo+UtilReimbPerUnitMo+OtherIncPerUnitMo)+RetailRentMo*MIN(1,LeaseUp!LW$10/StabilizedOccupancy))*(1-MgmtFeePct)-TotalUnits/12*(ExpInsurancePerUnit+ExpAdminPerUnit)-TotalUnits/12*LW$11*(ExpUtilitiesPerUnit+ExpRMPerUnit+ExpTurnoverPerUnit+ExpContractPerUnit)-TotalUnits/12*LW$12*(ExpPayrollPerUnit+ExpAdvertisingPerUnit),0)</f>
        <v/>
      </c>
      <c r="LX68" s="218">
        <f>IF(332&gt;=DeliverStart,((BaseMarketRentMo+BaseLowRentMo)*(LeaseUp!LX$10-LossToLeasePct-BadDebtPct-ConcessionsPct)+LeaseUp!LX$9*(ParkingPerUnitMo+UtilReimbPerUnitMo+OtherIncPerUnitMo)+RetailRentMo*MIN(1,LeaseUp!LX$10/StabilizedOccupancy))*(1-MgmtFeePct)-TotalUnits/12*(ExpInsurancePerUnit+ExpAdminPerUnit)-TotalUnits/12*LX$11*(ExpUtilitiesPerUnit+ExpRMPerUnit+ExpTurnoverPerUnit+ExpContractPerUnit)-TotalUnits/12*LX$12*(ExpPayrollPerUnit+ExpAdvertisingPerUnit),0)</f>
        <v/>
      </c>
      <c r="LY68" s="218">
        <f>IF(333&gt;=DeliverStart,((BaseMarketRentMo+BaseLowRentMo)*(LeaseUp!LY$10-LossToLeasePct-BadDebtPct-ConcessionsPct)+LeaseUp!LY$9*(ParkingPerUnitMo+UtilReimbPerUnitMo+OtherIncPerUnitMo)+RetailRentMo*MIN(1,LeaseUp!LY$10/StabilizedOccupancy))*(1-MgmtFeePct)-TotalUnits/12*(ExpInsurancePerUnit+ExpAdminPerUnit)-TotalUnits/12*LY$11*(ExpUtilitiesPerUnit+ExpRMPerUnit+ExpTurnoverPerUnit+ExpContractPerUnit)-TotalUnits/12*LY$12*(ExpPayrollPerUnit+ExpAdvertisingPerUnit),0)</f>
        <v/>
      </c>
      <c r="LZ68" s="218">
        <f>IF(334&gt;=DeliverStart,((BaseMarketRentMo+BaseLowRentMo)*(LeaseUp!LZ$10-LossToLeasePct-BadDebtPct-ConcessionsPct)+LeaseUp!LZ$9*(ParkingPerUnitMo+UtilReimbPerUnitMo+OtherIncPerUnitMo)+RetailRentMo*MIN(1,LeaseUp!LZ$10/StabilizedOccupancy))*(1-MgmtFeePct)-TotalUnits/12*(ExpInsurancePerUnit+ExpAdminPerUnit)-TotalUnits/12*LZ$11*(ExpUtilitiesPerUnit+ExpRMPerUnit+ExpTurnoverPerUnit+ExpContractPerUnit)-TotalUnits/12*LZ$12*(ExpPayrollPerUnit+ExpAdvertisingPerUnit),0)</f>
        <v/>
      </c>
      <c r="MA68" s="218">
        <f>IF(335&gt;=DeliverStart,((BaseMarketRentMo+BaseLowRentMo)*(LeaseUp!MA$10-LossToLeasePct-BadDebtPct-ConcessionsPct)+LeaseUp!MA$9*(ParkingPerUnitMo+UtilReimbPerUnitMo+OtherIncPerUnitMo)+RetailRentMo*MIN(1,LeaseUp!MA$10/StabilizedOccupancy))*(1-MgmtFeePct)-TotalUnits/12*(ExpInsurancePerUnit+ExpAdminPerUnit)-TotalUnits/12*MA$11*(ExpUtilitiesPerUnit+ExpRMPerUnit+ExpTurnoverPerUnit+ExpContractPerUnit)-TotalUnits/12*MA$12*(ExpPayrollPerUnit+ExpAdvertisingPerUnit),0)</f>
        <v/>
      </c>
      <c r="MB68" s="218">
        <f>IF(336&gt;=DeliverStart,((BaseMarketRentMo+BaseLowRentMo)*(LeaseUp!MB$10-LossToLeasePct-BadDebtPct-ConcessionsPct)+LeaseUp!MB$9*(ParkingPerUnitMo+UtilReimbPerUnitMo+OtherIncPerUnitMo)+RetailRentMo*MIN(1,LeaseUp!MB$10/StabilizedOccupancy))*(1-MgmtFeePct)-TotalUnits/12*(ExpInsurancePerUnit+ExpAdminPerUnit)-TotalUnits/12*MB$11*(ExpUtilitiesPerUnit+ExpRMPerUnit+ExpTurnoverPerUnit+ExpContractPerUnit)-TotalUnits/12*MB$12*(ExpPayrollPerUnit+ExpAdvertisingPerUnit),0)</f>
        <v/>
      </c>
      <c r="MC68" s="218">
        <f>IF(337&gt;=DeliverStart,((BaseMarketRentMo+BaseLowRentMo)*(LeaseUp!MC$10-LossToLeasePct-BadDebtPct-ConcessionsPct)+LeaseUp!MC$9*(ParkingPerUnitMo+UtilReimbPerUnitMo+OtherIncPerUnitMo)+RetailRentMo*MIN(1,LeaseUp!MC$10/StabilizedOccupancy))*(1-MgmtFeePct)-TotalUnits/12*(ExpInsurancePerUnit+ExpAdminPerUnit)-TotalUnits/12*MC$11*(ExpUtilitiesPerUnit+ExpRMPerUnit+ExpTurnoverPerUnit+ExpContractPerUnit)-TotalUnits/12*MC$12*(ExpPayrollPerUnit+ExpAdvertisingPerUnit),0)</f>
        <v/>
      </c>
      <c r="MD68" s="218">
        <f>IF(338&gt;=DeliverStart,((BaseMarketRentMo+BaseLowRentMo)*(LeaseUp!MD$10-LossToLeasePct-BadDebtPct-ConcessionsPct)+LeaseUp!MD$9*(ParkingPerUnitMo+UtilReimbPerUnitMo+OtherIncPerUnitMo)+RetailRentMo*MIN(1,LeaseUp!MD$10/StabilizedOccupancy))*(1-MgmtFeePct)-TotalUnits/12*(ExpInsurancePerUnit+ExpAdminPerUnit)-TotalUnits/12*MD$11*(ExpUtilitiesPerUnit+ExpRMPerUnit+ExpTurnoverPerUnit+ExpContractPerUnit)-TotalUnits/12*MD$12*(ExpPayrollPerUnit+ExpAdvertisingPerUnit),0)</f>
        <v/>
      </c>
      <c r="ME68" s="218">
        <f>IF(339&gt;=DeliverStart,((BaseMarketRentMo+BaseLowRentMo)*(LeaseUp!ME$10-LossToLeasePct-BadDebtPct-ConcessionsPct)+LeaseUp!ME$9*(ParkingPerUnitMo+UtilReimbPerUnitMo+OtherIncPerUnitMo)+RetailRentMo*MIN(1,LeaseUp!ME$10/StabilizedOccupancy))*(1-MgmtFeePct)-TotalUnits/12*(ExpInsurancePerUnit+ExpAdminPerUnit)-TotalUnits/12*ME$11*(ExpUtilitiesPerUnit+ExpRMPerUnit+ExpTurnoverPerUnit+ExpContractPerUnit)-TotalUnits/12*ME$12*(ExpPayrollPerUnit+ExpAdvertisingPerUnit),0)</f>
        <v/>
      </c>
      <c r="MF68" s="218">
        <f>IF(340&gt;=DeliverStart,((BaseMarketRentMo+BaseLowRentMo)*(LeaseUp!MF$10-LossToLeasePct-BadDebtPct-ConcessionsPct)+LeaseUp!MF$9*(ParkingPerUnitMo+UtilReimbPerUnitMo+OtherIncPerUnitMo)+RetailRentMo*MIN(1,LeaseUp!MF$10/StabilizedOccupancy))*(1-MgmtFeePct)-TotalUnits/12*(ExpInsurancePerUnit+ExpAdminPerUnit)-TotalUnits/12*MF$11*(ExpUtilitiesPerUnit+ExpRMPerUnit+ExpTurnoverPerUnit+ExpContractPerUnit)-TotalUnits/12*MF$12*(ExpPayrollPerUnit+ExpAdvertisingPerUnit),0)</f>
        <v/>
      </c>
      <c r="MG68" s="218">
        <f>IF(341&gt;=DeliverStart,((BaseMarketRentMo+BaseLowRentMo)*(LeaseUp!MG$10-LossToLeasePct-BadDebtPct-ConcessionsPct)+LeaseUp!MG$9*(ParkingPerUnitMo+UtilReimbPerUnitMo+OtherIncPerUnitMo)+RetailRentMo*MIN(1,LeaseUp!MG$10/StabilizedOccupancy))*(1-MgmtFeePct)-TotalUnits/12*(ExpInsurancePerUnit+ExpAdminPerUnit)-TotalUnits/12*MG$11*(ExpUtilitiesPerUnit+ExpRMPerUnit+ExpTurnoverPerUnit+ExpContractPerUnit)-TotalUnits/12*MG$12*(ExpPayrollPerUnit+ExpAdvertisingPerUnit),0)</f>
        <v/>
      </c>
      <c r="MH68" s="218">
        <f>IF(342&gt;=DeliverStart,((BaseMarketRentMo+BaseLowRentMo)*(LeaseUp!MH$10-LossToLeasePct-BadDebtPct-ConcessionsPct)+LeaseUp!MH$9*(ParkingPerUnitMo+UtilReimbPerUnitMo+OtherIncPerUnitMo)+RetailRentMo*MIN(1,LeaseUp!MH$10/StabilizedOccupancy))*(1-MgmtFeePct)-TotalUnits/12*(ExpInsurancePerUnit+ExpAdminPerUnit)-TotalUnits/12*MH$11*(ExpUtilitiesPerUnit+ExpRMPerUnit+ExpTurnoverPerUnit+ExpContractPerUnit)-TotalUnits/12*MH$12*(ExpPayrollPerUnit+ExpAdvertisingPerUnit),0)</f>
        <v/>
      </c>
      <c r="MI68" s="218">
        <f>IF(343&gt;=DeliverStart,((BaseMarketRentMo+BaseLowRentMo)*(LeaseUp!MI$10-LossToLeasePct-BadDebtPct-ConcessionsPct)+LeaseUp!MI$9*(ParkingPerUnitMo+UtilReimbPerUnitMo+OtherIncPerUnitMo)+RetailRentMo*MIN(1,LeaseUp!MI$10/StabilizedOccupancy))*(1-MgmtFeePct)-TotalUnits/12*(ExpInsurancePerUnit+ExpAdminPerUnit)-TotalUnits/12*MI$11*(ExpUtilitiesPerUnit+ExpRMPerUnit+ExpTurnoverPerUnit+ExpContractPerUnit)-TotalUnits/12*MI$12*(ExpPayrollPerUnit+ExpAdvertisingPerUnit),0)</f>
        <v/>
      </c>
      <c r="MJ68" s="218">
        <f>IF(344&gt;=DeliverStart,((BaseMarketRentMo+BaseLowRentMo)*(LeaseUp!MJ$10-LossToLeasePct-BadDebtPct-ConcessionsPct)+LeaseUp!MJ$9*(ParkingPerUnitMo+UtilReimbPerUnitMo+OtherIncPerUnitMo)+RetailRentMo*MIN(1,LeaseUp!MJ$10/StabilizedOccupancy))*(1-MgmtFeePct)-TotalUnits/12*(ExpInsurancePerUnit+ExpAdminPerUnit)-TotalUnits/12*MJ$11*(ExpUtilitiesPerUnit+ExpRMPerUnit+ExpTurnoverPerUnit+ExpContractPerUnit)-TotalUnits/12*MJ$12*(ExpPayrollPerUnit+ExpAdvertisingPerUnit),0)</f>
        <v/>
      </c>
      <c r="MK68" s="218">
        <f>IF(345&gt;=DeliverStart,((BaseMarketRentMo+BaseLowRentMo)*(LeaseUp!MK$10-LossToLeasePct-BadDebtPct-ConcessionsPct)+LeaseUp!MK$9*(ParkingPerUnitMo+UtilReimbPerUnitMo+OtherIncPerUnitMo)+RetailRentMo*MIN(1,LeaseUp!MK$10/StabilizedOccupancy))*(1-MgmtFeePct)-TotalUnits/12*(ExpInsurancePerUnit+ExpAdminPerUnit)-TotalUnits/12*MK$11*(ExpUtilitiesPerUnit+ExpRMPerUnit+ExpTurnoverPerUnit+ExpContractPerUnit)-TotalUnits/12*MK$12*(ExpPayrollPerUnit+ExpAdvertisingPerUnit),0)</f>
        <v/>
      </c>
      <c r="ML68" s="218">
        <f>IF(346&gt;=DeliverStart,((BaseMarketRentMo+BaseLowRentMo)*(LeaseUp!ML$10-LossToLeasePct-BadDebtPct-ConcessionsPct)+LeaseUp!ML$9*(ParkingPerUnitMo+UtilReimbPerUnitMo+OtherIncPerUnitMo)+RetailRentMo*MIN(1,LeaseUp!ML$10/StabilizedOccupancy))*(1-MgmtFeePct)-TotalUnits/12*(ExpInsurancePerUnit+ExpAdminPerUnit)-TotalUnits/12*ML$11*(ExpUtilitiesPerUnit+ExpRMPerUnit+ExpTurnoverPerUnit+ExpContractPerUnit)-TotalUnits/12*ML$12*(ExpPayrollPerUnit+ExpAdvertisingPerUnit),0)</f>
        <v/>
      </c>
      <c r="MM68" s="218">
        <f>IF(347&gt;=DeliverStart,((BaseMarketRentMo+BaseLowRentMo)*(LeaseUp!MM$10-LossToLeasePct-BadDebtPct-ConcessionsPct)+LeaseUp!MM$9*(ParkingPerUnitMo+UtilReimbPerUnitMo+OtherIncPerUnitMo)+RetailRentMo*MIN(1,LeaseUp!MM$10/StabilizedOccupancy))*(1-MgmtFeePct)-TotalUnits/12*(ExpInsurancePerUnit+ExpAdminPerUnit)-TotalUnits/12*MM$11*(ExpUtilitiesPerUnit+ExpRMPerUnit+ExpTurnoverPerUnit+ExpContractPerUnit)-TotalUnits/12*MM$12*(ExpPayrollPerUnit+ExpAdvertisingPerUnit),0)</f>
        <v/>
      </c>
      <c r="MN68" s="218">
        <f>IF(348&gt;=DeliverStart,((BaseMarketRentMo+BaseLowRentMo)*(LeaseUp!MN$10-LossToLeasePct-BadDebtPct-ConcessionsPct)+LeaseUp!MN$9*(ParkingPerUnitMo+UtilReimbPerUnitMo+OtherIncPerUnitMo)+RetailRentMo*MIN(1,LeaseUp!MN$10/StabilizedOccupancy))*(1-MgmtFeePct)-TotalUnits/12*(ExpInsurancePerUnit+ExpAdminPerUnit)-TotalUnits/12*MN$11*(ExpUtilitiesPerUnit+ExpRMPerUnit+ExpTurnoverPerUnit+ExpContractPerUnit)-TotalUnits/12*MN$12*(ExpPayrollPerUnit+ExpAdvertisingPerUnit),0)</f>
        <v/>
      </c>
      <c r="MO68" s="218">
        <f>IF(349&gt;=DeliverStart,((BaseMarketRentMo+BaseLowRentMo)*(LeaseUp!MO$10-LossToLeasePct-BadDebtPct-ConcessionsPct)+LeaseUp!MO$9*(ParkingPerUnitMo+UtilReimbPerUnitMo+OtherIncPerUnitMo)+RetailRentMo*MIN(1,LeaseUp!MO$10/StabilizedOccupancy))*(1-MgmtFeePct)-TotalUnits/12*(ExpInsurancePerUnit+ExpAdminPerUnit)-TotalUnits/12*MO$11*(ExpUtilitiesPerUnit+ExpRMPerUnit+ExpTurnoverPerUnit+ExpContractPerUnit)-TotalUnits/12*MO$12*(ExpPayrollPerUnit+ExpAdvertisingPerUnit),0)</f>
        <v/>
      </c>
      <c r="MP68" s="218">
        <f>IF(350&gt;=DeliverStart,((BaseMarketRentMo+BaseLowRentMo)*(LeaseUp!MP$10-LossToLeasePct-BadDebtPct-ConcessionsPct)+LeaseUp!MP$9*(ParkingPerUnitMo+UtilReimbPerUnitMo+OtherIncPerUnitMo)+RetailRentMo*MIN(1,LeaseUp!MP$10/StabilizedOccupancy))*(1-MgmtFeePct)-TotalUnits/12*(ExpInsurancePerUnit+ExpAdminPerUnit)-TotalUnits/12*MP$11*(ExpUtilitiesPerUnit+ExpRMPerUnit+ExpTurnoverPerUnit+ExpContractPerUnit)-TotalUnits/12*MP$12*(ExpPayrollPerUnit+ExpAdvertisingPerUnit),0)</f>
        <v/>
      </c>
      <c r="MQ68" s="218">
        <f>IF(351&gt;=DeliverStart,((BaseMarketRentMo+BaseLowRentMo)*(LeaseUp!MQ$10-LossToLeasePct-BadDebtPct-ConcessionsPct)+LeaseUp!MQ$9*(ParkingPerUnitMo+UtilReimbPerUnitMo+OtherIncPerUnitMo)+RetailRentMo*MIN(1,LeaseUp!MQ$10/StabilizedOccupancy))*(1-MgmtFeePct)-TotalUnits/12*(ExpInsurancePerUnit+ExpAdminPerUnit)-TotalUnits/12*MQ$11*(ExpUtilitiesPerUnit+ExpRMPerUnit+ExpTurnoverPerUnit+ExpContractPerUnit)-TotalUnits/12*MQ$12*(ExpPayrollPerUnit+ExpAdvertisingPerUnit),0)</f>
        <v/>
      </c>
      <c r="MR68" s="218">
        <f>IF(352&gt;=DeliverStart,((BaseMarketRentMo+BaseLowRentMo)*(LeaseUp!MR$10-LossToLeasePct-BadDebtPct-ConcessionsPct)+LeaseUp!MR$9*(ParkingPerUnitMo+UtilReimbPerUnitMo+OtherIncPerUnitMo)+RetailRentMo*MIN(1,LeaseUp!MR$10/StabilizedOccupancy))*(1-MgmtFeePct)-TotalUnits/12*(ExpInsurancePerUnit+ExpAdminPerUnit)-TotalUnits/12*MR$11*(ExpUtilitiesPerUnit+ExpRMPerUnit+ExpTurnoverPerUnit+ExpContractPerUnit)-TotalUnits/12*MR$12*(ExpPayrollPerUnit+ExpAdvertisingPerUnit),0)</f>
        <v/>
      </c>
      <c r="MS68" s="218">
        <f>IF(353&gt;=DeliverStart,((BaseMarketRentMo+BaseLowRentMo)*(LeaseUp!MS$10-LossToLeasePct-BadDebtPct-ConcessionsPct)+LeaseUp!MS$9*(ParkingPerUnitMo+UtilReimbPerUnitMo+OtherIncPerUnitMo)+RetailRentMo*MIN(1,LeaseUp!MS$10/StabilizedOccupancy))*(1-MgmtFeePct)-TotalUnits/12*(ExpInsurancePerUnit+ExpAdminPerUnit)-TotalUnits/12*MS$11*(ExpUtilitiesPerUnit+ExpRMPerUnit+ExpTurnoverPerUnit+ExpContractPerUnit)-TotalUnits/12*MS$12*(ExpPayrollPerUnit+ExpAdvertisingPerUnit),0)</f>
        <v/>
      </c>
      <c r="MT68" s="218">
        <f>IF(354&gt;=DeliverStart,((BaseMarketRentMo+BaseLowRentMo)*(LeaseUp!MT$10-LossToLeasePct-BadDebtPct-ConcessionsPct)+LeaseUp!MT$9*(ParkingPerUnitMo+UtilReimbPerUnitMo+OtherIncPerUnitMo)+RetailRentMo*MIN(1,LeaseUp!MT$10/StabilizedOccupancy))*(1-MgmtFeePct)-TotalUnits/12*(ExpInsurancePerUnit+ExpAdminPerUnit)-TotalUnits/12*MT$11*(ExpUtilitiesPerUnit+ExpRMPerUnit+ExpTurnoverPerUnit+ExpContractPerUnit)-TotalUnits/12*MT$12*(ExpPayrollPerUnit+ExpAdvertisingPerUnit),0)</f>
        <v/>
      </c>
      <c r="MU68" s="218">
        <f>IF(355&gt;=DeliverStart,((BaseMarketRentMo+BaseLowRentMo)*(LeaseUp!MU$10-LossToLeasePct-BadDebtPct-ConcessionsPct)+LeaseUp!MU$9*(ParkingPerUnitMo+UtilReimbPerUnitMo+OtherIncPerUnitMo)+RetailRentMo*MIN(1,LeaseUp!MU$10/StabilizedOccupancy))*(1-MgmtFeePct)-TotalUnits/12*(ExpInsurancePerUnit+ExpAdminPerUnit)-TotalUnits/12*MU$11*(ExpUtilitiesPerUnit+ExpRMPerUnit+ExpTurnoverPerUnit+ExpContractPerUnit)-TotalUnits/12*MU$12*(ExpPayrollPerUnit+ExpAdvertisingPerUnit),0)</f>
        <v/>
      </c>
      <c r="MV68" s="218">
        <f>IF(356&gt;=DeliverStart,((BaseMarketRentMo+BaseLowRentMo)*(LeaseUp!MV$10-LossToLeasePct-BadDebtPct-ConcessionsPct)+LeaseUp!MV$9*(ParkingPerUnitMo+UtilReimbPerUnitMo+OtherIncPerUnitMo)+RetailRentMo*MIN(1,LeaseUp!MV$10/StabilizedOccupancy))*(1-MgmtFeePct)-TotalUnits/12*(ExpInsurancePerUnit+ExpAdminPerUnit)-TotalUnits/12*MV$11*(ExpUtilitiesPerUnit+ExpRMPerUnit+ExpTurnoverPerUnit+ExpContractPerUnit)-TotalUnits/12*MV$12*(ExpPayrollPerUnit+ExpAdvertisingPerUnit),0)</f>
        <v/>
      </c>
      <c r="MW68" s="218">
        <f>IF(357&gt;=DeliverStart,((BaseMarketRentMo+BaseLowRentMo)*(LeaseUp!MW$10-LossToLeasePct-BadDebtPct-ConcessionsPct)+LeaseUp!MW$9*(ParkingPerUnitMo+UtilReimbPerUnitMo+OtherIncPerUnitMo)+RetailRentMo*MIN(1,LeaseUp!MW$10/StabilizedOccupancy))*(1-MgmtFeePct)-TotalUnits/12*(ExpInsurancePerUnit+ExpAdminPerUnit)-TotalUnits/12*MW$11*(ExpUtilitiesPerUnit+ExpRMPerUnit+ExpTurnoverPerUnit+ExpContractPerUnit)-TotalUnits/12*MW$12*(ExpPayrollPerUnit+ExpAdvertisingPerUnit),0)</f>
        <v/>
      </c>
      <c r="MX68" s="218">
        <f>IF(358&gt;=DeliverStart,((BaseMarketRentMo+BaseLowRentMo)*(LeaseUp!MX$10-LossToLeasePct-BadDebtPct-ConcessionsPct)+LeaseUp!MX$9*(ParkingPerUnitMo+UtilReimbPerUnitMo+OtherIncPerUnitMo)+RetailRentMo*MIN(1,LeaseUp!MX$10/StabilizedOccupancy))*(1-MgmtFeePct)-TotalUnits/12*(ExpInsurancePerUnit+ExpAdminPerUnit)-TotalUnits/12*MX$11*(ExpUtilitiesPerUnit+ExpRMPerUnit+ExpTurnoverPerUnit+ExpContractPerUnit)-TotalUnits/12*MX$12*(ExpPayrollPerUnit+ExpAdvertisingPerUnit),0)</f>
        <v/>
      </c>
      <c r="MY68" s="218">
        <f>IF(359&gt;=DeliverStart,((BaseMarketRentMo+BaseLowRentMo)*(LeaseUp!MY$10-LossToLeasePct-BadDebtPct-ConcessionsPct)+LeaseUp!MY$9*(ParkingPerUnitMo+UtilReimbPerUnitMo+OtherIncPerUnitMo)+RetailRentMo*MIN(1,LeaseUp!MY$10/StabilizedOccupancy))*(1-MgmtFeePct)-TotalUnits/12*(ExpInsurancePerUnit+ExpAdminPerUnit)-TotalUnits/12*MY$11*(ExpUtilitiesPerUnit+ExpRMPerUnit+ExpTurnoverPerUnit+ExpContractPerUnit)-TotalUnits/12*MY$12*(ExpPayrollPerUnit+ExpAdvertisingPerUnit),0)</f>
        <v/>
      </c>
      <c r="MZ68" s="218">
        <f>IF(360&gt;=DeliverStart,((BaseMarketRentMo+BaseLowRentMo)*(LeaseUp!MZ$10-LossToLeasePct-BadDebtPct-ConcessionsPct)+LeaseUp!MZ$9*(ParkingPerUnitMo+UtilReimbPerUnitMo+OtherIncPerUnitMo)+RetailRentMo*MIN(1,LeaseUp!MZ$10/StabilizedOccupancy))*(1-MgmtFeePct)-TotalUnits/12*(ExpInsurancePerUnit+ExpAdminPerUnit)-TotalUnits/12*MZ$11*(ExpUtilitiesPerUnit+ExpRMPerUnit+ExpTurnoverPerUnit+ExpContractPerUnit)-TotalUnits/12*MZ$12*(ExpPayrollPerUnit+ExpAdvertisingPerUnit),0)</f>
        <v/>
      </c>
      <c r="NA68" s="218">
        <f>IF(361&gt;=DeliverStart,((BaseMarketRentMo+BaseLowRentMo)*(LeaseUp!NA$10-LossToLeasePct-BadDebtPct-ConcessionsPct)+LeaseUp!NA$9*(ParkingPerUnitMo+UtilReimbPerUnitMo+OtherIncPerUnitMo)+RetailRentMo*MIN(1,LeaseUp!NA$10/StabilizedOccupancy))*(1-MgmtFeePct)-TotalUnits/12*(ExpInsurancePerUnit+ExpAdminPerUnit)-TotalUnits/12*NA$11*(ExpUtilitiesPerUnit+ExpRMPerUnit+ExpTurnoverPerUnit+ExpContractPerUnit)-TotalUnits/12*NA$12*(ExpPayrollPerUnit+ExpAdvertisingPerUnit),0)</f>
        <v/>
      </c>
      <c r="NB68" s="218">
        <f>IF(362&gt;=DeliverStart,((BaseMarketRentMo+BaseLowRentMo)*(LeaseUp!NB$10-LossToLeasePct-BadDebtPct-ConcessionsPct)+LeaseUp!NB$9*(ParkingPerUnitMo+UtilReimbPerUnitMo+OtherIncPerUnitMo)+RetailRentMo*MIN(1,LeaseUp!NB$10/StabilizedOccupancy))*(1-MgmtFeePct)-TotalUnits/12*(ExpInsurancePerUnit+ExpAdminPerUnit)-TotalUnits/12*NB$11*(ExpUtilitiesPerUnit+ExpRMPerUnit+ExpTurnoverPerUnit+ExpContractPerUnit)-TotalUnits/12*NB$12*(ExpPayrollPerUnit+ExpAdvertisingPerUnit),0)</f>
        <v/>
      </c>
      <c r="NC68" s="218">
        <f>IF(363&gt;=DeliverStart,((BaseMarketRentMo+BaseLowRentMo)*(LeaseUp!NC$10-LossToLeasePct-BadDebtPct-ConcessionsPct)+LeaseUp!NC$9*(ParkingPerUnitMo+UtilReimbPerUnitMo+OtherIncPerUnitMo)+RetailRentMo*MIN(1,LeaseUp!NC$10/StabilizedOccupancy))*(1-MgmtFeePct)-TotalUnits/12*(ExpInsurancePerUnit+ExpAdminPerUnit)-TotalUnits/12*NC$11*(ExpUtilitiesPerUnit+ExpRMPerUnit+ExpTurnoverPerUnit+ExpContractPerUnit)-TotalUnits/12*NC$12*(ExpPayrollPerUnit+ExpAdvertisingPerUnit),0)</f>
        <v/>
      </c>
      <c r="ND68" s="218">
        <f>IF(364&gt;=DeliverStart,((BaseMarketRentMo+BaseLowRentMo)*(LeaseUp!ND$10-LossToLeasePct-BadDebtPct-ConcessionsPct)+LeaseUp!ND$9*(ParkingPerUnitMo+UtilReimbPerUnitMo+OtherIncPerUnitMo)+RetailRentMo*MIN(1,LeaseUp!ND$10/StabilizedOccupancy))*(1-MgmtFeePct)-TotalUnits/12*(ExpInsurancePerUnit+ExpAdminPerUnit)-TotalUnits/12*ND$11*(ExpUtilitiesPerUnit+ExpRMPerUnit+ExpTurnoverPerUnit+ExpContractPerUnit)-TotalUnits/12*ND$12*(ExpPayrollPerUnit+ExpAdvertisingPerUnit),0)</f>
        <v/>
      </c>
      <c r="NE68" s="218">
        <f>IF(365&gt;=DeliverStart,((BaseMarketRentMo+BaseLowRentMo)*(LeaseUp!NE$10-LossToLeasePct-BadDebtPct-ConcessionsPct)+LeaseUp!NE$9*(ParkingPerUnitMo+UtilReimbPerUnitMo+OtherIncPerUnitMo)+RetailRentMo*MIN(1,LeaseUp!NE$10/StabilizedOccupancy))*(1-MgmtFeePct)-TotalUnits/12*(ExpInsurancePerUnit+ExpAdminPerUnit)-TotalUnits/12*NE$11*(ExpUtilitiesPerUnit+ExpRMPerUnit+ExpTurnoverPerUnit+ExpContractPerUnit)-TotalUnits/12*NE$12*(ExpPayrollPerUnit+ExpAdvertisingPerUnit),0)</f>
        <v/>
      </c>
      <c r="NF68" s="218">
        <f>IF(366&gt;=DeliverStart,((BaseMarketRentMo+BaseLowRentMo)*(LeaseUp!NF$10-LossToLeasePct-BadDebtPct-ConcessionsPct)+LeaseUp!NF$9*(ParkingPerUnitMo+UtilReimbPerUnitMo+OtherIncPerUnitMo)+RetailRentMo*MIN(1,LeaseUp!NF$10/StabilizedOccupancy))*(1-MgmtFeePct)-TotalUnits/12*(ExpInsurancePerUnit+ExpAdminPerUnit)-TotalUnits/12*NF$11*(ExpUtilitiesPerUnit+ExpRMPerUnit+ExpTurnoverPerUnit+ExpContractPerUnit)-TotalUnits/12*NF$12*(ExpPayrollPerUnit+ExpAdvertisingPerUnit),0)</f>
        <v/>
      </c>
      <c r="NG68" s="218">
        <f>IF(367&gt;=DeliverStart,((BaseMarketRentMo+BaseLowRentMo)*(LeaseUp!NG$10-LossToLeasePct-BadDebtPct-ConcessionsPct)+LeaseUp!NG$9*(ParkingPerUnitMo+UtilReimbPerUnitMo+OtherIncPerUnitMo)+RetailRentMo*MIN(1,LeaseUp!NG$10/StabilizedOccupancy))*(1-MgmtFeePct)-TotalUnits/12*(ExpInsurancePerUnit+ExpAdminPerUnit)-TotalUnits/12*NG$11*(ExpUtilitiesPerUnit+ExpRMPerUnit+ExpTurnoverPerUnit+ExpContractPerUnit)-TotalUnits/12*NG$12*(ExpPayrollPerUnit+ExpAdvertisingPerUnit),0)</f>
        <v/>
      </c>
      <c r="NH68" s="218">
        <f>IF(368&gt;=DeliverStart,((BaseMarketRentMo+BaseLowRentMo)*(LeaseUp!NH$10-LossToLeasePct-BadDebtPct-ConcessionsPct)+LeaseUp!NH$9*(ParkingPerUnitMo+UtilReimbPerUnitMo+OtherIncPerUnitMo)+RetailRentMo*MIN(1,LeaseUp!NH$10/StabilizedOccupancy))*(1-MgmtFeePct)-TotalUnits/12*(ExpInsurancePerUnit+ExpAdminPerUnit)-TotalUnits/12*NH$11*(ExpUtilitiesPerUnit+ExpRMPerUnit+ExpTurnoverPerUnit+ExpContractPerUnit)-TotalUnits/12*NH$12*(ExpPayrollPerUnit+ExpAdvertisingPerUnit),0)</f>
        <v/>
      </c>
      <c r="NI68" s="218">
        <f>IF(369&gt;=DeliverStart,((BaseMarketRentMo+BaseLowRentMo)*(LeaseUp!NI$10-LossToLeasePct-BadDebtPct-ConcessionsPct)+LeaseUp!NI$9*(ParkingPerUnitMo+UtilReimbPerUnitMo+OtherIncPerUnitMo)+RetailRentMo*MIN(1,LeaseUp!NI$10/StabilizedOccupancy))*(1-MgmtFeePct)-TotalUnits/12*(ExpInsurancePerUnit+ExpAdminPerUnit)-TotalUnits/12*NI$11*(ExpUtilitiesPerUnit+ExpRMPerUnit+ExpTurnoverPerUnit+ExpContractPerUnit)-TotalUnits/12*NI$12*(ExpPayrollPerUnit+ExpAdvertisingPerUnit),0)</f>
        <v/>
      </c>
      <c r="NJ68" s="218">
        <f>IF(370&gt;=DeliverStart,((BaseMarketRentMo+BaseLowRentMo)*(LeaseUp!NJ$10-LossToLeasePct-BadDebtPct-ConcessionsPct)+LeaseUp!NJ$9*(ParkingPerUnitMo+UtilReimbPerUnitMo+OtherIncPerUnitMo)+RetailRentMo*MIN(1,LeaseUp!NJ$10/StabilizedOccupancy))*(1-MgmtFeePct)-TotalUnits/12*(ExpInsurancePerUnit+ExpAdminPerUnit)-TotalUnits/12*NJ$11*(ExpUtilitiesPerUnit+ExpRMPerUnit+ExpTurnoverPerUnit+ExpContractPerUnit)-TotalUnits/12*NJ$12*(ExpPayrollPerUnit+ExpAdvertisingPerUnit),0)</f>
        <v/>
      </c>
      <c r="NK68" s="218">
        <f>IF(371&gt;=DeliverStart,((BaseMarketRentMo+BaseLowRentMo)*(LeaseUp!NK$10-LossToLeasePct-BadDebtPct-ConcessionsPct)+LeaseUp!NK$9*(ParkingPerUnitMo+UtilReimbPerUnitMo+OtherIncPerUnitMo)+RetailRentMo*MIN(1,LeaseUp!NK$10/StabilizedOccupancy))*(1-MgmtFeePct)-TotalUnits/12*(ExpInsurancePerUnit+ExpAdminPerUnit)-TotalUnits/12*NK$11*(ExpUtilitiesPerUnit+ExpRMPerUnit+ExpTurnoverPerUnit+ExpContractPerUnit)-TotalUnits/12*NK$12*(ExpPayrollPerUnit+ExpAdvertisingPerUnit),0)</f>
        <v/>
      </c>
      <c r="NL68" s="218">
        <f>IF(372&gt;=DeliverStart,((BaseMarketRentMo+BaseLowRentMo)*(LeaseUp!NL$10-LossToLeasePct-BadDebtPct-ConcessionsPct)+LeaseUp!NL$9*(ParkingPerUnitMo+UtilReimbPerUnitMo+OtherIncPerUnitMo)+RetailRentMo*MIN(1,LeaseUp!NL$10/StabilizedOccupancy))*(1-MgmtFeePct)-TotalUnits/12*(ExpInsurancePerUnit+ExpAdminPerUnit)-TotalUnits/12*NL$11*(ExpUtilitiesPerUnit+ExpRMPerUnit+ExpTurnoverPerUnit+ExpContractPerUnit)-TotalUnits/12*NL$12*(ExpPayrollPerUnit+ExpAdvertisingPerUnit),0)</f>
        <v/>
      </c>
    </row>
    <row r="69">
      <c r="B69" s="84" t="inlineStr">
        <is>
          <t>Static Property Tax</t>
        </is>
      </c>
      <c r="D69" s="266">
        <f>SUM(E69:NL69)</f>
        <v/>
      </c>
      <c r="E69" s="218">
        <f>IF(1&lt;StabMonth,0,IF(TaxMethodValue&gt;=1,StaticTaxYear1/12,MAX(0,E$68*12)/EntryCapRate*EffTaxRateOnValue/12))</f>
        <v/>
      </c>
      <c r="F69" s="218">
        <f>IF(2&lt;StabMonth,0,IF(TaxMethodValue&gt;=1,StaticTaxYear1/12,MAX(0,F$68*12)/EntryCapRate*EffTaxRateOnValue/12))</f>
        <v/>
      </c>
      <c r="G69" s="218">
        <f>IF(3&lt;StabMonth,0,IF(TaxMethodValue&gt;=1,StaticTaxYear1/12,MAX(0,G$68*12)/EntryCapRate*EffTaxRateOnValue/12))</f>
        <v/>
      </c>
      <c r="H69" s="218">
        <f>IF(4&lt;StabMonth,0,IF(TaxMethodValue&gt;=1,StaticTaxYear1/12,MAX(0,H$68*12)/EntryCapRate*EffTaxRateOnValue/12))</f>
        <v/>
      </c>
      <c r="I69" s="218">
        <f>IF(5&lt;StabMonth,0,IF(TaxMethodValue&gt;=1,StaticTaxYear1/12,MAX(0,I$68*12)/EntryCapRate*EffTaxRateOnValue/12))</f>
        <v/>
      </c>
      <c r="J69" s="218">
        <f>IF(6&lt;StabMonth,0,IF(TaxMethodValue&gt;=1,StaticTaxYear1/12,MAX(0,J$68*12)/EntryCapRate*EffTaxRateOnValue/12))</f>
        <v/>
      </c>
      <c r="K69" s="218">
        <f>IF(7&lt;StabMonth,0,IF(TaxMethodValue&gt;=1,StaticTaxYear1/12,MAX(0,K$68*12)/EntryCapRate*EffTaxRateOnValue/12))</f>
        <v/>
      </c>
      <c r="L69" s="218">
        <f>IF(8&lt;StabMonth,0,IF(TaxMethodValue&gt;=1,StaticTaxYear1/12,MAX(0,L$68*12)/EntryCapRate*EffTaxRateOnValue/12))</f>
        <v/>
      </c>
      <c r="M69" s="218">
        <f>IF(9&lt;StabMonth,0,IF(TaxMethodValue&gt;=1,StaticTaxYear1/12,MAX(0,M$68*12)/EntryCapRate*EffTaxRateOnValue/12))</f>
        <v/>
      </c>
      <c r="N69" s="218">
        <f>IF(10&lt;StabMonth,0,IF(TaxMethodValue&gt;=1,StaticTaxYear1/12,MAX(0,N$68*12)/EntryCapRate*EffTaxRateOnValue/12))</f>
        <v/>
      </c>
      <c r="O69" s="218">
        <f>IF(11&lt;StabMonth,0,IF(TaxMethodValue&gt;=1,StaticTaxYear1/12,MAX(0,O$68*12)/EntryCapRate*EffTaxRateOnValue/12))</f>
        <v/>
      </c>
      <c r="P69" s="218">
        <f>IF(12&lt;StabMonth,0,IF(TaxMethodValue&gt;=1,StaticTaxYear1/12,MAX(0,P$68*12)/EntryCapRate*EffTaxRateOnValue/12))</f>
        <v/>
      </c>
      <c r="Q69" s="218">
        <f>IF(13&lt;StabMonth,0,IF(TaxMethodValue&gt;=1,StaticTaxYear1/12,MAX(0,Q$68*12)/EntryCapRate*EffTaxRateOnValue/12))</f>
        <v/>
      </c>
      <c r="R69" s="218">
        <f>IF(14&lt;StabMonth,0,IF(TaxMethodValue&gt;=1,StaticTaxYear1/12,MAX(0,R$68*12)/EntryCapRate*EffTaxRateOnValue/12))</f>
        <v/>
      </c>
      <c r="S69" s="218">
        <f>IF(15&lt;StabMonth,0,IF(TaxMethodValue&gt;=1,StaticTaxYear1/12,MAX(0,S$68*12)/EntryCapRate*EffTaxRateOnValue/12))</f>
        <v/>
      </c>
      <c r="T69" s="218">
        <f>IF(16&lt;StabMonth,0,IF(TaxMethodValue&gt;=1,StaticTaxYear1/12,MAX(0,T$68*12)/EntryCapRate*EffTaxRateOnValue/12))</f>
        <v/>
      </c>
      <c r="U69" s="218">
        <f>IF(17&lt;StabMonth,0,IF(TaxMethodValue&gt;=1,StaticTaxYear1/12,MAX(0,U$68*12)/EntryCapRate*EffTaxRateOnValue/12))</f>
        <v/>
      </c>
      <c r="V69" s="218">
        <f>IF(18&lt;StabMonth,0,IF(TaxMethodValue&gt;=1,StaticTaxYear1/12,MAX(0,V$68*12)/EntryCapRate*EffTaxRateOnValue/12))</f>
        <v/>
      </c>
      <c r="W69" s="218">
        <f>IF(19&lt;StabMonth,0,IF(TaxMethodValue&gt;=1,StaticTaxYear1/12,MAX(0,W$68*12)/EntryCapRate*EffTaxRateOnValue/12))</f>
        <v/>
      </c>
      <c r="X69" s="218">
        <f>IF(20&lt;StabMonth,0,IF(TaxMethodValue&gt;=1,StaticTaxYear1/12,MAX(0,X$68*12)/EntryCapRate*EffTaxRateOnValue/12))</f>
        <v/>
      </c>
      <c r="Y69" s="218">
        <f>IF(21&lt;StabMonth,0,IF(TaxMethodValue&gt;=1,StaticTaxYear1/12,MAX(0,Y$68*12)/EntryCapRate*EffTaxRateOnValue/12))</f>
        <v/>
      </c>
      <c r="Z69" s="218">
        <f>IF(22&lt;StabMonth,0,IF(TaxMethodValue&gt;=1,StaticTaxYear1/12,MAX(0,Z$68*12)/EntryCapRate*EffTaxRateOnValue/12))</f>
        <v/>
      </c>
      <c r="AA69" s="218">
        <f>IF(23&lt;StabMonth,0,IF(TaxMethodValue&gt;=1,StaticTaxYear1/12,MAX(0,AA$68*12)/EntryCapRate*EffTaxRateOnValue/12))</f>
        <v/>
      </c>
      <c r="AB69" s="218">
        <f>IF(24&lt;StabMonth,0,IF(TaxMethodValue&gt;=1,StaticTaxYear1/12,MAX(0,AB$68*12)/EntryCapRate*EffTaxRateOnValue/12))</f>
        <v/>
      </c>
      <c r="AC69" s="218">
        <f>IF(25&lt;StabMonth,0,IF(TaxMethodValue&gt;=1,StaticTaxYear1/12,MAX(0,AC$68*12)/EntryCapRate*EffTaxRateOnValue/12))</f>
        <v/>
      </c>
      <c r="AD69" s="218">
        <f>IF(26&lt;StabMonth,0,IF(TaxMethodValue&gt;=1,StaticTaxYear1/12,MAX(0,AD$68*12)/EntryCapRate*EffTaxRateOnValue/12))</f>
        <v/>
      </c>
      <c r="AE69" s="218">
        <f>IF(27&lt;StabMonth,0,IF(TaxMethodValue&gt;=1,StaticTaxYear1/12,MAX(0,AE$68*12)/EntryCapRate*EffTaxRateOnValue/12))</f>
        <v/>
      </c>
      <c r="AF69" s="218">
        <f>IF(28&lt;StabMonth,0,IF(TaxMethodValue&gt;=1,StaticTaxYear1/12,MAX(0,AF$68*12)/EntryCapRate*EffTaxRateOnValue/12))</f>
        <v/>
      </c>
      <c r="AG69" s="218">
        <f>IF(29&lt;StabMonth,0,IF(TaxMethodValue&gt;=1,StaticTaxYear1/12,MAX(0,AG$68*12)/EntryCapRate*EffTaxRateOnValue/12))</f>
        <v/>
      </c>
      <c r="AH69" s="218">
        <f>IF(30&lt;StabMonth,0,IF(TaxMethodValue&gt;=1,StaticTaxYear1/12,MAX(0,AH$68*12)/EntryCapRate*EffTaxRateOnValue/12))</f>
        <v/>
      </c>
      <c r="AI69" s="218">
        <f>IF(31&lt;StabMonth,0,IF(TaxMethodValue&gt;=1,StaticTaxYear1/12,MAX(0,AI$68*12)/EntryCapRate*EffTaxRateOnValue/12))</f>
        <v/>
      </c>
      <c r="AJ69" s="218">
        <f>IF(32&lt;StabMonth,0,IF(TaxMethodValue&gt;=1,StaticTaxYear1/12,MAX(0,AJ$68*12)/EntryCapRate*EffTaxRateOnValue/12))</f>
        <v/>
      </c>
      <c r="AK69" s="218">
        <f>IF(33&lt;StabMonth,0,IF(TaxMethodValue&gt;=1,StaticTaxYear1/12,MAX(0,AK$68*12)/EntryCapRate*EffTaxRateOnValue/12))</f>
        <v/>
      </c>
      <c r="AL69" s="218">
        <f>IF(34&lt;StabMonth,0,IF(TaxMethodValue&gt;=1,StaticTaxYear1/12,MAX(0,AL$68*12)/EntryCapRate*EffTaxRateOnValue/12))</f>
        <v/>
      </c>
      <c r="AM69" s="218">
        <f>IF(35&lt;StabMonth,0,IF(TaxMethodValue&gt;=1,StaticTaxYear1/12,MAX(0,AM$68*12)/EntryCapRate*EffTaxRateOnValue/12))</f>
        <v/>
      </c>
      <c r="AN69" s="218">
        <f>IF(36&lt;StabMonth,0,IF(TaxMethodValue&gt;=1,StaticTaxYear1/12,MAX(0,AN$68*12)/EntryCapRate*EffTaxRateOnValue/12))</f>
        <v/>
      </c>
      <c r="AO69" s="218">
        <f>IF(37&lt;StabMonth,0,IF(TaxMethodValue&gt;=1,StaticTaxYear1/12,MAX(0,AO$68*12)/EntryCapRate*EffTaxRateOnValue/12))</f>
        <v/>
      </c>
      <c r="AP69" s="218">
        <f>IF(38&lt;StabMonth,0,IF(TaxMethodValue&gt;=1,StaticTaxYear1/12,MAX(0,AP$68*12)/EntryCapRate*EffTaxRateOnValue/12))</f>
        <v/>
      </c>
      <c r="AQ69" s="218">
        <f>IF(39&lt;StabMonth,0,IF(TaxMethodValue&gt;=1,StaticTaxYear1/12,MAX(0,AQ$68*12)/EntryCapRate*EffTaxRateOnValue/12))</f>
        <v/>
      </c>
      <c r="AR69" s="218">
        <f>IF(40&lt;StabMonth,0,IF(TaxMethodValue&gt;=1,StaticTaxYear1/12,MAX(0,AR$68*12)/EntryCapRate*EffTaxRateOnValue/12))</f>
        <v/>
      </c>
      <c r="AS69" s="218">
        <f>IF(41&lt;StabMonth,0,IF(TaxMethodValue&gt;=1,StaticTaxYear1/12,MAX(0,AS$68*12)/EntryCapRate*EffTaxRateOnValue/12))</f>
        <v/>
      </c>
      <c r="AT69" s="218">
        <f>IF(42&lt;StabMonth,0,IF(TaxMethodValue&gt;=1,StaticTaxYear1/12,MAX(0,AT$68*12)/EntryCapRate*EffTaxRateOnValue/12))</f>
        <v/>
      </c>
      <c r="AU69" s="218">
        <f>IF(43&lt;StabMonth,0,IF(TaxMethodValue&gt;=1,StaticTaxYear1/12,MAX(0,AU$68*12)/EntryCapRate*EffTaxRateOnValue/12))</f>
        <v/>
      </c>
      <c r="AV69" s="218">
        <f>IF(44&lt;StabMonth,0,IF(TaxMethodValue&gt;=1,StaticTaxYear1/12,MAX(0,AV$68*12)/EntryCapRate*EffTaxRateOnValue/12))</f>
        <v/>
      </c>
      <c r="AW69" s="218">
        <f>IF(45&lt;StabMonth,0,IF(TaxMethodValue&gt;=1,StaticTaxYear1/12,MAX(0,AW$68*12)/EntryCapRate*EffTaxRateOnValue/12))</f>
        <v/>
      </c>
      <c r="AX69" s="218">
        <f>IF(46&lt;StabMonth,0,IF(TaxMethodValue&gt;=1,StaticTaxYear1/12,MAX(0,AX$68*12)/EntryCapRate*EffTaxRateOnValue/12))</f>
        <v/>
      </c>
      <c r="AY69" s="218">
        <f>IF(47&lt;StabMonth,0,IF(TaxMethodValue&gt;=1,StaticTaxYear1/12,MAX(0,AY$68*12)/EntryCapRate*EffTaxRateOnValue/12))</f>
        <v/>
      </c>
      <c r="AZ69" s="218">
        <f>IF(48&lt;StabMonth,0,IF(TaxMethodValue&gt;=1,StaticTaxYear1/12,MAX(0,AZ$68*12)/EntryCapRate*EffTaxRateOnValue/12))</f>
        <v/>
      </c>
      <c r="BA69" s="218">
        <f>IF(49&lt;StabMonth,0,IF(TaxMethodValue&gt;=1,StaticTaxYear1/12,MAX(0,BA$68*12)/EntryCapRate*EffTaxRateOnValue/12))</f>
        <v/>
      </c>
      <c r="BB69" s="218">
        <f>IF(50&lt;StabMonth,0,IF(TaxMethodValue&gt;=1,StaticTaxYear1/12,MAX(0,BB$68*12)/EntryCapRate*EffTaxRateOnValue/12))</f>
        <v/>
      </c>
      <c r="BC69" s="218">
        <f>IF(51&lt;StabMonth,0,IF(TaxMethodValue&gt;=1,StaticTaxYear1/12,MAX(0,BC$68*12)/EntryCapRate*EffTaxRateOnValue/12))</f>
        <v/>
      </c>
      <c r="BD69" s="218">
        <f>IF(52&lt;StabMonth,0,IF(TaxMethodValue&gt;=1,StaticTaxYear1/12,MAX(0,BD$68*12)/EntryCapRate*EffTaxRateOnValue/12))</f>
        <v/>
      </c>
      <c r="BE69" s="218">
        <f>IF(53&lt;StabMonth,0,IF(TaxMethodValue&gt;=1,StaticTaxYear1/12,MAX(0,BE$68*12)/EntryCapRate*EffTaxRateOnValue/12))</f>
        <v/>
      </c>
      <c r="BF69" s="218">
        <f>IF(54&lt;StabMonth,0,IF(TaxMethodValue&gt;=1,StaticTaxYear1/12,MAX(0,BF$68*12)/EntryCapRate*EffTaxRateOnValue/12))</f>
        <v/>
      </c>
      <c r="BG69" s="218">
        <f>IF(55&lt;StabMonth,0,IF(TaxMethodValue&gt;=1,StaticTaxYear1/12,MAX(0,BG$68*12)/EntryCapRate*EffTaxRateOnValue/12))</f>
        <v/>
      </c>
      <c r="BH69" s="218">
        <f>IF(56&lt;StabMonth,0,IF(TaxMethodValue&gt;=1,StaticTaxYear1/12,MAX(0,BH$68*12)/EntryCapRate*EffTaxRateOnValue/12))</f>
        <v/>
      </c>
      <c r="BI69" s="218">
        <f>IF(57&lt;StabMonth,0,IF(TaxMethodValue&gt;=1,StaticTaxYear1/12,MAX(0,BI$68*12)/EntryCapRate*EffTaxRateOnValue/12))</f>
        <v/>
      </c>
      <c r="BJ69" s="218">
        <f>IF(58&lt;StabMonth,0,IF(TaxMethodValue&gt;=1,StaticTaxYear1/12,MAX(0,BJ$68*12)/EntryCapRate*EffTaxRateOnValue/12))</f>
        <v/>
      </c>
      <c r="BK69" s="218">
        <f>IF(59&lt;StabMonth,0,IF(TaxMethodValue&gt;=1,StaticTaxYear1/12,MAX(0,BK$68*12)/EntryCapRate*EffTaxRateOnValue/12))</f>
        <v/>
      </c>
      <c r="BL69" s="218">
        <f>IF(60&lt;StabMonth,0,IF(TaxMethodValue&gt;=1,StaticTaxYear1/12,MAX(0,BL$68*12)/EntryCapRate*EffTaxRateOnValue/12))</f>
        <v/>
      </c>
      <c r="BM69" s="218">
        <f>IF(61&lt;StabMonth,0,IF(TaxMethodValue&gt;=1,StaticTaxYear1/12,MAX(0,BM$68*12)/EntryCapRate*EffTaxRateOnValue/12))</f>
        <v/>
      </c>
      <c r="BN69" s="218">
        <f>IF(62&lt;StabMonth,0,IF(TaxMethodValue&gt;=1,StaticTaxYear1/12,MAX(0,BN$68*12)/EntryCapRate*EffTaxRateOnValue/12))</f>
        <v/>
      </c>
      <c r="BO69" s="218">
        <f>IF(63&lt;StabMonth,0,IF(TaxMethodValue&gt;=1,StaticTaxYear1/12,MAX(0,BO$68*12)/EntryCapRate*EffTaxRateOnValue/12))</f>
        <v/>
      </c>
      <c r="BP69" s="218">
        <f>IF(64&lt;StabMonth,0,IF(TaxMethodValue&gt;=1,StaticTaxYear1/12,MAX(0,BP$68*12)/EntryCapRate*EffTaxRateOnValue/12))</f>
        <v/>
      </c>
      <c r="BQ69" s="218">
        <f>IF(65&lt;StabMonth,0,IF(TaxMethodValue&gt;=1,StaticTaxYear1/12,MAX(0,BQ$68*12)/EntryCapRate*EffTaxRateOnValue/12))</f>
        <v/>
      </c>
      <c r="BR69" s="218">
        <f>IF(66&lt;StabMonth,0,IF(TaxMethodValue&gt;=1,StaticTaxYear1/12,MAX(0,BR$68*12)/EntryCapRate*EffTaxRateOnValue/12))</f>
        <v/>
      </c>
      <c r="BS69" s="218">
        <f>IF(67&lt;StabMonth,0,IF(TaxMethodValue&gt;=1,StaticTaxYear1/12,MAX(0,BS$68*12)/EntryCapRate*EffTaxRateOnValue/12))</f>
        <v/>
      </c>
      <c r="BT69" s="218">
        <f>IF(68&lt;StabMonth,0,IF(TaxMethodValue&gt;=1,StaticTaxYear1/12,MAX(0,BT$68*12)/EntryCapRate*EffTaxRateOnValue/12))</f>
        <v/>
      </c>
      <c r="BU69" s="218">
        <f>IF(69&lt;StabMonth,0,IF(TaxMethodValue&gt;=1,StaticTaxYear1/12,MAX(0,BU$68*12)/EntryCapRate*EffTaxRateOnValue/12))</f>
        <v/>
      </c>
      <c r="BV69" s="218">
        <f>IF(70&lt;StabMonth,0,IF(TaxMethodValue&gt;=1,StaticTaxYear1/12,MAX(0,BV$68*12)/EntryCapRate*EffTaxRateOnValue/12))</f>
        <v/>
      </c>
      <c r="BW69" s="218">
        <f>IF(71&lt;StabMonth,0,IF(TaxMethodValue&gt;=1,StaticTaxYear1/12,MAX(0,BW$68*12)/EntryCapRate*EffTaxRateOnValue/12))</f>
        <v/>
      </c>
      <c r="BX69" s="218">
        <f>IF(72&lt;StabMonth,0,IF(TaxMethodValue&gt;=1,StaticTaxYear1/12,MAX(0,BX$68*12)/EntryCapRate*EffTaxRateOnValue/12))</f>
        <v/>
      </c>
      <c r="BY69" s="218">
        <f>IF(73&lt;StabMonth,0,IF(TaxMethodValue&gt;=1,StaticTaxYear1/12,MAX(0,BY$68*12)/EntryCapRate*EffTaxRateOnValue/12))</f>
        <v/>
      </c>
      <c r="BZ69" s="218">
        <f>IF(74&lt;StabMonth,0,IF(TaxMethodValue&gt;=1,StaticTaxYear1/12,MAX(0,BZ$68*12)/EntryCapRate*EffTaxRateOnValue/12))</f>
        <v/>
      </c>
      <c r="CA69" s="218">
        <f>IF(75&lt;StabMonth,0,IF(TaxMethodValue&gt;=1,StaticTaxYear1/12,MAX(0,CA$68*12)/EntryCapRate*EffTaxRateOnValue/12))</f>
        <v/>
      </c>
      <c r="CB69" s="218">
        <f>IF(76&lt;StabMonth,0,IF(TaxMethodValue&gt;=1,StaticTaxYear1/12,MAX(0,CB$68*12)/EntryCapRate*EffTaxRateOnValue/12))</f>
        <v/>
      </c>
      <c r="CC69" s="218">
        <f>IF(77&lt;StabMonth,0,IF(TaxMethodValue&gt;=1,StaticTaxYear1/12,MAX(0,CC$68*12)/EntryCapRate*EffTaxRateOnValue/12))</f>
        <v/>
      </c>
      <c r="CD69" s="218">
        <f>IF(78&lt;StabMonth,0,IF(TaxMethodValue&gt;=1,StaticTaxYear1/12,MAX(0,CD$68*12)/EntryCapRate*EffTaxRateOnValue/12))</f>
        <v/>
      </c>
      <c r="CE69" s="218">
        <f>IF(79&lt;StabMonth,0,IF(TaxMethodValue&gt;=1,StaticTaxYear1/12,MAX(0,CE$68*12)/EntryCapRate*EffTaxRateOnValue/12))</f>
        <v/>
      </c>
      <c r="CF69" s="218">
        <f>IF(80&lt;StabMonth,0,IF(TaxMethodValue&gt;=1,StaticTaxYear1/12,MAX(0,CF$68*12)/EntryCapRate*EffTaxRateOnValue/12))</f>
        <v/>
      </c>
      <c r="CG69" s="218">
        <f>IF(81&lt;StabMonth,0,IF(TaxMethodValue&gt;=1,StaticTaxYear1/12,MAX(0,CG$68*12)/EntryCapRate*EffTaxRateOnValue/12))</f>
        <v/>
      </c>
      <c r="CH69" s="218">
        <f>IF(82&lt;StabMonth,0,IF(TaxMethodValue&gt;=1,StaticTaxYear1/12,MAX(0,CH$68*12)/EntryCapRate*EffTaxRateOnValue/12))</f>
        <v/>
      </c>
      <c r="CI69" s="218">
        <f>IF(83&lt;StabMonth,0,IF(TaxMethodValue&gt;=1,StaticTaxYear1/12,MAX(0,CI$68*12)/EntryCapRate*EffTaxRateOnValue/12))</f>
        <v/>
      </c>
      <c r="CJ69" s="218">
        <f>IF(84&lt;StabMonth,0,IF(TaxMethodValue&gt;=1,StaticTaxYear1/12,MAX(0,CJ$68*12)/EntryCapRate*EffTaxRateOnValue/12))</f>
        <v/>
      </c>
      <c r="CK69" s="218">
        <f>IF(85&lt;StabMonth,0,IF(TaxMethodValue&gt;=1,StaticTaxYear1/12,MAX(0,CK$68*12)/EntryCapRate*EffTaxRateOnValue/12))</f>
        <v/>
      </c>
      <c r="CL69" s="218">
        <f>IF(86&lt;StabMonth,0,IF(TaxMethodValue&gt;=1,StaticTaxYear1/12,MAX(0,CL$68*12)/EntryCapRate*EffTaxRateOnValue/12))</f>
        <v/>
      </c>
      <c r="CM69" s="218">
        <f>IF(87&lt;StabMonth,0,IF(TaxMethodValue&gt;=1,StaticTaxYear1/12,MAX(0,CM$68*12)/EntryCapRate*EffTaxRateOnValue/12))</f>
        <v/>
      </c>
      <c r="CN69" s="218">
        <f>IF(88&lt;StabMonth,0,IF(TaxMethodValue&gt;=1,StaticTaxYear1/12,MAX(0,CN$68*12)/EntryCapRate*EffTaxRateOnValue/12))</f>
        <v/>
      </c>
      <c r="CO69" s="218">
        <f>IF(89&lt;StabMonth,0,IF(TaxMethodValue&gt;=1,StaticTaxYear1/12,MAX(0,CO$68*12)/EntryCapRate*EffTaxRateOnValue/12))</f>
        <v/>
      </c>
      <c r="CP69" s="218">
        <f>IF(90&lt;StabMonth,0,IF(TaxMethodValue&gt;=1,StaticTaxYear1/12,MAX(0,CP$68*12)/EntryCapRate*EffTaxRateOnValue/12))</f>
        <v/>
      </c>
      <c r="CQ69" s="218">
        <f>IF(91&lt;StabMonth,0,IF(TaxMethodValue&gt;=1,StaticTaxYear1/12,MAX(0,CQ$68*12)/EntryCapRate*EffTaxRateOnValue/12))</f>
        <v/>
      </c>
      <c r="CR69" s="218">
        <f>IF(92&lt;StabMonth,0,IF(TaxMethodValue&gt;=1,StaticTaxYear1/12,MAX(0,CR$68*12)/EntryCapRate*EffTaxRateOnValue/12))</f>
        <v/>
      </c>
      <c r="CS69" s="218">
        <f>IF(93&lt;StabMonth,0,IF(TaxMethodValue&gt;=1,StaticTaxYear1/12,MAX(0,CS$68*12)/EntryCapRate*EffTaxRateOnValue/12))</f>
        <v/>
      </c>
      <c r="CT69" s="218">
        <f>IF(94&lt;StabMonth,0,IF(TaxMethodValue&gt;=1,StaticTaxYear1/12,MAX(0,CT$68*12)/EntryCapRate*EffTaxRateOnValue/12))</f>
        <v/>
      </c>
      <c r="CU69" s="218">
        <f>IF(95&lt;StabMonth,0,IF(TaxMethodValue&gt;=1,StaticTaxYear1/12,MAX(0,CU$68*12)/EntryCapRate*EffTaxRateOnValue/12))</f>
        <v/>
      </c>
      <c r="CV69" s="218">
        <f>IF(96&lt;StabMonth,0,IF(TaxMethodValue&gt;=1,StaticTaxYear1/12,MAX(0,CV$68*12)/EntryCapRate*EffTaxRateOnValue/12))</f>
        <v/>
      </c>
      <c r="CW69" s="218">
        <f>IF(97&lt;StabMonth,0,IF(TaxMethodValue&gt;=1,StaticTaxYear1/12,MAX(0,CW$68*12)/EntryCapRate*EffTaxRateOnValue/12))</f>
        <v/>
      </c>
      <c r="CX69" s="218">
        <f>IF(98&lt;StabMonth,0,IF(TaxMethodValue&gt;=1,StaticTaxYear1/12,MAX(0,CX$68*12)/EntryCapRate*EffTaxRateOnValue/12))</f>
        <v/>
      </c>
      <c r="CY69" s="218">
        <f>IF(99&lt;StabMonth,0,IF(TaxMethodValue&gt;=1,StaticTaxYear1/12,MAX(0,CY$68*12)/EntryCapRate*EffTaxRateOnValue/12))</f>
        <v/>
      </c>
      <c r="CZ69" s="218">
        <f>IF(100&lt;StabMonth,0,IF(TaxMethodValue&gt;=1,StaticTaxYear1/12,MAX(0,CZ$68*12)/EntryCapRate*EffTaxRateOnValue/12))</f>
        <v/>
      </c>
      <c r="DA69" s="218">
        <f>IF(101&lt;StabMonth,0,IF(TaxMethodValue&gt;=1,StaticTaxYear1/12,MAX(0,DA$68*12)/EntryCapRate*EffTaxRateOnValue/12))</f>
        <v/>
      </c>
      <c r="DB69" s="218">
        <f>IF(102&lt;StabMonth,0,IF(TaxMethodValue&gt;=1,StaticTaxYear1/12,MAX(0,DB$68*12)/EntryCapRate*EffTaxRateOnValue/12))</f>
        <v/>
      </c>
      <c r="DC69" s="218">
        <f>IF(103&lt;StabMonth,0,IF(TaxMethodValue&gt;=1,StaticTaxYear1/12,MAX(0,DC$68*12)/EntryCapRate*EffTaxRateOnValue/12))</f>
        <v/>
      </c>
      <c r="DD69" s="218">
        <f>IF(104&lt;StabMonth,0,IF(TaxMethodValue&gt;=1,StaticTaxYear1/12,MAX(0,DD$68*12)/EntryCapRate*EffTaxRateOnValue/12))</f>
        <v/>
      </c>
      <c r="DE69" s="218">
        <f>IF(105&lt;StabMonth,0,IF(TaxMethodValue&gt;=1,StaticTaxYear1/12,MAX(0,DE$68*12)/EntryCapRate*EffTaxRateOnValue/12))</f>
        <v/>
      </c>
      <c r="DF69" s="218">
        <f>IF(106&lt;StabMonth,0,IF(TaxMethodValue&gt;=1,StaticTaxYear1/12,MAX(0,DF$68*12)/EntryCapRate*EffTaxRateOnValue/12))</f>
        <v/>
      </c>
      <c r="DG69" s="218">
        <f>IF(107&lt;StabMonth,0,IF(TaxMethodValue&gt;=1,StaticTaxYear1/12,MAX(0,DG$68*12)/EntryCapRate*EffTaxRateOnValue/12))</f>
        <v/>
      </c>
      <c r="DH69" s="218">
        <f>IF(108&lt;StabMonth,0,IF(TaxMethodValue&gt;=1,StaticTaxYear1/12,MAX(0,DH$68*12)/EntryCapRate*EffTaxRateOnValue/12))</f>
        <v/>
      </c>
      <c r="DI69" s="218">
        <f>IF(109&lt;StabMonth,0,IF(TaxMethodValue&gt;=1,StaticTaxYear1/12,MAX(0,DI$68*12)/EntryCapRate*EffTaxRateOnValue/12))</f>
        <v/>
      </c>
      <c r="DJ69" s="218">
        <f>IF(110&lt;StabMonth,0,IF(TaxMethodValue&gt;=1,StaticTaxYear1/12,MAX(0,DJ$68*12)/EntryCapRate*EffTaxRateOnValue/12))</f>
        <v/>
      </c>
      <c r="DK69" s="218">
        <f>IF(111&lt;StabMonth,0,IF(TaxMethodValue&gt;=1,StaticTaxYear1/12,MAX(0,DK$68*12)/EntryCapRate*EffTaxRateOnValue/12))</f>
        <v/>
      </c>
      <c r="DL69" s="218">
        <f>IF(112&lt;StabMonth,0,IF(TaxMethodValue&gt;=1,StaticTaxYear1/12,MAX(0,DL$68*12)/EntryCapRate*EffTaxRateOnValue/12))</f>
        <v/>
      </c>
      <c r="DM69" s="218">
        <f>IF(113&lt;StabMonth,0,IF(TaxMethodValue&gt;=1,StaticTaxYear1/12,MAX(0,DM$68*12)/EntryCapRate*EffTaxRateOnValue/12))</f>
        <v/>
      </c>
      <c r="DN69" s="218">
        <f>IF(114&lt;StabMonth,0,IF(TaxMethodValue&gt;=1,StaticTaxYear1/12,MAX(0,DN$68*12)/EntryCapRate*EffTaxRateOnValue/12))</f>
        <v/>
      </c>
      <c r="DO69" s="218">
        <f>IF(115&lt;StabMonth,0,IF(TaxMethodValue&gt;=1,StaticTaxYear1/12,MAX(0,DO$68*12)/EntryCapRate*EffTaxRateOnValue/12))</f>
        <v/>
      </c>
      <c r="DP69" s="218">
        <f>IF(116&lt;StabMonth,0,IF(TaxMethodValue&gt;=1,StaticTaxYear1/12,MAX(0,DP$68*12)/EntryCapRate*EffTaxRateOnValue/12))</f>
        <v/>
      </c>
      <c r="DQ69" s="218">
        <f>IF(117&lt;StabMonth,0,IF(TaxMethodValue&gt;=1,StaticTaxYear1/12,MAX(0,DQ$68*12)/EntryCapRate*EffTaxRateOnValue/12))</f>
        <v/>
      </c>
      <c r="DR69" s="218">
        <f>IF(118&lt;StabMonth,0,IF(TaxMethodValue&gt;=1,StaticTaxYear1/12,MAX(0,DR$68*12)/EntryCapRate*EffTaxRateOnValue/12))</f>
        <v/>
      </c>
      <c r="DS69" s="218">
        <f>IF(119&lt;StabMonth,0,IF(TaxMethodValue&gt;=1,StaticTaxYear1/12,MAX(0,DS$68*12)/EntryCapRate*EffTaxRateOnValue/12))</f>
        <v/>
      </c>
      <c r="DT69" s="218">
        <f>IF(120&lt;StabMonth,0,IF(TaxMethodValue&gt;=1,StaticTaxYear1/12,MAX(0,DT$68*12)/EntryCapRate*EffTaxRateOnValue/12))</f>
        <v/>
      </c>
      <c r="DU69" s="218">
        <f>IF(121&lt;StabMonth,0,IF(TaxMethodValue&gt;=1,StaticTaxYear1/12,MAX(0,DU$68*12)/EntryCapRate*EffTaxRateOnValue/12))</f>
        <v/>
      </c>
      <c r="DV69" s="218">
        <f>IF(122&lt;StabMonth,0,IF(TaxMethodValue&gt;=1,StaticTaxYear1/12,MAX(0,DV$68*12)/EntryCapRate*EffTaxRateOnValue/12))</f>
        <v/>
      </c>
      <c r="DW69" s="218">
        <f>IF(123&lt;StabMonth,0,IF(TaxMethodValue&gt;=1,StaticTaxYear1/12,MAX(0,DW$68*12)/EntryCapRate*EffTaxRateOnValue/12))</f>
        <v/>
      </c>
      <c r="DX69" s="218">
        <f>IF(124&lt;StabMonth,0,IF(TaxMethodValue&gt;=1,StaticTaxYear1/12,MAX(0,DX$68*12)/EntryCapRate*EffTaxRateOnValue/12))</f>
        <v/>
      </c>
      <c r="DY69" s="218">
        <f>IF(125&lt;StabMonth,0,IF(TaxMethodValue&gt;=1,StaticTaxYear1/12,MAX(0,DY$68*12)/EntryCapRate*EffTaxRateOnValue/12))</f>
        <v/>
      </c>
      <c r="DZ69" s="218">
        <f>IF(126&lt;StabMonth,0,IF(TaxMethodValue&gt;=1,StaticTaxYear1/12,MAX(0,DZ$68*12)/EntryCapRate*EffTaxRateOnValue/12))</f>
        <v/>
      </c>
      <c r="EA69" s="218">
        <f>IF(127&lt;StabMonth,0,IF(TaxMethodValue&gt;=1,StaticTaxYear1/12,MAX(0,EA$68*12)/EntryCapRate*EffTaxRateOnValue/12))</f>
        <v/>
      </c>
      <c r="EB69" s="218">
        <f>IF(128&lt;StabMonth,0,IF(TaxMethodValue&gt;=1,StaticTaxYear1/12,MAX(0,EB$68*12)/EntryCapRate*EffTaxRateOnValue/12))</f>
        <v/>
      </c>
      <c r="EC69" s="218">
        <f>IF(129&lt;StabMonth,0,IF(TaxMethodValue&gt;=1,StaticTaxYear1/12,MAX(0,EC$68*12)/EntryCapRate*EffTaxRateOnValue/12))</f>
        <v/>
      </c>
      <c r="ED69" s="218">
        <f>IF(130&lt;StabMonth,0,IF(TaxMethodValue&gt;=1,StaticTaxYear1/12,MAX(0,ED$68*12)/EntryCapRate*EffTaxRateOnValue/12))</f>
        <v/>
      </c>
      <c r="EE69" s="218">
        <f>IF(131&lt;StabMonth,0,IF(TaxMethodValue&gt;=1,StaticTaxYear1/12,MAX(0,EE$68*12)/EntryCapRate*EffTaxRateOnValue/12))</f>
        <v/>
      </c>
      <c r="EF69" s="218">
        <f>IF(132&lt;StabMonth,0,IF(TaxMethodValue&gt;=1,StaticTaxYear1/12,MAX(0,EF$68*12)/EntryCapRate*EffTaxRateOnValue/12))</f>
        <v/>
      </c>
      <c r="EG69" s="218">
        <f>IF(133&lt;StabMonth,0,IF(TaxMethodValue&gt;=1,StaticTaxYear1/12,MAX(0,EG$68*12)/EntryCapRate*EffTaxRateOnValue/12))</f>
        <v/>
      </c>
      <c r="EH69" s="218">
        <f>IF(134&lt;StabMonth,0,IF(TaxMethodValue&gt;=1,StaticTaxYear1/12,MAX(0,EH$68*12)/EntryCapRate*EffTaxRateOnValue/12))</f>
        <v/>
      </c>
      <c r="EI69" s="218">
        <f>IF(135&lt;StabMonth,0,IF(TaxMethodValue&gt;=1,StaticTaxYear1/12,MAX(0,EI$68*12)/EntryCapRate*EffTaxRateOnValue/12))</f>
        <v/>
      </c>
      <c r="EJ69" s="218">
        <f>IF(136&lt;StabMonth,0,IF(TaxMethodValue&gt;=1,StaticTaxYear1/12,MAX(0,EJ$68*12)/EntryCapRate*EffTaxRateOnValue/12))</f>
        <v/>
      </c>
      <c r="EK69" s="218">
        <f>IF(137&lt;StabMonth,0,IF(TaxMethodValue&gt;=1,StaticTaxYear1/12,MAX(0,EK$68*12)/EntryCapRate*EffTaxRateOnValue/12))</f>
        <v/>
      </c>
      <c r="EL69" s="218">
        <f>IF(138&lt;StabMonth,0,IF(TaxMethodValue&gt;=1,StaticTaxYear1/12,MAX(0,EL$68*12)/EntryCapRate*EffTaxRateOnValue/12))</f>
        <v/>
      </c>
      <c r="EM69" s="218">
        <f>IF(139&lt;StabMonth,0,IF(TaxMethodValue&gt;=1,StaticTaxYear1/12,MAX(0,EM$68*12)/EntryCapRate*EffTaxRateOnValue/12))</f>
        <v/>
      </c>
      <c r="EN69" s="218">
        <f>IF(140&lt;StabMonth,0,IF(TaxMethodValue&gt;=1,StaticTaxYear1/12,MAX(0,EN$68*12)/EntryCapRate*EffTaxRateOnValue/12))</f>
        <v/>
      </c>
      <c r="EO69" s="218">
        <f>IF(141&lt;StabMonth,0,IF(TaxMethodValue&gt;=1,StaticTaxYear1/12,MAX(0,EO$68*12)/EntryCapRate*EffTaxRateOnValue/12))</f>
        <v/>
      </c>
      <c r="EP69" s="218">
        <f>IF(142&lt;StabMonth,0,IF(TaxMethodValue&gt;=1,StaticTaxYear1/12,MAX(0,EP$68*12)/EntryCapRate*EffTaxRateOnValue/12))</f>
        <v/>
      </c>
      <c r="EQ69" s="218">
        <f>IF(143&lt;StabMonth,0,IF(TaxMethodValue&gt;=1,StaticTaxYear1/12,MAX(0,EQ$68*12)/EntryCapRate*EffTaxRateOnValue/12))</f>
        <v/>
      </c>
      <c r="ER69" s="218">
        <f>IF(144&lt;StabMonth,0,IF(TaxMethodValue&gt;=1,StaticTaxYear1/12,MAX(0,ER$68*12)/EntryCapRate*EffTaxRateOnValue/12))</f>
        <v/>
      </c>
      <c r="ES69" s="218">
        <f>IF(145&lt;StabMonth,0,IF(TaxMethodValue&gt;=1,StaticTaxYear1/12,MAX(0,ES$68*12)/EntryCapRate*EffTaxRateOnValue/12))</f>
        <v/>
      </c>
      <c r="ET69" s="218">
        <f>IF(146&lt;StabMonth,0,IF(TaxMethodValue&gt;=1,StaticTaxYear1/12,MAX(0,ET$68*12)/EntryCapRate*EffTaxRateOnValue/12))</f>
        <v/>
      </c>
      <c r="EU69" s="218">
        <f>IF(147&lt;StabMonth,0,IF(TaxMethodValue&gt;=1,StaticTaxYear1/12,MAX(0,EU$68*12)/EntryCapRate*EffTaxRateOnValue/12))</f>
        <v/>
      </c>
      <c r="EV69" s="218">
        <f>IF(148&lt;StabMonth,0,IF(TaxMethodValue&gt;=1,StaticTaxYear1/12,MAX(0,EV$68*12)/EntryCapRate*EffTaxRateOnValue/12))</f>
        <v/>
      </c>
      <c r="EW69" s="218">
        <f>IF(149&lt;StabMonth,0,IF(TaxMethodValue&gt;=1,StaticTaxYear1/12,MAX(0,EW$68*12)/EntryCapRate*EffTaxRateOnValue/12))</f>
        <v/>
      </c>
      <c r="EX69" s="218">
        <f>IF(150&lt;StabMonth,0,IF(TaxMethodValue&gt;=1,StaticTaxYear1/12,MAX(0,EX$68*12)/EntryCapRate*EffTaxRateOnValue/12))</f>
        <v/>
      </c>
      <c r="EY69" s="218">
        <f>IF(151&lt;StabMonth,0,IF(TaxMethodValue&gt;=1,StaticTaxYear1/12,MAX(0,EY$68*12)/EntryCapRate*EffTaxRateOnValue/12))</f>
        <v/>
      </c>
      <c r="EZ69" s="218">
        <f>IF(152&lt;StabMonth,0,IF(TaxMethodValue&gt;=1,StaticTaxYear1/12,MAX(0,EZ$68*12)/EntryCapRate*EffTaxRateOnValue/12))</f>
        <v/>
      </c>
      <c r="FA69" s="218">
        <f>IF(153&lt;StabMonth,0,IF(TaxMethodValue&gt;=1,StaticTaxYear1/12,MAX(0,FA$68*12)/EntryCapRate*EffTaxRateOnValue/12))</f>
        <v/>
      </c>
      <c r="FB69" s="218">
        <f>IF(154&lt;StabMonth,0,IF(TaxMethodValue&gt;=1,StaticTaxYear1/12,MAX(0,FB$68*12)/EntryCapRate*EffTaxRateOnValue/12))</f>
        <v/>
      </c>
      <c r="FC69" s="218">
        <f>IF(155&lt;StabMonth,0,IF(TaxMethodValue&gt;=1,StaticTaxYear1/12,MAX(0,FC$68*12)/EntryCapRate*EffTaxRateOnValue/12))</f>
        <v/>
      </c>
      <c r="FD69" s="218">
        <f>IF(156&lt;StabMonth,0,IF(TaxMethodValue&gt;=1,StaticTaxYear1/12,MAX(0,FD$68*12)/EntryCapRate*EffTaxRateOnValue/12))</f>
        <v/>
      </c>
      <c r="FE69" s="218">
        <f>IF(157&lt;StabMonth,0,IF(TaxMethodValue&gt;=1,StaticTaxYear1/12,MAX(0,FE$68*12)/EntryCapRate*EffTaxRateOnValue/12))</f>
        <v/>
      </c>
      <c r="FF69" s="218">
        <f>IF(158&lt;StabMonth,0,IF(TaxMethodValue&gt;=1,StaticTaxYear1/12,MAX(0,FF$68*12)/EntryCapRate*EffTaxRateOnValue/12))</f>
        <v/>
      </c>
      <c r="FG69" s="218">
        <f>IF(159&lt;StabMonth,0,IF(TaxMethodValue&gt;=1,StaticTaxYear1/12,MAX(0,FG$68*12)/EntryCapRate*EffTaxRateOnValue/12))</f>
        <v/>
      </c>
      <c r="FH69" s="218">
        <f>IF(160&lt;StabMonth,0,IF(TaxMethodValue&gt;=1,StaticTaxYear1/12,MAX(0,FH$68*12)/EntryCapRate*EffTaxRateOnValue/12))</f>
        <v/>
      </c>
      <c r="FI69" s="218">
        <f>IF(161&lt;StabMonth,0,IF(TaxMethodValue&gt;=1,StaticTaxYear1/12,MAX(0,FI$68*12)/EntryCapRate*EffTaxRateOnValue/12))</f>
        <v/>
      </c>
      <c r="FJ69" s="218">
        <f>IF(162&lt;StabMonth,0,IF(TaxMethodValue&gt;=1,StaticTaxYear1/12,MAX(0,FJ$68*12)/EntryCapRate*EffTaxRateOnValue/12))</f>
        <v/>
      </c>
      <c r="FK69" s="218">
        <f>IF(163&lt;StabMonth,0,IF(TaxMethodValue&gt;=1,StaticTaxYear1/12,MAX(0,FK$68*12)/EntryCapRate*EffTaxRateOnValue/12))</f>
        <v/>
      </c>
      <c r="FL69" s="218">
        <f>IF(164&lt;StabMonth,0,IF(TaxMethodValue&gt;=1,StaticTaxYear1/12,MAX(0,FL$68*12)/EntryCapRate*EffTaxRateOnValue/12))</f>
        <v/>
      </c>
      <c r="FM69" s="218">
        <f>IF(165&lt;StabMonth,0,IF(TaxMethodValue&gt;=1,StaticTaxYear1/12,MAX(0,FM$68*12)/EntryCapRate*EffTaxRateOnValue/12))</f>
        <v/>
      </c>
      <c r="FN69" s="218">
        <f>IF(166&lt;StabMonth,0,IF(TaxMethodValue&gt;=1,StaticTaxYear1/12,MAX(0,FN$68*12)/EntryCapRate*EffTaxRateOnValue/12))</f>
        <v/>
      </c>
      <c r="FO69" s="218">
        <f>IF(167&lt;StabMonth,0,IF(TaxMethodValue&gt;=1,StaticTaxYear1/12,MAX(0,FO$68*12)/EntryCapRate*EffTaxRateOnValue/12))</f>
        <v/>
      </c>
      <c r="FP69" s="218">
        <f>IF(168&lt;StabMonth,0,IF(TaxMethodValue&gt;=1,StaticTaxYear1/12,MAX(0,FP$68*12)/EntryCapRate*EffTaxRateOnValue/12))</f>
        <v/>
      </c>
      <c r="FQ69" s="218">
        <f>IF(169&lt;StabMonth,0,IF(TaxMethodValue&gt;=1,StaticTaxYear1/12,MAX(0,FQ$68*12)/EntryCapRate*EffTaxRateOnValue/12))</f>
        <v/>
      </c>
      <c r="FR69" s="218">
        <f>IF(170&lt;StabMonth,0,IF(TaxMethodValue&gt;=1,StaticTaxYear1/12,MAX(0,FR$68*12)/EntryCapRate*EffTaxRateOnValue/12))</f>
        <v/>
      </c>
      <c r="FS69" s="218">
        <f>IF(171&lt;StabMonth,0,IF(TaxMethodValue&gt;=1,StaticTaxYear1/12,MAX(0,FS$68*12)/EntryCapRate*EffTaxRateOnValue/12))</f>
        <v/>
      </c>
      <c r="FT69" s="218">
        <f>IF(172&lt;StabMonth,0,IF(TaxMethodValue&gt;=1,StaticTaxYear1/12,MAX(0,FT$68*12)/EntryCapRate*EffTaxRateOnValue/12))</f>
        <v/>
      </c>
      <c r="FU69" s="218">
        <f>IF(173&lt;StabMonth,0,IF(TaxMethodValue&gt;=1,StaticTaxYear1/12,MAX(0,FU$68*12)/EntryCapRate*EffTaxRateOnValue/12))</f>
        <v/>
      </c>
      <c r="FV69" s="218">
        <f>IF(174&lt;StabMonth,0,IF(TaxMethodValue&gt;=1,StaticTaxYear1/12,MAX(0,FV$68*12)/EntryCapRate*EffTaxRateOnValue/12))</f>
        <v/>
      </c>
      <c r="FW69" s="218">
        <f>IF(175&lt;StabMonth,0,IF(TaxMethodValue&gt;=1,StaticTaxYear1/12,MAX(0,FW$68*12)/EntryCapRate*EffTaxRateOnValue/12))</f>
        <v/>
      </c>
      <c r="FX69" s="218">
        <f>IF(176&lt;StabMonth,0,IF(TaxMethodValue&gt;=1,StaticTaxYear1/12,MAX(0,FX$68*12)/EntryCapRate*EffTaxRateOnValue/12))</f>
        <v/>
      </c>
      <c r="FY69" s="218">
        <f>IF(177&lt;StabMonth,0,IF(TaxMethodValue&gt;=1,StaticTaxYear1/12,MAX(0,FY$68*12)/EntryCapRate*EffTaxRateOnValue/12))</f>
        <v/>
      </c>
      <c r="FZ69" s="218">
        <f>IF(178&lt;StabMonth,0,IF(TaxMethodValue&gt;=1,StaticTaxYear1/12,MAX(0,FZ$68*12)/EntryCapRate*EffTaxRateOnValue/12))</f>
        <v/>
      </c>
      <c r="GA69" s="218">
        <f>IF(179&lt;StabMonth,0,IF(TaxMethodValue&gt;=1,StaticTaxYear1/12,MAX(0,GA$68*12)/EntryCapRate*EffTaxRateOnValue/12))</f>
        <v/>
      </c>
      <c r="GB69" s="218">
        <f>IF(180&lt;StabMonth,0,IF(TaxMethodValue&gt;=1,StaticTaxYear1/12,MAX(0,GB$68*12)/EntryCapRate*EffTaxRateOnValue/12))</f>
        <v/>
      </c>
      <c r="GC69" s="218">
        <f>IF(181&lt;StabMonth,0,IF(TaxMethodValue&gt;=1,StaticTaxYear1/12,MAX(0,GC$68*12)/EntryCapRate*EffTaxRateOnValue/12))</f>
        <v/>
      </c>
      <c r="GD69" s="218">
        <f>IF(182&lt;StabMonth,0,IF(TaxMethodValue&gt;=1,StaticTaxYear1/12,MAX(0,GD$68*12)/EntryCapRate*EffTaxRateOnValue/12))</f>
        <v/>
      </c>
      <c r="GE69" s="218">
        <f>IF(183&lt;StabMonth,0,IF(TaxMethodValue&gt;=1,StaticTaxYear1/12,MAX(0,GE$68*12)/EntryCapRate*EffTaxRateOnValue/12))</f>
        <v/>
      </c>
      <c r="GF69" s="218">
        <f>IF(184&lt;StabMonth,0,IF(TaxMethodValue&gt;=1,StaticTaxYear1/12,MAX(0,GF$68*12)/EntryCapRate*EffTaxRateOnValue/12))</f>
        <v/>
      </c>
      <c r="GG69" s="218">
        <f>IF(185&lt;StabMonth,0,IF(TaxMethodValue&gt;=1,StaticTaxYear1/12,MAX(0,GG$68*12)/EntryCapRate*EffTaxRateOnValue/12))</f>
        <v/>
      </c>
      <c r="GH69" s="218">
        <f>IF(186&lt;StabMonth,0,IF(TaxMethodValue&gt;=1,StaticTaxYear1/12,MAX(0,GH$68*12)/EntryCapRate*EffTaxRateOnValue/12))</f>
        <v/>
      </c>
      <c r="GI69" s="218">
        <f>IF(187&lt;StabMonth,0,IF(TaxMethodValue&gt;=1,StaticTaxYear1/12,MAX(0,GI$68*12)/EntryCapRate*EffTaxRateOnValue/12))</f>
        <v/>
      </c>
      <c r="GJ69" s="218">
        <f>IF(188&lt;StabMonth,0,IF(TaxMethodValue&gt;=1,StaticTaxYear1/12,MAX(0,GJ$68*12)/EntryCapRate*EffTaxRateOnValue/12))</f>
        <v/>
      </c>
      <c r="GK69" s="218">
        <f>IF(189&lt;StabMonth,0,IF(TaxMethodValue&gt;=1,StaticTaxYear1/12,MAX(0,GK$68*12)/EntryCapRate*EffTaxRateOnValue/12))</f>
        <v/>
      </c>
      <c r="GL69" s="218">
        <f>IF(190&lt;StabMonth,0,IF(TaxMethodValue&gt;=1,StaticTaxYear1/12,MAX(0,GL$68*12)/EntryCapRate*EffTaxRateOnValue/12))</f>
        <v/>
      </c>
      <c r="GM69" s="218">
        <f>IF(191&lt;StabMonth,0,IF(TaxMethodValue&gt;=1,StaticTaxYear1/12,MAX(0,GM$68*12)/EntryCapRate*EffTaxRateOnValue/12))</f>
        <v/>
      </c>
      <c r="GN69" s="218">
        <f>IF(192&lt;StabMonth,0,IF(TaxMethodValue&gt;=1,StaticTaxYear1/12,MAX(0,GN$68*12)/EntryCapRate*EffTaxRateOnValue/12))</f>
        <v/>
      </c>
      <c r="GO69" s="218">
        <f>IF(193&lt;StabMonth,0,IF(TaxMethodValue&gt;=1,StaticTaxYear1/12,MAX(0,GO$68*12)/EntryCapRate*EffTaxRateOnValue/12))</f>
        <v/>
      </c>
      <c r="GP69" s="218">
        <f>IF(194&lt;StabMonth,0,IF(TaxMethodValue&gt;=1,StaticTaxYear1/12,MAX(0,GP$68*12)/EntryCapRate*EffTaxRateOnValue/12))</f>
        <v/>
      </c>
      <c r="GQ69" s="218">
        <f>IF(195&lt;StabMonth,0,IF(TaxMethodValue&gt;=1,StaticTaxYear1/12,MAX(0,GQ$68*12)/EntryCapRate*EffTaxRateOnValue/12))</f>
        <v/>
      </c>
      <c r="GR69" s="218">
        <f>IF(196&lt;StabMonth,0,IF(TaxMethodValue&gt;=1,StaticTaxYear1/12,MAX(0,GR$68*12)/EntryCapRate*EffTaxRateOnValue/12))</f>
        <v/>
      </c>
      <c r="GS69" s="218">
        <f>IF(197&lt;StabMonth,0,IF(TaxMethodValue&gt;=1,StaticTaxYear1/12,MAX(0,GS$68*12)/EntryCapRate*EffTaxRateOnValue/12))</f>
        <v/>
      </c>
      <c r="GT69" s="218">
        <f>IF(198&lt;StabMonth,0,IF(TaxMethodValue&gt;=1,StaticTaxYear1/12,MAX(0,GT$68*12)/EntryCapRate*EffTaxRateOnValue/12))</f>
        <v/>
      </c>
      <c r="GU69" s="218">
        <f>IF(199&lt;StabMonth,0,IF(TaxMethodValue&gt;=1,StaticTaxYear1/12,MAX(0,GU$68*12)/EntryCapRate*EffTaxRateOnValue/12))</f>
        <v/>
      </c>
      <c r="GV69" s="218">
        <f>IF(200&lt;StabMonth,0,IF(TaxMethodValue&gt;=1,StaticTaxYear1/12,MAX(0,GV$68*12)/EntryCapRate*EffTaxRateOnValue/12))</f>
        <v/>
      </c>
      <c r="GW69" s="218">
        <f>IF(201&lt;StabMonth,0,IF(TaxMethodValue&gt;=1,StaticTaxYear1/12,MAX(0,GW$68*12)/EntryCapRate*EffTaxRateOnValue/12))</f>
        <v/>
      </c>
      <c r="GX69" s="218">
        <f>IF(202&lt;StabMonth,0,IF(TaxMethodValue&gt;=1,StaticTaxYear1/12,MAX(0,GX$68*12)/EntryCapRate*EffTaxRateOnValue/12))</f>
        <v/>
      </c>
      <c r="GY69" s="218">
        <f>IF(203&lt;StabMonth,0,IF(TaxMethodValue&gt;=1,StaticTaxYear1/12,MAX(0,GY$68*12)/EntryCapRate*EffTaxRateOnValue/12))</f>
        <v/>
      </c>
      <c r="GZ69" s="218">
        <f>IF(204&lt;StabMonth,0,IF(TaxMethodValue&gt;=1,StaticTaxYear1/12,MAX(0,GZ$68*12)/EntryCapRate*EffTaxRateOnValue/12))</f>
        <v/>
      </c>
      <c r="HA69" s="218">
        <f>IF(205&lt;StabMonth,0,IF(TaxMethodValue&gt;=1,StaticTaxYear1/12,MAX(0,HA$68*12)/EntryCapRate*EffTaxRateOnValue/12))</f>
        <v/>
      </c>
      <c r="HB69" s="218">
        <f>IF(206&lt;StabMonth,0,IF(TaxMethodValue&gt;=1,StaticTaxYear1/12,MAX(0,HB$68*12)/EntryCapRate*EffTaxRateOnValue/12))</f>
        <v/>
      </c>
      <c r="HC69" s="218">
        <f>IF(207&lt;StabMonth,0,IF(TaxMethodValue&gt;=1,StaticTaxYear1/12,MAX(0,HC$68*12)/EntryCapRate*EffTaxRateOnValue/12))</f>
        <v/>
      </c>
      <c r="HD69" s="218">
        <f>IF(208&lt;StabMonth,0,IF(TaxMethodValue&gt;=1,StaticTaxYear1/12,MAX(0,HD$68*12)/EntryCapRate*EffTaxRateOnValue/12))</f>
        <v/>
      </c>
      <c r="HE69" s="218">
        <f>IF(209&lt;StabMonth,0,IF(TaxMethodValue&gt;=1,StaticTaxYear1/12,MAX(0,HE$68*12)/EntryCapRate*EffTaxRateOnValue/12))</f>
        <v/>
      </c>
      <c r="HF69" s="218">
        <f>IF(210&lt;StabMonth,0,IF(TaxMethodValue&gt;=1,StaticTaxYear1/12,MAX(0,HF$68*12)/EntryCapRate*EffTaxRateOnValue/12))</f>
        <v/>
      </c>
      <c r="HG69" s="218">
        <f>IF(211&lt;StabMonth,0,IF(TaxMethodValue&gt;=1,StaticTaxYear1/12,MAX(0,HG$68*12)/EntryCapRate*EffTaxRateOnValue/12))</f>
        <v/>
      </c>
      <c r="HH69" s="218">
        <f>IF(212&lt;StabMonth,0,IF(TaxMethodValue&gt;=1,StaticTaxYear1/12,MAX(0,HH$68*12)/EntryCapRate*EffTaxRateOnValue/12))</f>
        <v/>
      </c>
      <c r="HI69" s="218">
        <f>IF(213&lt;StabMonth,0,IF(TaxMethodValue&gt;=1,StaticTaxYear1/12,MAX(0,HI$68*12)/EntryCapRate*EffTaxRateOnValue/12))</f>
        <v/>
      </c>
      <c r="HJ69" s="218">
        <f>IF(214&lt;StabMonth,0,IF(TaxMethodValue&gt;=1,StaticTaxYear1/12,MAX(0,HJ$68*12)/EntryCapRate*EffTaxRateOnValue/12))</f>
        <v/>
      </c>
      <c r="HK69" s="218">
        <f>IF(215&lt;StabMonth,0,IF(TaxMethodValue&gt;=1,StaticTaxYear1/12,MAX(0,HK$68*12)/EntryCapRate*EffTaxRateOnValue/12))</f>
        <v/>
      </c>
      <c r="HL69" s="218">
        <f>IF(216&lt;StabMonth,0,IF(TaxMethodValue&gt;=1,StaticTaxYear1/12,MAX(0,HL$68*12)/EntryCapRate*EffTaxRateOnValue/12))</f>
        <v/>
      </c>
      <c r="HM69" s="218">
        <f>IF(217&lt;StabMonth,0,IF(TaxMethodValue&gt;=1,StaticTaxYear1/12,MAX(0,HM$68*12)/EntryCapRate*EffTaxRateOnValue/12))</f>
        <v/>
      </c>
      <c r="HN69" s="218">
        <f>IF(218&lt;StabMonth,0,IF(TaxMethodValue&gt;=1,StaticTaxYear1/12,MAX(0,HN$68*12)/EntryCapRate*EffTaxRateOnValue/12))</f>
        <v/>
      </c>
      <c r="HO69" s="218">
        <f>IF(219&lt;StabMonth,0,IF(TaxMethodValue&gt;=1,StaticTaxYear1/12,MAX(0,HO$68*12)/EntryCapRate*EffTaxRateOnValue/12))</f>
        <v/>
      </c>
      <c r="HP69" s="218">
        <f>IF(220&lt;StabMonth,0,IF(TaxMethodValue&gt;=1,StaticTaxYear1/12,MAX(0,HP$68*12)/EntryCapRate*EffTaxRateOnValue/12))</f>
        <v/>
      </c>
      <c r="HQ69" s="218">
        <f>IF(221&lt;StabMonth,0,IF(TaxMethodValue&gt;=1,StaticTaxYear1/12,MAX(0,HQ$68*12)/EntryCapRate*EffTaxRateOnValue/12))</f>
        <v/>
      </c>
      <c r="HR69" s="218">
        <f>IF(222&lt;StabMonth,0,IF(TaxMethodValue&gt;=1,StaticTaxYear1/12,MAX(0,HR$68*12)/EntryCapRate*EffTaxRateOnValue/12))</f>
        <v/>
      </c>
      <c r="HS69" s="218">
        <f>IF(223&lt;StabMonth,0,IF(TaxMethodValue&gt;=1,StaticTaxYear1/12,MAX(0,HS$68*12)/EntryCapRate*EffTaxRateOnValue/12))</f>
        <v/>
      </c>
      <c r="HT69" s="218">
        <f>IF(224&lt;StabMonth,0,IF(TaxMethodValue&gt;=1,StaticTaxYear1/12,MAX(0,HT$68*12)/EntryCapRate*EffTaxRateOnValue/12))</f>
        <v/>
      </c>
      <c r="HU69" s="218">
        <f>IF(225&lt;StabMonth,0,IF(TaxMethodValue&gt;=1,StaticTaxYear1/12,MAX(0,HU$68*12)/EntryCapRate*EffTaxRateOnValue/12))</f>
        <v/>
      </c>
      <c r="HV69" s="218">
        <f>IF(226&lt;StabMonth,0,IF(TaxMethodValue&gt;=1,StaticTaxYear1/12,MAX(0,HV$68*12)/EntryCapRate*EffTaxRateOnValue/12))</f>
        <v/>
      </c>
      <c r="HW69" s="218">
        <f>IF(227&lt;StabMonth,0,IF(TaxMethodValue&gt;=1,StaticTaxYear1/12,MAX(0,HW$68*12)/EntryCapRate*EffTaxRateOnValue/12))</f>
        <v/>
      </c>
      <c r="HX69" s="218">
        <f>IF(228&lt;StabMonth,0,IF(TaxMethodValue&gt;=1,StaticTaxYear1/12,MAX(0,HX$68*12)/EntryCapRate*EffTaxRateOnValue/12))</f>
        <v/>
      </c>
      <c r="HY69" s="218">
        <f>IF(229&lt;StabMonth,0,IF(TaxMethodValue&gt;=1,StaticTaxYear1/12,MAX(0,HY$68*12)/EntryCapRate*EffTaxRateOnValue/12))</f>
        <v/>
      </c>
      <c r="HZ69" s="218">
        <f>IF(230&lt;StabMonth,0,IF(TaxMethodValue&gt;=1,StaticTaxYear1/12,MAX(0,HZ$68*12)/EntryCapRate*EffTaxRateOnValue/12))</f>
        <v/>
      </c>
      <c r="IA69" s="218">
        <f>IF(231&lt;StabMonth,0,IF(TaxMethodValue&gt;=1,StaticTaxYear1/12,MAX(0,IA$68*12)/EntryCapRate*EffTaxRateOnValue/12))</f>
        <v/>
      </c>
      <c r="IB69" s="218">
        <f>IF(232&lt;StabMonth,0,IF(TaxMethodValue&gt;=1,StaticTaxYear1/12,MAX(0,IB$68*12)/EntryCapRate*EffTaxRateOnValue/12))</f>
        <v/>
      </c>
      <c r="IC69" s="218">
        <f>IF(233&lt;StabMonth,0,IF(TaxMethodValue&gt;=1,StaticTaxYear1/12,MAX(0,IC$68*12)/EntryCapRate*EffTaxRateOnValue/12))</f>
        <v/>
      </c>
      <c r="ID69" s="218">
        <f>IF(234&lt;StabMonth,0,IF(TaxMethodValue&gt;=1,StaticTaxYear1/12,MAX(0,ID$68*12)/EntryCapRate*EffTaxRateOnValue/12))</f>
        <v/>
      </c>
      <c r="IE69" s="218">
        <f>IF(235&lt;StabMonth,0,IF(TaxMethodValue&gt;=1,StaticTaxYear1/12,MAX(0,IE$68*12)/EntryCapRate*EffTaxRateOnValue/12))</f>
        <v/>
      </c>
      <c r="IF69" s="218">
        <f>IF(236&lt;StabMonth,0,IF(TaxMethodValue&gt;=1,StaticTaxYear1/12,MAX(0,IF$68*12)/EntryCapRate*EffTaxRateOnValue/12))</f>
        <v/>
      </c>
      <c r="IG69" s="218">
        <f>IF(237&lt;StabMonth,0,IF(TaxMethodValue&gt;=1,StaticTaxYear1/12,MAX(0,IG$68*12)/EntryCapRate*EffTaxRateOnValue/12))</f>
        <v/>
      </c>
      <c r="IH69" s="218">
        <f>IF(238&lt;StabMonth,0,IF(TaxMethodValue&gt;=1,StaticTaxYear1/12,MAX(0,IH$68*12)/EntryCapRate*EffTaxRateOnValue/12))</f>
        <v/>
      </c>
      <c r="II69" s="218">
        <f>IF(239&lt;StabMonth,0,IF(TaxMethodValue&gt;=1,StaticTaxYear1/12,MAX(0,II$68*12)/EntryCapRate*EffTaxRateOnValue/12))</f>
        <v/>
      </c>
      <c r="IJ69" s="218">
        <f>IF(240&lt;StabMonth,0,IF(TaxMethodValue&gt;=1,StaticTaxYear1/12,MAX(0,IJ$68*12)/EntryCapRate*EffTaxRateOnValue/12))</f>
        <v/>
      </c>
      <c r="IK69" s="218">
        <f>IF(241&lt;StabMonth,0,IF(TaxMethodValue&gt;=1,StaticTaxYear1/12,MAX(0,IK$68*12)/EntryCapRate*EffTaxRateOnValue/12))</f>
        <v/>
      </c>
      <c r="IL69" s="218">
        <f>IF(242&lt;StabMonth,0,IF(TaxMethodValue&gt;=1,StaticTaxYear1/12,MAX(0,IL$68*12)/EntryCapRate*EffTaxRateOnValue/12))</f>
        <v/>
      </c>
      <c r="IM69" s="218">
        <f>IF(243&lt;StabMonth,0,IF(TaxMethodValue&gt;=1,StaticTaxYear1/12,MAX(0,IM$68*12)/EntryCapRate*EffTaxRateOnValue/12))</f>
        <v/>
      </c>
      <c r="IN69" s="218">
        <f>IF(244&lt;StabMonth,0,IF(TaxMethodValue&gt;=1,StaticTaxYear1/12,MAX(0,IN$68*12)/EntryCapRate*EffTaxRateOnValue/12))</f>
        <v/>
      </c>
      <c r="IO69" s="218">
        <f>IF(245&lt;StabMonth,0,IF(TaxMethodValue&gt;=1,StaticTaxYear1/12,MAX(0,IO$68*12)/EntryCapRate*EffTaxRateOnValue/12))</f>
        <v/>
      </c>
      <c r="IP69" s="218">
        <f>IF(246&lt;StabMonth,0,IF(TaxMethodValue&gt;=1,StaticTaxYear1/12,MAX(0,IP$68*12)/EntryCapRate*EffTaxRateOnValue/12))</f>
        <v/>
      </c>
      <c r="IQ69" s="218">
        <f>IF(247&lt;StabMonth,0,IF(TaxMethodValue&gt;=1,StaticTaxYear1/12,MAX(0,IQ$68*12)/EntryCapRate*EffTaxRateOnValue/12))</f>
        <v/>
      </c>
      <c r="IR69" s="218">
        <f>IF(248&lt;StabMonth,0,IF(TaxMethodValue&gt;=1,StaticTaxYear1/12,MAX(0,IR$68*12)/EntryCapRate*EffTaxRateOnValue/12))</f>
        <v/>
      </c>
      <c r="IS69" s="218">
        <f>IF(249&lt;StabMonth,0,IF(TaxMethodValue&gt;=1,StaticTaxYear1/12,MAX(0,IS$68*12)/EntryCapRate*EffTaxRateOnValue/12))</f>
        <v/>
      </c>
      <c r="IT69" s="218">
        <f>IF(250&lt;StabMonth,0,IF(TaxMethodValue&gt;=1,StaticTaxYear1/12,MAX(0,IT$68*12)/EntryCapRate*EffTaxRateOnValue/12))</f>
        <v/>
      </c>
      <c r="IU69" s="218">
        <f>IF(251&lt;StabMonth,0,IF(TaxMethodValue&gt;=1,StaticTaxYear1/12,MAX(0,IU$68*12)/EntryCapRate*EffTaxRateOnValue/12))</f>
        <v/>
      </c>
      <c r="IV69" s="218">
        <f>IF(252&lt;StabMonth,0,IF(TaxMethodValue&gt;=1,StaticTaxYear1/12,MAX(0,IV$68*12)/EntryCapRate*EffTaxRateOnValue/12))</f>
        <v/>
      </c>
      <c r="IW69" s="218">
        <f>IF(253&lt;StabMonth,0,IF(TaxMethodValue&gt;=1,StaticTaxYear1/12,MAX(0,IW$68*12)/EntryCapRate*EffTaxRateOnValue/12))</f>
        <v/>
      </c>
      <c r="IX69" s="218">
        <f>IF(254&lt;StabMonth,0,IF(TaxMethodValue&gt;=1,StaticTaxYear1/12,MAX(0,IX$68*12)/EntryCapRate*EffTaxRateOnValue/12))</f>
        <v/>
      </c>
      <c r="IY69" s="218">
        <f>IF(255&lt;StabMonth,0,IF(TaxMethodValue&gt;=1,StaticTaxYear1/12,MAX(0,IY$68*12)/EntryCapRate*EffTaxRateOnValue/12))</f>
        <v/>
      </c>
      <c r="IZ69" s="218">
        <f>IF(256&lt;StabMonth,0,IF(TaxMethodValue&gt;=1,StaticTaxYear1/12,MAX(0,IZ$68*12)/EntryCapRate*EffTaxRateOnValue/12))</f>
        <v/>
      </c>
      <c r="JA69" s="218">
        <f>IF(257&lt;StabMonth,0,IF(TaxMethodValue&gt;=1,StaticTaxYear1/12,MAX(0,JA$68*12)/EntryCapRate*EffTaxRateOnValue/12))</f>
        <v/>
      </c>
      <c r="JB69" s="218">
        <f>IF(258&lt;StabMonth,0,IF(TaxMethodValue&gt;=1,StaticTaxYear1/12,MAX(0,JB$68*12)/EntryCapRate*EffTaxRateOnValue/12))</f>
        <v/>
      </c>
      <c r="JC69" s="218">
        <f>IF(259&lt;StabMonth,0,IF(TaxMethodValue&gt;=1,StaticTaxYear1/12,MAX(0,JC$68*12)/EntryCapRate*EffTaxRateOnValue/12))</f>
        <v/>
      </c>
      <c r="JD69" s="218">
        <f>IF(260&lt;StabMonth,0,IF(TaxMethodValue&gt;=1,StaticTaxYear1/12,MAX(0,JD$68*12)/EntryCapRate*EffTaxRateOnValue/12))</f>
        <v/>
      </c>
      <c r="JE69" s="218">
        <f>IF(261&lt;StabMonth,0,IF(TaxMethodValue&gt;=1,StaticTaxYear1/12,MAX(0,JE$68*12)/EntryCapRate*EffTaxRateOnValue/12))</f>
        <v/>
      </c>
      <c r="JF69" s="218">
        <f>IF(262&lt;StabMonth,0,IF(TaxMethodValue&gt;=1,StaticTaxYear1/12,MAX(0,JF$68*12)/EntryCapRate*EffTaxRateOnValue/12))</f>
        <v/>
      </c>
      <c r="JG69" s="218">
        <f>IF(263&lt;StabMonth,0,IF(TaxMethodValue&gt;=1,StaticTaxYear1/12,MAX(0,JG$68*12)/EntryCapRate*EffTaxRateOnValue/12))</f>
        <v/>
      </c>
      <c r="JH69" s="218">
        <f>IF(264&lt;StabMonth,0,IF(TaxMethodValue&gt;=1,StaticTaxYear1/12,MAX(0,JH$68*12)/EntryCapRate*EffTaxRateOnValue/12))</f>
        <v/>
      </c>
      <c r="JI69" s="218">
        <f>IF(265&lt;StabMonth,0,IF(TaxMethodValue&gt;=1,StaticTaxYear1/12,MAX(0,JI$68*12)/EntryCapRate*EffTaxRateOnValue/12))</f>
        <v/>
      </c>
      <c r="JJ69" s="218">
        <f>IF(266&lt;StabMonth,0,IF(TaxMethodValue&gt;=1,StaticTaxYear1/12,MAX(0,JJ$68*12)/EntryCapRate*EffTaxRateOnValue/12))</f>
        <v/>
      </c>
      <c r="JK69" s="218">
        <f>IF(267&lt;StabMonth,0,IF(TaxMethodValue&gt;=1,StaticTaxYear1/12,MAX(0,JK$68*12)/EntryCapRate*EffTaxRateOnValue/12))</f>
        <v/>
      </c>
      <c r="JL69" s="218">
        <f>IF(268&lt;StabMonth,0,IF(TaxMethodValue&gt;=1,StaticTaxYear1/12,MAX(0,JL$68*12)/EntryCapRate*EffTaxRateOnValue/12))</f>
        <v/>
      </c>
      <c r="JM69" s="218">
        <f>IF(269&lt;StabMonth,0,IF(TaxMethodValue&gt;=1,StaticTaxYear1/12,MAX(0,JM$68*12)/EntryCapRate*EffTaxRateOnValue/12))</f>
        <v/>
      </c>
      <c r="JN69" s="218">
        <f>IF(270&lt;StabMonth,0,IF(TaxMethodValue&gt;=1,StaticTaxYear1/12,MAX(0,JN$68*12)/EntryCapRate*EffTaxRateOnValue/12))</f>
        <v/>
      </c>
      <c r="JO69" s="218">
        <f>IF(271&lt;StabMonth,0,IF(TaxMethodValue&gt;=1,StaticTaxYear1/12,MAX(0,JO$68*12)/EntryCapRate*EffTaxRateOnValue/12))</f>
        <v/>
      </c>
      <c r="JP69" s="218">
        <f>IF(272&lt;StabMonth,0,IF(TaxMethodValue&gt;=1,StaticTaxYear1/12,MAX(0,JP$68*12)/EntryCapRate*EffTaxRateOnValue/12))</f>
        <v/>
      </c>
      <c r="JQ69" s="218">
        <f>IF(273&lt;StabMonth,0,IF(TaxMethodValue&gt;=1,StaticTaxYear1/12,MAX(0,JQ$68*12)/EntryCapRate*EffTaxRateOnValue/12))</f>
        <v/>
      </c>
      <c r="JR69" s="218">
        <f>IF(274&lt;StabMonth,0,IF(TaxMethodValue&gt;=1,StaticTaxYear1/12,MAX(0,JR$68*12)/EntryCapRate*EffTaxRateOnValue/12))</f>
        <v/>
      </c>
      <c r="JS69" s="218">
        <f>IF(275&lt;StabMonth,0,IF(TaxMethodValue&gt;=1,StaticTaxYear1/12,MAX(0,JS$68*12)/EntryCapRate*EffTaxRateOnValue/12))</f>
        <v/>
      </c>
      <c r="JT69" s="218">
        <f>IF(276&lt;StabMonth,0,IF(TaxMethodValue&gt;=1,StaticTaxYear1/12,MAX(0,JT$68*12)/EntryCapRate*EffTaxRateOnValue/12))</f>
        <v/>
      </c>
      <c r="JU69" s="218">
        <f>IF(277&lt;StabMonth,0,IF(TaxMethodValue&gt;=1,StaticTaxYear1/12,MAX(0,JU$68*12)/EntryCapRate*EffTaxRateOnValue/12))</f>
        <v/>
      </c>
      <c r="JV69" s="218">
        <f>IF(278&lt;StabMonth,0,IF(TaxMethodValue&gt;=1,StaticTaxYear1/12,MAX(0,JV$68*12)/EntryCapRate*EffTaxRateOnValue/12))</f>
        <v/>
      </c>
      <c r="JW69" s="218">
        <f>IF(279&lt;StabMonth,0,IF(TaxMethodValue&gt;=1,StaticTaxYear1/12,MAX(0,JW$68*12)/EntryCapRate*EffTaxRateOnValue/12))</f>
        <v/>
      </c>
      <c r="JX69" s="218">
        <f>IF(280&lt;StabMonth,0,IF(TaxMethodValue&gt;=1,StaticTaxYear1/12,MAX(0,JX$68*12)/EntryCapRate*EffTaxRateOnValue/12))</f>
        <v/>
      </c>
      <c r="JY69" s="218">
        <f>IF(281&lt;StabMonth,0,IF(TaxMethodValue&gt;=1,StaticTaxYear1/12,MAX(0,JY$68*12)/EntryCapRate*EffTaxRateOnValue/12))</f>
        <v/>
      </c>
      <c r="JZ69" s="218">
        <f>IF(282&lt;StabMonth,0,IF(TaxMethodValue&gt;=1,StaticTaxYear1/12,MAX(0,JZ$68*12)/EntryCapRate*EffTaxRateOnValue/12))</f>
        <v/>
      </c>
      <c r="KA69" s="218">
        <f>IF(283&lt;StabMonth,0,IF(TaxMethodValue&gt;=1,StaticTaxYear1/12,MAX(0,KA$68*12)/EntryCapRate*EffTaxRateOnValue/12))</f>
        <v/>
      </c>
      <c r="KB69" s="218">
        <f>IF(284&lt;StabMonth,0,IF(TaxMethodValue&gt;=1,StaticTaxYear1/12,MAX(0,KB$68*12)/EntryCapRate*EffTaxRateOnValue/12))</f>
        <v/>
      </c>
      <c r="KC69" s="218">
        <f>IF(285&lt;StabMonth,0,IF(TaxMethodValue&gt;=1,StaticTaxYear1/12,MAX(0,KC$68*12)/EntryCapRate*EffTaxRateOnValue/12))</f>
        <v/>
      </c>
      <c r="KD69" s="218">
        <f>IF(286&lt;StabMonth,0,IF(TaxMethodValue&gt;=1,StaticTaxYear1/12,MAX(0,KD$68*12)/EntryCapRate*EffTaxRateOnValue/12))</f>
        <v/>
      </c>
      <c r="KE69" s="218">
        <f>IF(287&lt;StabMonth,0,IF(TaxMethodValue&gt;=1,StaticTaxYear1/12,MAX(0,KE$68*12)/EntryCapRate*EffTaxRateOnValue/12))</f>
        <v/>
      </c>
      <c r="KF69" s="218">
        <f>IF(288&lt;StabMonth,0,IF(TaxMethodValue&gt;=1,StaticTaxYear1/12,MAX(0,KF$68*12)/EntryCapRate*EffTaxRateOnValue/12))</f>
        <v/>
      </c>
      <c r="KG69" s="218">
        <f>IF(289&lt;StabMonth,0,IF(TaxMethodValue&gt;=1,StaticTaxYear1/12,MAX(0,KG$68*12)/EntryCapRate*EffTaxRateOnValue/12))</f>
        <v/>
      </c>
      <c r="KH69" s="218">
        <f>IF(290&lt;StabMonth,0,IF(TaxMethodValue&gt;=1,StaticTaxYear1/12,MAX(0,KH$68*12)/EntryCapRate*EffTaxRateOnValue/12))</f>
        <v/>
      </c>
      <c r="KI69" s="218">
        <f>IF(291&lt;StabMonth,0,IF(TaxMethodValue&gt;=1,StaticTaxYear1/12,MAX(0,KI$68*12)/EntryCapRate*EffTaxRateOnValue/12))</f>
        <v/>
      </c>
      <c r="KJ69" s="218">
        <f>IF(292&lt;StabMonth,0,IF(TaxMethodValue&gt;=1,StaticTaxYear1/12,MAX(0,KJ$68*12)/EntryCapRate*EffTaxRateOnValue/12))</f>
        <v/>
      </c>
      <c r="KK69" s="218">
        <f>IF(293&lt;StabMonth,0,IF(TaxMethodValue&gt;=1,StaticTaxYear1/12,MAX(0,KK$68*12)/EntryCapRate*EffTaxRateOnValue/12))</f>
        <v/>
      </c>
      <c r="KL69" s="218">
        <f>IF(294&lt;StabMonth,0,IF(TaxMethodValue&gt;=1,StaticTaxYear1/12,MAX(0,KL$68*12)/EntryCapRate*EffTaxRateOnValue/12))</f>
        <v/>
      </c>
      <c r="KM69" s="218">
        <f>IF(295&lt;StabMonth,0,IF(TaxMethodValue&gt;=1,StaticTaxYear1/12,MAX(0,KM$68*12)/EntryCapRate*EffTaxRateOnValue/12))</f>
        <v/>
      </c>
      <c r="KN69" s="218">
        <f>IF(296&lt;StabMonth,0,IF(TaxMethodValue&gt;=1,StaticTaxYear1/12,MAX(0,KN$68*12)/EntryCapRate*EffTaxRateOnValue/12))</f>
        <v/>
      </c>
      <c r="KO69" s="218">
        <f>IF(297&lt;StabMonth,0,IF(TaxMethodValue&gt;=1,StaticTaxYear1/12,MAX(0,KO$68*12)/EntryCapRate*EffTaxRateOnValue/12))</f>
        <v/>
      </c>
      <c r="KP69" s="218">
        <f>IF(298&lt;StabMonth,0,IF(TaxMethodValue&gt;=1,StaticTaxYear1/12,MAX(0,KP$68*12)/EntryCapRate*EffTaxRateOnValue/12))</f>
        <v/>
      </c>
      <c r="KQ69" s="218">
        <f>IF(299&lt;StabMonth,0,IF(TaxMethodValue&gt;=1,StaticTaxYear1/12,MAX(0,KQ$68*12)/EntryCapRate*EffTaxRateOnValue/12))</f>
        <v/>
      </c>
      <c r="KR69" s="218">
        <f>IF(300&lt;StabMonth,0,IF(TaxMethodValue&gt;=1,StaticTaxYear1/12,MAX(0,KR$68*12)/EntryCapRate*EffTaxRateOnValue/12))</f>
        <v/>
      </c>
      <c r="KS69" s="218">
        <f>IF(301&lt;StabMonth,0,IF(TaxMethodValue&gt;=1,StaticTaxYear1/12,MAX(0,KS$68*12)/EntryCapRate*EffTaxRateOnValue/12))</f>
        <v/>
      </c>
      <c r="KT69" s="218">
        <f>IF(302&lt;StabMonth,0,IF(TaxMethodValue&gt;=1,StaticTaxYear1/12,MAX(0,KT$68*12)/EntryCapRate*EffTaxRateOnValue/12))</f>
        <v/>
      </c>
      <c r="KU69" s="218">
        <f>IF(303&lt;StabMonth,0,IF(TaxMethodValue&gt;=1,StaticTaxYear1/12,MAX(0,KU$68*12)/EntryCapRate*EffTaxRateOnValue/12))</f>
        <v/>
      </c>
      <c r="KV69" s="218">
        <f>IF(304&lt;StabMonth,0,IF(TaxMethodValue&gt;=1,StaticTaxYear1/12,MAX(0,KV$68*12)/EntryCapRate*EffTaxRateOnValue/12))</f>
        <v/>
      </c>
      <c r="KW69" s="218">
        <f>IF(305&lt;StabMonth,0,IF(TaxMethodValue&gt;=1,StaticTaxYear1/12,MAX(0,KW$68*12)/EntryCapRate*EffTaxRateOnValue/12))</f>
        <v/>
      </c>
      <c r="KX69" s="218">
        <f>IF(306&lt;StabMonth,0,IF(TaxMethodValue&gt;=1,StaticTaxYear1/12,MAX(0,KX$68*12)/EntryCapRate*EffTaxRateOnValue/12))</f>
        <v/>
      </c>
      <c r="KY69" s="218">
        <f>IF(307&lt;StabMonth,0,IF(TaxMethodValue&gt;=1,StaticTaxYear1/12,MAX(0,KY$68*12)/EntryCapRate*EffTaxRateOnValue/12))</f>
        <v/>
      </c>
      <c r="KZ69" s="218">
        <f>IF(308&lt;StabMonth,0,IF(TaxMethodValue&gt;=1,StaticTaxYear1/12,MAX(0,KZ$68*12)/EntryCapRate*EffTaxRateOnValue/12))</f>
        <v/>
      </c>
      <c r="LA69" s="218">
        <f>IF(309&lt;StabMonth,0,IF(TaxMethodValue&gt;=1,StaticTaxYear1/12,MAX(0,LA$68*12)/EntryCapRate*EffTaxRateOnValue/12))</f>
        <v/>
      </c>
      <c r="LB69" s="218">
        <f>IF(310&lt;StabMonth,0,IF(TaxMethodValue&gt;=1,StaticTaxYear1/12,MAX(0,LB$68*12)/EntryCapRate*EffTaxRateOnValue/12))</f>
        <v/>
      </c>
      <c r="LC69" s="218">
        <f>IF(311&lt;StabMonth,0,IF(TaxMethodValue&gt;=1,StaticTaxYear1/12,MAX(0,LC$68*12)/EntryCapRate*EffTaxRateOnValue/12))</f>
        <v/>
      </c>
      <c r="LD69" s="218">
        <f>IF(312&lt;StabMonth,0,IF(TaxMethodValue&gt;=1,StaticTaxYear1/12,MAX(0,LD$68*12)/EntryCapRate*EffTaxRateOnValue/12))</f>
        <v/>
      </c>
      <c r="LE69" s="218">
        <f>IF(313&lt;StabMonth,0,IF(TaxMethodValue&gt;=1,StaticTaxYear1/12,MAX(0,LE$68*12)/EntryCapRate*EffTaxRateOnValue/12))</f>
        <v/>
      </c>
      <c r="LF69" s="218">
        <f>IF(314&lt;StabMonth,0,IF(TaxMethodValue&gt;=1,StaticTaxYear1/12,MAX(0,LF$68*12)/EntryCapRate*EffTaxRateOnValue/12))</f>
        <v/>
      </c>
      <c r="LG69" s="218">
        <f>IF(315&lt;StabMonth,0,IF(TaxMethodValue&gt;=1,StaticTaxYear1/12,MAX(0,LG$68*12)/EntryCapRate*EffTaxRateOnValue/12))</f>
        <v/>
      </c>
      <c r="LH69" s="218">
        <f>IF(316&lt;StabMonth,0,IF(TaxMethodValue&gt;=1,StaticTaxYear1/12,MAX(0,LH$68*12)/EntryCapRate*EffTaxRateOnValue/12))</f>
        <v/>
      </c>
      <c r="LI69" s="218">
        <f>IF(317&lt;StabMonth,0,IF(TaxMethodValue&gt;=1,StaticTaxYear1/12,MAX(0,LI$68*12)/EntryCapRate*EffTaxRateOnValue/12))</f>
        <v/>
      </c>
      <c r="LJ69" s="218">
        <f>IF(318&lt;StabMonth,0,IF(TaxMethodValue&gt;=1,StaticTaxYear1/12,MAX(0,LJ$68*12)/EntryCapRate*EffTaxRateOnValue/12))</f>
        <v/>
      </c>
      <c r="LK69" s="218">
        <f>IF(319&lt;StabMonth,0,IF(TaxMethodValue&gt;=1,StaticTaxYear1/12,MAX(0,LK$68*12)/EntryCapRate*EffTaxRateOnValue/12))</f>
        <v/>
      </c>
      <c r="LL69" s="218">
        <f>IF(320&lt;StabMonth,0,IF(TaxMethodValue&gt;=1,StaticTaxYear1/12,MAX(0,LL$68*12)/EntryCapRate*EffTaxRateOnValue/12))</f>
        <v/>
      </c>
      <c r="LM69" s="218">
        <f>IF(321&lt;StabMonth,0,IF(TaxMethodValue&gt;=1,StaticTaxYear1/12,MAX(0,LM$68*12)/EntryCapRate*EffTaxRateOnValue/12))</f>
        <v/>
      </c>
      <c r="LN69" s="218">
        <f>IF(322&lt;StabMonth,0,IF(TaxMethodValue&gt;=1,StaticTaxYear1/12,MAX(0,LN$68*12)/EntryCapRate*EffTaxRateOnValue/12))</f>
        <v/>
      </c>
      <c r="LO69" s="218">
        <f>IF(323&lt;StabMonth,0,IF(TaxMethodValue&gt;=1,StaticTaxYear1/12,MAX(0,LO$68*12)/EntryCapRate*EffTaxRateOnValue/12))</f>
        <v/>
      </c>
      <c r="LP69" s="218">
        <f>IF(324&lt;StabMonth,0,IF(TaxMethodValue&gt;=1,StaticTaxYear1/12,MAX(0,LP$68*12)/EntryCapRate*EffTaxRateOnValue/12))</f>
        <v/>
      </c>
      <c r="LQ69" s="218">
        <f>IF(325&lt;StabMonth,0,IF(TaxMethodValue&gt;=1,StaticTaxYear1/12,MAX(0,LQ$68*12)/EntryCapRate*EffTaxRateOnValue/12))</f>
        <v/>
      </c>
      <c r="LR69" s="218">
        <f>IF(326&lt;StabMonth,0,IF(TaxMethodValue&gt;=1,StaticTaxYear1/12,MAX(0,LR$68*12)/EntryCapRate*EffTaxRateOnValue/12))</f>
        <v/>
      </c>
      <c r="LS69" s="218">
        <f>IF(327&lt;StabMonth,0,IF(TaxMethodValue&gt;=1,StaticTaxYear1/12,MAX(0,LS$68*12)/EntryCapRate*EffTaxRateOnValue/12))</f>
        <v/>
      </c>
      <c r="LT69" s="218">
        <f>IF(328&lt;StabMonth,0,IF(TaxMethodValue&gt;=1,StaticTaxYear1/12,MAX(0,LT$68*12)/EntryCapRate*EffTaxRateOnValue/12))</f>
        <v/>
      </c>
      <c r="LU69" s="218">
        <f>IF(329&lt;StabMonth,0,IF(TaxMethodValue&gt;=1,StaticTaxYear1/12,MAX(0,LU$68*12)/EntryCapRate*EffTaxRateOnValue/12))</f>
        <v/>
      </c>
      <c r="LV69" s="218">
        <f>IF(330&lt;StabMonth,0,IF(TaxMethodValue&gt;=1,StaticTaxYear1/12,MAX(0,LV$68*12)/EntryCapRate*EffTaxRateOnValue/12))</f>
        <v/>
      </c>
      <c r="LW69" s="218">
        <f>IF(331&lt;StabMonth,0,IF(TaxMethodValue&gt;=1,StaticTaxYear1/12,MAX(0,LW$68*12)/EntryCapRate*EffTaxRateOnValue/12))</f>
        <v/>
      </c>
      <c r="LX69" s="218">
        <f>IF(332&lt;StabMonth,0,IF(TaxMethodValue&gt;=1,StaticTaxYear1/12,MAX(0,LX$68*12)/EntryCapRate*EffTaxRateOnValue/12))</f>
        <v/>
      </c>
      <c r="LY69" s="218">
        <f>IF(333&lt;StabMonth,0,IF(TaxMethodValue&gt;=1,StaticTaxYear1/12,MAX(0,LY$68*12)/EntryCapRate*EffTaxRateOnValue/12))</f>
        <v/>
      </c>
      <c r="LZ69" s="218">
        <f>IF(334&lt;StabMonth,0,IF(TaxMethodValue&gt;=1,StaticTaxYear1/12,MAX(0,LZ$68*12)/EntryCapRate*EffTaxRateOnValue/12))</f>
        <v/>
      </c>
      <c r="MA69" s="218">
        <f>IF(335&lt;StabMonth,0,IF(TaxMethodValue&gt;=1,StaticTaxYear1/12,MAX(0,MA$68*12)/EntryCapRate*EffTaxRateOnValue/12))</f>
        <v/>
      </c>
      <c r="MB69" s="218">
        <f>IF(336&lt;StabMonth,0,IF(TaxMethodValue&gt;=1,StaticTaxYear1/12,MAX(0,MB$68*12)/EntryCapRate*EffTaxRateOnValue/12))</f>
        <v/>
      </c>
      <c r="MC69" s="218">
        <f>IF(337&lt;StabMonth,0,IF(TaxMethodValue&gt;=1,StaticTaxYear1/12,MAX(0,MC$68*12)/EntryCapRate*EffTaxRateOnValue/12))</f>
        <v/>
      </c>
      <c r="MD69" s="218">
        <f>IF(338&lt;StabMonth,0,IF(TaxMethodValue&gt;=1,StaticTaxYear1/12,MAX(0,MD$68*12)/EntryCapRate*EffTaxRateOnValue/12))</f>
        <v/>
      </c>
      <c r="ME69" s="218">
        <f>IF(339&lt;StabMonth,0,IF(TaxMethodValue&gt;=1,StaticTaxYear1/12,MAX(0,ME$68*12)/EntryCapRate*EffTaxRateOnValue/12))</f>
        <v/>
      </c>
      <c r="MF69" s="218">
        <f>IF(340&lt;StabMonth,0,IF(TaxMethodValue&gt;=1,StaticTaxYear1/12,MAX(0,MF$68*12)/EntryCapRate*EffTaxRateOnValue/12))</f>
        <v/>
      </c>
      <c r="MG69" s="218">
        <f>IF(341&lt;StabMonth,0,IF(TaxMethodValue&gt;=1,StaticTaxYear1/12,MAX(0,MG$68*12)/EntryCapRate*EffTaxRateOnValue/12))</f>
        <v/>
      </c>
      <c r="MH69" s="218">
        <f>IF(342&lt;StabMonth,0,IF(TaxMethodValue&gt;=1,StaticTaxYear1/12,MAX(0,MH$68*12)/EntryCapRate*EffTaxRateOnValue/12))</f>
        <v/>
      </c>
      <c r="MI69" s="218">
        <f>IF(343&lt;StabMonth,0,IF(TaxMethodValue&gt;=1,StaticTaxYear1/12,MAX(0,MI$68*12)/EntryCapRate*EffTaxRateOnValue/12))</f>
        <v/>
      </c>
      <c r="MJ69" s="218">
        <f>IF(344&lt;StabMonth,0,IF(TaxMethodValue&gt;=1,StaticTaxYear1/12,MAX(0,MJ$68*12)/EntryCapRate*EffTaxRateOnValue/12))</f>
        <v/>
      </c>
      <c r="MK69" s="218">
        <f>IF(345&lt;StabMonth,0,IF(TaxMethodValue&gt;=1,StaticTaxYear1/12,MAX(0,MK$68*12)/EntryCapRate*EffTaxRateOnValue/12))</f>
        <v/>
      </c>
      <c r="ML69" s="218">
        <f>IF(346&lt;StabMonth,0,IF(TaxMethodValue&gt;=1,StaticTaxYear1/12,MAX(0,ML$68*12)/EntryCapRate*EffTaxRateOnValue/12))</f>
        <v/>
      </c>
      <c r="MM69" s="218">
        <f>IF(347&lt;StabMonth,0,IF(TaxMethodValue&gt;=1,StaticTaxYear1/12,MAX(0,MM$68*12)/EntryCapRate*EffTaxRateOnValue/12))</f>
        <v/>
      </c>
      <c r="MN69" s="218">
        <f>IF(348&lt;StabMonth,0,IF(TaxMethodValue&gt;=1,StaticTaxYear1/12,MAX(0,MN$68*12)/EntryCapRate*EffTaxRateOnValue/12))</f>
        <v/>
      </c>
      <c r="MO69" s="218">
        <f>IF(349&lt;StabMonth,0,IF(TaxMethodValue&gt;=1,StaticTaxYear1/12,MAX(0,MO$68*12)/EntryCapRate*EffTaxRateOnValue/12))</f>
        <v/>
      </c>
      <c r="MP69" s="218">
        <f>IF(350&lt;StabMonth,0,IF(TaxMethodValue&gt;=1,StaticTaxYear1/12,MAX(0,MP$68*12)/EntryCapRate*EffTaxRateOnValue/12))</f>
        <v/>
      </c>
      <c r="MQ69" s="218">
        <f>IF(351&lt;StabMonth,0,IF(TaxMethodValue&gt;=1,StaticTaxYear1/12,MAX(0,MQ$68*12)/EntryCapRate*EffTaxRateOnValue/12))</f>
        <v/>
      </c>
      <c r="MR69" s="218">
        <f>IF(352&lt;StabMonth,0,IF(TaxMethodValue&gt;=1,StaticTaxYear1/12,MAX(0,MR$68*12)/EntryCapRate*EffTaxRateOnValue/12))</f>
        <v/>
      </c>
      <c r="MS69" s="218">
        <f>IF(353&lt;StabMonth,0,IF(TaxMethodValue&gt;=1,StaticTaxYear1/12,MAX(0,MS$68*12)/EntryCapRate*EffTaxRateOnValue/12))</f>
        <v/>
      </c>
      <c r="MT69" s="218">
        <f>IF(354&lt;StabMonth,0,IF(TaxMethodValue&gt;=1,StaticTaxYear1/12,MAX(0,MT$68*12)/EntryCapRate*EffTaxRateOnValue/12))</f>
        <v/>
      </c>
      <c r="MU69" s="218">
        <f>IF(355&lt;StabMonth,0,IF(TaxMethodValue&gt;=1,StaticTaxYear1/12,MAX(0,MU$68*12)/EntryCapRate*EffTaxRateOnValue/12))</f>
        <v/>
      </c>
      <c r="MV69" s="218">
        <f>IF(356&lt;StabMonth,0,IF(TaxMethodValue&gt;=1,StaticTaxYear1/12,MAX(0,MV$68*12)/EntryCapRate*EffTaxRateOnValue/12))</f>
        <v/>
      </c>
      <c r="MW69" s="218">
        <f>IF(357&lt;StabMonth,0,IF(TaxMethodValue&gt;=1,StaticTaxYear1/12,MAX(0,MW$68*12)/EntryCapRate*EffTaxRateOnValue/12))</f>
        <v/>
      </c>
      <c r="MX69" s="218">
        <f>IF(358&lt;StabMonth,0,IF(TaxMethodValue&gt;=1,StaticTaxYear1/12,MAX(0,MX$68*12)/EntryCapRate*EffTaxRateOnValue/12))</f>
        <v/>
      </c>
      <c r="MY69" s="218">
        <f>IF(359&lt;StabMonth,0,IF(TaxMethodValue&gt;=1,StaticTaxYear1/12,MAX(0,MY$68*12)/EntryCapRate*EffTaxRateOnValue/12))</f>
        <v/>
      </c>
      <c r="MZ69" s="218">
        <f>IF(360&lt;StabMonth,0,IF(TaxMethodValue&gt;=1,StaticTaxYear1/12,MAX(0,MZ$68*12)/EntryCapRate*EffTaxRateOnValue/12))</f>
        <v/>
      </c>
      <c r="NA69" s="218">
        <f>IF(361&lt;StabMonth,0,IF(TaxMethodValue&gt;=1,StaticTaxYear1/12,MAX(0,NA$68*12)/EntryCapRate*EffTaxRateOnValue/12))</f>
        <v/>
      </c>
      <c r="NB69" s="218">
        <f>IF(362&lt;StabMonth,0,IF(TaxMethodValue&gt;=1,StaticTaxYear1/12,MAX(0,NB$68*12)/EntryCapRate*EffTaxRateOnValue/12))</f>
        <v/>
      </c>
      <c r="NC69" s="218">
        <f>IF(363&lt;StabMonth,0,IF(TaxMethodValue&gt;=1,StaticTaxYear1/12,MAX(0,NC$68*12)/EntryCapRate*EffTaxRateOnValue/12))</f>
        <v/>
      </c>
      <c r="ND69" s="218">
        <f>IF(364&lt;StabMonth,0,IF(TaxMethodValue&gt;=1,StaticTaxYear1/12,MAX(0,ND$68*12)/EntryCapRate*EffTaxRateOnValue/12))</f>
        <v/>
      </c>
      <c r="NE69" s="218">
        <f>IF(365&lt;StabMonth,0,IF(TaxMethodValue&gt;=1,StaticTaxYear1/12,MAX(0,NE$68*12)/EntryCapRate*EffTaxRateOnValue/12))</f>
        <v/>
      </c>
      <c r="NF69" s="218">
        <f>IF(366&lt;StabMonth,0,IF(TaxMethodValue&gt;=1,StaticTaxYear1/12,MAX(0,NF$68*12)/EntryCapRate*EffTaxRateOnValue/12))</f>
        <v/>
      </c>
      <c r="NG69" s="218">
        <f>IF(367&lt;StabMonth,0,IF(TaxMethodValue&gt;=1,StaticTaxYear1/12,MAX(0,NG$68*12)/EntryCapRate*EffTaxRateOnValue/12))</f>
        <v/>
      </c>
      <c r="NH69" s="218">
        <f>IF(368&lt;StabMonth,0,IF(TaxMethodValue&gt;=1,StaticTaxYear1/12,MAX(0,NH$68*12)/EntryCapRate*EffTaxRateOnValue/12))</f>
        <v/>
      </c>
      <c r="NI69" s="218">
        <f>IF(369&lt;StabMonth,0,IF(TaxMethodValue&gt;=1,StaticTaxYear1/12,MAX(0,NI$68*12)/EntryCapRate*EffTaxRateOnValue/12))</f>
        <v/>
      </c>
      <c r="NJ69" s="218">
        <f>IF(370&lt;StabMonth,0,IF(TaxMethodValue&gt;=1,StaticTaxYear1/12,MAX(0,NJ$68*12)/EntryCapRate*EffTaxRateOnValue/12))</f>
        <v/>
      </c>
      <c r="NK69" s="218">
        <f>IF(371&lt;StabMonth,0,IF(TaxMethodValue&gt;=1,StaticTaxYear1/12,MAX(0,NK$68*12)/EntryCapRate*EffTaxRateOnValue/12))</f>
        <v/>
      </c>
      <c r="NL69" s="218">
        <f>IF(372&lt;StabMonth,0,IF(TaxMethodValue&gt;=1,StaticTaxYear1/12,MAX(0,NL$68*12)/EntryCapRate*EffTaxRateOnValue/12))</f>
        <v/>
      </c>
    </row>
    <row r="70">
      <c r="B70" s="84" t="inlineStr">
        <is>
          <t>Static NOI</t>
        </is>
      </c>
      <c r="D70" s="266">
        <f>SUM(E70:NL70)</f>
        <v/>
      </c>
      <c r="E70" s="218">
        <f>E$68-E$69</f>
        <v/>
      </c>
      <c r="F70" s="218">
        <f>F$68-F$69</f>
        <v/>
      </c>
      <c r="G70" s="218">
        <f>G$68-G$69</f>
        <v/>
      </c>
      <c r="H70" s="218">
        <f>H$68-H$69</f>
        <v/>
      </c>
      <c r="I70" s="218">
        <f>I$68-I$69</f>
        <v/>
      </c>
      <c r="J70" s="218">
        <f>J$68-J$69</f>
        <v/>
      </c>
      <c r="K70" s="218">
        <f>K$68-K$69</f>
        <v/>
      </c>
      <c r="L70" s="218">
        <f>L$68-L$69</f>
        <v/>
      </c>
      <c r="M70" s="218">
        <f>M$68-M$69</f>
        <v/>
      </c>
      <c r="N70" s="218">
        <f>N$68-N$69</f>
        <v/>
      </c>
      <c r="O70" s="218">
        <f>O$68-O$69</f>
        <v/>
      </c>
      <c r="P70" s="218">
        <f>P$68-P$69</f>
        <v/>
      </c>
      <c r="Q70" s="218">
        <f>Q$68-Q$69</f>
        <v/>
      </c>
      <c r="R70" s="218">
        <f>R$68-R$69</f>
        <v/>
      </c>
      <c r="S70" s="218">
        <f>S$68-S$69</f>
        <v/>
      </c>
      <c r="T70" s="218">
        <f>T$68-T$69</f>
        <v/>
      </c>
      <c r="U70" s="218">
        <f>U$68-U$69</f>
        <v/>
      </c>
      <c r="V70" s="218">
        <f>V$68-V$69</f>
        <v/>
      </c>
      <c r="W70" s="218">
        <f>W$68-W$69</f>
        <v/>
      </c>
      <c r="X70" s="218">
        <f>X$68-X$69</f>
        <v/>
      </c>
      <c r="Y70" s="218">
        <f>Y$68-Y$69</f>
        <v/>
      </c>
      <c r="Z70" s="218">
        <f>Z$68-Z$69</f>
        <v/>
      </c>
      <c r="AA70" s="218">
        <f>AA$68-AA$69</f>
        <v/>
      </c>
      <c r="AB70" s="218">
        <f>AB$68-AB$69</f>
        <v/>
      </c>
      <c r="AC70" s="218">
        <f>AC$68-AC$69</f>
        <v/>
      </c>
      <c r="AD70" s="218">
        <f>AD$68-AD$69</f>
        <v/>
      </c>
      <c r="AE70" s="218">
        <f>AE$68-AE$69</f>
        <v/>
      </c>
      <c r="AF70" s="218">
        <f>AF$68-AF$69</f>
        <v/>
      </c>
      <c r="AG70" s="218">
        <f>AG$68-AG$69</f>
        <v/>
      </c>
      <c r="AH70" s="218">
        <f>AH$68-AH$69</f>
        <v/>
      </c>
      <c r="AI70" s="218">
        <f>AI$68-AI$69</f>
        <v/>
      </c>
      <c r="AJ70" s="218">
        <f>AJ$68-AJ$69</f>
        <v/>
      </c>
      <c r="AK70" s="218">
        <f>AK$68-AK$69</f>
        <v/>
      </c>
      <c r="AL70" s="218">
        <f>AL$68-AL$69</f>
        <v/>
      </c>
      <c r="AM70" s="218">
        <f>AM$68-AM$69</f>
        <v/>
      </c>
      <c r="AN70" s="218">
        <f>AN$68-AN$69</f>
        <v/>
      </c>
      <c r="AO70" s="218">
        <f>AO$68-AO$69</f>
        <v/>
      </c>
      <c r="AP70" s="218">
        <f>AP$68-AP$69</f>
        <v/>
      </c>
      <c r="AQ70" s="218">
        <f>AQ$68-AQ$69</f>
        <v/>
      </c>
      <c r="AR70" s="218">
        <f>AR$68-AR$69</f>
        <v/>
      </c>
      <c r="AS70" s="218">
        <f>AS$68-AS$69</f>
        <v/>
      </c>
      <c r="AT70" s="218">
        <f>AT$68-AT$69</f>
        <v/>
      </c>
      <c r="AU70" s="218">
        <f>AU$68-AU$69</f>
        <v/>
      </c>
      <c r="AV70" s="218">
        <f>AV$68-AV$69</f>
        <v/>
      </c>
      <c r="AW70" s="218">
        <f>AW$68-AW$69</f>
        <v/>
      </c>
      <c r="AX70" s="218">
        <f>AX$68-AX$69</f>
        <v/>
      </c>
      <c r="AY70" s="218">
        <f>AY$68-AY$69</f>
        <v/>
      </c>
      <c r="AZ70" s="218">
        <f>AZ$68-AZ$69</f>
        <v/>
      </c>
      <c r="BA70" s="218">
        <f>BA$68-BA$69</f>
        <v/>
      </c>
      <c r="BB70" s="218">
        <f>BB$68-BB$69</f>
        <v/>
      </c>
      <c r="BC70" s="218">
        <f>BC$68-BC$69</f>
        <v/>
      </c>
      <c r="BD70" s="218">
        <f>BD$68-BD$69</f>
        <v/>
      </c>
      <c r="BE70" s="218">
        <f>BE$68-BE$69</f>
        <v/>
      </c>
      <c r="BF70" s="218">
        <f>BF$68-BF$69</f>
        <v/>
      </c>
      <c r="BG70" s="218">
        <f>BG$68-BG$69</f>
        <v/>
      </c>
      <c r="BH70" s="218">
        <f>BH$68-BH$69</f>
        <v/>
      </c>
      <c r="BI70" s="218">
        <f>BI$68-BI$69</f>
        <v/>
      </c>
      <c r="BJ70" s="218">
        <f>BJ$68-BJ$69</f>
        <v/>
      </c>
      <c r="BK70" s="218">
        <f>BK$68-BK$69</f>
        <v/>
      </c>
      <c r="BL70" s="218">
        <f>BL$68-BL$69</f>
        <v/>
      </c>
      <c r="BM70" s="218">
        <f>BM$68-BM$69</f>
        <v/>
      </c>
      <c r="BN70" s="218">
        <f>BN$68-BN$69</f>
        <v/>
      </c>
      <c r="BO70" s="218">
        <f>BO$68-BO$69</f>
        <v/>
      </c>
      <c r="BP70" s="218">
        <f>BP$68-BP$69</f>
        <v/>
      </c>
      <c r="BQ70" s="218">
        <f>BQ$68-BQ$69</f>
        <v/>
      </c>
      <c r="BR70" s="218">
        <f>BR$68-BR$69</f>
        <v/>
      </c>
      <c r="BS70" s="218">
        <f>BS$68-BS$69</f>
        <v/>
      </c>
      <c r="BT70" s="218">
        <f>BT$68-BT$69</f>
        <v/>
      </c>
      <c r="BU70" s="218">
        <f>BU$68-BU$69</f>
        <v/>
      </c>
      <c r="BV70" s="218">
        <f>BV$68-BV$69</f>
        <v/>
      </c>
      <c r="BW70" s="218">
        <f>BW$68-BW$69</f>
        <v/>
      </c>
      <c r="BX70" s="218">
        <f>BX$68-BX$69</f>
        <v/>
      </c>
      <c r="BY70" s="218">
        <f>BY$68-BY$69</f>
        <v/>
      </c>
      <c r="BZ70" s="218">
        <f>BZ$68-BZ$69</f>
        <v/>
      </c>
      <c r="CA70" s="218">
        <f>CA$68-CA$69</f>
        <v/>
      </c>
      <c r="CB70" s="218">
        <f>CB$68-CB$69</f>
        <v/>
      </c>
      <c r="CC70" s="218">
        <f>CC$68-CC$69</f>
        <v/>
      </c>
      <c r="CD70" s="218">
        <f>CD$68-CD$69</f>
        <v/>
      </c>
      <c r="CE70" s="218">
        <f>CE$68-CE$69</f>
        <v/>
      </c>
      <c r="CF70" s="218">
        <f>CF$68-CF$69</f>
        <v/>
      </c>
      <c r="CG70" s="218">
        <f>CG$68-CG$69</f>
        <v/>
      </c>
      <c r="CH70" s="218">
        <f>CH$68-CH$69</f>
        <v/>
      </c>
      <c r="CI70" s="218">
        <f>CI$68-CI$69</f>
        <v/>
      </c>
      <c r="CJ70" s="218">
        <f>CJ$68-CJ$69</f>
        <v/>
      </c>
      <c r="CK70" s="218">
        <f>CK$68-CK$69</f>
        <v/>
      </c>
      <c r="CL70" s="218">
        <f>CL$68-CL$69</f>
        <v/>
      </c>
      <c r="CM70" s="218">
        <f>CM$68-CM$69</f>
        <v/>
      </c>
      <c r="CN70" s="218">
        <f>CN$68-CN$69</f>
        <v/>
      </c>
      <c r="CO70" s="218">
        <f>CO$68-CO$69</f>
        <v/>
      </c>
      <c r="CP70" s="218">
        <f>CP$68-CP$69</f>
        <v/>
      </c>
      <c r="CQ70" s="218">
        <f>CQ$68-CQ$69</f>
        <v/>
      </c>
      <c r="CR70" s="218">
        <f>CR$68-CR$69</f>
        <v/>
      </c>
      <c r="CS70" s="218">
        <f>CS$68-CS$69</f>
        <v/>
      </c>
      <c r="CT70" s="218">
        <f>CT$68-CT$69</f>
        <v/>
      </c>
      <c r="CU70" s="218">
        <f>CU$68-CU$69</f>
        <v/>
      </c>
      <c r="CV70" s="218">
        <f>CV$68-CV$69</f>
        <v/>
      </c>
      <c r="CW70" s="218">
        <f>CW$68-CW$69</f>
        <v/>
      </c>
      <c r="CX70" s="218">
        <f>CX$68-CX$69</f>
        <v/>
      </c>
      <c r="CY70" s="218">
        <f>CY$68-CY$69</f>
        <v/>
      </c>
      <c r="CZ70" s="218">
        <f>CZ$68-CZ$69</f>
        <v/>
      </c>
      <c r="DA70" s="218">
        <f>DA$68-DA$69</f>
        <v/>
      </c>
      <c r="DB70" s="218">
        <f>DB$68-DB$69</f>
        <v/>
      </c>
      <c r="DC70" s="218">
        <f>DC$68-DC$69</f>
        <v/>
      </c>
      <c r="DD70" s="218">
        <f>DD$68-DD$69</f>
        <v/>
      </c>
      <c r="DE70" s="218">
        <f>DE$68-DE$69</f>
        <v/>
      </c>
      <c r="DF70" s="218">
        <f>DF$68-DF$69</f>
        <v/>
      </c>
      <c r="DG70" s="218">
        <f>DG$68-DG$69</f>
        <v/>
      </c>
      <c r="DH70" s="218">
        <f>DH$68-DH$69</f>
        <v/>
      </c>
      <c r="DI70" s="218">
        <f>DI$68-DI$69</f>
        <v/>
      </c>
      <c r="DJ70" s="218">
        <f>DJ$68-DJ$69</f>
        <v/>
      </c>
      <c r="DK70" s="218">
        <f>DK$68-DK$69</f>
        <v/>
      </c>
      <c r="DL70" s="218">
        <f>DL$68-DL$69</f>
        <v/>
      </c>
      <c r="DM70" s="218">
        <f>DM$68-DM$69</f>
        <v/>
      </c>
      <c r="DN70" s="218">
        <f>DN$68-DN$69</f>
        <v/>
      </c>
      <c r="DO70" s="218">
        <f>DO$68-DO$69</f>
        <v/>
      </c>
      <c r="DP70" s="218">
        <f>DP$68-DP$69</f>
        <v/>
      </c>
      <c r="DQ70" s="218">
        <f>DQ$68-DQ$69</f>
        <v/>
      </c>
      <c r="DR70" s="218">
        <f>DR$68-DR$69</f>
        <v/>
      </c>
      <c r="DS70" s="218">
        <f>DS$68-DS$69</f>
        <v/>
      </c>
      <c r="DT70" s="218">
        <f>DT$68-DT$69</f>
        <v/>
      </c>
      <c r="DU70" s="218">
        <f>DU$68-DU$69</f>
        <v/>
      </c>
      <c r="DV70" s="218">
        <f>DV$68-DV$69</f>
        <v/>
      </c>
      <c r="DW70" s="218">
        <f>DW$68-DW$69</f>
        <v/>
      </c>
      <c r="DX70" s="218">
        <f>DX$68-DX$69</f>
        <v/>
      </c>
      <c r="DY70" s="218">
        <f>DY$68-DY$69</f>
        <v/>
      </c>
      <c r="DZ70" s="218">
        <f>DZ$68-DZ$69</f>
        <v/>
      </c>
      <c r="EA70" s="218">
        <f>EA$68-EA$69</f>
        <v/>
      </c>
      <c r="EB70" s="218">
        <f>EB$68-EB$69</f>
        <v/>
      </c>
      <c r="EC70" s="218">
        <f>EC$68-EC$69</f>
        <v/>
      </c>
      <c r="ED70" s="218">
        <f>ED$68-ED$69</f>
        <v/>
      </c>
      <c r="EE70" s="218">
        <f>EE$68-EE$69</f>
        <v/>
      </c>
      <c r="EF70" s="218">
        <f>EF$68-EF$69</f>
        <v/>
      </c>
      <c r="EG70" s="218">
        <f>EG$68-EG$69</f>
        <v/>
      </c>
      <c r="EH70" s="218">
        <f>EH$68-EH$69</f>
        <v/>
      </c>
      <c r="EI70" s="218">
        <f>EI$68-EI$69</f>
        <v/>
      </c>
      <c r="EJ70" s="218">
        <f>EJ$68-EJ$69</f>
        <v/>
      </c>
      <c r="EK70" s="218">
        <f>EK$68-EK$69</f>
        <v/>
      </c>
      <c r="EL70" s="218">
        <f>EL$68-EL$69</f>
        <v/>
      </c>
      <c r="EM70" s="218">
        <f>EM$68-EM$69</f>
        <v/>
      </c>
      <c r="EN70" s="218">
        <f>EN$68-EN$69</f>
        <v/>
      </c>
      <c r="EO70" s="218">
        <f>EO$68-EO$69</f>
        <v/>
      </c>
      <c r="EP70" s="218">
        <f>EP$68-EP$69</f>
        <v/>
      </c>
      <c r="EQ70" s="218">
        <f>EQ$68-EQ$69</f>
        <v/>
      </c>
      <c r="ER70" s="218">
        <f>ER$68-ER$69</f>
        <v/>
      </c>
      <c r="ES70" s="218">
        <f>ES$68-ES$69</f>
        <v/>
      </c>
      <c r="ET70" s="218">
        <f>ET$68-ET$69</f>
        <v/>
      </c>
      <c r="EU70" s="218">
        <f>EU$68-EU$69</f>
        <v/>
      </c>
      <c r="EV70" s="218">
        <f>EV$68-EV$69</f>
        <v/>
      </c>
      <c r="EW70" s="218">
        <f>EW$68-EW$69</f>
        <v/>
      </c>
      <c r="EX70" s="218">
        <f>EX$68-EX$69</f>
        <v/>
      </c>
      <c r="EY70" s="218">
        <f>EY$68-EY$69</f>
        <v/>
      </c>
      <c r="EZ70" s="218">
        <f>EZ$68-EZ$69</f>
        <v/>
      </c>
      <c r="FA70" s="218">
        <f>FA$68-FA$69</f>
        <v/>
      </c>
      <c r="FB70" s="218">
        <f>FB$68-FB$69</f>
        <v/>
      </c>
      <c r="FC70" s="218">
        <f>FC$68-FC$69</f>
        <v/>
      </c>
      <c r="FD70" s="218">
        <f>FD$68-FD$69</f>
        <v/>
      </c>
      <c r="FE70" s="218">
        <f>FE$68-FE$69</f>
        <v/>
      </c>
      <c r="FF70" s="218">
        <f>FF$68-FF$69</f>
        <v/>
      </c>
      <c r="FG70" s="218">
        <f>FG$68-FG$69</f>
        <v/>
      </c>
      <c r="FH70" s="218">
        <f>FH$68-FH$69</f>
        <v/>
      </c>
      <c r="FI70" s="218">
        <f>FI$68-FI$69</f>
        <v/>
      </c>
      <c r="FJ70" s="218">
        <f>FJ$68-FJ$69</f>
        <v/>
      </c>
      <c r="FK70" s="218">
        <f>FK$68-FK$69</f>
        <v/>
      </c>
      <c r="FL70" s="218">
        <f>FL$68-FL$69</f>
        <v/>
      </c>
      <c r="FM70" s="218">
        <f>FM$68-FM$69</f>
        <v/>
      </c>
      <c r="FN70" s="218">
        <f>FN$68-FN$69</f>
        <v/>
      </c>
      <c r="FO70" s="218">
        <f>FO$68-FO$69</f>
        <v/>
      </c>
      <c r="FP70" s="218">
        <f>FP$68-FP$69</f>
        <v/>
      </c>
      <c r="FQ70" s="218">
        <f>FQ$68-FQ$69</f>
        <v/>
      </c>
      <c r="FR70" s="218">
        <f>FR$68-FR$69</f>
        <v/>
      </c>
      <c r="FS70" s="218">
        <f>FS$68-FS$69</f>
        <v/>
      </c>
      <c r="FT70" s="218">
        <f>FT$68-FT$69</f>
        <v/>
      </c>
      <c r="FU70" s="218">
        <f>FU$68-FU$69</f>
        <v/>
      </c>
      <c r="FV70" s="218">
        <f>FV$68-FV$69</f>
        <v/>
      </c>
      <c r="FW70" s="218">
        <f>FW$68-FW$69</f>
        <v/>
      </c>
      <c r="FX70" s="218">
        <f>FX$68-FX$69</f>
        <v/>
      </c>
      <c r="FY70" s="218">
        <f>FY$68-FY$69</f>
        <v/>
      </c>
      <c r="FZ70" s="218">
        <f>FZ$68-FZ$69</f>
        <v/>
      </c>
      <c r="GA70" s="218">
        <f>GA$68-GA$69</f>
        <v/>
      </c>
      <c r="GB70" s="218">
        <f>GB$68-GB$69</f>
        <v/>
      </c>
      <c r="GC70" s="218">
        <f>GC$68-GC$69</f>
        <v/>
      </c>
      <c r="GD70" s="218">
        <f>GD$68-GD$69</f>
        <v/>
      </c>
      <c r="GE70" s="218">
        <f>GE$68-GE$69</f>
        <v/>
      </c>
      <c r="GF70" s="218">
        <f>GF$68-GF$69</f>
        <v/>
      </c>
      <c r="GG70" s="218">
        <f>GG$68-GG$69</f>
        <v/>
      </c>
      <c r="GH70" s="218">
        <f>GH$68-GH$69</f>
        <v/>
      </c>
      <c r="GI70" s="218">
        <f>GI$68-GI$69</f>
        <v/>
      </c>
      <c r="GJ70" s="218">
        <f>GJ$68-GJ$69</f>
        <v/>
      </c>
      <c r="GK70" s="218">
        <f>GK$68-GK$69</f>
        <v/>
      </c>
      <c r="GL70" s="218">
        <f>GL$68-GL$69</f>
        <v/>
      </c>
      <c r="GM70" s="218">
        <f>GM$68-GM$69</f>
        <v/>
      </c>
      <c r="GN70" s="218">
        <f>GN$68-GN$69</f>
        <v/>
      </c>
      <c r="GO70" s="218">
        <f>GO$68-GO$69</f>
        <v/>
      </c>
      <c r="GP70" s="218">
        <f>GP$68-GP$69</f>
        <v/>
      </c>
      <c r="GQ70" s="218">
        <f>GQ$68-GQ$69</f>
        <v/>
      </c>
      <c r="GR70" s="218">
        <f>GR$68-GR$69</f>
        <v/>
      </c>
      <c r="GS70" s="218">
        <f>GS$68-GS$69</f>
        <v/>
      </c>
      <c r="GT70" s="218">
        <f>GT$68-GT$69</f>
        <v/>
      </c>
      <c r="GU70" s="218">
        <f>GU$68-GU$69</f>
        <v/>
      </c>
      <c r="GV70" s="218">
        <f>GV$68-GV$69</f>
        <v/>
      </c>
      <c r="GW70" s="218">
        <f>GW$68-GW$69</f>
        <v/>
      </c>
      <c r="GX70" s="218">
        <f>GX$68-GX$69</f>
        <v/>
      </c>
      <c r="GY70" s="218">
        <f>GY$68-GY$69</f>
        <v/>
      </c>
      <c r="GZ70" s="218">
        <f>GZ$68-GZ$69</f>
        <v/>
      </c>
      <c r="HA70" s="218">
        <f>HA$68-HA$69</f>
        <v/>
      </c>
      <c r="HB70" s="218">
        <f>HB$68-HB$69</f>
        <v/>
      </c>
      <c r="HC70" s="218">
        <f>HC$68-HC$69</f>
        <v/>
      </c>
      <c r="HD70" s="218">
        <f>HD$68-HD$69</f>
        <v/>
      </c>
      <c r="HE70" s="218">
        <f>HE$68-HE$69</f>
        <v/>
      </c>
      <c r="HF70" s="218">
        <f>HF$68-HF$69</f>
        <v/>
      </c>
      <c r="HG70" s="218">
        <f>HG$68-HG$69</f>
        <v/>
      </c>
      <c r="HH70" s="218">
        <f>HH$68-HH$69</f>
        <v/>
      </c>
      <c r="HI70" s="218">
        <f>HI$68-HI$69</f>
        <v/>
      </c>
      <c r="HJ70" s="218">
        <f>HJ$68-HJ$69</f>
        <v/>
      </c>
      <c r="HK70" s="218">
        <f>HK$68-HK$69</f>
        <v/>
      </c>
      <c r="HL70" s="218">
        <f>HL$68-HL$69</f>
        <v/>
      </c>
      <c r="HM70" s="218">
        <f>HM$68-HM$69</f>
        <v/>
      </c>
      <c r="HN70" s="218">
        <f>HN$68-HN$69</f>
        <v/>
      </c>
      <c r="HO70" s="218">
        <f>HO$68-HO$69</f>
        <v/>
      </c>
      <c r="HP70" s="218">
        <f>HP$68-HP$69</f>
        <v/>
      </c>
      <c r="HQ70" s="218">
        <f>HQ$68-HQ$69</f>
        <v/>
      </c>
      <c r="HR70" s="218">
        <f>HR$68-HR$69</f>
        <v/>
      </c>
      <c r="HS70" s="218">
        <f>HS$68-HS$69</f>
        <v/>
      </c>
      <c r="HT70" s="218">
        <f>HT$68-HT$69</f>
        <v/>
      </c>
      <c r="HU70" s="218">
        <f>HU$68-HU$69</f>
        <v/>
      </c>
      <c r="HV70" s="218">
        <f>HV$68-HV$69</f>
        <v/>
      </c>
      <c r="HW70" s="218">
        <f>HW$68-HW$69</f>
        <v/>
      </c>
      <c r="HX70" s="218">
        <f>HX$68-HX$69</f>
        <v/>
      </c>
      <c r="HY70" s="218">
        <f>HY$68-HY$69</f>
        <v/>
      </c>
      <c r="HZ70" s="218">
        <f>HZ$68-HZ$69</f>
        <v/>
      </c>
      <c r="IA70" s="218">
        <f>IA$68-IA$69</f>
        <v/>
      </c>
      <c r="IB70" s="218">
        <f>IB$68-IB$69</f>
        <v/>
      </c>
      <c r="IC70" s="218">
        <f>IC$68-IC$69</f>
        <v/>
      </c>
      <c r="ID70" s="218">
        <f>ID$68-ID$69</f>
        <v/>
      </c>
      <c r="IE70" s="218">
        <f>IE$68-IE$69</f>
        <v/>
      </c>
      <c r="IF70" s="218">
        <f>IF$68-IF$69</f>
        <v/>
      </c>
      <c r="IG70" s="218">
        <f>IG$68-IG$69</f>
        <v/>
      </c>
      <c r="IH70" s="218">
        <f>IH$68-IH$69</f>
        <v/>
      </c>
      <c r="II70" s="218">
        <f>II$68-II$69</f>
        <v/>
      </c>
      <c r="IJ70" s="218">
        <f>IJ$68-IJ$69</f>
        <v/>
      </c>
      <c r="IK70" s="218">
        <f>IK$68-IK$69</f>
        <v/>
      </c>
      <c r="IL70" s="218">
        <f>IL$68-IL$69</f>
        <v/>
      </c>
      <c r="IM70" s="218">
        <f>IM$68-IM$69</f>
        <v/>
      </c>
      <c r="IN70" s="218">
        <f>IN$68-IN$69</f>
        <v/>
      </c>
      <c r="IO70" s="218">
        <f>IO$68-IO$69</f>
        <v/>
      </c>
      <c r="IP70" s="218">
        <f>IP$68-IP$69</f>
        <v/>
      </c>
      <c r="IQ70" s="218">
        <f>IQ$68-IQ$69</f>
        <v/>
      </c>
      <c r="IR70" s="218">
        <f>IR$68-IR$69</f>
        <v/>
      </c>
      <c r="IS70" s="218">
        <f>IS$68-IS$69</f>
        <v/>
      </c>
      <c r="IT70" s="218">
        <f>IT$68-IT$69</f>
        <v/>
      </c>
      <c r="IU70" s="218">
        <f>IU$68-IU$69</f>
        <v/>
      </c>
      <c r="IV70" s="218">
        <f>IV$68-IV$69</f>
        <v/>
      </c>
      <c r="IW70" s="218">
        <f>IW$68-IW$69</f>
        <v/>
      </c>
      <c r="IX70" s="218">
        <f>IX$68-IX$69</f>
        <v/>
      </c>
      <c r="IY70" s="218">
        <f>IY$68-IY$69</f>
        <v/>
      </c>
      <c r="IZ70" s="218">
        <f>IZ$68-IZ$69</f>
        <v/>
      </c>
      <c r="JA70" s="218">
        <f>JA$68-JA$69</f>
        <v/>
      </c>
      <c r="JB70" s="218">
        <f>JB$68-JB$69</f>
        <v/>
      </c>
      <c r="JC70" s="218">
        <f>JC$68-JC$69</f>
        <v/>
      </c>
      <c r="JD70" s="218">
        <f>JD$68-JD$69</f>
        <v/>
      </c>
      <c r="JE70" s="218">
        <f>JE$68-JE$69</f>
        <v/>
      </c>
      <c r="JF70" s="218">
        <f>JF$68-JF$69</f>
        <v/>
      </c>
      <c r="JG70" s="218">
        <f>JG$68-JG$69</f>
        <v/>
      </c>
      <c r="JH70" s="218">
        <f>JH$68-JH$69</f>
        <v/>
      </c>
      <c r="JI70" s="218">
        <f>JI$68-JI$69</f>
        <v/>
      </c>
      <c r="JJ70" s="218">
        <f>JJ$68-JJ$69</f>
        <v/>
      </c>
      <c r="JK70" s="218">
        <f>JK$68-JK$69</f>
        <v/>
      </c>
      <c r="JL70" s="218">
        <f>JL$68-JL$69</f>
        <v/>
      </c>
      <c r="JM70" s="218">
        <f>JM$68-JM$69</f>
        <v/>
      </c>
      <c r="JN70" s="218">
        <f>JN$68-JN$69</f>
        <v/>
      </c>
      <c r="JO70" s="218">
        <f>JO$68-JO$69</f>
        <v/>
      </c>
      <c r="JP70" s="218">
        <f>JP$68-JP$69</f>
        <v/>
      </c>
      <c r="JQ70" s="218">
        <f>JQ$68-JQ$69</f>
        <v/>
      </c>
      <c r="JR70" s="218">
        <f>JR$68-JR$69</f>
        <v/>
      </c>
      <c r="JS70" s="218">
        <f>JS$68-JS$69</f>
        <v/>
      </c>
      <c r="JT70" s="218">
        <f>JT$68-JT$69</f>
        <v/>
      </c>
      <c r="JU70" s="218">
        <f>JU$68-JU$69</f>
        <v/>
      </c>
      <c r="JV70" s="218">
        <f>JV$68-JV$69</f>
        <v/>
      </c>
      <c r="JW70" s="218">
        <f>JW$68-JW$69</f>
        <v/>
      </c>
      <c r="JX70" s="218">
        <f>JX$68-JX$69</f>
        <v/>
      </c>
      <c r="JY70" s="218">
        <f>JY$68-JY$69</f>
        <v/>
      </c>
      <c r="JZ70" s="218">
        <f>JZ$68-JZ$69</f>
        <v/>
      </c>
      <c r="KA70" s="218">
        <f>KA$68-KA$69</f>
        <v/>
      </c>
      <c r="KB70" s="218">
        <f>KB$68-KB$69</f>
        <v/>
      </c>
      <c r="KC70" s="218">
        <f>KC$68-KC$69</f>
        <v/>
      </c>
      <c r="KD70" s="218">
        <f>KD$68-KD$69</f>
        <v/>
      </c>
      <c r="KE70" s="218">
        <f>KE$68-KE$69</f>
        <v/>
      </c>
      <c r="KF70" s="218">
        <f>KF$68-KF$69</f>
        <v/>
      </c>
      <c r="KG70" s="218">
        <f>KG$68-KG$69</f>
        <v/>
      </c>
      <c r="KH70" s="218">
        <f>KH$68-KH$69</f>
        <v/>
      </c>
      <c r="KI70" s="218">
        <f>KI$68-KI$69</f>
        <v/>
      </c>
      <c r="KJ70" s="218">
        <f>KJ$68-KJ$69</f>
        <v/>
      </c>
      <c r="KK70" s="218">
        <f>KK$68-KK$69</f>
        <v/>
      </c>
      <c r="KL70" s="218">
        <f>KL$68-KL$69</f>
        <v/>
      </c>
      <c r="KM70" s="218">
        <f>KM$68-KM$69</f>
        <v/>
      </c>
      <c r="KN70" s="218">
        <f>KN$68-KN$69</f>
        <v/>
      </c>
      <c r="KO70" s="218">
        <f>KO$68-KO$69</f>
        <v/>
      </c>
      <c r="KP70" s="218">
        <f>KP$68-KP$69</f>
        <v/>
      </c>
      <c r="KQ70" s="218">
        <f>KQ$68-KQ$69</f>
        <v/>
      </c>
      <c r="KR70" s="218">
        <f>KR$68-KR$69</f>
        <v/>
      </c>
      <c r="KS70" s="218">
        <f>KS$68-KS$69</f>
        <v/>
      </c>
      <c r="KT70" s="218">
        <f>KT$68-KT$69</f>
        <v/>
      </c>
      <c r="KU70" s="218">
        <f>KU$68-KU$69</f>
        <v/>
      </c>
      <c r="KV70" s="218">
        <f>KV$68-KV$69</f>
        <v/>
      </c>
      <c r="KW70" s="218">
        <f>KW$68-KW$69</f>
        <v/>
      </c>
      <c r="KX70" s="218">
        <f>KX$68-KX$69</f>
        <v/>
      </c>
      <c r="KY70" s="218">
        <f>KY$68-KY$69</f>
        <v/>
      </c>
      <c r="KZ70" s="218">
        <f>KZ$68-KZ$69</f>
        <v/>
      </c>
      <c r="LA70" s="218">
        <f>LA$68-LA$69</f>
        <v/>
      </c>
      <c r="LB70" s="218">
        <f>LB$68-LB$69</f>
        <v/>
      </c>
      <c r="LC70" s="218">
        <f>LC$68-LC$69</f>
        <v/>
      </c>
      <c r="LD70" s="218">
        <f>LD$68-LD$69</f>
        <v/>
      </c>
      <c r="LE70" s="218">
        <f>LE$68-LE$69</f>
        <v/>
      </c>
      <c r="LF70" s="218">
        <f>LF$68-LF$69</f>
        <v/>
      </c>
      <c r="LG70" s="218">
        <f>LG$68-LG$69</f>
        <v/>
      </c>
      <c r="LH70" s="218">
        <f>LH$68-LH$69</f>
        <v/>
      </c>
      <c r="LI70" s="218">
        <f>LI$68-LI$69</f>
        <v/>
      </c>
      <c r="LJ70" s="218">
        <f>LJ$68-LJ$69</f>
        <v/>
      </c>
      <c r="LK70" s="218">
        <f>LK$68-LK$69</f>
        <v/>
      </c>
      <c r="LL70" s="218">
        <f>LL$68-LL$69</f>
        <v/>
      </c>
      <c r="LM70" s="218">
        <f>LM$68-LM$69</f>
        <v/>
      </c>
      <c r="LN70" s="218">
        <f>LN$68-LN$69</f>
        <v/>
      </c>
      <c r="LO70" s="218">
        <f>LO$68-LO$69</f>
        <v/>
      </c>
      <c r="LP70" s="218">
        <f>LP$68-LP$69</f>
        <v/>
      </c>
      <c r="LQ70" s="218">
        <f>LQ$68-LQ$69</f>
        <v/>
      </c>
      <c r="LR70" s="218">
        <f>LR$68-LR$69</f>
        <v/>
      </c>
      <c r="LS70" s="218">
        <f>LS$68-LS$69</f>
        <v/>
      </c>
      <c r="LT70" s="218">
        <f>LT$68-LT$69</f>
        <v/>
      </c>
      <c r="LU70" s="218">
        <f>LU$68-LU$69</f>
        <v/>
      </c>
      <c r="LV70" s="218">
        <f>LV$68-LV$69</f>
        <v/>
      </c>
      <c r="LW70" s="218">
        <f>LW$68-LW$69</f>
        <v/>
      </c>
      <c r="LX70" s="218">
        <f>LX$68-LX$69</f>
        <v/>
      </c>
      <c r="LY70" s="218">
        <f>LY$68-LY$69</f>
        <v/>
      </c>
      <c r="LZ70" s="218">
        <f>LZ$68-LZ$69</f>
        <v/>
      </c>
      <c r="MA70" s="218">
        <f>MA$68-MA$69</f>
        <v/>
      </c>
      <c r="MB70" s="218">
        <f>MB$68-MB$69</f>
        <v/>
      </c>
      <c r="MC70" s="218">
        <f>MC$68-MC$69</f>
        <v/>
      </c>
      <c r="MD70" s="218">
        <f>MD$68-MD$69</f>
        <v/>
      </c>
      <c r="ME70" s="218">
        <f>ME$68-ME$69</f>
        <v/>
      </c>
      <c r="MF70" s="218">
        <f>MF$68-MF$69</f>
        <v/>
      </c>
      <c r="MG70" s="218">
        <f>MG$68-MG$69</f>
        <v/>
      </c>
      <c r="MH70" s="218">
        <f>MH$68-MH$69</f>
        <v/>
      </c>
      <c r="MI70" s="218">
        <f>MI$68-MI$69</f>
        <v/>
      </c>
      <c r="MJ70" s="218">
        <f>MJ$68-MJ$69</f>
        <v/>
      </c>
      <c r="MK70" s="218">
        <f>MK$68-MK$69</f>
        <v/>
      </c>
      <c r="ML70" s="218">
        <f>ML$68-ML$69</f>
        <v/>
      </c>
      <c r="MM70" s="218">
        <f>MM$68-MM$69</f>
        <v/>
      </c>
      <c r="MN70" s="218">
        <f>MN$68-MN$69</f>
        <v/>
      </c>
      <c r="MO70" s="218">
        <f>MO$68-MO$69</f>
        <v/>
      </c>
      <c r="MP70" s="218">
        <f>MP$68-MP$69</f>
        <v/>
      </c>
      <c r="MQ70" s="218">
        <f>MQ$68-MQ$69</f>
        <v/>
      </c>
      <c r="MR70" s="218">
        <f>MR$68-MR$69</f>
        <v/>
      </c>
      <c r="MS70" s="218">
        <f>MS$68-MS$69</f>
        <v/>
      </c>
      <c r="MT70" s="218">
        <f>MT$68-MT$69</f>
        <v/>
      </c>
      <c r="MU70" s="218">
        <f>MU$68-MU$69</f>
        <v/>
      </c>
      <c r="MV70" s="218">
        <f>MV$68-MV$69</f>
        <v/>
      </c>
      <c r="MW70" s="218">
        <f>MW$68-MW$69</f>
        <v/>
      </c>
      <c r="MX70" s="218">
        <f>MX$68-MX$69</f>
        <v/>
      </c>
      <c r="MY70" s="218">
        <f>MY$68-MY$69</f>
        <v/>
      </c>
      <c r="MZ70" s="218">
        <f>MZ$68-MZ$69</f>
        <v/>
      </c>
      <c r="NA70" s="218">
        <f>NA$68-NA$69</f>
        <v/>
      </c>
      <c r="NB70" s="218">
        <f>NB$68-NB$69</f>
        <v/>
      </c>
      <c r="NC70" s="218">
        <f>NC$68-NC$69</f>
        <v/>
      </c>
      <c r="ND70" s="218">
        <f>ND$68-ND$69</f>
        <v/>
      </c>
      <c r="NE70" s="218">
        <f>NE$68-NE$69</f>
        <v/>
      </c>
      <c r="NF70" s="218">
        <f>NF$68-NF$69</f>
        <v/>
      </c>
      <c r="NG70" s="218">
        <f>NG$68-NG$69</f>
        <v/>
      </c>
      <c r="NH70" s="218">
        <f>NH$68-NH$69</f>
        <v/>
      </c>
      <c r="NI70" s="218">
        <f>NI$68-NI$69</f>
        <v/>
      </c>
      <c r="NJ70" s="218">
        <f>NJ$68-NJ$69</f>
        <v/>
      </c>
      <c r="NK70" s="218">
        <f>NK$68-NK$69</f>
        <v/>
      </c>
      <c r="NL70" s="218">
        <f>NL$68-NL$69</f>
        <v/>
      </c>
    </row>
    <row r="71">
      <c r="B71" s="84" t="inlineStr">
        <is>
          <t>Static Below-NOI</t>
        </is>
      </c>
      <c r="D71" s="266">
        <f>SUM(E71:NL71)</f>
        <v/>
      </c>
      <c r="E71" s="218">
        <f>IF(1&gt;=DeliverStart,TotalUnits/12*(CapReservePerUnit+TaxPrepPerUnit)+AssetMgmtFeePct*((BaseMarketRentMo+BaseLowRentMo)*(LeaseUp!E$10-LossToLeasePct-BadDebtPct-ConcessionsPct)+LeaseUp!E$9*(ParkingPerUnitMo+UtilReimbPerUnitMo+OtherIncPerUnitMo)+RetailRentMo*MIN(1,LeaseUp!E$10/StabilizedOccupancy)),0)</f>
        <v/>
      </c>
      <c r="F71" s="218">
        <f>IF(2&gt;=DeliverStart,TotalUnits/12*(CapReservePerUnit+TaxPrepPerUnit)+AssetMgmtFeePct*((BaseMarketRentMo+BaseLowRentMo)*(LeaseUp!F$10-LossToLeasePct-BadDebtPct-ConcessionsPct)+LeaseUp!F$9*(ParkingPerUnitMo+UtilReimbPerUnitMo+OtherIncPerUnitMo)+RetailRentMo*MIN(1,LeaseUp!F$10/StabilizedOccupancy)),0)</f>
        <v/>
      </c>
      <c r="G71" s="218">
        <f>IF(3&gt;=DeliverStart,TotalUnits/12*(CapReservePerUnit+TaxPrepPerUnit)+AssetMgmtFeePct*((BaseMarketRentMo+BaseLowRentMo)*(LeaseUp!G$10-LossToLeasePct-BadDebtPct-ConcessionsPct)+LeaseUp!G$9*(ParkingPerUnitMo+UtilReimbPerUnitMo+OtherIncPerUnitMo)+RetailRentMo*MIN(1,LeaseUp!G$10/StabilizedOccupancy)),0)</f>
        <v/>
      </c>
      <c r="H71" s="218">
        <f>IF(4&gt;=DeliverStart,TotalUnits/12*(CapReservePerUnit+TaxPrepPerUnit)+AssetMgmtFeePct*((BaseMarketRentMo+BaseLowRentMo)*(LeaseUp!H$10-LossToLeasePct-BadDebtPct-ConcessionsPct)+LeaseUp!H$9*(ParkingPerUnitMo+UtilReimbPerUnitMo+OtherIncPerUnitMo)+RetailRentMo*MIN(1,LeaseUp!H$10/StabilizedOccupancy)),0)</f>
        <v/>
      </c>
      <c r="I71" s="218">
        <f>IF(5&gt;=DeliverStart,TotalUnits/12*(CapReservePerUnit+TaxPrepPerUnit)+AssetMgmtFeePct*((BaseMarketRentMo+BaseLowRentMo)*(LeaseUp!I$10-LossToLeasePct-BadDebtPct-ConcessionsPct)+LeaseUp!I$9*(ParkingPerUnitMo+UtilReimbPerUnitMo+OtherIncPerUnitMo)+RetailRentMo*MIN(1,LeaseUp!I$10/StabilizedOccupancy)),0)</f>
        <v/>
      </c>
      <c r="J71" s="218">
        <f>IF(6&gt;=DeliverStart,TotalUnits/12*(CapReservePerUnit+TaxPrepPerUnit)+AssetMgmtFeePct*((BaseMarketRentMo+BaseLowRentMo)*(LeaseUp!J$10-LossToLeasePct-BadDebtPct-ConcessionsPct)+LeaseUp!J$9*(ParkingPerUnitMo+UtilReimbPerUnitMo+OtherIncPerUnitMo)+RetailRentMo*MIN(1,LeaseUp!J$10/StabilizedOccupancy)),0)</f>
        <v/>
      </c>
      <c r="K71" s="218">
        <f>IF(7&gt;=DeliverStart,TotalUnits/12*(CapReservePerUnit+TaxPrepPerUnit)+AssetMgmtFeePct*((BaseMarketRentMo+BaseLowRentMo)*(LeaseUp!K$10-LossToLeasePct-BadDebtPct-ConcessionsPct)+LeaseUp!K$9*(ParkingPerUnitMo+UtilReimbPerUnitMo+OtherIncPerUnitMo)+RetailRentMo*MIN(1,LeaseUp!K$10/StabilizedOccupancy)),0)</f>
        <v/>
      </c>
      <c r="L71" s="218">
        <f>IF(8&gt;=DeliverStart,TotalUnits/12*(CapReservePerUnit+TaxPrepPerUnit)+AssetMgmtFeePct*((BaseMarketRentMo+BaseLowRentMo)*(LeaseUp!L$10-LossToLeasePct-BadDebtPct-ConcessionsPct)+LeaseUp!L$9*(ParkingPerUnitMo+UtilReimbPerUnitMo+OtherIncPerUnitMo)+RetailRentMo*MIN(1,LeaseUp!L$10/StabilizedOccupancy)),0)</f>
        <v/>
      </c>
      <c r="M71" s="218">
        <f>IF(9&gt;=DeliverStart,TotalUnits/12*(CapReservePerUnit+TaxPrepPerUnit)+AssetMgmtFeePct*((BaseMarketRentMo+BaseLowRentMo)*(LeaseUp!M$10-LossToLeasePct-BadDebtPct-ConcessionsPct)+LeaseUp!M$9*(ParkingPerUnitMo+UtilReimbPerUnitMo+OtherIncPerUnitMo)+RetailRentMo*MIN(1,LeaseUp!M$10/StabilizedOccupancy)),0)</f>
        <v/>
      </c>
      <c r="N71" s="218">
        <f>IF(10&gt;=DeliverStart,TotalUnits/12*(CapReservePerUnit+TaxPrepPerUnit)+AssetMgmtFeePct*((BaseMarketRentMo+BaseLowRentMo)*(LeaseUp!N$10-LossToLeasePct-BadDebtPct-ConcessionsPct)+LeaseUp!N$9*(ParkingPerUnitMo+UtilReimbPerUnitMo+OtherIncPerUnitMo)+RetailRentMo*MIN(1,LeaseUp!N$10/StabilizedOccupancy)),0)</f>
        <v/>
      </c>
      <c r="O71" s="218">
        <f>IF(11&gt;=DeliverStart,TotalUnits/12*(CapReservePerUnit+TaxPrepPerUnit)+AssetMgmtFeePct*((BaseMarketRentMo+BaseLowRentMo)*(LeaseUp!O$10-LossToLeasePct-BadDebtPct-ConcessionsPct)+LeaseUp!O$9*(ParkingPerUnitMo+UtilReimbPerUnitMo+OtherIncPerUnitMo)+RetailRentMo*MIN(1,LeaseUp!O$10/StabilizedOccupancy)),0)</f>
        <v/>
      </c>
      <c r="P71" s="218">
        <f>IF(12&gt;=DeliverStart,TotalUnits/12*(CapReservePerUnit+TaxPrepPerUnit)+AssetMgmtFeePct*((BaseMarketRentMo+BaseLowRentMo)*(LeaseUp!P$10-LossToLeasePct-BadDebtPct-ConcessionsPct)+LeaseUp!P$9*(ParkingPerUnitMo+UtilReimbPerUnitMo+OtherIncPerUnitMo)+RetailRentMo*MIN(1,LeaseUp!P$10/StabilizedOccupancy)),0)</f>
        <v/>
      </c>
      <c r="Q71" s="218">
        <f>IF(13&gt;=DeliverStart,TotalUnits/12*(CapReservePerUnit+TaxPrepPerUnit)+AssetMgmtFeePct*((BaseMarketRentMo+BaseLowRentMo)*(LeaseUp!Q$10-LossToLeasePct-BadDebtPct-ConcessionsPct)+LeaseUp!Q$9*(ParkingPerUnitMo+UtilReimbPerUnitMo+OtherIncPerUnitMo)+RetailRentMo*MIN(1,LeaseUp!Q$10/StabilizedOccupancy)),0)</f>
        <v/>
      </c>
      <c r="R71" s="218">
        <f>IF(14&gt;=DeliverStart,TotalUnits/12*(CapReservePerUnit+TaxPrepPerUnit)+AssetMgmtFeePct*((BaseMarketRentMo+BaseLowRentMo)*(LeaseUp!R$10-LossToLeasePct-BadDebtPct-ConcessionsPct)+LeaseUp!R$9*(ParkingPerUnitMo+UtilReimbPerUnitMo+OtherIncPerUnitMo)+RetailRentMo*MIN(1,LeaseUp!R$10/StabilizedOccupancy)),0)</f>
        <v/>
      </c>
      <c r="S71" s="218">
        <f>IF(15&gt;=DeliverStart,TotalUnits/12*(CapReservePerUnit+TaxPrepPerUnit)+AssetMgmtFeePct*((BaseMarketRentMo+BaseLowRentMo)*(LeaseUp!S$10-LossToLeasePct-BadDebtPct-ConcessionsPct)+LeaseUp!S$9*(ParkingPerUnitMo+UtilReimbPerUnitMo+OtherIncPerUnitMo)+RetailRentMo*MIN(1,LeaseUp!S$10/StabilizedOccupancy)),0)</f>
        <v/>
      </c>
      <c r="T71" s="218">
        <f>IF(16&gt;=DeliverStart,TotalUnits/12*(CapReservePerUnit+TaxPrepPerUnit)+AssetMgmtFeePct*((BaseMarketRentMo+BaseLowRentMo)*(LeaseUp!T$10-LossToLeasePct-BadDebtPct-ConcessionsPct)+LeaseUp!T$9*(ParkingPerUnitMo+UtilReimbPerUnitMo+OtherIncPerUnitMo)+RetailRentMo*MIN(1,LeaseUp!T$10/StabilizedOccupancy)),0)</f>
        <v/>
      </c>
      <c r="U71" s="218">
        <f>IF(17&gt;=DeliverStart,TotalUnits/12*(CapReservePerUnit+TaxPrepPerUnit)+AssetMgmtFeePct*((BaseMarketRentMo+BaseLowRentMo)*(LeaseUp!U$10-LossToLeasePct-BadDebtPct-ConcessionsPct)+LeaseUp!U$9*(ParkingPerUnitMo+UtilReimbPerUnitMo+OtherIncPerUnitMo)+RetailRentMo*MIN(1,LeaseUp!U$10/StabilizedOccupancy)),0)</f>
        <v/>
      </c>
      <c r="V71" s="218">
        <f>IF(18&gt;=DeliverStart,TotalUnits/12*(CapReservePerUnit+TaxPrepPerUnit)+AssetMgmtFeePct*((BaseMarketRentMo+BaseLowRentMo)*(LeaseUp!V$10-LossToLeasePct-BadDebtPct-ConcessionsPct)+LeaseUp!V$9*(ParkingPerUnitMo+UtilReimbPerUnitMo+OtherIncPerUnitMo)+RetailRentMo*MIN(1,LeaseUp!V$10/StabilizedOccupancy)),0)</f>
        <v/>
      </c>
      <c r="W71" s="218">
        <f>IF(19&gt;=DeliverStart,TotalUnits/12*(CapReservePerUnit+TaxPrepPerUnit)+AssetMgmtFeePct*((BaseMarketRentMo+BaseLowRentMo)*(LeaseUp!W$10-LossToLeasePct-BadDebtPct-ConcessionsPct)+LeaseUp!W$9*(ParkingPerUnitMo+UtilReimbPerUnitMo+OtherIncPerUnitMo)+RetailRentMo*MIN(1,LeaseUp!W$10/StabilizedOccupancy)),0)</f>
        <v/>
      </c>
      <c r="X71" s="218">
        <f>IF(20&gt;=DeliverStart,TotalUnits/12*(CapReservePerUnit+TaxPrepPerUnit)+AssetMgmtFeePct*((BaseMarketRentMo+BaseLowRentMo)*(LeaseUp!X$10-LossToLeasePct-BadDebtPct-ConcessionsPct)+LeaseUp!X$9*(ParkingPerUnitMo+UtilReimbPerUnitMo+OtherIncPerUnitMo)+RetailRentMo*MIN(1,LeaseUp!X$10/StabilizedOccupancy)),0)</f>
        <v/>
      </c>
      <c r="Y71" s="218">
        <f>IF(21&gt;=DeliverStart,TotalUnits/12*(CapReservePerUnit+TaxPrepPerUnit)+AssetMgmtFeePct*((BaseMarketRentMo+BaseLowRentMo)*(LeaseUp!Y$10-LossToLeasePct-BadDebtPct-ConcessionsPct)+LeaseUp!Y$9*(ParkingPerUnitMo+UtilReimbPerUnitMo+OtherIncPerUnitMo)+RetailRentMo*MIN(1,LeaseUp!Y$10/StabilizedOccupancy)),0)</f>
        <v/>
      </c>
      <c r="Z71" s="218">
        <f>IF(22&gt;=DeliverStart,TotalUnits/12*(CapReservePerUnit+TaxPrepPerUnit)+AssetMgmtFeePct*((BaseMarketRentMo+BaseLowRentMo)*(LeaseUp!Z$10-LossToLeasePct-BadDebtPct-ConcessionsPct)+LeaseUp!Z$9*(ParkingPerUnitMo+UtilReimbPerUnitMo+OtherIncPerUnitMo)+RetailRentMo*MIN(1,LeaseUp!Z$10/StabilizedOccupancy)),0)</f>
        <v/>
      </c>
      <c r="AA71" s="218">
        <f>IF(23&gt;=DeliverStart,TotalUnits/12*(CapReservePerUnit+TaxPrepPerUnit)+AssetMgmtFeePct*((BaseMarketRentMo+BaseLowRentMo)*(LeaseUp!AA$10-LossToLeasePct-BadDebtPct-ConcessionsPct)+LeaseUp!AA$9*(ParkingPerUnitMo+UtilReimbPerUnitMo+OtherIncPerUnitMo)+RetailRentMo*MIN(1,LeaseUp!AA$10/StabilizedOccupancy)),0)</f>
        <v/>
      </c>
      <c r="AB71" s="218">
        <f>IF(24&gt;=DeliverStart,TotalUnits/12*(CapReservePerUnit+TaxPrepPerUnit)+AssetMgmtFeePct*((BaseMarketRentMo+BaseLowRentMo)*(LeaseUp!AB$10-LossToLeasePct-BadDebtPct-ConcessionsPct)+LeaseUp!AB$9*(ParkingPerUnitMo+UtilReimbPerUnitMo+OtherIncPerUnitMo)+RetailRentMo*MIN(1,LeaseUp!AB$10/StabilizedOccupancy)),0)</f>
        <v/>
      </c>
      <c r="AC71" s="218">
        <f>IF(25&gt;=DeliverStart,TotalUnits/12*(CapReservePerUnit+TaxPrepPerUnit)+AssetMgmtFeePct*((BaseMarketRentMo+BaseLowRentMo)*(LeaseUp!AC$10-LossToLeasePct-BadDebtPct-ConcessionsPct)+LeaseUp!AC$9*(ParkingPerUnitMo+UtilReimbPerUnitMo+OtherIncPerUnitMo)+RetailRentMo*MIN(1,LeaseUp!AC$10/StabilizedOccupancy)),0)</f>
        <v/>
      </c>
      <c r="AD71" s="218">
        <f>IF(26&gt;=DeliverStart,TotalUnits/12*(CapReservePerUnit+TaxPrepPerUnit)+AssetMgmtFeePct*((BaseMarketRentMo+BaseLowRentMo)*(LeaseUp!AD$10-LossToLeasePct-BadDebtPct-ConcessionsPct)+LeaseUp!AD$9*(ParkingPerUnitMo+UtilReimbPerUnitMo+OtherIncPerUnitMo)+RetailRentMo*MIN(1,LeaseUp!AD$10/StabilizedOccupancy)),0)</f>
        <v/>
      </c>
      <c r="AE71" s="218">
        <f>IF(27&gt;=DeliverStart,TotalUnits/12*(CapReservePerUnit+TaxPrepPerUnit)+AssetMgmtFeePct*((BaseMarketRentMo+BaseLowRentMo)*(LeaseUp!AE$10-LossToLeasePct-BadDebtPct-ConcessionsPct)+LeaseUp!AE$9*(ParkingPerUnitMo+UtilReimbPerUnitMo+OtherIncPerUnitMo)+RetailRentMo*MIN(1,LeaseUp!AE$10/StabilizedOccupancy)),0)</f>
        <v/>
      </c>
      <c r="AF71" s="218">
        <f>IF(28&gt;=DeliverStart,TotalUnits/12*(CapReservePerUnit+TaxPrepPerUnit)+AssetMgmtFeePct*((BaseMarketRentMo+BaseLowRentMo)*(LeaseUp!AF$10-LossToLeasePct-BadDebtPct-ConcessionsPct)+LeaseUp!AF$9*(ParkingPerUnitMo+UtilReimbPerUnitMo+OtherIncPerUnitMo)+RetailRentMo*MIN(1,LeaseUp!AF$10/StabilizedOccupancy)),0)</f>
        <v/>
      </c>
      <c r="AG71" s="218">
        <f>IF(29&gt;=DeliverStart,TotalUnits/12*(CapReservePerUnit+TaxPrepPerUnit)+AssetMgmtFeePct*((BaseMarketRentMo+BaseLowRentMo)*(LeaseUp!AG$10-LossToLeasePct-BadDebtPct-ConcessionsPct)+LeaseUp!AG$9*(ParkingPerUnitMo+UtilReimbPerUnitMo+OtherIncPerUnitMo)+RetailRentMo*MIN(1,LeaseUp!AG$10/StabilizedOccupancy)),0)</f>
        <v/>
      </c>
      <c r="AH71" s="218">
        <f>IF(30&gt;=DeliverStart,TotalUnits/12*(CapReservePerUnit+TaxPrepPerUnit)+AssetMgmtFeePct*((BaseMarketRentMo+BaseLowRentMo)*(LeaseUp!AH$10-LossToLeasePct-BadDebtPct-ConcessionsPct)+LeaseUp!AH$9*(ParkingPerUnitMo+UtilReimbPerUnitMo+OtherIncPerUnitMo)+RetailRentMo*MIN(1,LeaseUp!AH$10/StabilizedOccupancy)),0)</f>
        <v/>
      </c>
      <c r="AI71" s="218">
        <f>IF(31&gt;=DeliverStart,TotalUnits/12*(CapReservePerUnit+TaxPrepPerUnit)+AssetMgmtFeePct*((BaseMarketRentMo+BaseLowRentMo)*(LeaseUp!AI$10-LossToLeasePct-BadDebtPct-ConcessionsPct)+LeaseUp!AI$9*(ParkingPerUnitMo+UtilReimbPerUnitMo+OtherIncPerUnitMo)+RetailRentMo*MIN(1,LeaseUp!AI$10/StabilizedOccupancy)),0)</f>
        <v/>
      </c>
      <c r="AJ71" s="218">
        <f>IF(32&gt;=DeliverStart,TotalUnits/12*(CapReservePerUnit+TaxPrepPerUnit)+AssetMgmtFeePct*((BaseMarketRentMo+BaseLowRentMo)*(LeaseUp!AJ$10-LossToLeasePct-BadDebtPct-ConcessionsPct)+LeaseUp!AJ$9*(ParkingPerUnitMo+UtilReimbPerUnitMo+OtherIncPerUnitMo)+RetailRentMo*MIN(1,LeaseUp!AJ$10/StabilizedOccupancy)),0)</f>
        <v/>
      </c>
      <c r="AK71" s="218">
        <f>IF(33&gt;=DeliverStart,TotalUnits/12*(CapReservePerUnit+TaxPrepPerUnit)+AssetMgmtFeePct*((BaseMarketRentMo+BaseLowRentMo)*(LeaseUp!AK$10-LossToLeasePct-BadDebtPct-ConcessionsPct)+LeaseUp!AK$9*(ParkingPerUnitMo+UtilReimbPerUnitMo+OtherIncPerUnitMo)+RetailRentMo*MIN(1,LeaseUp!AK$10/StabilizedOccupancy)),0)</f>
        <v/>
      </c>
      <c r="AL71" s="218">
        <f>IF(34&gt;=DeliverStart,TotalUnits/12*(CapReservePerUnit+TaxPrepPerUnit)+AssetMgmtFeePct*((BaseMarketRentMo+BaseLowRentMo)*(LeaseUp!AL$10-LossToLeasePct-BadDebtPct-ConcessionsPct)+LeaseUp!AL$9*(ParkingPerUnitMo+UtilReimbPerUnitMo+OtherIncPerUnitMo)+RetailRentMo*MIN(1,LeaseUp!AL$10/StabilizedOccupancy)),0)</f>
        <v/>
      </c>
      <c r="AM71" s="218">
        <f>IF(35&gt;=DeliverStart,TotalUnits/12*(CapReservePerUnit+TaxPrepPerUnit)+AssetMgmtFeePct*((BaseMarketRentMo+BaseLowRentMo)*(LeaseUp!AM$10-LossToLeasePct-BadDebtPct-ConcessionsPct)+LeaseUp!AM$9*(ParkingPerUnitMo+UtilReimbPerUnitMo+OtherIncPerUnitMo)+RetailRentMo*MIN(1,LeaseUp!AM$10/StabilizedOccupancy)),0)</f>
        <v/>
      </c>
      <c r="AN71" s="218">
        <f>IF(36&gt;=DeliverStart,TotalUnits/12*(CapReservePerUnit+TaxPrepPerUnit)+AssetMgmtFeePct*((BaseMarketRentMo+BaseLowRentMo)*(LeaseUp!AN$10-LossToLeasePct-BadDebtPct-ConcessionsPct)+LeaseUp!AN$9*(ParkingPerUnitMo+UtilReimbPerUnitMo+OtherIncPerUnitMo)+RetailRentMo*MIN(1,LeaseUp!AN$10/StabilizedOccupancy)),0)</f>
        <v/>
      </c>
      <c r="AO71" s="218">
        <f>IF(37&gt;=DeliverStart,TotalUnits/12*(CapReservePerUnit+TaxPrepPerUnit)+AssetMgmtFeePct*((BaseMarketRentMo+BaseLowRentMo)*(LeaseUp!AO$10-LossToLeasePct-BadDebtPct-ConcessionsPct)+LeaseUp!AO$9*(ParkingPerUnitMo+UtilReimbPerUnitMo+OtherIncPerUnitMo)+RetailRentMo*MIN(1,LeaseUp!AO$10/StabilizedOccupancy)),0)</f>
        <v/>
      </c>
      <c r="AP71" s="218">
        <f>IF(38&gt;=DeliverStart,TotalUnits/12*(CapReservePerUnit+TaxPrepPerUnit)+AssetMgmtFeePct*((BaseMarketRentMo+BaseLowRentMo)*(LeaseUp!AP$10-LossToLeasePct-BadDebtPct-ConcessionsPct)+LeaseUp!AP$9*(ParkingPerUnitMo+UtilReimbPerUnitMo+OtherIncPerUnitMo)+RetailRentMo*MIN(1,LeaseUp!AP$10/StabilizedOccupancy)),0)</f>
        <v/>
      </c>
      <c r="AQ71" s="218">
        <f>IF(39&gt;=DeliverStart,TotalUnits/12*(CapReservePerUnit+TaxPrepPerUnit)+AssetMgmtFeePct*((BaseMarketRentMo+BaseLowRentMo)*(LeaseUp!AQ$10-LossToLeasePct-BadDebtPct-ConcessionsPct)+LeaseUp!AQ$9*(ParkingPerUnitMo+UtilReimbPerUnitMo+OtherIncPerUnitMo)+RetailRentMo*MIN(1,LeaseUp!AQ$10/StabilizedOccupancy)),0)</f>
        <v/>
      </c>
      <c r="AR71" s="218">
        <f>IF(40&gt;=DeliverStart,TotalUnits/12*(CapReservePerUnit+TaxPrepPerUnit)+AssetMgmtFeePct*((BaseMarketRentMo+BaseLowRentMo)*(LeaseUp!AR$10-LossToLeasePct-BadDebtPct-ConcessionsPct)+LeaseUp!AR$9*(ParkingPerUnitMo+UtilReimbPerUnitMo+OtherIncPerUnitMo)+RetailRentMo*MIN(1,LeaseUp!AR$10/StabilizedOccupancy)),0)</f>
        <v/>
      </c>
      <c r="AS71" s="218">
        <f>IF(41&gt;=DeliverStart,TotalUnits/12*(CapReservePerUnit+TaxPrepPerUnit)+AssetMgmtFeePct*((BaseMarketRentMo+BaseLowRentMo)*(LeaseUp!AS$10-LossToLeasePct-BadDebtPct-ConcessionsPct)+LeaseUp!AS$9*(ParkingPerUnitMo+UtilReimbPerUnitMo+OtherIncPerUnitMo)+RetailRentMo*MIN(1,LeaseUp!AS$10/StabilizedOccupancy)),0)</f>
        <v/>
      </c>
      <c r="AT71" s="218">
        <f>IF(42&gt;=DeliverStart,TotalUnits/12*(CapReservePerUnit+TaxPrepPerUnit)+AssetMgmtFeePct*((BaseMarketRentMo+BaseLowRentMo)*(LeaseUp!AT$10-LossToLeasePct-BadDebtPct-ConcessionsPct)+LeaseUp!AT$9*(ParkingPerUnitMo+UtilReimbPerUnitMo+OtherIncPerUnitMo)+RetailRentMo*MIN(1,LeaseUp!AT$10/StabilizedOccupancy)),0)</f>
        <v/>
      </c>
      <c r="AU71" s="218">
        <f>IF(43&gt;=DeliverStart,TotalUnits/12*(CapReservePerUnit+TaxPrepPerUnit)+AssetMgmtFeePct*((BaseMarketRentMo+BaseLowRentMo)*(LeaseUp!AU$10-LossToLeasePct-BadDebtPct-ConcessionsPct)+LeaseUp!AU$9*(ParkingPerUnitMo+UtilReimbPerUnitMo+OtherIncPerUnitMo)+RetailRentMo*MIN(1,LeaseUp!AU$10/StabilizedOccupancy)),0)</f>
        <v/>
      </c>
      <c r="AV71" s="218">
        <f>IF(44&gt;=DeliverStart,TotalUnits/12*(CapReservePerUnit+TaxPrepPerUnit)+AssetMgmtFeePct*((BaseMarketRentMo+BaseLowRentMo)*(LeaseUp!AV$10-LossToLeasePct-BadDebtPct-ConcessionsPct)+LeaseUp!AV$9*(ParkingPerUnitMo+UtilReimbPerUnitMo+OtherIncPerUnitMo)+RetailRentMo*MIN(1,LeaseUp!AV$10/StabilizedOccupancy)),0)</f>
        <v/>
      </c>
      <c r="AW71" s="218">
        <f>IF(45&gt;=DeliverStart,TotalUnits/12*(CapReservePerUnit+TaxPrepPerUnit)+AssetMgmtFeePct*((BaseMarketRentMo+BaseLowRentMo)*(LeaseUp!AW$10-LossToLeasePct-BadDebtPct-ConcessionsPct)+LeaseUp!AW$9*(ParkingPerUnitMo+UtilReimbPerUnitMo+OtherIncPerUnitMo)+RetailRentMo*MIN(1,LeaseUp!AW$10/StabilizedOccupancy)),0)</f>
        <v/>
      </c>
      <c r="AX71" s="218">
        <f>IF(46&gt;=DeliverStart,TotalUnits/12*(CapReservePerUnit+TaxPrepPerUnit)+AssetMgmtFeePct*((BaseMarketRentMo+BaseLowRentMo)*(LeaseUp!AX$10-LossToLeasePct-BadDebtPct-ConcessionsPct)+LeaseUp!AX$9*(ParkingPerUnitMo+UtilReimbPerUnitMo+OtherIncPerUnitMo)+RetailRentMo*MIN(1,LeaseUp!AX$10/StabilizedOccupancy)),0)</f>
        <v/>
      </c>
      <c r="AY71" s="218">
        <f>IF(47&gt;=DeliverStart,TotalUnits/12*(CapReservePerUnit+TaxPrepPerUnit)+AssetMgmtFeePct*((BaseMarketRentMo+BaseLowRentMo)*(LeaseUp!AY$10-LossToLeasePct-BadDebtPct-ConcessionsPct)+LeaseUp!AY$9*(ParkingPerUnitMo+UtilReimbPerUnitMo+OtherIncPerUnitMo)+RetailRentMo*MIN(1,LeaseUp!AY$10/StabilizedOccupancy)),0)</f>
        <v/>
      </c>
      <c r="AZ71" s="218">
        <f>IF(48&gt;=DeliverStart,TotalUnits/12*(CapReservePerUnit+TaxPrepPerUnit)+AssetMgmtFeePct*((BaseMarketRentMo+BaseLowRentMo)*(LeaseUp!AZ$10-LossToLeasePct-BadDebtPct-ConcessionsPct)+LeaseUp!AZ$9*(ParkingPerUnitMo+UtilReimbPerUnitMo+OtherIncPerUnitMo)+RetailRentMo*MIN(1,LeaseUp!AZ$10/StabilizedOccupancy)),0)</f>
        <v/>
      </c>
      <c r="BA71" s="218">
        <f>IF(49&gt;=DeliverStart,TotalUnits/12*(CapReservePerUnit+TaxPrepPerUnit)+AssetMgmtFeePct*((BaseMarketRentMo+BaseLowRentMo)*(LeaseUp!BA$10-LossToLeasePct-BadDebtPct-ConcessionsPct)+LeaseUp!BA$9*(ParkingPerUnitMo+UtilReimbPerUnitMo+OtherIncPerUnitMo)+RetailRentMo*MIN(1,LeaseUp!BA$10/StabilizedOccupancy)),0)</f>
        <v/>
      </c>
      <c r="BB71" s="218">
        <f>IF(50&gt;=DeliverStart,TotalUnits/12*(CapReservePerUnit+TaxPrepPerUnit)+AssetMgmtFeePct*((BaseMarketRentMo+BaseLowRentMo)*(LeaseUp!BB$10-LossToLeasePct-BadDebtPct-ConcessionsPct)+LeaseUp!BB$9*(ParkingPerUnitMo+UtilReimbPerUnitMo+OtherIncPerUnitMo)+RetailRentMo*MIN(1,LeaseUp!BB$10/StabilizedOccupancy)),0)</f>
        <v/>
      </c>
      <c r="BC71" s="218">
        <f>IF(51&gt;=DeliverStart,TotalUnits/12*(CapReservePerUnit+TaxPrepPerUnit)+AssetMgmtFeePct*((BaseMarketRentMo+BaseLowRentMo)*(LeaseUp!BC$10-LossToLeasePct-BadDebtPct-ConcessionsPct)+LeaseUp!BC$9*(ParkingPerUnitMo+UtilReimbPerUnitMo+OtherIncPerUnitMo)+RetailRentMo*MIN(1,LeaseUp!BC$10/StabilizedOccupancy)),0)</f>
        <v/>
      </c>
      <c r="BD71" s="218">
        <f>IF(52&gt;=DeliverStart,TotalUnits/12*(CapReservePerUnit+TaxPrepPerUnit)+AssetMgmtFeePct*((BaseMarketRentMo+BaseLowRentMo)*(LeaseUp!BD$10-LossToLeasePct-BadDebtPct-ConcessionsPct)+LeaseUp!BD$9*(ParkingPerUnitMo+UtilReimbPerUnitMo+OtherIncPerUnitMo)+RetailRentMo*MIN(1,LeaseUp!BD$10/StabilizedOccupancy)),0)</f>
        <v/>
      </c>
      <c r="BE71" s="218">
        <f>IF(53&gt;=DeliverStart,TotalUnits/12*(CapReservePerUnit+TaxPrepPerUnit)+AssetMgmtFeePct*((BaseMarketRentMo+BaseLowRentMo)*(LeaseUp!BE$10-LossToLeasePct-BadDebtPct-ConcessionsPct)+LeaseUp!BE$9*(ParkingPerUnitMo+UtilReimbPerUnitMo+OtherIncPerUnitMo)+RetailRentMo*MIN(1,LeaseUp!BE$10/StabilizedOccupancy)),0)</f>
        <v/>
      </c>
      <c r="BF71" s="218">
        <f>IF(54&gt;=DeliverStart,TotalUnits/12*(CapReservePerUnit+TaxPrepPerUnit)+AssetMgmtFeePct*((BaseMarketRentMo+BaseLowRentMo)*(LeaseUp!BF$10-LossToLeasePct-BadDebtPct-ConcessionsPct)+LeaseUp!BF$9*(ParkingPerUnitMo+UtilReimbPerUnitMo+OtherIncPerUnitMo)+RetailRentMo*MIN(1,LeaseUp!BF$10/StabilizedOccupancy)),0)</f>
        <v/>
      </c>
      <c r="BG71" s="218">
        <f>IF(55&gt;=DeliverStart,TotalUnits/12*(CapReservePerUnit+TaxPrepPerUnit)+AssetMgmtFeePct*((BaseMarketRentMo+BaseLowRentMo)*(LeaseUp!BG$10-LossToLeasePct-BadDebtPct-ConcessionsPct)+LeaseUp!BG$9*(ParkingPerUnitMo+UtilReimbPerUnitMo+OtherIncPerUnitMo)+RetailRentMo*MIN(1,LeaseUp!BG$10/StabilizedOccupancy)),0)</f>
        <v/>
      </c>
      <c r="BH71" s="218">
        <f>IF(56&gt;=DeliverStart,TotalUnits/12*(CapReservePerUnit+TaxPrepPerUnit)+AssetMgmtFeePct*((BaseMarketRentMo+BaseLowRentMo)*(LeaseUp!BH$10-LossToLeasePct-BadDebtPct-ConcessionsPct)+LeaseUp!BH$9*(ParkingPerUnitMo+UtilReimbPerUnitMo+OtherIncPerUnitMo)+RetailRentMo*MIN(1,LeaseUp!BH$10/StabilizedOccupancy)),0)</f>
        <v/>
      </c>
      <c r="BI71" s="218">
        <f>IF(57&gt;=DeliverStart,TotalUnits/12*(CapReservePerUnit+TaxPrepPerUnit)+AssetMgmtFeePct*((BaseMarketRentMo+BaseLowRentMo)*(LeaseUp!BI$10-LossToLeasePct-BadDebtPct-ConcessionsPct)+LeaseUp!BI$9*(ParkingPerUnitMo+UtilReimbPerUnitMo+OtherIncPerUnitMo)+RetailRentMo*MIN(1,LeaseUp!BI$10/StabilizedOccupancy)),0)</f>
        <v/>
      </c>
      <c r="BJ71" s="218">
        <f>IF(58&gt;=DeliverStart,TotalUnits/12*(CapReservePerUnit+TaxPrepPerUnit)+AssetMgmtFeePct*((BaseMarketRentMo+BaseLowRentMo)*(LeaseUp!BJ$10-LossToLeasePct-BadDebtPct-ConcessionsPct)+LeaseUp!BJ$9*(ParkingPerUnitMo+UtilReimbPerUnitMo+OtherIncPerUnitMo)+RetailRentMo*MIN(1,LeaseUp!BJ$10/StabilizedOccupancy)),0)</f>
        <v/>
      </c>
      <c r="BK71" s="218">
        <f>IF(59&gt;=DeliverStart,TotalUnits/12*(CapReservePerUnit+TaxPrepPerUnit)+AssetMgmtFeePct*((BaseMarketRentMo+BaseLowRentMo)*(LeaseUp!BK$10-LossToLeasePct-BadDebtPct-ConcessionsPct)+LeaseUp!BK$9*(ParkingPerUnitMo+UtilReimbPerUnitMo+OtherIncPerUnitMo)+RetailRentMo*MIN(1,LeaseUp!BK$10/StabilizedOccupancy)),0)</f>
        <v/>
      </c>
      <c r="BL71" s="218">
        <f>IF(60&gt;=DeliverStart,TotalUnits/12*(CapReservePerUnit+TaxPrepPerUnit)+AssetMgmtFeePct*((BaseMarketRentMo+BaseLowRentMo)*(LeaseUp!BL$10-LossToLeasePct-BadDebtPct-ConcessionsPct)+LeaseUp!BL$9*(ParkingPerUnitMo+UtilReimbPerUnitMo+OtherIncPerUnitMo)+RetailRentMo*MIN(1,LeaseUp!BL$10/StabilizedOccupancy)),0)</f>
        <v/>
      </c>
      <c r="BM71" s="218">
        <f>IF(61&gt;=DeliverStart,TotalUnits/12*(CapReservePerUnit+TaxPrepPerUnit)+AssetMgmtFeePct*((BaseMarketRentMo+BaseLowRentMo)*(LeaseUp!BM$10-LossToLeasePct-BadDebtPct-ConcessionsPct)+LeaseUp!BM$9*(ParkingPerUnitMo+UtilReimbPerUnitMo+OtherIncPerUnitMo)+RetailRentMo*MIN(1,LeaseUp!BM$10/StabilizedOccupancy)),0)</f>
        <v/>
      </c>
      <c r="BN71" s="218">
        <f>IF(62&gt;=DeliverStart,TotalUnits/12*(CapReservePerUnit+TaxPrepPerUnit)+AssetMgmtFeePct*((BaseMarketRentMo+BaseLowRentMo)*(LeaseUp!BN$10-LossToLeasePct-BadDebtPct-ConcessionsPct)+LeaseUp!BN$9*(ParkingPerUnitMo+UtilReimbPerUnitMo+OtherIncPerUnitMo)+RetailRentMo*MIN(1,LeaseUp!BN$10/StabilizedOccupancy)),0)</f>
        <v/>
      </c>
      <c r="BO71" s="218">
        <f>IF(63&gt;=DeliverStart,TotalUnits/12*(CapReservePerUnit+TaxPrepPerUnit)+AssetMgmtFeePct*((BaseMarketRentMo+BaseLowRentMo)*(LeaseUp!BO$10-LossToLeasePct-BadDebtPct-ConcessionsPct)+LeaseUp!BO$9*(ParkingPerUnitMo+UtilReimbPerUnitMo+OtherIncPerUnitMo)+RetailRentMo*MIN(1,LeaseUp!BO$10/StabilizedOccupancy)),0)</f>
        <v/>
      </c>
      <c r="BP71" s="218">
        <f>IF(64&gt;=DeliverStart,TotalUnits/12*(CapReservePerUnit+TaxPrepPerUnit)+AssetMgmtFeePct*((BaseMarketRentMo+BaseLowRentMo)*(LeaseUp!BP$10-LossToLeasePct-BadDebtPct-ConcessionsPct)+LeaseUp!BP$9*(ParkingPerUnitMo+UtilReimbPerUnitMo+OtherIncPerUnitMo)+RetailRentMo*MIN(1,LeaseUp!BP$10/StabilizedOccupancy)),0)</f>
        <v/>
      </c>
      <c r="BQ71" s="218">
        <f>IF(65&gt;=DeliverStart,TotalUnits/12*(CapReservePerUnit+TaxPrepPerUnit)+AssetMgmtFeePct*((BaseMarketRentMo+BaseLowRentMo)*(LeaseUp!BQ$10-LossToLeasePct-BadDebtPct-ConcessionsPct)+LeaseUp!BQ$9*(ParkingPerUnitMo+UtilReimbPerUnitMo+OtherIncPerUnitMo)+RetailRentMo*MIN(1,LeaseUp!BQ$10/StabilizedOccupancy)),0)</f>
        <v/>
      </c>
      <c r="BR71" s="218">
        <f>IF(66&gt;=DeliverStart,TotalUnits/12*(CapReservePerUnit+TaxPrepPerUnit)+AssetMgmtFeePct*((BaseMarketRentMo+BaseLowRentMo)*(LeaseUp!BR$10-LossToLeasePct-BadDebtPct-ConcessionsPct)+LeaseUp!BR$9*(ParkingPerUnitMo+UtilReimbPerUnitMo+OtherIncPerUnitMo)+RetailRentMo*MIN(1,LeaseUp!BR$10/StabilizedOccupancy)),0)</f>
        <v/>
      </c>
      <c r="BS71" s="218">
        <f>IF(67&gt;=DeliverStart,TotalUnits/12*(CapReservePerUnit+TaxPrepPerUnit)+AssetMgmtFeePct*((BaseMarketRentMo+BaseLowRentMo)*(LeaseUp!BS$10-LossToLeasePct-BadDebtPct-ConcessionsPct)+LeaseUp!BS$9*(ParkingPerUnitMo+UtilReimbPerUnitMo+OtherIncPerUnitMo)+RetailRentMo*MIN(1,LeaseUp!BS$10/StabilizedOccupancy)),0)</f>
        <v/>
      </c>
      <c r="BT71" s="218">
        <f>IF(68&gt;=DeliverStart,TotalUnits/12*(CapReservePerUnit+TaxPrepPerUnit)+AssetMgmtFeePct*((BaseMarketRentMo+BaseLowRentMo)*(LeaseUp!BT$10-LossToLeasePct-BadDebtPct-ConcessionsPct)+LeaseUp!BT$9*(ParkingPerUnitMo+UtilReimbPerUnitMo+OtherIncPerUnitMo)+RetailRentMo*MIN(1,LeaseUp!BT$10/StabilizedOccupancy)),0)</f>
        <v/>
      </c>
      <c r="BU71" s="218">
        <f>IF(69&gt;=DeliverStart,TotalUnits/12*(CapReservePerUnit+TaxPrepPerUnit)+AssetMgmtFeePct*((BaseMarketRentMo+BaseLowRentMo)*(LeaseUp!BU$10-LossToLeasePct-BadDebtPct-ConcessionsPct)+LeaseUp!BU$9*(ParkingPerUnitMo+UtilReimbPerUnitMo+OtherIncPerUnitMo)+RetailRentMo*MIN(1,LeaseUp!BU$10/StabilizedOccupancy)),0)</f>
        <v/>
      </c>
      <c r="BV71" s="218">
        <f>IF(70&gt;=DeliverStart,TotalUnits/12*(CapReservePerUnit+TaxPrepPerUnit)+AssetMgmtFeePct*((BaseMarketRentMo+BaseLowRentMo)*(LeaseUp!BV$10-LossToLeasePct-BadDebtPct-ConcessionsPct)+LeaseUp!BV$9*(ParkingPerUnitMo+UtilReimbPerUnitMo+OtherIncPerUnitMo)+RetailRentMo*MIN(1,LeaseUp!BV$10/StabilizedOccupancy)),0)</f>
        <v/>
      </c>
      <c r="BW71" s="218">
        <f>IF(71&gt;=DeliverStart,TotalUnits/12*(CapReservePerUnit+TaxPrepPerUnit)+AssetMgmtFeePct*((BaseMarketRentMo+BaseLowRentMo)*(LeaseUp!BW$10-LossToLeasePct-BadDebtPct-ConcessionsPct)+LeaseUp!BW$9*(ParkingPerUnitMo+UtilReimbPerUnitMo+OtherIncPerUnitMo)+RetailRentMo*MIN(1,LeaseUp!BW$10/StabilizedOccupancy)),0)</f>
        <v/>
      </c>
      <c r="BX71" s="218">
        <f>IF(72&gt;=DeliverStart,TotalUnits/12*(CapReservePerUnit+TaxPrepPerUnit)+AssetMgmtFeePct*((BaseMarketRentMo+BaseLowRentMo)*(LeaseUp!BX$10-LossToLeasePct-BadDebtPct-ConcessionsPct)+LeaseUp!BX$9*(ParkingPerUnitMo+UtilReimbPerUnitMo+OtherIncPerUnitMo)+RetailRentMo*MIN(1,LeaseUp!BX$10/StabilizedOccupancy)),0)</f>
        <v/>
      </c>
      <c r="BY71" s="218">
        <f>IF(73&gt;=DeliverStart,TotalUnits/12*(CapReservePerUnit+TaxPrepPerUnit)+AssetMgmtFeePct*((BaseMarketRentMo+BaseLowRentMo)*(LeaseUp!BY$10-LossToLeasePct-BadDebtPct-ConcessionsPct)+LeaseUp!BY$9*(ParkingPerUnitMo+UtilReimbPerUnitMo+OtherIncPerUnitMo)+RetailRentMo*MIN(1,LeaseUp!BY$10/StabilizedOccupancy)),0)</f>
        <v/>
      </c>
      <c r="BZ71" s="218">
        <f>IF(74&gt;=DeliverStart,TotalUnits/12*(CapReservePerUnit+TaxPrepPerUnit)+AssetMgmtFeePct*((BaseMarketRentMo+BaseLowRentMo)*(LeaseUp!BZ$10-LossToLeasePct-BadDebtPct-ConcessionsPct)+LeaseUp!BZ$9*(ParkingPerUnitMo+UtilReimbPerUnitMo+OtherIncPerUnitMo)+RetailRentMo*MIN(1,LeaseUp!BZ$10/StabilizedOccupancy)),0)</f>
        <v/>
      </c>
      <c r="CA71" s="218">
        <f>IF(75&gt;=DeliverStart,TotalUnits/12*(CapReservePerUnit+TaxPrepPerUnit)+AssetMgmtFeePct*((BaseMarketRentMo+BaseLowRentMo)*(LeaseUp!CA$10-LossToLeasePct-BadDebtPct-ConcessionsPct)+LeaseUp!CA$9*(ParkingPerUnitMo+UtilReimbPerUnitMo+OtherIncPerUnitMo)+RetailRentMo*MIN(1,LeaseUp!CA$10/StabilizedOccupancy)),0)</f>
        <v/>
      </c>
      <c r="CB71" s="218">
        <f>IF(76&gt;=DeliverStart,TotalUnits/12*(CapReservePerUnit+TaxPrepPerUnit)+AssetMgmtFeePct*((BaseMarketRentMo+BaseLowRentMo)*(LeaseUp!CB$10-LossToLeasePct-BadDebtPct-ConcessionsPct)+LeaseUp!CB$9*(ParkingPerUnitMo+UtilReimbPerUnitMo+OtherIncPerUnitMo)+RetailRentMo*MIN(1,LeaseUp!CB$10/StabilizedOccupancy)),0)</f>
        <v/>
      </c>
      <c r="CC71" s="218">
        <f>IF(77&gt;=DeliverStart,TotalUnits/12*(CapReservePerUnit+TaxPrepPerUnit)+AssetMgmtFeePct*((BaseMarketRentMo+BaseLowRentMo)*(LeaseUp!CC$10-LossToLeasePct-BadDebtPct-ConcessionsPct)+LeaseUp!CC$9*(ParkingPerUnitMo+UtilReimbPerUnitMo+OtherIncPerUnitMo)+RetailRentMo*MIN(1,LeaseUp!CC$10/StabilizedOccupancy)),0)</f>
        <v/>
      </c>
      <c r="CD71" s="218">
        <f>IF(78&gt;=DeliverStart,TotalUnits/12*(CapReservePerUnit+TaxPrepPerUnit)+AssetMgmtFeePct*((BaseMarketRentMo+BaseLowRentMo)*(LeaseUp!CD$10-LossToLeasePct-BadDebtPct-ConcessionsPct)+LeaseUp!CD$9*(ParkingPerUnitMo+UtilReimbPerUnitMo+OtherIncPerUnitMo)+RetailRentMo*MIN(1,LeaseUp!CD$10/StabilizedOccupancy)),0)</f>
        <v/>
      </c>
      <c r="CE71" s="218">
        <f>IF(79&gt;=DeliverStart,TotalUnits/12*(CapReservePerUnit+TaxPrepPerUnit)+AssetMgmtFeePct*((BaseMarketRentMo+BaseLowRentMo)*(LeaseUp!CE$10-LossToLeasePct-BadDebtPct-ConcessionsPct)+LeaseUp!CE$9*(ParkingPerUnitMo+UtilReimbPerUnitMo+OtherIncPerUnitMo)+RetailRentMo*MIN(1,LeaseUp!CE$10/StabilizedOccupancy)),0)</f>
        <v/>
      </c>
      <c r="CF71" s="218">
        <f>IF(80&gt;=DeliverStart,TotalUnits/12*(CapReservePerUnit+TaxPrepPerUnit)+AssetMgmtFeePct*((BaseMarketRentMo+BaseLowRentMo)*(LeaseUp!CF$10-LossToLeasePct-BadDebtPct-ConcessionsPct)+LeaseUp!CF$9*(ParkingPerUnitMo+UtilReimbPerUnitMo+OtherIncPerUnitMo)+RetailRentMo*MIN(1,LeaseUp!CF$10/StabilizedOccupancy)),0)</f>
        <v/>
      </c>
      <c r="CG71" s="218">
        <f>IF(81&gt;=DeliverStart,TotalUnits/12*(CapReservePerUnit+TaxPrepPerUnit)+AssetMgmtFeePct*((BaseMarketRentMo+BaseLowRentMo)*(LeaseUp!CG$10-LossToLeasePct-BadDebtPct-ConcessionsPct)+LeaseUp!CG$9*(ParkingPerUnitMo+UtilReimbPerUnitMo+OtherIncPerUnitMo)+RetailRentMo*MIN(1,LeaseUp!CG$10/StabilizedOccupancy)),0)</f>
        <v/>
      </c>
      <c r="CH71" s="218">
        <f>IF(82&gt;=DeliverStart,TotalUnits/12*(CapReservePerUnit+TaxPrepPerUnit)+AssetMgmtFeePct*((BaseMarketRentMo+BaseLowRentMo)*(LeaseUp!CH$10-LossToLeasePct-BadDebtPct-ConcessionsPct)+LeaseUp!CH$9*(ParkingPerUnitMo+UtilReimbPerUnitMo+OtherIncPerUnitMo)+RetailRentMo*MIN(1,LeaseUp!CH$10/StabilizedOccupancy)),0)</f>
        <v/>
      </c>
      <c r="CI71" s="218">
        <f>IF(83&gt;=DeliverStart,TotalUnits/12*(CapReservePerUnit+TaxPrepPerUnit)+AssetMgmtFeePct*((BaseMarketRentMo+BaseLowRentMo)*(LeaseUp!CI$10-LossToLeasePct-BadDebtPct-ConcessionsPct)+LeaseUp!CI$9*(ParkingPerUnitMo+UtilReimbPerUnitMo+OtherIncPerUnitMo)+RetailRentMo*MIN(1,LeaseUp!CI$10/StabilizedOccupancy)),0)</f>
        <v/>
      </c>
      <c r="CJ71" s="218">
        <f>IF(84&gt;=DeliverStart,TotalUnits/12*(CapReservePerUnit+TaxPrepPerUnit)+AssetMgmtFeePct*((BaseMarketRentMo+BaseLowRentMo)*(LeaseUp!CJ$10-LossToLeasePct-BadDebtPct-ConcessionsPct)+LeaseUp!CJ$9*(ParkingPerUnitMo+UtilReimbPerUnitMo+OtherIncPerUnitMo)+RetailRentMo*MIN(1,LeaseUp!CJ$10/StabilizedOccupancy)),0)</f>
        <v/>
      </c>
      <c r="CK71" s="218">
        <f>IF(85&gt;=DeliverStart,TotalUnits/12*(CapReservePerUnit+TaxPrepPerUnit)+AssetMgmtFeePct*((BaseMarketRentMo+BaseLowRentMo)*(LeaseUp!CK$10-LossToLeasePct-BadDebtPct-ConcessionsPct)+LeaseUp!CK$9*(ParkingPerUnitMo+UtilReimbPerUnitMo+OtherIncPerUnitMo)+RetailRentMo*MIN(1,LeaseUp!CK$10/StabilizedOccupancy)),0)</f>
        <v/>
      </c>
      <c r="CL71" s="218">
        <f>IF(86&gt;=DeliverStart,TotalUnits/12*(CapReservePerUnit+TaxPrepPerUnit)+AssetMgmtFeePct*((BaseMarketRentMo+BaseLowRentMo)*(LeaseUp!CL$10-LossToLeasePct-BadDebtPct-ConcessionsPct)+LeaseUp!CL$9*(ParkingPerUnitMo+UtilReimbPerUnitMo+OtherIncPerUnitMo)+RetailRentMo*MIN(1,LeaseUp!CL$10/StabilizedOccupancy)),0)</f>
        <v/>
      </c>
      <c r="CM71" s="218">
        <f>IF(87&gt;=DeliverStart,TotalUnits/12*(CapReservePerUnit+TaxPrepPerUnit)+AssetMgmtFeePct*((BaseMarketRentMo+BaseLowRentMo)*(LeaseUp!CM$10-LossToLeasePct-BadDebtPct-ConcessionsPct)+LeaseUp!CM$9*(ParkingPerUnitMo+UtilReimbPerUnitMo+OtherIncPerUnitMo)+RetailRentMo*MIN(1,LeaseUp!CM$10/StabilizedOccupancy)),0)</f>
        <v/>
      </c>
      <c r="CN71" s="218">
        <f>IF(88&gt;=DeliverStart,TotalUnits/12*(CapReservePerUnit+TaxPrepPerUnit)+AssetMgmtFeePct*((BaseMarketRentMo+BaseLowRentMo)*(LeaseUp!CN$10-LossToLeasePct-BadDebtPct-ConcessionsPct)+LeaseUp!CN$9*(ParkingPerUnitMo+UtilReimbPerUnitMo+OtherIncPerUnitMo)+RetailRentMo*MIN(1,LeaseUp!CN$10/StabilizedOccupancy)),0)</f>
        <v/>
      </c>
      <c r="CO71" s="218">
        <f>IF(89&gt;=DeliverStart,TotalUnits/12*(CapReservePerUnit+TaxPrepPerUnit)+AssetMgmtFeePct*((BaseMarketRentMo+BaseLowRentMo)*(LeaseUp!CO$10-LossToLeasePct-BadDebtPct-ConcessionsPct)+LeaseUp!CO$9*(ParkingPerUnitMo+UtilReimbPerUnitMo+OtherIncPerUnitMo)+RetailRentMo*MIN(1,LeaseUp!CO$10/StabilizedOccupancy)),0)</f>
        <v/>
      </c>
      <c r="CP71" s="218">
        <f>IF(90&gt;=DeliverStart,TotalUnits/12*(CapReservePerUnit+TaxPrepPerUnit)+AssetMgmtFeePct*((BaseMarketRentMo+BaseLowRentMo)*(LeaseUp!CP$10-LossToLeasePct-BadDebtPct-ConcessionsPct)+LeaseUp!CP$9*(ParkingPerUnitMo+UtilReimbPerUnitMo+OtherIncPerUnitMo)+RetailRentMo*MIN(1,LeaseUp!CP$10/StabilizedOccupancy)),0)</f>
        <v/>
      </c>
      <c r="CQ71" s="218">
        <f>IF(91&gt;=DeliverStart,TotalUnits/12*(CapReservePerUnit+TaxPrepPerUnit)+AssetMgmtFeePct*((BaseMarketRentMo+BaseLowRentMo)*(LeaseUp!CQ$10-LossToLeasePct-BadDebtPct-ConcessionsPct)+LeaseUp!CQ$9*(ParkingPerUnitMo+UtilReimbPerUnitMo+OtherIncPerUnitMo)+RetailRentMo*MIN(1,LeaseUp!CQ$10/StabilizedOccupancy)),0)</f>
        <v/>
      </c>
      <c r="CR71" s="218">
        <f>IF(92&gt;=DeliverStart,TotalUnits/12*(CapReservePerUnit+TaxPrepPerUnit)+AssetMgmtFeePct*((BaseMarketRentMo+BaseLowRentMo)*(LeaseUp!CR$10-LossToLeasePct-BadDebtPct-ConcessionsPct)+LeaseUp!CR$9*(ParkingPerUnitMo+UtilReimbPerUnitMo+OtherIncPerUnitMo)+RetailRentMo*MIN(1,LeaseUp!CR$10/StabilizedOccupancy)),0)</f>
        <v/>
      </c>
      <c r="CS71" s="218">
        <f>IF(93&gt;=DeliverStart,TotalUnits/12*(CapReservePerUnit+TaxPrepPerUnit)+AssetMgmtFeePct*((BaseMarketRentMo+BaseLowRentMo)*(LeaseUp!CS$10-LossToLeasePct-BadDebtPct-ConcessionsPct)+LeaseUp!CS$9*(ParkingPerUnitMo+UtilReimbPerUnitMo+OtherIncPerUnitMo)+RetailRentMo*MIN(1,LeaseUp!CS$10/StabilizedOccupancy)),0)</f>
        <v/>
      </c>
      <c r="CT71" s="218">
        <f>IF(94&gt;=DeliverStart,TotalUnits/12*(CapReservePerUnit+TaxPrepPerUnit)+AssetMgmtFeePct*((BaseMarketRentMo+BaseLowRentMo)*(LeaseUp!CT$10-LossToLeasePct-BadDebtPct-ConcessionsPct)+LeaseUp!CT$9*(ParkingPerUnitMo+UtilReimbPerUnitMo+OtherIncPerUnitMo)+RetailRentMo*MIN(1,LeaseUp!CT$10/StabilizedOccupancy)),0)</f>
        <v/>
      </c>
      <c r="CU71" s="218">
        <f>IF(95&gt;=DeliverStart,TotalUnits/12*(CapReservePerUnit+TaxPrepPerUnit)+AssetMgmtFeePct*((BaseMarketRentMo+BaseLowRentMo)*(LeaseUp!CU$10-LossToLeasePct-BadDebtPct-ConcessionsPct)+LeaseUp!CU$9*(ParkingPerUnitMo+UtilReimbPerUnitMo+OtherIncPerUnitMo)+RetailRentMo*MIN(1,LeaseUp!CU$10/StabilizedOccupancy)),0)</f>
        <v/>
      </c>
      <c r="CV71" s="218">
        <f>IF(96&gt;=DeliverStart,TotalUnits/12*(CapReservePerUnit+TaxPrepPerUnit)+AssetMgmtFeePct*((BaseMarketRentMo+BaseLowRentMo)*(LeaseUp!CV$10-LossToLeasePct-BadDebtPct-ConcessionsPct)+LeaseUp!CV$9*(ParkingPerUnitMo+UtilReimbPerUnitMo+OtherIncPerUnitMo)+RetailRentMo*MIN(1,LeaseUp!CV$10/StabilizedOccupancy)),0)</f>
        <v/>
      </c>
      <c r="CW71" s="218">
        <f>IF(97&gt;=DeliverStart,TotalUnits/12*(CapReservePerUnit+TaxPrepPerUnit)+AssetMgmtFeePct*((BaseMarketRentMo+BaseLowRentMo)*(LeaseUp!CW$10-LossToLeasePct-BadDebtPct-ConcessionsPct)+LeaseUp!CW$9*(ParkingPerUnitMo+UtilReimbPerUnitMo+OtherIncPerUnitMo)+RetailRentMo*MIN(1,LeaseUp!CW$10/StabilizedOccupancy)),0)</f>
        <v/>
      </c>
      <c r="CX71" s="218">
        <f>IF(98&gt;=DeliverStart,TotalUnits/12*(CapReservePerUnit+TaxPrepPerUnit)+AssetMgmtFeePct*((BaseMarketRentMo+BaseLowRentMo)*(LeaseUp!CX$10-LossToLeasePct-BadDebtPct-ConcessionsPct)+LeaseUp!CX$9*(ParkingPerUnitMo+UtilReimbPerUnitMo+OtherIncPerUnitMo)+RetailRentMo*MIN(1,LeaseUp!CX$10/StabilizedOccupancy)),0)</f>
        <v/>
      </c>
      <c r="CY71" s="218">
        <f>IF(99&gt;=DeliverStart,TotalUnits/12*(CapReservePerUnit+TaxPrepPerUnit)+AssetMgmtFeePct*((BaseMarketRentMo+BaseLowRentMo)*(LeaseUp!CY$10-LossToLeasePct-BadDebtPct-ConcessionsPct)+LeaseUp!CY$9*(ParkingPerUnitMo+UtilReimbPerUnitMo+OtherIncPerUnitMo)+RetailRentMo*MIN(1,LeaseUp!CY$10/StabilizedOccupancy)),0)</f>
        <v/>
      </c>
      <c r="CZ71" s="218">
        <f>IF(100&gt;=DeliverStart,TotalUnits/12*(CapReservePerUnit+TaxPrepPerUnit)+AssetMgmtFeePct*((BaseMarketRentMo+BaseLowRentMo)*(LeaseUp!CZ$10-LossToLeasePct-BadDebtPct-ConcessionsPct)+LeaseUp!CZ$9*(ParkingPerUnitMo+UtilReimbPerUnitMo+OtherIncPerUnitMo)+RetailRentMo*MIN(1,LeaseUp!CZ$10/StabilizedOccupancy)),0)</f>
        <v/>
      </c>
      <c r="DA71" s="218">
        <f>IF(101&gt;=DeliverStart,TotalUnits/12*(CapReservePerUnit+TaxPrepPerUnit)+AssetMgmtFeePct*((BaseMarketRentMo+BaseLowRentMo)*(LeaseUp!DA$10-LossToLeasePct-BadDebtPct-ConcessionsPct)+LeaseUp!DA$9*(ParkingPerUnitMo+UtilReimbPerUnitMo+OtherIncPerUnitMo)+RetailRentMo*MIN(1,LeaseUp!DA$10/StabilizedOccupancy)),0)</f>
        <v/>
      </c>
      <c r="DB71" s="218">
        <f>IF(102&gt;=DeliverStart,TotalUnits/12*(CapReservePerUnit+TaxPrepPerUnit)+AssetMgmtFeePct*((BaseMarketRentMo+BaseLowRentMo)*(LeaseUp!DB$10-LossToLeasePct-BadDebtPct-ConcessionsPct)+LeaseUp!DB$9*(ParkingPerUnitMo+UtilReimbPerUnitMo+OtherIncPerUnitMo)+RetailRentMo*MIN(1,LeaseUp!DB$10/StabilizedOccupancy)),0)</f>
        <v/>
      </c>
      <c r="DC71" s="218">
        <f>IF(103&gt;=DeliverStart,TotalUnits/12*(CapReservePerUnit+TaxPrepPerUnit)+AssetMgmtFeePct*((BaseMarketRentMo+BaseLowRentMo)*(LeaseUp!DC$10-LossToLeasePct-BadDebtPct-ConcessionsPct)+LeaseUp!DC$9*(ParkingPerUnitMo+UtilReimbPerUnitMo+OtherIncPerUnitMo)+RetailRentMo*MIN(1,LeaseUp!DC$10/StabilizedOccupancy)),0)</f>
        <v/>
      </c>
      <c r="DD71" s="218">
        <f>IF(104&gt;=DeliverStart,TotalUnits/12*(CapReservePerUnit+TaxPrepPerUnit)+AssetMgmtFeePct*((BaseMarketRentMo+BaseLowRentMo)*(LeaseUp!DD$10-LossToLeasePct-BadDebtPct-ConcessionsPct)+LeaseUp!DD$9*(ParkingPerUnitMo+UtilReimbPerUnitMo+OtherIncPerUnitMo)+RetailRentMo*MIN(1,LeaseUp!DD$10/StabilizedOccupancy)),0)</f>
        <v/>
      </c>
      <c r="DE71" s="218">
        <f>IF(105&gt;=DeliverStart,TotalUnits/12*(CapReservePerUnit+TaxPrepPerUnit)+AssetMgmtFeePct*((BaseMarketRentMo+BaseLowRentMo)*(LeaseUp!DE$10-LossToLeasePct-BadDebtPct-ConcessionsPct)+LeaseUp!DE$9*(ParkingPerUnitMo+UtilReimbPerUnitMo+OtherIncPerUnitMo)+RetailRentMo*MIN(1,LeaseUp!DE$10/StabilizedOccupancy)),0)</f>
        <v/>
      </c>
      <c r="DF71" s="218">
        <f>IF(106&gt;=DeliverStart,TotalUnits/12*(CapReservePerUnit+TaxPrepPerUnit)+AssetMgmtFeePct*((BaseMarketRentMo+BaseLowRentMo)*(LeaseUp!DF$10-LossToLeasePct-BadDebtPct-ConcessionsPct)+LeaseUp!DF$9*(ParkingPerUnitMo+UtilReimbPerUnitMo+OtherIncPerUnitMo)+RetailRentMo*MIN(1,LeaseUp!DF$10/StabilizedOccupancy)),0)</f>
        <v/>
      </c>
      <c r="DG71" s="218">
        <f>IF(107&gt;=DeliverStart,TotalUnits/12*(CapReservePerUnit+TaxPrepPerUnit)+AssetMgmtFeePct*((BaseMarketRentMo+BaseLowRentMo)*(LeaseUp!DG$10-LossToLeasePct-BadDebtPct-ConcessionsPct)+LeaseUp!DG$9*(ParkingPerUnitMo+UtilReimbPerUnitMo+OtherIncPerUnitMo)+RetailRentMo*MIN(1,LeaseUp!DG$10/StabilizedOccupancy)),0)</f>
        <v/>
      </c>
      <c r="DH71" s="218">
        <f>IF(108&gt;=DeliverStart,TotalUnits/12*(CapReservePerUnit+TaxPrepPerUnit)+AssetMgmtFeePct*((BaseMarketRentMo+BaseLowRentMo)*(LeaseUp!DH$10-LossToLeasePct-BadDebtPct-ConcessionsPct)+LeaseUp!DH$9*(ParkingPerUnitMo+UtilReimbPerUnitMo+OtherIncPerUnitMo)+RetailRentMo*MIN(1,LeaseUp!DH$10/StabilizedOccupancy)),0)</f>
        <v/>
      </c>
      <c r="DI71" s="218">
        <f>IF(109&gt;=DeliverStart,TotalUnits/12*(CapReservePerUnit+TaxPrepPerUnit)+AssetMgmtFeePct*((BaseMarketRentMo+BaseLowRentMo)*(LeaseUp!DI$10-LossToLeasePct-BadDebtPct-ConcessionsPct)+LeaseUp!DI$9*(ParkingPerUnitMo+UtilReimbPerUnitMo+OtherIncPerUnitMo)+RetailRentMo*MIN(1,LeaseUp!DI$10/StabilizedOccupancy)),0)</f>
        <v/>
      </c>
      <c r="DJ71" s="218">
        <f>IF(110&gt;=DeliverStart,TotalUnits/12*(CapReservePerUnit+TaxPrepPerUnit)+AssetMgmtFeePct*((BaseMarketRentMo+BaseLowRentMo)*(LeaseUp!DJ$10-LossToLeasePct-BadDebtPct-ConcessionsPct)+LeaseUp!DJ$9*(ParkingPerUnitMo+UtilReimbPerUnitMo+OtherIncPerUnitMo)+RetailRentMo*MIN(1,LeaseUp!DJ$10/StabilizedOccupancy)),0)</f>
        <v/>
      </c>
      <c r="DK71" s="218">
        <f>IF(111&gt;=DeliverStart,TotalUnits/12*(CapReservePerUnit+TaxPrepPerUnit)+AssetMgmtFeePct*((BaseMarketRentMo+BaseLowRentMo)*(LeaseUp!DK$10-LossToLeasePct-BadDebtPct-ConcessionsPct)+LeaseUp!DK$9*(ParkingPerUnitMo+UtilReimbPerUnitMo+OtherIncPerUnitMo)+RetailRentMo*MIN(1,LeaseUp!DK$10/StabilizedOccupancy)),0)</f>
        <v/>
      </c>
      <c r="DL71" s="218">
        <f>IF(112&gt;=DeliverStart,TotalUnits/12*(CapReservePerUnit+TaxPrepPerUnit)+AssetMgmtFeePct*((BaseMarketRentMo+BaseLowRentMo)*(LeaseUp!DL$10-LossToLeasePct-BadDebtPct-ConcessionsPct)+LeaseUp!DL$9*(ParkingPerUnitMo+UtilReimbPerUnitMo+OtherIncPerUnitMo)+RetailRentMo*MIN(1,LeaseUp!DL$10/StabilizedOccupancy)),0)</f>
        <v/>
      </c>
      <c r="DM71" s="218">
        <f>IF(113&gt;=DeliverStart,TotalUnits/12*(CapReservePerUnit+TaxPrepPerUnit)+AssetMgmtFeePct*((BaseMarketRentMo+BaseLowRentMo)*(LeaseUp!DM$10-LossToLeasePct-BadDebtPct-ConcessionsPct)+LeaseUp!DM$9*(ParkingPerUnitMo+UtilReimbPerUnitMo+OtherIncPerUnitMo)+RetailRentMo*MIN(1,LeaseUp!DM$10/StabilizedOccupancy)),0)</f>
        <v/>
      </c>
      <c r="DN71" s="218">
        <f>IF(114&gt;=DeliverStart,TotalUnits/12*(CapReservePerUnit+TaxPrepPerUnit)+AssetMgmtFeePct*((BaseMarketRentMo+BaseLowRentMo)*(LeaseUp!DN$10-LossToLeasePct-BadDebtPct-ConcessionsPct)+LeaseUp!DN$9*(ParkingPerUnitMo+UtilReimbPerUnitMo+OtherIncPerUnitMo)+RetailRentMo*MIN(1,LeaseUp!DN$10/StabilizedOccupancy)),0)</f>
        <v/>
      </c>
      <c r="DO71" s="218">
        <f>IF(115&gt;=DeliverStart,TotalUnits/12*(CapReservePerUnit+TaxPrepPerUnit)+AssetMgmtFeePct*((BaseMarketRentMo+BaseLowRentMo)*(LeaseUp!DO$10-LossToLeasePct-BadDebtPct-ConcessionsPct)+LeaseUp!DO$9*(ParkingPerUnitMo+UtilReimbPerUnitMo+OtherIncPerUnitMo)+RetailRentMo*MIN(1,LeaseUp!DO$10/StabilizedOccupancy)),0)</f>
        <v/>
      </c>
      <c r="DP71" s="218">
        <f>IF(116&gt;=DeliverStart,TotalUnits/12*(CapReservePerUnit+TaxPrepPerUnit)+AssetMgmtFeePct*((BaseMarketRentMo+BaseLowRentMo)*(LeaseUp!DP$10-LossToLeasePct-BadDebtPct-ConcessionsPct)+LeaseUp!DP$9*(ParkingPerUnitMo+UtilReimbPerUnitMo+OtherIncPerUnitMo)+RetailRentMo*MIN(1,LeaseUp!DP$10/StabilizedOccupancy)),0)</f>
        <v/>
      </c>
      <c r="DQ71" s="218">
        <f>IF(117&gt;=DeliverStart,TotalUnits/12*(CapReservePerUnit+TaxPrepPerUnit)+AssetMgmtFeePct*((BaseMarketRentMo+BaseLowRentMo)*(LeaseUp!DQ$10-LossToLeasePct-BadDebtPct-ConcessionsPct)+LeaseUp!DQ$9*(ParkingPerUnitMo+UtilReimbPerUnitMo+OtherIncPerUnitMo)+RetailRentMo*MIN(1,LeaseUp!DQ$10/StabilizedOccupancy)),0)</f>
        <v/>
      </c>
      <c r="DR71" s="218">
        <f>IF(118&gt;=DeliverStart,TotalUnits/12*(CapReservePerUnit+TaxPrepPerUnit)+AssetMgmtFeePct*((BaseMarketRentMo+BaseLowRentMo)*(LeaseUp!DR$10-LossToLeasePct-BadDebtPct-ConcessionsPct)+LeaseUp!DR$9*(ParkingPerUnitMo+UtilReimbPerUnitMo+OtherIncPerUnitMo)+RetailRentMo*MIN(1,LeaseUp!DR$10/StabilizedOccupancy)),0)</f>
        <v/>
      </c>
      <c r="DS71" s="218">
        <f>IF(119&gt;=DeliverStart,TotalUnits/12*(CapReservePerUnit+TaxPrepPerUnit)+AssetMgmtFeePct*((BaseMarketRentMo+BaseLowRentMo)*(LeaseUp!DS$10-LossToLeasePct-BadDebtPct-ConcessionsPct)+LeaseUp!DS$9*(ParkingPerUnitMo+UtilReimbPerUnitMo+OtherIncPerUnitMo)+RetailRentMo*MIN(1,LeaseUp!DS$10/StabilizedOccupancy)),0)</f>
        <v/>
      </c>
      <c r="DT71" s="218">
        <f>IF(120&gt;=DeliverStart,TotalUnits/12*(CapReservePerUnit+TaxPrepPerUnit)+AssetMgmtFeePct*((BaseMarketRentMo+BaseLowRentMo)*(LeaseUp!DT$10-LossToLeasePct-BadDebtPct-ConcessionsPct)+LeaseUp!DT$9*(ParkingPerUnitMo+UtilReimbPerUnitMo+OtherIncPerUnitMo)+RetailRentMo*MIN(1,LeaseUp!DT$10/StabilizedOccupancy)),0)</f>
        <v/>
      </c>
      <c r="DU71" s="218">
        <f>IF(121&gt;=DeliverStart,TotalUnits/12*(CapReservePerUnit+TaxPrepPerUnit)+AssetMgmtFeePct*((BaseMarketRentMo+BaseLowRentMo)*(LeaseUp!DU$10-LossToLeasePct-BadDebtPct-ConcessionsPct)+LeaseUp!DU$9*(ParkingPerUnitMo+UtilReimbPerUnitMo+OtherIncPerUnitMo)+RetailRentMo*MIN(1,LeaseUp!DU$10/StabilizedOccupancy)),0)</f>
        <v/>
      </c>
      <c r="DV71" s="218">
        <f>IF(122&gt;=DeliverStart,TotalUnits/12*(CapReservePerUnit+TaxPrepPerUnit)+AssetMgmtFeePct*((BaseMarketRentMo+BaseLowRentMo)*(LeaseUp!DV$10-LossToLeasePct-BadDebtPct-ConcessionsPct)+LeaseUp!DV$9*(ParkingPerUnitMo+UtilReimbPerUnitMo+OtherIncPerUnitMo)+RetailRentMo*MIN(1,LeaseUp!DV$10/StabilizedOccupancy)),0)</f>
        <v/>
      </c>
      <c r="DW71" s="218">
        <f>IF(123&gt;=DeliverStart,TotalUnits/12*(CapReservePerUnit+TaxPrepPerUnit)+AssetMgmtFeePct*((BaseMarketRentMo+BaseLowRentMo)*(LeaseUp!DW$10-LossToLeasePct-BadDebtPct-ConcessionsPct)+LeaseUp!DW$9*(ParkingPerUnitMo+UtilReimbPerUnitMo+OtherIncPerUnitMo)+RetailRentMo*MIN(1,LeaseUp!DW$10/StabilizedOccupancy)),0)</f>
        <v/>
      </c>
      <c r="DX71" s="218">
        <f>IF(124&gt;=DeliverStart,TotalUnits/12*(CapReservePerUnit+TaxPrepPerUnit)+AssetMgmtFeePct*((BaseMarketRentMo+BaseLowRentMo)*(LeaseUp!DX$10-LossToLeasePct-BadDebtPct-ConcessionsPct)+LeaseUp!DX$9*(ParkingPerUnitMo+UtilReimbPerUnitMo+OtherIncPerUnitMo)+RetailRentMo*MIN(1,LeaseUp!DX$10/StabilizedOccupancy)),0)</f>
        <v/>
      </c>
      <c r="DY71" s="218">
        <f>IF(125&gt;=DeliverStart,TotalUnits/12*(CapReservePerUnit+TaxPrepPerUnit)+AssetMgmtFeePct*((BaseMarketRentMo+BaseLowRentMo)*(LeaseUp!DY$10-LossToLeasePct-BadDebtPct-ConcessionsPct)+LeaseUp!DY$9*(ParkingPerUnitMo+UtilReimbPerUnitMo+OtherIncPerUnitMo)+RetailRentMo*MIN(1,LeaseUp!DY$10/StabilizedOccupancy)),0)</f>
        <v/>
      </c>
      <c r="DZ71" s="218">
        <f>IF(126&gt;=DeliverStart,TotalUnits/12*(CapReservePerUnit+TaxPrepPerUnit)+AssetMgmtFeePct*((BaseMarketRentMo+BaseLowRentMo)*(LeaseUp!DZ$10-LossToLeasePct-BadDebtPct-ConcessionsPct)+LeaseUp!DZ$9*(ParkingPerUnitMo+UtilReimbPerUnitMo+OtherIncPerUnitMo)+RetailRentMo*MIN(1,LeaseUp!DZ$10/StabilizedOccupancy)),0)</f>
        <v/>
      </c>
      <c r="EA71" s="218">
        <f>IF(127&gt;=DeliverStart,TotalUnits/12*(CapReservePerUnit+TaxPrepPerUnit)+AssetMgmtFeePct*((BaseMarketRentMo+BaseLowRentMo)*(LeaseUp!EA$10-LossToLeasePct-BadDebtPct-ConcessionsPct)+LeaseUp!EA$9*(ParkingPerUnitMo+UtilReimbPerUnitMo+OtherIncPerUnitMo)+RetailRentMo*MIN(1,LeaseUp!EA$10/StabilizedOccupancy)),0)</f>
        <v/>
      </c>
      <c r="EB71" s="218">
        <f>IF(128&gt;=DeliverStart,TotalUnits/12*(CapReservePerUnit+TaxPrepPerUnit)+AssetMgmtFeePct*((BaseMarketRentMo+BaseLowRentMo)*(LeaseUp!EB$10-LossToLeasePct-BadDebtPct-ConcessionsPct)+LeaseUp!EB$9*(ParkingPerUnitMo+UtilReimbPerUnitMo+OtherIncPerUnitMo)+RetailRentMo*MIN(1,LeaseUp!EB$10/StabilizedOccupancy)),0)</f>
        <v/>
      </c>
      <c r="EC71" s="218">
        <f>IF(129&gt;=DeliverStart,TotalUnits/12*(CapReservePerUnit+TaxPrepPerUnit)+AssetMgmtFeePct*((BaseMarketRentMo+BaseLowRentMo)*(LeaseUp!EC$10-LossToLeasePct-BadDebtPct-ConcessionsPct)+LeaseUp!EC$9*(ParkingPerUnitMo+UtilReimbPerUnitMo+OtherIncPerUnitMo)+RetailRentMo*MIN(1,LeaseUp!EC$10/StabilizedOccupancy)),0)</f>
        <v/>
      </c>
      <c r="ED71" s="218">
        <f>IF(130&gt;=DeliverStart,TotalUnits/12*(CapReservePerUnit+TaxPrepPerUnit)+AssetMgmtFeePct*((BaseMarketRentMo+BaseLowRentMo)*(LeaseUp!ED$10-LossToLeasePct-BadDebtPct-ConcessionsPct)+LeaseUp!ED$9*(ParkingPerUnitMo+UtilReimbPerUnitMo+OtherIncPerUnitMo)+RetailRentMo*MIN(1,LeaseUp!ED$10/StabilizedOccupancy)),0)</f>
        <v/>
      </c>
      <c r="EE71" s="218">
        <f>IF(131&gt;=DeliverStart,TotalUnits/12*(CapReservePerUnit+TaxPrepPerUnit)+AssetMgmtFeePct*((BaseMarketRentMo+BaseLowRentMo)*(LeaseUp!EE$10-LossToLeasePct-BadDebtPct-ConcessionsPct)+LeaseUp!EE$9*(ParkingPerUnitMo+UtilReimbPerUnitMo+OtherIncPerUnitMo)+RetailRentMo*MIN(1,LeaseUp!EE$10/StabilizedOccupancy)),0)</f>
        <v/>
      </c>
      <c r="EF71" s="218">
        <f>IF(132&gt;=DeliverStart,TotalUnits/12*(CapReservePerUnit+TaxPrepPerUnit)+AssetMgmtFeePct*((BaseMarketRentMo+BaseLowRentMo)*(LeaseUp!EF$10-LossToLeasePct-BadDebtPct-ConcessionsPct)+LeaseUp!EF$9*(ParkingPerUnitMo+UtilReimbPerUnitMo+OtherIncPerUnitMo)+RetailRentMo*MIN(1,LeaseUp!EF$10/StabilizedOccupancy)),0)</f>
        <v/>
      </c>
      <c r="EG71" s="218">
        <f>IF(133&gt;=DeliverStart,TotalUnits/12*(CapReservePerUnit+TaxPrepPerUnit)+AssetMgmtFeePct*((BaseMarketRentMo+BaseLowRentMo)*(LeaseUp!EG$10-LossToLeasePct-BadDebtPct-ConcessionsPct)+LeaseUp!EG$9*(ParkingPerUnitMo+UtilReimbPerUnitMo+OtherIncPerUnitMo)+RetailRentMo*MIN(1,LeaseUp!EG$10/StabilizedOccupancy)),0)</f>
        <v/>
      </c>
      <c r="EH71" s="218">
        <f>IF(134&gt;=DeliverStart,TotalUnits/12*(CapReservePerUnit+TaxPrepPerUnit)+AssetMgmtFeePct*((BaseMarketRentMo+BaseLowRentMo)*(LeaseUp!EH$10-LossToLeasePct-BadDebtPct-ConcessionsPct)+LeaseUp!EH$9*(ParkingPerUnitMo+UtilReimbPerUnitMo+OtherIncPerUnitMo)+RetailRentMo*MIN(1,LeaseUp!EH$10/StabilizedOccupancy)),0)</f>
        <v/>
      </c>
      <c r="EI71" s="218">
        <f>IF(135&gt;=DeliverStart,TotalUnits/12*(CapReservePerUnit+TaxPrepPerUnit)+AssetMgmtFeePct*((BaseMarketRentMo+BaseLowRentMo)*(LeaseUp!EI$10-LossToLeasePct-BadDebtPct-ConcessionsPct)+LeaseUp!EI$9*(ParkingPerUnitMo+UtilReimbPerUnitMo+OtherIncPerUnitMo)+RetailRentMo*MIN(1,LeaseUp!EI$10/StabilizedOccupancy)),0)</f>
        <v/>
      </c>
      <c r="EJ71" s="218">
        <f>IF(136&gt;=DeliverStart,TotalUnits/12*(CapReservePerUnit+TaxPrepPerUnit)+AssetMgmtFeePct*((BaseMarketRentMo+BaseLowRentMo)*(LeaseUp!EJ$10-LossToLeasePct-BadDebtPct-ConcessionsPct)+LeaseUp!EJ$9*(ParkingPerUnitMo+UtilReimbPerUnitMo+OtherIncPerUnitMo)+RetailRentMo*MIN(1,LeaseUp!EJ$10/StabilizedOccupancy)),0)</f>
        <v/>
      </c>
      <c r="EK71" s="218">
        <f>IF(137&gt;=DeliverStart,TotalUnits/12*(CapReservePerUnit+TaxPrepPerUnit)+AssetMgmtFeePct*((BaseMarketRentMo+BaseLowRentMo)*(LeaseUp!EK$10-LossToLeasePct-BadDebtPct-ConcessionsPct)+LeaseUp!EK$9*(ParkingPerUnitMo+UtilReimbPerUnitMo+OtherIncPerUnitMo)+RetailRentMo*MIN(1,LeaseUp!EK$10/StabilizedOccupancy)),0)</f>
        <v/>
      </c>
      <c r="EL71" s="218">
        <f>IF(138&gt;=DeliverStart,TotalUnits/12*(CapReservePerUnit+TaxPrepPerUnit)+AssetMgmtFeePct*((BaseMarketRentMo+BaseLowRentMo)*(LeaseUp!EL$10-LossToLeasePct-BadDebtPct-ConcessionsPct)+LeaseUp!EL$9*(ParkingPerUnitMo+UtilReimbPerUnitMo+OtherIncPerUnitMo)+RetailRentMo*MIN(1,LeaseUp!EL$10/StabilizedOccupancy)),0)</f>
        <v/>
      </c>
      <c r="EM71" s="218">
        <f>IF(139&gt;=DeliverStart,TotalUnits/12*(CapReservePerUnit+TaxPrepPerUnit)+AssetMgmtFeePct*((BaseMarketRentMo+BaseLowRentMo)*(LeaseUp!EM$10-LossToLeasePct-BadDebtPct-ConcessionsPct)+LeaseUp!EM$9*(ParkingPerUnitMo+UtilReimbPerUnitMo+OtherIncPerUnitMo)+RetailRentMo*MIN(1,LeaseUp!EM$10/StabilizedOccupancy)),0)</f>
        <v/>
      </c>
      <c r="EN71" s="218">
        <f>IF(140&gt;=DeliverStart,TotalUnits/12*(CapReservePerUnit+TaxPrepPerUnit)+AssetMgmtFeePct*((BaseMarketRentMo+BaseLowRentMo)*(LeaseUp!EN$10-LossToLeasePct-BadDebtPct-ConcessionsPct)+LeaseUp!EN$9*(ParkingPerUnitMo+UtilReimbPerUnitMo+OtherIncPerUnitMo)+RetailRentMo*MIN(1,LeaseUp!EN$10/StabilizedOccupancy)),0)</f>
        <v/>
      </c>
      <c r="EO71" s="218">
        <f>IF(141&gt;=DeliverStart,TotalUnits/12*(CapReservePerUnit+TaxPrepPerUnit)+AssetMgmtFeePct*((BaseMarketRentMo+BaseLowRentMo)*(LeaseUp!EO$10-LossToLeasePct-BadDebtPct-ConcessionsPct)+LeaseUp!EO$9*(ParkingPerUnitMo+UtilReimbPerUnitMo+OtherIncPerUnitMo)+RetailRentMo*MIN(1,LeaseUp!EO$10/StabilizedOccupancy)),0)</f>
        <v/>
      </c>
      <c r="EP71" s="218">
        <f>IF(142&gt;=DeliverStart,TotalUnits/12*(CapReservePerUnit+TaxPrepPerUnit)+AssetMgmtFeePct*((BaseMarketRentMo+BaseLowRentMo)*(LeaseUp!EP$10-LossToLeasePct-BadDebtPct-ConcessionsPct)+LeaseUp!EP$9*(ParkingPerUnitMo+UtilReimbPerUnitMo+OtherIncPerUnitMo)+RetailRentMo*MIN(1,LeaseUp!EP$10/StabilizedOccupancy)),0)</f>
        <v/>
      </c>
      <c r="EQ71" s="218">
        <f>IF(143&gt;=DeliverStart,TotalUnits/12*(CapReservePerUnit+TaxPrepPerUnit)+AssetMgmtFeePct*((BaseMarketRentMo+BaseLowRentMo)*(LeaseUp!EQ$10-LossToLeasePct-BadDebtPct-ConcessionsPct)+LeaseUp!EQ$9*(ParkingPerUnitMo+UtilReimbPerUnitMo+OtherIncPerUnitMo)+RetailRentMo*MIN(1,LeaseUp!EQ$10/StabilizedOccupancy)),0)</f>
        <v/>
      </c>
      <c r="ER71" s="218">
        <f>IF(144&gt;=DeliverStart,TotalUnits/12*(CapReservePerUnit+TaxPrepPerUnit)+AssetMgmtFeePct*((BaseMarketRentMo+BaseLowRentMo)*(LeaseUp!ER$10-LossToLeasePct-BadDebtPct-ConcessionsPct)+LeaseUp!ER$9*(ParkingPerUnitMo+UtilReimbPerUnitMo+OtherIncPerUnitMo)+RetailRentMo*MIN(1,LeaseUp!ER$10/StabilizedOccupancy)),0)</f>
        <v/>
      </c>
      <c r="ES71" s="218">
        <f>IF(145&gt;=DeliverStart,TotalUnits/12*(CapReservePerUnit+TaxPrepPerUnit)+AssetMgmtFeePct*((BaseMarketRentMo+BaseLowRentMo)*(LeaseUp!ES$10-LossToLeasePct-BadDebtPct-ConcessionsPct)+LeaseUp!ES$9*(ParkingPerUnitMo+UtilReimbPerUnitMo+OtherIncPerUnitMo)+RetailRentMo*MIN(1,LeaseUp!ES$10/StabilizedOccupancy)),0)</f>
        <v/>
      </c>
      <c r="ET71" s="218">
        <f>IF(146&gt;=DeliverStart,TotalUnits/12*(CapReservePerUnit+TaxPrepPerUnit)+AssetMgmtFeePct*((BaseMarketRentMo+BaseLowRentMo)*(LeaseUp!ET$10-LossToLeasePct-BadDebtPct-ConcessionsPct)+LeaseUp!ET$9*(ParkingPerUnitMo+UtilReimbPerUnitMo+OtherIncPerUnitMo)+RetailRentMo*MIN(1,LeaseUp!ET$10/StabilizedOccupancy)),0)</f>
        <v/>
      </c>
      <c r="EU71" s="218">
        <f>IF(147&gt;=DeliverStart,TotalUnits/12*(CapReservePerUnit+TaxPrepPerUnit)+AssetMgmtFeePct*((BaseMarketRentMo+BaseLowRentMo)*(LeaseUp!EU$10-LossToLeasePct-BadDebtPct-ConcessionsPct)+LeaseUp!EU$9*(ParkingPerUnitMo+UtilReimbPerUnitMo+OtherIncPerUnitMo)+RetailRentMo*MIN(1,LeaseUp!EU$10/StabilizedOccupancy)),0)</f>
        <v/>
      </c>
      <c r="EV71" s="218">
        <f>IF(148&gt;=DeliverStart,TotalUnits/12*(CapReservePerUnit+TaxPrepPerUnit)+AssetMgmtFeePct*((BaseMarketRentMo+BaseLowRentMo)*(LeaseUp!EV$10-LossToLeasePct-BadDebtPct-ConcessionsPct)+LeaseUp!EV$9*(ParkingPerUnitMo+UtilReimbPerUnitMo+OtherIncPerUnitMo)+RetailRentMo*MIN(1,LeaseUp!EV$10/StabilizedOccupancy)),0)</f>
        <v/>
      </c>
      <c r="EW71" s="218">
        <f>IF(149&gt;=DeliverStart,TotalUnits/12*(CapReservePerUnit+TaxPrepPerUnit)+AssetMgmtFeePct*((BaseMarketRentMo+BaseLowRentMo)*(LeaseUp!EW$10-LossToLeasePct-BadDebtPct-ConcessionsPct)+LeaseUp!EW$9*(ParkingPerUnitMo+UtilReimbPerUnitMo+OtherIncPerUnitMo)+RetailRentMo*MIN(1,LeaseUp!EW$10/StabilizedOccupancy)),0)</f>
        <v/>
      </c>
      <c r="EX71" s="218">
        <f>IF(150&gt;=DeliverStart,TotalUnits/12*(CapReservePerUnit+TaxPrepPerUnit)+AssetMgmtFeePct*((BaseMarketRentMo+BaseLowRentMo)*(LeaseUp!EX$10-LossToLeasePct-BadDebtPct-ConcessionsPct)+LeaseUp!EX$9*(ParkingPerUnitMo+UtilReimbPerUnitMo+OtherIncPerUnitMo)+RetailRentMo*MIN(1,LeaseUp!EX$10/StabilizedOccupancy)),0)</f>
        <v/>
      </c>
      <c r="EY71" s="218">
        <f>IF(151&gt;=DeliverStart,TotalUnits/12*(CapReservePerUnit+TaxPrepPerUnit)+AssetMgmtFeePct*((BaseMarketRentMo+BaseLowRentMo)*(LeaseUp!EY$10-LossToLeasePct-BadDebtPct-ConcessionsPct)+LeaseUp!EY$9*(ParkingPerUnitMo+UtilReimbPerUnitMo+OtherIncPerUnitMo)+RetailRentMo*MIN(1,LeaseUp!EY$10/StabilizedOccupancy)),0)</f>
        <v/>
      </c>
      <c r="EZ71" s="218">
        <f>IF(152&gt;=DeliverStart,TotalUnits/12*(CapReservePerUnit+TaxPrepPerUnit)+AssetMgmtFeePct*((BaseMarketRentMo+BaseLowRentMo)*(LeaseUp!EZ$10-LossToLeasePct-BadDebtPct-ConcessionsPct)+LeaseUp!EZ$9*(ParkingPerUnitMo+UtilReimbPerUnitMo+OtherIncPerUnitMo)+RetailRentMo*MIN(1,LeaseUp!EZ$10/StabilizedOccupancy)),0)</f>
        <v/>
      </c>
      <c r="FA71" s="218">
        <f>IF(153&gt;=DeliverStart,TotalUnits/12*(CapReservePerUnit+TaxPrepPerUnit)+AssetMgmtFeePct*((BaseMarketRentMo+BaseLowRentMo)*(LeaseUp!FA$10-LossToLeasePct-BadDebtPct-ConcessionsPct)+LeaseUp!FA$9*(ParkingPerUnitMo+UtilReimbPerUnitMo+OtherIncPerUnitMo)+RetailRentMo*MIN(1,LeaseUp!FA$10/StabilizedOccupancy)),0)</f>
        <v/>
      </c>
      <c r="FB71" s="218">
        <f>IF(154&gt;=DeliverStart,TotalUnits/12*(CapReservePerUnit+TaxPrepPerUnit)+AssetMgmtFeePct*((BaseMarketRentMo+BaseLowRentMo)*(LeaseUp!FB$10-LossToLeasePct-BadDebtPct-ConcessionsPct)+LeaseUp!FB$9*(ParkingPerUnitMo+UtilReimbPerUnitMo+OtherIncPerUnitMo)+RetailRentMo*MIN(1,LeaseUp!FB$10/StabilizedOccupancy)),0)</f>
        <v/>
      </c>
      <c r="FC71" s="218">
        <f>IF(155&gt;=DeliverStart,TotalUnits/12*(CapReservePerUnit+TaxPrepPerUnit)+AssetMgmtFeePct*((BaseMarketRentMo+BaseLowRentMo)*(LeaseUp!FC$10-LossToLeasePct-BadDebtPct-ConcessionsPct)+LeaseUp!FC$9*(ParkingPerUnitMo+UtilReimbPerUnitMo+OtherIncPerUnitMo)+RetailRentMo*MIN(1,LeaseUp!FC$10/StabilizedOccupancy)),0)</f>
        <v/>
      </c>
      <c r="FD71" s="218">
        <f>IF(156&gt;=DeliverStart,TotalUnits/12*(CapReservePerUnit+TaxPrepPerUnit)+AssetMgmtFeePct*((BaseMarketRentMo+BaseLowRentMo)*(LeaseUp!FD$10-LossToLeasePct-BadDebtPct-ConcessionsPct)+LeaseUp!FD$9*(ParkingPerUnitMo+UtilReimbPerUnitMo+OtherIncPerUnitMo)+RetailRentMo*MIN(1,LeaseUp!FD$10/StabilizedOccupancy)),0)</f>
        <v/>
      </c>
      <c r="FE71" s="218">
        <f>IF(157&gt;=DeliverStart,TotalUnits/12*(CapReservePerUnit+TaxPrepPerUnit)+AssetMgmtFeePct*((BaseMarketRentMo+BaseLowRentMo)*(LeaseUp!FE$10-LossToLeasePct-BadDebtPct-ConcessionsPct)+LeaseUp!FE$9*(ParkingPerUnitMo+UtilReimbPerUnitMo+OtherIncPerUnitMo)+RetailRentMo*MIN(1,LeaseUp!FE$10/StabilizedOccupancy)),0)</f>
        <v/>
      </c>
      <c r="FF71" s="218">
        <f>IF(158&gt;=DeliverStart,TotalUnits/12*(CapReservePerUnit+TaxPrepPerUnit)+AssetMgmtFeePct*((BaseMarketRentMo+BaseLowRentMo)*(LeaseUp!FF$10-LossToLeasePct-BadDebtPct-ConcessionsPct)+LeaseUp!FF$9*(ParkingPerUnitMo+UtilReimbPerUnitMo+OtherIncPerUnitMo)+RetailRentMo*MIN(1,LeaseUp!FF$10/StabilizedOccupancy)),0)</f>
        <v/>
      </c>
      <c r="FG71" s="218">
        <f>IF(159&gt;=DeliverStart,TotalUnits/12*(CapReservePerUnit+TaxPrepPerUnit)+AssetMgmtFeePct*((BaseMarketRentMo+BaseLowRentMo)*(LeaseUp!FG$10-LossToLeasePct-BadDebtPct-ConcessionsPct)+LeaseUp!FG$9*(ParkingPerUnitMo+UtilReimbPerUnitMo+OtherIncPerUnitMo)+RetailRentMo*MIN(1,LeaseUp!FG$10/StabilizedOccupancy)),0)</f>
        <v/>
      </c>
      <c r="FH71" s="218">
        <f>IF(160&gt;=DeliverStart,TotalUnits/12*(CapReservePerUnit+TaxPrepPerUnit)+AssetMgmtFeePct*((BaseMarketRentMo+BaseLowRentMo)*(LeaseUp!FH$10-LossToLeasePct-BadDebtPct-ConcessionsPct)+LeaseUp!FH$9*(ParkingPerUnitMo+UtilReimbPerUnitMo+OtherIncPerUnitMo)+RetailRentMo*MIN(1,LeaseUp!FH$10/StabilizedOccupancy)),0)</f>
        <v/>
      </c>
      <c r="FI71" s="218">
        <f>IF(161&gt;=DeliverStart,TotalUnits/12*(CapReservePerUnit+TaxPrepPerUnit)+AssetMgmtFeePct*((BaseMarketRentMo+BaseLowRentMo)*(LeaseUp!FI$10-LossToLeasePct-BadDebtPct-ConcessionsPct)+LeaseUp!FI$9*(ParkingPerUnitMo+UtilReimbPerUnitMo+OtherIncPerUnitMo)+RetailRentMo*MIN(1,LeaseUp!FI$10/StabilizedOccupancy)),0)</f>
        <v/>
      </c>
      <c r="FJ71" s="218">
        <f>IF(162&gt;=DeliverStart,TotalUnits/12*(CapReservePerUnit+TaxPrepPerUnit)+AssetMgmtFeePct*((BaseMarketRentMo+BaseLowRentMo)*(LeaseUp!FJ$10-LossToLeasePct-BadDebtPct-ConcessionsPct)+LeaseUp!FJ$9*(ParkingPerUnitMo+UtilReimbPerUnitMo+OtherIncPerUnitMo)+RetailRentMo*MIN(1,LeaseUp!FJ$10/StabilizedOccupancy)),0)</f>
        <v/>
      </c>
      <c r="FK71" s="218">
        <f>IF(163&gt;=DeliverStart,TotalUnits/12*(CapReservePerUnit+TaxPrepPerUnit)+AssetMgmtFeePct*((BaseMarketRentMo+BaseLowRentMo)*(LeaseUp!FK$10-LossToLeasePct-BadDebtPct-ConcessionsPct)+LeaseUp!FK$9*(ParkingPerUnitMo+UtilReimbPerUnitMo+OtherIncPerUnitMo)+RetailRentMo*MIN(1,LeaseUp!FK$10/StabilizedOccupancy)),0)</f>
        <v/>
      </c>
      <c r="FL71" s="218">
        <f>IF(164&gt;=DeliverStart,TotalUnits/12*(CapReservePerUnit+TaxPrepPerUnit)+AssetMgmtFeePct*((BaseMarketRentMo+BaseLowRentMo)*(LeaseUp!FL$10-LossToLeasePct-BadDebtPct-ConcessionsPct)+LeaseUp!FL$9*(ParkingPerUnitMo+UtilReimbPerUnitMo+OtherIncPerUnitMo)+RetailRentMo*MIN(1,LeaseUp!FL$10/StabilizedOccupancy)),0)</f>
        <v/>
      </c>
      <c r="FM71" s="218">
        <f>IF(165&gt;=DeliverStart,TotalUnits/12*(CapReservePerUnit+TaxPrepPerUnit)+AssetMgmtFeePct*((BaseMarketRentMo+BaseLowRentMo)*(LeaseUp!FM$10-LossToLeasePct-BadDebtPct-ConcessionsPct)+LeaseUp!FM$9*(ParkingPerUnitMo+UtilReimbPerUnitMo+OtherIncPerUnitMo)+RetailRentMo*MIN(1,LeaseUp!FM$10/StabilizedOccupancy)),0)</f>
        <v/>
      </c>
      <c r="FN71" s="218">
        <f>IF(166&gt;=DeliverStart,TotalUnits/12*(CapReservePerUnit+TaxPrepPerUnit)+AssetMgmtFeePct*((BaseMarketRentMo+BaseLowRentMo)*(LeaseUp!FN$10-LossToLeasePct-BadDebtPct-ConcessionsPct)+LeaseUp!FN$9*(ParkingPerUnitMo+UtilReimbPerUnitMo+OtherIncPerUnitMo)+RetailRentMo*MIN(1,LeaseUp!FN$10/StabilizedOccupancy)),0)</f>
        <v/>
      </c>
      <c r="FO71" s="218">
        <f>IF(167&gt;=DeliverStart,TotalUnits/12*(CapReservePerUnit+TaxPrepPerUnit)+AssetMgmtFeePct*((BaseMarketRentMo+BaseLowRentMo)*(LeaseUp!FO$10-LossToLeasePct-BadDebtPct-ConcessionsPct)+LeaseUp!FO$9*(ParkingPerUnitMo+UtilReimbPerUnitMo+OtherIncPerUnitMo)+RetailRentMo*MIN(1,LeaseUp!FO$10/StabilizedOccupancy)),0)</f>
        <v/>
      </c>
      <c r="FP71" s="218">
        <f>IF(168&gt;=DeliverStart,TotalUnits/12*(CapReservePerUnit+TaxPrepPerUnit)+AssetMgmtFeePct*((BaseMarketRentMo+BaseLowRentMo)*(LeaseUp!FP$10-LossToLeasePct-BadDebtPct-ConcessionsPct)+LeaseUp!FP$9*(ParkingPerUnitMo+UtilReimbPerUnitMo+OtherIncPerUnitMo)+RetailRentMo*MIN(1,LeaseUp!FP$10/StabilizedOccupancy)),0)</f>
        <v/>
      </c>
      <c r="FQ71" s="218">
        <f>IF(169&gt;=DeliverStart,TotalUnits/12*(CapReservePerUnit+TaxPrepPerUnit)+AssetMgmtFeePct*((BaseMarketRentMo+BaseLowRentMo)*(LeaseUp!FQ$10-LossToLeasePct-BadDebtPct-ConcessionsPct)+LeaseUp!FQ$9*(ParkingPerUnitMo+UtilReimbPerUnitMo+OtherIncPerUnitMo)+RetailRentMo*MIN(1,LeaseUp!FQ$10/StabilizedOccupancy)),0)</f>
        <v/>
      </c>
      <c r="FR71" s="218">
        <f>IF(170&gt;=DeliverStart,TotalUnits/12*(CapReservePerUnit+TaxPrepPerUnit)+AssetMgmtFeePct*((BaseMarketRentMo+BaseLowRentMo)*(LeaseUp!FR$10-LossToLeasePct-BadDebtPct-ConcessionsPct)+LeaseUp!FR$9*(ParkingPerUnitMo+UtilReimbPerUnitMo+OtherIncPerUnitMo)+RetailRentMo*MIN(1,LeaseUp!FR$10/StabilizedOccupancy)),0)</f>
        <v/>
      </c>
      <c r="FS71" s="218">
        <f>IF(171&gt;=DeliverStart,TotalUnits/12*(CapReservePerUnit+TaxPrepPerUnit)+AssetMgmtFeePct*((BaseMarketRentMo+BaseLowRentMo)*(LeaseUp!FS$10-LossToLeasePct-BadDebtPct-ConcessionsPct)+LeaseUp!FS$9*(ParkingPerUnitMo+UtilReimbPerUnitMo+OtherIncPerUnitMo)+RetailRentMo*MIN(1,LeaseUp!FS$10/StabilizedOccupancy)),0)</f>
        <v/>
      </c>
      <c r="FT71" s="218">
        <f>IF(172&gt;=DeliverStart,TotalUnits/12*(CapReservePerUnit+TaxPrepPerUnit)+AssetMgmtFeePct*((BaseMarketRentMo+BaseLowRentMo)*(LeaseUp!FT$10-LossToLeasePct-BadDebtPct-ConcessionsPct)+LeaseUp!FT$9*(ParkingPerUnitMo+UtilReimbPerUnitMo+OtherIncPerUnitMo)+RetailRentMo*MIN(1,LeaseUp!FT$10/StabilizedOccupancy)),0)</f>
        <v/>
      </c>
      <c r="FU71" s="218">
        <f>IF(173&gt;=DeliverStart,TotalUnits/12*(CapReservePerUnit+TaxPrepPerUnit)+AssetMgmtFeePct*((BaseMarketRentMo+BaseLowRentMo)*(LeaseUp!FU$10-LossToLeasePct-BadDebtPct-ConcessionsPct)+LeaseUp!FU$9*(ParkingPerUnitMo+UtilReimbPerUnitMo+OtherIncPerUnitMo)+RetailRentMo*MIN(1,LeaseUp!FU$10/StabilizedOccupancy)),0)</f>
        <v/>
      </c>
      <c r="FV71" s="218">
        <f>IF(174&gt;=DeliverStart,TotalUnits/12*(CapReservePerUnit+TaxPrepPerUnit)+AssetMgmtFeePct*((BaseMarketRentMo+BaseLowRentMo)*(LeaseUp!FV$10-LossToLeasePct-BadDebtPct-ConcessionsPct)+LeaseUp!FV$9*(ParkingPerUnitMo+UtilReimbPerUnitMo+OtherIncPerUnitMo)+RetailRentMo*MIN(1,LeaseUp!FV$10/StabilizedOccupancy)),0)</f>
        <v/>
      </c>
      <c r="FW71" s="218">
        <f>IF(175&gt;=DeliverStart,TotalUnits/12*(CapReservePerUnit+TaxPrepPerUnit)+AssetMgmtFeePct*((BaseMarketRentMo+BaseLowRentMo)*(LeaseUp!FW$10-LossToLeasePct-BadDebtPct-ConcessionsPct)+LeaseUp!FW$9*(ParkingPerUnitMo+UtilReimbPerUnitMo+OtherIncPerUnitMo)+RetailRentMo*MIN(1,LeaseUp!FW$10/StabilizedOccupancy)),0)</f>
        <v/>
      </c>
      <c r="FX71" s="218">
        <f>IF(176&gt;=DeliverStart,TotalUnits/12*(CapReservePerUnit+TaxPrepPerUnit)+AssetMgmtFeePct*((BaseMarketRentMo+BaseLowRentMo)*(LeaseUp!FX$10-LossToLeasePct-BadDebtPct-ConcessionsPct)+LeaseUp!FX$9*(ParkingPerUnitMo+UtilReimbPerUnitMo+OtherIncPerUnitMo)+RetailRentMo*MIN(1,LeaseUp!FX$10/StabilizedOccupancy)),0)</f>
        <v/>
      </c>
      <c r="FY71" s="218">
        <f>IF(177&gt;=DeliverStart,TotalUnits/12*(CapReservePerUnit+TaxPrepPerUnit)+AssetMgmtFeePct*((BaseMarketRentMo+BaseLowRentMo)*(LeaseUp!FY$10-LossToLeasePct-BadDebtPct-ConcessionsPct)+LeaseUp!FY$9*(ParkingPerUnitMo+UtilReimbPerUnitMo+OtherIncPerUnitMo)+RetailRentMo*MIN(1,LeaseUp!FY$10/StabilizedOccupancy)),0)</f>
        <v/>
      </c>
      <c r="FZ71" s="218">
        <f>IF(178&gt;=DeliverStart,TotalUnits/12*(CapReservePerUnit+TaxPrepPerUnit)+AssetMgmtFeePct*((BaseMarketRentMo+BaseLowRentMo)*(LeaseUp!FZ$10-LossToLeasePct-BadDebtPct-ConcessionsPct)+LeaseUp!FZ$9*(ParkingPerUnitMo+UtilReimbPerUnitMo+OtherIncPerUnitMo)+RetailRentMo*MIN(1,LeaseUp!FZ$10/StabilizedOccupancy)),0)</f>
        <v/>
      </c>
      <c r="GA71" s="218">
        <f>IF(179&gt;=DeliverStart,TotalUnits/12*(CapReservePerUnit+TaxPrepPerUnit)+AssetMgmtFeePct*((BaseMarketRentMo+BaseLowRentMo)*(LeaseUp!GA$10-LossToLeasePct-BadDebtPct-ConcessionsPct)+LeaseUp!GA$9*(ParkingPerUnitMo+UtilReimbPerUnitMo+OtherIncPerUnitMo)+RetailRentMo*MIN(1,LeaseUp!GA$10/StabilizedOccupancy)),0)</f>
        <v/>
      </c>
      <c r="GB71" s="218">
        <f>IF(180&gt;=DeliverStart,TotalUnits/12*(CapReservePerUnit+TaxPrepPerUnit)+AssetMgmtFeePct*((BaseMarketRentMo+BaseLowRentMo)*(LeaseUp!GB$10-LossToLeasePct-BadDebtPct-ConcessionsPct)+LeaseUp!GB$9*(ParkingPerUnitMo+UtilReimbPerUnitMo+OtherIncPerUnitMo)+RetailRentMo*MIN(1,LeaseUp!GB$10/StabilizedOccupancy)),0)</f>
        <v/>
      </c>
      <c r="GC71" s="218">
        <f>IF(181&gt;=DeliverStart,TotalUnits/12*(CapReservePerUnit+TaxPrepPerUnit)+AssetMgmtFeePct*((BaseMarketRentMo+BaseLowRentMo)*(LeaseUp!GC$10-LossToLeasePct-BadDebtPct-ConcessionsPct)+LeaseUp!GC$9*(ParkingPerUnitMo+UtilReimbPerUnitMo+OtherIncPerUnitMo)+RetailRentMo*MIN(1,LeaseUp!GC$10/StabilizedOccupancy)),0)</f>
        <v/>
      </c>
      <c r="GD71" s="218">
        <f>IF(182&gt;=DeliverStart,TotalUnits/12*(CapReservePerUnit+TaxPrepPerUnit)+AssetMgmtFeePct*((BaseMarketRentMo+BaseLowRentMo)*(LeaseUp!GD$10-LossToLeasePct-BadDebtPct-ConcessionsPct)+LeaseUp!GD$9*(ParkingPerUnitMo+UtilReimbPerUnitMo+OtherIncPerUnitMo)+RetailRentMo*MIN(1,LeaseUp!GD$10/StabilizedOccupancy)),0)</f>
        <v/>
      </c>
      <c r="GE71" s="218">
        <f>IF(183&gt;=DeliverStart,TotalUnits/12*(CapReservePerUnit+TaxPrepPerUnit)+AssetMgmtFeePct*((BaseMarketRentMo+BaseLowRentMo)*(LeaseUp!GE$10-LossToLeasePct-BadDebtPct-ConcessionsPct)+LeaseUp!GE$9*(ParkingPerUnitMo+UtilReimbPerUnitMo+OtherIncPerUnitMo)+RetailRentMo*MIN(1,LeaseUp!GE$10/StabilizedOccupancy)),0)</f>
        <v/>
      </c>
      <c r="GF71" s="218">
        <f>IF(184&gt;=DeliverStart,TotalUnits/12*(CapReservePerUnit+TaxPrepPerUnit)+AssetMgmtFeePct*((BaseMarketRentMo+BaseLowRentMo)*(LeaseUp!GF$10-LossToLeasePct-BadDebtPct-ConcessionsPct)+LeaseUp!GF$9*(ParkingPerUnitMo+UtilReimbPerUnitMo+OtherIncPerUnitMo)+RetailRentMo*MIN(1,LeaseUp!GF$10/StabilizedOccupancy)),0)</f>
        <v/>
      </c>
      <c r="GG71" s="218">
        <f>IF(185&gt;=DeliverStart,TotalUnits/12*(CapReservePerUnit+TaxPrepPerUnit)+AssetMgmtFeePct*((BaseMarketRentMo+BaseLowRentMo)*(LeaseUp!GG$10-LossToLeasePct-BadDebtPct-ConcessionsPct)+LeaseUp!GG$9*(ParkingPerUnitMo+UtilReimbPerUnitMo+OtherIncPerUnitMo)+RetailRentMo*MIN(1,LeaseUp!GG$10/StabilizedOccupancy)),0)</f>
        <v/>
      </c>
      <c r="GH71" s="218">
        <f>IF(186&gt;=DeliverStart,TotalUnits/12*(CapReservePerUnit+TaxPrepPerUnit)+AssetMgmtFeePct*((BaseMarketRentMo+BaseLowRentMo)*(LeaseUp!GH$10-LossToLeasePct-BadDebtPct-ConcessionsPct)+LeaseUp!GH$9*(ParkingPerUnitMo+UtilReimbPerUnitMo+OtherIncPerUnitMo)+RetailRentMo*MIN(1,LeaseUp!GH$10/StabilizedOccupancy)),0)</f>
        <v/>
      </c>
      <c r="GI71" s="218">
        <f>IF(187&gt;=DeliverStart,TotalUnits/12*(CapReservePerUnit+TaxPrepPerUnit)+AssetMgmtFeePct*((BaseMarketRentMo+BaseLowRentMo)*(LeaseUp!GI$10-LossToLeasePct-BadDebtPct-ConcessionsPct)+LeaseUp!GI$9*(ParkingPerUnitMo+UtilReimbPerUnitMo+OtherIncPerUnitMo)+RetailRentMo*MIN(1,LeaseUp!GI$10/StabilizedOccupancy)),0)</f>
        <v/>
      </c>
      <c r="GJ71" s="218">
        <f>IF(188&gt;=DeliverStart,TotalUnits/12*(CapReservePerUnit+TaxPrepPerUnit)+AssetMgmtFeePct*((BaseMarketRentMo+BaseLowRentMo)*(LeaseUp!GJ$10-LossToLeasePct-BadDebtPct-ConcessionsPct)+LeaseUp!GJ$9*(ParkingPerUnitMo+UtilReimbPerUnitMo+OtherIncPerUnitMo)+RetailRentMo*MIN(1,LeaseUp!GJ$10/StabilizedOccupancy)),0)</f>
        <v/>
      </c>
      <c r="GK71" s="218">
        <f>IF(189&gt;=DeliverStart,TotalUnits/12*(CapReservePerUnit+TaxPrepPerUnit)+AssetMgmtFeePct*((BaseMarketRentMo+BaseLowRentMo)*(LeaseUp!GK$10-LossToLeasePct-BadDebtPct-ConcessionsPct)+LeaseUp!GK$9*(ParkingPerUnitMo+UtilReimbPerUnitMo+OtherIncPerUnitMo)+RetailRentMo*MIN(1,LeaseUp!GK$10/StabilizedOccupancy)),0)</f>
        <v/>
      </c>
      <c r="GL71" s="218">
        <f>IF(190&gt;=DeliverStart,TotalUnits/12*(CapReservePerUnit+TaxPrepPerUnit)+AssetMgmtFeePct*((BaseMarketRentMo+BaseLowRentMo)*(LeaseUp!GL$10-LossToLeasePct-BadDebtPct-ConcessionsPct)+LeaseUp!GL$9*(ParkingPerUnitMo+UtilReimbPerUnitMo+OtherIncPerUnitMo)+RetailRentMo*MIN(1,LeaseUp!GL$10/StabilizedOccupancy)),0)</f>
        <v/>
      </c>
      <c r="GM71" s="218">
        <f>IF(191&gt;=DeliverStart,TotalUnits/12*(CapReservePerUnit+TaxPrepPerUnit)+AssetMgmtFeePct*((BaseMarketRentMo+BaseLowRentMo)*(LeaseUp!GM$10-LossToLeasePct-BadDebtPct-ConcessionsPct)+LeaseUp!GM$9*(ParkingPerUnitMo+UtilReimbPerUnitMo+OtherIncPerUnitMo)+RetailRentMo*MIN(1,LeaseUp!GM$10/StabilizedOccupancy)),0)</f>
        <v/>
      </c>
      <c r="GN71" s="218">
        <f>IF(192&gt;=DeliverStart,TotalUnits/12*(CapReservePerUnit+TaxPrepPerUnit)+AssetMgmtFeePct*((BaseMarketRentMo+BaseLowRentMo)*(LeaseUp!GN$10-LossToLeasePct-BadDebtPct-ConcessionsPct)+LeaseUp!GN$9*(ParkingPerUnitMo+UtilReimbPerUnitMo+OtherIncPerUnitMo)+RetailRentMo*MIN(1,LeaseUp!GN$10/StabilizedOccupancy)),0)</f>
        <v/>
      </c>
      <c r="GO71" s="218">
        <f>IF(193&gt;=DeliverStart,TotalUnits/12*(CapReservePerUnit+TaxPrepPerUnit)+AssetMgmtFeePct*((BaseMarketRentMo+BaseLowRentMo)*(LeaseUp!GO$10-LossToLeasePct-BadDebtPct-ConcessionsPct)+LeaseUp!GO$9*(ParkingPerUnitMo+UtilReimbPerUnitMo+OtherIncPerUnitMo)+RetailRentMo*MIN(1,LeaseUp!GO$10/StabilizedOccupancy)),0)</f>
        <v/>
      </c>
      <c r="GP71" s="218">
        <f>IF(194&gt;=DeliverStart,TotalUnits/12*(CapReservePerUnit+TaxPrepPerUnit)+AssetMgmtFeePct*((BaseMarketRentMo+BaseLowRentMo)*(LeaseUp!GP$10-LossToLeasePct-BadDebtPct-ConcessionsPct)+LeaseUp!GP$9*(ParkingPerUnitMo+UtilReimbPerUnitMo+OtherIncPerUnitMo)+RetailRentMo*MIN(1,LeaseUp!GP$10/StabilizedOccupancy)),0)</f>
        <v/>
      </c>
      <c r="GQ71" s="218">
        <f>IF(195&gt;=DeliverStart,TotalUnits/12*(CapReservePerUnit+TaxPrepPerUnit)+AssetMgmtFeePct*((BaseMarketRentMo+BaseLowRentMo)*(LeaseUp!GQ$10-LossToLeasePct-BadDebtPct-ConcessionsPct)+LeaseUp!GQ$9*(ParkingPerUnitMo+UtilReimbPerUnitMo+OtherIncPerUnitMo)+RetailRentMo*MIN(1,LeaseUp!GQ$10/StabilizedOccupancy)),0)</f>
        <v/>
      </c>
      <c r="GR71" s="218">
        <f>IF(196&gt;=DeliverStart,TotalUnits/12*(CapReservePerUnit+TaxPrepPerUnit)+AssetMgmtFeePct*((BaseMarketRentMo+BaseLowRentMo)*(LeaseUp!GR$10-LossToLeasePct-BadDebtPct-ConcessionsPct)+LeaseUp!GR$9*(ParkingPerUnitMo+UtilReimbPerUnitMo+OtherIncPerUnitMo)+RetailRentMo*MIN(1,LeaseUp!GR$10/StabilizedOccupancy)),0)</f>
        <v/>
      </c>
      <c r="GS71" s="218">
        <f>IF(197&gt;=DeliverStart,TotalUnits/12*(CapReservePerUnit+TaxPrepPerUnit)+AssetMgmtFeePct*((BaseMarketRentMo+BaseLowRentMo)*(LeaseUp!GS$10-LossToLeasePct-BadDebtPct-ConcessionsPct)+LeaseUp!GS$9*(ParkingPerUnitMo+UtilReimbPerUnitMo+OtherIncPerUnitMo)+RetailRentMo*MIN(1,LeaseUp!GS$10/StabilizedOccupancy)),0)</f>
        <v/>
      </c>
      <c r="GT71" s="218">
        <f>IF(198&gt;=DeliverStart,TotalUnits/12*(CapReservePerUnit+TaxPrepPerUnit)+AssetMgmtFeePct*((BaseMarketRentMo+BaseLowRentMo)*(LeaseUp!GT$10-LossToLeasePct-BadDebtPct-ConcessionsPct)+LeaseUp!GT$9*(ParkingPerUnitMo+UtilReimbPerUnitMo+OtherIncPerUnitMo)+RetailRentMo*MIN(1,LeaseUp!GT$10/StabilizedOccupancy)),0)</f>
        <v/>
      </c>
      <c r="GU71" s="218">
        <f>IF(199&gt;=DeliverStart,TotalUnits/12*(CapReservePerUnit+TaxPrepPerUnit)+AssetMgmtFeePct*((BaseMarketRentMo+BaseLowRentMo)*(LeaseUp!GU$10-LossToLeasePct-BadDebtPct-ConcessionsPct)+LeaseUp!GU$9*(ParkingPerUnitMo+UtilReimbPerUnitMo+OtherIncPerUnitMo)+RetailRentMo*MIN(1,LeaseUp!GU$10/StabilizedOccupancy)),0)</f>
        <v/>
      </c>
      <c r="GV71" s="218">
        <f>IF(200&gt;=DeliverStart,TotalUnits/12*(CapReservePerUnit+TaxPrepPerUnit)+AssetMgmtFeePct*((BaseMarketRentMo+BaseLowRentMo)*(LeaseUp!GV$10-LossToLeasePct-BadDebtPct-ConcessionsPct)+LeaseUp!GV$9*(ParkingPerUnitMo+UtilReimbPerUnitMo+OtherIncPerUnitMo)+RetailRentMo*MIN(1,LeaseUp!GV$10/StabilizedOccupancy)),0)</f>
        <v/>
      </c>
      <c r="GW71" s="218">
        <f>IF(201&gt;=DeliverStart,TotalUnits/12*(CapReservePerUnit+TaxPrepPerUnit)+AssetMgmtFeePct*((BaseMarketRentMo+BaseLowRentMo)*(LeaseUp!GW$10-LossToLeasePct-BadDebtPct-ConcessionsPct)+LeaseUp!GW$9*(ParkingPerUnitMo+UtilReimbPerUnitMo+OtherIncPerUnitMo)+RetailRentMo*MIN(1,LeaseUp!GW$10/StabilizedOccupancy)),0)</f>
        <v/>
      </c>
      <c r="GX71" s="218">
        <f>IF(202&gt;=DeliverStart,TotalUnits/12*(CapReservePerUnit+TaxPrepPerUnit)+AssetMgmtFeePct*((BaseMarketRentMo+BaseLowRentMo)*(LeaseUp!GX$10-LossToLeasePct-BadDebtPct-ConcessionsPct)+LeaseUp!GX$9*(ParkingPerUnitMo+UtilReimbPerUnitMo+OtherIncPerUnitMo)+RetailRentMo*MIN(1,LeaseUp!GX$10/StabilizedOccupancy)),0)</f>
        <v/>
      </c>
      <c r="GY71" s="218">
        <f>IF(203&gt;=DeliverStart,TotalUnits/12*(CapReservePerUnit+TaxPrepPerUnit)+AssetMgmtFeePct*((BaseMarketRentMo+BaseLowRentMo)*(LeaseUp!GY$10-LossToLeasePct-BadDebtPct-ConcessionsPct)+LeaseUp!GY$9*(ParkingPerUnitMo+UtilReimbPerUnitMo+OtherIncPerUnitMo)+RetailRentMo*MIN(1,LeaseUp!GY$10/StabilizedOccupancy)),0)</f>
        <v/>
      </c>
      <c r="GZ71" s="218">
        <f>IF(204&gt;=DeliverStart,TotalUnits/12*(CapReservePerUnit+TaxPrepPerUnit)+AssetMgmtFeePct*((BaseMarketRentMo+BaseLowRentMo)*(LeaseUp!GZ$10-LossToLeasePct-BadDebtPct-ConcessionsPct)+LeaseUp!GZ$9*(ParkingPerUnitMo+UtilReimbPerUnitMo+OtherIncPerUnitMo)+RetailRentMo*MIN(1,LeaseUp!GZ$10/StabilizedOccupancy)),0)</f>
        <v/>
      </c>
      <c r="HA71" s="218">
        <f>IF(205&gt;=DeliverStart,TotalUnits/12*(CapReservePerUnit+TaxPrepPerUnit)+AssetMgmtFeePct*((BaseMarketRentMo+BaseLowRentMo)*(LeaseUp!HA$10-LossToLeasePct-BadDebtPct-ConcessionsPct)+LeaseUp!HA$9*(ParkingPerUnitMo+UtilReimbPerUnitMo+OtherIncPerUnitMo)+RetailRentMo*MIN(1,LeaseUp!HA$10/StabilizedOccupancy)),0)</f>
        <v/>
      </c>
      <c r="HB71" s="218">
        <f>IF(206&gt;=DeliverStart,TotalUnits/12*(CapReservePerUnit+TaxPrepPerUnit)+AssetMgmtFeePct*((BaseMarketRentMo+BaseLowRentMo)*(LeaseUp!HB$10-LossToLeasePct-BadDebtPct-ConcessionsPct)+LeaseUp!HB$9*(ParkingPerUnitMo+UtilReimbPerUnitMo+OtherIncPerUnitMo)+RetailRentMo*MIN(1,LeaseUp!HB$10/StabilizedOccupancy)),0)</f>
        <v/>
      </c>
      <c r="HC71" s="218">
        <f>IF(207&gt;=DeliverStart,TotalUnits/12*(CapReservePerUnit+TaxPrepPerUnit)+AssetMgmtFeePct*((BaseMarketRentMo+BaseLowRentMo)*(LeaseUp!HC$10-LossToLeasePct-BadDebtPct-ConcessionsPct)+LeaseUp!HC$9*(ParkingPerUnitMo+UtilReimbPerUnitMo+OtherIncPerUnitMo)+RetailRentMo*MIN(1,LeaseUp!HC$10/StabilizedOccupancy)),0)</f>
        <v/>
      </c>
      <c r="HD71" s="218">
        <f>IF(208&gt;=DeliverStart,TotalUnits/12*(CapReservePerUnit+TaxPrepPerUnit)+AssetMgmtFeePct*((BaseMarketRentMo+BaseLowRentMo)*(LeaseUp!HD$10-LossToLeasePct-BadDebtPct-ConcessionsPct)+LeaseUp!HD$9*(ParkingPerUnitMo+UtilReimbPerUnitMo+OtherIncPerUnitMo)+RetailRentMo*MIN(1,LeaseUp!HD$10/StabilizedOccupancy)),0)</f>
        <v/>
      </c>
      <c r="HE71" s="218">
        <f>IF(209&gt;=DeliverStart,TotalUnits/12*(CapReservePerUnit+TaxPrepPerUnit)+AssetMgmtFeePct*((BaseMarketRentMo+BaseLowRentMo)*(LeaseUp!HE$10-LossToLeasePct-BadDebtPct-ConcessionsPct)+LeaseUp!HE$9*(ParkingPerUnitMo+UtilReimbPerUnitMo+OtherIncPerUnitMo)+RetailRentMo*MIN(1,LeaseUp!HE$10/StabilizedOccupancy)),0)</f>
        <v/>
      </c>
      <c r="HF71" s="218">
        <f>IF(210&gt;=DeliverStart,TotalUnits/12*(CapReservePerUnit+TaxPrepPerUnit)+AssetMgmtFeePct*((BaseMarketRentMo+BaseLowRentMo)*(LeaseUp!HF$10-LossToLeasePct-BadDebtPct-ConcessionsPct)+LeaseUp!HF$9*(ParkingPerUnitMo+UtilReimbPerUnitMo+OtherIncPerUnitMo)+RetailRentMo*MIN(1,LeaseUp!HF$10/StabilizedOccupancy)),0)</f>
        <v/>
      </c>
      <c r="HG71" s="218">
        <f>IF(211&gt;=DeliverStart,TotalUnits/12*(CapReservePerUnit+TaxPrepPerUnit)+AssetMgmtFeePct*((BaseMarketRentMo+BaseLowRentMo)*(LeaseUp!HG$10-LossToLeasePct-BadDebtPct-ConcessionsPct)+LeaseUp!HG$9*(ParkingPerUnitMo+UtilReimbPerUnitMo+OtherIncPerUnitMo)+RetailRentMo*MIN(1,LeaseUp!HG$10/StabilizedOccupancy)),0)</f>
        <v/>
      </c>
      <c r="HH71" s="218">
        <f>IF(212&gt;=DeliverStart,TotalUnits/12*(CapReservePerUnit+TaxPrepPerUnit)+AssetMgmtFeePct*((BaseMarketRentMo+BaseLowRentMo)*(LeaseUp!HH$10-LossToLeasePct-BadDebtPct-ConcessionsPct)+LeaseUp!HH$9*(ParkingPerUnitMo+UtilReimbPerUnitMo+OtherIncPerUnitMo)+RetailRentMo*MIN(1,LeaseUp!HH$10/StabilizedOccupancy)),0)</f>
        <v/>
      </c>
      <c r="HI71" s="218">
        <f>IF(213&gt;=DeliverStart,TotalUnits/12*(CapReservePerUnit+TaxPrepPerUnit)+AssetMgmtFeePct*((BaseMarketRentMo+BaseLowRentMo)*(LeaseUp!HI$10-LossToLeasePct-BadDebtPct-ConcessionsPct)+LeaseUp!HI$9*(ParkingPerUnitMo+UtilReimbPerUnitMo+OtherIncPerUnitMo)+RetailRentMo*MIN(1,LeaseUp!HI$10/StabilizedOccupancy)),0)</f>
        <v/>
      </c>
      <c r="HJ71" s="218">
        <f>IF(214&gt;=DeliverStart,TotalUnits/12*(CapReservePerUnit+TaxPrepPerUnit)+AssetMgmtFeePct*((BaseMarketRentMo+BaseLowRentMo)*(LeaseUp!HJ$10-LossToLeasePct-BadDebtPct-ConcessionsPct)+LeaseUp!HJ$9*(ParkingPerUnitMo+UtilReimbPerUnitMo+OtherIncPerUnitMo)+RetailRentMo*MIN(1,LeaseUp!HJ$10/StabilizedOccupancy)),0)</f>
        <v/>
      </c>
      <c r="HK71" s="218">
        <f>IF(215&gt;=DeliverStart,TotalUnits/12*(CapReservePerUnit+TaxPrepPerUnit)+AssetMgmtFeePct*((BaseMarketRentMo+BaseLowRentMo)*(LeaseUp!HK$10-LossToLeasePct-BadDebtPct-ConcessionsPct)+LeaseUp!HK$9*(ParkingPerUnitMo+UtilReimbPerUnitMo+OtherIncPerUnitMo)+RetailRentMo*MIN(1,LeaseUp!HK$10/StabilizedOccupancy)),0)</f>
        <v/>
      </c>
      <c r="HL71" s="218">
        <f>IF(216&gt;=DeliverStart,TotalUnits/12*(CapReservePerUnit+TaxPrepPerUnit)+AssetMgmtFeePct*((BaseMarketRentMo+BaseLowRentMo)*(LeaseUp!HL$10-LossToLeasePct-BadDebtPct-ConcessionsPct)+LeaseUp!HL$9*(ParkingPerUnitMo+UtilReimbPerUnitMo+OtherIncPerUnitMo)+RetailRentMo*MIN(1,LeaseUp!HL$10/StabilizedOccupancy)),0)</f>
        <v/>
      </c>
      <c r="HM71" s="218">
        <f>IF(217&gt;=DeliverStart,TotalUnits/12*(CapReservePerUnit+TaxPrepPerUnit)+AssetMgmtFeePct*((BaseMarketRentMo+BaseLowRentMo)*(LeaseUp!HM$10-LossToLeasePct-BadDebtPct-ConcessionsPct)+LeaseUp!HM$9*(ParkingPerUnitMo+UtilReimbPerUnitMo+OtherIncPerUnitMo)+RetailRentMo*MIN(1,LeaseUp!HM$10/StabilizedOccupancy)),0)</f>
        <v/>
      </c>
      <c r="HN71" s="218">
        <f>IF(218&gt;=DeliverStart,TotalUnits/12*(CapReservePerUnit+TaxPrepPerUnit)+AssetMgmtFeePct*((BaseMarketRentMo+BaseLowRentMo)*(LeaseUp!HN$10-LossToLeasePct-BadDebtPct-ConcessionsPct)+LeaseUp!HN$9*(ParkingPerUnitMo+UtilReimbPerUnitMo+OtherIncPerUnitMo)+RetailRentMo*MIN(1,LeaseUp!HN$10/StabilizedOccupancy)),0)</f>
        <v/>
      </c>
      <c r="HO71" s="218">
        <f>IF(219&gt;=DeliverStart,TotalUnits/12*(CapReservePerUnit+TaxPrepPerUnit)+AssetMgmtFeePct*((BaseMarketRentMo+BaseLowRentMo)*(LeaseUp!HO$10-LossToLeasePct-BadDebtPct-ConcessionsPct)+LeaseUp!HO$9*(ParkingPerUnitMo+UtilReimbPerUnitMo+OtherIncPerUnitMo)+RetailRentMo*MIN(1,LeaseUp!HO$10/StabilizedOccupancy)),0)</f>
        <v/>
      </c>
      <c r="HP71" s="218">
        <f>IF(220&gt;=DeliverStart,TotalUnits/12*(CapReservePerUnit+TaxPrepPerUnit)+AssetMgmtFeePct*((BaseMarketRentMo+BaseLowRentMo)*(LeaseUp!HP$10-LossToLeasePct-BadDebtPct-ConcessionsPct)+LeaseUp!HP$9*(ParkingPerUnitMo+UtilReimbPerUnitMo+OtherIncPerUnitMo)+RetailRentMo*MIN(1,LeaseUp!HP$10/StabilizedOccupancy)),0)</f>
        <v/>
      </c>
      <c r="HQ71" s="218">
        <f>IF(221&gt;=DeliverStart,TotalUnits/12*(CapReservePerUnit+TaxPrepPerUnit)+AssetMgmtFeePct*((BaseMarketRentMo+BaseLowRentMo)*(LeaseUp!HQ$10-LossToLeasePct-BadDebtPct-ConcessionsPct)+LeaseUp!HQ$9*(ParkingPerUnitMo+UtilReimbPerUnitMo+OtherIncPerUnitMo)+RetailRentMo*MIN(1,LeaseUp!HQ$10/StabilizedOccupancy)),0)</f>
        <v/>
      </c>
      <c r="HR71" s="218">
        <f>IF(222&gt;=DeliverStart,TotalUnits/12*(CapReservePerUnit+TaxPrepPerUnit)+AssetMgmtFeePct*((BaseMarketRentMo+BaseLowRentMo)*(LeaseUp!HR$10-LossToLeasePct-BadDebtPct-ConcessionsPct)+LeaseUp!HR$9*(ParkingPerUnitMo+UtilReimbPerUnitMo+OtherIncPerUnitMo)+RetailRentMo*MIN(1,LeaseUp!HR$10/StabilizedOccupancy)),0)</f>
        <v/>
      </c>
      <c r="HS71" s="218">
        <f>IF(223&gt;=DeliverStart,TotalUnits/12*(CapReservePerUnit+TaxPrepPerUnit)+AssetMgmtFeePct*((BaseMarketRentMo+BaseLowRentMo)*(LeaseUp!HS$10-LossToLeasePct-BadDebtPct-ConcessionsPct)+LeaseUp!HS$9*(ParkingPerUnitMo+UtilReimbPerUnitMo+OtherIncPerUnitMo)+RetailRentMo*MIN(1,LeaseUp!HS$10/StabilizedOccupancy)),0)</f>
        <v/>
      </c>
      <c r="HT71" s="218">
        <f>IF(224&gt;=DeliverStart,TotalUnits/12*(CapReservePerUnit+TaxPrepPerUnit)+AssetMgmtFeePct*((BaseMarketRentMo+BaseLowRentMo)*(LeaseUp!HT$10-LossToLeasePct-BadDebtPct-ConcessionsPct)+LeaseUp!HT$9*(ParkingPerUnitMo+UtilReimbPerUnitMo+OtherIncPerUnitMo)+RetailRentMo*MIN(1,LeaseUp!HT$10/StabilizedOccupancy)),0)</f>
        <v/>
      </c>
      <c r="HU71" s="218">
        <f>IF(225&gt;=DeliverStart,TotalUnits/12*(CapReservePerUnit+TaxPrepPerUnit)+AssetMgmtFeePct*((BaseMarketRentMo+BaseLowRentMo)*(LeaseUp!HU$10-LossToLeasePct-BadDebtPct-ConcessionsPct)+LeaseUp!HU$9*(ParkingPerUnitMo+UtilReimbPerUnitMo+OtherIncPerUnitMo)+RetailRentMo*MIN(1,LeaseUp!HU$10/StabilizedOccupancy)),0)</f>
        <v/>
      </c>
      <c r="HV71" s="218">
        <f>IF(226&gt;=DeliverStart,TotalUnits/12*(CapReservePerUnit+TaxPrepPerUnit)+AssetMgmtFeePct*((BaseMarketRentMo+BaseLowRentMo)*(LeaseUp!HV$10-LossToLeasePct-BadDebtPct-ConcessionsPct)+LeaseUp!HV$9*(ParkingPerUnitMo+UtilReimbPerUnitMo+OtherIncPerUnitMo)+RetailRentMo*MIN(1,LeaseUp!HV$10/StabilizedOccupancy)),0)</f>
        <v/>
      </c>
      <c r="HW71" s="218">
        <f>IF(227&gt;=DeliverStart,TotalUnits/12*(CapReservePerUnit+TaxPrepPerUnit)+AssetMgmtFeePct*((BaseMarketRentMo+BaseLowRentMo)*(LeaseUp!HW$10-LossToLeasePct-BadDebtPct-ConcessionsPct)+LeaseUp!HW$9*(ParkingPerUnitMo+UtilReimbPerUnitMo+OtherIncPerUnitMo)+RetailRentMo*MIN(1,LeaseUp!HW$10/StabilizedOccupancy)),0)</f>
        <v/>
      </c>
      <c r="HX71" s="218">
        <f>IF(228&gt;=DeliverStart,TotalUnits/12*(CapReservePerUnit+TaxPrepPerUnit)+AssetMgmtFeePct*((BaseMarketRentMo+BaseLowRentMo)*(LeaseUp!HX$10-LossToLeasePct-BadDebtPct-ConcessionsPct)+LeaseUp!HX$9*(ParkingPerUnitMo+UtilReimbPerUnitMo+OtherIncPerUnitMo)+RetailRentMo*MIN(1,LeaseUp!HX$10/StabilizedOccupancy)),0)</f>
        <v/>
      </c>
      <c r="HY71" s="218">
        <f>IF(229&gt;=DeliverStart,TotalUnits/12*(CapReservePerUnit+TaxPrepPerUnit)+AssetMgmtFeePct*((BaseMarketRentMo+BaseLowRentMo)*(LeaseUp!HY$10-LossToLeasePct-BadDebtPct-ConcessionsPct)+LeaseUp!HY$9*(ParkingPerUnitMo+UtilReimbPerUnitMo+OtherIncPerUnitMo)+RetailRentMo*MIN(1,LeaseUp!HY$10/StabilizedOccupancy)),0)</f>
        <v/>
      </c>
      <c r="HZ71" s="218">
        <f>IF(230&gt;=DeliverStart,TotalUnits/12*(CapReservePerUnit+TaxPrepPerUnit)+AssetMgmtFeePct*((BaseMarketRentMo+BaseLowRentMo)*(LeaseUp!HZ$10-LossToLeasePct-BadDebtPct-ConcessionsPct)+LeaseUp!HZ$9*(ParkingPerUnitMo+UtilReimbPerUnitMo+OtherIncPerUnitMo)+RetailRentMo*MIN(1,LeaseUp!HZ$10/StabilizedOccupancy)),0)</f>
        <v/>
      </c>
      <c r="IA71" s="218">
        <f>IF(231&gt;=DeliverStart,TotalUnits/12*(CapReservePerUnit+TaxPrepPerUnit)+AssetMgmtFeePct*((BaseMarketRentMo+BaseLowRentMo)*(LeaseUp!IA$10-LossToLeasePct-BadDebtPct-ConcessionsPct)+LeaseUp!IA$9*(ParkingPerUnitMo+UtilReimbPerUnitMo+OtherIncPerUnitMo)+RetailRentMo*MIN(1,LeaseUp!IA$10/StabilizedOccupancy)),0)</f>
        <v/>
      </c>
      <c r="IB71" s="218">
        <f>IF(232&gt;=DeliverStart,TotalUnits/12*(CapReservePerUnit+TaxPrepPerUnit)+AssetMgmtFeePct*((BaseMarketRentMo+BaseLowRentMo)*(LeaseUp!IB$10-LossToLeasePct-BadDebtPct-ConcessionsPct)+LeaseUp!IB$9*(ParkingPerUnitMo+UtilReimbPerUnitMo+OtherIncPerUnitMo)+RetailRentMo*MIN(1,LeaseUp!IB$10/StabilizedOccupancy)),0)</f>
        <v/>
      </c>
      <c r="IC71" s="218">
        <f>IF(233&gt;=DeliverStart,TotalUnits/12*(CapReservePerUnit+TaxPrepPerUnit)+AssetMgmtFeePct*((BaseMarketRentMo+BaseLowRentMo)*(LeaseUp!IC$10-LossToLeasePct-BadDebtPct-ConcessionsPct)+LeaseUp!IC$9*(ParkingPerUnitMo+UtilReimbPerUnitMo+OtherIncPerUnitMo)+RetailRentMo*MIN(1,LeaseUp!IC$10/StabilizedOccupancy)),0)</f>
        <v/>
      </c>
      <c r="ID71" s="218">
        <f>IF(234&gt;=DeliverStart,TotalUnits/12*(CapReservePerUnit+TaxPrepPerUnit)+AssetMgmtFeePct*((BaseMarketRentMo+BaseLowRentMo)*(LeaseUp!ID$10-LossToLeasePct-BadDebtPct-ConcessionsPct)+LeaseUp!ID$9*(ParkingPerUnitMo+UtilReimbPerUnitMo+OtherIncPerUnitMo)+RetailRentMo*MIN(1,LeaseUp!ID$10/StabilizedOccupancy)),0)</f>
        <v/>
      </c>
      <c r="IE71" s="218">
        <f>IF(235&gt;=DeliverStart,TotalUnits/12*(CapReservePerUnit+TaxPrepPerUnit)+AssetMgmtFeePct*((BaseMarketRentMo+BaseLowRentMo)*(LeaseUp!IE$10-LossToLeasePct-BadDebtPct-ConcessionsPct)+LeaseUp!IE$9*(ParkingPerUnitMo+UtilReimbPerUnitMo+OtherIncPerUnitMo)+RetailRentMo*MIN(1,LeaseUp!IE$10/StabilizedOccupancy)),0)</f>
        <v/>
      </c>
      <c r="IF71" s="218">
        <f>IF(236&gt;=DeliverStart,TotalUnits/12*(CapReservePerUnit+TaxPrepPerUnit)+AssetMgmtFeePct*((BaseMarketRentMo+BaseLowRentMo)*(LeaseUp!IF$10-LossToLeasePct-BadDebtPct-ConcessionsPct)+LeaseUp!IF$9*(ParkingPerUnitMo+UtilReimbPerUnitMo+OtherIncPerUnitMo)+RetailRentMo*MIN(1,LeaseUp!IF$10/StabilizedOccupancy)),0)</f>
        <v/>
      </c>
      <c r="IG71" s="218">
        <f>IF(237&gt;=DeliverStart,TotalUnits/12*(CapReservePerUnit+TaxPrepPerUnit)+AssetMgmtFeePct*((BaseMarketRentMo+BaseLowRentMo)*(LeaseUp!IG$10-LossToLeasePct-BadDebtPct-ConcessionsPct)+LeaseUp!IG$9*(ParkingPerUnitMo+UtilReimbPerUnitMo+OtherIncPerUnitMo)+RetailRentMo*MIN(1,LeaseUp!IG$10/StabilizedOccupancy)),0)</f>
        <v/>
      </c>
      <c r="IH71" s="218">
        <f>IF(238&gt;=DeliverStart,TotalUnits/12*(CapReservePerUnit+TaxPrepPerUnit)+AssetMgmtFeePct*((BaseMarketRentMo+BaseLowRentMo)*(LeaseUp!IH$10-LossToLeasePct-BadDebtPct-ConcessionsPct)+LeaseUp!IH$9*(ParkingPerUnitMo+UtilReimbPerUnitMo+OtherIncPerUnitMo)+RetailRentMo*MIN(1,LeaseUp!IH$10/StabilizedOccupancy)),0)</f>
        <v/>
      </c>
      <c r="II71" s="218">
        <f>IF(239&gt;=DeliverStart,TotalUnits/12*(CapReservePerUnit+TaxPrepPerUnit)+AssetMgmtFeePct*((BaseMarketRentMo+BaseLowRentMo)*(LeaseUp!II$10-LossToLeasePct-BadDebtPct-ConcessionsPct)+LeaseUp!II$9*(ParkingPerUnitMo+UtilReimbPerUnitMo+OtherIncPerUnitMo)+RetailRentMo*MIN(1,LeaseUp!II$10/StabilizedOccupancy)),0)</f>
        <v/>
      </c>
      <c r="IJ71" s="218">
        <f>IF(240&gt;=DeliverStart,TotalUnits/12*(CapReservePerUnit+TaxPrepPerUnit)+AssetMgmtFeePct*((BaseMarketRentMo+BaseLowRentMo)*(LeaseUp!IJ$10-LossToLeasePct-BadDebtPct-ConcessionsPct)+LeaseUp!IJ$9*(ParkingPerUnitMo+UtilReimbPerUnitMo+OtherIncPerUnitMo)+RetailRentMo*MIN(1,LeaseUp!IJ$10/StabilizedOccupancy)),0)</f>
        <v/>
      </c>
      <c r="IK71" s="218">
        <f>IF(241&gt;=DeliverStart,TotalUnits/12*(CapReservePerUnit+TaxPrepPerUnit)+AssetMgmtFeePct*((BaseMarketRentMo+BaseLowRentMo)*(LeaseUp!IK$10-LossToLeasePct-BadDebtPct-ConcessionsPct)+LeaseUp!IK$9*(ParkingPerUnitMo+UtilReimbPerUnitMo+OtherIncPerUnitMo)+RetailRentMo*MIN(1,LeaseUp!IK$10/StabilizedOccupancy)),0)</f>
        <v/>
      </c>
      <c r="IL71" s="218">
        <f>IF(242&gt;=DeliverStart,TotalUnits/12*(CapReservePerUnit+TaxPrepPerUnit)+AssetMgmtFeePct*((BaseMarketRentMo+BaseLowRentMo)*(LeaseUp!IL$10-LossToLeasePct-BadDebtPct-ConcessionsPct)+LeaseUp!IL$9*(ParkingPerUnitMo+UtilReimbPerUnitMo+OtherIncPerUnitMo)+RetailRentMo*MIN(1,LeaseUp!IL$10/StabilizedOccupancy)),0)</f>
        <v/>
      </c>
      <c r="IM71" s="218">
        <f>IF(243&gt;=DeliverStart,TotalUnits/12*(CapReservePerUnit+TaxPrepPerUnit)+AssetMgmtFeePct*((BaseMarketRentMo+BaseLowRentMo)*(LeaseUp!IM$10-LossToLeasePct-BadDebtPct-ConcessionsPct)+LeaseUp!IM$9*(ParkingPerUnitMo+UtilReimbPerUnitMo+OtherIncPerUnitMo)+RetailRentMo*MIN(1,LeaseUp!IM$10/StabilizedOccupancy)),0)</f>
        <v/>
      </c>
      <c r="IN71" s="218">
        <f>IF(244&gt;=DeliverStart,TotalUnits/12*(CapReservePerUnit+TaxPrepPerUnit)+AssetMgmtFeePct*((BaseMarketRentMo+BaseLowRentMo)*(LeaseUp!IN$10-LossToLeasePct-BadDebtPct-ConcessionsPct)+LeaseUp!IN$9*(ParkingPerUnitMo+UtilReimbPerUnitMo+OtherIncPerUnitMo)+RetailRentMo*MIN(1,LeaseUp!IN$10/StabilizedOccupancy)),0)</f>
        <v/>
      </c>
      <c r="IO71" s="218">
        <f>IF(245&gt;=DeliverStart,TotalUnits/12*(CapReservePerUnit+TaxPrepPerUnit)+AssetMgmtFeePct*((BaseMarketRentMo+BaseLowRentMo)*(LeaseUp!IO$10-LossToLeasePct-BadDebtPct-ConcessionsPct)+LeaseUp!IO$9*(ParkingPerUnitMo+UtilReimbPerUnitMo+OtherIncPerUnitMo)+RetailRentMo*MIN(1,LeaseUp!IO$10/StabilizedOccupancy)),0)</f>
        <v/>
      </c>
      <c r="IP71" s="218">
        <f>IF(246&gt;=DeliverStart,TotalUnits/12*(CapReservePerUnit+TaxPrepPerUnit)+AssetMgmtFeePct*((BaseMarketRentMo+BaseLowRentMo)*(LeaseUp!IP$10-LossToLeasePct-BadDebtPct-ConcessionsPct)+LeaseUp!IP$9*(ParkingPerUnitMo+UtilReimbPerUnitMo+OtherIncPerUnitMo)+RetailRentMo*MIN(1,LeaseUp!IP$10/StabilizedOccupancy)),0)</f>
        <v/>
      </c>
      <c r="IQ71" s="218">
        <f>IF(247&gt;=DeliverStart,TotalUnits/12*(CapReservePerUnit+TaxPrepPerUnit)+AssetMgmtFeePct*((BaseMarketRentMo+BaseLowRentMo)*(LeaseUp!IQ$10-LossToLeasePct-BadDebtPct-ConcessionsPct)+LeaseUp!IQ$9*(ParkingPerUnitMo+UtilReimbPerUnitMo+OtherIncPerUnitMo)+RetailRentMo*MIN(1,LeaseUp!IQ$10/StabilizedOccupancy)),0)</f>
        <v/>
      </c>
      <c r="IR71" s="218">
        <f>IF(248&gt;=DeliverStart,TotalUnits/12*(CapReservePerUnit+TaxPrepPerUnit)+AssetMgmtFeePct*((BaseMarketRentMo+BaseLowRentMo)*(LeaseUp!IR$10-LossToLeasePct-BadDebtPct-ConcessionsPct)+LeaseUp!IR$9*(ParkingPerUnitMo+UtilReimbPerUnitMo+OtherIncPerUnitMo)+RetailRentMo*MIN(1,LeaseUp!IR$10/StabilizedOccupancy)),0)</f>
        <v/>
      </c>
      <c r="IS71" s="218">
        <f>IF(249&gt;=DeliverStart,TotalUnits/12*(CapReservePerUnit+TaxPrepPerUnit)+AssetMgmtFeePct*((BaseMarketRentMo+BaseLowRentMo)*(LeaseUp!IS$10-LossToLeasePct-BadDebtPct-ConcessionsPct)+LeaseUp!IS$9*(ParkingPerUnitMo+UtilReimbPerUnitMo+OtherIncPerUnitMo)+RetailRentMo*MIN(1,LeaseUp!IS$10/StabilizedOccupancy)),0)</f>
        <v/>
      </c>
      <c r="IT71" s="218">
        <f>IF(250&gt;=DeliverStart,TotalUnits/12*(CapReservePerUnit+TaxPrepPerUnit)+AssetMgmtFeePct*((BaseMarketRentMo+BaseLowRentMo)*(LeaseUp!IT$10-LossToLeasePct-BadDebtPct-ConcessionsPct)+LeaseUp!IT$9*(ParkingPerUnitMo+UtilReimbPerUnitMo+OtherIncPerUnitMo)+RetailRentMo*MIN(1,LeaseUp!IT$10/StabilizedOccupancy)),0)</f>
        <v/>
      </c>
      <c r="IU71" s="218">
        <f>IF(251&gt;=DeliverStart,TotalUnits/12*(CapReservePerUnit+TaxPrepPerUnit)+AssetMgmtFeePct*((BaseMarketRentMo+BaseLowRentMo)*(LeaseUp!IU$10-LossToLeasePct-BadDebtPct-ConcessionsPct)+LeaseUp!IU$9*(ParkingPerUnitMo+UtilReimbPerUnitMo+OtherIncPerUnitMo)+RetailRentMo*MIN(1,LeaseUp!IU$10/StabilizedOccupancy)),0)</f>
        <v/>
      </c>
      <c r="IV71" s="218">
        <f>IF(252&gt;=DeliverStart,TotalUnits/12*(CapReservePerUnit+TaxPrepPerUnit)+AssetMgmtFeePct*((BaseMarketRentMo+BaseLowRentMo)*(LeaseUp!IV$10-LossToLeasePct-BadDebtPct-ConcessionsPct)+LeaseUp!IV$9*(ParkingPerUnitMo+UtilReimbPerUnitMo+OtherIncPerUnitMo)+RetailRentMo*MIN(1,LeaseUp!IV$10/StabilizedOccupancy)),0)</f>
        <v/>
      </c>
      <c r="IW71" s="218">
        <f>IF(253&gt;=DeliverStart,TotalUnits/12*(CapReservePerUnit+TaxPrepPerUnit)+AssetMgmtFeePct*((BaseMarketRentMo+BaseLowRentMo)*(LeaseUp!IW$10-LossToLeasePct-BadDebtPct-ConcessionsPct)+LeaseUp!IW$9*(ParkingPerUnitMo+UtilReimbPerUnitMo+OtherIncPerUnitMo)+RetailRentMo*MIN(1,LeaseUp!IW$10/StabilizedOccupancy)),0)</f>
        <v/>
      </c>
      <c r="IX71" s="218">
        <f>IF(254&gt;=DeliverStart,TotalUnits/12*(CapReservePerUnit+TaxPrepPerUnit)+AssetMgmtFeePct*((BaseMarketRentMo+BaseLowRentMo)*(LeaseUp!IX$10-LossToLeasePct-BadDebtPct-ConcessionsPct)+LeaseUp!IX$9*(ParkingPerUnitMo+UtilReimbPerUnitMo+OtherIncPerUnitMo)+RetailRentMo*MIN(1,LeaseUp!IX$10/StabilizedOccupancy)),0)</f>
        <v/>
      </c>
      <c r="IY71" s="218">
        <f>IF(255&gt;=DeliverStart,TotalUnits/12*(CapReservePerUnit+TaxPrepPerUnit)+AssetMgmtFeePct*((BaseMarketRentMo+BaseLowRentMo)*(LeaseUp!IY$10-LossToLeasePct-BadDebtPct-ConcessionsPct)+LeaseUp!IY$9*(ParkingPerUnitMo+UtilReimbPerUnitMo+OtherIncPerUnitMo)+RetailRentMo*MIN(1,LeaseUp!IY$10/StabilizedOccupancy)),0)</f>
        <v/>
      </c>
      <c r="IZ71" s="218">
        <f>IF(256&gt;=DeliverStart,TotalUnits/12*(CapReservePerUnit+TaxPrepPerUnit)+AssetMgmtFeePct*((BaseMarketRentMo+BaseLowRentMo)*(LeaseUp!IZ$10-LossToLeasePct-BadDebtPct-ConcessionsPct)+LeaseUp!IZ$9*(ParkingPerUnitMo+UtilReimbPerUnitMo+OtherIncPerUnitMo)+RetailRentMo*MIN(1,LeaseUp!IZ$10/StabilizedOccupancy)),0)</f>
        <v/>
      </c>
      <c r="JA71" s="218">
        <f>IF(257&gt;=DeliverStart,TotalUnits/12*(CapReservePerUnit+TaxPrepPerUnit)+AssetMgmtFeePct*((BaseMarketRentMo+BaseLowRentMo)*(LeaseUp!JA$10-LossToLeasePct-BadDebtPct-ConcessionsPct)+LeaseUp!JA$9*(ParkingPerUnitMo+UtilReimbPerUnitMo+OtherIncPerUnitMo)+RetailRentMo*MIN(1,LeaseUp!JA$10/StabilizedOccupancy)),0)</f>
        <v/>
      </c>
      <c r="JB71" s="218">
        <f>IF(258&gt;=DeliverStart,TotalUnits/12*(CapReservePerUnit+TaxPrepPerUnit)+AssetMgmtFeePct*((BaseMarketRentMo+BaseLowRentMo)*(LeaseUp!JB$10-LossToLeasePct-BadDebtPct-ConcessionsPct)+LeaseUp!JB$9*(ParkingPerUnitMo+UtilReimbPerUnitMo+OtherIncPerUnitMo)+RetailRentMo*MIN(1,LeaseUp!JB$10/StabilizedOccupancy)),0)</f>
        <v/>
      </c>
      <c r="JC71" s="218">
        <f>IF(259&gt;=DeliverStart,TotalUnits/12*(CapReservePerUnit+TaxPrepPerUnit)+AssetMgmtFeePct*((BaseMarketRentMo+BaseLowRentMo)*(LeaseUp!JC$10-LossToLeasePct-BadDebtPct-ConcessionsPct)+LeaseUp!JC$9*(ParkingPerUnitMo+UtilReimbPerUnitMo+OtherIncPerUnitMo)+RetailRentMo*MIN(1,LeaseUp!JC$10/StabilizedOccupancy)),0)</f>
        <v/>
      </c>
      <c r="JD71" s="218">
        <f>IF(260&gt;=DeliverStart,TotalUnits/12*(CapReservePerUnit+TaxPrepPerUnit)+AssetMgmtFeePct*((BaseMarketRentMo+BaseLowRentMo)*(LeaseUp!JD$10-LossToLeasePct-BadDebtPct-ConcessionsPct)+LeaseUp!JD$9*(ParkingPerUnitMo+UtilReimbPerUnitMo+OtherIncPerUnitMo)+RetailRentMo*MIN(1,LeaseUp!JD$10/StabilizedOccupancy)),0)</f>
        <v/>
      </c>
      <c r="JE71" s="218">
        <f>IF(261&gt;=DeliverStart,TotalUnits/12*(CapReservePerUnit+TaxPrepPerUnit)+AssetMgmtFeePct*((BaseMarketRentMo+BaseLowRentMo)*(LeaseUp!JE$10-LossToLeasePct-BadDebtPct-ConcessionsPct)+LeaseUp!JE$9*(ParkingPerUnitMo+UtilReimbPerUnitMo+OtherIncPerUnitMo)+RetailRentMo*MIN(1,LeaseUp!JE$10/StabilizedOccupancy)),0)</f>
        <v/>
      </c>
      <c r="JF71" s="218">
        <f>IF(262&gt;=DeliverStart,TotalUnits/12*(CapReservePerUnit+TaxPrepPerUnit)+AssetMgmtFeePct*((BaseMarketRentMo+BaseLowRentMo)*(LeaseUp!JF$10-LossToLeasePct-BadDebtPct-ConcessionsPct)+LeaseUp!JF$9*(ParkingPerUnitMo+UtilReimbPerUnitMo+OtherIncPerUnitMo)+RetailRentMo*MIN(1,LeaseUp!JF$10/StabilizedOccupancy)),0)</f>
        <v/>
      </c>
      <c r="JG71" s="218">
        <f>IF(263&gt;=DeliverStart,TotalUnits/12*(CapReservePerUnit+TaxPrepPerUnit)+AssetMgmtFeePct*((BaseMarketRentMo+BaseLowRentMo)*(LeaseUp!JG$10-LossToLeasePct-BadDebtPct-ConcessionsPct)+LeaseUp!JG$9*(ParkingPerUnitMo+UtilReimbPerUnitMo+OtherIncPerUnitMo)+RetailRentMo*MIN(1,LeaseUp!JG$10/StabilizedOccupancy)),0)</f>
        <v/>
      </c>
      <c r="JH71" s="218">
        <f>IF(264&gt;=DeliverStart,TotalUnits/12*(CapReservePerUnit+TaxPrepPerUnit)+AssetMgmtFeePct*((BaseMarketRentMo+BaseLowRentMo)*(LeaseUp!JH$10-LossToLeasePct-BadDebtPct-ConcessionsPct)+LeaseUp!JH$9*(ParkingPerUnitMo+UtilReimbPerUnitMo+OtherIncPerUnitMo)+RetailRentMo*MIN(1,LeaseUp!JH$10/StabilizedOccupancy)),0)</f>
        <v/>
      </c>
      <c r="JI71" s="218">
        <f>IF(265&gt;=DeliverStart,TotalUnits/12*(CapReservePerUnit+TaxPrepPerUnit)+AssetMgmtFeePct*((BaseMarketRentMo+BaseLowRentMo)*(LeaseUp!JI$10-LossToLeasePct-BadDebtPct-ConcessionsPct)+LeaseUp!JI$9*(ParkingPerUnitMo+UtilReimbPerUnitMo+OtherIncPerUnitMo)+RetailRentMo*MIN(1,LeaseUp!JI$10/StabilizedOccupancy)),0)</f>
        <v/>
      </c>
      <c r="JJ71" s="218">
        <f>IF(266&gt;=DeliverStart,TotalUnits/12*(CapReservePerUnit+TaxPrepPerUnit)+AssetMgmtFeePct*((BaseMarketRentMo+BaseLowRentMo)*(LeaseUp!JJ$10-LossToLeasePct-BadDebtPct-ConcessionsPct)+LeaseUp!JJ$9*(ParkingPerUnitMo+UtilReimbPerUnitMo+OtherIncPerUnitMo)+RetailRentMo*MIN(1,LeaseUp!JJ$10/StabilizedOccupancy)),0)</f>
        <v/>
      </c>
      <c r="JK71" s="218">
        <f>IF(267&gt;=DeliverStart,TotalUnits/12*(CapReservePerUnit+TaxPrepPerUnit)+AssetMgmtFeePct*((BaseMarketRentMo+BaseLowRentMo)*(LeaseUp!JK$10-LossToLeasePct-BadDebtPct-ConcessionsPct)+LeaseUp!JK$9*(ParkingPerUnitMo+UtilReimbPerUnitMo+OtherIncPerUnitMo)+RetailRentMo*MIN(1,LeaseUp!JK$10/StabilizedOccupancy)),0)</f>
        <v/>
      </c>
      <c r="JL71" s="218">
        <f>IF(268&gt;=DeliverStart,TotalUnits/12*(CapReservePerUnit+TaxPrepPerUnit)+AssetMgmtFeePct*((BaseMarketRentMo+BaseLowRentMo)*(LeaseUp!JL$10-LossToLeasePct-BadDebtPct-ConcessionsPct)+LeaseUp!JL$9*(ParkingPerUnitMo+UtilReimbPerUnitMo+OtherIncPerUnitMo)+RetailRentMo*MIN(1,LeaseUp!JL$10/StabilizedOccupancy)),0)</f>
        <v/>
      </c>
      <c r="JM71" s="218">
        <f>IF(269&gt;=DeliverStart,TotalUnits/12*(CapReservePerUnit+TaxPrepPerUnit)+AssetMgmtFeePct*((BaseMarketRentMo+BaseLowRentMo)*(LeaseUp!JM$10-LossToLeasePct-BadDebtPct-ConcessionsPct)+LeaseUp!JM$9*(ParkingPerUnitMo+UtilReimbPerUnitMo+OtherIncPerUnitMo)+RetailRentMo*MIN(1,LeaseUp!JM$10/StabilizedOccupancy)),0)</f>
        <v/>
      </c>
      <c r="JN71" s="218">
        <f>IF(270&gt;=DeliverStart,TotalUnits/12*(CapReservePerUnit+TaxPrepPerUnit)+AssetMgmtFeePct*((BaseMarketRentMo+BaseLowRentMo)*(LeaseUp!JN$10-LossToLeasePct-BadDebtPct-ConcessionsPct)+LeaseUp!JN$9*(ParkingPerUnitMo+UtilReimbPerUnitMo+OtherIncPerUnitMo)+RetailRentMo*MIN(1,LeaseUp!JN$10/StabilizedOccupancy)),0)</f>
        <v/>
      </c>
      <c r="JO71" s="218">
        <f>IF(271&gt;=DeliverStart,TotalUnits/12*(CapReservePerUnit+TaxPrepPerUnit)+AssetMgmtFeePct*((BaseMarketRentMo+BaseLowRentMo)*(LeaseUp!JO$10-LossToLeasePct-BadDebtPct-ConcessionsPct)+LeaseUp!JO$9*(ParkingPerUnitMo+UtilReimbPerUnitMo+OtherIncPerUnitMo)+RetailRentMo*MIN(1,LeaseUp!JO$10/StabilizedOccupancy)),0)</f>
        <v/>
      </c>
      <c r="JP71" s="218">
        <f>IF(272&gt;=DeliverStart,TotalUnits/12*(CapReservePerUnit+TaxPrepPerUnit)+AssetMgmtFeePct*((BaseMarketRentMo+BaseLowRentMo)*(LeaseUp!JP$10-LossToLeasePct-BadDebtPct-ConcessionsPct)+LeaseUp!JP$9*(ParkingPerUnitMo+UtilReimbPerUnitMo+OtherIncPerUnitMo)+RetailRentMo*MIN(1,LeaseUp!JP$10/StabilizedOccupancy)),0)</f>
        <v/>
      </c>
      <c r="JQ71" s="218">
        <f>IF(273&gt;=DeliverStart,TotalUnits/12*(CapReservePerUnit+TaxPrepPerUnit)+AssetMgmtFeePct*((BaseMarketRentMo+BaseLowRentMo)*(LeaseUp!JQ$10-LossToLeasePct-BadDebtPct-ConcessionsPct)+LeaseUp!JQ$9*(ParkingPerUnitMo+UtilReimbPerUnitMo+OtherIncPerUnitMo)+RetailRentMo*MIN(1,LeaseUp!JQ$10/StabilizedOccupancy)),0)</f>
        <v/>
      </c>
      <c r="JR71" s="218">
        <f>IF(274&gt;=DeliverStart,TotalUnits/12*(CapReservePerUnit+TaxPrepPerUnit)+AssetMgmtFeePct*((BaseMarketRentMo+BaseLowRentMo)*(LeaseUp!JR$10-LossToLeasePct-BadDebtPct-ConcessionsPct)+LeaseUp!JR$9*(ParkingPerUnitMo+UtilReimbPerUnitMo+OtherIncPerUnitMo)+RetailRentMo*MIN(1,LeaseUp!JR$10/StabilizedOccupancy)),0)</f>
        <v/>
      </c>
      <c r="JS71" s="218">
        <f>IF(275&gt;=DeliverStart,TotalUnits/12*(CapReservePerUnit+TaxPrepPerUnit)+AssetMgmtFeePct*((BaseMarketRentMo+BaseLowRentMo)*(LeaseUp!JS$10-LossToLeasePct-BadDebtPct-ConcessionsPct)+LeaseUp!JS$9*(ParkingPerUnitMo+UtilReimbPerUnitMo+OtherIncPerUnitMo)+RetailRentMo*MIN(1,LeaseUp!JS$10/StabilizedOccupancy)),0)</f>
        <v/>
      </c>
      <c r="JT71" s="218">
        <f>IF(276&gt;=DeliverStart,TotalUnits/12*(CapReservePerUnit+TaxPrepPerUnit)+AssetMgmtFeePct*((BaseMarketRentMo+BaseLowRentMo)*(LeaseUp!JT$10-LossToLeasePct-BadDebtPct-ConcessionsPct)+LeaseUp!JT$9*(ParkingPerUnitMo+UtilReimbPerUnitMo+OtherIncPerUnitMo)+RetailRentMo*MIN(1,LeaseUp!JT$10/StabilizedOccupancy)),0)</f>
        <v/>
      </c>
      <c r="JU71" s="218">
        <f>IF(277&gt;=DeliverStart,TotalUnits/12*(CapReservePerUnit+TaxPrepPerUnit)+AssetMgmtFeePct*((BaseMarketRentMo+BaseLowRentMo)*(LeaseUp!JU$10-LossToLeasePct-BadDebtPct-ConcessionsPct)+LeaseUp!JU$9*(ParkingPerUnitMo+UtilReimbPerUnitMo+OtherIncPerUnitMo)+RetailRentMo*MIN(1,LeaseUp!JU$10/StabilizedOccupancy)),0)</f>
        <v/>
      </c>
      <c r="JV71" s="218">
        <f>IF(278&gt;=DeliverStart,TotalUnits/12*(CapReservePerUnit+TaxPrepPerUnit)+AssetMgmtFeePct*((BaseMarketRentMo+BaseLowRentMo)*(LeaseUp!JV$10-LossToLeasePct-BadDebtPct-ConcessionsPct)+LeaseUp!JV$9*(ParkingPerUnitMo+UtilReimbPerUnitMo+OtherIncPerUnitMo)+RetailRentMo*MIN(1,LeaseUp!JV$10/StabilizedOccupancy)),0)</f>
        <v/>
      </c>
      <c r="JW71" s="218">
        <f>IF(279&gt;=DeliverStart,TotalUnits/12*(CapReservePerUnit+TaxPrepPerUnit)+AssetMgmtFeePct*((BaseMarketRentMo+BaseLowRentMo)*(LeaseUp!JW$10-LossToLeasePct-BadDebtPct-ConcessionsPct)+LeaseUp!JW$9*(ParkingPerUnitMo+UtilReimbPerUnitMo+OtherIncPerUnitMo)+RetailRentMo*MIN(1,LeaseUp!JW$10/StabilizedOccupancy)),0)</f>
        <v/>
      </c>
      <c r="JX71" s="218">
        <f>IF(280&gt;=DeliverStart,TotalUnits/12*(CapReservePerUnit+TaxPrepPerUnit)+AssetMgmtFeePct*((BaseMarketRentMo+BaseLowRentMo)*(LeaseUp!JX$10-LossToLeasePct-BadDebtPct-ConcessionsPct)+LeaseUp!JX$9*(ParkingPerUnitMo+UtilReimbPerUnitMo+OtherIncPerUnitMo)+RetailRentMo*MIN(1,LeaseUp!JX$10/StabilizedOccupancy)),0)</f>
        <v/>
      </c>
      <c r="JY71" s="218">
        <f>IF(281&gt;=DeliverStart,TotalUnits/12*(CapReservePerUnit+TaxPrepPerUnit)+AssetMgmtFeePct*((BaseMarketRentMo+BaseLowRentMo)*(LeaseUp!JY$10-LossToLeasePct-BadDebtPct-ConcessionsPct)+LeaseUp!JY$9*(ParkingPerUnitMo+UtilReimbPerUnitMo+OtherIncPerUnitMo)+RetailRentMo*MIN(1,LeaseUp!JY$10/StabilizedOccupancy)),0)</f>
        <v/>
      </c>
      <c r="JZ71" s="218">
        <f>IF(282&gt;=DeliverStart,TotalUnits/12*(CapReservePerUnit+TaxPrepPerUnit)+AssetMgmtFeePct*((BaseMarketRentMo+BaseLowRentMo)*(LeaseUp!JZ$10-LossToLeasePct-BadDebtPct-ConcessionsPct)+LeaseUp!JZ$9*(ParkingPerUnitMo+UtilReimbPerUnitMo+OtherIncPerUnitMo)+RetailRentMo*MIN(1,LeaseUp!JZ$10/StabilizedOccupancy)),0)</f>
        <v/>
      </c>
      <c r="KA71" s="218">
        <f>IF(283&gt;=DeliverStart,TotalUnits/12*(CapReservePerUnit+TaxPrepPerUnit)+AssetMgmtFeePct*((BaseMarketRentMo+BaseLowRentMo)*(LeaseUp!KA$10-LossToLeasePct-BadDebtPct-ConcessionsPct)+LeaseUp!KA$9*(ParkingPerUnitMo+UtilReimbPerUnitMo+OtherIncPerUnitMo)+RetailRentMo*MIN(1,LeaseUp!KA$10/StabilizedOccupancy)),0)</f>
        <v/>
      </c>
      <c r="KB71" s="218">
        <f>IF(284&gt;=DeliverStart,TotalUnits/12*(CapReservePerUnit+TaxPrepPerUnit)+AssetMgmtFeePct*((BaseMarketRentMo+BaseLowRentMo)*(LeaseUp!KB$10-LossToLeasePct-BadDebtPct-ConcessionsPct)+LeaseUp!KB$9*(ParkingPerUnitMo+UtilReimbPerUnitMo+OtherIncPerUnitMo)+RetailRentMo*MIN(1,LeaseUp!KB$10/StabilizedOccupancy)),0)</f>
        <v/>
      </c>
      <c r="KC71" s="218">
        <f>IF(285&gt;=DeliverStart,TotalUnits/12*(CapReservePerUnit+TaxPrepPerUnit)+AssetMgmtFeePct*((BaseMarketRentMo+BaseLowRentMo)*(LeaseUp!KC$10-LossToLeasePct-BadDebtPct-ConcessionsPct)+LeaseUp!KC$9*(ParkingPerUnitMo+UtilReimbPerUnitMo+OtherIncPerUnitMo)+RetailRentMo*MIN(1,LeaseUp!KC$10/StabilizedOccupancy)),0)</f>
        <v/>
      </c>
      <c r="KD71" s="218">
        <f>IF(286&gt;=DeliverStart,TotalUnits/12*(CapReservePerUnit+TaxPrepPerUnit)+AssetMgmtFeePct*((BaseMarketRentMo+BaseLowRentMo)*(LeaseUp!KD$10-LossToLeasePct-BadDebtPct-ConcessionsPct)+LeaseUp!KD$9*(ParkingPerUnitMo+UtilReimbPerUnitMo+OtherIncPerUnitMo)+RetailRentMo*MIN(1,LeaseUp!KD$10/StabilizedOccupancy)),0)</f>
        <v/>
      </c>
      <c r="KE71" s="218">
        <f>IF(287&gt;=DeliverStart,TotalUnits/12*(CapReservePerUnit+TaxPrepPerUnit)+AssetMgmtFeePct*((BaseMarketRentMo+BaseLowRentMo)*(LeaseUp!KE$10-LossToLeasePct-BadDebtPct-ConcessionsPct)+LeaseUp!KE$9*(ParkingPerUnitMo+UtilReimbPerUnitMo+OtherIncPerUnitMo)+RetailRentMo*MIN(1,LeaseUp!KE$10/StabilizedOccupancy)),0)</f>
        <v/>
      </c>
      <c r="KF71" s="218">
        <f>IF(288&gt;=DeliverStart,TotalUnits/12*(CapReservePerUnit+TaxPrepPerUnit)+AssetMgmtFeePct*((BaseMarketRentMo+BaseLowRentMo)*(LeaseUp!KF$10-LossToLeasePct-BadDebtPct-ConcessionsPct)+LeaseUp!KF$9*(ParkingPerUnitMo+UtilReimbPerUnitMo+OtherIncPerUnitMo)+RetailRentMo*MIN(1,LeaseUp!KF$10/StabilizedOccupancy)),0)</f>
        <v/>
      </c>
      <c r="KG71" s="218">
        <f>IF(289&gt;=DeliverStart,TotalUnits/12*(CapReservePerUnit+TaxPrepPerUnit)+AssetMgmtFeePct*((BaseMarketRentMo+BaseLowRentMo)*(LeaseUp!KG$10-LossToLeasePct-BadDebtPct-ConcessionsPct)+LeaseUp!KG$9*(ParkingPerUnitMo+UtilReimbPerUnitMo+OtherIncPerUnitMo)+RetailRentMo*MIN(1,LeaseUp!KG$10/StabilizedOccupancy)),0)</f>
        <v/>
      </c>
      <c r="KH71" s="218">
        <f>IF(290&gt;=DeliverStart,TotalUnits/12*(CapReservePerUnit+TaxPrepPerUnit)+AssetMgmtFeePct*((BaseMarketRentMo+BaseLowRentMo)*(LeaseUp!KH$10-LossToLeasePct-BadDebtPct-ConcessionsPct)+LeaseUp!KH$9*(ParkingPerUnitMo+UtilReimbPerUnitMo+OtherIncPerUnitMo)+RetailRentMo*MIN(1,LeaseUp!KH$10/StabilizedOccupancy)),0)</f>
        <v/>
      </c>
      <c r="KI71" s="218">
        <f>IF(291&gt;=DeliverStart,TotalUnits/12*(CapReservePerUnit+TaxPrepPerUnit)+AssetMgmtFeePct*((BaseMarketRentMo+BaseLowRentMo)*(LeaseUp!KI$10-LossToLeasePct-BadDebtPct-ConcessionsPct)+LeaseUp!KI$9*(ParkingPerUnitMo+UtilReimbPerUnitMo+OtherIncPerUnitMo)+RetailRentMo*MIN(1,LeaseUp!KI$10/StabilizedOccupancy)),0)</f>
        <v/>
      </c>
      <c r="KJ71" s="218">
        <f>IF(292&gt;=DeliverStart,TotalUnits/12*(CapReservePerUnit+TaxPrepPerUnit)+AssetMgmtFeePct*((BaseMarketRentMo+BaseLowRentMo)*(LeaseUp!KJ$10-LossToLeasePct-BadDebtPct-ConcessionsPct)+LeaseUp!KJ$9*(ParkingPerUnitMo+UtilReimbPerUnitMo+OtherIncPerUnitMo)+RetailRentMo*MIN(1,LeaseUp!KJ$10/StabilizedOccupancy)),0)</f>
        <v/>
      </c>
      <c r="KK71" s="218">
        <f>IF(293&gt;=DeliverStart,TotalUnits/12*(CapReservePerUnit+TaxPrepPerUnit)+AssetMgmtFeePct*((BaseMarketRentMo+BaseLowRentMo)*(LeaseUp!KK$10-LossToLeasePct-BadDebtPct-ConcessionsPct)+LeaseUp!KK$9*(ParkingPerUnitMo+UtilReimbPerUnitMo+OtherIncPerUnitMo)+RetailRentMo*MIN(1,LeaseUp!KK$10/StabilizedOccupancy)),0)</f>
        <v/>
      </c>
      <c r="KL71" s="218">
        <f>IF(294&gt;=DeliverStart,TotalUnits/12*(CapReservePerUnit+TaxPrepPerUnit)+AssetMgmtFeePct*((BaseMarketRentMo+BaseLowRentMo)*(LeaseUp!KL$10-LossToLeasePct-BadDebtPct-ConcessionsPct)+LeaseUp!KL$9*(ParkingPerUnitMo+UtilReimbPerUnitMo+OtherIncPerUnitMo)+RetailRentMo*MIN(1,LeaseUp!KL$10/StabilizedOccupancy)),0)</f>
        <v/>
      </c>
      <c r="KM71" s="218">
        <f>IF(295&gt;=DeliverStart,TotalUnits/12*(CapReservePerUnit+TaxPrepPerUnit)+AssetMgmtFeePct*((BaseMarketRentMo+BaseLowRentMo)*(LeaseUp!KM$10-LossToLeasePct-BadDebtPct-ConcessionsPct)+LeaseUp!KM$9*(ParkingPerUnitMo+UtilReimbPerUnitMo+OtherIncPerUnitMo)+RetailRentMo*MIN(1,LeaseUp!KM$10/StabilizedOccupancy)),0)</f>
        <v/>
      </c>
      <c r="KN71" s="218">
        <f>IF(296&gt;=DeliverStart,TotalUnits/12*(CapReservePerUnit+TaxPrepPerUnit)+AssetMgmtFeePct*((BaseMarketRentMo+BaseLowRentMo)*(LeaseUp!KN$10-LossToLeasePct-BadDebtPct-ConcessionsPct)+LeaseUp!KN$9*(ParkingPerUnitMo+UtilReimbPerUnitMo+OtherIncPerUnitMo)+RetailRentMo*MIN(1,LeaseUp!KN$10/StabilizedOccupancy)),0)</f>
        <v/>
      </c>
      <c r="KO71" s="218">
        <f>IF(297&gt;=DeliverStart,TotalUnits/12*(CapReservePerUnit+TaxPrepPerUnit)+AssetMgmtFeePct*((BaseMarketRentMo+BaseLowRentMo)*(LeaseUp!KO$10-LossToLeasePct-BadDebtPct-ConcessionsPct)+LeaseUp!KO$9*(ParkingPerUnitMo+UtilReimbPerUnitMo+OtherIncPerUnitMo)+RetailRentMo*MIN(1,LeaseUp!KO$10/StabilizedOccupancy)),0)</f>
        <v/>
      </c>
      <c r="KP71" s="218">
        <f>IF(298&gt;=DeliverStart,TotalUnits/12*(CapReservePerUnit+TaxPrepPerUnit)+AssetMgmtFeePct*((BaseMarketRentMo+BaseLowRentMo)*(LeaseUp!KP$10-LossToLeasePct-BadDebtPct-ConcessionsPct)+LeaseUp!KP$9*(ParkingPerUnitMo+UtilReimbPerUnitMo+OtherIncPerUnitMo)+RetailRentMo*MIN(1,LeaseUp!KP$10/StabilizedOccupancy)),0)</f>
        <v/>
      </c>
      <c r="KQ71" s="218">
        <f>IF(299&gt;=DeliverStart,TotalUnits/12*(CapReservePerUnit+TaxPrepPerUnit)+AssetMgmtFeePct*((BaseMarketRentMo+BaseLowRentMo)*(LeaseUp!KQ$10-LossToLeasePct-BadDebtPct-ConcessionsPct)+LeaseUp!KQ$9*(ParkingPerUnitMo+UtilReimbPerUnitMo+OtherIncPerUnitMo)+RetailRentMo*MIN(1,LeaseUp!KQ$10/StabilizedOccupancy)),0)</f>
        <v/>
      </c>
      <c r="KR71" s="218">
        <f>IF(300&gt;=DeliverStart,TotalUnits/12*(CapReservePerUnit+TaxPrepPerUnit)+AssetMgmtFeePct*((BaseMarketRentMo+BaseLowRentMo)*(LeaseUp!KR$10-LossToLeasePct-BadDebtPct-ConcessionsPct)+LeaseUp!KR$9*(ParkingPerUnitMo+UtilReimbPerUnitMo+OtherIncPerUnitMo)+RetailRentMo*MIN(1,LeaseUp!KR$10/StabilizedOccupancy)),0)</f>
        <v/>
      </c>
      <c r="KS71" s="218">
        <f>IF(301&gt;=DeliverStart,TotalUnits/12*(CapReservePerUnit+TaxPrepPerUnit)+AssetMgmtFeePct*((BaseMarketRentMo+BaseLowRentMo)*(LeaseUp!KS$10-LossToLeasePct-BadDebtPct-ConcessionsPct)+LeaseUp!KS$9*(ParkingPerUnitMo+UtilReimbPerUnitMo+OtherIncPerUnitMo)+RetailRentMo*MIN(1,LeaseUp!KS$10/StabilizedOccupancy)),0)</f>
        <v/>
      </c>
      <c r="KT71" s="218">
        <f>IF(302&gt;=DeliverStart,TotalUnits/12*(CapReservePerUnit+TaxPrepPerUnit)+AssetMgmtFeePct*((BaseMarketRentMo+BaseLowRentMo)*(LeaseUp!KT$10-LossToLeasePct-BadDebtPct-ConcessionsPct)+LeaseUp!KT$9*(ParkingPerUnitMo+UtilReimbPerUnitMo+OtherIncPerUnitMo)+RetailRentMo*MIN(1,LeaseUp!KT$10/StabilizedOccupancy)),0)</f>
        <v/>
      </c>
      <c r="KU71" s="218">
        <f>IF(303&gt;=DeliverStart,TotalUnits/12*(CapReservePerUnit+TaxPrepPerUnit)+AssetMgmtFeePct*((BaseMarketRentMo+BaseLowRentMo)*(LeaseUp!KU$10-LossToLeasePct-BadDebtPct-ConcessionsPct)+LeaseUp!KU$9*(ParkingPerUnitMo+UtilReimbPerUnitMo+OtherIncPerUnitMo)+RetailRentMo*MIN(1,LeaseUp!KU$10/StabilizedOccupancy)),0)</f>
        <v/>
      </c>
      <c r="KV71" s="218">
        <f>IF(304&gt;=DeliverStart,TotalUnits/12*(CapReservePerUnit+TaxPrepPerUnit)+AssetMgmtFeePct*((BaseMarketRentMo+BaseLowRentMo)*(LeaseUp!KV$10-LossToLeasePct-BadDebtPct-ConcessionsPct)+LeaseUp!KV$9*(ParkingPerUnitMo+UtilReimbPerUnitMo+OtherIncPerUnitMo)+RetailRentMo*MIN(1,LeaseUp!KV$10/StabilizedOccupancy)),0)</f>
        <v/>
      </c>
      <c r="KW71" s="218">
        <f>IF(305&gt;=DeliverStart,TotalUnits/12*(CapReservePerUnit+TaxPrepPerUnit)+AssetMgmtFeePct*((BaseMarketRentMo+BaseLowRentMo)*(LeaseUp!KW$10-LossToLeasePct-BadDebtPct-ConcessionsPct)+LeaseUp!KW$9*(ParkingPerUnitMo+UtilReimbPerUnitMo+OtherIncPerUnitMo)+RetailRentMo*MIN(1,LeaseUp!KW$10/StabilizedOccupancy)),0)</f>
        <v/>
      </c>
      <c r="KX71" s="218">
        <f>IF(306&gt;=DeliverStart,TotalUnits/12*(CapReservePerUnit+TaxPrepPerUnit)+AssetMgmtFeePct*((BaseMarketRentMo+BaseLowRentMo)*(LeaseUp!KX$10-LossToLeasePct-BadDebtPct-ConcessionsPct)+LeaseUp!KX$9*(ParkingPerUnitMo+UtilReimbPerUnitMo+OtherIncPerUnitMo)+RetailRentMo*MIN(1,LeaseUp!KX$10/StabilizedOccupancy)),0)</f>
        <v/>
      </c>
      <c r="KY71" s="218">
        <f>IF(307&gt;=DeliverStart,TotalUnits/12*(CapReservePerUnit+TaxPrepPerUnit)+AssetMgmtFeePct*((BaseMarketRentMo+BaseLowRentMo)*(LeaseUp!KY$10-LossToLeasePct-BadDebtPct-ConcessionsPct)+LeaseUp!KY$9*(ParkingPerUnitMo+UtilReimbPerUnitMo+OtherIncPerUnitMo)+RetailRentMo*MIN(1,LeaseUp!KY$10/StabilizedOccupancy)),0)</f>
        <v/>
      </c>
      <c r="KZ71" s="218">
        <f>IF(308&gt;=DeliverStart,TotalUnits/12*(CapReservePerUnit+TaxPrepPerUnit)+AssetMgmtFeePct*((BaseMarketRentMo+BaseLowRentMo)*(LeaseUp!KZ$10-LossToLeasePct-BadDebtPct-ConcessionsPct)+LeaseUp!KZ$9*(ParkingPerUnitMo+UtilReimbPerUnitMo+OtherIncPerUnitMo)+RetailRentMo*MIN(1,LeaseUp!KZ$10/StabilizedOccupancy)),0)</f>
        <v/>
      </c>
      <c r="LA71" s="218">
        <f>IF(309&gt;=DeliverStart,TotalUnits/12*(CapReservePerUnit+TaxPrepPerUnit)+AssetMgmtFeePct*((BaseMarketRentMo+BaseLowRentMo)*(LeaseUp!LA$10-LossToLeasePct-BadDebtPct-ConcessionsPct)+LeaseUp!LA$9*(ParkingPerUnitMo+UtilReimbPerUnitMo+OtherIncPerUnitMo)+RetailRentMo*MIN(1,LeaseUp!LA$10/StabilizedOccupancy)),0)</f>
        <v/>
      </c>
      <c r="LB71" s="218">
        <f>IF(310&gt;=DeliverStart,TotalUnits/12*(CapReservePerUnit+TaxPrepPerUnit)+AssetMgmtFeePct*((BaseMarketRentMo+BaseLowRentMo)*(LeaseUp!LB$10-LossToLeasePct-BadDebtPct-ConcessionsPct)+LeaseUp!LB$9*(ParkingPerUnitMo+UtilReimbPerUnitMo+OtherIncPerUnitMo)+RetailRentMo*MIN(1,LeaseUp!LB$10/StabilizedOccupancy)),0)</f>
        <v/>
      </c>
      <c r="LC71" s="218">
        <f>IF(311&gt;=DeliverStart,TotalUnits/12*(CapReservePerUnit+TaxPrepPerUnit)+AssetMgmtFeePct*((BaseMarketRentMo+BaseLowRentMo)*(LeaseUp!LC$10-LossToLeasePct-BadDebtPct-ConcessionsPct)+LeaseUp!LC$9*(ParkingPerUnitMo+UtilReimbPerUnitMo+OtherIncPerUnitMo)+RetailRentMo*MIN(1,LeaseUp!LC$10/StabilizedOccupancy)),0)</f>
        <v/>
      </c>
      <c r="LD71" s="218">
        <f>IF(312&gt;=DeliverStart,TotalUnits/12*(CapReservePerUnit+TaxPrepPerUnit)+AssetMgmtFeePct*((BaseMarketRentMo+BaseLowRentMo)*(LeaseUp!LD$10-LossToLeasePct-BadDebtPct-ConcessionsPct)+LeaseUp!LD$9*(ParkingPerUnitMo+UtilReimbPerUnitMo+OtherIncPerUnitMo)+RetailRentMo*MIN(1,LeaseUp!LD$10/StabilizedOccupancy)),0)</f>
        <v/>
      </c>
      <c r="LE71" s="218">
        <f>IF(313&gt;=DeliverStart,TotalUnits/12*(CapReservePerUnit+TaxPrepPerUnit)+AssetMgmtFeePct*((BaseMarketRentMo+BaseLowRentMo)*(LeaseUp!LE$10-LossToLeasePct-BadDebtPct-ConcessionsPct)+LeaseUp!LE$9*(ParkingPerUnitMo+UtilReimbPerUnitMo+OtherIncPerUnitMo)+RetailRentMo*MIN(1,LeaseUp!LE$10/StabilizedOccupancy)),0)</f>
        <v/>
      </c>
      <c r="LF71" s="218">
        <f>IF(314&gt;=DeliverStart,TotalUnits/12*(CapReservePerUnit+TaxPrepPerUnit)+AssetMgmtFeePct*((BaseMarketRentMo+BaseLowRentMo)*(LeaseUp!LF$10-LossToLeasePct-BadDebtPct-ConcessionsPct)+LeaseUp!LF$9*(ParkingPerUnitMo+UtilReimbPerUnitMo+OtherIncPerUnitMo)+RetailRentMo*MIN(1,LeaseUp!LF$10/StabilizedOccupancy)),0)</f>
        <v/>
      </c>
      <c r="LG71" s="218">
        <f>IF(315&gt;=DeliverStart,TotalUnits/12*(CapReservePerUnit+TaxPrepPerUnit)+AssetMgmtFeePct*((BaseMarketRentMo+BaseLowRentMo)*(LeaseUp!LG$10-LossToLeasePct-BadDebtPct-ConcessionsPct)+LeaseUp!LG$9*(ParkingPerUnitMo+UtilReimbPerUnitMo+OtherIncPerUnitMo)+RetailRentMo*MIN(1,LeaseUp!LG$10/StabilizedOccupancy)),0)</f>
        <v/>
      </c>
      <c r="LH71" s="218">
        <f>IF(316&gt;=DeliverStart,TotalUnits/12*(CapReservePerUnit+TaxPrepPerUnit)+AssetMgmtFeePct*((BaseMarketRentMo+BaseLowRentMo)*(LeaseUp!LH$10-LossToLeasePct-BadDebtPct-ConcessionsPct)+LeaseUp!LH$9*(ParkingPerUnitMo+UtilReimbPerUnitMo+OtherIncPerUnitMo)+RetailRentMo*MIN(1,LeaseUp!LH$10/StabilizedOccupancy)),0)</f>
        <v/>
      </c>
      <c r="LI71" s="218">
        <f>IF(317&gt;=DeliverStart,TotalUnits/12*(CapReservePerUnit+TaxPrepPerUnit)+AssetMgmtFeePct*((BaseMarketRentMo+BaseLowRentMo)*(LeaseUp!LI$10-LossToLeasePct-BadDebtPct-ConcessionsPct)+LeaseUp!LI$9*(ParkingPerUnitMo+UtilReimbPerUnitMo+OtherIncPerUnitMo)+RetailRentMo*MIN(1,LeaseUp!LI$10/StabilizedOccupancy)),0)</f>
        <v/>
      </c>
      <c r="LJ71" s="218">
        <f>IF(318&gt;=DeliverStart,TotalUnits/12*(CapReservePerUnit+TaxPrepPerUnit)+AssetMgmtFeePct*((BaseMarketRentMo+BaseLowRentMo)*(LeaseUp!LJ$10-LossToLeasePct-BadDebtPct-ConcessionsPct)+LeaseUp!LJ$9*(ParkingPerUnitMo+UtilReimbPerUnitMo+OtherIncPerUnitMo)+RetailRentMo*MIN(1,LeaseUp!LJ$10/StabilizedOccupancy)),0)</f>
        <v/>
      </c>
      <c r="LK71" s="218">
        <f>IF(319&gt;=DeliverStart,TotalUnits/12*(CapReservePerUnit+TaxPrepPerUnit)+AssetMgmtFeePct*((BaseMarketRentMo+BaseLowRentMo)*(LeaseUp!LK$10-LossToLeasePct-BadDebtPct-ConcessionsPct)+LeaseUp!LK$9*(ParkingPerUnitMo+UtilReimbPerUnitMo+OtherIncPerUnitMo)+RetailRentMo*MIN(1,LeaseUp!LK$10/StabilizedOccupancy)),0)</f>
        <v/>
      </c>
      <c r="LL71" s="218">
        <f>IF(320&gt;=DeliverStart,TotalUnits/12*(CapReservePerUnit+TaxPrepPerUnit)+AssetMgmtFeePct*((BaseMarketRentMo+BaseLowRentMo)*(LeaseUp!LL$10-LossToLeasePct-BadDebtPct-ConcessionsPct)+LeaseUp!LL$9*(ParkingPerUnitMo+UtilReimbPerUnitMo+OtherIncPerUnitMo)+RetailRentMo*MIN(1,LeaseUp!LL$10/StabilizedOccupancy)),0)</f>
        <v/>
      </c>
      <c r="LM71" s="218">
        <f>IF(321&gt;=DeliverStart,TotalUnits/12*(CapReservePerUnit+TaxPrepPerUnit)+AssetMgmtFeePct*((BaseMarketRentMo+BaseLowRentMo)*(LeaseUp!LM$10-LossToLeasePct-BadDebtPct-ConcessionsPct)+LeaseUp!LM$9*(ParkingPerUnitMo+UtilReimbPerUnitMo+OtherIncPerUnitMo)+RetailRentMo*MIN(1,LeaseUp!LM$10/StabilizedOccupancy)),0)</f>
        <v/>
      </c>
      <c r="LN71" s="218">
        <f>IF(322&gt;=DeliverStart,TotalUnits/12*(CapReservePerUnit+TaxPrepPerUnit)+AssetMgmtFeePct*((BaseMarketRentMo+BaseLowRentMo)*(LeaseUp!LN$10-LossToLeasePct-BadDebtPct-ConcessionsPct)+LeaseUp!LN$9*(ParkingPerUnitMo+UtilReimbPerUnitMo+OtherIncPerUnitMo)+RetailRentMo*MIN(1,LeaseUp!LN$10/StabilizedOccupancy)),0)</f>
        <v/>
      </c>
      <c r="LO71" s="218">
        <f>IF(323&gt;=DeliverStart,TotalUnits/12*(CapReservePerUnit+TaxPrepPerUnit)+AssetMgmtFeePct*((BaseMarketRentMo+BaseLowRentMo)*(LeaseUp!LO$10-LossToLeasePct-BadDebtPct-ConcessionsPct)+LeaseUp!LO$9*(ParkingPerUnitMo+UtilReimbPerUnitMo+OtherIncPerUnitMo)+RetailRentMo*MIN(1,LeaseUp!LO$10/StabilizedOccupancy)),0)</f>
        <v/>
      </c>
      <c r="LP71" s="218">
        <f>IF(324&gt;=DeliverStart,TotalUnits/12*(CapReservePerUnit+TaxPrepPerUnit)+AssetMgmtFeePct*((BaseMarketRentMo+BaseLowRentMo)*(LeaseUp!LP$10-LossToLeasePct-BadDebtPct-ConcessionsPct)+LeaseUp!LP$9*(ParkingPerUnitMo+UtilReimbPerUnitMo+OtherIncPerUnitMo)+RetailRentMo*MIN(1,LeaseUp!LP$10/StabilizedOccupancy)),0)</f>
        <v/>
      </c>
      <c r="LQ71" s="218">
        <f>IF(325&gt;=DeliverStart,TotalUnits/12*(CapReservePerUnit+TaxPrepPerUnit)+AssetMgmtFeePct*((BaseMarketRentMo+BaseLowRentMo)*(LeaseUp!LQ$10-LossToLeasePct-BadDebtPct-ConcessionsPct)+LeaseUp!LQ$9*(ParkingPerUnitMo+UtilReimbPerUnitMo+OtherIncPerUnitMo)+RetailRentMo*MIN(1,LeaseUp!LQ$10/StabilizedOccupancy)),0)</f>
        <v/>
      </c>
      <c r="LR71" s="218">
        <f>IF(326&gt;=DeliverStart,TotalUnits/12*(CapReservePerUnit+TaxPrepPerUnit)+AssetMgmtFeePct*((BaseMarketRentMo+BaseLowRentMo)*(LeaseUp!LR$10-LossToLeasePct-BadDebtPct-ConcessionsPct)+LeaseUp!LR$9*(ParkingPerUnitMo+UtilReimbPerUnitMo+OtherIncPerUnitMo)+RetailRentMo*MIN(1,LeaseUp!LR$10/StabilizedOccupancy)),0)</f>
        <v/>
      </c>
      <c r="LS71" s="218">
        <f>IF(327&gt;=DeliverStart,TotalUnits/12*(CapReservePerUnit+TaxPrepPerUnit)+AssetMgmtFeePct*((BaseMarketRentMo+BaseLowRentMo)*(LeaseUp!LS$10-LossToLeasePct-BadDebtPct-ConcessionsPct)+LeaseUp!LS$9*(ParkingPerUnitMo+UtilReimbPerUnitMo+OtherIncPerUnitMo)+RetailRentMo*MIN(1,LeaseUp!LS$10/StabilizedOccupancy)),0)</f>
        <v/>
      </c>
      <c r="LT71" s="218">
        <f>IF(328&gt;=DeliverStart,TotalUnits/12*(CapReservePerUnit+TaxPrepPerUnit)+AssetMgmtFeePct*((BaseMarketRentMo+BaseLowRentMo)*(LeaseUp!LT$10-LossToLeasePct-BadDebtPct-ConcessionsPct)+LeaseUp!LT$9*(ParkingPerUnitMo+UtilReimbPerUnitMo+OtherIncPerUnitMo)+RetailRentMo*MIN(1,LeaseUp!LT$10/StabilizedOccupancy)),0)</f>
        <v/>
      </c>
      <c r="LU71" s="218">
        <f>IF(329&gt;=DeliverStart,TotalUnits/12*(CapReservePerUnit+TaxPrepPerUnit)+AssetMgmtFeePct*((BaseMarketRentMo+BaseLowRentMo)*(LeaseUp!LU$10-LossToLeasePct-BadDebtPct-ConcessionsPct)+LeaseUp!LU$9*(ParkingPerUnitMo+UtilReimbPerUnitMo+OtherIncPerUnitMo)+RetailRentMo*MIN(1,LeaseUp!LU$10/StabilizedOccupancy)),0)</f>
        <v/>
      </c>
      <c r="LV71" s="218">
        <f>IF(330&gt;=DeliverStart,TotalUnits/12*(CapReservePerUnit+TaxPrepPerUnit)+AssetMgmtFeePct*((BaseMarketRentMo+BaseLowRentMo)*(LeaseUp!LV$10-LossToLeasePct-BadDebtPct-ConcessionsPct)+LeaseUp!LV$9*(ParkingPerUnitMo+UtilReimbPerUnitMo+OtherIncPerUnitMo)+RetailRentMo*MIN(1,LeaseUp!LV$10/StabilizedOccupancy)),0)</f>
        <v/>
      </c>
      <c r="LW71" s="218">
        <f>IF(331&gt;=DeliverStart,TotalUnits/12*(CapReservePerUnit+TaxPrepPerUnit)+AssetMgmtFeePct*((BaseMarketRentMo+BaseLowRentMo)*(LeaseUp!LW$10-LossToLeasePct-BadDebtPct-ConcessionsPct)+LeaseUp!LW$9*(ParkingPerUnitMo+UtilReimbPerUnitMo+OtherIncPerUnitMo)+RetailRentMo*MIN(1,LeaseUp!LW$10/StabilizedOccupancy)),0)</f>
        <v/>
      </c>
      <c r="LX71" s="218">
        <f>IF(332&gt;=DeliverStart,TotalUnits/12*(CapReservePerUnit+TaxPrepPerUnit)+AssetMgmtFeePct*((BaseMarketRentMo+BaseLowRentMo)*(LeaseUp!LX$10-LossToLeasePct-BadDebtPct-ConcessionsPct)+LeaseUp!LX$9*(ParkingPerUnitMo+UtilReimbPerUnitMo+OtherIncPerUnitMo)+RetailRentMo*MIN(1,LeaseUp!LX$10/StabilizedOccupancy)),0)</f>
        <v/>
      </c>
      <c r="LY71" s="218">
        <f>IF(333&gt;=DeliverStart,TotalUnits/12*(CapReservePerUnit+TaxPrepPerUnit)+AssetMgmtFeePct*((BaseMarketRentMo+BaseLowRentMo)*(LeaseUp!LY$10-LossToLeasePct-BadDebtPct-ConcessionsPct)+LeaseUp!LY$9*(ParkingPerUnitMo+UtilReimbPerUnitMo+OtherIncPerUnitMo)+RetailRentMo*MIN(1,LeaseUp!LY$10/StabilizedOccupancy)),0)</f>
        <v/>
      </c>
      <c r="LZ71" s="218">
        <f>IF(334&gt;=DeliverStart,TotalUnits/12*(CapReservePerUnit+TaxPrepPerUnit)+AssetMgmtFeePct*((BaseMarketRentMo+BaseLowRentMo)*(LeaseUp!LZ$10-LossToLeasePct-BadDebtPct-ConcessionsPct)+LeaseUp!LZ$9*(ParkingPerUnitMo+UtilReimbPerUnitMo+OtherIncPerUnitMo)+RetailRentMo*MIN(1,LeaseUp!LZ$10/StabilizedOccupancy)),0)</f>
        <v/>
      </c>
      <c r="MA71" s="218">
        <f>IF(335&gt;=DeliverStart,TotalUnits/12*(CapReservePerUnit+TaxPrepPerUnit)+AssetMgmtFeePct*((BaseMarketRentMo+BaseLowRentMo)*(LeaseUp!MA$10-LossToLeasePct-BadDebtPct-ConcessionsPct)+LeaseUp!MA$9*(ParkingPerUnitMo+UtilReimbPerUnitMo+OtherIncPerUnitMo)+RetailRentMo*MIN(1,LeaseUp!MA$10/StabilizedOccupancy)),0)</f>
        <v/>
      </c>
      <c r="MB71" s="218">
        <f>IF(336&gt;=DeliverStart,TotalUnits/12*(CapReservePerUnit+TaxPrepPerUnit)+AssetMgmtFeePct*((BaseMarketRentMo+BaseLowRentMo)*(LeaseUp!MB$10-LossToLeasePct-BadDebtPct-ConcessionsPct)+LeaseUp!MB$9*(ParkingPerUnitMo+UtilReimbPerUnitMo+OtherIncPerUnitMo)+RetailRentMo*MIN(1,LeaseUp!MB$10/StabilizedOccupancy)),0)</f>
        <v/>
      </c>
      <c r="MC71" s="218">
        <f>IF(337&gt;=DeliverStart,TotalUnits/12*(CapReservePerUnit+TaxPrepPerUnit)+AssetMgmtFeePct*((BaseMarketRentMo+BaseLowRentMo)*(LeaseUp!MC$10-LossToLeasePct-BadDebtPct-ConcessionsPct)+LeaseUp!MC$9*(ParkingPerUnitMo+UtilReimbPerUnitMo+OtherIncPerUnitMo)+RetailRentMo*MIN(1,LeaseUp!MC$10/StabilizedOccupancy)),0)</f>
        <v/>
      </c>
      <c r="MD71" s="218">
        <f>IF(338&gt;=DeliverStart,TotalUnits/12*(CapReservePerUnit+TaxPrepPerUnit)+AssetMgmtFeePct*((BaseMarketRentMo+BaseLowRentMo)*(LeaseUp!MD$10-LossToLeasePct-BadDebtPct-ConcessionsPct)+LeaseUp!MD$9*(ParkingPerUnitMo+UtilReimbPerUnitMo+OtherIncPerUnitMo)+RetailRentMo*MIN(1,LeaseUp!MD$10/StabilizedOccupancy)),0)</f>
        <v/>
      </c>
      <c r="ME71" s="218">
        <f>IF(339&gt;=DeliverStart,TotalUnits/12*(CapReservePerUnit+TaxPrepPerUnit)+AssetMgmtFeePct*((BaseMarketRentMo+BaseLowRentMo)*(LeaseUp!ME$10-LossToLeasePct-BadDebtPct-ConcessionsPct)+LeaseUp!ME$9*(ParkingPerUnitMo+UtilReimbPerUnitMo+OtherIncPerUnitMo)+RetailRentMo*MIN(1,LeaseUp!ME$10/StabilizedOccupancy)),0)</f>
        <v/>
      </c>
      <c r="MF71" s="218">
        <f>IF(340&gt;=DeliverStart,TotalUnits/12*(CapReservePerUnit+TaxPrepPerUnit)+AssetMgmtFeePct*((BaseMarketRentMo+BaseLowRentMo)*(LeaseUp!MF$10-LossToLeasePct-BadDebtPct-ConcessionsPct)+LeaseUp!MF$9*(ParkingPerUnitMo+UtilReimbPerUnitMo+OtherIncPerUnitMo)+RetailRentMo*MIN(1,LeaseUp!MF$10/StabilizedOccupancy)),0)</f>
        <v/>
      </c>
      <c r="MG71" s="218">
        <f>IF(341&gt;=DeliverStart,TotalUnits/12*(CapReservePerUnit+TaxPrepPerUnit)+AssetMgmtFeePct*((BaseMarketRentMo+BaseLowRentMo)*(LeaseUp!MG$10-LossToLeasePct-BadDebtPct-ConcessionsPct)+LeaseUp!MG$9*(ParkingPerUnitMo+UtilReimbPerUnitMo+OtherIncPerUnitMo)+RetailRentMo*MIN(1,LeaseUp!MG$10/StabilizedOccupancy)),0)</f>
        <v/>
      </c>
      <c r="MH71" s="218">
        <f>IF(342&gt;=DeliverStart,TotalUnits/12*(CapReservePerUnit+TaxPrepPerUnit)+AssetMgmtFeePct*((BaseMarketRentMo+BaseLowRentMo)*(LeaseUp!MH$10-LossToLeasePct-BadDebtPct-ConcessionsPct)+LeaseUp!MH$9*(ParkingPerUnitMo+UtilReimbPerUnitMo+OtherIncPerUnitMo)+RetailRentMo*MIN(1,LeaseUp!MH$10/StabilizedOccupancy)),0)</f>
        <v/>
      </c>
      <c r="MI71" s="218">
        <f>IF(343&gt;=DeliverStart,TotalUnits/12*(CapReservePerUnit+TaxPrepPerUnit)+AssetMgmtFeePct*((BaseMarketRentMo+BaseLowRentMo)*(LeaseUp!MI$10-LossToLeasePct-BadDebtPct-ConcessionsPct)+LeaseUp!MI$9*(ParkingPerUnitMo+UtilReimbPerUnitMo+OtherIncPerUnitMo)+RetailRentMo*MIN(1,LeaseUp!MI$10/StabilizedOccupancy)),0)</f>
        <v/>
      </c>
      <c r="MJ71" s="218">
        <f>IF(344&gt;=DeliverStart,TotalUnits/12*(CapReservePerUnit+TaxPrepPerUnit)+AssetMgmtFeePct*((BaseMarketRentMo+BaseLowRentMo)*(LeaseUp!MJ$10-LossToLeasePct-BadDebtPct-ConcessionsPct)+LeaseUp!MJ$9*(ParkingPerUnitMo+UtilReimbPerUnitMo+OtherIncPerUnitMo)+RetailRentMo*MIN(1,LeaseUp!MJ$10/StabilizedOccupancy)),0)</f>
        <v/>
      </c>
      <c r="MK71" s="218">
        <f>IF(345&gt;=DeliverStart,TotalUnits/12*(CapReservePerUnit+TaxPrepPerUnit)+AssetMgmtFeePct*((BaseMarketRentMo+BaseLowRentMo)*(LeaseUp!MK$10-LossToLeasePct-BadDebtPct-ConcessionsPct)+LeaseUp!MK$9*(ParkingPerUnitMo+UtilReimbPerUnitMo+OtherIncPerUnitMo)+RetailRentMo*MIN(1,LeaseUp!MK$10/StabilizedOccupancy)),0)</f>
        <v/>
      </c>
      <c r="ML71" s="218">
        <f>IF(346&gt;=DeliverStart,TotalUnits/12*(CapReservePerUnit+TaxPrepPerUnit)+AssetMgmtFeePct*((BaseMarketRentMo+BaseLowRentMo)*(LeaseUp!ML$10-LossToLeasePct-BadDebtPct-ConcessionsPct)+LeaseUp!ML$9*(ParkingPerUnitMo+UtilReimbPerUnitMo+OtherIncPerUnitMo)+RetailRentMo*MIN(1,LeaseUp!ML$10/StabilizedOccupancy)),0)</f>
        <v/>
      </c>
      <c r="MM71" s="218">
        <f>IF(347&gt;=DeliverStart,TotalUnits/12*(CapReservePerUnit+TaxPrepPerUnit)+AssetMgmtFeePct*((BaseMarketRentMo+BaseLowRentMo)*(LeaseUp!MM$10-LossToLeasePct-BadDebtPct-ConcessionsPct)+LeaseUp!MM$9*(ParkingPerUnitMo+UtilReimbPerUnitMo+OtherIncPerUnitMo)+RetailRentMo*MIN(1,LeaseUp!MM$10/StabilizedOccupancy)),0)</f>
        <v/>
      </c>
      <c r="MN71" s="218">
        <f>IF(348&gt;=DeliverStart,TotalUnits/12*(CapReservePerUnit+TaxPrepPerUnit)+AssetMgmtFeePct*((BaseMarketRentMo+BaseLowRentMo)*(LeaseUp!MN$10-LossToLeasePct-BadDebtPct-ConcessionsPct)+LeaseUp!MN$9*(ParkingPerUnitMo+UtilReimbPerUnitMo+OtherIncPerUnitMo)+RetailRentMo*MIN(1,LeaseUp!MN$10/StabilizedOccupancy)),0)</f>
        <v/>
      </c>
      <c r="MO71" s="218">
        <f>IF(349&gt;=DeliverStart,TotalUnits/12*(CapReservePerUnit+TaxPrepPerUnit)+AssetMgmtFeePct*((BaseMarketRentMo+BaseLowRentMo)*(LeaseUp!MO$10-LossToLeasePct-BadDebtPct-ConcessionsPct)+LeaseUp!MO$9*(ParkingPerUnitMo+UtilReimbPerUnitMo+OtherIncPerUnitMo)+RetailRentMo*MIN(1,LeaseUp!MO$10/StabilizedOccupancy)),0)</f>
        <v/>
      </c>
      <c r="MP71" s="218">
        <f>IF(350&gt;=DeliverStart,TotalUnits/12*(CapReservePerUnit+TaxPrepPerUnit)+AssetMgmtFeePct*((BaseMarketRentMo+BaseLowRentMo)*(LeaseUp!MP$10-LossToLeasePct-BadDebtPct-ConcessionsPct)+LeaseUp!MP$9*(ParkingPerUnitMo+UtilReimbPerUnitMo+OtherIncPerUnitMo)+RetailRentMo*MIN(1,LeaseUp!MP$10/StabilizedOccupancy)),0)</f>
        <v/>
      </c>
      <c r="MQ71" s="218">
        <f>IF(351&gt;=DeliverStart,TotalUnits/12*(CapReservePerUnit+TaxPrepPerUnit)+AssetMgmtFeePct*((BaseMarketRentMo+BaseLowRentMo)*(LeaseUp!MQ$10-LossToLeasePct-BadDebtPct-ConcessionsPct)+LeaseUp!MQ$9*(ParkingPerUnitMo+UtilReimbPerUnitMo+OtherIncPerUnitMo)+RetailRentMo*MIN(1,LeaseUp!MQ$10/StabilizedOccupancy)),0)</f>
        <v/>
      </c>
      <c r="MR71" s="218">
        <f>IF(352&gt;=DeliverStart,TotalUnits/12*(CapReservePerUnit+TaxPrepPerUnit)+AssetMgmtFeePct*((BaseMarketRentMo+BaseLowRentMo)*(LeaseUp!MR$10-LossToLeasePct-BadDebtPct-ConcessionsPct)+LeaseUp!MR$9*(ParkingPerUnitMo+UtilReimbPerUnitMo+OtherIncPerUnitMo)+RetailRentMo*MIN(1,LeaseUp!MR$10/StabilizedOccupancy)),0)</f>
        <v/>
      </c>
      <c r="MS71" s="218">
        <f>IF(353&gt;=DeliverStart,TotalUnits/12*(CapReservePerUnit+TaxPrepPerUnit)+AssetMgmtFeePct*((BaseMarketRentMo+BaseLowRentMo)*(LeaseUp!MS$10-LossToLeasePct-BadDebtPct-ConcessionsPct)+LeaseUp!MS$9*(ParkingPerUnitMo+UtilReimbPerUnitMo+OtherIncPerUnitMo)+RetailRentMo*MIN(1,LeaseUp!MS$10/StabilizedOccupancy)),0)</f>
        <v/>
      </c>
      <c r="MT71" s="218">
        <f>IF(354&gt;=DeliverStart,TotalUnits/12*(CapReservePerUnit+TaxPrepPerUnit)+AssetMgmtFeePct*((BaseMarketRentMo+BaseLowRentMo)*(LeaseUp!MT$10-LossToLeasePct-BadDebtPct-ConcessionsPct)+LeaseUp!MT$9*(ParkingPerUnitMo+UtilReimbPerUnitMo+OtherIncPerUnitMo)+RetailRentMo*MIN(1,LeaseUp!MT$10/StabilizedOccupancy)),0)</f>
        <v/>
      </c>
      <c r="MU71" s="218">
        <f>IF(355&gt;=DeliverStart,TotalUnits/12*(CapReservePerUnit+TaxPrepPerUnit)+AssetMgmtFeePct*((BaseMarketRentMo+BaseLowRentMo)*(LeaseUp!MU$10-LossToLeasePct-BadDebtPct-ConcessionsPct)+LeaseUp!MU$9*(ParkingPerUnitMo+UtilReimbPerUnitMo+OtherIncPerUnitMo)+RetailRentMo*MIN(1,LeaseUp!MU$10/StabilizedOccupancy)),0)</f>
        <v/>
      </c>
      <c r="MV71" s="218">
        <f>IF(356&gt;=DeliverStart,TotalUnits/12*(CapReservePerUnit+TaxPrepPerUnit)+AssetMgmtFeePct*((BaseMarketRentMo+BaseLowRentMo)*(LeaseUp!MV$10-LossToLeasePct-BadDebtPct-ConcessionsPct)+LeaseUp!MV$9*(ParkingPerUnitMo+UtilReimbPerUnitMo+OtherIncPerUnitMo)+RetailRentMo*MIN(1,LeaseUp!MV$10/StabilizedOccupancy)),0)</f>
        <v/>
      </c>
      <c r="MW71" s="218">
        <f>IF(357&gt;=DeliverStart,TotalUnits/12*(CapReservePerUnit+TaxPrepPerUnit)+AssetMgmtFeePct*((BaseMarketRentMo+BaseLowRentMo)*(LeaseUp!MW$10-LossToLeasePct-BadDebtPct-ConcessionsPct)+LeaseUp!MW$9*(ParkingPerUnitMo+UtilReimbPerUnitMo+OtherIncPerUnitMo)+RetailRentMo*MIN(1,LeaseUp!MW$10/StabilizedOccupancy)),0)</f>
        <v/>
      </c>
      <c r="MX71" s="218">
        <f>IF(358&gt;=DeliverStart,TotalUnits/12*(CapReservePerUnit+TaxPrepPerUnit)+AssetMgmtFeePct*((BaseMarketRentMo+BaseLowRentMo)*(LeaseUp!MX$10-LossToLeasePct-BadDebtPct-ConcessionsPct)+LeaseUp!MX$9*(ParkingPerUnitMo+UtilReimbPerUnitMo+OtherIncPerUnitMo)+RetailRentMo*MIN(1,LeaseUp!MX$10/StabilizedOccupancy)),0)</f>
        <v/>
      </c>
      <c r="MY71" s="218">
        <f>IF(359&gt;=DeliverStart,TotalUnits/12*(CapReservePerUnit+TaxPrepPerUnit)+AssetMgmtFeePct*((BaseMarketRentMo+BaseLowRentMo)*(LeaseUp!MY$10-LossToLeasePct-BadDebtPct-ConcessionsPct)+LeaseUp!MY$9*(ParkingPerUnitMo+UtilReimbPerUnitMo+OtherIncPerUnitMo)+RetailRentMo*MIN(1,LeaseUp!MY$10/StabilizedOccupancy)),0)</f>
        <v/>
      </c>
      <c r="MZ71" s="218">
        <f>IF(360&gt;=DeliverStart,TotalUnits/12*(CapReservePerUnit+TaxPrepPerUnit)+AssetMgmtFeePct*((BaseMarketRentMo+BaseLowRentMo)*(LeaseUp!MZ$10-LossToLeasePct-BadDebtPct-ConcessionsPct)+LeaseUp!MZ$9*(ParkingPerUnitMo+UtilReimbPerUnitMo+OtherIncPerUnitMo)+RetailRentMo*MIN(1,LeaseUp!MZ$10/StabilizedOccupancy)),0)</f>
        <v/>
      </c>
      <c r="NA71" s="218">
        <f>IF(361&gt;=DeliverStart,TotalUnits/12*(CapReservePerUnit+TaxPrepPerUnit)+AssetMgmtFeePct*((BaseMarketRentMo+BaseLowRentMo)*(LeaseUp!NA$10-LossToLeasePct-BadDebtPct-ConcessionsPct)+LeaseUp!NA$9*(ParkingPerUnitMo+UtilReimbPerUnitMo+OtherIncPerUnitMo)+RetailRentMo*MIN(1,LeaseUp!NA$10/StabilizedOccupancy)),0)</f>
        <v/>
      </c>
      <c r="NB71" s="218">
        <f>IF(362&gt;=DeliverStart,TotalUnits/12*(CapReservePerUnit+TaxPrepPerUnit)+AssetMgmtFeePct*((BaseMarketRentMo+BaseLowRentMo)*(LeaseUp!NB$10-LossToLeasePct-BadDebtPct-ConcessionsPct)+LeaseUp!NB$9*(ParkingPerUnitMo+UtilReimbPerUnitMo+OtherIncPerUnitMo)+RetailRentMo*MIN(1,LeaseUp!NB$10/StabilizedOccupancy)),0)</f>
        <v/>
      </c>
      <c r="NC71" s="218">
        <f>IF(363&gt;=DeliverStart,TotalUnits/12*(CapReservePerUnit+TaxPrepPerUnit)+AssetMgmtFeePct*((BaseMarketRentMo+BaseLowRentMo)*(LeaseUp!NC$10-LossToLeasePct-BadDebtPct-ConcessionsPct)+LeaseUp!NC$9*(ParkingPerUnitMo+UtilReimbPerUnitMo+OtherIncPerUnitMo)+RetailRentMo*MIN(1,LeaseUp!NC$10/StabilizedOccupancy)),0)</f>
        <v/>
      </c>
      <c r="ND71" s="218">
        <f>IF(364&gt;=DeliverStart,TotalUnits/12*(CapReservePerUnit+TaxPrepPerUnit)+AssetMgmtFeePct*((BaseMarketRentMo+BaseLowRentMo)*(LeaseUp!ND$10-LossToLeasePct-BadDebtPct-ConcessionsPct)+LeaseUp!ND$9*(ParkingPerUnitMo+UtilReimbPerUnitMo+OtherIncPerUnitMo)+RetailRentMo*MIN(1,LeaseUp!ND$10/StabilizedOccupancy)),0)</f>
        <v/>
      </c>
      <c r="NE71" s="218">
        <f>IF(365&gt;=DeliverStart,TotalUnits/12*(CapReservePerUnit+TaxPrepPerUnit)+AssetMgmtFeePct*((BaseMarketRentMo+BaseLowRentMo)*(LeaseUp!NE$10-LossToLeasePct-BadDebtPct-ConcessionsPct)+LeaseUp!NE$9*(ParkingPerUnitMo+UtilReimbPerUnitMo+OtherIncPerUnitMo)+RetailRentMo*MIN(1,LeaseUp!NE$10/StabilizedOccupancy)),0)</f>
        <v/>
      </c>
      <c r="NF71" s="218">
        <f>IF(366&gt;=DeliverStart,TotalUnits/12*(CapReservePerUnit+TaxPrepPerUnit)+AssetMgmtFeePct*((BaseMarketRentMo+BaseLowRentMo)*(LeaseUp!NF$10-LossToLeasePct-BadDebtPct-ConcessionsPct)+LeaseUp!NF$9*(ParkingPerUnitMo+UtilReimbPerUnitMo+OtherIncPerUnitMo)+RetailRentMo*MIN(1,LeaseUp!NF$10/StabilizedOccupancy)),0)</f>
        <v/>
      </c>
      <c r="NG71" s="218">
        <f>IF(367&gt;=DeliverStart,TotalUnits/12*(CapReservePerUnit+TaxPrepPerUnit)+AssetMgmtFeePct*((BaseMarketRentMo+BaseLowRentMo)*(LeaseUp!NG$10-LossToLeasePct-BadDebtPct-ConcessionsPct)+LeaseUp!NG$9*(ParkingPerUnitMo+UtilReimbPerUnitMo+OtherIncPerUnitMo)+RetailRentMo*MIN(1,LeaseUp!NG$10/StabilizedOccupancy)),0)</f>
        <v/>
      </c>
      <c r="NH71" s="218">
        <f>IF(368&gt;=DeliverStart,TotalUnits/12*(CapReservePerUnit+TaxPrepPerUnit)+AssetMgmtFeePct*((BaseMarketRentMo+BaseLowRentMo)*(LeaseUp!NH$10-LossToLeasePct-BadDebtPct-ConcessionsPct)+LeaseUp!NH$9*(ParkingPerUnitMo+UtilReimbPerUnitMo+OtherIncPerUnitMo)+RetailRentMo*MIN(1,LeaseUp!NH$10/StabilizedOccupancy)),0)</f>
        <v/>
      </c>
      <c r="NI71" s="218">
        <f>IF(369&gt;=DeliverStart,TotalUnits/12*(CapReservePerUnit+TaxPrepPerUnit)+AssetMgmtFeePct*((BaseMarketRentMo+BaseLowRentMo)*(LeaseUp!NI$10-LossToLeasePct-BadDebtPct-ConcessionsPct)+LeaseUp!NI$9*(ParkingPerUnitMo+UtilReimbPerUnitMo+OtherIncPerUnitMo)+RetailRentMo*MIN(1,LeaseUp!NI$10/StabilizedOccupancy)),0)</f>
        <v/>
      </c>
      <c r="NJ71" s="218">
        <f>IF(370&gt;=DeliverStart,TotalUnits/12*(CapReservePerUnit+TaxPrepPerUnit)+AssetMgmtFeePct*((BaseMarketRentMo+BaseLowRentMo)*(LeaseUp!NJ$10-LossToLeasePct-BadDebtPct-ConcessionsPct)+LeaseUp!NJ$9*(ParkingPerUnitMo+UtilReimbPerUnitMo+OtherIncPerUnitMo)+RetailRentMo*MIN(1,LeaseUp!NJ$10/StabilizedOccupancy)),0)</f>
        <v/>
      </c>
      <c r="NK71" s="218">
        <f>IF(371&gt;=DeliverStart,TotalUnits/12*(CapReservePerUnit+TaxPrepPerUnit)+AssetMgmtFeePct*((BaseMarketRentMo+BaseLowRentMo)*(LeaseUp!NK$10-LossToLeasePct-BadDebtPct-ConcessionsPct)+LeaseUp!NK$9*(ParkingPerUnitMo+UtilReimbPerUnitMo+OtherIncPerUnitMo)+RetailRentMo*MIN(1,LeaseUp!NK$10/StabilizedOccupancy)),0)</f>
        <v/>
      </c>
      <c r="NL71" s="218">
        <f>IF(372&gt;=DeliverStart,TotalUnits/12*(CapReservePerUnit+TaxPrepPerUnit)+AssetMgmtFeePct*((BaseMarketRentMo+BaseLowRentMo)*(LeaseUp!NL$10-LossToLeasePct-BadDebtPct-ConcessionsPct)+LeaseUp!NL$9*(ParkingPerUnitMo+UtilReimbPerUnitMo+OtherIncPerUnitMo)+RetailRentMo*MIN(1,LeaseUp!NL$10/StabilizedOccupancy)),0)</f>
        <v/>
      </c>
    </row>
    <row r="72">
      <c r="B72" s="84" t="inlineStr">
        <is>
          <t>Static Unlevered Operating CF</t>
        </is>
      </c>
      <c r="D72" s="266">
        <f>SUM(E72:NL72)</f>
        <v/>
      </c>
      <c r="E72" s="218">
        <f>IF(Timeline!E$41=1,E$70-E$71,0)</f>
        <v/>
      </c>
      <c r="F72" s="218">
        <f>IF(Timeline!F$41=1,F$70-F$71,0)</f>
        <v/>
      </c>
      <c r="G72" s="218">
        <f>IF(Timeline!G$41=1,G$70-G$71,0)</f>
        <v/>
      </c>
      <c r="H72" s="218">
        <f>IF(Timeline!H$41=1,H$70-H$71,0)</f>
        <v/>
      </c>
      <c r="I72" s="218">
        <f>IF(Timeline!I$41=1,I$70-I$71,0)</f>
        <v/>
      </c>
      <c r="J72" s="218">
        <f>IF(Timeline!J$41=1,J$70-J$71,0)</f>
        <v/>
      </c>
      <c r="K72" s="218">
        <f>IF(Timeline!K$41=1,K$70-K$71,0)</f>
        <v/>
      </c>
      <c r="L72" s="218">
        <f>IF(Timeline!L$41=1,L$70-L$71,0)</f>
        <v/>
      </c>
      <c r="M72" s="218">
        <f>IF(Timeline!M$41=1,M$70-M$71,0)</f>
        <v/>
      </c>
      <c r="N72" s="218">
        <f>IF(Timeline!N$41=1,N$70-N$71,0)</f>
        <v/>
      </c>
      <c r="O72" s="218">
        <f>IF(Timeline!O$41=1,O$70-O$71,0)</f>
        <v/>
      </c>
      <c r="P72" s="218">
        <f>IF(Timeline!P$41=1,P$70-P$71,0)</f>
        <v/>
      </c>
      <c r="Q72" s="218">
        <f>IF(Timeline!Q$41=1,Q$70-Q$71,0)</f>
        <v/>
      </c>
      <c r="R72" s="218">
        <f>IF(Timeline!R$41=1,R$70-R$71,0)</f>
        <v/>
      </c>
      <c r="S72" s="218">
        <f>IF(Timeline!S$41=1,S$70-S$71,0)</f>
        <v/>
      </c>
      <c r="T72" s="218">
        <f>IF(Timeline!T$41=1,T$70-T$71,0)</f>
        <v/>
      </c>
      <c r="U72" s="218">
        <f>IF(Timeline!U$41=1,U$70-U$71,0)</f>
        <v/>
      </c>
      <c r="V72" s="218">
        <f>IF(Timeline!V$41=1,V$70-V$71,0)</f>
        <v/>
      </c>
      <c r="W72" s="218">
        <f>IF(Timeline!W$41=1,W$70-W$71,0)</f>
        <v/>
      </c>
      <c r="X72" s="218">
        <f>IF(Timeline!X$41=1,X$70-X$71,0)</f>
        <v/>
      </c>
      <c r="Y72" s="218">
        <f>IF(Timeline!Y$41=1,Y$70-Y$71,0)</f>
        <v/>
      </c>
      <c r="Z72" s="218">
        <f>IF(Timeline!Z$41=1,Z$70-Z$71,0)</f>
        <v/>
      </c>
      <c r="AA72" s="218">
        <f>IF(Timeline!AA$41=1,AA$70-AA$71,0)</f>
        <v/>
      </c>
      <c r="AB72" s="218">
        <f>IF(Timeline!AB$41=1,AB$70-AB$71,0)</f>
        <v/>
      </c>
      <c r="AC72" s="218">
        <f>IF(Timeline!AC$41=1,AC$70-AC$71,0)</f>
        <v/>
      </c>
      <c r="AD72" s="218">
        <f>IF(Timeline!AD$41=1,AD$70-AD$71,0)</f>
        <v/>
      </c>
      <c r="AE72" s="218">
        <f>IF(Timeline!AE$41=1,AE$70-AE$71,0)</f>
        <v/>
      </c>
      <c r="AF72" s="218">
        <f>IF(Timeline!AF$41=1,AF$70-AF$71,0)</f>
        <v/>
      </c>
      <c r="AG72" s="218">
        <f>IF(Timeline!AG$41=1,AG$70-AG$71,0)</f>
        <v/>
      </c>
      <c r="AH72" s="218">
        <f>IF(Timeline!AH$41=1,AH$70-AH$71,0)</f>
        <v/>
      </c>
      <c r="AI72" s="218">
        <f>IF(Timeline!AI$41=1,AI$70-AI$71,0)</f>
        <v/>
      </c>
      <c r="AJ72" s="218">
        <f>IF(Timeline!AJ$41=1,AJ$70-AJ$71,0)</f>
        <v/>
      </c>
      <c r="AK72" s="218">
        <f>IF(Timeline!AK$41=1,AK$70-AK$71,0)</f>
        <v/>
      </c>
      <c r="AL72" s="218">
        <f>IF(Timeline!AL$41=1,AL$70-AL$71,0)</f>
        <v/>
      </c>
      <c r="AM72" s="218">
        <f>IF(Timeline!AM$41=1,AM$70-AM$71,0)</f>
        <v/>
      </c>
      <c r="AN72" s="218">
        <f>IF(Timeline!AN$41=1,AN$70-AN$71,0)</f>
        <v/>
      </c>
      <c r="AO72" s="218">
        <f>IF(Timeline!AO$41=1,AO$70-AO$71,0)</f>
        <v/>
      </c>
      <c r="AP72" s="218">
        <f>IF(Timeline!AP$41=1,AP$70-AP$71,0)</f>
        <v/>
      </c>
      <c r="AQ72" s="218">
        <f>IF(Timeline!AQ$41=1,AQ$70-AQ$71,0)</f>
        <v/>
      </c>
      <c r="AR72" s="218">
        <f>IF(Timeline!AR$41=1,AR$70-AR$71,0)</f>
        <v/>
      </c>
      <c r="AS72" s="218">
        <f>IF(Timeline!AS$41=1,AS$70-AS$71,0)</f>
        <v/>
      </c>
      <c r="AT72" s="218">
        <f>IF(Timeline!AT$41=1,AT$70-AT$71,0)</f>
        <v/>
      </c>
      <c r="AU72" s="218">
        <f>IF(Timeline!AU$41=1,AU$70-AU$71,0)</f>
        <v/>
      </c>
      <c r="AV72" s="218">
        <f>IF(Timeline!AV$41=1,AV$70-AV$71,0)</f>
        <v/>
      </c>
      <c r="AW72" s="218">
        <f>IF(Timeline!AW$41=1,AW$70-AW$71,0)</f>
        <v/>
      </c>
      <c r="AX72" s="218">
        <f>IF(Timeline!AX$41=1,AX$70-AX$71,0)</f>
        <v/>
      </c>
      <c r="AY72" s="218">
        <f>IF(Timeline!AY$41=1,AY$70-AY$71,0)</f>
        <v/>
      </c>
      <c r="AZ72" s="218">
        <f>IF(Timeline!AZ$41=1,AZ$70-AZ$71,0)</f>
        <v/>
      </c>
      <c r="BA72" s="218">
        <f>IF(Timeline!BA$41=1,BA$70-BA$71,0)</f>
        <v/>
      </c>
      <c r="BB72" s="218">
        <f>IF(Timeline!BB$41=1,BB$70-BB$71,0)</f>
        <v/>
      </c>
      <c r="BC72" s="218">
        <f>IF(Timeline!BC$41=1,BC$70-BC$71,0)</f>
        <v/>
      </c>
      <c r="BD72" s="218">
        <f>IF(Timeline!BD$41=1,BD$70-BD$71,0)</f>
        <v/>
      </c>
      <c r="BE72" s="218">
        <f>IF(Timeline!BE$41=1,BE$70-BE$71,0)</f>
        <v/>
      </c>
      <c r="BF72" s="218">
        <f>IF(Timeline!BF$41=1,BF$70-BF$71,0)</f>
        <v/>
      </c>
      <c r="BG72" s="218">
        <f>IF(Timeline!BG$41=1,BG$70-BG$71,0)</f>
        <v/>
      </c>
      <c r="BH72" s="218">
        <f>IF(Timeline!BH$41=1,BH$70-BH$71,0)</f>
        <v/>
      </c>
      <c r="BI72" s="218">
        <f>IF(Timeline!BI$41=1,BI$70-BI$71,0)</f>
        <v/>
      </c>
      <c r="BJ72" s="218">
        <f>IF(Timeline!BJ$41=1,BJ$70-BJ$71,0)</f>
        <v/>
      </c>
      <c r="BK72" s="218">
        <f>IF(Timeline!BK$41=1,BK$70-BK$71,0)</f>
        <v/>
      </c>
      <c r="BL72" s="218">
        <f>IF(Timeline!BL$41=1,BL$70-BL$71,0)</f>
        <v/>
      </c>
      <c r="BM72" s="218">
        <f>IF(Timeline!BM$41=1,BM$70-BM$71,0)</f>
        <v/>
      </c>
      <c r="BN72" s="218">
        <f>IF(Timeline!BN$41=1,BN$70-BN$71,0)</f>
        <v/>
      </c>
      <c r="BO72" s="218">
        <f>IF(Timeline!BO$41=1,BO$70-BO$71,0)</f>
        <v/>
      </c>
      <c r="BP72" s="218">
        <f>IF(Timeline!BP$41=1,BP$70-BP$71,0)</f>
        <v/>
      </c>
      <c r="BQ72" s="218">
        <f>IF(Timeline!BQ$41=1,BQ$70-BQ$71,0)</f>
        <v/>
      </c>
      <c r="BR72" s="218">
        <f>IF(Timeline!BR$41=1,BR$70-BR$71,0)</f>
        <v/>
      </c>
      <c r="BS72" s="218">
        <f>IF(Timeline!BS$41=1,BS$70-BS$71,0)</f>
        <v/>
      </c>
      <c r="BT72" s="218">
        <f>IF(Timeline!BT$41=1,BT$70-BT$71,0)</f>
        <v/>
      </c>
      <c r="BU72" s="218">
        <f>IF(Timeline!BU$41=1,BU$70-BU$71,0)</f>
        <v/>
      </c>
      <c r="BV72" s="218">
        <f>IF(Timeline!BV$41=1,BV$70-BV$71,0)</f>
        <v/>
      </c>
      <c r="BW72" s="218">
        <f>IF(Timeline!BW$41=1,BW$70-BW$71,0)</f>
        <v/>
      </c>
      <c r="BX72" s="218">
        <f>IF(Timeline!BX$41=1,BX$70-BX$71,0)</f>
        <v/>
      </c>
      <c r="BY72" s="218">
        <f>IF(Timeline!BY$41=1,BY$70-BY$71,0)</f>
        <v/>
      </c>
      <c r="BZ72" s="218">
        <f>IF(Timeline!BZ$41=1,BZ$70-BZ$71,0)</f>
        <v/>
      </c>
      <c r="CA72" s="218">
        <f>IF(Timeline!CA$41=1,CA$70-CA$71,0)</f>
        <v/>
      </c>
      <c r="CB72" s="218">
        <f>IF(Timeline!CB$41=1,CB$70-CB$71,0)</f>
        <v/>
      </c>
      <c r="CC72" s="218">
        <f>IF(Timeline!CC$41=1,CC$70-CC$71,0)</f>
        <v/>
      </c>
      <c r="CD72" s="218">
        <f>IF(Timeline!CD$41=1,CD$70-CD$71,0)</f>
        <v/>
      </c>
      <c r="CE72" s="218">
        <f>IF(Timeline!CE$41=1,CE$70-CE$71,0)</f>
        <v/>
      </c>
      <c r="CF72" s="218">
        <f>IF(Timeline!CF$41=1,CF$70-CF$71,0)</f>
        <v/>
      </c>
      <c r="CG72" s="218">
        <f>IF(Timeline!CG$41=1,CG$70-CG$71,0)</f>
        <v/>
      </c>
      <c r="CH72" s="218">
        <f>IF(Timeline!CH$41=1,CH$70-CH$71,0)</f>
        <v/>
      </c>
      <c r="CI72" s="218">
        <f>IF(Timeline!CI$41=1,CI$70-CI$71,0)</f>
        <v/>
      </c>
      <c r="CJ72" s="218">
        <f>IF(Timeline!CJ$41=1,CJ$70-CJ$71,0)</f>
        <v/>
      </c>
      <c r="CK72" s="218">
        <f>IF(Timeline!CK$41=1,CK$70-CK$71,0)</f>
        <v/>
      </c>
      <c r="CL72" s="218">
        <f>IF(Timeline!CL$41=1,CL$70-CL$71,0)</f>
        <v/>
      </c>
      <c r="CM72" s="218">
        <f>IF(Timeline!CM$41=1,CM$70-CM$71,0)</f>
        <v/>
      </c>
      <c r="CN72" s="218">
        <f>IF(Timeline!CN$41=1,CN$70-CN$71,0)</f>
        <v/>
      </c>
      <c r="CO72" s="218">
        <f>IF(Timeline!CO$41=1,CO$70-CO$71,0)</f>
        <v/>
      </c>
      <c r="CP72" s="218">
        <f>IF(Timeline!CP$41=1,CP$70-CP$71,0)</f>
        <v/>
      </c>
      <c r="CQ72" s="218">
        <f>IF(Timeline!CQ$41=1,CQ$70-CQ$71,0)</f>
        <v/>
      </c>
      <c r="CR72" s="218">
        <f>IF(Timeline!CR$41=1,CR$70-CR$71,0)</f>
        <v/>
      </c>
      <c r="CS72" s="218">
        <f>IF(Timeline!CS$41=1,CS$70-CS$71,0)</f>
        <v/>
      </c>
      <c r="CT72" s="218">
        <f>IF(Timeline!CT$41=1,CT$70-CT$71,0)</f>
        <v/>
      </c>
      <c r="CU72" s="218">
        <f>IF(Timeline!CU$41=1,CU$70-CU$71,0)</f>
        <v/>
      </c>
      <c r="CV72" s="218">
        <f>IF(Timeline!CV$41=1,CV$70-CV$71,0)</f>
        <v/>
      </c>
      <c r="CW72" s="218">
        <f>IF(Timeline!CW$41=1,CW$70-CW$71,0)</f>
        <v/>
      </c>
      <c r="CX72" s="218">
        <f>IF(Timeline!CX$41=1,CX$70-CX$71,0)</f>
        <v/>
      </c>
      <c r="CY72" s="218">
        <f>IF(Timeline!CY$41=1,CY$70-CY$71,0)</f>
        <v/>
      </c>
      <c r="CZ72" s="218">
        <f>IF(Timeline!CZ$41=1,CZ$70-CZ$71,0)</f>
        <v/>
      </c>
      <c r="DA72" s="218">
        <f>IF(Timeline!DA$41=1,DA$70-DA$71,0)</f>
        <v/>
      </c>
      <c r="DB72" s="218">
        <f>IF(Timeline!DB$41=1,DB$70-DB$71,0)</f>
        <v/>
      </c>
      <c r="DC72" s="218">
        <f>IF(Timeline!DC$41=1,DC$70-DC$71,0)</f>
        <v/>
      </c>
      <c r="DD72" s="218">
        <f>IF(Timeline!DD$41=1,DD$70-DD$71,0)</f>
        <v/>
      </c>
      <c r="DE72" s="218">
        <f>IF(Timeline!DE$41=1,DE$70-DE$71,0)</f>
        <v/>
      </c>
      <c r="DF72" s="218">
        <f>IF(Timeline!DF$41=1,DF$70-DF$71,0)</f>
        <v/>
      </c>
      <c r="DG72" s="218">
        <f>IF(Timeline!DG$41=1,DG$70-DG$71,0)</f>
        <v/>
      </c>
      <c r="DH72" s="218">
        <f>IF(Timeline!DH$41=1,DH$70-DH$71,0)</f>
        <v/>
      </c>
      <c r="DI72" s="218">
        <f>IF(Timeline!DI$41=1,DI$70-DI$71,0)</f>
        <v/>
      </c>
      <c r="DJ72" s="218">
        <f>IF(Timeline!DJ$41=1,DJ$70-DJ$71,0)</f>
        <v/>
      </c>
      <c r="DK72" s="218">
        <f>IF(Timeline!DK$41=1,DK$70-DK$71,0)</f>
        <v/>
      </c>
      <c r="DL72" s="218">
        <f>IF(Timeline!DL$41=1,DL$70-DL$71,0)</f>
        <v/>
      </c>
      <c r="DM72" s="218">
        <f>IF(Timeline!DM$41=1,DM$70-DM$71,0)</f>
        <v/>
      </c>
      <c r="DN72" s="218">
        <f>IF(Timeline!DN$41=1,DN$70-DN$71,0)</f>
        <v/>
      </c>
      <c r="DO72" s="218">
        <f>IF(Timeline!DO$41=1,DO$70-DO$71,0)</f>
        <v/>
      </c>
      <c r="DP72" s="218">
        <f>IF(Timeline!DP$41=1,DP$70-DP$71,0)</f>
        <v/>
      </c>
      <c r="DQ72" s="218">
        <f>IF(Timeline!DQ$41=1,DQ$70-DQ$71,0)</f>
        <v/>
      </c>
      <c r="DR72" s="218">
        <f>IF(Timeline!DR$41=1,DR$70-DR$71,0)</f>
        <v/>
      </c>
      <c r="DS72" s="218">
        <f>IF(Timeline!DS$41=1,DS$70-DS$71,0)</f>
        <v/>
      </c>
      <c r="DT72" s="218">
        <f>IF(Timeline!DT$41=1,DT$70-DT$71,0)</f>
        <v/>
      </c>
      <c r="DU72" s="218">
        <f>IF(Timeline!DU$41=1,DU$70-DU$71,0)</f>
        <v/>
      </c>
      <c r="DV72" s="218">
        <f>IF(Timeline!DV$41=1,DV$70-DV$71,0)</f>
        <v/>
      </c>
      <c r="DW72" s="218">
        <f>IF(Timeline!DW$41=1,DW$70-DW$71,0)</f>
        <v/>
      </c>
      <c r="DX72" s="218">
        <f>IF(Timeline!DX$41=1,DX$70-DX$71,0)</f>
        <v/>
      </c>
      <c r="DY72" s="218">
        <f>IF(Timeline!DY$41=1,DY$70-DY$71,0)</f>
        <v/>
      </c>
      <c r="DZ72" s="218">
        <f>IF(Timeline!DZ$41=1,DZ$70-DZ$71,0)</f>
        <v/>
      </c>
      <c r="EA72" s="218">
        <f>IF(Timeline!EA$41=1,EA$70-EA$71,0)</f>
        <v/>
      </c>
      <c r="EB72" s="218">
        <f>IF(Timeline!EB$41=1,EB$70-EB$71,0)</f>
        <v/>
      </c>
      <c r="EC72" s="218">
        <f>IF(Timeline!EC$41=1,EC$70-EC$71,0)</f>
        <v/>
      </c>
      <c r="ED72" s="218">
        <f>IF(Timeline!ED$41=1,ED$70-ED$71,0)</f>
        <v/>
      </c>
      <c r="EE72" s="218">
        <f>IF(Timeline!EE$41=1,EE$70-EE$71,0)</f>
        <v/>
      </c>
      <c r="EF72" s="218">
        <f>IF(Timeline!EF$41=1,EF$70-EF$71,0)</f>
        <v/>
      </c>
      <c r="EG72" s="218">
        <f>IF(Timeline!EG$41=1,EG$70-EG$71,0)</f>
        <v/>
      </c>
      <c r="EH72" s="218">
        <f>IF(Timeline!EH$41=1,EH$70-EH$71,0)</f>
        <v/>
      </c>
      <c r="EI72" s="218">
        <f>IF(Timeline!EI$41=1,EI$70-EI$71,0)</f>
        <v/>
      </c>
      <c r="EJ72" s="218">
        <f>IF(Timeline!EJ$41=1,EJ$70-EJ$71,0)</f>
        <v/>
      </c>
      <c r="EK72" s="218">
        <f>IF(Timeline!EK$41=1,EK$70-EK$71,0)</f>
        <v/>
      </c>
      <c r="EL72" s="218">
        <f>IF(Timeline!EL$41=1,EL$70-EL$71,0)</f>
        <v/>
      </c>
      <c r="EM72" s="218">
        <f>IF(Timeline!EM$41=1,EM$70-EM$71,0)</f>
        <v/>
      </c>
      <c r="EN72" s="218">
        <f>IF(Timeline!EN$41=1,EN$70-EN$71,0)</f>
        <v/>
      </c>
      <c r="EO72" s="218">
        <f>IF(Timeline!EO$41=1,EO$70-EO$71,0)</f>
        <v/>
      </c>
      <c r="EP72" s="218">
        <f>IF(Timeline!EP$41=1,EP$70-EP$71,0)</f>
        <v/>
      </c>
      <c r="EQ72" s="218">
        <f>IF(Timeline!EQ$41=1,EQ$70-EQ$71,0)</f>
        <v/>
      </c>
      <c r="ER72" s="218">
        <f>IF(Timeline!ER$41=1,ER$70-ER$71,0)</f>
        <v/>
      </c>
      <c r="ES72" s="218">
        <f>IF(Timeline!ES$41=1,ES$70-ES$71,0)</f>
        <v/>
      </c>
      <c r="ET72" s="218">
        <f>IF(Timeline!ET$41=1,ET$70-ET$71,0)</f>
        <v/>
      </c>
      <c r="EU72" s="218">
        <f>IF(Timeline!EU$41=1,EU$70-EU$71,0)</f>
        <v/>
      </c>
      <c r="EV72" s="218">
        <f>IF(Timeline!EV$41=1,EV$70-EV$71,0)</f>
        <v/>
      </c>
      <c r="EW72" s="218">
        <f>IF(Timeline!EW$41=1,EW$70-EW$71,0)</f>
        <v/>
      </c>
      <c r="EX72" s="218">
        <f>IF(Timeline!EX$41=1,EX$70-EX$71,0)</f>
        <v/>
      </c>
      <c r="EY72" s="218">
        <f>IF(Timeline!EY$41=1,EY$70-EY$71,0)</f>
        <v/>
      </c>
      <c r="EZ72" s="218">
        <f>IF(Timeline!EZ$41=1,EZ$70-EZ$71,0)</f>
        <v/>
      </c>
      <c r="FA72" s="218">
        <f>IF(Timeline!FA$41=1,FA$70-FA$71,0)</f>
        <v/>
      </c>
      <c r="FB72" s="218">
        <f>IF(Timeline!FB$41=1,FB$70-FB$71,0)</f>
        <v/>
      </c>
      <c r="FC72" s="218">
        <f>IF(Timeline!FC$41=1,FC$70-FC$71,0)</f>
        <v/>
      </c>
      <c r="FD72" s="218">
        <f>IF(Timeline!FD$41=1,FD$70-FD$71,0)</f>
        <v/>
      </c>
      <c r="FE72" s="218">
        <f>IF(Timeline!FE$41=1,FE$70-FE$71,0)</f>
        <v/>
      </c>
      <c r="FF72" s="218">
        <f>IF(Timeline!FF$41=1,FF$70-FF$71,0)</f>
        <v/>
      </c>
      <c r="FG72" s="218">
        <f>IF(Timeline!FG$41=1,FG$70-FG$71,0)</f>
        <v/>
      </c>
      <c r="FH72" s="218">
        <f>IF(Timeline!FH$41=1,FH$70-FH$71,0)</f>
        <v/>
      </c>
      <c r="FI72" s="218">
        <f>IF(Timeline!FI$41=1,FI$70-FI$71,0)</f>
        <v/>
      </c>
      <c r="FJ72" s="218">
        <f>IF(Timeline!FJ$41=1,FJ$70-FJ$71,0)</f>
        <v/>
      </c>
      <c r="FK72" s="218">
        <f>IF(Timeline!FK$41=1,FK$70-FK$71,0)</f>
        <v/>
      </c>
      <c r="FL72" s="218">
        <f>IF(Timeline!FL$41=1,FL$70-FL$71,0)</f>
        <v/>
      </c>
      <c r="FM72" s="218">
        <f>IF(Timeline!FM$41=1,FM$70-FM$71,0)</f>
        <v/>
      </c>
      <c r="FN72" s="218">
        <f>IF(Timeline!FN$41=1,FN$70-FN$71,0)</f>
        <v/>
      </c>
      <c r="FO72" s="218">
        <f>IF(Timeline!FO$41=1,FO$70-FO$71,0)</f>
        <v/>
      </c>
      <c r="FP72" s="218">
        <f>IF(Timeline!FP$41=1,FP$70-FP$71,0)</f>
        <v/>
      </c>
      <c r="FQ72" s="218">
        <f>IF(Timeline!FQ$41=1,FQ$70-FQ$71,0)</f>
        <v/>
      </c>
      <c r="FR72" s="218">
        <f>IF(Timeline!FR$41=1,FR$70-FR$71,0)</f>
        <v/>
      </c>
      <c r="FS72" s="218">
        <f>IF(Timeline!FS$41=1,FS$70-FS$71,0)</f>
        <v/>
      </c>
      <c r="FT72" s="218">
        <f>IF(Timeline!FT$41=1,FT$70-FT$71,0)</f>
        <v/>
      </c>
      <c r="FU72" s="218">
        <f>IF(Timeline!FU$41=1,FU$70-FU$71,0)</f>
        <v/>
      </c>
      <c r="FV72" s="218">
        <f>IF(Timeline!FV$41=1,FV$70-FV$71,0)</f>
        <v/>
      </c>
      <c r="FW72" s="218">
        <f>IF(Timeline!FW$41=1,FW$70-FW$71,0)</f>
        <v/>
      </c>
      <c r="FX72" s="218">
        <f>IF(Timeline!FX$41=1,FX$70-FX$71,0)</f>
        <v/>
      </c>
      <c r="FY72" s="218">
        <f>IF(Timeline!FY$41=1,FY$70-FY$71,0)</f>
        <v/>
      </c>
      <c r="FZ72" s="218">
        <f>IF(Timeline!FZ$41=1,FZ$70-FZ$71,0)</f>
        <v/>
      </c>
      <c r="GA72" s="218">
        <f>IF(Timeline!GA$41=1,GA$70-GA$71,0)</f>
        <v/>
      </c>
      <c r="GB72" s="218">
        <f>IF(Timeline!GB$41=1,GB$70-GB$71,0)</f>
        <v/>
      </c>
      <c r="GC72" s="218">
        <f>IF(Timeline!GC$41=1,GC$70-GC$71,0)</f>
        <v/>
      </c>
      <c r="GD72" s="218">
        <f>IF(Timeline!GD$41=1,GD$70-GD$71,0)</f>
        <v/>
      </c>
      <c r="GE72" s="218">
        <f>IF(Timeline!GE$41=1,GE$70-GE$71,0)</f>
        <v/>
      </c>
      <c r="GF72" s="218">
        <f>IF(Timeline!GF$41=1,GF$70-GF$71,0)</f>
        <v/>
      </c>
      <c r="GG72" s="218">
        <f>IF(Timeline!GG$41=1,GG$70-GG$71,0)</f>
        <v/>
      </c>
      <c r="GH72" s="218">
        <f>IF(Timeline!GH$41=1,GH$70-GH$71,0)</f>
        <v/>
      </c>
      <c r="GI72" s="218">
        <f>IF(Timeline!GI$41=1,GI$70-GI$71,0)</f>
        <v/>
      </c>
      <c r="GJ72" s="218">
        <f>IF(Timeline!GJ$41=1,GJ$70-GJ$71,0)</f>
        <v/>
      </c>
      <c r="GK72" s="218">
        <f>IF(Timeline!GK$41=1,GK$70-GK$71,0)</f>
        <v/>
      </c>
      <c r="GL72" s="218">
        <f>IF(Timeline!GL$41=1,GL$70-GL$71,0)</f>
        <v/>
      </c>
      <c r="GM72" s="218">
        <f>IF(Timeline!GM$41=1,GM$70-GM$71,0)</f>
        <v/>
      </c>
      <c r="GN72" s="218">
        <f>IF(Timeline!GN$41=1,GN$70-GN$71,0)</f>
        <v/>
      </c>
      <c r="GO72" s="218">
        <f>IF(Timeline!GO$41=1,GO$70-GO$71,0)</f>
        <v/>
      </c>
      <c r="GP72" s="218">
        <f>IF(Timeline!GP$41=1,GP$70-GP$71,0)</f>
        <v/>
      </c>
      <c r="GQ72" s="218">
        <f>IF(Timeline!GQ$41=1,GQ$70-GQ$71,0)</f>
        <v/>
      </c>
      <c r="GR72" s="218">
        <f>IF(Timeline!GR$41=1,GR$70-GR$71,0)</f>
        <v/>
      </c>
      <c r="GS72" s="218">
        <f>IF(Timeline!GS$41=1,GS$70-GS$71,0)</f>
        <v/>
      </c>
      <c r="GT72" s="218">
        <f>IF(Timeline!GT$41=1,GT$70-GT$71,0)</f>
        <v/>
      </c>
      <c r="GU72" s="218">
        <f>IF(Timeline!GU$41=1,GU$70-GU$71,0)</f>
        <v/>
      </c>
      <c r="GV72" s="218">
        <f>IF(Timeline!GV$41=1,GV$70-GV$71,0)</f>
        <v/>
      </c>
      <c r="GW72" s="218">
        <f>IF(Timeline!GW$41=1,GW$70-GW$71,0)</f>
        <v/>
      </c>
      <c r="GX72" s="218">
        <f>IF(Timeline!GX$41=1,GX$70-GX$71,0)</f>
        <v/>
      </c>
      <c r="GY72" s="218">
        <f>IF(Timeline!GY$41=1,GY$70-GY$71,0)</f>
        <v/>
      </c>
      <c r="GZ72" s="218">
        <f>IF(Timeline!GZ$41=1,GZ$70-GZ$71,0)</f>
        <v/>
      </c>
      <c r="HA72" s="218">
        <f>IF(Timeline!HA$41=1,HA$70-HA$71,0)</f>
        <v/>
      </c>
      <c r="HB72" s="218">
        <f>IF(Timeline!HB$41=1,HB$70-HB$71,0)</f>
        <v/>
      </c>
      <c r="HC72" s="218">
        <f>IF(Timeline!HC$41=1,HC$70-HC$71,0)</f>
        <v/>
      </c>
      <c r="HD72" s="218">
        <f>IF(Timeline!HD$41=1,HD$70-HD$71,0)</f>
        <v/>
      </c>
      <c r="HE72" s="218">
        <f>IF(Timeline!HE$41=1,HE$70-HE$71,0)</f>
        <v/>
      </c>
      <c r="HF72" s="218">
        <f>IF(Timeline!HF$41=1,HF$70-HF$71,0)</f>
        <v/>
      </c>
      <c r="HG72" s="218">
        <f>IF(Timeline!HG$41=1,HG$70-HG$71,0)</f>
        <v/>
      </c>
      <c r="HH72" s="218">
        <f>IF(Timeline!HH$41=1,HH$70-HH$71,0)</f>
        <v/>
      </c>
      <c r="HI72" s="218">
        <f>IF(Timeline!HI$41=1,HI$70-HI$71,0)</f>
        <v/>
      </c>
      <c r="HJ72" s="218">
        <f>IF(Timeline!HJ$41=1,HJ$70-HJ$71,0)</f>
        <v/>
      </c>
      <c r="HK72" s="218">
        <f>IF(Timeline!HK$41=1,HK$70-HK$71,0)</f>
        <v/>
      </c>
      <c r="HL72" s="218">
        <f>IF(Timeline!HL$41=1,HL$70-HL$71,0)</f>
        <v/>
      </c>
      <c r="HM72" s="218">
        <f>IF(Timeline!HM$41=1,HM$70-HM$71,0)</f>
        <v/>
      </c>
      <c r="HN72" s="218">
        <f>IF(Timeline!HN$41=1,HN$70-HN$71,0)</f>
        <v/>
      </c>
      <c r="HO72" s="218">
        <f>IF(Timeline!HO$41=1,HO$70-HO$71,0)</f>
        <v/>
      </c>
      <c r="HP72" s="218">
        <f>IF(Timeline!HP$41=1,HP$70-HP$71,0)</f>
        <v/>
      </c>
      <c r="HQ72" s="218">
        <f>IF(Timeline!HQ$41=1,HQ$70-HQ$71,0)</f>
        <v/>
      </c>
      <c r="HR72" s="218">
        <f>IF(Timeline!HR$41=1,HR$70-HR$71,0)</f>
        <v/>
      </c>
      <c r="HS72" s="218">
        <f>IF(Timeline!HS$41=1,HS$70-HS$71,0)</f>
        <v/>
      </c>
      <c r="HT72" s="218">
        <f>IF(Timeline!HT$41=1,HT$70-HT$71,0)</f>
        <v/>
      </c>
      <c r="HU72" s="218">
        <f>IF(Timeline!HU$41=1,HU$70-HU$71,0)</f>
        <v/>
      </c>
      <c r="HV72" s="218">
        <f>IF(Timeline!HV$41=1,HV$70-HV$71,0)</f>
        <v/>
      </c>
      <c r="HW72" s="218">
        <f>IF(Timeline!HW$41=1,HW$70-HW$71,0)</f>
        <v/>
      </c>
      <c r="HX72" s="218">
        <f>IF(Timeline!HX$41=1,HX$70-HX$71,0)</f>
        <v/>
      </c>
      <c r="HY72" s="218">
        <f>IF(Timeline!HY$41=1,HY$70-HY$71,0)</f>
        <v/>
      </c>
      <c r="HZ72" s="218">
        <f>IF(Timeline!HZ$41=1,HZ$70-HZ$71,0)</f>
        <v/>
      </c>
      <c r="IA72" s="218">
        <f>IF(Timeline!IA$41=1,IA$70-IA$71,0)</f>
        <v/>
      </c>
      <c r="IB72" s="218">
        <f>IF(Timeline!IB$41=1,IB$70-IB$71,0)</f>
        <v/>
      </c>
      <c r="IC72" s="218">
        <f>IF(Timeline!IC$41=1,IC$70-IC$71,0)</f>
        <v/>
      </c>
      <c r="ID72" s="218">
        <f>IF(Timeline!ID$41=1,ID$70-ID$71,0)</f>
        <v/>
      </c>
      <c r="IE72" s="218">
        <f>IF(Timeline!IE$41=1,IE$70-IE$71,0)</f>
        <v/>
      </c>
      <c r="IF72" s="218">
        <f>IF(Timeline!IF$41=1,IF$70-IF$71,0)</f>
        <v/>
      </c>
      <c r="IG72" s="218">
        <f>IF(Timeline!IG$41=1,IG$70-IG$71,0)</f>
        <v/>
      </c>
      <c r="IH72" s="218">
        <f>IF(Timeline!IH$41=1,IH$70-IH$71,0)</f>
        <v/>
      </c>
      <c r="II72" s="218">
        <f>IF(Timeline!II$41=1,II$70-II$71,0)</f>
        <v/>
      </c>
      <c r="IJ72" s="218">
        <f>IF(Timeline!IJ$41=1,IJ$70-IJ$71,0)</f>
        <v/>
      </c>
      <c r="IK72" s="218">
        <f>IF(Timeline!IK$41=1,IK$70-IK$71,0)</f>
        <v/>
      </c>
      <c r="IL72" s="218">
        <f>IF(Timeline!IL$41=1,IL$70-IL$71,0)</f>
        <v/>
      </c>
      <c r="IM72" s="218">
        <f>IF(Timeline!IM$41=1,IM$70-IM$71,0)</f>
        <v/>
      </c>
      <c r="IN72" s="218">
        <f>IF(Timeline!IN$41=1,IN$70-IN$71,0)</f>
        <v/>
      </c>
      <c r="IO72" s="218">
        <f>IF(Timeline!IO$41=1,IO$70-IO$71,0)</f>
        <v/>
      </c>
      <c r="IP72" s="218">
        <f>IF(Timeline!IP$41=1,IP$70-IP$71,0)</f>
        <v/>
      </c>
      <c r="IQ72" s="218">
        <f>IF(Timeline!IQ$41=1,IQ$70-IQ$71,0)</f>
        <v/>
      </c>
      <c r="IR72" s="218">
        <f>IF(Timeline!IR$41=1,IR$70-IR$71,0)</f>
        <v/>
      </c>
      <c r="IS72" s="218">
        <f>IF(Timeline!IS$41=1,IS$70-IS$71,0)</f>
        <v/>
      </c>
      <c r="IT72" s="218">
        <f>IF(Timeline!IT$41=1,IT$70-IT$71,0)</f>
        <v/>
      </c>
      <c r="IU72" s="218">
        <f>IF(Timeline!IU$41=1,IU$70-IU$71,0)</f>
        <v/>
      </c>
      <c r="IV72" s="218">
        <f>IF(Timeline!IV$41=1,IV$70-IV$71,0)</f>
        <v/>
      </c>
      <c r="IW72" s="218">
        <f>IF(Timeline!IW$41=1,IW$70-IW$71,0)</f>
        <v/>
      </c>
      <c r="IX72" s="218">
        <f>IF(Timeline!IX$41=1,IX$70-IX$71,0)</f>
        <v/>
      </c>
      <c r="IY72" s="218">
        <f>IF(Timeline!IY$41=1,IY$70-IY$71,0)</f>
        <v/>
      </c>
      <c r="IZ72" s="218">
        <f>IF(Timeline!IZ$41=1,IZ$70-IZ$71,0)</f>
        <v/>
      </c>
      <c r="JA72" s="218">
        <f>IF(Timeline!JA$41=1,JA$70-JA$71,0)</f>
        <v/>
      </c>
      <c r="JB72" s="218">
        <f>IF(Timeline!JB$41=1,JB$70-JB$71,0)</f>
        <v/>
      </c>
      <c r="JC72" s="218">
        <f>IF(Timeline!JC$41=1,JC$70-JC$71,0)</f>
        <v/>
      </c>
      <c r="JD72" s="218">
        <f>IF(Timeline!JD$41=1,JD$70-JD$71,0)</f>
        <v/>
      </c>
      <c r="JE72" s="218">
        <f>IF(Timeline!JE$41=1,JE$70-JE$71,0)</f>
        <v/>
      </c>
      <c r="JF72" s="218">
        <f>IF(Timeline!JF$41=1,JF$70-JF$71,0)</f>
        <v/>
      </c>
      <c r="JG72" s="218">
        <f>IF(Timeline!JG$41=1,JG$70-JG$71,0)</f>
        <v/>
      </c>
      <c r="JH72" s="218">
        <f>IF(Timeline!JH$41=1,JH$70-JH$71,0)</f>
        <v/>
      </c>
      <c r="JI72" s="218">
        <f>IF(Timeline!JI$41=1,JI$70-JI$71,0)</f>
        <v/>
      </c>
      <c r="JJ72" s="218">
        <f>IF(Timeline!JJ$41=1,JJ$70-JJ$71,0)</f>
        <v/>
      </c>
      <c r="JK72" s="218">
        <f>IF(Timeline!JK$41=1,JK$70-JK$71,0)</f>
        <v/>
      </c>
      <c r="JL72" s="218">
        <f>IF(Timeline!JL$41=1,JL$70-JL$71,0)</f>
        <v/>
      </c>
      <c r="JM72" s="218">
        <f>IF(Timeline!JM$41=1,JM$70-JM$71,0)</f>
        <v/>
      </c>
      <c r="JN72" s="218">
        <f>IF(Timeline!JN$41=1,JN$70-JN$71,0)</f>
        <v/>
      </c>
      <c r="JO72" s="218">
        <f>IF(Timeline!JO$41=1,JO$70-JO$71,0)</f>
        <v/>
      </c>
      <c r="JP72" s="218">
        <f>IF(Timeline!JP$41=1,JP$70-JP$71,0)</f>
        <v/>
      </c>
      <c r="JQ72" s="218">
        <f>IF(Timeline!JQ$41=1,JQ$70-JQ$71,0)</f>
        <v/>
      </c>
      <c r="JR72" s="218">
        <f>IF(Timeline!JR$41=1,JR$70-JR$71,0)</f>
        <v/>
      </c>
      <c r="JS72" s="218">
        <f>IF(Timeline!JS$41=1,JS$70-JS$71,0)</f>
        <v/>
      </c>
      <c r="JT72" s="218">
        <f>IF(Timeline!JT$41=1,JT$70-JT$71,0)</f>
        <v/>
      </c>
      <c r="JU72" s="218">
        <f>IF(Timeline!JU$41=1,JU$70-JU$71,0)</f>
        <v/>
      </c>
      <c r="JV72" s="218">
        <f>IF(Timeline!JV$41=1,JV$70-JV$71,0)</f>
        <v/>
      </c>
      <c r="JW72" s="218">
        <f>IF(Timeline!JW$41=1,JW$70-JW$71,0)</f>
        <v/>
      </c>
      <c r="JX72" s="218">
        <f>IF(Timeline!JX$41=1,JX$70-JX$71,0)</f>
        <v/>
      </c>
      <c r="JY72" s="218">
        <f>IF(Timeline!JY$41=1,JY$70-JY$71,0)</f>
        <v/>
      </c>
      <c r="JZ72" s="218">
        <f>IF(Timeline!JZ$41=1,JZ$70-JZ$71,0)</f>
        <v/>
      </c>
      <c r="KA72" s="218">
        <f>IF(Timeline!KA$41=1,KA$70-KA$71,0)</f>
        <v/>
      </c>
      <c r="KB72" s="218">
        <f>IF(Timeline!KB$41=1,KB$70-KB$71,0)</f>
        <v/>
      </c>
      <c r="KC72" s="218">
        <f>IF(Timeline!KC$41=1,KC$70-KC$71,0)</f>
        <v/>
      </c>
      <c r="KD72" s="218">
        <f>IF(Timeline!KD$41=1,KD$70-KD$71,0)</f>
        <v/>
      </c>
      <c r="KE72" s="218">
        <f>IF(Timeline!KE$41=1,KE$70-KE$71,0)</f>
        <v/>
      </c>
      <c r="KF72" s="218">
        <f>IF(Timeline!KF$41=1,KF$70-KF$71,0)</f>
        <v/>
      </c>
      <c r="KG72" s="218">
        <f>IF(Timeline!KG$41=1,KG$70-KG$71,0)</f>
        <v/>
      </c>
      <c r="KH72" s="218">
        <f>IF(Timeline!KH$41=1,KH$70-KH$71,0)</f>
        <v/>
      </c>
      <c r="KI72" s="218">
        <f>IF(Timeline!KI$41=1,KI$70-KI$71,0)</f>
        <v/>
      </c>
      <c r="KJ72" s="218">
        <f>IF(Timeline!KJ$41=1,KJ$70-KJ$71,0)</f>
        <v/>
      </c>
      <c r="KK72" s="218">
        <f>IF(Timeline!KK$41=1,KK$70-KK$71,0)</f>
        <v/>
      </c>
      <c r="KL72" s="218">
        <f>IF(Timeline!KL$41=1,KL$70-KL$71,0)</f>
        <v/>
      </c>
      <c r="KM72" s="218">
        <f>IF(Timeline!KM$41=1,KM$70-KM$71,0)</f>
        <v/>
      </c>
      <c r="KN72" s="218">
        <f>IF(Timeline!KN$41=1,KN$70-KN$71,0)</f>
        <v/>
      </c>
      <c r="KO72" s="218">
        <f>IF(Timeline!KO$41=1,KO$70-KO$71,0)</f>
        <v/>
      </c>
      <c r="KP72" s="218">
        <f>IF(Timeline!KP$41=1,KP$70-KP$71,0)</f>
        <v/>
      </c>
      <c r="KQ72" s="218">
        <f>IF(Timeline!KQ$41=1,KQ$70-KQ$71,0)</f>
        <v/>
      </c>
      <c r="KR72" s="218">
        <f>IF(Timeline!KR$41=1,KR$70-KR$71,0)</f>
        <v/>
      </c>
      <c r="KS72" s="218">
        <f>IF(Timeline!KS$41=1,KS$70-KS$71,0)</f>
        <v/>
      </c>
      <c r="KT72" s="218">
        <f>IF(Timeline!KT$41=1,KT$70-KT$71,0)</f>
        <v/>
      </c>
      <c r="KU72" s="218">
        <f>IF(Timeline!KU$41=1,KU$70-KU$71,0)</f>
        <v/>
      </c>
      <c r="KV72" s="218">
        <f>IF(Timeline!KV$41=1,KV$70-KV$71,0)</f>
        <v/>
      </c>
      <c r="KW72" s="218">
        <f>IF(Timeline!KW$41=1,KW$70-KW$71,0)</f>
        <v/>
      </c>
      <c r="KX72" s="218">
        <f>IF(Timeline!KX$41=1,KX$70-KX$71,0)</f>
        <v/>
      </c>
      <c r="KY72" s="218">
        <f>IF(Timeline!KY$41=1,KY$70-KY$71,0)</f>
        <v/>
      </c>
      <c r="KZ72" s="218">
        <f>IF(Timeline!KZ$41=1,KZ$70-KZ$71,0)</f>
        <v/>
      </c>
      <c r="LA72" s="218">
        <f>IF(Timeline!LA$41=1,LA$70-LA$71,0)</f>
        <v/>
      </c>
      <c r="LB72" s="218">
        <f>IF(Timeline!LB$41=1,LB$70-LB$71,0)</f>
        <v/>
      </c>
      <c r="LC72" s="218">
        <f>IF(Timeline!LC$41=1,LC$70-LC$71,0)</f>
        <v/>
      </c>
      <c r="LD72" s="218">
        <f>IF(Timeline!LD$41=1,LD$70-LD$71,0)</f>
        <v/>
      </c>
      <c r="LE72" s="218">
        <f>IF(Timeline!LE$41=1,LE$70-LE$71,0)</f>
        <v/>
      </c>
      <c r="LF72" s="218">
        <f>IF(Timeline!LF$41=1,LF$70-LF$71,0)</f>
        <v/>
      </c>
      <c r="LG72" s="218">
        <f>IF(Timeline!LG$41=1,LG$70-LG$71,0)</f>
        <v/>
      </c>
      <c r="LH72" s="218">
        <f>IF(Timeline!LH$41=1,LH$70-LH$71,0)</f>
        <v/>
      </c>
      <c r="LI72" s="218">
        <f>IF(Timeline!LI$41=1,LI$70-LI$71,0)</f>
        <v/>
      </c>
      <c r="LJ72" s="218">
        <f>IF(Timeline!LJ$41=1,LJ$70-LJ$71,0)</f>
        <v/>
      </c>
      <c r="LK72" s="218">
        <f>IF(Timeline!LK$41=1,LK$70-LK$71,0)</f>
        <v/>
      </c>
      <c r="LL72" s="218">
        <f>IF(Timeline!LL$41=1,LL$70-LL$71,0)</f>
        <v/>
      </c>
      <c r="LM72" s="218">
        <f>IF(Timeline!LM$41=1,LM$70-LM$71,0)</f>
        <v/>
      </c>
      <c r="LN72" s="218">
        <f>IF(Timeline!LN$41=1,LN$70-LN$71,0)</f>
        <v/>
      </c>
      <c r="LO72" s="218">
        <f>IF(Timeline!LO$41=1,LO$70-LO$71,0)</f>
        <v/>
      </c>
      <c r="LP72" s="218">
        <f>IF(Timeline!LP$41=1,LP$70-LP$71,0)</f>
        <v/>
      </c>
      <c r="LQ72" s="218">
        <f>IF(Timeline!LQ$41=1,LQ$70-LQ$71,0)</f>
        <v/>
      </c>
      <c r="LR72" s="218">
        <f>IF(Timeline!LR$41=1,LR$70-LR$71,0)</f>
        <v/>
      </c>
      <c r="LS72" s="218">
        <f>IF(Timeline!LS$41=1,LS$70-LS$71,0)</f>
        <v/>
      </c>
      <c r="LT72" s="218">
        <f>IF(Timeline!LT$41=1,LT$70-LT$71,0)</f>
        <v/>
      </c>
      <c r="LU72" s="218">
        <f>IF(Timeline!LU$41=1,LU$70-LU$71,0)</f>
        <v/>
      </c>
      <c r="LV72" s="218">
        <f>IF(Timeline!LV$41=1,LV$70-LV$71,0)</f>
        <v/>
      </c>
      <c r="LW72" s="218">
        <f>IF(Timeline!LW$41=1,LW$70-LW$71,0)</f>
        <v/>
      </c>
      <c r="LX72" s="218">
        <f>IF(Timeline!LX$41=1,LX$70-LX$71,0)</f>
        <v/>
      </c>
      <c r="LY72" s="218">
        <f>IF(Timeline!LY$41=1,LY$70-LY$71,0)</f>
        <v/>
      </c>
      <c r="LZ72" s="218">
        <f>IF(Timeline!LZ$41=1,LZ$70-LZ$71,0)</f>
        <v/>
      </c>
      <c r="MA72" s="218">
        <f>IF(Timeline!MA$41=1,MA$70-MA$71,0)</f>
        <v/>
      </c>
      <c r="MB72" s="218">
        <f>IF(Timeline!MB$41=1,MB$70-MB$71,0)</f>
        <v/>
      </c>
      <c r="MC72" s="218">
        <f>IF(Timeline!MC$41=1,MC$70-MC$71,0)</f>
        <v/>
      </c>
      <c r="MD72" s="218">
        <f>IF(Timeline!MD$41=1,MD$70-MD$71,0)</f>
        <v/>
      </c>
      <c r="ME72" s="218">
        <f>IF(Timeline!ME$41=1,ME$70-ME$71,0)</f>
        <v/>
      </c>
      <c r="MF72" s="218">
        <f>IF(Timeline!MF$41=1,MF$70-MF$71,0)</f>
        <v/>
      </c>
      <c r="MG72" s="218">
        <f>IF(Timeline!MG$41=1,MG$70-MG$71,0)</f>
        <v/>
      </c>
      <c r="MH72" s="218">
        <f>IF(Timeline!MH$41=1,MH$70-MH$71,0)</f>
        <v/>
      </c>
      <c r="MI72" s="218">
        <f>IF(Timeline!MI$41=1,MI$70-MI$71,0)</f>
        <v/>
      </c>
      <c r="MJ72" s="218">
        <f>IF(Timeline!MJ$41=1,MJ$70-MJ$71,0)</f>
        <v/>
      </c>
      <c r="MK72" s="218">
        <f>IF(Timeline!MK$41=1,MK$70-MK$71,0)</f>
        <v/>
      </c>
      <c r="ML72" s="218">
        <f>IF(Timeline!ML$41=1,ML$70-ML$71,0)</f>
        <v/>
      </c>
      <c r="MM72" s="218">
        <f>IF(Timeline!MM$41=1,MM$70-MM$71,0)</f>
        <v/>
      </c>
      <c r="MN72" s="218">
        <f>IF(Timeline!MN$41=1,MN$70-MN$71,0)</f>
        <v/>
      </c>
      <c r="MO72" s="218">
        <f>IF(Timeline!MO$41=1,MO$70-MO$71,0)</f>
        <v/>
      </c>
      <c r="MP72" s="218">
        <f>IF(Timeline!MP$41=1,MP$70-MP$71,0)</f>
        <v/>
      </c>
      <c r="MQ72" s="218">
        <f>IF(Timeline!MQ$41=1,MQ$70-MQ$71,0)</f>
        <v/>
      </c>
      <c r="MR72" s="218">
        <f>IF(Timeline!MR$41=1,MR$70-MR$71,0)</f>
        <v/>
      </c>
      <c r="MS72" s="218">
        <f>IF(Timeline!MS$41=1,MS$70-MS$71,0)</f>
        <v/>
      </c>
      <c r="MT72" s="218">
        <f>IF(Timeline!MT$41=1,MT$70-MT$71,0)</f>
        <v/>
      </c>
      <c r="MU72" s="218">
        <f>IF(Timeline!MU$41=1,MU$70-MU$71,0)</f>
        <v/>
      </c>
      <c r="MV72" s="218">
        <f>IF(Timeline!MV$41=1,MV$70-MV$71,0)</f>
        <v/>
      </c>
      <c r="MW72" s="218">
        <f>IF(Timeline!MW$41=1,MW$70-MW$71,0)</f>
        <v/>
      </c>
      <c r="MX72" s="218">
        <f>IF(Timeline!MX$41=1,MX$70-MX$71,0)</f>
        <v/>
      </c>
      <c r="MY72" s="218">
        <f>IF(Timeline!MY$41=1,MY$70-MY$71,0)</f>
        <v/>
      </c>
      <c r="MZ72" s="218">
        <f>IF(Timeline!MZ$41=1,MZ$70-MZ$71,0)</f>
        <v/>
      </c>
      <c r="NA72" s="218">
        <f>IF(Timeline!NA$41=1,NA$70-NA$71,0)</f>
        <v/>
      </c>
      <c r="NB72" s="218">
        <f>IF(Timeline!NB$41=1,NB$70-NB$71,0)</f>
        <v/>
      </c>
      <c r="NC72" s="218">
        <f>IF(Timeline!NC$41=1,NC$70-NC$71,0)</f>
        <v/>
      </c>
      <c r="ND72" s="218">
        <f>IF(Timeline!ND$41=1,ND$70-ND$71,0)</f>
        <v/>
      </c>
      <c r="NE72" s="218">
        <f>IF(Timeline!NE$41=1,NE$70-NE$71,0)</f>
        <v/>
      </c>
      <c r="NF72" s="218">
        <f>IF(Timeline!NF$41=1,NF$70-NF$71,0)</f>
        <v/>
      </c>
      <c r="NG72" s="218">
        <f>IF(Timeline!NG$41=1,NG$70-NG$71,0)</f>
        <v/>
      </c>
      <c r="NH72" s="218">
        <f>IF(Timeline!NH$41=1,NH$70-NH$71,0)</f>
        <v/>
      </c>
      <c r="NI72" s="218">
        <f>IF(Timeline!NI$41=1,NI$70-NI$71,0)</f>
        <v/>
      </c>
      <c r="NJ72" s="218">
        <f>IF(Timeline!NJ$41=1,NJ$70-NJ$71,0)</f>
        <v/>
      </c>
      <c r="NK72" s="218">
        <f>IF(Timeline!NK$41=1,NK$70-NK$71,0)</f>
        <v/>
      </c>
      <c r="NL72" s="218">
        <f>IF(Timeline!NL$41=1,NL$70-NL$71,0)</f>
        <v/>
      </c>
    </row>
    <row r="74">
      <c r="B74" s="327" t="inlineStr">
        <is>
          <t>Static (No-Growth) Property-Tax Basis</t>
        </is>
      </c>
    </row>
    <row r="75">
      <c r="B75" s="316" t="inlineStr">
        <is>
          <t>Static Stabilized NOI before Tax (fwd 12mo)</t>
        </is>
      </c>
      <c r="C75" s="280">
        <f>SUM(INDEX(E$68:NL$68,StabMonth):INDEX(E$68:NL$68,StabMonth+11))</f>
        <v/>
      </c>
    </row>
    <row r="76">
      <c r="B76" s="316" t="inlineStr">
        <is>
          <t>Static Assessed Value (growth-free)</t>
        </is>
      </c>
      <c r="C76" s="280">
        <f>IF((EntryCapRate+EffTaxRateOnValue)=0,0,C75/(EntryCapRate+EffTaxRateOnValue))</f>
        <v/>
      </c>
    </row>
    <row r="77">
      <c r="B77" s="316" t="inlineStr">
        <is>
          <t>Static Year-1 Tax (growth-free)</t>
        </is>
      </c>
      <c r="C77" s="280">
        <f>IF(TaxYear1Override&gt;0,TaxYear1Override,C76*EffTaxRateOnValue)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F7F7F"/>
    <outlinePr summaryBelow="1" summaryRight="1"/>
    <pageSetUpPr/>
  </sheetPr>
  <dimension ref="B1:NL33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4" customWidth="1" style="97" min="2" max="2"/>
    <col width="18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Permanent Loan / Refinance Engine</t>
        </is>
      </c>
    </row>
    <row r="3">
      <c r="B3" s="71" t="inlineStr">
        <is>
          <t>Refinance Sizing (min of LTV / Debt Yield / DSCR)</t>
        </is>
      </c>
      <c r="C3" s="72" t="n"/>
      <c r="D3" s="80" t="n"/>
    </row>
    <row r="4">
      <c r="B4" s="36" t="inlineStr">
        <is>
          <t>Refi Forward NOI (12mo)</t>
        </is>
      </c>
      <c r="C4" s="255">
        <f>RefiFlag*SUM(INDEX(Operating!E$38:'Operating'!NL$38,MAX(1,RefiMonth)):INDEX(Operating!E$38:'Operating'!NL$38,MAX(1,RefiMonth)+11))</f>
        <v/>
      </c>
      <c r="D4" s="53" t="n"/>
    </row>
    <row r="5">
      <c r="B5" s="36" t="inlineStr">
        <is>
          <t>Property Value at Refi</t>
        </is>
      </c>
      <c r="C5" s="255">
        <f>IF(EntryCapRate=0,0,StabNOIrefi/EntryCapRate)</f>
        <v/>
      </c>
      <c r="D5" s="53" t="n"/>
    </row>
    <row r="6">
      <c r="B6" s="36" t="inlineStr">
        <is>
          <t>Mortgage Constant (annual)</t>
        </is>
      </c>
      <c r="C6" s="140">
        <f>IF(PermRate=0,12/PermAmortMonths,(PermRate/12)/(1-(1+PermRate/12)^(-PermAmortMonths))*12)</f>
        <v/>
      </c>
      <c r="D6" s="53" t="n"/>
    </row>
    <row r="7">
      <c r="B7" s="36" t="inlineStr">
        <is>
          <t>Max Loan by LTV</t>
        </is>
      </c>
      <c r="C7" s="255">
        <f>PermMaxLTV*ValueAtRefi</f>
        <v/>
      </c>
      <c r="D7" s="53" t="n"/>
    </row>
    <row r="8">
      <c r="B8" s="36" t="inlineStr">
        <is>
          <t>Max Loan by Debt Yield</t>
        </is>
      </c>
      <c r="C8" s="255">
        <f>IF(PermMinDebtYield=0,0,StabNOIrefi/PermMinDebtYield)</f>
        <v/>
      </c>
      <c r="D8" s="53" t="n"/>
    </row>
    <row r="9">
      <c r="B9" s="36" t="inlineStr">
        <is>
          <t>Max Loan by DSCR</t>
        </is>
      </c>
      <c r="C9" s="255">
        <f>IF(MortConst=0,0,StabNOIrefi/(PermMinDSCR*MortConst))</f>
        <v/>
      </c>
      <c r="D9" s="53" t="n"/>
    </row>
    <row r="10">
      <c r="B10" s="36" t="inlineStr">
        <is>
          <t>Perm Loan — Max Sized</t>
        </is>
      </c>
      <c r="C10" s="255">
        <f>MIN(MaxLTVperm,MaxDYperm,MaxDSCRperm)</f>
        <v/>
      </c>
      <c r="D10" s="53" t="n"/>
    </row>
    <row r="11">
      <c r="B11" s="36" t="inlineStr">
        <is>
          <t>Perm Loan — No-Cash-Out Need</t>
        </is>
      </c>
      <c r="C11" s="255">
        <f>ConPayoffBal/(1-PermPointsPct)</f>
        <v/>
      </c>
      <c r="D11" s="53" t="n"/>
    </row>
    <row r="12">
      <c r="B12" s="36" t="inlineStr">
        <is>
          <t>Permanent Loan Amount</t>
        </is>
      </c>
      <c r="C12" s="255">
        <f>RefiFlag*IF(NoCashOut&gt;=1,MIN(PermSized,PermNeedNCO),PermSized)</f>
        <v/>
      </c>
      <c r="D12" s="53" t="n"/>
    </row>
    <row r="13">
      <c r="B13" s="36" t="inlineStr">
        <is>
          <t>Permanent Loan Points</t>
        </is>
      </c>
      <c r="C13" s="255">
        <f>PermPointsPct*PermLoan</f>
        <v/>
      </c>
      <c r="D13" s="53" t="n"/>
    </row>
    <row r="14">
      <c r="B14" s="36" t="inlineStr">
        <is>
          <t>Net Cash Distribution at Refi</t>
        </is>
      </c>
      <c r="C14" s="255">
        <f>RefiFlag*(PermLoan-ConPayoffBal-PermPoints)</f>
        <v/>
      </c>
      <c r="D14" s="53" t="n"/>
    </row>
    <row r="15">
      <c r="B15" s="40" t="inlineStr">
        <is>
          <t>Level Monthly Payment</t>
        </is>
      </c>
      <c r="C15" s="256">
        <f>PermLoan*MortConst/12</f>
        <v/>
      </c>
      <c r="D15" s="66" t="n"/>
    </row>
    <row r="17">
      <c r="B17" s="71" t="inlineStr">
        <is>
          <t>Permanent Sizing Tests</t>
        </is>
      </c>
      <c r="C17" s="72" t="n"/>
      <c r="D17" s="80" t="n"/>
    </row>
    <row r="18">
      <c r="B18" s="36" t="inlineStr">
        <is>
          <t>LTV at Loan</t>
        </is>
      </c>
      <c r="C18" s="142">
        <f>IF(ValueAtRefi=0,0,PermLoan/ValueAtRefi)</f>
        <v/>
      </c>
      <c r="D18" s="53" t="n"/>
    </row>
    <row r="19">
      <c r="B19" s="36" t="inlineStr">
        <is>
          <t>Debt Yield at Loan</t>
        </is>
      </c>
      <c r="C19" s="142">
        <f>IF(PermLoan=0,0,StabNOIrefi/PermLoan)</f>
        <v/>
      </c>
      <c r="D19" s="53" t="n"/>
    </row>
    <row r="20">
      <c r="B20" s="40" t="inlineStr">
        <is>
          <t>DSCR at Loan</t>
        </is>
      </c>
      <c r="C20" s="270">
        <f>IF(PermLoan=0,0,StabNOIrefi/(PermPmt*12))</f>
        <v/>
      </c>
      <c r="D20" s="66" t="n"/>
    </row>
    <row r="21">
      <c r="B21" s="316" t="inlineStr">
        <is>
          <t>Binding Constraint</t>
        </is>
      </c>
      <c r="C21" s="338">
        <f>IF(RefiFlag=0,"n/a (sell)",IF(PermSized=MaxLTVperm,"LTV",IF(PermSized=MaxDYperm,"Debt Yield","DSCR")))</f>
        <v/>
      </c>
    </row>
    <row r="22">
      <c r="B22" s="34" t="inlineStr">
        <is>
          <t>Monthly Amortization Schedule</t>
        </is>
      </c>
      <c r="C22" s="60" t="n"/>
      <c r="D22" s="35" t="n"/>
    </row>
    <row r="23">
      <c r="B23" s="122" t="inlineStr">
        <is>
          <t>Period →</t>
        </is>
      </c>
      <c r="D23" s="75" t="inlineStr">
        <is>
          <t>Total</t>
        </is>
      </c>
      <c r="E23" s="27" t="n">
        <v>1</v>
      </c>
      <c r="F23" s="27" t="n">
        <v>2</v>
      </c>
      <c r="G23" s="27" t="n">
        <v>3</v>
      </c>
      <c r="H23" s="27" t="n">
        <v>4</v>
      </c>
      <c r="I23" s="27" t="n">
        <v>5</v>
      </c>
      <c r="J23" s="27" t="n">
        <v>6</v>
      </c>
      <c r="K23" s="27" t="n">
        <v>7</v>
      </c>
      <c r="L23" s="27" t="n">
        <v>8</v>
      </c>
      <c r="M23" s="27" t="n">
        <v>9</v>
      </c>
      <c r="N23" s="27" t="n">
        <v>10</v>
      </c>
      <c r="O23" s="27" t="n">
        <v>11</v>
      </c>
      <c r="P23" s="27" t="n">
        <v>12</v>
      </c>
      <c r="Q23" s="27" t="n">
        <v>13</v>
      </c>
      <c r="R23" s="27" t="n">
        <v>14</v>
      </c>
      <c r="S23" s="27" t="n">
        <v>15</v>
      </c>
      <c r="T23" s="27" t="n">
        <v>16</v>
      </c>
      <c r="U23" s="27" t="n">
        <v>17</v>
      </c>
      <c r="V23" s="27" t="n">
        <v>18</v>
      </c>
      <c r="W23" s="27" t="n">
        <v>19</v>
      </c>
      <c r="X23" s="27" t="n">
        <v>20</v>
      </c>
      <c r="Y23" s="27" t="n">
        <v>21</v>
      </c>
      <c r="Z23" s="27" t="n">
        <v>22</v>
      </c>
      <c r="AA23" s="27" t="n">
        <v>23</v>
      </c>
      <c r="AB23" s="27" t="n">
        <v>24</v>
      </c>
      <c r="AC23" s="27" t="n">
        <v>25</v>
      </c>
      <c r="AD23" s="27" t="n">
        <v>26</v>
      </c>
      <c r="AE23" s="27" t="n">
        <v>27</v>
      </c>
      <c r="AF23" s="27" t="n">
        <v>28</v>
      </c>
      <c r="AG23" s="27" t="n">
        <v>29</v>
      </c>
      <c r="AH23" s="27" t="n">
        <v>30</v>
      </c>
      <c r="AI23" s="27" t="n">
        <v>31</v>
      </c>
      <c r="AJ23" s="27" t="n">
        <v>32</v>
      </c>
      <c r="AK23" s="27" t="n">
        <v>33</v>
      </c>
      <c r="AL23" s="27" t="n">
        <v>34</v>
      </c>
      <c r="AM23" s="27" t="n">
        <v>35</v>
      </c>
      <c r="AN23" s="27" t="n">
        <v>36</v>
      </c>
      <c r="AO23" s="27" t="n">
        <v>37</v>
      </c>
      <c r="AP23" s="27" t="n">
        <v>38</v>
      </c>
      <c r="AQ23" s="27" t="n">
        <v>39</v>
      </c>
      <c r="AR23" s="27" t="n">
        <v>40</v>
      </c>
      <c r="AS23" s="27" t="n">
        <v>41</v>
      </c>
      <c r="AT23" s="27" t="n">
        <v>42</v>
      </c>
      <c r="AU23" s="27" t="n">
        <v>43</v>
      </c>
      <c r="AV23" s="27" t="n">
        <v>44</v>
      </c>
      <c r="AW23" s="27" t="n">
        <v>45</v>
      </c>
      <c r="AX23" s="27" t="n">
        <v>46</v>
      </c>
      <c r="AY23" s="27" t="n">
        <v>47</v>
      </c>
      <c r="AZ23" s="27" t="n">
        <v>48</v>
      </c>
      <c r="BA23" s="27" t="n">
        <v>49</v>
      </c>
      <c r="BB23" s="27" t="n">
        <v>50</v>
      </c>
      <c r="BC23" s="27" t="n">
        <v>51</v>
      </c>
      <c r="BD23" s="27" t="n">
        <v>52</v>
      </c>
      <c r="BE23" s="27" t="n">
        <v>53</v>
      </c>
      <c r="BF23" s="27" t="n">
        <v>54</v>
      </c>
      <c r="BG23" s="27" t="n">
        <v>55</v>
      </c>
      <c r="BH23" s="27" t="n">
        <v>56</v>
      </c>
      <c r="BI23" s="27" t="n">
        <v>57</v>
      </c>
      <c r="BJ23" s="27" t="n">
        <v>58</v>
      </c>
      <c r="BK23" s="27" t="n">
        <v>59</v>
      </c>
      <c r="BL23" s="27" t="n">
        <v>60</v>
      </c>
      <c r="BM23" s="27" t="n">
        <v>61</v>
      </c>
      <c r="BN23" s="27" t="n">
        <v>62</v>
      </c>
      <c r="BO23" s="27" t="n">
        <v>63</v>
      </c>
      <c r="BP23" s="27" t="n">
        <v>64</v>
      </c>
      <c r="BQ23" s="27" t="n">
        <v>65</v>
      </c>
      <c r="BR23" s="27" t="n">
        <v>66</v>
      </c>
      <c r="BS23" s="27" t="n">
        <v>67</v>
      </c>
      <c r="BT23" s="27" t="n">
        <v>68</v>
      </c>
      <c r="BU23" s="27" t="n">
        <v>69</v>
      </c>
      <c r="BV23" s="27" t="n">
        <v>70</v>
      </c>
      <c r="BW23" s="27" t="n">
        <v>71</v>
      </c>
      <c r="BX23" s="27" t="n">
        <v>72</v>
      </c>
      <c r="BY23" s="27" t="n">
        <v>73</v>
      </c>
      <c r="BZ23" s="27" t="n">
        <v>74</v>
      </c>
      <c r="CA23" s="27" t="n">
        <v>75</v>
      </c>
      <c r="CB23" s="27" t="n">
        <v>76</v>
      </c>
      <c r="CC23" s="27" t="n">
        <v>77</v>
      </c>
      <c r="CD23" s="27" t="n">
        <v>78</v>
      </c>
      <c r="CE23" s="27" t="n">
        <v>79</v>
      </c>
      <c r="CF23" s="27" t="n">
        <v>80</v>
      </c>
      <c r="CG23" s="27" t="n">
        <v>81</v>
      </c>
      <c r="CH23" s="27" t="n">
        <v>82</v>
      </c>
      <c r="CI23" s="27" t="n">
        <v>83</v>
      </c>
      <c r="CJ23" s="27" t="n">
        <v>84</v>
      </c>
      <c r="CK23" s="27" t="n">
        <v>85</v>
      </c>
      <c r="CL23" s="27" t="n">
        <v>86</v>
      </c>
      <c r="CM23" s="27" t="n">
        <v>87</v>
      </c>
      <c r="CN23" s="27" t="n">
        <v>88</v>
      </c>
      <c r="CO23" s="27" t="n">
        <v>89</v>
      </c>
      <c r="CP23" s="27" t="n">
        <v>90</v>
      </c>
      <c r="CQ23" s="27" t="n">
        <v>91</v>
      </c>
      <c r="CR23" s="27" t="n">
        <v>92</v>
      </c>
      <c r="CS23" s="27" t="n">
        <v>93</v>
      </c>
      <c r="CT23" s="27" t="n">
        <v>94</v>
      </c>
      <c r="CU23" s="27" t="n">
        <v>95</v>
      </c>
      <c r="CV23" s="27" t="n">
        <v>96</v>
      </c>
      <c r="CW23" s="27" t="n">
        <v>97</v>
      </c>
      <c r="CX23" s="27" t="n">
        <v>98</v>
      </c>
      <c r="CY23" s="27" t="n">
        <v>99</v>
      </c>
      <c r="CZ23" s="27" t="n">
        <v>100</v>
      </c>
      <c r="DA23" s="27" t="n">
        <v>101</v>
      </c>
      <c r="DB23" s="27" t="n">
        <v>102</v>
      </c>
      <c r="DC23" s="27" t="n">
        <v>103</v>
      </c>
      <c r="DD23" s="27" t="n">
        <v>104</v>
      </c>
      <c r="DE23" s="27" t="n">
        <v>105</v>
      </c>
      <c r="DF23" s="27" t="n">
        <v>106</v>
      </c>
      <c r="DG23" s="27" t="n">
        <v>107</v>
      </c>
      <c r="DH23" s="27" t="n">
        <v>108</v>
      </c>
      <c r="DI23" s="27" t="n">
        <v>109</v>
      </c>
      <c r="DJ23" s="27" t="n">
        <v>110</v>
      </c>
      <c r="DK23" s="27" t="n">
        <v>111</v>
      </c>
      <c r="DL23" s="27" t="n">
        <v>112</v>
      </c>
      <c r="DM23" s="27" t="n">
        <v>113</v>
      </c>
      <c r="DN23" s="27" t="n">
        <v>114</v>
      </c>
      <c r="DO23" s="27" t="n">
        <v>115</v>
      </c>
      <c r="DP23" s="27" t="n">
        <v>116</v>
      </c>
      <c r="DQ23" s="27" t="n">
        <v>117</v>
      </c>
      <c r="DR23" s="27" t="n">
        <v>118</v>
      </c>
      <c r="DS23" s="27" t="n">
        <v>119</v>
      </c>
      <c r="DT23" s="27" t="n">
        <v>120</v>
      </c>
      <c r="DU23" s="27" t="n">
        <v>121</v>
      </c>
      <c r="DV23" s="27" t="n">
        <v>122</v>
      </c>
      <c r="DW23" s="27" t="n">
        <v>123</v>
      </c>
      <c r="DX23" s="27" t="n">
        <v>124</v>
      </c>
      <c r="DY23" s="27" t="n">
        <v>125</v>
      </c>
      <c r="DZ23" s="27" t="n">
        <v>126</v>
      </c>
      <c r="EA23" s="27" t="n">
        <v>127</v>
      </c>
      <c r="EB23" s="27" t="n">
        <v>128</v>
      </c>
      <c r="EC23" s="27" t="n">
        <v>129</v>
      </c>
      <c r="ED23" s="27" t="n">
        <v>130</v>
      </c>
      <c r="EE23" s="27" t="n">
        <v>131</v>
      </c>
      <c r="EF23" s="27" t="n">
        <v>132</v>
      </c>
      <c r="EG23" s="27" t="n">
        <v>133</v>
      </c>
      <c r="EH23" s="27" t="n">
        <v>134</v>
      </c>
      <c r="EI23" s="27" t="n">
        <v>135</v>
      </c>
      <c r="EJ23" s="27" t="n">
        <v>136</v>
      </c>
      <c r="EK23" s="27" t="n">
        <v>137</v>
      </c>
      <c r="EL23" s="27" t="n">
        <v>138</v>
      </c>
      <c r="EM23" s="27" t="n">
        <v>139</v>
      </c>
      <c r="EN23" s="27" t="n">
        <v>140</v>
      </c>
      <c r="EO23" s="27" t="n">
        <v>141</v>
      </c>
      <c r="EP23" s="27" t="n">
        <v>142</v>
      </c>
      <c r="EQ23" s="27" t="n">
        <v>143</v>
      </c>
      <c r="ER23" s="27" t="n">
        <v>144</v>
      </c>
      <c r="ES23" s="27" t="n">
        <v>145</v>
      </c>
      <c r="ET23" s="27" t="n">
        <v>146</v>
      </c>
      <c r="EU23" s="27" t="n">
        <v>147</v>
      </c>
      <c r="EV23" s="27" t="n">
        <v>148</v>
      </c>
      <c r="EW23" s="27" t="n">
        <v>149</v>
      </c>
      <c r="EX23" s="27" t="n">
        <v>150</v>
      </c>
      <c r="EY23" s="27" t="n">
        <v>151</v>
      </c>
      <c r="EZ23" s="27" t="n">
        <v>152</v>
      </c>
      <c r="FA23" s="27" t="n">
        <v>153</v>
      </c>
      <c r="FB23" s="27" t="n">
        <v>154</v>
      </c>
      <c r="FC23" s="27" t="n">
        <v>155</v>
      </c>
      <c r="FD23" s="27" t="n">
        <v>156</v>
      </c>
      <c r="FE23" s="27" t="n">
        <v>157</v>
      </c>
      <c r="FF23" s="27" t="n">
        <v>158</v>
      </c>
      <c r="FG23" s="27" t="n">
        <v>159</v>
      </c>
      <c r="FH23" s="27" t="n">
        <v>160</v>
      </c>
      <c r="FI23" s="27" t="n">
        <v>161</v>
      </c>
      <c r="FJ23" s="27" t="n">
        <v>162</v>
      </c>
      <c r="FK23" s="27" t="n">
        <v>163</v>
      </c>
      <c r="FL23" s="27" t="n">
        <v>164</v>
      </c>
      <c r="FM23" s="27" t="n">
        <v>165</v>
      </c>
      <c r="FN23" s="27" t="n">
        <v>166</v>
      </c>
      <c r="FO23" s="27" t="n">
        <v>167</v>
      </c>
      <c r="FP23" s="27" t="n">
        <v>168</v>
      </c>
      <c r="FQ23" s="27" t="n">
        <v>169</v>
      </c>
      <c r="FR23" s="27" t="n">
        <v>170</v>
      </c>
      <c r="FS23" s="27" t="n">
        <v>171</v>
      </c>
      <c r="FT23" s="27" t="n">
        <v>172</v>
      </c>
      <c r="FU23" s="27" t="n">
        <v>173</v>
      </c>
      <c r="FV23" s="27" t="n">
        <v>174</v>
      </c>
      <c r="FW23" s="27" t="n">
        <v>175</v>
      </c>
      <c r="FX23" s="27" t="n">
        <v>176</v>
      </c>
      <c r="FY23" s="27" t="n">
        <v>177</v>
      </c>
      <c r="FZ23" s="27" t="n">
        <v>178</v>
      </c>
      <c r="GA23" s="27" t="n">
        <v>179</v>
      </c>
      <c r="GB23" s="27" t="n">
        <v>180</v>
      </c>
      <c r="GC23" s="27" t="n">
        <v>181</v>
      </c>
      <c r="GD23" s="27" t="n">
        <v>182</v>
      </c>
      <c r="GE23" s="27" t="n">
        <v>183</v>
      </c>
      <c r="GF23" s="27" t="n">
        <v>184</v>
      </c>
      <c r="GG23" s="27" t="n">
        <v>185</v>
      </c>
      <c r="GH23" s="27" t="n">
        <v>186</v>
      </c>
      <c r="GI23" s="27" t="n">
        <v>187</v>
      </c>
      <c r="GJ23" s="27" t="n">
        <v>188</v>
      </c>
      <c r="GK23" s="27" t="n">
        <v>189</v>
      </c>
      <c r="GL23" s="27" t="n">
        <v>190</v>
      </c>
      <c r="GM23" s="27" t="n">
        <v>191</v>
      </c>
      <c r="GN23" s="27" t="n">
        <v>192</v>
      </c>
      <c r="GO23" s="27" t="n">
        <v>193</v>
      </c>
      <c r="GP23" s="27" t="n">
        <v>194</v>
      </c>
      <c r="GQ23" s="27" t="n">
        <v>195</v>
      </c>
      <c r="GR23" s="27" t="n">
        <v>196</v>
      </c>
      <c r="GS23" s="27" t="n">
        <v>197</v>
      </c>
      <c r="GT23" s="27" t="n">
        <v>198</v>
      </c>
      <c r="GU23" s="27" t="n">
        <v>199</v>
      </c>
      <c r="GV23" s="27" t="n">
        <v>200</v>
      </c>
      <c r="GW23" s="27" t="n">
        <v>201</v>
      </c>
      <c r="GX23" s="27" t="n">
        <v>202</v>
      </c>
      <c r="GY23" s="27" t="n">
        <v>203</v>
      </c>
      <c r="GZ23" s="27" t="n">
        <v>204</v>
      </c>
      <c r="HA23" s="27" t="n">
        <v>205</v>
      </c>
      <c r="HB23" s="27" t="n">
        <v>206</v>
      </c>
      <c r="HC23" s="27" t="n">
        <v>207</v>
      </c>
      <c r="HD23" s="27" t="n">
        <v>208</v>
      </c>
      <c r="HE23" s="27" t="n">
        <v>209</v>
      </c>
      <c r="HF23" s="27" t="n">
        <v>210</v>
      </c>
      <c r="HG23" s="27" t="n">
        <v>211</v>
      </c>
      <c r="HH23" s="27" t="n">
        <v>212</v>
      </c>
      <c r="HI23" s="27" t="n">
        <v>213</v>
      </c>
      <c r="HJ23" s="27" t="n">
        <v>214</v>
      </c>
      <c r="HK23" s="27" t="n">
        <v>215</v>
      </c>
      <c r="HL23" s="27" t="n">
        <v>216</v>
      </c>
      <c r="HM23" s="27" t="n">
        <v>217</v>
      </c>
      <c r="HN23" s="27" t="n">
        <v>218</v>
      </c>
      <c r="HO23" s="27" t="n">
        <v>219</v>
      </c>
      <c r="HP23" s="27" t="n">
        <v>220</v>
      </c>
      <c r="HQ23" s="27" t="n">
        <v>221</v>
      </c>
      <c r="HR23" s="27" t="n">
        <v>222</v>
      </c>
      <c r="HS23" s="27" t="n">
        <v>223</v>
      </c>
      <c r="HT23" s="27" t="n">
        <v>224</v>
      </c>
      <c r="HU23" s="27" t="n">
        <v>225</v>
      </c>
      <c r="HV23" s="27" t="n">
        <v>226</v>
      </c>
      <c r="HW23" s="27" t="n">
        <v>227</v>
      </c>
      <c r="HX23" s="27" t="n">
        <v>228</v>
      </c>
      <c r="HY23" s="27" t="n">
        <v>229</v>
      </c>
      <c r="HZ23" s="27" t="n">
        <v>230</v>
      </c>
      <c r="IA23" s="27" t="n">
        <v>231</v>
      </c>
      <c r="IB23" s="27" t="n">
        <v>232</v>
      </c>
      <c r="IC23" s="27" t="n">
        <v>233</v>
      </c>
      <c r="ID23" s="27" t="n">
        <v>234</v>
      </c>
      <c r="IE23" s="27" t="n">
        <v>235</v>
      </c>
      <c r="IF23" s="27" t="n">
        <v>236</v>
      </c>
      <c r="IG23" s="27" t="n">
        <v>237</v>
      </c>
      <c r="IH23" s="27" t="n">
        <v>238</v>
      </c>
      <c r="II23" s="27" t="n">
        <v>239</v>
      </c>
      <c r="IJ23" s="27" t="n">
        <v>240</v>
      </c>
      <c r="IK23" s="27" t="n">
        <v>241</v>
      </c>
      <c r="IL23" s="27" t="n">
        <v>242</v>
      </c>
      <c r="IM23" s="27" t="n">
        <v>243</v>
      </c>
      <c r="IN23" s="27" t="n">
        <v>244</v>
      </c>
      <c r="IO23" s="27" t="n">
        <v>245</v>
      </c>
      <c r="IP23" s="27" t="n">
        <v>246</v>
      </c>
      <c r="IQ23" s="27" t="n">
        <v>247</v>
      </c>
      <c r="IR23" s="27" t="n">
        <v>248</v>
      </c>
      <c r="IS23" s="27" t="n">
        <v>249</v>
      </c>
      <c r="IT23" s="27" t="n">
        <v>250</v>
      </c>
      <c r="IU23" s="27" t="n">
        <v>251</v>
      </c>
      <c r="IV23" s="27" t="n">
        <v>252</v>
      </c>
      <c r="IW23" s="27" t="n">
        <v>253</v>
      </c>
      <c r="IX23" s="27" t="n">
        <v>254</v>
      </c>
      <c r="IY23" s="27" t="n">
        <v>255</v>
      </c>
      <c r="IZ23" s="27" t="n">
        <v>256</v>
      </c>
      <c r="JA23" s="27" t="n">
        <v>257</v>
      </c>
      <c r="JB23" s="27" t="n">
        <v>258</v>
      </c>
      <c r="JC23" s="27" t="n">
        <v>259</v>
      </c>
      <c r="JD23" s="27" t="n">
        <v>260</v>
      </c>
      <c r="JE23" s="27" t="n">
        <v>261</v>
      </c>
      <c r="JF23" s="27" t="n">
        <v>262</v>
      </c>
      <c r="JG23" s="27" t="n">
        <v>263</v>
      </c>
      <c r="JH23" s="27" t="n">
        <v>264</v>
      </c>
      <c r="JI23" s="27" t="n">
        <v>265</v>
      </c>
      <c r="JJ23" s="27" t="n">
        <v>266</v>
      </c>
      <c r="JK23" s="27" t="n">
        <v>267</v>
      </c>
      <c r="JL23" s="27" t="n">
        <v>268</v>
      </c>
      <c r="JM23" s="27" t="n">
        <v>269</v>
      </c>
      <c r="JN23" s="27" t="n">
        <v>270</v>
      </c>
      <c r="JO23" s="27" t="n">
        <v>271</v>
      </c>
      <c r="JP23" s="27" t="n">
        <v>272</v>
      </c>
      <c r="JQ23" s="27" t="n">
        <v>273</v>
      </c>
      <c r="JR23" s="27" t="n">
        <v>274</v>
      </c>
      <c r="JS23" s="27" t="n">
        <v>275</v>
      </c>
      <c r="JT23" s="27" t="n">
        <v>276</v>
      </c>
      <c r="JU23" s="27" t="n">
        <v>277</v>
      </c>
      <c r="JV23" s="27" t="n">
        <v>278</v>
      </c>
      <c r="JW23" s="27" t="n">
        <v>279</v>
      </c>
      <c r="JX23" s="27" t="n">
        <v>280</v>
      </c>
      <c r="JY23" s="27" t="n">
        <v>281</v>
      </c>
      <c r="JZ23" s="27" t="n">
        <v>282</v>
      </c>
      <c r="KA23" s="27" t="n">
        <v>283</v>
      </c>
      <c r="KB23" s="27" t="n">
        <v>284</v>
      </c>
      <c r="KC23" s="27" t="n">
        <v>285</v>
      </c>
      <c r="KD23" s="27" t="n">
        <v>286</v>
      </c>
      <c r="KE23" s="27" t="n">
        <v>287</v>
      </c>
      <c r="KF23" s="27" t="n">
        <v>288</v>
      </c>
      <c r="KG23" s="27" t="n">
        <v>289</v>
      </c>
      <c r="KH23" s="27" t="n">
        <v>290</v>
      </c>
      <c r="KI23" s="27" t="n">
        <v>291</v>
      </c>
      <c r="KJ23" s="27" t="n">
        <v>292</v>
      </c>
      <c r="KK23" s="27" t="n">
        <v>293</v>
      </c>
      <c r="KL23" s="27" t="n">
        <v>294</v>
      </c>
      <c r="KM23" s="27" t="n">
        <v>295</v>
      </c>
      <c r="KN23" s="27" t="n">
        <v>296</v>
      </c>
      <c r="KO23" s="27" t="n">
        <v>297</v>
      </c>
      <c r="KP23" s="27" t="n">
        <v>298</v>
      </c>
      <c r="KQ23" s="27" t="n">
        <v>299</v>
      </c>
      <c r="KR23" s="27" t="n">
        <v>300</v>
      </c>
      <c r="KS23" s="27" t="n">
        <v>301</v>
      </c>
      <c r="KT23" s="27" t="n">
        <v>302</v>
      </c>
      <c r="KU23" s="27" t="n">
        <v>303</v>
      </c>
      <c r="KV23" s="27" t="n">
        <v>304</v>
      </c>
      <c r="KW23" s="27" t="n">
        <v>305</v>
      </c>
      <c r="KX23" s="27" t="n">
        <v>306</v>
      </c>
      <c r="KY23" s="27" t="n">
        <v>307</v>
      </c>
      <c r="KZ23" s="27" t="n">
        <v>308</v>
      </c>
      <c r="LA23" s="27" t="n">
        <v>309</v>
      </c>
      <c r="LB23" s="27" t="n">
        <v>310</v>
      </c>
      <c r="LC23" s="27" t="n">
        <v>311</v>
      </c>
      <c r="LD23" s="27" t="n">
        <v>312</v>
      </c>
      <c r="LE23" s="27" t="n">
        <v>313</v>
      </c>
      <c r="LF23" s="27" t="n">
        <v>314</v>
      </c>
      <c r="LG23" s="27" t="n">
        <v>315</v>
      </c>
      <c r="LH23" s="27" t="n">
        <v>316</v>
      </c>
      <c r="LI23" s="27" t="n">
        <v>317</v>
      </c>
      <c r="LJ23" s="27" t="n">
        <v>318</v>
      </c>
      <c r="LK23" s="27" t="n">
        <v>319</v>
      </c>
      <c r="LL23" s="27" t="n">
        <v>320</v>
      </c>
      <c r="LM23" s="27" t="n">
        <v>321</v>
      </c>
      <c r="LN23" s="27" t="n">
        <v>322</v>
      </c>
      <c r="LO23" s="27" t="n">
        <v>323</v>
      </c>
      <c r="LP23" s="27" t="n">
        <v>324</v>
      </c>
      <c r="LQ23" s="27" t="n">
        <v>325</v>
      </c>
      <c r="LR23" s="27" t="n">
        <v>326</v>
      </c>
      <c r="LS23" s="27" t="n">
        <v>327</v>
      </c>
      <c r="LT23" s="27" t="n">
        <v>328</v>
      </c>
      <c r="LU23" s="27" t="n">
        <v>329</v>
      </c>
      <c r="LV23" s="27" t="n">
        <v>330</v>
      </c>
      <c r="LW23" s="27" t="n">
        <v>331</v>
      </c>
      <c r="LX23" s="27" t="n">
        <v>332</v>
      </c>
      <c r="LY23" s="27" t="n">
        <v>333</v>
      </c>
      <c r="LZ23" s="27" t="n">
        <v>334</v>
      </c>
      <c r="MA23" s="27" t="n">
        <v>335</v>
      </c>
      <c r="MB23" s="27" t="n">
        <v>336</v>
      </c>
      <c r="MC23" s="27" t="n">
        <v>337</v>
      </c>
      <c r="MD23" s="27" t="n">
        <v>338</v>
      </c>
      <c r="ME23" s="27" t="n">
        <v>339</v>
      </c>
      <c r="MF23" s="27" t="n">
        <v>340</v>
      </c>
      <c r="MG23" s="27" t="n">
        <v>341</v>
      </c>
      <c r="MH23" s="27" t="n">
        <v>342</v>
      </c>
      <c r="MI23" s="27" t="n">
        <v>343</v>
      </c>
      <c r="MJ23" s="27" t="n">
        <v>344</v>
      </c>
      <c r="MK23" s="27" t="n">
        <v>345</v>
      </c>
      <c r="ML23" s="27" t="n">
        <v>346</v>
      </c>
      <c r="MM23" s="27" t="n">
        <v>347</v>
      </c>
      <c r="MN23" s="27" t="n">
        <v>348</v>
      </c>
      <c r="MO23" s="27" t="n">
        <v>349</v>
      </c>
      <c r="MP23" s="27" t="n">
        <v>350</v>
      </c>
      <c r="MQ23" s="27" t="n">
        <v>351</v>
      </c>
      <c r="MR23" s="27" t="n">
        <v>352</v>
      </c>
      <c r="MS23" s="27" t="n">
        <v>353</v>
      </c>
      <c r="MT23" s="27" t="n">
        <v>354</v>
      </c>
      <c r="MU23" s="27" t="n">
        <v>355</v>
      </c>
      <c r="MV23" s="27" t="n">
        <v>356</v>
      </c>
      <c r="MW23" s="27" t="n">
        <v>357</v>
      </c>
      <c r="MX23" s="27" t="n">
        <v>358</v>
      </c>
      <c r="MY23" s="27" t="n">
        <v>359</v>
      </c>
      <c r="MZ23" s="27" t="n">
        <v>360</v>
      </c>
      <c r="NA23" s="27" t="n">
        <v>361</v>
      </c>
      <c r="NB23" s="27" t="n">
        <v>362</v>
      </c>
      <c r="NC23" s="27" t="n">
        <v>363</v>
      </c>
      <c r="ND23" s="27" t="n">
        <v>364</v>
      </c>
      <c r="NE23" s="27" t="n">
        <v>365</v>
      </c>
      <c r="NF23" s="27" t="n">
        <v>366</v>
      </c>
      <c r="NG23" s="27" t="n">
        <v>367</v>
      </c>
      <c r="NH23" s="27" t="n">
        <v>368</v>
      </c>
      <c r="NI23" s="27" t="n">
        <v>369</v>
      </c>
      <c r="NJ23" s="27" t="n">
        <v>370</v>
      </c>
      <c r="NK23" s="27" t="n">
        <v>371</v>
      </c>
      <c r="NL23" s="27" t="n">
        <v>372</v>
      </c>
    </row>
    <row r="24">
      <c r="B24" s="123" t="inlineStr">
        <is>
          <t>Month Start</t>
        </is>
      </c>
      <c r="D24" s="53" t="n"/>
      <c r="E24" s="128">
        <f>EDATE(InceptionDate,0)</f>
        <v/>
      </c>
      <c r="F24" s="128">
        <f>EDATE(InceptionDate,1)</f>
        <v/>
      </c>
      <c r="G24" s="128">
        <f>EDATE(InceptionDate,2)</f>
        <v/>
      </c>
      <c r="H24" s="128">
        <f>EDATE(InceptionDate,3)</f>
        <v/>
      </c>
      <c r="I24" s="128">
        <f>EDATE(InceptionDate,4)</f>
        <v/>
      </c>
      <c r="J24" s="128">
        <f>EDATE(InceptionDate,5)</f>
        <v/>
      </c>
      <c r="K24" s="128">
        <f>EDATE(InceptionDate,6)</f>
        <v/>
      </c>
      <c r="L24" s="128">
        <f>EDATE(InceptionDate,7)</f>
        <v/>
      </c>
      <c r="M24" s="128">
        <f>EDATE(InceptionDate,8)</f>
        <v/>
      </c>
      <c r="N24" s="128">
        <f>EDATE(InceptionDate,9)</f>
        <v/>
      </c>
      <c r="O24" s="128">
        <f>EDATE(InceptionDate,10)</f>
        <v/>
      </c>
      <c r="P24" s="128">
        <f>EDATE(InceptionDate,11)</f>
        <v/>
      </c>
      <c r="Q24" s="128">
        <f>EDATE(InceptionDate,12)</f>
        <v/>
      </c>
      <c r="R24" s="128">
        <f>EDATE(InceptionDate,13)</f>
        <v/>
      </c>
      <c r="S24" s="128">
        <f>EDATE(InceptionDate,14)</f>
        <v/>
      </c>
      <c r="T24" s="128">
        <f>EDATE(InceptionDate,15)</f>
        <v/>
      </c>
      <c r="U24" s="128">
        <f>EDATE(InceptionDate,16)</f>
        <v/>
      </c>
      <c r="V24" s="128">
        <f>EDATE(InceptionDate,17)</f>
        <v/>
      </c>
      <c r="W24" s="128">
        <f>EDATE(InceptionDate,18)</f>
        <v/>
      </c>
      <c r="X24" s="128">
        <f>EDATE(InceptionDate,19)</f>
        <v/>
      </c>
      <c r="Y24" s="128">
        <f>EDATE(InceptionDate,20)</f>
        <v/>
      </c>
      <c r="Z24" s="128">
        <f>EDATE(InceptionDate,21)</f>
        <v/>
      </c>
      <c r="AA24" s="128">
        <f>EDATE(InceptionDate,22)</f>
        <v/>
      </c>
      <c r="AB24" s="128">
        <f>EDATE(InceptionDate,23)</f>
        <v/>
      </c>
      <c r="AC24" s="128">
        <f>EDATE(InceptionDate,24)</f>
        <v/>
      </c>
      <c r="AD24" s="128">
        <f>EDATE(InceptionDate,25)</f>
        <v/>
      </c>
      <c r="AE24" s="128">
        <f>EDATE(InceptionDate,26)</f>
        <v/>
      </c>
      <c r="AF24" s="128">
        <f>EDATE(InceptionDate,27)</f>
        <v/>
      </c>
      <c r="AG24" s="128">
        <f>EDATE(InceptionDate,28)</f>
        <v/>
      </c>
      <c r="AH24" s="128">
        <f>EDATE(InceptionDate,29)</f>
        <v/>
      </c>
      <c r="AI24" s="128">
        <f>EDATE(InceptionDate,30)</f>
        <v/>
      </c>
      <c r="AJ24" s="128">
        <f>EDATE(InceptionDate,31)</f>
        <v/>
      </c>
      <c r="AK24" s="128">
        <f>EDATE(InceptionDate,32)</f>
        <v/>
      </c>
      <c r="AL24" s="128">
        <f>EDATE(InceptionDate,33)</f>
        <v/>
      </c>
      <c r="AM24" s="128">
        <f>EDATE(InceptionDate,34)</f>
        <v/>
      </c>
      <c r="AN24" s="128">
        <f>EDATE(InceptionDate,35)</f>
        <v/>
      </c>
      <c r="AO24" s="128">
        <f>EDATE(InceptionDate,36)</f>
        <v/>
      </c>
      <c r="AP24" s="128">
        <f>EDATE(InceptionDate,37)</f>
        <v/>
      </c>
      <c r="AQ24" s="128">
        <f>EDATE(InceptionDate,38)</f>
        <v/>
      </c>
      <c r="AR24" s="128">
        <f>EDATE(InceptionDate,39)</f>
        <v/>
      </c>
      <c r="AS24" s="128">
        <f>EDATE(InceptionDate,40)</f>
        <v/>
      </c>
      <c r="AT24" s="128">
        <f>EDATE(InceptionDate,41)</f>
        <v/>
      </c>
      <c r="AU24" s="128">
        <f>EDATE(InceptionDate,42)</f>
        <v/>
      </c>
      <c r="AV24" s="128">
        <f>EDATE(InceptionDate,43)</f>
        <v/>
      </c>
      <c r="AW24" s="128">
        <f>EDATE(InceptionDate,44)</f>
        <v/>
      </c>
      <c r="AX24" s="128">
        <f>EDATE(InceptionDate,45)</f>
        <v/>
      </c>
      <c r="AY24" s="128">
        <f>EDATE(InceptionDate,46)</f>
        <v/>
      </c>
      <c r="AZ24" s="128">
        <f>EDATE(InceptionDate,47)</f>
        <v/>
      </c>
      <c r="BA24" s="128">
        <f>EDATE(InceptionDate,48)</f>
        <v/>
      </c>
      <c r="BB24" s="128">
        <f>EDATE(InceptionDate,49)</f>
        <v/>
      </c>
      <c r="BC24" s="128">
        <f>EDATE(InceptionDate,50)</f>
        <v/>
      </c>
      <c r="BD24" s="128">
        <f>EDATE(InceptionDate,51)</f>
        <v/>
      </c>
      <c r="BE24" s="128">
        <f>EDATE(InceptionDate,52)</f>
        <v/>
      </c>
      <c r="BF24" s="128">
        <f>EDATE(InceptionDate,53)</f>
        <v/>
      </c>
      <c r="BG24" s="128">
        <f>EDATE(InceptionDate,54)</f>
        <v/>
      </c>
      <c r="BH24" s="128">
        <f>EDATE(InceptionDate,55)</f>
        <v/>
      </c>
      <c r="BI24" s="128">
        <f>EDATE(InceptionDate,56)</f>
        <v/>
      </c>
      <c r="BJ24" s="128">
        <f>EDATE(InceptionDate,57)</f>
        <v/>
      </c>
      <c r="BK24" s="128">
        <f>EDATE(InceptionDate,58)</f>
        <v/>
      </c>
      <c r="BL24" s="128">
        <f>EDATE(InceptionDate,59)</f>
        <v/>
      </c>
      <c r="BM24" s="128">
        <f>EDATE(InceptionDate,60)</f>
        <v/>
      </c>
      <c r="BN24" s="128">
        <f>EDATE(InceptionDate,61)</f>
        <v/>
      </c>
      <c r="BO24" s="128">
        <f>EDATE(InceptionDate,62)</f>
        <v/>
      </c>
      <c r="BP24" s="128">
        <f>EDATE(InceptionDate,63)</f>
        <v/>
      </c>
      <c r="BQ24" s="128">
        <f>EDATE(InceptionDate,64)</f>
        <v/>
      </c>
      <c r="BR24" s="128">
        <f>EDATE(InceptionDate,65)</f>
        <v/>
      </c>
      <c r="BS24" s="128">
        <f>EDATE(InceptionDate,66)</f>
        <v/>
      </c>
      <c r="BT24" s="128">
        <f>EDATE(InceptionDate,67)</f>
        <v/>
      </c>
      <c r="BU24" s="128">
        <f>EDATE(InceptionDate,68)</f>
        <v/>
      </c>
      <c r="BV24" s="128">
        <f>EDATE(InceptionDate,69)</f>
        <v/>
      </c>
      <c r="BW24" s="128">
        <f>EDATE(InceptionDate,70)</f>
        <v/>
      </c>
      <c r="BX24" s="128">
        <f>EDATE(InceptionDate,71)</f>
        <v/>
      </c>
      <c r="BY24" s="128">
        <f>EDATE(InceptionDate,72)</f>
        <v/>
      </c>
      <c r="BZ24" s="128">
        <f>EDATE(InceptionDate,73)</f>
        <v/>
      </c>
      <c r="CA24" s="128">
        <f>EDATE(InceptionDate,74)</f>
        <v/>
      </c>
      <c r="CB24" s="128">
        <f>EDATE(InceptionDate,75)</f>
        <v/>
      </c>
      <c r="CC24" s="128">
        <f>EDATE(InceptionDate,76)</f>
        <v/>
      </c>
      <c r="CD24" s="128">
        <f>EDATE(InceptionDate,77)</f>
        <v/>
      </c>
      <c r="CE24" s="128">
        <f>EDATE(InceptionDate,78)</f>
        <v/>
      </c>
      <c r="CF24" s="128">
        <f>EDATE(InceptionDate,79)</f>
        <v/>
      </c>
      <c r="CG24" s="128">
        <f>EDATE(InceptionDate,80)</f>
        <v/>
      </c>
      <c r="CH24" s="128">
        <f>EDATE(InceptionDate,81)</f>
        <v/>
      </c>
      <c r="CI24" s="128">
        <f>EDATE(InceptionDate,82)</f>
        <v/>
      </c>
      <c r="CJ24" s="128">
        <f>EDATE(InceptionDate,83)</f>
        <v/>
      </c>
      <c r="CK24" s="128">
        <f>EDATE(InceptionDate,84)</f>
        <v/>
      </c>
      <c r="CL24" s="128">
        <f>EDATE(InceptionDate,85)</f>
        <v/>
      </c>
      <c r="CM24" s="128">
        <f>EDATE(InceptionDate,86)</f>
        <v/>
      </c>
      <c r="CN24" s="128">
        <f>EDATE(InceptionDate,87)</f>
        <v/>
      </c>
      <c r="CO24" s="128">
        <f>EDATE(InceptionDate,88)</f>
        <v/>
      </c>
      <c r="CP24" s="128">
        <f>EDATE(InceptionDate,89)</f>
        <v/>
      </c>
      <c r="CQ24" s="128">
        <f>EDATE(InceptionDate,90)</f>
        <v/>
      </c>
      <c r="CR24" s="128">
        <f>EDATE(InceptionDate,91)</f>
        <v/>
      </c>
      <c r="CS24" s="128">
        <f>EDATE(InceptionDate,92)</f>
        <v/>
      </c>
      <c r="CT24" s="128">
        <f>EDATE(InceptionDate,93)</f>
        <v/>
      </c>
      <c r="CU24" s="128">
        <f>EDATE(InceptionDate,94)</f>
        <v/>
      </c>
      <c r="CV24" s="128">
        <f>EDATE(InceptionDate,95)</f>
        <v/>
      </c>
      <c r="CW24" s="128">
        <f>EDATE(InceptionDate,96)</f>
        <v/>
      </c>
      <c r="CX24" s="128">
        <f>EDATE(InceptionDate,97)</f>
        <v/>
      </c>
      <c r="CY24" s="128">
        <f>EDATE(InceptionDate,98)</f>
        <v/>
      </c>
      <c r="CZ24" s="128">
        <f>EDATE(InceptionDate,99)</f>
        <v/>
      </c>
      <c r="DA24" s="128">
        <f>EDATE(InceptionDate,100)</f>
        <v/>
      </c>
      <c r="DB24" s="128">
        <f>EDATE(InceptionDate,101)</f>
        <v/>
      </c>
      <c r="DC24" s="128">
        <f>EDATE(InceptionDate,102)</f>
        <v/>
      </c>
      <c r="DD24" s="128">
        <f>EDATE(InceptionDate,103)</f>
        <v/>
      </c>
      <c r="DE24" s="128">
        <f>EDATE(InceptionDate,104)</f>
        <v/>
      </c>
      <c r="DF24" s="128">
        <f>EDATE(InceptionDate,105)</f>
        <v/>
      </c>
      <c r="DG24" s="128">
        <f>EDATE(InceptionDate,106)</f>
        <v/>
      </c>
      <c r="DH24" s="128">
        <f>EDATE(InceptionDate,107)</f>
        <v/>
      </c>
      <c r="DI24" s="128">
        <f>EDATE(InceptionDate,108)</f>
        <v/>
      </c>
      <c r="DJ24" s="128">
        <f>EDATE(InceptionDate,109)</f>
        <v/>
      </c>
      <c r="DK24" s="128">
        <f>EDATE(InceptionDate,110)</f>
        <v/>
      </c>
      <c r="DL24" s="128">
        <f>EDATE(InceptionDate,111)</f>
        <v/>
      </c>
      <c r="DM24" s="128">
        <f>EDATE(InceptionDate,112)</f>
        <v/>
      </c>
      <c r="DN24" s="128">
        <f>EDATE(InceptionDate,113)</f>
        <v/>
      </c>
      <c r="DO24" s="128">
        <f>EDATE(InceptionDate,114)</f>
        <v/>
      </c>
      <c r="DP24" s="128">
        <f>EDATE(InceptionDate,115)</f>
        <v/>
      </c>
      <c r="DQ24" s="128">
        <f>EDATE(InceptionDate,116)</f>
        <v/>
      </c>
      <c r="DR24" s="128">
        <f>EDATE(InceptionDate,117)</f>
        <v/>
      </c>
      <c r="DS24" s="128">
        <f>EDATE(InceptionDate,118)</f>
        <v/>
      </c>
      <c r="DT24" s="128">
        <f>EDATE(InceptionDate,119)</f>
        <v/>
      </c>
      <c r="DU24" s="128">
        <f>EDATE(InceptionDate,120)</f>
        <v/>
      </c>
      <c r="DV24" s="128">
        <f>EDATE(InceptionDate,121)</f>
        <v/>
      </c>
      <c r="DW24" s="128">
        <f>EDATE(InceptionDate,122)</f>
        <v/>
      </c>
      <c r="DX24" s="128">
        <f>EDATE(InceptionDate,123)</f>
        <v/>
      </c>
      <c r="DY24" s="128">
        <f>EDATE(InceptionDate,124)</f>
        <v/>
      </c>
      <c r="DZ24" s="128">
        <f>EDATE(InceptionDate,125)</f>
        <v/>
      </c>
      <c r="EA24" s="128">
        <f>EDATE(InceptionDate,126)</f>
        <v/>
      </c>
      <c r="EB24" s="128">
        <f>EDATE(InceptionDate,127)</f>
        <v/>
      </c>
      <c r="EC24" s="128">
        <f>EDATE(InceptionDate,128)</f>
        <v/>
      </c>
      <c r="ED24" s="128">
        <f>EDATE(InceptionDate,129)</f>
        <v/>
      </c>
      <c r="EE24" s="128">
        <f>EDATE(InceptionDate,130)</f>
        <v/>
      </c>
      <c r="EF24" s="128">
        <f>EDATE(InceptionDate,131)</f>
        <v/>
      </c>
      <c r="EG24" s="128">
        <f>EDATE(InceptionDate,132)</f>
        <v/>
      </c>
      <c r="EH24" s="128">
        <f>EDATE(InceptionDate,133)</f>
        <v/>
      </c>
      <c r="EI24" s="128">
        <f>EDATE(InceptionDate,134)</f>
        <v/>
      </c>
      <c r="EJ24" s="128">
        <f>EDATE(InceptionDate,135)</f>
        <v/>
      </c>
      <c r="EK24" s="128">
        <f>EDATE(InceptionDate,136)</f>
        <v/>
      </c>
      <c r="EL24" s="128">
        <f>EDATE(InceptionDate,137)</f>
        <v/>
      </c>
      <c r="EM24" s="128">
        <f>EDATE(InceptionDate,138)</f>
        <v/>
      </c>
      <c r="EN24" s="128">
        <f>EDATE(InceptionDate,139)</f>
        <v/>
      </c>
      <c r="EO24" s="128">
        <f>EDATE(InceptionDate,140)</f>
        <v/>
      </c>
      <c r="EP24" s="128">
        <f>EDATE(InceptionDate,141)</f>
        <v/>
      </c>
      <c r="EQ24" s="128">
        <f>EDATE(InceptionDate,142)</f>
        <v/>
      </c>
      <c r="ER24" s="128">
        <f>EDATE(InceptionDate,143)</f>
        <v/>
      </c>
      <c r="ES24" s="128">
        <f>EDATE(InceptionDate,144)</f>
        <v/>
      </c>
      <c r="ET24" s="128">
        <f>EDATE(InceptionDate,145)</f>
        <v/>
      </c>
      <c r="EU24" s="128">
        <f>EDATE(InceptionDate,146)</f>
        <v/>
      </c>
      <c r="EV24" s="128">
        <f>EDATE(InceptionDate,147)</f>
        <v/>
      </c>
      <c r="EW24" s="128">
        <f>EDATE(InceptionDate,148)</f>
        <v/>
      </c>
      <c r="EX24" s="128">
        <f>EDATE(InceptionDate,149)</f>
        <v/>
      </c>
      <c r="EY24" s="128">
        <f>EDATE(InceptionDate,150)</f>
        <v/>
      </c>
      <c r="EZ24" s="128">
        <f>EDATE(InceptionDate,151)</f>
        <v/>
      </c>
      <c r="FA24" s="128">
        <f>EDATE(InceptionDate,152)</f>
        <v/>
      </c>
      <c r="FB24" s="128">
        <f>EDATE(InceptionDate,153)</f>
        <v/>
      </c>
      <c r="FC24" s="128">
        <f>EDATE(InceptionDate,154)</f>
        <v/>
      </c>
      <c r="FD24" s="128">
        <f>EDATE(InceptionDate,155)</f>
        <v/>
      </c>
      <c r="FE24" s="128">
        <f>EDATE(InceptionDate,156)</f>
        <v/>
      </c>
      <c r="FF24" s="128">
        <f>EDATE(InceptionDate,157)</f>
        <v/>
      </c>
      <c r="FG24" s="128">
        <f>EDATE(InceptionDate,158)</f>
        <v/>
      </c>
      <c r="FH24" s="128">
        <f>EDATE(InceptionDate,159)</f>
        <v/>
      </c>
      <c r="FI24" s="128">
        <f>EDATE(InceptionDate,160)</f>
        <v/>
      </c>
      <c r="FJ24" s="128">
        <f>EDATE(InceptionDate,161)</f>
        <v/>
      </c>
      <c r="FK24" s="128">
        <f>EDATE(InceptionDate,162)</f>
        <v/>
      </c>
      <c r="FL24" s="128">
        <f>EDATE(InceptionDate,163)</f>
        <v/>
      </c>
      <c r="FM24" s="128">
        <f>EDATE(InceptionDate,164)</f>
        <v/>
      </c>
      <c r="FN24" s="128">
        <f>EDATE(InceptionDate,165)</f>
        <v/>
      </c>
      <c r="FO24" s="128">
        <f>EDATE(InceptionDate,166)</f>
        <v/>
      </c>
      <c r="FP24" s="128">
        <f>EDATE(InceptionDate,167)</f>
        <v/>
      </c>
      <c r="FQ24" s="128">
        <f>EDATE(InceptionDate,168)</f>
        <v/>
      </c>
      <c r="FR24" s="128">
        <f>EDATE(InceptionDate,169)</f>
        <v/>
      </c>
      <c r="FS24" s="128">
        <f>EDATE(InceptionDate,170)</f>
        <v/>
      </c>
      <c r="FT24" s="128">
        <f>EDATE(InceptionDate,171)</f>
        <v/>
      </c>
      <c r="FU24" s="128">
        <f>EDATE(InceptionDate,172)</f>
        <v/>
      </c>
      <c r="FV24" s="128">
        <f>EDATE(InceptionDate,173)</f>
        <v/>
      </c>
      <c r="FW24" s="128">
        <f>EDATE(InceptionDate,174)</f>
        <v/>
      </c>
      <c r="FX24" s="128">
        <f>EDATE(InceptionDate,175)</f>
        <v/>
      </c>
      <c r="FY24" s="128">
        <f>EDATE(InceptionDate,176)</f>
        <v/>
      </c>
      <c r="FZ24" s="128">
        <f>EDATE(InceptionDate,177)</f>
        <v/>
      </c>
      <c r="GA24" s="128">
        <f>EDATE(InceptionDate,178)</f>
        <v/>
      </c>
      <c r="GB24" s="128">
        <f>EDATE(InceptionDate,179)</f>
        <v/>
      </c>
      <c r="GC24" s="128">
        <f>EDATE(InceptionDate,180)</f>
        <v/>
      </c>
      <c r="GD24" s="128">
        <f>EDATE(InceptionDate,181)</f>
        <v/>
      </c>
      <c r="GE24" s="128">
        <f>EDATE(InceptionDate,182)</f>
        <v/>
      </c>
      <c r="GF24" s="128">
        <f>EDATE(InceptionDate,183)</f>
        <v/>
      </c>
      <c r="GG24" s="128">
        <f>EDATE(InceptionDate,184)</f>
        <v/>
      </c>
      <c r="GH24" s="128">
        <f>EDATE(InceptionDate,185)</f>
        <v/>
      </c>
      <c r="GI24" s="128">
        <f>EDATE(InceptionDate,186)</f>
        <v/>
      </c>
      <c r="GJ24" s="128">
        <f>EDATE(InceptionDate,187)</f>
        <v/>
      </c>
      <c r="GK24" s="128">
        <f>EDATE(InceptionDate,188)</f>
        <v/>
      </c>
      <c r="GL24" s="128">
        <f>EDATE(InceptionDate,189)</f>
        <v/>
      </c>
      <c r="GM24" s="128">
        <f>EDATE(InceptionDate,190)</f>
        <v/>
      </c>
      <c r="GN24" s="128">
        <f>EDATE(InceptionDate,191)</f>
        <v/>
      </c>
      <c r="GO24" s="128">
        <f>EDATE(InceptionDate,192)</f>
        <v/>
      </c>
      <c r="GP24" s="128">
        <f>EDATE(InceptionDate,193)</f>
        <v/>
      </c>
      <c r="GQ24" s="128">
        <f>EDATE(InceptionDate,194)</f>
        <v/>
      </c>
      <c r="GR24" s="128">
        <f>EDATE(InceptionDate,195)</f>
        <v/>
      </c>
      <c r="GS24" s="128">
        <f>EDATE(InceptionDate,196)</f>
        <v/>
      </c>
      <c r="GT24" s="128">
        <f>EDATE(InceptionDate,197)</f>
        <v/>
      </c>
      <c r="GU24" s="128">
        <f>EDATE(InceptionDate,198)</f>
        <v/>
      </c>
      <c r="GV24" s="128">
        <f>EDATE(InceptionDate,199)</f>
        <v/>
      </c>
      <c r="GW24" s="128">
        <f>EDATE(InceptionDate,200)</f>
        <v/>
      </c>
      <c r="GX24" s="128">
        <f>EDATE(InceptionDate,201)</f>
        <v/>
      </c>
      <c r="GY24" s="128">
        <f>EDATE(InceptionDate,202)</f>
        <v/>
      </c>
      <c r="GZ24" s="128">
        <f>EDATE(InceptionDate,203)</f>
        <v/>
      </c>
      <c r="HA24" s="128">
        <f>EDATE(InceptionDate,204)</f>
        <v/>
      </c>
      <c r="HB24" s="128">
        <f>EDATE(InceptionDate,205)</f>
        <v/>
      </c>
      <c r="HC24" s="128">
        <f>EDATE(InceptionDate,206)</f>
        <v/>
      </c>
      <c r="HD24" s="128">
        <f>EDATE(InceptionDate,207)</f>
        <v/>
      </c>
      <c r="HE24" s="128">
        <f>EDATE(InceptionDate,208)</f>
        <v/>
      </c>
      <c r="HF24" s="128">
        <f>EDATE(InceptionDate,209)</f>
        <v/>
      </c>
      <c r="HG24" s="128">
        <f>EDATE(InceptionDate,210)</f>
        <v/>
      </c>
      <c r="HH24" s="128">
        <f>EDATE(InceptionDate,211)</f>
        <v/>
      </c>
      <c r="HI24" s="128">
        <f>EDATE(InceptionDate,212)</f>
        <v/>
      </c>
      <c r="HJ24" s="128">
        <f>EDATE(InceptionDate,213)</f>
        <v/>
      </c>
      <c r="HK24" s="128">
        <f>EDATE(InceptionDate,214)</f>
        <v/>
      </c>
      <c r="HL24" s="128">
        <f>EDATE(InceptionDate,215)</f>
        <v/>
      </c>
      <c r="HM24" s="128">
        <f>EDATE(InceptionDate,216)</f>
        <v/>
      </c>
      <c r="HN24" s="128">
        <f>EDATE(InceptionDate,217)</f>
        <v/>
      </c>
      <c r="HO24" s="128">
        <f>EDATE(InceptionDate,218)</f>
        <v/>
      </c>
      <c r="HP24" s="128">
        <f>EDATE(InceptionDate,219)</f>
        <v/>
      </c>
      <c r="HQ24" s="128">
        <f>EDATE(InceptionDate,220)</f>
        <v/>
      </c>
      <c r="HR24" s="128">
        <f>EDATE(InceptionDate,221)</f>
        <v/>
      </c>
      <c r="HS24" s="128">
        <f>EDATE(InceptionDate,222)</f>
        <v/>
      </c>
      <c r="HT24" s="128">
        <f>EDATE(InceptionDate,223)</f>
        <v/>
      </c>
      <c r="HU24" s="128">
        <f>EDATE(InceptionDate,224)</f>
        <v/>
      </c>
      <c r="HV24" s="128">
        <f>EDATE(InceptionDate,225)</f>
        <v/>
      </c>
      <c r="HW24" s="128">
        <f>EDATE(InceptionDate,226)</f>
        <v/>
      </c>
      <c r="HX24" s="128">
        <f>EDATE(InceptionDate,227)</f>
        <v/>
      </c>
      <c r="HY24" s="128">
        <f>EDATE(InceptionDate,228)</f>
        <v/>
      </c>
      <c r="HZ24" s="128">
        <f>EDATE(InceptionDate,229)</f>
        <v/>
      </c>
      <c r="IA24" s="128">
        <f>EDATE(InceptionDate,230)</f>
        <v/>
      </c>
      <c r="IB24" s="128">
        <f>EDATE(InceptionDate,231)</f>
        <v/>
      </c>
      <c r="IC24" s="128">
        <f>EDATE(InceptionDate,232)</f>
        <v/>
      </c>
      <c r="ID24" s="128">
        <f>EDATE(InceptionDate,233)</f>
        <v/>
      </c>
      <c r="IE24" s="128">
        <f>EDATE(InceptionDate,234)</f>
        <v/>
      </c>
      <c r="IF24" s="128">
        <f>EDATE(InceptionDate,235)</f>
        <v/>
      </c>
      <c r="IG24" s="128">
        <f>EDATE(InceptionDate,236)</f>
        <v/>
      </c>
      <c r="IH24" s="128">
        <f>EDATE(InceptionDate,237)</f>
        <v/>
      </c>
      <c r="II24" s="128">
        <f>EDATE(InceptionDate,238)</f>
        <v/>
      </c>
      <c r="IJ24" s="128">
        <f>EDATE(InceptionDate,239)</f>
        <v/>
      </c>
      <c r="IK24" s="128">
        <f>EDATE(InceptionDate,240)</f>
        <v/>
      </c>
      <c r="IL24" s="128">
        <f>EDATE(InceptionDate,241)</f>
        <v/>
      </c>
      <c r="IM24" s="128">
        <f>EDATE(InceptionDate,242)</f>
        <v/>
      </c>
      <c r="IN24" s="128">
        <f>EDATE(InceptionDate,243)</f>
        <v/>
      </c>
      <c r="IO24" s="128">
        <f>EDATE(InceptionDate,244)</f>
        <v/>
      </c>
      <c r="IP24" s="128">
        <f>EDATE(InceptionDate,245)</f>
        <v/>
      </c>
      <c r="IQ24" s="128">
        <f>EDATE(InceptionDate,246)</f>
        <v/>
      </c>
      <c r="IR24" s="128">
        <f>EDATE(InceptionDate,247)</f>
        <v/>
      </c>
      <c r="IS24" s="128">
        <f>EDATE(InceptionDate,248)</f>
        <v/>
      </c>
      <c r="IT24" s="128">
        <f>EDATE(InceptionDate,249)</f>
        <v/>
      </c>
      <c r="IU24" s="128">
        <f>EDATE(InceptionDate,250)</f>
        <v/>
      </c>
      <c r="IV24" s="128">
        <f>EDATE(InceptionDate,251)</f>
        <v/>
      </c>
      <c r="IW24" s="128">
        <f>EDATE(InceptionDate,252)</f>
        <v/>
      </c>
      <c r="IX24" s="128">
        <f>EDATE(InceptionDate,253)</f>
        <v/>
      </c>
      <c r="IY24" s="128">
        <f>EDATE(InceptionDate,254)</f>
        <v/>
      </c>
      <c r="IZ24" s="128">
        <f>EDATE(InceptionDate,255)</f>
        <v/>
      </c>
      <c r="JA24" s="128">
        <f>EDATE(InceptionDate,256)</f>
        <v/>
      </c>
      <c r="JB24" s="128">
        <f>EDATE(InceptionDate,257)</f>
        <v/>
      </c>
      <c r="JC24" s="128">
        <f>EDATE(InceptionDate,258)</f>
        <v/>
      </c>
      <c r="JD24" s="128">
        <f>EDATE(InceptionDate,259)</f>
        <v/>
      </c>
      <c r="JE24" s="128">
        <f>EDATE(InceptionDate,260)</f>
        <v/>
      </c>
      <c r="JF24" s="128">
        <f>EDATE(InceptionDate,261)</f>
        <v/>
      </c>
      <c r="JG24" s="128">
        <f>EDATE(InceptionDate,262)</f>
        <v/>
      </c>
      <c r="JH24" s="128">
        <f>EDATE(InceptionDate,263)</f>
        <v/>
      </c>
      <c r="JI24" s="128">
        <f>EDATE(InceptionDate,264)</f>
        <v/>
      </c>
      <c r="JJ24" s="128">
        <f>EDATE(InceptionDate,265)</f>
        <v/>
      </c>
      <c r="JK24" s="128">
        <f>EDATE(InceptionDate,266)</f>
        <v/>
      </c>
      <c r="JL24" s="128">
        <f>EDATE(InceptionDate,267)</f>
        <v/>
      </c>
      <c r="JM24" s="128">
        <f>EDATE(InceptionDate,268)</f>
        <v/>
      </c>
      <c r="JN24" s="128">
        <f>EDATE(InceptionDate,269)</f>
        <v/>
      </c>
      <c r="JO24" s="128">
        <f>EDATE(InceptionDate,270)</f>
        <v/>
      </c>
      <c r="JP24" s="128">
        <f>EDATE(InceptionDate,271)</f>
        <v/>
      </c>
      <c r="JQ24" s="128">
        <f>EDATE(InceptionDate,272)</f>
        <v/>
      </c>
      <c r="JR24" s="128">
        <f>EDATE(InceptionDate,273)</f>
        <v/>
      </c>
      <c r="JS24" s="128">
        <f>EDATE(InceptionDate,274)</f>
        <v/>
      </c>
      <c r="JT24" s="128">
        <f>EDATE(InceptionDate,275)</f>
        <v/>
      </c>
      <c r="JU24" s="128">
        <f>EDATE(InceptionDate,276)</f>
        <v/>
      </c>
      <c r="JV24" s="128">
        <f>EDATE(InceptionDate,277)</f>
        <v/>
      </c>
      <c r="JW24" s="128">
        <f>EDATE(InceptionDate,278)</f>
        <v/>
      </c>
      <c r="JX24" s="128">
        <f>EDATE(InceptionDate,279)</f>
        <v/>
      </c>
      <c r="JY24" s="128">
        <f>EDATE(InceptionDate,280)</f>
        <v/>
      </c>
      <c r="JZ24" s="128">
        <f>EDATE(InceptionDate,281)</f>
        <v/>
      </c>
      <c r="KA24" s="128">
        <f>EDATE(InceptionDate,282)</f>
        <v/>
      </c>
      <c r="KB24" s="128">
        <f>EDATE(InceptionDate,283)</f>
        <v/>
      </c>
      <c r="KC24" s="128">
        <f>EDATE(InceptionDate,284)</f>
        <v/>
      </c>
      <c r="KD24" s="128">
        <f>EDATE(InceptionDate,285)</f>
        <v/>
      </c>
      <c r="KE24" s="128">
        <f>EDATE(InceptionDate,286)</f>
        <v/>
      </c>
      <c r="KF24" s="128">
        <f>EDATE(InceptionDate,287)</f>
        <v/>
      </c>
      <c r="KG24" s="128">
        <f>EDATE(InceptionDate,288)</f>
        <v/>
      </c>
      <c r="KH24" s="128">
        <f>EDATE(InceptionDate,289)</f>
        <v/>
      </c>
      <c r="KI24" s="128">
        <f>EDATE(InceptionDate,290)</f>
        <v/>
      </c>
      <c r="KJ24" s="128">
        <f>EDATE(InceptionDate,291)</f>
        <v/>
      </c>
      <c r="KK24" s="128">
        <f>EDATE(InceptionDate,292)</f>
        <v/>
      </c>
      <c r="KL24" s="128">
        <f>EDATE(InceptionDate,293)</f>
        <v/>
      </c>
      <c r="KM24" s="128">
        <f>EDATE(InceptionDate,294)</f>
        <v/>
      </c>
      <c r="KN24" s="128">
        <f>EDATE(InceptionDate,295)</f>
        <v/>
      </c>
      <c r="KO24" s="128">
        <f>EDATE(InceptionDate,296)</f>
        <v/>
      </c>
      <c r="KP24" s="128">
        <f>EDATE(InceptionDate,297)</f>
        <v/>
      </c>
      <c r="KQ24" s="128">
        <f>EDATE(InceptionDate,298)</f>
        <v/>
      </c>
      <c r="KR24" s="128">
        <f>EDATE(InceptionDate,299)</f>
        <v/>
      </c>
      <c r="KS24" s="128">
        <f>EDATE(InceptionDate,300)</f>
        <v/>
      </c>
      <c r="KT24" s="128">
        <f>EDATE(InceptionDate,301)</f>
        <v/>
      </c>
      <c r="KU24" s="128">
        <f>EDATE(InceptionDate,302)</f>
        <v/>
      </c>
      <c r="KV24" s="128">
        <f>EDATE(InceptionDate,303)</f>
        <v/>
      </c>
      <c r="KW24" s="128">
        <f>EDATE(InceptionDate,304)</f>
        <v/>
      </c>
      <c r="KX24" s="128">
        <f>EDATE(InceptionDate,305)</f>
        <v/>
      </c>
      <c r="KY24" s="128">
        <f>EDATE(InceptionDate,306)</f>
        <v/>
      </c>
      <c r="KZ24" s="128">
        <f>EDATE(InceptionDate,307)</f>
        <v/>
      </c>
      <c r="LA24" s="128">
        <f>EDATE(InceptionDate,308)</f>
        <v/>
      </c>
      <c r="LB24" s="128">
        <f>EDATE(InceptionDate,309)</f>
        <v/>
      </c>
      <c r="LC24" s="128">
        <f>EDATE(InceptionDate,310)</f>
        <v/>
      </c>
      <c r="LD24" s="128">
        <f>EDATE(InceptionDate,311)</f>
        <v/>
      </c>
      <c r="LE24" s="128">
        <f>EDATE(InceptionDate,312)</f>
        <v/>
      </c>
      <c r="LF24" s="128">
        <f>EDATE(InceptionDate,313)</f>
        <v/>
      </c>
      <c r="LG24" s="128">
        <f>EDATE(InceptionDate,314)</f>
        <v/>
      </c>
      <c r="LH24" s="128">
        <f>EDATE(InceptionDate,315)</f>
        <v/>
      </c>
      <c r="LI24" s="128">
        <f>EDATE(InceptionDate,316)</f>
        <v/>
      </c>
      <c r="LJ24" s="128">
        <f>EDATE(InceptionDate,317)</f>
        <v/>
      </c>
      <c r="LK24" s="128">
        <f>EDATE(InceptionDate,318)</f>
        <v/>
      </c>
      <c r="LL24" s="128">
        <f>EDATE(InceptionDate,319)</f>
        <v/>
      </c>
      <c r="LM24" s="128">
        <f>EDATE(InceptionDate,320)</f>
        <v/>
      </c>
      <c r="LN24" s="128">
        <f>EDATE(InceptionDate,321)</f>
        <v/>
      </c>
      <c r="LO24" s="128">
        <f>EDATE(InceptionDate,322)</f>
        <v/>
      </c>
      <c r="LP24" s="128">
        <f>EDATE(InceptionDate,323)</f>
        <v/>
      </c>
      <c r="LQ24" s="128">
        <f>EDATE(InceptionDate,324)</f>
        <v/>
      </c>
      <c r="LR24" s="128">
        <f>EDATE(InceptionDate,325)</f>
        <v/>
      </c>
      <c r="LS24" s="128">
        <f>EDATE(InceptionDate,326)</f>
        <v/>
      </c>
      <c r="LT24" s="128">
        <f>EDATE(InceptionDate,327)</f>
        <v/>
      </c>
      <c r="LU24" s="128">
        <f>EDATE(InceptionDate,328)</f>
        <v/>
      </c>
      <c r="LV24" s="128">
        <f>EDATE(InceptionDate,329)</f>
        <v/>
      </c>
      <c r="LW24" s="128">
        <f>EDATE(InceptionDate,330)</f>
        <v/>
      </c>
      <c r="LX24" s="128">
        <f>EDATE(InceptionDate,331)</f>
        <v/>
      </c>
      <c r="LY24" s="128">
        <f>EDATE(InceptionDate,332)</f>
        <v/>
      </c>
      <c r="LZ24" s="128">
        <f>EDATE(InceptionDate,333)</f>
        <v/>
      </c>
      <c r="MA24" s="128">
        <f>EDATE(InceptionDate,334)</f>
        <v/>
      </c>
      <c r="MB24" s="128">
        <f>EDATE(InceptionDate,335)</f>
        <v/>
      </c>
      <c r="MC24" s="128">
        <f>EDATE(InceptionDate,336)</f>
        <v/>
      </c>
      <c r="MD24" s="128">
        <f>EDATE(InceptionDate,337)</f>
        <v/>
      </c>
      <c r="ME24" s="128">
        <f>EDATE(InceptionDate,338)</f>
        <v/>
      </c>
      <c r="MF24" s="128">
        <f>EDATE(InceptionDate,339)</f>
        <v/>
      </c>
      <c r="MG24" s="128">
        <f>EDATE(InceptionDate,340)</f>
        <v/>
      </c>
      <c r="MH24" s="128">
        <f>EDATE(InceptionDate,341)</f>
        <v/>
      </c>
      <c r="MI24" s="128">
        <f>EDATE(InceptionDate,342)</f>
        <v/>
      </c>
      <c r="MJ24" s="128">
        <f>EDATE(InceptionDate,343)</f>
        <v/>
      </c>
      <c r="MK24" s="128">
        <f>EDATE(InceptionDate,344)</f>
        <v/>
      </c>
      <c r="ML24" s="128">
        <f>EDATE(InceptionDate,345)</f>
        <v/>
      </c>
      <c r="MM24" s="128">
        <f>EDATE(InceptionDate,346)</f>
        <v/>
      </c>
      <c r="MN24" s="128">
        <f>EDATE(InceptionDate,347)</f>
        <v/>
      </c>
      <c r="MO24" s="128">
        <f>EDATE(InceptionDate,348)</f>
        <v/>
      </c>
      <c r="MP24" s="128">
        <f>EDATE(InceptionDate,349)</f>
        <v/>
      </c>
      <c r="MQ24" s="128">
        <f>EDATE(InceptionDate,350)</f>
        <v/>
      </c>
      <c r="MR24" s="128">
        <f>EDATE(InceptionDate,351)</f>
        <v/>
      </c>
      <c r="MS24" s="128">
        <f>EDATE(InceptionDate,352)</f>
        <v/>
      </c>
      <c r="MT24" s="128">
        <f>EDATE(InceptionDate,353)</f>
        <v/>
      </c>
      <c r="MU24" s="128">
        <f>EDATE(InceptionDate,354)</f>
        <v/>
      </c>
      <c r="MV24" s="128">
        <f>EDATE(InceptionDate,355)</f>
        <v/>
      </c>
      <c r="MW24" s="128">
        <f>EDATE(InceptionDate,356)</f>
        <v/>
      </c>
      <c r="MX24" s="128">
        <f>EDATE(InceptionDate,357)</f>
        <v/>
      </c>
      <c r="MY24" s="128">
        <f>EDATE(InceptionDate,358)</f>
        <v/>
      </c>
      <c r="MZ24" s="128">
        <f>EDATE(InceptionDate,359)</f>
        <v/>
      </c>
      <c r="NA24" s="128">
        <f>EDATE(InceptionDate,360)</f>
        <v/>
      </c>
      <c r="NB24" s="128">
        <f>EDATE(InceptionDate,361)</f>
        <v/>
      </c>
      <c r="NC24" s="128">
        <f>EDATE(InceptionDate,362)</f>
        <v/>
      </c>
      <c r="ND24" s="128">
        <f>EDATE(InceptionDate,363)</f>
        <v/>
      </c>
      <c r="NE24" s="128">
        <f>EDATE(InceptionDate,364)</f>
        <v/>
      </c>
      <c r="NF24" s="128">
        <f>EDATE(InceptionDate,365)</f>
        <v/>
      </c>
      <c r="NG24" s="128">
        <f>EDATE(InceptionDate,366)</f>
        <v/>
      </c>
      <c r="NH24" s="128">
        <f>EDATE(InceptionDate,367)</f>
        <v/>
      </c>
      <c r="NI24" s="128">
        <f>EDATE(InceptionDate,368)</f>
        <v/>
      </c>
      <c r="NJ24" s="128">
        <f>EDATE(InceptionDate,369)</f>
        <v/>
      </c>
      <c r="NK24" s="128">
        <f>EDATE(InceptionDate,370)</f>
        <v/>
      </c>
      <c r="NL24" s="128">
        <f>EDATE(InceptionDate,371)</f>
        <v/>
      </c>
    </row>
    <row r="25">
      <c r="B25" s="36" t="inlineStr">
        <is>
          <t>Days in Month</t>
        </is>
      </c>
      <c r="D25" s="124" t="n"/>
      <c r="E25" s="85">
        <f>DAY(EOMONTH(EDATE(InceptionDate,1-1),0))</f>
        <v/>
      </c>
      <c r="F25" s="85">
        <f>DAY(EOMONTH(EDATE(InceptionDate,2-1),0))</f>
        <v/>
      </c>
      <c r="G25" s="85">
        <f>DAY(EOMONTH(EDATE(InceptionDate,3-1),0))</f>
        <v/>
      </c>
      <c r="H25" s="85">
        <f>DAY(EOMONTH(EDATE(InceptionDate,4-1),0))</f>
        <v/>
      </c>
      <c r="I25" s="85">
        <f>DAY(EOMONTH(EDATE(InceptionDate,5-1),0))</f>
        <v/>
      </c>
      <c r="J25" s="85">
        <f>DAY(EOMONTH(EDATE(InceptionDate,6-1),0))</f>
        <v/>
      </c>
      <c r="K25" s="85">
        <f>DAY(EOMONTH(EDATE(InceptionDate,7-1),0))</f>
        <v/>
      </c>
      <c r="L25" s="85">
        <f>DAY(EOMONTH(EDATE(InceptionDate,8-1),0))</f>
        <v/>
      </c>
      <c r="M25" s="85">
        <f>DAY(EOMONTH(EDATE(InceptionDate,9-1),0))</f>
        <v/>
      </c>
      <c r="N25" s="85">
        <f>DAY(EOMONTH(EDATE(InceptionDate,10-1),0))</f>
        <v/>
      </c>
      <c r="O25" s="85">
        <f>DAY(EOMONTH(EDATE(InceptionDate,11-1),0))</f>
        <v/>
      </c>
      <c r="P25" s="85">
        <f>DAY(EOMONTH(EDATE(InceptionDate,12-1),0))</f>
        <v/>
      </c>
      <c r="Q25" s="85">
        <f>DAY(EOMONTH(EDATE(InceptionDate,13-1),0))</f>
        <v/>
      </c>
      <c r="R25" s="85">
        <f>DAY(EOMONTH(EDATE(InceptionDate,14-1),0))</f>
        <v/>
      </c>
      <c r="S25" s="85">
        <f>DAY(EOMONTH(EDATE(InceptionDate,15-1),0))</f>
        <v/>
      </c>
      <c r="T25" s="85">
        <f>DAY(EOMONTH(EDATE(InceptionDate,16-1),0))</f>
        <v/>
      </c>
      <c r="U25" s="85">
        <f>DAY(EOMONTH(EDATE(InceptionDate,17-1),0))</f>
        <v/>
      </c>
      <c r="V25" s="85">
        <f>DAY(EOMONTH(EDATE(InceptionDate,18-1),0))</f>
        <v/>
      </c>
      <c r="W25" s="85">
        <f>DAY(EOMONTH(EDATE(InceptionDate,19-1),0))</f>
        <v/>
      </c>
      <c r="X25" s="85">
        <f>DAY(EOMONTH(EDATE(InceptionDate,20-1),0))</f>
        <v/>
      </c>
      <c r="Y25" s="85">
        <f>DAY(EOMONTH(EDATE(InceptionDate,21-1),0))</f>
        <v/>
      </c>
      <c r="Z25" s="85">
        <f>DAY(EOMONTH(EDATE(InceptionDate,22-1),0))</f>
        <v/>
      </c>
      <c r="AA25" s="85">
        <f>DAY(EOMONTH(EDATE(InceptionDate,23-1),0))</f>
        <v/>
      </c>
      <c r="AB25" s="85">
        <f>DAY(EOMONTH(EDATE(InceptionDate,24-1),0))</f>
        <v/>
      </c>
      <c r="AC25" s="85">
        <f>DAY(EOMONTH(EDATE(InceptionDate,25-1),0))</f>
        <v/>
      </c>
      <c r="AD25" s="85">
        <f>DAY(EOMONTH(EDATE(InceptionDate,26-1),0))</f>
        <v/>
      </c>
      <c r="AE25" s="85">
        <f>DAY(EOMONTH(EDATE(InceptionDate,27-1),0))</f>
        <v/>
      </c>
      <c r="AF25" s="85">
        <f>DAY(EOMONTH(EDATE(InceptionDate,28-1),0))</f>
        <v/>
      </c>
      <c r="AG25" s="85">
        <f>DAY(EOMONTH(EDATE(InceptionDate,29-1),0))</f>
        <v/>
      </c>
      <c r="AH25" s="85">
        <f>DAY(EOMONTH(EDATE(InceptionDate,30-1),0))</f>
        <v/>
      </c>
      <c r="AI25" s="85">
        <f>DAY(EOMONTH(EDATE(InceptionDate,31-1),0))</f>
        <v/>
      </c>
      <c r="AJ25" s="85">
        <f>DAY(EOMONTH(EDATE(InceptionDate,32-1),0))</f>
        <v/>
      </c>
      <c r="AK25" s="85">
        <f>DAY(EOMONTH(EDATE(InceptionDate,33-1),0))</f>
        <v/>
      </c>
      <c r="AL25" s="85">
        <f>DAY(EOMONTH(EDATE(InceptionDate,34-1),0))</f>
        <v/>
      </c>
      <c r="AM25" s="85">
        <f>DAY(EOMONTH(EDATE(InceptionDate,35-1),0))</f>
        <v/>
      </c>
      <c r="AN25" s="85">
        <f>DAY(EOMONTH(EDATE(InceptionDate,36-1),0))</f>
        <v/>
      </c>
      <c r="AO25" s="85">
        <f>DAY(EOMONTH(EDATE(InceptionDate,37-1),0))</f>
        <v/>
      </c>
      <c r="AP25" s="85">
        <f>DAY(EOMONTH(EDATE(InceptionDate,38-1),0))</f>
        <v/>
      </c>
      <c r="AQ25" s="85">
        <f>DAY(EOMONTH(EDATE(InceptionDate,39-1),0))</f>
        <v/>
      </c>
      <c r="AR25" s="85">
        <f>DAY(EOMONTH(EDATE(InceptionDate,40-1),0))</f>
        <v/>
      </c>
      <c r="AS25" s="85">
        <f>DAY(EOMONTH(EDATE(InceptionDate,41-1),0))</f>
        <v/>
      </c>
      <c r="AT25" s="85">
        <f>DAY(EOMONTH(EDATE(InceptionDate,42-1),0))</f>
        <v/>
      </c>
      <c r="AU25" s="85">
        <f>DAY(EOMONTH(EDATE(InceptionDate,43-1),0))</f>
        <v/>
      </c>
      <c r="AV25" s="85">
        <f>DAY(EOMONTH(EDATE(InceptionDate,44-1),0))</f>
        <v/>
      </c>
      <c r="AW25" s="85">
        <f>DAY(EOMONTH(EDATE(InceptionDate,45-1),0))</f>
        <v/>
      </c>
      <c r="AX25" s="85">
        <f>DAY(EOMONTH(EDATE(InceptionDate,46-1),0))</f>
        <v/>
      </c>
      <c r="AY25" s="85">
        <f>DAY(EOMONTH(EDATE(InceptionDate,47-1),0))</f>
        <v/>
      </c>
      <c r="AZ25" s="85">
        <f>DAY(EOMONTH(EDATE(InceptionDate,48-1),0))</f>
        <v/>
      </c>
      <c r="BA25" s="85">
        <f>DAY(EOMONTH(EDATE(InceptionDate,49-1),0))</f>
        <v/>
      </c>
      <c r="BB25" s="85">
        <f>DAY(EOMONTH(EDATE(InceptionDate,50-1),0))</f>
        <v/>
      </c>
      <c r="BC25" s="85">
        <f>DAY(EOMONTH(EDATE(InceptionDate,51-1),0))</f>
        <v/>
      </c>
      <c r="BD25" s="85">
        <f>DAY(EOMONTH(EDATE(InceptionDate,52-1),0))</f>
        <v/>
      </c>
      <c r="BE25" s="85">
        <f>DAY(EOMONTH(EDATE(InceptionDate,53-1),0))</f>
        <v/>
      </c>
      <c r="BF25" s="85">
        <f>DAY(EOMONTH(EDATE(InceptionDate,54-1),0))</f>
        <v/>
      </c>
      <c r="BG25" s="85">
        <f>DAY(EOMONTH(EDATE(InceptionDate,55-1),0))</f>
        <v/>
      </c>
      <c r="BH25" s="85">
        <f>DAY(EOMONTH(EDATE(InceptionDate,56-1),0))</f>
        <v/>
      </c>
      <c r="BI25" s="85">
        <f>DAY(EOMONTH(EDATE(InceptionDate,57-1),0))</f>
        <v/>
      </c>
      <c r="BJ25" s="85">
        <f>DAY(EOMONTH(EDATE(InceptionDate,58-1),0))</f>
        <v/>
      </c>
      <c r="BK25" s="85">
        <f>DAY(EOMONTH(EDATE(InceptionDate,59-1),0))</f>
        <v/>
      </c>
      <c r="BL25" s="85">
        <f>DAY(EOMONTH(EDATE(InceptionDate,60-1),0))</f>
        <v/>
      </c>
      <c r="BM25" s="85">
        <f>DAY(EOMONTH(EDATE(InceptionDate,61-1),0))</f>
        <v/>
      </c>
      <c r="BN25" s="85">
        <f>DAY(EOMONTH(EDATE(InceptionDate,62-1),0))</f>
        <v/>
      </c>
      <c r="BO25" s="85">
        <f>DAY(EOMONTH(EDATE(InceptionDate,63-1),0))</f>
        <v/>
      </c>
      <c r="BP25" s="85">
        <f>DAY(EOMONTH(EDATE(InceptionDate,64-1),0))</f>
        <v/>
      </c>
      <c r="BQ25" s="85">
        <f>DAY(EOMONTH(EDATE(InceptionDate,65-1),0))</f>
        <v/>
      </c>
      <c r="BR25" s="85">
        <f>DAY(EOMONTH(EDATE(InceptionDate,66-1),0))</f>
        <v/>
      </c>
      <c r="BS25" s="85">
        <f>DAY(EOMONTH(EDATE(InceptionDate,67-1),0))</f>
        <v/>
      </c>
      <c r="BT25" s="85">
        <f>DAY(EOMONTH(EDATE(InceptionDate,68-1),0))</f>
        <v/>
      </c>
      <c r="BU25" s="85">
        <f>DAY(EOMONTH(EDATE(InceptionDate,69-1),0))</f>
        <v/>
      </c>
      <c r="BV25" s="85">
        <f>DAY(EOMONTH(EDATE(InceptionDate,70-1),0))</f>
        <v/>
      </c>
      <c r="BW25" s="85">
        <f>DAY(EOMONTH(EDATE(InceptionDate,71-1),0))</f>
        <v/>
      </c>
      <c r="BX25" s="85">
        <f>DAY(EOMONTH(EDATE(InceptionDate,72-1),0))</f>
        <v/>
      </c>
      <c r="BY25" s="85">
        <f>DAY(EOMONTH(EDATE(InceptionDate,73-1),0))</f>
        <v/>
      </c>
      <c r="BZ25" s="85">
        <f>DAY(EOMONTH(EDATE(InceptionDate,74-1),0))</f>
        <v/>
      </c>
      <c r="CA25" s="85">
        <f>DAY(EOMONTH(EDATE(InceptionDate,75-1),0))</f>
        <v/>
      </c>
      <c r="CB25" s="85">
        <f>DAY(EOMONTH(EDATE(InceptionDate,76-1),0))</f>
        <v/>
      </c>
      <c r="CC25" s="85">
        <f>DAY(EOMONTH(EDATE(InceptionDate,77-1),0))</f>
        <v/>
      </c>
      <c r="CD25" s="85">
        <f>DAY(EOMONTH(EDATE(InceptionDate,78-1),0))</f>
        <v/>
      </c>
      <c r="CE25" s="85">
        <f>DAY(EOMONTH(EDATE(InceptionDate,79-1),0))</f>
        <v/>
      </c>
      <c r="CF25" s="85">
        <f>DAY(EOMONTH(EDATE(InceptionDate,80-1),0))</f>
        <v/>
      </c>
      <c r="CG25" s="85">
        <f>DAY(EOMONTH(EDATE(InceptionDate,81-1),0))</f>
        <v/>
      </c>
      <c r="CH25" s="85">
        <f>DAY(EOMONTH(EDATE(InceptionDate,82-1),0))</f>
        <v/>
      </c>
      <c r="CI25" s="85">
        <f>DAY(EOMONTH(EDATE(InceptionDate,83-1),0))</f>
        <v/>
      </c>
      <c r="CJ25" s="85">
        <f>DAY(EOMONTH(EDATE(InceptionDate,84-1),0))</f>
        <v/>
      </c>
      <c r="CK25" s="85">
        <f>DAY(EOMONTH(EDATE(InceptionDate,85-1),0))</f>
        <v/>
      </c>
      <c r="CL25" s="85">
        <f>DAY(EOMONTH(EDATE(InceptionDate,86-1),0))</f>
        <v/>
      </c>
      <c r="CM25" s="85">
        <f>DAY(EOMONTH(EDATE(InceptionDate,87-1),0))</f>
        <v/>
      </c>
      <c r="CN25" s="85">
        <f>DAY(EOMONTH(EDATE(InceptionDate,88-1),0))</f>
        <v/>
      </c>
      <c r="CO25" s="85">
        <f>DAY(EOMONTH(EDATE(InceptionDate,89-1),0))</f>
        <v/>
      </c>
      <c r="CP25" s="85">
        <f>DAY(EOMONTH(EDATE(InceptionDate,90-1),0))</f>
        <v/>
      </c>
      <c r="CQ25" s="85">
        <f>DAY(EOMONTH(EDATE(InceptionDate,91-1),0))</f>
        <v/>
      </c>
      <c r="CR25" s="85">
        <f>DAY(EOMONTH(EDATE(InceptionDate,92-1),0))</f>
        <v/>
      </c>
      <c r="CS25" s="85">
        <f>DAY(EOMONTH(EDATE(InceptionDate,93-1),0))</f>
        <v/>
      </c>
      <c r="CT25" s="85">
        <f>DAY(EOMONTH(EDATE(InceptionDate,94-1),0))</f>
        <v/>
      </c>
      <c r="CU25" s="85">
        <f>DAY(EOMONTH(EDATE(InceptionDate,95-1),0))</f>
        <v/>
      </c>
      <c r="CV25" s="85">
        <f>DAY(EOMONTH(EDATE(InceptionDate,96-1),0))</f>
        <v/>
      </c>
      <c r="CW25" s="85">
        <f>DAY(EOMONTH(EDATE(InceptionDate,97-1),0))</f>
        <v/>
      </c>
      <c r="CX25" s="85">
        <f>DAY(EOMONTH(EDATE(InceptionDate,98-1),0))</f>
        <v/>
      </c>
      <c r="CY25" s="85">
        <f>DAY(EOMONTH(EDATE(InceptionDate,99-1),0))</f>
        <v/>
      </c>
      <c r="CZ25" s="85">
        <f>DAY(EOMONTH(EDATE(InceptionDate,100-1),0))</f>
        <v/>
      </c>
      <c r="DA25" s="85">
        <f>DAY(EOMONTH(EDATE(InceptionDate,101-1),0))</f>
        <v/>
      </c>
      <c r="DB25" s="85">
        <f>DAY(EOMONTH(EDATE(InceptionDate,102-1),0))</f>
        <v/>
      </c>
      <c r="DC25" s="85">
        <f>DAY(EOMONTH(EDATE(InceptionDate,103-1),0))</f>
        <v/>
      </c>
      <c r="DD25" s="85">
        <f>DAY(EOMONTH(EDATE(InceptionDate,104-1),0))</f>
        <v/>
      </c>
      <c r="DE25" s="85">
        <f>DAY(EOMONTH(EDATE(InceptionDate,105-1),0))</f>
        <v/>
      </c>
      <c r="DF25" s="85">
        <f>DAY(EOMONTH(EDATE(InceptionDate,106-1),0))</f>
        <v/>
      </c>
      <c r="DG25" s="85">
        <f>DAY(EOMONTH(EDATE(InceptionDate,107-1),0))</f>
        <v/>
      </c>
      <c r="DH25" s="85">
        <f>DAY(EOMONTH(EDATE(InceptionDate,108-1),0))</f>
        <v/>
      </c>
      <c r="DI25" s="85">
        <f>DAY(EOMONTH(EDATE(InceptionDate,109-1),0))</f>
        <v/>
      </c>
      <c r="DJ25" s="85">
        <f>DAY(EOMONTH(EDATE(InceptionDate,110-1),0))</f>
        <v/>
      </c>
      <c r="DK25" s="85">
        <f>DAY(EOMONTH(EDATE(InceptionDate,111-1),0))</f>
        <v/>
      </c>
      <c r="DL25" s="85">
        <f>DAY(EOMONTH(EDATE(InceptionDate,112-1),0))</f>
        <v/>
      </c>
      <c r="DM25" s="85">
        <f>DAY(EOMONTH(EDATE(InceptionDate,113-1),0))</f>
        <v/>
      </c>
      <c r="DN25" s="85">
        <f>DAY(EOMONTH(EDATE(InceptionDate,114-1),0))</f>
        <v/>
      </c>
      <c r="DO25" s="85">
        <f>DAY(EOMONTH(EDATE(InceptionDate,115-1),0))</f>
        <v/>
      </c>
      <c r="DP25" s="85">
        <f>DAY(EOMONTH(EDATE(InceptionDate,116-1),0))</f>
        <v/>
      </c>
      <c r="DQ25" s="85">
        <f>DAY(EOMONTH(EDATE(InceptionDate,117-1),0))</f>
        <v/>
      </c>
      <c r="DR25" s="85">
        <f>DAY(EOMONTH(EDATE(InceptionDate,118-1),0))</f>
        <v/>
      </c>
      <c r="DS25" s="85">
        <f>DAY(EOMONTH(EDATE(InceptionDate,119-1),0))</f>
        <v/>
      </c>
      <c r="DT25" s="85">
        <f>DAY(EOMONTH(EDATE(InceptionDate,120-1),0))</f>
        <v/>
      </c>
      <c r="DU25" s="85">
        <f>DAY(EOMONTH(EDATE(InceptionDate,121-1),0))</f>
        <v/>
      </c>
      <c r="DV25" s="85">
        <f>DAY(EOMONTH(EDATE(InceptionDate,122-1),0))</f>
        <v/>
      </c>
      <c r="DW25" s="85">
        <f>DAY(EOMONTH(EDATE(InceptionDate,123-1),0))</f>
        <v/>
      </c>
      <c r="DX25" s="85">
        <f>DAY(EOMONTH(EDATE(InceptionDate,124-1),0))</f>
        <v/>
      </c>
      <c r="DY25" s="85">
        <f>DAY(EOMONTH(EDATE(InceptionDate,125-1),0))</f>
        <v/>
      </c>
      <c r="DZ25" s="85">
        <f>DAY(EOMONTH(EDATE(InceptionDate,126-1),0))</f>
        <v/>
      </c>
      <c r="EA25" s="85">
        <f>DAY(EOMONTH(EDATE(InceptionDate,127-1),0))</f>
        <v/>
      </c>
      <c r="EB25" s="85">
        <f>DAY(EOMONTH(EDATE(InceptionDate,128-1),0))</f>
        <v/>
      </c>
      <c r="EC25" s="85">
        <f>DAY(EOMONTH(EDATE(InceptionDate,129-1),0))</f>
        <v/>
      </c>
      <c r="ED25" s="85">
        <f>DAY(EOMONTH(EDATE(InceptionDate,130-1),0))</f>
        <v/>
      </c>
      <c r="EE25" s="85">
        <f>DAY(EOMONTH(EDATE(InceptionDate,131-1),0))</f>
        <v/>
      </c>
      <c r="EF25" s="85">
        <f>DAY(EOMONTH(EDATE(InceptionDate,132-1),0))</f>
        <v/>
      </c>
      <c r="EG25" s="85">
        <f>DAY(EOMONTH(EDATE(InceptionDate,133-1),0))</f>
        <v/>
      </c>
      <c r="EH25" s="85">
        <f>DAY(EOMONTH(EDATE(InceptionDate,134-1),0))</f>
        <v/>
      </c>
      <c r="EI25" s="85">
        <f>DAY(EOMONTH(EDATE(InceptionDate,135-1),0))</f>
        <v/>
      </c>
      <c r="EJ25" s="85">
        <f>DAY(EOMONTH(EDATE(InceptionDate,136-1),0))</f>
        <v/>
      </c>
      <c r="EK25" s="85">
        <f>DAY(EOMONTH(EDATE(InceptionDate,137-1),0))</f>
        <v/>
      </c>
      <c r="EL25" s="85">
        <f>DAY(EOMONTH(EDATE(InceptionDate,138-1),0))</f>
        <v/>
      </c>
      <c r="EM25" s="85">
        <f>DAY(EOMONTH(EDATE(InceptionDate,139-1),0))</f>
        <v/>
      </c>
      <c r="EN25" s="85">
        <f>DAY(EOMONTH(EDATE(InceptionDate,140-1),0))</f>
        <v/>
      </c>
      <c r="EO25" s="85">
        <f>DAY(EOMONTH(EDATE(InceptionDate,141-1),0))</f>
        <v/>
      </c>
      <c r="EP25" s="85">
        <f>DAY(EOMONTH(EDATE(InceptionDate,142-1),0))</f>
        <v/>
      </c>
      <c r="EQ25" s="85">
        <f>DAY(EOMONTH(EDATE(InceptionDate,143-1),0))</f>
        <v/>
      </c>
      <c r="ER25" s="85">
        <f>DAY(EOMONTH(EDATE(InceptionDate,144-1),0))</f>
        <v/>
      </c>
      <c r="ES25" s="85">
        <f>DAY(EOMONTH(EDATE(InceptionDate,145-1),0))</f>
        <v/>
      </c>
      <c r="ET25" s="85">
        <f>DAY(EOMONTH(EDATE(InceptionDate,146-1),0))</f>
        <v/>
      </c>
      <c r="EU25" s="85">
        <f>DAY(EOMONTH(EDATE(InceptionDate,147-1),0))</f>
        <v/>
      </c>
      <c r="EV25" s="85">
        <f>DAY(EOMONTH(EDATE(InceptionDate,148-1),0))</f>
        <v/>
      </c>
      <c r="EW25" s="85">
        <f>DAY(EOMONTH(EDATE(InceptionDate,149-1),0))</f>
        <v/>
      </c>
      <c r="EX25" s="85">
        <f>DAY(EOMONTH(EDATE(InceptionDate,150-1),0))</f>
        <v/>
      </c>
      <c r="EY25" s="85">
        <f>DAY(EOMONTH(EDATE(InceptionDate,151-1),0))</f>
        <v/>
      </c>
      <c r="EZ25" s="85">
        <f>DAY(EOMONTH(EDATE(InceptionDate,152-1),0))</f>
        <v/>
      </c>
      <c r="FA25" s="85">
        <f>DAY(EOMONTH(EDATE(InceptionDate,153-1),0))</f>
        <v/>
      </c>
      <c r="FB25" s="85">
        <f>DAY(EOMONTH(EDATE(InceptionDate,154-1),0))</f>
        <v/>
      </c>
      <c r="FC25" s="85">
        <f>DAY(EOMONTH(EDATE(InceptionDate,155-1),0))</f>
        <v/>
      </c>
      <c r="FD25" s="85">
        <f>DAY(EOMONTH(EDATE(InceptionDate,156-1),0))</f>
        <v/>
      </c>
      <c r="FE25" s="85">
        <f>DAY(EOMONTH(EDATE(InceptionDate,157-1),0))</f>
        <v/>
      </c>
      <c r="FF25" s="85">
        <f>DAY(EOMONTH(EDATE(InceptionDate,158-1),0))</f>
        <v/>
      </c>
      <c r="FG25" s="85">
        <f>DAY(EOMONTH(EDATE(InceptionDate,159-1),0))</f>
        <v/>
      </c>
      <c r="FH25" s="85">
        <f>DAY(EOMONTH(EDATE(InceptionDate,160-1),0))</f>
        <v/>
      </c>
      <c r="FI25" s="85">
        <f>DAY(EOMONTH(EDATE(InceptionDate,161-1),0))</f>
        <v/>
      </c>
      <c r="FJ25" s="85">
        <f>DAY(EOMONTH(EDATE(InceptionDate,162-1),0))</f>
        <v/>
      </c>
      <c r="FK25" s="85">
        <f>DAY(EOMONTH(EDATE(InceptionDate,163-1),0))</f>
        <v/>
      </c>
      <c r="FL25" s="85">
        <f>DAY(EOMONTH(EDATE(InceptionDate,164-1),0))</f>
        <v/>
      </c>
      <c r="FM25" s="85">
        <f>DAY(EOMONTH(EDATE(InceptionDate,165-1),0))</f>
        <v/>
      </c>
      <c r="FN25" s="85">
        <f>DAY(EOMONTH(EDATE(InceptionDate,166-1),0))</f>
        <v/>
      </c>
      <c r="FO25" s="85">
        <f>DAY(EOMONTH(EDATE(InceptionDate,167-1),0))</f>
        <v/>
      </c>
      <c r="FP25" s="85">
        <f>DAY(EOMONTH(EDATE(InceptionDate,168-1),0))</f>
        <v/>
      </c>
      <c r="FQ25" s="85">
        <f>DAY(EOMONTH(EDATE(InceptionDate,169-1),0))</f>
        <v/>
      </c>
      <c r="FR25" s="85">
        <f>DAY(EOMONTH(EDATE(InceptionDate,170-1),0))</f>
        <v/>
      </c>
      <c r="FS25" s="85">
        <f>DAY(EOMONTH(EDATE(InceptionDate,171-1),0))</f>
        <v/>
      </c>
      <c r="FT25" s="85">
        <f>DAY(EOMONTH(EDATE(InceptionDate,172-1),0))</f>
        <v/>
      </c>
      <c r="FU25" s="85">
        <f>DAY(EOMONTH(EDATE(InceptionDate,173-1),0))</f>
        <v/>
      </c>
      <c r="FV25" s="85">
        <f>DAY(EOMONTH(EDATE(InceptionDate,174-1),0))</f>
        <v/>
      </c>
      <c r="FW25" s="85">
        <f>DAY(EOMONTH(EDATE(InceptionDate,175-1),0))</f>
        <v/>
      </c>
      <c r="FX25" s="85">
        <f>DAY(EOMONTH(EDATE(InceptionDate,176-1),0))</f>
        <v/>
      </c>
      <c r="FY25" s="85">
        <f>DAY(EOMONTH(EDATE(InceptionDate,177-1),0))</f>
        <v/>
      </c>
      <c r="FZ25" s="85">
        <f>DAY(EOMONTH(EDATE(InceptionDate,178-1),0))</f>
        <v/>
      </c>
      <c r="GA25" s="85">
        <f>DAY(EOMONTH(EDATE(InceptionDate,179-1),0))</f>
        <v/>
      </c>
      <c r="GB25" s="85">
        <f>DAY(EOMONTH(EDATE(InceptionDate,180-1),0))</f>
        <v/>
      </c>
      <c r="GC25" s="85">
        <f>DAY(EOMONTH(EDATE(InceptionDate,181-1),0))</f>
        <v/>
      </c>
      <c r="GD25" s="85">
        <f>DAY(EOMONTH(EDATE(InceptionDate,182-1),0))</f>
        <v/>
      </c>
      <c r="GE25" s="85">
        <f>DAY(EOMONTH(EDATE(InceptionDate,183-1),0))</f>
        <v/>
      </c>
      <c r="GF25" s="85">
        <f>DAY(EOMONTH(EDATE(InceptionDate,184-1),0))</f>
        <v/>
      </c>
      <c r="GG25" s="85">
        <f>DAY(EOMONTH(EDATE(InceptionDate,185-1),0))</f>
        <v/>
      </c>
      <c r="GH25" s="85">
        <f>DAY(EOMONTH(EDATE(InceptionDate,186-1),0))</f>
        <v/>
      </c>
      <c r="GI25" s="85">
        <f>DAY(EOMONTH(EDATE(InceptionDate,187-1),0))</f>
        <v/>
      </c>
      <c r="GJ25" s="85">
        <f>DAY(EOMONTH(EDATE(InceptionDate,188-1),0))</f>
        <v/>
      </c>
      <c r="GK25" s="85">
        <f>DAY(EOMONTH(EDATE(InceptionDate,189-1),0))</f>
        <v/>
      </c>
      <c r="GL25" s="85">
        <f>DAY(EOMONTH(EDATE(InceptionDate,190-1),0))</f>
        <v/>
      </c>
      <c r="GM25" s="85">
        <f>DAY(EOMONTH(EDATE(InceptionDate,191-1),0))</f>
        <v/>
      </c>
      <c r="GN25" s="85">
        <f>DAY(EOMONTH(EDATE(InceptionDate,192-1),0))</f>
        <v/>
      </c>
      <c r="GO25" s="85">
        <f>DAY(EOMONTH(EDATE(InceptionDate,193-1),0))</f>
        <v/>
      </c>
      <c r="GP25" s="85">
        <f>DAY(EOMONTH(EDATE(InceptionDate,194-1),0))</f>
        <v/>
      </c>
      <c r="GQ25" s="85">
        <f>DAY(EOMONTH(EDATE(InceptionDate,195-1),0))</f>
        <v/>
      </c>
      <c r="GR25" s="85">
        <f>DAY(EOMONTH(EDATE(InceptionDate,196-1),0))</f>
        <v/>
      </c>
      <c r="GS25" s="85">
        <f>DAY(EOMONTH(EDATE(InceptionDate,197-1),0))</f>
        <v/>
      </c>
      <c r="GT25" s="85">
        <f>DAY(EOMONTH(EDATE(InceptionDate,198-1),0))</f>
        <v/>
      </c>
      <c r="GU25" s="85">
        <f>DAY(EOMONTH(EDATE(InceptionDate,199-1),0))</f>
        <v/>
      </c>
      <c r="GV25" s="85">
        <f>DAY(EOMONTH(EDATE(InceptionDate,200-1),0))</f>
        <v/>
      </c>
      <c r="GW25" s="85">
        <f>DAY(EOMONTH(EDATE(InceptionDate,201-1),0))</f>
        <v/>
      </c>
      <c r="GX25" s="85">
        <f>DAY(EOMONTH(EDATE(InceptionDate,202-1),0))</f>
        <v/>
      </c>
      <c r="GY25" s="85">
        <f>DAY(EOMONTH(EDATE(InceptionDate,203-1),0))</f>
        <v/>
      </c>
      <c r="GZ25" s="85">
        <f>DAY(EOMONTH(EDATE(InceptionDate,204-1),0))</f>
        <v/>
      </c>
      <c r="HA25" s="85">
        <f>DAY(EOMONTH(EDATE(InceptionDate,205-1),0))</f>
        <v/>
      </c>
      <c r="HB25" s="85">
        <f>DAY(EOMONTH(EDATE(InceptionDate,206-1),0))</f>
        <v/>
      </c>
      <c r="HC25" s="85">
        <f>DAY(EOMONTH(EDATE(InceptionDate,207-1),0))</f>
        <v/>
      </c>
      <c r="HD25" s="85">
        <f>DAY(EOMONTH(EDATE(InceptionDate,208-1),0))</f>
        <v/>
      </c>
      <c r="HE25" s="85">
        <f>DAY(EOMONTH(EDATE(InceptionDate,209-1),0))</f>
        <v/>
      </c>
      <c r="HF25" s="85">
        <f>DAY(EOMONTH(EDATE(InceptionDate,210-1),0))</f>
        <v/>
      </c>
      <c r="HG25" s="85">
        <f>DAY(EOMONTH(EDATE(InceptionDate,211-1),0))</f>
        <v/>
      </c>
      <c r="HH25" s="85">
        <f>DAY(EOMONTH(EDATE(InceptionDate,212-1),0))</f>
        <v/>
      </c>
      <c r="HI25" s="85">
        <f>DAY(EOMONTH(EDATE(InceptionDate,213-1),0))</f>
        <v/>
      </c>
      <c r="HJ25" s="85">
        <f>DAY(EOMONTH(EDATE(InceptionDate,214-1),0))</f>
        <v/>
      </c>
      <c r="HK25" s="85">
        <f>DAY(EOMONTH(EDATE(InceptionDate,215-1),0))</f>
        <v/>
      </c>
      <c r="HL25" s="85">
        <f>DAY(EOMONTH(EDATE(InceptionDate,216-1),0))</f>
        <v/>
      </c>
      <c r="HM25" s="85">
        <f>DAY(EOMONTH(EDATE(InceptionDate,217-1),0))</f>
        <v/>
      </c>
      <c r="HN25" s="85">
        <f>DAY(EOMONTH(EDATE(InceptionDate,218-1),0))</f>
        <v/>
      </c>
      <c r="HO25" s="85">
        <f>DAY(EOMONTH(EDATE(InceptionDate,219-1),0))</f>
        <v/>
      </c>
      <c r="HP25" s="85">
        <f>DAY(EOMONTH(EDATE(InceptionDate,220-1),0))</f>
        <v/>
      </c>
      <c r="HQ25" s="85">
        <f>DAY(EOMONTH(EDATE(InceptionDate,221-1),0))</f>
        <v/>
      </c>
      <c r="HR25" s="85">
        <f>DAY(EOMONTH(EDATE(InceptionDate,222-1),0))</f>
        <v/>
      </c>
      <c r="HS25" s="85">
        <f>DAY(EOMONTH(EDATE(InceptionDate,223-1),0))</f>
        <v/>
      </c>
      <c r="HT25" s="85">
        <f>DAY(EOMONTH(EDATE(InceptionDate,224-1),0))</f>
        <v/>
      </c>
      <c r="HU25" s="85">
        <f>DAY(EOMONTH(EDATE(InceptionDate,225-1),0))</f>
        <v/>
      </c>
      <c r="HV25" s="85">
        <f>DAY(EOMONTH(EDATE(InceptionDate,226-1),0))</f>
        <v/>
      </c>
      <c r="HW25" s="85">
        <f>DAY(EOMONTH(EDATE(InceptionDate,227-1),0))</f>
        <v/>
      </c>
      <c r="HX25" s="85">
        <f>DAY(EOMONTH(EDATE(InceptionDate,228-1),0))</f>
        <v/>
      </c>
      <c r="HY25" s="85">
        <f>DAY(EOMONTH(EDATE(InceptionDate,229-1),0))</f>
        <v/>
      </c>
      <c r="HZ25" s="85">
        <f>DAY(EOMONTH(EDATE(InceptionDate,230-1),0))</f>
        <v/>
      </c>
      <c r="IA25" s="85">
        <f>DAY(EOMONTH(EDATE(InceptionDate,231-1),0))</f>
        <v/>
      </c>
      <c r="IB25" s="85">
        <f>DAY(EOMONTH(EDATE(InceptionDate,232-1),0))</f>
        <v/>
      </c>
      <c r="IC25" s="85">
        <f>DAY(EOMONTH(EDATE(InceptionDate,233-1),0))</f>
        <v/>
      </c>
      <c r="ID25" s="85">
        <f>DAY(EOMONTH(EDATE(InceptionDate,234-1),0))</f>
        <v/>
      </c>
      <c r="IE25" s="85">
        <f>DAY(EOMONTH(EDATE(InceptionDate,235-1),0))</f>
        <v/>
      </c>
      <c r="IF25" s="85">
        <f>DAY(EOMONTH(EDATE(InceptionDate,236-1),0))</f>
        <v/>
      </c>
      <c r="IG25" s="85">
        <f>DAY(EOMONTH(EDATE(InceptionDate,237-1),0))</f>
        <v/>
      </c>
      <c r="IH25" s="85">
        <f>DAY(EOMONTH(EDATE(InceptionDate,238-1),0))</f>
        <v/>
      </c>
      <c r="II25" s="85">
        <f>DAY(EOMONTH(EDATE(InceptionDate,239-1),0))</f>
        <v/>
      </c>
      <c r="IJ25" s="85">
        <f>DAY(EOMONTH(EDATE(InceptionDate,240-1),0))</f>
        <v/>
      </c>
      <c r="IK25" s="85">
        <f>DAY(EOMONTH(EDATE(InceptionDate,241-1),0))</f>
        <v/>
      </c>
      <c r="IL25" s="85">
        <f>DAY(EOMONTH(EDATE(InceptionDate,242-1),0))</f>
        <v/>
      </c>
      <c r="IM25" s="85">
        <f>DAY(EOMONTH(EDATE(InceptionDate,243-1),0))</f>
        <v/>
      </c>
      <c r="IN25" s="85">
        <f>DAY(EOMONTH(EDATE(InceptionDate,244-1),0))</f>
        <v/>
      </c>
      <c r="IO25" s="85">
        <f>DAY(EOMONTH(EDATE(InceptionDate,245-1),0))</f>
        <v/>
      </c>
      <c r="IP25" s="85">
        <f>DAY(EOMONTH(EDATE(InceptionDate,246-1),0))</f>
        <v/>
      </c>
      <c r="IQ25" s="85">
        <f>DAY(EOMONTH(EDATE(InceptionDate,247-1),0))</f>
        <v/>
      </c>
      <c r="IR25" s="85">
        <f>DAY(EOMONTH(EDATE(InceptionDate,248-1),0))</f>
        <v/>
      </c>
      <c r="IS25" s="85">
        <f>DAY(EOMONTH(EDATE(InceptionDate,249-1),0))</f>
        <v/>
      </c>
      <c r="IT25" s="85">
        <f>DAY(EOMONTH(EDATE(InceptionDate,250-1),0))</f>
        <v/>
      </c>
      <c r="IU25" s="85">
        <f>DAY(EOMONTH(EDATE(InceptionDate,251-1),0))</f>
        <v/>
      </c>
      <c r="IV25" s="85">
        <f>DAY(EOMONTH(EDATE(InceptionDate,252-1),0))</f>
        <v/>
      </c>
      <c r="IW25" s="85">
        <f>DAY(EOMONTH(EDATE(InceptionDate,253-1),0))</f>
        <v/>
      </c>
      <c r="IX25" s="85">
        <f>DAY(EOMONTH(EDATE(InceptionDate,254-1),0))</f>
        <v/>
      </c>
      <c r="IY25" s="85">
        <f>DAY(EOMONTH(EDATE(InceptionDate,255-1),0))</f>
        <v/>
      </c>
      <c r="IZ25" s="85">
        <f>DAY(EOMONTH(EDATE(InceptionDate,256-1),0))</f>
        <v/>
      </c>
      <c r="JA25" s="85">
        <f>DAY(EOMONTH(EDATE(InceptionDate,257-1),0))</f>
        <v/>
      </c>
      <c r="JB25" s="85">
        <f>DAY(EOMONTH(EDATE(InceptionDate,258-1),0))</f>
        <v/>
      </c>
      <c r="JC25" s="85">
        <f>DAY(EOMONTH(EDATE(InceptionDate,259-1),0))</f>
        <v/>
      </c>
      <c r="JD25" s="85">
        <f>DAY(EOMONTH(EDATE(InceptionDate,260-1),0))</f>
        <v/>
      </c>
      <c r="JE25" s="85">
        <f>DAY(EOMONTH(EDATE(InceptionDate,261-1),0))</f>
        <v/>
      </c>
      <c r="JF25" s="85">
        <f>DAY(EOMONTH(EDATE(InceptionDate,262-1),0))</f>
        <v/>
      </c>
      <c r="JG25" s="85">
        <f>DAY(EOMONTH(EDATE(InceptionDate,263-1),0))</f>
        <v/>
      </c>
      <c r="JH25" s="85">
        <f>DAY(EOMONTH(EDATE(InceptionDate,264-1),0))</f>
        <v/>
      </c>
      <c r="JI25" s="85">
        <f>DAY(EOMONTH(EDATE(InceptionDate,265-1),0))</f>
        <v/>
      </c>
      <c r="JJ25" s="85">
        <f>DAY(EOMONTH(EDATE(InceptionDate,266-1),0))</f>
        <v/>
      </c>
      <c r="JK25" s="85">
        <f>DAY(EOMONTH(EDATE(InceptionDate,267-1),0))</f>
        <v/>
      </c>
      <c r="JL25" s="85">
        <f>DAY(EOMONTH(EDATE(InceptionDate,268-1),0))</f>
        <v/>
      </c>
      <c r="JM25" s="85">
        <f>DAY(EOMONTH(EDATE(InceptionDate,269-1),0))</f>
        <v/>
      </c>
      <c r="JN25" s="85">
        <f>DAY(EOMONTH(EDATE(InceptionDate,270-1),0))</f>
        <v/>
      </c>
      <c r="JO25" s="85">
        <f>DAY(EOMONTH(EDATE(InceptionDate,271-1),0))</f>
        <v/>
      </c>
      <c r="JP25" s="85">
        <f>DAY(EOMONTH(EDATE(InceptionDate,272-1),0))</f>
        <v/>
      </c>
      <c r="JQ25" s="85">
        <f>DAY(EOMONTH(EDATE(InceptionDate,273-1),0))</f>
        <v/>
      </c>
      <c r="JR25" s="85">
        <f>DAY(EOMONTH(EDATE(InceptionDate,274-1),0))</f>
        <v/>
      </c>
      <c r="JS25" s="85">
        <f>DAY(EOMONTH(EDATE(InceptionDate,275-1),0))</f>
        <v/>
      </c>
      <c r="JT25" s="85">
        <f>DAY(EOMONTH(EDATE(InceptionDate,276-1),0))</f>
        <v/>
      </c>
      <c r="JU25" s="85">
        <f>DAY(EOMONTH(EDATE(InceptionDate,277-1),0))</f>
        <v/>
      </c>
      <c r="JV25" s="85">
        <f>DAY(EOMONTH(EDATE(InceptionDate,278-1),0))</f>
        <v/>
      </c>
      <c r="JW25" s="85">
        <f>DAY(EOMONTH(EDATE(InceptionDate,279-1),0))</f>
        <v/>
      </c>
      <c r="JX25" s="85">
        <f>DAY(EOMONTH(EDATE(InceptionDate,280-1),0))</f>
        <v/>
      </c>
      <c r="JY25" s="85">
        <f>DAY(EOMONTH(EDATE(InceptionDate,281-1),0))</f>
        <v/>
      </c>
      <c r="JZ25" s="85">
        <f>DAY(EOMONTH(EDATE(InceptionDate,282-1),0))</f>
        <v/>
      </c>
      <c r="KA25" s="85">
        <f>DAY(EOMONTH(EDATE(InceptionDate,283-1),0))</f>
        <v/>
      </c>
      <c r="KB25" s="85">
        <f>DAY(EOMONTH(EDATE(InceptionDate,284-1),0))</f>
        <v/>
      </c>
      <c r="KC25" s="85">
        <f>DAY(EOMONTH(EDATE(InceptionDate,285-1),0))</f>
        <v/>
      </c>
      <c r="KD25" s="85">
        <f>DAY(EOMONTH(EDATE(InceptionDate,286-1),0))</f>
        <v/>
      </c>
      <c r="KE25" s="85">
        <f>DAY(EOMONTH(EDATE(InceptionDate,287-1),0))</f>
        <v/>
      </c>
      <c r="KF25" s="85">
        <f>DAY(EOMONTH(EDATE(InceptionDate,288-1),0))</f>
        <v/>
      </c>
      <c r="KG25" s="85">
        <f>DAY(EOMONTH(EDATE(InceptionDate,289-1),0))</f>
        <v/>
      </c>
      <c r="KH25" s="85">
        <f>DAY(EOMONTH(EDATE(InceptionDate,290-1),0))</f>
        <v/>
      </c>
      <c r="KI25" s="85">
        <f>DAY(EOMONTH(EDATE(InceptionDate,291-1),0))</f>
        <v/>
      </c>
      <c r="KJ25" s="85">
        <f>DAY(EOMONTH(EDATE(InceptionDate,292-1),0))</f>
        <v/>
      </c>
      <c r="KK25" s="85">
        <f>DAY(EOMONTH(EDATE(InceptionDate,293-1),0))</f>
        <v/>
      </c>
      <c r="KL25" s="85">
        <f>DAY(EOMONTH(EDATE(InceptionDate,294-1),0))</f>
        <v/>
      </c>
      <c r="KM25" s="85">
        <f>DAY(EOMONTH(EDATE(InceptionDate,295-1),0))</f>
        <v/>
      </c>
      <c r="KN25" s="85">
        <f>DAY(EOMONTH(EDATE(InceptionDate,296-1),0))</f>
        <v/>
      </c>
      <c r="KO25" s="85">
        <f>DAY(EOMONTH(EDATE(InceptionDate,297-1),0))</f>
        <v/>
      </c>
      <c r="KP25" s="85">
        <f>DAY(EOMONTH(EDATE(InceptionDate,298-1),0))</f>
        <v/>
      </c>
      <c r="KQ25" s="85">
        <f>DAY(EOMONTH(EDATE(InceptionDate,299-1),0))</f>
        <v/>
      </c>
      <c r="KR25" s="85">
        <f>DAY(EOMONTH(EDATE(InceptionDate,300-1),0))</f>
        <v/>
      </c>
      <c r="KS25" s="85">
        <f>DAY(EOMONTH(EDATE(InceptionDate,301-1),0))</f>
        <v/>
      </c>
      <c r="KT25" s="85">
        <f>DAY(EOMONTH(EDATE(InceptionDate,302-1),0))</f>
        <v/>
      </c>
      <c r="KU25" s="85">
        <f>DAY(EOMONTH(EDATE(InceptionDate,303-1),0))</f>
        <v/>
      </c>
      <c r="KV25" s="85">
        <f>DAY(EOMONTH(EDATE(InceptionDate,304-1),0))</f>
        <v/>
      </c>
      <c r="KW25" s="85">
        <f>DAY(EOMONTH(EDATE(InceptionDate,305-1),0))</f>
        <v/>
      </c>
      <c r="KX25" s="85">
        <f>DAY(EOMONTH(EDATE(InceptionDate,306-1),0))</f>
        <v/>
      </c>
      <c r="KY25" s="85">
        <f>DAY(EOMONTH(EDATE(InceptionDate,307-1),0))</f>
        <v/>
      </c>
      <c r="KZ25" s="85">
        <f>DAY(EOMONTH(EDATE(InceptionDate,308-1),0))</f>
        <v/>
      </c>
      <c r="LA25" s="85">
        <f>DAY(EOMONTH(EDATE(InceptionDate,309-1),0))</f>
        <v/>
      </c>
      <c r="LB25" s="85">
        <f>DAY(EOMONTH(EDATE(InceptionDate,310-1),0))</f>
        <v/>
      </c>
      <c r="LC25" s="85">
        <f>DAY(EOMONTH(EDATE(InceptionDate,311-1),0))</f>
        <v/>
      </c>
      <c r="LD25" s="85">
        <f>DAY(EOMONTH(EDATE(InceptionDate,312-1),0))</f>
        <v/>
      </c>
      <c r="LE25" s="85">
        <f>DAY(EOMONTH(EDATE(InceptionDate,313-1),0))</f>
        <v/>
      </c>
      <c r="LF25" s="85">
        <f>DAY(EOMONTH(EDATE(InceptionDate,314-1),0))</f>
        <v/>
      </c>
      <c r="LG25" s="85">
        <f>DAY(EOMONTH(EDATE(InceptionDate,315-1),0))</f>
        <v/>
      </c>
      <c r="LH25" s="85">
        <f>DAY(EOMONTH(EDATE(InceptionDate,316-1),0))</f>
        <v/>
      </c>
      <c r="LI25" s="85">
        <f>DAY(EOMONTH(EDATE(InceptionDate,317-1),0))</f>
        <v/>
      </c>
      <c r="LJ25" s="85">
        <f>DAY(EOMONTH(EDATE(InceptionDate,318-1),0))</f>
        <v/>
      </c>
      <c r="LK25" s="85">
        <f>DAY(EOMONTH(EDATE(InceptionDate,319-1),0))</f>
        <v/>
      </c>
      <c r="LL25" s="85">
        <f>DAY(EOMONTH(EDATE(InceptionDate,320-1),0))</f>
        <v/>
      </c>
      <c r="LM25" s="85">
        <f>DAY(EOMONTH(EDATE(InceptionDate,321-1),0))</f>
        <v/>
      </c>
      <c r="LN25" s="85">
        <f>DAY(EOMONTH(EDATE(InceptionDate,322-1),0))</f>
        <v/>
      </c>
      <c r="LO25" s="85">
        <f>DAY(EOMONTH(EDATE(InceptionDate,323-1),0))</f>
        <v/>
      </c>
      <c r="LP25" s="85">
        <f>DAY(EOMONTH(EDATE(InceptionDate,324-1),0))</f>
        <v/>
      </c>
      <c r="LQ25" s="85">
        <f>DAY(EOMONTH(EDATE(InceptionDate,325-1),0))</f>
        <v/>
      </c>
      <c r="LR25" s="85">
        <f>DAY(EOMONTH(EDATE(InceptionDate,326-1),0))</f>
        <v/>
      </c>
      <c r="LS25" s="85">
        <f>DAY(EOMONTH(EDATE(InceptionDate,327-1),0))</f>
        <v/>
      </c>
      <c r="LT25" s="85">
        <f>DAY(EOMONTH(EDATE(InceptionDate,328-1),0))</f>
        <v/>
      </c>
      <c r="LU25" s="85">
        <f>DAY(EOMONTH(EDATE(InceptionDate,329-1),0))</f>
        <v/>
      </c>
      <c r="LV25" s="85">
        <f>DAY(EOMONTH(EDATE(InceptionDate,330-1),0))</f>
        <v/>
      </c>
      <c r="LW25" s="85">
        <f>DAY(EOMONTH(EDATE(InceptionDate,331-1),0))</f>
        <v/>
      </c>
      <c r="LX25" s="85">
        <f>DAY(EOMONTH(EDATE(InceptionDate,332-1),0))</f>
        <v/>
      </c>
      <c r="LY25" s="85">
        <f>DAY(EOMONTH(EDATE(InceptionDate,333-1),0))</f>
        <v/>
      </c>
      <c r="LZ25" s="85">
        <f>DAY(EOMONTH(EDATE(InceptionDate,334-1),0))</f>
        <v/>
      </c>
      <c r="MA25" s="85">
        <f>DAY(EOMONTH(EDATE(InceptionDate,335-1),0))</f>
        <v/>
      </c>
      <c r="MB25" s="85">
        <f>DAY(EOMONTH(EDATE(InceptionDate,336-1),0))</f>
        <v/>
      </c>
      <c r="MC25" s="85">
        <f>DAY(EOMONTH(EDATE(InceptionDate,337-1),0))</f>
        <v/>
      </c>
      <c r="MD25" s="85">
        <f>DAY(EOMONTH(EDATE(InceptionDate,338-1),0))</f>
        <v/>
      </c>
      <c r="ME25" s="85">
        <f>DAY(EOMONTH(EDATE(InceptionDate,339-1),0))</f>
        <v/>
      </c>
      <c r="MF25" s="85">
        <f>DAY(EOMONTH(EDATE(InceptionDate,340-1),0))</f>
        <v/>
      </c>
      <c r="MG25" s="85">
        <f>DAY(EOMONTH(EDATE(InceptionDate,341-1),0))</f>
        <v/>
      </c>
      <c r="MH25" s="85">
        <f>DAY(EOMONTH(EDATE(InceptionDate,342-1),0))</f>
        <v/>
      </c>
      <c r="MI25" s="85">
        <f>DAY(EOMONTH(EDATE(InceptionDate,343-1),0))</f>
        <v/>
      </c>
      <c r="MJ25" s="85">
        <f>DAY(EOMONTH(EDATE(InceptionDate,344-1),0))</f>
        <v/>
      </c>
      <c r="MK25" s="85">
        <f>DAY(EOMONTH(EDATE(InceptionDate,345-1),0))</f>
        <v/>
      </c>
      <c r="ML25" s="85">
        <f>DAY(EOMONTH(EDATE(InceptionDate,346-1),0))</f>
        <v/>
      </c>
      <c r="MM25" s="85">
        <f>DAY(EOMONTH(EDATE(InceptionDate,347-1),0))</f>
        <v/>
      </c>
      <c r="MN25" s="85">
        <f>DAY(EOMONTH(EDATE(InceptionDate,348-1),0))</f>
        <v/>
      </c>
      <c r="MO25" s="85">
        <f>DAY(EOMONTH(EDATE(InceptionDate,349-1),0))</f>
        <v/>
      </c>
      <c r="MP25" s="85">
        <f>DAY(EOMONTH(EDATE(InceptionDate,350-1),0))</f>
        <v/>
      </c>
      <c r="MQ25" s="85">
        <f>DAY(EOMONTH(EDATE(InceptionDate,351-1),0))</f>
        <v/>
      </c>
      <c r="MR25" s="85">
        <f>DAY(EOMONTH(EDATE(InceptionDate,352-1),0))</f>
        <v/>
      </c>
      <c r="MS25" s="85">
        <f>DAY(EOMONTH(EDATE(InceptionDate,353-1),0))</f>
        <v/>
      </c>
      <c r="MT25" s="85">
        <f>DAY(EOMONTH(EDATE(InceptionDate,354-1),0))</f>
        <v/>
      </c>
      <c r="MU25" s="85">
        <f>DAY(EOMONTH(EDATE(InceptionDate,355-1),0))</f>
        <v/>
      </c>
      <c r="MV25" s="85">
        <f>DAY(EOMONTH(EDATE(InceptionDate,356-1),0))</f>
        <v/>
      </c>
      <c r="MW25" s="85">
        <f>DAY(EOMONTH(EDATE(InceptionDate,357-1),0))</f>
        <v/>
      </c>
      <c r="MX25" s="85">
        <f>DAY(EOMONTH(EDATE(InceptionDate,358-1),0))</f>
        <v/>
      </c>
      <c r="MY25" s="85">
        <f>DAY(EOMONTH(EDATE(InceptionDate,359-1),0))</f>
        <v/>
      </c>
      <c r="MZ25" s="85">
        <f>DAY(EOMONTH(EDATE(InceptionDate,360-1),0))</f>
        <v/>
      </c>
      <c r="NA25" s="85">
        <f>DAY(EOMONTH(EDATE(InceptionDate,361-1),0))</f>
        <v/>
      </c>
      <c r="NB25" s="85">
        <f>DAY(EOMONTH(EDATE(InceptionDate,362-1),0))</f>
        <v/>
      </c>
      <c r="NC25" s="85">
        <f>DAY(EOMONTH(EDATE(InceptionDate,363-1),0))</f>
        <v/>
      </c>
      <c r="ND25" s="85">
        <f>DAY(EOMONTH(EDATE(InceptionDate,364-1),0))</f>
        <v/>
      </c>
      <c r="NE25" s="85">
        <f>DAY(EOMONTH(EDATE(InceptionDate,365-1),0))</f>
        <v/>
      </c>
      <c r="NF25" s="85">
        <f>DAY(EOMONTH(EDATE(InceptionDate,366-1),0))</f>
        <v/>
      </c>
      <c r="NG25" s="85">
        <f>DAY(EOMONTH(EDATE(InceptionDate,367-1),0))</f>
        <v/>
      </c>
      <c r="NH25" s="85">
        <f>DAY(EOMONTH(EDATE(InceptionDate,368-1),0))</f>
        <v/>
      </c>
      <c r="NI25" s="85">
        <f>DAY(EOMONTH(EDATE(InceptionDate,369-1),0))</f>
        <v/>
      </c>
      <c r="NJ25" s="85">
        <f>DAY(EOMONTH(EDATE(InceptionDate,370-1),0))</f>
        <v/>
      </c>
      <c r="NK25" s="85">
        <f>DAY(EOMONTH(EDATE(InceptionDate,371-1),0))</f>
        <v/>
      </c>
      <c r="NL25" s="85">
        <f>DAY(EOMONTH(EDATE(InceptionDate,372-1),0))</f>
        <v/>
      </c>
    </row>
    <row r="26">
      <c r="B26" s="36" t="inlineStr">
        <is>
          <t>Monthly Interest Rate</t>
        </is>
      </c>
      <c r="D26" s="259" t="n"/>
      <c r="E26" s="260">
        <f>IF(Timeline!E$43=1,IF(PermActual360=1,PermRate*E$25/360,PermRate/12),0)</f>
        <v/>
      </c>
      <c r="F26" s="260">
        <f>IF(Timeline!F$43=1,IF(PermActual360=1,PermRate*F$25/360,PermRate/12),0)</f>
        <v/>
      </c>
      <c r="G26" s="260">
        <f>IF(Timeline!G$43=1,IF(PermActual360=1,PermRate*G$25/360,PermRate/12),0)</f>
        <v/>
      </c>
      <c r="H26" s="260">
        <f>IF(Timeline!H$43=1,IF(PermActual360=1,PermRate*H$25/360,PermRate/12),0)</f>
        <v/>
      </c>
      <c r="I26" s="260">
        <f>IF(Timeline!I$43=1,IF(PermActual360=1,PermRate*I$25/360,PermRate/12),0)</f>
        <v/>
      </c>
      <c r="J26" s="260">
        <f>IF(Timeline!J$43=1,IF(PermActual360=1,PermRate*J$25/360,PermRate/12),0)</f>
        <v/>
      </c>
      <c r="K26" s="260">
        <f>IF(Timeline!K$43=1,IF(PermActual360=1,PermRate*K$25/360,PermRate/12),0)</f>
        <v/>
      </c>
      <c r="L26" s="260">
        <f>IF(Timeline!L$43=1,IF(PermActual360=1,PermRate*L$25/360,PermRate/12),0)</f>
        <v/>
      </c>
      <c r="M26" s="260">
        <f>IF(Timeline!M$43=1,IF(PermActual360=1,PermRate*M$25/360,PermRate/12),0)</f>
        <v/>
      </c>
      <c r="N26" s="260">
        <f>IF(Timeline!N$43=1,IF(PermActual360=1,PermRate*N$25/360,PermRate/12),0)</f>
        <v/>
      </c>
      <c r="O26" s="260">
        <f>IF(Timeline!O$43=1,IF(PermActual360=1,PermRate*O$25/360,PermRate/12),0)</f>
        <v/>
      </c>
      <c r="P26" s="260">
        <f>IF(Timeline!P$43=1,IF(PermActual360=1,PermRate*P$25/360,PermRate/12),0)</f>
        <v/>
      </c>
      <c r="Q26" s="260">
        <f>IF(Timeline!Q$43=1,IF(PermActual360=1,PermRate*Q$25/360,PermRate/12),0)</f>
        <v/>
      </c>
      <c r="R26" s="260">
        <f>IF(Timeline!R$43=1,IF(PermActual360=1,PermRate*R$25/360,PermRate/12),0)</f>
        <v/>
      </c>
      <c r="S26" s="260">
        <f>IF(Timeline!S$43=1,IF(PermActual360=1,PermRate*S$25/360,PermRate/12),0)</f>
        <v/>
      </c>
      <c r="T26" s="260">
        <f>IF(Timeline!T$43=1,IF(PermActual360=1,PermRate*T$25/360,PermRate/12),0)</f>
        <v/>
      </c>
      <c r="U26" s="260">
        <f>IF(Timeline!U$43=1,IF(PermActual360=1,PermRate*U$25/360,PermRate/12),0)</f>
        <v/>
      </c>
      <c r="V26" s="260">
        <f>IF(Timeline!V$43=1,IF(PermActual360=1,PermRate*V$25/360,PermRate/12),0)</f>
        <v/>
      </c>
      <c r="W26" s="260">
        <f>IF(Timeline!W$43=1,IF(PermActual360=1,PermRate*W$25/360,PermRate/12),0)</f>
        <v/>
      </c>
      <c r="X26" s="260">
        <f>IF(Timeline!X$43=1,IF(PermActual360=1,PermRate*X$25/360,PermRate/12),0)</f>
        <v/>
      </c>
      <c r="Y26" s="260">
        <f>IF(Timeline!Y$43=1,IF(PermActual360=1,PermRate*Y$25/360,PermRate/12),0)</f>
        <v/>
      </c>
      <c r="Z26" s="260">
        <f>IF(Timeline!Z$43=1,IF(PermActual360=1,PermRate*Z$25/360,PermRate/12),0)</f>
        <v/>
      </c>
      <c r="AA26" s="260">
        <f>IF(Timeline!AA$43=1,IF(PermActual360=1,PermRate*AA$25/360,PermRate/12),0)</f>
        <v/>
      </c>
      <c r="AB26" s="260">
        <f>IF(Timeline!AB$43=1,IF(PermActual360=1,PermRate*AB$25/360,PermRate/12),0)</f>
        <v/>
      </c>
      <c r="AC26" s="260">
        <f>IF(Timeline!AC$43=1,IF(PermActual360=1,PermRate*AC$25/360,PermRate/12),0)</f>
        <v/>
      </c>
      <c r="AD26" s="260">
        <f>IF(Timeline!AD$43=1,IF(PermActual360=1,PermRate*AD$25/360,PermRate/12),0)</f>
        <v/>
      </c>
      <c r="AE26" s="260">
        <f>IF(Timeline!AE$43=1,IF(PermActual360=1,PermRate*AE$25/360,PermRate/12),0)</f>
        <v/>
      </c>
      <c r="AF26" s="260">
        <f>IF(Timeline!AF$43=1,IF(PermActual360=1,PermRate*AF$25/360,PermRate/12),0)</f>
        <v/>
      </c>
      <c r="AG26" s="260">
        <f>IF(Timeline!AG$43=1,IF(PermActual360=1,PermRate*AG$25/360,PermRate/12),0)</f>
        <v/>
      </c>
      <c r="AH26" s="260">
        <f>IF(Timeline!AH$43=1,IF(PermActual360=1,PermRate*AH$25/360,PermRate/12),0)</f>
        <v/>
      </c>
      <c r="AI26" s="260">
        <f>IF(Timeline!AI$43=1,IF(PermActual360=1,PermRate*AI$25/360,PermRate/12),0)</f>
        <v/>
      </c>
      <c r="AJ26" s="260">
        <f>IF(Timeline!AJ$43=1,IF(PermActual360=1,PermRate*AJ$25/360,PermRate/12),0)</f>
        <v/>
      </c>
      <c r="AK26" s="260">
        <f>IF(Timeline!AK$43=1,IF(PermActual360=1,PermRate*AK$25/360,PermRate/12),0)</f>
        <v/>
      </c>
      <c r="AL26" s="260">
        <f>IF(Timeline!AL$43=1,IF(PermActual360=1,PermRate*AL$25/360,PermRate/12),0)</f>
        <v/>
      </c>
      <c r="AM26" s="260">
        <f>IF(Timeline!AM$43=1,IF(PermActual360=1,PermRate*AM$25/360,PermRate/12),0)</f>
        <v/>
      </c>
      <c r="AN26" s="260">
        <f>IF(Timeline!AN$43=1,IF(PermActual360=1,PermRate*AN$25/360,PermRate/12),0)</f>
        <v/>
      </c>
      <c r="AO26" s="260">
        <f>IF(Timeline!AO$43=1,IF(PermActual360=1,PermRate*AO$25/360,PermRate/12),0)</f>
        <v/>
      </c>
      <c r="AP26" s="260">
        <f>IF(Timeline!AP$43=1,IF(PermActual360=1,PermRate*AP$25/360,PermRate/12),0)</f>
        <v/>
      </c>
      <c r="AQ26" s="260">
        <f>IF(Timeline!AQ$43=1,IF(PermActual360=1,PermRate*AQ$25/360,PermRate/12),0)</f>
        <v/>
      </c>
      <c r="AR26" s="260">
        <f>IF(Timeline!AR$43=1,IF(PermActual360=1,PermRate*AR$25/360,PermRate/12),0)</f>
        <v/>
      </c>
      <c r="AS26" s="260">
        <f>IF(Timeline!AS$43=1,IF(PermActual360=1,PermRate*AS$25/360,PermRate/12),0)</f>
        <v/>
      </c>
      <c r="AT26" s="260">
        <f>IF(Timeline!AT$43=1,IF(PermActual360=1,PermRate*AT$25/360,PermRate/12),0)</f>
        <v/>
      </c>
      <c r="AU26" s="260">
        <f>IF(Timeline!AU$43=1,IF(PermActual360=1,PermRate*AU$25/360,PermRate/12),0)</f>
        <v/>
      </c>
      <c r="AV26" s="260">
        <f>IF(Timeline!AV$43=1,IF(PermActual360=1,PermRate*AV$25/360,PermRate/12),0)</f>
        <v/>
      </c>
      <c r="AW26" s="260">
        <f>IF(Timeline!AW$43=1,IF(PermActual360=1,PermRate*AW$25/360,PermRate/12),0)</f>
        <v/>
      </c>
      <c r="AX26" s="260">
        <f>IF(Timeline!AX$43=1,IF(PermActual360=1,PermRate*AX$25/360,PermRate/12),0)</f>
        <v/>
      </c>
      <c r="AY26" s="260">
        <f>IF(Timeline!AY$43=1,IF(PermActual360=1,PermRate*AY$25/360,PermRate/12),0)</f>
        <v/>
      </c>
      <c r="AZ26" s="260">
        <f>IF(Timeline!AZ$43=1,IF(PermActual360=1,PermRate*AZ$25/360,PermRate/12),0)</f>
        <v/>
      </c>
      <c r="BA26" s="260">
        <f>IF(Timeline!BA$43=1,IF(PermActual360=1,PermRate*BA$25/360,PermRate/12),0)</f>
        <v/>
      </c>
      <c r="BB26" s="260">
        <f>IF(Timeline!BB$43=1,IF(PermActual360=1,PermRate*BB$25/360,PermRate/12),0)</f>
        <v/>
      </c>
      <c r="BC26" s="260">
        <f>IF(Timeline!BC$43=1,IF(PermActual360=1,PermRate*BC$25/360,PermRate/12),0)</f>
        <v/>
      </c>
      <c r="BD26" s="260">
        <f>IF(Timeline!BD$43=1,IF(PermActual360=1,PermRate*BD$25/360,PermRate/12),0)</f>
        <v/>
      </c>
      <c r="BE26" s="260">
        <f>IF(Timeline!BE$43=1,IF(PermActual360=1,PermRate*BE$25/360,PermRate/12),0)</f>
        <v/>
      </c>
      <c r="BF26" s="260">
        <f>IF(Timeline!BF$43=1,IF(PermActual360=1,PermRate*BF$25/360,PermRate/12),0)</f>
        <v/>
      </c>
      <c r="BG26" s="260">
        <f>IF(Timeline!BG$43=1,IF(PermActual360=1,PermRate*BG$25/360,PermRate/12),0)</f>
        <v/>
      </c>
      <c r="BH26" s="260">
        <f>IF(Timeline!BH$43=1,IF(PermActual360=1,PermRate*BH$25/360,PermRate/12),0)</f>
        <v/>
      </c>
      <c r="BI26" s="260">
        <f>IF(Timeline!BI$43=1,IF(PermActual360=1,PermRate*BI$25/360,PermRate/12),0)</f>
        <v/>
      </c>
      <c r="BJ26" s="260">
        <f>IF(Timeline!BJ$43=1,IF(PermActual360=1,PermRate*BJ$25/360,PermRate/12),0)</f>
        <v/>
      </c>
      <c r="BK26" s="260">
        <f>IF(Timeline!BK$43=1,IF(PermActual360=1,PermRate*BK$25/360,PermRate/12),0)</f>
        <v/>
      </c>
      <c r="BL26" s="260">
        <f>IF(Timeline!BL$43=1,IF(PermActual360=1,PermRate*BL$25/360,PermRate/12),0)</f>
        <v/>
      </c>
      <c r="BM26" s="260">
        <f>IF(Timeline!BM$43=1,IF(PermActual360=1,PermRate*BM$25/360,PermRate/12),0)</f>
        <v/>
      </c>
      <c r="BN26" s="260">
        <f>IF(Timeline!BN$43=1,IF(PermActual360=1,PermRate*BN$25/360,PermRate/12),0)</f>
        <v/>
      </c>
      <c r="BO26" s="260">
        <f>IF(Timeline!BO$43=1,IF(PermActual360=1,PermRate*BO$25/360,PermRate/12),0)</f>
        <v/>
      </c>
      <c r="BP26" s="260">
        <f>IF(Timeline!BP$43=1,IF(PermActual360=1,PermRate*BP$25/360,PermRate/12),0)</f>
        <v/>
      </c>
      <c r="BQ26" s="260">
        <f>IF(Timeline!BQ$43=1,IF(PermActual360=1,PermRate*BQ$25/360,PermRate/12),0)</f>
        <v/>
      </c>
      <c r="BR26" s="260">
        <f>IF(Timeline!BR$43=1,IF(PermActual360=1,PermRate*BR$25/360,PermRate/12),0)</f>
        <v/>
      </c>
      <c r="BS26" s="260">
        <f>IF(Timeline!BS$43=1,IF(PermActual360=1,PermRate*BS$25/360,PermRate/12),0)</f>
        <v/>
      </c>
      <c r="BT26" s="260">
        <f>IF(Timeline!BT$43=1,IF(PermActual360=1,PermRate*BT$25/360,PermRate/12),0)</f>
        <v/>
      </c>
      <c r="BU26" s="260">
        <f>IF(Timeline!BU$43=1,IF(PermActual360=1,PermRate*BU$25/360,PermRate/12),0)</f>
        <v/>
      </c>
      <c r="BV26" s="260">
        <f>IF(Timeline!BV$43=1,IF(PermActual360=1,PermRate*BV$25/360,PermRate/12),0)</f>
        <v/>
      </c>
      <c r="BW26" s="260">
        <f>IF(Timeline!BW$43=1,IF(PermActual360=1,PermRate*BW$25/360,PermRate/12),0)</f>
        <v/>
      </c>
      <c r="BX26" s="260">
        <f>IF(Timeline!BX$43=1,IF(PermActual360=1,PermRate*BX$25/360,PermRate/12),0)</f>
        <v/>
      </c>
      <c r="BY26" s="260">
        <f>IF(Timeline!BY$43=1,IF(PermActual360=1,PermRate*BY$25/360,PermRate/12),0)</f>
        <v/>
      </c>
      <c r="BZ26" s="260">
        <f>IF(Timeline!BZ$43=1,IF(PermActual360=1,PermRate*BZ$25/360,PermRate/12),0)</f>
        <v/>
      </c>
      <c r="CA26" s="260">
        <f>IF(Timeline!CA$43=1,IF(PermActual360=1,PermRate*CA$25/360,PermRate/12),0)</f>
        <v/>
      </c>
      <c r="CB26" s="260">
        <f>IF(Timeline!CB$43=1,IF(PermActual360=1,PermRate*CB$25/360,PermRate/12),0)</f>
        <v/>
      </c>
      <c r="CC26" s="260">
        <f>IF(Timeline!CC$43=1,IF(PermActual360=1,PermRate*CC$25/360,PermRate/12),0)</f>
        <v/>
      </c>
      <c r="CD26" s="260">
        <f>IF(Timeline!CD$43=1,IF(PermActual360=1,PermRate*CD$25/360,PermRate/12),0)</f>
        <v/>
      </c>
      <c r="CE26" s="260">
        <f>IF(Timeline!CE$43=1,IF(PermActual360=1,PermRate*CE$25/360,PermRate/12),0)</f>
        <v/>
      </c>
      <c r="CF26" s="260">
        <f>IF(Timeline!CF$43=1,IF(PermActual360=1,PermRate*CF$25/360,PermRate/12),0)</f>
        <v/>
      </c>
      <c r="CG26" s="260">
        <f>IF(Timeline!CG$43=1,IF(PermActual360=1,PermRate*CG$25/360,PermRate/12),0)</f>
        <v/>
      </c>
      <c r="CH26" s="260">
        <f>IF(Timeline!CH$43=1,IF(PermActual360=1,PermRate*CH$25/360,PermRate/12),0)</f>
        <v/>
      </c>
      <c r="CI26" s="260">
        <f>IF(Timeline!CI$43=1,IF(PermActual360=1,PermRate*CI$25/360,PermRate/12),0)</f>
        <v/>
      </c>
      <c r="CJ26" s="260">
        <f>IF(Timeline!CJ$43=1,IF(PermActual360=1,PermRate*CJ$25/360,PermRate/12),0)</f>
        <v/>
      </c>
      <c r="CK26" s="260">
        <f>IF(Timeline!CK$43=1,IF(PermActual360=1,PermRate*CK$25/360,PermRate/12),0)</f>
        <v/>
      </c>
      <c r="CL26" s="260">
        <f>IF(Timeline!CL$43=1,IF(PermActual360=1,PermRate*CL$25/360,PermRate/12),0)</f>
        <v/>
      </c>
      <c r="CM26" s="260">
        <f>IF(Timeline!CM$43=1,IF(PermActual360=1,PermRate*CM$25/360,PermRate/12),0)</f>
        <v/>
      </c>
      <c r="CN26" s="260">
        <f>IF(Timeline!CN$43=1,IF(PermActual360=1,PermRate*CN$25/360,PermRate/12),0)</f>
        <v/>
      </c>
      <c r="CO26" s="260">
        <f>IF(Timeline!CO$43=1,IF(PermActual360=1,PermRate*CO$25/360,PermRate/12),0)</f>
        <v/>
      </c>
      <c r="CP26" s="260">
        <f>IF(Timeline!CP$43=1,IF(PermActual360=1,PermRate*CP$25/360,PermRate/12),0)</f>
        <v/>
      </c>
      <c r="CQ26" s="260">
        <f>IF(Timeline!CQ$43=1,IF(PermActual360=1,PermRate*CQ$25/360,PermRate/12),0)</f>
        <v/>
      </c>
      <c r="CR26" s="260">
        <f>IF(Timeline!CR$43=1,IF(PermActual360=1,PermRate*CR$25/360,PermRate/12),0)</f>
        <v/>
      </c>
      <c r="CS26" s="260">
        <f>IF(Timeline!CS$43=1,IF(PermActual360=1,PermRate*CS$25/360,PermRate/12),0)</f>
        <v/>
      </c>
      <c r="CT26" s="260">
        <f>IF(Timeline!CT$43=1,IF(PermActual360=1,PermRate*CT$25/360,PermRate/12),0)</f>
        <v/>
      </c>
      <c r="CU26" s="260">
        <f>IF(Timeline!CU$43=1,IF(PermActual360=1,PermRate*CU$25/360,PermRate/12),0)</f>
        <v/>
      </c>
      <c r="CV26" s="260">
        <f>IF(Timeline!CV$43=1,IF(PermActual360=1,PermRate*CV$25/360,PermRate/12),0)</f>
        <v/>
      </c>
      <c r="CW26" s="260">
        <f>IF(Timeline!CW$43=1,IF(PermActual360=1,PermRate*CW$25/360,PermRate/12),0)</f>
        <v/>
      </c>
      <c r="CX26" s="260">
        <f>IF(Timeline!CX$43=1,IF(PermActual360=1,PermRate*CX$25/360,PermRate/12),0)</f>
        <v/>
      </c>
      <c r="CY26" s="260">
        <f>IF(Timeline!CY$43=1,IF(PermActual360=1,PermRate*CY$25/360,PermRate/12),0)</f>
        <v/>
      </c>
      <c r="CZ26" s="260">
        <f>IF(Timeline!CZ$43=1,IF(PermActual360=1,PermRate*CZ$25/360,PermRate/12),0)</f>
        <v/>
      </c>
      <c r="DA26" s="260">
        <f>IF(Timeline!DA$43=1,IF(PermActual360=1,PermRate*DA$25/360,PermRate/12),0)</f>
        <v/>
      </c>
      <c r="DB26" s="260">
        <f>IF(Timeline!DB$43=1,IF(PermActual360=1,PermRate*DB$25/360,PermRate/12),0)</f>
        <v/>
      </c>
      <c r="DC26" s="260">
        <f>IF(Timeline!DC$43=1,IF(PermActual360=1,PermRate*DC$25/360,PermRate/12),0)</f>
        <v/>
      </c>
      <c r="DD26" s="260">
        <f>IF(Timeline!DD$43=1,IF(PermActual360=1,PermRate*DD$25/360,PermRate/12),0)</f>
        <v/>
      </c>
      <c r="DE26" s="260">
        <f>IF(Timeline!DE$43=1,IF(PermActual360=1,PermRate*DE$25/360,PermRate/12),0)</f>
        <v/>
      </c>
      <c r="DF26" s="260">
        <f>IF(Timeline!DF$43=1,IF(PermActual360=1,PermRate*DF$25/360,PermRate/12),0)</f>
        <v/>
      </c>
      <c r="DG26" s="260">
        <f>IF(Timeline!DG$43=1,IF(PermActual360=1,PermRate*DG$25/360,PermRate/12),0)</f>
        <v/>
      </c>
      <c r="DH26" s="260">
        <f>IF(Timeline!DH$43=1,IF(PermActual360=1,PermRate*DH$25/360,PermRate/12),0)</f>
        <v/>
      </c>
      <c r="DI26" s="260">
        <f>IF(Timeline!DI$43=1,IF(PermActual360=1,PermRate*DI$25/360,PermRate/12),0)</f>
        <v/>
      </c>
      <c r="DJ26" s="260">
        <f>IF(Timeline!DJ$43=1,IF(PermActual360=1,PermRate*DJ$25/360,PermRate/12),0)</f>
        <v/>
      </c>
      <c r="DK26" s="260">
        <f>IF(Timeline!DK$43=1,IF(PermActual360=1,PermRate*DK$25/360,PermRate/12),0)</f>
        <v/>
      </c>
      <c r="DL26" s="260">
        <f>IF(Timeline!DL$43=1,IF(PermActual360=1,PermRate*DL$25/360,PermRate/12),0)</f>
        <v/>
      </c>
      <c r="DM26" s="260">
        <f>IF(Timeline!DM$43=1,IF(PermActual360=1,PermRate*DM$25/360,PermRate/12),0)</f>
        <v/>
      </c>
      <c r="DN26" s="260">
        <f>IF(Timeline!DN$43=1,IF(PermActual360=1,PermRate*DN$25/360,PermRate/12),0)</f>
        <v/>
      </c>
      <c r="DO26" s="260">
        <f>IF(Timeline!DO$43=1,IF(PermActual360=1,PermRate*DO$25/360,PermRate/12),0)</f>
        <v/>
      </c>
      <c r="DP26" s="260">
        <f>IF(Timeline!DP$43=1,IF(PermActual360=1,PermRate*DP$25/360,PermRate/12),0)</f>
        <v/>
      </c>
      <c r="DQ26" s="260">
        <f>IF(Timeline!DQ$43=1,IF(PermActual360=1,PermRate*DQ$25/360,PermRate/12),0)</f>
        <v/>
      </c>
      <c r="DR26" s="260">
        <f>IF(Timeline!DR$43=1,IF(PermActual360=1,PermRate*DR$25/360,PermRate/12),0)</f>
        <v/>
      </c>
      <c r="DS26" s="260">
        <f>IF(Timeline!DS$43=1,IF(PermActual360=1,PermRate*DS$25/360,PermRate/12),0)</f>
        <v/>
      </c>
      <c r="DT26" s="260">
        <f>IF(Timeline!DT$43=1,IF(PermActual360=1,PermRate*DT$25/360,PermRate/12),0)</f>
        <v/>
      </c>
      <c r="DU26" s="260">
        <f>IF(Timeline!DU$43=1,IF(PermActual360=1,PermRate*DU$25/360,PermRate/12),0)</f>
        <v/>
      </c>
      <c r="DV26" s="260">
        <f>IF(Timeline!DV$43=1,IF(PermActual360=1,PermRate*DV$25/360,PermRate/12),0)</f>
        <v/>
      </c>
      <c r="DW26" s="260">
        <f>IF(Timeline!DW$43=1,IF(PermActual360=1,PermRate*DW$25/360,PermRate/12),0)</f>
        <v/>
      </c>
      <c r="DX26" s="260">
        <f>IF(Timeline!DX$43=1,IF(PermActual360=1,PermRate*DX$25/360,PermRate/12),0)</f>
        <v/>
      </c>
      <c r="DY26" s="260">
        <f>IF(Timeline!DY$43=1,IF(PermActual360=1,PermRate*DY$25/360,PermRate/12),0)</f>
        <v/>
      </c>
      <c r="DZ26" s="260">
        <f>IF(Timeline!DZ$43=1,IF(PermActual360=1,PermRate*DZ$25/360,PermRate/12),0)</f>
        <v/>
      </c>
      <c r="EA26" s="260">
        <f>IF(Timeline!EA$43=1,IF(PermActual360=1,PermRate*EA$25/360,PermRate/12),0)</f>
        <v/>
      </c>
      <c r="EB26" s="260">
        <f>IF(Timeline!EB$43=1,IF(PermActual360=1,PermRate*EB$25/360,PermRate/12),0)</f>
        <v/>
      </c>
      <c r="EC26" s="260">
        <f>IF(Timeline!EC$43=1,IF(PermActual360=1,PermRate*EC$25/360,PermRate/12),0)</f>
        <v/>
      </c>
      <c r="ED26" s="260">
        <f>IF(Timeline!ED$43=1,IF(PermActual360=1,PermRate*ED$25/360,PermRate/12),0)</f>
        <v/>
      </c>
      <c r="EE26" s="260">
        <f>IF(Timeline!EE$43=1,IF(PermActual360=1,PermRate*EE$25/360,PermRate/12),0)</f>
        <v/>
      </c>
      <c r="EF26" s="260">
        <f>IF(Timeline!EF$43=1,IF(PermActual360=1,PermRate*EF$25/360,PermRate/12),0)</f>
        <v/>
      </c>
      <c r="EG26" s="260">
        <f>IF(Timeline!EG$43=1,IF(PermActual360=1,PermRate*EG$25/360,PermRate/12),0)</f>
        <v/>
      </c>
      <c r="EH26" s="260">
        <f>IF(Timeline!EH$43=1,IF(PermActual360=1,PermRate*EH$25/360,PermRate/12),0)</f>
        <v/>
      </c>
      <c r="EI26" s="260">
        <f>IF(Timeline!EI$43=1,IF(PermActual360=1,PermRate*EI$25/360,PermRate/12),0)</f>
        <v/>
      </c>
      <c r="EJ26" s="260">
        <f>IF(Timeline!EJ$43=1,IF(PermActual360=1,PermRate*EJ$25/360,PermRate/12),0)</f>
        <v/>
      </c>
      <c r="EK26" s="260">
        <f>IF(Timeline!EK$43=1,IF(PermActual360=1,PermRate*EK$25/360,PermRate/12),0)</f>
        <v/>
      </c>
      <c r="EL26" s="260">
        <f>IF(Timeline!EL$43=1,IF(PermActual360=1,PermRate*EL$25/360,PermRate/12),0)</f>
        <v/>
      </c>
      <c r="EM26" s="260">
        <f>IF(Timeline!EM$43=1,IF(PermActual360=1,PermRate*EM$25/360,PermRate/12),0)</f>
        <v/>
      </c>
      <c r="EN26" s="260">
        <f>IF(Timeline!EN$43=1,IF(PermActual360=1,PermRate*EN$25/360,PermRate/12),0)</f>
        <v/>
      </c>
      <c r="EO26" s="260">
        <f>IF(Timeline!EO$43=1,IF(PermActual360=1,PermRate*EO$25/360,PermRate/12),0)</f>
        <v/>
      </c>
      <c r="EP26" s="260">
        <f>IF(Timeline!EP$43=1,IF(PermActual360=1,PermRate*EP$25/360,PermRate/12),0)</f>
        <v/>
      </c>
      <c r="EQ26" s="260">
        <f>IF(Timeline!EQ$43=1,IF(PermActual360=1,PermRate*EQ$25/360,PermRate/12),0)</f>
        <v/>
      </c>
      <c r="ER26" s="260">
        <f>IF(Timeline!ER$43=1,IF(PermActual360=1,PermRate*ER$25/360,PermRate/12),0)</f>
        <v/>
      </c>
      <c r="ES26" s="260">
        <f>IF(Timeline!ES$43=1,IF(PermActual360=1,PermRate*ES$25/360,PermRate/12),0)</f>
        <v/>
      </c>
      <c r="ET26" s="260">
        <f>IF(Timeline!ET$43=1,IF(PermActual360=1,PermRate*ET$25/360,PermRate/12),0)</f>
        <v/>
      </c>
      <c r="EU26" s="260">
        <f>IF(Timeline!EU$43=1,IF(PermActual360=1,PermRate*EU$25/360,PermRate/12),0)</f>
        <v/>
      </c>
      <c r="EV26" s="260">
        <f>IF(Timeline!EV$43=1,IF(PermActual360=1,PermRate*EV$25/360,PermRate/12),0)</f>
        <v/>
      </c>
      <c r="EW26" s="260">
        <f>IF(Timeline!EW$43=1,IF(PermActual360=1,PermRate*EW$25/360,PermRate/12),0)</f>
        <v/>
      </c>
      <c r="EX26" s="260">
        <f>IF(Timeline!EX$43=1,IF(PermActual360=1,PermRate*EX$25/360,PermRate/12),0)</f>
        <v/>
      </c>
      <c r="EY26" s="260">
        <f>IF(Timeline!EY$43=1,IF(PermActual360=1,PermRate*EY$25/360,PermRate/12),0)</f>
        <v/>
      </c>
      <c r="EZ26" s="260">
        <f>IF(Timeline!EZ$43=1,IF(PermActual360=1,PermRate*EZ$25/360,PermRate/12),0)</f>
        <v/>
      </c>
      <c r="FA26" s="260">
        <f>IF(Timeline!FA$43=1,IF(PermActual360=1,PermRate*FA$25/360,PermRate/12),0)</f>
        <v/>
      </c>
      <c r="FB26" s="260">
        <f>IF(Timeline!FB$43=1,IF(PermActual360=1,PermRate*FB$25/360,PermRate/12),0)</f>
        <v/>
      </c>
      <c r="FC26" s="260">
        <f>IF(Timeline!FC$43=1,IF(PermActual360=1,PermRate*FC$25/360,PermRate/12),0)</f>
        <v/>
      </c>
      <c r="FD26" s="260">
        <f>IF(Timeline!FD$43=1,IF(PermActual360=1,PermRate*FD$25/360,PermRate/12),0)</f>
        <v/>
      </c>
      <c r="FE26" s="260">
        <f>IF(Timeline!FE$43=1,IF(PermActual360=1,PermRate*FE$25/360,PermRate/12),0)</f>
        <v/>
      </c>
      <c r="FF26" s="260">
        <f>IF(Timeline!FF$43=1,IF(PermActual360=1,PermRate*FF$25/360,PermRate/12),0)</f>
        <v/>
      </c>
      <c r="FG26" s="260">
        <f>IF(Timeline!FG$43=1,IF(PermActual360=1,PermRate*FG$25/360,PermRate/12),0)</f>
        <v/>
      </c>
      <c r="FH26" s="260">
        <f>IF(Timeline!FH$43=1,IF(PermActual360=1,PermRate*FH$25/360,PermRate/12),0)</f>
        <v/>
      </c>
      <c r="FI26" s="260">
        <f>IF(Timeline!FI$43=1,IF(PermActual360=1,PermRate*FI$25/360,PermRate/12),0)</f>
        <v/>
      </c>
      <c r="FJ26" s="260">
        <f>IF(Timeline!FJ$43=1,IF(PermActual360=1,PermRate*FJ$25/360,PermRate/12),0)</f>
        <v/>
      </c>
      <c r="FK26" s="260">
        <f>IF(Timeline!FK$43=1,IF(PermActual360=1,PermRate*FK$25/360,PermRate/12),0)</f>
        <v/>
      </c>
      <c r="FL26" s="260">
        <f>IF(Timeline!FL$43=1,IF(PermActual360=1,PermRate*FL$25/360,PermRate/12),0)</f>
        <v/>
      </c>
      <c r="FM26" s="260">
        <f>IF(Timeline!FM$43=1,IF(PermActual360=1,PermRate*FM$25/360,PermRate/12),0)</f>
        <v/>
      </c>
      <c r="FN26" s="260">
        <f>IF(Timeline!FN$43=1,IF(PermActual360=1,PermRate*FN$25/360,PermRate/12),0)</f>
        <v/>
      </c>
      <c r="FO26" s="260">
        <f>IF(Timeline!FO$43=1,IF(PermActual360=1,PermRate*FO$25/360,PermRate/12),0)</f>
        <v/>
      </c>
      <c r="FP26" s="260">
        <f>IF(Timeline!FP$43=1,IF(PermActual360=1,PermRate*FP$25/360,PermRate/12),0)</f>
        <v/>
      </c>
      <c r="FQ26" s="260">
        <f>IF(Timeline!FQ$43=1,IF(PermActual360=1,PermRate*FQ$25/360,PermRate/12),0)</f>
        <v/>
      </c>
      <c r="FR26" s="260">
        <f>IF(Timeline!FR$43=1,IF(PermActual360=1,PermRate*FR$25/360,PermRate/12),0)</f>
        <v/>
      </c>
      <c r="FS26" s="260">
        <f>IF(Timeline!FS$43=1,IF(PermActual360=1,PermRate*FS$25/360,PermRate/12),0)</f>
        <v/>
      </c>
      <c r="FT26" s="260">
        <f>IF(Timeline!FT$43=1,IF(PermActual360=1,PermRate*FT$25/360,PermRate/12),0)</f>
        <v/>
      </c>
      <c r="FU26" s="260">
        <f>IF(Timeline!FU$43=1,IF(PermActual360=1,PermRate*FU$25/360,PermRate/12),0)</f>
        <v/>
      </c>
      <c r="FV26" s="260">
        <f>IF(Timeline!FV$43=1,IF(PermActual360=1,PermRate*FV$25/360,PermRate/12),0)</f>
        <v/>
      </c>
      <c r="FW26" s="260">
        <f>IF(Timeline!FW$43=1,IF(PermActual360=1,PermRate*FW$25/360,PermRate/12),0)</f>
        <v/>
      </c>
      <c r="FX26" s="260">
        <f>IF(Timeline!FX$43=1,IF(PermActual360=1,PermRate*FX$25/360,PermRate/12),0)</f>
        <v/>
      </c>
      <c r="FY26" s="260">
        <f>IF(Timeline!FY$43=1,IF(PermActual360=1,PermRate*FY$25/360,PermRate/12),0)</f>
        <v/>
      </c>
      <c r="FZ26" s="260">
        <f>IF(Timeline!FZ$43=1,IF(PermActual360=1,PermRate*FZ$25/360,PermRate/12),0)</f>
        <v/>
      </c>
      <c r="GA26" s="260">
        <f>IF(Timeline!GA$43=1,IF(PermActual360=1,PermRate*GA$25/360,PermRate/12),0)</f>
        <v/>
      </c>
      <c r="GB26" s="260">
        <f>IF(Timeline!GB$43=1,IF(PermActual360=1,PermRate*GB$25/360,PermRate/12),0)</f>
        <v/>
      </c>
      <c r="GC26" s="260">
        <f>IF(Timeline!GC$43=1,IF(PermActual360=1,PermRate*GC$25/360,PermRate/12),0)</f>
        <v/>
      </c>
      <c r="GD26" s="260">
        <f>IF(Timeline!GD$43=1,IF(PermActual360=1,PermRate*GD$25/360,PermRate/12),0)</f>
        <v/>
      </c>
      <c r="GE26" s="260">
        <f>IF(Timeline!GE$43=1,IF(PermActual360=1,PermRate*GE$25/360,PermRate/12),0)</f>
        <v/>
      </c>
      <c r="GF26" s="260">
        <f>IF(Timeline!GF$43=1,IF(PermActual360=1,PermRate*GF$25/360,PermRate/12),0)</f>
        <v/>
      </c>
      <c r="GG26" s="260">
        <f>IF(Timeline!GG$43=1,IF(PermActual360=1,PermRate*GG$25/360,PermRate/12),0)</f>
        <v/>
      </c>
      <c r="GH26" s="260">
        <f>IF(Timeline!GH$43=1,IF(PermActual360=1,PermRate*GH$25/360,PermRate/12),0)</f>
        <v/>
      </c>
      <c r="GI26" s="260">
        <f>IF(Timeline!GI$43=1,IF(PermActual360=1,PermRate*GI$25/360,PermRate/12),0)</f>
        <v/>
      </c>
      <c r="GJ26" s="260">
        <f>IF(Timeline!GJ$43=1,IF(PermActual360=1,PermRate*GJ$25/360,PermRate/12),0)</f>
        <v/>
      </c>
      <c r="GK26" s="260">
        <f>IF(Timeline!GK$43=1,IF(PermActual360=1,PermRate*GK$25/360,PermRate/12),0)</f>
        <v/>
      </c>
      <c r="GL26" s="260">
        <f>IF(Timeline!GL$43=1,IF(PermActual360=1,PermRate*GL$25/360,PermRate/12),0)</f>
        <v/>
      </c>
      <c r="GM26" s="260">
        <f>IF(Timeline!GM$43=1,IF(PermActual360=1,PermRate*GM$25/360,PermRate/12),0)</f>
        <v/>
      </c>
      <c r="GN26" s="260">
        <f>IF(Timeline!GN$43=1,IF(PermActual360=1,PermRate*GN$25/360,PermRate/12),0)</f>
        <v/>
      </c>
      <c r="GO26" s="260">
        <f>IF(Timeline!GO$43=1,IF(PermActual360=1,PermRate*GO$25/360,PermRate/12),0)</f>
        <v/>
      </c>
      <c r="GP26" s="260">
        <f>IF(Timeline!GP$43=1,IF(PermActual360=1,PermRate*GP$25/360,PermRate/12),0)</f>
        <v/>
      </c>
      <c r="GQ26" s="260">
        <f>IF(Timeline!GQ$43=1,IF(PermActual360=1,PermRate*GQ$25/360,PermRate/12),0)</f>
        <v/>
      </c>
      <c r="GR26" s="260">
        <f>IF(Timeline!GR$43=1,IF(PermActual360=1,PermRate*GR$25/360,PermRate/12),0)</f>
        <v/>
      </c>
      <c r="GS26" s="260">
        <f>IF(Timeline!GS$43=1,IF(PermActual360=1,PermRate*GS$25/360,PermRate/12),0)</f>
        <v/>
      </c>
      <c r="GT26" s="260">
        <f>IF(Timeline!GT$43=1,IF(PermActual360=1,PermRate*GT$25/360,PermRate/12),0)</f>
        <v/>
      </c>
      <c r="GU26" s="260">
        <f>IF(Timeline!GU$43=1,IF(PermActual360=1,PermRate*GU$25/360,PermRate/12),0)</f>
        <v/>
      </c>
      <c r="GV26" s="260">
        <f>IF(Timeline!GV$43=1,IF(PermActual360=1,PermRate*GV$25/360,PermRate/12),0)</f>
        <v/>
      </c>
      <c r="GW26" s="260">
        <f>IF(Timeline!GW$43=1,IF(PermActual360=1,PermRate*GW$25/360,PermRate/12),0)</f>
        <v/>
      </c>
      <c r="GX26" s="260">
        <f>IF(Timeline!GX$43=1,IF(PermActual360=1,PermRate*GX$25/360,PermRate/12),0)</f>
        <v/>
      </c>
      <c r="GY26" s="260">
        <f>IF(Timeline!GY$43=1,IF(PermActual360=1,PermRate*GY$25/360,PermRate/12),0)</f>
        <v/>
      </c>
      <c r="GZ26" s="260">
        <f>IF(Timeline!GZ$43=1,IF(PermActual360=1,PermRate*GZ$25/360,PermRate/12),0)</f>
        <v/>
      </c>
      <c r="HA26" s="260">
        <f>IF(Timeline!HA$43=1,IF(PermActual360=1,PermRate*HA$25/360,PermRate/12),0)</f>
        <v/>
      </c>
      <c r="HB26" s="260">
        <f>IF(Timeline!HB$43=1,IF(PermActual360=1,PermRate*HB$25/360,PermRate/12),0)</f>
        <v/>
      </c>
      <c r="HC26" s="260">
        <f>IF(Timeline!HC$43=1,IF(PermActual360=1,PermRate*HC$25/360,PermRate/12),0)</f>
        <v/>
      </c>
      <c r="HD26" s="260">
        <f>IF(Timeline!HD$43=1,IF(PermActual360=1,PermRate*HD$25/360,PermRate/12),0)</f>
        <v/>
      </c>
      <c r="HE26" s="260">
        <f>IF(Timeline!HE$43=1,IF(PermActual360=1,PermRate*HE$25/360,PermRate/12),0)</f>
        <v/>
      </c>
      <c r="HF26" s="260">
        <f>IF(Timeline!HF$43=1,IF(PermActual360=1,PermRate*HF$25/360,PermRate/12),0)</f>
        <v/>
      </c>
      <c r="HG26" s="260">
        <f>IF(Timeline!HG$43=1,IF(PermActual360=1,PermRate*HG$25/360,PermRate/12),0)</f>
        <v/>
      </c>
      <c r="HH26" s="260">
        <f>IF(Timeline!HH$43=1,IF(PermActual360=1,PermRate*HH$25/360,PermRate/12),0)</f>
        <v/>
      </c>
      <c r="HI26" s="260">
        <f>IF(Timeline!HI$43=1,IF(PermActual360=1,PermRate*HI$25/360,PermRate/12),0)</f>
        <v/>
      </c>
      <c r="HJ26" s="260">
        <f>IF(Timeline!HJ$43=1,IF(PermActual360=1,PermRate*HJ$25/360,PermRate/12),0)</f>
        <v/>
      </c>
      <c r="HK26" s="260">
        <f>IF(Timeline!HK$43=1,IF(PermActual360=1,PermRate*HK$25/360,PermRate/12),0)</f>
        <v/>
      </c>
      <c r="HL26" s="260">
        <f>IF(Timeline!HL$43=1,IF(PermActual360=1,PermRate*HL$25/360,PermRate/12),0)</f>
        <v/>
      </c>
      <c r="HM26" s="260">
        <f>IF(Timeline!HM$43=1,IF(PermActual360=1,PermRate*HM$25/360,PermRate/12),0)</f>
        <v/>
      </c>
      <c r="HN26" s="260">
        <f>IF(Timeline!HN$43=1,IF(PermActual360=1,PermRate*HN$25/360,PermRate/12),0)</f>
        <v/>
      </c>
      <c r="HO26" s="260">
        <f>IF(Timeline!HO$43=1,IF(PermActual360=1,PermRate*HO$25/360,PermRate/12),0)</f>
        <v/>
      </c>
      <c r="HP26" s="260">
        <f>IF(Timeline!HP$43=1,IF(PermActual360=1,PermRate*HP$25/360,PermRate/12),0)</f>
        <v/>
      </c>
      <c r="HQ26" s="260">
        <f>IF(Timeline!HQ$43=1,IF(PermActual360=1,PermRate*HQ$25/360,PermRate/12),0)</f>
        <v/>
      </c>
      <c r="HR26" s="260">
        <f>IF(Timeline!HR$43=1,IF(PermActual360=1,PermRate*HR$25/360,PermRate/12),0)</f>
        <v/>
      </c>
      <c r="HS26" s="260">
        <f>IF(Timeline!HS$43=1,IF(PermActual360=1,PermRate*HS$25/360,PermRate/12),0)</f>
        <v/>
      </c>
      <c r="HT26" s="260">
        <f>IF(Timeline!HT$43=1,IF(PermActual360=1,PermRate*HT$25/360,PermRate/12),0)</f>
        <v/>
      </c>
      <c r="HU26" s="260">
        <f>IF(Timeline!HU$43=1,IF(PermActual360=1,PermRate*HU$25/360,PermRate/12),0)</f>
        <v/>
      </c>
      <c r="HV26" s="260">
        <f>IF(Timeline!HV$43=1,IF(PermActual360=1,PermRate*HV$25/360,PermRate/12),0)</f>
        <v/>
      </c>
      <c r="HW26" s="260">
        <f>IF(Timeline!HW$43=1,IF(PermActual360=1,PermRate*HW$25/360,PermRate/12),0)</f>
        <v/>
      </c>
      <c r="HX26" s="260">
        <f>IF(Timeline!HX$43=1,IF(PermActual360=1,PermRate*HX$25/360,PermRate/12),0)</f>
        <v/>
      </c>
      <c r="HY26" s="260">
        <f>IF(Timeline!HY$43=1,IF(PermActual360=1,PermRate*HY$25/360,PermRate/12),0)</f>
        <v/>
      </c>
      <c r="HZ26" s="260">
        <f>IF(Timeline!HZ$43=1,IF(PermActual360=1,PermRate*HZ$25/360,PermRate/12),0)</f>
        <v/>
      </c>
      <c r="IA26" s="260">
        <f>IF(Timeline!IA$43=1,IF(PermActual360=1,PermRate*IA$25/360,PermRate/12),0)</f>
        <v/>
      </c>
      <c r="IB26" s="260">
        <f>IF(Timeline!IB$43=1,IF(PermActual360=1,PermRate*IB$25/360,PermRate/12),0)</f>
        <v/>
      </c>
      <c r="IC26" s="260">
        <f>IF(Timeline!IC$43=1,IF(PermActual360=1,PermRate*IC$25/360,PermRate/12),0)</f>
        <v/>
      </c>
      <c r="ID26" s="260">
        <f>IF(Timeline!ID$43=1,IF(PermActual360=1,PermRate*ID$25/360,PermRate/12),0)</f>
        <v/>
      </c>
      <c r="IE26" s="260">
        <f>IF(Timeline!IE$43=1,IF(PermActual360=1,PermRate*IE$25/360,PermRate/12),0)</f>
        <v/>
      </c>
      <c r="IF26" s="260">
        <f>IF(Timeline!IF$43=1,IF(PermActual360=1,PermRate*IF$25/360,PermRate/12),0)</f>
        <v/>
      </c>
      <c r="IG26" s="260">
        <f>IF(Timeline!IG$43=1,IF(PermActual360=1,PermRate*IG$25/360,PermRate/12),0)</f>
        <v/>
      </c>
      <c r="IH26" s="260">
        <f>IF(Timeline!IH$43=1,IF(PermActual360=1,PermRate*IH$25/360,PermRate/12),0)</f>
        <v/>
      </c>
      <c r="II26" s="260">
        <f>IF(Timeline!II$43=1,IF(PermActual360=1,PermRate*II$25/360,PermRate/12),0)</f>
        <v/>
      </c>
      <c r="IJ26" s="260">
        <f>IF(Timeline!IJ$43=1,IF(PermActual360=1,PermRate*IJ$25/360,PermRate/12),0)</f>
        <v/>
      </c>
      <c r="IK26" s="260">
        <f>IF(Timeline!IK$43=1,IF(PermActual360=1,PermRate*IK$25/360,PermRate/12),0)</f>
        <v/>
      </c>
      <c r="IL26" s="260">
        <f>IF(Timeline!IL$43=1,IF(PermActual360=1,PermRate*IL$25/360,PermRate/12),0)</f>
        <v/>
      </c>
      <c r="IM26" s="260">
        <f>IF(Timeline!IM$43=1,IF(PermActual360=1,PermRate*IM$25/360,PermRate/12),0)</f>
        <v/>
      </c>
      <c r="IN26" s="260">
        <f>IF(Timeline!IN$43=1,IF(PermActual360=1,PermRate*IN$25/360,PermRate/12),0)</f>
        <v/>
      </c>
      <c r="IO26" s="260">
        <f>IF(Timeline!IO$43=1,IF(PermActual360=1,PermRate*IO$25/360,PermRate/12),0)</f>
        <v/>
      </c>
      <c r="IP26" s="260">
        <f>IF(Timeline!IP$43=1,IF(PermActual360=1,PermRate*IP$25/360,PermRate/12),0)</f>
        <v/>
      </c>
      <c r="IQ26" s="260">
        <f>IF(Timeline!IQ$43=1,IF(PermActual360=1,PermRate*IQ$25/360,PermRate/12),0)</f>
        <v/>
      </c>
      <c r="IR26" s="260">
        <f>IF(Timeline!IR$43=1,IF(PermActual360=1,PermRate*IR$25/360,PermRate/12),0)</f>
        <v/>
      </c>
      <c r="IS26" s="260">
        <f>IF(Timeline!IS$43=1,IF(PermActual360=1,PermRate*IS$25/360,PermRate/12),0)</f>
        <v/>
      </c>
      <c r="IT26" s="260">
        <f>IF(Timeline!IT$43=1,IF(PermActual360=1,PermRate*IT$25/360,PermRate/12),0)</f>
        <v/>
      </c>
      <c r="IU26" s="260">
        <f>IF(Timeline!IU$43=1,IF(PermActual360=1,PermRate*IU$25/360,PermRate/12),0)</f>
        <v/>
      </c>
      <c r="IV26" s="260">
        <f>IF(Timeline!IV$43=1,IF(PermActual360=1,PermRate*IV$25/360,PermRate/12),0)</f>
        <v/>
      </c>
      <c r="IW26" s="260">
        <f>IF(Timeline!IW$43=1,IF(PermActual360=1,PermRate*IW$25/360,PermRate/12),0)</f>
        <v/>
      </c>
      <c r="IX26" s="260">
        <f>IF(Timeline!IX$43=1,IF(PermActual360=1,PermRate*IX$25/360,PermRate/12),0)</f>
        <v/>
      </c>
      <c r="IY26" s="260">
        <f>IF(Timeline!IY$43=1,IF(PermActual360=1,PermRate*IY$25/360,PermRate/12),0)</f>
        <v/>
      </c>
      <c r="IZ26" s="260">
        <f>IF(Timeline!IZ$43=1,IF(PermActual360=1,PermRate*IZ$25/360,PermRate/12),0)</f>
        <v/>
      </c>
      <c r="JA26" s="260">
        <f>IF(Timeline!JA$43=1,IF(PermActual360=1,PermRate*JA$25/360,PermRate/12),0)</f>
        <v/>
      </c>
      <c r="JB26" s="260">
        <f>IF(Timeline!JB$43=1,IF(PermActual360=1,PermRate*JB$25/360,PermRate/12),0)</f>
        <v/>
      </c>
      <c r="JC26" s="260">
        <f>IF(Timeline!JC$43=1,IF(PermActual360=1,PermRate*JC$25/360,PermRate/12),0)</f>
        <v/>
      </c>
      <c r="JD26" s="260">
        <f>IF(Timeline!JD$43=1,IF(PermActual360=1,PermRate*JD$25/360,PermRate/12),0)</f>
        <v/>
      </c>
      <c r="JE26" s="260">
        <f>IF(Timeline!JE$43=1,IF(PermActual360=1,PermRate*JE$25/360,PermRate/12),0)</f>
        <v/>
      </c>
      <c r="JF26" s="260">
        <f>IF(Timeline!JF$43=1,IF(PermActual360=1,PermRate*JF$25/360,PermRate/12),0)</f>
        <v/>
      </c>
      <c r="JG26" s="260">
        <f>IF(Timeline!JG$43=1,IF(PermActual360=1,PermRate*JG$25/360,PermRate/12),0)</f>
        <v/>
      </c>
      <c r="JH26" s="260">
        <f>IF(Timeline!JH$43=1,IF(PermActual360=1,PermRate*JH$25/360,PermRate/12),0)</f>
        <v/>
      </c>
      <c r="JI26" s="260">
        <f>IF(Timeline!JI$43=1,IF(PermActual360=1,PermRate*JI$25/360,PermRate/12),0)</f>
        <v/>
      </c>
      <c r="JJ26" s="260">
        <f>IF(Timeline!JJ$43=1,IF(PermActual360=1,PermRate*JJ$25/360,PermRate/12),0)</f>
        <v/>
      </c>
      <c r="JK26" s="260">
        <f>IF(Timeline!JK$43=1,IF(PermActual360=1,PermRate*JK$25/360,PermRate/12),0)</f>
        <v/>
      </c>
      <c r="JL26" s="260">
        <f>IF(Timeline!JL$43=1,IF(PermActual360=1,PermRate*JL$25/360,PermRate/12),0)</f>
        <v/>
      </c>
      <c r="JM26" s="260">
        <f>IF(Timeline!JM$43=1,IF(PermActual360=1,PermRate*JM$25/360,PermRate/12),0)</f>
        <v/>
      </c>
      <c r="JN26" s="260">
        <f>IF(Timeline!JN$43=1,IF(PermActual360=1,PermRate*JN$25/360,PermRate/12),0)</f>
        <v/>
      </c>
      <c r="JO26" s="260">
        <f>IF(Timeline!JO$43=1,IF(PermActual360=1,PermRate*JO$25/360,PermRate/12),0)</f>
        <v/>
      </c>
      <c r="JP26" s="260">
        <f>IF(Timeline!JP$43=1,IF(PermActual360=1,PermRate*JP$25/360,PermRate/12),0)</f>
        <v/>
      </c>
      <c r="JQ26" s="260">
        <f>IF(Timeline!JQ$43=1,IF(PermActual360=1,PermRate*JQ$25/360,PermRate/12),0)</f>
        <v/>
      </c>
      <c r="JR26" s="260">
        <f>IF(Timeline!JR$43=1,IF(PermActual360=1,PermRate*JR$25/360,PermRate/12),0)</f>
        <v/>
      </c>
      <c r="JS26" s="260">
        <f>IF(Timeline!JS$43=1,IF(PermActual360=1,PermRate*JS$25/360,PermRate/12),0)</f>
        <v/>
      </c>
      <c r="JT26" s="260">
        <f>IF(Timeline!JT$43=1,IF(PermActual360=1,PermRate*JT$25/360,PermRate/12),0)</f>
        <v/>
      </c>
      <c r="JU26" s="260">
        <f>IF(Timeline!JU$43=1,IF(PermActual360=1,PermRate*JU$25/360,PermRate/12),0)</f>
        <v/>
      </c>
      <c r="JV26" s="260">
        <f>IF(Timeline!JV$43=1,IF(PermActual360=1,PermRate*JV$25/360,PermRate/12),0)</f>
        <v/>
      </c>
      <c r="JW26" s="260">
        <f>IF(Timeline!JW$43=1,IF(PermActual360=1,PermRate*JW$25/360,PermRate/12),0)</f>
        <v/>
      </c>
      <c r="JX26" s="260">
        <f>IF(Timeline!JX$43=1,IF(PermActual360=1,PermRate*JX$25/360,PermRate/12),0)</f>
        <v/>
      </c>
      <c r="JY26" s="260">
        <f>IF(Timeline!JY$43=1,IF(PermActual360=1,PermRate*JY$25/360,PermRate/12),0)</f>
        <v/>
      </c>
      <c r="JZ26" s="260">
        <f>IF(Timeline!JZ$43=1,IF(PermActual360=1,PermRate*JZ$25/360,PermRate/12),0)</f>
        <v/>
      </c>
      <c r="KA26" s="260">
        <f>IF(Timeline!KA$43=1,IF(PermActual360=1,PermRate*KA$25/360,PermRate/12),0)</f>
        <v/>
      </c>
      <c r="KB26" s="260">
        <f>IF(Timeline!KB$43=1,IF(PermActual360=1,PermRate*KB$25/360,PermRate/12),0)</f>
        <v/>
      </c>
      <c r="KC26" s="260">
        <f>IF(Timeline!KC$43=1,IF(PermActual360=1,PermRate*KC$25/360,PermRate/12),0)</f>
        <v/>
      </c>
      <c r="KD26" s="260">
        <f>IF(Timeline!KD$43=1,IF(PermActual360=1,PermRate*KD$25/360,PermRate/12),0)</f>
        <v/>
      </c>
      <c r="KE26" s="260">
        <f>IF(Timeline!KE$43=1,IF(PermActual360=1,PermRate*KE$25/360,PermRate/12),0)</f>
        <v/>
      </c>
      <c r="KF26" s="260">
        <f>IF(Timeline!KF$43=1,IF(PermActual360=1,PermRate*KF$25/360,PermRate/12),0)</f>
        <v/>
      </c>
      <c r="KG26" s="260">
        <f>IF(Timeline!KG$43=1,IF(PermActual360=1,PermRate*KG$25/360,PermRate/12),0)</f>
        <v/>
      </c>
      <c r="KH26" s="260">
        <f>IF(Timeline!KH$43=1,IF(PermActual360=1,PermRate*KH$25/360,PermRate/12),0)</f>
        <v/>
      </c>
      <c r="KI26" s="260">
        <f>IF(Timeline!KI$43=1,IF(PermActual360=1,PermRate*KI$25/360,PermRate/12),0)</f>
        <v/>
      </c>
      <c r="KJ26" s="260">
        <f>IF(Timeline!KJ$43=1,IF(PermActual360=1,PermRate*KJ$25/360,PermRate/12),0)</f>
        <v/>
      </c>
      <c r="KK26" s="260">
        <f>IF(Timeline!KK$43=1,IF(PermActual360=1,PermRate*KK$25/360,PermRate/12),0)</f>
        <v/>
      </c>
      <c r="KL26" s="260">
        <f>IF(Timeline!KL$43=1,IF(PermActual360=1,PermRate*KL$25/360,PermRate/12),0)</f>
        <v/>
      </c>
      <c r="KM26" s="260">
        <f>IF(Timeline!KM$43=1,IF(PermActual360=1,PermRate*KM$25/360,PermRate/12),0)</f>
        <v/>
      </c>
      <c r="KN26" s="260">
        <f>IF(Timeline!KN$43=1,IF(PermActual360=1,PermRate*KN$25/360,PermRate/12),0)</f>
        <v/>
      </c>
      <c r="KO26" s="260">
        <f>IF(Timeline!KO$43=1,IF(PermActual360=1,PermRate*KO$25/360,PermRate/12),0)</f>
        <v/>
      </c>
      <c r="KP26" s="260">
        <f>IF(Timeline!KP$43=1,IF(PermActual360=1,PermRate*KP$25/360,PermRate/12),0)</f>
        <v/>
      </c>
      <c r="KQ26" s="260">
        <f>IF(Timeline!KQ$43=1,IF(PermActual360=1,PermRate*KQ$25/360,PermRate/12),0)</f>
        <v/>
      </c>
      <c r="KR26" s="260">
        <f>IF(Timeline!KR$43=1,IF(PermActual360=1,PermRate*KR$25/360,PermRate/12),0)</f>
        <v/>
      </c>
      <c r="KS26" s="260">
        <f>IF(Timeline!KS$43=1,IF(PermActual360=1,PermRate*KS$25/360,PermRate/12),0)</f>
        <v/>
      </c>
      <c r="KT26" s="260">
        <f>IF(Timeline!KT$43=1,IF(PermActual360=1,PermRate*KT$25/360,PermRate/12),0)</f>
        <v/>
      </c>
      <c r="KU26" s="260">
        <f>IF(Timeline!KU$43=1,IF(PermActual360=1,PermRate*KU$25/360,PermRate/12),0)</f>
        <v/>
      </c>
      <c r="KV26" s="260">
        <f>IF(Timeline!KV$43=1,IF(PermActual360=1,PermRate*KV$25/360,PermRate/12),0)</f>
        <v/>
      </c>
      <c r="KW26" s="260">
        <f>IF(Timeline!KW$43=1,IF(PermActual360=1,PermRate*KW$25/360,PermRate/12),0)</f>
        <v/>
      </c>
      <c r="KX26" s="260">
        <f>IF(Timeline!KX$43=1,IF(PermActual360=1,PermRate*KX$25/360,PermRate/12),0)</f>
        <v/>
      </c>
      <c r="KY26" s="260">
        <f>IF(Timeline!KY$43=1,IF(PermActual360=1,PermRate*KY$25/360,PermRate/12),0)</f>
        <v/>
      </c>
      <c r="KZ26" s="260">
        <f>IF(Timeline!KZ$43=1,IF(PermActual360=1,PermRate*KZ$25/360,PermRate/12),0)</f>
        <v/>
      </c>
      <c r="LA26" s="260">
        <f>IF(Timeline!LA$43=1,IF(PermActual360=1,PermRate*LA$25/360,PermRate/12),0)</f>
        <v/>
      </c>
      <c r="LB26" s="260">
        <f>IF(Timeline!LB$43=1,IF(PermActual360=1,PermRate*LB$25/360,PermRate/12),0)</f>
        <v/>
      </c>
      <c r="LC26" s="260">
        <f>IF(Timeline!LC$43=1,IF(PermActual360=1,PermRate*LC$25/360,PermRate/12),0)</f>
        <v/>
      </c>
      <c r="LD26" s="260">
        <f>IF(Timeline!LD$43=1,IF(PermActual360=1,PermRate*LD$25/360,PermRate/12),0)</f>
        <v/>
      </c>
      <c r="LE26" s="260">
        <f>IF(Timeline!LE$43=1,IF(PermActual360=1,PermRate*LE$25/360,PermRate/12),0)</f>
        <v/>
      </c>
      <c r="LF26" s="260">
        <f>IF(Timeline!LF$43=1,IF(PermActual360=1,PermRate*LF$25/360,PermRate/12),0)</f>
        <v/>
      </c>
      <c r="LG26" s="260">
        <f>IF(Timeline!LG$43=1,IF(PermActual360=1,PermRate*LG$25/360,PermRate/12),0)</f>
        <v/>
      </c>
      <c r="LH26" s="260">
        <f>IF(Timeline!LH$43=1,IF(PermActual360=1,PermRate*LH$25/360,PermRate/12),0)</f>
        <v/>
      </c>
      <c r="LI26" s="260">
        <f>IF(Timeline!LI$43=1,IF(PermActual360=1,PermRate*LI$25/360,PermRate/12),0)</f>
        <v/>
      </c>
      <c r="LJ26" s="260">
        <f>IF(Timeline!LJ$43=1,IF(PermActual360=1,PermRate*LJ$25/360,PermRate/12),0)</f>
        <v/>
      </c>
      <c r="LK26" s="260">
        <f>IF(Timeline!LK$43=1,IF(PermActual360=1,PermRate*LK$25/360,PermRate/12),0)</f>
        <v/>
      </c>
      <c r="LL26" s="260">
        <f>IF(Timeline!LL$43=1,IF(PermActual360=1,PermRate*LL$25/360,PermRate/12),0)</f>
        <v/>
      </c>
      <c r="LM26" s="260">
        <f>IF(Timeline!LM$43=1,IF(PermActual360=1,PermRate*LM$25/360,PermRate/12),0)</f>
        <v/>
      </c>
      <c r="LN26" s="260">
        <f>IF(Timeline!LN$43=1,IF(PermActual360=1,PermRate*LN$25/360,PermRate/12),0)</f>
        <v/>
      </c>
      <c r="LO26" s="260">
        <f>IF(Timeline!LO$43=1,IF(PermActual360=1,PermRate*LO$25/360,PermRate/12),0)</f>
        <v/>
      </c>
      <c r="LP26" s="260">
        <f>IF(Timeline!LP$43=1,IF(PermActual360=1,PermRate*LP$25/360,PermRate/12),0)</f>
        <v/>
      </c>
      <c r="LQ26" s="260">
        <f>IF(Timeline!LQ$43=1,IF(PermActual360=1,PermRate*LQ$25/360,PermRate/12),0)</f>
        <v/>
      </c>
      <c r="LR26" s="260">
        <f>IF(Timeline!LR$43=1,IF(PermActual360=1,PermRate*LR$25/360,PermRate/12),0)</f>
        <v/>
      </c>
      <c r="LS26" s="260">
        <f>IF(Timeline!LS$43=1,IF(PermActual360=1,PermRate*LS$25/360,PermRate/12),0)</f>
        <v/>
      </c>
      <c r="LT26" s="260">
        <f>IF(Timeline!LT$43=1,IF(PermActual360=1,PermRate*LT$25/360,PermRate/12),0)</f>
        <v/>
      </c>
      <c r="LU26" s="260">
        <f>IF(Timeline!LU$43=1,IF(PermActual360=1,PermRate*LU$25/360,PermRate/12),0)</f>
        <v/>
      </c>
      <c r="LV26" s="260">
        <f>IF(Timeline!LV$43=1,IF(PermActual360=1,PermRate*LV$25/360,PermRate/12),0)</f>
        <v/>
      </c>
      <c r="LW26" s="260">
        <f>IF(Timeline!LW$43=1,IF(PermActual360=1,PermRate*LW$25/360,PermRate/12),0)</f>
        <v/>
      </c>
      <c r="LX26" s="260">
        <f>IF(Timeline!LX$43=1,IF(PermActual360=1,PermRate*LX$25/360,PermRate/12),0)</f>
        <v/>
      </c>
      <c r="LY26" s="260">
        <f>IF(Timeline!LY$43=1,IF(PermActual360=1,PermRate*LY$25/360,PermRate/12),0)</f>
        <v/>
      </c>
      <c r="LZ26" s="260">
        <f>IF(Timeline!LZ$43=1,IF(PermActual360=1,PermRate*LZ$25/360,PermRate/12),0)</f>
        <v/>
      </c>
      <c r="MA26" s="260">
        <f>IF(Timeline!MA$43=1,IF(PermActual360=1,PermRate*MA$25/360,PermRate/12),0)</f>
        <v/>
      </c>
      <c r="MB26" s="260">
        <f>IF(Timeline!MB$43=1,IF(PermActual360=1,PermRate*MB$25/360,PermRate/12),0)</f>
        <v/>
      </c>
      <c r="MC26" s="260">
        <f>IF(Timeline!MC$43=1,IF(PermActual360=1,PermRate*MC$25/360,PermRate/12),0)</f>
        <v/>
      </c>
      <c r="MD26" s="260">
        <f>IF(Timeline!MD$43=1,IF(PermActual360=1,PermRate*MD$25/360,PermRate/12),0)</f>
        <v/>
      </c>
      <c r="ME26" s="260">
        <f>IF(Timeline!ME$43=1,IF(PermActual360=1,PermRate*ME$25/360,PermRate/12),0)</f>
        <v/>
      </c>
      <c r="MF26" s="260">
        <f>IF(Timeline!MF$43=1,IF(PermActual360=1,PermRate*MF$25/360,PermRate/12),0)</f>
        <v/>
      </c>
      <c r="MG26" s="260">
        <f>IF(Timeline!MG$43=1,IF(PermActual360=1,PermRate*MG$25/360,PermRate/12),0)</f>
        <v/>
      </c>
      <c r="MH26" s="260">
        <f>IF(Timeline!MH$43=1,IF(PermActual360=1,PermRate*MH$25/360,PermRate/12),0)</f>
        <v/>
      </c>
      <c r="MI26" s="260">
        <f>IF(Timeline!MI$43=1,IF(PermActual360=1,PermRate*MI$25/360,PermRate/12),0)</f>
        <v/>
      </c>
      <c r="MJ26" s="260">
        <f>IF(Timeline!MJ$43=1,IF(PermActual360=1,PermRate*MJ$25/360,PermRate/12),0)</f>
        <v/>
      </c>
      <c r="MK26" s="260">
        <f>IF(Timeline!MK$43=1,IF(PermActual360=1,PermRate*MK$25/360,PermRate/12),0)</f>
        <v/>
      </c>
      <c r="ML26" s="260">
        <f>IF(Timeline!ML$43=1,IF(PermActual360=1,PermRate*ML$25/360,PermRate/12),0)</f>
        <v/>
      </c>
      <c r="MM26" s="260">
        <f>IF(Timeline!MM$43=1,IF(PermActual360=1,PermRate*MM$25/360,PermRate/12),0)</f>
        <v/>
      </c>
      <c r="MN26" s="260">
        <f>IF(Timeline!MN$43=1,IF(PermActual360=1,PermRate*MN$25/360,PermRate/12),0)</f>
        <v/>
      </c>
      <c r="MO26" s="260">
        <f>IF(Timeline!MO$43=1,IF(PermActual360=1,PermRate*MO$25/360,PermRate/12),0)</f>
        <v/>
      </c>
      <c r="MP26" s="260">
        <f>IF(Timeline!MP$43=1,IF(PermActual360=1,PermRate*MP$25/360,PermRate/12),0)</f>
        <v/>
      </c>
      <c r="MQ26" s="260">
        <f>IF(Timeline!MQ$43=1,IF(PermActual360=1,PermRate*MQ$25/360,PermRate/12),0)</f>
        <v/>
      </c>
      <c r="MR26" s="260">
        <f>IF(Timeline!MR$43=1,IF(PermActual360=1,PermRate*MR$25/360,PermRate/12),0)</f>
        <v/>
      </c>
      <c r="MS26" s="260">
        <f>IF(Timeline!MS$43=1,IF(PermActual360=1,PermRate*MS$25/360,PermRate/12),0)</f>
        <v/>
      </c>
      <c r="MT26" s="260">
        <f>IF(Timeline!MT$43=1,IF(PermActual360=1,PermRate*MT$25/360,PermRate/12),0)</f>
        <v/>
      </c>
      <c r="MU26" s="260">
        <f>IF(Timeline!MU$43=1,IF(PermActual360=1,PermRate*MU$25/360,PermRate/12),0)</f>
        <v/>
      </c>
      <c r="MV26" s="260">
        <f>IF(Timeline!MV$43=1,IF(PermActual360=1,PermRate*MV$25/360,PermRate/12),0)</f>
        <v/>
      </c>
      <c r="MW26" s="260">
        <f>IF(Timeline!MW$43=1,IF(PermActual360=1,PermRate*MW$25/360,PermRate/12),0)</f>
        <v/>
      </c>
      <c r="MX26" s="260">
        <f>IF(Timeline!MX$43=1,IF(PermActual360=1,PermRate*MX$25/360,PermRate/12),0)</f>
        <v/>
      </c>
      <c r="MY26" s="260">
        <f>IF(Timeline!MY$43=1,IF(PermActual360=1,PermRate*MY$25/360,PermRate/12),0)</f>
        <v/>
      </c>
      <c r="MZ26" s="260">
        <f>IF(Timeline!MZ$43=1,IF(PermActual360=1,PermRate*MZ$25/360,PermRate/12),0)</f>
        <v/>
      </c>
      <c r="NA26" s="260">
        <f>IF(Timeline!NA$43=1,IF(PermActual360=1,PermRate*NA$25/360,PermRate/12),0)</f>
        <v/>
      </c>
      <c r="NB26" s="260">
        <f>IF(Timeline!NB$43=1,IF(PermActual360=1,PermRate*NB$25/360,PermRate/12),0)</f>
        <v/>
      </c>
      <c r="NC26" s="260">
        <f>IF(Timeline!NC$43=1,IF(PermActual360=1,PermRate*NC$25/360,PermRate/12),0)</f>
        <v/>
      </c>
      <c r="ND26" s="260">
        <f>IF(Timeline!ND$43=1,IF(PermActual360=1,PermRate*ND$25/360,PermRate/12),0)</f>
        <v/>
      </c>
      <c r="NE26" s="260">
        <f>IF(Timeline!NE$43=1,IF(PermActual360=1,PermRate*NE$25/360,PermRate/12),0)</f>
        <v/>
      </c>
      <c r="NF26" s="260">
        <f>IF(Timeline!NF$43=1,IF(PermActual360=1,PermRate*NF$25/360,PermRate/12),0)</f>
        <v/>
      </c>
      <c r="NG26" s="260">
        <f>IF(Timeline!NG$43=1,IF(PermActual360=1,PermRate*NG$25/360,PermRate/12),0)</f>
        <v/>
      </c>
      <c r="NH26" s="260">
        <f>IF(Timeline!NH$43=1,IF(PermActual360=1,PermRate*NH$25/360,PermRate/12),0)</f>
        <v/>
      </c>
      <c r="NI26" s="260">
        <f>IF(Timeline!NI$43=1,IF(PermActual360=1,PermRate*NI$25/360,PermRate/12),0)</f>
        <v/>
      </c>
      <c r="NJ26" s="260">
        <f>IF(Timeline!NJ$43=1,IF(PermActual360=1,PermRate*NJ$25/360,PermRate/12),0)</f>
        <v/>
      </c>
      <c r="NK26" s="260">
        <f>IF(Timeline!NK$43=1,IF(PermActual360=1,PermRate*NK$25/360,PermRate/12),0)</f>
        <v/>
      </c>
      <c r="NL26" s="260">
        <f>IF(Timeline!NL$43=1,IF(PermActual360=1,PermRate*NL$25/360,PermRate/12),0)</f>
        <v/>
      </c>
    </row>
    <row r="27">
      <c r="B27" s="36" t="inlineStr">
        <is>
          <t>Interest</t>
        </is>
      </c>
      <c r="D27" s="258">
        <f>SUM(E27:NL27)</f>
        <v/>
      </c>
      <c r="E27" s="218">
        <f>E$26*(0)</f>
        <v/>
      </c>
      <c r="F27" s="218">
        <f>F$26*(E$30)</f>
        <v/>
      </c>
      <c r="G27" s="218">
        <f>G$26*(F$30)</f>
        <v/>
      </c>
      <c r="H27" s="218">
        <f>H$26*(G$30)</f>
        <v/>
      </c>
      <c r="I27" s="218">
        <f>I$26*(H$30)</f>
        <v/>
      </c>
      <c r="J27" s="218">
        <f>J$26*(I$30)</f>
        <v/>
      </c>
      <c r="K27" s="218">
        <f>K$26*(J$30)</f>
        <v/>
      </c>
      <c r="L27" s="218">
        <f>L$26*(K$30)</f>
        <v/>
      </c>
      <c r="M27" s="218">
        <f>M$26*(L$30)</f>
        <v/>
      </c>
      <c r="N27" s="218">
        <f>N$26*(M$30)</f>
        <v/>
      </c>
      <c r="O27" s="218">
        <f>O$26*(N$30)</f>
        <v/>
      </c>
      <c r="P27" s="218">
        <f>P$26*(O$30)</f>
        <v/>
      </c>
      <c r="Q27" s="218">
        <f>Q$26*(P$30)</f>
        <v/>
      </c>
      <c r="R27" s="218">
        <f>R$26*(Q$30)</f>
        <v/>
      </c>
      <c r="S27" s="218">
        <f>S$26*(R$30)</f>
        <v/>
      </c>
      <c r="T27" s="218">
        <f>T$26*(S$30)</f>
        <v/>
      </c>
      <c r="U27" s="218">
        <f>U$26*(T$30)</f>
        <v/>
      </c>
      <c r="V27" s="218">
        <f>V$26*(U$30)</f>
        <v/>
      </c>
      <c r="W27" s="218">
        <f>W$26*(V$30)</f>
        <v/>
      </c>
      <c r="X27" s="218">
        <f>X$26*(W$30)</f>
        <v/>
      </c>
      <c r="Y27" s="218">
        <f>Y$26*(X$30)</f>
        <v/>
      </c>
      <c r="Z27" s="218">
        <f>Z$26*(Y$30)</f>
        <v/>
      </c>
      <c r="AA27" s="218">
        <f>AA$26*(Z$30)</f>
        <v/>
      </c>
      <c r="AB27" s="218">
        <f>AB$26*(AA$30)</f>
        <v/>
      </c>
      <c r="AC27" s="218">
        <f>AC$26*(AB$30)</f>
        <v/>
      </c>
      <c r="AD27" s="218">
        <f>AD$26*(AC$30)</f>
        <v/>
      </c>
      <c r="AE27" s="218">
        <f>AE$26*(AD$30)</f>
        <v/>
      </c>
      <c r="AF27" s="218">
        <f>AF$26*(AE$30)</f>
        <v/>
      </c>
      <c r="AG27" s="218">
        <f>AG$26*(AF$30)</f>
        <v/>
      </c>
      <c r="AH27" s="218">
        <f>AH$26*(AG$30)</f>
        <v/>
      </c>
      <c r="AI27" s="218">
        <f>AI$26*(AH$30)</f>
        <v/>
      </c>
      <c r="AJ27" s="218">
        <f>AJ$26*(AI$30)</f>
        <v/>
      </c>
      <c r="AK27" s="218">
        <f>AK$26*(AJ$30)</f>
        <v/>
      </c>
      <c r="AL27" s="218">
        <f>AL$26*(AK$30)</f>
        <v/>
      </c>
      <c r="AM27" s="218">
        <f>AM$26*(AL$30)</f>
        <v/>
      </c>
      <c r="AN27" s="218">
        <f>AN$26*(AM$30)</f>
        <v/>
      </c>
      <c r="AO27" s="218">
        <f>AO$26*(AN$30)</f>
        <v/>
      </c>
      <c r="AP27" s="218">
        <f>AP$26*(AO$30)</f>
        <v/>
      </c>
      <c r="AQ27" s="218">
        <f>AQ$26*(AP$30)</f>
        <v/>
      </c>
      <c r="AR27" s="218">
        <f>AR$26*(AQ$30)</f>
        <v/>
      </c>
      <c r="AS27" s="218">
        <f>AS$26*(AR$30)</f>
        <v/>
      </c>
      <c r="AT27" s="218">
        <f>AT$26*(AS$30)</f>
        <v/>
      </c>
      <c r="AU27" s="218">
        <f>AU$26*(AT$30)</f>
        <v/>
      </c>
      <c r="AV27" s="218">
        <f>AV$26*(AU$30)</f>
        <v/>
      </c>
      <c r="AW27" s="218">
        <f>AW$26*(AV$30)</f>
        <v/>
      </c>
      <c r="AX27" s="218">
        <f>AX$26*(AW$30)</f>
        <v/>
      </c>
      <c r="AY27" s="218">
        <f>AY$26*(AX$30)</f>
        <v/>
      </c>
      <c r="AZ27" s="218">
        <f>AZ$26*(AY$30)</f>
        <v/>
      </c>
      <c r="BA27" s="218">
        <f>BA$26*(AZ$30)</f>
        <v/>
      </c>
      <c r="BB27" s="218">
        <f>BB$26*(BA$30)</f>
        <v/>
      </c>
      <c r="BC27" s="218">
        <f>BC$26*(BB$30)</f>
        <v/>
      </c>
      <c r="BD27" s="218">
        <f>BD$26*(BC$30)</f>
        <v/>
      </c>
      <c r="BE27" s="218">
        <f>BE$26*(BD$30)</f>
        <v/>
      </c>
      <c r="BF27" s="218">
        <f>BF$26*(BE$30)</f>
        <v/>
      </c>
      <c r="BG27" s="218">
        <f>BG$26*(BF$30)</f>
        <v/>
      </c>
      <c r="BH27" s="218">
        <f>BH$26*(BG$30)</f>
        <v/>
      </c>
      <c r="BI27" s="218">
        <f>BI$26*(BH$30)</f>
        <v/>
      </c>
      <c r="BJ27" s="218">
        <f>BJ$26*(BI$30)</f>
        <v/>
      </c>
      <c r="BK27" s="218">
        <f>BK$26*(BJ$30)</f>
        <v/>
      </c>
      <c r="BL27" s="218">
        <f>BL$26*(BK$30)</f>
        <v/>
      </c>
      <c r="BM27" s="218">
        <f>BM$26*(BL$30)</f>
        <v/>
      </c>
      <c r="BN27" s="218">
        <f>BN$26*(BM$30)</f>
        <v/>
      </c>
      <c r="BO27" s="218">
        <f>BO$26*(BN$30)</f>
        <v/>
      </c>
      <c r="BP27" s="218">
        <f>BP$26*(BO$30)</f>
        <v/>
      </c>
      <c r="BQ27" s="218">
        <f>BQ$26*(BP$30)</f>
        <v/>
      </c>
      <c r="BR27" s="218">
        <f>BR$26*(BQ$30)</f>
        <v/>
      </c>
      <c r="BS27" s="218">
        <f>BS$26*(BR$30)</f>
        <v/>
      </c>
      <c r="BT27" s="218">
        <f>BT$26*(BS$30)</f>
        <v/>
      </c>
      <c r="BU27" s="218">
        <f>BU$26*(BT$30)</f>
        <v/>
      </c>
      <c r="BV27" s="218">
        <f>BV$26*(BU$30)</f>
        <v/>
      </c>
      <c r="BW27" s="218">
        <f>BW$26*(BV$30)</f>
        <v/>
      </c>
      <c r="BX27" s="218">
        <f>BX$26*(BW$30)</f>
        <v/>
      </c>
      <c r="BY27" s="218">
        <f>BY$26*(BX$30)</f>
        <v/>
      </c>
      <c r="BZ27" s="218">
        <f>BZ$26*(BY$30)</f>
        <v/>
      </c>
      <c r="CA27" s="218">
        <f>CA$26*(BZ$30)</f>
        <v/>
      </c>
      <c r="CB27" s="218">
        <f>CB$26*(CA$30)</f>
        <v/>
      </c>
      <c r="CC27" s="218">
        <f>CC$26*(CB$30)</f>
        <v/>
      </c>
      <c r="CD27" s="218">
        <f>CD$26*(CC$30)</f>
        <v/>
      </c>
      <c r="CE27" s="218">
        <f>CE$26*(CD$30)</f>
        <v/>
      </c>
      <c r="CF27" s="218">
        <f>CF$26*(CE$30)</f>
        <v/>
      </c>
      <c r="CG27" s="218">
        <f>CG$26*(CF$30)</f>
        <v/>
      </c>
      <c r="CH27" s="218">
        <f>CH$26*(CG$30)</f>
        <v/>
      </c>
      <c r="CI27" s="218">
        <f>CI$26*(CH$30)</f>
        <v/>
      </c>
      <c r="CJ27" s="218">
        <f>CJ$26*(CI$30)</f>
        <v/>
      </c>
      <c r="CK27" s="218">
        <f>CK$26*(CJ$30)</f>
        <v/>
      </c>
      <c r="CL27" s="218">
        <f>CL$26*(CK$30)</f>
        <v/>
      </c>
      <c r="CM27" s="218">
        <f>CM$26*(CL$30)</f>
        <v/>
      </c>
      <c r="CN27" s="218">
        <f>CN$26*(CM$30)</f>
        <v/>
      </c>
      <c r="CO27" s="218">
        <f>CO$26*(CN$30)</f>
        <v/>
      </c>
      <c r="CP27" s="218">
        <f>CP$26*(CO$30)</f>
        <v/>
      </c>
      <c r="CQ27" s="218">
        <f>CQ$26*(CP$30)</f>
        <v/>
      </c>
      <c r="CR27" s="218">
        <f>CR$26*(CQ$30)</f>
        <v/>
      </c>
      <c r="CS27" s="218">
        <f>CS$26*(CR$30)</f>
        <v/>
      </c>
      <c r="CT27" s="218">
        <f>CT$26*(CS$30)</f>
        <v/>
      </c>
      <c r="CU27" s="218">
        <f>CU$26*(CT$30)</f>
        <v/>
      </c>
      <c r="CV27" s="218">
        <f>CV$26*(CU$30)</f>
        <v/>
      </c>
      <c r="CW27" s="218">
        <f>CW$26*(CV$30)</f>
        <v/>
      </c>
      <c r="CX27" s="218">
        <f>CX$26*(CW$30)</f>
        <v/>
      </c>
      <c r="CY27" s="218">
        <f>CY$26*(CX$30)</f>
        <v/>
      </c>
      <c r="CZ27" s="218">
        <f>CZ$26*(CY$30)</f>
        <v/>
      </c>
      <c r="DA27" s="218">
        <f>DA$26*(CZ$30)</f>
        <v/>
      </c>
      <c r="DB27" s="218">
        <f>DB$26*(DA$30)</f>
        <v/>
      </c>
      <c r="DC27" s="218">
        <f>DC$26*(DB$30)</f>
        <v/>
      </c>
      <c r="DD27" s="218">
        <f>DD$26*(DC$30)</f>
        <v/>
      </c>
      <c r="DE27" s="218">
        <f>DE$26*(DD$30)</f>
        <v/>
      </c>
      <c r="DF27" s="218">
        <f>DF$26*(DE$30)</f>
        <v/>
      </c>
      <c r="DG27" s="218">
        <f>DG$26*(DF$30)</f>
        <v/>
      </c>
      <c r="DH27" s="218">
        <f>DH$26*(DG$30)</f>
        <v/>
      </c>
      <c r="DI27" s="218">
        <f>DI$26*(DH$30)</f>
        <v/>
      </c>
      <c r="DJ27" s="218">
        <f>DJ$26*(DI$30)</f>
        <v/>
      </c>
      <c r="DK27" s="218">
        <f>DK$26*(DJ$30)</f>
        <v/>
      </c>
      <c r="DL27" s="218">
        <f>DL$26*(DK$30)</f>
        <v/>
      </c>
      <c r="DM27" s="218">
        <f>DM$26*(DL$30)</f>
        <v/>
      </c>
      <c r="DN27" s="218">
        <f>DN$26*(DM$30)</f>
        <v/>
      </c>
      <c r="DO27" s="218">
        <f>DO$26*(DN$30)</f>
        <v/>
      </c>
      <c r="DP27" s="218">
        <f>DP$26*(DO$30)</f>
        <v/>
      </c>
      <c r="DQ27" s="218">
        <f>DQ$26*(DP$30)</f>
        <v/>
      </c>
      <c r="DR27" s="218">
        <f>DR$26*(DQ$30)</f>
        <v/>
      </c>
      <c r="DS27" s="218">
        <f>DS$26*(DR$30)</f>
        <v/>
      </c>
      <c r="DT27" s="218">
        <f>DT$26*(DS$30)</f>
        <v/>
      </c>
      <c r="DU27" s="218">
        <f>DU$26*(DT$30)</f>
        <v/>
      </c>
      <c r="DV27" s="218">
        <f>DV$26*(DU$30)</f>
        <v/>
      </c>
      <c r="DW27" s="218">
        <f>DW$26*(DV$30)</f>
        <v/>
      </c>
      <c r="DX27" s="218">
        <f>DX$26*(DW$30)</f>
        <v/>
      </c>
      <c r="DY27" s="218">
        <f>DY$26*(DX$30)</f>
        <v/>
      </c>
      <c r="DZ27" s="218">
        <f>DZ$26*(DY$30)</f>
        <v/>
      </c>
      <c r="EA27" s="218">
        <f>EA$26*(DZ$30)</f>
        <v/>
      </c>
      <c r="EB27" s="218">
        <f>EB$26*(EA$30)</f>
        <v/>
      </c>
      <c r="EC27" s="218">
        <f>EC$26*(EB$30)</f>
        <v/>
      </c>
      <c r="ED27" s="218">
        <f>ED$26*(EC$30)</f>
        <v/>
      </c>
      <c r="EE27" s="218">
        <f>EE$26*(ED$30)</f>
        <v/>
      </c>
      <c r="EF27" s="218">
        <f>EF$26*(EE$30)</f>
        <v/>
      </c>
      <c r="EG27" s="218">
        <f>EG$26*(EF$30)</f>
        <v/>
      </c>
      <c r="EH27" s="218">
        <f>EH$26*(EG$30)</f>
        <v/>
      </c>
      <c r="EI27" s="218">
        <f>EI$26*(EH$30)</f>
        <v/>
      </c>
      <c r="EJ27" s="218">
        <f>EJ$26*(EI$30)</f>
        <v/>
      </c>
      <c r="EK27" s="218">
        <f>EK$26*(EJ$30)</f>
        <v/>
      </c>
      <c r="EL27" s="218">
        <f>EL$26*(EK$30)</f>
        <v/>
      </c>
      <c r="EM27" s="218">
        <f>EM$26*(EL$30)</f>
        <v/>
      </c>
      <c r="EN27" s="218">
        <f>EN$26*(EM$30)</f>
        <v/>
      </c>
      <c r="EO27" s="218">
        <f>EO$26*(EN$30)</f>
        <v/>
      </c>
      <c r="EP27" s="218">
        <f>EP$26*(EO$30)</f>
        <v/>
      </c>
      <c r="EQ27" s="218">
        <f>EQ$26*(EP$30)</f>
        <v/>
      </c>
      <c r="ER27" s="218">
        <f>ER$26*(EQ$30)</f>
        <v/>
      </c>
      <c r="ES27" s="218">
        <f>ES$26*(ER$30)</f>
        <v/>
      </c>
      <c r="ET27" s="218">
        <f>ET$26*(ES$30)</f>
        <v/>
      </c>
      <c r="EU27" s="218">
        <f>EU$26*(ET$30)</f>
        <v/>
      </c>
      <c r="EV27" s="218">
        <f>EV$26*(EU$30)</f>
        <v/>
      </c>
      <c r="EW27" s="218">
        <f>EW$26*(EV$30)</f>
        <v/>
      </c>
      <c r="EX27" s="218">
        <f>EX$26*(EW$30)</f>
        <v/>
      </c>
      <c r="EY27" s="218">
        <f>EY$26*(EX$30)</f>
        <v/>
      </c>
      <c r="EZ27" s="218">
        <f>EZ$26*(EY$30)</f>
        <v/>
      </c>
      <c r="FA27" s="218">
        <f>FA$26*(EZ$30)</f>
        <v/>
      </c>
      <c r="FB27" s="218">
        <f>FB$26*(FA$30)</f>
        <v/>
      </c>
      <c r="FC27" s="218">
        <f>FC$26*(FB$30)</f>
        <v/>
      </c>
      <c r="FD27" s="218">
        <f>FD$26*(FC$30)</f>
        <v/>
      </c>
      <c r="FE27" s="218">
        <f>FE$26*(FD$30)</f>
        <v/>
      </c>
      <c r="FF27" s="218">
        <f>FF$26*(FE$30)</f>
        <v/>
      </c>
      <c r="FG27" s="218">
        <f>FG$26*(FF$30)</f>
        <v/>
      </c>
      <c r="FH27" s="218">
        <f>FH$26*(FG$30)</f>
        <v/>
      </c>
      <c r="FI27" s="218">
        <f>FI$26*(FH$30)</f>
        <v/>
      </c>
      <c r="FJ27" s="218">
        <f>FJ$26*(FI$30)</f>
        <v/>
      </c>
      <c r="FK27" s="218">
        <f>FK$26*(FJ$30)</f>
        <v/>
      </c>
      <c r="FL27" s="218">
        <f>FL$26*(FK$30)</f>
        <v/>
      </c>
      <c r="FM27" s="218">
        <f>FM$26*(FL$30)</f>
        <v/>
      </c>
      <c r="FN27" s="218">
        <f>FN$26*(FM$30)</f>
        <v/>
      </c>
      <c r="FO27" s="218">
        <f>FO$26*(FN$30)</f>
        <v/>
      </c>
      <c r="FP27" s="218">
        <f>FP$26*(FO$30)</f>
        <v/>
      </c>
      <c r="FQ27" s="218">
        <f>FQ$26*(FP$30)</f>
        <v/>
      </c>
      <c r="FR27" s="218">
        <f>FR$26*(FQ$30)</f>
        <v/>
      </c>
      <c r="FS27" s="218">
        <f>FS$26*(FR$30)</f>
        <v/>
      </c>
      <c r="FT27" s="218">
        <f>FT$26*(FS$30)</f>
        <v/>
      </c>
      <c r="FU27" s="218">
        <f>FU$26*(FT$30)</f>
        <v/>
      </c>
      <c r="FV27" s="218">
        <f>FV$26*(FU$30)</f>
        <v/>
      </c>
      <c r="FW27" s="218">
        <f>FW$26*(FV$30)</f>
        <v/>
      </c>
      <c r="FX27" s="218">
        <f>FX$26*(FW$30)</f>
        <v/>
      </c>
      <c r="FY27" s="218">
        <f>FY$26*(FX$30)</f>
        <v/>
      </c>
      <c r="FZ27" s="218">
        <f>FZ$26*(FY$30)</f>
        <v/>
      </c>
      <c r="GA27" s="218">
        <f>GA$26*(FZ$30)</f>
        <v/>
      </c>
      <c r="GB27" s="218">
        <f>GB$26*(GA$30)</f>
        <v/>
      </c>
      <c r="GC27" s="218">
        <f>GC$26*(GB$30)</f>
        <v/>
      </c>
      <c r="GD27" s="218">
        <f>GD$26*(GC$30)</f>
        <v/>
      </c>
      <c r="GE27" s="218">
        <f>GE$26*(GD$30)</f>
        <v/>
      </c>
      <c r="GF27" s="218">
        <f>GF$26*(GE$30)</f>
        <v/>
      </c>
      <c r="GG27" s="218">
        <f>GG$26*(GF$30)</f>
        <v/>
      </c>
      <c r="GH27" s="218">
        <f>GH$26*(GG$30)</f>
        <v/>
      </c>
      <c r="GI27" s="218">
        <f>GI$26*(GH$30)</f>
        <v/>
      </c>
      <c r="GJ27" s="218">
        <f>GJ$26*(GI$30)</f>
        <v/>
      </c>
      <c r="GK27" s="218">
        <f>GK$26*(GJ$30)</f>
        <v/>
      </c>
      <c r="GL27" s="218">
        <f>GL$26*(GK$30)</f>
        <v/>
      </c>
      <c r="GM27" s="218">
        <f>GM$26*(GL$30)</f>
        <v/>
      </c>
      <c r="GN27" s="218">
        <f>GN$26*(GM$30)</f>
        <v/>
      </c>
      <c r="GO27" s="218">
        <f>GO$26*(GN$30)</f>
        <v/>
      </c>
      <c r="GP27" s="218">
        <f>GP$26*(GO$30)</f>
        <v/>
      </c>
      <c r="GQ27" s="218">
        <f>GQ$26*(GP$30)</f>
        <v/>
      </c>
      <c r="GR27" s="218">
        <f>GR$26*(GQ$30)</f>
        <v/>
      </c>
      <c r="GS27" s="218">
        <f>GS$26*(GR$30)</f>
        <v/>
      </c>
      <c r="GT27" s="218">
        <f>GT$26*(GS$30)</f>
        <v/>
      </c>
      <c r="GU27" s="218">
        <f>GU$26*(GT$30)</f>
        <v/>
      </c>
      <c r="GV27" s="218">
        <f>GV$26*(GU$30)</f>
        <v/>
      </c>
      <c r="GW27" s="218">
        <f>GW$26*(GV$30)</f>
        <v/>
      </c>
      <c r="GX27" s="218">
        <f>GX$26*(GW$30)</f>
        <v/>
      </c>
      <c r="GY27" s="218">
        <f>GY$26*(GX$30)</f>
        <v/>
      </c>
      <c r="GZ27" s="218">
        <f>GZ$26*(GY$30)</f>
        <v/>
      </c>
      <c r="HA27" s="218">
        <f>HA$26*(GZ$30)</f>
        <v/>
      </c>
      <c r="HB27" s="218">
        <f>HB$26*(HA$30)</f>
        <v/>
      </c>
      <c r="HC27" s="218">
        <f>HC$26*(HB$30)</f>
        <v/>
      </c>
      <c r="HD27" s="218">
        <f>HD$26*(HC$30)</f>
        <v/>
      </c>
      <c r="HE27" s="218">
        <f>HE$26*(HD$30)</f>
        <v/>
      </c>
      <c r="HF27" s="218">
        <f>HF$26*(HE$30)</f>
        <v/>
      </c>
      <c r="HG27" s="218">
        <f>HG$26*(HF$30)</f>
        <v/>
      </c>
      <c r="HH27" s="218">
        <f>HH$26*(HG$30)</f>
        <v/>
      </c>
      <c r="HI27" s="218">
        <f>HI$26*(HH$30)</f>
        <v/>
      </c>
      <c r="HJ27" s="218">
        <f>HJ$26*(HI$30)</f>
        <v/>
      </c>
      <c r="HK27" s="218">
        <f>HK$26*(HJ$30)</f>
        <v/>
      </c>
      <c r="HL27" s="218">
        <f>HL$26*(HK$30)</f>
        <v/>
      </c>
      <c r="HM27" s="218">
        <f>HM$26*(HL$30)</f>
        <v/>
      </c>
      <c r="HN27" s="218">
        <f>HN$26*(HM$30)</f>
        <v/>
      </c>
      <c r="HO27" s="218">
        <f>HO$26*(HN$30)</f>
        <v/>
      </c>
      <c r="HP27" s="218">
        <f>HP$26*(HO$30)</f>
        <v/>
      </c>
      <c r="HQ27" s="218">
        <f>HQ$26*(HP$30)</f>
        <v/>
      </c>
      <c r="HR27" s="218">
        <f>HR$26*(HQ$30)</f>
        <v/>
      </c>
      <c r="HS27" s="218">
        <f>HS$26*(HR$30)</f>
        <v/>
      </c>
      <c r="HT27" s="218">
        <f>HT$26*(HS$30)</f>
        <v/>
      </c>
      <c r="HU27" s="218">
        <f>HU$26*(HT$30)</f>
        <v/>
      </c>
      <c r="HV27" s="218">
        <f>HV$26*(HU$30)</f>
        <v/>
      </c>
      <c r="HW27" s="218">
        <f>HW$26*(HV$30)</f>
        <v/>
      </c>
      <c r="HX27" s="218">
        <f>HX$26*(HW$30)</f>
        <v/>
      </c>
      <c r="HY27" s="218">
        <f>HY$26*(HX$30)</f>
        <v/>
      </c>
      <c r="HZ27" s="218">
        <f>HZ$26*(HY$30)</f>
        <v/>
      </c>
      <c r="IA27" s="218">
        <f>IA$26*(HZ$30)</f>
        <v/>
      </c>
      <c r="IB27" s="218">
        <f>IB$26*(IA$30)</f>
        <v/>
      </c>
      <c r="IC27" s="218">
        <f>IC$26*(IB$30)</f>
        <v/>
      </c>
      <c r="ID27" s="218">
        <f>ID$26*(IC$30)</f>
        <v/>
      </c>
      <c r="IE27" s="218">
        <f>IE$26*(ID$30)</f>
        <v/>
      </c>
      <c r="IF27" s="218">
        <f>IF$26*(IE$30)</f>
        <v/>
      </c>
      <c r="IG27" s="218">
        <f>IG$26*(IF$30)</f>
        <v/>
      </c>
      <c r="IH27" s="218">
        <f>IH$26*(IG$30)</f>
        <v/>
      </c>
      <c r="II27" s="218">
        <f>II$26*(IH$30)</f>
        <v/>
      </c>
      <c r="IJ27" s="218">
        <f>IJ$26*(II$30)</f>
        <v/>
      </c>
      <c r="IK27" s="218">
        <f>IK$26*(IJ$30)</f>
        <v/>
      </c>
      <c r="IL27" s="218">
        <f>IL$26*(IK$30)</f>
        <v/>
      </c>
      <c r="IM27" s="218">
        <f>IM$26*(IL$30)</f>
        <v/>
      </c>
      <c r="IN27" s="218">
        <f>IN$26*(IM$30)</f>
        <v/>
      </c>
      <c r="IO27" s="218">
        <f>IO$26*(IN$30)</f>
        <v/>
      </c>
      <c r="IP27" s="218">
        <f>IP$26*(IO$30)</f>
        <v/>
      </c>
      <c r="IQ27" s="218">
        <f>IQ$26*(IP$30)</f>
        <v/>
      </c>
      <c r="IR27" s="218">
        <f>IR$26*(IQ$30)</f>
        <v/>
      </c>
      <c r="IS27" s="218">
        <f>IS$26*(IR$30)</f>
        <v/>
      </c>
      <c r="IT27" s="218">
        <f>IT$26*(IS$30)</f>
        <v/>
      </c>
      <c r="IU27" s="218">
        <f>IU$26*(IT$30)</f>
        <v/>
      </c>
      <c r="IV27" s="218">
        <f>IV$26*(IU$30)</f>
        <v/>
      </c>
      <c r="IW27" s="218">
        <f>IW$26*(IV$30)</f>
        <v/>
      </c>
      <c r="IX27" s="218">
        <f>IX$26*(IW$30)</f>
        <v/>
      </c>
      <c r="IY27" s="218">
        <f>IY$26*(IX$30)</f>
        <v/>
      </c>
      <c r="IZ27" s="218">
        <f>IZ$26*(IY$30)</f>
        <v/>
      </c>
      <c r="JA27" s="218">
        <f>JA$26*(IZ$30)</f>
        <v/>
      </c>
      <c r="JB27" s="218">
        <f>JB$26*(JA$30)</f>
        <v/>
      </c>
      <c r="JC27" s="218">
        <f>JC$26*(JB$30)</f>
        <v/>
      </c>
      <c r="JD27" s="218">
        <f>JD$26*(JC$30)</f>
        <v/>
      </c>
      <c r="JE27" s="218">
        <f>JE$26*(JD$30)</f>
        <v/>
      </c>
      <c r="JF27" s="218">
        <f>JF$26*(JE$30)</f>
        <v/>
      </c>
      <c r="JG27" s="218">
        <f>JG$26*(JF$30)</f>
        <v/>
      </c>
      <c r="JH27" s="218">
        <f>JH$26*(JG$30)</f>
        <v/>
      </c>
      <c r="JI27" s="218">
        <f>JI$26*(JH$30)</f>
        <v/>
      </c>
      <c r="JJ27" s="218">
        <f>JJ$26*(JI$30)</f>
        <v/>
      </c>
      <c r="JK27" s="218">
        <f>JK$26*(JJ$30)</f>
        <v/>
      </c>
      <c r="JL27" s="218">
        <f>JL$26*(JK$30)</f>
        <v/>
      </c>
      <c r="JM27" s="218">
        <f>JM$26*(JL$30)</f>
        <v/>
      </c>
      <c r="JN27" s="218">
        <f>JN$26*(JM$30)</f>
        <v/>
      </c>
      <c r="JO27" s="218">
        <f>JO$26*(JN$30)</f>
        <v/>
      </c>
      <c r="JP27" s="218">
        <f>JP$26*(JO$30)</f>
        <v/>
      </c>
      <c r="JQ27" s="218">
        <f>JQ$26*(JP$30)</f>
        <v/>
      </c>
      <c r="JR27" s="218">
        <f>JR$26*(JQ$30)</f>
        <v/>
      </c>
      <c r="JS27" s="218">
        <f>JS$26*(JR$30)</f>
        <v/>
      </c>
      <c r="JT27" s="218">
        <f>JT$26*(JS$30)</f>
        <v/>
      </c>
      <c r="JU27" s="218">
        <f>JU$26*(JT$30)</f>
        <v/>
      </c>
      <c r="JV27" s="218">
        <f>JV$26*(JU$30)</f>
        <v/>
      </c>
      <c r="JW27" s="218">
        <f>JW$26*(JV$30)</f>
        <v/>
      </c>
      <c r="JX27" s="218">
        <f>JX$26*(JW$30)</f>
        <v/>
      </c>
      <c r="JY27" s="218">
        <f>JY$26*(JX$30)</f>
        <v/>
      </c>
      <c r="JZ27" s="218">
        <f>JZ$26*(JY$30)</f>
        <v/>
      </c>
      <c r="KA27" s="218">
        <f>KA$26*(JZ$30)</f>
        <v/>
      </c>
      <c r="KB27" s="218">
        <f>KB$26*(KA$30)</f>
        <v/>
      </c>
      <c r="KC27" s="218">
        <f>KC$26*(KB$30)</f>
        <v/>
      </c>
      <c r="KD27" s="218">
        <f>KD$26*(KC$30)</f>
        <v/>
      </c>
      <c r="KE27" s="218">
        <f>KE$26*(KD$30)</f>
        <v/>
      </c>
      <c r="KF27" s="218">
        <f>KF$26*(KE$30)</f>
        <v/>
      </c>
      <c r="KG27" s="218">
        <f>KG$26*(KF$30)</f>
        <v/>
      </c>
      <c r="KH27" s="218">
        <f>KH$26*(KG$30)</f>
        <v/>
      </c>
      <c r="KI27" s="218">
        <f>KI$26*(KH$30)</f>
        <v/>
      </c>
      <c r="KJ27" s="218">
        <f>KJ$26*(KI$30)</f>
        <v/>
      </c>
      <c r="KK27" s="218">
        <f>KK$26*(KJ$30)</f>
        <v/>
      </c>
      <c r="KL27" s="218">
        <f>KL$26*(KK$30)</f>
        <v/>
      </c>
      <c r="KM27" s="218">
        <f>KM$26*(KL$30)</f>
        <v/>
      </c>
      <c r="KN27" s="218">
        <f>KN$26*(KM$30)</f>
        <v/>
      </c>
      <c r="KO27" s="218">
        <f>KO$26*(KN$30)</f>
        <v/>
      </c>
      <c r="KP27" s="218">
        <f>KP$26*(KO$30)</f>
        <v/>
      </c>
      <c r="KQ27" s="218">
        <f>KQ$26*(KP$30)</f>
        <v/>
      </c>
      <c r="KR27" s="218">
        <f>KR$26*(KQ$30)</f>
        <v/>
      </c>
      <c r="KS27" s="218">
        <f>KS$26*(KR$30)</f>
        <v/>
      </c>
      <c r="KT27" s="218">
        <f>KT$26*(KS$30)</f>
        <v/>
      </c>
      <c r="KU27" s="218">
        <f>KU$26*(KT$30)</f>
        <v/>
      </c>
      <c r="KV27" s="218">
        <f>KV$26*(KU$30)</f>
        <v/>
      </c>
      <c r="KW27" s="218">
        <f>KW$26*(KV$30)</f>
        <v/>
      </c>
      <c r="KX27" s="218">
        <f>KX$26*(KW$30)</f>
        <v/>
      </c>
      <c r="KY27" s="218">
        <f>KY$26*(KX$30)</f>
        <v/>
      </c>
      <c r="KZ27" s="218">
        <f>KZ$26*(KY$30)</f>
        <v/>
      </c>
      <c r="LA27" s="218">
        <f>LA$26*(KZ$30)</f>
        <v/>
      </c>
      <c r="LB27" s="218">
        <f>LB$26*(LA$30)</f>
        <v/>
      </c>
      <c r="LC27" s="218">
        <f>LC$26*(LB$30)</f>
        <v/>
      </c>
      <c r="LD27" s="218">
        <f>LD$26*(LC$30)</f>
        <v/>
      </c>
      <c r="LE27" s="218">
        <f>LE$26*(LD$30)</f>
        <v/>
      </c>
      <c r="LF27" s="218">
        <f>LF$26*(LE$30)</f>
        <v/>
      </c>
      <c r="LG27" s="218">
        <f>LG$26*(LF$30)</f>
        <v/>
      </c>
      <c r="LH27" s="218">
        <f>LH$26*(LG$30)</f>
        <v/>
      </c>
      <c r="LI27" s="218">
        <f>LI$26*(LH$30)</f>
        <v/>
      </c>
      <c r="LJ27" s="218">
        <f>LJ$26*(LI$30)</f>
        <v/>
      </c>
      <c r="LK27" s="218">
        <f>LK$26*(LJ$30)</f>
        <v/>
      </c>
      <c r="LL27" s="218">
        <f>LL$26*(LK$30)</f>
        <v/>
      </c>
      <c r="LM27" s="218">
        <f>LM$26*(LL$30)</f>
        <v/>
      </c>
      <c r="LN27" s="218">
        <f>LN$26*(LM$30)</f>
        <v/>
      </c>
      <c r="LO27" s="218">
        <f>LO$26*(LN$30)</f>
        <v/>
      </c>
      <c r="LP27" s="218">
        <f>LP$26*(LO$30)</f>
        <v/>
      </c>
      <c r="LQ27" s="218">
        <f>LQ$26*(LP$30)</f>
        <v/>
      </c>
      <c r="LR27" s="218">
        <f>LR$26*(LQ$30)</f>
        <v/>
      </c>
      <c r="LS27" s="218">
        <f>LS$26*(LR$30)</f>
        <v/>
      </c>
      <c r="LT27" s="218">
        <f>LT$26*(LS$30)</f>
        <v/>
      </c>
      <c r="LU27" s="218">
        <f>LU$26*(LT$30)</f>
        <v/>
      </c>
      <c r="LV27" s="218">
        <f>LV$26*(LU$30)</f>
        <v/>
      </c>
      <c r="LW27" s="218">
        <f>LW$26*(LV$30)</f>
        <v/>
      </c>
      <c r="LX27" s="218">
        <f>LX$26*(LW$30)</f>
        <v/>
      </c>
      <c r="LY27" s="218">
        <f>LY$26*(LX$30)</f>
        <v/>
      </c>
      <c r="LZ27" s="218">
        <f>LZ$26*(LY$30)</f>
        <v/>
      </c>
      <c r="MA27" s="218">
        <f>MA$26*(LZ$30)</f>
        <v/>
      </c>
      <c r="MB27" s="218">
        <f>MB$26*(MA$30)</f>
        <v/>
      </c>
      <c r="MC27" s="218">
        <f>MC$26*(MB$30)</f>
        <v/>
      </c>
      <c r="MD27" s="218">
        <f>MD$26*(MC$30)</f>
        <v/>
      </c>
      <c r="ME27" s="218">
        <f>ME$26*(MD$30)</f>
        <v/>
      </c>
      <c r="MF27" s="218">
        <f>MF$26*(ME$30)</f>
        <v/>
      </c>
      <c r="MG27" s="218">
        <f>MG$26*(MF$30)</f>
        <v/>
      </c>
      <c r="MH27" s="218">
        <f>MH$26*(MG$30)</f>
        <v/>
      </c>
      <c r="MI27" s="218">
        <f>MI$26*(MH$30)</f>
        <v/>
      </c>
      <c r="MJ27" s="218">
        <f>MJ$26*(MI$30)</f>
        <v/>
      </c>
      <c r="MK27" s="218">
        <f>MK$26*(MJ$30)</f>
        <v/>
      </c>
      <c r="ML27" s="218">
        <f>ML$26*(MK$30)</f>
        <v/>
      </c>
      <c r="MM27" s="218">
        <f>MM$26*(ML$30)</f>
        <v/>
      </c>
      <c r="MN27" s="218">
        <f>MN$26*(MM$30)</f>
        <v/>
      </c>
      <c r="MO27" s="218">
        <f>MO$26*(MN$30)</f>
        <v/>
      </c>
      <c r="MP27" s="218">
        <f>MP$26*(MO$30)</f>
        <v/>
      </c>
      <c r="MQ27" s="218">
        <f>MQ$26*(MP$30)</f>
        <v/>
      </c>
      <c r="MR27" s="218">
        <f>MR$26*(MQ$30)</f>
        <v/>
      </c>
      <c r="MS27" s="218">
        <f>MS$26*(MR$30)</f>
        <v/>
      </c>
      <c r="MT27" s="218">
        <f>MT$26*(MS$30)</f>
        <v/>
      </c>
      <c r="MU27" s="218">
        <f>MU$26*(MT$30)</f>
        <v/>
      </c>
      <c r="MV27" s="218">
        <f>MV$26*(MU$30)</f>
        <v/>
      </c>
      <c r="MW27" s="218">
        <f>MW$26*(MV$30)</f>
        <v/>
      </c>
      <c r="MX27" s="218">
        <f>MX$26*(MW$30)</f>
        <v/>
      </c>
      <c r="MY27" s="218">
        <f>MY$26*(MX$30)</f>
        <v/>
      </c>
      <c r="MZ27" s="218">
        <f>MZ$26*(MY$30)</f>
        <v/>
      </c>
      <c r="NA27" s="218">
        <f>NA$26*(MZ$30)</f>
        <v/>
      </c>
      <c r="NB27" s="218">
        <f>NB$26*(NA$30)</f>
        <v/>
      </c>
      <c r="NC27" s="218">
        <f>NC$26*(NB$30)</f>
        <v/>
      </c>
      <c r="ND27" s="218">
        <f>ND$26*(NC$30)</f>
        <v/>
      </c>
      <c r="NE27" s="218">
        <f>NE$26*(ND$30)</f>
        <v/>
      </c>
      <c r="NF27" s="218">
        <f>NF$26*(NE$30)</f>
        <v/>
      </c>
      <c r="NG27" s="218">
        <f>NG$26*(NF$30)</f>
        <v/>
      </c>
      <c r="NH27" s="218">
        <f>NH$26*(NG$30)</f>
        <v/>
      </c>
      <c r="NI27" s="218">
        <f>NI$26*(NH$30)</f>
        <v/>
      </c>
      <c r="NJ27" s="218">
        <f>NJ$26*(NI$30)</f>
        <v/>
      </c>
      <c r="NK27" s="218">
        <f>NK$26*(NJ$30)</f>
        <v/>
      </c>
      <c r="NL27" s="218">
        <f>NL$26*(NK$30)</f>
        <v/>
      </c>
    </row>
    <row r="28">
      <c r="B28" s="36" t="inlineStr">
        <is>
          <t>Principal</t>
        </is>
      </c>
      <c r="D28" s="258">
        <f>SUM(E28:NL28)</f>
        <v/>
      </c>
      <c r="E28" s="218">
        <f>IF(OR(1&lt;=RefiMonth+PermIOMonths,Timeline!E$43=0),0,MIN(0,PermPmt-E$27))</f>
        <v/>
      </c>
      <c r="F28" s="218">
        <f>IF(OR(2&lt;=RefiMonth+PermIOMonths,Timeline!F$43=0),0,MIN(E$30,PermPmt-F$27))</f>
        <v/>
      </c>
      <c r="G28" s="218">
        <f>IF(OR(3&lt;=RefiMonth+PermIOMonths,Timeline!G$43=0),0,MIN(F$30,PermPmt-G$27))</f>
        <v/>
      </c>
      <c r="H28" s="218">
        <f>IF(OR(4&lt;=RefiMonth+PermIOMonths,Timeline!H$43=0),0,MIN(G$30,PermPmt-H$27))</f>
        <v/>
      </c>
      <c r="I28" s="218">
        <f>IF(OR(5&lt;=RefiMonth+PermIOMonths,Timeline!I$43=0),0,MIN(H$30,PermPmt-I$27))</f>
        <v/>
      </c>
      <c r="J28" s="218">
        <f>IF(OR(6&lt;=RefiMonth+PermIOMonths,Timeline!J$43=0),0,MIN(I$30,PermPmt-J$27))</f>
        <v/>
      </c>
      <c r="K28" s="218">
        <f>IF(OR(7&lt;=RefiMonth+PermIOMonths,Timeline!K$43=0),0,MIN(J$30,PermPmt-K$27))</f>
        <v/>
      </c>
      <c r="L28" s="218">
        <f>IF(OR(8&lt;=RefiMonth+PermIOMonths,Timeline!L$43=0),0,MIN(K$30,PermPmt-L$27))</f>
        <v/>
      </c>
      <c r="M28" s="218">
        <f>IF(OR(9&lt;=RefiMonth+PermIOMonths,Timeline!M$43=0),0,MIN(L$30,PermPmt-M$27))</f>
        <v/>
      </c>
      <c r="N28" s="218">
        <f>IF(OR(10&lt;=RefiMonth+PermIOMonths,Timeline!N$43=0),0,MIN(M$30,PermPmt-N$27))</f>
        <v/>
      </c>
      <c r="O28" s="218">
        <f>IF(OR(11&lt;=RefiMonth+PermIOMonths,Timeline!O$43=0),0,MIN(N$30,PermPmt-O$27))</f>
        <v/>
      </c>
      <c r="P28" s="218">
        <f>IF(OR(12&lt;=RefiMonth+PermIOMonths,Timeline!P$43=0),0,MIN(O$30,PermPmt-P$27))</f>
        <v/>
      </c>
      <c r="Q28" s="218">
        <f>IF(OR(13&lt;=RefiMonth+PermIOMonths,Timeline!Q$43=0),0,MIN(P$30,PermPmt-Q$27))</f>
        <v/>
      </c>
      <c r="R28" s="218">
        <f>IF(OR(14&lt;=RefiMonth+PermIOMonths,Timeline!R$43=0),0,MIN(Q$30,PermPmt-R$27))</f>
        <v/>
      </c>
      <c r="S28" s="218">
        <f>IF(OR(15&lt;=RefiMonth+PermIOMonths,Timeline!S$43=0),0,MIN(R$30,PermPmt-S$27))</f>
        <v/>
      </c>
      <c r="T28" s="218">
        <f>IF(OR(16&lt;=RefiMonth+PermIOMonths,Timeline!T$43=0),0,MIN(S$30,PermPmt-T$27))</f>
        <v/>
      </c>
      <c r="U28" s="218">
        <f>IF(OR(17&lt;=RefiMonth+PermIOMonths,Timeline!U$43=0),0,MIN(T$30,PermPmt-U$27))</f>
        <v/>
      </c>
      <c r="V28" s="218">
        <f>IF(OR(18&lt;=RefiMonth+PermIOMonths,Timeline!V$43=0),0,MIN(U$30,PermPmt-V$27))</f>
        <v/>
      </c>
      <c r="W28" s="218">
        <f>IF(OR(19&lt;=RefiMonth+PermIOMonths,Timeline!W$43=0),0,MIN(V$30,PermPmt-W$27))</f>
        <v/>
      </c>
      <c r="X28" s="218">
        <f>IF(OR(20&lt;=RefiMonth+PermIOMonths,Timeline!X$43=0),0,MIN(W$30,PermPmt-X$27))</f>
        <v/>
      </c>
      <c r="Y28" s="218">
        <f>IF(OR(21&lt;=RefiMonth+PermIOMonths,Timeline!Y$43=0),0,MIN(X$30,PermPmt-Y$27))</f>
        <v/>
      </c>
      <c r="Z28" s="218">
        <f>IF(OR(22&lt;=RefiMonth+PermIOMonths,Timeline!Z$43=0),0,MIN(Y$30,PermPmt-Z$27))</f>
        <v/>
      </c>
      <c r="AA28" s="218">
        <f>IF(OR(23&lt;=RefiMonth+PermIOMonths,Timeline!AA$43=0),0,MIN(Z$30,PermPmt-AA$27))</f>
        <v/>
      </c>
      <c r="AB28" s="218">
        <f>IF(OR(24&lt;=RefiMonth+PermIOMonths,Timeline!AB$43=0),0,MIN(AA$30,PermPmt-AB$27))</f>
        <v/>
      </c>
      <c r="AC28" s="218">
        <f>IF(OR(25&lt;=RefiMonth+PermIOMonths,Timeline!AC$43=0),0,MIN(AB$30,PermPmt-AC$27))</f>
        <v/>
      </c>
      <c r="AD28" s="218">
        <f>IF(OR(26&lt;=RefiMonth+PermIOMonths,Timeline!AD$43=0),0,MIN(AC$30,PermPmt-AD$27))</f>
        <v/>
      </c>
      <c r="AE28" s="218">
        <f>IF(OR(27&lt;=RefiMonth+PermIOMonths,Timeline!AE$43=0),0,MIN(AD$30,PermPmt-AE$27))</f>
        <v/>
      </c>
      <c r="AF28" s="218">
        <f>IF(OR(28&lt;=RefiMonth+PermIOMonths,Timeline!AF$43=0),0,MIN(AE$30,PermPmt-AF$27))</f>
        <v/>
      </c>
      <c r="AG28" s="218">
        <f>IF(OR(29&lt;=RefiMonth+PermIOMonths,Timeline!AG$43=0),0,MIN(AF$30,PermPmt-AG$27))</f>
        <v/>
      </c>
      <c r="AH28" s="218">
        <f>IF(OR(30&lt;=RefiMonth+PermIOMonths,Timeline!AH$43=0),0,MIN(AG$30,PermPmt-AH$27))</f>
        <v/>
      </c>
      <c r="AI28" s="218">
        <f>IF(OR(31&lt;=RefiMonth+PermIOMonths,Timeline!AI$43=0),0,MIN(AH$30,PermPmt-AI$27))</f>
        <v/>
      </c>
      <c r="AJ28" s="218">
        <f>IF(OR(32&lt;=RefiMonth+PermIOMonths,Timeline!AJ$43=0),0,MIN(AI$30,PermPmt-AJ$27))</f>
        <v/>
      </c>
      <c r="AK28" s="218">
        <f>IF(OR(33&lt;=RefiMonth+PermIOMonths,Timeline!AK$43=0),0,MIN(AJ$30,PermPmt-AK$27))</f>
        <v/>
      </c>
      <c r="AL28" s="218">
        <f>IF(OR(34&lt;=RefiMonth+PermIOMonths,Timeline!AL$43=0),0,MIN(AK$30,PermPmt-AL$27))</f>
        <v/>
      </c>
      <c r="AM28" s="218">
        <f>IF(OR(35&lt;=RefiMonth+PermIOMonths,Timeline!AM$43=0),0,MIN(AL$30,PermPmt-AM$27))</f>
        <v/>
      </c>
      <c r="AN28" s="218">
        <f>IF(OR(36&lt;=RefiMonth+PermIOMonths,Timeline!AN$43=0),0,MIN(AM$30,PermPmt-AN$27))</f>
        <v/>
      </c>
      <c r="AO28" s="218">
        <f>IF(OR(37&lt;=RefiMonth+PermIOMonths,Timeline!AO$43=0),0,MIN(AN$30,PermPmt-AO$27))</f>
        <v/>
      </c>
      <c r="AP28" s="218">
        <f>IF(OR(38&lt;=RefiMonth+PermIOMonths,Timeline!AP$43=0),0,MIN(AO$30,PermPmt-AP$27))</f>
        <v/>
      </c>
      <c r="AQ28" s="218">
        <f>IF(OR(39&lt;=RefiMonth+PermIOMonths,Timeline!AQ$43=0),0,MIN(AP$30,PermPmt-AQ$27))</f>
        <v/>
      </c>
      <c r="AR28" s="218">
        <f>IF(OR(40&lt;=RefiMonth+PermIOMonths,Timeline!AR$43=0),0,MIN(AQ$30,PermPmt-AR$27))</f>
        <v/>
      </c>
      <c r="AS28" s="218">
        <f>IF(OR(41&lt;=RefiMonth+PermIOMonths,Timeline!AS$43=0),0,MIN(AR$30,PermPmt-AS$27))</f>
        <v/>
      </c>
      <c r="AT28" s="218">
        <f>IF(OR(42&lt;=RefiMonth+PermIOMonths,Timeline!AT$43=0),0,MIN(AS$30,PermPmt-AT$27))</f>
        <v/>
      </c>
      <c r="AU28" s="218">
        <f>IF(OR(43&lt;=RefiMonth+PermIOMonths,Timeline!AU$43=0),0,MIN(AT$30,PermPmt-AU$27))</f>
        <v/>
      </c>
      <c r="AV28" s="218">
        <f>IF(OR(44&lt;=RefiMonth+PermIOMonths,Timeline!AV$43=0),0,MIN(AU$30,PermPmt-AV$27))</f>
        <v/>
      </c>
      <c r="AW28" s="218">
        <f>IF(OR(45&lt;=RefiMonth+PermIOMonths,Timeline!AW$43=0),0,MIN(AV$30,PermPmt-AW$27))</f>
        <v/>
      </c>
      <c r="AX28" s="218">
        <f>IF(OR(46&lt;=RefiMonth+PermIOMonths,Timeline!AX$43=0),0,MIN(AW$30,PermPmt-AX$27))</f>
        <v/>
      </c>
      <c r="AY28" s="218">
        <f>IF(OR(47&lt;=RefiMonth+PermIOMonths,Timeline!AY$43=0),0,MIN(AX$30,PermPmt-AY$27))</f>
        <v/>
      </c>
      <c r="AZ28" s="218">
        <f>IF(OR(48&lt;=RefiMonth+PermIOMonths,Timeline!AZ$43=0),0,MIN(AY$30,PermPmt-AZ$27))</f>
        <v/>
      </c>
      <c r="BA28" s="218">
        <f>IF(OR(49&lt;=RefiMonth+PermIOMonths,Timeline!BA$43=0),0,MIN(AZ$30,PermPmt-BA$27))</f>
        <v/>
      </c>
      <c r="BB28" s="218">
        <f>IF(OR(50&lt;=RefiMonth+PermIOMonths,Timeline!BB$43=0),0,MIN(BA$30,PermPmt-BB$27))</f>
        <v/>
      </c>
      <c r="BC28" s="218">
        <f>IF(OR(51&lt;=RefiMonth+PermIOMonths,Timeline!BC$43=0),0,MIN(BB$30,PermPmt-BC$27))</f>
        <v/>
      </c>
      <c r="BD28" s="218">
        <f>IF(OR(52&lt;=RefiMonth+PermIOMonths,Timeline!BD$43=0),0,MIN(BC$30,PermPmt-BD$27))</f>
        <v/>
      </c>
      <c r="BE28" s="218">
        <f>IF(OR(53&lt;=RefiMonth+PermIOMonths,Timeline!BE$43=0),0,MIN(BD$30,PermPmt-BE$27))</f>
        <v/>
      </c>
      <c r="BF28" s="218">
        <f>IF(OR(54&lt;=RefiMonth+PermIOMonths,Timeline!BF$43=0),0,MIN(BE$30,PermPmt-BF$27))</f>
        <v/>
      </c>
      <c r="BG28" s="218">
        <f>IF(OR(55&lt;=RefiMonth+PermIOMonths,Timeline!BG$43=0),0,MIN(BF$30,PermPmt-BG$27))</f>
        <v/>
      </c>
      <c r="BH28" s="218">
        <f>IF(OR(56&lt;=RefiMonth+PermIOMonths,Timeline!BH$43=0),0,MIN(BG$30,PermPmt-BH$27))</f>
        <v/>
      </c>
      <c r="BI28" s="218">
        <f>IF(OR(57&lt;=RefiMonth+PermIOMonths,Timeline!BI$43=0),0,MIN(BH$30,PermPmt-BI$27))</f>
        <v/>
      </c>
      <c r="BJ28" s="218">
        <f>IF(OR(58&lt;=RefiMonth+PermIOMonths,Timeline!BJ$43=0),0,MIN(BI$30,PermPmt-BJ$27))</f>
        <v/>
      </c>
      <c r="BK28" s="218">
        <f>IF(OR(59&lt;=RefiMonth+PermIOMonths,Timeline!BK$43=0),0,MIN(BJ$30,PermPmt-BK$27))</f>
        <v/>
      </c>
      <c r="BL28" s="218">
        <f>IF(OR(60&lt;=RefiMonth+PermIOMonths,Timeline!BL$43=0),0,MIN(BK$30,PermPmt-BL$27))</f>
        <v/>
      </c>
      <c r="BM28" s="218">
        <f>IF(OR(61&lt;=RefiMonth+PermIOMonths,Timeline!BM$43=0),0,MIN(BL$30,PermPmt-BM$27))</f>
        <v/>
      </c>
      <c r="BN28" s="218">
        <f>IF(OR(62&lt;=RefiMonth+PermIOMonths,Timeline!BN$43=0),0,MIN(BM$30,PermPmt-BN$27))</f>
        <v/>
      </c>
      <c r="BO28" s="218">
        <f>IF(OR(63&lt;=RefiMonth+PermIOMonths,Timeline!BO$43=0),0,MIN(BN$30,PermPmt-BO$27))</f>
        <v/>
      </c>
      <c r="BP28" s="218">
        <f>IF(OR(64&lt;=RefiMonth+PermIOMonths,Timeline!BP$43=0),0,MIN(BO$30,PermPmt-BP$27))</f>
        <v/>
      </c>
      <c r="BQ28" s="218">
        <f>IF(OR(65&lt;=RefiMonth+PermIOMonths,Timeline!BQ$43=0),0,MIN(BP$30,PermPmt-BQ$27))</f>
        <v/>
      </c>
      <c r="BR28" s="218">
        <f>IF(OR(66&lt;=RefiMonth+PermIOMonths,Timeline!BR$43=0),0,MIN(BQ$30,PermPmt-BR$27))</f>
        <v/>
      </c>
      <c r="BS28" s="218">
        <f>IF(OR(67&lt;=RefiMonth+PermIOMonths,Timeline!BS$43=0),0,MIN(BR$30,PermPmt-BS$27))</f>
        <v/>
      </c>
      <c r="BT28" s="218">
        <f>IF(OR(68&lt;=RefiMonth+PermIOMonths,Timeline!BT$43=0),0,MIN(BS$30,PermPmt-BT$27))</f>
        <v/>
      </c>
      <c r="BU28" s="218">
        <f>IF(OR(69&lt;=RefiMonth+PermIOMonths,Timeline!BU$43=0),0,MIN(BT$30,PermPmt-BU$27))</f>
        <v/>
      </c>
      <c r="BV28" s="218">
        <f>IF(OR(70&lt;=RefiMonth+PermIOMonths,Timeline!BV$43=0),0,MIN(BU$30,PermPmt-BV$27))</f>
        <v/>
      </c>
      <c r="BW28" s="218">
        <f>IF(OR(71&lt;=RefiMonth+PermIOMonths,Timeline!BW$43=0),0,MIN(BV$30,PermPmt-BW$27))</f>
        <v/>
      </c>
      <c r="BX28" s="218">
        <f>IF(OR(72&lt;=RefiMonth+PermIOMonths,Timeline!BX$43=0),0,MIN(BW$30,PermPmt-BX$27))</f>
        <v/>
      </c>
      <c r="BY28" s="218">
        <f>IF(OR(73&lt;=RefiMonth+PermIOMonths,Timeline!BY$43=0),0,MIN(BX$30,PermPmt-BY$27))</f>
        <v/>
      </c>
      <c r="BZ28" s="218">
        <f>IF(OR(74&lt;=RefiMonth+PermIOMonths,Timeline!BZ$43=0),0,MIN(BY$30,PermPmt-BZ$27))</f>
        <v/>
      </c>
      <c r="CA28" s="218">
        <f>IF(OR(75&lt;=RefiMonth+PermIOMonths,Timeline!CA$43=0),0,MIN(BZ$30,PermPmt-CA$27))</f>
        <v/>
      </c>
      <c r="CB28" s="218">
        <f>IF(OR(76&lt;=RefiMonth+PermIOMonths,Timeline!CB$43=0),0,MIN(CA$30,PermPmt-CB$27))</f>
        <v/>
      </c>
      <c r="CC28" s="218">
        <f>IF(OR(77&lt;=RefiMonth+PermIOMonths,Timeline!CC$43=0),0,MIN(CB$30,PermPmt-CC$27))</f>
        <v/>
      </c>
      <c r="CD28" s="218">
        <f>IF(OR(78&lt;=RefiMonth+PermIOMonths,Timeline!CD$43=0),0,MIN(CC$30,PermPmt-CD$27))</f>
        <v/>
      </c>
      <c r="CE28" s="218">
        <f>IF(OR(79&lt;=RefiMonth+PermIOMonths,Timeline!CE$43=0),0,MIN(CD$30,PermPmt-CE$27))</f>
        <v/>
      </c>
      <c r="CF28" s="218">
        <f>IF(OR(80&lt;=RefiMonth+PermIOMonths,Timeline!CF$43=0),0,MIN(CE$30,PermPmt-CF$27))</f>
        <v/>
      </c>
      <c r="CG28" s="218">
        <f>IF(OR(81&lt;=RefiMonth+PermIOMonths,Timeline!CG$43=0),0,MIN(CF$30,PermPmt-CG$27))</f>
        <v/>
      </c>
      <c r="CH28" s="218">
        <f>IF(OR(82&lt;=RefiMonth+PermIOMonths,Timeline!CH$43=0),0,MIN(CG$30,PermPmt-CH$27))</f>
        <v/>
      </c>
      <c r="CI28" s="218">
        <f>IF(OR(83&lt;=RefiMonth+PermIOMonths,Timeline!CI$43=0),0,MIN(CH$30,PermPmt-CI$27))</f>
        <v/>
      </c>
      <c r="CJ28" s="218">
        <f>IF(OR(84&lt;=RefiMonth+PermIOMonths,Timeline!CJ$43=0),0,MIN(CI$30,PermPmt-CJ$27))</f>
        <v/>
      </c>
      <c r="CK28" s="218">
        <f>IF(OR(85&lt;=RefiMonth+PermIOMonths,Timeline!CK$43=0),0,MIN(CJ$30,PermPmt-CK$27))</f>
        <v/>
      </c>
      <c r="CL28" s="218">
        <f>IF(OR(86&lt;=RefiMonth+PermIOMonths,Timeline!CL$43=0),0,MIN(CK$30,PermPmt-CL$27))</f>
        <v/>
      </c>
      <c r="CM28" s="218">
        <f>IF(OR(87&lt;=RefiMonth+PermIOMonths,Timeline!CM$43=0),0,MIN(CL$30,PermPmt-CM$27))</f>
        <v/>
      </c>
      <c r="CN28" s="218">
        <f>IF(OR(88&lt;=RefiMonth+PermIOMonths,Timeline!CN$43=0),0,MIN(CM$30,PermPmt-CN$27))</f>
        <v/>
      </c>
      <c r="CO28" s="218">
        <f>IF(OR(89&lt;=RefiMonth+PermIOMonths,Timeline!CO$43=0),0,MIN(CN$30,PermPmt-CO$27))</f>
        <v/>
      </c>
      <c r="CP28" s="218">
        <f>IF(OR(90&lt;=RefiMonth+PermIOMonths,Timeline!CP$43=0),0,MIN(CO$30,PermPmt-CP$27))</f>
        <v/>
      </c>
      <c r="CQ28" s="218">
        <f>IF(OR(91&lt;=RefiMonth+PermIOMonths,Timeline!CQ$43=0),0,MIN(CP$30,PermPmt-CQ$27))</f>
        <v/>
      </c>
      <c r="CR28" s="218">
        <f>IF(OR(92&lt;=RefiMonth+PermIOMonths,Timeline!CR$43=0),0,MIN(CQ$30,PermPmt-CR$27))</f>
        <v/>
      </c>
      <c r="CS28" s="218">
        <f>IF(OR(93&lt;=RefiMonth+PermIOMonths,Timeline!CS$43=0),0,MIN(CR$30,PermPmt-CS$27))</f>
        <v/>
      </c>
      <c r="CT28" s="218">
        <f>IF(OR(94&lt;=RefiMonth+PermIOMonths,Timeline!CT$43=0),0,MIN(CS$30,PermPmt-CT$27))</f>
        <v/>
      </c>
      <c r="CU28" s="218">
        <f>IF(OR(95&lt;=RefiMonth+PermIOMonths,Timeline!CU$43=0),0,MIN(CT$30,PermPmt-CU$27))</f>
        <v/>
      </c>
      <c r="CV28" s="218">
        <f>IF(OR(96&lt;=RefiMonth+PermIOMonths,Timeline!CV$43=0),0,MIN(CU$30,PermPmt-CV$27))</f>
        <v/>
      </c>
      <c r="CW28" s="218">
        <f>IF(OR(97&lt;=RefiMonth+PermIOMonths,Timeline!CW$43=0),0,MIN(CV$30,PermPmt-CW$27))</f>
        <v/>
      </c>
      <c r="CX28" s="218">
        <f>IF(OR(98&lt;=RefiMonth+PermIOMonths,Timeline!CX$43=0),0,MIN(CW$30,PermPmt-CX$27))</f>
        <v/>
      </c>
      <c r="CY28" s="218">
        <f>IF(OR(99&lt;=RefiMonth+PermIOMonths,Timeline!CY$43=0),0,MIN(CX$30,PermPmt-CY$27))</f>
        <v/>
      </c>
      <c r="CZ28" s="218">
        <f>IF(OR(100&lt;=RefiMonth+PermIOMonths,Timeline!CZ$43=0),0,MIN(CY$30,PermPmt-CZ$27))</f>
        <v/>
      </c>
      <c r="DA28" s="218">
        <f>IF(OR(101&lt;=RefiMonth+PermIOMonths,Timeline!DA$43=0),0,MIN(CZ$30,PermPmt-DA$27))</f>
        <v/>
      </c>
      <c r="DB28" s="218">
        <f>IF(OR(102&lt;=RefiMonth+PermIOMonths,Timeline!DB$43=0),0,MIN(DA$30,PermPmt-DB$27))</f>
        <v/>
      </c>
      <c r="DC28" s="218">
        <f>IF(OR(103&lt;=RefiMonth+PermIOMonths,Timeline!DC$43=0),0,MIN(DB$30,PermPmt-DC$27))</f>
        <v/>
      </c>
      <c r="DD28" s="218">
        <f>IF(OR(104&lt;=RefiMonth+PermIOMonths,Timeline!DD$43=0),0,MIN(DC$30,PermPmt-DD$27))</f>
        <v/>
      </c>
      <c r="DE28" s="218">
        <f>IF(OR(105&lt;=RefiMonth+PermIOMonths,Timeline!DE$43=0),0,MIN(DD$30,PermPmt-DE$27))</f>
        <v/>
      </c>
      <c r="DF28" s="218">
        <f>IF(OR(106&lt;=RefiMonth+PermIOMonths,Timeline!DF$43=0),0,MIN(DE$30,PermPmt-DF$27))</f>
        <v/>
      </c>
      <c r="DG28" s="218">
        <f>IF(OR(107&lt;=RefiMonth+PermIOMonths,Timeline!DG$43=0),0,MIN(DF$30,PermPmt-DG$27))</f>
        <v/>
      </c>
      <c r="DH28" s="218">
        <f>IF(OR(108&lt;=RefiMonth+PermIOMonths,Timeline!DH$43=0),0,MIN(DG$30,PermPmt-DH$27))</f>
        <v/>
      </c>
      <c r="DI28" s="218">
        <f>IF(OR(109&lt;=RefiMonth+PermIOMonths,Timeline!DI$43=0),0,MIN(DH$30,PermPmt-DI$27))</f>
        <v/>
      </c>
      <c r="DJ28" s="218">
        <f>IF(OR(110&lt;=RefiMonth+PermIOMonths,Timeline!DJ$43=0),0,MIN(DI$30,PermPmt-DJ$27))</f>
        <v/>
      </c>
      <c r="DK28" s="218">
        <f>IF(OR(111&lt;=RefiMonth+PermIOMonths,Timeline!DK$43=0),0,MIN(DJ$30,PermPmt-DK$27))</f>
        <v/>
      </c>
      <c r="DL28" s="218">
        <f>IF(OR(112&lt;=RefiMonth+PermIOMonths,Timeline!DL$43=0),0,MIN(DK$30,PermPmt-DL$27))</f>
        <v/>
      </c>
      <c r="DM28" s="218">
        <f>IF(OR(113&lt;=RefiMonth+PermIOMonths,Timeline!DM$43=0),0,MIN(DL$30,PermPmt-DM$27))</f>
        <v/>
      </c>
      <c r="DN28" s="218">
        <f>IF(OR(114&lt;=RefiMonth+PermIOMonths,Timeline!DN$43=0),0,MIN(DM$30,PermPmt-DN$27))</f>
        <v/>
      </c>
      <c r="DO28" s="218">
        <f>IF(OR(115&lt;=RefiMonth+PermIOMonths,Timeline!DO$43=0),0,MIN(DN$30,PermPmt-DO$27))</f>
        <v/>
      </c>
      <c r="DP28" s="218">
        <f>IF(OR(116&lt;=RefiMonth+PermIOMonths,Timeline!DP$43=0),0,MIN(DO$30,PermPmt-DP$27))</f>
        <v/>
      </c>
      <c r="DQ28" s="218">
        <f>IF(OR(117&lt;=RefiMonth+PermIOMonths,Timeline!DQ$43=0),0,MIN(DP$30,PermPmt-DQ$27))</f>
        <v/>
      </c>
      <c r="DR28" s="218">
        <f>IF(OR(118&lt;=RefiMonth+PermIOMonths,Timeline!DR$43=0),0,MIN(DQ$30,PermPmt-DR$27))</f>
        <v/>
      </c>
      <c r="DS28" s="218">
        <f>IF(OR(119&lt;=RefiMonth+PermIOMonths,Timeline!DS$43=0),0,MIN(DR$30,PermPmt-DS$27))</f>
        <v/>
      </c>
      <c r="DT28" s="218">
        <f>IF(OR(120&lt;=RefiMonth+PermIOMonths,Timeline!DT$43=0),0,MIN(DS$30,PermPmt-DT$27))</f>
        <v/>
      </c>
      <c r="DU28" s="218">
        <f>IF(OR(121&lt;=RefiMonth+PermIOMonths,Timeline!DU$43=0),0,MIN(DT$30,PermPmt-DU$27))</f>
        <v/>
      </c>
      <c r="DV28" s="218">
        <f>IF(OR(122&lt;=RefiMonth+PermIOMonths,Timeline!DV$43=0),0,MIN(DU$30,PermPmt-DV$27))</f>
        <v/>
      </c>
      <c r="DW28" s="218">
        <f>IF(OR(123&lt;=RefiMonth+PermIOMonths,Timeline!DW$43=0),0,MIN(DV$30,PermPmt-DW$27))</f>
        <v/>
      </c>
      <c r="DX28" s="218">
        <f>IF(OR(124&lt;=RefiMonth+PermIOMonths,Timeline!DX$43=0),0,MIN(DW$30,PermPmt-DX$27))</f>
        <v/>
      </c>
      <c r="DY28" s="218">
        <f>IF(OR(125&lt;=RefiMonth+PermIOMonths,Timeline!DY$43=0),0,MIN(DX$30,PermPmt-DY$27))</f>
        <v/>
      </c>
      <c r="DZ28" s="218">
        <f>IF(OR(126&lt;=RefiMonth+PermIOMonths,Timeline!DZ$43=0),0,MIN(DY$30,PermPmt-DZ$27))</f>
        <v/>
      </c>
      <c r="EA28" s="218">
        <f>IF(OR(127&lt;=RefiMonth+PermIOMonths,Timeline!EA$43=0),0,MIN(DZ$30,PermPmt-EA$27))</f>
        <v/>
      </c>
      <c r="EB28" s="218">
        <f>IF(OR(128&lt;=RefiMonth+PermIOMonths,Timeline!EB$43=0),0,MIN(EA$30,PermPmt-EB$27))</f>
        <v/>
      </c>
      <c r="EC28" s="218">
        <f>IF(OR(129&lt;=RefiMonth+PermIOMonths,Timeline!EC$43=0),0,MIN(EB$30,PermPmt-EC$27))</f>
        <v/>
      </c>
      <c r="ED28" s="218">
        <f>IF(OR(130&lt;=RefiMonth+PermIOMonths,Timeline!ED$43=0),0,MIN(EC$30,PermPmt-ED$27))</f>
        <v/>
      </c>
      <c r="EE28" s="218">
        <f>IF(OR(131&lt;=RefiMonth+PermIOMonths,Timeline!EE$43=0),0,MIN(ED$30,PermPmt-EE$27))</f>
        <v/>
      </c>
      <c r="EF28" s="218">
        <f>IF(OR(132&lt;=RefiMonth+PermIOMonths,Timeline!EF$43=0),0,MIN(EE$30,PermPmt-EF$27))</f>
        <v/>
      </c>
      <c r="EG28" s="218">
        <f>IF(OR(133&lt;=RefiMonth+PermIOMonths,Timeline!EG$43=0),0,MIN(EF$30,PermPmt-EG$27))</f>
        <v/>
      </c>
      <c r="EH28" s="218">
        <f>IF(OR(134&lt;=RefiMonth+PermIOMonths,Timeline!EH$43=0),0,MIN(EG$30,PermPmt-EH$27))</f>
        <v/>
      </c>
      <c r="EI28" s="218">
        <f>IF(OR(135&lt;=RefiMonth+PermIOMonths,Timeline!EI$43=0),0,MIN(EH$30,PermPmt-EI$27))</f>
        <v/>
      </c>
      <c r="EJ28" s="218">
        <f>IF(OR(136&lt;=RefiMonth+PermIOMonths,Timeline!EJ$43=0),0,MIN(EI$30,PermPmt-EJ$27))</f>
        <v/>
      </c>
      <c r="EK28" s="218">
        <f>IF(OR(137&lt;=RefiMonth+PermIOMonths,Timeline!EK$43=0),0,MIN(EJ$30,PermPmt-EK$27))</f>
        <v/>
      </c>
      <c r="EL28" s="218">
        <f>IF(OR(138&lt;=RefiMonth+PermIOMonths,Timeline!EL$43=0),0,MIN(EK$30,PermPmt-EL$27))</f>
        <v/>
      </c>
      <c r="EM28" s="218">
        <f>IF(OR(139&lt;=RefiMonth+PermIOMonths,Timeline!EM$43=0),0,MIN(EL$30,PermPmt-EM$27))</f>
        <v/>
      </c>
      <c r="EN28" s="218">
        <f>IF(OR(140&lt;=RefiMonth+PermIOMonths,Timeline!EN$43=0),0,MIN(EM$30,PermPmt-EN$27))</f>
        <v/>
      </c>
      <c r="EO28" s="218">
        <f>IF(OR(141&lt;=RefiMonth+PermIOMonths,Timeline!EO$43=0),0,MIN(EN$30,PermPmt-EO$27))</f>
        <v/>
      </c>
      <c r="EP28" s="218">
        <f>IF(OR(142&lt;=RefiMonth+PermIOMonths,Timeline!EP$43=0),0,MIN(EO$30,PermPmt-EP$27))</f>
        <v/>
      </c>
      <c r="EQ28" s="218">
        <f>IF(OR(143&lt;=RefiMonth+PermIOMonths,Timeline!EQ$43=0),0,MIN(EP$30,PermPmt-EQ$27))</f>
        <v/>
      </c>
      <c r="ER28" s="218">
        <f>IF(OR(144&lt;=RefiMonth+PermIOMonths,Timeline!ER$43=0),0,MIN(EQ$30,PermPmt-ER$27))</f>
        <v/>
      </c>
      <c r="ES28" s="218">
        <f>IF(OR(145&lt;=RefiMonth+PermIOMonths,Timeline!ES$43=0),0,MIN(ER$30,PermPmt-ES$27))</f>
        <v/>
      </c>
      <c r="ET28" s="218">
        <f>IF(OR(146&lt;=RefiMonth+PermIOMonths,Timeline!ET$43=0),0,MIN(ES$30,PermPmt-ET$27))</f>
        <v/>
      </c>
      <c r="EU28" s="218">
        <f>IF(OR(147&lt;=RefiMonth+PermIOMonths,Timeline!EU$43=0),0,MIN(ET$30,PermPmt-EU$27))</f>
        <v/>
      </c>
      <c r="EV28" s="218">
        <f>IF(OR(148&lt;=RefiMonth+PermIOMonths,Timeline!EV$43=0),0,MIN(EU$30,PermPmt-EV$27))</f>
        <v/>
      </c>
      <c r="EW28" s="218">
        <f>IF(OR(149&lt;=RefiMonth+PermIOMonths,Timeline!EW$43=0),0,MIN(EV$30,PermPmt-EW$27))</f>
        <v/>
      </c>
      <c r="EX28" s="218">
        <f>IF(OR(150&lt;=RefiMonth+PermIOMonths,Timeline!EX$43=0),0,MIN(EW$30,PermPmt-EX$27))</f>
        <v/>
      </c>
      <c r="EY28" s="218">
        <f>IF(OR(151&lt;=RefiMonth+PermIOMonths,Timeline!EY$43=0),0,MIN(EX$30,PermPmt-EY$27))</f>
        <v/>
      </c>
      <c r="EZ28" s="218">
        <f>IF(OR(152&lt;=RefiMonth+PermIOMonths,Timeline!EZ$43=0),0,MIN(EY$30,PermPmt-EZ$27))</f>
        <v/>
      </c>
      <c r="FA28" s="218">
        <f>IF(OR(153&lt;=RefiMonth+PermIOMonths,Timeline!FA$43=0),0,MIN(EZ$30,PermPmt-FA$27))</f>
        <v/>
      </c>
      <c r="FB28" s="218">
        <f>IF(OR(154&lt;=RefiMonth+PermIOMonths,Timeline!FB$43=0),0,MIN(FA$30,PermPmt-FB$27))</f>
        <v/>
      </c>
      <c r="FC28" s="218">
        <f>IF(OR(155&lt;=RefiMonth+PermIOMonths,Timeline!FC$43=0),0,MIN(FB$30,PermPmt-FC$27))</f>
        <v/>
      </c>
      <c r="FD28" s="218">
        <f>IF(OR(156&lt;=RefiMonth+PermIOMonths,Timeline!FD$43=0),0,MIN(FC$30,PermPmt-FD$27))</f>
        <v/>
      </c>
      <c r="FE28" s="218">
        <f>IF(OR(157&lt;=RefiMonth+PermIOMonths,Timeline!FE$43=0),0,MIN(FD$30,PermPmt-FE$27))</f>
        <v/>
      </c>
      <c r="FF28" s="218">
        <f>IF(OR(158&lt;=RefiMonth+PermIOMonths,Timeline!FF$43=0),0,MIN(FE$30,PermPmt-FF$27))</f>
        <v/>
      </c>
      <c r="FG28" s="218">
        <f>IF(OR(159&lt;=RefiMonth+PermIOMonths,Timeline!FG$43=0),0,MIN(FF$30,PermPmt-FG$27))</f>
        <v/>
      </c>
      <c r="FH28" s="218">
        <f>IF(OR(160&lt;=RefiMonth+PermIOMonths,Timeline!FH$43=0),0,MIN(FG$30,PermPmt-FH$27))</f>
        <v/>
      </c>
      <c r="FI28" s="218">
        <f>IF(OR(161&lt;=RefiMonth+PermIOMonths,Timeline!FI$43=0),0,MIN(FH$30,PermPmt-FI$27))</f>
        <v/>
      </c>
      <c r="FJ28" s="218">
        <f>IF(OR(162&lt;=RefiMonth+PermIOMonths,Timeline!FJ$43=0),0,MIN(FI$30,PermPmt-FJ$27))</f>
        <v/>
      </c>
      <c r="FK28" s="218">
        <f>IF(OR(163&lt;=RefiMonth+PermIOMonths,Timeline!FK$43=0),0,MIN(FJ$30,PermPmt-FK$27))</f>
        <v/>
      </c>
      <c r="FL28" s="218">
        <f>IF(OR(164&lt;=RefiMonth+PermIOMonths,Timeline!FL$43=0),0,MIN(FK$30,PermPmt-FL$27))</f>
        <v/>
      </c>
      <c r="FM28" s="218">
        <f>IF(OR(165&lt;=RefiMonth+PermIOMonths,Timeline!FM$43=0),0,MIN(FL$30,PermPmt-FM$27))</f>
        <v/>
      </c>
      <c r="FN28" s="218">
        <f>IF(OR(166&lt;=RefiMonth+PermIOMonths,Timeline!FN$43=0),0,MIN(FM$30,PermPmt-FN$27))</f>
        <v/>
      </c>
      <c r="FO28" s="218">
        <f>IF(OR(167&lt;=RefiMonth+PermIOMonths,Timeline!FO$43=0),0,MIN(FN$30,PermPmt-FO$27))</f>
        <v/>
      </c>
      <c r="FP28" s="218">
        <f>IF(OR(168&lt;=RefiMonth+PermIOMonths,Timeline!FP$43=0),0,MIN(FO$30,PermPmt-FP$27))</f>
        <v/>
      </c>
      <c r="FQ28" s="218">
        <f>IF(OR(169&lt;=RefiMonth+PermIOMonths,Timeline!FQ$43=0),0,MIN(FP$30,PermPmt-FQ$27))</f>
        <v/>
      </c>
      <c r="FR28" s="218">
        <f>IF(OR(170&lt;=RefiMonth+PermIOMonths,Timeline!FR$43=0),0,MIN(FQ$30,PermPmt-FR$27))</f>
        <v/>
      </c>
      <c r="FS28" s="218">
        <f>IF(OR(171&lt;=RefiMonth+PermIOMonths,Timeline!FS$43=0),0,MIN(FR$30,PermPmt-FS$27))</f>
        <v/>
      </c>
      <c r="FT28" s="218">
        <f>IF(OR(172&lt;=RefiMonth+PermIOMonths,Timeline!FT$43=0),0,MIN(FS$30,PermPmt-FT$27))</f>
        <v/>
      </c>
      <c r="FU28" s="218">
        <f>IF(OR(173&lt;=RefiMonth+PermIOMonths,Timeline!FU$43=0),0,MIN(FT$30,PermPmt-FU$27))</f>
        <v/>
      </c>
      <c r="FV28" s="218">
        <f>IF(OR(174&lt;=RefiMonth+PermIOMonths,Timeline!FV$43=0),0,MIN(FU$30,PermPmt-FV$27))</f>
        <v/>
      </c>
      <c r="FW28" s="218">
        <f>IF(OR(175&lt;=RefiMonth+PermIOMonths,Timeline!FW$43=0),0,MIN(FV$30,PermPmt-FW$27))</f>
        <v/>
      </c>
      <c r="FX28" s="218">
        <f>IF(OR(176&lt;=RefiMonth+PermIOMonths,Timeline!FX$43=0),0,MIN(FW$30,PermPmt-FX$27))</f>
        <v/>
      </c>
      <c r="FY28" s="218">
        <f>IF(OR(177&lt;=RefiMonth+PermIOMonths,Timeline!FY$43=0),0,MIN(FX$30,PermPmt-FY$27))</f>
        <v/>
      </c>
      <c r="FZ28" s="218">
        <f>IF(OR(178&lt;=RefiMonth+PermIOMonths,Timeline!FZ$43=0),0,MIN(FY$30,PermPmt-FZ$27))</f>
        <v/>
      </c>
      <c r="GA28" s="218">
        <f>IF(OR(179&lt;=RefiMonth+PermIOMonths,Timeline!GA$43=0),0,MIN(FZ$30,PermPmt-GA$27))</f>
        <v/>
      </c>
      <c r="GB28" s="218">
        <f>IF(OR(180&lt;=RefiMonth+PermIOMonths,Timeline!GB$43=0),0,MIN(GA$30,PermPmt-GB$27))</f>
        <v/>
      </c>
      <c r="GC28" s="218">
        <f>IF(OR(181&lt;=RefiMonth+PermIOMonths,Timeline!GC$43=0),0,MIN(GB$30,PermPmt-GC$27))</f>
        <v/>
      </c>
      <c r="GD28" s="218">
        <f>IF(OR(182&lt;=RefiMonth+PermIOMonths,Timeline!GD$43=0),0,MIN(GC$30,PermPmt-GD$27))</f>
        <v/>
      </c>
      <c r="GE28" s="218">
        <f>IF(OR(183&lt;=RefiMonth+PermIOMonths,Timeline!GE$43=0),0,MIN(GD$30,PermPmt-GE$27))</f>
        <v/>
      </c>
      <c r="GF28" s="218">
        <f>IF(OR(184&lt;=RefiMonth+PermIOMonths,Timeline!GF$43=0),0,MIN(GE$30,PermPmt-GF$27))</f>
        <v/>
      </c>
      <c r="GG28" s="218">
        <f>IF(OR(185&lt;=RefiMonth+PermIOMonths,Timeline!GG$43=0),0,MIN(GF$30,PermPmt-GG$27))</f>
        <v/>
      </c>
      <c r="GH28" s="218">
        <f>IF(OR(186&lt;=RefiMonth+PermIOMonths,Timeline!GH$43=0),0,MIN(GG$30,PermPmt-GH$27))</f>
        <v/>
      </c>
      <c r="GI28" s="218">
        <f>IF(OR(187&lt;=RefiMonth+PermIOMonths,Timeline!GI$43=0),0,MIN(GH$30,PermPmt-GI$27))</f>
        <v/>
      </c>
      <c r="GJ28" s="218">
        <f>IF(OR(188&lt;=RefiMonth+PermIOMonths,Timeline!GJ$43=0),0,MIN(GI$30,PermPmt-GJ$27))</f>
        <v/>
      </c>
      <c r="GK28" s="218">
        <f>IF(OR(189&lt;=RefiMonth+PermIOMonths,Timeline!GK$43=0),0,MIN(GJ$30,PermPmt-GK$27))</f>
        <v/>
      </c>
      <c r="GL28" s="218">
        <f>IF(OR(190&lt;=RefiMonth+PermIOMonths,Timeline!GL$43=0),0,MIN(GK$30,PermPmt-GL$27))</f>
        <v/>
      </c>
      <c r="GM28" s="218">
        <f>IF(OR(191&lt;=RefiMonth+PermIOMonths,Timeline!GM$43=0),0,MIN(GL$30,PermPmt-GM$27))</f>
        <v/>
      </c>
      <c r="GN28" s="218">
        <f>IF(OR(192&lt;=RefiMonth+PermIOMonths,Timeline!GN$43=0),0,MIN(GM$30,PermPmt-GN$27))</f>
        <v/>
      </c>
      <c r="GO28" s="218">
        <f>IF(OR(193&lt;=RefiMonth+PermIOMonths,Timeline!GO$43=0),0,MIN(GN$30,PermPmt-GO$27))</f>
        <v/>
      </c>
      <c r="GP28" s="218">
        <f>IF(OR(194&lt;=RefiMonth+PermIOMonths,Timeline!GP$43=0),0,MIN(GO$30,PermPmt-GP$27))</f>
        <v/>
      </c>
      <c r="GQ28" s="218">
        <f>IF(OR(195&lt;=RefiMonth+PermIOMonths,Timeline!GQ$43=0),0,MIN(GP$30,PermPmt-GQ$27))</f>
        <v/>
      </c>
      <c r="GR28" s="218">
        <f>IF(OR(196&lt;=RefiMonth+PermIOMonths,Timeline!GR$43=0),0,MIN(GQ$30,PermPmt-GR$27))</f>
        <v/>
      </c>
      <c r="GS28" s="218">
        <f>IF(OR(197&lt;=RefiMonth+PermIOMonths,Timeline!GS$43=0),0,MIN(GR$30,PermPmt-GS$27))</f>
        <v/>
      </c>
      <c r="GT28" s="218">
        <f>IF(OR(198&lt;=RefiMonth+PermIOMonths,Timeline!GT$43=0),0,MIN(GS$30,PermPmt-GT$27))</f>
        <v/>
      </c>
      <c r="GU28" s="218">
        <f>IF(OR(199&lt;=RefiMonth+PermIOMonths,Timeline!GU$43=0),0,MIN(GT$30,PermPmt-GU$27))</f>
        <v/>
      </c>
      <c r="GV28" s="218">
        <f>IF(OR(200&lt;=RefiMonth+PermIOMonths,Timeline!GV$43=0),0,MIN(GU$30,PermPmt-GV$27))</f>
        <v/>
      </c>
      <c r="GW28" s="218">
        <f>IF(OR(201&lt;=RefiMonth+PermIOMonths,Timeline!GW$43=0),0,MIN(GV$30,PermPmt-GW$27))</f>
        <v/>
      </c>
      <c r="GX28" s="218">
        <f>IF(OR(202&lt;=RefiMonth+PermIOMonths,Timeline!GX$43=0),0,MIN(GW$30,PermPmt-GX$27))</f>
        <v/>
      </c>
      <c r="GY28" s="218">
        <f>IF(OR(203&lt;=RefiMonth+PermIOMonths,Timeline!GY$43=0),0,MIN(GX$30,PermPmt-GY$27))</f>
        <v/>
      </c>
      <c r="GZ28" s="218">
        <f>IF(OR(204&lt;=RefiMonth+PermIOMonths,Timeline!GZ$43=0),0,MIN(GY$30,PermPmt-GZ$27))</f>
        <v/>
      </c>
      <c r="HA28" s="218">
        <f>IF(OR(205&lt;=RefiMonth+PermIOMonths,Timeline!HA$43=0),0,MIN(GZ$30,PermPmt-HA$27))</f>
        <v/>
      </c>
      <c r="HB28" s="218">
        <f>IF(OR(206&lt;=RefiMonth+PermIOMonths,Timeline!HB$43=0),0,MIN(HA$30,PermPmt-HB$27))</f>
        <v/>
      </c>
      <c r="HC28" s="218">
        <f>IF(OR(207&lt;=RefiMonth+PermIOMonths,Timeline!HC$43=0),0,MIN(HB$30,PermPmt-HC$27))</f>
        <v/>
      </c>
      <c r="HD28" s="218">
        <f>IF(OR(208&lt;=RefiMonth+PermIOMonths,Timeline!HD$43=0),0,MIN(HC$30,PermPmt-HD$27))</f>
        <v/>
      </c>
      <c r="HE28" s="218">
        <f>IF(OR(209&lt;=RefiMonth+PermIOMonths,Timeline!HE$43=0),0,MIN(HD$30,PermPmt-HE$27))</f>
        <v/>
      </c>
      <c r="HF28" s="218">
        <f>IF(OR(210&lt;=RefiMonth+PermIOMonths,Timeline!HF$43=0),0,MIN(HE$30,PermPmt-HF$27))</f>
        <v/>
      </c>
      <c r="HG28" s="218">
        <f>IF(OR(211&lt;=RefiMonth+PermIOMonths,Timeline!HG$43=0),0,MIN(HF$30,PermPmt-HG$27))</f>
        <v/>
      </c>
      <c r="HH28" s="218">
        <f>IF(OR(212&lt;=RefiMonth+PermIOMonths,Timeline!HH$43=0),0,MIN(HG$30,PermPmt-HH$27))</f>
        <v/>
      </c>
      <c r="HI28" s="218">
        <f>IF(OR(213&lt;=RefiMonth+PermIOMonths,Timeline!HI$43=0),0,MIN(HH$30,PermPmt-HI$27))</f>
        <v/>
      </c>
      <c r="HJ28" s="218">
        <f>IF(OR(214&lt;=RefiMonth+PermIOMonths,Timeline!HJ$43=0),0,MIN(HI$30,PermPmt-HJ$27))</f>
        <v/>
      </c>
      <c r="HK28" s="218">
        <f>IF(OR(215&lt;=RefiMonth+PermIOMonths,Timeline!HK$43=0),0,MIN(HJ$30,PermPmt-HK$27))</f>
        <v/>
      </c>
      <c r="HL28" s="218">
        <f>IF(OR(216&lt;=RefiMonth+PermIOMonths,Timeline!HL$43=0),0,MIN(HK$30,PermPmt-HL$27))</f>
        <v/>
      </c>
      <c r="HM28" s="218">
        <f>IF(OR(217&lt;=RefiMonth+PermIOMonths,Timeline!HM$43=0),0,MIN(HL$30,PermPmt-HM$27))</f>
        <v/>
      </c>
      <c r="HN28" s="218">
        <f>IF(OR(218&lt;=RefiMonth+PermIOMonths,Timeline!HN$43=0),0,MIN(HM$30,PermPmt-HN$27))</f>
        <v/>
      </c>
      <c r="HO28" s="218">
        <f>IF(OR(219&lt;=RefiMonth+PermIOMonths,Timeline!HO$43=0),0,MIN(HN$30,PermPmt-HO$27))</f>
        <v/>
      </c>
      <c r="HP28" s="218">
        <f>IF(OR(220&lt;=RefiMonth+PermIOMonths,Timeline!HP$43=0),0,MIN(HO$30,PermPmt-HP$27))</f>
        <v/>
      </c>
      <c r="HQ28" s="218">
        <f>IF(OR(221&lt;=RefiMonth+PermIOMonths,Timeline!HQ$43=0),0,MIN(HP$30,PermPmt-HQ$27))</f>
        <v/>
      </c>
      <c r="HR28" s="218">
        <f>IF(OR(222&lt;=RefiMonth+PermIOMonths,Timeline!HR$43=0),0,MIN(HQ$30,PermPmt-HR$27))</f>
        <v/>
      </c>
      <c r="HS28" s="218">
        <f>IF(OR(223&lt;=RefiMonth+PermIOMonths,Timeline!HS$43=0),0,MIN(HR$30,PermPmt-HS$27))</f>
        <v/>
      </c>
      <c r="HT28" s="218">
        <f>IF(OR(224&lt;=RefiMonth+PermIOMonths,Timeline!HT$43=0),0,MIN(HS$30,PermPmt-HT$27))</f>
        <v/>
      </c>
      <c r="HU28" s="218">
        <f>IF(OR(225&lt;=RefiMonth+PermIOMonths,Timeline!HU$43=0),0,MIN(HT$30,PermPmt-HU$27))</f>
        <v/>
      </c>
      <c r="HV28" s="218">
        <f>IF(OR(226&lt;=RefiMonth+PermIOMonths,Timeline!HV$43=0),0,MIN(HU$30,PermPmt-HV$27))</f>
        <v/>
      </c>
      <c r="HW28" s="218">
        <f>IF(OR(227&lt;=RefiMonth+PermIOMonths,Timeline!HW$43=0),0,MIN(HV$30,PermPmt-HW$27))</f>
        <v/>
      </c>
      <c r="HX28" s="218">
        <f>IF(OR(228&lt;=RefiMonth+PermIOMonths,Timeline!HX$43=0),0,MIN(HW$30,PermPmt-HX$27))</f>
        <v/>
      </c>
      <c r="HY28" s="218">
        <f>IF(OR(229&lt;=RefiMonth+PermIOMonths,Timeline!HY$43=0),0,MIN(HX$30,PermPmt-HY$27))</f>
        <v/>
      </c>
      <c r="HZ28" s="218">
        <f>IF(OR(230&lt;=RefiMonth+PermIOMonths,Timeline!HZ$43=0),0,MIN(HY$30,PermPmt-HZ$27))</f>
        <v/>
      </c>
      <c r="IA28" s="218">
        <f>IF(OR(231&lt;=RefiMonth+PermIOMonths,Timeline!IA$43=0),0,MIN(HZ$30,PermPmt-IA$27))</f>
        <v/>
      </c>
      <c r="IB28" s="218">
        <f>IF(OR(232&lt;=RefiMonth+PermIOMonths,Timeline!IB$43=0),0,MIN(IA$30,PermPmt-IB$27))</f>
        <v/>
      </c>
      <c r="IC28" s="218">
        <f>IF(OR(233&lt;=RefiMonth+PermIOMonths,Timeline!IC$43=0),0,MIN(IB$30,PermPmt-IC$27))</f>
        <v/>
      </c>
      <c r="ID28" s="218">
        <f>IF(OR(234&lt;=RefiMonth+PermIOMonths,Timeline!ID$43=0),0,MIN(IC$30,PermPmt-ID$27))</f>
        <v/>
      </c>
      <c r="IE28" s="218">
        <f>IF(OR(235&lt;=RefiMonth+PermIOMonths,Timeline!IE$43=0),0,MIN(ID$30,PermPmt-IE$27))</f>
        <v/>
      </c>
      <c r="IF28" s="218">
        <f>IF(OR(236&lt;=RefiMonth+PermIOMonths,Timeline!IF$43=0),0,MIN(IE$30,PermPmt-IF$27))</f>
        <v/>
      </c>
      <c r="IG28" s="218">
        <f>IF(OR(237&lt;=RefiMonth+PermIOMonths,Timeline!IG$43=0),0,MIN(IF$30,PermPmt-IG$27))</f>
        <v/>
      </c>
      <c r="IH28" s="218">
        <f>IF(OR(238&lt;=RefiMonth+PermIOMonths,Timeline!IH$43=0),0,MIN(IG$30,PermPmt-IH$27))</f>
        <v/>
      </c>
      <c r="II28" s="218">
        <f>IF(OR(239&lt;=RefiMonth+PermIOMonths,Timeline!II$43=0),0,MIN(IH$30,PermPmt-II$27))</f>
        <v/>
      </c>
      <c r="IJ28" s="218">
        <f>IF(OR(240&lt;=RefiMonth+PermIOMonths,Timeline!IJ$43=0),0,MIN(II$30,PermPmt-IJ$27))</f>
        <v/>
      </c>
      <c r="IK28" s="218">
        <f>IF(OR(241&lt;=RefiMonth+PermIOMonths,Timeline!IK$43=0),0,MIN(IJ$30,PermPmt-IK$27))</f>
        <v/>
      </c>
      <c r="IL28" s="218">
        <f>IF(OR(242&lt;=RefiMonth+PermIOMonths,Timeline!IL$43=0),0,MIN(IK$30,PermPmt-IL$27))</f>
        <v/>
      </c>
      <c r="IM28" s="218">
        <f>IF(OR(243&lt;=RefiMonth+PermIOMonths,Timeline!IM$43=0),0,MIN(IL$30,PermPmt-IM$27))</f>
        <v/>
      </c>
      <c r="IN28" s="218">
        <f>IF(OR(244&lt;=RefiMonth+PermIOMonths,Timeline!IN$43=0),0,MIN(IM$30,PermPmt-IN$27))</f>
        <v/>
      </c>
      <c r="IO28" s="218">
        <f>IF(OR(245&lt;=RefiMonth+PermIOMonths,Timeline!IO$43=0),0,MIN(IN$30,PermPmt-IO$27))</f>
        <v/>
      </c>
      <c r="IP28" s="218">
        <f>IF(OR(246&lt;=RefiMonth+PermIOMonths,Timeline!IP$43=0),0,MIN(IO$30,PermPmt-IP$27))</f>
        <v/>
      </c>
      <c r="IQ28" s="218">
        <f>IF(OR(247&lt;=RefiMonth+PermIOMonths,Timeline!IQ$43=0),0,MIN(IP$30,PermPmt-IQ$27))</f>
        <v/>
      </c>
      <c r="IR28" s="218">
        <f>IF(OR(248&lt;=RefiMonth+PermIOMonths,Timeline!IR$43=0),0,MIN(IQ$30,PermPmt-IR$27))</f>
        <v/>
      </c>
      <c r="IS28" s="218">
        <f>IF(OR(249&lt;=RefiMonth+PermIOMonths,Timeline!IS$43=0),0,MIN(IR$30,PermPmt-IS$27))</f>
        <v/>
      </c>
      <c r="IT28" s="218">
        <f>IF(OR(250&lt;=RefiMonth+PermIOMonths,Timeline!IT$43=0),0,MIN(IS$30,PermPmt-IT$27))</f>
        <v/>
      </c>
      <c r="IU28" s="218">
        <f>IF(OR(251&lt;=RefiMonth+PermIOMonths,Timeline!IU$43=0),0,MIN(IT$30,PermPmt-IU$27))</f>
        <v/>
      </c>
      <c r="IV28" s="218">
        <f>IF(OR(252&lt;=RefiMonth+PermIOMonths,Timeline!IV$43=0),0,MIN(IU$30,PermPmt-IV$27))</f>
        <v/>
      </c>
      <c r="IW28" s="218">
        <f>IF(OR(253&lt;=RefiMonth+PermIOMonths,Timeline!IW$43=0),0,MIN(IV$30,PermPmt-IW$27))</f>
        <v/>
      </c>
      <c r="IX28" s="218">
        <f>IF(OR(254&lt;=RefiMonth+PermIOMonths,Timeline!IX$43=0),0,MIN(IW$30,PermPmt-IX$27))</f>
        <v/>
      </c>
      <c r="IY28" s="218">
        <f>IF(OR(255&lt;=RefiMonth+PermIOMonths,Timeline!IY$43=0),0,MIN(IX$30,PermPmt-IY$27))</f>
        <v/>
      </c>
      <c r="IZ28" s="218">
        <f>IF(OR(256&lt;=RefiMonth+PermIOMonths,Timeline!IZ$43=0),0,MIN(IY$30,PermPmt-IZ$27))</f>
        <v/>
      </c>
      <c r="JA28" s="218">
        <f>IF(OR(257&lt;=RefiMonth+PermIOMonths,Timeline!JA$43=0),0,MIN(IZ$30,PermPmt-JA$27))</f>
        <v/>
      </c>
      <c r="JB28" s="218">
        <f>IF(OR(258&lt;=RefiMonth+PermIOMonths,Timeline!JB$43=0),0,MIN(JA$30,PermPmt-JB$27))</f>
        <v/>
      </c>
      <c r="JC28" s="218">
        <f>IF(OR(259&lt;=RefiMonth+PermIOMonths,Timeline!JC$43=0),0,MIN(JB$30,PermPmt-JC$27))</f>
        <v/>
      </c>
      <c r="JD28" s="218">
        <f>IF(OR(260&lt;=RefiMonth+PermIOMonths,Timeline!JD$43=0),0,MIN(JC$30,PermPmt-JD$27))</f>
        <v/>
      </c>
      <c r="JE28" s="218">
        <f>IF(OR(261&lt;=RefiMonth+PermIOMonths,Timeline!JE$43=0),0,MIN(JD$30,PermPmt-JE$27))</f>
        <v/>
      </c>
      <c r="JF28" s="218">
        <f>IF(OR(262&lt;=RefiMonth+PermIOMonths,Timeline!JF$43=0),0,MIN(JE$30,PermPmt-JF$27))</f>
        <v/>
      </c>
      <c r="JG28" s="218">
        <f>IF(OR(263&lt;=RefiMonth+PermIOMonths,Timeline!JG$43=0),0,MIN(JF$30,PermPmt-JG$27))</f>
        <v/>
      </c>
      <c r="JH28" s="218">
        <f>IF(OR(264&lt;=RefiMonth+PermIOMonths,Timeline!JH$43=0),0,MIN(JG$30,PermPmt-JH$27))</f>
        <v/>
      </c>
      <c r="JI28" s="218">
        <f>IF(OR(265&lt;=RefiMonth+PermIOMonths,Timeline!JI$43=0),0,MIN(JH$30,PermPmt-JI$27))</f>
        <v/>
      </c>
      <c r="JJ28" s="218">
        <f>IF(OR(266&lt;=RefiMonth+PermIOMonths,Timeline!JJ$43=0),0,MIN(JI$30,PermPmt-JJ$27))</f>
        <v/>
      </c>
      <c r="JK28" s="218">
        <f>IF(OR(267&lt;=RefiMonth+PermIOMonths,Timeline!JK$43=0),0,MIN(JJ$30,PermPmt-JK$27))</f>
        <v/>
      </c>
      <c r="JL28" s="218">
        <f>IF(OR(268&lt;=RefiMonth+PermIOMonths,Timeline!JL$43=0),0,MIN(JK$30,PermPmt-JL$27))</f>
        <v/>
      </c>
      <c r="JM28" s="218">
        <f>IF(OR(269&lt;=RefiMonth+PermIOMonths,Timeline!JM$43=0),0,MIN(JL$30,PermPmt-JM$27))</f>
        <v/>
      </c>
      <c r="JN28" s="218">
        <f>IF(OR(270&lt;=RefiMonth+PermIOMonths,Timeline!JN$43=0),0,MIN(JM$30,PermPmt-JN$27))</f>
        <v/>
      </c>
      <c r="JO28" s="218">
        <f>IF(OR(271&lt;=RefiMonth+PermIOMonths,Timeline!JO$43=0),0,MIN(JN$30,PermPmt-JO$27))</f>
        <v/>
      </c>
      <c r="JP28" s="218">
        <f>IF(OR(272&lt;=RefiMonth+PermIOMonths,Timeline!JP$43=0),0,MIN(JO$30,PermPmt-JP$27))</f>
        <v/>
      </c>
      <c r="JQ28" s="218">
        <f>IF(OR(273&lt;=RefiMonth+PermIOMonths,Timeline!JQ$43=0),0,MIN(JP$30,PermPmt-JQ$27))</f>
        <v/>
      </c>
      <c r="JR28" s="218">
        <f>IF(OR(274&lt;=RefiMonth+PermIOMonths,Timeline!JR$43=0),0,MIN(JQ$30,PermPmt-JR$27))</f>
        <v/>
      </c>
      <c r="JS28" s="218">
        <f>IF(OR(275&lt;=RefiMonth+PermIOMonths,Timeline!JS$43=0),0,MIN(JR$30,PermPmt-JS$27))</f>
        <v/>
      </c>
      <c r="JT28" s="218">
        <f>IF(OR(276&lt;=RefiMonth+PermIOMonths,Timeline!JT$43=0),0,MIN(JS$30,PermPmt-JT$27))</f>
        <v/>
      </c>
      <c r="JU28" s="218">
        <f>IF(OR(277&lt;=RefiMonth+PermIOMonths,Timeline!JU$43=0),0,MIN(JT$30,PermPmt-JU$27))</f>
        <v/>
      </c>
      <c r="JV28" s="218">
        <f>IF(OR(278&lt;=RefiMonth+PermIOMonths,Timeline!JV$43=0),0,MIN(JU$30,PermPmt-JV$27))</f>
        <v/>
      </c>
      <c r="JW28" s="218">
        <f>IF(OR(279&lt;=RefiMonth+PermIOMonths,Timeline!JW$43=0),0,MIN(JV$30,PermPmt-JW$27))</f>
        <v/>
      </c>
      <c r="JX28" s="218">
        <f>IF(OR(280&lt;=RefiMonth+PermIOMonths,Timeline!JX$43=0),0,MIN(JW$30,PermPmt-JX$27))</f>
        <v/>
      </c>
      <c r="JY28" s="218">
        <f>IF(OR(281&lt;=RefiMonth+PermIOMonths,Timeline!JY$43=0),0,MIN(JX$30,PermPmt-JY$27))</f>
        <v/>
      </c>
      <c r="JZ28" s="218">
        <f>IF(OR(282&lt;=RefiMonth+PermIOMonths,Timeline!JZ$43=0),0,MIN(JY$30,PermPmt-JZ$27))</f>
        <v/>
      </c>
      <c r="KA28" s="218">
        <f>IF(OR(283&lt;=RefiMonth+PermIOMonths,Timeline!KA$43=0),0,MIN(JZ$30,PermPmt-KA$27))</f>
        <v/>
      </c>
      <c r="KB28" s="218">
        <f>IF(OR(284&lt;=RefiMonth+PermIOMonths,Timeline!KB$43=0),0,MIN(KA$30,PermPmt-KB$27))</f>
        <v/>
      </c>
      <c r="KC28" s="218">
        <f>IF(OR(285&lt;=RefiMonth+PermIOMonths,Timeline!KC$43=0),0,MIN(KB$30,PermPmt-KC$27))</f>
        <v/>
      </c>
      <c r="KD28" s="218">
        <f>IF(OR(286&lt;=RefiMonth+PermIOMonths,Timeline!KD$43=0),0,MIN(KC$30,PermPmt-KD$27))</f>
        <v/>
      </c>
      <c r="KE28" s="218">
        <f>IF(OR(287&lt;=RefiMonth+PermIOMonths,Timeline!KE$43=0),0,MIN(KD$30,PermPmt-KE$27))</f>
        <v/>
      </c>
      <c r="KF28" s="218">
        <f>IF(OR(288&lt;=RefiMonth+PermIOMonths,Timeline!KF$43=0),0,MIN(KE$30,PermPmt-KF$27))</f>
        <v/>
      </c>
      <c r="KG28" s="218">
        <f>IF(OR(289&lt;=RefiMonth+PermIOMonths,Timeline!KG$43=0),0,MIN(KF$30,PermPmt-KG$27))</f>
        <v/>
      </c>
      <c r="KH28" s="218">
        <f>IF(OR(290&lt;=RefiMonth+PermIOMonths,Timeline!KH$43=0),0,MIN(KG$30,PermPmt-KH$27))</f>
        <v/>
      </c>
      <c r="KI28" s="218">
        <f>IF(OR(291&lt;=RefiMonth+PermIOMonths,Timeline!KI$43=0),0,MIN(KH$30,PermPmt-KI$27))</f>
        <v/>
      </c>
      <c r="KJ28" s="218">
        <f>IF(OR(292&lt;=RefiMonth+PermIOMonths,Timeline!KJ$43=0),0,MIN(KI$30,PermPmt-KJ$27))</f>
        <v/>
      </c>
      <c r="KK28" s="218">
        <f>IF(OR(293&lt;=RefiMonth+PermIOMonths,Timeline!KK$43=0),0,MIN(KJ$30,PermPmt-KK$27))</f>
        <v/>
      </c>
      <c r="KL28" s="218">
        <f>IF(OR(294&lt;=RefiMonth+PermIOMonths,Timeline!KL$43=0),0,MIN(KK$30,PermPmt-KL$27))</f>
        <v/>
      </c>
      <c r="KM28" s="218">
        <f>IF(OR(295&lt;=RefiMonth+PermIOMonths,Timeline!KM$43=0),0,MIN(KL$30,PermPmt-KM$27))</f>
        <v/>
      </c>
      <c r="KN28" s="218">
        <f>IF(OR(296&lt;=RefiMonth+PermIOMonths,Timeline!KN$43=0),0,MIN(KM$30,PermPmt-KN$27))</f>
        <v/>
      </c>
      <c r="KO28" s="218">
        <f>IF(OR(297&lt;=RefiMonth+PermIOMonths,Timeline!KO$43=0),0,MIN(KN$30,PermPmt-KO$27))</f>
        <v/>
      </c>
      <c r="KP28" s="218">
        <f>IF(OR(298&lt;=RefiMonth+PermIOMonths,Timeline!KP$43=0),0,MIN(KO$30,PermPmt-KP$27))</f>
        <v/>
      </c>
      <c r="KQ28" s="218">
        <f>IF(OR(299&lt;=RefiMonth+PermIOMonths,Timeline!KQ$43=0),0,MIN(KP$30,PermPmt-KQ$27))</f>
        <v/>
      </c>
      <c r="KR28" s="218">
        <f>IF(OR(300&lt;=RefiMonth+PermIOMonths,Timeline!KR$43=0),0,MIN(KQ$30,PermPmt-KR$27))</f>
        <v/>
      </c>
      <c r="KS28" s="218">
        <f>IF(OR(301&lt;=RefiMonth+PermIOMonths,Timeline!KS$43=0),0,MIN(KR$30,PermPmt-KS$27))</f>
        <v/>
      </c>
      <c r="KT28" s="218">
        <f>IF(OR(302&lt;=RefiMonth+PermIOMonths,Timeline!KT$43=0),0,MIN(KS$30,PermPmt-KT$27))</f>
        <v/>
      </c>
      <c r="KU28" s="218">
        <f>IF(OR(303&lt;=RefiMonth+PermIOMonths,Timeline!KU$43=0),0,MIN(KT$30,PermPmt-KU$27))</f>
        <v/>
      </c>
      <c r="KV28" s="218">
        <f>IF(OR(304&lt;=RefiMonth+PermIOMonths,Timeline!KV$43=0),0,MIN(KU$30,PermPmt-KV$27))</f>
        <v/>
      </c>
      <c r="KW28" s="218">
        <f>IF(OR(305&lt;=RefiMonth+PermIOMonths,Timeline!KW$43=0),0,MIN(KV$30,PermPmt-KW$27))</f>
        <v/>
      </c>
      <c r="KX28" s="218">
        <f>IF(OR(306&lt;=RefiMonth+PermIOMonths,Timeline!KX$43=0),0,MIN(KW$30,PermPmt-KX$27))</f>
        <v/>
      </c>
      <c r="KY28" s="218">
        <f>IF(OR(307&lt;=RefiMonth+PermIOMonths,Timeline!KY$43=0),0,MIN(KX$30,PermPmt-KY$27))</f>
        <v/>
      </c>
      <c r="KZ28" s="218">
        <f>IF(OR(308&lt;=RefiMonth+PermIOMonths,Timeline!KZ$43=0),0,MIN(KY$30,PermPmt-KZ$27))</f>
        <v/>
      </c>
      <c r="LA28" s="218">
        <f>IF(OR(309&lt;=RefiMonth+PermIOMonths,Timeline!LA$43=0),0,MIN(KZ$30,PermPmt-LA$27))</f>
        <v/>
      </c>
      <c r="LB28" s="218">
        <f>IF(OR(310&lt;=RefiMonth+PermIOMonths,Timeline!LB$43=0),0,MIN(LA$30,PermPmt-LB$27))</f>
        <v/>
      </c>
      <c r="LC28" s="218">
        <f>IF(OR(311&lt;=RefiMonth+PermIOMonths,Timeline!LC$43=0),0,MIN(LB$30,PermPmt-LC$27))</f>
        <v/>
      </c>
      <c r="LD28" s="218">
        <f>IF(OR(312&lt;=RefiMonth+PermIOMonths,Timeline!LD$43=0),0,MIN(LC$30,PermPmt-LD$27))</f>
        <v/>
      </c>
      <c r="LE28" s="218">
        <f>IF(OR(313&lt;=RefiMonth+PermIOMonths,Timeline!LE$43=0),0,MIN(LD$30,PermPmt-LE$27))</f>
        <v/>
      </c>
      <c r="LF28" s="218">
        <f>IF(OR(314&lt;=RefiMonth+PermIOMonths,Timeline!LF$43=0),0,MIN(LE$30,PermPmt-LF$27))</f>
        <v/>
      </c>
      <c r="LG28" s="218">
        <f>IF(OR(315&lt;=RefiMonth+PermIOMonths,Timeline!LG$43=0),0,MIN(LF$30,PermPmt-LG$27))</f>
        <v/>
      </c>
      <c r="LH28" s="218">
        <f>IF(OR(316&lt;=RefiMonth+PermIOMonths,Timeline!LH$43=0),0,MIN(LG$30,PermPmt-LH$27))</f>
        <v/>
      </c>
      <c r="LI28" s="218">
        <f>IF(OR(317&lt;=RefiMonth+PermIOMonths,Timeline!LI$43=0),0,MIN(LH$30,PermPmt-LI$27))</f>
        <v/>
      </c>
      <c r="LJ28" s="218">
        <f>IF(OR(318&lt;=RefiMonth+PermIOMonths,Timeline!LJ$43=0),0,MIN(LI$30,PermPmt-LJ$27))</f>
        <v/>
      </c>
      <c r="LK28" s="218">
        <f>IF(OR(319&lt;=RefiMonth+PermIOMonths,Timeline!LK$43=0),0,MIN(LJ$30,PermPmt-LK$27))</f>
        <v/>
      </c>
      <c r="LL28" s="218">
        <f>IF(OR(320&lt;=RefiMonth+PermIOMonths,Timeline!LL$43=0),0,MIN(LK$30,PermPmt-LL$27))</f>
        <v/>
      </c>
      <c r="LM28" s="218">
        <f>IF(OR(321&lt;=RefiMonth+PermIOMonths,Timeline!LM$43=0),0,MIN(LL$30,PermPmt-LM$27))</f>
        <v/>
      </c>
      <c r="LN28" s="218">
        <f>IF(OR(322&lt;=RefiMonth+PermIOMonths,Timeline!LN$43=0),0,MIN(LM$30,PermPmt-LN$27))</f>
        <v/>
      </c>
      <c r="LO28" s="218">
        <f>IF(OR(323&lt;=RefiMonth+PermIOMonths,Timeline!LO$43=0),0,MIN(LN$30,PermPmt-LO$27))</f>
        <v/>
      </c>
      <c r="LP28" s="218">
        <f>IF(OR(324&lt;=RefiMonth+PermIOMonths,Timeline!LP$43=0),0,MIN(LO$30,PermPmt-LP$27))</f>
        <v/>
      </c>
      <c r="LQ28" s="218">
        <f>IF(OR(325&lt;=RefiMonth+PermIOMonths,Timeline!LQ$43=0),0,MIN(LP$30,PermPmt-LQ$27))</f>
        <v/>
      </c>
      <c r="LR28" s="218">
        <f>IF(OR(326&lt;=RefiMonth+PermIOMonths,Timeline!LR$43=0),0,MIN(LQ$30,PermPmt-LR$27))</f>
        <v/>
      </c>
      <c r="LS28" s="218">
        <f>IF(OR(327&lt;=RefiMonth+PermIOMonths,Timeline!LS$43=0),0,MIN(LR$30,PermPmt-LS$27))</f>
        <v/>
      </c>
      <c r="LT28" s="218">
        <f>IF(OR(328&lt;=RefiMonth+PermIOMonths,Timeline!LT$43=0),0,MIN(LS$30,PermPmt-LT$27))</f>
        <v/>
      </c>
      <c r="LU28" s="218">
        <f>IF(OR(329&lt;=RefiMonth+PermIOMonths,Timeline!LU$43=0),0,MIN(LT$30,PermPmt-LU$27))</f>
        <v/>
      </c>
      <c r="LV28" s="218">
        <f>IF(OR(330&lt;=RefiMonth+PermIOMonths,Timeline!LV$43=0),0,MIN(LU$30,PermPmt-LV$27))</f>
        <v/>
      </c>
      <c r="LW28" s="218">
        <f>IF(OR(331&lt;=RefiMonth+PermIOMonths,Timeline!LW$43=0),0,MIN(LV$30,PermPmt-LW$27))</f>
        <v/>
      </c>
      <c r="LX28" s="218">
        <f>IF(OR(332&lt;=RefiMonth+PermIOMonths,Timeline!LX$43=0),0,MIN(LW$30,PermPmt-LX$27))</f>
        <v/>
      </c>
      <c r="LY28" s="218">
        <f>IF(OR(333&lt;=RefiMonth+PermIOMonths,Timeline!LY$43=0),0,MIN(LX$30,PermPmt-LY$27))</f>
        <v/>
      </c>
      <c r="LZ28" s="218">
        <f>IF(OR(334&lt;=RefiMonth+PermIOMonths,Timeline!LZ$43=0),0,MIN(LY$30,PermPmt-LZ$27))</f>
        <v/>
      </c>
      <c r="MA28" s="218">
        <f>IF(OR(335&lt;=RefiMonth+PermIOMonths,Timeline!MA$43=0),0,MIN(LZ$30,PermPmt-MA$27))</f>
        <v/>
      </c>
      <c r="MB28" s="218">
        <f>IF(OR(336&lt;=RefiMonth+PermIOMonths,Timeline!MB$43=0),0,MIN(MA$30,PermPmt-MB$27))</f>
        <v/>
      </c>
      <c r="MC28" s="218">
        <f>IF(OR(337&lt;=RefiMonth+PermIOMonths,Timeline!MC$43=0),0,MIN(MB$30,PermPmt-MC$27))</f>
        <v/>
      </c>
      <c r="MD28" s="218">
        <f>IF(OR(338&lt;=RefiMonth+PermIOMonths,Timeline!MD$43=0),0,MIN(MC$30,PermPmt-MD$27))</f>
        <v/>
      </c>
      <c r="ME28" s="218">
        <f>IF(OR(339&lt;=RefiMonth+PermIOMonths,Timeline!ME$43=0),0,MIN(MD$30,PermPmt-ME$27))</f>
        <v/>
      </c>
      <c r="MF28" s="218">
        <f>IF(OR(340&lt;=RefiMonth+PermIOMonths,Timeline!MF$43=0),0,MIN(ME$30,PermPmt-MF$27))</f>
        <v/>
      </c>
      <c r="MG28" s="218">
        <f>IF(OR(341&lt;=RefiMonth+PermIOMonths,Timeline!MG$43=0),0,MIN(MF$30,PermPmt-MG$27))</f>
        <v/>
      </c>
      <c r="MH28" s="218">
        <f>IF(OR(342&lt;=RefiMonth+PermIOMonths,Timeline!MH$43=0),0,MIN(MG$30,PermPmt-MH$27))</f>
        <v/>
      </c>
      <c r="MI28" s="218">
        <f>IF(OR(343&lt;=RefiMonth+PermIOMonths,Timeline!MI$43=0),0,MIN(MH$30,PermPmt-MI$27))</f>
        <v/>
      </c>
      <c r="MJ28" s="218">
        <f>IF(OR(344&lt;=RefiMonth+PermIOMonths,Timeline!MJ$43=0),0,MIN(MI$30,PermPmt-MJ$27))</f>
        <v/>
      </c>
      <c r="MK28" s="218">
        <f>IF(OR(345&lt;=RefiMonth+PermIOMonths,Timeline!MK$43=0),0,MIN(MJ$30,PermPmt-MK$27))</f>
        <v/>
      </c>
      <c r="ML28" s="218">
        <f>IF(OR(346&lt;=RefiMonth+PermIOMonths,Timeline!ML$43=0),0,MIN(MK$30,PermPmt-ML$27))</f>
        <v/>
      </c>
      <c r="MM28" s="218">
        <f>IF(OR(347&lt;=RefiMonth+PermIOMonths,Timeline!MM$43=0),0,MIN(ML$30,PermPmt-MM$27))</f>
        <v/>
      </c>
      <c r="MN28" s="218">
        <f>IF(OR(348&lt;=RefiMonth+PermIOMonths,Timeline!MN$43=0),0,MIN(MM$30,PermPmt-MN$27))</f>
        <v/>
      </c>
      <c r="MO28" s="218">
        <f>IF(OR(349&lt;=RefiMonth+PermIOMonths,Timeline!MO$43=0),0,MIN(MN$30,PermPmt-MO$27))</f>
        <v/>
      </c>
      <c r="MP28" s="218">
        <f>IF(OR(350&lt;=RefiMonth+PermIOMonths,Timeline!MP$43=0),0,MIN(MO$30,PermPmt-MP$27))</f>
        <v/>
      </c>
      <c r="MQ28" s="218">
        <f>IF(OR(351&lt;=RefiMonth+PermIOMonths,Timeline!MQ$43=0),0,MIN(MP$30,PermPmt-MQ$27))</f>
        <v/>
      </c>
      <c r="MR28" s="218">
        <f>IF(OR(352&lt;=RefiMonth+PermIOMonths,Timeline!MR$43=0),0,MIN(MQ$30,PermPmt-MR$27))</f>
        <v/>
      </c>
      <c r="MS28" s="218">
        <f>IF(OR(353&lt;=RefiMonth+PermIOMonths,Timeline!MS$43=0),0,MIN(MR$30,PermPmt-MS$27))</f>
        <v/>
      </c>
      <c r="MT28" s="218">
        <f>IF(OR(354&lt;=RefiMonth+PermIOMonths,Timeline!MT$43=0),0,MIN(MS$30,PermPmt-MT$27))</f>
        <v/>
      </c>
      <c r="MU28" s="218">
        <f>IF(OR(355&lt;=RefiMonth+PermIOMonths,Timeline!MU$43=0),0,MIN(MT$30,PermPmt-MU$27))</f>
        <v/>
      </c>
      <c r="MV28" s="218">
        <f>IF(OR(356&lt;=RefiMonth+PermIOMonths,Timeline!MV$43=0),0,MIN(MU$30,PermPmt-MV$27))</f>
        <v/>
      </c>
      <c r="MW28" s="218">
        <f>IF(OR(357&lt;=RefiMonth+PermIOMonths,Timeline!MW$43=0),0,MIN(MV$30,PermPmt-MW$27))</f>
        <v/>
      </c>
      <c r="MX28" s="218">
        <f>IF(OR(358&lt;=RefiMonth+PermIOMonths,Timeline!MX$43=0),0,MIN(MW$30,PermPmt-MX$27))</f>
        <v/>
      </c>
      <c r="MY28" s="218">
        <f>IF(OR(359&lt;=RefiMonth+PermIOMonths,Timeline!MY$43=0),0,MIN(MX$30,PermPmt-MY$27))</f>
        <v/>
      </c>
      <c r="MZ28" s="218">
        <f>IF(OR(360&lt;=RefiMonth+PermIOMonths,Timeline!MZ$43=0),0,MIN(MY$30,PermPmt-MZ$27))</f>
        <v/>
      </c>
      <c r="NA28" s="218">
        <f>IF(OR(361&lt;=RefiMonth+PermIOMonths,Timeline!NA$43=0),0,MIN(MZ$30,PermPmt-NA$27))</f>
        <v/>
      </c>
      <c r="NB28" s="218">
        <f>IF(OR(362&lt;=RefiMonth+PermIOMonths,Timeline!NB$43=0),0,MIN(NA$30,PermPmt-NB$27))</f>
        <v/>
      </c>
      <c r="NC28" s="218">
        <f>IF(OR(363&lt;=RefiMonth+PermIOMonths,Timeline!NC$43=0),0,MIN(NB$30,PermPmt-NC$27))</f>
        <v/>
      </c>
      <c r="ND28" s="218">
        <f>IF(OR(364&lt;=RefiMonth+PermIOMonths,Timeline!ND$43=0),0,MIN(NC$30,PermPmt-ND$27))</f>
        <v/>
      </c>
      <c r="NE28" s="218">
        <f>IF(OR(365&lt;=RefiMonth+PermIOMonths,Timeline!NE$43=0),0,MIN(ND$30,PermPmt-NE$27))</f>
        <v/>
      </c>
      <c r="NF28" s="218">
        <f>IF(OR(366&lt;=RefiMonth+PermIOMonths,Timeline!NF$43=0),0,MIN(NE$30,PermPmt-NF$27))</f>
        <v/>
      </c>
      <c r="NG28" s="218">
        <f>IF(OR(367&lt;=RefiMonth+PermIOMonths,Timeline!NG$43=0),0,MIN(NF$30,PermPmt-NG$27))</f>
        <v/>
      </c>
      <c r="NH28" s="218">
        <f>IF(OR(368&lt;=RefiMonth+PermIOMonths,Timeline!NH$43=0),0,MIN(NG$30,PermPmt-NH$27))</f>
        <v/>
      </c>
      <c r="NI28" s="218">
        <f>IF(OR(369&lt;=RefiMonth+PermIOMonths,Timeline!NI$43=0),0,MIN(NH$30,PermPmt-NI$27))</f>
        <v/>
      </c>
      <c r="NJ28" s="218">
        <f>IF(OR(370&lt;=RefiMonth+PermIOMonths,Timeline!NJ$43=0),0,MIN(NI$30,PermPmt-NJ$27))</f>
        <v/>
      </c>
      <c r="NK28" s="218">
        <f>IF(OR(371&lt;=RefiMonth+PermIOMonths,Timeline!NK$43=0),0,MIN(NJ$30,PermPmt-NK$27))</f>
        <v/>
      </c>
      <c r="NL28" s="218">
        <f>IF(OR(372&lt;=RefiMonth+PermIOMonths,Timeline!NL$43=0),0,MIN(NK$30,PermPmt-NL$27))</f>
        <v/>
      </c>
    </row>
    <row r="29">
      <c r="B29" s="36" t="inlineStr">
        <is>
          <t>Debt Service</t>
        </is>
      </c>
      <c r="D29" s="258">
        <f>SUM(E29:NL29)</f>
        <v/>
      </c>
      <c r="E29" s="218">
        <f>IF(Timeline!E$43=1,E$27+E$28,0)</f>
        <v/>
      </c>
      <c r="F29" s="218">
        <f>IF(Timeline!F$43=1,F$27+F$28,0)</f>
        <v/>
      </c>
      <c r="G29" s="218">
        <f>IF(Timeline!G$43=1,G$27+G$28,0)</f>
        <v/>
      </c>
      <c r="H29" s="218">
        <f>IF(Timeline!H$43=1,H$27+H$28,0)</f>
        <v/>
      </c>
      <c r="I29" s="218">
        <f>IF(Timeline!I$43=1,I$27+I$28,0)</f>
        <v/>
      </c>
      <c r="J29" s="218">
        <f>IF(Timeline!J$43=1,J$27+J$28,0)</f>
        <v/>
      </c>
      <c r="K29" s="218">
        <f>IF(Timeline!K$43=1,K$27+K$28,0)</f>
        <v/>
      </c>
      <c r="L29" s="218">
        <f>IF(Timeline!L$43=1,L$27+L$28,0)</f>
        <v/>
      </c>
      <c r="M29" s="218">
        <f>IF(Timeline!M$43=1,M$27+M$28,0)</f>
        <v/>
      </c>
      <c r="N29" s="218">
        <f>IF(Timeline!N$43=1,N$27+N$28,0)</f>
        <v/>
      </c>
      <c r="O29" s="218">
        <f>IF(Timeline!O$43=1,O$27+O$28,0)</f>
        <v/>
      </c>
      <c r="P29" s="218">
        <f>IF(Timeline!P$43=1,P$27+P$28,0)</f>
        <v/>
      </c>
      <c r="Q29" s="218">
        <f>IF(Timeline!Q$43=1,Q$27+Q$28,0)</f>
        <v/>
      </c>
      <c r="R29" s="218">
        <f>IF(Timeline!R$43=1,R$27+R$28,0)</f>
        <v/>
      </c>
      <c r="S29" s="218">
        <f>IF(Timeline!S$43=1,S$27+S$28,0)</f>
        <v/>
      </c>
      <c r="T29" s="218">
        <f>IF(Timeline!T$43=1,T$27+T$28,0)</f>
        <v/>
      </c>
      <c r="U29" s="218">
        <f>IF(Timeline!U$43=1,U$27+U$28,0)</f>
        <v/>
      </c>
      <c r="V29" s="218">
        <f>IF(Timeline!V$43=1,V$27+V$28,0)</f>
        <v/>
      </c>
      <c r="W29" s="218">
        <f>IF(Timeline!W$43=1,W$27+W$28,0)</f>
        <v/>
      </c>
      <c r="X29" s="218">
        <f>IF(Timeline!X$43=1,X$27+X$28,0)</f>
        <v/>
      </c>
      <c r="Y29" s="218">
        <f>IF(Timeline!Y$43=1,Y$27+Y$28,0)</f>
        <v/>
      </c>
      <c r="Z29" s="218">
        <f>IF(Timeline!Z$43=1,Z$27+Z$28,0)</f>
        <v/>
      </c>
      <c r="AA29" s="218">
        <f>IF(Timeline!AA$43=1,AA$27+AA$28,0)</f>
        <v/>
      </c>
      <c r="AB29" s="218">
        <f>IF(Timeline!AB$43=1,AB$27+AB$28,0)</f>
        <v/>
      </c>
      <c r="AC29" s="218">
        <f>IF(Timeline!AC$43=1,AC$27+AC$28,0)</f>
        <v/>
      </c>
      <c r="AD29" s="218">
        <f>IF(Timeline!AD$43=1,AD$27+AD$28,0)</f>
        <v/>
      </c>
      <c r="AE29" s="218">
        <f>IF(Timeline!AE$43=1,AE$27+AE$28,0)</f>
        <v/>
      </c>
      <c r="AF29" s="218">
        <f>IF(Timeline!AF$43=1,AF$27+AF$28,0)</f>
        <v/>
      </c>
      <c r="AG29" s="218">
        <f>IF(Timeline!AG$43=1,AG$27+AG$28,0)</f>
        <v/>
      </c>
      <c r="AH29" s="218">
        <f>IF(Timeline!AH$43=1,AH$27+AH$28,0)</f>
        <v/>
      </c>
      <c r="AI29" s="218">
        <f>IF(Timeline!AI$43=1,AI$27+AI$28,0)</f>
        <v/>
      </c>
      <c r="AJ29" s="218">
        <f>IF(Timeline!AJ$43=1,AJ$27+AJ$28,0)</f>
        <v/>
      </c>
      <c r="AK29" s="218">
        <f>IF(Timeline!AK$43=1,AK$27+AK$28,0)</f>
        <v/>
      </c>
      <c r="AL29" s="218">
        <f>IF(Timeline!AL$43=1,AL$27+AL$28,0)</f>
        <v/>
      </c>
      <c r="AM29" s="218">
        <f>IF(Timeline!AM$43=1,AM$27+AM$28,0)</f>
        <v/>
      </c>
      <c r="AN29" s="218">
        <f>IF(Timeline!AN$43=1,AN$27+AN$28,0)</f>
        <v/>
      </c>
      <c r="AO29" s="218">
        <f>IF(Timeline!AO$43=1,AO$27+AO$28,0)</f>
        <v/>
      </c>
      <c r="AP29" s="218">
        <f>IF(Timeline!AP$43=1,AP$27+AP$28,0)</f>
        <v/>
      </c>
      <c r="AQ29" s="218">
        <f>IF(Timeline!AQ$43=1,AQ$27+AQ$28,0)</f>
        <v/>
      </c>
      <c r="AR29" s="218">
        <f>IF(Timeline!AR$43=1,AR$27+AR$28,0)</f>
        <v/>
      </c>
      <c r="AS29" s="218">
        <f>IF(Timeline!AS$43=1,AS$27+AS$28,0)</f>
        <v/>
      </c>
      <c r="AT29" s="218">
        <f>IF(Timeline!AT$43=1,AT$27+AT$28,0)</f>
        <v/>
      </c>
      <c r="AU29" s="218">
        <f>IF(Timeline!AU$43=1,AU$27+AU$28,0)</f>
        <v/>
      </c>
      <c r="AV29" s="218">
        <f>IF(Timeline!AV$43=1,AV$27+AV$28,0)</f>
        <v/>
      </c>
      <c r="AW29" s="218">
        <f>IF(Timeline!AW$43=1,AW$27+AW$28,0)</f>
        <v/>
      </c>
      <c r="AX29" s="218">
        <f>IF(Timeline!AX$43=1,AX$27+AX$28,0)</f>
        <v/>
      </c>
      <c r="AY29" s="218">
        <f>IF(Timeline!AY$43=1,AY$27+AY$28,0)</f>
        <v/>
      </c>
      <c r="AZ29" s="218">
        <f>IF(Timeline!AZ$43=1,AZ$27+AZ$28,0)</f>
        <v/>
      </c>
      <c r="BA29" s="218">
        <f>IF(Timeline!BA$43=1,BA$27+BA$28,0)</f>
        <v/>
      </c>
      <c r="BB29" s="218">
        <f>IF(Timeline!BB$43=1,BB$27+BB$28,0)</f>
        <v/>
      </c>
      <c r="BC29" s="218">
        <f>IF(Timeline!BC$43=1,BC$27+BC$28,0)</f>
        <v/>
      </c>
      <c r="BD29" s="218">
        <f>IF(Timeline!BD$43=1,BD$27+BD$28,0)</f>
        <v/>
      </c>
      <c r="BE29" s="218">
        <f>IF(Timeline!BE$43=1,BE$27+BE$28,0)</f>
        <v/>
      </c>
      <c r="BF29" s="218">
        <f>IF(Timeline!BF$43=1,BF$27+BF$28,0)</f>
        <v/>
      </c>
      <c r="BG29" s="218">
        <f>IF(Timeline!BG$43=1,BG$27+BG$28,0)</f>
        <v/>
      </c>
      <c r="BH29" s="218">
        <f>IF(Timeline!BH$43=1,BH$27+BH$28,0)</f>
        <v/>
      </c>
      <c r="BI29" s="218">
        <f>IF(Timeline!BI$43=1,BI$27+BI$28,0)</f>
        <v/>
      </c>
      <c r="BJ29" s="218">
        <f>IF(Timeline!BJ$43=1,BJ$27+BJ$28,0)</f>
        <v/>
      </c>
      <c r="BK29" s="218">
        <f>IF(Timeline!BK$43=1,BK$27+BK$28,0)</f>
        <v/>
      </c>
      <c r="BL29" s="218">
        <f>IF(Timeline!BL$43=1,BL$27+BL$28,0)</f>
        <v/>
      </c>
      <c r="BM29" s="218">
        <f>IF(Timeline!BM$43=1,BM$27+BM$28,0)</f>
        <v/>
      </c>
      <c r="BN29" s="218">
        <f>IF(Timeline!BN$43=1,BN$27+BN$28,0)</f>
        <v/>
      </c>
      <c r="BO29" s="218">
        <f>IF(Timeline!BO$43=1,BO$27+BO$28,0)</f>
        <v/>
      </c>
      <c r="BP29" s="218">
        <f>IF(Timeline!BP$43=1,BP$27+BP$28,0)</f>
        <v/>
      </c>
      <c r="BQ29" s="218">
        <f>IF(Timeline!BQ$43=1,BQ$27+BQ$28,0)</f>
        <v/>
      </c>
      <c r="BR29" s="218">
        <f>IF(Timeline!BR$43=1,BR$27+BR$28,0)</f>
        <v/>
      </c>
      <c r="BS29" s="218">
        <f>IF(Timeline!BS$43=1,BS$27+BS$28,0)</f>
        <v/>
      </c>
      <c r="BT29" s="218">
        <f>IF(Timeline!BT$43=1,BT$27+BT$28,0)</f>
        <v/>
      </c>
      <c r="BU29" s="218">
        <f>IF(Timeline!BU$43=1,BU$27+BU$28,0)</f>
        <v/>
      </c>
      <c r="BV29" s="218">
        <f>IF(Timeline!BV$43=1,BV$27+BV$28,0)</f>
        <v/>
      </c>
      <c r="BW29" s="218">
        <f>IF(Timeline!BW$43=1,BW$27+BW$28,0)</f>
        <v/>
      </c>
      <c r="BX29" s="218">
        <f>IF(Timeline!BX$43=1,BX$27+BX$28,0)</f>
        <v/>
      </c>
      <c r="BY29" s="218">
        <f>IF(Timeline!BY$43=1,BY$27+BY$28,0)</f>
        <v/>
      </c>
      <c r="BZ29" s="218">
        <f>IF(Timeline!BZ$43=1,BZ$27+BZ$28,0)</f>
        <v/>
      </c>
      <c r="CA29" s="218">
        <f>IF(Timeline!CA$43=1,CA$27+CA$28,0)</f>
        <v/>
      </c>
      <c r="CB29" s="218">
        <f>IF(Timeline!CB$43=1,CB$27+CB$28,0)</f>
        <v/>
      </c>
      <c r="CC29" s="218">
        <f>IF(Timeline!CC$43=1,CC$27+CC$28,0)</f>
        <v/>
      </c>
      <c r="CD29" s="218">
        <f>IF(Timeline!CD$43=1,CD$27+CD$28,0)</f>
        <v/>
      </c>
      <c r="CE29" s="218">
        <f>IF(Timeline!CE$43=1,CE$27+CE$28,0)</f>
        <v/>
      </c>
      <c r="CF29" s="218">
        <f>IF(Timeline!CF$43=1,CF$27+CF$28,0)</f>
        <v/>
      </c>
      <c r="CG29" s="218">
        <f>IF(Timeline!CG$43=1,CG$27+CG$28,0)</f>
        <v/>
      </c>
      <c r="CH29" s="218">
        <f>IF(Timeline!CH$43=1,CH$27+CH$28,0)</f>
        <v/>
      </c>
      <c r="CI29" s="218">
        <f>IF(Timeline!CI$43=1,CI$27+CI$28,0)</f>
        <v/>
      </c>
      <c r="CJ29" s="218">
        <f>IF(Timeline!CJ$43=1,CJ$27+CJ$28,0)</f>
        <v/>
      </c>
      <c r="CK29" s="218">
        <f>IF(Timeline!CK$43=1,CK$27+CK$28,0)</f>
        <v/>
      </c>
      <c r="CL29" s="218">
        <f>IF(Timeline!CL$43=1,CL$27+CL$28,0)</f>
        <v/>
      </c>
      <c r="CM29" s="218">
        <f>IF(Timeline!CM$43=1,CM$27+CM$28,0)</f>
        <v/>
      </c>
      <c r="CN29" s="218">
        <f>IF(Timeline!CN$43=1,CN$27+CN$28,0)</f>
        <v/>
      </c>
      <c r="CO29" s="218">
        <f>IF(Timeline!CO$43=1,CO$27+CO$28,0)</f>
        <v/>
      </c>
      <c r="CP29" s="218">
        <f>IF(Timeline!CP$43=1,CP$27+CP$28,0)</f>
        <v/>
      </c>
      <c r="CQ29" s="218">
        <f>IF(Timeline!CQ$43=1,CQ$27+CQ$28,0)</f>
        <v/>
      </c>
      <c r="CR29" s="218">
        <f>IF(Timeline!CR$43=1,CR$27+CR$28,0)</f>
        <v/>
      </c>
      <c r="CS29" s="218">
        <f>IF(Timeline!CS$43=1,CS$27+CS$28,0)</f>
        <v/>
      </c>
      <c r="CT29" s="218">
        <f>IF(Timeline!CT$43=1,CT$27+CT$28,0)</f>
        <v/>
      </c>
      <c r="CU29" s="218">
        <f>IF(Timeline!CU$43=1,CU$27+CU$28,0)</f>
        <v/>
      </c>
      <c r="CV29" s="218">
        <f>IF(Timeline!CV$43=1,CV$27+CV$28,0)</f>
        <v/>
      </c>
      <c r="CW29" s="218">
        <f>IF(Timeline!CW$43=1,CW$27+CW$28,0)</f>
        <v/>
      </c>
      <c r="CX29" s="218">
        <f>IF(Timeline!CX$43=1,CX$27+CX$28,0)</f>
        <v/>
      </c>
      <c r="CY29" s="218">
        <f>IF(Timeline!CY$43=1,CY$27+CY$28,0)</f>
        <v/>
      </c>
      <c r="CZ29" s="218">
        <f>IF(Timeline!CZ$43=1,CZ$27+CZ$28,0)</f>
        <v/>
      </c>
      <c r="DA29" s="218">
        <f>IF(Timeline!DA$43=1,DA$27+DA$28,0)</f>
        <v/>
      </c>
      <c r="DB29" s="218">
        <f>IF(Timeline!DB$43=1,DB$27+DB$28,0)</f>
        <v/>
      </c>
      <c r="DC29" s="218">
        <f>IF(Timeline!DC$43=1,DC$27+DC$28,0)</f>
        <v/>
      </c>
      <c r="DD29" s="218">
        <f>IF(Timeline!DD$43=1,DD$27+DD$28,0)</f>
        <v/>
      </c>
      <c r="DE29" s="218">
        <f>IF(Timeline!DE$43=1,DE$27+DE$28,0)</f>
        <v/>
      </c>
      <c r="DF29" s="218">
        <f>IF(Timeline!DF$43=1,DF$27+DF$28,0)</f>
        <v/>
      </c>
      <c r="DG29" s="218">
        <f>IF(Timeline!DG$43=1,DG$27+DG$28,0)</f>
        <v/>
      </c>
      <c r="DH29" s="218">
        <f>IF(Timeline!DH$43=1,DH$27+DH$28,0)</f>
        <v/>
      </c>
      <c r="DI29" s="218">
        <f>IF(Timeline!DI$43=1,DI$27+DI$28,0)</f>
        <v/>
      </c>
      <c r="DJ29" s="218">
        <f>IF(Timeline!DJ$43=1,DJ$27+DJ$28,0)</f>
        <v/>
      </c>
      <c r="DK29" s="218">
        <f>IF(Timeline!DK$43=1,DK$27+DK$28,0)</f>
        <v/>
      </c>
      <c r="DL29" s="218">
        <f>IF(Timeline!DL$43=1,DL$27+DL$28,0)</f>
        <v/>
      </c>
      <c r="DM29" s="218">
        <f>IF(Timeline!DM$43=1,DM$27+DM$28,0)</f>
        <v/>
      </c>
      <c r="DN29" s="218">
        <f>IF(Timeline!DN$43=1,DN$27+DN$28,0)</f>
        <v/>
      </c>
      <c r="DO29" s="218">
        <f>IF(Timeline!DO$43=1,DO$27+DO$28,0)</f>
        <v/>
      </c>
      <c r="DP29" s="218">
        <f>IF(Timeline!DP$43=1,DP$27+DP$28,0)</f>
        <v/>
      </c>
      <c r="DQ29" s="218">
        <f>IF(Timeline!DQ$43=1,DQ$27+DQ$28,0)</f>
        <v/>
      </c>
      <c r="DR29" s="218">
        <f>IF(Timeline!DR$43=1,DR$27+DR$28,0)</f>
        <v/>
      </c>
      <c r="DS29" s="218">
        <f>IF(Timeline!DS$43=1,DS$27+DS$28,0)</f>
        <v/>
      </c>
      <c r="DT29" s="218">
        <f>IF(Timeline!DT$43=1,DT$27+DT$28,0)</f>
        <v/>
      </c>
      <c r="DU29" s="218">
        <f>IF(Timeline!DU$43=1,DU$27+DU$28,0)</f>
        <v/>
      </c>
      <c r="DV29" s="218">
        <f>IF(Timeline!DV$43=1,DV$27+DV$28,0)</f>
        <v/>
      </c>
      <c r="DW29" s="218">
        <f>IF(Timeline!DW$43=1,DW$27+DW$28,0)</f>
        <v/>
      </c>
      <c r="DX29" s="218">
        <f>IF(Timeline!DX$43=1,DX$27+DX$28,0)</f>
        <v/>
      </c>
      <c r="DY29" s="218">
        <f>IF(Timeline!DY$43=1,DY$27+DY$28,0)</f>
        <v/>
      </c>
      <c r="DZ29" s="218">
        <f>IF(Timeline!DZ$43=1,DZ$27+DZ$28,0)</f>
        <v/>
      </c>
      <c r="EA29" s="218">
        <f>IF(Timeline!EA$43=1,EA$27+EA$28,0)</f>
        <v/>
      </c>
      <c r="EB29" s="218">
        <f>IF(Timeline!EB$43=1,EB$27+EB$28,0)</f>
        <v/>
      </c>
      <c r="EC29" s="218">
        <f>IF(Timeline!EC$43=1,EC$27+EC$28,0)</f>
        <v/>
      </c>
      <c r="ED29" s="218">
        <f>IF(Timeline!ED$43=1,ED$27+ED$28,0)</f>
        <v/>
      </c>
      <c r="EE29" s="218">
        <f>IF(Timeline!EE$43=1,EE$27+EE$28,0)</f>
        <v/>
      </c>
      <c r="EF29" s="218">
        <f>IF(Timeline!EF$43=1,EF$27+EF$28,0)</f>
        <v/>
      </c>
      <c r="EG29" s="218">
        <f>IF(Timeline!EG$43=1,EG$27+EG$28,0)</f>
        <v/>
      </c>
      <c r="EH29" s="218">
        <f>IF(Timeline!EH$43=1,EH$27+EH$28,0)</f>
        <v/>
      </c>
      <c r="EI29" s="218">
        <f>IF(Timeline!EI$43=1,EI$27+EI$28,0)</f>
        <v/>
      </c>
      <c r="EJ29" s="218">
        <f>IF(Timeline!EJ$43=1,EJ$27+EJ$28,0)</f>
        <v/>
      </c>
      <c r="EK29" s="218">
        <f>IF(Timeline!EK$43=1,EK$27+EK$28,0)</f>
        <v/>
      </c>
      <c r="EL29" s="218">
        <f>IF(Timeline!EL$43=1,EL$27+EL$28,0)</f>
        <v/>
      </c>
      <c r="EM29" s="218">
        <f>IF(Timeline!EM$43=1,EM$27+EM$28,0)</f>
        <v/>
      </c>
      <c r="EN29" s="218">
        <f>IF(Timeline!EN$43=1,EN$27+EN$28,0)</f>
        <v/>
      </c>
      <c r="EO29" s="218">
        <f>IF(Timeline!EO$43=1,EO$27+EO$28,0)</f>
        <v/>
      </c>
      <c r="EP29" s="218">
        <f>IF(Timeline!EP$43=1,EP$27+EP$28,0)</f>
        <v/>
      </c>
      <c r="EQ29" s="218">
        <f>IF(Timeline!EQ$43=1,EQ$27+EQ$28,0)</f>
        <v/>
      </c>
      <c r="ER29" s="218">
        <f>IF(Timeline!ER$43=1,ER$27+ER$28,0)</f>
        <v/>
      </c>
      <c r="ES29" s="218">
        <f>IF(Timeline!ES$43=1,ES$27+ES$28,0)</f>
        <v/>
      </c>
      <c r="ET29" s="218">
        <f>IF(Timeline!ET$43=1,ET$27+ET$28,0)</f>
        <v/>
      </c>
      <c r="EU29" s="218">
        <f>IF(Timeline!EU$43=1,EU$27+EU$28,0)</f>
        <v/>
      </c>
      <c r="EV29" s="218">
        <f>IF(Timeline!EV$43=1,EV$27+EV$28,0)</f>
        <v/>
      </c>
      <c r="EW29" s="218">
        <f>IF(Timeline!EW$43=1,EW$27+EW$28,0)</f>
        <v/>
      </c>
      <c r="EX29" s="218">
        <f>IF(Timeline!EX$43=1,EX$27+EX$28,0)</f>
        <v/>
      </c>
      <c r="EY29" s="218">
        <f>IF(Timeline!EY$43=1,EY$27+EY$28,0)</f>
        <v/>
      </c>
      <c r="EZ29" s="218">
        <f>IF(Timeline!EZ$43=1,EZ$27+EZ$28,0)</f>
        <v/>
      </c>
      <c r="FA29" s="218">
        <f>IF(Timeline!FA$43=1,FA$27+FA$28,0)</f>
        <v/>
      </c>
      <c r="FB29" s="218">
        <f>IF(Timeline!FB$43=1,FB$27+FB$28,0)</f>
        <v/>
      </c>
      <c r="FC29" s="218">
        <f>IF(Timeline!FC$43=1,FC$27+FC$28,0)</f>
        <v/>
      </c>
      <c r="FD29" s="218">
        <f>IF(Timeline!FD$43=1,FD$27+FD$28,0)</f>
        <v/>
      </c>
      <c r="FE29" s="218">
        <f>IF(Timeline!FE$43=1,FE$27+FE$28,0)</f>
        <v/>
      </c>
      <c r="FF29" s="218">
        <f>IF(Timeline!FF$43=1,FF$27+FF$28,0)</f>
        <v/>
      </c>
      <c r="FG29" s="218">
        <f>IF(Timeline!FG$43=1,FG$27+FG$28,0)</f>
        <v/>
      </c>
      <c r="FH29" s="218">
        <f>IF(Timeline!FH$43=1,FH$27+FH$28,0)</f>
        <v/>
      </c>
      <c r="FI29" s="218">
        <f>IF(Timeline!FI$43=1,FI$27+FI$28,0)</f>
        <v/>
      </c>
      <c r="FJ29" s="218">
        <f>IF(Timeline!FJ$43=1,FJ$27+FJ$28,0)</f>
        <v/>
      </c>
      <c r="FK29" s="218">
        <f>IF(Timeline!FK$43=1,FK$27+FK$28,0)</f>
        <v/>
      </c>
      <c r="FL29" s="218">
        <f>IF(Timeline!FL$43=1,FL$27+FL$28,0)</f>
        <v/>
      </c>
      <c r="FM29" s="218">
        <f>IF(Timeline!FM$43=1,FM$27+FM$28,0)</f>
        <v/>
      </c>
      <c r="FN29" s="218">
        <f>IF(Timeline!FN$43=1,FN$27+FN$28,0)</f>
        <v/>
      </c>
      <c r="FO29" s="218">
        <f>IF(Timeline!FO$43=1,FO$27+FO$28,0)</f>
        <v/>
      </c>
      <c r="FP29" s="218">
        <f>IF(Timeline!FP$43=1,FP$27+FP$28,0)</f>
        <v/>
      </c>
      <c r="FQ29" s="218">
        <f>IF(Timeline!FQ$43=1,FQ$27+FQ$28,0)</f>
        <v/>
      </c>
      <c r="FR29" s="218">
        <f>IF(Timeline!FR$43=1,FR$27+FR$28,0)</f>
        <v/>
      </c>
      <c r="FS29" s="218">
        <f>IF(Timeline!FS$43=1,FS$27+FS$28,0)</f>
        <v/>
      </c>
      <c r="FT29" s="218">
        <f>IF(Timeline!FT$43=1,FT$27+FT$28,0)</f>
        <v/>
      </c>
      <c r="FU29" s="218">
        <f>IF(Timeline!FU$43=1,FU$27+FU$28,0)</f>
        <v/>
      </c>
      <c r="FV29" s="218">
        <f>IF(Timeline!FV$43=1,FV$27+FV$28,0)</f>
        <v/>
      </c>
      <c r="FW29" s="218">
        <f>IF(Timeline!FW$43=1,FW$27+FW$28,0)</f>
        <v/>
      </c>
      <c r="FX29" s="218">
        <f>IF(Timeline!FX$43=1,FX$27+FX$28,0)</f>
        <v/>
      </c>
      <c r="FY29" s="218">
        <f>IF(Timeline!FY$43=1,FY$27+FY$28,0)</f>
        <v/>
      </c>
      <c r="FZ29" s="218">
        <f>IF(Timeline!FZ$43=1,FZ$27+FZ$28,0)</f>
        <v/>
      </c>
      <c r="GA29" s="218">
        <f>IF(Timeline!GA$43=1,GA$27+GA$28,0)</f>
        <v/>
      </c>
      <c r="GB29" s="218">
        <f>IF(Timeline!GB$43=1,GB$27+GB$28,0)</f>
        <v/>
      </c>
      <c r="GC29" s="218">
        <f>IF(Timeline!GC$43=1,GC$27+GC$28,0)</f>
        <v/>
      </c>
      <c r="GD29" s="218">
        <f>IF(Timeline!GD$43=1,GD$27+GD$28,0)</f>
        <v/>
      </c>
      <c r="GE29" s="218">
        <f>IF(Timeline!GE$43=1,GE$27+GE$28,0)</f>
        <v/>
      </c>
      <c r="GF29" s="218">
        <f>IF(Timeline!GF$43=1,GF$27+GF$28,0)</f>
        <v/>
      </c>
      <c r="GG29" s="218">
        <f>IF(Timeline!GG$43=1,GG$27+GG$28,0)</f>
        <v/>
      </c>
      <c r="GH29" s="218">
        <f>IF(Timeline!GH$43=1,GH$27+GH$28,0)</f>
        <v/>
      </c>
      <c r="GI29" s="218">
        <f>IF(Timeline!GI$43=1,GI$27+GI$28,0)</f>
        <v/>
      </c>
      <c r="GJ29" s="218">
        <f>IF(Timeline!GJ$43=1,GJ$27+GJ$28,0)</f>
        <v/>
      </c>
      <c r="GK29" s="218">
        <f>IF(Timeline!GK$43=1,GK$27+GK$28,0)</f>
        <v/>
      </c>
      <c r="GL29" s="218">
        <f>IF(Timeline!GL$43=1,GL$27+GL$28,0)</f>
        <v/>
      </c>
      <c r="GM29" s="218">
        <f>IF(Timeline!GM$43=1,GM$27+GM$28,0)</f>
        <v/>
      </c>
      <c r="GN29" s="218">
        <f>IF(Timeline!GN$43=1,GN$27+GN$28,0)</f>
        <v/>
      </c>
      <c r="GO29" s="218">
        <f>IF(Timeline!GO$43=1,GO$27+GO$28,0)</f>
        <v/>
      </c>
      <c r="GP29" s="218">
        <f>IF(Timeline!GP$43=1,GP$27+GP$28,0)</f>
        <v/>
      </c>
      <c r="GQ29" s="218">
        <f>IF(Timeline!GQ$43=1,GQ$27+GQ$28,0)</f>
        <v/>
      </c>
      <c r="GR29" s="218">
        <f>IF(Timeline!GR$43=1,GR$27+GR$28,0)</f>
        <v/>
      </c>
      <c r="GS29" s="218">
        <f>IF(Timeline!GS$43=1,GS$27+GS$28,0)</f>
        <v/>
      </c>
      <c r="GT29" s="218">
        <f>IF(Timeline!GT$43=1,GT$27+GT$28,0)</f>
        <v/>
      </c>
      <c r="GU29" s="218">
        <f>IF(Timeline!GU$43=1,GU$27+GU$28,0)</f>
        <v/>
      </c>
      <c r="GV29" s="218">
        <f>IF(Timeline!GV$43=1,GV$27+GV$28,0)</f>
        <v/>
      </c>
      <c r="GW29" s="218">
        <f>IF(Timeline!GW$43=1,GW$27+GW$28,0)</f>
        <v/>
      </c>
      <c r="GX29" s="218">
        <f>IF(Timeline!GX$43=1,GX$27+GX$28,0)</f>
        <v/>
      </c>
      <c r="GY29" s="218">
        <f>IF(Timeline!GY$43=1,GY$27+GY$28,0)</f>
        <v/>
      </c>
      <c r="GZ29" s="218">
        <f>IF(Timeline!GZ$43=1,GZ$27+GZ$28,0)</f>
        <v/>
      </c>
      <c r="HA29" s="218">
        <f>IF(Timeline!HA$43=1,HA$27+HA$28,0)</f>
        <v/>
      </c>
      <c r="HB29" s="218">
        <f>IF(Timeline!HB$43=1,HB$27+HB$28,0)</f>
        <v/>
      </c>
      <c r="HC29" s="218">
        <f>IF(Timeline!HC$43=1,HC$27+HC$28,0)</f>
        <v/>
      </c>
      <c r="HD29" s="218">
        <f>IF(Timeline!HD$43=1,HD$27+HD$28,0)</f>
        <v/>
      </c>
      <c r="HE29" s="218">
        <f>IF(Timeline!HE$43=1,HE$27+HE$28,0)</f>
        <v/>
      </c>
      <c r="HF29" s="218">
        <f>IF(Timeline!HF$43=1,HF$27+HF$28,0)</f>
        <v/>
      </c>
      <c r="HG29" s="218">
        <f>IF(Timeline!HG$43=1,HG$27+HG$28,0)</f>
        <v/>
      </c>
      <c r="HH29" s="218">
        <f>IF(Timeline!HH$43=1,HH$27+HH$28,0)</f>
        <v/>
      </c>
      <c r="HI29" s="218">
        <f>IF(Timeline!HI$43=1,HI$27+HI$28,0)</f>
        <v/>
      </c>
      <c r="HJ29" s="218">
        <f>IF(Timeline!HJ$43=1,HJ$27+HJ$28,0)</f>
        <v/>
      </c>
      <c r="HK29" s="218">
        <f>IF(Timeline!HK$43=1,HK$27+HK$28,0)</f>
        <v/>
      </c>
      <c r="HL29" s="218">
        <f>IF(Timeline!HL$43=1,HL$27+HL$28,0)</f>
        <v/>
      </c>
      <c r="HM29" s="218">
        <f>IF(Timeline!HM$43=1,HM$27+HM$28,0)</f>
        <v/>
      </c>
      <c r="HN29" s="218">
        <f>IF(Timeline!HN$43=1,HN$27+HN$28,0)</f>
        <v/>
      </c>
      <c r="HO29" s="218">
        <f>IF(Timeline!HO$43=1,HO$27+HO$28,0)</f>
        <v/>
      </c>
      <c r="HP29" s="218">
        <f>IF(Timeline!HP$43=1,HP$27+HP$28,0)</f>
        <v/>
      </c>
      <c r="HQ29" s="218">
        <f>IF(Timeline!HQ$43=1,HQ$27+HQ$28,0)</f>
        <v/>
      </c>
      <c r="HR29" s="218">
        <f>IF(Timeline!HR$43=1,HR$27+HR$28,0)</f>
        <v/>
      </c>
      <c r="HS29" s="218">
        <f>IF(Timeline!HS$43=1,HS$27+HS$28,0)</f>
        <v/>
      </c>
      <c r="HT29" s="218">
        <f>IF(Timeline!HT$43=1,HT$27+HT$28,0)</f>
        <v/>
      </c>
      <c r="HU29" s="218">
        <f>IF(Timeline!HU$43=1,HU$27+HU$28,0)</f>
        <v/>
      </c>
      <c r="HV29" s="218">
        <f>IF(Timeline!HV$43=1,HV$27+HV$28,0)</f>
        <v/>
      </c>
      <c r="HW29" s="218">
        <f>IF(Timeline!HW$43=1,HW$27+HW$28,0)</f>
        <v/>
      </c>
      <c r="HX29" s="218">
        <f>IF(Timeline!HX$43=1,HX$27+HX$28,0)</f>
        <v/>
      </c>
      <c r="HY29" s="218">
        <f>IF(Timeline!HY$43=1,HY$27+HY$28,0)</f>
        <v/>
      </c>
      <c r="HZ29" s="218">
        <f>IF(Timeline!HZ$43=1,HZ$27+HZ$28,0)</f>
        <v/>
      </c>
      <c r="IA29" s="218">
        <f>IF(Timeline!IA$43=1,IA$27+IA$28,0)</f>
        <v/>
      </c>
      <c r="IB29" s="218">
        <f>IF(Timeline!IB$43=1,IB$27+IB$28,0)</f>
        <v/>
      </c>
      <c r="IC29" s="218">
        <f>IF(Timeline!IC$43=1,IC$27+IC$28,0)</f>
        <v/>
      </c>
      <c r="ID29" s="218">
        <f>IF(Timeline!ID$43=1,ID$27+ID$28,0)</f>
        <v/>
      </c>
      <c r="IE29" s="218">
        <f>IF(Timeline!IE$43=1,IE$27+IE$28,0)</f>
        <v/>
      </c>
      <c r="IF29" s="218">
        <f>IF(Timeline!IF$43=1,IF$27+IF$28,0)</f>
        <v/>
      </c>
      <c r="IG29" s="218">
        <f>IF(Timeline!IG$43=1,IG$27+IG$28,0)</f>
        <v/>
      </c>
      <c r="IH29" s="218">
        <f>IF(Timeline!IH$43=1,IH$27+IH$28,0)</f>
        <v/>
      </c>
      <c r="II29" s="218">
        <f>IF(Timeline!II$43=1,II$27+II$28,0)</f>
        <v/>
      </c>
      <c r="IJ29" s="218">
        <f>IF(Timeline!IJ$43=1,IJ$27+IJ$28,0)</f>
        <v/>
      </c>
      <c r="IK29" s="218">
        <f>IF(Timeline!IK$43=1,IK$27+IK$28,0)</f>
        <v/>
      </c>
      <c r="IL29" s="218">
        <f>IF(Timeline!IL$43=1,IL$27+IL$28,0)</f>
        <v/>
      </c>
      <c r="IM29" s="218">
        <f>IF(Timeline!IM$43=1,IM$27+IM$28,0)</f>
        <v/>
      </c>
      <c r="IN29" s="218">
        <f>IF(Timeline!IN$43=1,IN$27+IN$28,0)</f>
        <v/>
      </c>
      <c r="IO29" s="218">
        <f>IF(Timeline!IO$43=1,IO$27+IO$28,0)</f>
        <v/>
      </c>
      <c r="IP29" s="218">
        <f>IF(Timeline!IP$43=1,IP$27+IP$28,0)</f>
        <v/>
      </c>
      <c r="IQ29" s="218">
        <f>IF(Timeline!IQ$43=1,IQ$27+IQ$28,0)</f>
        <v/>
      </c>
      <c r="IR29" s="218">
        <f>IF(Timeline!IR$43=1,IR$27+IR$28,0)</f>
        <v/>
      </c>
      <c r="IS29" s="218">
        <f>IF(Timeline!IS$43=1,IS$27+IS$28,0)</f>
        <v/>
      </c>
      <c r="IT29" s="218">
        <f>IF(Timeline!IT$43=1,IT$27+IT$28,0)</f>
        <v/>
      </c>
      <c r="IU29" s="218">
        <f>IF(Timeline!IU$43=1,IU$27+IU$28,0)</f>
        <v/>
      </c>
      <c r="IV29" s="218">
        <f>IF(Timeline!IV$43=1,IV$27+IV$28,0)</f>
        <v/>
      </c>
      <c r="IW29" s="218">
        <f>IF(Timeline!IW$43=1,IW$27+IW$28,0)</f>
        <v/>
      </c>
      <c r="IX29" s="218">
        <f>IF(Timeline!IX$43=1,IX$27+IX$28,0)</f>
        <v/>
      </c>
      <c r="IY29" s="218">
        <f>IF(Timeline!IY$43=1,IY$27+IY$28,0)</f>
        <v/>
      </c>
      <c r="IZ29" s="218">
        <f>IF(Timeline!IZ$43=1,IZ$27+IZ$28,0)</f>
        <v/>
      </c>
      <c r="JA29" s="218">
        <f>IF(Timeline!JA$43=1,JA$27+JA$28,0)</f>
        <v/>
      </c>
      <c r="JB29" s="218">
        <f>IF(Timeline!JB$43=1,JB$27+JB$28,0)</f>
        <v/>
      </c>
      <c r="JC29" s="218">
        <f>IF(Timeline!JC$43=1,JC$27+JC$28,0)</f>
        <v/>
      </c>
      <c r="JD29" s="218">
        <f>IF(Timeline!JD$43=1,JD$27+JD$28,0)</f>
        <v/>
      </c>
      <c r="JE29" s="218">
        <f>IF(Timeline!JE$43=1,JE$27+JE$28,0)</f>
        <v/>
      </c>
      <c r="JF29" s="218">
        <f>IF(Timeline!JF$43=1,JF$27+JF$28,0)</f>
        <v/>
      </c>
      <c r="JG29" s="218">
        <f>IF(Timeline!JG$43=1,JG$27+JG$28,0)</f>
        <v/>
      </c>
      <c r="JH29" s="218">
        <f>IF(Timeline!JH$43=1,JH$27+JH$28,0)</f>
        <v/>
      </c>
      <c r="JI29" s="218">
        <f>IF(Timeline!JI$43=1,JI$27+JI$28,0)</f>
        <v/>
      </c>
      <c r="JJ29" s="218">
        <f>IF(Timeline!JJ$43=1,JJ$27+JJ$28,0)</f>
        <v/>
      </c>
      <c r="JK29" s="218">
        <f>IF(Timeline!JK$43=1,JK$27+JK$28,0)</f>
        <v/>
      </c>
      <c r="JL29" s="218">
        <f>IF(Timeline!JL$43=1,JL$27+JL$28,0)</f>
        <v/>
      </c>
      <c r="JM29" s="218">
        <f>IF(Timeline!JM$43=1,JM$27+JM$28,0)</f>
        <v/>
      </c>
      <c r="JN29" s="218">
        <f>IF(Timeline!JN$43=1,JN$27+JN$28,0)</f>
        <v/>
      </c>
      <c r="JO29" s="218">
        <f>IF(Timeline!JO$43=1,JO$27+JO$28,0)</f>
        <v/>
      </c>
      <c r="JP29" s="218">
        <f>IF(Timeline!JP$43=1,JP$27+JP$28,0)</f>
        <v/>
      </c>
      <c r="JQ29" s="218">
        <f>IF(Timeline!JQ$43=1,JQ$27+JQ$28,0)</f>
        <v/>
      </c>
      <c r="JR29" s="218">
        <f>IF(Timeline!JR$43=1,JR$27+JR$28,0)</f>
        <v/>
      </c>
      <c r="JS29" s="218">
        <f>IF(Timeline!JS$43=1,JS$27+JS$28,0)</f>
        <v/>
      </c>
      <c r="JT29" s="218">
        <f>IF(Timeline!JT$43=1,JT$27+JT$28,0)</f>
        <v/>
      </c>
      <c r="JU29" s="218">
        <f>IF(Timeline!JU$43=1,JU$27+JU$28,0)</f>
        <v/>
      </c>
      <c r="JV29" s="218">
        <f>IF(Timeline!JV$43=1,JV$27+JV$28,0)</f>
        <v/>
      </c>
      <c r="JW29" s="218">
        <f>IF(Timeline!JW$43=1,JW$27+JW$28,0)</f>
        <v/>
      </c>
      <c r="JX29" s="218">
        <f>IF(Timeline!JX$43=1,JX$27+JX$28,0)</f>
        <v/>
      </c>
      <c r="JY29" s="218">
        <f>IF(Timeline!JY$43=1,JY$27+JY$28,0)</f>
        <v/>
      </c>
      <c r="JZ29" s="218">
        <f>IF(Timeline!JZ$43=1,JZ$27+JZ$28,0)</f>
        <v/>
      </c>
      <c r="KA29" s="218">
        <f>IF(Timeline!KA$43=1,KA$27+KA$28,0)</f>
        <v/>
      </c>
      <c r="KB29" s="218">
        <f>IF(Timeline!KB$43=1,KB$27+KB$28,0)</f>
        <v/>
      </c>
      <c r="KC29" s="218">
        <f>IF(Timeline!KC$43=1,KC$27+KC$28,0)</f>
        <v/>
      </c>
      <c r="KD29" s="218">
        <f>IF(Timeline!KD$43=1,KD$27+KD$28,0)</f>
        <v/>
      </c>
      <c r="KE29" s="218">
        <f>IF(Timeline!KE$43=1,KE$27+KE$28,0)</f>
        <v/>
      </c>
      <c r="KF29" s="218">
        <f>IF(Timeline!KF$43=1,KF$27+KF$28,0)</f>
        <v/>
      </c>
      <c r="KG29" s="218">
        <f>IF(Timeline!KG$43=1,KG$27+KG$28,0)</f>
        <v/>
      </c>
      <c r="KH29" s="218">
        <f>IF(Timeline!KH$43=1,KH$27+KH$28,0)</f>
        <v/>
      </c>
      <c r="KI29" s="218">
        <f>IF(Timeline!KI$43=1,KI$27+KI$28,0)</f>
        <v/>
      </c>
      <c r="KJ29" s="218">
        <f>IF(Timeline!KJ$43=1,KJ$27+KJ$28,0)</f>
        <v/>
      </c>
      <c r="KK29" s="218">
        <f>IF(Timeline!KK$43=1,KK$27+KK$28,0)</f>
        <v/>
      </c>
      <c r="KL29" s="218">
        <f>IF(Timeline!KL$43=1,KL$27+KL$28,0)</f>
        <v/>
      </c>
      <c r="KM29" s="218">
        <f>IF(Timeline!KM$43=1,KM$27+KM$28,0)</f>
        <v/>
      </c>
      <c r="KN29" s="218">
        <f>IF(Timeline!KN$43=1,KN$27+KN$28,0)</f>
        <v/>
      </c>
      <c r="KO29" s="218">
        <f>IF(Timeline!KO$43=1,KO$27+KO$28,0)</f>
        <v/>
      </c>
      <c r="KP29" s="218">
        <f>IF(Timeline!KP$43=1,KP$27+KP$28,0)</f>
        <v/>
      </c>
      <c r="KQ29" s="218">
        <f>IF(Timeline!KQ$43=1,KQ$27+KQ$28,0)</f>
        <v/>
      </c>
      <c r="KR29" s="218">
        <f>IF(Timeline!KR$43=1,KR$27+KR$28,0)</f>
        <v/>
      </c>
      <c r="KS29" s="218">
        <f>IF(Timeline!KS$43=1,KS$27+KS$28,0)</f>
        <v/>
      </c>
      <c r="KT29" s="218">
        <f>IF(Timeline!KT$43=1,KT$27+KT$28,0)</f>
        <v/>
      </c>
      <c r="KU29" s="218">
        <f>IF(Timeline!KU$43=1,KU$27+KU$28,0)</f>
        <v/>
      </c>
      <c r="KV29" s="218">
        <f>IF(Timeline!KV$43=1,KV$27+KV$28,0)</f>
        <v/>
      </c>
      <c r="KW29" s="218">
        <f>IF(Timeline!KW$43=1,KW$27+KW$28,0)</f>
        <v/>
      </c>
      <c r="KX29" s="218">
        <f>IF(Timeline!KX$43=1,KX$27+KX$28,0)</f>
        <v/>
      </c>
      <c r="KY29" s="218">
        <f>IF(Timeline!KY$43=1,KY$27+KY$28,0)</f>
        <v/>
      </c>
      <c r="KZ29" s="218">
        <f>IF(Timeline!KZ$43=1,KZ$27+KZ$28,0)</f>
        <v/>
      </c>
      <c r="LA29" s="218">
        <f>IF(Timeline!LA$43=1,LA$27+LA$28,0)</f>
        <v/>
      </c>
      <c r="LB29" s="218">
        <f>IF(Timeline!LB$43=1,LB$27+LB$28,0)</f>
        <v/>
      </c>
      <c r="LC29" s="218">
        <f>IF(Timeline!LC$43=1,LC$27+LC$28,0)</f>
        <v/>
      </c>
      <c r="LD29" s="218">
        <f>IF(Timeline!LD$43=1,LD$27+LD$28,0)</f>
        <v/>
      </c>
      <c r="LE29" s="218">
        <f>IF(Timeline!LE$43=1,LE$27+LE$28,0)</f>
        <v/>
      </c>
      <c r="LF29" s="218">
        <f>IF(Timeline!LF$43=1,LF$27+LF$28,0)</f>
        <v/>
      </c>
      <c r="LG29" s="218">
        <f>IF(Timeline!LG$43=1,LG$27+LG$28,0)</f>
        <v/>
      </c>
      <c r="LH29" s="218">
        <f>IF(Timeline!LH$43=1,LH$27+LH$28,0)</f>
        <v/>
      </c>
      <c r="LI29" s="218">
        <f>IF(Timeline!LI$43=1,LI$27+LI$28,0)</f>
        <v/>
      </c>
      <c r="LJ29" s="218">
        <f>IF(Timeline!LJ$43=1,LJ$27+LJ$28,0)</f>
        <v/>
      </c>
      <c r="LK29" s="218">
        <f>IF(Timeline!LK$43=1,LK$27+LK$28,0)</f>
        <v/>
      </c>
      <c r="LL29" s="218">
        <f>IF(Timeline!LL$43=1,LL$27+LL$28,0)</f>
        <v/>
      </c>
      <c r="LM29" s="218">
        <f>IF(Timeline!LM$43=1,LM$27+LM$28,0)</f>
        <v/>
      </c>
      <c r="LN29" s="218">
        <f>IF(Timeline!LN$43=1,LN$27+LN$28,0)</f>
        <v/>
      </c>
      <c r="LO29" s="218">
        <f>IF(Timeline!LO$43=1,LO$27+LO$28,0)</f>
        <v/>
      </c>
      <c r="LP29" s="218">
        <f>IF(Timeline!LP$43=1,LP$27+LP$28,0)</f>
        <v/>
      </c>
      <c r="LQ29" s="218">
        <f>IF(Timeline!LQ$43=1,LQ$27+LQ$28,0)</f>
        <v/>
      </c>
      <c r="LR29" s="218">
        <f>IF(Timeline!LR$43=1,LR$27+LR$28,0)</f>
        <v/>
      </c>
      <c r="LS29" s="218">
        <f>IF(Timeline!LS$43=1,LS$27+LS$28,0)</f>
        <v/>
      </c>
      <c r="LT29" s="218">
        <f>IF(Timeline!LT$43=1,LT$27+LT$28,0)</f>
        <v/>
      </c>
      <c r="LU29" s="218">
        <f>IF(Timeline!LU$43=1,LU$27+LU$28,0)</f>
        <v/>
      </c>
      <c r="LV29" s="218">
        <f>IF(Timeline!LV$43=1,LV$27+LV$28,0)</f>
        <v/>
      </c>
      <c r="LW29" s="218">
        <f>IF(Timeline!LW$43=1,LW$27+LW$28,0)</f>
        <v/>
      </c>
      <c r="LX29" s="218">
        <f>IF(Timeline!LX$43=1,LX$27+LX$28,0)</f>
        <v/>
      </c>
      <c r="LY29" s="218">
        <f>IF(Timeline!LY$43=1,LY$27+LY$28,0)</f>
        <v/>
      </c>
      <c r="LZ29" s="218">
        <f>IF(Timeline!LZ$43=1,LZ$27+LZ$28,0)</f>
        <v/>
      </c>
      <c r="MA29" s="218">
        <f>IF(Timeline!MA$43=1,MA$27+MA$28,0)</f>
        <v/>
      </c>
      <c r="MB29" s="218">
        <f>IF(Timeline!MB$43=1,MB$27+MB$28,0)</f>
        <v/>
      </c>
      <c r="MC29" s="218">
        <f>IF(Timeline!MC$43=1,MC$27+MC$28,0)</f>
        <v/>
      </c>
      <c r="MD29" s="218">
        <f>IF(Timeline!MD$43=1,MD$27+MD$28,0)</f>
        <v/>
      </c>
      <c r="ME29" s="218">
        <f>IF(Timeline!ME$43=1,ME$27+ME$28,0)</f>
        <v/>
      </c>
      <c r="MF29" s="218">
        <f>IF(Timeline!MF$43=1,MF$27+MF$28,0)</f>
        <v/>
      </c>
      <c r="MG29" s="218">
        <f>IF(Timeline!MG$43=1,MG$27+MG$28,0)</f>
        <v/>
      </c>
      <c r="MH29" s="218">
        <f>IF(Timeline!MH$43=1,MH$27+MH$28,0)</f>
        <v/>
      </c>
      <c r="MI29" s="218">
        <f>IF(Timeline!MI$43=1,MI$27+MI$28,0)</f>
        <v/>
      </c>
      <c r="MJ29" s="218">
        <f>IF(Timeline!MJ$43=1,MJ$27+MJ$28,0)</f>
        <v/>
      </c>
      <c r="MK29" s="218">
        <f>IF(Timeline!MK$43=1,MK$27+MK$28,0)</f>
        <v/>
      </c>
      <c r="ML29" s="218">
        <f>IF(Timeline!ML$43=1,ML$27+ML$28,0)</f>
        <v/>
      </c>
      <c r="MM29" s="218">
        <f>IF(Timeline!MM$43=1,MM$27+MM$28,0)</f>
        <v/>
      </c>
      <c r="MN29" s="218">
        <f>IF(Timeline!MN$43=1,MN$27+MN$28,0)</f>
        <v/>
      </c>
      <c r="MO29" s="218">
        <f>IF(Timeline!MO$43=1,MO$27+MO$28,0)</f>
        <v/>
      </c>
      <c r="MP29" s="218">
        <f>IF(Timeline!MP$43=1,MP$27+MP$28,0)</f>
        <v/>
      </c>
      <c r="MQ29" s="218">
        <f>IF(Timeline!MQ$43=1,MQ$27+MQ$28,0)</f>
        <v/>
      </c>
      <c r="MR29" s="218">
        <f>IF(Timeline!MR$43=1,MR$27+MR$28,0)</f>
        <v/>
      </c>
      <c r="MS29" s="218">
        <f>IF(Timeline!MS$43=1,MS$27+MS$28,0)</f>
        <v/>
      </c>
      <c r="MT29" s="218">
        <f>IF(Timeline!MT$43=1,MT$27+MT$28,0)</f>
        <v/>
      </c>
      <c r="MU29" s="218">
        <f>IF(Timeline!MU$43=1,MU$27+MU$28,0)</f>
        <v/>
      </c>
      <c r="MV29" s="218">
        <f>IF(Timeline!MV$43=1,MV$27+MV$28,0)</f>
        <v/>
      </c>
      <c r="MW29" s="218">
        <f>IF(Timeline!MW$43=1,MW$27+MW$28,0)</f>
        <v/>
      </c>
      <c r="MX29" s="218">
        <f>IF(Timeline!MX$43=1,MX$27+MX$28,0)</f>
        <v/>
      </c>
      <c r="MY29" s="218">
        <f>IF(Timeline!MY$43=1,MY$27+MY$28,0)</f>
        <v/>
      </c>
      <c r="MZ29" s="218">
        <f>IF(Timeline!MZ$43=1,MZ$27+MZ$28,0)</f>
        <v/>
      </c>
      <c r="NA29" s="218">
        <f>IF(Timeline!NA$43=1,NA$27+NA$28,0)</f>
        <v/>
      </c>
      <c r="NB29" s="218">
        <f>IF(Timeline!NB$43=1,NB$27+NB$28,0)</f>
        <v/>
      </c>
      <c r="NC29" s="218">
        <f>IF(Timeline!NC$43=1,NC$27+NC$28,0)</f>
        <v/>
      </c>
      <c r="ND29" s="218">
        <f>IF(Timeline!ND$43=1,ND$27+ND$28,0)</f>
        <v/>
      </c>
      <c r="NE29" s="218">
        <f>IF(Timeline!NE$43=1,NE$27+NE$28,0)</f>
        <v/>
      </c>
      <c r="NF29" s="218">
        <f>IF(Timeline!NF$43=1,NF$27+NF$28,0)</f>
        <v/>
      </c>
      <c r="NG29" s="218">
        <f>IF(Timeline!NG$43=1,NG$27+NG$28,0)</f>
        <v/>
      </c>
      <c r="NH29" s="218">
        <f>IF(Timeline!NH$43=1,NH$27+NH$28,0)</f>
        <v/>
      </c>
      <c r="NI29" s="218">
        <f>IF(Timeline!NI$43=1,NI$27+NI$28,0)</f>
        <v/>
      </c>
      <c r="NJ29" s="218">
        <f>IF(Timeline!NJ$43=1,NJ$27+NJ$28,0)</f>
        <v/>
      </c>
      <c r="NK29" s="218">
        <f>IF(Timeline!NK$43=1,NK$27+NK$28,0)</f>
        <v/>
      </c>
      <c r="NL29" s="218">
        <f>IF(Timeline!NL$43=1,NL$27+NL$28,0)</f>
        <v/>
      </c>
    </row>
    <row r="30">
      <c r="B30" s="36" t="inlineStr">
        <is>
          <t>Permanent Loan Balance</t>
        </is>
      </c>
      <c r="D30" s="253" t="n"/>
      <c r="E30" s="218">
        <f>IF(RefiFlag=0,0,IF(1&lt;RefiMonth,0,IF(1=RefiMonth,PermLoan,IF(1&gt;DispoMonth,0,0-E$28))))</f>
        <v/>
      </c>
      <c r="F30" s="218">
        <f>IF(RefiFlag=0,0,IF(2&lt;RefiMonth,0,IF(2=RefiMonth,PermLoan,IF(2&gt;DispoMonth,0,E$30-F$28))))</f>
        <v/>
      </c>
      <c r="G30" s="218">
        <f>IF(RefiFlag=0,0,IF(3&lt;RefiMonth,0,IF(3=RefiMonth,PermLoan,IF(3&gt;DispoMonth,0,F$30-G$28))))</f>
        <v/>
      </c>
      <c r="H30" s="218">
        <f>IF(RefiFlag=0,0,IF(4&lt;RefiMonth,0,IF(4=RefiMonth,PermLoan,IF(4&gt;DispoMonth,0,G$30-H$28))))</f>
        <v/>
      </c>
      <c r="I30" s="218">
        <f>IF(RefiFlag=0,0,IF(5&lt;RefiMonth,0,IF(5=RefiMonth,PermLoan,IF(5&gt;DispoMonth,0,H$30-I$28))))</f>
        <v/>
      </c>
      <c r="J30" s="218">
        <f>IF(RefiFlag=0,0,IF(6&lt;RefiMonth,0,IF(6=RefiMonth,PermLoan,IF(6&gt;DispoMonth,0,I$30-J$28))))</f>
        <v/>
      </c>
      <c r="K30" s="218">
        <f>IF(RefiFlag=0,0,IF(7&lt;RefiMonth,0,IF(7=RefiMonth,PermLoan,IF(7&gt;DispoMonth,0,J$30-K$28))))</f>
        <v/>
      </c>
      <c r="L30" s="218">
        <f>IF(RefiFlag=0,0,IF(8&lt;RefiMonth,0,IF(8=RefiMonth,PermLoan,IF(8&gt;DispoMonth,0,K$30-L$28))))</f>
        <v/>
      </c>
      <c r="M30" s="218">
        <f>IF(RefiFlag=0,0,IF(9&lt;RefiMonth,0,IF(9=RefiMonth,PermLoan,IF(9&gt;DispoMonth,0,L$30-M$28))))</f>
        <v/>
      </c>
      <c r="N30" s="218">
        <f>IF(RefiFlag=0,0,IF(10&lt;RefiMonth,0,IF(10=RefiMonth,PermLoan,IF(10&gt;DispoMonth,0,M$30-N$28))))</f>
        <v/>
      </c>
      <c r="O30" s="218">
        <f>IF(RefiFlag=0,0,IF(11&lt;RefiMonth,0,IF(11=RefiMonth,PermLoan,IF(11&gt;DispoMonth,0,N$30-O$28))))</f>
        <v/>
      </c>
      <c r="P30" s="218">
        <f>IF(RefiFlag=0,0,IF(12&lt;RefiMonth,0,IF(12=RefiMonth,PermLoan,IF(12&gt;DispoMonth,0,O$30-P$28))))</f>
        <v/>
      </c>
      <c r="Q30" s="218">
        <f>IF(RefiFlag=0,0,IF(13&lt;RefiMonth,0,IF(13=RefiMonth,PermLoan,IF(13&gt;DispoMonth,0,P$30-Q$28))))</f>
        <v/>
      </c>
      <c r="R30" s="218">
        <f>IF(RefiFlag=0,0,IF(14&lt;RefiMonth,0,IF(14=RefiMonth,PermLoan,IF(14&gt;DispoMonth,0,Q$30-R$28))))</f>
        <v/>
      </c>
      <c r="S30" s="218">
        <f>IF(RefiFlag=0,0,IF(15&lt;RefiMonth,0,IF(15=RefiMonth,PermLoan,IF(15&gt;DispoMonth,0,R$30-S$28))))</f>
        <v/>
      </c>
      <c r="T30" s="218">
        <f>IF(RefiFlag=0,0,IF(16&lt;RefiMonth,0,IF(16=RefiMonth,PermLoan,IF(16&gt;DispoMonth,0,S$30-T$28))))</f>
        <v/>
      </c>
      <c r="U30" s="218">
        <f>IF(RefiFlag=0,0,IF(17&lt;RefiMonth,0,IF(17=RefiMonth,PermLoan,IF(17&gt;DispoMonth,0,T$30-U$28))))</f>
        <v/>
      </c>
      <c r="V30" s="218">
        <f>IF(RefiFlag=0,0,IF(18&lt;RefiMonth,0,IF(18=RefiMonth,PermLoan,IF(18&gt;DispoMonth,0,U$30-V$28))))</f>
        <v/>
      </c>
      <c r="W30" s="218">
        <f>IF(RefiFlag=0,0,IF(19&lt;RefiMonth,0,IF(19=RefiMonth,PermLoan,IF(19&gt;DispoMonth,0,V$30-W$28))))</f>
        <v/>
      </c>
      <c r="X30" s="218">
        <f>IF(RefiFlag=0,0,IF(20&lt;RefiMonth,0,IF(20=RefiMonth,PermLoan,IF(20&gt;DispoMonth,0,W$30-X$28))))</f>
        <v/>
      </c>
      <c r="Y30" s="218">
        <f>IF(RefiFlag=0,0,IF(21&lt;RefiMonth,0,IF(21=RefiMonth,PermLoan,IF(21&gt;DispoMonth,0,X$30-Y$28))))</f>
        <v/>
      </c>
      <c r="Z30" s="218">
        <f>IF(RefiFlag=0,0,IF(22&lt;RefiMonth,0,IF(22=RefiMonth,PermLoan,IF(22&gt;DispoMonth,0,Y$30-Z$28))))</f>
        <v/>
      </c>
      <c r="AA30" s="218">
        <f>IF(RefiFlag=0,0,IF(23&lt;RefiMonth,0,IF(23=RefiMonth,PermLoan,IF(23&gt;DispoMonth,0,Z$30-AA$28))))</f>
        <v/>
      </c>
      <c r="AB30" s="218">
        <f>IF(RefiFlag=0,0,IF(24&lt;RefiMonth,0,IF(24=RefiMonth,PermLoan,IF(24&gt;DispoMonth,0,AA$30-AB$28))))</f>
        <v/>
      </c>
      <c r="AC30" s="218">
        <f>IF(RefiFlag=0,0,IF(25&lt;RefiMonth,0,IF(25=RefiMonth,PermLoan,IF(25&gt;DispoMonth,0,AB$30-AC$28))))</f>
        <v/>
      </c>
      <c r="AD30" s="218">
        <f>IF(RefiFlag=0,0,IF(26&lt;RefiMonth,0,IF(26=RefiMonth,PermLoan,IF(26&gt;DispoMonth,0,AC$30-AD$28))))</f>
        <v/>
      </c>
      <c r="AE30" s="218">
        <f>IF(RefiFlag=0,0,IF(27&lt;RefiMonth,0,IF(27=RefiMonth,PermLoan,IF(27&gt;DispoMonth,0,AD$30-AE$28))))</f>
        <v/>
      </c>
      <c r="AF30" s="218">
        <f>IF(RefiFlag=0,0,IF(28&lt;RefiMonth,0,IF(28=RefiMonth,PermLoan,IF(28&gt;DispoMonth,0,AE$30-AF$28))))</f>
        <v/>
      </c>
      <c r="AG30" s="218">
        <f>IF(RefiFlag=0,0,IF(29&lt;RefiMonth,0,IF(29=RefiMonth,PermLoan,IF(29&gt;DispoMonth,0,AF$30-AG$28))))</f>
        <v/>
      </c>
      <c r="AH30" s="218">
        <f>IF(RefiFlag=0,0,IF(30&lt;RefiMonth,0,IF(30=RefiMonth,PermLoan,IF(30&gt;DispoMonth,0,AG$30-AH$28))))</f>
        <v/>
      </c>
      <c r="AI30" s="218">
        <f>IF(RefiFlag=0,0,IF(31&lt;RefiMonth,0,IF(31=RefiMonth,PermLoan,IF(31&gt;DispoMonth,0,AH$30-AI$28))))</f>
        <v/>
      </c>
      <c r="AJ30" s="218">
        <f>IF(RefiFlag=0,0,IF(32&lt;RefiMonth,0,IF(32=RefiMonth,PermLoan,IF(32&gt;DispoMonth,0,AI$30-AJ$28))))</f>
        <v/>
      </c>
      <c r="AK30" s="218">
        <f>IF(RefiFlag=0,0,IF(33&lt;RefiMonth,0,IF(33=RefiMonth,PermLoan,IF(33&gt;DispoMonth,0,AJ$30-AK$28))))</f>
        <v/>
      </c>
      <c r="AL30" s="218">
        <f>IF(RefiFlag=0,0,IF(34&lt;RefiMonth,0,IF(34=RefiMonth,PermLoan,IF(34&gt;DispoMonth,0,AK$30-AL$28))))</f>
        <v/>
      </c>
      <c r="AM30" s="218">
        <f>IF(RefiFlag=0,0,IF(35&lt;RefiMonth,0,IF(35=RefiMonth,PermLoan,IF(35&gt;DispoMonth,0,AL$30-AM$28))))</f>
        <v/>
      </c>
      <c r="AN30" s="218">
        <f>IF(RefiFlag=0,0,IF(36&lt;RefiMonth,0,IF(36=RefiMonth,PermLoan,IF(36&gt;DispoMonth,0,AM$30-AN$28))))</f>
        <v/>
      </c>
      <c r="AO30" s="218">
        <f>IF(RefiFlag=0,0,IF(37&lt;RefiMonth,0,IF(37=RefiMonth,PermLoan,IF(37&gt;DispoMonth,0,AN$30-AO$28))))</f>
        <v/>
      </c>
      <c r="AP30" s="218">
        <f>IF(RefiFlag=0,0,IF(38&lt;RefiMonth,0,IF(38=RefiMonth,PermLoan,IF(38&gt;DispoMonth,0,AO$30-AP$28))))</f>
        <v/>
      </c>
      <c r="AQ30" s="218">
        <f>IF(RefiFlag=0,0,IF(39&lt;RefiMonth,0,IF(39=RefiMonth,PermLoan,IF(39&gt;DispoMonth,0,AP$30-AQ$28))))</f>
        <v/>
      </c>
      <c r="AR30" s="218">
        <f>IF(RefiFlag=0,0,IF(40&lt;RefiMonth,0,IF(40=RefiMonth,PermLoan,IF(40&gt;DispoMonth,0,AQ$30-AR$28))))</f>
        <v/>
      </c>
      <c r="AS30" s="218">
        <f>IF(RefiFlag=0,0,IF(41&lt;RefiMonth,0,IF(41=RefiMonth,PermLoan,IF(41&gt;DispoMonth,0,AR$30-AS$28))))</f>
        <v/>
      </c>
      <c r="AT30" s="218">
        <f>IF(RefiFlag=0,0,IF(42&lt;RefiMonth,0,IF(42=RefiMonth,PermLoan,IF(42&gt;DispoMonth,0,AS$30-AT$28))))</f>
        <v/>
      </c>
      <c r="AU30" s="218">
        <f>IF(RefiFlag=0,0,IF(43&lt;RefiMonth,0,IF(43=RefiMonth,PermLoan,IF(43&gt;DispoMonth,0,AT$30-AU$28))))</f>
        <v/>
      </c>
      <c r="AV30" s="218">
        <f>IF(RefiFlag=0,0,IF(44&lt;RefiMonth,0,IF(44=RefiMonth,PermLoan,IF(44&gt;DispoMonth,0,AU$30-AV$28))))</f>
        <v/>
      </c>
      <c r="AW30" s="218">
        <f>IF(RefiFlag=0,0,IF(45&lt;RefiMonth,0,IF(45=RefiMonth,PermLoan,IF(45&gt;DispoMonth,0,AV$30-AW$28))))</f>
        <v/>
      </c>
      <c r="AX30" s="218">
        <f>IF(RefiFlag=0,0,IF(46&lt;RefiMonth,0,IF(46=RefiMonth,PermLoan,IF(46&gt;DispoMonth,0,AW$30-AX$28))))</f>
        <v/>
      </c>
      <c r="AY30" s="218">
        <f>IF(RefiFlag=0,0,IF(47&lt;RefiMonth,0,IF(47=RefiMonth,PermLoan,IF(47&gt;DispoMonth,0,AX$30-AY$28))))</f>
        <v/>
      </c>
      <c r="AZ30" s="218">
        <f>IF(RefiFlag=0,0,IF(48&lt;RefiMonth,0,IF(48=RefiMonth,PermLoan,IF(48&gt;DispoMonth,0,AY$30-AZ$28))))</f>
        <v/>
      </c>
      <c r="BA30" s="218">
        <f>IF(RefiFlag=0,0,IF(49&lt;RefiMonth,0,IF(49=RefiMonth,PermLoan,IF(49&gt;DispoMonth,0,AZ$30-BA$28))))</f>
        <v/>
      </c>
      <c r="BB30" s="218">
        <f>IF(RefiFlag=0,0,IF(50&lt;RefiMonth,0,IF(50=RefiMonth,PermLoan,IF(50&gt;DispoMonth,0,BA$30-BB$28))))</f>
        <v/>
      </c>
      <c r="BC30" s="218">
        <f>IF(RefiFlag=0,0,IF(51&lt;RefiMonth,0,IF(51=RefiMonth,PermLoan,IF(51&gt;DispoMonth,0,BB$30-BC$28))))</f>
        <v/>
      </c>
      <c r="BD30" s="218">
        <f>IF(RefiFlag=0,0,IF(52&lt;RefiMonth,0,IF(52=RefiMonth,PermLoan,IF(52&gt;DispoMonth,0,BC$30-BD$28))))</f>
        <v/>
      </c>
      <c r="BE30" s="218">
        <f>IF(RefiFlag=0,0,IF(53&lt;RefiMonth,0,IF(53=RefiMonth,PermLoan,IF(53&gt;DispoMonth,0,BD$30-BE$28))))</f>
        <v/>
      </c>
      <c r="BF30" s="218">
        <f>IF(RefiFlag=0,0,IF(54&lt;RefiMonth,0,IF(54=RefiMonth,PermLoan,IF(54&gt;DispoMonth,0,BE$30-BF$28))))</f>
        <v/>
      </c>
      <c r="BG30" s="218">
        <f>IF(RefiFlag=0,0,IF(55&lt;RefiMonth,0,IF(55=RefiMonth,PermLoan,IF(55&gt;DispoMonth,0,BF$30-BG$28))))</f>
        <v/>
      </c>
      <c r="BH30" s="218">
        <f>IF(RefiFlag=0,0,IF(56&lt;RefiMonth,0,IF(56=RefiMonth,PermLoan,IF(56&gt;DispoMonth,0,BG$30-BH$28))))</f>
        <v/>
      </c>
      <c r="BI30" s="218">
        <f>IF(RefiFlag=0,0,IF(57&lt;RefiMonth,0,IF(57=RefiMonth,PermLoan,IF(57&gt;DispoMonth,0,BH$30-BI$28))))</f>
        <v/>
      </c>
      <c r="BJ30" s="218">
        <f>IF(RefiFlag=0,0,IF(58&lt;RefiMonth,0,IF(58=RefiMonth,PermLoan,IF(58&gt;DispoMonth,0,BI$30-BJ$28))))</f>
        <v/>
      </c>
      <c r="BK30" s="218">
        <f>IF(RefiFlag=0,0,IF(59&lt;RefiMonth,0,IF(59=RefiMonth,PermLoan,IF(59&gt;DispoMonth,0,BJ$30-BK$28))))</f>
        <v/>
      </c>
      <c r="BL30" s="218">
        <f>IF(RefiFlag=0,0,IF(60&lt;RefiMonth,0,IF(60=RefiMonth,PermLoan,IF(60&gt;DispoMonth,0,BK$30-BL$28))))</f>
        <v/>
      </c>
      <c r="BM30" s="218">
        <f>IF(RefiFlag=0,0,IF(61&lt;RefiMonth,0,IF(61=RefiMonth,PermLoan,IF(61&gt;DispoMonth,0,BL$30-BM$28))))</f>
        <v/>
      </c>
      <c r="BN30" s="218">
        <f>IF(RefiFlag=0,0,IF(62&lt;RefiMonth,0,IF(62=RefiMonth,PermLoan,IF(62&gt;DispoMonth,0,BM$30-BN$28))))</f>
        <v/>
      </c>
      <c r="BO30" s="218">
        <f>IF(RefiFlag=0,0,IF(63&lt;RefiMonth,0,IF(63=RefiMonth,PermLoan,IF(63&gt;DispoMonth,0,BN$30-BO$28))))</f>
        <v/>
      </c>
      <c r="BP30" s="218">
        <f>IF(RefiFlag=0,0,IF(64&lt;RefiMonth,0,IF(64=RefiMonth,PermLoan,IF(64&gt;DispoMonth,0,BO$30-BP$28))))</f>
        <v/>
      </c>
      <c r="BQ30" s="218">
        <f>IF(RefiFlag=0,0,IF(65&lt;RefiMonth,0,IF(65=RefiMonth,PermLoan,IF(65&gt;DispoMonth,0,BP$30-BQ$28))))</f>
        <v/>
      </c>
      <c r="BR30" s="218">
        <f>IF(RefiFlag=0,0,IF(66&lt;RefiMonth,0,IF(66=RefiMonth,PermLoan,IF(66&gt;DispoMonth,0,BQ$30-BR$28))))</f>
        <v/>
      </c>
      <c r="BS30" s="218">
        <f>IF(RefiFlag=0,0,IF(67&lt;RefiMonth,0,IF(67=RefiMonth,PermLoan,IF(67&gt;DispoMonth,0,BR$30-BS$28))))</f>
        <v/>
      </c>
      <c r="BT30" s="218">
        <f>IF(RefiFlag=0,0,IF(68&lt;RefiMonth,0,IF(68=RefiMonth,PermLoan,IF(68&gt;DispoMonth,0,BS$30-BT$28))))</f>
        <v/>
      </c>
      <c r="BU30" s="218">
        <f>IF(RefiFlag=0,0,IF(69&lt;RefiMonth,0,IF(69=RefiMonth,PermLoan,IF(69&gt;DispoMonth,0,BT$30-BU$28))))</f>
        <v/>
      </c>
      <c r="BV30" s="218">
        <f>IF(RefiFlag=0,0,IF(70&lt;RefiMonth,0,IF(70=RefiMonth,PermLoan,IF(70&gt;DispoMonth,0,BU$30-BV$28))))</f>
        <v/>
      </c>
      <c r="BW30" s="218">
        <f>IF(RefiFlag=0,0,IF(71&lt;RefiMonth,0,IF(71=RefiMonth,PermLoan,IF(71&gt;DispoMonth,0,BV$30-BW$28))))</f>
        <v/>
      </c>
      <c r="BX30" s="218">
        <f>IF(RefiFlag=0,0,IF(72&lt;RefiMonth,0,IF(72=RefiMonth,PermLoan,IF(72&gt;DispoMonth,0,BW$30-BX$28))))</f>
        <v/>
      </c>
      <c r="BY30" s="218">
        <f>IF(RefiFlag=0,0,IF(73&lt;RefiMonth,0,IF(73=RefiMonth,PermLoan,IF(73&gt;DispoMonth,0,BX$30-BY$28))))</f>
        <v/>
      </c>
      <c r="BZ30" s="218">
        <f>IF(RefiFlag=0,0,IF(74&lt;RefiMonth,0,IF(74=RefiMonth,PermLoan,IF(74&gt;DispoMonth,0,BY$30-BZ$28))))</f>
        <v/>
      </c>
      <c r="CA30" s="218">
        <f>IF(RefiFlag=0,0,IF(75&lt;RefiMonth,0,IF(75=RefiMonth,PermLoan,IF(75&gt;DispoMonth,0,BZ$30-CA$28))))</f>
        <v/>
      </c>
      <c r="CB30" s="218">
        <f>IF(RefiFlag=0,0,IF(76&lt;RefiMonth,0,IF(76=RefiMonth,PermLoan,IF(76&gt;DispoMonth,0,CA$30-CB$28))))</f>
        <v/>
      </c>
      <c r="CC30" s="218">
        <f>IF(RefiFlag=0,0,IF(77&lt;RefiMonth,0,IF(77=RefiMonth,PermLoan,IF(77&gt;DispoMonth,0,CB$30-CC$28))))</f>
        <v/>
      </c>
      <c r="CD30" s="218">
        <f>IF(RefiFlag=0,0,IF(78&lt;RefiMonth,0,IF(78=RefiMonth,PermLoan,IF(78&gt;DispoMonth,0,CC$30-CD$28))))</f>
        <v/>
      </c>
      <c r="CE30" s="218">
        <f>IF(RefiFlag=0,0,IF(79&lt;RefiMonth,0,IF(79=RefiMonth,PermLoan,IF(79&gt;DispoMonth,0,CD$30-CE$28))))</f>
        <v/>
      </c>
      <c r="CF30" s="218">
        <f>IF(RefiFlag=0,0,IF(80&lt;RefiMonth,0,IF(80=RefiMonth,PermLoan,IF(80&gt;DispoMonth,0,CE$30-CF$28))))</f>
        <v/>
      </c>
      <c r="CG30" s="218">
        <f>IF(RefiFlag=0,0,IF(81&lt;RefiMonth,0,IF(81=RefiMonth,PermLoan,IF(81&gt;DispoMonth,0,CF$30-CG$28))))</f>
        <v/>
      </c>
      <c r="CH30" s="218">
        <f>IF(RefiFlag=0,0,IF(82&lt;RefiMonth,0,IF(82=RefiMonth,PermLoan,IF(82&gt;DispoMonth,0,CG$30-CH$28))))</f>
        <v/>
      </c>
      <c r="CI30" s="218">
        <f>IF(RefiFlag=0,0,IF(83&lt;RefiMonth,0,IF(83=RefiMonth,PermLoan,IF(83&gt;DispoMonth,0,CH$30-CI$28))))</f>
        <v/>
      </c>
      <c r="CJ30" s="218">
        <f>IF(RefiFlag=0,0,IF(84&lt;RefiMonth,0,IF(84=RefiMonth,PermLoan,IF(84&gt;DispoMonth,0,CI$30-CJ$28))))</f>
        <v/>
      </c>
      <c r="CK30" s="218">
        <f>IF(RefiFlag=0,0,IF(85&lt;RefiMonth,0,IF(85=RefiMonth,PermLoan,IF(85&gt;DispoMonth,0,CJ$30-CK$28))))</f>
        <v/>
      </c>
      <c r="CL30" s="218">
        <f>IF(RefiFlag=0,0,IF(86&lt;RefiMonth,0,IF(86=RefiMonth,PermLoan,IF(86&gt;DispoMonth,0,CK$30-CL$28))))</f>
        <v/>
      </c>
      <c r="CM30" s="218">
        <f>IF(RefiFlag=0,0,IF(87&lt;RefiMonth,0,IF(87=RefiMonth,PermLoan,IF(87&gt;DispoMonth,0,CL$30-CM$28))))</f>
        <v/>
      </c>
      <c r="CN30" s="218">
        <f>IF(RefiFlag=0,0,IF(88&lt;RefiMonth,0,IF(88=RefiMonth,PermLoan,IF(88&gt;DispoMonth,0,CM$30-CN$28))))</f>
        <v/>
      </c>
      <c r="CO30" s="218">
        <f>IF(RefiFlag=0,0,IF(89&lt;RefiMonth,0,IF(89=RefiMonth,PermLoan,IF(89&gt;DispoMonth,0,CN$30-CO$28))))</f>
        <v/>
      </c>
      <c r="CP30" s="218">
        <f>IF(RefiFlag=0,0,IF(90&lt;RefiMonth,0,IF(90=RefiMonth,PermLoan,IF(90&gt;DispoMonth,0,CO$30-CP$28))))</f>
        <v/>
      </c>
      <c r="CQ30" s="218">
        <f>IF(RefiFlag=0,0,IF(91&lt;RefiMonth,0,IF(91=RefiMonth,PermLoan,IF(91&gt;DispoMonth,0,CP$30-CQ$28))))</f>
        <v/>
      </c>
      <c r="CR30" s="218">
        <f>IF(RefiFlag=0,0,IF(92&lt;RefiMonth,0,IF(92=RefiMonth,PermLoan,IF(92&gt;DispoMonth,0,CQ$30-CR$28))))</f>
        <v/>
      </c>
      <c r="CS30" s="218">
        <f>IF(RefiFlag=0,0,IF(93&lt;RefiMonth,0,IF(93=RefiMonth,PermLoan,IF(93&gt;DispoMonth,0,CR$30-CS$28))))</f>
        <v/>
      </c>
      <c r="CT30" s="218">
        <f>IF(RefiFlag=0,0,IF(94&lt;RefiMonth,0,IF(94=RefiMonth,PermLoan,IF(94&gt;DispoMonth,0,CS$30-CT$28))))</f>
        <v/>
      </c>
      <c r="CU30" s="218">
        <f>IF(RefiFlag=0,0,IF(95&lt;RefiMonth,0,IF(95=RefiMonth,PermLoan,IF(95&gt;DispoMonth,0,CT$30-CU$28))))</f>
        <v/>
      </c>
      <c r="CV30" s="218">
        <f>IF(RefiFlag=0,0,IF(96&lt;RefiMonth,0,IF(96=RefiMonth,PermLoan,IF(96&gt;DispoMonth,0,CU$30-CV$28))))</f>
        <v/>
      </c>
      <c r="CW30" s="218">
        <f>IF(RefiFlag=0,0,IF(97&lt;RefiMonth,0,IF(97=RefiMonth,PermLoan,IF(97&gt;DispoMonth,0,CV$30-CW$28))))</f>
        <v/>
      </c>
      <c r="CX30" s="218">
        <f>IF(RefiFlag=0,0,IF(98&lt;RefiMonth,0,IF(98=RefiMonth,PermLoan,IF(98&gt;DispoMonth,0,CW$30-CX$28))))</f>
        <v/>
      </c>
      <c r="CY30" s="218">
        <f>IF(RefiFlag=0,0,IF(99&lt;RefiMonth,0,IF(99=RefiMonth,PermLoan,IF(99&gt;DispoMonth,0,CX$30-CY$28))))</f>
        <v/>
      </c>
      <c r="CZ30" s="218">
        <f>IF(RefiFlag=0,0,IF(100&lt;RefiMonth,0,IF(100=RefiMonth,PermLoan,IF(100&gt;DispoMonth,0,CY$30-CZ$28))))</f>
        <v/>
      </c>
      <c r="DA30" s="218">
        <f>IF(RefiFlag=0,0,IF(101&lt;RefiMonth,0,IF(101=RefiMonth,PermLoan,IF(101&gt;DispoMonth,0,CZ$30-DA$28))))</f>
        <v/>
      </c>
      <c r="DB30" s="218">
        <f>IF(RefiFlag=0,0,IF(102&lt;RefiMonth,0,IF(102=RefiMonth,PermLoan,IF(102&gt;DispoMonth,0,DA$30-DB$28))))</f>
        <v/>
      </c>
      <c r="DC30" s="218">
        <f>IF(RefiFlag=0,0,IF(103&lt;RefiMonth,0,IF(103=RefiMonth,PermLoan,IF(103&gt;DispoMonth,0,DB$30-DC$28))))</f>
        <v/>
      </c>
      <c r="DD30" s="218">
        <f>IF(RefiFlag=0,0,IF(104&lt;RefiMonth,0,IF(104=RefiMonth,PermLoan,IF(104&gt;DispoMonth,0,DC$30-DD$28))))</f>
        <v/>
      </c>
      <c r="DE30" s="218">
        <f>IF(RefiFlag=0,0,IF(105&lt;RefiMonth,0,IF(105=RefiMonth,PermLoan,IF(105&gt;DispoMonth,0,DD$30-DE$28))))</f>
        <v/>
      </c>
      <c r="DF30" s="218">
        <f>IF(RefiFlag=0,0,IF(106&lt;RefiMonth,0,IF(106=RefiMonth,PermLoan,IF(106&gt;DispoMonth,0,DE$30-DF$28))))</f>
        <v/>
      </c>
      <c r="DG30" s="218">
        <f>IF(RefiFlag=0,0,IF(107&lt;RefiMonth,0,IF(107=RefiMonth,PermLoan,IF(107&gt;DispoMonth,0,DF$30-DG$28))))</f>
        <v/>
      </c>
      <c r="DH30" s="218">
        <f>IF(RefiFlag=0,0,IF(108&lt;RefiMonth,0,IF(108=RefiMonth,PermLoan,IF(108&gt;DispoMonth,0,DG$30-DH$28))))</f>
        <v/>
      </c>
      <c r="DI30" s="218">
        <f>IF(RefiFlag=0,0,IF(109&lt;RefiMonth,0,IF(109=RefiMonth,PermLoan,IF(109&gt;DispoMonth,0,DH$30-DI$28))))</f>
        <v/>
      </c>
      <c r="DJ30" s="218">
        <f>IF(RefiFlag=0,0,IF(110&lt;RefiMonth,0,IF(110=RefiMonth,PermLoan,IF(110&gt;DispoMonth,0,DI$30-DJ$28))))</f>
        <v/>
      </c>
      <c r="DK30" s="218">
        <f>IF(RefiFlag=0,0,IF(111&lt;RefiMonth,0,IF(111=RefiMonth,PermLoan,IF(111&gt;DispoMonth,0,DJ$30-DK$28))))</f>
        <v/>
      </c>
      <c r="DL30" s="218">
        <f>IF(RefiFlag=0,0,IF(112&lt;RefiMonth,0,IF(112=RefiMonth,PermLoan,IF(112&gt;DispoMonth,0,DK$30-DL$28))))</f>
        <v/>
      </c>
      <c r="DM30" s="218">
        <f>IF(RefiFlag=0,0,IF(113&lt;RefiMonth,0,IF(113=RefiMonth,PermLoan,IF(113&gt;DispoMonth,0,DL$30-DM$28))))</f>
        <v/>
      </c>
      <c r="DN30" s="218">
        <f>IF(RefiFlag=0,0,IF(114&lt;RefiMonth,0,IF(114=RefiMonth,PermLoan,IF(114&gt;DispoMonth,0,DM$30-DN$28))))</f>
        <v/>
      </c>
      <c r="DO30" s="218">
        <f>IF(RefiFlag=0,0,IF(115&lt;RefiMonth,0,IF(115=RefiMonth,PermLoan,IF(115&gt;DispoMonth,0,DN$30-DO$28))))</f>
        <v/>
      </c>
      <c r="DP30" s="218">
        <f>IF(RefiFlag=0,0,IF(116&lt;RefiMonth,0,IF(116=RefiMonth,PermLoan,IF(116&gt;DispoMonth,0,DO$30-DP$28))))</f>
        <v/>
      </c>
      <c r="DQ30" s="218">
        <f>IF(RefiFlag=0,0,IF(117&lt;RefiMonth,0,IF(117=RefiMonth,PermLoan,IF(117&gt;DispoMonth,0,DP$30-DQ$28))))</f>
        <v/>
      </c>
      <c r="DR30" s="218">
        <f>IF(RefiFlag=0,0,IF(118&lt;RefiMonth,0,IF(118=RefiMonth,PermLoan,IF(118&gt;DispoMonth,0,DQ$30-DR$28))))</f>
        <v/>
      </c>
      <c r="DS30" s="218">
        <f>IF(RefiFlag=0,0,IF(119&lt;RefiMonth,0,IF(119=RefiMonth,PermLoan,IF(119&gt;DispoMonth,0,DR$30-DS$28))))</f>
        <v/>
      </c>
      <c r="DT30" s="218">
        <f>IF(RefiFlag=0,0,IF(120&lt;RefiMonth,0,IF(120=RefiMonth,PermLoan,IF(120&gt;DispoMonth,0,DS$30-DT$28))))</f>
        <v/>
      </c>
      <c r="DU30" s="218">
        <f>IF(RefiFlag=0,0,IF(121&lt;RefiMonth,0,IF(121=RefiMonth,PermLoan,IF(121&gt;DispoMonth,0,DT$30-DU$28))))</f>
        <v/>
      </c>
      <c r="DV30" s="218">
        <f>IF(RefiFlag=0,0,IF(122&lt;RefiMonth,0,IF(122=RefiMonth,PermLoan,IF(122&gt;DispoMonth,0,DU$30-DV$28))))</f>
        <v/>
      </c>
      <c r="DW30" s="218">
        <f>IF(RefiFlag=0,0,IF(123&lt;RefiMonth,0,IF(123=RefiMonth,PermLoan,IF(123&gt;DispoMonth,0,DV$30-DW$28))))</f>
        <v/>
      </c>
      <c r="DX30" s="218">
        <f>IF(RefiFlag=0,0,IF(124&lt;RefiMonth,0,IF(124=RefiMonth,PermLoan,IF(124&gt;DispoMonth,0,DW$30-DX$28))))</f>
        <v/>
      </c>
      <c r="DY30" s="218">
        <f>IF(RefiFlag=0,0,IF(125&lt;RefiMonth,0,IF(125=RefiMonth,PermLoan,IF(125&gt;DispoMonth,0,DX$30-DY$28))))</f>
        <v/>
      </c>
      <c r="DZ30" s="218">
        <f>IF(RefiFlag=0,0,IF(126&lt;RefiMonth,0,IF(126=RefiMonth,PermLoan,IF(126&gt;DispoMonth,0,DY$30-DZ$28))))</f>
        <v/>
      </c>
      <c r="EA30" s="218">
        <f>IF(RefiFlag=0,0,IF(127&lt;RefiMonth,0,IF(127=RefiMonth,PermLoan,IF(127&gt;DispoMonth,0,DZ$30-EA$28))))</f>
        <v/>
      </c>
      <c r="EB30" s="218">
        <f>IF(RefiFlag=0,0,IF(128&lt;RefiMonth,0,IF(128=RefiMonth,PermLoan,IF(128&gt;DispoMonth,0,EA$30-EB$28))))</f>
        <v/>
      </c>
      <c r="EC30" s="218">
        <f>IF(RefiFlag=0,0,IF(129&lt;RefiMonth,0,IF(129=RefiMonth,PermLoan,IF(129&gt;DispoMonth,0,EB$30-EC$28))))</f>
        <v/>
      </c>
      <c r="ED30" s="218">
        <f>IF(RefiFlag=0,0,IF(130&lt;RefiMonth,0,IF(130=RefiMonth,PermLoan,IF(130&gt;DispoMonth,0,EC$30-ED$28))))</f>
        <v/>
      </c>
      <c r="EE30" s="218">
        <f>IF(RefiFlag=0,0,IF(131&lt;RefiMonth,0,IF(131=RefiMonth,PermLoan,IF(131&gt;DispoMonth,0,ED$30-EE$28))))</f>
        <v/>
      </c>
      <c r="EF30" s="218">
        <f>IF(RefiFlag=0,0,IF(132&lt;RefiMonth,0,IF(132=RefiMonth,PermLoan,IF(132&gt;DispoMonth,0,EE$30-EF$28))))</f>
        <v/>
      </c>
      <c r="EG30" s="218">
        <f>IF(RefiFlag=0,0,IF(133&lt;RefiMonth,0,IF(133=RefiMonth,PermLoan,IF(133&gt;DispoMonth,0,EF$30-EG$28))))</f>
        <v/>
      </c>
      <c r="EH30" s="218">
        <f>IF(RefiFlag=0,0,IF(134&lt;RefiMonth,0,IF(134=RefiMonth,PermLoan,IF(134&gt;DispoMonth,0,EG$30-EH$28))))</f>
        <v/>
      </c>
      <c r="EI30" s="218">
        <f>IF(RefiFlag=0,0,IF(135&lt;RefiMonth,0,IF(135=RefiMonth,PermLoan,IF(135&gt;DispoMonth,0,EH$30-EI$28))))</f>
        <v/>
      </c>
      <c r="EJ30" s="218">
        <f>IF(RefiFlag=0,0,IF(136&lt;RefiMonth,0,IF(136=RefiMonth,PermLoan,IF(136&gt;DispoMonth,0,EI$30-EJ$28))))</f>
        <v/>
      </c>
      <c r="EK30" s="218">
        <f>IF(RefiFlag=0,0,IF(137&lt;RefiMonth,0,IF(137=RefiMonth,PermLoan,IF(137&gt;DispoMonth,0,EJ$30-EK$28))))</f>
        <v/>
      </c>
      <c r="EL30" s="218">
        <f>IF(RefiFlag=0,0,IF(138&lt;RefiMonth,0,IF(138=RefiMonth,PermLoan,IF(138&gt;DispoMonth,0,EK$30-EL$28))))</f>
        <v/>
      </c>
      <c r="EM30" s="218">
        <f>IF(RefiFlag=0,0,IF(139&lt;RefiMonth,0,IF(139=RefiMonth,PermLoan,IF(139&gt;DispoMonth,0,EL$30-EM$28))))</f>
        <v/>
      </c>
      <c r="EN30" s="218">
        <f>IF(RefiFlag=0,0,IF(140&lt;RefiMonth,0,IF(140=RefiMonth,PermLoan,IF(140&gt;DispoMonth,0,EM$30-EN$28))))</f>
        <v/>
      </c>
      <c r="EO30" s="218">
        <f>IF(RefiFlag=0,0,IF(141&lt;RefiMonth,0,IF(141=RefiMonth,PermLoan,IF(141&gt;DispoMonth,0,EN$30-EO$28))))</f>
        <v/>
      </c>
      <c r="EP30" s="218">
        <f>IF(RefiFlag=0,0,IF(142&lt;RefiMonth,0,IF(142=RefiMonth,PermLoan,IF(142&gt;DispoMonth,0,EO$30-EP$28))))</f>
        <v/>
      </c>
      <c r="EQ30" s="218">
        <f>IF(RefiFlag=0,0,IF(143&lt;RefiMonth,0,IF(143=RefiMonth,PermLoan,IF(143&gt;DispoMonth,0,EP$30-EQ$28))))</f>
        <v/>
      </c>
      <c r="ER30" s="218">
        <f>IF(RefiFlag=0,0,IF(144&lt;RefiMonth,0,IF(144=RefiMonth,PermLoan,IF(144&gt;DispoMonth,0,EQ$30-ER$28))))</f>
        <v/>
      </c>
      <c r="ES30" s="218">
        <f>IF(RefiFlag=0,0,IF(145&lt;RefiMonth,0,IF(145=RefiMonth,PermLoan,IF(145&gt;DispoMonth,0,ER$30-ES$28))))</f>
        <v/>
      </c>
      <c r="ET30" s="218">
        <f>IF(RefiFlag=0,0,IF(146&lt;RefiMonth,0,IF(146=RefiMonth,PermLoan,IF(146&gt;DispoMonth,0,ES$30-ET$28))))</f>
        <v/>
      </c>
      <c r="EU30" s="218">
        <f>IF(RefiFlag=0,0,IF(147&lt;RefiMonth,0,IF(147=RefiMonth,PermLoan,IF(147&gt;DispoMonth,0,ET$30-EU$28))))</f>
        <v/>
      </c>
      <c r="EV30" s="218">
        <f>IF(RefiFlag=0,0,IF(148&lt;RefiMonth,0,IF(148=RefiMonth,PermLoan,IF(148&gt;DispoMonth,0,EU$30-EV$28))))</f>
        <v/>
      </c>
      <c r="EW30" s="218">
        <f>IF(RefiFlag=0,0,IF(149&lt;RefiMonth,0,IF(149=RefiMonth,PermLoan,IF(149&gt;DispoMonth,0,EV$30-EW$28))))</f>
        <v/>
      </c>
      <c r="EX30" s="218">
        <f>IF(RefiFlag=0,0,IF(150&lt;RefiMonth,0,IF(150=RefiMonth,PermLoan,IF(150&gt;DispoMonth,0,EW$30-EX$28))))</f>
        <v/>
      </c>
      <c r="EY30" s="218">
        <f>IF(RefiFlag=0,0,IF(151&lt;RefiMonth,0,IF(151=RefiMonth,PermLoan,IF(151&gt;DispoMonth,0,EX$30-EY$28))))</f>
        <v/>
      </c>
      <c r="EZ30" s="218">
        <f>IF(RefiFlag=0,0,IF(152&lt;RefiMonth,0,IF(152=RefiMonth,PermLoan,IF(152&gt;DispoMonth,0,EY$30-EZ$28))))</f>
        <v/>
      </c>
      <c r="FA30" s="218">
        <f>IF(RefiFlag=0,0,IF(153&lt;RefiMonth,0,IF(153=RefiMonth,PermLoan,IF(153&gt;DispoMonth,0,EZ$30-FA$28))))</f>
        <v/>
      </c>
      <c r="FB30" s="218">
        <f>IF(RefiFlag=0,0,IF(154&lt;RefiMonth,0,IF(154=RefiMonth,PermLoan,IF(154&gt;DispoMonth,0,FA$30-FB$28))))</f>
        <v/>
      </c>
      <c r="FC30" s="218">
        <f>IF(RefiFlag=0,0,IF(155&lt;RefiMonth,0,IF(155=RefiMonth,PermLoan,IF(155&gt;DispoMonth,0,FB$30-FC$28))))</f>
        <v/>
      </c>
      <c r="FD30" s="218">
        <f>IF(RefiFlag=0,0,IF(156&lt;RefiMonth,0,IF(156=RefiMonth,PermLoan,IF(156&gt;DispoMonth,0,FC$30-FD$28))))</f>
        <v/>
      </c>
      <c r="FE30" s="218">
        <f>IF(RefiFlag=0,0,IF(157&lt;RefiMonth,0,IF(157=RefiMonth,PermLoan,IF(157&gt;DispoMonth,0,FD$30-FE$28))))</f>
        <v/>
      </c>
      <c r="FF30" s="218">
        <f>IF(RefiFlag=0,0,IF(158&lt;RefiMonth,0,IF(158=RefiMonth,PermLoan,IF(158&gt;DispoMonth,0,FE$30-FF$28))))</f>
        <v/>
      </c>
      <c r="FG30" s="218">
        <f>IF(RefiFlag=0,0,IF(159&lt;RefiMonth,0,IF(159=RefiMonth,PermLoan,IF(159&gt;DispoMonth,0,FF$30-FG$28))))</f>
        <v/>
      </c>
      <c r="FH30" s="218">
        <f>IF(RefiFlag=0,0,IF(160&lt;RefiMonth,0,IF(160=RefiMonth,PermLoan,IF(160&gt;DispoMonth,0,FG$30-FH$28))))</f>
        <v/>
      </c>
      <c r="FI30" s="218">
        <f>IF(RefiFlag=0,0,IF(161&lt;RefiMonth,0,IF(161=RefiMonth,PermLoan,IF(161&gt;DispoMonth,0,FH$30-FI$28))))</f>
        <v/>
      </c>
      <c r="FJ30" s="218">
        <f>IF(RefiFlag=0,0,IF(162&lt;RefiMonth,0,IF(162=RefiMonth,PermLoan,IF(162&gt;DispoMonth,0,FI$30-FJ$28))))</f>
        <v/>
      </c>
      <c r="FK30" s="218">
        <f>IF(RefiFlag=0,0,IF(163&lt;RefiMonth,0,IF(163=RefiMonth,PermLoan,IF(163&gt;DispoMonth,0,FJ$30-FK$28))))</f>
        <v/>
      </c>
      <c r="FL30" s="218">
        <f>IF(RefiFlag=0,0,IF(164&lt;RefiMonth,0,IF(164=RefiMonth,PermLoan,IF(164&gt;DispoMonth,0,FK$30-FL$28))))</f>
        <v/>
      </c>
      <c r="FM30" s="218">
        <f>IF(RefiFlag=0,0,IF(165&lt;RefiMonth,0,IF(165=RefiMonth,PermLoan,IF(165&gt;DispoMonth,0,FL$30-FM$28))))</f>
        <v/>
      </c>
      <c r="FN30" s="218">
        <f>IF(RefiFlag=0,0,IF(166&lt;RefiMonth,0,IF(166=RefiMonth,PermLoan,IF(166&gt;DispoMonth,0,FM$30-FN$28))))</f>
        <v/>
      </c>
      <c r="FO30" s="218">
        <f>IF(RefiFlag=0,0,IF(167&lt;RefiMonth,0,IF(167=RefiMonth,PermLoan,IF(167&gt;DispoMonth,0,FN$30-FO$28))))</f>
        <v/>
      </c>
      <c r="FP30" s="218">
        <f>IF(RefiFlag=0,0,IF(168&lt;RefiMonth,0,IF(168=RefiMonth,PermLoan,IF(168&gt;DispoMonth,0,FO$30-FP$28))))</f>
        <v/>
      </c>
      <c r="FQ30" s="218">
        <f>IF(RefiFlag=0,0,IF(169&lt;RefiMonth,0,IF(169=RefiMonth,PermLoan,IF(169&gt;DispoMonth,0,FP$30-FQ$28))))</f>
        <v/>
      </c>
      <c r="FR30" s="218">
        <f>IF(RefiFlag=0,0,IF(170&lt;RefiMonth,0,IF(170=RefiMonth,PermLoan,IF(170&gt;DispoMonth,0,FQ$30-FR$28))))</f>
        <v/>
      </c>
      <c r="FS30" s="218">
        <f>IF(RefiFlag=0,0,IF(171&lt;RefiMonth,0,IF(171=RefiMonth,PermLoan,IF(171&gt;DispoMonth,0,FR$30-FS$28))))</f>
        <v/>
      </c>
      <c r="FT30" s="218">
        <f>IF(RefiFlag=0,0,IF(172&lt;RefiMonth,0,IF(172=RefiMonth,PermLoan,IF(172&gt;DispoMonth,0,FS$30-FT$28))))</f>
        <v/>
      </c>
      <c r="FU30" s="218">
        <f>IF(RefiFlag=0,0,IF(173&lt;RefiMonth,0,IF(173=RefiMonth,PermLoan,IF(173&gt;DispoMonth,0,FT$30-FU$28))))</f>
        <v/>
      </c>
      <c r="FV30" s="218">
        <f>IF(RefiFlag=0,0,IF(174&lt;RefiMonth,0,IF(174=RefiMonth,PermLoan,IF(174&gt;DispoMonth,0,FU$30-FV$28))))</f>
        <v/>
      </c>
      <c r="FW30" s="218">
        <f>IF(RefiFlag=0,0,IF(175&lt;RefiMonth,0,IF(175=RefiMonth,PermLoan,IF(175&gt;DispoMonth,0,FV$30-FW$28))))</f>
        <v/>
      </c>
      <c r="FX30" s="218">
        <f>IF(RefiFlag=0,0,IF(176&lt;RefiMonth,0,IF(176=RefiMonth,PermLoan,IF(176&gt;DispoMonth,0,FW$30-FX$28))))</f>
        <v/>
      </c>
      <c r="FY30" s="218">
        <f>IF(RefiFlag=0,0,IF(177&lt;RefiMonth,0,IF(177=RefiMonth,PermLoan,IF(177&gt;DispoMonth,0,FX$30-FY$28))))</f>
        <v/>
      </c>
      <c r="FZ30" s="218">
        <f>IF(RefiFlag=0,0,IF(178&lt;RefiMonth,0,IF(178=RefiMonth,PermLoan,IF(178&gt;DispoMonth,0,FY$30-FZ$28))))</f>
        <v/>
      </c>
      <c r="GA30" s="218">
        <f>IF(RefiFlag=0,0,IF(179&lt;RefiMonth,0,IF(179=RefiMonth,PermLoan,IF(179&gt;DispoMonth,0,FZ$30-GA$28))))</f>
        <v/>
      </c>
      <c r="GB30" s="218">
        <f>IF(RefiFlag=0,0,IF(180&lt;RefiMonth,0,IF(180=RefiMonth,PermLoan,IF(180&gt;DispoMonth,0,GA$30-GB$28))))</f>
        <v/>
      </c>
      <c r="GC30" s="218">
        <f>IF(RefiFlag=0,0,IF(181&lt;RefiMonth,0,IF(181=RefiMonth,PermLoan,IF(181&gt;DispoMonth,0,GB$30-GC$28))))</f>
        <v/>
      </c>
      <c r="GD30" s="218">
        <f>IF(RefiFlag=0,0,IF(182&lt;RefiMonth,0,IF(182=RefiMonth,PermLoan,IF(182&gt;DispoMonth,0,GC$30-GD$28))))</f>
        <v/>
      </c>
      <c r="GE30" s="218">
        <f>IF(RefiFlag=0,0,IF(183&lt;RefiMonth,0,IF(183=RefiMonth,PermLoan,IF(183&gt;DispoMonth,0,GD$30-GE$28))))</f>
        <v/>
      </c>
      <c r="GF30" s="218">
        <f>IF(RefiFlag=0,0,IF(184&lt;RefiMonth,0,IF(184=RefiMonth,PermLoan,IF(184&gt;DispoMonth,0,GE$30-GF$28))))</f>
        <v/>
      </c>
      <c r="GG30" s="218">
        <f>IF(RefiFlag=0,0,IF(185&lt;RefiMonth,0,IF(185=RefiMonth,PermLoan,IF(185&gt;DispoMonth,0,GF$30-GG$28))))</f>
        <v/>
      </c>
      <c r="GH30" s="218">
        <f>IF(RefiFlag=0,0,IF(186&lt;RefiMonth,0,IF(186=RefiMonth,PermLoan,IF(186&gt;DispoMonth,0,GG$30-GH$28))))</f>
        <v/>
      </c>
      <c r="GI30" s="218">
        <f>IF(RefiFlag=0,0,IF(187&lt;RefiMonth,0,IF(187=RefiMonth,PermLoan,IF(187&gt;DispoMonth,0,GH$30-GI$28))))</f>
        <v/>
      </c>
      <c r="GJ30" s="218">
        <f>IF(RefiFlag=0,0,IF(188&lt;RefiMonth,0,IF(188=RefiMonth,PermLoan,IF(188&gt;DispoMonth,0,GI$30-GJ$28))))</f>
        <v/>
      </c>
      <c r="GK30" s="218">
        <f>IF(RefiFlag=0,0,IF(189&lt;RefiMonth,0,IF(189=RefiMonth,PermLoan,IF(189&gt;DispoMonth,0,GJ$30-GK$28))))</f>
        <v/>
      </c>
      <c r="GL30" s="218">
        <f>IF(RefiFlag=0,0,IF(190&lt;RefiMonth,0,IF(190=RefiMonth,PermLoan,IF(190&gt;DispoMonth,0,GK$30-GL$28))))</f>
        <v/>
      </c>
      <c r="GM30" s="218">
        <f>IF(RefiFlag=0,0,IF(191&lt;RefiMonth,0,IF(191=RefiMonth,PermLoan,IF(191&gt;DispoMonth,0,GL$30-GM$28))))</f>
        <v/>
      </c>
      <c r="GN30" s="218">
        <f>IF(RefiFlag=0,0,IF(192&lt;RefiMonth,0,IF(192=RefiMonth,PermLoan,IF(192&gt;DispoMonth,0,GM$30-GN$28))))</f>
        <v/>
      </c>
      <c r="GO30" s="218">
        <f>IF(RefiFlag=0,0,IF(193&lt;RefiMonth,0,IF(193=RefiMonth,PermLoan,IF(193&gt;DispoMonth,0,GN$30-GO$28))))</f>
        <v/>
      </c>
      <c r="GP30" s="218">
        <f>IF(RefiFlag=0,0,IF(194&lt;RefiMonth,0,IF(194=RefiMonth,PermLoan,IF(194&gt;DispoMonth,0,GO$30-GP$28))))</f>
        <v/>
      </c>
      <c r="GQ30" s="218">
        <f>IF(RefiFlag=0,0,IF(195&lt;RefiMonth,0,IF(195=RefiMonth,PermLoan,IF(195&gt;DispoMonth,0,GP$30-GQ$28))))</f>
        <v/>
      </c>
      <c r="GR30" s="218">
        <f>IF(RefiFlag=0,0,IF(196&lt;RefiMonth,0,IF(196=RefiMonth,PermLoan,IF(196&gt;DispoMonth,0,GQ$30-GR$28))))</f>
        <v/>
      </c>
      <c r="GS30" s="218">
        <f>IF(RefiFlag=0,0,IF(197&lt;RefiMonth,0,IF(197=RefiMonth,PermLoan,IF(197&gt;DispoMonth,0,GR$30-GS$28))))</f>
        <v/>
      </c>
      <c r="GT30" s="218">
        <f>IF(RefiFlag=0,0,IF(198&lt;RefiMonth,0,IF(198=RefiMonth,PermLoan,IF(198&gt;DispoMonth,0,GS$30-GT$28))))</f>
        <v/>
      </c>
      <c r="GU30" s="218">
        <f>IF(RefiFlag=0,0,IF(199&lt;RefiMonth,0,IF(199=RefiMonth,PermLoan,IF(199&gt;DispoMonth,0,GT$30-GU$28))))</f>
        <v/>
      </c>
      <c r="GV30" s="218">
        <f>IF(RefiFlag=0,0,IF(200&lt;RefiMonth,0,IF(200=RefiMonth,PermLoan,IF(200&gt;DispoMonth,0,GU$30-GV$28))))</f>
        <v/>
      </c>
      <c r="GW30" s="218">
        <f>IF(RefiFlag=0,0,IF(201&lt;RefiMonth,0,IF(201=RefiMonth,PermLoan,IF(201&gt;DispoMonth,0,GV$30-GW$28))))</f>
        <v/>
      </c>
      <c r="GX30" s="218">
        <f>IF(RefiFlag=0,0,IF(202&lt;RefiMonth,0,IF(202=RefiMonth,PermLoan,IF(202&gt;DispoMonth,0,GW$30-GX$28))))</f>
        <v/>
      </c>
      <c r="GY30" s="218">
        <f>IF(RefiFlag=0,0,IF(203&lt;RefiMonth,0,IF(203=RefiMonth,PermLoan,IF(203&gt;DispoMonth,0,GX$30-GY$28))))</f>
        <v/>
      </c>
      <c r="GZ30" s="218">
        <f>IF(RefiFlag=0,0,IF(204&lt;RefiMonth,0,IF(204=RefiMonth,PermLoan,IF(204&gt;DispoMonth,0,GY$30-GZ$28))))</f>
        <v/>
      </c>
      <c r="HA30" s="218">
        <f>IF(RefiFlag=0,0,IF(205&lt;RefiMonth,0,IF(205=RefiMonth,PermLoan,IF(205&gt;DispoMonth,0,GZ$30-HA$28))))</f>
        <v/>
      </c>
      <c r="HB30" s="218">
        <f>IF(RefiFlag=0,0,IF(206&lt;RefiMonth,0,IF(206=RefiMonth,PermLoan,IF(206&gt;DispoMonth,0,HA$30-HB$28))))</f>
        <v/>
      </c>
      <c r="HC30" s="218">
        <f>IF(RefiFlag=0,0,IF(207&lt;RefiMonth,0,IF(207=RefiMonth,PermLoan,IF(207&gt;DispoMonth,0,HB$30-HC$28))))</f>
        <v/>
      </c>
      <c r="HD30" s="218">
        <f>IF(RefiFlag=0,0,IF(208&lt;RefiMonth,0,IF(208=RefiMonth,PermLoan,IF(208&gt;DispoMonth,0,HC$30-HD$28))))</f>
        <v/>
      </c>
      <c r="HE30" s="218">
        <f>IF(RefiFlag=0,0,IF(209&lt;RefiMonth,0,IF(209=RefiMonth,PermLoan,IF(209&gt;DispoMonth,0,HD$30-HE$28))))</f>
        <v/>
      </c>
      <c r="HF30" s="218">
        <f>IF(RefiFlag=0,0,IF(210&lt;RefiMonth,0,IF(210=RefiMonth,PermLoan,IF(210&gt;DispoMonth,0,HE$30-HF$28))))</f>
        <v/>
      </c>
      <c r="HG30" s="218">
        <f>IF(RefiFlag=0,0,IF(211&lt;RefiMonth,0,IF(211=RefiMonth,PermLoan,IF(211&gt;DispoMonth,0,HF$30-HG$28))))</f>
        <v/>
      </c>
      <c r="HH30" s="218">
        <f>IF(RefiFlag=0,0,IF(212&lt;RefiMonth,0,IF(212=RefiMonth,PermLoan,IF(212&gt;DispoMonth,0,HG$30-HH$28))))</f>
        <v/>
      </c>
      <c r="HI30" s="218">
        <f>IF(RefiFlag=0,0,IF(213&lt;RefiMonth,0,IF(213=RefiMonth,PermLoan,IF(213&gt;DispoMonth,0,HH$30-HI$28))))</f>
        <v/>
      </c>
      <c r="HJ30" s="218">
        <f>IF(RefiFlag=0,0,IF(214&lt;RefiMonth,0,IF(214=RefiMonth,PermLoan,IF(214&gt;DispoMonth,0,HI$30-HJ$28))))</f>
        <v/>
      </c>
      <c r="HK30" s="218">
        <f>IF(RefiFlag=0,0,IF(215&lt;RefiMonth,0,IF(215=RefiMonth,PermLoan,IF(215&gt;DispoMonth,0,HJ$30-HK$28))))</f>
        <v/>
      </c>
      <c r="HL30" s="218">
        <f>IF(RefiFlag=0,0,IF(216&lt;RefiMonth,0,IF(216=RefiMonth,PermLoan,IF(216&gt;DispoMonth,0,HK$30-HL$28))))</f>
        <v/>
      </c>
      <c r="HM30" s="218">
        <f>IF(RefiFlag=0,0,IF(217&lt;RefiMonth,0,IF(217=RefiMonth,PermLoan,IF(217&gt;DispoMonth,0,HL$30-HM$28))))</f>
        <v/>
      </c>
      <c r="HN30" s="218">
        <f>IF(RefiFlag=0,0,IF(218&lt;RefiMonth,0,IF(218=RefiMonth,PermLoan,IF(218&gt;DispoMonth,0,HM$30-HN$28))))</f>
        <v/>
      </c>
      <c r="HO30" s="218">
        <f>IF(RefiFlag=0,0,IF(219&lt;RefiMonth,0,IF(219=RefiMonth,PermLoan,IF(219&gt;DispoMonth,0,HN$30-HO$28))))</f>
        <v/>
      </c>
      <c r="HP30" s="218">
        <f>IF(RefiFlag=0,0,IF(220&lt;RefiMonth,0,IF(220=RefiMonth,PermLoan,IF(220&gt;DispoMonth,0,HO$30-HP$28))))</f>
        <v/>
      </c>
      <c r="HQ30" s="218">
        <f>IF(RefiFlag=0,0,IF(221&lt;RefiMonth,0,IF(221=RefiMonth,PermLoan,IF(221&gt;DispoMonth,0,HP$30-HQ$28))))</f>
        <v/>
      </c>
      <c r="HR30" s="218">
        <f>IF(RefiFlag=0,0,IF(222&lt;RefiMonth,0,IF(222=RefiMonth,PermLoan,IF(222&gt;DispoMonth,0,HQ$30-HR$28))))</f>
        <v/>
      </c>
      <c r="HS30" s="218">
        <f>IF(RefiFlag=0,0,IF(223&lt;RefiMonth,0,IF(223=RefiMonth,PermLoan,IF(223&gt;DispoMonth,0,HR$30-HS$28))))</f>
        <v/>
      </c>
      <c r="HT30" s="218">
        <f>IF(RefiFlag=0,0,IF(224&lt;RefiMonth,0,IF(224=RefiMonth,PermLoan,IF(224&gt;DispoMonth,0,HS$30-HT$28))))</f>
        <v/>
      </c>
      <c r="HU30" s="218">
        <f>IF(RefiFlag=0,0,IF(225&lt;RefiMonth,0,IF(225=RefiMonth,PermLoan,IF(225&gt;DispoMonth,0,HT$30-HU$28))))</f>
        <v/>
      </c>
      <c r="HV30" s="218">
        <f>IF(RefiFlag=0,0,IF(226&lt;RefiMonth,0,IF(226=RefiMonth,PermLoan,IF(226&gt;DispoMonth,0,HU$30-HV$28))))</f>
        <v/>
      </c>
      <c r="HW30" s="218">
        <f>IF(RefiFlag=0,0,IF(227&lt;RefiMonth,0,IF(227=RefiMonth,PermLoan,IF(227&gt;DispoMonth,0,HV$30-HW$28))))</f>
        <v/>
      </c>
      <c r="HX30" s="218">
        <f>IF(RefiFlag=0,0,IF(228&lt;RefiMonth,0,IF(228=RefiMonth,PermLoan,IF(228&gt;DispoMonth,0,HW$30-HX$28))))</f>
        <v/>
      </c>
      <c r="HY30" s="218">
        <f>IF(RefiFlag=0,0,IF(229&lt;RefiMonth,0,IF(229=RefiMonth,PermLoan,IF(229&gt;DispoMonth,0,HX$30-HY$28))))</f>
        <v/>
      </c>
      <c r="HZ30" s="218">
        <f>IF(RefiFlag=0,0,IF(230&lt;RefiMonth,0,IF(230=RefiMonth,PermLoan,IF(230&gt;DispoMonth,0,HY$30-HZ$28))))</f>
        <v/>
      </c>
      <c r="IA30" s="218">
        <f>IF(RefiFlag=0,0,IF(231&lt;RefiMonth,0,IF(231=RefiMonth,PermLoan,IF(231&gt;DispoMonth,0,HZ$30-IA$28))))</f>
        <v/>
      </c>
      <c r="IB30" s="218">
        <f>IF(RefiFlag=0,0,IF(232&lt;RefiMonth,0,IF(232=RefiMonth,PermLoan,IF(232&gt;DispoMonth,0,IA$30-IB$28))))</f>
        <v/>
      </c>
      <c r="IC30" s="218">
        <f>IF(RefiFlag=0,0,IF(233&lt;RefiMonth,0,IF(233=RefiMonth,PermLoan,IF(233&gt;DispoMonth,0,IB$30-IC$28))))</f>
        <v/>
      </c>
      <c r="ID30" s="218">
        <f>IF(RefiFlag=0,0,IF(234&lt;RefiMonth,0,IF(234=RefiMonth,PermLoan,IF(234&gt;DispoMonth,0,IC$30-ID$28))))</f>
        <v/>
      </c>
      <c r="IE30" s="218">
        <f>IF(RefiFlag=0,0,IF(235&lt;RefiMonth,0,IF(235=RefiMonth,PermLoan,IF(235&gt;DispoMonth,0,ID$30-IE$28))))</f>
        <v/>
      </c>
      <c r="IF30" s="218">
        <f>IF(RefiFlag=0,0,IF(236&lt;RefiMonth,0,IF(236=RefiMonth,PermLoan,IF(236&gt;DispoMonth,0,IE$30-IF$28))))</f>
        <v/>
      </c>
      <c r="IG30" s="218">
        <f>IF(RefiFlag=0,0,IF(237&lt;RefiMonth,0,IF(237=RefiMonth,PermLoan,IF(237&gt;DispoMonth,0,IF$30-IG$28))))</f>
        <v/>
      </c>
      <c r="IH30" s="218">
        <f>IF(RefiFlag=0,0,IF(238&lt;RefiMonth,0,IF(238=RefiMonth,PermLoan,IF(238&gt;DispoMonth,0,IG$30-IH$28))))</f>
        <v/>
      </c>
      <c r="II30" s="218">
        <f>IF(RefiFlag=0,0,IF(239&lt;RefiMonth,0,IF(239=RefiMonth,PermLoan,IF(239&gt;DispoMonth,0,IH$30-II$28))))</f>
        <v/>
      </c>
      <c r="IJ30" s="218">
        <f>IF(RefiFlag=0,0,IF(240&lt;RefiMonth,0,IF(240=RefiMonth,PermLoan,IF(240&gt;DispoMonth,0,II$30-IJ$28))))</f>
        <v/>
      </c>
      <c r="IK30" s="218">
        <f>IF(RefiFlag=0,0,IF(241&lt;RefiMonth,0,IF(241=RefiMonth,PermLoan,IF(241&gt;DispoMonth,0,IJ$30-IK$28))))</f>
        <v/>
      </c>
      <c r="IL30" s="218">
        <f>IF(RefiFlag=0,0,IF(242&lt;RefiMonth,0,IF(242=RefiMonth,PermLoan,IF(242&gt;DispoMonth,0,IK$30-IL$28))))</f>
        <v/>
      </c>
      <c r="IM30" s="218">
        <f>IF(RefiFlag=0,0,IF(243&lt;RefiMonth,0,IF(243=RefiMonth,PermLoan,IF(243&gt;DispoMonth,0,IL$30-IM$28))))</f>
        <v/>
      </c>
      <c r="IN30" s="218">
        <f>IF(RefiFlag=0,0,IF(244&lt;RefiMonth,0,IF(244=RefiMonth,PermLoan,IF(244&gt;DispoMonth,0,IM$30-IN$28))))</f>
        <v/>
      </c>
      <c r="IO30" s="218">
        <f>IF(RefiFlag=0,0,IF(245&lt;RefiMonth,0,IF(245=RefiMonth,PermLoan,IF(245&gt;DispoMonth,0,IN$30-IO$28))))</f>
        <v/>
      </c>
      <c r="IP30" s="218">
        <f>IF(RefiFlag=0,0,IF(246&lt;RefiMonth,0,IF(246=RefiMonth,PermLoan,IF(246&gt;DispoMonth,0,IO$30-IP$28))))</f>
        <v/>
      </c>
      <c r="IQ30" s="218">
        <f>IF(RefiFlag=0,0,IF(247&lt;RefiMonth,0,IF(247=RefiMonth,PermLoan,IF(247&gt;DispoMonth,0,IP$30-IQ$28))))</f>
        <v/>
      </c>
      <c r="IR30" s="218">
        <f>IF(RefiFlag=0,0,IF(248&lt;RefiMonth,0,IF(248=RefiMonth,PermLoan,IF(248&gt;DispoMonth,0,IQ$30-IR$28))))</f>
        <v/>
      </c>
      <c r="IS30" s="218">
        <f>IF(RefiFlag=0,0,IF(249&lt;RefiMonth,0,IF(249=RefiMonth,PermLoan,IF(249&gt;DispoMonth,0,IR$30-IS$28))))</f>
        <v/>
      </c>
      <c r="IT30" s="218">
        <f>IF(RefiFlag=0,0,IF(250&lt;RefiMonth,0,IF(250=RefiMonth,PermLoan,IF(250&gt;DispoMonth,0,IS$30-IT$28))))</f>
        <v/>
      </c>
      <c r="IU30" s="218">
        <f>IF(RefiFlag=0,0,IF(251&lt;RefiMonth,0,IF(251=RefiMonth,PermLoan,IF(251&gt;DispoMonth,0,IT$30-IU$28))))</f>
        <v/>
      </c>
      <c r="IV30" s="218">
        <f>IF(RefiFlag=0,0,IF(252&lt;RefiMonth,0,IF(252=RefiMonth,PermLoan,IF(252&gt;DispoMonth,0,IU$30-IV$28))))</f>
        <v/>
      </c>
      <c r="IW30" s="218">
        <f>IF(RefiFlag=0,0,IF(253&lt;RefiMonth,0,IF(253=RefiMonth,PermLoan,IF(253&gt;DispoMonth,0,IV$30-IW$28))))</f>
        <v/>
      </c>
      <c r="IX30" s="218">
        <f>IF(RefiFlag=0,0,IF(254&lt;RefiMonth,0,IF(254=RefiMonth,PermLoan,IF(254&gt;DispoMonth,0,IW$30-IX$28))))</f>
        <v/>
      </c>
      <c r="IY30" s="218">
        <f>IF(RefiFlag=0,0,IF(255&lt;RefiMonth,0,IF(255=RefiMonth,PermLoan,IF(255&gt;DispoMonth,0,IX$30-IY$28))))</f>
        <v/>
      </c>
      <c r="IZ30" s="218">
        <f>IF(RefiFlag=0,0,IF(256&lt;RefiMonth,0,IF(256=RefiMonth,PermLoan,IF(256&gt;DispoMonth,0,IY$30-IZ$28))))</f>
        <v/>
      </c>
      <c r="JA30" s="218">
        <f>IF(RefiFlag=0,0,IF(257&lt;RefiMonth,0,IF(257=RefiMonth,PermLoan,IF(257&gt;DispoMonth,0,IZ$30-JA$28))))</f>
        <v/>
      </c>
      <c r="JB30" s="218">
        <f>IF(RefiFlag=0,0,IF(258&lt;RefiMonth,0,IF(258=RefiMonth,PermLoan,IF(258&gt;DispoMonth,0,JA$30-JB$28))))</f>
        <v/>
      </c>
      <c r="JC30" s="218">
        <f>IF(RefiFlag=0,0,IF(259&lt;RefiMonth,0,IF(259=RefiMonth,PermLoan,IF(259&gt;DispoMonth,0,JB$30-JC$28))))</f>
        <v/>
      </c>
      <c r="JD30" s="218">
        <f>IF(RefiFlag=0,0,IF(260&lt;RefiMonth,0,IF(260=RefiMonth,PermLoan,IF(260&gt;DispoMonth,0,JC$30-JD$28))))</f>
        <v/>
      </c>
      <c r="JE30" s="218">
        <f>IF(RefiFlag=0,0,IF(261&lt;RefiMonth,0,IF(261=RefiMonth,PermLoan,IF(261&gt;DispoMonth,0,JD$30-JE$28))))</f>
        <v/>
      </c>
      <c r="JF30" s="218">
        <f>IF(RefiFlag=0,0,IF(262&lt;RefiMonth,0,IF(262=RefiMonth,PermLoan,IF(262&gt;DispoMonth,0,JE$30-JF$28))))</f>
        <v/>
      </c>
      <c r="JG30" s="218">
        <f>IF(RefiFlag=0,0,IF(263&lt;RefiMonth,0,IF(263=RefiMonth,PermLoan,IF(263&gt;DispoMonth,0,JF$30-JG$28))))</f>
        <v/>
      </c>
      <c r="JH30" s="218">
        <f>IF(RefiFlag=0,0,IF(264&lt;RefiMonth,0,IF(264=RefiMonth,PermLoan,IF(264&gt;DispoMonth,0,JG$30-JH$28))))</f>
        <v/>
      </c>
      <c r="JI30" s="218">
        <f>IF(RefiFlag=0,0,IF(265&lt;RefiMonth,0,IF(265=RefiMonth,PermLoan,IF(265&gt;DispoMonth,0,JH$30-JI$28))))</f>
        <v/>
      </c>
      <c r="JJ30" s="218">
        <f>IF(RefiFlag=0,0,IF(266&lt;RefiMonth,0,IF(266=RefiMonth,PermLoan,IF(266&gt;DispoMonth,0,JI$30-JJ$28))))</f>
        <v/>
      </c>
      <c r="JK30" s="218">
        <f>IF(RefiFlag=0,0,IF(267&lt;RefiMonth,0,IF(267=RefiMonth,PermLoan,IF(267&gt;DispoMonth,0,JJ$30-JK$28))))</f>
        <v/>
      </c>
      <c r="JL30" s="218">
        <f>IF(RefiFlag=0,0,IF(268&lt;RefiMonth,0,IF(268=RefiMonth,PermLoan,IF(268&gt;DispoMonth,0,JK$30-JL$28))))</f>
        <v/>
      </c>
      <c r="JM30" s="218">
        <f>IF(RefiFlag=0,0,IF(269&lt;RefiMonth,0,IF(269=RefiMonth,PermLoan,IF(269&gt;DispoMonth,0,JL$30-JM$28))))</f>
        <v/>
      </c>
      <c r="JN30" s="218">
        <f>IF(RefiFlag=0,0,IF(270&lt;RefiMonth,0,IF(270=RefiMonth,PermLoan,IF(270&gt;DispoMonth,0,JM$30-JN$28))))</f>
        <v/>
      </c>
      <c r="JO30" s="218">
        <f>IF(RefiFlag=0,0,IF(271&lt;RefiMonth,0,IF(271=RefiMonth,PermLoan,IF(271&gt;DispoMonth,0,JN$30-JO$28))))</f>
        <v/>
      </c>
      <c r="JP30" s="218">
        <f>IF(RefiFlag=0,0,IF(272&lt;RefiMonth,0,IF(272=RefiMonth,PermLoan,IF(272&gt;DispoMonth,0,JO$30-JP$28))))</f>
        <v/>
      </c>
      <c r="JQ30" s="218">
        <f>IF(RefiFlag=0,0,IF(273&lt;RefiMonth,0,IF(273=RefiMonth,PermLoan,IF(273&gt;DispoMonth,0,JP$30-JQ$28))))</f>
        <v/>
      </c>
      <c r="JR30" s="218">
        <f>IF(RefiFlag=0,0,IF(274&lt;RefiMonth,0,IF(274=RefiMonth,PermLoan,IF(274&gt;DispoMonth,0,JQ$30-JR$28))))</f>
        <v/>
      </c>
      <c r="JS30" s="218">
        <f>IF(RefiFlag=0,0,IF(275&lt;RefiMonth,0,IF(275=RefiMonth,PermLoan,IF(275&gt;DispoMonth,0,JR$30-JS$28))))</f>
        <v/>
      </c>
      <c r="JT30" s="218">
        <f>IF(RefiFlag=0,0,IF(276&lt;RefiMonth,0,IF(276=RefiMonth,PermLoan,IF(276&gt;DispoMonth,0,JS$30-JT$28))))</f>
        <v/>
      </c>
      <c r="JU30" s="218">
        <f>IF(RefiFlag=0,0,IF(277&lt;RefiMonth,0,IF(277=RefiMonth,PermLoan,IF(277&gt;DispoMonth,0,JT$30-JU$28))))</f>
        <v/>
      </c>
      <c r="JV30" s="218">
        <f>IF(RefiFlag=0,0,IF(278&lt;RefiMonth,0,IF(278=RefiMonth,PermLoan,IF(278&gt;DispoMonth,0,JU$30-JV$28))))</f>
        <v/>
      </c>
      <c r="JW30" s="218">
        <f>IF(RefiFlag=0,0,IF(279&lt;RefiMonth,0,IF(279=RefiMonth,PermLoan,IF(279&gt;DispoMonth,0,JV$30-JW$28))))</f>
        <v/>
      </c>
      <c r="JX30" s="218">
        <f>IF(RefiFlag=0,0,IF(280&lt;RefiMonth,0,IF(280=RefiMonth,PermLoan,IF(280&gt;DispoMonth,0,JW$30-JX$28))))</f>
        <v/>
      </c>
      <c r="JY30" s="218">
        <f>IF(RefiFlag=0,0,IF(281&lt;RefiMonth,0,IF(281=RefiMonth,PermLoan,IF(281&gt;DispoMonth,0,JX$30-JY$28))))</f>
        <v/>
      </c>
      <c r="JZ30" s="218">
        <f>IF(RefiFlag=0,0,IF(282&lt;RefiMonth,0,IF(282=RefiMonth,PermLoan,IF(282&gt;DispoMonth,0,JY$30-JZ$28))))</f>
        <v/>
      </c>
      <c r="KA30" s="218">
        <f>IF(RefiFlag=0,0,IF(283&lt;RefiMonth,0,IF(283=RefiMonth,PermLoan,IF(283&gt;DispoMonth,0,JZ$30-KA$28))))</f>
        <v/>
      </c>
      <c r="KB30" s="218">
        <f>IF(RefiFlag=0,0,IF(284&lt;RefiMonth,0,IF(284=RefiMonth,PermLoan,IF(284&gt;DispoMonth,0,KA$30-KB$28))))</f>
        <v/>
      </c>
      <c r="KC30" s="218">
        <f>IF(RefiFlag=0,0,IF(285&lt;RefiMonth,0,IF(285=RefiMonth,PermLoan,IF(285&gt;DispoMonth,0,KB$30-KC$28))))</f>
        <v/>
      </c>
      <c r="KD30" s="218">
        <f>IF(RefiFlag=0,0,IF(286&lt;RefiMonth,0,IF(286=RefiMonth,PermLoan,IF(286&gt;DispoMonth,0,KC$30-KD$28))))</f>
        <v/>
      </c>
      <c r="KE30" s="218">
        <f>IF(RefiFlag=0,0,IF(287&lt;RefiMonth,0,IF(287=RefiMonth,PermLoan,IF(287&gt;DispoMonth,0,KD$30-KE$28))))</f>
        <v/>
      </c>
      <c r="KF30" s="218">
        <f>IF(RefiFlag=0,0,IF(288&lt;RefiMonth,0,IF(288=RefiMonth,PermLoan,IF(288&gt;DispoMonth,0,KE$30-KF$28))))</f>
        <v/>
      </c>
      <c r="KG30" s="218">
        <f>IF(RefiFlag=0,0,IF(289&lt;RefiMonth,0,IF(289=RefiMonth,PermLoan,IF(289&gt;DispoMonth,0,KF$30-KG$28))))</f>
        <v/>
      </c>
      <c r="KH30" s="218">
        <f>IF(RefiFlag=0,0,IF(290&lt;RefiMonth,0,IF(290=RefiMonth,PermLoan,IF(290&gt;DispoMonth,0,KG$30-KH$28))))</f>
        <v/>
      </c>
      <c r="KI30" s="218">
        <f>IF(RefiFlag=0,0,IF(291&lt;RefiMonth,0,IF(291=RefiMonth,PermLoan,IF(291&gt;DispoMonth,0,KH$30-KI$28))))</f>
        <v/>
      </c>
      <c r="KJ30" s="218">
        <f>IF(RefiFlag=0,0,IF(292&lt;RefiMonth,0,IF(292=RefiMonth,PermLoan,IF(292&gt;DispoMonth,0,KI$30-KJ$28))))</f>
        <v/>
      </c>
      <c r="KK30" s="218">
        <f>IF(RefiFlag=0,0,IF(293&lt;RefiMonth,0,IF(293=RefiMonth,PermLoan,IF(293&gt;DispoMonth,0,KJ$30-KK$28))))</f>
        <v/>
      </c>
      <c r="KL30" s="218">
        <f>IF(RefiFlag=0,0,IF(294&lt;RefiMonth,0,IF(294=RefiMonth,PermLoan,IF(294&gt;DispoMonth,0,KK$30-KL$28))))</f>
        <v/>
      </c>
      <c r="KM30" s="218">
        <f>IF(RefiFlag=0,0,IF(295&lt;RefiMonth,0,IF(295=RefiMonth,PermLoan,IF(295&gt;DispoMonth,0,KL$30-KM$28))))</f>
        <v/>
      </c>
      <c r="KN30" s="218">
        <f>IF(RefiFlag=0,0,IF(296&lt;RefiMonth,0,IF(296=RefiMonth,PermLoan,IF(296&gt;DispoMonth,0,KM$30-KN$28))))</f>
        <v/>
      </c>
      <c r="KO30" s="218">
        <f>IF(RefiFlag=0,0,IF(297&lt;RefiMonth,0,IF(297=RefiMonth,PermLoan,IF(297&gt;DispoMonth,0,KN$30-KO$28))))</f>
        <v/>
      </c>
      <c r="KP30" s="218">
        <f>IF(RefiFlag=0,0,IF(298&lt;RefiMonth,0,IF(298=RefiMonth,PermLoan,IF(298&gt;DispoMonth,0,KO$30-KP$28))))</f>
        <v/>
      </c>
      <c r="KQ30" s="218">
        <f>IF(RefiFlag=0,0,IF(299&lt;RefiMonth,0,IF(299=RefiMonth,PermLoan,IF(299&gt;DispoMonth,0,KP$30-KQ$28))))</f>
        <v/>
      </c>
      <c r="KR30" s="218">
        <f>IF(RefiFlag=0,0,IF(300&lt;RefiMonth,0,IF(300=RefiMonth,PermLoan,IF(300&gt;DispoMonth,0,KQ$30-KR$28))))</f>
        <v/>
      </c>
      <c r="KS30" s="218">
        <f>IF(RefiFlag=0,0,IF(301&lt;RefiMonth,0,IF(301=RefiMonth,PermLoan,IF(301&gt;DispoMonth,0,KR$30-KS$28))))</f>
        <v/>
      </c>
      <c r="KT30" s="218">
        <f>IF(RefiFlag=0,0,IF(302&lt;RefiMonth,0,IF(302=RefiMonth,PermLoan,IF(302&gt;DispoMonth,0,KS$30-KT$28))))</f>
        <v/>
      </c>
      <c r="KU30" s="218">
        <f>IF(RefiFlag=0,0,IF(303&lt;RefiMonth,0,IF(303=RefiMonth,PermLoan,IF(303&gt;DispoMonth,0,KT$30-KU$28))))</f>
        <v/>
      </c>
      <c r="KV30" s="218">
        <f>IF(RefiFlag=0,0,IF(304&lt;RefiMonth,0,IF(304=RefiMonth,PermLoan,IF(304&gt;DispoMonth,0,KU$30-KV$28))))</f>
        <v/>
      </c>
      <c r="KW30" s="218">
        <f>IF(RefiFlag=0,0,IF(305&lt;RefiMonth,0,IF(305=RefiMonth,PermLoan,IF(305&gt;DispoMonth,0,KV$30-KW$28))))</f>
        <v/>
      </c>
      <c r="KX30" s="218">
        <f>IF(RefiFlag=0,0,IF(306&lt;RefiMonth,0,IF(306=RefiMonth,PermLoan,IF(306&gt;DispoMonth,0,KW$30-KX$28))))</f>
        <v/>
      </c>
      <c r="KY30" s="218">
        <f>IF(RefiFlag=0,0,IF(307&lt;RefiMonth,0,IF(307=RefiMonth,PermLoan,IF(307&gt;DispoMonth,0,KX$30-KY$28))))</f>
        <v/>
      </c>
      <c r="KZ30" s="218">
        <f>IF(RefiFlag=0,0,IF(308&lt;RefiMonth,0,IF(308=RefiMonth,PermLoan,IF(308&gt;DispoMonth,0,KY$30-KZ$28))))</f>
        <v/>
      </c>
      <c r="LA30" s="218">
        <f>IF(RefiFlag=0,0,IF(309&lt;RefiMonth,0,IF(309=RefiMonth,PermLoan,IF(309&gt;DispoMonth,0,KZ$30-LA$28))))</f>
        <v/>
      </c>
      <c r="LB30" s="218">
        <f>IF(RefiFlag=0,0,IF(310&lt;RefiMonth,0,IF(310=RefiMonth,PermLoan,IF(310&gt;DispoMonth,0,LA$30-LB$28))))</f>
        <v/>
      </c>
      <c r="LC30" s="218">
        <f>IF(RefiFlag=0,0,IF(311&lt;RefiMonth,0,IF(311=RefiMonth,PermLoan,IF(311&gt;DispoMonth,0,LB$30-LC$28))))</f>
        <v/>
      </c>
      <c r="LD30" s="218">
        <f>IF(RefiFlag=0,0,IF(312&lt;RefiMonth,0,IF(312=RefiMonth,PermLoan,IF(312&gt;DispoMonth,0,LC$30-LD$28))))</f>
        <v/>
      </c>
      <c r="LE30" s="218">
        <f>IF(RefiFlag=0,0,IF(313&lt;RefiMonth,0,IF(313=RefiMonth,PermLoan,IF(313&gt;DispoMonth,0,LD$30-LE$28))))</f>
        <v/>
      </c>
      <c r="LF30" s="218">
        <f>IF(RefiFlag=0,0,IF(314&lt;RefiMonth,0,IF(314=RefiMonth,PermLoan,IF(314&gt;DispoMonth,0,LE$30-LF$28))))</f>
        <v/>
      </c>
      <c r="LG30" s="218">
        <f>IF(RefiFlag=0,0,IF(315&lt;RefiMonth,0,IF(315=RefiMonth,PermLoan,IF(315&gt;DispoMonth,0,LF$30-LG$28))))</f>
        <v/>
      </c>
      <c r="LH30" s="218">
        <f>IF(RefiFlag=0,0,IF(316&lt;RefiMonth,0,IF(316=RefiMonth,PermLoan,IF(316&gt;DispoMonth,0,LG$30-LH$28))))</f>
        <v/>
      </c>
      <c r="LI30" s="218">
        <f>IF(RefiFlag=0,0,IF(317&lt;RefiMonth,0,IF(317=RefiMonth,PermLoan,IF(317&gt;DispoMonth,0,LH$30-LI$28))))</f>
        <v/>
      </c>
      <c r="LJ30" s="218">
        <f>IF(RefiFlag=0,0,IF(318&lt;RefiMonth,0,IF(318=RefiMonth,PermLoan,IF(318&gt;DispoMonth,0,LI$30-LJ$28))))</f>
        <v/>
      </c>
      <c r="LK30" s="218">
        <f>IF(RefiFlag=0,0,IF(319&lt;RefiMonth,0,IF(319=RefiMonth,PermLoan,IF(319&gt;DispoMonth,0,LJ$30-LK$28))))</f>
        <v/>
      </c>
      <c r="LL30" s="218">
        <f>IF(RefiFlag=0,0,IF(320&lt;RefiMonth,0,IF(320=RefiMonth,PermLoan,IF(320&gt;DispoMonth,0,LK$30-LL$28))))</f>
        <v/>
      </c>
      <c r="LM30" s="218">
        <f>IF(RefiFlag=0,0,IF(321&lt;RefiMonth,0,IF(321=RefiMonth,PermLoan,IF(321&gt;DispoMonth,0,LL$30-LM$28))))</f>
        <v/>
      </c>
      <c r="LN30" s="218">
        <f>IF(RefiFlag=0,0,IF(322&lt;RefiMonth,0,IF(322=RefiMonth,PermLoan,IF(322&gt;DispoMonth,0,LM$30-LN$28))))</f>
        <v/>
      </c>
      <c r="LO30" s="218">
        <f>IF(RefiFlag=0,0,IF(323&lt;RefiMonth,0,IF(323=RefiMonth,PermLoan,IF(323&gt;DispoMonth,0,LN$30-LO$28))))</f>
        <v/>
      </c>
      <c r="LP30" s="218">
        <f>IF(RefiFlag=0,0,IF(324&lt;RefiMonth,0,IF(324=RefiMonth,PermLoan,IF(324&gt;DispoMonth,0,LO$30-LP$28))))</f>
        <v/>
      </c>
      <c r="LQ30" s="218">
        <f>IF(RefiFlag=0,0,IF(325&lt;RefiMonth,0,IF(325=RefiMonth,PermLoan,IF(325&gt;DispoMonth,0,LP$30-LQ$28))))</f>
        <v/>
      </c>
      <c r="LR30" s="218">
        <f>IF(RefiFlag=0,0,IF(326&lt;RefiMonth,0,IF(326=RefiMonth,PermLoan,IF(326&gt;DispoMonth,0,LQ$30-LR$28))))</f>
        <v/>
      </c>
      <c r="LS30" s="218">
        <f>IF(RefiFlag=0,0,IF(327&lt;RefiMonth,0,IF(327=RefiMonth,PermLoan,IF(327&gt;DispoMonth,0,LR$30-LS$28))))</f>
        <v/>
      </c>
      <c r="LT30" s="218">
        <f>IF(RefiFlag=0,0,IF(328&lt;RefiMonth,0,IF(328=RefiMonth,PermLoan,IF(328&gt;DispoMonth,0,LS$30-LT$28))))</f>
        <v/>
      </c>
      <c r="LU30" s="218">
        <f>IF(RefiFlag=0,0,IF(329&lt;RefiMonth,0,IF(329=RefiMonth,PermLoan,IF(329&gt;DispoMonth,0,LT$30-LU$28))))</f>
        <v/>
      </c>
      <c r="LV30" s="218">
        <f>IF(RefiFlag=0,0,IF(330&lt;RefiMonth,0,IF(330=RefiMonth,PermLoan,IF(330&gt;DispoMonth,0,LU$30-LV$28))))</f>
        <v/>
      </c>
      <c r="LW30" s="218">
        <f>IF(RefiFlag=0,0,IF(331&lt;RefiMonth,0,IF(331=RefiMonth,PermLoan,IF(331&gt;DispoMonth,0,LV$30-LW$28))))</f>
        <v/>
      </c>
      <c r="LX30" s="218">
        <f>IF(RefiFlag=0,0,IF(332&lt;RefiMonth,0,IF(332=RefiMonth,PermLoan,IF(332&gt;DispoMonth,0,LW$30-LX$28))))</f>
        <v/>
      </c>
      <c r="LY30" s="218">
        <f>IF(RefiFlag=0,0,IF(333&lt;RefiMonth,0,IF(333=RefiMonth,PermLoan,IF(333&gt;DispoMonth,0,LX$30-LY$28))))</f>
        <v/>
      </c>
      <c r="LZ30" s="218">
        <f>IF(RefiFlag=0,0,IF(334&lt;RefiMonth,0,IF(334=RefiMonth,PermLoan,IF(334&gt;DispoMonth,0,LY$30-LZ$28))))</f>
        <v/>
      </c>
      <c r="MA30" s="218">
        <f>IF(RefiFlag=0,0,IF(335&lt;RefiMonth,0,IF(335=RefiMonth,PermLoan,IF(335&gt;DispoMonth,0,LZ$30-MA$28))))</f>
        <v/>
      </c>
      <c r="MB30" s="218">
        <f>IF(RefiFlag=0,0,IF(336&lt;RefiMonth,0,IF(336=RefiMonth,PermLoan,IF(336&gt;DispoMonth,0,MA$30-MB$28))))</f>
        <v/>
      </c>
      <c r="MC30" s="218">
        <f>IF(RefiFlag=0,0,IF(337&lt;RefiMonth,0,IF(337=RefiMonth,PermLoan,IF(337&gt;DispoMonth,0,MB$30-MC$28))))</f>
        <v/>
      </c>
      <c r="MD30" s="218">
        <f>IF(RefiFlag=0,0,IF(338&lt;RefiMonth,0,IF(338=RefiMonth,PermLoan,IF(338&gt;DispoMonth,0,MC$30-MD$28))))</f>
        <v/>
      </c>
      <c r="ME30" s="218">
        <f>IF(RefiFlag=0,0,IF(339&lt;RefiMonth,0,IF(339=RefiMonth,PermLoan,IF(339&gt;DispoMonth,0,MD$30-ME$28))))</f>
        <v/>
      </c>
      <c r="MF30" s="218">
        <f>IF(RefiFlag=0,0,IF(340&lt;RefiMonth,0,IF(340=RefiMonth,PermLoan,IF(340&gt;DispoMonth,0,ME$30-MF$28))))</f>
        <v/>
      </c>
      <c r="MG30" s="218">
        <f>IF(RefiFlag=0,0,IF(341&lt;RefiMonth,0,IF(341=RefiMonth,PermLoan,IF(341&gt;DispoMonth,0,MF$30-MG$28))))</f>
        <v/>
      </c>
      <c r="MH30" s="218">
        <f>IF(RefiFlag=0,0,IF(342&lt;RefiMonth,0,IF(342=RefiMonth,PermLoan,IF(342&gt;DispoMonth,0,MG$30-MH$28))))</f>
        <v/>
      </c>
      <c r="MI30" s="218">
        <f>IF(RefiFlag=0,0,IF(343&lt;RefiMonth,0,IF(343=RefiMonth,PermLoan,IF(343&gt;DispoMonth,0,MH$30-MI$28))))</f>
        <v/>
      </c>
      <c r="MJ30" s="218">
        <f>IF(RefiFlag=0,0,IF(344&lt;RefiMonth,0,IF(344=RefiMonth,PermLoan,IF(344&gt;DispoMonth,0,MI$30-MJ$28))))</f>
        <v/>
      </c>
      <c r="MK30" s="218">
        <f>IF(RefiFlag=0,0,IF(345&lt;RefiMonth,0,IF(345=RefiMonth,PermLoan,IF(345&gt;DispoMonth,0,MJ$30-MK$28))))</f>
        <v/>
      </c>
      <c r="ML30" s="218">
        <f>IF(RefiFlag=0,0,IF(346&lt;RefiMonth,0,IF(346=RefiMonth,PermLoan,IF(346&gt;DispoMonth,0,MK$30-ML$28))))</f>
        <v/>
      </c>
      <c r="MM30" s="218">
        <f>IF(RefiFlag=0,0,IF(347&lt;RefiMonth,0,IF(347=RefiMonth,PermLoan,IF(347&gt;DispoMonth,0,ML$30-MM$28))))</f>
        <v/>
      </c>
      <c r="MN30" s="218">
        <f>IF(RefiFlag=0,0,IF(348&lt;RefiMonth,0,IF(348=RefiMonth,PermLoan,IF(348&gt;DispoMonth,0,MM$30-MN$28))))</f>
        <v/>
      </c>
      <c r="MO30" s="218">
        <f>IF(RefiFlag=0,0,IF(349&lt;RefiMonth,0,IF(349=RefiMonth,PermLoan,IF(349&gt;DispoMonth,0,MN$30-MO$28))))</f>
        <v/>
      </c>
      <c r="MP30" s="218">
        <f>IF(RefiFlag=0,0,IF(350&lt;RefiMonth,0,IF(350=RefiMonth,PermLoan,IF(350&gt;DispoMonth,0,MO$30-MP$28))))</f>
        <v/>
      </c>
      <c r="MQ30" s="218">
        <f>IF(RefiFlag=0,0,IF(351&lt;RefiMonth,0,IF(351=RefiMonth,PermLoan,IF(351&gt;DispoMonth,0,MP$30-MQ$28))))</f>
        <v/>
      </c>
      <c r="MR30" s="218">
        <f>IF(RefiFlag=0,0,IF(352&lt;RefiMonth,0,IF(352=RefiMonth,PermLoan,IF(352&gt;DispoMonth,0,MQ$30-MR$28))))</f>
        <v/>
      </c>
      <c r="MS30" s="218">
        <f>IF(RefiFlag=0,0,IF(353&lt;RefiMonth,0,IF(353=RefiMonth,PermLoan,IF(353&gt;DispoMonth,0,MR$30-MS$28))))</f>
        <v/>
      </c>
      <c r="MT30" s="218">
        <f>IF(RefiFlag=0,0,IF(354&lt;RefiMonth,0,IF(354=RefiMonth,PermLoan,IF(354&gt;DispoMonth,0,MS$30-MT$28))))</f>
        <v/>
      </c>
      <c r="MU30" s="218">
        <f>IF(RefiFlag=0,0,IF(355&lt;RefiMonth,0,IF(355=RefiMonth,PermLoan,IF(355&gt;DispoMonth,0,MT$30-MU$28))))</f>
        <v/>
      </c>
      <c r="MV30" s="218">
        <f>IF(RefiFlag=0,0,IF(356&lt;RefiMonth,0,IF(356=RefiMonth,PermLoan,IF(356&gt;DispoMonth,0,MU$30-MV$28))))</f>
        <v/>
      </c>
      <c r="MW30" s="218">
        <f>IF(RefiFlag=0,0,IF(357&lt;RefiMonth,0,IF(357=RefiMonth,PermLoan,IF(357&gt;DispoMonth,0,MV$30-MW$28))))</f>
        <v/>
      </c>
      <c r="MX30" s="218">
        <f>IF(RefiFlag=0,0,IF(358&lt;RefiMonth,0,IF(358=RefiMonth,PermLoan,IF(358&gt;DispoMonth,0,MW$30-MX$28))))</f>
        <v/>
      </c>
      <c r="MY30" s="218">
        <f>IF(RefiFlag=0,0,IF(359&lt;RefiMonth,0,IF(359=RefiMonth,PermLoan,IF(359&gt;DispoMonth,0,MX$30-MY$28))))</f>
        <v/>
      </c>
      <c r="MZ30" s="218">
        <f>IF(RefiFlag=0,0,IF(360&lt;RefiMonth,0,IF(360=RefiMonth,PermLoan,IF(360&gt;DispoMonth,0,MY$30-MZ$28))))</f>
        <v/>
      </c>
      <c r="NA30" s="218">
        <f>IF(RefiFlag=0,0,IF(361&lt;RefiMonth,0,IF(361=RefiMonth,PermLoan,IF(361&gt;DispoMonth,0,MZ$30-NA$28))))</f>
        <v/>
      </c>
      <c r="NB30" s="218">
        <f>IF(RefiFlag=0,0,IF(362&lt;RefiMonth,0,IF(362=RefiMonth,PermLoan,IF(362&gt;DispoMonth,0,NA$30-NB$28))))</f>
        <v/>
      </c>
      <c r="NC30" s="218">
        <f>IF(RefiFlag=0,0,IF(363&lt;RefiMonth,0,IF(363=RefiMonth,PermLoan,IF(363&gt;DispoMonth,0,NB$30-NC$28))))</f>
        <v/>
      </c>
      <c r="ND30" s="218">
        <f>IF(RefiFlag=0,0,IF(364&lt;RefiMonth,0,IF(364=RefiMonth,PermLoan,IF(364&gt;DispoMonth,0,NC$30-ND$28))))</f>
        <v/>
      </c>
      <c r="NE30" s="218">
        <f>IF(RefiFlag=0,0,IF(365&lt;RefiMonth,0,IF(365=RefiMonth,PermLoan,IF(365&gt;DispoMonth,0,ND$30-NE$28))))</f>
        <v/>
      </c>
      <c r="NF30" s="218">
        <f>IF(RefiFlag=0,0,IF(366&lt;RefiMonth,0,IF(366=RefiMonth,PermLoan,IF(366&gt;DispoMonth,0,NE$30-NF$28))))</f>
        <v/>
      </c>
      <c r="NG30" s="218">
        <f>IF(RefiFlag=0,0,IF(367&lt;RefiMonth,0,IF(367=RefiMonth,PermLoan,IF(367&gt;DispoMonth,0,NF$30-NG$28))))</f>
        <v/>
      </c>
      <c r="NH30" s="218">
        <f>IF(RefiFlag=0,0,IF(368&lt;RefiMonth,0,IF(368=RefiMonth,PermLoan,IF(368&gt;DispoMonth,0,NG$30-NH$28))))</f>
        <v/>
      </c>
      <c r="NI30" s="218">
        <f>IF(RefiFlag=0,0,IF(369&lt;RefiMonth,0,IF(369=RefiMonth,PermLoan,IF(369&gt;DispoMonth,0,NH$30-NI$28))))</f>
        <v/>
      </c>
      <c r="NJ30" s="218">
        <f>IF(RefiFlag=0,0,IF(370&lt;RefiMonth,0,IF(370=RefiMonth,PermLoan,IF(370&gt;DispoMonth,0,NI$30-NJ$28))))</f>
        <v/>
      </c>
      <c r="NK30" s="218">
        <f>IF(RefiFlag=0,0,IF(371&lt;RefiMonth,0,IF(371=RefiMonth,PermLoan,IF(371&gt;DispoMonth,0,NJ$30-NK$28))))</f>
        <v/>
      </c>
      <c r="NL30" s="218">
        <f>IF(RefiFlag=0,0,IF(372&lt;RefiMonth,0,IF(372=RefiMonth,PermLoan,IF(372&gt;DispoMonth,0,NK$30-NL$28))))</f>
        <v/>
      </c>
    </row>
    <row r="31">
      <c r="B31" s="52" t="n"/>
      <c r="D31" s="53" t="n"/>
    </row>
    <row r="32">
      <c r="B32" s="36" t="inlineStr">
        <is>
          <t>Permanent Loan Payoff at Disposition</t>
        </is>
      </c>
      <c r="C32" s="262">
        <f>RefiFlag*INDEX(E30:NL30,DispoMonth)</f>
        <v/>
      </c>
      <c r="D32" s="53" t="n"/>
    </row>
    <row r="33">
      <c r="B33" s="40" t="inlineStr">
        <is>
          <t>Refi sources − uses (must reconcile)</t>
        </is>
      </c>
      <c r="C33" s="263">
        <f>RefiFlag*(PermLoan-PermPoints-RefiCashOut-ConPayoffBal)</f>
        <v/>
      </c>
      <c r="D33" s="66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F7F7F"/>
    <outlinePr summaryBelow="1" summaryRight="1"/>
    <pageSetUpPr/>
  </sheetPr>
  <dimension ref="B1:D25"/>
  <sheetViews>
    <sheetView showGridLines="0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3.7109375" customWidth="1" style="97" min="1" max="1"/>
    <col width="40" customWidth="1" style="97" min="2" max="2"/>
    <col width="18" customWidth="1" style="97" min="3" max="3"/>
    <col width="30" customWidth="1" style="97" min="4" max="4"/>
  </cols>
  <sheetData>
    <row r="1" ht="21" customHeight="1" s="97">
      <c r="B1" s="1" t="inlineStr">
        <is>
          <t>Disposition Engine</t>
        </is>
      </c>
    </row>
    <row r="3">
      <c r="B3" s="34" t="inlineStr">
        <is>
          <t>Exit Valuation (forward 12-month NOI)</t>
        </is>
      </c>
      <c r="C3" s="60" t="n"/>
      <c r="D3" s="35" t="n"/>
    </row>
    <row r="4">
      <c r="B4" s="36" t="inlineStr">
        <is>
          <t>Forward NOI before Property Tax (12mo)</t>
        </is>
      </c>
      <c r="C4" s="255">
        <f>SUM(INDEX(Operating!E$35:'Operating'!NL$35,DispoMonth+1):INDEX(Operating!E$35:'Operating'!NL$35,DispoMonth+12))</f>
        <v/>
      </c>
      <c r="D4" s="53" t="n"/>
    </row>
    <row r="5">
      <c r="B5" s="36" t="inlineStr">
        <is>
          <t>Forward NOI after In-Place Tax (12mo)</t>
        </is>
      </c>
      <c r="C5" s="255">
        <f>SUM(INDEX(Operating!E$38:'Operating'!NL$38,DispoMonth+1):INDEX(Operating!E$38:'Operating'!NL$38,DispoMonth+12))</f>
        <v/>
      </c>
      <c r="D5" s="53" t="n"/>
    </row>
    <row r="6">
      <c r="B6" s="36" t="inlineStr">
        <is>
          <t>Forward EGI (12mo)</t>
        </is>
      </c>
      <c r="C6" s="255">
        <f>SUM(INDEX(Operating!E$23:'Operating'!NL$23,DispoMonth+1):INDEX(Operating!E$23:'Operating'!NL$23,DispoMonth+12))</f>
        <v/>
      </c>
      <c r="D6" s="53" t="n"/>
    </row>
    <row r="7">
      <c r="B7" s="36" t="inlineStr">
        <is>
          <t>Forward Retail Income (12mo)</t>
        </is>
      </c>
      <c r="C7" s="255">
        <f>SUM(INDEX(Operating!E$22:'Operating'!NL$22,DispoMonth+1):INDEX(Operating!E$22:'Operating'!NL$22,DispoMonth+12))</f>
        <v/>
      </c>
      <c r="D7" s="53" t="n"/>
    </row>
    <row r="8">
      <c r="B8" s="36" t="inlineStr">
        <is>
          <t>Retail Revenue Share</t>
        </is>
      </c>
      <c r="C8" s="140">
        <f>IF(FwdEGI=0,0,FwdRetail/FwdEGI)</f>
        <v/>
      </c>
      <c r="D8" s="53" t="n"/>
    </row>
    <row r="9">
      <c r="B9" s="36" t="inlineStr">
        <is>
          <t>Blended Exit Cap Rate</t>
        </is>
      </c>
      <c r="C9" s="140">
        <f>IF(FwdNOIbt=0,ExitCapResidential,IF((FwdNOIbt*(1-RetailShare)/ExitCapResidential+FwdNOIbt*RetailShare/ExitCapRetail)=0,ExitCapResidential,FwdNOIbt/(FwdNOIbt*(1-RetailShare)/ExitCapResidential+FwdNOIbt*RetailShare/ExitCapRetail)))</f>
        <v/>
      </c>
      <c r="D9" s="53" t="n"/>
    </row>
    <row r="10">
      <c r="B10" s="40" t="inlineStr">
        <is>
          <t>Exit Value (reassess-aware, closed form)</t>
        </is>
      </c>
      <c r="C10" s="256">
        <f>IF(ReassessOnSale&gt;=1,IF((BlendedExitCap+DispoEffTaxRate)=0,0,FwdNOIbt/(BlendedExitCap+DispoEffTaxRate)),IF(BlendedExitCap=0,0,FwdNOIafter/BlendedExitCap))</f>
        <v/>
      </c>
      <c r="D10" s="66" t="n"/>
    </row>
    <row r="12">
      <c r="B12" s="34" t="inlineStr">
        <is>
          <t>Sale Costs &amp; Net Proceeds</t>
        </is>
      </c>
      <c r="C12" s="60" t="n"/>
      <c r="D12" s="35" t="n"/>
    </row>
    <row r="13">
      <c r="B13" s="36" t="inlineStr">
        <is>
          <t>Gross Sale Price</t>
        </is>
      </c>
      <c r="C13" s="227">
        <f>ExitValue</f>
        <v/>
      </c>
      <c r="D13" s="53" t="n"/>
    </row>
    <row r="14">
      <c r="B14" s="36" t="inlineStr">
        <is>
          <t>Broker / Sale Costs</t>
        </is>
      </c>
      <c r="C14" s="227">
        <f>-BrokerCostPct*ExitValue</f>
        <v/>
      </c>
      <c r="D14" s="53" t="n"/>
    </row>
    <row r="15">
      <c r="B15" s="36" t="inlineStr">
        <is>
          <t>Transfer / Sales Tax</t>
        </is>
      </c>
      <c r="C15" s="227">
        <f>-SalesTaxPct*ExitValue</f>
        <v/>
      </c>
      <c r="D15" s="53" t="n"/>
    </row>
    <row r="16">
      <c r="B16" s="36" t="inlineStr">
        <is>
          <t>Sponsor Disposition Fee</t>
        </is>
      </c>
      <c r="C16" s="227">
        <f>-SponsorDispoFeePct*ExitValue</f>
        <v/>
      </c>
      <c r="D16" s="53" t="n"/>
    </row>
    <row r="17">
      <c r="B17" s="36" t="inlineStr">
        <is>
          <t>Property Tax Proration</t>
        </is>
      </c>
      <c r="C17" s="227">
        <f>-INDEX(Operating!E$36:'Operating'!NL$36,MAX(1,DispoMonth))*TaxProrationMonths</f>
        <v/>
      </c>
      <c r="D17" s="53" t="n"/>
    </row>
    <row r="18">
      <c r="B18" s="36" t="inlineStr">
        <is>
          <t>Active Loan Payoff</t>
        </is>
      </c>
      <c r="C18" s="227">
        <f>-IF(RefiFlag=1,PermPayoffBal,ConPayoffBal)</f>
        <v/>
      </c>
      <c r="D18" s="53" t="n"/>
    </row>
    <row r="19">
      <c r="B19" s="50" t="inlineStr">
        <is>
          <t>Net Sale Proceeds (levered)</t>
        </is>
      </c>
      <c r="C19" s="262">
        <f>GrossSale+BrokerCost+SalesTaxAmt+SponsorDispoFee+TaxProration+ActivePayoff</f>
        <v/>
      </c>
      <c r="D19" s="53" t="n"/>
    </row>
    <row r="20">
      <c r="B20" s="57" t="inlineStr">
        <is>
          <t>Net Sale Proceeds (unlevered)</t>
        </is>
      </c>
      <c r="C20" s="271">
        <f>GrossSale+BrokerCost+SalesTaxAmt+SponsorDispoFee+TaxProration</f>
        <v/>
      </c>
      <c r="D20" s="66" t="n"/>
    </row>
    <row r="22">
      <c r="B22" s="71" t="inlineStr">
        <is>
          <t>Disposition Reconciliation</t>
        </is>
      </c>
      <c r="C22" s="72" t="n"/>
      <c r="D22" s="80" t="n"/>
    </row>
    <row r="23">
      <c r="B23" s="36" t="inlineStr">
        <is>
          <t>Development Gain (Exit − TDC)</t>
        </is>
      </c>
      <c r="C23" s="218">
        <f>ExitValue-TDC_Total</f>
        <v/>
      </c>
      <c r="D23" s="53" t="n"/>
    </row>
    <row r="24">
      <c r="B24" s="36" t="inlineStr">
        <is>
          <t>Loan retired by proceeds (&gt;=0)</t>
        </is>
      </c>
      <c r="C24" s="218">
        <f>GrossSale+BrokerCost+SalesTaxAmt+SponsorDispoFee+TaxProration-IF(RefiFlag=1,PermPayoffBal,ConPayoffBal)</f>
        <v/>
      </c>
      <c r="D24" s="53" t="n"/>
    </row>
    <row r="25">
      <c r="B25" s="40" t="inlineStr">
        <is>
          <t>Reassess closed-form residual (=0)</t>
        </is>
      </c>
      <c r="C25" s="263">
        <f>IF(ReassessOnSale&gt;=1,FwdNOIbt-ExitValue*(BlendedExitCap+DispoEffTaxRate),0)</f>
        <v/>
      </c>
      <c r="D25" s="66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F7F7F"/>
    <outlinePr summaryBelow="1" summaryRight="1"/>
    <pageSetUpPr/>
  </sheetPr>
  <dimension ref="B1:NL15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4" sqref="E4"/>
    </sheetView>
  </sheetViews>
  <sheetFormatPr baseColWidth="8" defaultRowHeight="15"/>
  <cols>
    <col width="3.7109375" customWidth="1" style="97" min="1" max="1"/>
    <col width="32" customWidth="1" style="97" min="2" max="2"/>
    <col width="12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Levered &amp; Unlevered Cash Flows (monthly)</t>
        </is>
      </c>
    </row>
    <row r="3">
      <c r="B3" s="112" t="inlineStr">
        <is>
          <t>Period →</t>
        </is>
      </c>
      <c r="C3" s="107" t="n"/>
      <c r="D3" s="113" t="inlineStr">
        <is>
          <t>Total</t>
        </is>
      </c>
      <c r="E3" s="126" t="n">
        <v>1</v>
      </c>
      <c r="F3" s="126" t="n">
        <v>2</v>
      </c>
      <c r="G3" s="126" t="n">
        <v>3</v>
      </c>
      <c r="H3" s="126" t="n">
        <v>4</v>
      </c>
      <c r="I3" s="126" t="n">
        <v>5</v>
      </c>
      <c r="J3" s="126" t="n">
        <v>6</v>
      </c>
      <c r="K3" s="126" t="n">
        <v>7</v>
      </c>
      <c r="L3" s="126" t="n">
        <v>8</v>
      </c>
      <c r="M3" s="126" t="n">
        <v>9</v>
      </c>
      <c r="N3" s="126" t="n">
        <v>10</v>
      </c>
      <c r="O3" s="126" t="n">
        <v>11</v>
      </c>
      <c r="P3" s="126" t="n">
        <v>12</v>
      </c>
      <c r="Q3" s="126" t="n">
        <v>13</v>
      </c>
      <c r="R3" s="126" t="n">
        <v>14</v>
      </c>
      <c r="S3" s="126" t="n">
        <v>15</v>
      </c>
      <c r="T3" s="126" t="n">
        <v>16</v>
      </c>
      <c r="U3" s="126" t="n">
        <v>17</v>
      </c>
      <c r="V3" s="126" t="n">
        <v>18</v>
      </c>
      <c r="W3" s="126" t="n">
        <v>19</v>
      </c>
      <c r="X3" s="126" t="n">
        <v>20</v>
      </c>
      <c r="Y3" s="126" t="n">
        <v>21</v>
      </c>
      <c r="Z3" s="126" t="n">
        <v>22</v>
      </c>
      <c r="AA3" s="126" t="n">
        <v>23</v>
      </c>
      <c r="AB3" s="126" t="n">
        <v>24</v>
      </c>
      <c r="AC3" s="126" t="n">
        <v>25</v>
      </c>
      <c r="AD3" s="126" t="n">
        <v>26</v>
      </c>
      <c r="AE3" s="126" t="n">
        <v>27</v>
      </c>
      <c r="AF3" s="126" t="n">
        <v>28</v>
      </c>
      <c r="AG3" s="126" t="n">
        <v>29</v>
      </c>
      <c r="AH3" s="126" t="n">
        <v>30</v>
      </c>
      <c r="AI3" s="126" t="n">
        <v>31</v>
      </c>
      <c r="AJ3" s="126" t="n">
        <v>32</v>
      </c>
      <c r="AK3" s="126" t="n">
        <v>33</v>
      </c>
      <c r="AL3" s="126" t="n">
        <v>34</v>
      </c>
      <c r="AM3" s="126" t="n">
        <v>35</v>
      </c>
      <c r="AN3" s="126" t="n">
        <v>36</v>
      </c>
      <c r="AO3" s="126" t="n">
        <v>37</v>
      </c>
      <c r="AP3" s="126" t="n">
        <v>38</v>
      </c>
      <c r="AQ3" s="126" t="n">
        <v>39</v>
      </c>
      <c r="AR3" s="126" t="n">
        <v>40</v>
      </c>
      <c r="AS3" s="126" t="n">
        <v>41</v>
      </c>
      <c r="AT3" s="126" t="n">
        <v>42</v>
      </c>
      <c r="AU3" s="126" t="n">
        <v>43</v>
      </c>
      <c r="AV3" s="126" t="n">
        <v>44</v>
      </c>
      <c r="AW3" s="126" t="n">
        <v>45</v>
      </c>
      <c r="AX3" s="126" t="n">
        <v>46</v>
      </c>
      <c r="AY3" s="126" t="n">
        <v>47</v>
      </c>
      <c r="AZ3" s="126" t="n">
        <v>48</v>
      </c>
      <c r="BA3" s="126" t="n">
        <v>49</v>
      </c>
      <c r="BB3" s="126" t="n">
        <v>50</v>
      </c>
      <c r="BC3" s="126" t="n">
        <v>51</v>
      </c>
      <c r="BD3" s="126" t="n">
        <v>52</v>
      </c>
      <c r="BE3" s="126" t="n">
        <v>53</v>
      </c>
      <c r="BF3" s="126" t="n">
        <v>54</v>
      </c>
      <c r="BG3" s="126" t="n">
        <v>55</v>
      </c>
      <c r="BH3" s="126" t="n">
        <v>56</v>
      </c>
      <c r="BI3" s="126" t="n">
        <v>57</v>
      </c>
      <c r="BJ3" s="126" t="n">
        <v>58</v>
      </c>
      <c r="BK3" s="126" t="n">
        <v>59</v>
      </c>
      <c r="BL3" s="126" t="n">
        <v>60</v>
      </c>
      <c r="BM3" s="126" t="n">
        <v>61</v>
      </c>
      <c r="BN3" s="126" t="n">
        <v>62</v>
      </c>
      <c r="BO3" s="126" t="n">
        <v>63</v>
      </c>
      <c r="BP3" s="126" t="n">
        <v>64</v>
      </c>
      <c r="BQ3" s="126" t="n">
        <v>65</v>
      </c>
      <c r="BR3" s="126" t="n">
        <v>66</v>
      </c>
      <c r="BS3" s="126" t="n">
        <v>67</v>
      </c>
      <c r="BT3" s="126" t="n">
        <v>68</v>
      </c>
      <c r="BU3" s="126" t="n">
        <v>69</v>
      </c>
      <c r="BV3" s="126" t="n">
        <v>70</v>
      </c>
      <c r="BW3" s="126" t="n">
        <v>71</v>
      </c>
      <c r="BX3" s="126" t="n">
        <v>72</v>
      </c>
      <c r="BY3" s="126" t="n">
        <v>73</v>
      </c>
      <c r="BZ3" s="126" t="n">
        <v>74</v>
      </c>
      <c r="CA3" s="126" t="n">
        <v>75</v>
      </c>
      <c r="CB3" s="126" t="n">
        <v>76</v>
      </c>
      <c r="CC3" s="126" t="n">
        <v>77</v>
      </c>
      <c r="CD3" s="126" t="n">
        <v>78</v>
      </c>
      <c r="CE3" s="126" t="n">
        <v>79</v>
      </c>
      <c r="CF3" s="126" t="n">
        <v>80</v>
      </c>
      <c r="CG3" s="126" t="n">
        <v>81</v>
      </c>
      <c r="CH3" s="126" t="n">
        <v>82</v>
      </c>
      <c r="CI3" s="126" t="n">
        <v>83</v>
      </c>
      <c r="CJ3" s="126" t="n">
        <v>84</v>
      </c>
      <c r="CK3" s="126" t="n">
        <v>85</v>
      </c>
      <c r="CL3" s="126" t="n">
        <v>86</v>
      </c>
      <c r="CM3" s="126" t="n">
        <v>87</v>
      </c>
      <c r="CN3" s="126" t="n">
        <v>88</v>
      </c>
      <c r="CO3" s="126" t="n">
        <v>89</v>
      </c>
      <c r="CP3" s="126" t="n">
        <v>90</v>
      </c>
      <c r="CQ3" s="126" t="n">
        <v>91</v>
      </c>
      <c r="CR3" s="126" t="n">
        <v>92</v>
      </c>
      <c r="CS3" s="126" t="n">
        <v>93</v>
      </c>
      <c r="CT3" s="126" t="n">
        <v>94</v>
      </c>
      <c r="CU3" s="126" t="n">
        <v>95</v>
      </c>
      <c r="CV3" s="126" t="n">
        <v>96</v>
      </c>
      <c r="CW3" s="126" t="n">
        <v>97</v>
      </c>
      <c r="CX3" s="126" t="n">
        <v>98</v>
      </c>
      <c r="CY3" s="126" t="n">
        <v>99</v>
      </c>
      <c r="CZ3" s="126" t="n">
        <v>100</v>
      </c>
      <c r="DA3" s="126" t="n">
        <v>101</v>
      </c>
      <c r="DB3" s="126" t="n">
        <v>102</v>
      </c>
      <c r="DC3" s="126" t="n">
        <v>103</v>
      </c>
      <c r="DD3" s="126" t="n">
        <v>104</v>
      </c>
      <c r="DE3" s="126" t="n">
        <v>105</v>
      </c>
      <c r="DF3" s="126" t="n">
        <v>106</v>
      </c>
      <c r="DG3" s="126" t="n">
        <v>107</v>
      </c>
      <c r="DH3" s="126" t="n">
        <v>108</v>
      </c>
      <c r="DI3" s="126" t="n">
        <v>109</v>
      </c>
      <c r="DJ3" s="126" t="n">
        <v>110</v>
      </c>
      <c r="DK3" s="126" t="n">
        <v>111</v>
      </c>
      <c r="DL3" s="126" t="n">
        <v>112</v>
      </c>
      <c r="DM3" s="126" t="n">
        <v>113</v>
      </c>
      <c r="DN3" s="126" t="n">
        <v>114</v>
      </c>
      <c r="DO3" s="126" t="n">
        <v>115</v>
      </c>
      <c r="DP3" s="126" t="n">
        <v>116</v>
      </c>
      <c r="DQ3" s="126" t="n">
        <v>117</v>
      </c>
      <c r="DR3" s="126" t="n">
        <v>118</v>
      </c>
      <c r="DS3" s="126" t="n">
        <v>119</v>
      </c>
      <c r="DT3" s="126" t="n">
        <v>120</v>
      </c>
      <c r="DU3" s="126" t="n">
        <v>121</v>
      </c>
      <c r="DV3" s="126" t="n">
        <v>122</v>
      </c>
      <c r="DW3" s="126" t="n">
        <v>123</v>
      </c>
      <c r="DX3" s="126" t="n">
        <v>124</v>
      </c>
      <c r="DY3" s="126" t="n">
        <v>125</v>
      </c>
      <c r="DZ3" s="126" t="n">
        <v>126</v>
      </c>
      <c r="EA3" s="126" t="n">
        <v>127</v>
      </c>
      <c r="EB3" s="126" t="n">
        <v>128</v>
      </c>
      <c r="EC3" s="126" t="n">
        <v>129</v>
      </c>
      <c r="ED3" s="126" t="n">
        <v>130</v>
      </c>
      <c r="EE3" s="126" t="n">
        <v>131</v>
      </c>
      <c r="EF3" s="126" t="n">
        <v>132</v>
      </c>
      <c r="EG3" s="126" t="n">
        <v>133</v>
      </c>
      <c r="EH3" s="126" t="n">
        <v>134</v>
      </c>
      <c r="EI3" s="126" t="n">
        <v>135</v>
      </c>
      <c r="EJ3" s="126" t="n">
        <v>136</v>
      </c>
      <c r="EK3" s="126" t="n">
        <v>137</v>
      </c>
      <c r="EL3" s="126" t="n">
        <v>138</v>
      </c>
      <c r="EM3" s="126" t="n">
        <v>139</v>
      </c>
      <c r="EN3" s="126" t="n">
        <v>140</v>
      </c>
      <c r="EO3" s="126" t="n">
        <v>141</v>
      </c>
      <c r="EP3" s="126" t="n">
        <v>142</v>
      </c>
      <c r="EQ3" s="126" t="n">
        <v>143</v>
      </c>
      <c r="ER3" s="126" t="n">
        <v>144</v>
      </c>
      <c r="ES3" s="126" t="n">
        <v>145</v>
      </c>
      <c r="ET3" s="126" t="n">
        <v>146</v>
      </c>
      <c r="EU3" s="126" t="n">
        <v>147</v>
      </c>
      <c r="EV3" s="126" t="n">
        <v>148</v>
      </c>
      <c r="EW3" s="126" t="n">
        <v>149</v>
      </c>
      <c r="EX3" s="126" t="n">
        <v>150</v>
      </c>
      <c r="EY3" s="126" t="n">
        <v>151</v>
      </c>
      <c r="EZ3" s="126" t="n">
        <v>152</v>
      </c>
      <c r="FA3" s="126" t="n">
        <v>153</v>
      </c>
      <c r="FB3" s="126" t="n">
        <v>154</v>
      </c>
      <c r="FC3" s="126" t="n">
        <v>155</v>
      </c>
      <c r="FD3" s="126" t="n">
        <v>156</v>
      </c>
      <c r="FE3" s="126" t="n">
        <v>157</v>
      </c>
      <c r="FF3" s="126" t="n">
        <v>158</v>
      </c>
      <c r="FG3" s="126" t="n">
        <v>159</v>
      </c>
      <c r="FH3" s="126" t="n">
        <v>160</v>
      </c>
      <c r="FI3" s="126" t="n">
        <v>161</v>
      </c>
      <c r="FJ3" s="126" t="n">
        <v>162</v>
      </c>
      <c r="FK3" s="126" t="n">
        <v>163</v>
      </c>
      <c r="FL3" s="126" t="n">
        <v>164</v>
      </c>
      <c r="FM3" s="126" t="n">
        <v>165</v>
      </c>
      <c r="FN3" s="126" t="n">
        <v>166</v>
      </c>
      <c r="FO3" s="126" t="n">
        <v>167</v>
      </c>
      <c r="FP3" s="126" t="n">
        <v>168</v>
      </c>
      <c r="FQ3" s="126" t="n">
        <v>169</v>
      </c>
      <c r="FR3" s="126" t="n">
        <v>170</v>
      </c>
      <c r="FS3" s="126" t="n">
        <v>171</v>
      </c>
      <c r="FT3" s="126" t="n">
        <v>172</v>
      </c>
      <c r="FU3" s="126" t="n">
        <v>173</v>
      </c>
      <c r="FV3" s="126" t="n">
        <v>174</v>
      </c>
      <c r="FW3" s="126" t="n">
        <v>175</v>
      </c>
      <c r="FX3" s="126" t="n">
        <v>176</v>
      </c>
      <c r="FY3" s="126" t="n">
        <v>177</v>
      </c>
      <c r="FZ3" s="126" t="n">
        <v>178</v>
      </c>
      <c r="GA3" s="126" t="n">
        <v>179</v>
      </c>
      <c r="GB3" s="126" t="n">
        <v>180</v>
      </c>
      <c r="GC3" s="126" t="n">
        <v>181</v>
      </c>
      <c r="GD3" s="126" t="n">
        <v>182</v>
      </c>
      <c r="GE3" s="126" t="n">
        <v>183</v>
      </c>
      <c r="GF3" s="126" t="n">
        <v>184</v>
      </c>
      <c r="GG3" s="126" t="n">
        <v>185</v>
      </c>
      <c r="GH3" s="126" t="n">
        <v>186</v>
      </c>
      <c r="GI3" s="126" t="n">
        <v>187</v>
      </c>
      <c r="GJ3" s="126" t="n">
        <v>188</v>
      </c>
      <c r="GK3" s="126" t="n">
        <v>189</v>
      </c>
      <c r="GL3" s="126" t="n">
        <v>190</v>
      </c>
      <c r="GM3" s="126" t="n">
        <v>191</v>
      </c>
      <c r="GN3" s="126" t="n">
        <v>192</v>
      </c>
      <c r="GO3" s="126" t="n">
        <v>193</v>
      </c>
      <c r="GP3" s="126" t="n">
        <v>194</v>
      </c>
      <c r="GQ3" s="126" t="n">
        <v>195</v>
      </c>
      <c r="GR3" s="126" t="n">
        <v>196</v>
      </c>
      <c r="GS3" s="126" t="n">
        <v>197</v>
      </c>
      <c r="GT3" s="126" t="n">
        <v>198</v>
      </c>
      <c r="GU3" s="126" t="n">
        <v>199</v>
      </c>
      <c r="GV3" s="126" t="n">
        <v>200</v>
      </c>
      <c r="GW3" s="126" t="n">
        <v>201</v>
      </c>
      <c r="GX3" s="126" t="n">
        <v>202</v>
      </c>
      <c r="GY3" s="126" t="n">
        <v>203</v>
      </c>
      <c r="GZ3" s="126" t="n">
        <v>204</v>
      </c>
      <c r="HA3" s="126" t="n">
        <v>205</v>
      </c>
      <c r="HB3" s="126" t="n">
        <v>206</v>
      </c>
      <c r="HC3" s="126" t="n">
        <v>207</v>
      </c>
      <c r="HD3" s="126" t="n">
        <v>208</v>
      </c>
      <c r="HE3" s="126" t="n">
        <v>209</v>
      </c>
      <c r="HF3" s="126" t="n">
        <v>210</v>
      </c>
      <c r="HG3" s="126" t="n">
        <v>211</v>
      </c>
      <c r="HH3" s="126" t="n">
        <v>212</v>
      </c>
      <c r="HI3" s="126" t="n">
        <v>213</v>
      </c>
      <c r="HJ3" s="126" t="n">
        <v>214</v>
      </c>
      <c r="HK3" s="126" t="n">
        <v>215</v>
      </c>
      <c r="HL3" s="126" t="n">
        <v>216</v>
      </c>
      <c r="HM3" s="126" t="n">
        <v>217</v>
      </c>
      <c r="HN3" s="126" t="n">
        <v>218</v>
      </c>
      <c r="HO3" s="126" t="n">
        <v>219</v>
      </c>
      <c r="HP3" s="126" t="n">
        <v>220</v>
      </c>
      <c r="HQ3" s="126" t="n">
        <v>221</v>
      </c>
      <c r="HR3" s="126" t="n">
        <v>222</v>
      </c>
      <c r="HS3" s="126" t="n">
        <v>223</v>
      </c>
      <c r="HT3" s="126" t="n">
        <v>224</v>
      </c>
      <c r="HU3" s="126" t="n">
        <v>225</v>
      </c>
      <c r="HV3" s="126" t="n">
        <v>226</v>
      </c>
      <c r="HW3" s="126" t="n">
        <v>227</v>
      </c>
      <c r="HX3" s="126" t="n">
        <v>228</v>
      </c>
      <c r="HY3" s="126" t="n">
        <v>229</v>
      </c>
      <c r="HZ3" s="126" t="n">
        <v>230</v>
      </c>
      <c r="IA3" s="126" t="n">
        <v>231</v>
      </c>
      <c r="IB3" s="126" t="n">
        <v>232</v>
      </c>
      <c r="IC3" s="126" t="n">
        <v>233</v>
      </c>
      <c r="ID3" s="126" t="n">
        <v>234</v>
      </c>
      <c r="IE3" s="126" t="n">
        <v>235</v>
      </c>
      <c r="IF3" s="126" t="n">
        <v>236</v>
      </c>
      <c r="IG3" s="126" t="n">
        <v>237</v>
      </c>
      <c r="IH3" s="126" t="n">
        <v>238</v>
      </c>
      <c r="II3" s="126" t="n">
        <v>239</v>
      </c>
      <c r="IJ3" s="126" t="n">
        <v>240</v>
      </c>
      <c r="IK3" s="126" t="n">
        <v>241</v>
      </c>
      <c r="IL3" s="126" t="n">
        <v>242</v>
      </c>
      <c r="IM3" s="126" t="n">
        <v>243</v>
      </c>
      <c r="IN3" s="126" t="n">
        <v>244</v>
      </c>
      <c r="IO3" s="126" t="n">
        <v>245</v>
      </c>
      <c r="IP3" s="126" t="n">
        <v>246</v>
      </c>
      <c r="IQ3" s="126" t="n">
        <v>247</v>
      </c>
      <c r="IR3" s="126" t="n">
        <v>248</v>
      </c>
      <c r="IS3" s="126" t="n">
        <v>249</v>
      </c>
      <c r="IT3" s="126" t="n">
        <v>250</v>
      </c>
      <c r="IU3" s="126" t="n">
        <v>251</v>
      </c>
      <c r="IV3" s="126" t="n">
        <v>252</v>
      </c>
      <c r="IW3" s="126" t="n">
        <v>253</v>
      </c>
      <c r="IX3" s="126" t="n">
        <v>254</v>
      </c>
      <c r="IY3" s="126" t="n">
        <v>255</v>
      </c>
      <c r="IZ3" s="126" t="n">
        <v>256</v>
      </c>
      <c r="JA3" s="126" t="n">
        <v>257</v>
      </c>
      <c r="JB3" s="126" t="n">
        <v>258</v>
      </c>
      <c r="JC3" s="126" t="n">
        <v>259</v>
      </c>
      <c r="JD3" s="126" t="n">
        <v>260</v>
      </c>
      <c r="JE3" s="126" t="n">
        <v>261</v>
      </c>
      <c r="JF3" s="126" t="n">
        <v>262</v>
      </c>
      <c r="JG3" s="126" t="n">
        <v>263</v>
      </c>
      <c r="JH3" s="126" t="n">
        <v>264</v>
      </c>
      <c r="JI3" s="126" t="n">
        <v>265</v>
      </c>
      <c r="JJ3" s="126" t="n">
        <v>266</v>
      </c>
      <c r="JK3" s="126" t="n">
        <v>267</v>
      </c>
      <c r="JL3" s="126" t="n">
        <v>268</v>
      </c>
      <c r="JM3" s="126" t="n">
        <v>269</v>
      </c>
      <c r="JN3" s="126" t="n">
        <v>270</v>
      </c>
      <c r="JO3" s="126" t="n">
        <v>271</v>
      </c>
      <c r="JP3" s="126" t="n">
        <v>272</v>
      </c>
      <c r="JQ3" s="126" t="n">
        <v>273</v>
      </c>
      <c r="JR3" s="126" t="n">
        <v>274</v>
      </c>
      <c r="JS3" s="126" t="n">
        <v>275</v>
      </c>
      <c r="JT3" s="126" t="n">
        <v>276</v>
      </c>
      <c r="JU3" s="126" t="n">
        <v>277</v>
      </c>
      <c r="JV3" s="126" t="n">
        <v>278</v>
      </c>
      <c r="JW3" s="126" t="n">
        <v>279</v>
      </c>
      <c r="JX3" s="126" t="n">
        <v>280</v>
      </c>
      <c r="JY3" s="126" t="n">
        <v>281</v>
      </c>
      <c r="JZ3" s="126" t="n">
        <v>282</v>
      </c>
      <c r="KA3" s="126" t="n">
        <v>283</v>
      </c>
      <c r="KB3" s="126" t="n">
        <v>284</v>
      </c>
      <c r="KC3" s="126" t="n">
        <v>285</v>
      </c>
      <c r="KD3" s="126" t="n">
        <v>286</v>
      </c>
      <c r="KE3" s="126" t="n">
        <v>287</v>
      </c>
      <c r="KF3" s="126" t="n">
        <v>288</v>
      </c>
      <c r="KG3" s="126" t="n">
        <v>289</v>
      </c>
      <c r="KH3" s="126" t="n">
        <v>290</v>
      </c>
      <c r="KI3" s="126" t="n">
        <v>291</v>
      </c>
      <c r="KJ3" s="126" t="n">
        <v>292</v>
      </c>
      <c r="KK3" s="126" t="n">
        <v>293</v>
      </c>
      <c r="KL3" s="126" t="n">
        <v>294</v>
      </c>
      <c r="KM3" s="126" t="n">
        <v>295</v>
      </c>
      <c r="KN3" s="126" t="n">
        <v>296</v>
      </c>
      <c r="KO3" s="126" t="n">
        <v>297</v>
      </c>
      <c r="KP3" s="126" t="n">
        <v>298</v>
      </c>
      <c r="KQ3" s="126" t="n">
        <v>299</v>
      </c>
      <c r="KR3" s="126" t="n">
        <v>300</v>
      </c>
      <c r="KS3" s="126" t="n">
        <v>301</v>
      </c>
      <c r="KT3" s="126" t="n">
        <v>302</v>
      </c>
      <c r="KU3" s="126" t="n">
        <v>303</v>
      </c>
      <c r="KV3" s="126" t="n">
        <v>304</v>
      </c>
      <c r="KW3" s="126" t="n">
        <v>305</v>
      </c>
      <c r="KX3" s="126" t="n">
        <v>306</v>
      </c>
      <c r="KY3" s="126" t="n">
        <v>307</v>
      </c>
      <c r="KZ3" s="126" t="n">
        <v>308</v>
      </c>
      <c r="LA3" s="126" t="n">
        <v>309</v>
      </c>
      <c r="LB3" s="126" t="n">
        <v>310</v>
      </c>
      <c r="LC3" s="126" t="n">
        <v>311</v>
      </c>
      <c r="LD3" s="126" t="n">
        <v>312</v>
      </c>
      <c r="LE3" s="126" t="n">
        <v>313</v>
      </c>
      <c r="LF3" s="126" t="n">
        <v>314</v>
      </c>
      <c r="LG3" s="126" t="n">
        <v>315</v>
      </c>
      <c r="LH3" s="126" t="n">
        <v>316</v>
      </c>
      <c r="LI3" s="126" t="n">
        <v>317</v>
      </c>
      <c r="LJ3" s="126" t="n">
        <v>318</v>
      </c>
      <c r="LK3" s="126" t="n">
        <v>319</v>
      </c>
      <c r="LL3" s="126" t="n">
        <v>320</v>
      </c>
      <c r="LM3" s="126" t="n">
        <v>321</v>
      </c>
      <c r="LN3" s="126" t="n">
        <v>322</v>
      </c>
      <c r="LO3" s="126" t="n">
        <v>323</v>
      </c>
      <c r="LP3" s="126" t="n">
        <v>324</v>
      </c>
      <c r="LQ3" s="126" t="n">
        <v>325</v>
      </c>
      <c r="LR3" s="126" t="n">
        <v>326</v>
      </c>
      <c r="LS3" s="126" t="n">
        <v>327</v>
      </c>
      <c r="LT3" s="126" t="n">
        <v>328</v>
      </c>
      <c r="LU3" s="126" t="n">
        <v>329</v>
      </c>
      <c r="LV3" s="126" t="n">
        <v>330</v>
      </c>
      <c r="LW3" s="126" t="n">
        <v>331</v>
      </c>
      <c r="LX3" s="126" t="n">
        <v>332</v>
      </c>
      <c r="LY3" s="126" t="n">
        <v>333</v>
      </c>
      <c r="LZ3" s="126" t="n">
        <v>334</v>
      </c>
      <c r="MA3" s="126" t="n">
        <v>335</v>
      </c>
      <c r="MB3" s="126" t="n">
        <v>336</v>
      </c>
      <c r="MC3" s="126" t="n">
        <v>337</v>
      </c>
      <c r="MD3" s="126" t="n">
        <v>338</v>
      </c>
      <c r="ME3" s="126" t="n">
        <v>339</v>
      </c>
      <c r="MF3" s="126" t="n">
        <v>340</v>
      </c>
      <c r="MG3" s="126" t="n">
        <v>341</v>
      </c>
      <c r="MH3" s="126" t="n">
        <v>342</v>
      </c>
      <c r="MI3" s="126" t="n">
        <v>343</v>
      </c>
      <c r="MJ3" s="126" t="n">
        <v>344</v>
      </c>
      <c r="MK3" s="126" t="n">
        <v>345</v>
      </c>
      <c r="ML3" s="126" t="n">
        <v>346</v>
      </c>
      <c r="MM3" s="126" t="n">
        <v>347</v>
      </c>
      <c r="MN3" s="126" t="n">
        <v>348</v>
      </c>
      <c r="MO3" s="126" t="n">
        <v>349</v>
      </c>
      <c r="MP3" s="126" t="n">
        <v>350</v>
      </c>
      <c r="MQ3" s="126" t="n">
        <v>351</v>
      </c>
      <c r="MR3" s="126" t="n">
        <v>352</v>
      </c>
      <c r="MS3" s="126" t="n">
        <v>353</v>
      </c>
      <c r="MT3" s="126" t="n">
        <v>354</v>
      </c>
      <c r="MU3" s="126" t="n">
        <v>355</v>
      </c>
      <c r="MV3" s="126" t="n">
        <v>356</v>
      </c>
      <c r="MW3" s="126" t="n">
        <v>357</v>
      </c>
      <c r="MX3" s="126" t="n">
        <v>358</v>
      </c>
      <c r="MY3" s="126" t="n">
        <v>359</v>
      </c>
      <c r="MZ3" s="126" t="n">
        <v>360</v>
      </c>
      <c r="NA3" s="126" t="n">
        <v>361</v>
      </c>
      <c r="NB3" s="126" t="n">
        <v>362</v>
      </c>
      <c r="NC3" s="126" t="n">
        <v>363</v>
      </c>
      <c r="ND3" s="126" t="n">
        <v>364</v>
      </c>
      <c r="NE3" s="126" t="n">
        <v>365</v>
      </c>
      <c r="NF3" s="126" t="n">
        <v>366</v>
      </c>
      <c r="NG3" s="126" t="n">
        <v>367</v>
      </c>
      <c r="NH3" s="126" t="n">
        <v>368</v>
      </c>
      <c r="NI3" s="126" t="n">
        <v>369</v>
      </c>
      <c r="NJ3" s="126" t="n">
        <v>370</v>
      </c>
      <c r="NK3" s="126" t="n">
        <v>371</v>
      </c>
      <c r="NL3" s="127" t="n">
        <v>372</v>
      </c>
    </row>
    <row r="4">
      <c r="B4" s="123" t="inlineStr">
        <is>
          <t>Month Start</t>
        </is>
      </c>
      <c r="E4" s="128">
        <f>EDATE(InceptionDate,0)</f>
        <v/>
      </c>
      <c r="F4" s="128">
        <f>EDATE(InceptionDate,1)</f>
        <v/>
      </c>
      <c r="G4" s="128">
        <f>EDATE(InceptionDate,2)</f>
        <v/>
      </c>
      <c r="H4" s="128">
        <f>EDATE(InceptionDate,3)</f>
        <v/>
      </c>
      <c r="I4" s="128">
        <f>EDATE(InceptionDate,4)</f>
        <v/>
      </c>
      <c r="J4" s="128">
        <f>EDATE(InceptionDate,5)</f>
        <v/>
      </c>
      <c r="K4" s="128">
        <f>EDATE(InceptionDate,6)</f>
        <v/>
      </c>
      <c r="L4" s="128">
        <f>EDATE(InceptionDate,7)</f>
        <v/>
      </c>
      <c r="M4" s="128">
        <f>EDATE(InceptionDate,8)</f>
        <v/>
      </c>
      <c r="N4" s="128">
        <f>EDATE(InceptionDate,9)</f>
        <v/>
      </c>
      <c r="O4" s="128">
        <f>EDATE(InceptionDate,10)</f>
        <v/>
      </c>
      <c r="P4" s="128">
        <f>EDATE(InceptionDate,11)</f>
        <v/>
      </c>
      <c r="Q4" s="128">
        <f>EDATE(InceptionDate,12)</f>
        <v/>
      </c>
      <c r="R4" s="128">
        <f>EDATE(InceptionDate,13)</f>
        <v/>
      </c>
      <c r="S4" s="128">
        <f>EDATE(InceptionDate,14)</f>
        <v/>
      </c>
      <c r="T4" s="128">
        <f>EDATE(InceptionDate,15)</f>
        <v/>
      </c>
      <c r="U4" s="128">
        <f>EDATE(InceptionDate,16)</f>
        <v/>
      </c>
      <c r="V4" s="128">
        <f>EDATE(InceptionDate,17)</f>
        <v/>
      </c>
      <c r="W4" s="128">
        <f>EDATE(InceptionDate,18)</f>
        <v/>
      </c>
      <c r="X4" s="128">
        <f>EDATE(InceptionDate,19)</f>
        <v/>
      </c>
      <c r="Y4" s="128">
        <f>EDATE(InceptionDate,20)</f>
        <v/>
      </c>
      <c r="Z4" s="128">
        <f>EDATE(InceptionDate,21)</f>
        <v/>
      </c>
      <c r="AA4" s="128">
        <f>EDATE(InceptionDate,22)</f>
        <v/>
      </c>
      <c r="AB4" s="128">
        <f>EDATE(InceptionDate,23)</f>
        <v/>
      </c>
      <c r="AC4" s="128">
        <f>EDATE(InceptionDate,24)</f>
        <v/>
      </c>
      <c r="AD4" s="128">
        <f>EDATE(InceptionDate,25)</f>
        <v/>
      </c>
      <c r="AE4" s="128">
        <f>EDATE(InceptionDate,26)</f>
        <v/>
      </c>
      <c r="AF4" s="128">
        <f>EDATE(InceptionDate,27)</f>
        <v/>
      </c>
      <c r="AG4" s="128">
        <f>EDATE(InceptionDate,28)</f>
        <v/>
      </c>
      <c r="AH4" s="128">
        <f>EDATE(InceptionDate,29)</f>
        <v/>
      </c>
      <c r="AI4" s="128">
        <f>EDATE(InceptionDate,30)</f>
        <v/>
      </c>
      <c r="AJ4" s="128">
        <f>EDATE(InceptionDate,31)</f>
        <v/>
      </c>
      <c r="AK4" s="128">
        <f>EDATE(InceptionDate,32)</f>
        <v/>
      </c>
      <c r="AL4" s="128">
        <f>EDATE(InceptionDate,33)</f>
        <v/>
      </c>
      <c r="AM4" s="128">
        <f>EDATE(InceptionDate,34)</f>
        <v/>
      </c>
      <c r="AN4" s="128">
        <f>EDATE(InceptionDate,35)</f>
        <v/>
      </c>
      <c r="AO4" s="128">
        <f>EDATE(InceptionDate,36)</f>
        <v/>
      </c>
      <c r="AP4" s="128">
        <f>EDATE(InceptionDate,37)</f>
        <v/>
      </c>
      <c r="AQ4" s="128">
        <f>EDATE(InceptionDate,38)</f>
        <v/>
      </c>
      <c r="AR4" s="128">
        <f>EDATE(InceptionDate,39)</f>
        <v/>
      </c>
      <c r="AS4" s="128">
        <f>EDATE(InceptionDate,40)</f>
        <v/>
      </c>
      <c r="AT4" s="128">
        <f>EDATE(InceptionDate,41)</f>
        <v/>
      </c>
      <c r="AU4" s="128">
        <f>EDATE(InceptionDate,42)</f>
        <v/>
      </c>
      <c r="AV4" s="128">
        <f>EDATE(InceptionDate,43)</f>
        <v/>
      </c>
      <c r="AW4" s="128">
        <f>EDATE(InceptionDate,44)</f>
        <v/>
      </c>
      <c r="AX4" s="128">
        <f>EDATE(InceptionDate,45)</f>
        <v/>
      </c>
      <c r="AY4" s="128">
        <f>EDATE(InceptionDate,46)</f>
        <v/>
      </c>
      <c r="AZ4" s="128">
        <f>EDATE(InceptionDate,47)</f>
        <v/>
      </c>
      <c r="BA4" s="128">
        <f>EDATE(InceptionDate,48)</f>
        <v/>
      </c>
      <c r="BB4" s="128">
        <f>EDATE(InceptionDate,49)</f>
        <v/>
      </c>
      <c r="BC4" s="128">
        <f>EDATE(InceptionDate,50)</f>
        <v/>
      </c>
      <c r="BD4" s="128">
        <f>EDATE(InceptionDate,51)</f>
        <v/>
      </c>
      <c r="BE4" s="128">
        <f>EDATE(InceptionDate,52)</f>
        <v/>
      </c>
      <c r="BF4" s="128">
        <f>EDATE(InceptionDate,53)</f>
        <v/>
      </c>
      <c r="BG4" s="128">
        <f>EDATE(InceptionDate,54)</f>
        <v/>
      </c>
      <c r="BH4" s="128">
        <f>EDATE(InceptionDate,55)</f>
        <v/>
      </c>
      <c r="BI4" s="128">
        <f>EDATE(InceptionDate,56)</f>
        <v/>
      </c>
      <c r="BJ4" s="128">
        <f>EDATE(InceptionDate,57)</f>
        <v/>
      </c>
      <c r="BK4" s="128">
        <f>EDATE(InceptionDate,58)</f>
        <v/>
      </c>
      <c r="BL4" s="128">
        <f>EDATE(InceptionDate,59)</f>
        <v/>
      </c>
      <c r="BM4" s="128">
        <f>EDATE(InceptionDate,60)</f>
        <v/>
      </c>
      <c r="BN4" s="128">
        <f>EDATE(InceptionDate,61)</f>
        <v/>
      </c>
      <c r="BO4" s="128">
        <f>EDATE(InceptionDate,62)</f>
        <v/>
      </c>
      <c r="BP4" s="128">
        <f>EDATE(InceptionDate,63)</f>
        <v/>
      </c>
      <c r="BQ4" s="128">
        <f>EDATE(InceptionDate,64)</f>
        <v/>
      </c>
      <c r="BR4" s="128">
        <f>EDATE(InceptionDate,65)</f>
        <v/>
      </c>
      <c r="BS4" s="128">
        <f>EDATE(InceptionDate,66)</f>
        <v/>
      </c>
      <c r="BT4" s="128">
        <f>EDATE(InceptionDate,67)</f>
        <v/>
      </c>
      <c r="BU4" s="128">
        <f>EDATE(InceptionDate,68)</f>
        <v/>
      </c>
      <c r="BV4" s="128">
        <f>EDATE(InceptionDate,69)</f>
        <v/>
      </c>
      <c r="BW4" s="128">
        <f>EDATE(InceptionDate,70)</f>
        <v/>
      </c>
      <c r="BX4" s="128">
        <f>EDATE(InceptionDate,71)</f>
        <v/>
      </c>
      <c r="BY4" s="128">
        <f>EDATE(InceptionDate,72)</f>
        <v/>
      </c>
      <c r="BZ4" s="128">
        <f>EDATE(InceptionDate,73)</f>
        <v/>
      </c>
      <c r="CA4" s="128">
        <f>EDATE(InceptionDate,74)</f>
        <v/>
      </c>
      <c r="CB4" s="128">
        <f>EDATE(InceptionDate,75)</f>
        <v/>
      </c>
      <c r="CC4" s="128">
        <f>EDATE(InceptionDate,76)</f>
        <v/>
      </c>
      <c r="CD4" s="128">
        <f>EDATE(InceptionDate,77)</f>
        <v/>
      </c>
      <c r="CE4" s="128">
        <f>EDATE(InceptionDate,78)</f>
        <v/>
      </c>
      <c r="CF4" s="128">
        <f>EDATE(InceptionDate,79)</f>
        <v/>
      </c>
      <c r="CG4" s="128">
        <f>EDATE(InceptionDate,80)</f>
        <v/>
      </c>
      <c r="CH4" s="128">
        <f>EDATE(InceptionDate,81)</f>
        <v/>
      </c>
      <c r="CI4" s="128">
        <f>EDATE(InceptionDate,82)</f>
        <v/>
      </c>
      <c r="CJ4" s="128">
        <f>EDATE(InceptionDate,83)</f>
        <v/>
      </c>
      <c r="CK4" s="128">
        <f>EDATE(InceptionDate,84)</f>
        <v/>
      </c>
      <c r="CL4" s="128">
        <f>EDATE(InceptionDate,85)</f>
        <v/>
      </c>
      <c r="CM4" s="128">
        <f>EDATE(InceptionDate,86)</f>
        <v/>
      </c>
      <c r="CN4" s="128">
        <f>EDATE(InceptionDate,87)</f>
        <v/>
      </c>
      <c r="CO4" s="128">
        <f>EDATE(InceptionDate,88)</f>
        <v/>
      </c>
      <c r="CP4" s="128">
        <f>EDATE(InceptionDate,89)</f>
        <v/>
      </c>
      <c r="CQ4" s="128">
        <f>EDATE(InceptionDate,90)</f>
        <v/>
      </c>
      <c r="CR4" s="128">
        <f>EDATE(InceptionDate,91)</f>
        <v/>
      </c>
      <c r="CS4" s="128">
        <f>EDATE(InceptionDate,92)</f>
        <v/>
      </c>
      <c r="CT4" s="128">
        <f>EDATE(InceptionDate,93)</f>
        <v/>
      </c>
      <c r="CU4" s="128">
        <f>EDATE(InceptionDate,94)</f>
        <v/>
      </c>
      <c r="CV4" s="128">
        <f>EDATE(InceptionDate,95)</f>
        <v/>
      </c>
      <c r="CW4" s="128">
        <f>EDATE(InceptionDate,96)</f>
        <v/>
      </c>
      <c r="CX4" s="128">
        <f>EDATE(InceptionDate,97)</f>
        <v/>
      </c>
      <c r="CY4" s="128">
        <f>EDATE(InceptionDate,98)</f>
        <v/>
      </c>
      <c r="CZ4" s="128">
        <f>EDATE(InceptionDate,99)</f>
        <v/>
      </c>
      <c r="DA4" s="128">
        <f>EDATE(InceptionDate,100)</f>
        <v/>
      </c>
      <c r="DB4" s="128">
        <f>EDATE(InceptionDate,101)</f>
        <v/>
      </c>
      <c r="DC4" s="128">
        <f>EDATE(InceptionDate,102)</f>
        <v/>
      </c>
      <c r="DD4" s="128">
        <f>EDATE(InceptionDate,103)</f>
        <v/>
      </c>
      <c r="DE4" s="128">
        <f>EDATE(InceptionDate,104)</f>
        <v/>
      </c>
      <c r="DF4" s="128">
        <f>EDATE(InceptionDate,105)</f>
        <v/>
      </c>
      <c r="DG4" s="128">
        <f>EDATE(InceptionDate,106)</f>
        <v/>
      </c>
      <c r="DH4" s="128">
        <f>EDATE(InceptionDate,107)</f>
        <v/>
      </c>
      <c r="DI4" s="128">
        <f>EDATE(InceptionDate,108)</f>
        <v/>
      </c>
      <c r="DJ4" s="128">
        <f>EDATE(InceptionDate,109)</f>
        <v/>
      </c>
      <c r="DK4" s="128">
        <f>EDATE(InceptionDate,110)</f>
        <v/>
      </c>
      <c r="DL4" s="128">
        <f>EDATE(InceptionDate,111)</f>
        <v/>
      </c>
      <c r="DM4" s="128">
        <f>EDATE(InceptionDate,112)</f>
        <v/>
      </c>
      <c r="DN4" s="128">
        <f>EDATE(InceptionDate,113)</f>
        <v/>
      </c>
      <c r="DO4" s="128">
        <f>EDATE(InceptionDate,114)</f>
        <v/>
      </c>
      <c r="DP4" s="128">
        <f>EDATE(InceptionDate,115)</f>
        <v/>
      </c>
      <c r="DQ4" s="128">
        <f>EDATE(InceptionDate,116)</f>
        <v/>
      </c>
      <c r="DR4" s="128">
        <f>EDATE(InceptionDate,117)</f>
        <v/>
      </c>
      <c r="DS4" s="128">
        <f>EDATE(InceptionDate,118)</f>
        <v/>
      </c>
      <c r="DT4" s="128">
        <f>EDATE(InceptionDate,119)</f>
        <v/>
      </c>
      <c r="DU4" s="128">
        <f>EDATE(InceptionDate,120)</f>
        <v/>
      </c>
      <c r="DV4" s="128">
        <f>EDATE(InceptionDate,121)</f>
        <v/>
      </c>
      <c r="DW4" s="128">
        <f>EDATE(InceptionDate,122)</f>
        <v/>
      </c>
      <c r="DX4" s="128">
        <f>EDATE(InceptionDate,123)</f>
        <v/>
      </c>
      <c r="DY4" s="128">
        <f>EDATE(InceptionDate,124)</f>
        <v/>
      </c>
      <c r="DZ4" s="128">
        <f>EDATE(InceptionDate,125)</f>
        <v/>
      </c>
      <c r="EA4" s="128">
        <f>EDATE(InceptionDate,126)</f>
        <v/>
      </c>
      <c r="EB4" s="128">
        <f>EDATE(InceptionDate,127)</f>
        <v/>
      </c>
      <c r="EC4" s="128">
        <f>EDATE(InceptionDate,128)</f>
        <v/>
      </c>
      <c r="ED4" s="128">
        <f>EDATE(InceptionDate,129)</f>
        <v/>
      </c>
      <c r="EE4" s="128">
        <f>EDATE(InceptionDate,130)</f>
        <v/>
      </c>
      <c r="EF4" s="128">
        <f>EDATE(InceptionDate,131)</f>
        <v/>
      </c>
      <c r="EG4" s="128">
        <f>EDATE(InceptionDate,132)</f>
        <v/>
      </c>
      <c r="EH4" s="128">
        <f>EDATE(InceptionDate,133)</f>
        <v/>
      </c>
      <c r="EI4" s="128">
        <f>EDATE(InceptionDate,134)</f>
        <v/>
      </c>
      <c r="EJ4" s="128">
        <f>EDATE(InceptionDate,135)</f>
        <v/>
      </c>
      <c r="EK4" s="128">
        <f>EDATE(InceptionDate,136)</f>
        <v/>
      </c>
      <c r="EL4" s="128">
        <f>EDATE(InceptionDate,137)</f>
        <v/>
      </c>
      <c r="EM4" s="128">
        <f>EDATE(InceptionDate,138)</f>
        <v/>
      </c>
      <c r="EN4" s="128">
        <f>EDATE(InceptionDate,139)</f>
        <v/>
      </c>
      <c r="EO4" s="128">
        <f>EDATE(InceptionDate,140)</f>
        <v/>
      </c>
      <c r="EP4" s="128">
        <f>EDATE(InceptionDate,141)</f>
        <v/>
      </c>
      <c r="EQ4" s="128">
        <f>EDATE(InceptionDate,142)</f>
        <v/>
      </c>
      <c r="ER4" s="128">
        <f>EDATE(InceptionDate,143)</f>
        <v/>
      </c>
      <c r="ES4" s="128">
        <f>EDATE(InceptionDate,144)</f>
        <v/>
      </c>
      <c r="ET4" s="128">
        <f>EDATE(InceptionDate,145)</f>
        <v/>
      </c>
      <c r="EU4" s="128">
        <f>EDATE(InceptionDate,146)</f>
        <v/>
      </c>
      <c r="EV4" s="128">
        <f>EDATE(InceptionDate,147)</f>
        <v/>
      </c>
      <c r="EW4" s="128">
        <f>EDATE(InceptionDate,148)</f>
        <v/>
      </c>
      <c r="EX4" s="128">
        <f>EDATE(InceptionDate,149)</f>
        <v/>
      </c>
      <c r="EY4" s="128">
        <f>EDATE(InceptionDate,150)</f>
        <v/>
      </c>
      <c r="EZ4" s="128">
        <f>EDATE(InceptionDate,151)</f>
        <v/>
      </c>
      <c r="FA4" s="128">
        <f>EDATE(InceptionDate,152)</f>
        <v/>
      </c>
      <c r="FB4" s="128">
        <f>EDATE(InceptionDate,153)</f>
        <v/>
      </c>
      <c r="FC4" s="128">
        <f>EDATE(InceptionDate,154)</f>
        <v/>
      </c>
      <c r="FD4" s="128">
        <f>EDATE(InceptionDate,155)</f>
        <v/>
      </c>
      <c r="FE4" s="128">
        <f>EDATE(InceptionDate,156)</f>
        <v/>
      </c>
      <c r="FF4" s="128">
        <f>EDATE(InceptionDate,157)</f>
        <v/>
      </c>
      <c r="FG4" s="128">
        <f>EDATE(InceptionDate,158)</f>
        <v/>
      </c>
      <c r="FH4" s="128">
        <f>EDATE(InceptionDate,159)</f>
        <v/>
      </c>
      <c r="FI4" s="128">
        <f>EDATE(InceptionDate,160)</f>
        <v/>
      </c>
      <c r="FJ4" s="128">
        <f>EDATE(InceptionDate,161)</f>
        <v/>
      </c>
      <c r="FK4" s="128">
        <f>EDATE(InceptionDate,162)</f>
        <v/>
      </c>
      <c r="FL4" s="128">
        <f>EDATE(InceptionDate,163)</f>
        <v/>
      </c>
      <c r="FM4" s="128">
        <f>EDATE(InceptionDate,164)</f>
        <v/>
      </c>
      <c r="FN4" s="128">
        <f>EDATE(InceptionDate,165)</f>
        <v/>
      </c>
      <c r="FO4" s="128">
        <f>EDATE(InceptionDate,166)</f>
        <v/>
      </c>
      <c r="FP4" s="128">
        <f>EDATE(InceptionDate,167)</f>
        <v/>
      </c>
      <c r="FQ4" s="128">
        <f>EDATE(InceptionDate,168)</f>
        <v/>
      </c>
      <c r="FR4" s="128">
        <f>EDATE(InceptionDate,169)</f>
        <v/>
      </c>
      <c r="FS4" s="128">
        <f>EDATE(InceptionDate,170)</f>
        <v/>
      </c>
      <c r="FT4" s="128">
        <f>EDATE(InceptionDate,171)</f>
        <v/>
      </c>
      <c r="FU4" s="128">
        <f>EDATE(InceptionDate,172)</f>
        <v/>
      </c>
      <c r="FV4" s="128">
        <f>EDATE(InceptionDate,173)</f>
        <v/>
      </c>
      <c r="FW4" s="128">
        <f>EDATE(InceptionDate,174)</f>
        <v/>
      </c>
      <c r="FX4" s="128">
        <f>EDATE(InceptionDate,175)</f>
        <v/>
      </c>
      <c r="FY4" s="128">
        <f>EDATE(InceptionDate,176)</f>
        <v/>
      </c>
      <c r="FZ4" s="128">
        <f>EDATE(InceptionDate,177)</f>
        <v/>
      </c>
      <c r="GA4" s="128">
        <f>EDATE(InceptionDate,178)</f>
        <v/>
      </c>
      <c r="GB4" s="128">
        <f>EDATE(InceptionDate,179)</f>
        <v/>
      </c>
      <c r="GC4" s="128">
        <f>EDATE(InceptionDate,180)</f>
        <v/>
      </c>
      <c r="GD4" s="128">
        <f>EDATE(InceptionDate,181)</f>
        <v/>
      </c>
      <c r="GE4" s="128">
        <f>EDATE(InceptionDate,182)</f>
        <v/>
      </c>
      <c r="GF4" s="128">
        <f>EDATE(InceptionDate,183)</f>
        <v/>
      </c>
      <c r="GG4" s="128">
        <f>EDATE(InceptionDate,184)</f>
        <v/>
      </c>
      <c r="GH4" s="128">
        <f>EDATE(InceptionDate,185)</f>
        <v/>
      </c>
      <c r="GI4" s="128">
        <f>EDATE(InceptionDate,186)</f>
        <v/>
      </c>
      <c r="GJ4" s="128">
        <f>EDATE(InceptionDate,187)</f>
        <v/>
      </c>
      <c r="GK4" s="128">
        <f>EDATE(InceptionDate,188)</f>
        <v/>
      </c>
      <c r="GL4" s="128">
        <f>EDATE(InceptionDate,189)</f>
        <v/>
      </c>
      <c r="GM4" s="128">
        <f>EDATE(InceptionDate,190)</f>
        <v/>
      </c>
      <c r="GN4" s="128">
        <f>EDATE(InceptionDate,191)</f>
        <v/>
      </c>
      <c r="GO4" s="128">
        <f>EDATE(InceptionDate,192)</f>
        <v/>
      </c>
      <c r="GP4" s="128">
        <f>EDATE(InceptionDate,193)</f>
        <v/>
      </c>
      <c r="GQ4" s="128">
        <f>EDATE(InceptionDate,194)</f>
        <v/>
      </c>
      <c r="GR4" s="128">
        <f>EDATE(InceptionDate,195)</f>
        <v/>
      </c>
      <c r="GS4" s="128">
        <f>EDATE(InceptionDate,196)</f>
        <v/>
      </c>
      <c r="GT4" s="128">
        <f>EDATE(InceptionDate,197)</f>
        <v/>
      </c>
      <c r="GU4" s="128">
        <f>EDATE(InceptionDate,198)</f>
        <v/>
      </c>
      <c r="GV4" s="128">
        <f>EDATE(InceptionDate,199)</f>
        <v/>
      </c>
      <c r="GW4" s="128">
        <f>EDATE(InceptionDate,200)</f>
        <v/>
      </c>
      <c r="GX4" s="128">
        <f>EDATE(InceptionDate,201)</f>
        <v/>
      </c>
      <c r="GY4" s="128">
        <f>EDATE(InceptionDate,202)</f>
        <v/>
      </c>
      <c r="GZ4" s="128">
        <f>EDATE(InceptionDate,203)</f>
        <v/>
      </c>
      <c r="HA4" s="128">
        <f>EDATE(InceptionDate,204)</f>
        <v/>
      </c>
      <c r="HB4" s="128">
        <f>EDATE(InceptionDate,205)</f>
        <v/>
      </c>
      <c r="HC4" s="128">
        <f>EDATE(InceptionDate,206)</f>
        <v/>
      </c>
      <c r="HD4" s="128">
        <f>EDATE(InceptionDate,207)</f>
        <v/>
      </c>
      <c r="HE4" s="128">
        <f>EDATE(InceptionDate,208)</f>
        <v/>
      </c>
      <c r="HF4" s="128">
        <f>EDATE(InceptionDate,209)</f>
        <v/>
      </c>
      <c r="HG4" s="128">
        <f>EDATE(InceptionDate,210)</f>
        <v/>
      </c>
      <c r="HH4" s="128">
        <f>EDATE(InceptionDate,211)</f>
        <v/>
      </c>
      <c r="HI4" s="128">
        <f>EDATE(InceptionDate,212)</f>
        <v/>
      </c>
      <c r="HJ4" s="128">
        <f>EDATE(InceptionDate,213)</f>
        <v/>
      </c>
      <c r="HK4" s="128">
        <f>EDATE(InceptionDate,214)</f>
        <v/>
      </c>
      <c r="HL4" s="128">
        <f>EDATE(InceptionDate,215)</f>
        <v/>
      </c>
      <c r="HM4" s="128">
        <f>EDATE(InceptionDate,216)</f>
        <v/>
      </c>
      <c r="HN4" s="128">
        <f>EDATE(InceptionDate,217)</f>
        <v/>
      </c>
      <c r="HO4" s="128">
        <f>EDATE(InceptionDate,218)</f>
        <v/>
      </c>
      <c r="HP4" s="128">
        <f>EDATE(InceptionDate,219)</f>
        <v/>
      </c>
      <c r="HQ4" s="128">
        <f>EDATE(InceptionDate,220)</f>
        <v/>
      </c>
      <c r="HR4" s="128">
        <f>EDATE(InceptionDate,221)</f>
        <v/>
      </c>
      <c r="HS4" s="128">
        <f>EDATE(InceptionDate,222)</f>
        <v/>
      </c>
      <c r="HT4" s="128">
        <f>EDATE(InceptionDate,223)</f>
        <v/>
      </c>
      <c r="HU4" s="128">
        <f>EDATE(InceptionDate,224)</f>
        <v/>
      </c>
      <c r="HV4" s="128">
        <f>EDATE(InceptionDate,225)</f>
        <v/>
      </c>
      <c r="HW4" s="128">
        <f>EDATE(InceptionDate,226)</f>
        <v/>
      </c>
      <c r="HX4" s="128">
        <f>EDATE(InceptionDate,227)</f>
        <v/>
      </c>
      <c r="HY4" s="128">
        <f>EDATE(InceptionDate,228)</f>
        <v/>
      </c>
      <c r="HZ4" s="128">
        <f>EDATE(InceptionDate,229)</f>
        <v/>
      </c>
      <c r="IA4" s="128">
        <f>EDATE(InceptionDate,230)</f>
        <v/>
      </c>
      <c r="IB4" s="128">
        <f>EDATE(InceptionDate,231)</f>
        <v/>
      </c>
      <c r="IC4" s="128">
        <f>EDATE(InceptionDate,232)</f>
        <v/>
      </c>
      <c r="ID4" s="128">
        <f>EDATE(InceptionDate,233)</f>
        <v/>
      </c>
      <c r="IE4" s="128">
        <f>EDATE(InceptionDate,234)</f>
        <v/>
      </c>
      <c r="IF4" s="128">
        <f>EDATE(InceptionDate,235)</f>
        <v/>
      </c>
      <c r="IG4" s="128">
        <f>EDATE(InceptionDate,236)</f>
        <v/>
      </c>
      <c r="IH4" s="128">
        <f>EDATE(InceptionDate,237)</f>
        <v/>
      </c>
      <c r="II4" s="128">
        <f>EDATE(InceptionDate,238)</f>
        <v/>
      </c>
      <c r="IJ4" s="128">
        <f>EDATE(InceptionDate,239)</f>
        <v/>
      </c>
      <c r="IK4" s="128">
        <f>EDATE(InceptionDate,240)</f>
        <v/>
      </c>
      <c r="IL4" s="128">
        <f>EDATE(InceptionDate,241)</f>
        <v/>
      </c>
      <c r="IM4" s="128">
        <f>EDATE(InceptionDate,242)</f>
        <v/>
      </c>
      <c r="IN4" s="128">
        <f>EDATE(InceptionDate,243)</f>
        <v/>
      </c>
      <c r="IO4" s="128">
        <f>EDATE(InceptionDate,244)</f>
        <v/>
      </c>
      <c r="IP4" s="128">
        <f>EDATE(InceptionDate,245)</f>
        <v/>
      </c>
      <c r="IQ4" s="128">
        <f>EDATE(InceptionDate,246)</f>
        <v/>
      </c>
      <c r="IR4" s="128">
        <f>EDATE(InceptionDate,247)</f>
        <v/>
      </c>
      <c r="IS4" s="128">
        <f>EDATE(InceptionDate,248)</f>
        <v/>
      </c>
      <c r="IT4" s="128">
        <f>EDATE(InceptionDate,249)</f>
        <v/>
      </c>
      <c r="IU4" s="128">
        <f>EDATE(InceptionDate,250)</f>
        <v/>
      </c>
      <c r="IV4" s="128">
        <f>EDATE(InceptionDate,251)</f>
        <v/>
      </c>
      <c r="IW4" s="128">
        <f>EDATE(InceptionDate,252)</f>
        <v/>
      </c>
      <c r="IX4" s="128">
        <f>EDATE(InceptionDate,253)</f>
        <v/>
      </c>
      <c r="IY4" s="128">
        <f>EDATE(InceptionDate,254)</f>
        <v/>
      </c>
      <c r="IZ4" s="128">
        <f>EDATE(InceptionDate,255)</f>
        <v/>
      </c>
      <c r="JA4" s="128">
        <f>EDATE(InceptionDate,256)</f>
        <v/>
      </c>
      <c r="JB4" s="128">
        <f>EDATE(InceptionDate,257)</f>
        <v/>
      </c>
      <c r="JC4" s="128">
        <f>EDATE(InceptionDate,258)</f>
        <v/>
      </c>
      <c r="JD4" s="128">
        <f>EDATE(InceptionDate,259)</f>
        <v/>
      </c>
      <c r="JE4" s="128">
        <f>EDATE(InceptionDate,260)</f>
        <v/>
      </c>
      <c r="JF4" s="128">
        <f>EDATE(InceptionDate,261)</f>
        <v/>
      </c>
      <c r="JG4" s="128">
        <f>EDATE(InceptionDate,262)</f>
        <v/>
      </c>
      <c r="JH4" s="128">
        <f>EDATE(InceptionDate,263)</f>
        <v/>
      </c>
      <c r="JI4" s="128">
        <f>EDATE(InceptionDate,264)</f>
        <v/>
      </c>
      <c r="JJ4" s="128">
        <f>EDATE(InceptionDate,265)</f>
        <v/>
      </c>
      <c r="JK4" s="128">
        <f>EDATE(InceptionDate,266)</f>
        <v/>
      </c>
      <c r="JL4" s="128">
        <f>EDATE(InceptionDate,267)</f>
        <v/>
      </c>
      <c r="JM4" s="128">
        <f>EDATE(InceptionDate,268)</f>
        <v/>
      </c>
      <c r="JN4" s="128">
        <f>EDATE(InceptionDate,269)</f>
        <v/>
      </c>
      <c r="JO4" s="128">
        <f>EDATE(InceptionDate,270)</f>
        <v/>
      </c>
      <c r="JP4" s="128">
        <f>EDATE(InceptionDate,271)</f>
        <v/>
      </c>
      <c r="JQ4" s="128">
        <f>EDATE(InceptionDate,272)</f>
        <v/>
      </c>
      <c r="JR4" s="128">
        <f>EDATE(InceptionDate,273)</f>
        <v/>
      </c>
      <c r="JS4" s="128">
        <f>EDATE(InceptionDate,274)</f>
        <v/>
      </c>
      <c r="JT4" s="128">
        <f>EDATE(InceptionDate,275)</f>
        <v/>
      </c>
      <c r="JU4" s="128">
        <f>EDATE(InceptionDate,276)</f>
        <v/>
      </c>
      <c r="JV4" s="128">
        <f>EDATE(InceptionDate,277)</f>
        <v/>
      </c>
      <c r="JW4" s="128">
        <f>EDATE(InceptionDate,278)</f>
        <v/>
      </c>
      <c r="JX4" s="128">
        <f>EDATE(InceptionDate,279)</f>
        <v/>
      </c>
      <c r="JY4" s="128">
        <f>EDATE(InceptionDate,280)</f>
        <v/>
      </c>
      <c r="JZ4" s="128">
        <f>EDATE(InceptionDate,281)</f>
        <v/>
      </c>
      <c r="KA4" s="128">
        <f>EDATE(InceptionDate,282)</f>
        <v/>
      </c>
      <c r="KB4" s="128">
        <f>EDATE(InceptionDate,283)</f>
        <v/>
      </c>
      <c r="KC4" s="128">
        <f>EDATE(InceptionDate,284)</f>
        <v/>
      </c>
      <c r="KD4" s="128">
        <f>EDATE(InceptionDate,285)</f>
        <v/>
      </c>
      <c r="KE4" s="128">
        <f>EDATE(InceptionDate,286)</f>
        <v/>
      </c>
      <c r="KF4" s="128">
        <f>EDATE(InceptionDate,287)</f>
        <v/>
      </c>
      <c r="KG4" s="128">
        <f>EDATE(InceptionDate,288)</f>
        <v/>
      </c>
      <c r="KH4" s="128">
        <f>EDATE(InceptionDate,289)</f>
        <v/>
      </c>
      <c r="KI4" s="128">
        <f>EDATE(InceptionDate,290)</f>
        <v/>
      </c>
      <c r="KJ4" s="128">
        <f>EDATE(InceptionDate,291)</f>
        <v/>
      </c>
      <c r="KK4" s="128">
        <f>EDATE(InceptionDate,292)</f>
        <v/>
      </c>
      <c r="KL4" s="128">
        <f>EDATE(InceptionDate,293)</f>
        <v/>
      </c>
      <c r="KM4" s="128">
        <f>EDATE(InceptionDate,294)</f>
        <v/>
      </c>
      <c r="KN4" s="128">
        <f>EDATE(InceptionDate,295)</f>
        <v/>
      </c>
      <c r="KO4" s="128">
        <f>EDATE(InceptionDate,296)</f>
        <v/>
      </c>
      <c r="KP4" s="128">
        <f>EDATE(InceptionDate,297)</f>
        <v/>
      </c>
      <c r="KQ4" s="128">
        <f>EDATE(InceptionDate,298)</f>
        <v/>
      </c>
      <c r="KR4" s="128">
        <f>EDATE(InceptionDate,299)</f>
        <v/>
      </c>
      <c r="KS4" s="128">
        <f>EDATE(InceptionDate,300)</f>
        <v/>
      </c>
      <c r="KT4" s="128">
        <f>EDATE(InceptionDate,301)</f>
        <v/>
      </c>
      <c r="KU4" s="128">
        <f>EDATE(InceptionDate,302)</f>
        <v/>
      </c>
      <c r="KV4" s="128">
        <f>EDATE(InceptionDate,303)</f>
        <v/>
      </c>
      <c r="KW4" s="128">
        <f>EDATE(InceptionDate,304)</f>
        <v/>
      </c>
      <c r="KX4" s="128">
        <f>EDATE(InceptionDate,305)</f>
        <v/>
      </c>
      <c r="KY4" s="128">
        <f>EDATE(InceptionDate,306)</f>
        <v/>
      </c>
      <c r="KZ4" s="128">
        <f>EDATE(InceptionDate,307)</f>
        <v/>
      </c>
      <c r="LA4" s="128">
        <f>EDATE(InceptionDate,308)</f>
        <v/>
      </c>
      <c r="LB4" s="128">
        <f>EDATE(InceptionDate,309)</f>
        <v/>
      </c>
      <c r="LC4" s="128">
        <f>EDATE(InceptionDate,310)</f>
        <v/>
      </c>
      <c r="LD4" s="128">
        <f>EDATE(InceptionDate,311)</f>
        <v/>
      </c>
      <c r="LE4" s="128">
        <f>EDATE(InceptionDate,312)</f>
        <v/>
      </c>
      <c r="LF4" s="128">
        <f>EDATE(InceptionDate,313)</f>
        <v/>
      </c>
      <c r="LG4" s="128">
        <f>EDATE(InceptionDate,314)</f>
        <v/>
      </c>
      <c r="LH4" s="128">
        <f>EDATE(InceptionDate,315)</f>
        <v/>
      </c>
      <c r="LI4" s="128">
        <f>EDATE(InceptionDate,316)</f>
        <v/>
      </c>
      <c r="LJ4" s="128">
        <f>EDATE(InceptionDate,317)</f>
        <v/>
      </c>
      <c r="LK4" s="128">
        <f>EDATE(InceptionDate,318)</f>
        <v/>
      </c>
      <c r="LL4" s="128">
        <f>EDATE(InceptionDate,319)</f>
        <v/>
      </c>
      <c r="LM4" s="128">
        <f>EDATE(InceptionDate,320)</f>
        <v/>
      </c>
      <c r="LN4" s="128">
        <f>EDATE(InceptionDate,321)</f>
        <v/>
      </c>
      <c r="LO4" s="128">
        <f>EDATE(InceptionDate,322)</f>
        <v/>
      </c>
      <c r="LP4" s="128">
        <f>EDATE(InceptionDate,323)</f>
        <v/>
      </c>
      <c r="LQ4" s="128">
        <f>EDATE(InceptionDate,324)</f>
        <v/>
      </c>
      <c r="LR4" s="128">
        <f>EDATE(InceptionDate,325)</f>
        <v/>
      </c>
      <c r="LS4" s="128">
        <f>EDATE(InceptionDate,326)</f>
        <v/>
      </c>
      <c r="LT4" s="128">
        <f>EDATE(InceptionDate,327)</f>
        <v/>
      </c>
      <c r="LU4" s="128">
        <f>EDATE(InceptionDate,328)</f>
        <v/>
      </c>
      <c r="LV4" s="128">
        <f>EDATE(InceptionDate,329)</f>
        <v/>
      </c>
      <c r="LW4" s="128">
        <f>EDATE(InceptionDate,330)</f>
        <v/>
      </c>
      <c r="LX4" s="128">
        <f>EDATE(InceptionDate,331)</f>
        <v/>
      </c>
      <c r="LY4" s="128">
        <f>EDATE(InceptionDate,332)</f>
        <v/>
      </c>
      <c r="LZ4" s="128">
        <f>EDATE(InceptionDate,333)</f>
        <v/>
      </c>
      <c r="MA4" s="128">
        <f>EDATE(InceptionDate,334)</f>
        <v/>
      </c>
      <c r="MB4" s="128">
        <f>EDATE(InceptionDate,335)</f>
        <v/>
      </c>
      <c r="MC4" s="128">
        <f>EDATE(InceptionDate,336)</f>
        <v/>
      </c>
      <c r="MD4" s="128">
        <f>EDATE(InceptionDate,337)</f>
        <v/>
      </c>
      <c r="ME4" s="128">
        <f>EDATE(InceptionDate,338)</f>
        <v/>
      </c>
      <c r="MF4" s="128">
        <f>EDATE(InceptionDate,339)</f>
        <v/>
      </c>
      <c r="MG4" s="128">
        <f>EDATE(InceptionDate,340)</f>
        <v/>
      </c>
      <c r="MH4" s="128">
        <f>EDATE(InceptionDate,341)</f>
        <v/>
      </c>
      <c r="MI4" s="128">
        <f>EDATE(InceptionDate,342)</f>
        <v/>
      </c>
      <c r="MJ4" s="128">
        <f>EDATE(InceptionDate,343)</f>
        <v/>
      </c>
      <c r="MK4" s="128">
        <f>EDATE(InceptionDate,344)</f>
        <v/>
      </c>
      <c r="ML4" s="128">
        <f>EDATE(InceptionDate,345)</f>
        <v/>
      </c>
      <c r="MM4" s="128">
        <f>EDATE(InceptionDate,346)</f>
        <v/>
      </c>
      <c r="MN4" s="128">
        <f>EDATE(InceptionDate,347)</f>
        <v/>
      </c>
      <c r="MO4" s="128">
        <f>EDATE(InceptionDate,348)</f>
        <v/>
      </c>
      <c r="MP4" s="128">
        <f>EDATE(InceptionDate,349)</f>
        <v/>
      </c>
      <c r="MQ4" s="128">
        <f>EDATE(InceptionDate,350)</f>
        <v/>
      </c>
      <c r="MR4" s="128">
        <f>EDATE(InceptionDate,351)</f>
        <v/>
      </c>
      <c r="MS4" s="128">
        <f>EDATE(InceptionDate,352)</f>
        <v/>
      </c>
      <c r="MT4" s="128">
        <f>EDATE(InceptionDate,353)</f>
        <v/>
      </c>
      <c r="MU4" s="128">
        <f>EDATE(InceptionDate,354)</f>
        <v/>
      </c>
      <c r="MV4" s="128">
        <f>EDATE(InceptionDate,355)</f>
        <v/>
      </c>
      <c r="MW4" s="128">
        <f>EDATE(InceptionDate,356)</f>
        <v/>
      </c>
      <c r="MX4" s="128">
        <f>EDATE(InceptionDate,357)</f>
        <v/>
      </c>
      <c r="MY4" s="128">
        <f>EDATE(InceptionDate,358)</f>
        <v/>
      </c>
      <c r="MZ4" s="128">
        <f>EDATE(InceptionDate,359)</f>
        <v/>
      </c>
      <c r="NA4" s="128">
        <f>EDATE(InceptionDate,360)</f>
        <v/>
      </c>
      <c r="NB4" s="128">
        <f>EDATE(InceptionDate,361)</f>
        <v/>
      </c>
      <c r="NC4" s="128">
        <f>EDATE(InceptionDate,362)</f>
        <v/>
      </c>
      <c r="ND4" s="128">
        <f>EDATE(InceptionDate,363)</f>
        <v/>
      </c>
      <c r="NE4" s="128">
        <f>EDATE(InceptionDate,364)</f>
        <v/>
      </c>
      <c r="NF4" s="128">
        <f>EDATE(InceptionDate,365)</f>
        <v/>
      </c>
      <c r="NG4" s="128">
        <f>EDATE(InceptionDate,366)</f>
        <v/>
      </c>
      <c r="NH4" s="128">
        <f>EDATE(InceptionDate,367)</f>
        <v/>
      </c>
      <c r="NI4" s="128">
        <f>EDATE(InceptionDate,368)</f>
        <v/>
      </c>
      <c r="NJ4" s="128">
        <f>EDATE(InceptionDate,369)</f>
        <v/>
      </c>
      <c r="NK4" s="128">
        <f>EDATE(InceptionDate,370)</f>
        <v/>
      </c>
      <c r="NL4" s="129">
        <f>EDATE(InceptionDate,371)</f>
        <v/>
      </c>
    </row>
    <row r="5">
      <c r="B5" s="36" t="inlineStr">
        <is>
          <t>Unlevered Project Uses</t>
        </is>
      </c>
      <c r="D5" s="266">
        <f>SUM(E5:NL5)</f>
        <v/>
      </c>
      <c r="E5" s="218">
        <f>DevSpend!E$34+DevSpend!E$35+DevSpend!E$38+IF(1=MS_Initial_Closing_Start,OpReserve,0)</f>
        <v/>
      </c>
      <c r="F5" s="218">
        <f>DevSpend!F$34+DevSpend!F$35+DevSpend!F$38+IF(2=MS_Initial_Closing_Start,OpReserve,0)</f>
        <v/>
      </c>
      <c r="G5" s="218">
        <f>DevSpend!G$34+DevSpend!G$35+DevSpend!G$38+IF(3=MS_Initial_Closing_Start,OpReserve,0)</f>
        <v/>
      </c>
      <c r="H5" s="218">
        <f>DevSpend!H$34+DevSpend!H$35+DevSpend!H$38+IF(4=MS_Initial_Closing_Start,OpReserve,0)</f>
        <v/>
      </c>
      <c r="I5" s="218">
        <f>DevSpend!I$34+DevSpend!I$35+DevSpend!I$38+IF(5=MS_Initial_Closing_Start,OpReserve,0)</f>
        <v/>
      </c>
      <c r="J5" s="218">
        <f>DevSpend!J$34+DevSpend!J$35+DevSpend!J$38+IF(6=MS_Initial_Closing_Start,OpReserve,0)</f>
        <v/>
      </c>
      <c r="K5" s="218">
        <f>DevSpend!K$34+DevSpend!K$35+DevSpend!K$38+IF(7=MS_Initial_Closing_Start,OpReserve,0)</f>
        <v/>
      </c>
      <c r="L5" s="218">
        <f>DevSpend!L$34+DevSpend!L$35+DevSpend!L$38+IF(8=MS_Initial_Closing_Start,OpReserve,0)</f>
        <v/>
      </c>
      <c r="M5" s="218">
        <f>DevSpend!M$34+DevSpend!M$35+DevSpend!M$38+IF(9=MS_Initial_Closing_Start,OpReserve,0)</f>
        <v/>
      </c>
      <c r="N5" s="218">
        <f>DevSpend!N$34+DevSpend!N$35+DevSpend!N$38+IF(10=MS_Initial_Closing_Start,OpReserve,0)</f>
        <v/>
      </c>
      <c r="O5" s="218">
        <f>DevSpend!O$34+DevSpend!O$35+DevSpend!O$38+IF(11=MS_Initial_Closing_Start,OpReserve,0)</f>
        <v/>
      </c>
      <c r="P5" s="218">
        <f>DevSpend!P$34+DevSpend!P$35+DevSpend!P$38+IF(12=MS_Initial_Closing_Start,OpReserve,0)</f>
        <v/>
      </c>
      <c r="Q5" s="218">
        <f>DevSpend!Q$34+DevSpend!Q$35+DevSpend!Q$38+IF(13=MS_Initial_Closing_Start,OpReserve,0)</f>
        <v/>
      </c>
      <c r="R5" s="218">
        <f>DevSpend!R$34+DevSpend!R$35+DevSpend!R$38+IF(14=MS_Initial_Closing_Start,OpReserve,0)</f>
        <v/>
      </c>
      <c r="S5" s="218">
        <f>DevSpend!S$34+DevSpend!S$35+DevSpend!S$38+IF(15=MS_Initial_Closing_Start,OpReserve,0)</f>
        <v/>
      </c>
      <c r="T5" s="218">
        <f>DevSpend!T$34+DevSpend!T$35+DevSpend!T$38+IF(16=MS_Initial_Closing_Start,OpReserve,0)</f>
        <v/>
      </c>
      <c r="U5" s="218">
        <f>DevSpend!U$34+DevSpend!U$35+DevSpend!U$38+IF(17=MS_Initial_Closing_Start,OpReserve,0)</f>
        <v/>
      </c>
      <c r="V5" s="218">
        <f>DevSpend!V$34+DevSpend!V$35+DevSpend!V$38+IF(18=MS_Initial_Closing_Start,OpReserve,0)</f>
        <v/>
      </c>
      <c r="W5" s="218">
        <f>DevSpend!W$34+DevSpend!W$35+DevSpend!W$38+IF(19=MS_Initial_Closing_Start,OpReserve,0)</f>
        <v/>
      </c>
      <c r="X5" s="218">
        <f>DevSpend!X$34+DevSpend!X$35+DevSpend!X$38+IF(20=MS_Initial_Closing_Start,OpReserve,0)</f>
        <v/>
      </c>
      <c r="Y5" s="218">
        <f>DevSpend!Y$34+DevSpend!Y$35+DevSpend!Y$38+IF(21=MS_Initial_Closing_Start,OpReserve,0)</f>
        <v/>
      </c>
      <c r="Z5" s="218">
        <f>DevSpend!Z$34+DevSpend!Z$35+DevSpend!Z$38+IF(22=MS_Initial_Closing_Start,OpReserve,0)</f>
        <v/>
      </c>
      <c r="AA5" s="218">
        <f>DevSpend!AA$34+DevSpend!AA$35+DevSpend!AA$38+IF(23=MS_Initial_Closing_Start,OpReserve,0)</f>
        <v/>
      </c>
      <c r="AB5" s="218">
        <f>DevSpend!AB$34+DevSpend!AB$35+DevSpend!AB$38+IF(24=MS_Initial_Closing_Start,OpReserve,0)</f>
        <v/>
      </c>
      <c r="AC5" s="218">
        <f>DevSpend!AC$34+DevSpend!AC$35+DevSpend!AC$38+IF(25=MS_Initial_Closing_Start,OpReserve,0)</f>
        <v/>
      </c>
      <c r="AD5" s="218">
        <f>DevSpend!AD$34+DevSpend!AD$35+DevSpend!AD$38+IF(26=MS_Initial_Closing_Start,OpReserve,0)</f>
        <v/>
      </c>
      <c r="AE5" s="218">
        <f>DevSpend!AE$34+DevSpend!AE$35+DevSpend!AE$38+IF(27=MS_Initial_Closing_Start,OpReserve,0)</f>
        <v/>
      </c>
      <c r="AF5" s="218">
        <f>DevSpend!AF$34+DevSpend!AF$35+DevSpend!AF$38+IF(28=MS_Initial_Closing_Start,OpReserve,0)</f>
        <v/>
      </c>
      <c r="AG5" s="218">
        <f>DevSpend!AG$34+DevSpend!AG$35+DevSpend!AG$38+IF(29=MS_Initial_Closing_Start,OpReserve,0)</f>
        <v/>
      </c>
      <c r="AH5" s="218">
        <f>DevSpend!AH$34+DevSpend!AH$35+DevSpend!AH$38+IF(30=MS_Initial_Closing_Start,OpReserve,0)</f>
        <v/>
      </c>
      <c r="AI5" s="218">
        <f>DevSpend!AI$34+DevSpend!AI$35+DevSpend!AI$38+IF(31=MS_Initial_Closing_Start,OpReserve,0)</f>
        <v/>
      </c>
      <c r="AJ5" s="218">
        <f>DevSpend!AJ$34+DevSpend!AJ$35+DevSpend!AJ$38+IF(32=MS_Initial_Closing_Start,OpReserve,0)</f>
        <v/>
      </c>
      <c r="AK5" s="218">
        <f>DevSpend!AK$34+DevSpend!AK$35+DevSpend!AK$38+IF(33=MS_Initial_Closing_Start,OpReserve,0)</f>
        <v/>
      </c>
      <c r="AL5" s="218">
        <f>DevSpend!AL$34+DevSpend!AL$35+DevSpend!AL$38+IF(34=MS_Initial_Closing_Start,OpReserve,0)</f>
        <v/>
      </c>
      <c r="AM5" s="218">
        <f>DevSpend!AM$34+DevSpend!AM$35+DevSpend!AM$38+IF(35=MS_Initial_Closing_Start,OpReserve,0)</f>
        <v/>
      </c>
      <c r="AN5" s="218">
        <f>DevSpend!AN$34+DevSpend!AN$35+DevSpend!AN$38+IF(36=MS_Initial_Closing_Start,OpReserve,0)</f>
        <v/>
      </c>
      <c r="AO5" s="218">
        <f>DevSpend!AO$34+DevSpend!AO$35+DevSpend!AO$38+IF(37=MS_Initial_Closing_Start,OpReserve,0)</f>
        <v/>
      </c>
      <c r="AP5" s="218">
        <f>DevSpend!AP$34+DevSpend!AP$35+DevSpend!AP$38+IF(38=MS_Initial_Closing_Start,OpReserve,0)</f>
        <v/>
      </c>
      <c r="AQ5" s="218">
        <f>DevSpend!AQ$34+DevSpend!AQ$35+DevSpend!AQ$38+IF(39=MS_Initial_Closing_Start,OpReserve,0)</f>
        <v/>
      </c>
      <c r="AR5" s="218">
        <f>DevSpend!AR$34+DevSpend!AR$35+DevSpend!AR$38+IF(40=MS_Initial_Closing_Start,OpReserve,0)</f>
        <v/>
      </c>
      <c r="AS5" s="218">
        <f>DevSpend!AS$34+DevSpend!AS$35+DevSpend!AS$38+IF(41=MS_Initial_Closing_Start,OpReserve,0)</f>
        <v/>
      </c>
      <c r="AT5" s="218">
        <f>DevSpend!AT$34+DevSpend!AT$35+DevSpend!AT$38+IF(42=MS_Initial_Closing_Start,OpReserve,0)</f>
        <v/>
      </c>
      <c r="AU5" s="218">
        <f>DevSpend!AU$34+DevSpend!AU$35+DevSpend!AU$38+IF(43=MS_Initial_Closing_Start,OpReserve,0)</f>
        <v/>
      </c>
      <c r="AV5" s="218">
        <f>DevSpend!AV$34+DevSpend!AV$35+DevSpend!AV$38+IF(44=MS_Initial_Closing_Start,OpReserve,0)</f>
        <v/>
      </c>
      <c r="AW5" s="218">
        <f>DevSpend!AW$34+DevSpend!AW$35+DevSpend!AW$38+IF(45=MS_Initial_Closing_Start,OpReserve,0)</f>
        <v/>
      </c>
      <c r="AX5" s="218">
        <f>DevSpend!AX$34+DevSpend!AX$35+DevSpend!AX$38+IF(46=MS_Initial_Closing_Start,OpReserve,0)</f>
        <v/>
      </c>
      <c r="AY5" s="218">
        <f>DevSpend!AY$34+DevSpend!AY$35+DevSpend!AY$38+IF(47=MS_Initial_Closing_Start,OpReserve,0)</f>
        <v/>
      </c>
      <c r="AZ5" s="218">
        <f>DevSpend!AZ$34+DevSpend!AZ$35+DevSpend!AZ$38+IF(48=MS_Initial_Closing_Start,OpReserve,0)</f>
        <v/>
      </c>
      <c r="BA5" s="218">
        <f>DevSpend!BA$34+DevSpend!BA$35+DevSpend!BA$38+IF(49=MS_Initial_Closing_Start,OpReserve,0)</f>
        <v/>
      </c>
      <c r="BB5" s="218">
        <f>DevSpend!BB$34+DevSpend!BB$35+DevSpend!BB$38+IF(50=MS_Initial_Closing_Start,OpReserve,0)</f>
        <v/>
      </c>
      <c r="BC5" s="218">
        <f>DevSpend!BC$34+DevSpend!BC$35+DevSpend!BC$38+IF(51=MS_Initial_Closing_Start,OpReserve,0)</f>
        <v/>
      </c>
      <c r="BD5" s="218">
        <f>DevSpend!BD$34+DevSpend!BD$35+DevSpend!BD$38+IF(52=MS_Initial_Closing_Start,OpReserve,0)</f>
        <v/>
      </c>
      <c r="BE5" s="218">
        <f>DevSpend!BE$34+DevSpend!BE$35+DevSpend!BE$38+IF(53=MS_Initial_Closing_Start,OpReserve,0)</f>
        <v/>
      </c>
      <c r="BF5" s="218">
        <f>DevSpend!BF$34+DevSpend!BF$35+DevSpend!BF$38+IF(54=MS_Initial_Closing_Start,OpReserve,0)</f>
        <v/>
      </c>
      <c r="BG5" s="218">
        <f>DevSpend!BG$34+DevSpend!BG$35+DevSpend!BG$38+IF(55=MS_Initial_Closing_Start,OpReserve,0)</f>
        <v/>
      </c>
      <c r="BH5" s="218">
        <f>DevSpend!BH$34+DevSpend!BH$35+DevSpend!BH$38+IF(56=MS_Initial_Closing_Start,OpReserve,0)</f>
        <v/>
      </c>
      <c r="BI5" s="218">
        <f>DevSpend!BI$34+DevSpend!BI$35+DevSpend!BI$38+IF(57=MS_Initial_Closing_Start,OpReserve,0)</f>
        <v/>
      </c>
      <c r="BJ5" s="218">
        <f>DevSpend!BJ$34+DevSpend!BJ$35+DevSpend!BJ$38+IF(58=MS_Initial_Closing_Start,OpReserve,0)</f>
        <v/>
      </c>
      <c r="BK5" s="218">
        <f>DevSpend!BK$34+DevSpend!BK$35+DevSpend!BK$38+IF(59=MS_Initial_Closing_Start,OpReserve,0)</f>
        <v/>
      </c>
      <c r="BL5" s="218">
        <f>DevSpend!BL$34+DevSpend!BL$35+DevSpend!BL$38+IF(60=MS_Initial_Closing_Start,OpReserve,0)</f>
        <v/>
      </c>
      <c r="BM5" s="218">
        <f>DevSpend!BM$34+DevSpend!BM$35+DevSpend!BM$38+IF(61=MS_Initial_Closing_Start,OpReserve,0)</f>
        <v/>
      </c>
      <c r="BN5" s="218">
        <f>DevSpend!BN$34+DevSpend!BN$35+DevSpend!BN$38+IF(62=MS_Initial_Closing_Start,OpReserve,0)</f>
        <v/>
      </c>
      <c r="BO5" s="218">
        <f>DevSpend!BO$34+DevSpend!BO$35+DevSpend!BO$38+IF(63=MS_Initial_Closing_Start,OpReserve,0)</f>
        <v/>
      </c>
      <c r="BP5" s="218">
        <f>DevSpend!BP$34+DevSpend!BP$35+DevSpend!BP$38+IF(64=MS_Initial_Closing_Start,OpReserve,0)</f>
        <v/>
      </c>
      <c r="BQ5" s="218">
        <f>DevSpend!BQ$34+DevSpend!BQ$35+DevSpend!BQ$38+IF(65=MS_Initial_Closing_Start,OpReserve,0)</f>
        <v/>
      </c>
      <c r="BR5" s="218">
        <f>DevSpend!BR$34+DevSpend!BR$35+DevSpend!BR$38+IF(66=MS_Initial_Closing_Start,OpReserve,0)</f>
        <v/>
      </c>
      <c r="BS5" s="218">
        <f>DevSpend!BS$34+DevSpend!BS$35+DevSpend!BS$38+IF(67=MS_Initial_Closing_Start,OpReserve,0)</f>
        <v/>
      </c>
      <c r="BT5" s="218">
        <f>DevSpend!BT$34+DevSpend!BT$35+DevSpend!BT$38+IF(68=MS_Initial_Closing_Start,OpReserve,0)</f>
        <v/>
      </c>
      <c r="BU5" s="218">
        <f>DevSpend!BU$34+DevSpend!BU$35+DevSpend!BU$38+IF(69=MS_Initial_Closing_Start,OpReserve,0)</f>
        <v/>
      </c>
      <c r="BV5" s="218">
        <f>DevSpend!BV$34+DevSpend!BV$35+DevSpend!BV$38+IF(70=MS_Initial_Closing_Start,OpReserve,0)</f>
        <v/>
      </c>
      <c r="BW5" s="218">
        <f>DevSpend!BW$34+DevSpend!BW$35+DevSpend!BW$38+IF(71=MS_Initial_Closing_Start,OpReserve,0)</f>
        <v/>
      </c>
      <c r="BX5" s="218">
        <f>DevSpend!BX$34+DevSpend!BX$35+DevSpend!BX$38+IF(72=MS_Initial_Closing_Start,OpReserve,0)</f>
        <v/>
      </c>
      <c r="BY5" s="218">
        <f>DevSpend!BY$34+DevSpend!BY$35+DevSpend!BY$38+IF(73=MS_Initial_Closing_Start,OpReserve,0)</f>
        <v/>
      </c>
      <c r="BZ5" s="218">
        <f>DevSpend!BZ$34+DevSpend!BZ$35+DevSpend!BZ$38+IF(74=MS_Initial_Closing_Start,OpReserve,0)</f>
        <v/>
      </c>
      <c r="CA5" s="218">
        <f>DevSpend!CA$34+DevSpend!CA$35+DevSpend!CA$38+IF(75=MS_Initial_Closing_Start,OpReserve,0)</f>
        <v/>
      </c>
      <c r="CB5" s="218">
        <f>DevSpend!CB$34+DevSpend!CB$35+DevSpend!CB$38+IF(76=MS_Initial_Closing_Start,OpReserve,0)</f>
        <v/>
      </c>
      <c r="CC5" s="218">
        <f>DevSpend!CC$34+DevSpend!CC$35+DevSpend!CC$38+IF(77=MS_Initial_Closing_Start,OpReserve,0)</f>
        <v/>
      </c>
      <c r="CD5" s="218">
        <f>DevSpend!CD$34+DevSpend!CD$35+DevSpend!CD$38+IF(78=MS_Initial_Closing_Start,OpReserve,0)</f>
        <v/>
      </c>
      <c r="CE5" s="218">
        <f>DevSpend!CE$34+DevSpend!CE$35+DevSpend!CE$38+IF(79=MS_Initial_Closing_Start,OpReserve,0)</f>
        <v/>
      </c>
      <c r="CF5" s="218">
        <f>DevSpend!CF$34+DevSpend!CF$35+DevSpend!CF$38+IF(80=MS_Initial_Closing_Start,OpReserve,0)</f>
        <v/>
      </c>
      <c r="CG5" s="218">
        <f>DevSpend!CG$34+DevSpend!CG$35+DevSpend!CG$38+IF(81=MS_Initial_Closing_Start,OpReserve,0)</f>
        <v/>
      </c>
      <c r="CH5" s="218">
        <f>DevSpend!CH$34+DevSpend!CH$35+DevSpend!CH$38+IF(82=MS_Initial_Closing_Start,OpReserve,0)</f>
        <v/>
      </c>
      <c r="CI5" s="218">
        <f>DevSpend!CI$34+DevSpend!CI$35+DevSpend!CI$38+IF(83=MS_Initial_Closing_Start,OpReserve,0)</f>
        <v/>
      </c>
      <c r="CJ5" s="218">
        <f>DevSpend!CJ$34+DevSpend!CJ$35+DevSpend!CJ$38+IF(84=MS_Initial_Closing_Start,OpReserve,0)</f>
        <v/>
      </c>
      <c r="CK5" s="218">
        <f>DevSpend!CK$34+DevSpend!CK$35+DevSpend!CK$38+IF(85=MS_Initial_Closing_Start,OpReserve,0)</f>
        <v/>
      </c>
      <c r="CL5" s="218">
        <f>DevSpend!CL$34+DevSpend!CL$35+DevSpend!CL$38+IF(86=MS_Initial_Closing_Start,OpReserve,0)</f>
        <v/>
      </c>
      <c r="CM5" s="218">
        <f>DevSpend!CM$34+DevSpend!CM$35+DevSpend!CM$38+IF(87=MS_Initial_Closing_Start,OpReserve,0)</f>
        <v/>
      </c>
      <c r="CN5" s="218">
        <f>DevSpend!CN$34+DevSpend!CN$35+DevSpend!CN$38+IF(88=MS_Initial_Closing_Start,OpReserve,0)</f>
        <v/>
      </c>
      <c r="CO5" s="218">
        <f>DevSpend!CO$34+DevSpend!CO$35+DevSpend!CO$38+IF(89=MS_Initial_Closing_Start,OpReserve,0)</f>
        <v/>
      </c>
      <c r="CP5" s="218">
        <f>DevSpend!CP$34+DevSpend!CP$35+DevSpend!CP$38+IF(90=MS_Initial_Closing_Start,OpReserve,0)</f>
        <v/>
      </c>
      <c r="CQ5" s="218">
        <f>DevSpend!CQ$34+DevSpend!CQ$35+DevSpend!CQ$38+IF(91=MS_Initial_Closing_Start,OpReserve,0)</f>
        <v/>
      </c>
      <c r="CR5" s="218">
        <f>DevSpend!CR$34+DevSpend!CR$35+DevSpend!CR$38+IF(92=MS_Initial_Closing_Start,OpReserve,0)</f>
        <v/>
      </c>
      <c r="CS5" s="218">
        <f>DevSpend!CS$34+DevSpend!CS$35+DevSpend!CS$38+IF(93=MS_Initial_Closing_Start,OpReserve,0)</f>
        <v/>
      </c>
      <c r="CT5" s="218">
        <f>DevSpend!CT$34+DevSpend!CT$35+DevSpend!CT$38+IF(94=MS_Initial_Closing_Start,OpReserve,0)</f>
        <v/>
      </c>
      <c r="CU5" s="218">
        <f>DevSpend!CU$34+DevSpend!CU$35+DevSpend!CU$38+IF(95=MS_Initial_Closing_Start,OpReserve,0)</f>
        <v/>
      </c>
      <c r="CV5" s="218">
        <f>DevSpend!CV$34+DevSpend!CV$35+DevSpend!CV$38+IF(96=MS_Initial_Closing_Start,OpReserve,0)</f>
        <v/>
      </c>
      <c r="CW5" s="218">
        <f>DevSpend!CW$34+DevSpend!CW$35+DevSpend!CW$38+IF(97=MS_Initial_Closing_Start,OpReserve,0)</f>
        <v/>
      </c>
      <c r="CX5" s="218">
        <f>DevSpend!CX$34+DevSpend!CX$35+DevSpend!CX$38+IF(98=MS_Initial_Closing_Start,OpReserve,0)</f>
        <v/>
      </c>
      <c r="CY5" s="218">
        <f>DevSpend!CY$34+DevSpend!CY$35+DevSpend!CY$38+IF(99=MS_Initial_Closing_Start,OpReserve,0)</f>
        <v/>
      </c>
      <c r="CZ5" s="218">
        <f>DevSpend!CZ$34+DevSpend!CZ$35+DevSpend!CZ$38+IF(100=MS_Initial_Closing_Start,OpReserve,0)</f>
        <v/>
      </c>
      <c r="DA5" s="218">
        <f>DevSpend!DA$34+DevSpend!DA$35+DevSpend!DA$38+IF(101=MS_Initial_Closing_Start,OpReserve,0)</f>
        <v/>
      </c>
      <c r="DB5" s="218">
        <f>DevSpend!DB$34+DevSpend!DB$35+DevSpend!DB$38+IF(102=MS_Initial_Closing_Start,OpReserve,0)</f>
        <v/>
      </c>
      <c r="DC5" s="218">
        <f>DevSpend!DC$34+DevSpend!DC$35+DevSpend!DC$38+IF(103=MS_Initial_Closing_Start,OpReserve,0)</f>
        <v/>
      </c>
      <c r="DD5" s="218">
        <f>DevSpend!DD$34+DevSpend!DD$35+DevSpend!DD$38+IF(104=MS_Initial_Closing_Start,OpReserve,0)</f>
        <v/>
      </c>
      <c r="DE5" s="218">
        <f>DevSpend!DE$34+DevSpend!DE$35+DevSpend!DE$38+IF(105=MS_Initial_Closing_Start,OpReserve,0)</f>
        <v/>
      </c>
      <c r="DF5" s="218">
        <f>DevSpend!DF$34+DevSpend!DF$35+DevSpend!DF$38+IF(106=MS_Initial_Closing_Start,OpReserve,0)</f>
        <v/>
      </c>
      <c r="DG5" s="218">
        <f>DevSpend!DG$34+DevSpend!DG$35+DevSpend!DG$38+IF(107=MS_Initial_Closing_Start,OpReserve,0)</f>
        <v/>
      </c>
      <c r="DH5" s="218">
        <f>DevSpend!DH$34+DevSpend!DH$35+DevSpend!DH$38+IF(108=MS_Initial_Closing_Start,OpReserve,0)</f>
        <v/>
      </c>
      <c r="DI5" s="218">
        <f>DevSpend!DI$34+DevSpend!DI$35+DevSpend!DI$38+IF(109=MS_Initial_Closing_Start,OpReserve,0)</f>
        <v/>
      </c>
      <c r="DJ5" s="218">
        <f>DevSpend!DJ$34+DevSpend!DJ$35+DevSpend!DJ$38+IF(110=MS_Initial_Closing_Start,OpReserve,0)</f>
        <v/>
      </c>
      <c r="DK5" s="218">
        <f>DevSpend!DK$34+DevSpend!DK$35+DevSpend!DK$38+IF(111=MS_Initial_Closing_Start,OpReserve,0)</f>
        <v/>
      </c>
      <c r="DL5" s="218">
        <f>DevSpend!DL$34+DevSpend!DL$35+DevSpend!DL$38+IF(112=MS_Initial_Closing_Start,OpReserve,0)</f>
        <v/>
      </c>
      <c r="DM5" s="218">
        <f>DevSpend!DM$34+DevSpend!DM$35+DevSpend!DM$38+IF(113=MS_Initial_Closing_Start,OpReserve,0)</f>
        <v/>
      </c>
      <c r="DN5" s="218">
        <f>DevSpend!DN$34+DevSpend!DN$35+DevSpend!DN$38+IF(114=MS_Initial_Closing_Start,OpReserve,0)</f>
        <v/>
      </c>
      <c r="DO5" s="218">
        <f>DevSpend!DO$34+DevSpend!DO$35+DevSpend!DO$38+IF(115=MS_Initial_Closing_Start,OpReserve,0)</f>
        <v/>
      </c>
      <c r="DP5" s="218">
        <f>DevSpend!DP$34+DevSpend!DP$35+DevSpend!DP$38+IF(116=MS_Initial_Closing_Start,OpReserve,0)</f>
        <v/>
      </c>
      <c r="DQ5" s="218">
        <f>DevSpend!DQ$34+DevSpend!DQ$35+DevSpend!DQ$38+IF(117=MS_Initial_Closing_Start,OpReserve,0)</f>
        <v/>
      </c>
      <c r="DR5" s="218">
        <f>DevSpend!DR$34+DevSpend!DR$35+DevSpend!DR$38+IF(118=MS_Initial_Closing_Start,OpReserve,0)</f>
        <v/>
      </c>
      <c r="DS5" s="218">
        <f>DevSpend!DS$34+DevSpend!DS$35+DevSpend!DS$38+IF(119=MS_Initial_Closing_Start,OpReserve,0)</f>
        <v/>
      </c>
      <c r="DT5" s="218">
        <f>DevSpend!DT$34+DevSpend!DT$35+DevSpend!DT$38+IF(120=MS_Initial_Closing_Start,OpReserve,0)</f>
        <v/>
      </c>
      <c r="DU5" s="218">
        <f>DevSpend!DU$34+DevSpend!DU$35+DevSpend!DU$38+IF(121=MS_Initial_Closing_Start,OpReserve,0)</f>
        <v/>
      </c>
      <c r="DV5" s="218">
        <f>DevSpend!DV$34+DevSpend!DV$35+DevSpend!DV$38+IF(122=MS_Initial_Closing_Start,OpReserve,0)</f>
        <v/>
      </c>
      <c r="DW5" s="218">
        <f>DevSpend!DW$34+DevSpend!DW$35+DevSpend!DW$38+IF(123=MS_Initial_Closing_Start,OpReserve,0)</f>
        <v/>
      </c>
      <c r="DX5" s="218">
        <f>DevSpend!DX$34+DevSpend!DX$35+DevSpend!DX$38+IF(124=MS_Initial_Closing_Start,OpReserve,0)</f>
        <v/>
      </c>
      <c r="DY5" s="218">
        <f>DevSpend!DY$34+DevSpend!DY$35+DevSpend!DY$38+IF(125=MS_Initial_Closing_Start,OpReserve,0)</f>
        <v/>
      </c>
      <c r="DZ5" s="218">
        <f>DevSpend!DZ$34+DevSpend!DZ$35+DevSpend!DZ$38+IF(126=MS_Initial_Closing_Start,OpReserve,0)</f>
        <v/>
      </c>
      <c r="EA5" s="218">
        <f>DevSpend!EA$34+DevSpend!EA$35+DevSpend!EA$38+IF(127=MS_Initial_Closing_Start,OpReserve,0)</f>
        <v/>
      </c>
      <c r="EB5" s="218">
        <f>DevSpend!EB$34+DevSpend!EB$35+DevSpend!EB$38+IF(128=MS_Initial_Closing_Start,OpReserve,0)</f>
        <v/>
      </c>
      <c r="EC5" s="218">
        <f>DevSpend!EC$34+DevSpend!EC$35+DevSpend!EC$38+IF(129=MS_Initial_Closing_Start,OpReserve,0)</f>
        <v/>
      </c>
      <c r="ED5" s="218">
        <f>DevSpend!ED$34+DevSpend!ED$35+DevSpend!ED$38+IF(130=MS_Initial_Closing_Start,OpReserve,0)</f>
        <v/>
      </c>
      <c r="EE5" s="218">
        <f>DevSpend!EE$34+DevSpend!EE$35+DevSpend!EE$38+IF(131=MS_Initial_Closing_Start,OpReserve,0)</f>
        <v/>
      </c>
      <c r="EF5" s="218">
        <f>DevSpend!EF$34+DevSpend!EF$35+DevSpend!EF$38+IF(132=MS_Initial_Closing_Start,OpReserve,0)</f>
        <v/>
      </c>
      <c r="EG5" s="218">
        <f>DevSpend!EG$34+DevSpend!EG$35+DevSpend!EG$38+IF(133=MS_Initial_Closing_Start,OpReserve,0)</f>
        <v/>
      </c>
      <c r="EH5" s="218">
        <f>DevSpend!EH$34+DevSpend!EH$35+DevSpend!EH$38+IF(134=MS_Initial_Closing_Start,OpReserve,0)</f>
        <v/>
      </c>
      <c r="EI5" s="218">
        <f>DevSpend!EI$34+DevSpend!EI$35+DevSpend!EI$38+IF(135=MS_Initial_Closing_Start,OpReserve,0)</f>
        <v/>
      </c>
      <c r="EJ5" s="218">
        <f>DevSpend!EJ$34+DevSpend!EJ$35+DevSpend!EJ$38+IF(136=MS_Initial_Closing_Start,OpReserve,0)</f>
        <v/>
      </c>
      <c r="EK5" s="218">
        <f>DevSpend!EK$34+DevSpend!EK$35+DevSpend!EK$38+IF(137=MS_Initial_Closing_Start,OpReserve,0)</f>
        <v/>
      </c>
      <c r="EL5" s="218">
        <f>DevSpend!EL$34+DevSpend!EL$35+DevSpend!EL$38+IF(138=MS_Initial_Closing_Start,OpReserve,0)</f>
        <v/>
      </c>
      <c r="EM5" s="218">
        <f>DevSpend!EM$34+DevSpend!EM$35+DevSpend!EM$38+IF(139=MS_Initial_Closing_Start,OpReserve,0)</f>
        <v/>
      </c>
      <c r="EN5" s="218">
        <f>DevSpend!EN$34+DevSpend!EN$35+DevSpend!EN$38+IF(140=MS_Initial_Closing_Start,OpReserve,0)</f>
        <v/>
      </c>
      <c r="EO5" s="218">
        <f>DevSpend!EO$34+DevSpend!EO$35+DevSpend!EO$38+IF(141=MS_Initial_Closing_Start,OpReserve,0)</f>
        <v/>
      </c>
      <c r="EP5" s="218">
        <f>DevSpend!EP$34+DevSpend!EP$35+DevSpend!EP$38+IF(142=MS_Initial_Closing_Start,OpReserve,0)</f>
        <v/>
      </c>
      <c r="EQ5" s="218">
        <f>DevSpend!EQ$34+DevSpend!EQ$35+DevSpend!EQ$38+IF(143=MS_Initial_Closing_Start,OpReserve,0)</f>
        <v/>
      </c>
      <c r="ER5" s="218">
        <f>DevSpend!ER$34+DevSpend!ER$35+DevSpend!ER$38+IF(144=MS_Initial_Closing_Start,OpReserve,0)</f>
        <v/>
      </c>
      <c r="ES5" s="218">
        <f>DevSpend!ES$34+DevSpend!ES$35+DevSpend!ES$38+IF(145=MS_Initial_Closing_Start,OpReserve,0)</f>
        <v/>
      </c>
      <c r="ET5" s="218">
        <f>DevSpend!ET$34+DevSpend!ET$35+DevSpend!ET$38+IF(146=MS_Initial_Closing_Start,OpReserve,0)</f>
        <v/>
      </c>
      <c r="EU5" s="218">
        <f>DevSpend!EU$34+DevSpend!EU$35+DevSpend!EU$38+IF(147=MS_Initial_Closing_Start,OpReserve,0)</f>
        <v/>
      </c>
      <c r="EV5" s="218">
        <f>DevSpend!EV$34+DevSpend!EV$35+DevSpend!EV$38+IF(148=MS_Initial_Closing_Start,OpReserve,0)</f>
        <v/>
      </c>
      <c r="EW5" s="218">
        <f>DevSpend!EW$34+DevSpend!EW$35+DevSpend!EW$38+IF(149=MS_Initial_Closing_Start,OpReserve,0)</f>
        <v/>
      </c>
      <c r="EX5" s="218">
        <f>DevSpend!EX$34+DevSpend!EX$35+DevSpend!EX$38+IF(150=MS_Initial_Closing_Start,OpReserve,0)</f>
        <v/>
      </c>
      <c r="EY5" s="218">
        <f>DevSpend!EY$34+DevSpend!EY$35+DevSpend!EY$38+IF(151=MS_Initial_Closing_Start,OpReserve,0)</f>
        <v/>
      </c>
      <c r="EZ5" s="218">
        <f>DevSpend!EZ$34+DevSpend!EZ$35+DevSpend!EZ$38+IF(152=MS_Initial_Closing_Start,OpReserve,0)</f>
        <v/>
      </c>
      <c r="FA5" s="218">
        <f>DevSpend!FA$34+DevSpend!FA$35+DevSpend!FA$38+IF(153=MS_Initial_Closing_Start,OpReserve,0)</f>
        <v/>
      </c>
      <c r="FB5" s="218">
        <f>DevSpend!FB$34+DevSpend!FB$35+DevSpend!FB$38+IF(154=MS_Initial_Closing_Start,OpReserve,0)</f>
        <v/>
      </c>
      <c r="FC5" s="218">
        <f>DevSpend!FC$34+DevSpend!FC$35+DevSpend!FC$38+IF(155=MS_Initial_Closing_Start,OpReserve,0)</f>
        <v/>
      </c>
      <c r="FD5" s="218">
        <f>DevSpend!FD$34+DevSpend!FD$35+DevSpend!FD$38+IF(156=MS_Initial_Closing_Start,OpReserve,0)</f>
        <v/>
      </c>
      <c r="FE5" s="218">
        <f>DevSpend!FE$34+DevSpend!FE$35+DevSpend!FE$38+IF(157=MS_Initial_Closing_Start,OpReserve,0)</f>
        <v/>
      </c>
      <c r="FF5" s="218">
        <f>DevSpend!FF$34+DevSpend!FF$35+DevSpend!FF$38+IF(158=MS_Initial_Closing_Start,OpReserve,0)</f>
        <v/>
      </c>
      <c r="FG5" s="218">
        <f>DevSpend!FG$34+DevSpend!FG$35+DevSpend!FG$38+IF(159=MS_Initial_Closing_Start,OpReserve,0)</f>
        <v/>
      </c>
      <c r="FH5" s="218">
        <f>DevSpend!FH$34+DevSpend!FH$35+DevSpend!FH$38+IF(160=MS_Initial_Closing_Start,OpReserve,0)</f>
        <v/>
      </c>
      <c r="FI5" s="218">
        <f>DevSpend!FI$34+DevSpend!FI$35+DevSpend!FI$38+IF(161=MS_Initial_Closing_Start,OpReserve,0)</f>
        <v/>
      </c>
      <c r="FJ5" s="218">
        <f>DevSpend!FJ$34+DevSpend!FJ$35+DevSpend!FJ$38+IF(162=MS_Initial_Closing_Start,OpReserve,0)</f>
        <v/>
      </c>
      <c r="FK5" s="218">
        <f>DevSpend!FK$34+DevSpend!FK$35+DevSpend!FK$38+IF(163=MS_Initial_Closing_Start,OpReserve,0)</f>
        <v/>
      </c>
      <c r="FL5" s="218">
        <f>DevSpend!FL$34+DevSpend!FL$35+DevSpend!FL$38+IF(164=MS_Initial_Closing_Start,OpReserve,0)</f>
        <v/>
      </c>
      <c r="FM5" s="218">
        <f>DevSpend!FM$34+DevSpend!FM$35+DevSpend!FM$38+IF(165=MS_Initial_Closing_Start,OpReserve,0)</f>
        <v/>
      </c>
      <c r="FN5" s="218">
        <f>DevSpend!FN$34+DevSpend!FN$35+DevSpend!FN$38+IF(166=MS_Initial_Closing_Start,OpReserve,0)</f>
        <v/>
      </c>
      <c r="FO5" s="218">
        <f>DevSpend!FO$34+DevSpend!FO$35+DevSpend!FO$38+IF(167=MS_Initial_Closing_Start,OpReserve,0)</f>
        <v/>
      </c>
      <c r="FP5" s="218">
        <f>DevSpend!FP$34+DevSpend!FP$35+DevSpend!FP$38+IF(168=MS_Initial_Closing_Start,OpReserve,0)</f>
        <v/>
      </c>
      <c r="FQ5" s="218">
        <f>DevSpend!FQ$34+DevSpend!FQ$35+DevSpend!FQ$38+IF(169=MS_Initial_Closing_Start,OpReserve,0)</f>
        <v/>
      </c>
      <c r="FR5" s="218">
        <f>DevSpend!FR$34+DevSpend!FR$35+DevSpend!FR$38+IF(170=MS_Initial_Closing_Start,OpReserve,0)</f>
        <v/>
      </c>
      <c r="FS5" s="218">
        <f>DevSpend!FS$34+DevSpend!FS$35+DevSpend!FS$38+IF(171=MS_Initial_Closing_Start,OpReserve,0)</f>
        <v/>
      </c>
      <c r="FT5" s="218">
        <f>DevSpend!FT$34+DevSpend!FT$35+DevSpend!FT$38+IF(172=MS_Initial_Closing_Start,OpReserve,0)</f>
        <v/>
      </c>
      <c r="FU5" s="218">
        <f>DevSpend!FU$34+DevSpend!FU$35+DevSpend!FU$38+IF(173=MS_Initial_Closing_Start,OpReserve,0)</f>
        <v/>
      </c>
      <c r="FV5" s="218">
        <f>DevSpend!FV$34+DevSpend!FV$35+DevSpend!FV$38+IF(174=MS_Initial_Closing_Start,OpReserve,0)</f>
        <v/>
      </c>
      <c r="FW5" s="218">
        <f>DevSpend!FW$34+DevSpend!FW$35+DevSpend!FW$38+IF(175=MS_Initial_Closing_Start,OpReserve,0)</f>
        <v/>
      </c>
      <c r="FX5" s="218">
        <f>DevSpend!FX$34+DevSpend!FX$35+DevSpend!FX$38+IF(176=MS_Initial_Closing_Start,OpReserve,0)</f>
        <v/>
      </c>
      <c r="FY5" s="218">
        <f>DevSpend!FY$34+DevSpend!FY$35+DevSpend!FY$38+IF(177=MS_Initial_Closing_Start,OpReserve,0)</f>
        <v/>
      </c>
      <c r="FZ5" s="218">
        <f>DevSpend!FZ$34+DevSpend!FZ$35+DevSpend!FZ$38+IF(178=MS_Initial_Closing_Start,OpReserve,0)</f>
        <v/>
      </c>
      <c r="GA5" s="218">
        <f>DevSpend!GA$34+DevSpend!GA$35+DevSpend!GA$38+IF(179=MS_Initial_Closing_Start,OpReserve,0)</f>
        <v/>
      </c>
      <c r="GB5" s="218">
        <f>DevSpend!GB$34+DevSpend!GB$35+DevSpend!GB$38+IF(180=MS_Initial_Closing_Start,OpReserve,0)</f>
        <v/>
      </c>
      <c r="GC5" s="218">
        <f>DevSpend!GC$34+DevSpend!GC$35+DevSpend!GC$38+IF(181=MS_Initial_Closing_Start,OpReserve,0)</f>
        <v/>
      </c>
      <c r="GD5" s="218">
        <f>DevSpend!GD$34+DevSpend!GD$35+DevSpend!GD$38+IF(182=MS_Initial_Closing_Start,OpReserve,0)</f>
        <v/>
      </c>
      <c r="GE5" s="218">
        <f>DevSpend!GE$34+DevSpend!GE$35+DevSpend!GE$38+IF(183=MS_Initial_Closing_Start,OpReserve,0)</f>
        <v/>
      </c>
      <c r="GF5" s="218">
        <f>DevSpend!GF$34+DevSpend!GF$35+DevSpend!GF$38+IF(184=MS_Initial_Closing_Start,OpReserve,0)</f>
        <v/>
      </c>
      <c r="GG5" s="218">
        <f>DevSpend!GG$34+DevSpend!GG$35+DevSpend!GG$38+IF(185=MS_Initial_Closing_Start,OpReserve,0)</f>
        <v/>
      </c>
      <c r="GH5" s="218">
        <f>DevSpend!GH$34+DevSpend!GH$35+DevSpend!GH$38+IF(186=MS_Initial_Closing_Start,OpReserve,0)</f>
        <v/>
      </c>
      <c r="GI5" s="218">
        <f>DevSpend!GI$34+DevSpend!GI$35+DevSpend!GI$38+IF(187=MS_Initial_Closing_Start,OpReserve,0)</f>
        <v/>
      </c>
      <c r="GJ5" s="218">
        <f>DevSpend!GJ$34+DevSpend!GJ$35+DevSpend!GJ$38+IF(188=MS_Initial_Closing_Start,OpReserve,0)</f>
        <v/>
      </c>
      <c r="GK5" s="218">
        <f>DevSpend!GK$34+DevSpend!GK$35+DevSpend!GK$38+IF(189=MS_Initial_Closing_Start,OpReserve,0)</f>
        <v/>
      </c>
      <c r="GL5" s="218">
        <f>DevSpend!GL$34+DevSpend!GL$35+DevSpend!GL$38+IF(190=MS_Initial_Closing_Start,OpReserve,0)</f>
        <v/>
      </c>
      <c r="GM5" s="218">
        <f>DevSpend!GM$34+DevSpend!GM$35+DevSpend!GM$38+IF(191=MS_Initial_Closing_Start,OpReserve,0)</f>
        <v/>
      </c>
      <c r="GN5" s="218">
        <f>DevSpend!GN$34+DevSpend!GN$35+DevSpend!GN$38+IF(192=MS_Initial_Closing_Start,OpReserve,0)</f>
        <v/>
      </c>
      <c r="GO5" s="218">
        <f>DevSpend!GO$34+DevSpend!GO$35+DevSpend!GO$38+IF(193=MS_Initial_Closing_Start,OpReserve,0)</f>
        <v/>
      </c>
      <c r="GP5" s="218">
        <f>DevSpend!GP$34+DevSpend!GP$35+DevSpend!GP$38+IF(194=MS_Initial_Closing_Start,OpReserve,0)</f>
        <v/>
      </c>
      <c r="GQ5" s="218">
        <f>DevSpend!GQ$34+DevSpend!GQ$35+DevSpend!GQ$38+IF(195=MS_Initial_Closing_Start,OpReserve,0)</f>
        <v/>
      </c>
      <c r="GR5" s="218">
        <f>DevSpend!GR$34+DevSpend!GR$35+DevSpend!GR$38+IF(196=MS_Initial_Closing_Start,OpReserve,0)</f>
        <v/>
      </c>
      <c r="GS5" s="218">
        <f>DevSpend!GS$34+DevSpend!GS$35+DevSpend!GS$38+IF(197=MS_Initial_Closing_Start,OpReserve,0)</f>
        <v/>
      </c>
      <c r="GT5" s="218">
        <f>DevSpend!GT$34+DevSpend!GT$35+DevSpend!GT$38+IF(198=MS_Initial_Closing_Start,OpReserve,0)</f>
        <v/>
      </c>
      <c r="GU5" s="218">
        <f>DevSpend!GU$34+DevSpend!GU$35+DevSpend!GU$38+IF(199=MS_Initial_Closing_Start,OpReserve,0)</f>
        <v/>
      </c>
      <c r="GV5" s="218">
        <f>DevSpend!GV$34+DevSpend!GV$35+DevSpend!GV$38+IF(200=MS_Initial_Closing_Start,OpReserve,0)</f>
        <v/>
      </c>
      <c r="GW5" s="218">
        <f>DevSpend!GW$34+DevSpend!GW$35+DevSpend!GW$38+IF(201=MS_Initial_Closing_Start,OpReserve,0)</f>
        <v/>
      </c>
      <c r="GX5" s="218">
        <f>DevSpend!GX$34+DevSpend!GX$35+DevSpend!GX$38+IF(202=MS_Initial_Closing_Start,OpReserve,0)</f>
        <v/>
      </c>
      <c r="GY5" s="218">
        <f>DevSpend!GY$34+DevSpend!GY$35+DevSpend!GY$38+IF(203=MS_Initial_Closing_Start,OpReserve,0)</f>
        <v/>
      </c>
      <c r="GZ5" s="218">
        <f>DevSpend!GZ$34+DevSpend!GZ$35+DevSpend!GZ$38+IF(204=MS_Initial_Closing_Start,OpReserve,0)</f>
        <v/>
      </c>
      <c r="HA5" s="218">
        <f>DevSpend!HA$34+DevSpend!HA$35+DevSpend!HA$38+IF(205=MS_Initial_Closing_Start,OpReserve,0)</f>
        <v/>
      </c>
      <c r="HB5" s="218">
        <f>DevSpend!HB$34+DevSpend!HB$35+DevSpend!HB$38+IF(206=MS_Initial_Closing_Start,OpReserve,0)</f>
        <v/>
      </c>
      <c r="HC5" s="218">
        <f>DevSpend!HC$34+DevSpend!HC$35+DevSpend!HC$38+IF(207=MS_Initial_Closing_Start,OpReserve,0)</f>
        <v/>
      </c>
      <c r="HD5" s="218">
        <f>DevSpend!HD$34+DevSpend!HD$35+DevSpend!HD$38+IF(208=MS_Initial_Closing_Start,OpReserve,0)</f>
        <v/>
      </c>
      <c r="HE5" s="218">
        <f>DevSpend!HE$34+DevSpend!HE$35+DevSpend!HE$38+IF(209=MS_Initial_Closing_Start,OpReserve,0)</f>
        <v/>
      </c>
      <c r="HF5" s="218">
        <f>DevSpend!HF$34+DevSpend!HF$35+DevSpend!HF$38+IF(210=MS_Initial_Closing_Start,OpReserve,0)</f>
        <v/>
      </c>
      <c r="HG5" s="218">
        <f>DevSpend!HG$34+DevSpend!HG$35+DevSpend!HG$38+IF(211=MS_Initial_Closing_Start,OpReserve,0)</f>
        <v/>
      </c>
      <c r="HH5" s="218">
        <f>DevSpend!HH$34+DevSpend!HH$35+DevSpend!HH$38+IF(212=MS_Initial_Closing_Start,OpReserve,0)</f>
        <v/>
      </c>
      <c r="HI5" s="218">
        <f>DevSpend!HI$34+DevSpend!HI$35+DevSpend!HI$38+IF(213=MS_Initial_Closing_Start,OpReserve,0)</f>
        <v/>
      </c>
      <c r="HJ5" s="218">
        <f>DevSpend!HJ$34+DevSpend!HJ$35+DevSpend!HJ$38+IF(214=MS_Initial_Closing_Start,OpReserve,0)</f>
        <v/>
      </c>
      <c r="HK5" s="218">
        <f>DevSpend!HK$34+DevSpend!HK$35+DevSpend!HK$38+IF(215=MS_Initial_Closing_Start,OpReserve,0)</f>
        <v/>
      </c>
      <c r="HL5" s="218">
        <f>DevSpend!HL$34+DevSpend!HL$35+DevSpend!HL$38+IF(216=MS_Initial_Closing_Start,OpReserve,0)</f>
        <v/>
      </c>
      <c r="HM5" s="218">
        <f>DevSpend!HM$34+DevSpend!HM$35+DevSpend!HM$38+IF(217=MS_Initial_Closing_Start,OpReserve,0)</f>
        <v/>
      </c>
      <c r="HN5" s="218">
        <f>DevSpend!HN$34+DevSpend!HN$35+DevSpend!HN$38+IF(218=MS_Initial_Closing_Start,OpReserve,0)</f>
        <v/>
      </c>
      <c r="HO5" s="218">
        <f>DevSpend!HO$34+DevSpend!HO$35+DevSpend!HO$38+IF(219=MS_Initial_Closing_Start,OpReserve,0)</f>
        <v/>
      </c>
      <c r="HP5" s="218">
        <f>DevSpend!HP$34+DevSpend!HP$35+DevSpend!HP$38+IF(220=MS_Initial_Closing_Start,OpReserve,0)</f>
        <v/>
      </c>
      <c r="HQ5" s="218">
        <f>DevSpend!HQ$34+DevSpend!HQ$35+DevSpend!HQ$38+IF(221=MS_Initial_Closing_Start,OpReserve,0)</f>
        <v/>
      </c>
      <c r="HR5" s="218">
        <f>DevSpend!HR$34+DevSpend!HR$35+DevSpend!HR$38+IF(222=MS_Initial_Closing_Start,OpReserve,0)</f>
        <v/>
      </c>
      <c r="HS5" s="218">
        <f>DevSpend!HS$34+DevSpend!HS$35+DevSpend!HS$38+IF(223=MS_Initial_Closing_Start,OpReserve,0)</f>
        <v/>
      </c>
      <c r="HT5" s="218">
        <f>DevSpend!HT$34+DevSpend!HT$35+DevSpend!HT$38+IF(224=MS_Initial_Closing_Start,OpReserve,0)</f>
        <v/>
      </c>
      <c r="HU5" s="218">
        <f>DevSpend!HU$34+DevSpend!HU$35+DevSpend!HU$38+IF(225=MS_Initial_Closing_Start,OpReserve,0)</f>
        <v/>
      </c>
      <c r="HV5" s="218">
        <f>DevSpend!HV$34+DevSpend!HV$35+DevSpend!HV$38+IF(226=MS_Initial_Closing_Start,OpReserve,0)</f>
        <v/>
      </c>
      <c r="HW5" s="218">
        <f>DevSpend!HW$34+DevSpend!HW$35+DevSpend!HW$38+IF(227=MS_Initial_Closing_Start,OpReserve,0)</f>
        <v/>
      </c>
      <c r="HX5" s="218">
        <f>DevSpend!HX$34+DevSpend!HX$35+DevSpend!HX$38+IF(228=MS_Initial_Closing_Start,OpReserve,0)</f>
        <v/>
      </c>
      <c r="HY5" s="218">
        <f>DevSpend!HY$34+DevSpend!HY$35+DevSpend!HY$38+IF(229=MS_Initial_Closing_Start,OpReserve,0)</f>
        <v/>
      </c>
      <c r="HZ5" s="218">
        <f>DevSpend!HZ$34+DevSpend!HZ$35+DevSpend!HZ$38+IF(230=MS_Initial_Closing_Start,OpReserve,0)</f>
        <v/>
      </c>
      <c r="IA5" s="218">
        <f>DevSpend!IA$34+DevSpend!IA$35+DevSpend!IA$38+IF(231=MS_Initial_Closing_Start,OpReserve,0)</f>
        <v/>
      </c>
      <c r="IB5" s="218">
        <f>DevSpend!IB$34+DevSpend!IB$35+DevSpend!IB$38+IF(232=MS_Initial_Closing_Start,OpReserve,0)</f>
        <v/>
      </c>
      <c r="IC5" s="218">
        <f>DevSpend!IC$34+DevSpend!IC$35+DevSpend!IC$38+IF(233=MS_Initial_Closing_Start,OpReserve,0)</f>
        <v/>
      </c>
      <c r="ID5" s="218">
        <f>DevSpend!ID$34+DevSpend!ID$35+DevSpend!ID$38+IF(234=MS_Initial_Closing_Start,OpReserve,0)</f>
        <v/>
      </c>
      <c r="IE5" s="218">
        <f>DevSpend!IE$34+DevSpend!IE$35+DevSpend!IE$38+IF(235=MS_Initial_Closing_Start,OpReserve,0)</f>
        <v/>
      </c>
      <c r="IF5" s="218">
        <f>DevSpend!IF$34+DevSpend!IF$35+DevSpend!IF$38+IF(236=MS_Initial_Closing_Start,OpReserve,0)</f>
        <v/>
      </c>
      <c r="IG5" s="218">
        <f>DevSpend!IG$34+DevSpend!IG$35+DevSpend!IG$38+IF(237=MS_Initial_Closing_Start,OpReserve,0)</f>
        <v/>
      </c>
      <c r="IH5" s="218">
        <f>DevSpend!IH$34+DevSpend!IH$35+DevSpend!IH$38+IF(238=MS_Initial_Closing_Start,OpReserve,0)</f>
        <v/>
      </c>
      <c r="II5" s="218">
        <f>DevSpend!II$34+DevSpend!II$35+DevSpend!II$38+IF(239=MS_Initial_Closing_Start,OpReserve,0)</f>
        <v/>
      </c>
      <c r="IJ5" s="218">
        <f>DevSpend!IJ$34+DevSpend!IJ$35+DevSpend!IJ$38+IF(240=MS_Initial_Closing_Start,OpReserve,0)</f>
        <v/>
      </c>
      <c r="IK5" s="218">
        <f>DevSpend!IK$34+DevSpend!IK$35+DevSpend!IK$38+IF(241=MS_Initial_Closing_Start,OpReserve,0)</f>
        <v/>
      </c>
      <c r="IL5" s="218">
        <f>DevSpend!IL$34+DevSpend!IL$35+DevSpend!IL$38+IF(242=MS_Initial_Closing_Start,OpReserve,0)</f>
        <v/>
      </c>
      <c r="IM5" s="218">
        <f>DevSpend!IM$34+DevSpend!IM$35+DevSpend!IM$38+IF(243=MS_Initial_Closing_Start,OpReserve,0)</f>
        <v/>
      </c>
      <c r="IN5" s="218">
        <f>DevSpend!IN$34+DevSpend!IN$35+DevSpend!IN$38+IF(244=MS_Initial_Closing_Start,OpReserve,0)</f>
        <v/>
      </c>
      <c r="IO5" s="218">
        <f>DevSpend!IO$34+DevSpend!IO$35+DevSpend!IO$38+IF(245=MS_Initial_Closing_Start,OpReserve,0)</f>
        <v/>
      </c>
      <c r="IP5" s="218">
        <f>DevSpend!IP$34+DevSpend!IP$35+DevSpend!IP$38+IF(246=MS_Initial_Closing_Start,OpReserve,0)</f>
        <v/>
      </c>
      <c r="IQ5" s="218">
        <f>DevSpend!IQ$34+DevSpend!IQ$35+DevSpend!IQ$38+IF(247=MS_Initial_Closing_Start,OpReserve,0)</f>
        <v/>
      </c>
      <c r="IR5" s="218">
        <f>DevSpend!IR$34+DevSpend!IR$35+DevSpend!IR$38+IF(248=MS_Initial_Closing_Start,OpReserve,0)</f>
        <v/>
      </c>
      <c r="IS5" s="218">
        <f>DevSpend!IS$34+DevSpend!IS$35+DevSpend!IS$38+IF(249=MS_Initial_Closing_Start,OpReserve,0)</f>
        <v/>
      </c>
      <c r="IT5" s="218">
        <f>DevSpend!IT$34+DevSpend!IT$35+DevSpend!IT$38+IF(250=MS_Initial_Closing_Start,OpReserve,0)</f>
        <v/>
      </c>
      <c r="IU5" s="218">
        <f>DevSpend!IU$34+DevSpend!IU$35+DevSpend!IU$38+IF(251=MS_Initial_Closing_Start,OpReserve,0)</f>
        <v/>
      </c>
      <c r="IV5" s="218">
        <f>DevSpend!IV$34+DevSpend!IV$35+DevSpend!IV$38+IF(252=MS_Initial_Closing_Start,OpReserve,0)</f>
        <v/>
      </c>
      <c r="IW5" s="218">
        <f>DevSpend!IW$34+DevSpend!IW$35+DevSpend!IW$38+IF(253=MS_Initial_Closing_Start,OpReserve,0)</f>
        <v/>
      </c>
      <c r="IX5" s="218">
        <f>DevSpend!IX$34+DevSpend!IX$35+DevSpend!IX$38+IF(254=MS_Initial_Closing_Start,OpReserve,0)</f>
        <v/>
      </c>
      <c r="IY5" s="218">
        <f>DevSpend!IY$34+DevSpend!IY$35+DevSpend!IY$38+IF(255=MS_Initial_Closing_Start,OpReserve,0)</f>
        <v/>
      </c>
      <c r="IZ5" s="218">
        <f>DevSpend!IZ$34+DevSpend!IZ$35+DevSpend!IZ$38+IF(256=MS_Initial_Closing_Start,OpReserve,0)</f>
        <v/>
      </c>
      <c r="JA5" s="218">
        <f>DevSpend!JA$34+DevSpend!JA$35+DevSpend!JA$38+IF(257=MS_Initial_Closing_Start,OpReserve,0)</f>
        <v/>
      </c>
      <c r="JB5" s="218">
        <f>DevSpend!JB$34+DevSpend!JB$35+DevSpend!JB$38+IF(258=MS_Initial_Closing_Start,OpReserve,0)</f>
        <v/>
      </c>
      <c r="JC5" s="218">
        <f>DevSpend!JC$34+DevSpend!JC$35+DevSpend!JC$38+IF(259=MS_Initial_Closing_Start,OpReserve,0)</f>
        <v/>
      </c>
      <c r="JD5" s="218">
        <f>DevSpend!JD$34+DevSpend!JD$35+DevSpend!JD$38+IF(260=MS_Initial_Closing_Start,OpReserve,0)</f>
        <v/>
      </c>
      <c r="JE5" s="218">
        <f>DevSpend!JE$34+DevSpend!JE$35+DevSpend!JE$38+IF(261=MS_Initial_Closing_Start,OpReserve,0)</f>
        <v/>
      </c>
      <c r="JF5" s="218">
        <f>DevSpend!JF$34+DevSpend!JF$35+DevSpend!JF$38+IF(262=MS_Initial_Closing_Start,OpReserve,0)</f>
        <v/>
      </c>
      <c r="JG5" s="218">
        <f>DevSpend!JG$34+DevSpend!JG$35+DevSpend!JG$38+IF(263=MS_Initial_Closing_Start,OpReserve,0)</f>
        <v/>
      </c>
      <c r="JH5" s="218">
        <f>DevSpend!JH$34+DevSpend!JH$35+DevSpend!JH$38+IF(264=MS_Initial_Closing_Start,OpReserve,0)</f>
        <v/>
      </c>
      <c r="JI5" s="218">
        <f>DevSpend!JI$34+DevSpend!JI$35+DevSpend!JI$38+IF(265=MS_Initial_Closing_Start,OpReserve,0)</f>
        <v/>
      </c>
      <c r="JJ5" s="218">
        <f>DevSpend!JJ$34+DevSpend!JJ$35+DevSpend!JJ$38+IF(266=MS_Initial_Closing_Start,OpReserve,0)</f>
        <v/>
      </c>
      <c r="JK5" s="218">
        <f>DevSpend!JK$34+DevSpend!JK$35+DevSpend!JK$38+IF(267=MS_Initial_Closing_Start,OpReserve,0)</f>
        <v/>
      </c>
      <c r="JL5" s="218">
        <f>DevSpend!JL$34+DevSpend!JL$35+DevSpend!JL$38+IF(268=MS_Initial_Closing_Start,OpReserve,0)</f>
        <v/>
      </c>
      <c r="JM5" s="218">
        <f>DevSpend!JM$34+DevSpend!JM$35+DevSpend!JM$38+IF(269=MS_Initial_Closing_Start,OpReserve,0)</f>
        <v/>
      </c>
      <c r="JN5" s="218">
        <f>DevSpend!JN$34+DevSpend!JN$35+DevSpend!JN$38+IF(270=MS_Initial_Closing_Start,OpReserve,0)</f>
        <v/>
      </c>
      <c r="JO5" s="218">
        <f>DevSpend!JO$34+DevSpend!JO$35+DevSpend!JO$38+IF(271=MS_Initial_Closing_Start,OpReserve,0)</f>
        <v/>
      </c>
      <c r="JP5" s="218">
        <f>DevSpend!JP$34+DevSpend!JP$35+DevSpend!JP$38+IF(272=MS_Initial_Closing_Start,OpReserve,0)</f>
        <v/>
      </c>
      <c r="JQ5" s="218">
        <f>DevSpend!JQ$34+DevSpend!JQ$35+DevSpend!JQ$38+IF(273=MS_Initial_Closing_Start,OpReserve,0)</f>
        <v/>
      </c>
      <c r="JR5" s="218">
        <f>DevSpend!JR$34+DevSpend!JR$35+DevSpend!JR$38+IF(274=MS_Initial_Closing_Start,OpReserve,0)</f>
        <v/>
      </c>
      <c r="JS5" s="218">
        <f>DevSpend!JS$34+DevSpend!JS$35+DevSpend!JS$38+IF(275=MS_Initial_Closing_Start,OpReserve,0)</f>
        <v/>
      </c>
      <c r="JT5" s="218">
        <f>DevSpend!JT$34+DevSpend!JT$35+DevSpend!JT$38+IF(276=MS_Initial_Closing_Start,OpReserve,0)</f>
        <v/>
      </c>
      <c r="JU5" s="218">
        <f>DevSpend!JU$34+DevSpend!JU$35+DevSpend!JU$38+IF(277=MS_Initial_Closing_Start,OpReserve,0)</f>
        <v/>
      </c>
      <c r="JV5" s="218">
        <f>DevSpend!JV$34+DevSpend!JV$35+DevSpend!JV$38+IF(278=MS_Initial_Closing_Start,OpReserve,0)</f>
        <v/>
      </c>
      <c r="JW5" s="218">
        <f>DevSpend!JW$34+DevSpend!JW$35+DevSpend!JW$38+IF(279=MS_Initial_Closing_Start,OpReserve,0)</f>
        <v/>
      </c>
      <c r="JX5" s="218">
        <f>DevSpend!JX$34+DevSpend!JX$35+DevSpend!JX$38+IF(280=MS_Initial_Closing_Start,OpReserve,0)</f>
        <v/>
      </c>
      <c r="JY5" s="218">
        <f>DevSpend!JY$34+DevSpend!JY$35+DevSpend!JY$38+IF(281=MS_Initial_Closing_Start,OpReserve,0)</f>
        <v/>
      </c>
      <c r="JZ5" s="218">
        <f>DevSpend!JZ$34+DevSpend!JZ$35+DevSpend!JZ$38+IF(282=MS_Initial_Closing_Start,OpReserve,0)</f>
        <v/>
      </c>
      <c r="KA5" s="218">
        <f>DevSpend!KA$34+DevSpend!KA$35+DevSpend!KA$38+IF(283=MS_Initial_Closing_Start,OpReserve,0)</f>
        <v/>
      </c>
      <c r="KB5" s="218">
        <f>DevSpend!KB$34+DevSpend!KB$35+DevSpend!KB$38+IF(284=MS_Initial_Closing_Start,OpReserve,0)</f>
        <v/>
      </c>
      <c r="KC5" s="218">
        <f>DevSpend!KC$34+DevSpend!KC$35+DevSpend!KC$38+IF(285=MS_Initial_Closing_Start,OpReserve,0)</f>
        <v/>
      </c>
      <c r="KD5" s="218">
        <f>DevSpend!KD$34+DevSpend!KD$35+DevSpend!KD$38+IF(286=MS_Initial_Closing_Start,OpReserve,0)</f>
        <v/>
      </c>
      <c r="KE5" s="218">
        <f>DevSpend!KE$34+DevSpend!KE$35+DevSpend!KE$38+IF(287=MS_Initial_Closing_Start,OpReserve,0)</f>
        <v/>
      </c>
      <c r="KF5" s="218">
        <f>DevSpend!KF$34+DevSpend!KF$35+DevSpend!KF$38+IF(288=MS_Initial_Closing_Start,OpReserve,0)</f>
        <v/>
      </c>
      <c r="KG5" s="218">
        <f>DevSpend!KG$34+DevSpend!KG$35+DevSpend!KG$38+IF(289=MS_Initial_Closing_Start,OpReserve,0)</f>
        <v/>
      </c>
      <c r="KH5" s="218">
        <f>DevSpend!KH$34+DevSpend!KH$35+DevSpend!KH$38+IF(290=MS_Initial_Closing_Start,OpReserve,0)</f>
        <v/>
      </c>
      <c r="KI5" s="218">
        <f>DevSpend!KI$34+DevSpend!KI$35+DevSpend!KI$38+IF(291=MS_Initial_Closing_Start,OpReserve,0)</f>
        <v/>
      </c>
      <c r="KJ5" s="218">
        <f>DevSpend!KJ$34+DevSpend!KJ$35+DevSpend!KJ$38+IF(292=MS_Initial_Closing_Start,OpReserve,0)</f>
        <v/>
      </c>
      <c r="KK5" s="218">
        <f>DevSpend!KK$34+DevSpend!KK$35+DevSpend!KK$38+IF(293=MS_Initial_Closing_Start,OpReserve,0)</f>
        <v/>
      </c>
      <c r="KL5" s="218">
        <f>DevSpend!KL$34+DevSpend!KL$35+DevSpend!KL$38+IF(294=MS_Initial_Closing_Start,OpReserve,0)</f>
        <v/>
      </c>
      <c r="KM5" s="218">
        <f>DevSpend!KM$34+DevSpend!KM$35+DevSpend!KM$38+IF(295=MS_Initial_Closing_Start,OpReserve,0)</f>
        <v/>
      </c>
      <c r="KN5" s="218">
        <f>DevSpend!KN$34+DevSpend!KN$35+DevSpend!KN$38+IF(296=MS_Initial_Closing_Start,OpReserve,0)</f>
        <v/>
      </c>
      <c r="KO5" s="218">
        <f>DevSpend!KO$34+DevSpend!KO$35+DevSpend!KO$38+IF(297=MS_Initial_Closing_Start,OpReserve,0)</f>
        <v/>
      </c>
      <c r="KP5" s="218">
        <f>DevSpend!KP$34+DevSpend!KP$35+DevSpend!KP$38+IF(298=MS_Initial_Closing_Start,OpReserve,0)</f>
        <v/>
      </c>
      <c r="KQ5" s="218">
        <f>DevSpend!KQ$34+DevSpend!KQ$35+DevSpend!KQ$38+IF(299=MS_Initial_Closing_Start,OpReserve,0)</f>
        <v/>
      </c>
      <c r="KR5" s="218">
        <f>DevSpend!KR$34+DevSpend!KR$35+DevSpend!KR$38+IF(300=MS_Initial_Closing_Start,OpReserve,0)</f>
        <v/>
      </c>
      <c r="KS5" s="218">
        <f>DevSpend!KS$34+DevSpend!KS$35+DevSpend!KS$38+IF(301=MS_Initial_Closing_Start,OpReserve,0)</f>
        <v/>
      </c>
      <c r="KT5" s="218">
        <f>DevSpend!KT$34+DevSpend!KT$35+DevSpend!KT$38+IF(302=MS_Initial_Closing_Start,OpReserve,0)</f>
        <v/>
      </c>
      <c r="KU5" s="218">
        <f>DevSpend!KU$34+DevSpend!KU$35+DevSpend!KU$38+IF(303=MS_Initial_Closing_Start,OpReserve,0)</f>
        <v/>
      </c>
      <c r="KV5" s="218">
        <f>DevSpend!KV$34+DevSpend!KV$35+DevSpend!KV$38+IF(304=MS_Initial_Closing_Start,OpReserve,0)</f>
        <v/>
      </c>
      <c r="KW5" s="218">
        <f>DevSpend!KW$34+DevSpend!KW$35+DevSpend!KW$38+IF(305=MS_Initial_Closing_Start,OpReserve,0)</f>
        <v/>
      </c>
      <c r="KX5" s="218">
        <f>DevSpend!KX$34+DevSpend!KX$35+DevSpend!KX$38+IF(306=MS_Initial_Closing_Start,OpReserve,0)</f>
        <v/>
      </c>
      <c r="KY5" s="218">
        <f>DevSpend!KY$34+DevSpend!KY$35+DevSpend!KY$38+IF(307=MS_Initial_Closing_Start,OpReserve,0)</f>
        <v/>
      </c>
      <c r="KZ5" s="218">
        <f>DevSpend!KZ$34+DevSpend!KZ$35+DevSpend!KZ$38+IF(308=MS_Initial_Closing_Start,OpReserve,0)</f>
        <v/>
      </c>
      <c r="LA5" s="218">
        <f>DevSpend!LA$34+DevSpend!LA$35+DevSpend!LA$38+IF(309=MS_Initial_Closing_Start,OpReserve,0)</f>
        <v/>
      </c>
      <c r="LB5" s="218">
        <f>DevSpend!LB$34+DevSpend!LB$35+DevSpend!LB$38+IF(310=MS_Initial_Closing_Start,OpReserve,0)</f>
        <v/>
      </c>
      <c r="LC5" s="218">
        <f>DevSpend!LC$34+DevSpend!LC$35+DevSpend!LC$38+IF(311=MS_Initial_Closing_Start,OpReserve,0)</f>
        <v/>
      </c>
      <c r="LD5" s="218">
        <f>DevSpend!LD$34+DevSpend!LD$35+DevSpend!LD$38+IF(312=MS_Initial_Closing_Start,OpReserve,0)</f>
        <v/>
      </c>
      <c r="LE5" s="218">
        <f>DevSpend!LE$34+DevSpend!LE$35+DevSpend!LE$38+IF(313=MS_Initial_Closing_Start,OpReserve,0)</f>
        <v/>
      </c>
      <c r="LF5" s="218">
        <f>DevSpend!LF$34+DevSpend!LF$35+DevSpend!LF$38+IF(314=MS_Initial_Closing_Start,OpReserve,0)</f>
        <v/>
      </c>
      <c r="LG5" s="218">
        <f>DevSpend!LG$34+DevSpend!LG$35+DevSpend!LG$38+IF(315=MS_Initial_Closing_Start,OpReserve,0)</f>
        <v/>
      </c>
      <c r="LH5" s="218">
        <f>DevSpend!LH$34+DevSpend!LH$35+DevSpend!LH$38+IF(316=MS_Initial_Closing_Start,OpReserve,0)</f>
        <v/>
      </c>
      <c r="LI5" s="218">
        <f>DevSpend!LI$34+DevSpend!LI$35+DevSpend!LI$38+IF(317=MS_Initial_Closing_Start,OpReserve,0)</f>
        <v/>
      </c>
      <c r="LJ5" s="218">
        <f>DevSpend!LJ$34+DevSpend!LJ$35+DevSpend!LJ$38+IF(318=MS_Initial_Closing_Start,OpReserve,0)</f>
        <v/>
      </c>
      <c r="LK5" s="218">
        <f>DevSpend!LK$34+DevSpend!LK$35+DevSpend!LK$38+IF(319=MS_Initial_Closing_Start,OpReserve,0)</f>
        <v/>
      </c>
      <c r="LL5" s="218">
        <f>DevSpend!LL$34+DevSpend!LL$35+DevSpend!LL$38+IF(320=MS_Initial_Closing_Start,OpReserve,0)</f>
        <v/>
      </c>
      <c r="LM5" s="218">
        <f>DevSpend!LM$34+DevSpend!LM$35+DevSpend!LM$38+IF(321=MS_Initial_Closing_Start,OpReserve,0)</f>
        <v/>
      </c>
      <c r="LN5" s="218">
        <f>DevSpend!LN$34+DevSpend!LN$35+DevSpend!LN$38+IF(322=MS_Initial_Closing_Start,OpReserve,0)</f>
        <v/>
      </c>
      <c r="LO5" s="218">
        <f>DevSpend!LO$34+DevSpend!LO$35+DevSpend!LO$38+IF(323=MS_Initial_Closing_Start,OpReserve,0)</f>
        <v/>
      </c>
      <c r="LP5" s="218">
        <f>DevSpend!LP$34+DevSpend!LP$35+DevSpend!LP$38+IF(324=MS_Initial_Closing_Start,OpReserve,0)</f>
        <v/>
      </c>
      <c r="LQ5" s="218">
        <f>DevSpend!LQ$34+DevSpend!LQ$35+DevSpend!LQ$38+IF(325=MS_Initial_Closing_Start,OpReserve,0)</f>
        <v/>
      </c>
      <c r="LR5" s="218">
        <f>DevSpend!LR$34+DevSpend!LR$35+DevSpend!LR$38+IF(326=MS_Initial_Closing_Start,OpReserve,0)</f>
        <v/>
      </c>
      <c r="LS5" s="218">
        <f>DevSpend!LS$34+DevSpend!LS$35+DevSpend!LS$38+IF(327=MS_Initial_Closing_Start,OpReserve,0)</f>
        <v/>
      </c>
      <c r="LT5" s="218">
        <f>DevSpend!LT$34+DevSpend!LT$35+DevSpend!LT$38+IF(328=MS_Initial_Closing_Start,OpReserve,0)</f>
        <v/>
      </c>
      <c r="LU5" s="218">
        <f>DevSpend!LU$34+DevSpend!LU$35+DevSpend!LU$38+IF(329=MS_Initial_Closing_Start,OpReserve,0)</f>
        <v/>
      </c>
      <c r="LV5" s="218">
        <f>DevSpend!LV$34+DevSpend!LV$35+DevSpend!LV$38+IF(330=MS_Initial_Closing_Start,OpReserve,0)</f>
        <v/>
      </c>
      <c r="LW5" s="218">
        <f>DevSpend!LW$34+DevSpend!LW$35+DevSpend!LW$38+IF(331=MS_Initial_Closing_Start,OpReserve,0)</f>
        <v/>
      </c>
      <c r="LX5" s="218">
        <f>DevSpend!LX$34+DevSpend!LX$35+DevSpend!LX$38+IF(332=MS_Initial_Closing_Start,OpReserve,0)</f>
        <v/>
      </c>
      <c r="LY5" s="218">
        <f>DevSpend!LY$34+DevSpend!LY$35+DevSpend!LY$38+IF(333=MS_Initial_Closing_Start,OpReserve,0)</f>
        <v/>
      </c>
      <c r="LZ5" s="218">
        <f>DevSpend!LZ$34+DevSpend!LZ$35+DevSpend!LZ$38+IF(334=MS_Initial_Closing_Start,OpReserve,0)</f>
        <v/>
      </c>
      <c r="MA5" s="218">
        <f>DevSpend!MA$34+DevSpend!MA$35+DevSpend!MA$38+IF(335=MS_Initial_Closing_Start,OpReserve,0)</f>
        <v/>
      </c>
      <c r="MB5" s="218">
        <f>DevSpend!MB$34+DevSpend!MB$35+DevSpend!MB$38+IF(336=MS_Initial_Closing_Start,OpReserve,0)</f>
        <v/>
      </c>
      <c r="MC5" s="218">
        <f>DevSpend!MC$34+DevSpend!MC$35+DevSpend!MC$38+IF(337=MS_Initial_Closing_Start,OpReserve,0)</f>
        <v/>
      </c>
      <c r="MD5" s="218">
        <f>DevSpend!MD$34+DevSpend!MD$35+DevSpend!MD$38+IF(338=MS_Initial_Closing_Start,OpReserve,0)</f>
        <v/>
      </c>
      <c r="ME5" s="218">
        <f>DevSpend!ME$34+DevSpend!ME$35+DevSpend!ME$38+IF(339=MS_Initial_Closing_Start,OpReserve,0)</f>
        <v/>
      </c>
      <c r="MF5" s="218">
        <f>DevSpend!MF$34+DevSpend!MF$35+DevSpend!MF$38+IF(340=MS_Initial_Closing_Start,OpReserve,0)</f>
        <v/>
      </c>
      <c r="MG5" s="218">
        <f>DevSpend!MG$34+DevSpend!MG$35+DevSpend!MG$38+IF(341=MS_Initial_Closing_Start,OpReserve,0)</f>
        <v/>
      </c>
      <c r="MH5" s="218">
        <f>DevSpend!MH$34+DevSpend!MH$35+DevSpend!MH$38+IF(342=MS_Initial_Closing_Start,OpReserve,0)</f>
        <v/>
      </c>
      <c r="MI5" s="218">
        <f>DevSpend!MI$34+DevSpend!MI$35+DevSpend!MI$38+IF(343=MS_Initial_Closing_Start,OpReserve,0)</f>
        <v/>
      </c>
      <c r="MJ5" s="218">
        <f>DevSpend!MJ$34+DevSpend!MJ$35+DevSpend!MJ$38+IF(344=MS_Initial_Closing_Start,OpReserve,0)</f>
        <v/>
      </c>
      <c r="MK5" s="218">
        <f>DevSpend!MK$34+DevSpend!MK$35+DevSpend!MK$38+IF(345=MS_Initial_Closing_Start,OpReserve,0)</f>
        <v/>
      </c>
      <c r="ML5" s="218">
        <f>DevSpend!ML$34+DevSpend!ML$35+DevSpend!ML$38+IF(346=MS_Initial_Closing_Start,OpReserve,0)</f>
        <v/>
      </c>
      <c r="MM5" s="218">
        <f>DevSpend!MM$34+DevSpend!MM$35+DevSpend!MM$38+IF(347=MS_Initial_Closing_Start,OpReserve,0)</f>
        <v/>
      </c>
      <c r="MN5" s="218">
        <f>DevSpend!MN$34+DevSpend!MN$35+DevSpend!MN$38+IF(348=MS_Initial_Closing_Start,OpReserve,0)</f>
        <v/>
      </c>
      <c r="MO5" s="218">
        <f>DevSpend!MO$34+DevSpend!MO$35+DevSpend!MO$38+IF(349=MS_Initial_Closing_Start,OpReserve,0)</f>
        <v/>
      </c>
      <c r="MP5" s="218">
        <f>DevSpend!MP$34+DevSpend!MP$35+DevSpend!MP$38+IF(350=MS_Initial_Closing_Start,OpReserve,0)</f>
        <v/>
      </c>
      <c r="MQ5" s="218">
        <f>DevSpend!MQ$34+DevSpend!MQ$35+DevSpend!MQ$38+IF(351=MS_Initial_Closing_Start,OpReserve,0)</f>
        <v/>
      </c>
      <c r="MR5" s="218">
        <f>DevSpend!MR$34+DevSpend!MR$35+DevSpend!MR$38+IF(352=MS_Initial_Closing_Start,OpReserve,0)</f>
        <v/>
      </c>
      <c r="MS5" s="218">
        <f>DevSpend!MS$34+DevSpend!MS$35+DevSpend!MS$38+IF(353=MS_Initial_Closing_Start,OpReserve,0)</f>
        <v/>
      </c>
      <c r="MT5" s="218">
        <f>DevSpend!MT$34+DevSpend!MT$35+DevSpend!MT$38+IF(354=MS_Initial_Closing_Start,OpReserve,0)</f>
        <v/>
      </c>
      <c r="MU5" s="218">
        <f>DevSpend!MU$34+DevSpend!MU$35+DevSpend!MU$38+IF(355=MS_Initial_Closing_Start,OpReserve,0)</f>
        <v/>
      </c>
      <c r="MV5" s="218">
        <f>DevSpend!MV$34+DevSpend!MV$35+DevSpend!MV$38+IF(356=MS_Initial_Closing_Start,OpReserve,0)</f>
        <v/>
      </c>
      <c r="MW5" s="218">
        <f>DevSpend!MW$34+DevSpend!MW$35+DevSpend!MW$38+IF(357=MS_Initial_Closing_Start,OpReserve,0)</f>
        <v/>
      </c>
      <c r="MX5" s="218">
        <f>DevSpend!MX$34+DevSpend!MX$35+DevSpend!MX$38+IF(358=MS_Initial_Closing_Start,OpReserve,0)</f>
        <v/>
      </c>
      <c r="MY5" s="218">
        <f>DevSpend!MY$34+DevSpend!MY$35+DevSpend!MY$38+IF(359=MS_Initial_Closing_Start,OpReserve,0)</f>
        <v/>
      </c>
      <c r="MZ5" s="218">
        <f>DevSpend!MZ$34+DevSpend!MZ$35+DevSpend!MZ$38+IF(360=MS_Initial_Closing_Start,OpReserve,0)</f>
        <v/>
      </c>
      <c r="NA5" s="218">
        <f>DevSpend!NA$34+DevSpend!NA$35+DevSpend!NA$38+IF(361=MS_Initial_Closing_Start,OpReserve,0)</f>
        <v/>
      </c>
      <c r="NB5" s="218">
        <f>DevSpend!NB$34+DevSpend!NB$35+DevSpend!NB$38+IF(362=MS_Initial_Closing_Start,OpReserve,0)</f>
        <v/>
      </c>
      <c r="NC5" s="218">
        <f>DevSpend!NC$34+DevSpend!NC$35+DevSpend!NC$38+IF(363=MS_Initial_Closing_Start,OpReserve,0)</f>
        <v/>
      </c>
      <c r="ND5" s="218">
        <f>DevSpend!ND$34+DevSpend!ND$35+DevSpend!ND$38+IF(364=MS_Initial_Closing_Start,OpReserve,0)</f>
        <v/>
      </c>
      <c r="NE5" s="218">
        <f>DevSpend!NE$34+DevSpend!NE$35+DevSpend!NE$38+IF(365=MS_Initial_Closing_Start,OpReserve,0)</f>
        <v/>
      </c>
      <c r="NF5" s="218">
        <f>DevSpend!NF$34+DevSpend!NF$35+DevSpend!NF$38+IF(366=MS_Initial_Closing_Start,OpReserve,0)</f>
        <v/>
      </c>
      <c r="NG5" s="218">
        <f>DevSpend!NG$34+DevSpend!NG$35+DevSpend!NG$38+IF(367=MS_Initial_Closing_Start,OpReserve,0)</f>
        <v/>
      </c>
      <c r="NH5" s="218">
        <f>DevSpend!NH$34+DevSpend!NH$35+DevSpend!NH$38+IF(368=MS_Initial_Closing_Start,OpReserve,0)</f>
        <v/>
      </c>
      <c r="NI5" s="218">
        <f>DevSpend!NI$34+DevSpend!NI$35+DevSpend!NI$38+IF(369=MS_Initial_Closing_Start,OpReserve,0)</f>
        <v/>
      </c>
      <c r="NJ5" s="218">
        <f>DevSpend!NJ$34+DevSpend!NJ$35+DevSpend!NJ$38+IF(370=MS_Initial_Closing_Start,OpReserve,0)</f>
        <v/>
      </c>
      <c r="NK5" s="218">
        <f>DevSpend!NK$34+DevSpend!NK$35+DevSpend!NK$38+IF(371=MS_Initial_Closing_Start,OpReserve,0)</f>
        <v/>
      </c>
      <c r="NL5" s="225">
        <f>DevSpend!NL$34+DevSpend!NL$35+DevSpend!NL$38+IF(372=MS_Initial_Closing_Start,OpReserve,0)</f>
        <v/>
      </c>
    </row>
    <row r="6">
      <c r="B6" s="50" t="inlineStr">
        <is>
          <t>Levered Cash Flow (to equity)</t>
        </is>
      </c>
      <c r="D6" s="266">
        <f>SUM(E6:NL6)</f>
        <v/>
      </c>
      <c r="E6" s="267">
        <f>-ConLoan!E$27+IF(Timeline!E$41=1,Operating!E$42-PermLoan!E$29,0)+IF(1=StabMonth,OpReserve,0)+IF(1=RefiMonth,RefiCashOut,0)+IF(1=DispoMonth,NetSale,0)</f>
        <v/>
      </c>
      <c r="F6" s="267">
        <f>-ConLoan!F$27+IF(Timeline!F$41=1,Operating!F$42-PermLoan!F$29,0)+IF(2=StabMonth,OpReserve,0)+IF(2=RefiMonth,RefiCashOut,0)+IF(2=DispoMonth,NetSale,0)</f>
        <v/>
      </c>
      <c r="G6" s="267">
        <f>-ConLoan!G$27+IF(Timeline!G$41=1,Operating!G$42-PermLoan!G$29,0)+IF(3=StabMonth,OpReserve,0)+IF(3=RefiMonth,RefiCashOut,0)+IF(3=DispoMonth,NetSale,0)</f>
        <v/>
      </c>
      <c r="H6" s="267">
        <f>-ConLoan!H$27+IF(Timeline!H$41=1,Operating!H$42-PermLoan!H$29,0)+IF(4=StabMonth,OpReserve,0)+IF(4=RefiMonth,RefiCashOut,0)+IF(4=DispoMonth,NetSale,0)</f>
        <v/>
      </c>
      <c r="I6" s="267">
        <f>-ConLoan!I$27+IF(Timeline!I$41=1,Operating!I$42-PermLoan!I$29,0)+IF(5=StabMonth,OpReserve,0)+IF(5=RefiMonth,RefiCashOut,0)+IF(5=DispoMonth,NetSale,0)</f>
        <v/>
      </c>
      <c r="J6" s="267">
        <f>-ConLoan!J$27+IF(Timeline!J$41=1,Operating!J$42-PermLoan!J$29,0)+IF(6=StabMonth,OpReserve,0)+IF(6=RefiMonth,RefiCashOut,0)+IF(6=DispoMonth,NetSale,0)</f>
        <v/>
      </c>
      <c r="K6" s="267">
        <f>-ConLoan!K$27+IF(Timeline!K$41=1,Operating!K$42-PermLoan!K$29,0)+IF(7=StabMonth,OpReserve,0)+IF(7=RefiMonth,RefiCashOut,0)+IF(7=DispoMonth,NetSale,0)</f>
        <v/>
      </c>
      <c r="L6" s="267">
        <f>-ConLoan!L$27+IF(Timeline!L$41=1,Operating!L$42-PermLoan!L$29,0)+IF(8=StabMonth,OpReserve,0)+IF(8=RefiMonth,RefiCashOut,0)+IF(8=DispoMonth,NetSale,0)</f>
        <v/>
      </c>
      <c r="M6" s="267">
        <f>-ConLoan!M$27+IF(Timeline!M$41=1,Operating!M$42-PermLoan!M$29,0)+IF(9=StabMonth,OpReserve,0)+IF(9=RefiMonth,RefiCashOut,0)+IF(9=DispoMonth,NetSale,0)</f>
        <v/>
      </c>
      <c r="N6" s="267">
        <f>-ConLoan!N$27+IF(Timeline!N$41=1,Operating!N$42-PermLoan!N$29,0)+IF(10=StabMonth,OpReserve,0)+IF(10=RefiMonth,RefiCashOut,0)+IF(10=DispoMonth,NetSale,0)</f>
        <v/>
      </c>
      <c r="O6" s="267">
        <f>-ConLoan!O$27+IF(Timeline!O$41=1,Operating!O$42-PermLoan!O$29,0)+IF(11=StabMonth,OpReserve,0)+IF(11=RefiMonth,RefiCashOut,0)+IF(11=DispoMonth,NetSale,0)</f>
        <v/>
      </c>
      <c r="P6" s="267">
        <f>-ConLoan!P$27+IF(Timeline!P$41=1,Operating!P$42-PermLoan!P$29,0)+IF(12=StabMonth,OpReserve,0)+IF(12=RefiMonth,RefiCashOut,0)+IF(12=DispoMonth,NetSale,0)</f>
        <v/>
      </c>
      <c r="Q6" s="267">
        <f>-ConLoan!Q$27+IF(Timeline!Q$41=1,Operating!Q$42-PermLoan!Q$29,0)+IF(13=StabMonth,OpReserve,0)+IF(13=RefiMonth,RefiCashOut,0)+IF(13=DispoMonth,NetSale,0)</f>
        <v/>
      </c>
      <c r="R6" s="267">
        <f>-ConLoan!R$27+IF(Timeline!R$41=1,Operating!R$42-PermLoan!R$29,0)+IF(14=StabMonth,OpReserve,0)+IF(14=RefiMonth,RefiCashOut,0)+IF(14=DispoMonth,NetSale,0)</f>
        <v/>
      </c>
      <c r="S6" s="267">
        <f>-ConLoan!S$27+IF(Timeline!S$41=1,Operating!S$42-PermLoan!S$29,0)+IF(15=StabMonth,OpReserve,0)+IF(15=RefiMonth,RefiCashOut,0)+IF(15=DispoMonth,NetSale,0)</f>
        <v/>
      </c>
      <c r="T6" s="267">
        <f>-ConLoan!T$27+IF(Timeline!T$41=1,Operating!T$42-PermLoan!T$29,0)+IF(16=StabMonth,OpReserve,0)+IF(16=RefiMonth,RefiCashOut,0)+IF(16=DispoMonth,NetSale,0)</f>
        <v/>
      </c>
      <c r="U6" s="267">
        <f>-ConLoan!U$27+IF(Timeline!U$41=1,Operating!U$42-PermLoan!U$29,0)+IF(17=StabMonth,OpReserve,0)+IF(17=RefiMonth,RefiCashOut,0)+IF(17=DispoMonth,NetSale,0)</f>
        <v/>
      </c>
      <c r="V6" s="267">
        <f>-ConLoan!V$27+IF(Timeline!V$41=1,Operating!V$42-PermLoan!V$29,0)+IF(18=StabMonth,OpReserve,0)+IF(18=RefiMonth,RefiCashOut,0)+IF(18=DispoMonth,NetSale,0)</f>
        <v/>
      </c>
      <c r="W6" s="267">
        <f>-ConLoan!W$27+IF(Timeline!W$41=1,Operating!W$42-PermLoan!W$29,0)+IF(19=StabMonth,OpReserve,0)+IF(19=RefiMonth,RefiCashOut,0)+IF(19=DispoMonth,NetSale,0)</f>
        <v/>
      </c>
      <c r="X6" s="267">
        <f>-ConLoan!X$27+IF(Timeline!X$41=1,Operating!X$42-PermLoan!X$29,0)+IF(20=StabMonth,OpReserve,0)+IF(20=RefiMonth,RefiCashOut,0)+IF(20=DispoMonth,NetSale,0)</f>
        <v/>
      </c>
      <c r="Y6" s="267">
        <f>-ConLoan!Y$27+IF(Timeline!Y$41=1,Operating!Y$42-PermLoan!Y$29,0)+IF(21=StabMonth,OpReserve,0)+IF(21=RefiMonth,RefiCashOut,0)+IF(21=DispoMonth,NetSale,0)</f>
        <v/>
      </c>
      <c r="Z6" s="267">
        <f>-ConLoan!Z$27+IF(Timeline!Z$41=1,Operating!Z$42-PermLoan!Z$29,0)+IF(22=StabMonth,OpReserve,0)+IF(22=RefiMonth,RefiCashOut,0)+IF(22=DispoMonth,NetSale,0)</f>
        <v/>
      </c>
      <c r="AA6" s="267">
        <f>-ConLoan!AA$27+IF(Timeline!AA$41=1,Operating!AA$42-PermLoan!AA$29,0)+IF(23=StabMonth,OpReserve,0)+IF(23=RefiMonth,RefiCashOut,0)+IF(23=DispoMonth,NetSale,0)</f>
        <v/>
      </c>
      <c r="AB6" s="267">
        <f>-ConLoan!AB$27+IF(Timeline!AB$41=1,Operating!AB$42-PermLoan!AB$29,0)+IF(24=StabMonth,OpReserve,0)+IF(24=RefiMonth,RefiCashOut,0)+IF(24=DispoMonth,NetSale,0)</f>
        <v/>
      </c>
      <c r="AC6" s="267">
        <f>-ConLoan!AC$27+IF(Timeline!AC$41=1,Operating!AC$42-PermLoan!AC$29,0)+IF(25=StabMonth,OpReserve,0)+IF(25=RefiMonth,RefiCashOut,0)+IF(25=DispoMonth,NetSale,0)</f>
        <v/>
      </c>
      <c r="AD6" s="267">
        <f>-ConLoan!AD$27+IF(Timeline!AD$41=1,Operating!AD$42-PermLoan!AD$29,0)+IF(26=StabMonth,OpReserve,0)+IF(26=RefiMonth,RefiCashOut,0)+IF(26=DispoMonth,NetSale,0)</f>
        <v/>
      </c>
      <c r="AE6" s="267">
        <f>-ConLoan!AE$27+IF(Timeline!AE$41=1,Operating!AE$42-PermLoan!AE$29,0)+IF(27=StabMonth,OpReserve,0)+IF(27=RefiMonth,RefiCashOut,0)+IF(27=DispoMonth,NetSale,0)</f>
        <v/>
      </c>
      <c r="AF6" s="267">
        <f>-ConLoan!AF$27+IF(Timeline!AF$41=1,Operating!AF$42-PermLoan!AF$29,0)+IF(28=StabMonth,OpReserve,0)+IF(28=RefiMonth,RefiCashOut,0)+IF(28=DispoMonth,NetSale,0)</f>
        <v/>
      </c>
      <c r="AG6" s="267">
        <f>-ConLoan!AG$27+IF(Timeline!AG$41=1,Operating!AG$42-PermLoan!AG$29,0)+IF(29=StabMonth,OpReserve,0)+IF(29=RefiMonth,RefiCashOut,0)+IF(29=DispoMonth,NetSale,0)</f>
        <v/>
      </c>
      <c r="AH6" s="267">
        <f>-ConLoan!AH$27+IF(Timeline!AH$41=1,Operating!AH$42-PermLoan!AH$29,0)+IF(30=StabMonth,OpReserve,0)+IF(30=RefiMonth,RefiCashOut,0)+IF(30=DispoMonth,NetSale,0)</f>
        <v/>
      </c>
      <c r="AI6" s="267">
        <f>-ConLoan!AI$27+IF(Timeline!AI$41=1,Operating!AI$42-PermLoan!AI$29,0)+IF(31=StabMonth,OpReserve,0)+IF(31=RefiMonth,RefiCashOut,0)+IF(31=DispoMonth,NetSale,0)</f>
        <v/>
      </c>
      <c r="AJ6" s="267">
        <f>-ConLoan!AJ$27+IF(Timeline!AJ$41=1,Operating!AJ$42-PermLoan!AJ$29,0)+IF(32=StabMonth,OpReserve,0)+IF(32=RefiMonth,RefiCashOut,0)+IF(32=DispoMonth,NetSale,0)</f>
        <v/>
      </c>
      <c r="AK6" s="267">
        <f>-ConLoan!AK$27+IF(Timeline!AK$41=1,Operating!AK$42-PermLoan!AK$29,0)+IF(33=StabMonth,OpReserve,0)+IF(33=RefiMonth,RefiCashOut,0)+IF(33=DispoMonth,NetSale,0)</f>
        <v/>
      </c>
      <c r="AL6" s="267">
        <f>-ConLoan!AL$27+IF(Timeline!AL$41=1,Operating!AL$42-PermLoan!AL$29,0)+IF(34=StabMonth,OpReserve,0)+IF(34=RefiMonth,RefiCashOut,0)+IF(34=DispoMonth,NetSale,0)</f>
        <v/>
      </c>
      <c r="AM6" s="267">
        <f>-ConLoan!AM$27+IF(Timeline!AM$41=1,Operating!AM$42-PermLoan!AM$29,0)+IF(35=StabMonth,OpReserve,0)+IF(35=RefiMonth,RefiCashOut,0)+IF(35=DispoMonth,NetSale,0)</f>
        <v/>
      </c>
      <c r="AN6" s="267">
        <f>-ConLoan!AN$27+IF(Timeline!AN$41=1,Operating!AN$42-PermLoan!AN$29,0)+IF(36=StabMonth,OpReserve,0)+IF(36=RefiMonth,RefiCashOut,0)+IF(36=DispoMonth,NetSale,0)</f>
        <v/>
      </c>
      <c r="AO6" s="267">
        <f>-ConLoan!AO$27+IF(Timeline!AO$41=1,Operating!AO$42-PermLoan!AO$29,0)+IF(37=StabMonth,OpReserve,0)+IF(37=RefiMonth,RefiCashOut,0)+IF(37=DispoMonth,NetSale,0)</f>
        <v/>
      </c>
      <c r="AP6" s="267">
        <f>-ConLoan!AP$27+IF(Timeline!AP$41=1,Operating!AP$42-PermLoan!AP$29,0)+IF(38=StabMonth,OpReserve,0)+IF(38=RefiMonth,RefiCashOut,0)+IF(38=DispoMonth,NetSale,0)</f>
        <v/>
      </c>
      <c r="AQ6" s="267">
        <f>-ConLoan!AQ$27+IF(Timeline!AQ$41=1,Operating!AQ$42-PermLoan!AQ$29,0)+IF(39=StabMonth,OpReserve,0)+IF(39=RefiMonth,RefiCashOut,0)+IF(39=DispoMonth,NetSale,0)</f>
        <v/>
      </c>
      <c r="AR6" s="267">
        <f>-ConLoan!AR$27+IF(Timeline!AR$41=1,Operating!AR$42-PermLoan!AR$29,0)+IF(40=StabMonth,OpReserve,0)+IF(40=RefiMonth,RefiCashOut,0)+IF(40=DispoMonth,NetSale,0)</f>
        <v/>
      </c>
      <c r="AS6" s="267">
        <f>-ConLoan!AS$27+IF(Timeline!AS$41=1,Operating!AS$42-PermLoan!AS$29,0)+IF(41=StabMonth,OpReserve,0)+IF(41=RefiMonth,RefiCashOut,0)+IF(41=DispoMonth,NetSale,0)</f>
        <v/>
      </c>
      <c r="AT6" s="267">
        <f>-ConLoan!AT$27+IF(Timeline!AT$41=1,Operating!AT$42-PermLoan!AT$29,0)+IF(42=StabMonth,OpReserve,0)+IF(42=RefiMonth,RefiCashOut,0)+IF(42=DispoMonth,NetSale,0)</f>
        <v/>
      </c>
      <c r="AU6" s="267">
        <f>-ConLoan!AU$27+IF(Timeline!AU$41=1,Operating!AU$42-PermLoan!AU$29,0)+IF(43=StabMonth,OpReserve,0)+IF(43=RefiMonth,RefiCashOut,0)+IF(43=DispoMonth,NetSale,0)</f>
        <v/>
      </c>
      <c r="AV6" s="267">
        <f>-ConLoan!AV$27+IF(Timeline!AV$41=1,Operating!AV$42-PermLoan!AV$29,0)+IF(44=StabMonth,OpReserve,0)+IF(44=RefiMonth,RefiCashOut,0)+IF(44=DispoMonth,NetSale,0)</f>
        <v/>
      </c>
      <c r="AW6" s="267">
        <f>-ConLoan!AW$27+IF(Timeline!AW$41=1,Operating!AW$42-PermLoan!AW$29,0)+IF(45=StabMonth,OpReserve,0)+IF(45=RefiMonth,RefiCashOut,0)+IF(45=DispoMonth,NetSale,0)</f>
        <v/>
      </c>
      <c r="AX6" s="267">
        <f>-ConLoan!AX$27+IF(Timeline!AX$41=1,Operating!AX$42-PermLoan!AX$29,0)+IF(46=StabMonth,OpReserve,0)+IF(46=RefiMonth,RefiCashOut,0)+IF(46=DispoMonth,NetSale,0)</f>
        <v/>
      </c>
      <c r="AY6" s="267">
        <f>-ConLoan!AY$27+IF(Timeline!AY$41=1,Operating!AY$42-PermLoan!AY$29,0)+IF(47=StabMonth,OpReserve,0)+IF(47=RefiMonth,RefiCashOut,0)+IF(47=DispoMonth,NetSale,0)</f>
        <v/>
      </c>
      <c r="AZ6" s="267">
        <f>-ConLoan!AZ$27+IF(Timeline!AZ$41=1,Operating!AZ$42-PermLoan!AZ$29,0)+IF(48=StabMonth,OpReserve,0)+IF(48=RefiMonth,RefiCashOut,0)+IF(48=DispoMonth,NetSale,0)</f>
        <v/>
      </c>
      <c r="BA6" s="267">
        <f>-ConLoan!BA$27+IF(Timeline!BA$41=1,Operating!BA$42-PermLoan!BA$29,0)+IF(49=StabMonth,OpReserve,0)+IF(49=RefiMonth,RefiCashOut,0)+IF(49=DispoMonth,NetSale,0)</f>
        <v/>
      </c>
      <c r="BB6" s="267">
        <f>-ConLoan!BB$27+IF(Timeline!BB$41=1,Operating!BB$42-PermLoan!BB$29,0)+IF(50=StabMonth,OpReserve,0)+IF(50=RefiMonth,RefiCashOut,0)+IF(50=DispoMonth,NetSale,0)</f>
        <v/>
      </c>
      <c r="BC6" s="267">
        <f>-ConLoan!BC$27+IF(Timeline!BC$41=1,Operating!BC$42-PermLoan!BC$29,0)+IF(51=StabMonth,OpReserve,0)+IF(51=RefiMonth,RefiCashOut,0)+IF(51=DispoMonth,NetSale,0)</f>
        <v/>
      </c>
      <c r="BD6" s="267">
        <f>-ConLoan!BD$27+IF(Timeline!BD$41=1,Operating!BD$42-PermLoan!BD$29,0)+IF(52=StabMonth,OpReserve,0)+IF(52=RefiMonth,RefiCashOut,0)+IF(52=DispoMonth,NetSale,0)</f>
        <v/>
      </c>
      <c r="BE6" s="267">
        <f>-ConLoan!BE$27+IF(Timeline!BE$41=1,Operating!BE$42-PermLoan!BE$29,0)+IF(53=StabMonth,OpReserve,0)+IF(53=RefiMonth,RefiCashOut,0)+IF(53=DispoMonth,NetSale,0)</f>
        <v/>
      </c>
      <c r="BF6" s="267">
        <f>-ConLoan!BF$27+IF(Timeline!BF$41=1,Operating!BF$42-PermLoan!BF$29,0)+IF(54=StabMonth,OpReserve,0)+IF(54=RefiMonth,RefiCashOut,0)+IF(54=DispoMonth,NetSale,0)</f>
        <v/>
      </c>
      <c r="BG6" s="267">
        <f>-ConLoan!BG$27+IF(Timeline!BG$41=1,Operating!BG$42-PermLoan!BG$29,0)+IF(55=StabMonth,OpReserve,0)+IF(55=RefiMonth,RefiCashOut,0)+IF(55=DispoMonth,NetSale,0)</f>
        <v/>
      </c>
      <c r="BH6" s="267">
        <f>-ConLoan!BH$27+IF(Timeline!BH$41=1,Operating!BH$42-PermLoan!BH$29,0)+IF(56=StabMonth,OpReserve,0)+IF(56=RefiMonth,RefiCashOut,0)+IF(56=DispoMonth,NetSale,0)</f>
        <v/>
      </c>
      <c r="BI6" s="267">
        <f>-ConLoan!BI$27+IF(Timeline!BI$41=1,Operating!BI$42-PermLoan!BI$29,0)+IF(57=StabMonth,OpReserve,0)+IF(57=RefiMonth,RefiCashOut,0)+IF(57=DispoMonth,NetSale,0)</f>
        <v/>
      </c>
      <c r="BJ6" s="267">
        <f>-ConLoan!BJ$27+IF(Timeline!BJ$41=1,Operating!BJ$42-PermLoan!BJ$29,0)+IF(58=StabMonth,OpReserve,0)+IF(58=RefiMonth,RefiCashOut,0)+IF(58=DispoMonth,NetSale,0)</f>
        <v/>
      </c>
      <c r="BK6" s="267">
        <f>-ConLoan!BK$27+IF(Timeline!BK$41=1,Operating!BK$42-PermLoan!BK$29,0)+IF(59=StabMonth,OpReserve,0)+IF(59=RefiMonth,RefiCashOut,0)+IF(59=DispoMonth,NetSale,0)</f>
        <v/>
      </c>
      <c r="BL6" s="267">
        <f>-ConLoan!BL$27+IF(Timeline!BL$41=1,Operating!BL$42-PermLoan!BL$29,0)+IF(60=StabMonth,OpReserve,0)+IF(60=RefiMonth,RefiCashOut,0)+IF(60=DispoMonth,NetSale,0)</f>
        <v/>
      </c>
      <c r="BM6" s="267">
        <f>-ConLoan!BM$27+IF(Timeline!BM$41=1,Operating!BM$42-PermLoan!BM$29,0)+IF(61=StabMonth,OpReserve,0)+IF(61=RefiMonth,RefiCashOut,0)+IF(61=DispoMonth,NetSale,0)</f>
        <v/>
      </c>
      <c r="BN6" s="267">
        <f>-ConLoan!BN$27+IF(Timeline!BN$41=1,Operating!BN$42-PermLoan!BN$29,0)+IF(62=StabMonth,OpReserve,0)+IF(62=RefiMonth,RefiCashOut,0)+IF(62=DispoMonth,NetSale,0)</f>
        <v/>
      </c>
      <c r="BO6" s="267">
        <f>-ConLoan!BO$27+IF(Timeline!BO$41=1,Operating!BO$42-PermLoan!BO$29,0)+IF(63=StabMonth,OpReserve,0)+IF(63=RefiMonth,RefiCashOut,0)+IF(63=DispoMonth,NetSale,0)</f>
        <v/>
      </c>
      <c r="BP6" s="267">
        <f>-ConLoan!BP$27+IF(Timeline!BP$41=1,Operating!BP$42-PermLoan!BP$29,0)+IF(64=StabMonth,OpReserve,0)+IF(64=RefiMonth,RefiCashOut,0)+IF(64=DispoMonth,NetSale,0)</f>
        <v/>
      </c>
      <c r="BQ6" s="267">
        <f>-ConLoan!BQ$27+IF(Timeline!BQ$41=1,Operating!BQ$42-PermLoan!BQ$29,0)+IF(65=StabMonth,OpReserve,0)+IF(65=RefiMonth,RefiCashOut,0)+IF(65=DispoMonth,NetSale,0)</f>
        <v/>
      </c>
      <c r="BR6" s="267">
        <f>-ConLoan!BR$27+IF(Timeline!BR$41=1,Operating!BR$42-PermLoan!BR$29,0)+IF(66=StabMonth,OpReserve,0)+IF(66=RefiMonth,RefiCashOut,0)+IF(66=DispoMonth,NetSale,0)</f>
        <v/>
      </c>
      <c r="BS6" s="267">
        <f>-ConLoan!BS$27+IF(Timeline!BS$41=1,Operating!BS$42-PermLoan!BS$29,0)+IF(67=StabMonth,OpReserve,0)+IF(67=RefiMonth,RefiCashOut,0)+IF(67=DispoMonth,NetSale,0)</f>
        <v/>
      </c>
      <c r="BT6" s="267">
        <f>-ConLoan!BT$27+IF(Timeline!BT$41=1,Operating!BT$42-PermLoan!BT$29,0)+IF(68=StabMonth,OpReserve,0)+IF(68=RefiMonth,RefiCashOut,0)+IF(68=DispoMonth,NetSale,0)</f>
        <v/>
      </c>
      <c r="BU6" s="267">
        <f>-ConLoan!BU$27+IF(Timeline!BU$41=1,Operating!BU$42-PermLoan!BU$29,0)+IF(69=StabMonth,OpReserve,0)+IF(69=RefiMonth,RefiCashOut,0)+IF(69=DispoMonth,NetSale,0)</f>
        <v/>
      </c>
      <c r="BV6" s="267">
        <f>-ConLoan!BV$27+IF(Timeline!BV$41=1,Operating!BV$42-PermLoan!BV$29,0)+IF(70=StabMonth,OpReserve,0)+IF(70=RefiMonth,RefiCashOut,0)+IF(70=DispoMonth,NetSale,0)</f>
        <v/>
      </c>
      <c r="BW6" s="267">
        <f>-ConLoan!BW$27+IF(Timeline!BW$41=1,Operating!BW$42-PermLoan!BW$29,0)+IF(71=StabMonth,OpReserve,0)+IF(71=RefiMonth,RefiCashOut,0)+IF(71=DispoMonth,NetSale,0)</f>
        <v/>
      </c>
      <c r="BX6" s="267">
        <f>-ConLoan!BX$27+IF(Timeline!BX$41=1,Operating!BX$42-PermLoan!BX$29,0)+IF(72=StabMonth,OpReserve,0)+IF(72=RefiMonth,RefiCashOut,0)+IF(72=DispoMonth,NetSale,0)</f>
        <v/>
      </c>
      <c r="BY6" s="267">
        <f>-ConLoan!BY$27+IF(Timeline!BY$41=1,Operating!BY$42-PermLoan!BY$29,0)+IF(73=StabMonth,OpReserve,0)+IF(73=RefiMonth,RefiCashOut,0)+IF(73=DispoMonth,NetSale,0)</f>
        <v/>
      </c>
      <c r="BZ6" s="267">
        <f>-ConLoan!BZ$27+IF(Timeline!BZ$41=1,Operating!BZ$42-PermLoan!BZ$29,0)+IF(74=StabMonth,OpReserve,0)+IF(74=RefiMonth,RefiCashOut,0)+IF(74=DispoMonth,NetSale,0)</f>
        <v/>
      </c>
      <c r="CA6" s="267">
        <f>-ConLoan!CA$27+IF(Timeline!CA$41=1,Operating!CA$42-PermLoan!CA$29,0)+IF(75=StabMonth,OpReserve,0)+IF(75=RefiMonth,RefiCashOut,0)+IF(75=DispoMonth,NetSale,0)</f>
        <v/>
      </c>
      <c r="CB6" s="267">
        <f>-ConLoan!CB$27+IF(Timeline!CB$41=1,Operating!CB$42-PermLoan!CB$29,0)+IF(76=StabMonth,OpReserve,0)+IF(76=RefiMonth,RefiCashOut,0)+IF(76=DispoMonth,NetSale,0)</f>
        <v/>
      </c>
      <c r="CC6" s="267">
        <f>-ConLoan!CC$27+IF(Timeline!CC$41=1,Operating!CC$42-PermLoan!CC$29,0)+IF(77=StabMonth,OpReserve,0)+IF(77=RefiMonth,RefiCashOut,0)+IF(77=DispoMonth,NetSale,0)</f>
        <v/>
      </c>
      <c r="CD6" s="267">
        <f>-ConLoan!CD$27+IF(Timeline!CD$41=1,Operating!CD$42-PermLoan!CD$29,0)+IF(78=StabMonth,OpReserve,0)+IF(78=RefiMonth,RefiCashOut,0)+IF(78=DispoMonth,NetSale,0)</f>
        <v/>
      </c>
      <c r="CE6" s="267">
        <f>-ConLoan!CE$27+IF(Timeline!CE$41=1,Operating!CE$42-PermLoan!CE$29,0)+IF(79=StabMonth,OpReserve,0)+IF(79=RefiMonth,RefiCashOut,0)+IF(79=DispoMonth,NetSale,0)</f>
        <v/>
      </c>
      <c r="CF6" s="267">
        <f>-ConLoan!CF$27+IF(Timeline!CF$41=1,Operating!CF$42-PermLoan!CF$29,0)+IF(80=StabMonth,OpReserve,0)+IF(80=RefiMonth,RefiCashOut,0)+IF(80=DispoMonth,NetSale,0)</f>
        <v/>
      </c>
      <c r="CG6" s="267">
        <f>-ConLoan!CG$27+IF(Timeline!CG$41=1,Operating!CG$42-PermLoan!CG$29,0)+IF(81=StabMonth,OpReserve,0)+IF(81=RefiMonth,RefiCashOut,0)+IF(81=DispoMonth,NetSale,0)</f>
        <v/>
      </c>
      <c r="CH6" s="267">
        <f>-ConLoan!CH$27+IF(Timeline!CH$41=1,Operating!CH$42-PermLoan!CH$29,0)+IF(82=StabMonth,OpReserve,0)+IF(82=RefiMonth,RefiCashOut,0)+IF(82=DispoMonth,NetSale,0)</f>
        <v/>
      </c>
      <c r="CI6" s="267">
        <f>-ConLoan!CI$27+IF(Timeline!CI$41=1,Operating!CI$42-PermLoan!CI$29,0)+IF(83=StabMonth,OpReserve,0)+IF(83=RefiMonth,RefiCashOut,0)+IF(83=DispoMonth,NetSale,0)</f>
        <v/>
      </c>
      <c r="CJ6" s="267">
        <f>-ConLoan!CJ$27+IF(Timeline!CJ$41=1,Operating!CJ$42-PermLoan!CJ$29,0)+IF(84=StabMonth,OpReserve,0)+IF(84=RefiMonth,RefiCashOut,0)+IF(84=DispoMonth,NetSale,0)</f>
        <v/>
      </c>
      <c r="CK6" s="267">
        <f>-ConLoan!CK$27+IF(Timeline!CK$41=1,Operating!CK$42-PermLoan!CK$29,0)+IF(85=StabMonth,OpReserve,0)+IF(85=RefiMonth,RefiCashOut,0)+IF(85=DispoMonth,NetSale,0)</f>
        <v/>
      </c>
      <c r="CL6" s="267">
        <f>-ConLoan!CL$27+IF(Timeline!CL$41=1,Operating!CL$42-PermLoan!CL$29,0)+IF(86=StabMonth,OpReserve,0)+IF(86=RefiMonth,RefiCashOut,0)+IF(86=DispoMonth,NetSale,0)</f>
        <v/>
      </c>
      <c r="CM6" s="267">
        <f>-ConLoan!CM$27+IF(Timeline!CM$41=1,Operating!CM$42-PermLoan!CM$29,0)+IF(87=StabMonth,OpReserve,0)+IF(87=RefiMonth,RefiCashOut,0)+IF(87=DispoMonth,NetSale,0)</f>
        <v/>
      </c>
      <c r="CN6" s="267">
        <f>-ConLoan!CN$27+IF(Timeline!CN$41=1,Operating!CN$42-PermLoan!CN$29,0)+IF(88=StabMonth,OpReserve,0)+IF(88=RefiMonth,RefiCashOut,0)+IF(88=DispoMonth,NetSale,0)</f>
        <v/>
      </c>
      <c r="CO6" s="267">
        <f>-ConLoan!CO$27+IF(Timeline!CO$41=1,Operating!CO$42-PermLoan!CO$29,0)+IF(89=StabMonth,OpReserve,0)+IF(89=RefiMonth,RefiCashOut,0)+IF(89=DispoMonth,NetSale,0)</f>
        <v/>
      </c>
      <c r="CP6" s="267">
        <f>-ConLoan!CP$27+IF(Timeline!CP$41=1,Operating!CP$42-PermLoan!CP$29,0)+IF(90=StabMonth,OpReserve,0)+IF(90=RefiMonth,RefiCashOut,0)+IF(90=DispoMonth,NetSale,0)</f>
        <v/>
      </c>
      <c r="CQ6" s="267">
        <f>-ConLoan!CQ$27+IF(Timeline!CQ$41=1,Operating!CQ$42-PermLoan!CQ$29,0)+IF(91=StabMonth,OpReserve,0)+IF(91=RefiMonth,RefiCashOut,0)+IF(91=DispoMonth,NetSale,0)</f>
        <v/>
      </c>
      <c r="CR6" s="267">
        <f>-ConLoan!CR$27+IF(Timeline!CR$41=1,Operating!CR$42-PermLoan!CR$29,0)+IF(92=StabMonth,OpReserve,0)+IF(92=RefiMonth,RefiCashOut,0)+IF(92=DispoMonth,NetSale,0)</f>
        <v/>
      </c>
      <c r="CS6" s="267">
        <f>-ConLoan!CS$27+IF(Timeline!CS$41=1,Operating!CS$42-PermLoan!CS$29,0)+IF(93=StabMonth,OpReserve,0)+IF(93=RefiMonth,RefiCashOut,0)+IF(93=DispoMonth,NetSale,0)</f>
        <v/>
      </c>
      <c r="CT6" s="267">
        <f>-ConLoan!CT$27+IF(Timeline!CT$41=1,Operating!CT$42-PermLoan!CT$29,0)+IF(94=StabMonth,OpReserve,0)+IF(94=RefiMonth,RefiCashOut,0)+IF(94=DispoMonth,NetSale,0)</f>
        <v/>
      </c>
      <c r="CU6" s="267">
        <f>-ConLoan!CU$27+IF(Timeline!CU$41=1,Operating!CU$42-PermLoan!CU$29,0)+IF(95=StabMonth,OpReserve,0)+IF(95=RefiMonth,RefiCashOut,0)+IF(95=DispoMonth,NetSale,0)</f>
        <v/>
      </c>
      <c r="CV6" s="267">
        <f>-ConLoan!CV$27+IF(Timeline!CV$41=1,Operating!CV$42-PermLoan!CV$29,0)+IF(96=StabMonth,OpReserve,0)+IF(96=RefiMonth,RefiCashOut,0)+IF(96=DispoMonth,NetSale,0)</f>
        <v/>
      </c>
      <c r="CW6" s="267">
        <f>-ConLoan!CW$27+IF(Timeline!CW$41=1,Operating!CW$42-PermLoan!CW$29,0)+IF(97=StabMonth,OpReserve,0)+IF(97=RefiMonth,RefiCashOut,0)+IF(97=DispoMonth,NetSale,0)</f>
        <v/>
      </c>
      <c r="CX6" s="267">
        <f>-ConLoan!CX$27+IF(Timeline!CX$41=1,Operating!CX$42-PermLoan!CX$29,0)+IF(98=StabMonth,OpReserve,0)+IF(98=RefiMonth,RefiCashOut,0)+IF(98=DispoMonth,NetSale,0)</f>
        <v/>
      </c>
      <c r="CY6" s="267">
        <f>-ConLoan!CY$27+IF(Timeline!CY$41=1,Operating!CY$42-PermLoan!CY$29,0)+IF(99=StabMonth,OpReserve,0)+IF(99=RefiMonth,RefiCashOut,0)+IF(99=DispoMonth,NetSale,0)</f>
        <v/>
      </c>
      <c r="CZ6" s="267">
        <f>-ConLoan!CZ$27+IF(Timeline!CZ$41=1,Operating!CZ$42-PermLoan!CZ$29,0)+IF(100=StabMonth,OpReserve,0)+IF(100=RefiMonth,RefiCashOut,0)+IF(100=DispoMonth,NetSale,0)</f>
        <v/>
      </c>
      <c r="DA6" s="267">
        <f>-ConLoan!DA$27+IF(Timeline!DA$41=1,Operating!DA$42-PermLoan!DA$29,0)+IF(101=StabMonth,OpReserve,0)+IF(101=RefiMonth,RefiCashOut,0)+IF(101=DispoMonth,NetSale,0)</f>
        <v/>
      </c>
      <c r="DB6" s="267">
        <f>-ConLoan!DB$27+IF(Timeline!DB$41=1,Operating!DB$42-PermLoan!DB$29,0)+IF(102=StabMonth,OpReserve,0)+IF(102=RefiMonth,RefiCashOut,0)+IF(102=DispoMonth,NetSale,0)</f>
        <v/>
      </c>
      <c r="DC6" s="267">
        <f>-ConLoan!DC$27+IF(Timeline!DC$41=1,Operating!DC$42-PermLoan!DC$29,0)+IF(103=StabMonth,OpReserve,0)+IF(103=RefiMonth,RefiCashOut,0)+IF(103=DispoMonth,NetSale,0)</f>
        <v/>
      </c>
      <c r="DD6" s="267">
        <f>-ConLoan!DD$27+IF(Timeline!DD$41=1,Operating!DD$42-PermLoan!DD$29,0)+IF(104=StabMonth,OpReserve,0)+IF(104=RefiMonth,RefiCashOut,0)+IF(104=DispoMonth,NetSale,0)</f>
        <v/>
      </c>
      <c r="DE6" s="267">
        <f>-ConLoan!DE$27+IF(Timeline!DE$41=1,Operating!DE$42-PermLoan!DE$29,0)+IF(105=StabMonth,OpReserve,0)+IF(105=RefiMonth,RefiCashOut,0)+IF(105=DispoMonth,NetSale,0)</f>
        <v/>
      </c>
      <c r="DF6" s="267">
        <f>-ConLoan!DF$27+IF(Timeline!DF$41=1,Operating!DF$42-PermLoan!DF$29,0)+IF(106=StabMonth,OpReserve,0)+IF(106=RefiMonth,RefiCashOut,0)+IF(106=DispoMonth,NetSale,0)</f>
        <v/>
      </c>
      <c r="DG6" s="267">
        <f>-ConLoan!DG$27+IF(Timeline!DG$41=1,Operating!DG$42-PermLoan!DG$29,0)+IF(107=StabMonth,OpReserve,0)+IF(107=RefiMonth,RefiCashOut,0)+IF(107=DispoMonth,NetSale,0)</f>
        <v/>
      </c>
      <c r="DH6" s="267">
        <f>-ConLoan!DH$27+IF(Timeline!DH$41=1,Operating!DH$42-PermLoan!DH$29,0)+IF(108=StabMonth,OpReserve,0)+IF(108=RefiMonth,RefiCashOut,0)+IF(108=DispoMonth,NetSale,0)</f>
        <v/>
      </c>
      <c r="DI6" s="267">
        <f>-ConLoan!DI$27+IF(Timeline!DI$41=1,Operating!DI$42-PermLoan!DI$29,0)+IF(109=StabMonth,OpReserve,0)+IF(109=RefiMonth,RefiCashOut,0)+IF(109=DispoMonth,NetSale,0)</f>
        <v/>
      </c>
      <c r="DJ6" s="267">
        <f>-ConLoan!DJ$27+IF(Timeline!DJ$41=1,Operating!DJ$42-PermLoan!DJ$29,0)+IF(110=StabMonth,OpReserve,0)+IF(110=RefiMonth,RefiCashOut,0)+IF(110=DispoMonth,NetSale,0)</f>
        <v/>
      </c>
      <c r="DK6" s="267">
        <f>-ConLoan!DK$27+IF(Timeline!DK$41=1,Operating!DK$42-PermLoan!DK$29,0)+IF(111=StabMonth,OpReserve,0)+IF(111=RefiMonth,RefiCashOut,0)+IF(111=DispoMonth,NetSale,0)</f>
        <v/>
      </c>
      <c r="DL6" s="267">
        <f>-ConLoan!DL$27+IF(Timeline!DL$41=1,Operating!DL$42-PermLoan!DL$29,0)+IF(112=StabMonth,OpReserve,0)+IF(112=RefiMonth,RefiCashOut,0)+IF(112=DispoMonth,NetSale,0)</f>
        <v/>
      </c>
      <c r="DM6" s="267">
        <f>-ConLoan!DM$27+IF(Timeline!DM$41=1,Operating!DM$42-PermLoan!DM$29,0)+IF(113=StabMonth,OpReserve,0)+IF(113=RefiMonth,RefiCashOut,0)+IF(113=DispoMonth,NetSale,0)</f>
        <v/>
      </c>
      <c r="DN6" s="267">
        <f>-ConLoan!DN$27+IF(Timeline!DN$41=1,Operating!DN$42-PermLoan!DN$29,0)+IF(114=StabMonth,OpReserve,0)+IF(114=RefiMonth,RefiCashOut,0)+IF(114=DispoMonth,NetSale,0)</f>
        <v/>
      </c>
      <c r="DO6" s="267">
        <f>-ConLoan!DO$27+IF(Timeline!DO$41=1,Operating!DO$42-PermLoan!DO$29,0)+IF(115=StabMonth,OpReserve,0)+IF(115=RefiMonth,RefiCashOut,0)+IF(115=DispoMonth,NetSale,0)</f>
        <v/>
      </c>
      <c r="DP6" s="267">
        <f>-ConLoan!DP$27+IF(Timeline!DP$41=1,Operating!DP$42-PermLoan!DP$29,0)+IF(116=StabMonth,OpReserve,0)+IF(116=RefiMonth,RefiCashOut,0)+IF(116=DispoMonth,NetSale,0)</f>
        <v/>
      </c>
      <c r="DQ6" s="267">
        <f>-ConLoan!DQ$27+IF(Timeline!DQ$41=1,Operating!DQ$42-PermLoan!DQ$29,0)+IF(117=StabMonth,OpReserve,0)+IF(117=RefiMonth,RefiCashOut,0)+IF(117=DispoMonth,NetSale,0)</f>
        <v/>
      </c>
      <c r="DR6" s="267">
        <f>-ConLoan!DR$27+IF(Timeline!DR$41=1,Operating!DR$42-PermLoan!DR$29,0)+IF(118=StabMonth,OpReserve,0)+IF(118=RefiMonth,RefiCashOut,0)+IF(118=DispoMonth,NetSale,0)</f>
        <v/>
      </c>
      <c r="DS6" s="267">
        <f>-ConLoan!DS$27+IF(Timeline!DS$41=1,Operating!DS$42-PermLoan!DS$29,0)+IF(119=StabMonth,OpReserve,0)+IF(119=RefiMonth,RefiCashOut,0)+IF(119=DispoMonth,NetSale,0)</f>
        <v/>
      </c>
      <c r="DT6" s="267">
        <f>-ConLoan!DT$27+IF(Timeline!DT$41=1,Operating!DT$42-PermLoan!DT$29,0)+IF(120=StabMonth,OpReserve,0)+IF(120=RefiMonth,RefiCashOut,0)+IF(120=DispoMonth,NetSale,0)</f>
        <v/>
      </c>
      <c r="DU6" s="267">
        <f>-ConLoan!DU$27+IF(Timeline!DU$41=1,Operating!DU$42-PermLoan!DU$29,0)+IF(121=StabMonth,OpReserve,0)+IF(121=RefiMonth,RefiCashOut,0)+IF(121=DispoMonth,NetSale,0)</f>
        <v/>
      </c>
      <c r="DV6" s="267">
        <f>-ConLoan!DV$27+IF(Timeline!DV$41=1,Operating!DV$42-PermLoan!DV$29,0)+IF(122=StabMonth,OpReserve,0)+IF(122=RefiMonth,RefiCashOut,0)+IF(122=DispoMonth,NetSale,0)</f>
        <v/>
      </c>
      <c r="DW6" s="267">
        <f>-ConLoan!DW$27+IF(Timeline!DW$41=1,Operating!DW$42-PermLoan!DW$29,0)+IF(123=StabMonth,OpReserve,0)+IF(123=RefiMonth,RefiCashOut,0)+IF(123=DispoMonth,NetSale,0)</f>
        <v/>
      </c>
      <c r="DX6" s="267">
        <f>-ConLoan!DX$27+IF(Timeline!DX$41=1,Operating!DX$42-PermLoan!DX$29,0)+IF(124=StabMonth,OpReserve,0)+IF(124=RefiMonth,RefiCashOut,0)+IF(124=DispoMonth,NetSale,0)</f>
        <v/>
      </c>
      <c r="DY6" s="267">
        <f>-ConLoan!DY$27+IF(Timeline!DY$41=1,Operating!DY$42-PermLoan!DY$29,0)+IF(125=StabMonth,OpReserve,0)+IF(125=RefiMonth,RefiCashOut,0)+IF(125=DispoMonth,NetSale,0)</f>
        <v/>
      </c>
      <c r="DZ6" s="267">
        <f>-ConLoan!DZ$27+IF(Timeline!DZ$41=1,Operating!DZ$42-PermLoan!DZ$29,0)+IF(126=StabMonth,OpReserve,0)+IF(126=RefiMonth,RefiCashOut,0)+IF(126=DispoMonth,NetSale,0)</f>
        <v/>
      </c>
      <c r="EA6" s="267">
        <f>-ConLoan!EA$27+IF(Timeline!EA$41=1,Operating!EA$42-PermLoan!EA$29,0)+IF(127=StabMonth,OpReserve,0)+IF(127=RefiMonth,RefiCashOut,0)+IF(127=DispoMonth,NetSale,0)</f>
        <v/>
      </c>
      <c r="EB6" s="267">
        <f>-ConLoan!EB$27+IF(Timeline!EB$41=1,Operating!EB$42-PermLoan!EB$29,0)+IF(128=StabMonth,OpReserve,0)+IF(128=RefiMonth,RefiCashOut,0)+IF(128=DispoMonth,NetSale,0)</f>
        <v/>
      </c>
      <c r="EC6" s="267">
        <f>-ConLoan!EC$27+IF(Timeline!EC$41=1,Operating!EC$42-PermLoan!EC$29,0)+IF(129=StabMonth,OpReserve,0)+IF(129=RefiMonth,RefiCashOut,0)+IF(129=DispoMonth,NetSale,0)</f>
        <v/>
      </c>
      <c r="ED6" s="267">
        <f>-ConLoan!ED$27+IF(Timeline!ED$41=1,Operating!ED$42-PermLoan!ED$29,0)+IF(130=StabMonth,OpReserve,0)+IF(130=RefiMonth,RefiCashOut,0)+IF(130=DispoMonth,NetSale,0)</f>
        <v/>
      </c>
      <c r="EE6" s="267">
        <f>-ConLoan!EE$27+IF(Timeline!EE$41=1,Operating!EE$42-PermLoan!EE$29,0)+IF(131=StabMonth,OpReserve,0)+IF(131=RefiMonth,RefiCashOut,0)+IF(131=DispoMonth,NetSale,0)</f>
        <v/>
      </c>
      <c r="EF6" s="267">
        <f>-ConLoan!EF$27+IF(Timeline!EF$41=1,Operating!EF$42-PermLoan!EF$29,0)+IF(132=StabMonth,OpReserve,0)+IF(132=RefiMonth,RefiCashOut,0)+IF(132=DispoMonth,NetSale,0)</f>
        <v/>
      </c>
      <c r="EG6" s="267">
        <f>-ConLoan!EG$27+IF(Timeline!EG$41=1,Operating!EG$42-PermLoan!EG$29,0)+IF(133=StabMonth,OpReserve,0)+IF(133=RefiMonth,RefiCashOut,0)+IF(133=DispoMonth,NetSale,0)</f>
        <v/>
      </c>
      <c r="EH6" s="267">
        <f>-ConLoan!EH$27+IF(Timeline!EH$41=1,Operating!EH$42-PermLoan!EH$29,0)+IF(134=StabMonth,OpReserve,0)+IF(134=RefiMonth,RefiCashOut,0)+IF(134=DispoMonth,NetSale,0)</f>
        <v/>
      </c>
      <c r="EI6" s="267">
        <f>-ConLoan!EI$27+IF(Timeline!EI$41=1,Operating!EI$42-PermLoan!EI$29,0)+IF(135=StabMonth,OpReserve,0)+IF(135=RefiMonth,RefiCashOut,0)+IF(135=DispoMonth,NetSale,0)</f>
        <v/>
      </c>
      <c r="EJ6" s="267">
        <f>-ConLoan!EJ$27+IF(Timeline!EJ$41=1,Operating!EJ$42-PermLoan!EJ$29,0)+IF(136=StabMonth,OpReserve,0)+IF(136=RefiMonth,RefiCashOut,0)+IF(136=DispoMonth,NetSale,0)</f>
        <v/>
      </c>
      <c r="EK6" s="267">
        <f>-ConLoan!EK$27+IF(Timeline!EK$41=1,Operating!EK$42-PermLoan!EK$29,0)+IF(137=StabMonth,OpReserve,0)+IF(137=RefiMonth,RefiCashOut,0)+IF(137=DispoMonth,NetSale,0)</f>
        <v/>
      </c>
      <c r="EL6" s="267">
        <f>-ConLoan!EL$27+IF(Timeline!EL$41=1,Operating!EL$42-PermLoan!EL$29,0)+IF(138=StabMonth,OpReserve,0)+IF(138=RefiMonth,RefiCashOut,0)+IF(138=DispoMonth,NetSale,0)</f>
        <v/>
      </c>
      <c r="EM6" s="267">
        <f>-ConLoan!EM$27+IF(Timeline!EM$41=1,Operating!EM$42-PermLoan!EM$29,0)+IF(139=StabMonth,OpReserve,0)+IF(139=RefiMonth,RefiCashOut,0)+IF(139=DispoMonth,NetSale,0)</f>
        <v/>
      </c>
      <c r="EN6" s="267">
        <f>-ConLoan!EN$27+IF(Timeline!EN$41=1,Operating!EN$42-PermLoan!EN$29,0)+IF(140=StabMonth,OpReserve,0)+IF(140=RefiMonth,RefiCashOut,0)+IF(140=DispoMonth,NetSale,0)</f>
        <v/>
      </c>
      <c r="EO6" s="267">
        <f>-ConLoan!EO$27+IF(Timeline!EO$41=1,Operating!EO$42-PermLoan!EO$29,0)+IF(141=StabMonth,OpReserve,0)+IF(141=RefiMonth,RefiCashOut,0)+IF(141=DispoMonth,NetSale,0)</f>
        <v/>
      </c>
      <c r="EP6" s="267">
        <f>-ConLoan!EP$27+IF(Timeline!EP$41=1,Operating!EP$42-PermLoan!EP$29,0)+IF(142=StabMonth,OpReserve,0)+IF(142=RefiMonth,RefiCashOut,0)+IF(142=DispoMonth,NetSale,0)</f>
        <v/>
      </c>
      <c r="EQ6" s="267">
        <f>-ConLoan!EQ$27+IF(Timeline!EQ$41=1,Operating!EQ$42-PermLoan!EQ$29,0)+IF(143=StabMonth,OpReserve,0)+IF(143=RefiMonth,RefiCashOut,0)+IF(143=DispoMonth,NetSale,0)</f>
        <v/>
      </c>
      <c r="ER6" s="267">
        <f>-ConLoan!ER$27+IF(Timeline!ER$41=1,Operating!ER$42-PermLoan!ER$29,0)+IF(144=StabMonth,OpReserve,0)+IF(144=RefiMonth,RefiCashOut,0)+IF(144=DispoMonth,NetSale,0)</f>
        <v/>
      </c>
      <c r="ES6" s="267">
        <f>-ConLoan!ES$27+IF(Timeline!ES$41=1,Operating!ES$42-PermLoan!ES$29,0)+IF(145=StabMonth,OpReserve,0)+IF(145=RefiMonth,RefiCashOut,0)+IF(145=DispoMonth,NetSale,0)</f>
        <v/>
      </c>
      <c r="ET6" s="267">
        <f>-ConLoan!ET$27+IF(Timeline!ET$41=1,Operating!ET$42-PermLoan!ET$29,0)+IF(146=StabMonth,OpReserve,0)+IF(146=RefiMonth,RefiCashOut,0)+IF(146=DispoMonth,NetSale,0)</f>
        <v/>
      </c>
      <c r="EU6" s="267">
        <f>-ConLoan!EU$27+IF(Timeline!EU$41=1,Operating!EU$42-PermLoan!EU$29,0)+IF(147=StabMonth,OpReserve,0)+IF(147=RefiMonth,RefiCashOut,0)+IF(147=DispoMonth,NetSale,0)</f>
        <v/>
      </c>
      <c r="EV6" s="267">
        <f>-ConLoan!EV$27+IF(Timeline!EV$41=1,Operating!EV$42-PermLoan!EV$29,0)+IF(148=StabMonth,OpReserve,0)+IF(148=RefiMonth,RefiCashOut,0)+IF(148=DispoMonth,NetSale,0)</f>
        <v/>
      </c>
      <c r="EW6" s="267">
        <f>-ConLoan!EW$27+IF(Timeline!EW$41=1,Operating!EW$42-PermLoan!EW$29,0)+IF(149=StabMonth,OpReserve,0)+IF(149=RefiMonth,RefiCashOut,0)+IF(149=DispoMonth,NetSale,0)</f>
        <v/>
      </c>
      <c r="EX6" s="267">
        <f>-ConLoan!EX$27+IF(Timeline!EX$41=1,Operating!EX$42-PermLoan!EX$29,0)+IF(150=StabMonth,OpReserve,0)+IF(150=RefiMonth,RefiCashOut,0)+IF(150=DispoMonth,NetSale,0)</f>
        <v/>
      </c>
      <c r="EY6" s="267">
        <f>-ConLoan!EY$27+IF(Timeline!EY$41=1,Operating!EY$42-PermLoan!EY$29,0)+IF(151=StabMonth,OpReserve,0)+IF(151=RefiMonth,RefiCashOut,0)+IF(151=DispoMonth,NetSale,0)</f>
        <v/>
      </c>
      <c r="EZ6" s="267">
        <f>-ConLoan!EZ$27+IF(Timeline!EZ$41=1,Operating!EZ$42-PermLoan!EZ$29,0)+IF(152=StabMonth,OpReserve,0)+IF(152=RefiMonth,RefiCashOut,0)+IF(152=DispoMonth,NetSale,0)</f>
        <v/>
      </c>
      <c r="FA6" s="267">
        <f>-ConLoan!FA$27+IF(Timeline!FA$41=1,Operating!FA$42-PermLoan!FA$29,0)+IF(153=StabMonth,OpReserve,0)+IF(153=RefiMonth,RefiCashOut,0)+IF(153=DispoMonth,NetSale,0)</f>
        <v/>
      </c>
      <c r="FB6" s="267">
        <f>-ConLoan!FB$27+IF(Timeline!FB$41=1,Operating!FB$42-PermLoan!FB$29,0)+IF(154=StabMonth,OpReserve,0)+IF(154=RefiMonth,RefiCashOut,0)+IF(154=DispoMonth,NetSale,0)</f>
        <v/>
      </c>
      <c r="FC6" s="267">
        <f>-ConLoan!FC$27+IF(Timeline!FC$41=1,Operating!FC$42-PermLoan!FC$29,0)+IF(155=StabMonth,OpReserve,0)+IF(155=RefiMonth,RefiCashOut,0)+IF(155=DispoMonth,NetSale,0)</f>
        <v/>
      </c>
      <c r="FD6" s="267">
        <f>-ConLoan!FD$27+IF(Timeline!FD$41=1,Operating!FD$42-PermLoan!FD$29,0)+IF(156=StabMonth,OpReserve,0)+IF(156=RefiMonth,RefiCashOut,0)+IF(156=DispoMonth,NetSale,0)</f>
        <v/>
      </c>
      <c r="FE6" s="267">
        <f>-ConLoan!FE$27+IF(Timeline!FE$41=1,Operating!FE$42-PermLoan!FE$29,0)+IF(157=StabMonth,OpReserve,0)+IF(157=RefiMonth,RefiCashOut,0)+IF(157=DispoMonth,NetSale,0)</f>
        <v/>
      </c>
      <c r="FF6" s="267">
        <f>-ConLoan!FF$27+IF(Timeline!FF$41=1,Operating!FF$42-PermLoan!FF$29,0)+IF(158=StabMonth,OpReserve,0)+IF(158=RefiMonth,RefiCashOut,0)+IF(158=DispoMonth,NetSale,0)</f>
        <v/>
      </c>
      <c r="FG6" s="267">
        <f>-ConLoan!FG$27+IF(Timeline!FG$41=1,Operating!FG$42-PermLoan!FG$29,0)+IF(159=StabMonth,OpReserve,0)+IF(159=RefiMonth,RefiCashOut,0)+IF(159=DispoMonth,NetSale,0)</f>
        <v/>
      </c>
      <c r="FH6" s="267">
        <f>-ConLoan!FH$27+IF(Timeline!FH$41=1,Operating!FH$42-PermLoan!FH$29,0)+IF(160=StabMonth,OpReserve,0)+IF(160=RefiMonth,RefiCashOut,0)+IF(160=DispoMonth,NetSale,0)</f>
        <v/>
      </c>
      <c r="FI6" s="267">
        <f>-ConLoan!FI$27+IF(Timeline!FI$41=1,Operating!FI$42-PermLoan!FI$29,0)+IF(161=StabMonth,OpReserve,0)+IF(161=RefiMonth,RefiCashOut,0)+IF(161=DispoMonth,NetSale,0)</f>
        <v/>
      </c>
      <c r="FJ6" s="267">
        <f>-ConLoan!FJ$27+IF(Timeline!FJ$41=1,Operating!FJ$42-PermLoan!FJ$29,0)+IF(162=StabMonth,OpReserve,0)+IF(162=RefiMonth,RefiCashOut,0)+IF(162=DispoMonth,NetSale,0)</f>
        <v/>
      </c>
      <c r="FK6" s="267">
        <f>-ConLoan!FK$27+IF(Timeline!FK$41=1,Operating!FK$42-PermLoan!FK$29,0)+IF(163=StabMonth,OpReserve,0)+IF(163=RefiMonth,RefiCashOut,0)+IF(163=DispoMonth,NetSale,0)</f>
        <v/>
      </c>
      <c r="FL6" s="267">
        <f>-ConLoan!FL$27+IF(Timeline!FL$41=1,Operating!FL$42-PermLoan!FL$29,0)+IF(164=StabMonth,OpReserve,0)+IF(164=RefiMonth,RefiCashOut,0)+IF(164=DispoMonth,NetSale,0)</f>
        <v/>
      </c>
      <c r="FM6" s="267">
        <f>-ConLoan!FM$27+IF(Timeline!FM$41=1,Operating!FM$42-PermLoan!FM$29,0)+IF(165=StabMonth,OpReserve,0)+IF(165=RefiMonth,RefiCashOut,0)+IF(165=DispoMonth,NetSale,0)</f>
        <v/>
      </c>
      <c r="FN6" s="267">
        <f>-ConLoan!FN$27+IF(Timeline!FN$41=1,Operating!FN$42-PermLoan!FN$29,0)+IF(166=StabMonth,OpReserve,0)+IF(166=RefiMonth,RefiCashOut,0)+IF(166=DispoMonth,NetSale,0)</f>
        <v/>
      </c>
      <c r="FO6" s="267">
        <f>-ConLoan!FO$27+IF(Timeline!FO$41=1,Operating!FO$42-PermLoan!FO$29,0)+IF(167=StabMonth,OpReserve,0)+IF(167=RefiMonth,RefiCashOut,0)+IF(167=DispoMonth,NetSale,0)</f>
        <v/>
      </c>
      <c r="FP6" s="267">
        <f>-ConLoan!FP$27+IF(Timeline!FP$41=1,Operating!FP$42-PermLoan!FP$29,0)+IF(168=StabMonth,OpReserve,0)+IF(168=RefiMonth,RefiCashOut,0)+IF(168=DispoMonth,NetSale,0)</f>
        <v/>
      </c>
      <c r="FQ6" s="267">
        <f>-ConLoan!FQ$27+IF(Timeline!FQ$41=1,Operating!FQ$42-PermLoan!FQ$29,0)+IF(169=StabMonth,OpReserve,0)+IF(169=RefiMonth,RefiCashOut,0)+IF(169=DispoMonth,NetSale,0)</f>
        <v/>
      </c>
      <c r="FR6" s="267">
        <f>-ConLoan!FR$27+IF(Timeline!FR$41=1,Operating!FR$42-PermLoan!FR$29,0)+IF(170=StabMonth,OpReserve,0)+IF(170=RefiMonth,RefiCashOut,0)+IF(170=DispoMonth,NetSale,0)</f>
        <v/>
      </c>
      <c r="FS6" s="267">
        <f>-ConLoan!FS$27+IF(Timeline!FS$41=1,Operating!FS$42-PermLoan!FS$29,0)+IF(171=StabMonth,OpReserve,0)+IF(171=RefiMonth,RefiCashOut,0)+IF(171=DispoMonth,NetSale,0)</f>
        <v/>
      </c>
      <c r="FT6" s="267">
        <f>-ConLoan!FT$27+IF(Timeline!FT$41=1,Operating!FT$42-PermLoan!FT$29,0)+IF(172=StabMonth,OpReserve,0)+IF(172=RefiMonth,RefiCashOut,0)+IF(172=DispoMonth,NetSale,0)</f>
        <v/>
      </c>
      <c r="FU6" s="267">
        <f>-ConLoan!FU$27+IF(Timeline!FU$41=1,Operating!FU$42-PermLoan!FU$29,0)+IF(173=StabMonth,OpReserve,0)+IF(173=RefiMonth,RefiCashOut,0)+IF(173=DispoMonth,NetSale,0)</f>
        <v/>
      </c>
      <c r="FV6" s="267">
        <f>-ConLoan!FV$27+IF(Timeline!FV$41=1,Operating!FV$42-PermLoan!FV$29,0)+IF(174=StabMonth,OpReserve,0)+IF(174=RefiMonth,RefiCashOut,0)+IF(174=DispoMonth,NetSale,0)</f>
        <v/>
      </c>
      <c r="FW6" s="267">
        <f>-ConLoan!FW$27+IF(Timeline!FW$41=1,Operating!FW$42-PermLoan!FW$29,0)+IF(175=StabMonth,OpReserve,0)+IF(175=RefiMonth,RefiCashOut,0)+IF(175=DispoMonth,NetSale,0)</f>
        <v/>
      </c>
      <c r="FX6" s="267">
        <f>-ConLoan!FX$27+IF(Timeline!FX$41=1,Operating!FX$42-PermLoan!FX$29,0)+IF(176=StabMonth,OpReserve,0)+IF(176=RefiMonth,RefiCashOut,0)+IF(176=DispoMonth,NetSale,0)</f>
        <v/>
      </c>
      <c r="FY6" s="267">
        <f>-ConLoan!FY$27+IF(Timeline!FY$41=1,Operating!FY$42-PermLoan!FY$29,0)+IF(177=StabMonth,OpReserve,0)+IF(177=RefiMonth,RefiCashOut,0)+IF(177=DispoMonth,NetSale,0)</f>
        <v/>
      </c>
      <c r="FZ6" s="267">
        <f>-ConLoan!FZ$27+IF(Timeline!FZ$41=1,Operating!FZ$42-PermLoan!FZ$29,0)+IF(178=StabMonth,OpReserve,0)+IF(178=RefiMonth,RefiCashOut,0)+IF(178=DispoMonth,NetSale,0)</f>
        <v/>
      </c>
      <c r="GA6" s="267">
        <f>-ConLoan!GA$27+IF(Timeline!GA$41=1,Operating!GA$42-PermLoan!GA$29,0)+IF(179=StabMonth,OpReserve,0)+IF(179=RefiMonth,RefiCashOut,0)+IF(179=DispoMonth,NetSale,0)</f>
        <v/>
      </c>
      <c r="GB6" s="267">
        <f>-ConLoan!GB$27+IF(Timeline!GB$41=1,Operating!GB$42-PermLoan!GB$29,0)+IF(180=StabMonth,OpReserve,0)+IF(180=RefiMonth,RefiCashOut,0)+IF(180=DispoMonth,NetSale,0)</f>
        <v/>
      </c>
      <c r="GC6" s="267">
        <f>-ConLoan!GC$27+IF(Timeline!GC$41=1,Operating!GC$42-PermLoan!GC$29,0)+IF(181=StabMonth,OpReserve,0)+IF(181=RefiMonth,RefiCashOut,0)+IF(181=DispoMonth,NetSale,0)</f>
        <v/>
      </c>
      <c r="GD6" s="267">
        <f>-ConLoan!GD$27+IF(Timeline!GD$41=1,Operating!GD$42-PermLoan!GD$29,0)+IF(182=StabMonth,OpReserve,0)+IF(182=RefiMonth,RefiCashOut,0)+IF(182=DispoMonth,NetSale,0)</f>
        <v/>
      </c>
      <c r="GE6" s="267">
        <f>-ConLoan!GE$27+IF(Timeline!GE$41=1,Operating!GE$42-PermLoan!GE$29,0)+IF(183=StabMonth,OpReserve,0)+IF(183=RefiMonth,RefiCashOut,0)+IF(183=DispoMonth,NetSale,0)</f>
        <v/>
      </c>
      <c r="GF6" s="267">
        <f>-ConLoan!GF$27+IF(Timeline!GF$41=1,Operating!GF$42-PermLoan!GF$29,0)+IF(184=StabMonth,OpReserve,0)+IF(184=RefiMonth,RefiCashOut,0)+IF(184=DispoMonth,NetSale,0)</f>
        <v/>
      </c>
      <c r="GG6" s="267">
        <f>-ConLoan!GG$27+IF(Timeline!GG$41=1,Operating!GG$42-PermLoan!GG$29,0)+IF(185=StabMonth,OpReserve,0)+IF(185=RefiMonth,RefiCashOut,0)+IF(185=DispoMonth,NetSale,0)</f>
        <v/>
      </c>
      <c r="GH6" s="267">
        <f>-ConLoan!GH$27+IF(Timeline!GH$41=1,Operating!GH$42-PermLoan!GH$29,0)+IF(186=StabMonth,OpReserve,0)+IF(186=RefiMonth,RefiCashOut,0)+IF(186=DispoMonth,NetSale,0)</f>
        <v/>
      </c>
      <c r="GI6" s="267">
        <f>-ConLoan!GI$27+IF(Timeline!GI$41=1,Operating!GI$42-PermLoan!GI$29,0)+IF(187=StabMonth,OpReserve,0)+IF(187=RefiMonth,RefiCashOut,0)+IF(187=DispoMonth,NetSale,0)</f>
        <v/>
      </c>
      <c r="GJ6" s="267">
        <f>-ConLoan!GJ$27+IF(Timeline!GJ$41=1,Operating!GJ$42-PermLoan!GJ$29,0)+IF(188=StabMonth,OpReserve,0)+IF(188=RefiMonth,RefiCashOut,0)+IF(188=DispoMonth,NetSale,0)</f>
        <v/>
      </c>
      <c r="GK6" s="267">
        <f>-ConLoan!GK$27+IF(Timeline!GK$41=1,Operating!GK$42-PermLoan!GK$29,0)+IF(189=StabMonth,OpReserve,0)+IF(189=RefiMonth,RefiCashOut,0)+IF(189=DispoMonth,NetSale,0)</f>
        <v/>
      </c>
      <c r="GL6" s="267">
        <f>-ConLoan!GL$27+IF(Timeline!GL$41=1,Operating!GL$42-PermLoan!GL$29,0)+IF(190=StabMonth,OpReserve,0)+IF(190=RefiMonth,RefiCashOut,0)+IF(190=DispoMonth,NetSale,0)</f>
        <v/>
      </c>
      <c r="GM6" s="267">
        <f>-ConLoan!GM$27+IF(Timeline!GM$41=1,Operating!GM$42-PermLoan!GM$29,0)+IF(191=StabMonth,OpReserve,0)+IF(191=RefiMonth,RefiCashOut,0)+IF(191=DispoMonth,NetSale,0)</f>
        <v/>
      </c>
      <c r="GN6" s="267">
        <f>-ConLoan!GN$27+IF(Timeline!GN$41=1,Operating!GN$42-PermLoan!GN$29,0)+IF(192=StabMonth,OpReserve,0)+IF(192=RefiMonth,RefiCashOut,0)+IF(192=DispoMonth,NetSale,0)</f>
        <v/>
      </c>
      <c r="GO6" s="267">
        <f>-ConLoan!GO$27+IF(Timeline!GO$41=1,Operating!GO$42-PermLoan!GO$29,0)+IF(193=StabMonth,OpReserve,0)+IF(193=RefiMonth,RefiCashOut,0)+IF(193=DispoMonth,NetSale,0)</f>
        <v/>
      </c>
      <c r="GP6" s="267">
        <f>-ConLoan!GP$27+IF(Timeline!GP$41=1,Operating!GP$42-PermLoan!GP$29,0)+IF(194=StabMonth,OpReserve,0)+IF(194=RefiMonth,RefiCashOut,0)+IF(194=DispoMonth,NetSale,0)</f>
        <v/>
      </c>
      <c r="GQ6" s="267">
        <f>-ConLoan!GQ$27+IF(Timeline!GQ$41=1,Operating!GQ$42-PermLoan!GQ$29,0)+IF(195=StabMonth,OpReserve,0)+IF(195=RefiMonth,RefiCashOut,0)+IF(195=DispoMonth,NetSale,0)</f>
        <v/>
      </c>
      <c r="GR6" s="267">
        <f>-ConLoan!GR$27+IF(Timeline!GR$41=1,Operating!GR$42-PermLoan!GR$29,0)+IF(196=StabMonth,OpReserve,0)+IF(196=RefiMonth,RefiCashOut,0)+IF(196=DispoMonth,NetSale,0)</f>
        <v/>
      </c>
      <c r="GS6" s="267">
        <f>-ConLoan!GS$27+IF(Timeline!GS$41=1,Operating!GS$42-PermLoan!GS$29,0)+IF(197=StabMonth,OpReserve,0)+IF(197=RefiMonth,RefiCashOut,0)+IF(197=DispoMonth,NetSale,0)</f>
        <v/>
      </c>
      <c r="GT6" s="267">
        <f>-ConLoan!GT$27+IF(Timeline!GT$41=1,Operating!GT$42-PermLoan!GT$29,0)+IF(198=StabMonth,OpReserve,0)+IF(198=RefiMonth,RefiCashOut,0)+IF(198=DispoMonth,NetSale,0)</f>
        <v/>
      </c>
      <c r="GU6" s="267">
        <f>-ConLoan!GU$27+IF(Timeline!GU$41=1,Operating!GU$42-PermLoan!GU$29,0)+IF(199=StabMonth,OpReserve,0)+IF(199=RefiMonth,RefiCashOut,0)+IF(199=DispoMonth,NetSale,0)</f>
        <v/>
      </c>
      <c r="GV6" s="267">
        <f>-ConLoan!GV$27+IF(Timeline!GV$41=1,Operating!GV$42-PermLoan!GV$29,0)+IF(200=StabMonth,OpReserve,0)+IF(200=RefiMonth,RefiCashOut,0)+IF(200=DispoMonth,NetSale,0)</f>
        <v/>
      </c>
      <c r="GW6" s="267">
        <f>-ConLoan!GW$27+IF(Timeline!GW$41=1,Operating!GW$42-PermLoan!GW$29,0)+IF(201=StabMonth,OpReserve,0)+IF(201=RefiMonth,RefiCashOut,0)+IF(201=DispoMonth,NetSale,0)</f>
        <v/>
      </c>
      <c r="GX6" s="267">
        <f>-ConLoan!GX$27+IF(Timeline!GX$41=1,Operating!GX$42-PermLoan!GX$29,0)+IF(202=StabMonth,OpReserve,0)+IF(202=RefiMonth,RefiCashOut,0)+IF(202=DispoMonth,NetSale,0)</f>
        <v/>
      </c>
      <c r="GY6" s="267">
        <f>-ConLoan!GY$27+IF(Timeline!GY$41=1,Operating!GY$42-PermLoan!GY$29,0)+IF(203=StabMonth,OpReserve,0)+IF(203=RefiMonth,RefiCashOut,0)+IF(203=DispoMonth,NetSale,0)</f>
        <v/>
      </c>
      <c r="GZ6" s="267">
        <f>-ConLoan!GZ$27+IF(Timeline!GZ$41=1,Operating!GZ$42-PermLoan!GZ$29,0)+IF(204=StabMonth,OpReserve,0)+IF(204=RefiMonth,RefiCashOut,0)+IF(204=DispoMonth,NetSale,0)</f>
        <v/>
      </c>
      <c r="HA6" s="267">
        <f>-ConLoan!HA$27+IF(Timeline!HA$41=1,Operating!HA$42-PermLoan!HA$29,0)+IF(205=StabMonth,OpReserve,0)+IF(205=RefiMonth,RefiCashOut,0)+IF(205=DispoMonth,NetSale,0)</f>
        <v/>
      </c>
      <c r="HB6" s="267">
        <f>-ConLoan!HB$27+IF(Timeline!HB$41=1,Operating!HB$42-PermLoan!HB$29,0)+IF(206=StabMonth,OpReserve,0)+IF(206=RefiMonth,RefiCashOut,0)+IF(206=DispoMonth,NetSale,0)</f>
        <v/>
      </c>
      <c r="HC6" s="267">
        <f>-ConLoan!HC$27+IF(Timeline!HC$41=1,Operating!HC$42-PermLoan!HC$29,0)+IF(207=StabMonth,OpReserve,0)+IF(207=RefiMonth,RefiCashOut,0)+IF(207=DispoMonth,NetSale,0)</f>
        <v/>
      </c>
      <c r="HD6" s="267">
        <f>-ConLoan!HD$27+IF(Timeline!HD$41=1,Operating!HD$42-PermLoan!HD$29,0)+IF(208=StabMonth,OpReserve,0)+IF(208=RefiMonth,RefiCashOut,0)+IF(208=DispoMonth,NetSale,0)</f>
        <v/>
      </c>
      <c r="HE6" s="267">
        <f>-ConLoan!HE$27+IF(Timeline!HE$41=1,Operating!HE$42-PermLoan!HE$29,0)+IF(209=StabMonth,OpReserve,0)+IF(209=RefiMonth,RefiCashOut,0)+IF(209=DispoMonth,NetSale,0)</f>
        <v/>
      </c>
      <c r="HF6" s="267">
        <f>-ConLoan!HF$27+IF(Timeline!HF$41=1,Operating!HF$42-PermLoan!HF$29,0)+IF(210=StabMonth,OpReserve,0)+IF(210=RefiMonth,RefiCashOut,0)+IF(210=DispoMonth,NetSale,0)</f>
        <v/>
      </c>
      <c r="HG6" s="267">
        <f>-ConLoan!HG$27+IF(Timeline!HG$41=1,Operating!HG$42-PermLoan!HG$29,0)+IF(211=StabMonth,OpReserve,0)+IF(211=RefiMonth,RefiCashOut,0)+IF(211=DispoMonth,NetSale,0)</f>
        <v/>
      </c>
      <c r="HH6" s="267">
        <f>-ConLoan!HH$27+IF(Timeline!HH$41=1,Operating!HH$42-PermLoan!HH$29,0)+IF(212=StabMonth,OpReserve,0)+IF(212=RefiMonth,RefiCashOut,0)+IF(212=DispoMonth,NetSale,0)</f>
        <v/>
      </c>
      <c r="HI6" s="267">
        <f>-ConLoan!HI$27+IF(Timeline!HI$41=1,Operating!HI$42-PermLoan!HI$29,0)+IF(213=StabMonth,OpReserve,0)+IF(213=RefiMonth,RefiCashOut,0)+IF(213=DispoMonth,NetSale,0)</f>
        <v/>
      </c>
      <c r="HJ6" s="267">
        <f>-ConLoan!HJ$27+IF(Timeline!HJ$41=1,Operating!HJ$42-PermLoan!HJ$29,0)+IF(214=StabMonth,OpReserve,0)+IF(214=RefiMonth,RefiCashOut,0)+IF(214=DispoMonth,NetSale,0)</f>
        <v/>
      </c>
      <c r="HK6" s="267">
        <f>-ConLoan!HK$27+IF(Timeline!HK$41=1,Operating!HK$42-PermLoan!HK$29,0)+IF(215=StabMonth,OpReserve,0)+IF(215=RefiMonth,RefiCashOut,0)+IF(215=DispoMonth,NetSale,0)</f>
        <v/>
      </c>
      <c r="HL6" s="267">
        <f>-ConLoan!HL$27+IF(Timeline!HL$41=1,Operating!HL$42-PermLoan!HL$29,0)+IF(216=StabMonth,OpReserve,0)+IF(216=RefiMonth,RefiCashOut,0)+IF(216=DispoMonth,NetSale,0)</f>
        <v/>
      </c>
      <c r="HM6" s="267">
        <f>-ConLoan!HM$27+IF(Timeline!HM$41=1,Operating!HM$42-PermLoan!HM$29,0)+IF(217=StabMonth,OpReserve,0)+IF(217=RefiMonth,RefiCashOut,0)+IF(217=DispoMonth,NetSale,0)</f>
        <v/>
      </c>
      <c r="HN6" s="267">
        <f>-ConLoan!HN$27+IF(Timeline!HN$41=1,Operating!HN$42-PermLoan!HN$29,0)+IF(218=StabMonth,OpReserve,0)+IF(218=RefiMonth,RefiCashOut,0)+IF(218=DispoMonth,NetSale,0)</f>
        <v/>
      </c>
      <c r="HO6" s="267">
        <f>-ConLoan!HO$27+IF(Timeline!HO$41=1,Operating!HO$42-PermLoan!HO$29,0)+IF(219=StabMonth,OpReserve,0)+IF(219=RefiMonth,RefiCashOut,0)+IF(219=DispoMonth,NetSale,0)</f>
        <v/>
      </c>
      <c r="HP6" s="267">
        <f>-ConLoan!HP$27+IF(Timeline!HP$41=1,Operating!HP$42-PermLoan!HP$29,0)+IF(220=StabMonth,OpReserve,0)+IF(220=RefiMonth,RefiCashOut,0)+IF(220=DispoMonth,NetSale,0)</f>
        <v/>
      </c>
      <c r="HQ6" s="267">
        <f>-ConLoan!HQ$27+IF(Timeline!HQ$41=1,Operating!HQ$42-PermLoan!HQ$29,0)+IF(221=StabMonth,OpReserve,0)+IF(221=RefiMonth,RefiCashOut,0)+IF(221=DispoMonth,NetSale,0)</f>
        <v/>
      </c>
      <c r="HR6" s="267">
        <f>-ConLoan!HR$27+IF(Timeline!HR$41=1,Operating!HR$42-PermLoan!HR$29,0)+IF(222=StabMonth,OpReserve,0)+IF(222=RefiMonth,RefiCashOut,0)+IF(222=DispoMonth,NetSale,0)</f>
        <v/>
      </c>
      <c r="HS6" s="267">
        <f>-ConLoan!HS$27+IF(Timeline!HS$41=1,Operating!HS$42-PermLoan!HS$29,0)+IF(223=StabMonth,OpReserve,0)+IF(223=RefiMonth,RefiCashOut,0)+IF(223=DispoMonth,NetSale,0)</f>
        <v/>
      </c>
      <c r="HT6" s="267">
        <f>-ConLoan!HT$27+IF(Timeline!HT$41=1,Operating!HT$42-PermLoan!HT$29,0)+IF(224=StabMonth,OpReserve,0)+IF(224=RefiMonth,RefiCashOut,0)+IF(224=DispoMonth,NetSale,0)</f>
        <v/>
      </c>
      <c r="HU6" s="267">
        <f>-ConLoan!HU$27+IF(Timeline!HU$41=1,Operating!HU$42-PermLoan!HU$29,0)+IF(225=StabMonth,OpReserve,0)+IF(225=RefiMonth,RefiCashOut,0)+IF(225=DispoMonth,NetSale,0)</f>
        <v/>
      </c>
      <c r="HV6" s="267">
        <f>-ConLoan!HV$27+IF(Timeline!HV$41=1,Operating!HV$42-PermLoan!HV$29,0)+IF(226=StabMonth,OpReserve,0)+IF(226=RefiMonth,RefiCashOut,0)+IF(226=DispoMonth,NetSale,0)</f>
        <v/>
      </c>
      <c r="HW6" s="267">
        <f>-ConLoan!HW$27+IF(Timeline!HW$41=1,Operating!HW$42-PermLoan!HW$29,0)+IF(227=StabMonth,OpReserve,0)+IF(227=RefiMonth,RefiCashOut,0)+IF(227=DispoMonth,NetSale,0)</f>
        <v/>
      </c>
      <c r="HX6" s="267">
        <f>-ConLoan!HX$27+IF(Timeline!HX$41=1,Operating!HX$42-PermLoan!HX$29,0)+IF(228=StabMonth,OpReserve,0)+IF(228=RefiMonth,RefiCashOut,0)+IF(228=DispoMonth,NetSale,0)</f>
        <v/>
      </c>
      <c r="HY6" s="267">
        <f>-ConLoan!HY$27+IF(Timeline!HY$41=1,Operating!HY$42-PermLoan!HY$29,0)+IF(229=StabMonth,OpReserve,0)+IF(229=RefiMonth,RefiCashOut,0)+IF(229=DispoMonth,NetSale,0)</f>
        <v/>
      </c>
      <c r="HZ6" s="267">
        <f>-ConLoan!HZ$27+IF(Timeline!HZ$41=1,Operating!HZ$42-PermLoan!HZ$29,0)+IF(230=StabMonth,OpReserve,0)+IF(230=RefiMonth,RefiCashOut,0)+IF(230=DispoMonth,NetSale,0)</f>
        <v/>
      </c>
      <c r="IA6" s="267">
        <f>-ConLoan!IA$27+IF(Timeline!IA$41=1,Operating!IA$42-PermLoan!IA$29,0)+IF(231=StabMonth,OpReserve,0)+IF(231=RefiMonth,RefiCashOut,0)+IF(231=DispoMonth,NetSale,0)</f>
        <v/>
      </c>
      <c r="IB6" s="267">
        <f>-ConLoan!IB$27+IF(Timeline!IB$41=1,Operating!IB$42-PermLoan!IB$29,0)+IF(232=StabMonth,OpReserve,0)+IF(232=RefiMonth,RefiCashOut,0)+IF(232=DispoMonth,NetSale,0)</f>
        <v/>
      </c>
      <c r="IC6" s="267">
        <f>-ConLoan!IC$27+IF(Timeline!IC$41=1,Operating!IC$42-PermLoan!IC$29,0)+IF(233=StabMonth,OpReserve,0)+IF(233=RefiMonth,RefiCashOut,0)+IF(233=DispoMonth,NetSale,0)</f>
        <v/>
      </c>
      <c r="ID6" s="267">
        <f>-ConLoan!ID$27+IF(Timeline!ID$41=1,Operating!ID$42-PermLoan!ID$29,0)+IF(234=StabMonth,OpReserve,0)+IF(234=RefiMonth,RefiCashOut,0)+IF(234=DispoMonth,NetSale,0)</f>
        <v/>
      </c>
      <c r="IE6" s="267">
        <f>-ConLoan!IE$27+IF(Timeline!IE$41=1,Operating!IE$42-PermLoan!IE$29,0)+IF(235=StabMonth,OpReserve,0)+IF(235=RefiMonth,RefiCashOut,0)+IF(235=DispoMonth,NetSale,0)</f>
        <v/>
      </c>
      <c r="IF6" s="267">
        <f>-ConLoan!IF$27+IF(Timeline!IF$41=1,Operating!IF$42-PermLoan!IF$29,0)+IF(236=StabMonth,OpReserve,0)+IF(236=RefiMonth,RefiCashOut,0)+IF(236=DispoMonth,NetSale,0)</f>
        <v/>
      </c>
      <c r="IG6" s="267">
        <f>-ConLoan!IG$27+IF(Timeline!IG$41=1,Operating!IG$42-PermLoan!IG$29,0)+IF(237=StabMonth,OpReserve,0)+IF(237=RefiMonth,RefiCashOut,0)+IF(237=DispoMonth,NetSale,0)</f>
        <v/>
      </c>
      <c r="IH6" s="267">
        <f>-ConLoan!IH$27+IF(Timeline!IH$41=1,Operating!IH$42-PermLoan!IH$29,0)+IF(238=StabMonth,OpReserve,0)+IF(238=RefiMonth,RefiCashOut,0)+IF(238=DispoMonth,NetSale,0)</f>
        <v/>
      </c>
      <c r="II6" s="267">
        <f>-ConLoan!II$27+IF(Timeline!II$41=1,Operating!II$42-PermLoan!II$29,0)+IF(239=StabMonth,OpReserve,0)+IF(239=RefiMonth,RefiCashOut,0)+IF(239=DispoMonth,NetSale,0)</f>
        <v/>
      </c>
      <c r="IJ6" s="267">
        <f>-ConLoan!IJ$27+IF(Timeline!IJ$41=1,Operating!IJ$42-PermLoan!IJ$29,0)+IF(240=StabMonth,OpReserve,0)+IF(240=RefiMonth,RefiCashOut,0)+IF(240=DispoMonth,NetSale,0)</f>
        <v/>
      </c>
      <c r="IK6" s="267">
        <f>-ConLoan!IK$27+IF(Timeline!IK$41=1,Operating!IK$42-PermLoan!IK$29,0)+IF(241=StabMonth,OpReserve,0)+IF(241=RefiMonth,RefiCashOut,0)+IF(241=DispoMonth,NetSale,0)</f>
        <v/>
      </c>
      <c r="IL6" s="267">
        <f>-ConLoan!IL$27+IF(Timeline!IL$41=1,Operating!IL$42-PermLoan!IL$29,0)+IF(242=StabMonth,OpReserve,0)+IF(242=RefiMonth,RefiCashOut,0)+IF(242=DispoMonth,NetSale,0)</f>
        <v/>
      </c>
      <c r="IM6" s="267">
        <f>-ConLoan!IM$27+IF(Timeline!IM$41=1,Operating!IM$42-PermLoan!IM$29,0)+IF(243=StabMonth,OpReserve,0)+IF(243=RefiMonth,RefiCashOut,0)+IF(243=DispoMonth,NetSale,0)</f>
        <v/>
      </c>
      <c r="IN6" s="267">
        <f>-ConLoan!IN$27+IF(Timeline!IN$41=1,Operating!IN$42-PermLoan!IN$29,0)+IF(244=StabMonth,OpReserve,0)+IF(244=RefiMonth,RefiCashOut,0)+IF(244=DispoMonth,NetSale,0)</f>
        <v/>
      </c>
      <c r="IO6" s="267">
        <f>-ConLoan!IO$27+IF(Timeline!IO$41=1,Operating!IO$42-PermLoan!IO$29,0)+IF(245=StabMonth,OpReserve,0)+IF(245=RefiMonth,RefiCashOut,0)+IF(245=DispoMonth,NetSale,0)</f>
        <v/>
      </c>
      <c r="IP6" s="267">
        <f>-ConLoan!IP$27+IF(Timeline!IP$41=1,Operating!IP$42-PermLoan!IP$29,0)+IF(246=StabMonth,OpReserve,0)+IF(246=RefiMonth,RefiCashOut,0)+IF(246=DispoMonth,NetSale,0)</f>
        <v/>
      </c>
      <c r="IQ6" s="267">
        <f>-ConLoan!IQ$27+IF(Timeline!IQ$41=1,Operating!IQ$42-PermLoan!IQ$29,0)+IF(247=StabMonth,OpReserve,0)+IF(247=RefiMonth,RefiCashOut,0)+IF(247=DispoMonth,NetSale,0)</f>
        <v/>
      </c>
      <c r="IR6" s="267">
        <f>-ConLoan!IR$27+IF(Timeline!IR$41=1,Operating!IR$42-PermLoan!IR$29,0)+IF(248=StabMonth,OpReserve,0)+IF(248=RefiMonth,RefiCashOut,0)+IF(248=DispoMonth,NetSale,0)</f>
        <v/>
      </c>
      <c r="IS6" s="267">
        <f>-ConLoan!IS$27+IF(Timeline!IS$41=1,Operating!IS$42-PermLoan!IS$29,0)+IF(249=StabMonth,OpReserve,0)+IF(249=RefiMonth,RefiCashOut,0)+IF(249=DispoMonth,NetSale,0)</f>
        <v/>
      </c>
      <c r="IT6" s="267">
        <f>-ConLoan!IT$27+IF(Timeline!IT$41=1,Operating!IT$42-PermLoan!IT$29,0)+IF(250=StabMonth,OpReserve,0)+IF(250=RefiMonth,RefiCashOut,0)+IF(250=DispoMonth,NetSale,0)</f>
        <v/>
      </c>
      <c r="IU6" s="267">
        <f>-ConLoan!IU$27+IF(Timeline!IU$41=1,Operating!IU$42-PermLoan!IU$29,0)+IF(251=StabMonth,OpReserve,0)+IF(251=RefiMonth,RefiCashOut,0)+IF(251=DispoMonth,NetSale,0)</f>
        <v/>
      </c>
      <c r="IV6" s="267">
        <f>-ConLoan!IV$27+IF(Timeline!IV$41=1,Operating!IV$42-PermLoan!IV$29,0)+IF(252=StabMonth,OpReserve,0)+IF(252=RefiMonth,RefiCashOut,0)+IF(252=DispoMonth,NetSale,0)</f>
        <v/>
      </c>
      <c r="IW6" s="267">
        <f>-ConLoan!IW$27+IF(Timeline!IW$41=1,Operating!IW$42-PermLoan!IW$29,0)+IF(253=StabMonth,OpReserve,0)+IF(253=RefiMonth,RefiCashOut,0)+IF(253=DispoMonth,NetSale,0)</f>
        <v/>
      </c>
      <c r="IX6" s="267">
        <f>-ConLoan!IX$27+IF(Timeline!IX$41=1,Operating!IX$42-PermLoan!IX$29,0)+IF(254=StabMonth,OpReserve,0)+IF(254=RefiMonth,RefiCashOut,0)+IF(254=DispoMonth,NetSale,0)</f>
        <v/>
      </c>
      <c r="IY6" s="267">
        <f>-ConLoan!IY$27+IF(Timeline!IY$41=1,Operating!IY$42-PermLoan!IY$29,0)+IF(255=StabMonth,OpReserve,0)+IF(255=RefiMonth,RefiCashOut,0)+IF(255=DispoMonth,NetSale,0)</f>
        <v/>
      </c>
      <c r="IZ6" s="267">
        <f>-ConLoan!IZ$27+IF(Timeline!IZ$41=1,Operating!IZ$42-PermLoan!IZ$29,0)+IF(256=StabMonth,OpReserve,0)+IF(256=RefiMonth,RefiCashOut,0)+IF(256=DispoMonth,NetSale,0)</f>
        <v/>
      </c>
      <c r="JA6" s="267">
        <f>-ConLoan!JA$27+IF(Timeline!JA$41=1,Operating!JA$42-PermLoan!JA$29,0)+IF(257=StabMonth,OpReserve,0)+IF(257=RefiMonth,RefiCashOut,0)+IF(257=DispoMonth,NetSale,0)</f>
        <v/>
      </c>
      <c r="JB6" s="267">
        <f>-ConLoan!JB$27+IF(Timeline!JB$41=1,Operating!JB$42-PermLoan!JB$29,0)+IF(258=StabMonth,OpReserve,0)+IF(258=RefiMonth,RefiCashOut,0)+IF(258=DispoMonth,NetSale,0)</f>
        <v/>
      </c>
      <c r="JC6" s="267">
        <f>-ConLoan!JC$27+IF(Timeline!JC$41=1,Operating!JC$42-PermLoan!JC$29,0)+IF(259=StabMonth,OpReserve,0)+IF(259=RefiMonth,RefiCashOut,0)+IF(259=DispoMonth,NetSale,0)</f>
        <v/>
      </c>
      <c r="JD6" s="267">
        <f>-ConLoan!JD$27+IF(Timeline!JD$41=1,Operating!JD$42-PermLoan!JD$29,0)+IF(260=StabMonth,OpReserve,0)+IF(260=RefiMonth,RefiCashOut,0)+IF(260=DispoMonth,NetSale,0)</f>
        <v/>
      </c>
      <c r="JE6" s="267">
        <f>-ConLoan!JE$27+IF(Timeline!JE$41=1,Operating!JE$42-PermLoan!JE$29,0)+IF(261=StabMonth,OpReserve,0)+IF(261=RefiMonth,RefiCashOut,0)+IF(261=DispoMonth,NetSale,0)</f>
        <v/>
      </c>
      <c r="JF6" s="267">
        <f>-ConLoan!JF$27+IF(Timeline!JF$41=1,Operating!JF$42-PermLoan!JF$29,0)+IF(262=StabMonth,OpReserve,0)+IF(262=RefiMonth,RefiCashOut,0)+IF(262=DispoMonth,NetSale,0)</f>
        <v/>
      </c>
      <c r="JG6" s="267">
        <f>-ConLoan!JG$27+IF(Timeline!JG$41=1,Operating!JG$42-PermLoan!JG$29,0)+IF(263=StabMonth,OpReserve,0)+IF(263=RefiMonth,RefiCashOut,0)+IF(263=DispoMonth,NetSale,0)</f>
        <v/>
      </c>
      <c r="JH6" s="267">
        <f>-ConLoan!JH$27+IF(Timeline!JH$41=1,Operating!JH$42-PermLoan!JH$29,0)+IF(264=StabMonth,OpReserve,0)+IF(264=RefiMonth,RefiCashOut,0)+IF(264=DispoMonth,NetSale,0)</f>
        <v/>
      </c>
      <c r="JI6" s="267">
        <f>-ConLoan!JI$27+IF(Timeline!JI$41=1,Operating!JI$42-PermLoan!JI$29,0)+IF(265=StabMonth,OpReserve,0)+IF(265=RefiMonth,RefiCashOut,0)+IF(265=DispoMonth,NetSale,0)</f>
        <v/>
      </c>
      <c r="JJ6" s="267">
        <f>-ConLoan!JJ$27+IF(Timeline!JJ$41=1,Operating!JJ$42-PermLoan!JJ$29,0)+IF(266=StabMonth,OpReserve,0)+IF(266=RefiMonth,RefiCashOut,0)+IF(266=DispoMonth,NetSale,0)</f>
        <v/>
      </c>
      <c r="JK6" s="267">
        <f>-ConLoan!JK$27+IF(Timeline!JK$41=1,Operating!JK$42-PermLoan!JK$29,0)+IF(267=StabMonth,OpReserve,0)+IF(267=RefiMonth,RefiCashOut,0)+IF(267=DispoMonth,NetSale,0)</f>
        <v/>
      </c>
      <c r="JL6" s="267">
        <f>-ConLoan!JL$27+IF(Timeline!JL$41=1,Operating!JL$42-PermLoan!JL$29,0)+IF(268=StabMonth,OpReserve,0)+IF(268=RefiMonth,RefiCashOut,0)+IF(268=DispoMonth,NetSale,0)</f>
        <v/>
      </c>
      <c r="JM6" s="267">
        <f>-ConLoan!JM$27+IF(Timeline!JM$41=1,Operating!JM$42-PermLoan!JM$29,0)+IF(269=StabMonth,OpReserve,0)+IF(269=RefiMonth,RefiCashOut,0)+IF(269=DispoMonth,NetSale,0)</f>
        <v/>
      </c>
      <c r="JN6" s="267">
        <f>-ConLoan!JN$27+IF(Timeline!JN$41=1,Operating!JN$42-PermLoan!JN$29,0)+IF(270=StabMonth,OpReserve,0)+IF(270=RefiMonth,RefiCashOut,0)+IF(270=DispoMonth,NetSale,0)</f>
        <v/>
      </c>
      <c r="JO6" s="267">
        <f>-ConLoan!JO$27+IF(Timeline!JO$41=1,Operating!JO$42-PermLoan!JO$29,0)+IF(271=StabMonth,OpReserve,0)+IF(271=RefiMonth,RefiCashOut,0)+IF(271=DispoMonth,NetSale,0)</f>
        <v/>
      </c>
      <c r="JP6" s="267">
        <f>-ConLoan!JP$27+IF(Timeline!JP$41=1,Operating!JP$42-PermLoan!JP$29,0)+IF(272=StabMonth,OpReserve,0)+IF(272=RefiMonth,RefiCashOut,0)+IF(272=DispoMonth,NetSale,0)</f>
        <v/>
      </c>
      <c r="JQ6" s="267">
        <f>-ConLoan!JQ$27+IF(Timeline!JQ$41=1,Operating!JQ$42-PermLoan!JQ$29,0)+IF(273=StabMonth,OpReserve,0)+IF(273=RefiMonth,RefiCashOut,0)+IF(273=DispoMonth,NetSale,0)</f>
        <v/>
      </c>
      <c r="JR6" s="267">
        <f>-ConLoan!JR$27+IF(Timeline!JR$41=1,Operating!JR$42-PermLoan!JR$29,0)+IF(274=StabMonth,OpReserve,0)+IF(274=RefiMonth,RefiCashOut,0)+IF(274=DispoMonth,NetSale,0)</f>
        <v/>
      </c>
      <c r="JS6" s="267">
        <f>-ConLoan!JS$27+IF(Timeline!JS$41=1,Operating!JS$42-PermLoan!JS$29,0)+IF(275=StabMonth,OpReserve,0)+IF(275=RefiMonth,RefiCashOut,0)+IF(275=DispoMonth,NetSale,0)</f>
        <v/>
      </c>
      <c r="JT6" s="267">
        <f>-ConLoan!JT$27+IF(Timeline!JT$41=1,Operating!JT$42-PermLoan!JT$29,0)+IF(276=StabMonth,OpReserve,0)+IF(276=RefiMonth,RefiCashOut,0)+IF(276=DispoMonth,NetSale,0)</f>
        <v/>
      </c>
      <c r="JU6" s="267">
        <f>-ConLoan!JU$27+IF(Timeline!JU$41=1,Operating!JU$42-PermLoan!JU$29,0)+IF(277=StabMonth,OpReserve,0)+IF(277=RefiMonth,RefiCashOut,0)+IF(277=DispoMonth,NetSale,0)</f>
        <v/>
      </c>
      <c r="JV6" s="267">
        <f>-ConLoan!JV$27+IF(Timeline!JV$41=1,Operating!JV$42-PermLoan!JV$29,0)+IF(278=StabMonth,OpReserve,0)+IF(278=RefiMonth,RefiCashOut,0)+IF(278=DispoMonth,NetSale,0)</f>
        <v/>
      </c>
      <c r="JW6" s="267">
        <f>-ConLoan!JW$27+IF(Timeline!JW$41=1,Operating!JW$42-PermLoan!JW$29,0)+IF(279=StabMonth,OpReserve,0)+IF(279=RefiMonth,RefiCashOut,0)+IF(279=DispoMonth,NetSale,0)</f>
        <v/>
      </c>
      <c r="JX6" s="267">
        <f>-ConLoan!JX$27+IF(Timeline!JX$41=1,Operating!JX$42-PermLoan!JX$29,0)+IF(280=StabMonth,OpReserve,0)+IF(280=RefiMonth,RefiCashOut,0)+IF(280=DispoMonth,NetSale,0)</f>
        <v/>
      </c>
      <c r="JY6" s="267">
        <f>-ConLoan!JY$27+IF(Timeline!JY$41=1,Operating!JY$42-PermLoan!JY$29,0)+IF(281=StabMonth,OpReserve,0)+IF(281=RefiMonth,RefiCashOut,0)+IF(281=DispoMonth,NetSale,0)</f>
        <v/>
      </c>
      <c r="JZ6" s="267">
        <f>-ConLoan!JZ$27+IF(Timeline!JZ$41=1,Operating!JZ$42-PermLoan!JZ$29,0)+IF(282=StabMonth,OpReserve,0)+IF(282=RefiMonth,RefiCashOut,0)+IF(282=DispoMonth,NetSale,0)</f>
        <v/>
      </c>
      <c r="KA6" s="267">
        <f>-ConLoan!KA$27+IF(Timeline!KA$41=1,Operating!KA$42-PermLoan!KA$29,0)+IF(283=StabMonth,OpReserve,0)+IF(283=RefiMonth,RefiCashOut,0)+IF(283=DispoMonth,NetSale,0)</f>
        <v/>
      </c>
      <c r="KB6" s="267">
        <f>-ConLoan!KB$27+IF(Timeline!KB$41=1,Operating!KB$42-PermLoan!KB$29,0)+IF(284=StabMonth,OpReserve,0)+IF(284=RefiMonth,RefiCashOut,0)+IF(284=DispoMonth,NetSale,0)</f>
        <v/>
      </c>
      <c r="KC6" s="267">
        <f>-ConLoan!KC$27+IF(Timeline!KC$41=1,Operating!KC$42-PermLoan!KC$29,0)+IF(285=StabMonth,OpReserve,0)+IF(285=RefiMonth,RefiCashOut,0)+IF(285=DispoMonth,NetSale,0)</f>
        <v/>
      </c>
      <c r="KD6" s="267">
        <f>-ConLoan!KD$27+IF(Timeline!KD$41=1,Operating!KD$42-PermLoan!KD$29,0)+IF(286=StabMonth,OpReserve,0)+IF(286=RefiMonth,RefiCashOut,0)+IF(286=DispoMonth,NetSale,0)</f>
        <v/>
      </c>
      <c r="KE6" s="267">
        <f>-ConLoan!KE$27+IF(Timeline!KE$41=1,Operating!KE$42-PermLoan!KE$29,0)+IF(287=StabMonth,OpReserve,0)+IF(287=RefiMonth,RefiCashOut,0)+IF(287=DispoMonth,NetSale,0)</f>
        <v/>
      </c>
      <c r="KF6" s="267">
        <f>-ConLoan!KF$27+IF(Timeline!KF$41=1,Operating!KF$42-PermLoan!KF$29,0)+IF(288=StabMonth,OpReserve,0)+IF(288=RefiMonth,RefiCashOut,0)+IF(288=DispoMonth,NetSale,0)</f>
        <v/>
      </c>
      <c r="KG6" s="267">
        <f>-ConLoan!KG$27+IF(Timeline!KG$41=1,Operating!KG$42-PermLoan!KG$29,0)+IF(289=StabMonth,OpReserve,0)+IF(289=RefiMonth,RefiCashOut,0)+IF(289=DispoMonth,NetSale,0)</f>
        <v/>
      </c>
      <c r="KH6" s="267">
        <f>-ConLoan!KH$27+IF(Timeline!KH$41=1,Operating!KH$42-PermLoan!KH$29,0)+IF(290=StabMonth,OpReserve,0)+IF(290=RefiMonth,RefiCashOut,0)+IF(290=DispoMonth,NetSale,0)</f>
        <v/>
      </c>
      <c r="KI6" s="267">
        <f>-ConLoan!KI$27+IF(Timeline!KI$41=1,Operating!KI$42-PermLoan!KI$29,0)+IF(291=StabMonth,OpReserve,0)+IF(291=RefiMonth,RefiCashOut,0)+IF(291=DispoMonth,NetSale,0)</f>
        <v/>
      </c>
      <c r="KJ6" s="267">
        <f>-ConLoan!KJ$27+IF(Timeline!KJ$41=1,Operating!KJ$42-PermLoan!KJ$29,0)+IF(292=StabMonth,OpReserve,0)+IF(292=RefiMonth,RefiCashOut,0)+IF(292=DispoMonth,NetSale,0)</f>
        <v/>
      </c>
      <c r="KK6" s="267">
        <f>-ConLoan!KK$27+IF(Timeline!KK$41=1,Operating!KK$42-PermLoan!KK$29,0)+IF(293=StabMonth,OpReserve,0)+IF(293=RefiMonth,RefiCashOut,0)+IF(293=DispoMonth,NetSale,0)</f>
        <v/>
      </c>
      <c r="KL6" s="267">
        <f>-ConLoan!KL$27+IF(Timeline!KL$41=1,Operating!KL$42-PermLoan!KL$29,0)+IF(294=StabMonth,OpReserve,0)+IF(294=RefiMonth,RefiCashOut,0)+IF(294=DispoMonth,NetSale,0)</f>
        <v/>
      </c>
      <c r="KM6" s="267">
        <f>-ConLoan!KM$27+IF(Timeline!KM$41=1,Operating!KM$42-PermLoan!KM$29,0)+IF(295=StabMonth,OpReserve,0)+IF(295=RefiMonth,RefiCashOut,0)+IF(295=DispoMonth,NetSale,0)</f>
        <v/>
      </c>
      <c r="KN6" s="267">
        <f>-ConLoan!KN$27+IF(Timeline!KN$41=1,Operating!KN$42-PermLoan!KN$29,0)+IF(296=StabMonth,OpReserve,0)+IF(296=RefiMonth,RefiCashOut,0)+IF(296=DispoMonth,NetSale,0)</f>
        <v/>
      </c>
      <c r="KO6" s="267">
        <f>-ConLoan!KO$27+IF(Timeline!KO$41=1,Operating!KO$42-PermLoan!KO$29,0)+IF(297=StabMonth,OpReserve,0)+IF(297=RefiMonth,RefiCashOut,0)+IF(297=DispoMonth,NetSale,0)</f>
        <v/>
      </c>
      <c r="KP6" s="267">
        <f>-ConLoan!KP$27+IF(Timeline!KP$41=1,Operating!KP$42-PermLoan!KP$29,0)+IF(298=StabMonth,OpReserve,0)+IF(298=RefiMonth,RefiCashOut,0)+IF(298=DispoMonth,NetSale,0)</f>
        <v/>
      </c>
      <c r="KQ6" s="267">
        <f>-ConLoan!KQ$27+IF(Timeline!KQ$41=1,Operating!KQ$42-PermLoan!KQ$29,0)+IF(299=StabMonth,OpReserve,0)+IF(299=RefiMonth,RefiCashOut,0)+IF(299=DispoMonth,NetSale,0)</f>
        <v/>
      </c>
      <c r="KR6" s="267">
        <f>-ConLoan!KR$27+IF(Timeline!KR$41=1,Operating!KR$42-PermLoan!KR$29,0)+IF(300=StabMonth,OpReserve,0)+IF(300=RefiMonth,RefiCashOut,0)+IF(300=DispoMonth,NetSale,0)</f>
        <v/>
      </c>
      <c r="KS6" s="267">
        <f>-ConLoan!KS$27+IF(Timeline!KS$41=1,Operating!KS$42-PermLoan!KS$29,0)+IF(301=StabMonth,OpReserve,0)+IF(301=RefiMonth,RefiCashOut,0)+IF(301=DispoMonth,NetSale,0)</f>
        <v/>
      </c>
      <c r="KT6" s="267">
        <f>-ConLoan!KT$27+IF(Timeline!KT$41=1,Operating!KT$42-PermLoan!KT$29,0)+IF(302=StabMonth,OpReserve,0)+IF(302=RefiMonth,RefiCashOut,0)+IF(302=DispoMonth,NetSale,0)</f>
        <v/>
      </c>
      <c r="KU6" s="267">
        <f>-ConLoan!KU$27+IF(Timeline!KU$41=1,Operating!KU$42-PermLoan!KU$29,0)+IF(303=StabMonth,OpReserve,0)+IF(303=RefiMonth,RefiCashOut,0)+IF(303=DispoMonth,NetSale,0)</f>
        <v/>
      </c>
      <c r="KV6" s="267">
        <f>-ConLoan!KV$27+IF(Timeline!KV$41=1,Operating!KV$42-PermLoan!KV$29,0)+IF(304=StabMonth,OpReserve,0)+IF(304=RefiMonth,RefiCashOut,0)+IF(304=DispoMonth,NetSale,0)</f>
        <v/>
      </c>
      <c r="KW6" s="267">
        <f>-ConLoan!KW$27+IF(Timeline!KW$41=1,Operating!KW$42-PermLoan!KW$29,0)+IF(305=StabMonth,OpReserve,0)+IF(305=RefiMonth,RefiCashOut,0)+IF(305=DispoMonth,NetSale,0)</f>
        <v/>
      </c>
      <c r="KX6" s="267">
        <f>-ConLoan!KX$27+IF(Timeline!KX$41=1,Operating!KX$42-PermLoan!KX$29,0)+IF(306=StabMonth,OpReserve,0)+IF(306=RefiMonth,RefiCashOut,0)+IF(306=DispoMonth,NetSale,0)</f>
        <v/>
      </c>
      <c r="KY6" s="267">
        <f>-ConLoan!KY$27+IF(Timeline!KY$41=1,Operating!KY$42-PermLoan!KY$29,0)+IF(307=StabMonth,OpReserve,0)+IF(307=RefiMonth,RefiCashOut,0)+IF(307=DispoMonth,NetSale,0)</f>
        <v/>
      </c>
      <c r="KZ6" s="267">
        <f>-ConLoan!KZ$27+IF(Timeline!KZ$41=1,Operating!KZ$42-PermLoan!KZ$29,0)+IF(308=StabMonth,OpReserve,0)+IF(308=RefiMonth,RefiCashOut,0)+IF(308=DispoMonth,NetSale,0)</f>
        <v/>
      </c>
      <c r="LA6" s="267">
        <f>-ConLoan!LA$27+IF(Timeline!LA$41=1,Operating!LA$42-PermLoan!LA$29,0)+IF(309=StabMonth,OpReserve,0)+IF(309=RefiMonth,RefiCashOut,0)+IF(309=DispoMonth,NetSale,0)</f>
        <v/>
      </c>
      <c r="LB6" s="267">
        <f>-ConLoan!LB$27+IF(Timeline!LB$41=1,Operating!LB$42-PermLoan!LB$29,0)+IF(310=StabMonth,OpReserve,0)+IF(310=RefiMonth,RefiCashOut,0)+IF(310=DispoMonth,NetSale,0)</f>
        <v/>
      </c>
      <c r="LC6" s="267">
        <f>-ConLoan!LC$27+IF(Timeline!LC$41=1,Operating!LC$42-PermLoan!LC$29,0)+IF(311=StabMonth,OpReserve,0)+IF(311=RefiMonth,RefiCashOut,0)+IF(311=DispoMonth,NetSale,0)</f>
        <v/>
      </c>
      <c r="LD6" s="267">
        <f>-ConLoan!LD$27+IF(Timeline!LD$41=1,Operating!LD$42-PermLoan!LD$29,0)+IF(312=StabMonth,OpReserve,0)+IF(312=RefiMonth,RefiCashOut,0)+IF(312=DispoMonth,NetSale,0)</f>
        <v/>
      </c>
      <c r="LE6" s="267">
        <f>-ConLoan!LE$27+IF(Timeline!LE$41=1,Operating!LE$42-PermLoan!LE$29,0)+IF(313=StabMonth,OpReserve,0)+IF(313=RefiMonth,RefiCashOut,0)+IF(313=DispoMonth,NetSale,0)</f>
        <v/>
      </c>
      <c r="LF6" s="267">
        <f>-ConLoan!LF$27+IF(Timeline!LF$41=1,Operating!LF$42-PermLoan!LF$29,0)+IF(314=StabMonth,OpReserve,0)+IF(314=RefiMonth,RefiCashOut,0)+IF(314=DispoMonth,NetSale,0)</f>
        <v/>
      </c>
      <c r="LG6" s="267">
        <f>-ConLoan!LG$27+IF(Timeline!LG$41=1,Operating!LG$42-PermLoan!LG$29,0)+IF(315=StabMonth,OpReserve,0)+IF(315=RefiMonth,RefiCashOut,0)+IF(315=DispoMonth,NetSale,0)</f>
        <v/>
      </c>
      <c r="LH6" s="267">
        <f>-ConLoan!LH$27+IF(Timeline!LH$41=1,Operating!LH$42-PermLoan!LH$29,0)+IF(316=StabMonth,OpReserve,0)+IF(316=RefiMonth,RefiCashOut,0)+IF(316=DispoMonth,NetSale,0)</f>
        <v/>
      </c>
      <c r="LI6" s="267">
        <f>-ConLoan!LI$27+IF(Timeline!LI$41=1,Operating!LI$42-PermLoan!LI$29,0)+IF(317=StabMonth,OpReserve,0)+IF(317=RefiMonth,RefiCashOut,0)+IF(317=DispoMonth,NetSale,0)</f>
        <v/>
      </c>
      <c r="LJ6" s="267">
        <f>-ConLoan!LJ$27+IF(Timeline!LJ$41=1,Operating!LJ$42-PermLoan!LJ$29,0)+IF(318=StabMonth,OpReserve,0)+IF(318=RefiMonth,RefiCashOut,0)+IF(318=DispoMonth,NetSale,0)</f>
        <v/>
      </c>
      <c r="LK6" s="267">
        <f>-ConLoan!LK$27+IF(Timeline!LK$41=1,Operating!LK$42-PermLoan!LK$29,0)+IF(319=StabMonth,OpReserve,0)+IF(319=RefiMonth,RefiCashOut,0)+IF(319=DispoMonth,NetSale,0)</f>
        <v/>
      </c>
      <c r="LL6" s="267">
        <f>-ConLoan!LL$27+IF(Timeline!LL$41=1,Operating!LL$42-PermLoan!LL$29,0)+IF(320=StabMonth,OpReserve,0)+IF(320=RefiMonth,RefiCashOut,0)+IF(320=DispoMonth,NetSale,0)</f>
        <v/>
      </c>
      <c r="LM6" s="267">
        <f>-ConLoan!LM$27+IF(Timeline!LM$41=1,Operating!LM$42-PermLoan!LM$29,0)+IF(321=StabMonth,OpReserve,0)+IF(321=RefiMonth,RefiCashOut,0)+IF(321=DispoMonth,NetSale,0)</f>
        <v/>
      </c>
      <c r="LN6" s="267">
        <f>-ConLoan!LN$27+IF(Timeline!LN$41=1,Operating!LN$42-PermLoan!LN$29,0)+IF(322=StabMonth,OpReserve,0)+IF(322=RefiMonth,RefiCashOut,0)+IF(322=DispoMonth,NetSale,0)</f>
        <v/>
      </c>
      <c r="LO6" s="267">
        <f>-ConLoan!LO$27+IF(Timeline!LO$41=1,Operating!LO$42-PermLoan!LO$29,0)+IF(323=StabMonth,OpReserve,0)+IF(323=RefiMonth,RefiCashOut,0)+IF(323=DispoMonth,NetSale,0)</f>
        <v/>
      </c>
      <c r="LP6" s="267">
        <f>-ConLoan!LP$27+IF(Timeline!LP$41=1,Operating!LP$42-PermLoan!LP$29,0)+IF(324=StabMonth,OpReserve,0)+IF(324=RefiMonth,RefiCashOut,0)+IF(324=DispoMonth,NetSale,0)</f>
        <v/>
      </c>
      <c r="LQ6" s="267">
        <f>-ConLoan!LQ$27+IF(Timeline!LQ$41=1,Operating!LQ$42-PermLoan!LQ$29,0)+IF(325=StabMonth,OpReserve,0)+IF(325=RefiMonth,RefiCashOut,0)+IF(325=DispoMonth,NetSale,0)</f>
        <v/>
      </c>
      <c r="LR6" s="267">
        <f>-ConLoan!LR$27+IF(Timeline!LR$41=1,Operating!LR$42-PermLoan!LR$29,0)+IF(326=StabMonth,OpReserve,0)+IF(326=RefiMonth,RefiCashOut,0)+IF(326=DispoMonth,NetSale,0)</f>
        <v/>
      </c>
      <c r="LS6" s="267">
        <f>-ConLoan!LS$27+IF(Timeline!LS$41=1,Operating!LS$42-PermLoan!LS$29,0)+IF(327=StabMonth,OpReserve,0)+IF(327=RefiMonth,RefiCashOut,0)+IF(327=DispoMonth,NetSale,0)</f>
        <v/>
      </c>
      <c r="LT6" s="267">
        <f>-ConLoan!LT$27+IF(Timeline!LT$41=1,Operating!LT$42-PermLoan!LT$29,0)+IF(328=StabMonth,OpReserve,0)+IF(328=RefiMonth,RefiCashOut,0)+IF(328=DispoMonth,NetSale,0)</f>
        <v/>
      </c>
      <c r="LU6" s="267">
        <f>-ConLoan!LU$27+IF(Timeline!LU$41=1,Operating!LU$42-PermLoan!LU$29,0)+IF(329=StabMonth,OpReserve,0)+IF(329=RefiMonth,RefiCashOut,0)+IF(329=DispoMonth,NetSale,0)</f>
        <v/>
      </c>
      <c r="LV6" s="267">
        <f>-ConLoan!LV$27+IF(Timeline!LV$41=1,Operating!LV$42-PermLoan!LV$29,0)+IF(330=StabMonth,OpReserve,0)+IF(330=RefiMonth,RefiCashOut,0)+IF(330=DispoMonth,NetSale,0)</f>
        <v/>
      </c>
      <c r="LW6" s="267">
        <f>-ConLoan!LW$27+IF(Timeline!LW$41=1,Operating!LW$42-PermLoan!LW$29,0)+IF(331=StabMonth,OpReserve,0)+IF(331=RefiMonth,RefiCashOut,0)+IF(331=DispoMonth,NetSale,0)</f>
        <v/>
      </c>
      <c r="LX6" s="267">
        <f>-ConLoan!LX$27+IF(Timeline!LX$41=1,Operating!LX$42-PermLoan!LX$29,0)+IF(332=StabMonth,OpReserve,0)+IF(332=RefiMonth,RefiCashOut,0)+IF(332=DispoMonth,NetSale,0)</f>
        <v/>
      </c>
      <c r="LY6" s="267">
        <f>-ConLoan!LY$27+IF(Timeline!LY$41=1,Operating!LY$42-PermLoan!LY$29,0)+IF(333=StabMonth,OpReserve,0)+IF(333=RefiMonth,RefiCashOut,0)+IF(333=DispoMonth,NetSale,0)</f>
        <v/>
      </c>
      <c r="LZ6" s="267">
        <f>-ConLoan!LZ$27+IF(Timeline!LZ$41=1,Operating!LZ$42-PermLoan!LZ$29,0)+IF(334=StabMonth,OpReserve,0)+IF(334=RefiMonth,RefiCashOut,0)+IF(334=DispoMonth,NetSale,0)</f>
        <v/>
      </c>
      <c r="MA6" s="267">
        <f>-ConLoan!MA$27+IF(Timeline!MA$41=1,Operating!MA$42-PermLoan!MA$29,0)+IF(335=StabMonth,OpReserve,0)+IF(335=RefiMonth,RefiCashOut,0)+IF(335=DispoMonth,NetSale,0)</f>
        <v/>
      </c>
      <c r="MB6" s="267">
        <f>-ConLoan!MB$27+IF(Timeline!MB$41=1,Operating!MB$42-PermLoan!MB$29,0)+IF(336=StabMonth,OpReserve,0)+IF(336=RefiMonth,RefiCashOut,0)+IF(336=DispoMonth,NetSale,0)</f>
        <v/>
      </c>
      <c r="MC6" s="267">
        <f>-ConLoan!MC$27+IF(Timeline!MC$41=1,Operating!MC$42-PermLoan!MC$29,0)+IF(337=StabMonth,OpReserve,0)+IF(337=RefiMonth,RefiCashOut,0)+IF(337=DispoMonth,NetSale,0)</f>
        <v/>
      </c>
      <c r="MD6" s="267">
        <f>-ConLoan!MD$27+IF(Timeline!MD$41=1,Operating!MD$42-PermLoan!MD$29,0)+IF(338=StabMonth,OpReserve,0)+IF(338=RefiMonth,RefiCashOut,0)+IF(338=DispoMonth,NetSale,0)</f>
        <v/>
      </c>
      <c r="ME6" s="267">
        <f>-ConLoan!ME$27+IF(Timeline!ME$41=1,Operating!ME$42-PermLoan!ME$29,0)+IF(339=StabMonth,OpReserve,0)+IF(339=RefiMonth,RefiCashOut,0)+IF(339=DispoMonth,NetSale,0)</f>
        <v/>
      </c>
      <c r="MF6" s="267">
        <f>-ConLoan!MF$27+IF(Timeline!MF$41=1,Operating!MF$42-PermLoan!MF$29,0)+IF(340=StabMonth,OpReserve,0)+IF(340=RefiMonth,RefiCashOut,0)+IF(340=DispoMonth,NetSale,0)</f>
        <v/>
      </c>
      <c r="MG6" s="267">
        <f>-ConLoan!MG$27+IF(Timeline!MG$41=1,Operating!MG$42-PermLoan!MG$29,0)+IF(341=StabMonth,OpReserve,0)+IF(341=RefiMonth,RefiCashOut,0)+IF(341=DispoMonth,NetSale,0)</f>
        <v/>
      </c>
      <c r="MH6" s="267">
        <f>-ConLoan!MH$27+IF(Timeline!MH$41=1,Operating!MH$42-PermLoan!MH$29,0)+IF(342=StabMonth,OpReserve,0)+IF(342=RefiMonth,RefiCashOut,0)+IF(342=DispoMonth,NetSale,0)</f>
        <v/>
      </c>
      <c r="MI6" s="267">
        <f>-ConLoan!MI$27+IF(Timeline!MI$41=1,Operating!MI$42-PermLoan!MI$29,0)+IF(343=StabMonth,OpReserve,0)+IF(343=RefiMonth,RefiCashOut,0)+IF(343=DispoMonth,NetSale,0)</f>
        <v/>
      </c>
      <c r="MJ6" s="267">
        <f>-ConLoan!MJ$27+IF(Timeline!MJ$41=1,Operating!MJ$42-PermLoan!MJ$29,0)+IF(344=StabMonth,OpReserve,0)+IF(344=RefiMonth,RefiCashOut,0)+IF(344=DispoMonth,NetSale,0)</f>
        <v/>
      </c>
      <c r="MK6" s="267">
        <f>-ConLoan!MK$27+IF(Timeline!MK$41=1,Operating!MK$42-PermLoan!MK$29,0)+IF(345=StabMonth,OpReserve,0)+IF(345=RefiMonth,RefiCashOut,0)+IF(345=DispoMonth,NetSale,0)</f>
        <v/>
      </c>
      <c r="ML6" s="267">
        <f>-ConLoan!ML$27+IF(Timeline!ML$41=1,Operating!ML$42-PermLoan!ML$29,0)+IF(346=StabMonth,OpReserve,0)+IF(346=RefiMonth,RefiCashOut,0)+IF(346=DispoMonth,NetSale,0)</f>
        <v/>
      </c>
      <c r="MM6" s="267">
        <f>-ConLoan!MM$27+IF(Timeline!MM$41=1,Operating!MM$42-PermLoan!MM$29,0)+IF(347=StabMonth,OpReserve,0)+IF(347=RefiMonth,RefiCashOut,0)+IF(347=DispoMonth,NetSale,0)</f>
        <v/>
      </c>
      <c r="MN6" s="267">
        <f>-ConLoan!MN$27+IF(Timeline!MN$41=1,Operating!MN$42-PermLoan!MN$29,0)+IF(348=StabMonth,OpReserve,0)+IF(348=RefiMonth,RefiCashOut,0)+IF(348=DispoMonth,NetSale,0)</f>
        <v/>
      </c>
      <c r="MO6" s="267">
        <f>-ConLoan!MO$27+IF(Timeline!MO$41=1,Operating!MO$42-PermLoan!MO$29,0)+IF(349=StabMonth,OpReserve,0)+IF(349=RefiMonth,RefiCashOut,0)+IF(349=DispoMonth,NetSale,0)</f>
        <v/>
      </c>
      <c r="MP6" s="267">
        <f>-ConLoan!MP$27+IF(Timeline!MP$41=1,Operating!MP$42-PermLoan!MP$29,0)+IF(350=StabMonth,OpReserve,0)+IF(350=RefiMonth,RefiCashOut,0)+IF(350=DispoMonth,NetSale,0)</f>
        <v/>
      </c>
      <c r="MQ6" s="267">
        <f>-ConLoan!MQ$27+IF(Timeline!MQ$41=1,Operating!MQ$42-PermLoan!MQ$29,0)+IF(351=StabMonth,OpReserve,0)+IF(351=RefiMonth,RefiCashOut,0)+IF(351=DispoMonth,NetSale,0)</f>
        <v/>
      </c>
      <c r="MR6" s="267">
        <f>-ConLoan!MR$27+IF(Timeline!MR$41=1,Operating!MR$42-PermLoan!MR$29,0)+IF(352=StabMonth,OpReserve,0)+IF(352=RefiMonth,RefiCashOut,0)+IF(352=DispoMonth,NetSale,0)</f>
        <v/>
      </c>
      <c r="MS6" s="267">
        <f>-ConLoan!MS$27+IF(Timeline!MS$41=1,Operating!MS$42-PermLoan!MS$29,0)+IF(353=StabMonth,OpReserve,0)+IF(353=RefiMonth,RefiCashOut,0)+IF(353=DispoMonth,NetSale,0)</f>
        <v/>
      </c>
      <c r="MT6" s="267">
        <f>-ConLoan!MT$27+IF(Timeline!MT$41=1,Operating!MT$42-PermLoan!MT$29,0)+IF(354=StabMonth,OpReserve,0)+IF(354=RefiMonth,RefiCashOut,0)+IF(354=DispoMonth,NetSale,0)</f>
        <v/>
      </c>
      <c r="MU6" s="267">
        <f>-ConLoan!MU$27+IF(Timeline!MU$41=1,Operating!MU$42-PermLoan!MU$29,0)+IF(355=StabMonth,OpReserve,0)+IF(355=RefiMonth,RefiCashOut,0)+IF(355=DispoMonth,NetSale,0)</f>
        <v/>
      </c>
      <c r="MV6" s="267">
        <f>-ConLoan!MV$27+IF(Timeline!MV$41=1,Operating!MV$42-PermLoan!MV$29,0)+IF(356=StabMonth,OpReserve,0)+IF(356=RefiMonth,RefiCashOut,0)+IF(356=DispoMonth,NetSale,0)</f>
        <v/>
      </c>
      <c r="MW6" s="267">
        <f>-ConLoan!MW$27+IF(Timeline!MW$41=1,Operating!MW$42-PermLoan!MW$29,0)+IF(357=StabMonth,OpReserve,0)+IF(357=RefiMonth,RefiCashOut,0)+IF(357=DispoMonth,NetSale,0)</f>
        <v/>
      </c>
      <c r="MX6" s="267">
        <f>-ConLoan!MX$27+IF(Timeline!MX$41=1,Operating!MX$42-PermLoan!MX$29,0)+IF(358=StabMonth,OpReserve,0)+IF(358=RefiMonth,RefiCashOut,0)+IF(358=DispoMonth,NetSale,0)</f>
        <v/>
      </c>
      <c r="MY6" s="267">
        <f>-ConLoan!MY$27+IF(Timeline!MY$41=1,Operating!MY$42-PermLoan!MY$29,0)+IF(359=StabMonth,OpReserve,0)+IF(359=RefiMonth,RefiCashOut,0)+IF(359=DispoMonth,NetSale,0)</f>
        <v/>
      </c>
      <c r="MZ6" s="267">
        <f>-ConLoan!MZ$27+IF(Timeline!MZ$41=1,Operating!MZ$42-PermLoan!MZ$29,0)+IF(360=StabMonth,OpReserve,0)+IF(360=RefiMonth,RefiCashOut,0)+IF(360=DispoMonth,NetSale,0)</f>
        <v/>
      </c>
      <c r="NA6" s="267">
        <f>-ConLoan!NA$27+IF(Timeline!NA$41=1,Operating!NA$42-PermLoan!NA$29,0)+IF(361=StabMonth,OpReserve,0)+IF(361=RefiMonth,RefiCashOut,0)+IF(361=DispoMonth,NetSale,0)</f>
        <v/>
      </c>
      <c r="NB6" s="267">
        <f>-ConLoan!NB$27+IF(Timeline!NB$41=1,Operating!NB$42-PermLoan!NB$29,0)+IF(362=StabMonth,OpReserve,0)+IF(362=RefiMonth,RefiCashOut,0)+IF(362=DispoMonth,NetSale,0)</f>
        <v/>
      </c>
      <c r="NC6" s="267">
        <f>-ConLoan!NC$27+IF(Timeline!NC$41=1,Operating!NC$42-PermLoan!NC$29,0)+IF(363=StabMonth,OpReserve,0)+IF(363=RefiMonth,RefiCashOut,0)+IF(363=DispoMonth,NetSale,0)</f>
        <v/>
      </c>
      <c r="ND6" s="267">
        <f>-ConLoan!ND$27+IF(Timeline!ND$41=1,Operating!ND$42-PermLoan!ND$29,0)+IF(364=StabMonth,OpReserve,0)+IF(364=RefiMonth,RefiCashOut,0)+IF(364=DispoMonth,NetSale,0)</f>
        <v/>
      </c>
      <c r="NE6" s="267">
        <f>-ConLoan!NE$27+IF(Timeline!NE$41=1,Operating!NE$42-PermLoan!NE$29,0)+IF(365=StabMonth,OpReserve,0)+IF(365=RefiMonth,RefiCashOut,0)+IF(365=DispoMonth,NetSale,0)</f>
        <v/>
      </c>
      <c r="NF6" s="267">
        <f>-ConLoan!NF$27+IF(Timeline!NF$41=1,Operating!NF$42-PermLoan!NF$29,0)+IF(366=StabMonth,OpReserve,0)+IF(366=RefiMonth,RefiCashOut,0)+IF(366=DispoMonth,NetSale,0)</f>
        <v/>
      </c>
      <c r="NG6" s="267">
        <f>-ConLoan!NG$27+IF(Timeline!NG$41=1,Operating!NG$42-PermLoan!NG$29,0)+IF(367=StabMonth,OpReserve,0)+IF(367=RefiMonth,RefiCashOut,0)+IF(367=DispoMonth,NetSale,0)</f>
        <v/>
      </c>
      <c r="NH6" s="267">
        <f>-ConLoan!NH$27+IF(Timeline!NH$41=1,Operating!NH$42-PermLoan!NH$29,0)+IF(368=StabMonth,OpReserve,0)+IF(368=RefiMonth,RefiCashOut,0)+IF(368=DispoMonth,NetSale,0)</f>
        <v/>
      </c>
      <c r="NI6" s="267">
        <f>-ConLoan!NI$27+IF(Timeline!NI$41=1,Operating!NI$42-PermLoan!NI$29,0)+IF(369=StabMonth,OpReserve,0)+IF(369=RefiMonth,RefiCashOut,0)+IF(369=DispoMonth,NetSale,0)</f>
        <v/>
      </c>
      <c r="NJ6" s="267">
        <f>-ConLoan!NJ$27+IF(Timeline!NJ$41=1,Operating!NJ$42-PermLoan!NJ$29,0)+IF(370=StabMonth,OpReserve,0)+IF(370=RefiMonth,RefiCashOut,0)+IF(370=DispoMonth,NetSale,0)</f>
        <v/>
      </c>
      <c r="NK6" s="267">
        <f>-ConLoan!NK$27+IF(Timeline!NK$41=1,Operating!NK$42-PermLoan!NK$29,0)+IF(371=StabMonth,OpReserve,0)+IF(371=RefiMonth,RefiCashOut,0)+IF(371=DispoMonth,NetSale,0)</f>
        <v/>
      </c>
      <c r="NL6" s="253">
        <f>-ConLoan!NL$27+IF(Timeline!NL$41=1,Operating!NL$42-PermLoan!NL$29,0)+IF(372=StabMonth,OpReserve,0)+IF(372=RefiMonth,RefiCashOut,0)+IF(372=DispoMonth,NetSale,0)</f>
        <v/>
      </c>
    </row>
    <row r="7">
      <c r="B7" s="57" t="inlineStr">
        <is>
          <t>Unlevered Cash Flow (property)</t>
        </is>
      </c>
      <c r="C7" s="79" t="n"/>
      <c r="D7" s="268">
        <f>SUM(E7:NL7)</f>
        <v/>
      </c>
      <c r="E7" s="272">
        <f>-E$5+Operating!E$44+IF(1=StabMonth,OpReserve,0)+IF(1=DispoMonth,NetSaleUnlev,0)</f>
        <v/>
      </c>
      <c r="F7" s="272">
        <f>-F$5+Operating!F$44+IF(2=StabMonth,OpReserve,0)+IF(2=DispoMonth,NetSaleUnlev,0)</f>
        <v/>
      </c>
      <c r="G7" s="272">
        <f>-G$5+Operating!G$44+IF(3=StabMonth,OpReserve,0)+IF(3=DispoMonth,NetSaleUnlev,0)</f>
        <v/>
      </c>
      <c r="H7" s="272">
        <f>-H$5+Operating!H$44+IF(4=StabMonth,OpReserve,0)+IF(4=DispoMonth,NetSaleUnlev,0)</f>
        <v/>
      </c>
      <c r="I7" s="272">
        <f>-I$5+Operating!I$44+IF(5=StabMonth,OpReserve,0)+IF(5=DispoMonth,NetSaleUnlev,0)</f>
        <v/>
      </c>
      <c r="J7" s="272">
        <f>-J$5+Operating!J$44+IF(6=StabMonth,OpReserve,0)+IF(6=DispoMonth,NetSaleUnlev,0)</f>
        <v/>
      </c>
      <c r="K7" s="272">
        <f>-K$5+Operating!K$44+IF(7=StabMonth,OpReserve,0)+IF(7=DispoMonth,NetSaleUnlev,0)</f>
        <v/>
      </c>
      <c r="L7" s="272">
        <f>-L$5+Operating!L$44+IF(8=StabMonth,OpReserve,0)+IF(8=DispoMonth,NetSaleUnlev,0)</f>
        <v/>
      </c>
      <c r="M7" s="272">
        <f>-M$5+Operating!M$44+IF(9=StabMonth,OpReserve,0)+IF(9=DispoMonth,NetSaleUnlev,0)</f>
        <v/>
      </c>
      <c r="N7" s="272">
        <f>-N$5+Operating!N$44+IF(10=StabMonth,OpReserve,0)+IF(10=DispoMonth,NetSaleUnlev,0)</f>
        <v/>
      </c>
      <c r="O7" s="272">
        <f>-O$5+Operating!O$44+IF(11=StabMonth,OpReserve,0)+IF(11=DispoMonth,NetSaleUnlev,0)</f>
        <v/>
      </c>
      <c r="P7" s="272">
        <f>-P$5+Operating!P$44+IF(12=StabMonth,OpReserve,0)+IF(12=DispoMonth,NetSaleUnlev,0)</f>
        <v/>
      </c>
      <c r="Q7" s="272">
        <f>-Q$5+Operating!Q$44+IF(13=StabMonth,OpReserve,0)+IF(13=DispoMonth,NetSaleUnlev,0)</f>
        <v/>
      </c>
      <c r="R7" s="272">
        <f>-R$5+Operating!R$44+IF(14=StabMonth,OpReserve,0)+IF(14=DispoMonth,NetSaleUnlev,0)</f>
        <v/>
      </c>
      <c r="S7" s="272">
        <f>-S$5+Operating!S$44+IF(15=StabMonth,OpReserve,0)+IF(15=DispoMonth,NetSaleUnlev,0)</f>
        <v/>
      </c>
      <c r="T7" s="272">
        <f>-T$5+Operating!T$44+IF(16=StabMonth,OpReserve,0)+IF(16=DispoMonth,NetSaleUnlev,0)</f>
        <v/>
      </c>
      <c r="U7" s="272">
        <f>-U$5+Operating!U$44+IF(17=StabMonth,OpReserve,0)+IF(17=DispoMonth,NetSaleUnlev,0)</f>
        <v/>
      </c>
      <c r="V7" s="272">
        <f>-V$5+Operating!V$44+IF(18=StabMonth,OpReserve,0)+IF(18=DispoMonth,NetSaleUnlev,0)</f>
        <v/>
      </c>
      <c r="W7" s="272">
        <f>-W$5+Operating!W$44+IF(19=StabMonth,OpReserve,0)+IF(19=DispoMonth,NetSaleUnlev,0)</f>
        <v/>
      </c>
      <c r="X7" s="272">
        <f>-X$5+Operating!X$44+IF(20=StabMonth,OpReserve,0)+IF(20=DispoMonth,NetSaleUnlev,0)</f>
        <v/>
      </c>
      <c r="Y7" s="272">
        <f>-Y$5+Operating!Y$44+IF(21=StabMonth,OpReserve,0)+IF(21=DispoMonth,NetSaleUnlev,0)</f>
        <v/>
      </c>
      <c r="Z7" s="272">
        <f>-Z$5+Operating!Z$44+IF(22=StabMonth,OpReserve,0)+IF(22=DispoMonth,NetSaleUnlev,0)</f>
        <v/>
      </c>
      <c r="AA7" s="272">
        <f>-AA$5+Operating!AA$44+IF(23=StabMonth,OpReserve,0)+IF(23=DispoMonth,NetSaleUnlev,0)</f>
        <v/>
      </c>
      <c r="AB7" s="272">
        <f>-AB$5+Operating!AB$44+IF(24=StabMonth,OpReserve,0)+IF(24=DispoMonth,NetSaleUnlev,0)</f>
        <v/>
      </c>
      <c r="AC7" s="272">
        <f>-AC$5+Operating!AC$44+IF(25=StabMonth,OpReserve,0)+IF(25=DispoMonth,NetSaleUnlev,0)</f>
        <v/>
      </c>
      <c r="AD7" s="272">
        <f>-AD$5+Operating!AD$44+IF(26=StabMonth,OpReserve,0)+IF(26=DispoMonth,NetSaleUnlev,0)</f>
        <v/>
      </c>
      <c r="AE7" s="272">
        <f>-AE$5+Operating!AE$44+IF(27=StabMonth,OpReserve,0)+IF(27=DispoMonth,NetSaleUnlev,0)</f>
        <v/>
      </c>
      <c r="AF7" s="272">
        <f>-AF$5+Operating!AF$44+IF(28=StabMonth,OpReserve,0)+IF(28=DispoMonth,NetSaleUnlev,0)</f>
        <v/>
      </c>
      <c r="AG7" s="272">
        <f>-AG$5+Operating!AG$44+IF(29=StabMonth,OpReserve,0)+IF(29=DispoMonth,NetSaleUnlev,0)</f>
        <v/>
      </c>
      <c r="AH7" s="272">
        <f>-AH$5+Operating!AH$44+IF(30=StabMonth,OpReserve,0)+IF(30=DispoMonth,NetSaleUnlev,0)</f>
        <v/>
      </c>
      <c r="AI7" s="272">
        <f>-AI$5+Operating!AI$44+IF(31=StabMonth,OpReserve,0)+IF(31=DispoMonth,NetSaleUnlev,0)</f>
        <v/>
      </c>
      <c r="AJ7" s="272">
        <f>-AJ$5+Operating!AJ$44+IF(32=StabMonth,OpReserve,0)+IF(32=DispoMonth,NetSaleUnlev,0)</f>
        <v/>
      </c>
      <c r="AK7" s="272">
        <f>-AK$5+Operating!AK$44+IF(33=StabMonth,OpReserve,0)+IF(33=DispoMonth,NetSaleUnlev,0)</f>
        <v/>
      </c>
      <c r="AL7" s="272">
        <f>-AL$5+Operating!AL$44+IF(34=StabMonth,OpReserve,0)+IF(34=DispoMonth,NetSaleUnlev,0)</f>
        <v/>
      </c>
      <c r="AM7" s="272">
        <f>-AM$5+Operating!AM$44+IF(35=StabMonth,OpReserve,0)+IF(35=DispoMonth,NetSaleUnlev,0)</f>
        <v/>
      </c>
      <c r="AN7" s="272">
        <f>-AN$5+Operating!AN$44+IF(36=StabMonth,OpReserve,0)+IF(36=DispoMonth,NetSaleUnlev,0)</f>
        <v/>
      </c>
      <c r="AO7" s="272">
        <f>-AO$5+Operating!AO$44+IF(37=StabMonth,OpReserve,0)+IF(37=DispoMonth,NetSaleUnlev,0)</f>
        <v/>
      </c>
      <c r="AP7" s="272">
        <f>-AP$5+Operating!AP$44+IF(38=StabMonth,OpReserve,0)+IF(38=DispoMonth,NetSaleUnlev,0)</f>
        <v/>
      </c>
      <c r="AQ7" s="272">
        <f>-AQ$5+Operating!AQ$44+IF(39=StabMonth,OpReserve,0)+IF(39=DispoMonth,NetSaleUnlev,0)</f>
        <v/>
      </c>
      <c r="AR7" s="272">
        <f>-AR$5+Operating!AR$44+IF(40=StabMonth,OpReserve,0)+IF(40=DispoMonth,NetSaleUnlev,0)</f>
        <v/>
      </c>
      <c r="AS7" s="272">
        <f>-AS$5+Operating!AS$44+IF(41=StabMonth,OpReserve,0)+IF(41=DispoMonth,NetSaleUnlev,0)</f>
        <v/>
      </c>
      <c r="AT7" s="272">
        <f>-AT$5+Operating!AT$44+IF(42=StabMonth,OpReserve,0)+IF(42=DispoMonth,NetSaleUnlev,0)</f>
        <v/>
      </c>
      <c r="AU7" s="272">
        <f>-AU$5+Operating!AU$44+IF(43=StabMonth,OpReserve,0)+IF(43=DispoMonth,NetSaleUnlev,0)</f>
        <v/>
      </c>
      <c r="AV7" s="272">
        <f>-AV$5+Operating!AV$44+IF(44=StabMonth,OpReserve,0)+IF(44=DispoMonth,NetSaleUnlev,0)</f>
        <v/>
      </c>
      <c r="AW7" s="272">
        <f>-AW$5+Operating!AW$44+IF(45=StabMonth,OpReserve,0)+IF(45=DispoMonth,NetSaleUnlev,0)</f>
        <v/>
      </c>
      <c r="AX7" s="272">
        <f>-AX$5+Operating!AX$44+IF(46=StabMonth,OpReserve,0)+IF(46=DispoMonth,NetSaleUnlev,0)</f>
        <v/>
      </c>
      <c r="AY7" s="272">
        <f>-AY$5+Operating!AY$44+IF(47=StabMonth,OpReserve,0)+IF(47=DispoMonth,NetSaleUnlev,0)</f>
        <v/>
      </c>
      <c r="AZ7" s="272">
        <f>-AZ$5+Operating!AZ$44+IF(48=StabMonth,OpReserve,0)+IF(48=DispoMonth,NetSaleUnlev,0)</f>
        <v/>
      </c>
      <c r="BA7" s="272">
        <f>-BA$5+Operating!BA$44+IF(49=StabMonth,OpReserve,0)+IF(49=DispoMonth,NetSaleUnlev,0)</f>
        <v/>
      </c>
      <c r="BB7" s="272">
        <f>-BB$5+Operating!BB$44+IF(50=StabMonth,OpReserve,0)+IF(50=DispoMonth,NetSaleUnlev,0)</f>
        <v/>
      </c>
      <c r="BC7" s="272">
        <f>-BC$5+Operating!BC$44+IF(51=StabMonth,OpReserve,0)+IF(51=DispoMonth,NetSaleUnlev,0)</f>
        <v/>
      </c>
      <c r="BD7" s="272">
        <f>-BD$5+Operating!BD$44+IF(52=StabMonth,OpReserve,0)+IF(52=DispoMonth,NetSaleUnlev,0)</f>
        <v/>
      </c>
      <c r="BE7" s="272">
        <f>-BE$5+Operating!BE$44+IF(53=StabMonth,OpReserve,0)+IF(53=DispoMonth,NetSaleUnlev,0)</f>
        <v/>
      </c>
      <c r="BF7" s="272">
        <f>-BF$5+Operating!BF$44+IF(54=StabMonth,OpReserve,0)+IF(54=DispoMonth,NetSaleUnlev,0)</f>
        <v/>
      </c>
      <c r="BG7" s="272">
        <f>-BG$5+Operating!BG$44+IF(55=StabMonth,OpReserve,0)+IF(55=DispoMonth,NetSaleUnlev,0)</f>
        <v/>
      </c>
      <c r="BH7" s="272">
        <f>-BH$5+Operating!BH$44+IF(56=StabMonth,OpReserve,0)+IF(56=DispoMonth,NetSaleUnlev,0)</f>
        <v/>
      </c>
      <c r="BI7" s="272">
        <f>-BI$5+Operating!BI$44+IF(57=StabMonth,OpReserve,0)+IF(57=DispoMonth,NetSaleUnlev,0)</f>
        <v/>
      </c>
      <c r="BJ7" s="272">
        <f>-BJ$5+Operating!BJ$44+IF(58=StabMonth,OpReserve,0)+IF(58=DispoMonth,NetSaleUnlev,0)</f>
        <v/>
      </c>
      <c r="BK7" s="272">
        <f>-BK$5+Operating!BK$44+IF(59=StabMonth,OpReserve,0)+IF(59=DispoMonth,NetSaleUnlev,0)</f>
        <v/>
      </c>
      <c r="BL7" s="272">
        <f>-BL$5+Operating!BL$44+IF(60=StabMonth,OpReserve,0)+IF(60=DispoMonth,NetSaleUnlev,0)</f>
        <v/>
      </c>
      <c r="BM7" s="272">
        <f>-BM$5+Operating!BM$44+IF(61=StabMonth,OpReserve,0)+IF(61=DispoMonth,NetSaleUnlev,0)</f>
        <v/>
      </c>
      <c r="BN7" s="272">
        <f>-BN$5+Operating!BN$44+IF(62=StabMonth,OpReserve,0)+IF(62=DispoMonth,NetSaleUnlev,0)</f>
        <v/>
      </c>
      <c r="BO7" s="272">
        <f>-BO$5+Operating!BO$44+IF(63=StabMonth,OpReserve,0)+IF(63=DispoMonth,NetSaleUnlev,0)</f>
        <v/>
      </c>
      <c r="BP7" s="272">
        <f>-BP$5+Operating!BP$44+IF(64=StabMonth,OpReserve,0)+IF(64=DispoMonth,NetSaleUnlev,0)</f>
        <v/>
      </c>
      <c r="BQ7" s="272">
        <f>-BQ$5+Operating!BQ$44+IF(65=StabMonth,OpReserve,0)+IF(65=DispoMonth,NetSaleUnlev,0)</f>
        <v/>
      </c>
      <c r="BR7" s="272">
        <f>-BR$5+Operating!BR$44+IF(66=StabMonth,OpReserve,0)+IF(66=DispoMonth,NetSaleUnlev,0)</f>
        <v/>
      </c>
      <c r="BS7" s="272">
        <f>-BS$5+Operating!BS$44+IF(67=StabMonth,OpReserve,0)+IF(67=DispoMonth,NetSaleUnlev,0)</f>
        <v/>
      </c>
      <c r="BT7" s="272">
        <f>-BT$5+Operating!BT$44+IF(68=StabMonth,OpReserve,0)+IF(68=DispoMonth,NetSaleUnlev,0)</f>
        <v/>
      </c>
      <c r="BU7" s="272">
        <f>-BU$5+Operating!BU$44+IF(69=StabMonth,OpReserve,0)+IF(69=DispoMonth,NetSaleUnlev,0)</f>
        <v/>
      </c>
      <c r="BV7" s="272">
        <f>-BV$5+Operating!BV$44+IF(70=StabMonth,OpReserve,0)+IF(70=DispoMonth,NetSaleUnlev,0)</f>
        <v/>
      </c>
      <c r="BW7" s="272">
        <f>-BW$5+Operating!BW$44+IF(71=StabMonth,OpReserve,0)+IF(71=DispoMonth,NetSaleUnlev,0)</f>
        <v/>
      </c>
      <c r="BX7" s="272">
        <f>-BX$5+Operating!BX$44+IF(72=StabMonth,OpReserve,0)+IF(72=DispoMonth,NetSaleUnlev,0)</f>
        <v/>
      </c>
      <c r="BY7" s="272">
        <f>-BY$5+Operating!BY$44+IF(73=StabMonth,OpReserve,0)+IF(73=DispoMonth,NetSaleUnlev,0)</f>
        <v/>
      </c>
      <c r="BZ7" s="272">
        <f>-BZ$5+Operating!BZ$44+IF(74=StabMonth,OpReserve,0)+IF(74=DispoMonth,NetSaleUnlev,0)</f>
        <v/>
      </c>
      <c r="CA7" s="272">
        <f>-CA$5+Operating!CA$44+IF(75=StabMonth,OpReserve,0)+IF(75=DispoMonth,NetSaleUnlev,0)</f>
        <v/>
      </c>
      <c r="CB7" s="272">
        <f>-CB$5+Operating!CB$44+IF(76=StabMonth,OpReserve,0)+IF(76=DispoMonth,NetSaleUnlev,0)</f>
        <v/>
      </c>
      <c r="CC7" s="272">
        <f>-CC$5+Operating!CC$44+IF(77=StabMonth,OpReserve,0)+IF(77=DispoMonth,NetSaleUnlev,0)</f>
        <v/>
      </c>
      <c r="CD7" s="272">
        <f>-CD$5+Operating!CD$44+IF(78=StabMonth,OpReserve,0)+IF(78=DispoMonth,NetSaleUnlev,0)</f>
        <v/>
      </c>
      <c r="CE7" s="272">
        <f>-CE$5+Operating!CE$44+IF(79=StabMonth,OpReserve,0)+IF(79=DispoMonth,NetSaleUnlev,0)</f>
        <v/>
      </c>
      <c r="CF7" s="272">
        <f>-CF$5+Operating!CF$44+IF(80=StabMonth,OpReserve,0)+IF(80=DispoMonth,NetSaleUnlev,0)</f>
        <v/>
      </c>
      <c r="CG7" s="272">
        <f>-CG$5+Operating!CG$44+IF(81=StabMonth,OpReserve,0)+IF(81=DispoMonth,NetSaleUnlev,0)</f>
        <v/>
      </c>
      <c r="CH7" s="272">
        <f>-CH$5+Operating!CH$44+IF(82=StabMonth,OpReserve,0)+IF(82=DispoMonth,NetSaleUnlev,0)</f>
        <v/>
      </c>
      <c r="CI7" s="272">
        <f>-CI$5+Operating!CI$44+IF(83=StabMonth,OpReserve,0)+IF(83=DispoMonth,NetSaleUnlev,0)</f>
        <v/>
      </c>
      <c r="CJ7" s="272">
        <f>-CJ$5+Operating!CJ$44+IF(84=StabMonth,OpReserve,0)+IF(84=DispoMonth,NetSaleUnlev,0)</f>
        <v/>
      </c>
      <c r="CK7" s="272">
        <f>-CK$5+Operating!CK$44+IF(85=StabMonth,OpReserve,0)+IF(85=DispoMonth,NetSaleUnlev,0)</f>
        <v/>
      </c>
      <c r="CL7" s="272">
        <f>-CL$5+Operating!CL$44+IF(86=StabMonth,OpReserve,0)+IF(86=DispoMonth,NetSaleUnlev,0)</f>
        <v/>
      </c>
      <c r="CM7" s="272">
        <f>-CM$5+Operating!CM$44+IF(87=StabMonth,OpReserve,0)+IF(87=DispoMonth,NetSaleUnlev,0)</f>
        <v/>
      </c>
      <c r="CN7" s="272">
        <f>-CN$5+Operating!CN$44+IF(88=StabMonth,OpReserve,0)+IF(88=DispoMonth,NetSaleUnlev,0)</f>
        <v/>
      </c>
      <c r="CO7" s="272">
        <f>-CO$5+Operating!CO$44+IF(89=StabMonth,OpReserve,0)+IF(89=DispoMonth,NetSaleUnlev,0)</f>
        <v/>
      </c>
      <c r="CP7" s="272">
        <f>-CP$5+Operating!CP$44+IF(90=StabMonth,OpReserve,0)+IF(90=DispoMonth,NetSaleUnlev,0)</f>
        <v/>
      </c>
      <c r="CQ7" s="272">
        <f>-CQ$5+Operating!CQ$44+IF(91=StabMonth,OpReserve,0)+IF(91=DispoMonth,NetSaleUnlev,0)</f>
        <v/>
      </c>
      <c r="CR7" s="272">
        <f>-CR$5+Operating!CR$44+IF(92=StabMonth,OpReserve,0)+IF(92=DispoMonth,NetSaleUnlev,0)</f>
        <v/>
      </c>
      <c r="CS7" s="272">
        <f>-CS$5+Operating!CS$44+IF(93=StabMonth,OpReserve,0)+IF(93=DispoMonth,NetSaleUnlev,0)</f>
        <v/>
      </c>
      <c r="CT7" s="272">
        <f>-CT$5+Operating!CT$44+IF(94=StabMonth,OpReserve,0)+IF(94=DispoMonth,NetSaleUnlev,0)</f>
        <v/>
      </c>
      <c r="CU7" s="272">
        <f>-CU$5+Operating!CU$44+IF(95=StabMonth,OpReserve,0)+IF(95=DispoMonth,NetSaleUnlev,0)</f>
        <v/>
      </c>
      <c r="CV7" s="272">
        <f>-CV$5+Operating!CV$44+IF(96=StabMonth,OpReserve,0)+IF(96=DispoMonth,NetSaleUnlev,0)</f>
        <v/>
      </c>
      <c r="CW7" s="272">
        <f>-CW$5+Operating!CW$44+IF(97=StabMonth,OpReserve,0)+IF(97=DispoMonth,NetSaleUnlev,0)</f>
        <v/>
      </c>
      <c r="CX7" s="272">
        <f>-CX$5+Operating!CX$44+IF(98=StabMonth,OpReserve,0)+IF(98=DispoMonth,NetSaleUnlev,0)</f>
        <v/>
      </c>
      <c r="CY7" s="272">
        <f>-CY$5+Operating!CY$44+IF(99=StabMonth,OpReserve,0)+IF(99=DispoMonth,NetSaleUnlev,0)</f>
        <v/>
      </c>
      <c r="CZ7" s="272">
        <f>-CZ$5+Operating!CZ$44+IF(100=StabMonth,OpReserve,0)+IF(100=DispoMonth,NetSaleUnlev,0)</f>
        <v/>
      </c>
      <c r="DA7" s="272">
        <f>-DA$5+Operating!DA$44+IF(101=StabMonth,OpReserve,0)+IF(101=DispoMonth,NetSaleUnlev,0)</f>
        <v/>
      </c>
      <c r="DB7" s="272">
        <f>-DB$5+Operating!DB$44+IF(102=StabMonth,OpReserve,0)+IF(102=DispoMonth,NetSaleUnlev,0)</f>
        <v/>
      </c>
      <c r="DC7" s="272">
        <f>-DC$5+Operating!DC$44+IF(103=StabMonth,OpReserve,0)+IF(103=DispoMonth,NetSaleUnlev,0)</f>
        <v/>
      </c>
      <c r="DD7" s="272">
        <f>-DD$5+Operating!DD$44+IF(104=StabMonth,OpReserve,0)+IF(104=DispoMonth,NetSaleUnlev,0)</f>
        <v/>
      </c>
      <c r="DE7" s="272">
        <f>-DE$5+Operating!DE$44+IF(105=StabMonth,OpReserve,0)+IF(105=DispoMonth,NetSaleUnlev,0)</f>
        <v/>
      </c>
      <c r="DF7" s="272">
        <f>-DF$5+Operating!DF$44+IF(106=StabMonth,OpReserve,0)+IF(106=DispoMonth,NetSaleUnlev,0)</f>
        <v/>
      </c>
      <c r="DG7" s="272">
        <f>-DG$5+Operating!DG$44+IF(107=StabMonth,OpReserve,0)+IF(107=DispoMonth,NetSaleUnlev,0)</f>
        <v/>
      </c>
      <c r="DH7" s="272">
        <f>-DH$5+Operating!DH$44+IF(108=StabMonth,OpReserve,0)+IF(108=DispoMonth,NetSaleUnlev,0)</f>
        <v/>
      </c>
      <c r="DI7" s="272">
        <f>-DI$5+Operating!DI$44+IF(109=StabMonth,OpReserve,0)+IF(109=DispoMonth,NetSaleUnlev,0)</f>
        <v/>
      </c>
      <c r="DJ7" s="272">
        <f>-DJ$5+Operating!DJ$44+IF(110=StabMonth,OpReserve,0)+IF(110=DispoMonth,NetSaleUnlev,0)</f>
        <v/>
      </c>
      <c r="DK7" s="272">
        <f>-DK$5+Operating!DK$44+IF(111=StabMonth,OpReserve,0)+IF(111=DispoMonth,NetSaleUnlev,0)</f>
        <v/>
      </c>
      <c r="DL7" s="272">
        <f>-DL$5+Operating!DL$44+IF(112=StabMonth,OpReserve,0)+IF(112=DispoMonth,NetSaleUnlev,0)</f>
        <v/>
      </c>
      <c r="DM7" s="272">
        <f>-DM$5+Operating!DM$44+IF(113=StabMonth,OpReserve,0)+IF(113=DispoMonth,NetSaleUnlev,0)</f>
        <v/>
      </c>
      <c r="DN7" s="272">
        <f>-DN$5+Operating!DN$44+IF(114=StabMonth,OpReserve,0)+IF(114=DispoMonth,NetSaleUnlev,0)</f>
        <v/>
      </c>
      <c r="DO7" s="272">
        <f>-DO$5+Operating!DO$44+IF(115=StabMonth,OpReserve,0)+IF(115=DispoMonth,NetSaleUnlev,0)</f>
        <v/>
      </c>
      <c r="DP7" s="272">
        <f>-DP$5+Operating!DP$44+IF(116=StabMonth,OpReserve,0)+IF(116=DispoMonth,NetSaleUnlev,0)</f>
        <v/>
      </c>
      <c r="DQ7" s="272">
        <f>-DQ$5+Operating!DQ$44+IF(117=StabMonth,OpReserve,0)+IF(117=DispoMonth,NetSaleUnlev,0)</f>
        <v/>
      </c>
      <c r="DR7" s="272">
        <f>-DR$5+Operating!DR$44+IF(118=StabMonth,OpReserve,0)+IF(118=DispoMonth,NetSaleUnlev,0)</f>
        <v/>
      </c>
      <c r="DS7" s="272">
        <f>-DS$5+Operating!DS$44+IF(119=StabMonth,OpReserve,0)+IF(119=DispoMonth,NetSaleUnlev,0)</f>
        <v/>
      </c>
      <c r="DT7" s="272">
        <f>-DT$5+Operating!DT$44+IF(120=StabMonth,OpReserve,0)+IF(120=DispoMonth,NetSaleUnlev,0)</f>
        <v/>
      </c>
      <c r="DU7" s="272">
        <f>-DU$5+Operating!DU$44+IF(121=StabMonth,OpReserve,0)+IF(121=DispoMonth,NetSaleUnlev,0)</f>
        <v/>
      </c>
      <c r="DV7" s="272">
        <f>-DV$5+Operating!DV$44+IF(122=StabMonth,OpReserve,0)+IF(122=DispoMonth,NetSaleUnlev,0)</f>
        <v/>
      </c>
      <c r="DW7" s="272">
        <f>-DW$5+Operating!DW$44+IF(123=StabMonth,OpReserve,0)+IF(123=DispoMonth,NetSaleUnlev,0)</f>
        <v/>
      </c>
      <c r="DX7" s="272">
        <f>-DX$5+Operating!DX$44+IF(124=StabMonth,OpReserve,0)+IF(124=DispoMonth,NetSaleUnlev,0)</f>
        <v/>
      </c>
      <c r="DY7" s="272">
        <f>-DY$5+Operating!DY$44+IF(125=StabMonth,OpReserve,0)+IF(125=DispoMonth,NetSaleUnlev,0)</f>
        <v/>
      </c>
      <c r="DZ7" s="272">
        <f>-DZ$5+Operating!DZ$44+IF(126=StabMonth,OpReserve,0)+IF(126=DispoMonth,NetSaleUnlev,0)</f>
        <v/>
      </c>
      <c r="EA7" s="272">
        <f>-EA$5+Operating!EA$44+IF(127=StabMonth,OpReserve,0)+IF(127=DispoMonth,NetSaleUnlev,0)</f>
        <v/>
      </c>
      <c r="EB7" s="272">
        <f>-EB$5+Operating!EB$44+IF(128=StabMonth,OpReserve,0)+IF(128=DispoMonth,NetSaleUnlev,0)</f>
        <v/>
      </c>
      <c r="EC7" s="272">
        <f>-EC$5+Operating!EC$44+IF(129=StabMonth,OpReserve,0)+IF(129=DispoMonth,NetSaleUnlev,0)</f>
        <v/>
      </c>
      <c r="ED7" s="272">
        <f>-ED$5+Operating!ED$44+IF(130=StabMonth,OpReserve,0)+IF(130=DispoMonth,NetSaleUnlev,0)</f>
        <v/>
      </c>
      <c r="EE7" s="272">
        <f>-EE$5+Operating!EE$44+IF(131=StabMonth,OpReserve,0)+IF(131=DispoMonth,NetSaleUnlev,0)</f>
        <v/>
      </c>
      <c r="EF7" s="272">
        <f>-EF$5+Operating!EF$44+IF(132=StabMonth,OpReserve,0)+IF(132=DispoMonth,NetSaleUnlev,0)</f>
        <v/>
      </c>
      <c r="EG7" s="272">
        <f>-EG$5+Operating!EG$44+IF(133=StabMonth,OpReserve,0)+IF(133=DispoMonth,NetSaleUnlev,0)</f>
        <v/>
      </c>
      <c r="EH7" s="272">
        <f>-EH$5+Operating!EH$44+IF(134=StabMonth,OpReserve,0)+IF(134=DispoMonth,NetSaleUnlev,0)</f>
        <v/>
      </c>
      <c r="EI7" s="272">
        <f>-EI$5+Operating!EI$44+IF(135=StabMonth,OpReserve,0)+IF(135=DispoMonth,NetSaleUnlev,0)</f>
        <v/>
      </c>
      <c r="EJ7" s="272">
        <f>-EJ$5+Operating!EJ$44+IF(136=StabMonth,OpReserve,0)+IF(136=DispoMonth,NetSaleUnlev,0)</f>
        <v/>
      </c>
      <c r="EK7" s="272">
        <f>-EK$5+Operating!EK$44+IF(137=StabMonth,OpReserve,0)+IF(137=DispoMonth,NetSaleUnlev,0)</f>
        <v/>
      </c>
      <c r="EL7" s="272">
        <f>-EL$5+Operating!EL$44+IF(138=StabMonth,OpReserve,0)+IF(138=DispoMonth,NetSaleUnlev,0)</f>
        <v/>
      </c>
      <c r="EM7" s="272">
        <f>-EM$5+Operating!EM$44+IF(139=StabMonth,OpReserve,0)+IF(139=DispoMonth,NetSaleUnlev,0)</f>
        <v/>
      </c>
      <c r="EN7" s="272">
        <f>-EN$5+Operating!EN$44+IF(140=StabMonth,OpReserve,0)+IF(140=DispoMonth,NetSaleUnlev,0)</f>
        <v/>
      </c>
      <c r="EO7" s="272">
        <f>-EO$5+Operating!EO$44+IF(141=StabMonth,OpReserve,0)+IF(141=DispoMonth,NetSaleUnlev,0)</f>
        <v/>
      </c>
      <c r="EP7" s="272">
        <f>-EP$5+Operating!EP$44+IF(142=StabMonth,OpReserve,0)+IF(142=DispoMonth,NetSaleUnlev,0)</f>
        <v/>
      </c>
      <c r="EQ7" s="272">
        <f>-EQ$5+Operating!EQ$44+IF(143=StabMonth,OpReserve,0)+IF(143=DispoMonth,NetSaleUnlev,0)</f>
        <v/>
      </c>
      <c r="ER7" s="272">
        <f>-ER$5+Operating!ER$44+IF(144=StabMonth,OpReserve,0)+IF(144=DispoMonth,NetSaleUnlev,0)</f>
        <v/>
      </c>
      <c r="ES7" s="272">
        <f>-ES$5+Operating!ES$44+IF(145=StabMonth,OpReserve,0)+IF(145=DispoMonth,NetSaleUnlev,0)</f>
        <v/>
      </c>
      <c r="ET7" s="272">
        <f>-ET$5+Operating!ET$44+IF(146=StabMonth,OpReserve,0)+IF(146=DispoMonth,NetSaleUnlev,0)</f>
        <v/>
      </c>
      <c r="EU7" s="272">
        <f>-EU$5+Operating!EU$44+IF(147=StabMonth,OpReserve,0)+IF(147=DispoMonth,NetSaleUnlev,0)</f>
        <v/>
      </c>
      <c r="EV7" s="272">
        <f>-EV$5+Operating!EV$44+IF(148=StabMonth,OpReserve,0)+IF(148=DispoMonth,NetSaleUnlev,0)</f>
        <v/>
      </c>
      <c r="EW7" s="272">
        <f>-EW$5+Operating!EW$44+IF(149=StabMonth,OpReserve,0)+IF(149=DispoMonth,NetSaleUnlev,0)</f>
        <v/>
      </c>
      <c r="EX7" s="272">
        <f>-EX$5+Operating!EX$44+IF(150=StabMonth,OpReserve,0)+IF(150=DispoMonth,NetSaleUnlev,0)</f>
        <v/>
      </c>
      <c r="EY7" s="272">
        <f>-EY$5+Operating!EY$44+IF(151=StabMonth,OpReserve,0)+IF(151=DispoMonth,NetSaleUnlev,0)</f>
        <v/>
      </c>
      <c r="EZ7" s="272">
        <f>-EZ$5+Operating!EZ$44+IF(152=StabMonth,OpReserve,0)+IF(152=DispoMonth,NetSaleUnlev,0)</f>
        <v/>
      </c>
      <c r="FA7" s="272">
        <f>-FA$5+Operating!FA$44+IF(153=StabMonth,OpReserve,0)+IF(153=DispoMonth,NetSaleUnlev,0)</f>
        <v/>
      </c>
      <c r="FB7" s="272">
        <f>-FB$5+Operating!FB$44+IF(154=StabMonth,OpReserve,0)+IF(154=DispoMonth,NetSaleUnlev,0)</f>
        <v/>
      </c>
      <c r="FC7" s="272">
        <f>-FC$5+Operating!FC$44+IF(155=StabMonth,OpReserve,0)+IF(155=DispoMonth,NetSaleUnlev,0)</f>
        <v/>
      </c>
      <c r="FD7" s="272">
        <f>-FD$5+Operating!FD$44+IF(156=StabMonth,OpReserve,0)+IF(156=DispoMonth,NetSaleUnlev,0)</f>
        <v/>
      </c>
      <c r="FE7" s="272">
        <f>-FE$5+Operating!FE$44+IF(157=StabMonth,OpReserve,0)+IF(157=DispoMonth,NetSaleUnlev,0)</f>
        <v/>
      </c>
      <c r="FF7" s="272">
        <f>-FF$5+Operating!FF$44+IF(158=StabMonth,OpReserve,0)+IF(158=DispoMonth,NetSaleUnlev,0)</f>
        <v/>
      </c>
      <c r="FG7" s="272">
        <f>-FG$5+Operating!FG$44+IF(159=StabMonth,OpReserve,0)+IF(159=DispoMonth,NetSaleUnlev,0)</f>
        <v/>
      </c>
      <c r="FH7" s="272">
        <f>-FH$5+Operating!FH$44+IF(160=StabMonth,OpReserve,0)+IF(160=DispoMonth,NetSaleUnlev,0)</f>
        <v/>
      </c>
      <c r="FI7" s="272">
        <f>-FI$5+Operating!FI$44+IF(161=StabMonth,OpReserve,0)+IF(161=DispoMonth,NetSaleUnlev,0)</f>
        <v/>
      </c>
      <c r="FJ7" s="272">
        <f>-FJ$5+Operating!FJ$44+IF(162=StabMonth,OpReserve,0)+IF(162=DispoMonth,NetSaleUnlev,0)</f>
        <v/>
      </c>
      <c r="FK7" s="272">
        <f>-FK$5+Operating!FK$44+IF(163=StabMonth,OpReserve,0)+IF(163=DispoMonth,NetSaleUnlev,0)</f>
        <v/>
      </c>
      <c r="FL7" s="272">
        <f>-FL$5+Operating!FL$44+IF(164=StabMonth,OpReserve,0)+IF(164=DispoMonth,NetSaleUnlev,0)</f>
        <v/>
      </c>
      <c r="FM7" s="272">
        <f>-FM$5+Operating!FM$44+IF(165=StabMonth,OpReserve,0)+IF(165=DispoMonth,NetSaleUnlev,0)</f>
        <v/>
      </c>
      <c r="FN7" s="272">
        <f>-FN$5+Operating!FN$44+IF(166=StabMonth,OpReserve,0)+IF(166=DispoMonth,NetSaleUnlev,0)</f>
        <v/>
      </c>
      <c r="FO7" s="272">
        <f>-FO$5+Operating!FO$44+IF(167=StabMonth,OpReserve,0)+IF(167=DispoMonth,NetSaleUnlev,0)</f>
        <v/>
      </c>
      <c r="FP7" s="272">
        <f>-FP$5+Operating!FP$44+IF(168=StabMonth,OpReserve,0)+IF(168=DispoMonth,NetSaleUnlev,0)</f>
        <v/>
      </c>
      <c r="FQ7" s="272">
        <f>-FQ$5+Operating!FQ$44+IF(169=StabMonth,OpReserve,0)+IF(169=DispoMonth,NetSaleUnlev,0)</f>
        <v/>
      </c>
      <c r="FR7" s="272">
        <f>-FR$5+Operating!FR$44+IF(170=StabMonth,OpReserve,0)+IF(170=DispoMonth,NetSaleUnlev,0)</f>
        <v/>
      </c>
      <c r="FS7" s="272">
        <f>-FS$5+Operating!FS$44+IF(171=StabMonth,OpReserve,0)+IF(171=DispoMonth,NetSaleUnlev,0)</f>
        <v/>
      </c>
      <c r="FT7" s="272">
        <f>-FT$5+Operating!FT$44+IF(172=StabMonth,OpReserve,0)+IF(172=DispoMonth,NetSaleUnlev,0)</f>
        <v/>
      </c>
      <c r="FU7" s="272">
        <f>-FU$5+Operating!FU$44+IF(173=StabMonth,OpReserve,0)+IF(173=DispoMonth,NetSaleUnlev,0)</f>
        <v/>
      </c>
      <c r="FV7" s="272">
        <f>-FV$5+Operating!FV$44+IF(174=StabMonth,OpReserve,0)+IF(174=DispoMonth,NetSaleUnlev,0)</f>
        <v/>
      </c>
      <c r="FW7" s="272">
        <f>-FW$5+Operating!FW$44+IF(175=StabMonth,OpReserve,0)+IF(175=DispoMonth,NetSaleUnlev,0)</f>
        <v/>
      </c>
      <c r="FX7" s="272">
        <f>-FX$5+Operating!FX$44+IF(176=StabMonth,OpReserve,0)+IF(176=DispoMonth,NetSaleUnlev,0)</f>
        <v/>
      </c>
      <c r="FY7" s="272">
        <f>-FY$5+Operating!FY$44+IF(177=StabMonth,OpReserve,0)+IF(177=DispoMonth,NetSaleUnlev,0)</f>
        <v/>
      </c>
      <c r="FZ7" s="272">
        <f>-FZ$5+Operating!FZ$44+IF(178=StabMonth,OpReserve,0)+IF(178=DispoMonth,NetSaleUnlev,0)</f>
        <v/>
      </c>
      <c r="GA7" s="272">
        <f>-GA$5+Operating!GA$44+IF(179=StabMonth,OpReserve,0)+IF(179=DispoMonth,NetSaleUnlev,0)</f>
        <v/>
      </c>
      <c r="GB7" s="272">
        <f>-GB$5+Operating!GB$44+IF(180=StabMonth,OpReserve,0)+IF(180=DispoMonth,NetSaleUnlev,0)</f>
        <v/>
      </c>
      <c r="GC7" s="272">
        <f>-GC$5+Operating!GC$44+IF(181=StabMonth,OpReserve,0)+IF(181=DispoMonth,NetSaleUnlev,0)</f>
        <v/>
      </c>
      <c r="GD7" s="272">
        <f>-GD$5+Operating!GD$44+IF(182=StabMonth,OpReserve,0)+IF(182=DispoMonth,NetSaleUnlev,0)</f>
        <v/>
      </c>
      <c r="GE7" s="272">
        <f>-GE$5+Operating!GE$44+IF(183=StabMonth,OpReserve,0)+IF(183=DispoMonth,NetSaleUnlev,0)</f>
        <v/>
      </c>
      <c r="GF7" s="272">
        <f>-GF$5+Operating!GF$44+IF(184=StabMonth,OpReserve,0)+IF(184=DispoMonth,NetSaleUnlev,0)</f>
        <v/>
      </c>
      <c r="GG7" s="272">
        <f>-GG$5+Operating!GG$44+IF(185=StabMonth,OpReserve,0)+IF(185=DispoMonth,NetSaleUnlev,0)</f>
        <v/>
      </c>
      <c r="GH7" s="272">
        <f>-GH$5+Operating!GH$44+IF(186=StabMonth,OpReserve,0)+IF(186=DispoMonth,NetSaleUnlev,0)</f>
        <v/>
      </c>
      <c r="GI7" s="272">
        <f>-GI$5+Operating!GI$44+IF(187=StabMonth,OpReserve,0)+IF(187=DispoMonth,NetSaleUnlev,0)</f>
        <v/>
      </c>
      <c r="GJ7" s="272">
        <f>-GJ$5+Operating!GJ$44+IF(188=StabMonth,OpReserve,0)+IF(188=DispoMonth,NetSaleUnlev,0)</f>
        <v/>
      </c>
      <c r="GK7" s="272">
        <f>-GK$5+Operating!GK$44+IF(189=StabMonth,OpReserve,0)+IF(189=DispoMonth,NetSaleUnlev,0)</f>
        <v/>
      </c>
      <c r="GL7" s="272">
        <f>-GL$5+Operating!GL$44+IF(190=StabMonth,OpReserve,0)+IF(190=DispoMonth,NetSaleUnlev,0)</f>
        <v/>
      </c>
      <c r="GM7" s="272">
        <f>-GM$5+Operating!GM$44+IF(191=StabMonth,OpReserve,0)+IF(191=DispoMonth,NetSaleUnlev,0)</f>
        <v/>
      </c>
      <c r="GN7" s="272">
        <f>-GN$5+Operating!GN$44+IF(192=StabMonth,OpReserve,0)+IF(192=DispoMonth,NetSaleUnlev,0)</f>
        <v/>
      </c>
      <c r="GO7" s="272">
        <f>-GO$5+Operating!GO$44+IF(193=StabMonth,OpReserve,0)+IF(193=DispoMonth,NetSaleUnlev,0)</f>
        <v/>
      </c>
      <c r="GP7" s="272">
        <f>-GP$5+Operating!GP$44+IF(194=StabMonth,OpReserve,0)+IF(194=DispoMonth,NetSaleUnlev,0)</f>
        <v/>
      </c>
      <c r="GQ7" s="272">
        <f>-GQ$5+Operating!GQ$44+IF(195=StabMonth,OpReserve,0)+IF(195=DispoMonth,NetSaleUnlev,0)</f>
        <v/>
      </c>
      <c r="GR7" s="272">
        <f>-GR$5+Operating!GR$44+IF(196=StabMonth,OpReserve,0)+IF(196=DispoMonth,NetSaleUnlev,0)</f>
        <v/>
      </c>
      <c r="GS7" s="272">
        <f>-GS$5+Operating!GS$44+IF(197=StabMonth,OpReserve,0)+IF(197=DispoMonth,NetSaleUnlev,0)</f>
        <v/>
      </c>
      <c r="GT7" s="272">
        <f>-GT$5+Operating!GT$44+IF(198=StabMonth,OpReserve,0)+IF(198=DispoMonth,NetSaleUnlev,0)</f>
        <v/>
      </c>
      <c r="GU7" s="272">
        <f>-GU$5+Operating!GU$44+IF(199=StabMonth,OpReserve,0)+IF(199=DispoMonth,NetSaleUnlev,0)</f>
        <v/>
      </c>
      <c r="GV7" s="272">
        <f>-GV$5+Operating!GV$44+IF(200=StabMonth,OpReserve,0)+IF(200=DispoMonth,NetSaleUnlev,0)</f>
        <v/>
      </c>
      <c r="GW7" s="272">
        <f>-GW$5+Operating!GW$44+IF(201=StabMonth,OpReserve,0)+IF(201=DispoMonth,NetSaleUnlev,0)</f>
        <v/>
      </c>
      <c r="GX7" s="272">
        <f>-GX$5+Operating!GX$44+IF(202=StabMonth,OpReserve,0)+IF(202=DispoMonth,NetSaleUnlev,0)</f>
        <v/>
      </c>
      <c r="GY7" s="272">
        <f>-GY$5+Operating!GY$44+IF(203=StabMonth,OpReserve,0)+IF(203=DispoMonth,NetSaleUnlev,0)</f>
        <v/>
      </c>
      <c r="GZ7" s="272">
        <f>-GZ$5+Operating!GZ$44+IF(204=StabMonth,OpReserve,0)+IF(204=DispoMonth,NetSaleUnlev,0)</f>
        <v/>
      </c>
      <c r="HA7" s="272">
        <f>-HA$5+Operating!HA$44+IF(205=StabMonth,OpReserve,0)+IF(205=DispoMonth,NetSaleUnlev,0)</f>
        <v/>
      </c>
      <c r="HB7" s="272">
        <f>-HB$5+Operating!HB$44+IF(206=StabMonth,OpReserve,0)+IF(206=DispoMonth,NetSaleUnlev,0)</f>
        <v/>
      </c>
      <c r="HC7" s="272">
        <f>-HC$5+Operating!HC$44+IF(207=StabMonth,OpReserve,0)+IF(207=DispoMonth,NetSaleUnlev,0)</f>
        <v/>
      </c>
      <c r="HD7" s="272">
        <f>-HD$5+Operating!HD$44+IF(208=StabMonth,OpReserve,0)+IF(208=DispoMonth,NetSaleUnlev,0)</f>
        <v/>
      </c>
      <c r="HE7" s="272">
        <f>-HE$5+Operating!HE$44+IF(209=StabMonth,OpReserve,0)+IF(209=DispoMonth,NetSaleUnlev,0)</f>
        <v/>
      </c>
      <c r="HF7" s="272">
        <f>-HF$5+Operating!HF$44+IF(210=StabMonth,OpReserve,0)+IF(210=DispoMonth,NetSaleUnlev,0)</f>
        <v/>
      </c>
      <c r="HG7" s="272">
        <f>-HG$5+Operating!HG$44+IF(211=StabMonth,OpReserve,0)+IF(211=DispoMonth,NetSaleUnlev,0)</f>
        <v/>
      </c>
      <c r="HH7" s="272">
        <f>-HH$5+Operating!HH$44+IF(212=StabMonth,OpReserve,0)+IF(212=DispoMonth,NetSaleUnlev,0)</f>
        <v/>
      </c>
      <c r="HI7" s="272">
        <f>-HI$5+Operating!HI$44+IF(213=StabMonth,OpReserve,0)+IF(213=DispoMonth,NetSaleUnlev,0)</f>
        <v/>
      </c>
      <c r="HJ7" s="272">
        <f>-HJ$5+Operating!HJ$44+IF(214=StabMonth,OpReserve,0)+IF(214=DispoMonth,NetSaleUnlev,0)</f>
        <v/>
      </c>
      <c r="HK7" s="272">
        <f>-HK$5+Operating!HK$44+IF(215=StabMonth,OpReserve,0)+IF(215=DispoMonth,NetSaleUnlev,0)</f>
        <v/>
      </c>
      <c r="HL7" s="272">
        <f>-HL$5+Operating!HL$44+IF(216=StabMonth,OpReserve,0)+IF(216=DispoMonth,NetSaleUnlev,0)</f>
        <v/>
      </c>
      <c r="HM7" s="272">
        <f>-HM$5+Operating!HM$44+IF(217=StabMonth,OpReserve,0)+IF(217=DispoMonth,NetSaleUnlev,0)</f>
        <v/>
      </c>
      <c r="HN7" s="272">
        <f>-HN$5+Operating!HN$44+IF(218=StabMonth,OpReserve,0)+IF(218=DispoMonth,NetSaleUnlev,0)</f>
        <v/>
      </c>
      <c r="HO7" s="272">
        <f>-HO$5+Operating!HO$44+IF(219=StabMonth,OpReserve,0)+IF(219=DispoMonth,NetSaleUnlev,0)</f>
        <v/>
      </c>
      <c r="HP7" s="272">
        <f>-HP$5+Operating!HP$44+IF(220=StabMonth,OpReserve,0)+IF(220=DispoMonth,NetSaleUnlev,0)</f>
        <v/>
      </c>
      <c r="HQ7" s="272">
        <f>-HQ$5+Operating!HQ$44+IF(221=StabMonth,OpReserve,0)+IF(221=DispoMonth,NetSaleUnlev,0)</f>
        <v/>
      </c>
      <c r="HR7" s="272">
        <f>-HR$5+Operating!HR$44+IF(222=StabMonth,OpReserve,0)+IF(222=DispoMonth,NetSaleUnlev,0)</f>
        <v/>
      </c>
      <c r="HS7" s="272">
        <f>-HS$5+Operating!HS$44+IF(223=StabMonth,OpReserve,0)+IF(223=DispoMonth,NetSaleUnlev,0)</f>
        <v/>
      </c>
      <c r="HT7" s="272">
        <f>-HT$5+Operating!HT$44+IF(224=StabMonth,OpReserve,0)+IF(224=DispoMonth,NetSaleUnlev,0)</f>
        <v/>
      </c>
      <c r="HU7" s="272">
        <f>-HU$5+Operating!HU$44+IF(225=StabMonth,OpReserve,0)+IF(225=DispoMonth,NetSaleUnlev,0)</f>
        <v/>
      </c>
      <c r="HV7" s="272">
        <f>-HV$5+Operating!HV$44+IF(226=StabMonth,OpReserve,0)+IF(226=DispoMonth,NetSaleUnlev,0)</f>
        <v/>
      </c>
      <c r="HW7" s="272">
        <f>-HW$5+Operating!HW$44+IF(227=StabMonth,OpReserve,0)+IF(227=DispoMonth,NetSaleUnlev,0)</f>
        <v/>
      </c>
      <c r="HX7" s="272">
        <f>-HX$5+Operating!HX$44+IF(228=StabMonth,OpReserve,0)+IF(228=DispoMonth,NetSaleUnlev,0)</f>
        <v/>
      </c>
      <c r="HY7" s="272">
        <f>-HY$5+Operating!HY$44+IF(229=StabMonth,OpReserve,0)+IF(229=DispoMonth,NetSaleUnlev,0)</f>
        <v/>
      </c>
      <c r="HZ7" s="272">
        <f>-HZ$5+Operating!HZ$44+IF(230=StabMonth,OpReserve,0)+IF(230=DispoMonth,NetSaleUnlev,0)</f>
        <v/>
      </c>
      <c r="IA7" s="272">
        <f>-IA$5+Operating!IA$44+IF(231=StabMonth,OpReserve,0)+IF(231=DispoMonth,NetSaleUnlev,0)</f>
        <v/>
      </c>
      <c r="IB7" s="272">
        <f>-IB$5+Operating!IB$44+IF(232=StabMonth,OpReserve,0)+IF(232=DispoMonth,NetSaleUnlev,0)</f>
        <v/>
      </c>
      <c r="IC7" s="272">
        <f>-IC$5+Operating!IC$44+IF(233=StabMonth,OpReserve,0)+IF(233=DispoMonth,NetSaleUnlev,0)</f>
        <v/>
      </c>
      <c r="ID7" s="272">
        <f>-ID$5+Operating!ID$44+IF(234=StabMonth,OpReserve,0)+IF(234=DispoMonth,NetSaleUnlev,0)</f>
        <v/>
      </c>
      <c r="IE7" s="272">
        <f>-IE$5+Operating!IE$44+IF(235=StabMonth,OpReserve,0)+IF(235=DispoMonth,NetSaleUnlev,0)</f>
        <v/>
      </c>
      <c r="IF7" s="272">
        <f>-IF$5+Operating!IF$44+IF(236=StabMonth,OpReserve,0)+IF(236=DispoMonth,NetSaleUnlev,0)</f>
        <v/>
      </c>
      <c r="IG7" s="272">
        <f>-IG$5+Operating!IG$44+IF(237=StabMonth,OpReserve,0)+IF(237=DispoMonth,NetSaleUnlev,0)</f>
        <v/>
      </c>
      <c r="IH7" s="272">
        <f>-IH$5+Operating!IH$44+IF(238=StabMonth,OpReserve,0)+IF(238=DispoMonth,NetSaleUnlev,0)</f>
        <v/>
      </c>
      <c r="II7" s="272">
        <f>-II$5+Operating!II$44+IF(239=StabMonth,OpReserve,0)+IF(239=DispoMonth,NetSaleUnlev,0)</f>
        <v/>
      </c>
      <c r="IJ7" s="272">
        <f>-IJ$5+Operating!IJ$44+IF(240=StabMonth,OpReserve,0)+IF(240=DispoMonth,NetSaleUnlev,0)</f>
        <v/>
      </c>
      <c r="IK7" s="272">
        <f>-IK$5+Operating!IK$44+IF(241=StabMonth,OpReserve,0)+IF(241=DispoMonth,NetSaleUnlev,0)</f>
        <v/>
      </c>
      <c r="IL7" s="272">
        <f>-IL$5+Operating!IL$44+IF(242=StabMonth,OpReserve,0)+IF(242=DispoMonth,NetSaleUnlev,0)</f>
        <v/>
      </c>
      <c r="IM7" s="272">
        <f>-IM$5+Operating!IM$44+IF(243=StabMonth,OpReserve,0)+IF(243=DispoMonth,NetSaleUnlev,0)</f>
        <v/>
      </c>
      <c r="IN7" s="272">
        <f>-IN$5+Operating!IN$44+IF(244=StabMonth,OpReserve,0)+IF(244=DispoMonth,NetSaleUnlev,0)</f>
        <v/>
      </c>
      <c r="IO7" s="272">
        <f>-IO$5+Operating!IO$44+IF(245=StabMonth,OpReserve,0)+IF(245=DispoMonth,NetSaleUnlev,0)</f>
        <v/>
      </c>
      <c r="IP7" s="272">
        <f>-IP$5+Operating!IP$44+IF(246=StabMonth,OpReserve,0)+IF(246=DispoMonth,NetSaleUnlev,0)</f>
        <v/>
      </c>
      <c r="IQ7" s="272">
        <f>-IQ$5+Operating!IQ$44+IF(247=StabMonth,OpReserve,0)+IF(247=DispoMonth,NetSaleUnlev,0)</f>
        <v/>
      </c>
      <c r="IR7" s="272">
        <f>-IR$5+Operating!IR$44+IF(248=StabMonth,OpReserve,0)+IF(248=DispoMonth,NetSaleUnlev,0)</f>
        <v/>
      </c>
      <c r="IS7" s="272">
        <f>-IS$5+Operating!IS$44+IF(249=StabMonth,OpReserve,0)+IF(249=DispoMonth,NetSaleUnlev,0)</f>
        <v/>
      </c>
      <c r="IT7" s="272">
        <f>-IT$5+Operating!IT$44+IF(250=StabMonth,OpReserve,0)+IF(250=DispoMonth,NetSaleUnlev,0)</f>
        <v/>
      </c>
      <c r="IU7" s="272">
        <f>-IU$5+Operating!IU$44+IF(251=StabMonth,OpReserve,0)+IF(251=DispoMonth,NetSaleUnlev,0)</f>
        <v/>
      </c>
      <c r="IV7" s="272">
        <f>-IV$5+Operating!IV$44+IF(252=StabMonth,OpReserve,0)+IF(252=DispoMonth,NetSaleUnlev,0)</f>
        <v/>
      </c>
      <c r="IW7" s="272">
        <f>-IW$5+Operating!IW$44+IF(253=StabMonth,OpReserve,0)+IF(253=DispoMonth,NetSaleUnlev,0)</f>
        <v/>
      </c>
      <c r="IX7" s="272">
        <f>-IX$5+Operating!IX$44+IF(254=StabMonth,OpReserve,0)+IF(254=DispoMonth,NetSaleUnlev,0)</f>
        <v/>
      </c>
      <c r="IY7" s="272">
        <f>-IY$5+Operating!IY$44+IF(255=StabMonth,OpReserve,0)+IF(255=DispoMonth,NetSaleUnlev,0)</f>
        <v/>
      </c>
      <c r="IZ7" s="272">
        <f>-IZ$5+Operating!IZ$44+IF(256=StabMonth,OpReserve,0)+IF(256=DispoMonth,NetSaleUnlev,0)</f>
        <v/>
      </c>
      <c r="JA7" s="272">
        <f>-JA$5+Operating!JA$44+IF(257=StabMonth,OpReserve,0)+IF(257=DispoMonth,NetSaleUnlev,0)</f>
        <v/>
      </c>
      <c r="JB7" s="272">
        <f>-JB$5+Operating!JB$44+IF(258=StabMonth,OpReserve,0)+IF(258=DispoMonth,NetSaleUnlev,0)</f>
        <v/>
      </c>
      <c r="JC7" s="272">
        <f>-JC$5+Operating!JC$44+IF(259=StabMonth,OpReserve,0)+IF(259=DispoMonth,NetSaleUnlev,0)</f>
        <v/>
      </c>
      <c r="JD7" s="272">
        <f>-JD$5+Operating!JD$44+IF(260=StabMonth,OpReserve,0)+IF(260=DispoMonth,NetSaleUnlev,0)</f>
        <v/>
      </c>
      <c r="JE7" s="272">
        <f>-JE$5+Operating!JE$44+IF(261=StabMonth,OpReserve,0)+IF(261=DispoMonth,NetSaleUnlev,0)</f>
        <v/>
      </c>
      <c r="JF7" s="272">
        <f>-JF$5+Operating!JF$44+IF(262=StabMonth,OpReserve,0)+IF(262=DispoMonth,NetSaleUnlev,0)</f>
        <v/>
      </c>
      <c r="JG7" s="272">
        <f>-JG$5+Operating!JG$44+IF(263=StabMonth,OpReserve,0)+IF(263=DispoMonth,NetSaleUnlev,0)</f>
        <v/>
      </c>
      <c r="JH7" s="272">
        <f>-JH$5+Operating!JH$44+IF(264=StabMonth,OpReserve,0)+IF(264=DispoMonth,NetSaleUnlev,0)</f>
        <v/>
      </c>
      <c r="JI7" s="272">
        <f>-JI$5+Operating!JI$44+IF(265=StabMonth,OpReserve,0)+IF(265=DispoMonth,NetSaleUnlev,0)</f>
        <v/>
      </c>
      <c r="JJ7" s="272">
        <f>-JJ$5+Operating!JJ$44+IF(266=StabMonth,OpReserve,0)+IF(266=DispoMonth,NetSaleUnlev,0)</f>
        <v/>
      </c>
      <c r="JK7" s="272">
        <f>-JK$5+Operating!JK$44+IF(267=StabMonth,OpReserve,0)+IF(267=DispoMonth,NetSaleUnlev,0)</f>
        <v/>
      </c>
      <c r="JL7" s="272">
        <f>-JL$5+Operating!JL$44+IF(268=StabMonth,OpReserve,0)+IF(268=DispoMonth,NetSaleUnlev,0)</f>
        <v/>
      </c>
      <c r="JM7" s="272">
        <f>-JM$5+Operating!JM$44+IF(269=StabMonth,OpReserve,0)+IF(269=DispoMonth,NetSaleUnlev,0)</f>
        <v/>
      </c>
      <c r="JN7" s="272">
        <f>-JN$5+Operating!JN$44+IF(270=StabMonth,OpReserve,0)+IF(270=DispoMonth,NetSaleUnlev,0)</f>
        <v/>
      </c>
      <c r="JO7" s="272">
        <f>-JO$5+Operating!JO$44+IF(271=StabMonth,OpReserve,0)+IF(271=DispoMonth,NetSaleUnlev,0)</f>
        <v/>
      </c>
      <c r="JP7" s="272">
        <f>-JP$5+Operating!JP$44+IF(272=StabMonth,OpReserve,0)+IF(272=DispoMonth,NetSaleUnlev,0)</f>
        <v/>
      </c>
      <c r="JQ7" s="272">
        <f>-JQ$5+Operating!JQ$44+IF(273=StabMonth,OpReserve,0)+IF(273=DispoMonth,NetSaleUnlev,0)</f>
        <v/>
      </c>
      <c r="JR7" s="272">
        <f>-JR$5+Operating!JR$44+IF(274=StabMonth,OpReserve,0)+IF(274=DispoMonth,NetSaleUnlev,0)</f>
        <v/>
      </c>
      <c r="JS7" s="272">
        <f>-JS$5+Operating!JS$44+IF(275=StabMonth,OpReserve,0)+IF(275=DispoMonth,NetSaleUnlev,0)</f>
        <v/>
      </c>
      <c r="JT7" s="272">
        <f>-JT$5+Operating!JT$44+IF(276=StabMonth,OpReserve,0)+IF(276=DispoMonth,NetSaleUnlev,0)</f>
        <v/>
      </c>
      <c r="JU7" s="272">
        <f>-JU$5+Operating!JU$44+IF(277=StabMonth,OpReserve,0)+IF(277=DispoMonth,NetSaleUnlev,0)</f>
        <v/>
      </c>
      <c r="JV7" s="272">
        <f>-JV$5+Operating!JV$44+IF(278=StabMonth,OpReserve,0)+IF(278=DispoMonth,NetSaleUnlev,0)</f>
        <v/>
      </c>
      <c r="JW7" s="272">
        <f>-JW$5+Operating!JW$44+IF(279=StabMonth,OpReserve,0)+IF(279=DispoMonth,NetSaleUnlev,0)</f>
        <v/>
      </c>
      <c r="JX7" s="272">
        <f>-JX$5+Operating!JX$44+IF(280=StabMonth,OpReserve,0)+IF(280=DispoMonth,NetSaleUnlev,0)</f>
        <v/>
      </c>
      <c r="JY7" s="272">
        <f>-JY$5+Operating!JY$44+IF(281=StabMonth,OpReserve,0)+IF(281=DispoMonth,NetSaleUnlev,0)</f>
        <v/>
      </c>
      <c r="JZ7" s="272">
        <f>-JZ$5+Operating!JZ$44+IF(282=StabMonth,OpReserve,0)+IF(282=DispoMonth,NetSaleUnlev,0)</f>
        <v/>
      </c>
      <c r="KA7" s="272">
        <f>-KA$5+Operating!KA$44+IF(283=StabMonth,OpReserve,0)+IF(283=DispoMonth,NetSaleUnlev,0)</f>
        <v/>
      </c>
      <c r="KB7" s="272">
        <f>-KB$5+Operating!KB$44+IF(284=StabMonth,OpReserve,0)+IF(284=DispoMonth,NetSaleUnlev,0)</f>
        <v/>
      </c>
      <c r="KC7" s="272">
        <f>-KC$5+Operating!KC$44+IF(285=StabMonth,OpReserve,0)+IF(285=DispoMonth,NetSaleUnlev,0)</f>
        <v/>
      </c>
      <c r="KD7" s="272">
        <f>-KD$5+Operating!KD$44+IF(286=StabMonth,OpReserve,0)+IF(286=DispoMonth,NetSaleUnlev,0)</f>
        <v/>
      </c>
      <c r="KE7" s="272">
        <f>-KE$5+Operating!KE$44+IF(287=StabMonth,OpReserve,0)+IF(287=DispoMonth,NetSaleUnlev,0)</f>
        <v/>
      </c>
      <c r="KF7" s="272">
        <f>-KF$5+Operating!KF$44+IF(288=StabMonth,OpReserve,0)+IF(288=DispoMonth,NetSaleUnlev,0)</f>
        <v/>
      </c>
      <c r="KG7" s="272">
        <f>-KG$5+Operating!KG$44+IF(289=StabMonth,OpReserve,0)+IF(289=DispoMonth,NetSaleUnlev,0)</f>
        <v/>
      </c>
      <c r="KH7" s="272">
        <f>-KH$5+Operating!KH$44+IF(290=StabMonth,OpReserve,0)+IF(290=DispoMonth,NetSaleUnlev,0)</f>
        <v/>
      </c>
      <c r="KI7" s="272">
        <f>-KI$5+Operating!KI$44+IF(291=StabMonth,OpReserve,0)+IF(291=DispoMonth,NetSaleUnlev,0)</f>
        <v/>
      </c>
      <c r="KJ7" s="272">
        <f>-KJ$5+Operating!KJ$44+IF(292=StabMonth,OpReserve,0)+IF(292=DispoMonth,NetSaleUnlev,0)</f>
        <v/>
      </c>
      <c r="KK7" s="272">
        <f>-KK$5+Operating!KK$44+IF(293=StabMonth,OpReserve,0)+IF(293=DispoMonth,NetSaleUnlev,0)</f>
        <v/>
      </c>
      <c r="KL7" s="272">
        <f>-KL$5+Operating!KL$44+IF(294=StabMonth,OpReserve,0)+IF(294=DispoMonth,NetSaleUnlev,0)</f>
        <v/>
      </c>
      <c r="KM7" s="272">
        <f>-KM$5+Operating!KM$44+IF(295=StabMonth,OpReserve,0)+IF(295=DispoMonth,NetSaleUnlev,0)</f>
        <v/>
      </c>
      <c r="KN7" s="272">
        <f>-KN$5+Operating!KN$44+IF(296=StabMonth,OpReserve,0)+IF(296=DispoMonth,NetSaleUnlev,0)</f>
        <v/>
      </c>
      <c r="KO7" s="272">
        <f>-KO$5+Operating!KO$44+IF(297=StabMonth,OpReserve,0)+IF(297=DispoMonth,NetSaleUnlev,0)</f>
        <v/>
      </c>
      <c r="KP7" s="272">
        <f>-KP$5+Operating!KP$44+IF(298=StabMonth,OpReserve,0)+IF(298=DispoMonth,NetSaleUnlev,0)</f>
        <v/>
      </c>
      <c r="KQ7" s="272">
        <f>-KQ$5+Operating!KQ$44+IF(299=StabMonth,OpReserve,0)+IF(299=DispoMonth,NetSaleUnlev,0)</f>
        <v/>
      </c>
      <c r="KR7" s="272">
        <f>-KR$5+Operating!KR$44+IF(300=StabMonth,OpReserve,0)+IF(300=DispoMonth,NetSaleUnlev,0)</f>
        <v/>
      </c>
      <c r="KS7" s="272">
        <f>-KS$5+Operating!KS$44+IF(301=StabMonth,OpReserve,0)+IF(301=DispoMonth,NetSaleUnlev,0)</f>
        <v/>
      </c>
      <c r="KT7" s="272">
        <f>-KT$5+Operating!KT$44+IF(302=StabMonth,OpReserve,0)+IF(302=DispoMonth,NetSaleUnlev,0)</f>
        <v/>
      </c>
      <c r="KU7" s="272">
        <f>-KU$5+Operating!KU$44+IF(303=StabMonth,OpReserve,0)+IF(303=DispoMonth,NetSaleUnlev,0)</f>
        <v/>
      </c>
      <c r="KV7" s="272">
        <f>-KV$5+Operating!KV$44+IF(304=StabMonth,OpReserve,0)+IF(304=DispoMonth,NetSaleUnlev,0)</f>
        <v/>
      </c>
      <c r="KW7" s="272">
        <f>-KW$5+Operating!KW$44+IF(305=StabMonth,OpReserve,0)+IF(305=DispoMonth,NetSaleUnlev,0)</f>
        <v/>
      </c>
      <c r="KX7" s="272">
        <f>-KX$5+Operating!KX$44+IF(306=StabMonth,OpReserve,0)+IF(306=DispoMonth,NetSaleUnlev,0)</f>
        <v/>
      </c>
      <c r="KY7" s="272">
        <f>-KY$5+Operating!KY$44+IF(307=StabMonth,OpReserve,0)+IF(307=DispoMonth,NetSaleUnlev,0)</f>
        <v/>
      </c>
      <c r="KZ7" s="272">
        <f>-KZ$5+Operating!KZ$44+IF(308=StabMonth,OpReserve,0)+IF(308=DispoMonth,NetSaleUnlev,0)</f>
        <v/>
      </c>
      <c r="LA7" s="272">
        <f>-LA$5+Operating!LA$44+IF(309=StabMonth,OpReserve,0)+IF(309=DispoMonth,NetSaleUnlev,0)</f>
        <v/>
      </c>
      <c r="LB7" s="272">
        <f>-LB$5+Operating!LB$44+IF(310=StabMonth,OpReserve,0)+IF(310=DispoMonth,NetSaleUnlev,0)</f>
        <v/>
      </c>
      <c r="LC7" s="272">
        <f>-LC$5+Operating!LC$44+IF(311=StabMonth,OpReserve,0)+IF(311=DispoMonth,NetSaleUnlev,0)</f>
        <v/>
      </c>
      <c r="LD7" s="272">
        <f>-LD$5+Operating!LD$44+IF(312=StabMonth,OpReserve,0)+IF(312=DispoMonth,NetSaleUnlev,0)</f>
        <v/>
      </c>
      <c r="LE7" s="272">
        <f>-LE$5+Operating!LE$44+IF(313=StabMonth,OpReserve,0)+IF(313=DispoMonth,NetSaleUnlev,0)</f>
        <v/>
      </c>
      <c r="LF7" s="272">
        <f>-LF$5+Operating!LF$44+IF(314=StabMonth,OpReserve,0)+IF(314=DispoMonth,NetSaleUnlev,0)</f>
        <v/>
      </c>
      <c r="LG7" s="272">
        <f>-LG$5+Operating!LG$44+IF(315=StabMonth,OpReserve,0)+IF(315=DispoMonth,NetSaleUnlev,0)</f>
        <v/>
      </c>
      <c r="LH7" s="272">
        <f>-LH$5+Operating!LH$44+IF(316=StabMonth,OpReserve,0)+IF(316=DispoMonth,NetSaleUnlev,0)</f>
        <v/>
      </c>
      <c r="LI7" s="272">
        <f>-LI$5+Operating!LI$44+IF(317=StabMonth,OpReserve,0)+IF(317=DispoMonth,NetSaleUnlev,0)</f>
        <v/>
      </c>
      <c r="LJ7" s="272">
        <f>-LJ$5+Operating!LJ$44+IF(318=StabMonth,OpReserve,0)+IF(318=DispoMonth,NetSaleUnlev,0)</f>
        <v/>
      </c>
      <c r="LK7" s="272">
        <f>-LK$5+Operating!LK$44+IF(319=StabMonth,OpReserve,0)+IF(319=DispoMonth,NetSaleUnlev,0)</f>
        <v/>
      </c>
      <c r="LL7" s="272">
        <f>-LL$5+Operating!LL$44+IF(320=StabMonth,OpReserve,0)+IF(320=DispoMonth,NetSaleUnlev,0)</f>
        <v/>
      </c>
      <c r="LM7" s="272">
        <f>-LM$5+Operating!LM$44+IF(321=StabMonth,OpReserve,0)+IF(321=DispoMonth,NetSaleUnlev,0)</f>
        <v/>
      </c>
      <c r="LN7" s="272">
        <f>-LN$5+Operating!LN$44+IF(322=StabMonth,OpReserve,0)+IF(322=DispoMonth,NetSaleUnlev,0)</f>
        <v/>
      </c>
      <c r="LO7" s="272">
        <f>-LO$5+Operating!LO$44+IF(323=StabMonth,OpReserve,0)+IF(323=DispoMonth,NetSaleUnlev,0)</f>
        <v/>
      </c>
      <c r="LP7" s="272">
        <f>-LP$5+Operating!LP$44+IF(324=StabMonth,OpReserve,0)+IF(324=DispoMonth,NetSaleUnlev,0)</f>
        <v/>
      </c>
      <c r="LQ7" s="272">
        <f>-LQ$5+Operating!LQ$44+IF(325=StabMonth,OpReserve,0)+IF(325=DispoMonth,NetSaleUnlev,0)</f>
        <v/>
      </c>
      <c r="LR7" s="272">
        <f>-LR$5+Operating!LR$44+IF(326=StabMonth,OpReserve,0)+IF(326=DispoMonth,NetSaleUnlev,0)</f>
        <v/>
      </c>
      <c r="LS7" s="272">
        <f>-LS$5+Operating!LS$44+IF(327=StabMonth,OpReserve,0)+IF(327=DispoMonth,NetSaleUnlev,0)</f>
        <v/>
      </c>
      <c r="LT7" s="272">
        <f>-LT$5+Operating!LT$44+IF(328=StabMonth,OpReserve,0)+IF(328=DispoMonth,NetSaleUnlev,0)</f>
        <v/>
      </c>
      <c r="LU7" s="272">
        <f>-LU$5+Operating!LU$44+IF(329=StabMonth,OpReserve,0)+IF(329=DispoMonth,NetSaleUnlev,0)</f>
        <v/>
      </c>
      <c r="LV7" s="272">
        <f>-LV$5+Operating!LV$44+IF(330=StabMonth,OpReserve,0)+IF(330=DispoMonth,NetSaleUnlev,0)</f>
        <v/>
      </c>
      <c r="LW7" s="272">
        <f>-LW$5+Operating!LW$44+IF(331=StabMonth,OpReserve,0)+IF(331=DispoMonth,NetSaleUnlev,0)</f>
        <v/>
      </c>
      <c r="LX7" s="272">
        <f>-LX$5+Operating!LX$44+IF(332=StabMonth,OpReserve,0)+IF(332=DispoMonth,NetSaleUnlev,0)</f>
        <v/>
      </c>
      <c r="LY7" s="272">
        <f>-LY$5+Operating!LY$44+IF(333=StabMonth,OpReserve,0)+IF(333=DispoMonth,NetSaleUnlev,0)</f>
        <v/>
      </c>
      <c r="LZ7" s="272">
        <f>-LZ$5+Operating!LZ$44+IF(334=StabMonth,OpReserve,0)+IF(334=DispoMonth,NetSaleUnlev,0)</f>
        <v/>
      </c>
      <c r="MA7" s="272">
        <f>-MA$5+Operating!MA$44+IF(335=StabMonth,OpReserve,0)+IF(335=DispoMonth,NetSaleUnlev,0)</f>
        <v/>
      </c>
      <c r="MB7" s="272">
        <f>-MB$5+Operating!MB$44+IF(336=StabMonth,OpReserve,0)+IF(336=DispoMonth,NetSaleUnlev,0)</f>
        <v/>
      </c>
      <c r="MC7" s="272">
        <f>-MC$5+Operating!MC$44+IF(337=StabMonth,OpReserve,0)+IF(337=DispoMonth,NetSaleUnlev,0)</f>
        <v/>
      </c>
      <c r="MD7" s="272">
        <f>-MD$5+Operating!MD$44+IF(338=StabMonth,OpReserve,0)+IF(338=DispoMonth,NetSaleUnlev,0)</f>
        <v/>
      </c>
      <c r="ME7" s="272">
        <f>-ME$5+Operating!ME$44+IF(339=StabMonth,OpReserve,0)+IF(339=DispoMonth,NetSaleUnlev,0)</f>
        <v/>
      </c>
      <c r="MF7" s="272">
        <f>-MF$5+Operating!MF$44+IF(340=StabMonth,OpReserve,0)+IF(340=DispoMonth,NetSaleUnlev,0)</f>
        <v/>
      </c>
      <c r="MG7" s="272">
        <f>-MG$5+Operating!MG$44+IF(341=StabMonth,OpReserve,0)+IF(341=DispoMonth,NetSaleUnlev,0)</f>
        <v/>
      </c>
      <c r="MH7" s="272">
        <f>-MH$5+Operating!MH$44+IF(342=StabMonth,OpReserve,0)+IF(342=DispoMonth,NetSaleUnlev,0)</f>
        <v/>
      </c>
      <c r="MI7" s="272">
        <f>-MI$5+Operating!MI$44+IF(343=StabMonth,OpReserve,0)+IF(343=DispoMonth,NetSaleUnlev,0)</f>
        <v/>
      </c>
      <c r="MJ7" s="272">
        <f>-MJ$5+Operating!MJ$44+IF(344=StabMonth,OpReserve,0)+IF(344=DispoMonth,NetSaleUnlev,0)</f>
        <v/>
      </c>
      <c r="MK7" s="272">
        <f>-MK$5+Operating!MK$44+IF(345=StabMonth,OpReserve,0)+IF(345=DispoMonth,NetSaleUnlev,0)</f>
        <v/>
      </c>
      <c r="ML7" s="272">
        <f>-ML$5+Operating!ML$44+IF(346=StabMonth,OpReserve,0)+IF(346=DispoMonth,NetSaleUnlev,0)</f>
        <v/>
      </c>
      <c r="MM7" s="272">
        <f>-MM$5+Operating!MM$44+IF(347=StabMonth,OpReserve,0)+IF(347=DispoMonth,NetSaleUnlev,0)</f>
        <v/>
      </c>
      <c r="MN7" s="272">
        <f>-MN$5+Operating!MN$44+IF(348=StabMonth,OpReserve,0)+IF(348=DispoMonth,NetSaleUnlev,0)</f>
        <v/>
      </c>
      <c r="MO7" s="272">
        <f>-MO$5+Operating!MO$44+IF(349=StabMonth,OpReserve,0)+IF(349=DispoMonth,NetSaleUnlev,0)</f>
        <v/>
      </c>
      <c r="MP7" s="272">
        <f>-MP$5+Operating!MP$44+IF(350=StabMonth,OpReserve,0)+IF(350=DispoMonth,NetSaleUnlev,0)</f>
        <v/>
      </c>
      <c r="MQ7" s="272">
        <f>-MQ$5+Operating!MQ$44+IF(351=StabMonth,OpReserve,0)+IF(351=DispoMonth,NetSaleUnlev,0)</f>
        <v/>
      </c>
      <c r="MR7" s="272">
        <f>-MR$5+Operating!MR$44+IF(352=StabMonth,OpReserve,0)+IF(352=DispoMonth,NetSaleUnlev,0)</f>
        <v/>
      </c>
      <c r="MS7" s="272">
        <f>-MS$5+Operating!MS$44+IF(353=StabMonth,OpReserve,0)+IF(353=DispoMonth,NetSaleUnlev,0)</f>
        <v/>
      </c>
      <c r="MT7" s="272">
        <f>-MT$5+Operating!MT$44+IF(354=StabMonth,OpReserve,0)+IF(354=DispoMonth,NetSaleUnlev,0)</f>
        <v/>
      </c>
      <c r="MU7" s="272">
        <f>-MU$5+Operating!MU$44+IF(355=StabMonth,OpReserve,0)+IF(355=DispoMonth,NetSaleUnlev,0)</f>
        <v/>
      </c>
      <c r="MV7" s="272">
        <f>-MV$5+Operating!MV$44+IF(356=StabMonth,OpReserve,0)+IF(356=DispoMonth,NetSaleUnlev,0)</f>
        <v/>
      </c>
      <c r="MW7" s="272">
        <f>-MW$5+Operating!MW$44+IF(357=StabMonth,OpReserve,0)+IF(357=DispoMonth,NetSaleUnlev,0)</f>
        <v/>
      </c>
      <c r="MX7" s="272">
        <f>-MX$5+Operating!MX$44+IF(358=StabMonth,OpReserve,0)+IF(358=DispoMonth,NetSaleUnlev,0)</f>
        <v/>
      </c>
      <c r="MY7" s="272">
        <f>-MY$5+Operating!MY$44+IF(359=StabMonth,OpReserve,0)+IF(359=DispoMonth,NetSaleUnlev,0)</f>
        <v/>
      </c>
      <c r="MZ7" s="272">
        <f>-MZ$5+Operating!MZ$44+IF(360=StabMonth,OpReserve,0)+IF(360=DispoMonth,NetSaleUnlev,0)</f>
        <v/>
      </c>
      <c r="NA7" s="272">
        <f>-NA$5+Operating!NA$44+IF(361=StabMonth,OpReserve,0)+IF(361=DispoMonth,NetSaleUnlev,0)</f>
        <v/>
      </c>
      <c r="NB7" s="272">
        <f>-NB$5+Operating!NB$44+IF(362=StabMonth,OpReserve,0)+IF(362=DispoMonth,NetSaleUnlev,0)</f>
        <v/>
      </c>
      <c r="NC7" s="272">
        <f>-NC$5+Operating!NC$44+IF(363=StabMonth,OpReserve,0)+IF(363=DispoMonth,NetSaleUnlev,0)</f>
        <v/>
      </c>
      <c r="ND7" s="272">
        <f>-ND$5+Operating!ND$44+IF(364=StabMonth,OpReserve,0)+IF(364=DispoMonth,NetSaleUnlev,0)</f>
        <v/>
      </c>
      <c r="NE7" s="272">
        <f>-NE$5+Operating!NE$44+IF(365=StabMonth,OpReserve,0)+IF(365=DispoMonth,NetSaleUnlev,0)</f>
        <v/>
      </c>
      <c r="NF7" s="272">
        <f>-NF$5+Operating!NF$44+IF(366=StabMonth,OpReserve,0)+IF(366=DispoMonth,NetSaleUnlev,0)</f>
        <v/>
      </c>
      <c r="NG7" s="272">
        <f>-NG$5+Operating!NG$44+IF(367=StabMonth,OpReserve,0)+IF(367=DispoMonth,NetSaleUnlev,0)</f>
        <v/>
      </c>
      <c r="NH7" s="272">
        <f>-NH$5+Operating!NH$44+IF(368=StabMonth,OpReserve,0)+IF(368=DispoMonth,NetSaleUnlev,0)</f>
        <v/>
      </c>
      <c r="NI7" s="272">
        <f>-NI$5+Operating!NI$44+IF(369=StabMonth,OpReserve,0)+IF(369=DispoMonth,NetSaleUnlev,0)</f>
        <v/>
      </c>
      <c r="NJ7" s="272">
        <f>-NJ$5+Operating!NJ$44+IF(370=StabMonth,OpReserve,0)+IF(370=DispoMonth,NetSaleUnlev,0)</f>
        <v/>
      </c>
      <c r="NK7" s="272">
        <f>-NK$5+Operating!NK$44+IF(371=StabMonth,OpReserve,0)+IF(371=DispoMonth,NetSaleUnlev,0)</f>
        <v/>
      </c>
      <c r="NL7" s="261">
        <f>-NL$5+Operating!NL$44+IF(372=StabMonth,OpReserve,0)+IF(372=DispoMonth,NetSaleUnlev,0)</f>
        <v/>
      </c>
    </row>
    <row r="9">
      <c r="B9" s="71" t="inlineStr">
        <is>
          <t>Cash Flow Reconciliation</t>
        </is>
      </c>
      <c r="C9" s="72" t="n"/>
      <c r="D9" s="80" t="n"/>
    </row>
    <row r="10">
      <c r="B10" s="36" t="inlineStr">
        <is>
          <t>Levered Equity Invested (Σ outflows)</t>
        </is>
      </c>
      <c r="C10" s="262">
        <f>-SUMIF(E6:NL6,"&lt;0")</f>
        <v/>
      </c>
      <c r="D10" s="53" t="n"/>
    </row>
    <row r="11">
      <c r="B11" s="36" t="inlineStr">
        <is>
          <t>Levered Distributions (Σ inflows)</t>
        </is>
      </c>
      <c r="C11" s="262">
        <f>SUMIF(E6:NL6,"&gt;0")</f>
        <v/>
      </c>
      <c r="D11" s="53" t="n"/>
    </row>
    <row r="12">
      <c r="B12" s="36" t="inlineStr">
        <is>
          <t>Levered Net Profit</t>
        </is>
      </c>
      <c r="C12" s="262">
        <f>SUM(E6:NL6)</f>
        <v/>
      </c>
      <c r="D12" s="53" t="n"/>
    </row>
    <row r="13">
      <c r="B13" s="36" t="inlineStr">
        <is>
          <t>Unlevered Invested (Σ outflows)</t>
        </is>
      </c>
      <c r="C13" s="262">
        <f>-SUMIF(E7:NL7,"&lt;0")</f>
        <v/>
      </c>
      <c r="D13" s="53" t="n"/>
    </row>
    <row r="14">
      <c r="B14" s="36" t="inlineStr">
        <is>
          <t>Unlevered Distributions (Σ inflows)</t>
        </is>
      </c>
      <c r="C14" s="262">
        <f>SUMIF(E7:NL7,"&gt;0")</f>
        <v/>
      </c>
      <c r="D14" s="53" t="n"/>
    </row>
    <row r="15">
      <c r="B15" s="40" t="inlineStr">
        <is>
          <t>Unlevered Net Profit</t>
        </is>
      </c>
      <c r="C15" s="271">
        <f>SUM(E7:NL7)</f>
        <v/>
      </c>
      <c r="D15" s="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375623"/>
    <outlinePr summaryBelow="1" summaryRight="1"/>
    <pageSetUpPr/>
  </sheetPr>
  <dimension ref="B1:NL42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3" sqref="A3"/>
    </sheetView>
  </sheetViews>
  <sheetFormatPr baseColWidth="8" defaultRowHeight="15"/>
  <cols>
    <col width="3.7109375" customWidth="1" style="97" min="1" max="1"/>
    <col width="40" customWidth="1" style="97" min="2" max="2"/>
    <col width="18" customWidth="1" style="97" min="3" max="3"/>
    <col width="20" customWidth="1" style="97" min="4" max="4"/>
    <col width="10.7109375" customWidth="1" style="97" min="5" max="376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Return Calculations</t>
        </is>
      </c>
    </row>
    <row r="3">
      <c r="B3" s="34" t="inlineStr">
        <is>
          <t>Levered &amp; Unlevered Returns (net of fees)</t>
        </is>
      </c>
      <c r="C3" s="60" t="n"/>
      <c r="D3" s="35" t="n"/>
    </row>
    <row r="4">
      <c r="B4" s="36" t="inlineStr">
        <is>
          <t>Levered IRR</t>
        </is>
      </c>
      <c r="C4" s="140">
        <f>IFERROR((1+IRR(CashFlow!E$6:'CashFlow'!NL$6,0.01))^12-1,"n/a")</f>
        <v/>
      </c>
      <c r="D4" s="53" t="n"/>
    </row>
    <row r="5">
      <c r="B5" s="36" t="inlineStr">
        <is>
          <t>Unlevered IRR</t>
        </is>
      </c>
      <c r="C5" s="140">
        <f>IFERROR((1+IRR(CashFlow!E$7:'CashFlow'!NL$7,0.01))^12-1,"n/a")</f>
        <v/>
      </c>
      <c r="D5" s="53" t="n"/>
    </row>
    <row r="6">
      <c r="B6" s="36" t="inlineStr">
        <is>
          <t>Levered MOIC</t>
        </is>
      </c>
      <c r="C6" s="273">
        <f>IF(LevEquityIn=0,0,LevDistros/LevEquityIn)</f>
        <v/>
      </c>
      <c r="D6" s="53" t="n"/>
    </row>
    <row r="7">
      <c r="B7" s="36" t="inlineStr">
        <is>
          <t>Unlevered MOIC</t>
        </is>
      </c>
      <c r="C7" s="273">
        <f>IF(UnlevInvested=0,0,UnlevDistros/UnlevInvested)</f>
        <v/>
      </c>
      <c r="D7" s="53" t="n"/>
    </row>
    <row r="8">
      <c r="B8" s="52" t="n"/>
      <c r="D8" s="53" t="n"/>
    </row>
    <row r="9">
      <c r="B9" s="167" t="inlineStr">
        <is>
          <t>Gross of Sponsor Fees</t>
        </is>
      </c>
      <c r="C9" s="100" t="n"/>
      <c r="D9" s="168" t="n"/>
    </row>
    <row r="10">
      <c r="B10" s="122" t="inlineStr">
        <is>
          <t>Period →</t>
        </is>
      </c>
      <c r="D10" s="75" t="inlineStr">
        <is>
          <t>Total</t>
        </is>
      </c>
      <c r="E10" s="27" t="n">
        <v>1</v>
      </c>
      <c r="F10" s="27" t="n">
        <v>2</v>
      </c>
      <c r="G10" s="27" t="n">
        <v>3</v>
      </c>
      <c r="H10" s="27" t="n">
        <v>4</v>
      </c>
      <c r="I10" s="27" t="n">
        <v>5</v>
      </c>
      <c r="J10" s="27" t="n">
        <v>6</v>
      </c>
      <c r="K10" s="27" t="n">
        <v>7</v>
      </c>
      <c r="L10" s="27" t="n">
        <v>8</v>
      </c>
      <c r="M10" s="27" t="n">
        <v>9</v>
      </c>
      <c r="N10" s="27" t="n">
        <v>10</v>
      </c>
      <c r="O10" s="27" t="n">
        <v>11</v>
      </c>
      <c r="P10" s="27" t="n">
        <v>12</v>
      </c>
      <c r="Q10" s="27" t="n">
        <v>13</v>
      </c>
      <c r="R10" s="27" t="n">
        <v>14</v>
      </c>
      <c r="S10" s="27" t="n">
        <v>15</v>
      </c>
      <c r="T10" s="27" t="n">
        <v>16</v>
      </c>
      <c r="U10" s="27" t="n">
        <v>17</v>
      </c>
      <c r="V10" s="27" t="n">
        <v>18</v>
      </c>
      <c r="W10" s="27" t="n">
        <v>19</v>
      </c>
      <c r="X10" s="27" t="n">
        <v>20</v>
      </c>
      <c r="Y10" s="27" t="n">
        <v>21</v>
      </c>
      <c r="Z10" s="27" t="n">
        <v>22</v>
      </c>
      <c r="AA10" s="27" t="n">
        <v>23</v>
      </c>
      <c r="AB10" s="27" t="n">
        <v>24</v>
      </c>
      <c r="AC10" s="27" t="n">
        <v>25</v>
      </c>
      <c r="AD10" s="27" t="n">
        <v>26</v>
      </c>
      <c r="AE10" s="27" t="n">
        <v>27</v>
      </c>
      <c r="AF10" s="27" t="n">
        <v>28</v>
      </c>
      <c r="AG10" s="27" t="n">
        <v>29</v>
      </c>
      <c r="AH10" s="27" t="n">
        <v>30</v>
      </c>
      <c r="AI10" s="27" t="n">
        <v>31</v>
      </c>
      <c r="AJ10" s="27" t="n">
        <v>32</v>
      </c>
      <c r="AK10" s="27" t="n">
        <v>33</v>
      </c>
      <c r="AL10" s="27" t="n">
        <v>34</v>
      </c>
      <c r="AM10" s="27" t="n">
        <v>35</v>
      </c>
      <c r="AN10" s="27" t="n">
        <v>36</v>
      </c>
      <c r="AO10" s="27" t="n">
        <v>37</v>
      </c>
      <c r="AP10" s="27" t="n">
        <v>38</v>
      </c>
      <c r="AQ10" s="27" t="n">
        <v>39</v>
      </c>
      <c r="AR10" s="27" t="n">
        <v>40</v>
      </c>
      <c r="AS10" s="27" t="n">
        <v>41</v>
      </c>
      <c r="AT10" s="27" t="n">
        <v>42</v>
      </c>
      <c r="AU10" s="27" t="n">
        <v>43</v>
      </c>
      <c r="AV10" s="27" t="n">
        <v>44</v>
      </c>
      <c r="AW10" s="27" t="n">
        <v>45</v>
      </c>
      <c r="AX10" s="27" t="n">
        <v>46</v>
      </c>
      <c r="AY10" s="27" t="n">
        <v>47</v>
      </c>
      <c r="AZ10" s="27" t="n">
        <v>48</v>
      </c>
      <c r="BA10" s="27" t="n">
        <v>49</v>
      </c>
      <c r="BB10" s="27" t="n">
        <v>50</v>
      </c>
      <c r="BC10" s="27" t="n">
        <v>51</v>
      </c>
      <c r="BD10" s="27" t="n">
        <v>52</v>
      </c>
      <c r="BE10" s="27" t="n">
        <v>53</v>
      </c>
      <c r="BF10" s="27" t="n">
        <v>54</v>
      </c>
      <c r="BG10" s="27" t="n">
        <v>55</v>
      </c>
      <c r="BH10" s="27" t="n">
        <v>56</v>
      </c>
      <c r="BI10" s="27" t="n">
        <v>57</v>
      </c>
      <c r="BJ10" s="27" t="n">
        <v>58</v>
      </c>
      <c r="BK10" s="27" t="n">
        <v>59</v>
      </c>
      <c r="BL10" s="27" t="n">
        <v>60</v>
      </c>
      <c r="BM10" s="27" t="n">
        <v>61</v>
      </c>
      <c r="BN10" s="27" t="n">
        <v>62</v>
      </c>
      <c r="BO10" s="27" t="n">
        <v>63</v>
      </c>
      <c r="BP10" s="27" t="n">
        <v>64</v>
      </c>
      <c r="BQ10" s="27" t="n">
        <v>65</v>
      </c>
      <c r="BR10" s="27" t="n">
        <v>66</v>
      </c>
      <c r="BS10" s="27" t="n">
        <v>67</v>
      </c>
      <c r="BT10" s="27" t="n">
        <v>68</v>
      </c>
      <c r="BU10" s="27" t="n">
        <v>69</v>
      </c>
      <c r="BV10" s="27" t="n">
        <v>70</v>
      </c>
      <c r="BW10" s="27" t="n">
        <v>71</v>
      </c>
      <c r="BX10" s="27" t="n">
        <v>72</v>
      </c>
      <c r="BY10" s="27" t="n">
        <v>73</v>
      </c>
      <c r="BZ10" s="27" t="n">
        <v>74</v>
      </c>
      <c r="CA10" s="27" t="n">
        <v>75</v>
      </c>
      <c r="CB10" s="27" t="n">
        <v>76</v>
      </c>
      <c r="CC10" s="27" t="n">
        <v>77</v>
      </c>
      <c r="CD10" s="27" t="n">
        <v>78</v>
      </c>
      <c r="CE10" s="27" t="n">
        <v>79</v>
      </c>
      <c r="CF10" s="27" t="n">
        <v>80</v>
      </c>
      <c r="CG10" s="27" t="n">
        <v>81</v>
      </c>
      <c r="CH10" s="27" t="n">
        <v>82</v>
      </c>
      <c r="CI10" s="27" t="n">
        <v>83</v>
      </c>
      <c r="CJ10" s="27" t="n">
        <v>84</v>
      </c>
      <c r="CK10" s="27" t="n">
        <v>85</v>
      </c>
      <c r="CL10" s="27" t="n">
        <v>86</v>
      </c>
      <c r="CM10" s="27" t="n">
        <v>87</v>
      </c>
      <c r="CN10" s="27" t="n">
        <v>88</v>
      </c>
      <c r="CO10" s="27" t="n">
        <v>89</v>
      </c>
      <c r="CP10" s="27" t="n">
        <v>90</v>
      </c>
      <c r="CQ10" s="27" t="n">
        <v>91</v>
      </c>
      <c r="CR10" s="27" t="n">
        <v>92</v>
      </c>
      <c r="CS10" s="27" t="n">
        <v>93</v>
      </c>
      <c r="CT10" s="27" t="n">
        <v>94</v>
      </c>
      <c r="CU10" s="27" t="n">
        <v>95</v>
      </c>
      <c r="CV10" s="27" t="n">
        <v>96</v>
      </c>
      <c r="CW10" s="27" t="n">
        <v>97</v>
      </c>
      <c r="CX10" s="27" t="n">
        <v>98</v>
      </c>
      <c r="CY10" s="27" t="n">
        <v>99</v>
      </c>
      <c r="CZ10" s="27" t="n">
        <v>100</v>
      </c>
      <c r="DA10" s="27" t="n">
        <v>101</v>
      </c>
      <c r="DB10" s="27" t="n">
        <v>102</v>
      </c>
      <c r="DC10" s="27" t="n">
        <v>103</v>
      </c>
      <c r="DD10" s="27" t="n">
        <v>104</v>
      </c>
      <c r="DE10" s="27" t="n">
        <v>105</v>
      </c>
      <c r="DF10" s="27" t="n">
        <v>106</v>
      </c>
      <c r="DG10" s="27" t="n">
        <v>107</v>
      </c>
      <c r="DH10" s="27" t="n">
        <v>108</v>
      </c>
      <c r="DI10" s="27" t="n">
        <v>109</v>
      </c>
      <c r="DJ10" s="27" t="n">
        <v>110</v>
      </c>
      <c r="DK10" s="27" t="n">
        <v>111</v>
      </c>
      <c r="DL10" s="27" t="n">
        <v>112</v>
      </c>
      <c r="DM10" s="27" t="n">
        <v>113</v>
      </c>
      <c r="DN10" s="27" t="n">
        <v>114</v>
      </c>
      <c r="DO10" s="27" t="n">
        <v>115</v>
      </c>
      <c r="DP10" s="27" t="n">
        <v>116</v>
      </c>
      <c r="DQ10" s="27" t="n">
        <v>117</v>
      </c>
      <c r="DR10" s="27" t="n">
        <v>118</v>
      </c>
      <c r="DS10" s="27" t="n">
        <v>119</v>
      </c>
      <c r="DT10" s="27" t="n">
        <v>120</v>
      </c>
      <c r="DU10" s="27" t="n">
        <v>121</v>
      </c>
      <c r="DV10" s="27" t="n">
        <v>122</v>
      </c>
      <c r="DW10" s="27" t="n">
        <v>123</v>
      </c>
      <c r="DX10" s="27" t="n">
        <v>124</v>
      </c>
      <c r="DY10" s="27" t="n">
        <v>125</v>
      </c>
      <c r="DZ10" s="27" t="n">
        <v>126</v>
      </c>
      <c r="EA10" s="27" t="n">
        <v>127</v>
      </c>
      <c r="EB10" s="27" t="n">
        <v>128</v>
      </c>
      <c r="EC10" s="27" t="n">
        <v>129</v>
      </c>
      <c r="ED10" s="27" t="n">
        <v>130</v>
      </c>
      <c r="EE10" s="27" t="n">
        <v>131</v>
      </c>
      <c r="EF10" s="27" t="n">
        <v>132</v>
      </c>
      <c r="EG10" s="27" t="n">
        <v>133</v>
      </c>
      <c r="EH10" s="27" t="n">
        <v>134</v>
      </c>
      <c r="EI10" s="27" t="n">
        <v>135</v>
      </c>
      <c r="EJ10" s="27" t="n">
        <v>136</v>
      </c>
      <c r="EK10" s="27" t="n">
        <v>137</v>
      </c>
      <c r="EL10" s="27" t="n">
        <v>138</v>
      </c>
      <c r="EM10" s="27" t="n">
        <v>139</v>
      </c>
      <c r="EN10" s="27" t="n">
        <v>140</v>
      </c>
      <c r="EO10" s="27" t="n">
        <v>141</v>
      </c>
      <c r="EP10" s="27" t="n">
        <v>142</v>
      </c>
      <c r="EQ10" s="27" t="n">
        <v>143</v>
      </c>
      <c r="ER10" s="27" t="n">
        <v>144</v>
      </c>
      <c r="ES10" s="27" t="n">
        <v>145</v>
      </c>
      <c r="ET10" s="27" t="n">
        <v>146</v>
      </c>
      <c r="EU10" s="27" t="n">
        <v>147</v>
      </c>
      <c r="EV10" s="27" t="n">
        <v>148</v>
      </c>
      <c r="EW10" s="27" t="n">
        <v>149</v>
      </c>
      <c r="EX10" s="27" t="n">
        <v>150</v>
      </c>
      <c r="EY10" s="27" t="n">
        <v>151</v>
      </c>
      <c r="EZ10" s="27" t="n">
        <v>152</v>
      </c>
      <c r="FA10" s="27" t="n">
        <v>153</v>
      </c>
      <c r="FB10" s="27" t="n">
        <v>154</v>
      </c>
      <c r="FC10" s="27" t="n">
        <v>155</v>
      </c>
      <c r="FD10" s="27" t="n">
        <v>156</v>
      </c>
      <c r="FE10" s="27" t="n">
        <v>157</v>
      </c>
      <c r="FF10" s="27" t="n">
        <v>158</v>
      </c>
      <c r="FG10" s="27" t="n">
        <v>159</v>
      </c>
      <c r="FH10" s="27" t="n">
        <v>160</v>
      </c>
      <c r="FI10" s="27" t="n">
        <v>161</v>
      </c>
      <c r="FJ10" s="27" t="n">
        <v>162</v>
      </c>
      <c r="FK10" s="27" t="n">
        <v>163</v>
      </c>
      <c r="FL10" s="27" t="n">
        <v>164</v>
      </c>
      <c r="FM10" s="27" t="n">
        <v>165</v>
      </c>
      <c r="FN10" s="27" t="n">
        <v>166</v>
      </c>
      <c r="FO10" s="27" t="n">
        <v>167</v>
      </c>
      <c r="FP10" s="27" t="n">
        <v>168</v>
      </c>
      <c r="FQ10" s="27" t="n">
        <v>169</v>
      </c>
      <c r="FR10" s="27" t="n">
        <v>170</v>
      </c>
      <c r="FS10" s="27" t="n">
        <v>171</v>
      </c>
      <c r="FT10" s="27" t="n">
        <v>172</v>
      </c>
      <c r="FU10" s="27" t="n">
        <v>173</v>
      </c>
      <c r="FV10" s="27" t="n">
        <v>174</v>
      </c>
      <c r="FW10" s="27" t="n">
        <v>175</v>
      </c>
      <c r="FX10" s="27" t="n">
        <v>176</v>
      </c>
      <c r="FY10" s="27" t="n">
        <v>177</v>
      </c>
      <c r="FZ10" s="27" t="n">
        <v>178</v>
      </c>
      <c r="GA10" s="27" t="n">
        <v>179</v>
      </c>
      <c r="GB10" s="27" t="n">
        <v>180</v>
      </c>
      <c r="GC10" s="27" t="n">
        <v>181</v>
      </c>
      <c r="GD10" s="27" t="n">
        <v>182</v>
      </c>
      <c r="GE10" s="27" t="n">
        <v>183</v>
      </c>
      <c r="GF10" s="27" t="n">
        <v>184</v>
      </c>
      <c r="GG10" s="27" t="n">
        <v>185</v>
      </c>
      <c r="GH10" s="27" t="n">
        <v>186</v>
      </c>
      <c r="GI10" s="27" t="n">
        <v>187</v>
      </c>
      <c r="GJ10" s="27" t="n">
        <v>188</v>
      </c>
      <c r="GK10" s="27" t="n">
        <v>189</v>
      </c>
      <c r="GL10" s="27" t="n">
        <v>190</v>
      </c>
      <c r="GM10" s="27" t="n">
        <v>191</v>
      </c>
      <c r="GN10" s="27" t="n">
        <v>192</v>
      </c>
      <c r="GO10" s="27" t="n">
        <v>193</v>
      </c>
      <c r="GP10" s="27" t="n">
        <v>194</v>
      </c>
      <c r="GQ10" s="27" t="n">
        <v>195</v>
      </c>
      <c r="GR10" s="27" t="n">
        <v>196</v>
      </c>
      <c r="GS10" s="27" t="n">
        <v>197</v>
      </c>
      <c r="GT10" s="27" t="n">
        <v>198</v>
      </c>
      <c r="GU10" s="27" t="n">
        <v>199</v>
      </c>
      <c r="GV10" s="27" t="n">
        <v>200</v>
      </c>
      <c r="GW10" s="27" t="n">
        <v>201</v>
      </c>
      <c r="GX10" s="27" t="n">
        <v>202</v>
      </c>
      <c r="GY10" s="27" t="n">
        <v>203</v>
      </c>
      <c r="GZ10" s="27" t="n">
        <v>204</v>
      </c>
      <c r="HA10" s="27" t="n">
        <v>205</v>
      </c>
      <c r="HB10" s="27" t="n">
        <v>206</v>
      </c>
      <c r="HC10" s="27" t="n">
        <v>207</v>
      </c>
      <c r="HD10" s="27" t="n">
        <v>208</v>
      </c>
      <c r="HE10" s="27" t="n">
        <v>209</v>
      </c>
      <c r="HF10" s="27" t="n">
        <v>210</v>
      </c>
      <c r="HG10" s="27" t="n">
        <v>211</v>
      </c>
      <c r="HH10" s="27" t="n">
        <v>212</v>
      </c>
      <c r="HI10" s="27" t="n">
        <v>213</v>
      </c>
      <c r="HJ10" s="27" t="n">
        <v>214</v>
      </c>
      <c r="HK10" s="27" t="n">
        <v>215</v>
      </c>
      <c r="HL10" s="27" t="n">
        <v>216</v>
      </c>
      <c r="HM10" s="27" t="n">
        <v>217</v>
      </c>
      <c r="HN10" s="27" t="n">
        <v>218</v>
      </c>
      <c r="HO10" s="27" t="n">
        <v>219</v>
      </c>
      <c r="HP10" s="27" t="n">
        <v>220</v>
      </c>
      <c r="HQ10" s="27" t="n">
        <v>221</v>
      </c>
      <c r="HR10" s="27" t="n">
        <v>222</v>
      </c>
      <c r="HS10" s="27" t="n">
        <v>223</v>
      </c>
      <c r="HT10" s="27" t="n">
        <v>224</v>
      </c>
      <c r="HU10" s="27" t="n">
        <v>225</v>
      </c>
      <c r="HV10" s="27" t="n">
        <v>226</v>
      </c>
      <c r="HW10" s="27" t="n">
        <v>227</v>
      </c>
      <c r="HX10" s="27" t="n">
        <v>228</v>
      </c>
      <c r="HY10" s="27" t="n">
        <v>229</v>
      </c>
      <c r="HZ10" s="27" t="n">
        <v>230</v>
      </c>
      <c r="IA10" s="27" t="n">
        <v>231</v>
      </c>
      <c r="IB10" s="27" t="n">
        <v>232</v>
      </c>
      <c r="IC10" s="27" t="n">
        <v>233</v>
      </c>
      <c r="ID10" s="27" t="n">
        <v>234</v>
      </c>
      <c r="IE10" s="27" t="n">
        <v>235</v>
      </c>
      <c r="IF10" s="27" t="n">
        <v>236</v>
      </c>
      <c r="IG10" s="27" t="n">
        <v>237</v>
      </c>
      <c r="IH10" s="27" t="n">
        <v>238</v>
      </c>
      <c r="II10" s="27" t="n">
        <v>239</v>
      </c>
      <c r="IJ10" s="27" t="n">
        <v>240</v>
      </c>
      <c r="IK10" s="27" t="n">
        <v>241</v>
      </c>
      <c r="IL10" s="27" t="n">
        <v>242</v>
      </c>
      <c r="IM10" s="27" t="n">
        <v>243</v>
      </c>
      <c r="IN10" s="27" t="n">
        <v>244</v>
      </c>
      <c r="IO10" s="27" t="n">
        <v>245</v>
      </c>
      <c r="IP10" s="27" t="n">
        <v>246</v>
      </c>
      <c r="IQ10" s="27" t="n">
        <v>247</v>
      </c>
      <c r="IR10" s="27" t="n">
        <v>248</v>
      </c>
      <c r="IS10" s="27" t="n">
        <v>249</v>
      </c>
      <c r="IT10" s="27" t="n">
        <v>250</v>
      </c>
      <c r="IU10" s="27" t="n">
        <v>251</v>
      </c>
      <c r="IV10" s="27" t="n">
        <v>252</v>
      </c>
      <c r="IW10" s="27" t="n">
        <v>253</v>
      </c>
      <c r="IX10" s="27" t="n">
        <v>254</v>
      </c>
      <c r="IY10" s="27" t="n">
        <v>255</v>
      </c>
      <c r="IZ10" s="27" t="n">
        <v>256</v>
      </c>
      <c r="JA10" s="27" t="n">
        <v>257</v>
      </c>
      <c r="JB10" s="27" t="n">
        <v>258</v>
      </c>
      <c r="JC10" s="27" t="n">
        <v>259</v>
      </c>
      <c r="JD10" s="27" t="n">
        <v>260</v>
      </c>
      <c r="JE10" s="27" t="n">
        <v>261</v>
      </c>
      <c r="JF10" s="27" t="n">
        <v>262</v>
      </c>
      <c r="JG10" s="27" t="n">
        <v>263</v>
      </c>
      <c r="JH10" s="27" t="n">
        <v>264</v>
      </c>
      <c r="JI10" s="27" t="n">
        <v>265</v>
      </c>
      <c r="JJ10" s="27" t="n">
        <v>266</v>
      </c>
      <c r="JK10" s="27" t="n">
        <v>267</v>
      </c>
      <c r="JL10" s="27" t="n">
        <v>268</v>
      </c>
      <c r="JM10" s="27" t="n">
        <v>269</v>
      </c>
      <c r="JN10" s="27" t="n">
        <v>270</v>
      </c>
      <c r="JO10" s="27" t="n">
        <v>271</v>
      </c>
      <c r="JP10" s="27" t="n">
        <v>272</v>
      </c>
      <c r="JQ10" s="27" t="n">
        <v>273</v>
      </c>
      <c r="JR10" s="27" t="n">
        <v>274</v>
      </c>
      <c r="JS10" s="27" t="n">
        <v>275</v>
      </c>
      <c r="JT10" s="27" t="n">
        <v>276</v>
      </c>
      <c r="JU10" s="27" t="n">
        <v>277</v>
      </c>
      <c r="JV10" s="27" t="n">
        <v>278</v>
      </c>
      <c r="JW10" s="27" t="n">
        <v>279</v>
      </c>
      <c r="JX10" s="27" t="n">
        <v>280</v>
      </c>
      <c r="JY10" s="27" t="n">
        <v>281</v>
      </c>
      <c r="JZ10" s="27" t="n">
        <v>282</v>
      </c>
      <c r="KA10" s="27" t="n">
        <v>283</v>
      </c>
      <c r="KB10" s="27" t="n">
        <v>284</v>
      </c>
      <c r="KC10" s="27" t="n">
        <v>285</v>
      </c>
      <c r="KD10" s="27" t="n">
        <v>286</v>
      </c>
      <c r="KE10" s="27" t="n">
        <v>287</v>
      </c>
      <c r="KF10" s="27" t="n">
        <v>288</v>
      </c>
      <c r="KG10" s="27" t="n">
        <v>289</v>
      </c>
      <c r="KH10" s="27" t="n">
        <v>290</v>
      </c>
      <c r="KI10" s="27" t="n">
        <v>291</v>
      </c>
      <c r="KJ10" s="27" t="n">
        <v>292</v>
      </c>
      <c r="KK10" s="27" t="n">
        <v>293</v>
      </c>
      <c r="KL10" s="27" t="n">
        <v>294</v>
      </c>
      <c r="KM10" s="27" t="n">
        <v>295</v>
      </c>
      <c r="KN10" s="27" t="n">
        <v>296</v>
      </c>
      <c r="KO10" s="27" t="n">
        <v>297</v>
      </c>
      <c r="KP10" s="27" t="n">
        <v>298</v>
      </c>
      <c r="KQ10" s="27" t="n">
        <v>299</v>
      </c>
      <c r="KR10" s="27" t="n">
        <v>300</v>
      </c>
      <c r="KS10" s="27" t="n">
        <v>301</v>
      </c>
      <c r="KT10" s="27" t="n">
        <v>302</v>
      </c>
      <c r="KU10" s="27" t="n">
        <v>303</v>
      </c>
      <c r="KV10" s="27" t="n">
        <v>304</v>
      </c>
      <c r="KW10" s="27" t="n">
        <v>305</v>
      </c>
      <c r="KX10" s="27" t="n">
        <v>306</v>
      </c>
      <c r="KY10" s="27" t="n">
        <v>307</v>
      </c>
      <c r="KZ10" s="27" t="n">
        <v>308</v>
      </c>
      <c r="LA10" s="27" t="n">
        <v>309</v>
      </c>
      <c r="LB10" s="27" t="n">
        <v>310</v>
      </c>
      <c r="LC10" s="27" t="n">
        <v>311</v>
      </c>
      <c r="LD10" s="27" t="n">
        <v>312</v>
      </c>
      <c r="LE10" s="27" t="n">
        <v>313</v>
      </c>
      <c r="LF10" s="27" t="n">
        <v>314</v>
      </c>
      <c r="LG10" s="27" t="n">
        <v>315</v>
      </c>
      <c r="LH10" s="27" t="n">
        <v>316</v>
      </c>
      <c r="LI10" s="27" t="n">
        <v>317</v>
      </c>
      <c r="LJ10" s="27" t="n">
        <v>318</v>
      </c>
      <c r="LK10" s="27" t="n">
        <v>319</v>
      </c>
      <c r="LL10" s="27" t="n">
        <v>320</v>
      </c>
      <c r="LM10" s="27" t="n">
        <v>321</v>
      </c>
      <c r="LN10" s="27" t="n">
        <v>322</v>
      </c>
      <c r="LO10" s="27" t="n">
        <v>323</v>
      </c>
      <c r="LP10" s="27" t="n">
        <v>324</v>
      </c>
      <c r="LQ10" s="27" t="n">
        <v>325</v>
      </c>
      <c r="LR10" s="27" t="n">
        <v>326</v>
      </c>
      <c r="LS10" s="27" t="n">
        <v>327</v>
      </c>
      <c r="LT10" s="27" t="n">
        <v>328</v>
      </c>
      <c r="LU10" s="27" t="n">
        <v>329</v>
      </c>
      <c r="LV10" s="27" t="n">
        <v>330</v>
      </c>
      <c r="LW10" s="27" t="n">
        <v>331</v>
      </c>
      <c r="LX10" s="27" t="n">
        <v>332</v>
      </c>
      <c r="LY10" s="27" t="n">
        <v>333</v>
      </c>
      <c r="LZ10" s="27" t="n">
        <v>334</v>
      </c>
      <c r="MA10" s="27" t="n">
        <v>335</v>
      </c>
      <c r="MB10" s="27" t="n">
        <v>336</v>
      </c>
      <c r="MC10" s="27" t="n">
        <v>337</v>
      </c>
      <c r="MD10" s="27" t="n">
        <v>338</v>
      </c>
      <c r="ME10" s="27" t="n">
        <v>339</v>
      </c>
      <c r="MF10" s="27" t="n">
        <v>340</v>
      </c>
      <c r="MG10" s="27" t="n">
        <v>341</v>
      </c>
      <c r="MH10" s="27" t="n">
        <v>342</v>
      </c>
      <c r="MI10" s="27" t="n">
        <v>343</v>
      </c>
      <c r="MJ10" s="27" t="n">
        <v>344</v>
      </c>
      <c r="MK10" s="27" t="n">
        <v>345</v>
      </c>
      <c r="ML10" s="27" t="n">
        <v>346</v>
      </c>
      <c r="MM10" s="27" t="n">
        <v>347</v>
      </c>
      <c r="MN10" s="27" t="n">
        <v>348</v>
      </c>
      <c r="MO10" s="27" t="n">
        <v>349</v>
      </c>
      <c r="MP10" s="27" t="n">
        <v>350</v>
      </c>
      <c r="MQ10" s="27" t="n">
        <v>351</v>
      </c>
      <c r="MR10" s="27" t="n">
        <v>352</v>
      </c>
      <c r="MS10" s="27" t="n">
        <v>353</v>
      </c>
      <c r="MT10" s="27" t="n">
        <v>354</v>
      </c>
      <c r="MU10" s="27" t="n">
        <v>355</v>
      </c>
      <c r="MV10" s="27" t="n">
        <v>356</v>
      </c>
      <c r="MW10" s="27" t="n">
        <v>357</v>
      </c>
      <c r="MX10" s="27" t="n">
        <v>358</v>
      </c>
      <c r="MY10" s="27" t="n">
        <v>359</v>
      </c>
      <c r="MZ10" s="27" t="n">
        <v>360</v>
      </c>
      <c r="NA10" s="27" t="n">
        <v>361</v>
      </c>
      <c r="NB10" s="27" t="n">
        <v>362</v>
      </c>
      <c r="NC10" s="27" t="n">
        <v>363</v>
      </c>
      <c r="ND10" s="27" t="n">
        <v>364</v>
      </c>
      <c r="NE10" s="27" t="n">
        <v>365</v>
      </c>
      <c r="NF10" s="27" t="n">
        <v>366</v>
      </c>
      <c r="NG10" s="27" t="n">
        <v>367</v>
      </c>
      <c r="NH10" s="27" t="n">
        <v>368</v>
      </c>
      <c r="NI10" s="27" t="n">
        <v>369</v>
      </c>
      <c r="NJ10" s="27" t="n">
        <v>370</v>
      </c>
      <c r="NK10" s="27" t="n">
        <v>371</v>
      </c>
      <c r="NL10" s="27" t="n">
        <v>372</v>
      </c>
    </row>
    <row r="11">
      <c r="B11" s="36" t="inlineStr">
        <is>
          <t>Levered CF (gross of fees)</t>
        </is>
      </c>
      <c r="D11" s="258">
        <f>SUM(E11:NL11)</f>
        <v/>
      </c>
      <c r="E11" s="218">
        <f>CashFlow!E$6+IF(1=DispoMonth,DevFee*(1-DevFeeThirdPartySplit)+SponsorDispoFeePct*ExitValue,0)</f>
        <v/>
      </c>
      <c r="F11" s="218">
        <f>CashFlow!F$6+IF(2=DispoMonth,DevFee*(1-DevFeeThirdPartySplit)+SponsorDispoFeePct*ExitValue,0)</f>
        <v/>
      </c>
      <c r="G11" s="218">
        <f>CashFlow!G$6+IF(3=DispoMonth,DevFee*(1-DevFeeThirdPartySplit)+SponsorDispoFeePct*ExitValue,0)</f>
        <v/>
      </c>
      <c r="H11" s="218">
        <f>CashFlow!H$6+IF(4=DispoMonth,DevFee*(1-DevFeeThirdPartySplit)+SponsorDispoFeePct*ExitValue,0)</f>
        <v/>
      </c>
      <c r="I11" s="218">
        <f>CashFlow!I$6+IF(5=DispoMonth,DevFee*(1-DevFeeThirdPartySplit)+SponsorDispoFeePct*ExitValue,0)</f>
        <v/>
      </c>
      <c r="J11" s="218">
        <f>CashFlow!J$6+IF(6=DispoMonth,DevFee*(1-DevFeeThirdPartySplit)+SponsorDispoFeePct*ExitValue,0)</f>
        <v/>
      </c>
      <c r="K11" s="218">
        <f>CashFlow!K$6+IF(7=DispoMonth,DevFee*(1-DevFeeThirdPartySplit)+SponsorDispoFeePct*ExitValue,0)</f>
        <v/>
      </c>
      <c r="L11" s="218">
        <f>CashFlow!L$6+IF(8=DispoMonth,DevFee*(1-DevFeeThirdPartySplit)+SponsorDispoFeePct*ExitValue,0)</f>
        <v/>
      </c>
      <c r="M11" s="218">
        <f>CashFlow!M$6+IF(9=DispoMonth,DevFee*(1-DevFeeThirdPartySplit)+SponsorDispoFeePct*ExitValue,0)</f>
        <v/>
      </c>
      <c r="N11" s="218">
        <f>CashFlow!N$6+IF(10=DispoMonth,DevFee*(1-DevFeeThirdPartySplit)+SponsorDispoFeePct*ExitValue,0)</f>
        <v/>
      </c>
      <c r="O11" s="218">
        <f>CashFlow!O$6+IF(11=DispoMonth,DevFee*(1-DevFeeThirdPartySplit)+SponsorDispoFeePct*ExitValue,0)</f>
        <v/>
      </c>
      <c r="P11" s="218">
        <f>CashFlow!P$6+IF(12=DispoMonth,DevFee*(1-DevFeeThirdPartySplit)+SponsorDispoFeePct*ExitValue,0)</f>
        <v/>
      </c>
      <c r="Q11" s="218">
        <f>CashFlow!Q$6+IF(13=DispoMonth,DevFee*(1-DevFeeThirdPartySplit)+SponsorDispoFeePct*ExitValue,0)</f>
        <v/>
      </c>
      <c r="R11" s="218">
        <f>CashFlow!R$6+IF(14=DispoMonth,DevFee*(1-DevFeeThirdPartySplit)+SponsorDispoFeePct*ExitValue,0)</f>
        <v/>
      </c>
      <c r="S11" s="218">
        <f>CashFlow!S$6+IF(15=DispoMonth,DevFee*(1-DevFeeThirdPartySplit)+SponsorDispoFeePct*ExitValue,0)</f>
        <v/>
      </c>
      <c r="T11" s="218">
        <f>CashFlow!T$6+IF(16=DispoMonth,DevFee*(1-DevFeeThirdPartySplit)+SponsorDispoFeePct*ExitValue,0)</f>
        <v/>
      </c>
      <c r="U11" s="218">
        <f>CashFlow!U$6+IF(17=DispoMonth,DevFee*(1-DevFeeThirdPartySplit)+SponsorDispoFeePct*ExitValue,0)</f>
        <v/>
      </c>
      <c r="V11" s="218">
        <f>CashFlow!V$6+IF(18=DispoMonth,DevFee*(1-DevFeeThirdPartySplit)+SponsorDispoFeePct*ExitValue,0)</f>
        <v/>
      </c>
      <c r="W11" s="218">
        <f>CashFlow!W$6+IF(19=DispoMonth,DevFee*(1-DevFeeThirdPartySplit)+SponsorDispoFeePct*ExitValue,0)</f>
        <v/>
      </c>
      <c r="X11" s="218">
        <f>CashFlow!X$6+IF(20=DispoMonth,DevFee*(1-DevFeeThirdPartySplit)+SponsorDispoFeePct*ExitValue,0)</f>
        <v/>
      </c>
      <c r="Y11" s="218">
        <f>CashFlow!Y$6+IF(21=DispoMonth,DevFee*(1-DevFeeThirdPartySplit)+SponsorDispoFeePct*ExitValue,0)</f>
        <v/>
      </c>
      <c r="Z11" s="218">
        <f>CashFlow!Z$6+IF(22=DispoMonth,DevFee*(1-DevFeeThirdPartySplit)+SponsorDispoFeePct*ExitValue,0)</f>
        <v/>
      </c>
      <c r="AA11" s="218">
        <f>CashFlow!AA$6+IF(23=DispoMonth,DevFee*(1-DevFeeThirdPartySplit)+SponsorDispoFeePct*ExitValue,0)</f>
        <v/>
      </c>
      <c r="AB11" s="218">
        <f>CashFlow!AB$6+IF(24=DispoMonth,DevFee*(1-DevFeeThirdPartySplit)+SponsorDispoFeePct*ExitValue,0)</f>
        <v/>
      </c>
      <c r="AC11" s="218">
        <f>CashFlow!AC$6+IF(25=DispoMonth,DevFee*(1-DevFeeThirdPartySplit)+SponsorDispoFeePct*ExitValue,0)</f>
        <v/>
      </c>
      <c r="AD11" s="218">
        <f>CashFlow!AD$6+IF(26=DispoMonth,DevFee*(1-DevFeeThirdPartySplit)+SponsorDispoFeePct*ExitValue,0)</f>
        <v/>
      </c>
      <c r="AE11" s="218">
        <f>CashFlow!AE$6+IF(27=DispoMonth,DevFee*(1-DevFeeThirdPartySplit)+SponsorDispoFeePct*ExitValue,0)</f>
        <v/>
      </c>
      <c r="AF11" s="218">
        <f>CashFlow!AF$6+IF(28=DispoMonth,DevFee*(1-DevFeeThirdPartySplit)+SponsorDispoFeePct*ExitValue,0)</f>
        <v/>
      </c>
      <c r="AG11" s="218">
        <f>CashFlow!AG$6+IF(29=DispoMonth,DevFee*(1-DevFeeThirdPartySplit)+SponsorDispoFeePct*ExitValue,0)</f>
        <v/>
      </c>
      <c r="AH11" s="218">
        <f>CashFlow!AH$6+IF(30=DispoMonth,DevFee*(1-DevFeeThirdPartySplit)+SponsorDispoFeePct*ExitValue,0)</f>
        <v/>
      </c>
      <c r="AI11" s="218">
        <f>CashFlow!AI$6+IF(31=DispoMonth,DevFee*(1-DevFeeThirdPartySplit)+SponsorDispoFeePct*ExitValue,0)</f>
        <v/>
      </c>
      <c r="AJ11" s="218">
        <f>CashFlow!AJ$6+IF(32=DispoMonth,DevFee*(1-DevFeeThirdPartySplit)+SponsorDispoFeePct*ExitValue,0)</f>
        <v/>
      </c>
      <c r="AK11" s="218">
        <f>CashFlow!AK$6+IF(33=DispoMonth,DevFee*(1-DevFeeThirdPartySplit)+SponsorDispoFeePct*ExitValue,0)</f>
        <v/>
      </c>
      <c r="AL11" s="218">
        <f>CashFlow!AL$6+IF(34=DispoMonth,DevFee*(1-DevFeeThirdPartySplit)+SponsorDispoFeePct*ExitValue,0)</f>
        <v/>
      </c>
      <c r="AM11" s="218">
        <f>CashFlow!AM$6+IF(35=DispoMonth,DevFee*(1-DevFeeThirdPartySplit)+SponsorDispoFeePct*ExitValue,0)</f>
        <v/>
      </c>
      <c r="AN11" s="218">
        <f>CashFlow!AN$6+IF(36=DispoMonth,DevFee*(1-DevFeeThirdPartySplit)+SponsorDispoFeePct*ExitValue,0)</f>
        <v/>
      </c>
      <c r="AO11" s="218">
        <f>CashFlow!AO$6+IF(37=DispoMonth,DevFee*(1-DevFeeThirdPartySplit)+SponsorDispoFeePct*ExitValue,0)</f>
        <v/>
      </c>
      <c r="AP11" s="218">
        <f>CashFlow!AP$6+IF(38=DispoMonth,DevFee*(1-DevFeeThirdPartySplit)+SponsorDispoFeePct*ExitValue,0)</f>
        <v/>
      </c>
      <c r="AQ11" s="218">
        <f>CashFlow!AQ$6+IF(39=DispoMonth,DevFee*(1-DevFeeThirdPartySplit)+SponsorDispoFeePct*ExitValue,0)</f>
        <v/>
      </c>
      <c r="AR11" s="218">
        <f>CashFlow!AR$6+IF(40=DispoMonth,DevFee*(1-DevFeeThirdPartySplit)+SponsorDispoFeePct*ExitValue,0)</f>
        <v/>
      </c>
      <c r="AS11" s="218">
        <f>CashFlow!AS$6+IF(41=DispoMonth,DevFee*(1-DevFeeThirdPartySplit)+SponsorDispoFeePct*ExitValue,0)</f>
        <v/>
      </c>
      <c r="AT11" s="218">
        <f>CashFlow!AT$6+IF(42=DispoMonth,DevFee*(1-DevFeeThirdPartySplit)+SponsorDispoFeePct*ExitValue,0)</f>
        <v/>
      </c>
      <c r="AU11" s="218">
        <f>CashFlow!AU$6+IF(43=DispoMonth,DevFee*(1-DevFeeThirdPartySplit)+SponsorDispoFeePct*ExitValue,0)</f>
        <v/>
      </c>
      <c r="AV11" s="218">
        <f>CashFlow!AV$6+IF(44=DispoMonth,DevFee*(1-DevFeeThirdPartySplit)+SponsorDispoFeePct*ExitValue,0)</f>
        <v/>
      </c>
      <c r="AW11" s="218">
        <f>CashFlow!AW$6+IF(45=DispoMonth,DevFee*(1-DevFeeThirdPartySplit)+SponsorDispoFeePct*ExitValue,0)</f>
        <v/>
      </c>
      <c r="AX11" s="218">
        <f>CashFlow!AX$6+IF(46=DispoMonth,DevFee*(1-DevFeeThirdPartySplit)+SponsorDispoFeePct*ExitValue,0)</f>
        <v/>
      </c>
      <c r="AY11" s="218">
        <f>CashFlow!AY$6+IF(47=DispoMonth,DevFee*(1-DevFeeThirdPartySplit)+SponsorDispoFeePct*ExitValue,0)</f>
        <v/>
      </c>
      <c r="AZ11" s="218">
        <f>CashFlow!AZ$6+IF(48=DispoMonth,DevFee*(1-DevFeeThirdPartySplit)+SponsorDispoFeePct*ExitValue,0)</f>
        <v/>
      </c>
      <c r="BA11" s="218">
        <f>CashFlow!BA$6+IF(49=DispoMonth,DevFee*(1-DevFeeThirdPartySplit)+SponsorDispoFeePct*ExitValue,0)</f>
        <v/>
      </c>
      <c r="BB11" s="218">
        <f>CashFlow!BB$6+IF(50=DispoMonth,DevFee*(1-DevFeeThirdPartySplit)+SponsorDispoFeePct*ExitValue,0)</f>
        <v/>
      </c>
      <c r="BC11" s="218">
        <f>CashFlow!BC$6+IF(51=DispoMonth,DevFee*(1-DevFeeThirdPartySplit)+SponsorDispoFeePct*ExitValue,0)</f>
        <v/>
      </c>
      <c r="BD11" s="218">
        <f>CashFlow!BD$6+IF(52=DispoMonth,DevFee*(1-DevFeeThirdPartySplit)+SponsorDispoFeePct*ExitValue,0)</f>
        <v/>
      </c>
      <c r="BE11" s="218">
        <f>CashFlow!BE$6+IF(53=DispoMonth,DevFee*(1-DevFeeThirdPartySplit)+SponsorDispoFeePct*ExitValue,0)</f>
        <v/>
      </c>
      <c r="BF11" s="218">
        <f>CashFlow!BF$6+IF(54=DispoMonth,DevFee*(1-DevFeeThirdPartySplit)+SponsorDispoFeePct*ExitValue,0)</f>
        <v/>
      </c>
      <c r="BG11" s="218">
        <f>CashFlow!BG$6+IF(55=DispoMonth,DevFee*(1-DevFeeThirdPartySplit)+SponsorDispoFeePct*ExitValue,0)</f>
        <v/>
      </c>
      <c r="BH11" s="218">
        <f>CashFlow!BH$6+IF(56=DispoMonth,DevFee*(1-DevFeeThirdPartySplit)+SponsorDispoFeePct*ExitValue,0)</f>
        <v/>
      </c>
      <c r="BI11" s="218">
        <f>CashFlow!BI$6+IF(57=DispoMonth,DevFee*(1-DevFeeThirdPartySplit)+SponsorDispoFeePct*ExitValue,0)</f>
        <v/>
      </c>
      <c r="BJ11" s="218">
        <f>CashFlow!BJ$6+IF(58=DispoMonth,DevFee*(1-DevFeeThirdPartySplit)+SponsorDispoFeePct*ExitValue,0)</f>
        <v/>
      </c>
      <c r="BK11" s="218">
        <f>CashFlow!BK$6+IF(59=DispoMonth,DevFee*(1-DevFeeThirdPartySplit)+SponsorDispoFeePct*ExitValue,0)</f>
        <v/>
      </c>
      <c r="BL11" s="218">
        <f>CashFlow!BL$6+IF(60=DispoMonth,DevFee*(1-DevFeeThirdPartySplit)+SponsorDispoFeePct*ExitValue,0)</f>
        <v/>
      </c>
      <c r="BM11" s="218">
        <f>CashFlow!BM$6+IF(61=DispoMonth,DevFee*(1-DevFeeThirdPartySplit)+SponsorDispoFeePct*ExitValue,0)</f>
        <v/>
      </c>
      <c r="BN11" s="218">
        <f>CashFlow!BN$6+IF(62=DispoMonth,DevFee*(1-DevFeeThirdPartySplit)+SponsorDispoFeePct*ExitValue,0)</f>
        <v/>
      </c>
      <c r="BO11" s="218">
        <f>CashFlow!BO$6+IF(63=DispoMonth,DevFee*(1-DevFeeThirdPartySplit)+SponsorDispoFeePct*ExitValue,0)</f>
        <v/>
      </c>
      <c r="BP11" s="218">
        <f>CashFlow!BP$6+IF(64=DispoMonth,DevFee*(1-DevFeeThirdPartySplit)+SponsorDispoFeePct*ExitValue,0)</f>
        <v/>
      </c>
      <c r="BQ11" s="218">
        <f>CashFlow!BQ$6+IF(65=DispoMonth,DevFee*(1-DevFeeThirdPartySplit)+SponsorDispoFeePct*ExitValue,0)</f>
        <v/>
      </c>
      <c r="BR11" s="218">
        <f>CashFlow!BR$6+IF(66=DispoMonth,DevFee*(1-DevFeeThirdPartySplit)+SponsorDispoFeePct*ExitValue,0)</f>
        <v/>
      </c>
      <c r="BS11" s="218">
        <f>CashFlow!BS$6+IF(67=DispoMonth,DevFee*(1-DevFeeThirdPartySplit)+SponsorDispoFeePct*ExitValue,0)</f>
        <v/>
      </c>
      <c r="BT11" s="218">
        <f>CashFlow!BT$6+IF(68=DispoMonth,DevFee*(1-DevFeeThirdPartySplit)+SponsorDispoFeePct*ExitValue,0)</f>
        <v/>
      </c>
      <c r="BU11" s="218">
        <f>CashFlow!BU$6+IF(69=DispoMonth,DevFee*(1-DevFeeThirdPartySplit)+SponsorDispoFeePct*ExitValue,0)</f>
        <v/>
      </c>
      <c r="BV11" s="218">
        <f>CashFlow!BV$6+IF(70=DispoMonth,DevFee*(1-DevFeeThirdPartySplit)+SponsorDispoFeePct*ExitValue,0)</f>
        <v/>
      </c>
      <c r="BW11" s="218">
        <f>CashFlow!BW$6+IF(71=DispoMonth,DevFee*(1-DevFeeThirdPartySplit)+SponsorDispoFeePct*ExitValue,0)</f>
        <v/>
      </c>
      <c r="BX11" s="218">
        <f>CashFlow!BX$6+IF(72=DispoMonth,DevFee*(1-DevFeeThirdPartySplit)+SponsorDispoFeePct*ExitValue,0)</f>
        <v/>
      </c>
      <c r="BY11" s="218">
        <f>CashFlow!BY$6+IF(73=DispoMonth,DevFee*(1-DevFeeThirdPartySplit)+SponsorDispoFeePct*ExitValue,0)</f>
        <v/>
      </c>
      <c r="BZ11" s="218">
        <f>CashFlow!BZ$6+IF(74=DispoMonth,DevFee*(1-DevFeeThirdPartySplit)+SponsorDispoFeePct*ExitValue,0)</f>
        <v/>
      </c>
      <c r="CA11" s="218">
        <f>CashFlow!CA$6+IF(75=DispoMonth,DevFee*(1-DevFeeThirdPartySplit)+SponsorDispoFeePct*ExitValue,0)</f>
        <v/>
      </c>
      <c r="CB11" s="218">
        <f>CashFlow!CB$6+IF(76=DispoMonth,DevFee*(1-DevFeeThirdPartySplit)+SponsorDispoFeePct*ExitValue,0)</f>
        <v/>
      </c>
      <c r="CC11" s="218">
        <f>CashFlow!CC$6+IF(77=DispoMonth,DevFee*(1-DevFeeThirdPartySplit)+SponsorDispoFeePct*ExitValue,0)</f>
        <v/>
      </c>
      <c r="CD11" s="218">
        <f>CashFlow!CD$6+IF(78=DispoMonth,DevFee*(1-DevFeeThirdPartySplit)+SponsorDispoFeePct*ExitValue,0)</f>
        <v/>
      </c>
      <c r="CE11" s="218">
        <f>CashFlow!CE$6+IF(79=DispoMonth,DevFee*(1-DevFeeThirdPartySplit)+SponsorDispoFeePct*ExitValue,0)</f>
        <v/>
      </c>
      <c r="CF11" s="218">
        <f>CashFlow!CF$6+IF(80=DispoMonth,DevFee*(1-DevFeeThirdPartySplit)+SponsorDispoFeePct*ExitValue,0)</f>
        <v/>
      </c>
      <c r="CG11" s="218">
        <f>CashFlow!CG$6+IF(81=DispoMonth,DevFee*(1-DevFeeThirdPartySplit)+SponsorDispoFeePct*ExitValue,0)</f>
        <v/>
      </c>
      <c r="CH11" s="218">
        <f>CashFlow!CH$6+IF(82=DispoMonth,DevFee*(1-DevFeeThirdPartySplit)+SponsorDispoFeePct*ExitValue,0)</f>
        <v/>
      </c>
      <c r="CI11" s="218">
        <f>CashFlow!CI$6+IF(83=DispoMonth,DevFee*(1-DevFeeThirdPartySplit)+SponsorDispoFeePct*ExitValue,0)</f>
        <v/>
      </c>
      <c r="CJ11" s="218">
        <f>CashFlow!CJ$6+IF(84=DispoMonth,DevFee*(1-DevFeeThirdPartySplit)+SponsorDispoFeePct*ExitValue,0)</f>
        <v/>
      </c>
      <c r="CK11" s="218">
        <f>CashFlow!CK$6+IF(85=DispoMonth,DevFee*(1-DevFeeThirdPartySplit)+SponsorDispoFeePct*ExitValue,0)</f>
        <v/>
      </c>
      <c r="CL11" s="218">
        <f>CashFlow!CL$6+IF(86=DispoMonth,DevFee*(1-DevFeeThirdPartySplit)+SponsorDispoFeePct*ExitValue,0)</f>
        <v/>
      </c>
      <c r="CM11" s="218">
        <f>CashFlow!CM$6+IF(87=DispoMonth,DevFee*(1-DevFeeThirdPartySplit)+SponsorDispoFeePct*ExitValue,0)</f>
        <v/>
      </c>
      <c r="CN11" s="218">
        <f>CashFlow!CN$6+IF(88=DispoMonth,DevFee*(1-DevFeeThirdPartySplit)+SponsorDispoFeePct*ExitValue,0)</f>
        <v/>
      </c>
      <c r="CO11" s="218">
        <f>CashFlow!CO$6+IF(89=DispoMonth,DevFee*(1-DevFeeThirdPartySplit)+SponsorDispoFeePct*ExitValue,0)</f>
        <v/>
      </c>
      <c r="CP11" s="218">
        <f>CashFlow!CP$6+IF(90=DispoMonth,DevFee*(1-DevFeeThirdPartySplit)+SponsorDispoFeePct*ExitValue,0)</f>
        <v/>
      </c>
      <c r="CQ11" s="218">
        <f>CashFlow!CQ$6+IF(91=DispoMonth,DevFee*(1-DevFeeThirdPartySplit)+SponsorDispoFeePct*ExitValue,0)</f>
        <v/>
      </c>
      <c r="CR11" s="218">
        <f>CashFlow!CR$6+IF(92=DispoMonth,DevFee*(1-DevFeeThirdPartySplit)+SponsorDispoFeePct*ExitValue,0)</f>
        <v/>
      </c>
      <c r="CS11" s="218">
        <f>CashFlow!CS$6+IF(93=DispoMonth,DevFee*(1-DevFeeThirdPartySplit)+SponsorDispoFeePct*ExitValue,0)</f>
        <v/>
      </c>
      <c r="CT11" s="218">
        <f>CashFlow!CT$6+IF(94=DispoMonth,DevFee*(1-DevFeeThirdPartySplit)+SponsorDispoFeePct*ExitValue,0)</f>
        <v/>
      </c>
      <c r="CU11" s="218">
        <f>CashFlow!CU$6+IF(95=DispoMonth,DevFee*(1-DevFeeThirdPartySplit)+SponsorDispoFeePct*ExitValue,0)</f>
        <v/>
      </c>
      <c r="CV11" s="218">
        <f>CashFlow!CV$6+IF(96=DispoMonth,DevFee*(1-DevFeeThirdPartySplit)+SponsorDispoFeePct*ExitValue,0)</f>
        <v/>
      </c>
      <c r="CW11" s="218">
        <f>CashFlow!CW$6+IF(97=DispoMonth,DevFee*(1-DevFeeThirdPartySplit)+SponsorDispoFeePct*ExitValue,0)</f>
        <v/>
      </c>
      <c r="CX11" s="218">
        <f>CashFlow!CX$6+IF(98=DispoMonth,DevFee*(1-DevFeeThirdPartySplit)+SponsorDispoFeePct*ExitValue,0)</f>
        <v/>
      </c>
      <c r="CY11" s="218">
        <f>CashFlow!CY$6+IF(99=DispoMonth,DevFee*(1-DevFeeThirdPartySplit)+SponsorDispoFeePct*ExitValue,0)</f>
        <v/>
      </c>
      <c r="CZ11" s="218">
        <f>CashFlow!CZ$6+IF(100=DispoMonth,DevFee*(1-DevFeeThirdPartySplit)+SponsorDispoFeePct*ExitValue,0)</f>
        <v/>
      </c>
      <c r="DA11" s="218">
        <f>CashFlow!DA$6+IF(101=DispoMonth,DevFee*(1-DevFeeThirdPartySplit)+SponsorDispoFeePct*ExitValue,0)</f>
        <v/>
      </c>
      <c r="DB11" s="218">
        <f>CashFlow!DB$6+IF(102=DispoMonth,DevFee*(1-DevFeeThirdPartySplit)+SponsorDispoFeePct*ExitValue,0)</f>
        <v/>
      </c>
      <c r="DC11" s="218">
        <f>CashFlow!DC$6+IF(103=DispoMonth,DevFee*(1-DevFeeThirdPartySplit)+SponsorDispoFeePct*ExitValue,0)</f>
        <v/>
      </c>
      <c r="DD11" s="218">
        <f>CashFlow!DD$6+IF(104=DispoMonth,DevFee*(1-DevFeeThirdPartySplit)+SponsorDispoFeePct*ExitValue,0)</f>
        <v/>
      </c>
      <c r="DE11" s="218">
        <f>CashFlow!DE$6+IF(105=DispoMonth,DevFee*(1-DevFeeThirdPartySplit)+SponsorDispoFeePct*ExitValue,0)</f>
        <v/>
      </c>
      <c r="DF11" s="218">
        <f>CashFlow!DF$6+IF(106=DispoMonth,DevFee*(1-DevFeeThirdPartySplit)+SponsorDispoFeePct*ExitValue,0)</f>
        <v/>
      </c>
      <c r="DG11" s="218">
        <f>CashFlow!DG$6+IF(107=DispoMonth,DevFee*(1-DevFeeThirdPartySplit)+SponsorDispoFeePct*ExitValue,0)</f>
        <v/>
      </c>
      <c r="DH11" s="218">
        <f>CashFlow!DH$6+IF(108=DispoMonth,DevFee*(1-DevFeeThirdPartySplit)+SponsorDispoFeePct*ExitValue,0)</f>
        <v/>
      </c>
      <c r="DI11" s="218">
        <f>CashFlow!DI$6+IF(109=DispoMonth,DevFee*(1-DevFeeThirdPartySplit)+SponsorDispoFeePct*ExitValue,0)</f>
        <v/>
      </c>
      <c r="DJ11" s="218">
        <f>CashFlow!DJ$6+IF(110=DispoMonth,DevFee*(1-DevFeeThirdPartySplit)+SponsorDispoFeePct*ExitValue,0)</f>
        <v/>
      </c>
      <c r="DK11" s="218">
        <f>CashFlow!DK$6+IF(111=DispoMonth,DevFee*(1-DevFeeThirdPartySplit)+SponsorDispoFeePct*ExitValue,0)</f>
        <v/>
      </c>
      <c r="DL11" s="218">
        <f>CashFlow!DL$6+IF(112=DispoMonth,DevFee*(1-DevFeeThirdPartySplit)+SponsorDispoFeePct*ExitValue,0)</f>
        <v/>
      </c>
      <c r="DM11" s="218">
        <f>CashFlow!DM$6+IF(113=DispoMonth,DevFee*(1-DevFeeThirdPartySplit)+SponsorDispoFeePct*ExitValue,0)</f>
        <v/>
      </c>
      <c r="DN11" s="218">
        <f>CashFlow!DN$6+IF(114=DispoMonth,DevFee*(1-DevFeeThirdPartySplit)+SponsorDispoFeePct*ExitValue,0)</f>
        <v/>
      </c>
      <c r="DO11" s="218">
        <f>CashFlow!DO$6+IF(115=DispoMonth,DevFee*(1-DevFeeThirdPartySplit)+SponsorDispoFeePct*ExitValue,0)</f>
        <v/>
      </c>
      <c r="DP11" s="218">
        <f>CashFlow!DP$6+IF(116=DispoMonth,DevFee*(1-DevFeeThirdPartySplit)+SponsorDispoFeePct*ExitValue,0)</f>
        <v/>
      </c>
      <c r="DQ11" s="218">
        <f>CashFlow!DQ$6+IF(117=DispoMonth,DevFee*(1-DevFeeThirdPartySplit)+SponsorDispoFeePct*ExitValue,0)</f>
        <v/>
      </c>
      <c r="DR11" s="218">
        <f>CashFlow!DR$6+IF(118=DispoMonth,DevFee*(1-DevFeeThirdPartySplit)+SponsorDispoFeePct*ExitValue,0)</f>
        <v/>
      </c>
      <c r="DS11" s="218">
        <f>CashFlow!DS$6+IF(119=DispoMonth,DevFee*(1-DevFeeThirdPartySplit)+SponsorDispoFeePct*ExitValue,0)</f>
        <v/>
      </c>
      <c r="DT11" s="218">
        <f>CashFlow!DT$6+IF(120=DispoMonth,DevFee*(1-DevFeeThirdPartySplit)+SponsorDispoFeePct*ExitValue,0)</f>
        <v/>
      </c>
      <c r="DU11" s="218">
        <f>CashFlow!DU$6+IF(121=DispoMonth,DevFee*(1-DevFeeThirdPartySplit)+SponsorDispoFeePct*ExitValue,0)</f>
        <v/>
      </c>
      <c r="DV11" s="218">
        <f>CashFlow!DV$6+IF(122=DispoMonth,DevFee*(1-DevFeeThirdPartySplit)+SponsorDispoFeePct*ExitValue,0)</f>
        <v/>
      </c>
      <c r="DW11" s="218">
        <f>CashFlow!DW$6+IF(123=DispoMonth,DevFee*(1-DevFeeThirdPartySplit)+SponsorDispoFeePct*ExitValue,0)</f>
        <v/>
      </c>
      <c r="DX11" s="218">
        <f>CashFlow!DX$6+IF(124=DispoMonth,DevFee*(1-DevFeeThirdPartySplit)+SponsorDispoFeePct*ExitValue,0)</f>
        <v/>
      </c>
      <c r="DY11" s="218">
        <f>CashFlow!DY$6+IF(125=DispoMonth,DevFee*(1-DevFeeThirdPartySplit)+SponsorDispoFeePct*ExitValue,0)</f>
        <v/>
      </c>
      <c r="DZ11" s="218">
        <f>CashFlow!DZ$6+IF(126=DispoMonth,DevFee*(1-DevFeeThirdPartySplit)+SponsorDispoFeePct*ExitValue,0)</f>
        <v/>
      </c>
      <c r="EA11" s="218">
        <f>CashFlow!EA$6+IF(127=DispoMonth,DevFee*(1-DevFeeThirdPartySplit)+SponsorDispoFeePct*ExitValue,0)</f>
        <v/>
      </c>
      <c r="EB11" s="218">
        <f>CashFlow!EB$6+IF(128=DispoMonth,DevFee*(1-DevFeeThirdPartySplit)+SponsorDispoFeePct*ExitValue,0)</f>
        <v/>
      </c>
      <c r="EC11" s="218">
        <f>CashFlow!EC$6+IF(129=DispoMonth,DevFee*(1-DevFeeThirdPartySplit)+SponsorDispoFeePct*ExitValue,0)</f>
        <v/>
      </c>
      <c r="ED11" s="218">
        <f>CashFlow!ED$6+IF(130=DispoMonth,DevFee*(1-DevFeeThirdPartySplit)+SponsorDispoFeePct*ExitValue,0)</f>
        <v/>
      </c>
      <c r="EE11" s="218">
        <f>CashFlow!EE$6+IF(131=DispoMonth,DevFee*(1-DevFeeThirdPartySplit)+SponsorDispoFeePct*ExitValue,0)</f>
        <v/>
      </c>
      <c r="EF11" s="218">
        <f>CashFlow!EF$6+IF(132=DispoMonth,DevFee*(1-DevFeeThirdPartySplit)+SponsorDispoFeePct*ExitValue,0)</f>
        <v/>
      </c>
      <c r="EG11" s="218">
        <f>CashFlow!EG$6+IF(133=DispoMonth,DevFee*(1-DevFeeThirdPartySplit)+SponsorDispoFeePct*ExitValue,0)</f>
        <v/>
      </c>
      <c r="EH11" s="218">
        <f>CashFlow!EH$6+IF(134=DispoMonth,DevFee*(1-DevFeeThirdPartySplit)+SponsorDispoFeePct*ExitValue,0)</f>
        <v/>
      </c>
      <c r="EI11" s="218">
        <f>CashFlow!EI$6+IF(135=DispoMonth,DevFee*(1-DevFeeThirdPartySplit)+SponsorDispoFeePct*ExitValue,0)</f>
        <v/>
      </c>
      <c r="EJ11" s="218">
        <f>CashFlow!EJ$6+IF(136=DispoMonth,DevFee*(1-DevFeeThirdPartySplit)+SponsorDispoFeePct*ExitValue,0)</f>
        <v/>
      </c>
      <c r="EK11" s="218">
        <f>CashFlow!EK$6+IF(137=DispoMonth,DevFee*(1-DevFeeThirdPartySplit)+SponsorDispoFeePct*ExitValue,0)</f>
        <v/>
      </c>
      <c r="EL11" s="218">
        <f>CashFlow!EL$6+IF(138=DispoMonth,DevFee*(1-DevFeeThirdPartySplit)+SponsorDispoFeePct*ExitValue,0)</f>
        <v/>
      </c>
      <c r="EM11" s="218">
        <f>CashFlow!EM$6+IF(139=DispoMonth,DevFee*(1-DevFeeThirdPartySplit)+SponsorDispoFeePct*ExitValue,0)</f>
        <v/>
      </c>
      <c r="EN11" s="218">
        <f>CashFlow!EN$6+IF(140=DispoMonth,DevFee*(1-DevFeeThirdPartySplit)+SponsorDispoFeePct*ExitValue,0)</f>
        <v/>
      </c>
      <c r="EO11" s="218">
        <f>CashFlow!EO$6+IF(141=DispoMonth,DevFee*(1-DevFeeThirdPartySplit)+SponsorDispoFeePct*ExitValue,0)</f>
        <v/>
      </c>
      <c r="EP11" s="218">
        <f>CashFlow!EP$6+IF(142=DispoMonth,DevFee*(1-DevFeeThirdPartySplit)+SponsorDispoFeePct*ExitValue,0)</f>
        <v/>
      </c>
      <c r="EQ11" s="218">
        <f>CashFlow!EQ$6+IF(143=DispoMonth,DevFee*(1-DevFeeThirdPartySplit)+SponsorDispoFeePct*ExitValue,0)</f>
        <v/>
      </c>
      <c r="ER11" s="218">
        <f>CashFlow!ER$6+IF(144=DispoMonth,DevFee*(1-DevFeeThirdPartySplit)+SponsorDispoFeePct*ExitValue,0)</f>
        <v/>
      </c>
      <c r="ES11" s="218">
        <f>CashFlow!ES$6+IF(145=DispoMonth,DevFee*(1-DevFeeThirdPartySplit)+SponsorDispoFeePct*ExitValue,0)</f>
        <v/>
      </c>
      <c r="ET11" s="218">
        <f>CashFlow!ET$6+IF(146=DispoMonth,DevFee*(1-DevFeeThirdPartySplit)+SponsorDispoFeePct*ExitValue,0)</f>
        <v/>
      </c>
      <c r="EU11" s="218">
        <f>CashFlow!EU$6+IF(147=DispoMonth,DevFee*(1-DevFeeThirdPartySplit)+SponsorDispoFeePct*ExitValue,0)</f>
        <v/>
      </c>
      <c r="EV11" s="218">
        <f>CashFlow!EV$6+IF(148=DispoMonth,DevFee*(1-DevFeeThirdPartySplit)+SponsorDispoFeePct*ExitValue,0)</f>
        <v/>
      </c>
      <c r="EW11" s="218">
        <f>CashFlow!EW$6+IF(149=DispoMonth,DevFee*(1-DevFeeThirdPartySplit)+SponsorDispoFeePct*ExitValue,0)</f>
        <v/>
      </c>
      <c r="EX11" s="218">
        <f>CashFlow!EX$6+IF(150=DispoMonth,DevFee*(1-DevFeeThirdPartySplit)+SponsorDispoFeePct*ExitValue,0)</f>
        <v/>
      </c>
      <c r="EY11" s="218">
        <f>CashFlow!EY$6+IF(151=DispoMonth,DevFee*(1-DevFeeThirdPartySplit)+SponsorDispoFeePct*ExitValue,0)</f>
        <v/>
      </c>
      <c r="EZ11" s="218">
        <f>CashFlow!EZ$6+IF(152=DispoMonth,DevFee*(1-DevFeeThirdPartySplit)+SponsorDispoFeePct*ExitValue,0)</f>
        <v/>
      </c>
      <c r="FA11" s="218">
        <f>CashFlow!FA$6+IF(153=DispoMonth,DevFee*(1-DevFeeThirdPartySplit)+SponsorDispoFeePct*ExitValue,0)</f>
        <v/>
      </c>
      <c r="FB11" s="218">
        <f>CashFlow!FB$6+IF(154=DispoMonth,DevFee*(1-DevFeeThirdPartySplit)+SponsorDispoFeePct*ExitValue,0)</f>
        <v/>
      </c>
      <c r="FC11" s="218">
        <f>CashFlow!FC$6+IF(155=DispoMonth,DevFee*(1-DevFeeThirdPartySplit)+SponsorDispoFeePct*ExitValue,0)</f>
        <v/>
      </c>
      <c r="FD11" s="218">
        <f>CashFlow!FD$6+IF(156=DispoMonth,DevFee*(1-DevFeeThirdPartySplit)+SponsorDispoFeePct*ExitValue,0)</f>
        <v/>
      </c>
      <c r="FE11" s="218">
        <f>CashFlow!FE$6+IF(157=DispoMonth,DevFee*(1-DevFeeThirdPartySplit)+SponsorDispoFeePct*ExitValue,0)</f>
        <v/>
      </c>
      <c r="FF11" s="218">
        <f>CashFlow!FF$6+IF(158=DispoMonth,DevFee*(1-DevFeeThirdPartySplit)+SponsorDispoFeePct*ExitValue,0)</f>
        <v/>
      </c>
      <c r="FG11" s="218">
        <f>CashFlow!FG$6+IF(159=DispoMonth,DevFee*(1-DevFeeThirdPartySplit)+SponsorDispoFeePct*ExitValue,0)</f>
        <v/>
      </c>
      <c r="FH11" s="218">
        <f>CashFlow!FH$6+IF(160=DispoMonth,DevFee*(1-DevFeeThirdPartySplit)+SponsorDispoFeePct*ExitValue,0)</f>
        <v/>
      </c>
      <c r="FI11" s="218">
        <f>CashFlow!FI$6+IF(161=DispoMonth,DevFee*(1-DevFeeThirdPartySplit)+SponsorDispoFeePct*ExitValue,0)</f>
        <v/>
      </c>
      <c r="FJ11" s="218">
        <f>CashFlow!FJ$6+IF(162=DispoMonth,DevFee*(1-DevFeeThirdPartySplit)+SponsorDispoFeePct*ExitValue,0)</f>
        <v/>
      </c>
      <c r="FK11" s="218">
        <f>CashFlow!FK$6+IF(163=DispoMonth,DevFee*(1-DevFeeThirdPartySplit)+SponsorDispoFeePct*ExitValue,0)</f>
        <v/>
      </c>
      <c r="FL11" s="218">
        <f>CashFlow!FL$6+IF(164=DispoMonth,DevFee*(1-DevFeeThirdPartySplit)+SponsorDispoFeePct*ExitValue,0)</f>
        <v/>
      </c>
      <c r="FM11" s="218">
        <f>CashFlow!FM$6+IF(165=DispoMonth,DevFee*(1-DevFeeThirdPartySplit)+SponsorDispoFeePct*ExitValue,0)</f>
        <v/>
      </c>
      <c r="FN11" s="218">
        <f>CashFlow!FN$6+IF(166=DispoMonth,DevFee*(1-DevFeeThirdPartySplit)+SponsorDispoFeePct*ExitValue,0)</f>
        <v/>
      </c>
      <c r="FO11" s="218">
        <f>CashFlow!FO$6+IF(167=DispoMonth,DevFee*(1-DevFeeThirdPartySplit)+SponsorDispoFeePct*ExitValue,0)</f>
        <v/>
      </c>
      <c r="FP11" s="218">
        <f>CashFlow!FP$6+IF(168=DispoMonth,DevFee*(1-DevFeeThirdPartySplit)+SponsorDispoFeePct*ExitValue,0)</f>
        <v/>
      </c>
      <c r="FQ11" s="218">
        <f>CashFlow!FQ$6+IF(169=DispoMonth,DevFee*(1-DevFeeThirdPartySplit)+SponsorDispoFeePct*ExitValue,0)</f>
        <v/>
      </c>
      <c r="FR11" s="218">
        <f>CashFlow!FR$6+IF(170=DispoMonth,DevFee*(1-DevFeeThirdPartySplit)+SponsorDispoFeePct*ExitValue,0)</f>
        <v/>
      </c>
      <c r="FS11" s="218">
        <f>CashFlow!FS$6+IF(171=DispoMonth,DevFee*(1-DevFeeThirdPartySplit)+SponsorDispoFeePct*ExitValue,0)</f>
        <v/>
      </c>
      <c r="FT11" s="218">
        <f>CashFlow!FT$6+IF(172=DispoMonth,DevFee*(1-DevFeeThirdPartySplit)+SponsorDispoFeePct*ExitValue,0)</f>
        <v/>
      </c>
      <c r="FU11" s="218">
        <f>CashFlow!FU$6+IF(173=DispoMonth,DevFee*(1-DevFeeThirdPartySplit)+SponsorDispoFeePct*ExitValue,0)</f>
        <v/>
      </c>
      <c r="FV11" s="218">
        <f>CashFlow!FV$6+IF(174=DispoMonth,DevFee*(1-DevFeeThirdPartySplit)+SponsorDispoFeePct*ExitValue,0)</f>
        <v/>
      </c>
      <c r="FW11" s="218">
        <f>CashFlow!FW$6+IF(175=DispoMonth,DevFee*(1-DevFeeThirdPartySplit)+SponsorDispoFeePct*ExitValue,0)</f>
        <v/>
      </c>
      <c r="FX11" s="218">
        <f>CashFlow!FX$6+IF(176=DispoMonth,DevFee*(1-DevFeeThirdPartySplit)+SponsorDispoFeePct*ExitValue,0)</f>
        <v/>
      </c>
      <c r="FY11" s="218">
        <f>CashFlow!FY$6+IF(177=DispoMonth,DevFee*(1-DevFeeThirdPartySplit)+SponsorDispoFeePct*ExitValue,0)</f>
        <v/>
      </c>
      <c r="FZ11" s="218">
        <f>CashFlow!FZ$6+IF(178=DispoMonth,DevFee*(1-DevFeeThirdPartySplit)+SponsorDispoFeePct*ExitValue,0)</f>
        <v/>
      </c>
      <c r="GA11" s="218">
        <f>CashFlow!GA$6+IF(179=DispoMonth,DevFee*(1-DevFeeThirdPartySplit)+SponsorDispoFeePct*ExitValue,0)</f>
        <v/>
      </c>
      <c r="GB11" s="218">
        <f>CashFlow!GB$6+IF(180=DispoMonth,DevFee*(1-DevFeeThirdPartySplit)+SponsorDispoFeePct*ExitValue,0)</f>
        <v/>
      </c>
      <c r="GC11" s="218">
        <f>CashFlow!GC$6+IF(181=DispoMonth,DevFee*(1-DevFeeThirdPartySplit)+SponsorDispoFeePct*ExitValue,0)</f>
        <v/>
      </c>
      <c r="GD11" s="218">
        <f>CashFlow!GD$6+IF(182=DispoMonth,DevFee*(1-DevFeeThirdPartySplit)+SponsorDispoFeePct*ExitValue,0)</f>
        <v/>
      </c>
      <c r="GE11" s="218">
        <f>CashFlow!GE$6+IF(183=DispoMonth,DevFee*(1-DevFeeThirdPartySplit)+SponsorDispoFeePct*ExitValue,0)</f>
        <v/>
      </c>
      <c r="GF11" s="218">
        <f>CashFlow!GF$6+IF(184=DispoMonth,DevFee*(1-DevFeeThirdPartySplit)+SponsorDispoFeePct*ExitValue,0)</f>
        <v/>
      </c>
      <c r="GG11" s="218">
        <f>CashFlow!GG$6+IF(185=DispoMonth,DevFee*(1-DevFeeThirdPartySplit)+SponsorDispoFeePct*ExitValue,0)</f>
        <v/>
      </c>
      <c r="GH11" s="218">
        <f>CashFlow!GH$6+IF(186=DispoMonth,DevFee*(1-DevFeeThirdPartySplit)+SponsorDispoFeePct*ExitValue,0)</f>
        <v/>
      </c>
      <c r="GI11" s="218">
        <f>CashFlow!GI$6+IF(187=DispoMonth,DevFee*(1-DevFeeThirdPartySplit)+SponsorDispoFeePct*ExitValue,0)</f>
        <v/>
      </c>
      <c r="GJ11" s="218">
        <f>CashFlow!GJ$6+IF(188=DispoMonth,DevFee*(1-DevFeeThirdPartySplit)+SponsorDispoFeePct*ExitValue,0)</f>
        <v/>
      </c>
      <c r="GK11" s="218">
        <f>CashFlow!GK$6+IF(189=DispoMonth,DevFee*(1-DevFeeThirdPartySplit)+SponsorDispoFeePct*ExitValue,0)</f>
        <v/>
      </c>
      <c r="GL11" s="218">
        <f>CashFlow!GL$6+IF(190=DispoMonth,DevFee*(1-DevFeeThirdPartySplit)+SponsorDispoFeePct*ExitValue,0)</f>
        <v/>
      </c>
      <c r="GM11" s="218">
        <f>CashFlow!GM$6+IF(191=DispoMonth,DevFee*(1-DevFeeThirdPartySplit)+SponsorDispoFeePct*ExitValue,0)</f>
        <v/>
      </c>
      <c r="GN11" s="218">
        <f>CashFlow!GN$6+IF(192=DispoMonth,DevFee*(1-DevFeeThirdPartySplit)+SponsorDispoFeePct*ExitValue,0)</f>
        <v/>
      </c>
      <c r="GO11" s="218">
        <f>CashFlow!GO$6+IF(193=DispoMonth,DevFee*(1-DevFeeThirdPartySplit)+SponsorDispoFeePct*ExitValue,0)</f>
        <v/>
      </c>
      <c r="GP11" s="218">
        <f>CashFlow!GP$6+IF(194=DispoMonth,DevFee*(1-DevFeeThirdPartySplit)+SponsorDispoFeePct*ExitValue,0)</f>
        <v/>
      </c>
      <c r="GQ11" s="218">
        <f>CashFlow!GQ$6+IF(195=DispoMonth,DevFee*(1-DevFeeThirdPartySplit)+SponsorDispoFeePct*ExitValue,0)</f>
        <v/>
      </c>
      <c r="GR11" s="218">
        <f>CashFlow!GR$6+IF(196=DispoMonth,DevFee*(1-DevFeeThirdPartySplit)+SponsorDispoFeePct*ExitValue,0)</f>
        <v/>
      </c>
      <c r="GS11" s="218">
        <f>CashFlow!GS$6+IF(197=DispoMonth,DevFee*(1-DevFeeThirdPartySplit)+SponsorDispoFeePct*ExitValue,0)</f>
        <v/>
      </c>
      <c r="GT11" s="218">
        <f>CashFlow!GT$6+IF(198=DispoMonth,DevFee*(1-DevFeeThirdPartySplit)+SponsorDispoFeePct*ExitValue,0)</f>
        <v/>
      </c>
      <c r="GU11" s="218">
        <f>CashFlow!GU$6+IF(199=DispoMonth,DevFee*(1-DevFeeThirdPartySplit)+SponsorDispoFeePct*ExitValue,0)</f>
        <v/>
      </c>
      <c r="GV11" s="218">
        <f>CashFlow!GV$6+IF(200=DispoMonth,DevFee*(1-DevFeeThirdPartySplit)+SponsorDispoFeePct*ExitValue,0)</f>
        <v/>
      </c>
      <c r="GW11" s="218">
        <f>CashFlow!GW$6+IF(201=DispoMonth,DevFee*(1-DevFeeThirdPartySplit)+SponsorDispoFeePct*ExitValue,0)</f>
        <v/>
      </c>
      <c r="GX11" s="218">
        <f>CashFlow!GX$6+IF(202=DispoMonth,DevFee*(1-DevFeeThirdPartySplit)+SponsorDispoFeePct*ExitValue,0)</f>
        <v/>
      </c>
      <c r="GY11" s="218">
        <f>CashFlow!GY$6+IF(203=DispoMonth,DevFee*(1-DevFeeThirdPartySplit)+SponsorDispoFeePct*ExitValue,0)</f>
        <v/>
      </c>
      <c r="GZ11" s="218">
        <f>CashFlow!GZ$6+IF(204=DispoMonth,DevFee*(1-DevFeeThirdPartySplit)+SponsorDispoFeePct*ExitValue,0)</f>
        <v/>
      </c>
      <c r="HA11" s="218">
        <f>CashFlow!HA$6+IF(205=DispoMonth,DevFee*(1-DevFeeThirdPartySplit)+SponsorDispoFeePct*ExitValue,0)</f>
        <v/>
      </c>
      <c r="HB11" s="218">
        <f>CashFlow!HB$6+IF(206=DispoMonth,DevFee*(1-DevFeeThirdPartySplit)+SponsorDispoFeePct*ExitValue,0)</f>
        <v/>
      </c>
      <c r="HC11" s="218">
        <f>CashFlow!HC$6+IF(207=DispoMonth,DevFee*(1-DevFeeThirdPartySplit)+SponsorDispoFeePct*ExitValue,0)</f>
        <v/>
      </c>
      <c r="HD11" s="218">
        <f>CashFlow!HD$6+IF(208=DispoMonth,DevFee*(1-DevFeeThirdPartySplit)+SponsorDispoFeePct*ExitValue,0)</f>
        <v/>
      </c>
      <c r="HE11" s="218">
        <f>CashFlow!HE$6+IF(209=DispoMonth,DevFee*(1-DevFeeThirdPartySplit)+SponsorDispoFeePct*ExitValue,0)</f>
        <v/>
      </c>
      <c r="HF11" s="218">
        <f>CashFlow!HF$6+IF(210=DispoMonth,DevFee*(1-DevFeeThirdPartySplit)+SponsorDispoFeePct*ExitValue,0)</f>
        <v/>
      </c>
      <c r="HG11" s="218">
        <f>CashFlow!HG$6+IF(211=DispoMonth,DevFee*(1-DevFeeThirdPartySplit)+SponsorDispoFeePct*ExitValue,0)</f>
        <v/>
      </c>
      <c r="HH11" s="218">
        <f>CashFlow!HH$6+IF(212=DispoMonth,DevFee*(1-DevFeeThirdPartySplit)+SponsorDispoFeePct*ExitValue,0)</f>
        <v/>
      </c>
      <c r="HI11" s="218">
        <f>CashFlow!HI$6+IF(213=DispoMonth,DevFee*(1-DevFeeThirdPartySplit)+SponsorDispoFeePct*ExitValue,0)</f>
        <v/>
      </c>
      <c r="HJ11" s="218">
        <f>CashFlow!HJ$6+IF(214=DispoMonth,DevFee*(1-DevFeeThirdPartySplit)+SponsorDispoFeePct*ExitValue,0)</f>
        <v/>
      </c>
      <c r="HK11" s="218">
        <f>CashFlow!HK$6+IF(215=DispoMonth,DevFee*(1-DevFeeThirdPartySplit)+SponsorDispoFeePct*ExitValue,0)</f>
        <v/>
      </c>
      <c r="HL11" s="218">
        <f>CashFlow!HL$6+IF(216=DispoMonth,DevFee*(1-DevFeeThirdPartySplit)+SponsorDispoFeePct*ExitValue,0)</f>
        <v/>
      </c>
      <c r="HM11" s="218">
        <f>CashFlow!HM$6+IF(217=DispoMonth,DevFee*(1-DevFeeThirdPartySplit)+SponsorDispoFeePct*ExitValue,0)</f>
        <v/>
      </c>
      <c r="HN11" s="218">
        <f>CashFlow!HN$6+IF(218=DispoMonth,DevFee*(1-DevFeeThirdPartySplit)+SponsorDispoFeePct*ExitValue,0)</f>
        <v/>
      </c>
      <c r="HO11" s="218">
        <f>CashFlow!HO$6+IF(219=DispoMonth,DevFee*(1-DevFeeThirdPartySplit)+SponsorDispoFeePct*ExitValue,0)</f>
        <v/>
      </c>
      <c r="HP11" s="218">
        <f>CashFlow!HP$6+IF(220=DispoMonth,DevFee*(1-DevFeeThirdPartySplit)+SponsorDispoFeePct*ExitValue,0)</f>
        <v/>
      </c>
      <c r="HQ11" s="218">
        <f>CashFlow!HQ$6+IF(221=DispoMonth,DevFee*(1-DevFeeThirdPartySplit)+SponsorDispoFeePct*ExitValue,0)</f>
        <v/>
      </c>
      <c r="HR11" s="218">
        <f>CashFlow!HR$6+IF(222=DispoMonth,DevFee*(1-DevFeeThirdPartySplit)+SponsorDispoFeePct*ExitValue,0)</f>
        <v/>
      </c>
      <c r="HS11" s="218">
        <f>CashFlow!HS$6+IF(223=DispoMonth,DevFee*(1-DevFeeThirdPartySplit)+SponsorDispoFeePct*ExitValue,0)</f>
        <v/>
      </c>
      <c r="HT11" s="218">
        <f>CashFlow!HT$6+IF(224=DispoMonth,DevFee*(1-DevFeeThirdPartySplit)+SponsorDispoFeePct*ExitValue,0)</f>
        <v/>
      </c>
      <c r="HU11" s="218">
        <f>CashFlow!HU$6+IF(225=DispoMonth,DevFee*(1-DevFeeThirdPartySplit)+SponsorDispoFeePct*ExitValue,0)</f>
        <v/>
      </c>
      <c r="HV11" s="218">
        <f>CashFlow!HV$6+IF(226=DispoMonth,DevFee*(1-DevFeeThirdPartySplit)+SponsorDispoFeePct*ExitValue,0)</f>
        <v/>
      </c>
      <c r="HW11" s="218">
        <f>CashFlow!HW$6+IF(227=DispoMonth,DevFee*(1-DevFeeThirdPartySplit)+SponsorDispoFeePct*ExitValue,0)</f>
        <v/>
      </c>
      <c r="HX11" s="218">
        <f>CashFlow!HX$6+IF(228=DispoMonth,DevFee*(1-DevFeeThirdPartySplit)+SponsorDispoFeePct*ExitValue,0)</f>
        <v/>
      </c>
      <c r="HY11" s="218">
        <f>CashFlow!HY$6+IF(229=DispoMonth,DevFee*(1-DevFeeThirdPartySplit)+SponsorDispoFeePct*ExitValue,0)</f>
        <v/>
      </c>
      <c r="HZ11" s="218">
        <f>CashFlow!HZ$6+IF(230=DispoMonth,DevFee*(1-DevFeeThirdPartySplit)+SponsorDispoFeePct*ExitValue,0)</f>
        <v/>
      </c>
      <c r="IA11" s="218">
        <f>CashFlow!IA$6+IF(231=DispoMonth,DevFee*(1-DevFeeThirdPartySplit)+SponsorDispoFeePct*ExitValue,0)</f>
        <v/>
      </c>
      <c r="IB11" s="218">
        <f>CashFlow!IB$6+IF(232=DispoMonth,DevFee*(1-DevFeeThirdPartySplit)+SponsorDispoFeePct*ExitValue,0)</f>
        <v/>
      </c>
      <c r="IC11" s="218">
        <f>CashFlow!IC$6+IF(233=DispoMonth,DevFee*(1-DevFeeThirdPartySplit)+SponsorDispoFeePct*ExitValue,0)</f>
        <v/>
      </c>
      <c r="ID11" s="218">
        <f>CashFlow!ID$6+IF(234=DispoMonth,DevFee*(1-DevFeeThirdPartySplit)+SponsorDispoFeePct*ExitValue,0)</f>
        <v/>
      </c>
      <c r="IE11" s="218">
        <f>CashFlow!IE$6+IF(235=DispoMonth,DevFee*(1-DevFeeThirdPartySplit)+SponsorDispoFeePct*ExitValue,0)</f>
        <v/>
      </c>
      <c r="IF11" s="218">
        <f>CashFlow!IF$6+IF(236=DispoMonth,DevFee*(1-DevFeeThirdPartySplit)+SponsorDispoFeePct*ExitValue,0)</f>
        <v/>
      </c>
      <c r="IG11" s="218">
        <f>CashFlow!IG$6+IF(237=DispoMonth,DevFee*(1-DevFeeThirdPartySplit)+SponsorDispoFeePct*ExitValue,0)</f>
        <v/>
      </c>
      <c r="IH11" s="218">
        <f>CashFlow!IH$6+IF(238=DispoMonth,DevFee*(1-DevFeeThirdPartySplit)+SponsorDispoFeePct*ExitValue,0)</f>
        <v/>
      </c>
      <c r="II11" s="218">
        <f>CashFlow!II$6+IF(239=DispoMonth,DevFee*(1-DevFeeThirdPartySplit)+SponsorDispoFeePct*ExitValue,0)</f>
        <v/>
      </c>
      <c r="IJ11" s="218">
        <f>CashFlow!IJ$6+IF(240=DispoMonth,DevFee*(1-DevFeeThirdPartySplit)+SponsorDispoFeePct*ExitValue,0)</f>
        <v/>
      </c>
      <c r="IK11" s="218">
        <f>CashFlow!IK$6+IF(241=DispoMonth,DevFee*(1-DevFeeThirdPartySplit)+SponsorDispoFeePct*ExitValue,0)</f>
        <v/>
      </c>
      <c r="IL11" s="218">
        <f>CashFlow!IL$6+IF(242=DispoMonth,DevFee*(1-DevFeeThirdPartySplit)+SponsorDispoFeePct*ExitValue,0)</f>
        <v/>
      </c>
      <c r="IM11" s="218">
        <f>CashFlow!IM$6+IF(243=DispoMonth,DevFee*(1-DevFeeThirdPartySplit)+SponsorDispoFeePct*ExitValue,0)</f>
        <v/>
      </c>
      <c r="IN11" s="218">
        <f>CashFlow!IN$6+IF(244=DispoMonth,DevFee*(1-DevFeeThirdPartySplit)+SponsorDispoFeePct*ExitValue,0)</f>
        <v/>
      </c>
      <c r="IO11" s="218">
        <f>CashFlow!IO$6+IF(245=DispoMonth,DevFee*(1-DevFeeThirdPartySplit)+SponsorDispoFeePct*ExitValue,0)</f>
        <v/>
      </c>
      <c r="IP11" s="218">
        <f>CashFlow!IP$6+IF(246=DispoMonth,DevFee*(1-DevFeeThirdPartySplit)+SponsorDispoFeePct*ExitValue,0)</f>
        <v/>
      </c>
      <c r="IQ11" s="218">
        <f>CashFlow!IQ$6+IF(247=DispoMonth,DevFee*(1-DevFeeThirdPartySplit)+SponsorDispoFeePct*ExitValue,0)</f>
        <v/>
      </c>
      <c r="IR11" s="218">
        <f>CashFlow!IR$6+IF(248=DispoMonth,DevFee*(1-DevFeeThirdPartySplit)+SponsorDispoFeePct*ExitValue,0)</f>
        <v/>
      </c>
      <c r="IS11" s="218">
        <f>CashFlow!IS$6+IF(249=DispoMonth,DevFee*(1-DevFeeThirdPartySplit)+SponsorDispoFeePct*ExitValue,0)</f>
        <v/>
      </c>
      <c r="IT11" s="218">
        <f>CashFlow!IT$6+IF(250=DispoMonth,DevFee*(1-DevFeeThirdPartySplit)+SponsorDispoFeePct*ExitValue,0)</f>
        <v/>
      </c>
      <c r="IU11" s="218">
        <f>CashFlow!IU$6+IF(251=DispoMonth,DevFee*(1-DevFeeThirdPartySplit)+SponsorDispoFeePct*ExitValue,0)</f>
        <v/>
      </c>
      <c r="IV11" s="218">
        <f>CashFlow!IV$6+IF(252=DispoMonth,DevFee*(1-DevFeeThirdPartySplit)+SponsorDispoFeePct*ExitValue,0)</f>
        <v/>
      </c>
      <c r="IW11" s="218">
        <f>CashFlow!IW$6+IF(253=DispoMonth,DevFee*(1-DevFeeThirdPartySplit)+SponsorDispoFeePct*ExitValue,0)</f>
        <v/>
      </c>
      <c r="IX11" s="218">
        <f>CashFlow!IX$6+IF(254=DispoMonth,DevFee*(1-DevFeeThirdPartySplit)+SponsorDispoFeePct*ExitValue,0)</f>
        <v/>
      </c>
      <c r="IY11" s="218">
        <f>CashFlow!IY$6+IF(255=DispoMonth,DevFee*(1-DevFeeThirdPartySplit)+SponsorDispoFeePct*ExitValue,0)</f>
        <v/>
      </c>
      <c r="IZ11" s="218">
        <f>CashFlow!IZ$6+IF(256=DispoMonth,DevFee*(1-DevFeeThirdPartySplit)+SponsorDispoFeePct*ExitValue,0)</f>
        <v/>
      </c>
      <c r="JA11" s="218">
        <f>CashFlow!JA$6+IF(257=DispoMonth,DevFee*(1-DevFeeThirdPartySplit)+SponsorDispoFeePct*ExitValue,0)</f>
        <v/>
      </c>
      <c r="JB11" s="218">
        <f>CashFlow!JB$6+IF(258=DispoMonth,DevFee*(1-DevFeeThirdPartySplit)+SponsorDispoFeePct*ExitValue,0)</f>
        <v/>
      </c>
      <c r="JC11" s="218">
        <f>CashFlow!JC$6+IF(259=DispoMonth,DevFee*(1-DevFeeThirdPartySplit)+SponsorDispoFeePct*ExitValue,0)</f>
        <v/>
      </c>
      <c r="JD11" s="218">
        <f>CashFlow!JD$6+IF(260=DispoMonth,DevFee*(1-DevFeeThirdPartySplit)+SponsorDispoFeePct*ExitValue,0)</f>
        <v/>
      </c>
      <c r="JE11" s="218">
        <f>CashFlow!JE$6+IF(261=DispoMonth,DevFee*(1-DevFeeThirdPartySplit)+SponsorDispoFeePct*ExitValue,0)</f>
        <v/>
      </c>
      <c r="JF11" s="218">
        <f>CashFlow!JF$6+IF(262=DispoMonth,DevFee*(1-DevFeeThirdPartySplit)+SponsorDispoFeePct*ExitValue,0)</f>
        <v/>
      </c>
      <c r="JG11" s="218">
        <f>CashFlow!JG$6+IF(263=DispoMonth,DevFee*(1-DevFeeThirdPartySplit)+SponsorDispoFeePct*ExitValue,0)</f>
        <v/>
      </c>
      <c r="JH11" s="218">
        <f>CashFlow!JH$6+IF(264=DispoMonth,DevFee*(1-DevFeeThirdPartySplit)+SponsorDispoFeePct*ExitValue,0)</f>
        <v/>
      </c>
      <c r="JI11" s="218">
        <f>CashFlow!JI$6+IF(265=DispoMonth,DevFee*(1-DevFeeThirdPartySplit)+SponsorDispoFeePct*ExitValue,0)</f>
        <v/>
      </c>
      <c r="JJ11" s="218">
        <f>CashFlow!JJ$6+IF(266=DispoMonth,DevFee*(1-DevFeeThirdPartySplit)+SponsorDispoFeePct*ExitValue,0)</f>
        <v/>
      </c>
      <c r="JK11" s="218">
        <f>CashFlow!JK$6+IF(267=DispoMonth,DevFee*(1-DevFeeThirdPartySplit)+SponsorDispoFeePct*ExitValue,0)</f>
        <v/>
      </c>
      <c r="JL11" s="218">
        <f>CashFlow!JL$6+IF(268=DispoMonth,DevFee*(1-DevFeeThirdPartySplit)+SponsorDispoFeePct*ExitValue,0)</f>
        <v/>
      </c>
      <c r="JM11" s="218">
        <f>CashFlow!JM$6+IF(269=DispoMonth,DevFee*(1-DevFeeThirdPartySplit)+SponsorDispoFeePct*ExitValue,0)</f>
        <v/>
      </c>
      <c r="JN11" s="218">
        <f>CashFlow!JN$6+IF(270=DispoMonth,DevFee*(1-DevFeeThirdPartySplit)+SponsorDispoFeePct*ExitValue,0)</f>
        <v/>
      </c>
      <c r="JO11" s="218">
        <f>CashFlow!JO$6+IF(271=DispoMonth,DevFee*(1-DevFeeThirdPartySplit)+SponsorDispoFeePct*ExitValue,0)</f>
        <v/>
      </c>
      <c r="JP11" s="218">
        <f>CashFlow!JP$6+IF(272=DispoMonth,DevFee*(1-DevFeeThirdPartySplit)+SponsorDispoFeePct*ExitValue,0)</f>
        <v/>
      </c>
      <c r="JQ11" s="218">
        <f>CashFlow!JQ$6+IF(273=DispoMonth,DevFee*(1-DevFeeThirdPartySplit)+SponsorDispoFeePct*ExitValue,0)</f>
        <v/>
      </c>
      <c r="JR11" s="218">
        <f>CashFlow!JR$6+IF(274=DispoMonth,DevFee*(1-DevFeeThirdPartySplit)+SponsorDispoFeePct*ExitValue,0)</f>
        <v/>
      </c>
      <c r="JS11" s="218">
        <f>CashFlow!JS$6+IF(275=DispoMonth,DevFee*(1-DevFeeThirdPartySplit)+SponsorDispoFeePct*ExitValue,0)</f>
        <v/>
      </c>
      <c r="JT11" s="218">
        <f>CashFlow!JT$6+IF(276=DispoMonth,DevFee*(1-DevFeeThirdPartySplit)+SponsorDispoFeePct*ExitValue,0)</f>
        <v/>
      </c>
      <c r="JU11" s="218">
        <f>CashFlow!JU$6+IF(277=DispoMonth,DevFee*(1-DevFeeThirdPartySplit)+SponsorDispoFeePct*ExitValue,0)</f>
        <v/>
      </c>
      <c r="JV11" s="218">
        <f>CashFlow!JV$6+IF(278=DispoMonth,DevFee*(1-DevFeeThirdPartySplit)+SponsorDispoFeePct*ExitValue,0)</f>
        <v/>
      </c>
      <c r="JW11" s="218">
        <f>CashFlow!JW$6+IF(279=DispoMonth,DevFee*(1-DevFeeThirdPartySplit)+SponsorDispoFeePct*ExitValue,0)</f>
        <v/>
      </c>
      <c r="JX11" s="218">
        <f>CashFlow!JX$6+IF(280=DispoMonth,DevFee*(1-DevFeeThirdPartySplit)+SponsorDispoFeePct*ExitValue,0)</f>
        <v/>
      </c>
      <c r="JY11" s="218">
        <f>CashFlow!JY$6+IF(281=DispoMonth,DevFee*(1-DevFeeThirdPartySplit)+SponsorDispoFeePct*ExitValue,0)</f>
        <v/>
      </c>
      <c r="JZ11" s="218">
        <f>CashFlow!JZ$6+IF(282=DispoMonth,DevFee*(1-DevFeeThirdPartySplit)+SponsorDispoFeePct*ExitValue,0)</f>
        <v/>
      </c>
      <c r="KA11" s="218">
        <f>CashFlow!KA$6+IF(283=DispoMonth,DevFee*(1-DevFeeThirdPartySplit)+SponsorDispoFeePct*ExitValue,0)</f>
        <v/>
      </c>
      <c r="KB11" s="218">
        <f>CashFlow!KB$6+IF(284=DispoMonth,DevFee*(1-DevFeeThirdPartySplit)+SponsorDispoFeePct*ExitValue,0)</f>
        <v/>
      </c>
      <c r="KC11" s="218">
        <f>CashFlow!KC$6+IF(285=DispoMonth,DevFee*(1-DevFeeThirdPartySplit)+SponsorDispoFeePct*ExitValue,0)</f>
        <v/>
      </c>
      <c r="KD11" s="218">
        <f>CashFlow!KD$6+IF(286=DispoMonth,DevFee*(1-DevFeeThirdPartySplit)+SponsorDispoFeePct*ExitValue,0)</f>
        <v/>
      </c>
      <c r="KE11" s="218">
        <f>CashFlow!KE$6+IF(287=DispoMonth,DevFee*(1-DevFeeThirdPartySplit)+SponsorDispoFeePct*ExitValue,0)</f>
        <v/>
      </c>
      <c r="KF11" s="218">
        <f>CashFlow!KF$6+IF(288=DispoMonth,DevFee*(1-DevFeeThirdPartySplit)+SponsorDispoFeePct*ExitValue,0)</f>
        <v/>
      </c>
      <c r="KG11" s="218">
        <f>CashFlow!KG$6+IF(289=DispoMonth,DevFee*(1-DevFeeThirdPartySplit)+SponsorDispoFeePct*ExitValue,0)</f>
        <v/>
      </c>
      <c r="KH11" s="218">
        <f>CashFlow!KH$6+IF(290=DispoMonth,DevFee*(1-DevFeeThirdPartySplit)+SponsorDispoFeePct*ExitValue,0)</f>
        <v/>
      </c>
      <c r="KI11" s="218">
        <f>CashFlow!KI$6+IF(291=DispoMonth,DevFee*(1-DevFeeThirdPartySplit)+SponsorDispoFeePct*ExitValue,0)</f>
        <v/>
      </c>
      <c r="KJ11" s="218">
        <f>CashFlow!KJ$6+IF(292=DispoMonth,DevFee*(1-DevFeeThirdPartySplit)+SponsorDispoFeePct*ExitValue,0)</f>
        <v/>
      </c>
      <c r="KK11" s="218">
        <f>CashFlow!KK$6+IF(293=DispoMonth,DevFee*(1-DevFeeThirdPartySplit)+SponsorDispoFeePct*ExitValue,0)</f>
        <v/>
      </c>
      <c r="KL11" s="218">
        <f>CashFlow!KL$6+IF(294=DispoMonth,DevFee*(1-DevFeeThirdPartySplit)+SponsorDispoFeePct*ExitValue,0)</f>
        <v/>
      </c>
      <c r="KM11" s="218">
        <f>CashFlow!KM$6+IF(295=DispoMonth,DevFee*(1-DevFeeThirdPartySplit)+SponsorDispoFeePct*ExitValue,0)</f>
        <v/>
      </c>
      <c r="KN11" s="218">
        <f>CashFlow!KN$6+IF(296=DispoMonth,DevFee*(1-DevFeeThirdPartySplit)+SponsorDispoFeePct*ExitValue,0)</f>
        <v/>
      </c>
      <c r="KO11" s="218">
        <f>CashFlow!KO$6+IF(297=DispoMonth,DevFee*(1-DevFeeThirdPartySplit)+SponsorDispoFeePct*ExitValue,0)</f>
        <v/>
      </c>
      <c r="KP11" s="218">
        <f>CashFlow!KP$6+IF(298=DispoMonth,DevFee*(1-DevFeeThirdPartySplit)+SponsorDispoFeePct*ExitValue,0)</f>
        <v/>
      </c>
      <c r="KQ11" s="218">
        <f>CashFlow!KQ$6+IF(299=DispoMonth,DevFee*(1-DevFeeThirdPartySplit)+SponsorDispoFeePct*ExitValue,0)</f>
        <v/>
      </c>
      <c r="KR11" s="218">
        <f>CashFlow!KR$6+IF(300=DispoMonth,DevFee*(1-DevFeeThirdPartySplit)+SponsorDispoFeePct*ExitValue,0)</f>
        <v/>
      </c>
      <c r="KS11" s="218">
        <f>CashFlow!KS$6+IF(301=DispoMonth,DevFee*(1-DevFeeThirdPartySplit)+SponsorDispoFeePct*ExitValue,0)</f>
        <v/>
      </c>
      <c r="KT11" s="218">
        <f>CashFlow!KT$6+IF(302=DispoMonth,DevFee*(1-DevFeeThirdPartySplit)+SponsorDispoFeePct*ExitValue,0)</f>
        <v/>
      </c>
      <c r="KU11" s="218">
        <f>CashFlow!KU$6+IF(303=DispoMonth,DevFee*(1-DevFeeThirdPartySplit)+SponsorDispoFeePct*ExitValue,0)</f>
        <v/>
      </c>
      <c r="KV11" s="218">
        <f>CashFlow!KV$6+IF(304=DispoMonth,DevFee*(1-DevFeeThirdPartySplit)+SponsorDispoFeePct*ExitValue,0)</f>
        <v/>
      </c>
      <c r="KW11" s="218">
        <f>CashFlow!KW$6+IF(305=DispoMonth,DevFee*(1-DevFeeThirdPartySplit)+SponsorDispoFeePct*ExitValue,0)</f>
        <v/>
      </c>
      <c r="KX11" s="218">
        <f>CashFlow!KX$6+IF(306=DispoMonth,DevFee*(1-DevFeeThirdPartySplit)+SponsorDispoFeePct*ExitValue,0)</f>
        <v/>
      </c>
      <c r="KY11" s="218">
        <f>CashFlow!KY$6+IF(307=DispoMonth,DevFee*(1-DevFeeThirdPartySplit)+SponsorDispoFeePct*ExitValue,0)</f>
        <v/>
      </c>
      <c r="KZ11" s="218">
        <f>CashFlow!KZ$6+IF(308=DispoMonth,DevFee*(1-DevFeeThirdPartySplit)+SponsorDispoFeePct*ExitValue,0)</f>
        <v/>
      </c>
      <c r="LA11" s="218">
        <f>CashFlow!LA$6+IF(309=DispoMonth,DevFee*(1-DevFeeThirdPartySplit)+SponsorDispoFeePct*ExitValue,0)</f>
        <v/>
      </c>
      <c r="LB11" s="218">
        <f>CashFlow!LB$6+IF(310=DispoMonth,DevFee*(1-DevFeeThirdPartySplit)+SponsorDispoFeePct*ExitValue,0)</f>
        <v/>
      </c>
      <c r="LC11" s="218">
        <f>CashFlow!LC$6+IF(311=DispoMonth,DevFee*(1-DevFeeThirdPartySplit)+SponsorDispoFeePct*ExitValue,0)</f>
        <v/>
      </c>
      <c r="LD11" s="218">
        <f>CashFlow!LD$6+IF(312=DispoMonth,DevFee*(1-DevFeeThirdPartySplit)+SponsorDispoFeePct*ExitValue,0)</f>
        <v/>
      </c>
      <c r="LE11" s="218">
        <f>CashFlow!LE$6+IF(313=DispoMonth,DevFee*(1-DevFeeThirdPartySplit)+SponsorDispoFeePct*ExitValue,0)</f>
        <v/>
      </c>
      <c r="LF11" s="218">
        <f>CashFlow!LF$6+IF(314=DispoMonth,DevFee*(1-DevFeeThirdPartySplit)+SponsorDispoFeePct*ExitValue,0)</f>
        <v/>
      </c>
      <c r="LG11" s="218">
        <f>CashFlow!LG$6+IF(315=DispoMonth,DevFee*(1-DevFeeThirdPartySplit)+SponsorDispoFeePct*ExitValue,0)</f>
        <v/>
      </c>
      <c r="LH11" s="218">
        <f>CashFlow!LH$6+IF(316=DispoMonth,DevFee*(1-DevFeeThirdPartySplit)+SponsorDispoFeePct*ExitValue,0)</f>
        <v/>
      </c>
      <c r="LI11" s="218">
        <f>CashFlow!LI$6+IF(317=DispoMonth,DevFee*(1-DevFeeThirdPartySplit)+SponsorDispoFeePct*ExitValue,0)</f>
        <v/>
      </c>
      <c r="LJ11" s="218">
        <f>CashFlow!LJ$6+IF(318=DispoMonth,DevFee*(1-DevFeeThirdPartySplit)+SponsorDispoFeePct*ExitValue,0)</f>
        <v/>
      </c>
      <c r="LK11" s="218">
        <f>CashFlow!LK$6+IF(319=DispoMonth,DevFee*(1-DevFeeThirdPartySplit)+SponsorDispoFeePct*ExitValue,0)</f>
        <v/>
      </c>
      <c r="LL11" s="218">
        <f>CashFlow!LL$6+IF(320=DispoMonth,DevFee*(1-DevFeeThirdPartySplit)+SponsorDispoFeePct*ExitValue,0)</f>
        <v/>
      </c>
      <c r="LM11" s="218">
        <f>CashFlow!LM$6+IF(321=DispoMonth,DevFee*(1-DevFeeThirdPartySplit)+SponsorDispoFeePct*ExitValue,0)</f>
        <v/>
      </c>
      <c r="LN11" s="218">
        <f>CashFlow!LN$6+IF(322=DispoMonth,DevFee*(1-DevFeeThirdPartySplit)+SponsorDispoFeePct*ExitValue,0)</f>
        <v/>
      </c>
      <c r="LO11" s="218">
        <f>CashFlow!LO$6+IF(323=DispoMonth,DevFee*(1-DevFeeThirdPartySplit)+SponsorDispoFeePct*ExitValue,0)</f>
        <v/>
      </c>
      <c r="LP11" s="218">
        <f>CashFlow!LP$6+IF(324=DispoMonth,DevFee*(1-DevFeeThirdPartySplit)+SponsorDispoFeePct*ExitValue,0)</f>
        <v/>
      </c>
      <c r="LQ11" s="218">
        <f>CashFlow!LQ$6+IF(325=DispoMonth,DevFee*(1-DevFeeThirdPartySplit)+SponsorDispoFeePct*ExitValue,0)</f>
        <v/>
      </c>
      <c r="LR11" s="218">
        <f>CashFlow!LR$6+IF(326=DispoMonth,DevFee*(1-DevFeeThirdPartySplit)+SponsorDispoFeePct*ExitValue,0)</f>
        <v/>
      </c>
      <c r="LS11" s="218">
        <f>CashFlow!LS$6+IF(327=DispoMonth,DevFee*(1-DevFeeThirdPartySplit)+SponsorDispoFeePct*ExitValue,0)</f>
        <v/>
      </c>
      <c r="LT11" s="218">
        <f>CashFlow!LT$6+IF(328=DispoMonth,DevFee*(1-DevFeeThirdPartySplit)+SponsorDispoFeePct*ExitValue,0)</f>
        <v/>
      </c>
      <c r="LU11" s="218">
        <f>CashFlow!LU$6+IF(329=DispoMonth,DevFee*(1-DevFeeThirdPartySplit)+SponsorDispoFeePct*ExitValue,0)</f>
        <v/>
      </c>
      <c r="LV11" s="218">
        <f>CashFlow!LV$6+IF(330=DispoMonth,DevFee*(1-DevFeeThirdPartySplit)+SponsorDispoFeePct*ExitValue,0)</f>
        <v/>
      </c>
      <c r="LW11" s="218">
        <f>CashFlow!LW$6+IF(331=DispoMonth,DevFee*(1-DevFeeThirdPartySplit)+SponsorDispoFeePct*ExitValue,0)</f>
        <v/>
      </c>
      <c r="LX11" s="218">
        <f>CashFlow!LX$6+IF(332=DispoMonth,DevFee*(1-DevFeeThirdPartySplit)+SponsorDispoFeePct*ExitValue,0)</f>
        <v/>
      </c>
      <c r="LY11" s="218">
        <f>CashFlow!LY$6+IF(333=DispoMonth,DevFee*(1-DevFeeThirdPartySplit)+SponsorDispoFeePct*ExitValue,0)</f>
        <v/>
      </c>
      <c r="LZ11" s="218">
        <f>CashFlow!LZ$6+IF(334=DispoMonth,DevFee*(1-DevFeeThirdPartySplit)+SponsorDispoFeePct*ExitValue,0)</f>
        <v/>
      </c>
      <c r="MA11" s="218">
        <f>CashFlow!MA$6+IF(335=DispoMonth,DevFee*(1-DevFeeThirdPartySplit)+SponsorDispoFeePct*ExitValue,0)</f>
        <v/>
      </c>
      <c r="MB11" s="218">
        <f>CashFlow!MB$6+IF(336=DispoMonth,DevFee*(1-DevFeeThirdPartySplit)+SponsorDispoFeePct*ExitValue,0)</f>
        <v/>
      </c>
      <c r="MC11" s="218">
        <f>CashFlow!MC$6+IF(337=DispoMonth,DevFee*(1-DevFeeThirdPartySplit)+SponsorDispoFeePct*ExitValue,0)</f>
        <v/>
      </c>
      <c r="MD11" s="218">
        <f>CashFlow!MD$6+IF(338=DispoMonth,DevFee*(1-DevFeeThirdPartySplit)+SponsorDispoFeePct*ExitValue,0)</f>
        <v/>
      </c>
      <c r="ME11" s="218">
        <f>CashFlow!ME$6+IF(339=DispoMonth,DevFee*(1-DevFeeThirdPartySplit)+SponsorDispoFeePct*ExitValue,0)</f>
        <v/>
      </c>
      <c r="MF11" s="218">
        <f>CashFlow!MF$6+IF(340=DispoMonth,DevFee*(1-DevFeeThirdPartySplit)+SponsorDispoFeePct*ExitValue,0)</f>
        <v/>
      </c>
      <c r="MG11" s="218">
        <f>CashFlow!MG$6+IF(341=DispoMonth,DevFee*(1-DevFeeThirdPartySplit)+SponsorDispoFeePct*ExitValue,0)</f>
        <v/>
      </c>
      <c r="MH11" s="218">
        <f>CashFlow!MH$6+IF(342=DispoMonth,DevFee*(1-DevFeeThirdPartySplit)+SponsorDispoFeePct*ExitValue,0)</f>
        <v/>
      </c>
      <c r="MI11" s="218">
        <f>CashFlow!MI$6+IF(343=DispoMonth,DevFee*(1-DevFeeThirdPartySplit)+SponsorDispoFeePct*ExitValue,0)</f>
        <v/>
      </c>
      <c r="MJ11" s="218">
        <f>CashFlow!MJ$6+IF(344=DispoMonth,DevFee*(1-DevFeeThirdPartySplit)+SponsorDispoFeePct*ExitValue,0)</f>
        <v/>
      </c>
      <c r="MK11" s="218">
        <f>CashFlow!MK$6+IF(345=DispoMonth,DevFee*(1-DevFeeThirdPartySplit)+SponsorDispoFeePct*ExitValue,0)</f>
        <v/>
      </c>
      <c r="ML11" s="218">
        <f>CashFlow!ML$6+IF(346=DispoMonth,DevFee*(1-DevFeeThirdPartySplit)+SponsorDispoFeePct*ExitValue,0)</f>
        <v/>
      </c>
      <c r="MM11" s="218">
        <f>CashFlow!MM$6+IF(347=DispoMonth,DevFee*(1-DevFeeThirdPartySplit)+SponsorDispoFeePct*ExitValue,0)</f>
        <v/>
      </c>
      <c r="MN11" s="218">
        <f>CashFlow!MN$6+IF(348=DispoMonth,DevFee*(1-DevFeeThirdPartySplit)+SponsorDispoFeePct*ExitValue,0)</f>
        <v/>
      </c>
      <c r="MO11" s="218">
        <f>CashFlow!MO$6+IF(349=DispoMonth,DevFee*(1-DevFeeThirdPartySplit)+SponsorDispoFeePct*ExitValue,0)</f>
        <v/>
      </c>
      <c r="MP11" s="218">
        <f>CashFlow!MP$6+IF(350=DispoMonth,DevFee*(1-DevFeeThirdPartySplit)+SponsorDispoFeePct*ExitValue,0)</f>
        <v/>
      </c>
      <c r="MQ11" s="218">
        <f>CashFlow!MQ$6+IF(351=DispoMonth,DevFee*(1-DevFeeThirdPartySplit)+SponsorDispoFeePct*ExitValue,0)</f>
        <v/>
      </c>
      <c r="MR11" s="218">
        <f>CashFlow!MR$6+IF(352=DispoMonth,DevFee*(1-DevFeeThirdPartySplit)+SponsorDispoFeePct*ExitValue,0)</f>
        <v/>
      </c>
      <c r="MS11" s="218">
        <f>CashFlow!MS$6+IF(353=DispoMonth,DevFee*(1-DevFeeThirdPartySplit)+SponsorDispoFeePct*ExitValue,0)</f>
        <v/>
      </c>
      <c r="MT11" s="218">
        <f>CashFlow!MT$6+IF(354=DispoMonth,DevFee*(1-DevFeeThirdPartySplit)+SponsorDispoFeePct*ExitValue,0)</f>
        <v/>
      </c>
      <c r="MU11" s="218">
        <f>CashFlow!MU$6+IF(355=DispoMonth,DevFee*(1-DevFeeThirdPartySplit)+SponsorDispoFeePct*ExitValue,0)</f>
        <v/>
      </c>
      <c r="MV11" s="218">
        <f>CashFlow!MV$6+IF(356=DispoMonth,DevFee*(1-DevFeeThirdPartySplit)+SponsorDispoFeePct*ExitValue,0)</f>
        <v/>
      </c>
      <c r="MW11" s="218">
        <f>CashFlow!MW$6+IF(357=DispoMonth,DevFee*(1-DevFeeThirdPartySplit)+SponsorDispoFeePct*ExitValue,0)</f>
        <v/>
      </c>
      <c r="MX11" s="218">
        <f>CashFlow!MX$6+IF(358=DispoMonth,DevFee*(1-DevFeeThirdPartySplit)+SponsorDispoFeePct*ExitValue,0)</f>
        <v/>
      </c>
      <c r="MY11" s="218">
        <f>CashFlow!MY$6+IF(359=DispoMonth,DevFee*(1-DevFeeThirdPartySplit)+SponsorDispoFeePct*ExitValue,0)</f>
        <v/>
      </c>
      <c r="MZ11" s="218">
        <f>CashFlow!MZ$6+IF(360=DispoMonth,DevFee*(1-DevFeeThirdPartySplit)+SponsorDispoFeePct*ExitValue,0)</f>
        <v/>
      </c>
      <c r="NA11" s="218">
        <f>CashFlow!NA$6+IF(361=DispoMonth,DevFee*(1-DevFeeThirdPartySplit)+SponsorDispoFeePct*ExitValue,0)</f>
        <v/>
      </c>
      <c r="NB11" s="218">
        <f>CashFlow!NB$6+IF(362=DispoMonth,DevFee*(1-DevFeeThirdPartySplit)+SponsorDispoFeePct*ExitValue,0)</f>
        <v/>
      </c>
      <c r="NC11" s="218">
        <f>CashFlow!NC$6+IF(363=DispoMonth,DevFee*(1-DevFeeThirdPartySplit)+SponsorDispoFeePct*ExitValue,0)</f>
        <v/>
      </c>
      <c r="ND11" s="218">
        <f>CashFlow!ND$6+IF(364=DispoMonth,DevFee*(1-DevFeeThirdPartySplit)+SponsorDispoFeePct*ExitValue,0)</f>
        <v/>
      </c>
      <c r="NE11" s="218">
        <f>CashFlow!NE$6+IF(365=DispoMonth,DevFee*(1-DevFeeThirdPartySplit)+SponsorDispoFeePct*ExitValue,0)</f>
        <v/>
      </c>
      <c r="NF11" s="218">
        <f>CashFlow!NF$6+IF(366=DispoMonth,DevFee*(1-DevFeeThirdPartySplit)+SponsorDispoFeePct*ExitValue,0)</f>
        <v/>
      </c>
      <c r="NG11" s="218">
        <f>CashFlow!NG$6+IF(367=DispoMonth,DevFee*(1-DevFeeThirdPartySplit)+SponsorDispoFeePct*ExitValue,0)</f>
        <v/>
      </c>
      <c r="NH11" s="218">
        <f>CashFlow!NH$6+IF(368=DispoMonth,DevFee*(1-DevFeeThirdPartySplit)+SponsorDispoFeePct*ExitValue,0)</f>
        <v/>
      </c>
      <c r="NI11" s="218">
        <f>CashFlow!NI$6+IF(369=DispoMonth,DevFee*(1-DevFeeThirdPartySplit)+SponsorDispoFeePct*ExitValue,0)</f>
        <v/>
      </c>
      <c r="NJ11" s="218">
        <f>CashFlow!NJ$6+IF(370=DispoMonth,DevFee*(1-DevFeeThirdPartySplit)+SponsorDispoFeePct*ExitValue,0)</f>
        <v/>
      </c>
      <c r="NK11" s="218">
        <f>CashFlow!NK$6+IF(371=DispoMonth,DevFee*(1-DevFeeThirdPartySplit)+SponsorDispoFeePct*ExitValue,0)</f>
        <v/>
      </c>
      <c r="NL11" s="218">
        <f>CashFlow!NL$6+IF(372=DispoMonth,DevFee*(1-DevFeeThirdPartySplit)+SponsorDispoFeePct*ExitValue,0)</f>
        <v/>
      </c>
    </row>
    <row r="12">
      <c r="B12" s="36" t="inlineStr">
        <is>
          <t>Unlevered CF (gross of fees)</t>
        </is>
      </c>
      <c r="D12" s="258">
        <f>SUM(E12:NL12)</f>
        <v/>
      </c>
      <c r="E12" s="218">
        <f>CashFlow!E$7+IF(1=DispoMonth,DevFee*(1-DevFeeThirdPartySplit)+SponsorDispoFeePct*ExitValue,0)</f>
        <v/>
      </c>
      <c r="F12" s="218">
        <f>CashFlow!F$7+IF(2=DispoMonth,DevFee*(1-DevFeeThirdPartySplit)+SponsorDispoFeePct*ExitValue,0)</f>
        <v/>
      </c>
      <c r="G12" s="218">
        <f>CashFlow!G$7+IF(3=DispoMonth,DevFee*(1-DevFeeThirdPartySplit)+SponsorDispoFeePct*ExitValue,0)</f>
        <v/>
      </c>
      <c r="H12" s="218">
        <f>CashFlow!H$7+IF(4=DispoMonth,DevFee*(1-DevFeeThirdPartySplit)+SponsorDispoFeePct*ExitValue,0)</f>
        <v/>
      </c>
      <c r="I12" s="218">
        <f>CashFlow!I$7+IF(5=DispoMonth,DevFee*(1-DevFeeThirdPartySplit)+SponsorDispoFeePct*ExitValue,0)</f>
        <v/>
      </c>
      <c r="J12" s="218">
        <f>CashFlow!J$7+IF(6=DispoMonth,DevFee*(1-DevFeeThirdPartySplit)+SponsorDispoFeePct*ExitValue,0)</f>
        <v/>
      </c>
      <c r="K12" s="218">
        <f>CashFlow!K$7+IF(7=DispoMonth,DevFee*(1-DevFeeThirdPartySplit)+SponsorDispoFeePct*ExitValue,0)</f>
        <v/>
      </c>
      <c r="L12" s="218">
        <f>CashFlow!L$7+IF(8=DispoMonth,DevFee*(1-DevFeeThirdPartySplit)+SponsorDispoFeePct*ExitValue,0)</f>
        <v/>
      </c>
      <c r="M12" s="218">
        <f>CashFlow!M$7+IF(9=DispoMonth,DevFee*(1-DevFeeThirdPartySplit)+SponsorDispoFeePct*ExitValue,0)</f>
        <v/>
      </c>
      <c r="N12" s="218">
        <f>CashFlow!N$7+IF(10=DispoMonth,DevFee*(1-DevFeeThirdPartySplit)+SponsorDispoFeePct*ExitValue,0)</f>
        <v/>
      </c>
      <c r="O12" s="218">
        <f>CashFlow!O$7+IF(11=DispoMonth,DevFee*(1-DevFeeThirdPartySplit)+SponsorDispoFeePct*ExitValue,0)</f>
        <v/>
      </c>
      <c r="P12" s="218">
        <f>CashFlow!P$7+IF(12=DispoMonth,DevFee*(1-DevFeeThirdPartySplit)+SponsorDispoFeePct*ExitValue,0)</f>
        <v/>
      </c>
      <c r="Q12" s="218">
        <f>CashFlow!Q$7+IF(13=DispoMonth,DevFee*(1-DevFeeThirdPartySplit)+SponsorDispoFeePct*ExitValue,0)</f>
        <v/>
      </c>
      <c r="R12" s="218">
        <f>CashFlow!R$7+IF(14=DispoMonth,DevFee*(1-DevFeeThirdPartySplit)+SponsorDispoFeePct*ExitValue,0)</f>
        <v/>
      </c>
      <c r="S12" s="218">
        <f>CashFlow!S$7+IF(15=DispoMonth,DevFee*(1-DevFeeThirdPartySplit)+SponsorDispoFeePct*ExitValue,0)</f>
        <v/>
      </c>
      <c r="T12" s="218">
        <f>CashFlow!T$7+IF(16=DispoMonth,DevFee*(1-DevFeeThirdPartySplit)+SponsorDispoFeePct*ExitValue,0)</f>
        <v/>
      </c>
      <c r="U12" s="218">
        <f>CashFlow!U$7+IF(17=DispoMonth,DevFee*(1-DevFeeThirdPartySplit)+SponsorDispoFeePct*ExitValue,0)</f>
        <v/>
      </c>
      <c r="V12" s="218">
        <f>CashFlow!V$7+IF(18=DispoMonth,DevFee*(1-DevFeeThirdPartySplit)+SponsorDispoFeePct*ExitValue,0)</f>
        <v/>
      </c>
      <c r="W12" s="218">
        <f>CashFlow!W$7+IF(19=DispoMonth,DevFee*(1-DevFeeThirdPartySplit)+SponsorDispoFeePct*ExitValue,0)</f>
        <v/>
      </c>
      <c r="X12" s="218">
        <f>CashFlow!X$7+IF(20=DispoMonth,DevFee*(1-DevFeeThirdPartySplit)+SponsorDispoFeePct*ExitValue,0)</f>
        <v/>
      </c>
      <c r="Y12" s="218">
        <f>CashFlow!Y$7+IF(21=DispoMonth,DevFee*(1-DevFeeThirdPartySplit)+SponsorDispoFeePct*ExitValue,0)</f>
        <v/>
      </c>
      <c r="Z12" s="218">
        <f>CashFlow!Z$7+IF(22=DispoMonth,DevFee*(1-DevFeeThirdPartySplit)+SponsorDispoFeePct*ExitValue,0)</f>
        <v/>
      </c>
      <c r="AA12" s="218">
        <f>CashFlow!AA$7+IF(23=DispoMonth,DevFee*(1-DevFeeThirdPartySplit)+SponsorDispoFeePct*ExitValue,0)</f>
        <v/>
      </c>
      <c r="AB12" s="218">
        <f>CashFlow!AB$7+IF(24=DispoMonth,DevFee*(1-DevFeeThirdPartySplit)+SponsorDispoFeePct*ExitValue,0)</f>
        <v/>
      </c>
      <c r="AC12" s="218">
        <f>CashFlow!AC$7+IF(25=DispoMonth,DevFee*(1-DevFeeThirdPartySplit)+SponsorDispoFeePct*ExitValue,0)</f>
        <v/>
      </c>
      <c r="AD12" s="218">
        <f>CashFlow!AD$7+IF(26=DispoMonth,DevFee*(1-DevFeeThirdPartySplit)+SponsorDispoFeePct*ExitValue,0)</f>
        <v/>
      </c>
      <c r="AE12" s="218">
        <f>CashFlow!AE$7+IF(27=DispoMonth,DevFee*(1-DevFeeThirdPartySplit)+SponsorDispoFeePct*ExitValue,0)</f>
        <v/>
      </c>
      <c r="AF12" s="218">
        <f>CashFlow!AF$7+IF(28=DispoMonth,DevFee*(1-DevFeeThirdPartySplit)+SponsorDispoFeePct*ExitValue,0)</f>
        <v/>
      </c>
      <c r="AG12" s="218">
        <f>CashFlow!AG$7+IF(29=DispoMonth,DevFee*(1-DevFeeThirdPartySplit)+SponsorDispoFeePct*ExitValue,0)</f>
        <v/>
      </c>
      <c r="AH12" s="218">
        <f>CashFlow!AH$7+IF(30=DispoMonth,DevFee*(1-DevFeeThirdPartySplit)+SponsorDispoFeePct*ExitValue,0)</f>
        <v/>
      </c>
      <c r="AI12" s="218">
        <f>CashFlow!AI$7+IF(31=DispoMonth,DevFee*(1-DevFeeThirdPartySplit)+SponsorDispoFeePct*ExitValue,0)</f>
        <v/>
      </c>
      <c r="AJ12" s="218">
        <f>CashFlow!AJ$7+IF(32=DispoMonth,DevFee*(1-DevFeeThirdPartySplit)+SponsorDispoFeePct*ExitValue,0)</f>
        <v/>
      </c>
      <c r="AK12" s="218">
        <f>CashFlow!AK$7+IF(33=DispoMonth,DevFee*(1-DevFeeThirdPartySplit)+SponsorDispoFeePct*ExitValue,0)</f>
        <v/>
      </c>
      <c r="AL12" s="218">
        <f>CashFlow!AL$7+IF(34=DispoMonth,DevFee*(1-DevFeeThirdPartySplit)+SponsorDispoFeePct*ExitValue,0)</f>
        <v/>
      </c>
      <c r="AM12" s="218">
        <f>CashFlow!AM$7+IF(35=DispoMonth,DevFee*(1-DevFeeThirdPartySplit)+SponsorDispoFeePct*ExitValue,0)</f>
        <v/>
      </c>
      <c r="AN12" s="218">
        <f>CashFlow!AN$7+IF(36=DispoMonth,DevFee*(1-DevFeeThirdPartySplit)+SponsorDispoFeePct*ExitValue,0)</f>
        <v/>
      </c>
      <c r="AO12" s="218">
        <f>CashFlow!AO$7+IF(37=DispoMonth,DevFee*(1-DevFeeThirdPartySplit)+SponsorDispoFeePct*ExitValue,0)</f>
        <v/>
      </c>
      <c r="AP12" s="218">
        <f>CashFlow!AP$7+IF(38=DispoMonth,DevFee*(1-DevFeeThirdPartySplit)+SponsorDispoFeePct*ExitValue,0)</f>
        <v/>
      </c>
      <c r="AQ12" s="218">
        <f>CashFlow!AQ$7+IF(39=DispoMonth,DevFee*(1-DevFeeThirdPartySplit)+SponsorDispoFeePct*ExitValue,0)</f>
        <v/>
      </c>
      <c r="AR12" s="218">
        <f>CashFlow!AR$7+IF(40=DispoMonth,DevFee*(1-DevFeeThirdPartySplit)+SponsorDispoFeePct*ExitValue,0)</f>
        <v/>
      </c>
      <c r="AS12" s="218">
        <f>CashFlow!AS$7+IF(41=DispoMonth,DevFee*(1-DevFeeThirdPartySplit)+SponsorDispoFeePct*ExitValue,0)</f>
        <v/>
      </c>
      <c r="AT12" s="218">
        <f>CashFlow!AT$7+IF(42=DispoMonth,DevFee*(1-DevFeeThirdPartySplit)+SponsorDispoFeePct*ExitValue,0)</f>
        <v/>
      </c>
      <c r="AU12" s="218">
        <f>CashFlow!AU$7+IF(43=DispoMonth,DevFee*(1-DevFeeThirdPartySplit)+SponsorDispoFeePct*ExitValue,0)</f>
        <v/>
      </c>
      <c r="AV12" s="218">
        <f>CashFlow!AV$7+IF(44=DispoMonth,DevFee*(1-DevFeeThirdPartySplit)+SponsorDispoFeePct*ExitValue,0)</f>
        <v/>
      </c>
      <c r="AW12" s="218">
        <f>CashFlow!AW$7+IF(45=DispoMonth,DevFee*(1-DevFeeThirdPartySplit)+SponsorDispoFeePct*ExitValue,0)</f>
        <v/>
      </c>
      <c r="AX12" s="218">
        <f>CashFlow!AX$7+IF(46=DispoMonth,DevFee*(1-DevFeeThirdPartySplit)+SponsorDispoFeePct*ExitValue,0)</f>
        <v/>
      </c>
      <c r="AY12" s="218">
        <f>CashFlow!AY$7+IF(47=DispoMonth,DevFee*(1-DevFeeThirdPartySplit)+SponsorDispoFeePct*ExitValue,0)</f>
        <v/>
      </c>
      <c r="AZ12" s="218">
        <f>CashFlow!AZ$7+IF(48=DispoMonth,DevFee*(1-DevFeeThirdPartySplit)+SponsorDispoFeePct*ExitValue,0)</f>
        <v/>
      </c>
      <c r="BA12" s="218">
        <f>CashFlow!BA$7+IF(49=DispoMonth,DevFee*(1-DevFeeThirdPartySplit)+SponsorDispoFeePct*ExitValue,0)</f>
        <v/>
      </c>
      <c r="BB12" s="218">
        <f>CashFlow!BB$7+IF(50=DispoMonth,DevFee*(1-DevFeeThirdPartySplit)+SponsorDispoFeePct*ExitValue,0)</f>
        <v/>
      </c>
      <c r="BC12" s="218">
        <f>CashFlow!BC$7+IF(51=DispoMonth,DevFee*(1-DevFeeThirdPartySplit)+SponsorDispoFeePct*ExitValue,0)</f>
        <v/>
      </c>
      <c r="BD12" s="218">
        <f>CashFlow!BD$7+IF(52=DispoMonth,DevFee*(1-DevFeeThirdPartySplit)+SponsorDispoFeePct*ExitValue,0)</f>
        <v/>
      </c>
      <c r="BE12" s="218">
        <f>CashFlow!BE$7+IF(53=DispoMonth,DevFee*(1-DevFeeThirdPartySplit)+SponsorDispoFeePct*ExitValue,0)</f>
        <v/>
      </c>
      <c r="BF12" s="218">
        <f>CashFlow!BF$7+IF(54=DispoMonth,DevFee*(1-DevFeeThirdPartySplit)+SponsorDispoFeePct*ExitValue,0)</f>
        <v/>
      </c>
      <c r="BG12" s="218">
        <f>CashFlow!BG$7+IF(55=DispoMonth,DevFee*(1-DevFeeThirdPartySplit)+SponsorDispoFeePct*ExitValue,0)</f>
        <v/>
      </c>
      <c r="BH12" s="218">
        <f>CashFlow!BH$7+IF(56=DispoMonth,DevFee*(1-DevFeeThirdPartySplit)+SponsorDispoFeePct*ExitValue,0)</f>
        <v/>
      </c>
      <c r="BI12" s="218">
        <f>CashFlow!BI$7+IF(57=DispoMonth,DevFee*(1-DevFeeThirdPartySplit)+SponsorDispoFeePct*ExitValue,0)</f>
        <v/>
      </c>
      <c r="BJ12" s="218">
        <f>CashFlow!BJ$7+IF(58=DispoMonth,DevFee*(1-DevFeeThirdPartySplit)+SponsorDispoFeePct*ExitValue,0)</f>
        <v/>
      </c>
      <c r="BK12" s="218">
        <f>CashFlow!BK$7+IF(59=DispoMonth,DevFee*(1-DevFeeThirdPartySplit)+SponsorDispoFeePct*ExitValue,0)</f>
        <v/>
      </c>
      <c r="BL12" s="218">
        <f>CashFlow!BL$7+IF(60=DispoMonth,DevFee*(1-DevFeeThirdPartySplit)+SponsorDispoFeePct*ExitValue,0)</f>
        <v/>
      </c>
      <c r="BM12" s="218">
        <f>CashFlow!BM$7+IF(61=DispoMonth,DevFee*(1-DevFeeThirdPartySplit)+SponsorDispoFeePct*ExitValue,0)</f>
        <v/>
      </c>
      <c r="BN12" s="218">
        <f>CashFlow!BN$7+IF(62=DispoMonth,DevFee*(1-DevFeeThirdPartySplit)+SponsorDispoFeePct*ExitValue,0)</f>
        <v/>
      </c>
      <c r="BO12" s="218">
        <f>CashFlow!BO$7+IF(63=DispoMonth,DevFee*(1-DevFeeThirdPartySplit)+SponsorDispoFeePct*ExitValue,0)</f>
        <v/>
      </c>
      <c r="BP12" s="218">
        <f>CashFlow!BP$7+IF(64=DispoMonth,DevFee*(1-DevFeeThirdPartySplit)+SponsorDispoFeePct*ExitValue,0)</f>
        <v/>
      </c>
      <c r="BQ12" s="218">
        <f>CashFlow!BQ$7+IF(65=DispoMonth,DevFee*(1-DevFeeThirdPartySplit)+SponsorDispoFeePct*ExitValue,0)</f>
        <v/>
      </c>
      <c r="BR12" s="218">
        <f>CashFlow!BR$7+IF(66=DispoMonth,DevFee*(1-DevFeeThirdPartySplit)+SponsorDispoFeePct*ExitValue,0)</f>
        <v/>
      </c>
      <c r="BS12" s="218">
        <f>CashFlow!BS$7+IF(67=DispoMonth,DevFee*(1-DevFeeThirdPartySplit)+SponsorDispoFeePct*ExitValue,0)</f>
        <v/>
      </c>
      <c r="BT12" s="218">
        <f>CashFlow!BT$7+IF(68=DispoMonth,DevFee*(1-DevFeeThirdPartySplit)+SponsorDispoFeePct*ExitValue,0)</f>
        <v/>
      </c>
      <c r="BU12" s="218">
        <f>CashFlow!BU$7+IF(69=DispoMonth,DevFee*(1-DevFeeThirdPartySplit)+SponsorDispoFeePct*ExitValue,0)</f>
        <v/>
      </c>
      <c r="BV12" s="218">
        <f>CashFlow!BV$7+IF(70=DispoMonth,DevFee*(1-DevFeeThirdPartySplit)+SponsorDispoFeePct*ExitValue,0)</f>
        <v/>
      </c>
      <c r="BW12" s="218">
        <f>CashFlow!BW$7+IF(71=DispoMonth,DevFee*(1-DevFeeThirdPartySplit)+SponsorDispoFeePct*ExitValue,0)</f>
        <v/>
      </c>
      <c r="BX12" s="218">
        <f>CashFlow!BX$7+IF(72=DispoMonth,DevFee*(1-DevFeeThirdPartySplit)+SponsorDispoFeePct*ExitValue,0)</f>
        <v/>
      </c>
      <c r="BY12" s="218">
        <f>CashFlow!BY$7+IF(73=DispoMonth,DevFee*(1-DevFeeThirdPartySplit)+SponsorDispoFeePct*ExitValue,0)</f>
        <v/>
      </c>
      <c r="BZ12" s="218">
        <f>CashFlow!BZ$7+IF(74=DispoMonth,DevFee*(1-DevFeeThirdPartySplit)+SponsorDispoFeePct*ExitValue,0)</f>
        <v/>
      </c>
      <c r="CA12" s="218">
        <f>CashFlow!CA$7+IF(75=DispoMonth,DevFee*(1-DevFeeThirdPartySplit)+SponsorDispoFeePct*ExitValue,0)</f>
        <v/>
      </c>
      <c r="CB12" s="218">
        <f>CashFlow!CB$7+IF(76=DispoMonth,DevFee*(1-DevFeeThirdPartySplit)+SponsorDispoFeePct*ExitValue,0)</f>
        <v/>
      </c>
      <c r="CC12" s="218">
        <f>CashFlow!CC$7+IF(77=DispoMonth,DevFee*(1-DevFeeThirdPartySplit)+SponsorDispoFeePct*ExitValue,0)</f>
        <v/>
      </c>
      <c r="CD12" s="218">
        <f>CashFlow!CD$7+IF(78=DispoMonth,DevFee*(1-DevFeeThirdPartySplit)+SponsorDispoFeePct*ExitValue,0)</f>
        <v/>
      </c>
      <c r="CE12" s="218">
        <f>CashFlow!CE$7+IF(79=DispoMonth,DevFee*(1-DevFeeThirdPartySplit)+SponsorDispoFeePct*ExitValue,0)</f>
        <v/>
      </c>
      <c r="CF12" s="218">
        <f>CashFlow!CF$7+IF(80=DispoMonth,DevFee*(1-DevFeeThirdPartySplit)+SponsorDispoFeePct*ExitValue,0)</f>
        <v/>
      </c>
      <c r="CG12" s="218">
        <f>CashFlow!CG$7+IF(81=DispoMonth,DevFee*(1-DevFeeThirdPartySplit)+SponsorDispoFeePct*ExitValue,0)</f>
        <v/>
      </c>
      <c r="CH12" s="218">
        <f>CashFlow!CH$7+IF(82=DispoMonth,DevFee*(1-DevFeeThirdPartySplit)+SponsorDispoFeePct*ExitValue,0)</f>
        <v/>
      </c>
      <c r="CI12" s="218">
        <f>CashFlow!CI$7+IF(83=DispoMonth,DevFee*(1-DevFeeThirdPartySplit)+SponsorDispoFeePct*ExitValue,0)</f>
        <v/>
      </c>
      <c r="CJ12" s="218">
        <f>CashFlow!CJ$7+IF(84=DispoMonth,DevFee*(1-DevFeeThirdPartySplit)+SponsorDispoFeePct*ExitValue,0)</f>
        <v/>
      </c>
      <c r="CK12" s="218">
        <f>CashFlow!CK$7+IF(85=DispoMonth,DevFee*(1-DevFeeThirdPartySplit)+SponsorDispoFeePct*ExitValue,0)</f>
        <v/>
      </c>
      <c r="CL12" s="218">
        <f>CashFlow!CL$7+IF(86=DispoMonth,DevFee*(1-DevFeeThirdPartySplit)+SponsorDispoFeePct*ExitValue,0)</f>
        <v/>
      </c>
      <c r="CM12" s="218">
        <f>CashFlow!CM$7+IF(87=DispoMonth,DevFee*(1-DevFeeThirdPartySplit)+SponsorDispoFeePct*ExitValue,0)</f>
        <v/>
      </c>
      <c r="CN12" s="218">
        <f>CashFlow!CN$7+IF(88=DispoMonth,DevFee*(1-DevFeeThirdPartySplit)+SponsorDispoFeePct*ExitValue,0)</f>
        <v/>
      </c>
      <c r="CO12" s="218">
        <f>CashFlow!CO$7+IF(89=DispoMonth,DevFee*(1-DevFeeThirdPartySplit)+SponsorDispoFeePct*ExitValue,0)</f>
        <v/>
      </c>
      <c r="CP12" s="218">
        <f>CashFlow!CP$7+IF(90=DispoMonth,DevFee*(1-DevFeeThirdPartySplit)+SponsorDispoFeePct*ExitValue,0)</f>
        <v/>
      </c>
      <c r="CQ12" s="218">
        <f>CashFlow!CQ$7+IF(91=DispoMonth,DevFee*(1-DevFeeThirdPartySplit)+SponsorDispoFeePct*ExitValue,0)</f>
        <v/>
      </c>
      <c r="CR12" s="218">
        <f>CashFlow!CR$7+IF(92=DispoMonth,DevFee*(1-DevFeeThirdPartySplit)+SponsorDispoFeePct*ExitValue,0)</f>
        <v/>
      </c>
      <c r="CS12" s="218">
        <f>CashFlow!CS$7+IF(93=DispoMonth,DevFee*(1-DevFeeThirdPartySplit)+SponsorDispoFeePct*ExitValue,0)</f>
        <v/>
      </c>
      <c r="CT12" s="218">
        <f>CashFlow!CT$7+IF(94=DispoMonth,DevFee*(1-DevFeeThirdPartySplit)+SponsorDispoFeePct*ExitValue,0)</f>
        <v/>
      </c>
      <c r="CU12" s="218">
        <f>CashFlow!CU$7+IF(95=DispoMonth,DevFee*(1-DevFeeThirdPartySplit)+SponsorDispoFeePct*ExitValue,0)</f>
        <v/>
      </c>
      <c r="CV12" s="218">
        <f>CashFlow!CV$7+IF(96=DispoMonth,DevFee*(1-DevFeeThirdPartySplit)+SponsorDispoFeePct*ExitValue,0)</f>
        <v/>
      </c>
      <c r="CW12" s="218">
        <f>CashFlow!CW$7+IF(97=DispoMonth,DevFee*(1-DevFeeThirdPartySplit)+SponsorDispoFeePct*ExitValue,0)</f>
        <v/>
      </c>
      <c r="CX12" s="218">
        <f>CashFlow!CX$7+IF(98=DispoMonth,DevFee*(1-DevFeeThirdPartySplit)+SponsorDispoFeePct*ExitValue,0)</f>
        <v/>
      </c>
      <c r="CY12" s="218">
        <f>CashFlow!CY$7+IF(99=DispoMonth,DevFee*(1-DevFeeThirdPartySplit)+SponsorDispoFeePct*ExitValue,0)</f>
        <v/>
      </c>
      <c r="CZ12" s="218">
        <f>CashFlow!CZ$7+IF(100=DispoMonth,DevFee*(1-DevFeeThirdPartySplit)+SponsorDispoFeePct*ExitValue,0)</f>
        <v/>
      </c>
      <c r="DA12" s="218">
        <f>CashFlow!DA$7+IF(101=DispoMonth,DevFee*(1-DevFeeThirdPartySplit)+SponsorDispoFeePct*ExitValue,0)</f>
        <v/>
      </c>
      <c r="DB12" s="218">
        <f>CashFlow!DB$7+IF(102=DispoMonth,DevFee*(1-DevFeeThirdPartySplit)+SponsorDispoFeePct*ExitValue,0)</f>
        <v/>
      </c>
      <c r="DC12" s="218">
        <f>CashFlow!DC$7+IF(103=DispoMonth,DevFee*(1-DevFeeThirdPartySplit)+SponsorDispoFeePct*ExitValue,0)</f>
        <v/>
      </c>
      <c r="DD12" s="218">
        <f>CashFlow!DD$7+IF(104=DispoMonth,DevFee*(1-DevFeeThirdPartySplit)+SponsorDispoFeePct*ExitValue,0)</f>
        <v/>
      </c>
      <c r="DE12" s="218">
        <f>CashFlow!DE$7+IF(105=DispoMonth,DevFee*(1-DevFeeThirdPartySplit)+SponsorDispoFeePct*ExitValue,0)</f>
        <v/>
      </c>
      <c r="DF12" s="218">
        <f>CashFlow!DF$7+IF(106=DispoMonth,DevFee*(1-DevFeeThirdPartySplit)+SponsorDispoFeePct*ExitValue,0)</f>
        <v/>
      </c>
      <c r="DG12" s="218">
        <f>CashFlow!DG$7+IF(107=DispoMonth,DevFee*(1-DevFeeThirdPartySplit)+SponsorDispoFeePct*ExitValue,0)</f>
        <v/>
      </c>
      <c r="DH12" s="218">
        <f>CashFlow!DH$7+IF(108=DispoMonth,DevFee*(1-DevFeeThirdPartySplit)+SponsorDispoFeePct*ExitValue,0)</f>
        <v/>
      </c>
      <c r="DI12" s="218">
        <f>CashFlow!DI$7+IF(109=DispoMonth,DevFee*(1-DevFeeThirdPartySplit)+SponsorDispoFeePct*ExitValue,0)</f>
        <v/>
      </c>
      <c r="DJ12" s="218">
        <f>CashFlow!DJ$7+IF(110=DispoMonth,DevFee*(1-DevFeeThirdPartySplit)+SponsorDispoFeePct*ExitValue,0)</f>
        <v/>
      </c>
      <c r="DK12" s="218">
        <f>CashFlow!DK$7+IF(111=DispoMonth,DevFee*(1-DevFeeThirdPartySplit)+SponsorDispoFeePct*ExitValue,0)</f>
        <v/>
      </c>
      <c r="DL12" s="218">
        <f>CashFlow!DL$7+IF(112=DispoMonth,DevFee*(1-DevFeeThirdPartySplit)+SponsorDispoFeePct*ExitValue,0)</f>
        <v/>
      </c>
      <c r="DM12" s="218">
        <f>CashFlow!DM$7+IF(113=DispoMonth,DevFee*(1-DevFeeThirdPartySplit)+SponsorDispoFeePct*ExitValue,0)</f>
        <v/>
      </c>
      <c r="DN12" s="218">
        <f>CashFlow!DN$7+IF(114=DispoMonth,DevFee*(1-DevFeeThirdPartySplit)+SponsorDispoFeePct*ExitValue,0)</f>
        <v/>
      </c>
      <c r="DO12" s="218">
        <f>CashFlow!DO$7+IF(115=DispoMonth,DevFee*(1-DevFeeThirdPartySplit)+SponsorDispoFeePct*ExitValue,0)</f>
        <v/>
      </c>
      <c r="DP12" s="218">
        <f>CashFlow!DP$7+IF(116=DispoMonth,DevFee*(1-DevFeeThirdPartySplit)+SponsorDispoFeePct*ExitValue,0)</f>
        <v/>
      </c>
      <c r="DQ12" s="218">
        <f>CashFlow!DQ$7+IF(117=DispoMonth,DevFee*(1-DevFeeThirdPartySplit)+SponsorDispoFeePct*ExitValue,0)</f>
        <v/>
      </c>
      <c r="DR12" s="218">
        <f>CashFlow!DR$7+IF(118=DispoMonth,DevFee*(1-DevFeeThirdPartySplit)+SponsorDispoFeePct*ExitValue,0)</f>
        <v/>
      </c>
      <c r="DS12" s="218">
        <f>CashFlow!DS$7+IF(119=DispoMonth,DevFee*(1-DevFeeThirdPartySplit)+SponsorDispoFeePct*ExitValue,0)</f>
        <v/>
      </c>
      <c r="DT12" s="218">
        <f>CashFlow!DT$7+IF(120=DispoMonth,DevFee*(1-DevFeeThirdPartySplit)+SponsorDispoFeePct*ExitValue,0)</f>
        <v/>
      </c>
      <c r="DU12" s="218">
        <f>CashFlow!DU$7+IF(121=DispoMonth,DevFee*(1-DevFeeThirdPartySplit)+SponsorDispoFeePct*ExitValue,0)</f>
        <v/>
      </c>
      <c r="DV12" s="218">
        <f>CashFlow!DV$7+IF(122=DispoMonth,DevFee*(1-DevFeeThirdPartySplit)+SponsorDispoFeePct*ExitValue,0)</f>
        <v/>
      </c>
      <c r="DW12" s="218">
        <f>CashFlow!DW$7+IF(123=DispoMonth,DevFee*(1-DevFeeThirdPartySplit)+SponsorDispoFeePct*ExitValue,0)</f>
        <v/>
      </c>
      <c r="DX12" s="218">
        <f>CashFlow!DX$7+IF(124=DispoMonth,DevFee*(1-DevFeeThirdPartySplit)+SponsorDispoFeePct*ExitValue,0)</f>
        <v/>
      </c>
      <c r="DY12" s="218">
        <f>CashFlow!DY$7+IF(125=DispoMonth,DevFee*(1-DevFeeThirdPartySplit)+SponsorDispoFeePct*ExitValue,0)</f>
        <v/>
      </c>
      <c r="DZ12" s="218">
        <f>CashFlow!DZ$7+IF(126=DispoMonth,DevFee*(1-DevFeeThirdPartySplit)+SponsorDispoFeePct*ExitValue,0)</f>
        <v/>
      </c>
      <c r="EA12" s="218">
        <f>CashFlow!EA$7+IF(127=DispoMonth,DevFee*(1-DevFeeThirdPartySplit)+SponsorDispoFeePct*ExitValue,0)</f>
        <v/>
      </c>
      <c r="EB12" s="218">
        <f>CashFlow!EB$7+IF(128=DispoMonth,DevFee*(1-DevFeeThirdPartySplit)+SponsorDispoFeePct*ExitValue,0)</f>
        <v/>
      </c>
      <c r="EC12" s="218">
        <f>CashFlow!EC$7+IF(129=DispoMonth,DevFee*(1-DevFeeThirdPartySplit)+SponsorDispoFeePct*ExitValue,0)</f>
        <v/>
      </c>
      <c r="ED12" s="218">
        <f>CashFlow!ED$7+IF(130=DispoMonth,DevFee*(1-DevFeeThirdPartySplit)+SponsorDispoFeePct*ExitValue,0)</f>
        <v/>
      </c>
      <c r="EE12" s="218">
        <f>CashFlow!EE$7+IF(131=DispoMonth,DevFee*(1-DevFeeThirdPartySplit)+SponsorDispoFeePct*ExitValue,0)</f>
        <v/>
      </c>
      <c r="EF12" s="218">
        <f>CashFlow!EF$7+IF(132=DispoMonth,DevFee*(1-DevFeeThirdPartySplit)+SponsorDispoFeePct*ExitValue,0)</f>
        <v/>
      </c>
      <c r="EG12" s="218">
        <f>CashFlow!EG$7+IF(133=DispoMonth,DevFee*(1-DevFeeThirdPartySplit)+SponsorDispoFeePct*ExitValue,0)</f>
        <v/>
      </c>
      <c r="EH12" s="218">
        <f>CashFlow!EH$7+IF(134=DispoMonth,DevFee*(1-DevFeeThirdPartySplit)+SponsorDispoFeePct*ExitValue,0)</f>
        <v/>
      </c>
      <c r="EI12" s="218">
        <f>CashFlow!EI$7+IF(135=DispoMonth,DevFee*(1-DevFeeThirdPartySplit)+SponsorDispoFeePct*ExitValue,0)</f>
        <v/>
      </c>
      <c r="EJ12" s="218">
        <f>CashFlow!EJ$7+IF(136=DispoMonth,DevFee*(1-DevFeeThirdPartySplit)+SponsorDispoFeePct*ExitValue,0)</f>
        <v/>
      </c>
      <c r="EK12" s="218">
        <f>CashFlow!EK$7+IF(137=DispoMonth,DevFee*(1-DevFeeThirdPartySplit)+SponsorDispoFeePct*ExitValue,0)</f>
        <v/>
      </c>
      <c r="EL12" s="218">
        <f>CashFlow!EL$7+IF(138=DispoMonth,DevFee*(1-DevFeeThirdPartySplit)+SponsorDispoFeePct*ExitValue,0)</f>
        <v/>
      </c>
      <c r="EM12" s="218">
        <f>CashFlow!EM$7+IF(139=DispoMonth,DevFee*(1-DevFeeThirdPartySplit)+SponsorDispoFeePct*ExitValue,0)</f>
        <v/>
      </c>
      <c r="EN12" s="218">
        <f>CashFlow!EN$7+IF(140=DispoMonth,DevFee*(1-DevFeeThirdPartySplit)+SponsorDispoFeePct*ExitValue,0)</f>
        <v/>
      </c>
      <c r="EO12" s="218">
        <f>CashFlow!EO$7+IF(141=DispoMonth,DevFee*(1-DevFeeThirdPartySplit)+SponsorDispoFeePct*ExitValue,0)</f>
        <v/>
      </c>
      <c r="EP12" s="218">
        <f>CashFlow!EP$7+IF(142=DispoMonth,DevFee*(1-DevFeeThirdPartySplit)+SponsorDispoFeePct*ExitValue,0)</f>
        <v/>
      </c>
      <c r="EQ12" s="218">
        <f>CashFlow!EQ$7+IF(143=DispoMonth,DevFee*(1-DevFeeThirdPartySplit)+SponsorDispoFeePct*ExitValue,0)</f>
        <v/>
      </c>
      <c r="ER12" s="218">
        <f>CashFlow!ER$7+IF(144=DispoMonth,DevFee*(1-DevFeeThirdPartySplit)+SponsorDispoFeePct*ExitValue,0)</f>
        <v/>
      </c>
      <c r="ES12" s="218">
        <f>CashFlow!ES$7+IF(145=DispoMonth,DevFee*(1-DevFeeThirdPartySplit)+SponsorDispoFeePct*ExitValue,0)</f>
        <v/>
      </c>
      <c r="ET12" s="218">
        <f>CashFlow!ET$7+IF(146=DispoMonth,DevFee*(1-DevFeeThirdPartySplit)+SponsorDispoFeePct*ExitValue,0)</f>
        <v/>
      </c>
      <c r="EU12" s="218">
        <f>CashFlow!EU$7+IF(147=DispoMonth,DevFee*(1-DevFeeThirdPartySplit)+SponsorDispoFeePct*ExitValue,0)</f>
        <v/>
      </c>
      <c r="EV12" s="218">
        <f>CashFlow!EV$7+IF(148=DispoMonth,DevFee*(1-DevFeeThirdPartySplit)+SponsorDispoFeePct*ExitValue,0)</f>
        <v/>
      </c>
      <c r="EW12" s="218">
        <f>CashFlow!EW$7+IF(149=DispoMonth,DevFee*(1-DevFeeThirdPartySplit)+SponsorDispoFeePct*ExitValue,0)</f>
        <v/>
      </c>
      <c r="EX12" s="218">
        <f>CashFlow!EX$7+IF(150=DispoMonth,DevFee*(1-DevFeeThirdPartySplit)+SponsorDispoFeePct*ExitValue,0)</f>
        <v/>
      </c>
      <c r="EY12" s="218">
        <f>CashFlow!EY$7+IF(151=DispoMonth,DevFee*(1-DevFeeThirdPartySplit)+SponsorDispoFeePct*ExitValue,0)</f>
        <v/>
      </c>
      <c r="EZ12" s="218">
        <f>CashFlow!EZ$7+IF(152=DispoMonth,DevFee*(1-DevFeeThirdPartySplit)+SponsorDispoFeePct*ExitValue,0)</f>
        <v/>
      </c>
      <c r="FA12" s="218">
        <f>CashFlow!FA$7+IF(153=DispoMonth,DevFee*(1-DevFeeThirdPartySplit)+SponsorDispoFeePct*ExitValue,0)</f>
        <v/>
      </c>
      <c r="FB12" s="218">
        <f>CashFlow!FB$7+IF(154=DispoMonth,DevFee*(1-DevFeeThirdPartySplit)+SponsorDispoFeePct*ExitValue,0)</f>
        <v/>
      </c>
      <c r="FC12" s="218">
        <f>CashFlow!FC$7+IF(155=DispoMonth,DevFee*(1-DevFeeThirdPartySplit)+SponsorDispoFeePct*ExitValue,0)</f>
        <v/>
      </c>
      <c r="FD12" s="218">
        <f>CashFlow!FD$7+IF(156=DispoMonth,DevFee*(1-DevFeeThirdPartySplit)+SponsorDispoFeePct*ExitValue,0)</f>
        <v/>
      </c>
      <c r="FE12" s="218">
        <f>CashFlow!FE$7+IF(157=DispoMonth,DevFee*(1-DevFeeThirdPartySplit)+SponsorDispoFeePct*ExitValue,0)</f>
        <v/>
      </c>
      <c r="FF12" s="218">
        <f>CashFlow!FF$7+IF(158=DispoMonth,DevFee*(1-DevFeeThirdPartySplit)+SponsorDispoFeePct*ExitValue,0)</f>
        <v/>
      </c>
      <c r="FG12" s="218">
        <f>CashFlow!FG$7+IF(159=DispoMonth,DevFee*(1-DevFeeThirdPartySplit)+SponsorDispoFeePct*ExitValue,0)</f>
        <v/>
      </c>
      <c r="FH12" s="218">
        <f>CashFlow!FH$7+IF(160=DispoMonth,DevFee*(1-DevFeeThirdPartySplit)+SponsorDispoFeePct*ExitValue,0)</f>
        <v/>
      </c>
      <c r="FI12" s="218">
        <f>CashFlow!FI$7+IF(161=DispoMonth,DevFee*(1-DevFeeThirdPartySplit)+SponsorDispoFeePct*ExitValue,0)</f>
        <v/>
      </c>
      <c r="FJ12" s="218">
        <f>CashFlow!FJ$7+IF(162=DispoMonth,DevFee*(1-DevFeeThirdPartySplit)+SponsorDispoFeePct*ExitValue,0)</f>
        <v/>
      </c>
      <c r="FK12" s="218">
        <f>CashFlow!FK$7+IF(163=DispoMonth,DevFee*(1-DevFeeThirdPartySplit)+SponsorDispoFeePct*ExitValue,0)</f>
        <v/>
      </c>
      <c r="FL12" s="218">
        <f>CashFlow!FL$7+IF(164=DispoMonth,DevFee*(1-DevFeeThirdPartySplit)+SponsorDispoFeePct*ExitValue,0)</f>
        <v/>
      </c>
      <c r="FM12" s="218">
        <f>CashFlow!FM$7+IF(165=DispoMonth,DevFee*(1-DevFeeThirdPartySplit)+SponsorDispoFeePct*ExitValue,0)</f>
        <v/>
      </c>
      <c r="FN12" s="218">
        <f>CashFlow!FN$7+IF(166=DispoMonth,DevFee*(1-DevFeeThirdPartySplit)+SponsorDispoFeePct*ExitValue,0)</f>
        <v/>
      </c>
      <c r="FO12" s="218">
        <f>CashFlow!FO$7+IF(167=DispoMonth,DevFee*(1-DevFeeThirdPartySplit)+SponsorDispoFeePct*ExitValue,0)</f>
        <v/>
      </c>
      <c r="FP12" s="218">
        <f>CashFlow!FP$7+IF(168=DispoMonth,DevFee*(1-DevFeeThirdPartySplit)+SponsorDispoFeePct*ExitValue,0)</f>
        <v/>
      </c>
      <c r="FQ12" s="218">
        <f>CashFlow!FQ$7+IF(169=DispoMonth,DevFee*(1-DevFeeThirdPartySplit)+SponsorDispoFeePct*ExitValue,0)</f>
        <v/>
      </c>
      <c r="FR12" s="218">
        <f>CashFlow!FR$7+IF(170=DispoMonth,DevFee*(1-DevFeeThirdPartySplit)+SponsorDispoFeePct*ExitValue,0)</f>
        <v/>
      </c>
      <c r="FS12" s="218">
        <f>CashFlow!FS$7+IF(171=DispoMonth,DevFee*(1-DevFeeThirdPartySplit)+SponsorDispoFeePct*ExitValue,0)</f>
        <v/>
      </c>
      <c r="FT12" s="218">
        <f>CashFlow!FT$7+IF(172=DispoMonth,DevFee*(1-DevFeeThirdPartySplit)+SponsorDispoFeePct*ExitValue,0)</f>
        <v/>
      </c>
      <c r="FU12" s="218">
        <f>CashFlow!FU$7+IF(173=DispoMonth,DevFee*(1-DevFeeThirdPartySplit)+SponsorDispoFeePct*ExitValue,0)</f>
        <v/>
      </c>
      <c r="FV12" s="218">
        <f>CashFlow!FV$7+IF(174=DispoMonth,DevFee*(1-DevFeeThirdPartySplit)+SponsorDispoFeePct*ExitValue,0)</f>
        <v/>
      </c>
      <c r="FW12" s="218">
        <f>CashFlow!FW$7+IF(175=DispoMonth,DevFee*(1-DevFeeThirdPartySplit)+SponsorDispoFeePct*ExitValue,0)</f>
        <v/>
      </c>
      <c r="FX12" s="218">
        <f>CashFlow!FX$7+IF(176=DispoMonth,DevFee*(1-DevFeeThirdPartySplit)+SponsorDispoFeePct*ExitValue,0)</f>
        <v/>
      </c>
      <c r="FY12" s="218">
        <f>CashFlow!FY$7+IF(177=DispoMonth,DevFee*(1-DevFeeThirdPartySplit)+SponsorDispoFeePct*ExitValue,0)</f>
        <v/>
      </c>
      <c r="FZ12" s="218">
        <f>CashFlow!FZ$7+IF(178=DispoMonth,DevFee*(1-DevFeeThirdPartySplit)+SponsorDispoFeePct*ExitValue,0)</f>
        <v/>
      </c>
      <c r="GA12" s="218">
        <f>CashFlow!GA$7+IF(179=DispoMonth,DevFee*(1-DevFeeThirdPartySplit)+SponsorDispoFeePct*ExitValue,0)</f>
        <v/>
      </c>
      <c r="GB12" s="218">
        <f>CashFlow!GB$7+IF(180=DispoMonth,DevFee*(1-DevFeeThirdPartySplit)+SponsorDispoFeePct*ExitValue,0)</f>
        <v/>
      </c>
      <c r="GC12" s="218">
        <f>CashFlow!GC$7+IF(181=DispoMonth,DevFee*(1-DevFeeThirdPartySplit)+SponsorDispoFeePct*ExitValue,0)</f>
        <v/>
      </c>
      <c r="GD12" s="218">
        <f>CashFlow!GD$7+IF(182=DispoMonth,DevFee*(1-DevFeeThirdPartySplit)+SponsorDispoFeePct*ExitValue,0)</f>
        <v/>
      </c>
      <c r="GE12" s="218">
        <f>CashFlow!GE$7+IF(183=DispoMonth,DevFee*(1-DevFeeThirdPartySplit)+SponsorDispoFeePct*ExitValue,0)</f>
        <v/>
      </c>
      <c r="GF12" s="218">
        <f>CashFlow!GF$7+IF(184=DispoMonth,DevFee*(1-DevFeeThirdPartySplit)+SponsorDispoFeePct*ExitValue,0)</f>
        <v/>
      </c>
      <c r="GG12" s="218">
        <f>CashFlow!GG$7+IF(185=DispoMonth,DevFee*(1-DevFeeThirdPartySplit)+SponsorDispoFeePct*ExitValue,0)</f>
        <v/>
      </c>
      <c r="GH12" s="218">
        <f>CashFlow!GH$7+IF(186=DispoMonth,DevFee*(1-DevFeeThirdPartySplit)+SponsorDispoFeePct*ExitValue,0)</f>
        <v/>
      </c>
      <c r="GI12" s="218">
        <f>CashFlow!GI$7+IF(187=DispoMonth,DevFee*(1-DevFeeThirdPartySplit)+SponsorDispoFeePct*ExitValue,0)</f>
        <v/>
      </c>
      <c r="GJ12" s="218">
        <f>CashFlow!GJ$7+IF(188=DispoMonth,DevFee*(1-DevFeeThirdPartySplit)+SponsorDispoFeePct*ExitValue,0)</f>
        <v/>
      </c>
      <c r="GK12" s="218">
        <f>CashFlow!GK$7+IF(189=DispoMonth,DevFee*(1-DevFeeThirdPartySplit)+SponsorDispoFeePct*ExitValue,0)</f>
        <v/>
      </c>
      <c r="GL12" s="218">
        <f>CashFlow!GL$7+IF(190=DispoMonth,DevFee*(1-DevFeeThirdPartySplit)+SponsorDispoFeePct*ExitValue,0)</f>
        <v/>
      </c>
      <c r="GM12" s="218">
        <f>CashFlow!GM$7+IF(191=DispoMonth,DevFee*(1-DevFeeThirdPartySplit)+SponsorDispoFeePct*ExitValue,0)</f>
        <v/>
      </c>
      <c r="GN12" s="218">
        <f>CashFlow!GN$7+IF(192=DispoMonth,DevFee*(1-DevFeeThirdPartySplit)+SponsorDispoFeePct*ExitValue,0)</f>
        <v/>
      </c>
      <c r="GO12" s="218">
        <f>CashFlow!GO$7+IF(193=DispoMonth,DevFee*(1-DevFeeThirdPartySplit)+SponsorDispoFeePct*ExitValue,0)</f>
        <v/>
      </c>
      <c r="GP12" s="218">
        <f>CashFlow!GP$7+IF(194=DispoMonth,DevFee*(1-DevFeeThirdPartySplit)+SponsorDispoFeePct*ExitValue,0)</f>
        <v/>
      </c>
      <c r="GQ12" s="218">
        <f>CashFlow!GQ$7+IF(195=DispoMonth,DevFee*(1-DevFeeThirdPartySplit)+SponsorDispoFeePct*ExitValue,0)</f>
        <v/>
      </c>
      <c r="GR12" s="218">
        <f>CashFlow!GR$7+IF(196=DispoMonth,DevFee*(1-DevFeeThirdPartySplit)+SponsorDispoFeePct*ExitValue,0)</f>
        <v/>
      </c>
      <c r="GS12" s="218">
        <f>CashFlow!GS$7+IF(197=DispoMonth,DevFee*(1-DevFeeThirdPartySplit)+SponsorDispoFeePct*ExitValue,0)</f>
        <v/>
      </c>
      <c r="GT12" s="218">
        <f>CashFlow!GT$7+IF(198=DispoMonth,DevFee*(1-DevFeeThirdPartySplit)+SponsorDispoFeePct*ExitValue,0)</f>
        <v/>
      </c>
      <c r="GU12" s="218">
        <f>CashFlow!GU$7+IF(199=DispoMonth,DevFee*(1-DevFeeThirdPartySplit)+SponsorDispoFeePct*ExitValue,0)</f>
        <v/>
      </c>
      <c r="GV12" s="218">
        <f>CashFlow!GV$7+IF(200=DispoMonth,DevFee*(1-DevFeeThirdPartySplit)+SponsorDispoFeePct*ExitValue,0)</f>
        <v/>
      </c>
      <c r="GW12" s="218">
        <f>CashFlow!GW$7+IF(201=DispoMonth,DevFee*(1-DevFeeThirdPartySplit)+SponsorDispoFeePct*ExitValue,0)</f>
        <v/>
      </c>
      <c r="GX12" s="218">
        <f>CashFlow!GX$7+IF(202=DispoMonth,DevFee*(1-DevFeeThirdPartySplit)+SponsorDispoFeePct*ExitValue,0)</f>
        <v/>
      </c>
      <c r="GY12" s="218">
        <f>CashFlow!GY$7+IF(203=DispoMonth,DevFee*(1-DevFeeThirdPartySplit)+SponsorDispoFeePct*ExitValue,0)</f>
        <v/>
      </c>
      <c r="GZ12" s="218">
        <f>CashFlow!GZ$7+IF(204=DispoMonth,DevFee*(1-DevFeeThirdPartySplit)+SponsorDispoFeePct*ExitValue,0)</f>
        <v/>
      </c>
      <c r="HA12" s="218">
        <f>CashFlow!HA$7+IF(205=DispoMonth,DevFee*(1-DevFeeThirdPartySplit)+SponsorDispoFeePct*ExitValue,0)</f>
        <v/>
      </c>
      <c r="HB12" s="218">
        <f>CashFlow!HB$7+IF(206=DispoMonth,DevFee*(1-DevFeeThirdPartySplit)+SponsorDispoFeePct*ExitValue,0)</f>
        <v/>
      </c>
      <c r="HC12" s="218">
        <f>CashFlow!HC$7+IF(207=DispoMonth,DevFee*(1-DevFeeThirdPartySplit)+SponsorDispoFeePct*ExitValue,0)</f>
        <v/>
      </c>
      <c r="HD12" s="218">
        <f>CashFlow!HD$7+IF(208=DispoMonth,DevFee*(1-DevFeeThirdPartySplit)+SponsorDispoFeePct*ExitValue,0)</f>
        <v/>
      </c>
      <c r="HE12" s="218">
        <f>CashFlow!HE$7+IF(209=DispoMonth,DevFee*(1-DevFeeThirdPartySplit)+SponsorDispoFeePct*ExitValue,0)</f>
        <v/>
      </c>
      <c r="HF12" s="218">
        <f>CashFlow!HF$7+IF(210=DispoMonth,DevFee*(1-DevFeeThirdPartySplit)+SponsorDispoFeePct*ExitValue,0)</f>
        <v/>
      </c>
      <c r="HG12" s="218">
        <f>CashFlow!HG$7+IF(211=DispoMonth,DevFee*(1-DevFeeThirdPartySplit)+SponsorDispoFeePct*ExitValue,0)</f>
        <v/>
      </c>
      <c r="HH12" s="218">
        <f>CashFlow!HH$7+IF(212=DispoMonth,DevFee*(1-DevFeeThirdPartySplit)+SponsorDispoFeePct*ExitValue,0)</f>
        <v/>
      </c>
      <c r="HI12" s="218">
        <f>CashFlow!HI$7+IF(213=DispoMonth,DevFee*(1-DevFeeThirdPartySplit)+SponsorDispoFeePct*ExitValue,0)</f>
        <v/>
      </c>
      <c r="HJ12" s="218">
        <f>CashFlow!HJ$7+IF(214=DispoMonth,DevFee*(1-DevFeeThirdPartySplit)+SponsorDispoFeePct*ExitValue,0)</f>
        <v/>
      </c>
      <c r="HK12" s="218">
        <f>CashFlow!HK$7+IF(215=DispoMonth,DevFee*(1-DevFeeThirdPartySplit)+SponsorDispoFeePct*ExitValue,0)</f>
        <v/>
      </c>
      <c r="HL12" s="218">
        <f>CashFlow!HL$7+IF(216=DispoMonth,DevFee*(1-DevFeeThirdPartySplit)+SponsorDispoFeePct*ExitValue,0)</f>
        <v/>
      </c>
      <c r="HM12" s="218">
        <f>CashFlow!HM$7+IF(217=DispoMonth,DevFee*(1-DevFeeThirdPartySplit)+SponsorDispoFeePct*ExitValue,0)</f>
        <v/>
      </c>
      <c r="HN12" s="218">
        <f>CashFlow!HN$7+IF(218=DispoMonth,DevFee*(1-DevFeeThirdPartySplit)+SponsorDispoFeePct*ExitValue,0)</f>
        <v/>
      </c>
      <c r="HO12" s="218">
        <f>CashFlow!HO$7+IF(219=DispoMonth,DevFee*(1-DevFeeThirdPartySplit)+SponsorDispoFeePct*ExitValue,0)</f>
        <v/>
      </c>
      <c r="HP12" s="218">
        <f>CashFlow!HP$7+IF(220=DispoMonth,DevFee*(1-DevFeeThirdPartySplit)+SponsorDispoFeePct*ExitValue,0)</f>
        <v/>
      </c>
      <c r="HQ12" s="218">
        <f>CashFlow!HQ$7+IF(221=DispoMonth,DevFee*(1-DevFeeThirdPartySplit)+SponsorDispoFeePct*ExitValue,0)</f>
        <v/>
      </c>
      <c r="HR12" s="218">
        <f>CashFlow!HR$7+IF(222=DispoMonth,DevFee*(1-DevFeeThirdPartySplit)+SponsorDispoFeePct*ExitValue,0)</f>
        <v/>
      </c>
      <c r="HS12" s="218">
        <f>CashFlow!HS$7+IF(223=DispoMonth,DevFee*(1-DevFeeThirdPartySplit)+SponsorDispoFeePct*ExitValue,0)</f>
        <v/>
      </c>
      <c r="HT12" s="218">
        <f>CashFlow!HT$7+IF(224=DispoMonth,DevFee*(1-DevFeeThirdPartySplit)+SponsorDispoFeePct*ExitValue,0)</f>
        <v/>
      </c>
      <c r="HU12" s="218">
        <f>CashFlow!HU$7+IF(225=DispoMonth,DevFee*(1-DevFeeThirdPartySplit)+SponsorDispoFeePct*ExitValue,0)</f>
        <v/>
      </c>
      <c r="HV12" s="218">
        <f>CashFlow!HV$7+IF(226=DispoMonth,DevFee*(1-DevFeeThirdPartySplit)+SponsorDispoFeePct*ExitValue,0)</f>
        <v/>
      </c>
      <c r="HW12" s="218">
        <f>CashFlow!HW$7+IF(227=DispoMonth,DevFee*(1-DevFeeThirdPartySplit)+SponsorDispoFeePct*ExitValue,0)</f>
        <v/>
      </c>
      <c r="HX12" s="218">
        <f>CashFlow!HX$7+IF(228=DispoMonth,DevFee*(1-DevFeeThirdPartySplit)+SponsorDispoFeePct*ExitValue,0)</f>
        <v/>
      </c>
      <c r="HY12" s="218">
        <f>CashFlow!HY$7+IF(229=DispoMonth,DevFee*(1-DevFeeThirdPartySplit)+SponsorDispoFeePct*ExitValue,0)</f>
        <v/>
      </c>
      <c r="HZ12" s="218">
        <f>CashFlow!HZ$7+IF(230=DispoMonth,DevFee*(1-DevFeeThirdPartySplit)+SponsorDispoFeePct*ExitValue,0)</f>
        <v/>
      </c>
      <c r="IA12" s="218">
        <f>CashFlow!IA$7+IF(231=DispoMonth,DevFee*(1-DevFeeThirdPartySplit)+SponsorDispoFeePct*ExitValue,0)</f>
        <v/>
      </c>
      <c r="IB12" s="218">
        <f>CashFlow!IB$7+IF(232=DispoMonth,DevFee*(1-DevFeeThirdPartySplit)+SponsorDispoFeePct*ExitValue,0)</f>
        <v/>
      </c>
      <c r="IC12" s="218">
        <f>CashFlow!IC$7+IF(233=DispoMonth,DevFee*(1-DevFeeThirdPartySplit)+SponsorDispoFeePct*ExitValue,0)</f>
        <v/>
      </c>
      <c r="ID12" s="218">
        <f>CashFlow!ID$7+IF(234=DispoMonth,DevFee*(1-DevFeeThirdPartySplit)+SponsorDispoFeePct*ExitValue,0)</f>
        <v/>
      </c>
      <c r="IE12" s="218">
        <f>CashFlow!IE$7+IF(235=DispoMonth,DevFee*(1-DevFeeThirdPartySplit)+SponsorDispoFeePct*ExitValue,0)</f>
        <v/>
      </c>
      <c r="IF12" s="218">
        <f>CashFlow!IF$7+IF(236=DispoMonth,DevFee*(1-DevFeeThirdPartySplit)+SponsorDispoFeePct*ExitValue,0)</f>
        <v/>
      </c>
      <c r="IG12" s="218">
        <f>CashFlow!IG$7+IF(237=DispoMonth,DevFee*(1-DevFeeThirdPartySplit)+SponsorDispoFeePct*ExitValue,0)</f>
        <v/>
      </c>
      <c r="IH12" s="218">
        <f>CashFlow!IH$7+IF(238=DispoMonth,DevFee*(1-DevFeeThirdPartySplit)+SponsorDispoFeePct*ExitValue,0)</f>
        <v/>
      </c>
      <c r="II12" s="218">
        <f>CashFlow!II$7+IF(239=DispoMonth,DevFee*(1-DevFeeThirdPartySplit)+SponsorDispoFeePct*ExitValue,0)</f>
        <v/>
      </c>
      <c r="IJ12" s="218">
        <f>CashFlow!IJ$7+IF(240=DispoMonth,DevFee*(1-DevFeeThirdPartySplit)+SponsorDispoFeePct*ExitValue,0)</f>
        <v/>
      </c>
      <c r="IK12" s="218">
        <f>CashFlow!IK$7+IF(241=DispoMonth,DevFee*(1-DevFeeThirdPartySplit)+SponsorDispoFeePct*ExitValue,0)</f>
        <v/>
      </c>
      <c r="IL12" s="218">
        <f>CashFlow!IL$7+IF(242=DispoMonth,DevFee*(1-DevFeeThirdPartySplit)+SponsorDispoFeePct*ExitValue,0)</f>
        <v/>
      </c>
      <c r="IM12" s="218">
        <f>CashFlow!IM$7+IF(243=DispoMonth,DevFee*(1-DevFeeThirdPartySplit)+SponsorDispoFeePct*ExitValue,0)</f>
        <v/>
      </c>
      <c r="IN12" s="218">
        <f>CashFlow!IN$7+IF(244=DispoMonth,DevFee*(1-DevFeeThirdPartySplit)+SponsorDispoFeePct*ExitValue,0)</f>
        <v/>
      </c>
      <c r="IO12" s="218">
        <f>CashFlow!IO$7+IF(245=DispoMonth,DevFee*(1-DevFeeThirdPartySplit)+SponsorDispoFeePct*ExitValue,0)</f>
        <v/>
      </c>
      <c r="IP12" s="218">
        <f>CashFlow!IP$7+IF(246=DispoMonth,DevFee*(1-DevFeeThirdPartySplit)+SponsorDispoFeePct*ExitValue,0)</f>
        <v/>
      </c>
      <c r="IQ12" s="218">
        <f>CashFlow!IQ$7+IF(247=DispoMonth,DevFee*(1-DevFeeThirdPartySplit)+SponsorDispoFeePct*ExitValue,0)</f>
        <v/>
      </c>
      <c r="IR12" s="218">
        <f>CashFlow!IR$7+IF(248=DispoMonth,DevFee*(1-DevFeeThirdPartySplit)+SponsorDispoFeePct*ExitValue,0)</f>
        <v/>
      </c>
      <c r="IS12" s="218">
        <f>CashFlow!IS$7+IF(249=DispoMonth,DevFee*(1-DevFeeThirdPartySplit)+SponsorDispoFeePct*ExitValue,0)</f>
        <v/>
      </c>
      <c r="IT12" s="218">
        <f>CashFlow!IT$7+IF(250=DispoMonth,DevFee*(1-DevFeeThirdPartySplit)+SponsorDispoFeePct*ExitValue,0)</f>
        <v/>
      </c>
      <c r="IU12" s="218">
        <f>CashFlow!IU$7+IF(251=DispoMonth,DevFee*(1-DevFeeThirdPartySplit)+SponsorDispoFeePct*ExitValue,0)</f>
        <v/>
      </c>
      <c r="IV12" s="218">
        <f>CashFlow!IV$7+IF(252=DispoMonth,DevFee*(1-DevFeeThirdPartySplit)+SponsorDispoFeePct*ExitValue,0)</f>
        <v/>
      </c>
      <c r="IW12" s="218">
        <f>CashFlow!IW$7+IF(253=DispoMonth,DevFee*(1-DevFeeThirdPartySplit)+SponsorDispoFeePct*ExitValue,0)</f>
        <v/>
      </c>
      <c r="IX12" s="218">
        <f>CashFlow!IX$7+IF(254=DispoMonth,DevFee*(1-DevFeeThirdPartySplit)+SponsorDispoFeePct*ExitValue,0)</f>
        <v/>
      </c>
      <c r="IY12" s="218">
        <f>CashFlow!IY$7+IF(255=DispoMonth,DevFee*(1-DevFeeThirdPartySplit)+SponsorDispoFeePct*ExitValue,0)</f>
        <v/>
      </c>
      <c r="IZ12" s="218">
        <f>CashFlow!IZ$7+IF(256=DispoMonth,DevFee*(1-DevFeeThirdPartySplit)+SponsorDispoFeePct*ExitValue,0)</f>
        <v/>
      </c>
      <c r="JA12" s="218">
        <f>CashFlow!JA$7+IF(257=DispoMonth,DevFee*(1-DevFeeThirdPartySplit)+SponsorDispoFeePct*ExitValue,0)</f>
        <v/>
      </c>
      <c r="JB12" s="218">
        <f>CashFlow!JB$7+IF(258=DispoMonth,DevFee*(1-DevFeeThirdPartySplit)+SponsorDispoFeePct*ExitValue,0)</f>
        <v/>
      </c>
      <c r="JC12" s="218">
        <f>CashFlow!JC$7+IF(259=DispoMonth,DevFee*(1-DevFeeThirdPartySplit)+SponsorDispoFeePct*ExitValue,0)</f>
        <v/>
      </c>
      <c r="JD12" s="218">
        <f>CashFlow!JD$7+IF(260=DispoMonth,DevFee*(1-DevFeeThirdPartySplit)+SponsorDispoFeePct*ExitValue,0)</f>
        <v/>
      </c>
      <c r="JE12" s="218">
        <f>CashFlow!JE$7+IF(261=DispoMonth,DevFee*(1-DevFeeThirdPartySplit)+SponsorDispoFeePct*ExitValue,0)</f>
        <v/>
      </c>
      <c r="JF12" s="218">
        <f>CashFlow!JF$7+IF(262=DispoMonth,DevFee*(1-DevFeeThirdPartySplit)+SponsorDispoFeePct*ExitValue,0)</f>
        <v/>
      </c>
      <c r="JG12" s="218">
        <f>CashFlow!JG$7+IF(263=DispoMonth,DevFee*(1-DevFeeThirdPartySplit)+SponsorDispoFeePct*ExitValue,0)</f>
        <v/>
      </c>
      <c r="JH12" s="218">
        <f>CashFlow!JH$7+IF(264=DispoMonth,DevFee*(1-DevFeeThirdPartySplit)+SponsorDispoFeePct*ExitValue,0)</f>
        <v/>
      </c>
      <c r="JI12" s="218">
        <f>CashFlow!JI$7+IF(265=DispoMonth,DevFee*(1-DevFeeThirdPartySplit)+SponsorDispoFeePct*ExitValue,0)</f>
        <v/>
      </c>
      <c r="JJ12" s="218">
        <f>CashFlow!JJ$7+IF(266=DispoMonth,DevFee*(1-DevFeeThirdPartySplit)+SponsorDispoFeePct*ExitValue,0)</f>
        <v/>
      </c>
      <c r="JK12" s="218">
        <f>CashFlow!JK$7+IF(267=DispoMonth,DevFee*(1-DevFeeThirdPartySplit)+SponsorDispoFeePct*ExitValue,0)</f>
        <v/>
      </c>
      <c r="JL12" s="218">
        <f>CashFlow!JL$7+IF(268=DispoMonth,DevFee*(1-DevFeeThirdPartySplit)+SponsorDispoFeePct*ExitValue,0)</f>
        <v/>
      </c>
      <c r="JM12" s="218">
        <f>CashFlow!JM$7+IF(269=DispoMonth,DevFee*(1-DevFeeThirdPartySplit)+SponsorDispoFeePct*ExitValue,0)</f>
        <v/>
      </c>
      <c r="JN12" s="218">
        <f>CashFlow!JN$7+IF(270=DispoMonth,DevFee*(1-DevFeeThirdPartySplit)+SponsorDispoFeePct*ExitValue,0)</f>
        <v/>
      </c>
      <c r="JO12" s="218">
        <f>CashFlow!JO$7+IF(271=DispoMonth,DevFee*(1-DevFeeThirdPartySplit)+SponsorDispoFeePct*ExitValue,0)</f>
        <v/>
      </c>
      <c r="JP12" s="218">
        <f>CashFlow!JP$7+IF(272=DispoMonth,DevFee*(1-DevFeeThirdPartySplit)+SponsorDispoFeePct*ExitValue,0)</f>
        <v/>
      </c>
      <c r="JQ12" s="218">
        <f>CashFlow!JQ$7+IF(273=DispoMonth,DevFee*(1-DevFeeThirdPartySplit)+SponsorDispoFeePct*ExitValue,0)</f>
        <v/>
      </c>
      <c r="JR12" s="218">
        <f>CashFlow!JR$7+IF(274=DispoMonth,DevFee*(1-DevFeeThirdPartySplit)+SponsorDispoFeePct*ExitValue,0)</f>
        <v/>
      </c>
      <c r="JS12" s="218">
        <f>CashFlow!JS$7+IF(275=DispoMonth,DevFee*(1-DevFeeThirdPartySplit)+SponsorDispoFeePct*ExitValue,0)</f>
        <v/>
      </c>
      <c r="JT12" s="218">
        <f>CashFlow!JT$7+IF(276=DispoMonth,DevFee*(1-DevFeeThirdPartySplit)+SponsorDispoFeePct*ExitValue,0)</f>
        <v/>
      </c>
      <c r="JU12" s="218">
        <f>CashFlow!JU$7+IF(277=DispoMonth,DevFee*(1-DevFeeThirdPartySplit)+SponsorDispoFeePct*ExitValue,0)</f>
        <v/>
      </c>
      <c r="JV12" s="218">
        <f>CashFlow!JV$7+IF(278=DispoMonth,DevFee*(1-DevFeeThirdPartySplit)+SponsorDispoFeePct*ExitValue,0)</f>
        <v/>
      </c>
      <c r="JW12" s="218">
        <f>CashFlow!JW$7+IF(279=DispoMonth,DevFee*(1-DevFeeThirdPartySplit)+SponsorDispoFeePct*ExitValue,0)</f>
        <v/>
      </c>
      <c r="JX12" s="218">
        <f>CashFlow!JX$7+IF(280=DispoMonth,DevFee*(1-DevFeeThirdPartySplit)+SponsorDispoFeePct*ExitValue,0)</f>
        <v/>
      </c>
      <c r="JY12" s="218">
        <f>CashFlow!JY$7+IF(281=DispoMonth,DevFee*(1-DevFeeThirdPartySplit)+SponsorDispoFeePct*ExitValue,0)</f>
        <v/>
      </c>
      <c r="JZ12" s="218">
        <f>CashFlow!JZ$7+IF(282=DispoMonth,DevFee*(1-DevFeeThirdPartySplit)+SponsorDispoFeePct*ExitValue,0)</f>
        <v/>
      </c>
      <c r="KA12" s="218">
        <f>CashFlow!KA$7+IF(283=DispoMonth,DevFee*(1-DevFeeThirdPartySplit)+SponsorDispoFeePct*ExitValue,0)</f>
        <v/>
      </c>
      <c r="KB12" s="218">
        <f>CashFlow!KB$7+IF(284=DispoMonth,DevFee*(1-DevFeeThirdPartySplit)+SponsorDispoFeePct*ExitValue,0)</f>
        <v/>
      </c>
      <c r="KC12" s="218">
        <f>CashFlow!KC$7+IF(285=DispoMonth,DevFee*(1-DevFeeThirdPartySplit)+SponsorDispoFeePct*ExitValue,0)</f>
        <v/>
      </c>
      <c r="KD12" s="218">
        <f>CashFlow!KD$7+IF(286=DispoMonth,DevFee*(1-DevFeeThirdPartySplit)+SponsorDispoFeePct*ExitValue,0)</f>
        <v/>
      </c>
      <c r="KE12" s="218">
        <f>CashFlow!KE$7+IF(287=DispoMonth,DevFee*(1-DevFeeThirdPartySplit)+SponsorDispoFeePct*ExitValue,0)</f>
        <v/>
      </c>
      <c r="KF12" s="218">
        <f>CashFlow!KF$7+IF(288=DispoMonth,DevFee*(1-DevFeeThirdPartySplit)+SponsorDispoFeePct*ExitValue,0)</f>
        <v/>
      </c>
      <c r="KG12" s="218">
        <f>CashFlow!KG$7+IF(289=DispoMonth,DevFee*(1-DevFeeThirdPartySplit)+SponsorDispoFeePct*ExitValue,0)</f>
        <v/>
      </c>
      <c r="KH12" s="218">
        <f>CashFlow!KH$7+IF(290=DispoMonth,DevFee*(1-DevFeeThirdPartySplit)+SponsorDispoFeePct*ExitValue,0)</f>
        <v/>
      </c>
      <c r="KI12" s="218">
        <f>CashFlow!KI$7+IF(291=DispoMonth,DevFee*(1-DevFeeThirdPartySplit)+SponsorDispoFeePct*ExitValue,0)</f>
        <v/>
      </c>
      <c r="KJ12" s="218">
        <f>CashFlow!KJ$7+IF(292=DispoMonth,DevFee*(1-DevFeeThirdPartySplit)+SponsorDispoFeePct*ExitValue,0)</f>
        <v/>
      </c>
      <c r="KK12" s="218">
        <f>CashFlow!KK$7+IF(293=DispoMonth,DevFee*(1-DevFeeThirdPartySplit)+SponsorDispoFeePct*ExitValue,0)</f>
        <v/>
      </c>
      <c r="KL12" s="218">
        <f>CashFlow!KL$7+IF(294=DispoMonth,DevFee*(1-DevFeeThirdPartySplit)+SponsorDispoFeePct*ExitValue,0)</f>
        <v/>
      </c>
      <c r="KM12" s="218">
        <f>CashFlow!KM$7+IF(295=DispoMonth,DevFee*(1-DevFeeThirdPartySplit)+SponsorDispoFeePct*ExitValue,0)</f>
        <v/>
      </c>
      <c r="KN12" s="218">
        <f>CashFlow!KN$7+IF(296=DispoMonth,DevFee*(1-DevFeeThirdPartySplit)+SponsorDispoFeePct*ExitValue,0)</f>
        <v/>
      </c>
      <c r="KO12" s="218">
        <f>CashFlow!KO$7+IF(297=DispoMonth,DevFee*(1-DevFeeThirdPartySplit)+SponsorDispoFeePct*ExitValue,0)</f>
        <v/>
      </c>
      <c r="KP12" s="218">
        <f>CashFlow!KP$7+IF(298=DispoMonth,DevFee*(1-DevFeeThirdPartySplit)+SponsorDispoFeePct*ExitValue,0)</f>
        <v/>
      </c>
      <c r="KQ12" s="218">
        <f>CashFlow!KQ$7+IF(299=DispoMonth,DevFee*(1-DevFeeThirdPartySplit)+SponsorDispoFeePct*ExitValue,0)</f>
        <v/>
      </c>
      <c r="KR12" s="218">
        <f>CashFlow!KR$7+IF(300=DispoMonth,DevFee*(1-DevFeeThirdPartySplit)+SponsorDispoFeePct*ExitValue,0)</f>
        <v/>
      </c>
      <c r="KS12" s="218">
        <f>CashFlow!KS$7+IF(301=DispoMonth,DevFee*(1-DevFeeThirdPartySplit)+SponsorDispoFeePct*ExitValue,0)</f>
        <v/>
      </c>
      <c r="KT12" s="218">
        <f>CashFlow!KT$7+IF(302=DispoMonth,DevFee*(1-DevFeeThirdPartySplit)+SponsorDispoFeePct*ExitValue,0)</f>
        <v/>
      </c>
      <c r="KU12" s="218">
        <f>CashFlow!KU$7+IF(303=DispoMonth,DevFee*(1-DevFeeThirdPartySplit)+SponsorDispoFeePct*ExitValue,0)</f>
        <v/>
      </c>
      <c r="KV12" s="218">
        <f>CashFlow!KV$7+IF(304=DispoMonth,DevFee*(1-DevFeeThirdPartySplit)+SponsorDispoFeePct*ExitValue,0)</f>
        <v/>
      </c>
      <c r="KW12" s="218">
        <f>CashFlow!KW$7+IF(305=DispoMonth,DevFee*(1-DevFeeThirdPartySplit)+SponsorDispoFeePct*ExitValue,0)</f>
        <v/>
      </c>
      <c r="KX12" s="218">
        <f>CashFlow!KX$7+IF(306=DispoMonth,DevFee*(1-DevFeeThirdPartySplit)+SponsorDispoFeePct*ExitValue,0)</f>
        <v/>
      </c>
      <c r="KY12" s="218">
        <f>CashFlow!KY$7+IF(307=DispoMonth,DevFee*(1-DevFeeThirdPartySplit)+SponsorDispoFeePct*ExitValue,0)</f>
        <v/>
      </c>
      <c r="KZ12" s="218">
        <f>CashFlow!KZ$7+IF(308=DispoMonth,DevFee*(1-DevFeeThirdPartySplit)+SponsorDispoFeePct*ExitValue,0)</f>
        <v/>
      </c>
      <c r="LA12" s="218">
        <f>CashFlow!LA$7+IF(309=DispoMonth,DevFee*(1-DevFeeThirdPartySplit)+SponsorDispoFeePct*ExitValue,0)</f>
        <v/>
      </c>
      <c r="LB12" s="218">
        <f>CashFlow!LB$7+IF(310=DispoMonth,DevFee*(1-DevFeeThirdPartySplit)+SponsorDispoFeePct*ExitValue,0)</f>
        <v/>
      </c>
      <c r="LC12" s="218">
        <f>CashFlow!LC$7+IF(311=DispoMonth,DevFee*(1-DevFeeThirdPartySplit)+SponsorDispoFeePct*ExitValue,0)</f>
        <v/>
      </c>
      <c r="LD12" s="218">
        <f>CashFlow!LD$7+IF(312=DispoMonth,DevFee*(1-DevFeeThirdPartySplit)+SponsorDispoFeePct*ExitValue,0)</f>
        <v/>
      </c>
      <c r="LE12" s="218">
        <f>CashFlow!LE$7+IF(313=DispoMonth,DevFee*(1-DevFeeThirdPartySplit)+SponsorDispoFeePct*ExitValue,0)</f>
        <v/>
      </c>
      <c r="LF12" s="218">
        <f>CashFlow!LF$7+IF(314=DispoMonth,DevFee*(1-DevFeeThirdPartySplit)+SponsorDispoFeePct*ExitValue,0)</f>
        <v/>
      </c>
      <c r="LG12" s="218">
        <f>CashFlow!LG$7+IF(315=DispoMonth,DevFee*(1-DevFeeThirdPartySplit)+SponsorDispoFeePct*ExitValue,0)</f>
        <v/>
      </c>
      <c r="LH12" s="218">
        <f>CashFlow!LH$7+IF(316=DispoMonth,DevFee*(1-DevFeeThirdPartySplit)+SponsorDispoFeePct*ExitValue,0)</f>
        <v/>
      </c>
      <c r="LI12" s="218">
        <f>CashFlow!LI$7+IF(317=DispoMonth,DevFee*(1-DevFeeThirdPartySplit)+SponsorDispoFeePct*ExitValue,0)</f>
        <v/>
      </c>
      <c r="LJ12" s="218">
        <f>CashFlow!LJ$7+IF(318=DispoMonth,DevFee*(1-DevFeeThirdPartySplit)+SponsorDispoFeePct*ExitValue,0)</f>
        <v/>
      </c>
      <c r="LK12" s="218">
        <f>CashFlow!LK$7+IF(319=DispoMonth,DevFee*(1-DevFeeThirdPartySplit)+SponsorDispoFeePct*ExitValue,0)</f>
        <v/>
      </c>
      <c r="LL12" s="218">
        <f>CashFlow!LL$7+IF(320=DispoMonth,DevFee*(1-DevFeeThirdPartySplit)+SponsorDispoFeePct*ExitValue,0)</f>
        <v/>
      </c>
      <c r="LM12" s="218">
        <f>CashFlow!LM$7+IF(321=DispoMonth,DevFee*(1-DevFeeThirdPartySplit)+SponsorDispoFeePct*ExitValue,0)</f>
        <v/>
      </c>
      <c r="LN12" s="218">
        <f>CashFlow!LN$7+IF(322=DispoMonth,DevFee*(1-DevFeeThirdPartySplit)+SponsorDispoFeePct*ExitValue,0)</f>
        <v/>
      </c>
      <c r="LO12" s="218">
        <f>CashFlow!LO$7+IF(323=DispoMonth,DevFee*(1-DevFeeThirdPartySplit)+SponsorDispoFeePct*ExitValue,0)</f>
        <v/>
      </c>
      <c r="LP12" s="218">
        <f>CashFlow!LP$7+IF(324=DispoMonth,DevFee*(1-DevFeeThirdPartySplit)+SponsorDispoFeePct*ExitValue,0)</f>
        <v/>
      </c>
      <c r="LQ12" s="218">
        <f>CashFlow!LQ$7+IF(325=DispoMonth,DevFee*(1-DevFeeThirdPartySplit)+SponsorDispoFeePct*ExitValue,0)</f>
        <v/>
      </c>
      <c r="LR12" s="218">
        <f>CashFlow!LR$7+IF(326=DispoMonth,DevFee*(1-DevFeeThirdPartySplit)+SponsorDispoFeePct*ExitValue,0)</f>
        <v/>
      </c>
      <c r="LS12" s="218">
        <f>CashFlow!LS$7+IF(327=DispoMonth,DevFee*(1-DevFeeThirdPartySplit)+SponsorDispoFeePct*ExitValue,0)</f>
        <v/>
      </c>
      <c r="LT12" s="218">
        <f>CashFlow!LT$7+IF(328=DispoMonth,DevFee*(1-DevFeeThirdPartySplit)+SponsorDispoFeePct*ExitValue,0)</f>
        <v/>
      </c>
      <c r="LU12" s="218">
        <f>CashFlow!LU$7+IF(329=DispoMonth,DevFee*(1-DevFeeThirdPartySplit)+SponsorDispoFeePct*ExitValue,0)</f>
        <v/>
      </c>
      <c r="LV12" s="218">
        <f>CashFlow!LV$7+IF(330=DispoMonth,DevFee*(1-DevFeeThirdPartySplit)+SponsorDispoFeePct*ExitValue,0)</f>
        <v/>
      </c>
      <c r="LW12" s="218">
        <f>CashFlow!LW$7+IF(331=DispoMonth,DevFee*(1-DevFeeThirdPartySplit)+SponsorDispoFeePct*ExitValue,0)</f>
        <v/>
      </c>
      <c r="LX12" s="218">
        <f>CashFlow!LX$7+IF(332=DispoMonth,DevFee*(1-DevFeeThirdPartySplit)+SponsorDispoFeePct*ExitValue,0)</f>
        <v/>
      </c>
      <c r="LY12" s="218">
        <f>CashFlow!LY$7+IF(333=DispoMonth,DevFee*(1-DevFeeThirdPartySplit)+SponsorDispoFeePct*ExitValue,0)</f>
        <v/>
      </c>
      <c r="LZ12" s="218">
        <f>CashFlow!LZ$7+IF(334=DispoMonth,DevFee*(1-DevFeeThirdPartySplit)+SponsorDispoFeePct*ExitValue,0)</f>
        <v/>
      </c>
      <c r="MA12" s="218">
        <f>CashFlow!MA$7+IF(335=DispoMonth,DevFee*(1-DevFeeThirdPartySplit)+SponsorDispoFeePct*ExitValue,0)</f>
        <v/>
      </c>
      <c r="MB12" s="218">
        <f>CashFlow!MB$7+IF(336=DispoMonth,DevFee*(1-DevFeeThirdPartySplit)+SponsorDispoFeePct*ExitValue,0)</f>
        <v/>
      </c>
      <c r="MC12" s="218">
        <f>CashFlow!MC$7+IF(337=DispoMonth,DevFee*(1-DevFeeThirdPartySplit)+SponsorDispoFeePct*ExitValue,0)</f>
        <v/>
      </c>
      <c r="MD12" s="218">
        <f>CashFlow!MD$7+IF(338=DispoMonth,DevFee*(1-DevFeeThirdPartySplit)+SponsorDispoFeePct*ExitValue,0)</f>
        <v/>
      </c>
      <c r="ME12" s="218">
        <f>CashFlow!ME$7+IF(339=DispoMonth,DevFee*(1-DevFeeThirdPartySplit)+SponsorDispoFeePct*ExitValue,0)</f>
        <v/>
      </c>
      <c r="MF12" s="218">
        <f>CashFlow!MF$7+IF(340=DispoMonth,DevFee*(1-DevFeeThirdPartySplit)+SponsorDispoFeePct*ExitValue,0)</f>
        <v/>
      </c>
      <c r="MG12" s="218">
        <f>CashFlow!MG$7+IF(341=DispoMonth,DevFee*(1-DevFeeThirdPartySplit)+SponsorDispoFeePct*ExitValue,0)</f>
        <v/>
      </c>
      <c r="MH12" s="218">
        <f>CashFlow!MH$7+IF(342=DispoMonth,DevFee*(1-DevFeeThirdPartySplit)+SponsorDispoFeePct*ExitValue,0)</f>
        <v/>
      </c>
      <c r="MI12" s="218">
        <f>CashFlow!MI$7+IF(343=DispoMonth,DevFee*(1-DevFeeThirdPartySplit)+SponsorDispoFeePct*ExitValue,0)</f>
        <v/>
      </c>
      <c r="MJ12" s="218">
        <f>CashFlow!MJ$7+IF(344=DispoMonth,DevFee*(1-DevFeeThirdPartySplit)+SponsorDispoFeePct*ExitValue,0)</f>
        <v/>
      </c>
      <c r="MK12" s="218">
        <f>CashFlow!MK$7+IF(345=DispoMonth,DevFee*(1-DevFeeThirdPartySplit)+SponsorDispoFeePct*ExitValue,0)</f>
        <v/>
      </c>
      <c r="ML12" s="218">
        <f>CashFlow!ML$7+IF(346=DispoMonth,DevFee*(1-DevFeeThirdPartySplit)+SponsorDispoFeePct*ExitValue,0)</f>
        <v/>
      </c>
      <c r="MM12" s="218">
        <f>CashFlow!MM$7+IF(347=DispoMonth,DevFee*(1-DevFeeThirdPartySplit)+SponsorDispoFeePct*ExitValue,0)</f>
        <v/>
      </c>
      <c r="MN12" s="218">
        <f>CashFlow!MN$7+IF(348=DispoMonth,DevFee*(1-DevFeeThirdPartySplit)+SponsorDispoFeePct*ExitValue,0)</f>
        <v/>
      </c>
      <c r="MO12" s="218">
        <f>CashFlow!MO$7+IF(349=DispoMonth,DevFee*(1-DevFeeThirdPartySplit)+SponsorDispoFeePct*ExitValue,0)</f>
        <v/>
      </c>
      <c r="MP12" s="218">
        <f>CashFlow!MP$7+IF(350=DispoMonth,DevFee*(1-DevFeeThirdPartySplit)+SponsorDispoFeePct*ExitValue,0)</f>
        <v/>
      </c>
      <c r="MQ12" s="218">
        <f>CashFlow!MQ$7+IF(351=DispoMonth,DevFee*(1-DevFeeThirdPartySplit)+SponsorDispoFeePct*ExitValue,0)</f>
        <v/>
      </c>
      <c r="MR12" s="218">
        <f>CashFlow!MR$7+IF(352=DispoMonth,DevFee*(1-DevFeeThirdPartySplit)+SponsorDispoFeePct*ExitValue,0)</f>
        <v/>
      </c>
      <c r="MS12" s="218">
        <f>CashFlow!MS$7+IF(353=DispoMonth,DevFee*(1-DevFeeThirdPartySplit)+SponsorDispoFeePct*ExitValue,0)</f>
        <v/>
      </c>
      <c r="MT12" s="218">
        <f>CashFlow!MT$7+IF(354=DispoMonth,DevFee*(1-DevFeeThirdPartySplit)+SponsorDispoFeePct*ExitValue,0)</f>
        <v/>
      </c>
      <c r="MU12" s="218">
        <f>CashFlow!MU$7+IF(355=DispoMonth,DevFee*(1-DevFeeThirdPartySplit)+SponsorDispoFeePct*ExitValue,0)</f>
        <v/>
      </c>
      <c r="MV12" s="218">
        <f>CashFlow!MV$7+IF(356=DispoMonth,DevFee*(1-DevFeeThirdPartySplit)+SponsorDispoFeePct*ExitValue,0)</f>
        <v/>
      </c>
      <c r="MW12" s="218">
        <f>CashFlow!MW$7+IF(357=DispoMonth,DevFee*(1-DevFeeThirdPartySplit)+SponsorDispoFeePct*ExitValue,0)</f>
        <v/>
      </c>
      <c r="MX12" s="218">
        <f>CashFlow!MX$7+IF(358=DispoMonth,DevFee*(1-DevFeeThirdPartySplit)+SponsorDispoFeePct*ExitValue,0)</f>
        <v/>
      </c>
      <c r="MY12" s="218">
        <f>CashFlow!MY$7+IF(359=DispoMonth,DevFee*(1-DevFeeThirdPartySplit)+SponsorDispoFeePct*ExitValue,0)</f>
        <v/>
      </c>
      <c r="MZ12" s="218">
        <f>CashFlow!MZ$7+IF(360=DispoMonth,DevFee*(1-DevFeeThirdPartySplit)+SponsorDispoFeePct*ExitValue,0)</f>
        <v/>
      </c>
      <c r="NA12" s="218">
        <f>CashFlow!NA$7+IF(361=DispoMonth,DevFee*(1-DevFeeThirdPartySplit)+SponsorDispoFeePct*ExitValue,0)</f>
        <v/>
      </c>
      <c r="NB12" s="218">
        <f>CashFlow!NB$7+IF(362=DispoMonth,DevFee*(1-DevFeeThirdPartySplit)+SponsorDispoFeePct*ExitValue,0)</f>
        <v/>
      </c>
      <c r="NC12" s="218">
        <f>CashFlow!NC$7+IF(363=DispoMonth,DevFee*(1-DevFeeThirdPartySplit)+SponsorDispoFeePct*ExitValue,0)</f>
        <v/>
      </c>
      <c r="ND12" s="218">
        <f>CashFlow!ND$7+IF(364=DispoMonth,DevFee*(1-DevFeeThirdPartySplit)+SponsorDispoFeePct*ExitValue,0)</f>
        <v/>
      </c>
      <c r="NE12" s="218">
        <f>CashFlow!NE$7+IF(365=DispoMonth,DevFee*(1-DevFeeThirdPartySplit)+SponsorDispoFeePct*ExitValue,0)</f>
        <v/>
      </c>
      <c r="NF12" s="218">
        <f>CashFlow!NF$7+IF(366=DispoMonth,DevFee*(1-DevFeeThirdPartySplit)+SponsorDispoFeePct*ExitValue,0)</f>
        <v/>
      </c>
      <c r="NG12" s="218">
        <f>CashFlow!NG$7+IF(367=DispoMonth,DevFee*(1-DevFeeThirdPartySplit)+SponsorDispoFeePct*ExitValue,0)</f>
        <v/>
      </c>
      <c r="NH12" s="218">
        <f>CashFlow!NH$7+IF(368=DispoMonth,DevFee*(1-DevFeeThirdPartySplit)+SponsorDispoFeePct*ExitValue,0)</f>
        <v/>
      </c>
      <c r="NI12" s="218">
        <f>CashFlow!NI$7+IF(369=DispoMonth,DevFee*(1-DevFeeThirdPartySplit)+SponsorDispoFeePct*ExitValue,0)</f>
        <v/>
      </c>
      <c r="NJ12" s="218">
        <f>CashFlow!NJ$7+IF(370=DispoMonth,DevFee*(1-DevFeeThirdPartySplit)+SponsorDispoFeePct*ExitValue,0)</f>
        <v/>
      </c>
      <c r="NK12" s="218">
        <f>CashFlow!NK$7+IF(371=DispoMonth,DevFee*(1-DevFeeThirdPartySplit)+SponsorDispoFeePct*ExitValue,0)</f>
        <v/>
      </c>
      <c r="NL12" s="218">
        <f>CashFlow!NL$7+IF(372=DispoMonth,DevFee*(1-DevFeeThirdPartySplit)+SponsorDispoFeePct*ExitValue,0)</f>
        <v/>
      </c>
    </row>
    <row r="13">
      <c r="B13" s="52" t="n"/>
      <c r="D13" s="53" t="n"/>
    </row>
    <row r="14">
      <c r="B14" s="36" t="inlineStr">
        <is>
          <t>Levered IRR (gross)</t>
        </is>
      </c>
      <c r="C14" s="140">
        <f>IFERROR((1+IRR(E11:NL11,0.01))^12-1,"n/a")</f>
        <v/>
      </c>
      <c r="D14" s="53" t="n"/>
    </row>
    <row r="15">
      <c r="B15" s="36" t="inlineStr">
        <is>
          <t>Unlevered IRR (gross)</t>
        </is>
      </c>
      <c r="C15" s="140">
        <f>IFERROR((1+IRR(E12:NL12,0.01))^12-1,"n/a")</f>
        <v/>
      </c>
      <c r="D15" s="53" t="n"/>
    </row>
    <row r="16">
      <c r="B16" s="36" t="inlineStr">
        <is>
          <t>Levered MOIC (gross)</t>
        </is>
      </c>
      <c r="C16" s="273">
        <f>IF(LevEquityIn=0,0,(SUMIF(E11:NL11,"&gt;0"))/LevEquityIn)</f>
        <v/>
      </c>
      <c r="D16" s="53" t="n"/>
    </row>
    <row r="17">
      <c r="B17" s="40" t="inlineStr">
        <is>
          <t>Unlevered MOIC (gross)</t>
        </is>
      </c>
      <c r="C17" s="274">
        <f>IF(UnlevInvested=0,0,(SUMIF(E12:NL12,"&gt;0"))/UnlevInvested)</f>
        <v/>
      </c>
      <c r="D17" s="66" t="n"/>
    </row>
    <row r="19">
      <c r="B19" s="34" t="inlineStr">
        <is>
          <t>Development Metrics</t>
        </is>
      </c>
      <c r="C19" s="60" t="n"/>
      <c r="D19" s="35" t="n"/>
    </row>
    <row r="20">
      <c r="B20" s="36" t="inlineStr">
        <is>
          <t>Yield on Cost (stabilized)</t>
        </is>
      </c>
      <c r="C20" s="140">
        <f>IF(TDC_Total=0,0,StabNOI_Untrended/TDC_Total)</f>
        <v/>
      </c>
      <c r="D20" s="53" t="n"/>
    </row>
    <row r="21">
      <c r="B21" s="36" t="inlineStr">
        <is>
          <t>Development Spread (%)</t>
        </is>
      </c>
      <c r="C21" s="140">
        <f>YieldOnCost-ExitCapResidential</f>
        <v/>
      </c>
      <c r="D21" s="53" t="n"/>
    </row>
    <row r="22">
      <c r="B22" s="36" t="inlineStr">
        <is>
          <t>Development Spread (bps)</t>
        </is>
      </c>
      <c r="C22" s="275">
        <f>(YieldOnCost-ExitCapResidential)*10000</f>
        <v/>
      </c>
      <c r="D22" s="53" t="n"/>
    </row>
    <row r="23">
      <c r="B23" s="36" t="inlineStr">
        <is>
          <t>Return on Cost — Current (Yr-1)</t>
        </is>
      </c>
      <c r="C23" s="140">
        <f>IF(TDC_Total=0,0,Year1NOI/TDC_Total)</f>
        <v/>
      </c>
      <c r="D23" s="53" t="n"/>
    </row>
    <row r="24">
      <c r="B24" s="36" t="inlineStr">
        <is>
          <t>Return on Cost — Stabilized</t>
        </is>
      </c>
      <c r="C24" s="140">
        <f>IF(TDC_Total=0,0,StabNOI_Untrended/TDC_Total)</f>
        <v/>
      </c>
      <c r="D24" s="53" t="n"/>
    </row>
    <row r="25">
      <c r="B25" s="36" t="inlineStr">
        <is>
          <t>Debt Yield — Stabilized (con)</t>
        </is>
      </c>
      <c r="C25" s="140">
        <f>IF(RefiFlag=1,IF(PermLoan=0,0,StabNOI_Untrended/PermLoan),IF(ConLoanTotal=0,0,StabNOI_Untrended/ConLoanTotal))</f>
        <v/>
      </c>
      <c r="D25" s="53" t="n"/>
    </row>
    <row r="26">
      <c r="B26" s="36" t="inlineStr">
        <is>
          <t>Total Development Cost</t>
        </is>
      </c>
      <c r="C26" s="255">
        <f>TDC_Total</f>
        <v/>
      </c>
      <c r="D26" s="53" t="n"/>
    </row>
    <row r="27">
      <c r="B27" s="36" t="inlineStr">
        <is>
          <t>TDC per Unit</t>
        </is>
      </c>
      <c r="C27" s="276">
        <f>IF(TotalUnits=0,0,TDC_Total/TotalUnits)</f>
        <v/>
      </c>
      <c r="D27" s="53" t="n"/>
    </row>
    <row r="28">
      <c r="B28" s="36" t="inlineStr">
        <is>
          <t>TDC per NRSF</t>
        </is>
      </c>
      <c r="C28" s="276">
        <f>IF(NRSF=0,0,TDC_Total/NRSF)</f>
        <v/>
      </c>
      <c r="D28" s="53" t="n"/>
    </row>
    <row r="29">
      <c r="B29" s="36" t="inlineStr">
        <is>
          <t>Current Basis per Unit</t>
        </is>
      </c>
      <c r="C29" s="276">
        <f>IF(TotalUnits=0,0,TDC_Total/TotalUnits)</f>
        <v/>
      </c>
      <c r="D29" s="53" t="n"/>
    </row>
    <row r="30">
      <c r="B30" s="40" t="inlineStr">
        <is>
          <t>Exit Basis per Unit</t>
        </is>
      </c>
      <c r="C30" s="277">
        <f>IF(TotalUnits=0,0,ExitValue/TotalUnits)</f>
        <v/>
      </c>
      <c r="D30" s="66" t="n"/>
    </row>
    <row r="32">
      <c r="B32" s="34" t="inlineStr">
        <is>
          <t>Static (No-Growth) Reference — Unlevered</t>
        </is>
      </c>
      <c r="C32" s="60" t="n"/>
      <c r="D32" s="35" t="n"/>
    </row>
    <row r="33">
      <c r="B33" s="122" t="inlineStr">
        <is>
          <t>Period →</t>
        </is>
      </c>
      <c r="D33" s="75" t="inlineStr">
        <is>
          <t>Total</t>
        </is>
      </c>
      <c r="E33" s="27" t="n">
        <v>1</v>
      </c>
      <c r="F33" s="27" t="n">
        <v>2</v>
      </c>
      <c r="G33" s="27" t="n">
        <v>3</v>
      </c>
      <c r="H33" s="27" t="n">
        <v>4</v>
      </c>
      <c r="I33" s="27" t="n">
        <v>5</v>
      </c>
      <c r="J33" s="27" t="n">
        <v>6</v>
      </c>
      <c r="K33" s="27" t="n">
        <v>7</v>
      </c>
      <c r="L33" s="27" t="n">
        <v>8</v>
      </c>
      <c r="M33" s="27" t="n">
        <v>9</v>
      </c>
      <c r="N33" s="27" t="n">
        <v>10</v>
      </c>
      <c r="O33" s="27" t="n">
        <v>11</v>
      </c>
      <c r="P33" s="27" t="n">
        <v>12</v>
      </c>
      <c r="Q33" s="27" t="n">
        <v>13</v>
      </c>
      <c r="R33" s="27" t="n">
        <v>14</v>
      </c>
      <c r="S33" s="27" t="n">
        <v>15</v>
      </c>
      <c r="T33" s="27" t="n">
        <v>16</v>
      </c>
      <c r="U33" s="27" t="n">
        <v>17</v>
      </c>
      <c r="V33" s="27" t="n">
        <v>18</v>
      </c>
      <c r="W33" s="27" t="n">
        <v>19</v>
      </c>
      <c r="X33" s="27" t="n">
        <v>20</v>
      </c>
      <c r="Y33" s="27" t="n">
        <v>21</v>
      </c>
      <c r="Z33" s="27" t="n">
        <v>22</v>
      </c>
      <c r="AA33" s="27" t="n">
        <v>23</v>
      </c>
      <c r="AB33" s="27" t="n">
        <v>24</v>
      </c>
      <c r="AC33" s="27" t="n">
        <v>25</v>
      </c>
      <c r="AD33" s="27" t="n">
        <v>26</v>
      </c>
      <c r="AE33" s="27" t="n">
        <v>27</v>
      </c>
      <c r="AF33" s="27" t="n">
        <v>28</v>
      </c>
      <c r="AG33" s="27" t="n">
        <v>29</v>
      </c>
      <c r="AH33" s="27" t="n">
        <v>30</v>
      </c>
      <c r="AI33" s="27" t="n">
        <v>31</v>
      </c>
      <c r="AJ33" s="27" t="n">
        <v>32</v>
      </c>
      <c r="AK33" s="27" t="n">
        <v>33</v>
      </c>
      <c r="AL33" s="27" t="n">
        <v>34</v>
      </c>
      <c r="AM33" s="27" t="n">
        <v>35</v>
      </c>
      <c r="AN33" s="27" t="n">
        <v>36</v>
      </c>
      <c r="AO33" s="27" t="n">
        <v>37</v>
      </c>
      <c r="AP33" s="27" t="n">
        <v>38</v>
      </c>
      <c r="AQ33" s="27" t="n">
        <v>39</v>
      </c>
      <c r="AR33" s="27" t="n">
        <v>40</v>
      </c>
      <c r="AS33" s="27" t="n">
        <v>41</v>
      </c>
      <c r="AT33" s="27" t="n">
        <v>42</v>
      </c>
      <c r="AU33" s="27" t="n">
        <v>43</v>
      </c>
      <c r="AV33" s="27" t="n">
        <v>44</v>
      </c>
      <c r="AW33" s="27" t="n">
        <v>45</v>
      </c>
      <c r="AX33" s="27" t="n">
        <v>46</v>
      </c>
      <c r="AY33" s="27" t="n">
        <v>47</v>
      </c>
      <c r="AZ33" s="27" t="n">
        <v>48</v>
      </c>
      <c r="BA33" s="27" t="n">
        <v>49</v>
      </c>
      <c r="BB33" s="27" t="n">
        <v>50</v>
      </c>
      <c r="BC33" s="27" t="n">
        <v>51</v>
      </c>
      <c r="BD33" s="27" t="n">
        <v>52</v>
      </c>
      <c r="BE33" s="27" t="n">
        <v>53</v>
      </c>
      <c r="BF33" s="27" t="n">
        <v>54</v>
      </c>
      <c r="BG33" s="27" t="n">
        <v>55</v>
      </c>
      <c r="BH33" s="27" t="n">
        <v>56</v>
      </c>
      <c r="BI33" s="27" t="n">
        <v>57</v>
      </c>
      <c r="BJ33" s="27" t="n">
        <v>58</v>
      </c>
      <c r="BK33" s="27" t="n">
        <v>59</v>
      </c>
      <c r="BL33" s="27" t="n">
        <v>60</v>
      </c>
      <c r="BM33" s="27" t="n">
        <v>61</v>
      </c>
      <c r="BN33" s="27" t="n">
        <v>62</v>
      </c>
      <c r="BO33" s="27" t="n">
        <v>63</v>
      </c>
      <c r="BP33" s="27" t="n">
        <v>64</v>
      </c>
      <c r="BQ33" s="27" t="n">
        <v>65</v>
      </c>
      <c r="BR33" s="27" t="n">
        <v>66</v>
      </c>
      <c r="BS33" s="27" t="n">
        <v>67</v>
      </c>
      <c r="BT33" s="27" t="n">
        <v>68</v>
      </c>
      <c r="BU33" s="27" t="n">
        <v>69</v>
      </c>
      <c r="BV33" s="27" t="n">
        <v>70</v>
      </c>
      <c r="BW33" s="27" t="n">
        <v>71</v>
      </c>
      <c r="BX33" s="27" t="n">
        <v>72</v>
      </c>
      <c r="BY33" s="27" t="n">
        <v>73</v>
      </c>
      <c r="BZ33" s="27" t="n">
        <v>74</v>
      </c>
      <c r="CA33" s="27" t="n">
        <v>75</v>
      </c>
      <c r="CB33" s="27" t="n">
        <v>76</v>
      </c>
      <c r="CC33" s="27" t="n">
        <v>77</v>
      </c>
      <c r="CD33" s="27" t="n">
        <v>78</v>
      </c>
      <c r="CE33" s="27" t="n">
        <v>79</v>
      </c>
      <c r="CF33" s="27" t="n">
        <v>80</v>
      </c>
      <c r="CG33" s="27" t="n">
        <v>81</v>
      </c>
      <c r="CH33" s="27" t="n">
        <v>82</v>
      </c>
      <c r="CI33" s="27" t="n">
        <v>83</v>
      </c>
      <c r="CJ33" s="27" t="n">
        <v>84</v>
      </c>
      <c r="CK33" s="27" t="n">
        <v>85</v>
      </c>
      <c r="CL33" s="27" t="n">
        <v>86</v>
      </c>
      <c r="CM33" s="27" t="n">
        <v>87</v>
      </c>
      <c r="CN33" s="27" t="n">
        <v>88</v>
      </c>
      <c r="CO33" s="27" t="n">
        <v>89</v>
      </c>
      <c r="CP33" s="27" t="n">
        <v>90</v>
      </c>
      <c r="CQ33" s="27" t="n">
        <v>91</v>
      </c>
      <c r="CR33" s="27" t="n">
        <v>92</v>
      </c>
      <c r="CS33" s="27" t="n">
        <v>93</v>
      </c>
      <c r="CT33" s="27" t="n">
        <v>94</v>
      </c>
      <c r="CU33" s="27" t="n">
        <v>95</v>
      </c>
      <c r="CV33" s="27" t="n">
        <v>96</v>
      </c>
      <c r="CW33" s="27" t="n">
        <v>97</v>
      </c>
      <c r="CX33" s="27" t="n">
        <v>98</v>
      </c>
      <c r="CY33" s="27" t="n">
        <v>99</v>
      </c>
      <c r="CZ33" s="27" t="n">
        <v>100</v>
      </c>
      <c r="DA33" s="27" t="n">
        <v>101</v>
      </c>
      <c r="DB33" s="27" t="n">
        <v>102</v>
      </c>
      <c r="DC33" s="27" t="n">
        <v>103</v>
      </c>
      <c r="DD33" s="27" t="n">
        <v>104</v>
      </c>
      <c r="DE33" s="27" t="n">
        <v>105</v>
      </c>
      <c r="DF33" s="27" t="n">
        <v>106</v>
      </c>
      <c r="DG33" s="27" t="n">
        <v>107</v>
      </c>
      <c r="DH33" s="27" t="n">
        <v>108</v>
      </c>
      <c r="DI33" s="27" t="n">
        <v>109</v>
      </c>
      <c r="DJ33" s="27" t="n">
        <v>110</v>
      </c>
      <c r="DK33" s="27" t="n">
        <v>111</v>
      </c>
      <c r="DL33" s="27" t="n">
        <v>112</v>
      </c>
      <c r="DM33" s="27" t="n">
        <v>113</v>
      </c>
      <c r="DN33" s="27" t="n">
        <v>114</v>
      </c>
      <c r="DO33" s="27" t="n">
        <v>115</v>
      </c>
      <c r="DP33" s="27" t="n">
        <v>116</v>
      </c>
      <c r="DQ33" s="27" t="n">
        <v>117</v>
      </c>
      <c r="DR33" s="27" t="n">
        <v>118</v>
      </c>
      <c r="DS33" s="27" t="n">
        <v>119</v>
      </c>
      <c r="DT33" s="27" t="n">
        <v>120</v>
      </c>
      <c r="DU33" s="27" t="n">
        <v>121</v>
      </c>
      <c r="DV33" s="27" t="n">
        <v>122</v>
      </c>
      <c r="DW33" s="27" t="n">
        <v>123</v>
      </c>
      <c r="DX33" s="27" t="n">
        <v>124</v>
      </c>
      <c r="DY33" s="27" t="n">
        <v>125</v>
      </c>
      <c r="DZ33" s="27" t="n">
        <v>126</v>
      </c>
      <c r="EA33" s="27" t="n">
        <v>127</v>
      </c>
      <c r="EB33" s="27" t="n">
        <v>128</v>
      </c>
      <c r="EC33" s="27" t="n">
        <v>129</v>
      </c>
      <c r="ED33" s="27" t="n">
        <v>130</v>
      </c>
      <c r="EE33" s="27" t="n">
        <v>131</v>
      </c>
      <c r="EF33" s="27" t="n">
        <v>132</v>
      </c>
      <c r="EG33" s="27" t="n">
        <v>133</v>
      </c>
      <c r="EH33" s="27" t="n">
        <v>134</v>
      </c>
      <c r="EI33" s="27" t="n">
        <v>135</v>
      </c>
      <c r="EJ33" s="27" t="n">
        <v>136</v>
      </c>
      <c r="EK33" s="27" t="n">
        <v>137</v>
      </c>
      <c r="EL33" s="27" t="n">
        <v>138</v>
      </c>
      <c r="EM33" s="27" t="n">
        <v>139</v>
      </c>
      <c r="EN33" s="27" t="n">
        <v>140</v>
      </c>
      <c r="EO33" s="27" t="n">
        <v>141</v>
      </c>
      <c r="EP33" s="27" t="n">
        <v>142</v>
      </c>
      <c r="EQ33" s="27" t="n">
        <v>143</v>
      </c>
      <c r="ER33" s="27" t="n">
        <v>144</v>
      </c>
      <c r="ES33" s="27" t="n">
        <v>145</v>
      </c>
      <c r="ET33" s="27" t="n">
        <v>146</v>
      </c>
      <c r="EU33" s="27" t="n">
        <v>147</v>
      </c>
      <c r="EV33" s="27" t="n">
        <v>148</v>
      </c>
      <c r="EW33" s="27" t="n">
        <v>149</v>
      </c>
      <c r="EX33" s="27" t="n">
        <v>150</v>
      </c>
      <c r="EY33" s="27" t="n">
        <v>151</v>
      </c>
      <c r="EZ33" s="27" t="n">
        <v>152</v>
      </c>
      <c r="FA33" s="27" t="n">
        <v>153</v>
      </c>
      <c r="FB33" s="27" t="n">
        <v>154</v>
      </c>
      <c r="FC33" s="27" t="n">
        <v>155</v>
      </c>
      <c r="FD33" s="27" t="n">
        <v>156</v>
      </c>
      <c r="FE33" s="27" t="n">
        <v>157</v>
      </c>
      <c r="FF33" s="27" t="n">
        <v>158</v>
      </c>
      <c r="FG33" s="27" t="n">
        <v>159</v>
      </c>
      <c r="FH33" s="27" t="n">
        <v>160</v>
      </c>
      <c r="FI33" s="27" t="n">
        <v>161</v>
      </c>
      <c r="FJ33" s="27" t="n">
        <v>162</v>
      </c>
      <c r="FK33" s="27" t="n">
        <v>163</v>
      </c>
      <c r="FL33" s="27" t="n">
        <v>164</v>
      </c>
      <c r="FM33" s="27" t="n">
        <v>165</v>
      </c>
      <c r="FN33" s="27" t="n">
        <v>166</v>
      </c>
      <c r="FO33" s="27" t="n">
        <v>167</v>
      </c>
      <c r="FP33" s="27" t="n">
        <v>168</v>
      </c>
      <c r="FQ33" s="27" t="n">
        <v>169</v>
      </c>
      <c r="FR33" s="27" t="n">
        <v>170</v>
      </c>
      <c r="FS33" s="27" t="n">
        <v>171</v>
      </c>
      <c r="FT33" s="27" t="n">
        <v>172</v>
      </c>
      <c r="FU33" s="27" t="n">
        <v>173</v>
      </c>
      <c r="FV33" s="27" t="n">
        <v>174</v>
      </c>
      <c r="FW33" s="27" t="n">
        <v>175</v>
      </c>
      <c r="FX33" s="27" t="n">
        <v>176</v>
      </c>
      <c r="FY33" s="27" t="n">
        <v>177</v>
      </c>
      <c r="FZ33" s="27" t="n">
        <v>178</v>
      </c>
      <c r="GA33" s="27" t="n">
        <v>179</v>
      </c>
      <c r="GB33" s="27" t="n">
        <v>180</v>
      </c>
      <c r="GC33" s="27" t="n">
        <v>181</v>
      </c>
      <c r="GD33" s="27" t="n">
        <v>182</v>
      </c>
      <c r="GE33" s="27" t="n">
        <v>183</v>
      </c>
      <c r="GF33" s="27" t="n">
        <v>184</v>
      </c>
      <c r="GG33" s="27" t="n">
        <v>185</v>
      </c>
      <c r="GH33" s="27" t="n">
        <v>186</v>
      </c>
      <c r="GI33" s="27" t="n">
        <v>187</v>
      </c>
      <c r="GJ33" s="27" t="n">
        <v>188</v>
      </c>
      <c r="GK33" s="27" t="n">
        <v>189</v>
      </c>
      <c r="GL33" s="27" t="n">
        <v>190</v>
      </c>
      <c r="GM33" s="27" t="n">
        <v>191</v>
      </c>
      <c r="GN33" s="27" t="n">
        <v>192</v>
      </c>
      <c r="GO33" s="27" t="n">
        <v>193</v>
      </c>
      <c r="GP33" s="27" t="n">
        <v>194</v>
      </c>
      <c r="GQ33" s="27" t="n">
        <v>195</v>
      </c>
      <c r="GR33" s="27" t="n">
        <v>196</v>
      </c>
      <c r="GS33" s="27" t="n">
        <v>197</v>
      </c>
      <c r="GT33" s="27" t="n">
        <v>198</v>
      </c>
      <c r="GU33" s="27" t="n">
        <v>199</v>
      </c>
      <c r="GV33" s="27" t="n">
        <v>200</v>
      </c>
      <c r="GW33" s="27" t="n">
        <v>201</v>
      </c>
      <c r="GX33" s="27" t="n">
        <v>202</v>
      </c>
      <c r="GY33" s="27" t="n">
        <v>203</v>
      </c>
      <c r="GZ33" s="27" t="n">
        <v>204</v>
      </c>
      <c r="HA33" s="27" t="n">
        <v>205</v>
      </c>
      <c r="HB33" s="27" t="n">
        <v>206</v>
      </c>
      <c r="HC33" s="27" t="n">
        <v>207</v>
      </c>
      <c r="HD33" s="27" t="n">
        <v>208</v>
      </c>
      <c r="HE33" s="27" t="n">
        <v>209</v>
      </c>
      <c r="HF33" s="27" t="n">
        <v>210</v>
      </c>
      <c r="HG33" s="27" t="n">
        <v>211</v>
      </c>
      <c r="HH33" s="27" t="n">
        <v>212</v>
      </c>
      <c r="HI33" s="27" t="n">
        <v>213</v>
      </c>
      <c r="HJ33" s="27" t="n">
        <v>214</v>
      </c>
      <c r="HK33" s="27" t="n">
        <v>215</v>
      </c>
      <c r="HL33" s="27" t="n">
        <v>216</v>
      </c>
      <c r="HM33" s="27" t="n">
        <v>217</v>
      </c>
      <c r="HN33" s="27" t="n">
        <v>218</v>
      </c>
      <c r="HO33" s="27" t="n">
        <v>219</v>
      </c>
      <c r="HP33" s="27" t="n">
        <v>220</v>
      </c>
      <c r="HQ33" s="27" t="n">
        <v>221</v>
      </c>
      <c r="HR33" s="27" t="n">
        <v>222</v>
      </c>
      <c r="HS33" s="27" t="n">
        <v>223</v>
      </c>
      <c r="HT33" s="27" t="n">
        <v>224</v>
      </c>
      <c r="HU33" s="27" t="n">
        <v>225</v>
      </c>
      <c r="HV33" s="27" t="n">
        <v>226</v>
      </c>
      <c r="HW33" s="27" t="n">
        <v>227</v>
      </c>
      <c r="HX33" s="27" t="n">
        <v>228</v>
      </c>
      <c r="HY33" s="27" t="n">
        <v>229</v>
      </c>
      <c r="HZ33" s="27" t="n">
        <v>230</v>
      </c>
      <c r="IA33" s="27" t="n">
        <v>231</v>
      </c>
      <c r="IB33" s="27" t="n">
        <v>232</v>
      </c>
      <c r="IC33" s="27" t="n">
        <v>233</v>
      </c>
      <c r="ID33" s="27" t="n">
        <v>234</v>
      </c>
      <c r="IE33" s="27" t="n">
        <v>235</v>
      </c>
      <c r="IF33" s="27" t="n">
        <v>236</v>
      </c>
      <c r="IG33" s="27" t="n">
        <v>237</v>
      </c>
      <c r="IH33" s="27" t="n">
        <v>238</v>
      </c>
      <c r="II33" s="27" t="n">
        <v>239</v>
      </c>
      <c r="IJ33" s="27" t="n">
        <v>240</v>
      </c>
      <c r="IK33" s="27" t="n">
        <v>241</v>
      </c>
      <c r="IL33" s="27" t="n">
        <v>242</v>
      </c>
      <c r="IM33" s="27" t="n">
        <v>243</v>
      </c>
      <c r="IN33" s="27" t="n">
        <v>244</v>
      </c>
      <c r="IO33" s="27" t="n">
        <v>245</v>
      </c>
      <c r="IP33" s="27" t="n">
        <v>246</v>
      </c>
      <c r="IQ33" s="27" t="n">
        <v>247</v>
      </c>
      <c r="IR33" s="27" t="n">
        <v>248</v>
      </c>
      <c r="IS33" s="27" t="n">
        <v>249</v>
      </c>
      <c r="IT33" s="27" t="n">
        <v>250</v>
      </c>
      <c r="IU33" s="27" t="n">
        <v>251</v>
      </c>
      <c r="IV33" s="27" t="n">
        <v>252</v>
      </c>
      <c r="IW33" s="27" t="n">
        <v>253</v>
      </c>
      <c r="IX33" s="27" t="n">
        <v>254</v>
      </c>
      <c r="IY33" s="27" t="n">
        <v>255</v>
      </c>
      <c r="IZ33" s="27" t="n">
        <v>256</v>
      </c>
      <c r="JA33" s="27" t="n">
        <v>257</v>
      </c>
      <c r="JB33" s="27" t="n">
        <v>258</v>
      </c>
      <c r="JC33" s="27" t="n">
        <v>259</v>
      </c>
      <c r="JD33" s="27" t="n">
        <v>260</v>
      </c>
      <c r="JE33" s="27" t="n">
        <v>261</v>
      </c>
      <c r="JF33" s="27" t="n">
        <v>262</v>
      </c>
      <c r="JG33" s="27" t="n">
        <v>263</v>
      </c>
      <c r="JH33" s="27" t="n">
        <v>264</v>
      </c>
      <c r="JI33" s="27" t="n">
        <v>265</v>
      </c>
      <c r="JJ33" s="27" t="n">
        <v>266</v>
      </c>
      <c r="JK33" s="27" t="n">
        <v>267</v>
      </c>
      <c r="JL33" s="27" t="n">
        <v>268</v>
      </c>
      <c r="JM33" s="27" t="n">
        <v>269</v>
      </c>
      <c r="JN33" s="27" t="n">
        <v>270</v>
      </c>
      <c r="JO33" s="27" t="n">
        <v>271</v>
      </c>
      <c r="JP33" s="27" t="n">
        <v>272</v>
      </c>
      <c r="JQ33" s="27" t="n">
        <v>273</v>
      </c>
      <c r="JR33" s="27" t="n">
        <v>274</v>
      </c>
      <c r="JS33" s="27" t="n">
        <v>275</v>
      </c>
      <c r="JT33" s="27" t="n">
        <v>276</v>
      </c>
      <c r="JU33" s="27" t="n">
        <v>277</v>
      </c>
      <c r="JV33" s="27" t="n">
        <v>278</v>
      </c>
      <c r="JW33" s="27" t="n">
        <v>279</v>
      </c>
      <c r="JX33" s="27" t="n">
        <v>280</v>
      </c>
      <c r="JY33" s="27" t="n">
        <v>281</v>
      </c>
      <c r="JZ33" s="27" t="n">
        <v>282</v>
      </c>
      <c r="KA33" s="27" t="n">
        <v>283</v>
      </c>
      <c r="KB33" s="27" t="n">
        <v>284</v>
      </c>
      <c r="KC33" s="27" t="n">
        <v>285</v>
      </c>
      <c r="KD33" s="27" t="n">
        <v>286</v>
      </c>
      <c r="KE33" s="27" t="n">
        <v>287</v>
      </c>
      <c r="KF33" s="27" t="n">
        <v>288</v>
      </c>
      <c r="KG33" s="27" t="n">
        <v>289</v>
      </c>
      <c r="KH33" s="27" t="n">
        <v>290</v>
      </c>
      <c r="KI33" s="27" t="n">
        <v>291</v>
      </c>
      <c r="KJ33" s="27" t="n">
        <v>292</v>
      </c>
      <c r="KK33" s="27" t="n">
        <v>293</v>
      </c>
      <c r="KL33" s="27" t="n">
        <v>294</v>
      </c>
      <c r="KM33" s="27" t="n">
        <v>295</v>
      </c>
      <c r="KN33" s="27" t="n">
        <v>296</v>
      </c>
      <c r="KO33" s="27" t="n">
        <v>297</v>
      </c>
      <c r="KP33" s="27" t="n">
        <v>298</v>
      </c>
      <c r="KQ33" s="27" t="n">
        <v>299</v>
      </c>
      <c r="KR33" s="27" t="n">
        <v>300</v>
      </c>
      <c r="KS33" s="27" t="n">
        <v>301</v>
      </c>
      <c r="KT33" s="27" t="n">
        <v>302</v>
      </c>
      <c r="KU33" s="27" t="n">
        <v>303</v>
      </c>
      <c r="KV33" s="27" t="n">
        <v>304</v>
      </c>
      <c r="KW33" s="27" t="n">
        <v>305</v>
      </c>
      <c r="KX33" s="27" t="n">
        <v>306</v>
      </c>
      <c r="KY33" s="27" t="n">
        <v>307</v>
      </c>
      <c r="KZ33" s="27" t="n">
        <v>308</v>
      </c>
      <c r="LA33" s="27" t="n">
        <v>309</v>
      </c>
      <c r="LB33" s="27" t="n">
        <v>310</v>
      </c>
      <c r="LC33" s="27" t="n">
        <v>311</v>
      </c>
      <c r="LD33" s="27" t="n">
        <v>312</v>
      </c>
      <c r="LE33" s="27" t="n">
        <v>313</v>
      </c>
      <c r="LF33" s="27" t="n">
        <v>314</v>
      </c>
      <c r="LG33" s="27" t="n">
        <v>315</v>
      </c>
      <c r="LH33" s="27" t="n">
        <v>316</v>
      </c>
      <c r="LI33" s="27" t="n">
        <v>317</v>
      </c>
      <c r="LJ33" s="27" t="n">
        <v>318</v>
      </c>
      <c r="LK33" s="27" t="n">
        <v>319</v>
      </c>
      <c r="LL33" s="27" t="n">
        <v>320</v>
      </c>
      <c r="LM33" s="27" t="n">
        <v>321</v>
      </c>
      <c r="LN33" s="27" t="n">
        <v>322</v>
      </c>
      <c r="LO33" s="27" t="n">
        <v>323</v>
      </c>
      <c r="LP33" s="27" t="n">
        <v>324</v>
      </c>
      <c r="LQ33" s="27" t="n">
        <v>325</v>
      </c>
      <c r="LR33" s="27" t="n">
        <v>326</v>
      </c>
      <c r="LS33" s="27" t="n">
        <v>327</v>
      </c>
      <c r="LT33" s="27" t="n">
        <v>328</v>
      </c>
      <c r="LU33" s="27" t="n">
        <v>329</v>
      </c>
      <c r="LV33" s="27" t="n">
        <v>330</v>
      </c>
      <c r="LW33" s="27" t="n">
        <v>331</v>
      </c>
      <c r="LX33" s="27" t="n">
        <v>332</v>
      </c>
      <c r="LY33" s="27" t="n">
        <v>333</v>
      </c>
      <c r="LZ33" s="27" t="n">
        <v>334</v>
      </c>
      <c r="MA33" s="27" t="n">
        <v>335</v>
      </c>
      <c r="MB33" s="27" t="n">
        <v>336</v>
      </c>
      <c r="MC33" s="27" t="n">
        <v>337</v>
      </c>
      <c r="MD33" s="27" t="n">
        <v>338</v>
      </c>
      <c r="ME33" s="27" t="n">
        <v>339</v>
      </c>
      <c r="MF33" s="27" t="n">
        <v>340</v>
      </c>
      <c r="MG33" s="27" t="n">
        <v>341</v>
      </c>
      <c r="MH33" s="27" t="n">
        <v>342</v>
      </c>
      <c r="MI33" s="27" t="n">
        <v>343</v>
      </c>
      <c r="MJ33" s="27" t="n">
        <v>344</v>
      </c>
      <c r="MK33" s="27" t="n">
        <v>345</v>
      </c>
      <c r="ML33" s="27" t="n">
        <v>346</v>
      </c>
      <c r="MM33" s="27" t="n">
        <v>347</v>
      </c>
      <c r="MN33" s="27" t="n">
        <v>348</v>
      </c>
      <c r="MO33" s="27" t="n">
        <v>349</v>
      </c>
      <c r="MP33" s="27" t="n">
        <v>350</v>
      </c>
      <c r="MQ33" s="27" t="n">
        <v>351</v>
      </c>
      <c r="MR33" s="27" t="n">
        <v>352</v>
      </c>
      <c r="MS33" s="27" t="n">
        <v>353</v>
      </c>
      <c r="MT33" s="27" t="n">
        <v>354</v>
      </c>
      <c r="MU33" s="27" t="n">
        <v>355</v>
      </c>
      <c r="MV33" s="27" t="n">
        <v>356</v>
      </c>
      <c r="MW33" s="27" t="n">
        <v>357</v>
      </c>
      <c r="MX33" s="27" t="n">
        <v>358</v>
      </c>
      <c r="MY33" s="27" t="n">
        <v>359</v>
      </c>
      <c r="MZ33" s="27" t="n">
        <v>360</v>
      </c>
      <c r="NA33" s="27" t="n">
        <v>361</v>
      </c>
      <c r="NB33" s="27" t="n">
        <v>362</v>
      </c>
      <c r="NC33" s="27" t="n">
        <v>363</v>
      </c>
      <c r="ND33" s="27" t="n">
        <v>364</v>
      </c>
      <c r="NE33" s="27" t="n">
        <v>365</v>
      </c>
      <c r="NF33" s="27" t="n">
        <v>366</v>
      </c>
      <c r="NG33" s="27" t="n">
        <v>367</v>
      </c>
      <c r="NH33" s="27" t="n">
        <v>368</v>
      </c>
      <c r="NI33" s="27" t="n">
        <v>369</v>
      </c>
      <c r="NJ33" s="27" t="n">
        <v>370</v>
      </c>
      <c r="NK33" s="27" t="n">
        <v>371</v>
      </c>
      <c r="NL33" s="27" t="n">
        <v>372</v>
      </c>
    </row>
    <row r="34">
      <c r="B34" s="36" t="inlineStr">
        <is>
          <t>Static Fwd NOI before Tax</t>
        </is>
      </c>
      <c r="C34" s="227">
        <f>SUM(INDEX(Operating!E$68:'Operating'!NL$68,DispoMonth+1):INDEX(Operating!E$68:'Operating'!NL$68,DispoMonth+12))</f>
        <v/>
      </c>
      <c r="D34" s="53" t="n"/>
    </row>
    <row r="35">
      <c r="B35" s="36" t="inlineStr">
        <is>
          <t>Static Fwd NOI after Tax</t>
        </is>
      </c>
      <c r="C35" s="227">
        <f>SUM(INDEX(Operating!E$70:'Operating'!NL$70,DispoMonth+1):INDEX(Operating!E$70:'Operating'!NL$70,DispoMonth+12))</f>
        <v/>
      </c>
      <c r="D35" s="53" t="n"/>
    </row>
    <row r="36">
      <c r="B36" s="36" t="inlineStr">
        <is>
          <t>Static Exit Value</t>
        </is>
      </c>
      <c r="C36" s="227">
        <f>IF(ReassessOnSale&gt;=1,IF((BlendedExitCap+DispoEffTaxRate)=0,0,StaticFwdNOIbt/(BlendedExitCap+DispoEffTaxRate)),IF(BlendedExitCap=0,0,StaticFwdNOI/BlendedExitCap))</f>
        <v/>
      </c>
      <c r="D36" s="53" t="n"/>
    </row>
    <row r="37">
      <c r="B37" s="36" t="inlineStr">
        <is>
          <t>Static Net Sale (unlevered)</t>
        </is>
      </c>
      <c r="C37" s="227">
        <f>StaticExitValue*(1-BrokerCostPct-SalesTaxPct-SponsorDispoFeePct)-INDEX(Operating!E$69:'Operating'!NL$69,MAX(1,DispoMonth))*TaxProrationMonths</f>
        <v/>
      </c>
      <c r="D37" s="53" t="n"/>
    </row>
    <row r="38">
      <c r="B38" s="122" t="inlineStr">
        <is>
          <t>Period →</t>
        </is>
      </c>
      <c r="D38" s="75" t="inlineStr">
        <is>
          <t>Total</t>
        </is>
      </c>
      <c r="E38" s="27" t="n">
        <v>1</v>
      </c>
      <c r="F38" s="27" t="n">
        <v>2</v>
      </c>
      <c r="G38" s="27" t="n">
        <v>3</v>
      </c>
      <c r="H38" s="27" t="n">
        <v>4</v>
      </c>
      <c r="I38" s="27" t="n">
        <v>5</v>
      </c>
      <c r="J38" s="27" t="n">
        <v>6</v>
      </c>
      <c r="K38" s="27" t="n">
        <v>7</v>
      </c>
      <c r="L38" s="27" t="n">
        <v>8</v>
      </c>
      <c r="M38" s="27" t="n">
        <v>9</v>
      </c>
      <c r="N38" s="27" t="n">
        <v>10</v>
      </c>
      <c r="O38" s="27" t="n">
        <v>11</v>
      </c>
      <c r="P38" s="27" t="n">
        <v>12</v>
      </c>
      <c r="Q38" s="27" t="n">
        <v>13</v>
      </c>
      <c r="R38" s="27" t="n">
        <v>14</v>
      </c>
      <c r="S38" s="27" t="n">
        <v>15</v>
      </c>
      <c r="T38" s="27" t="n">
        <v>16</v>
      </c>
      <c r="U38" s="27" t="n">
        <v>17</v>
      </c>
      <c r="V38" s="27" t="n">
        <v>18</v>
      </c>
      <c r="W38" s="27" t="n">
        <v>19</v>
      </c>
      <c r="X38" s="27" t="n">
        <v>20</v>
      </c>
      <c r="Y38" s="27" t="n">
        <v>21</v>
      </c>
      <c r="Z38" s="27" t="n">
        <v>22</v>
      </c>
      <c r="AA38" s="27" t="n">
        <v>23</v>
      </c>
      <c r="AB38" s="27" t="n">
        <v>24</v>
      </c>
      <c r="AC38" s="27" t="n">
        <v>25</v>
      </c>
      <c r="AD38" s="27" t="n">
        <v>26</v>
      </c>
      <c r="AE38" s="27" t="n">
        <v>27</v>
      </c>
      <c r="AF38" s="27" t="n">
        <v>28</v>
      </c>
      <c r="AG38" s="27" t="n">
        <v>29</v>
      </c>
      <c r="AH38" s="27" t="n">
        <v>30</v>
      </c>
      <c r="AI38" s="27" t="n">
        <v>31</v>
      </c>
      <c r="AJ38" s="27" t="n">
        <v>32</v>
      </c>
      <c r="AK38" s="27" t="n">
        <v>33</v>
      </c>
      <c r="AL38" s="27" t="n">
        <v>34</v>
      </c>
      <c r="AM38" s="27" t="n">
        <v>35</v>
      </c>
      <c r="AN38" s="27" t="n">
        <v>36</v>
      </c>
      <c r="AO38" s="27" t="n">
        <v>37</v>
      </c>
      <c r="AP38" s="27" t="n">
        <v>38</v>
      </c>
      <c r="AQ38" s="27" t="n">
        <v>39</v>
      </c>
      <c r="AR38" s="27" t="n">
        <v>40</v>
      </c>
      <c r="AS38" s="27" t="n">
        <v>41</v>
      </c>
      <c r="AT38" s="27" t="n">
        <v>42</v>
      </c>
      <c r="AU38" s="27" t="n">
        <v>43</v>
      </c>
      <c r="AV38" s="27" t="n">
        <v>44</v>
      </c>
      <c r="AW38" s="27" t="n">
        <v>45</v>
      </c>
      <c r="AX38" s="27" t="n">
        <v>46</v>
      </c>
      <c r="AY38" s="27" t="n">
        <v>47</v>
      </c>
      <c r="AZ38" s="27" t="n">
        <v>48</v>
      </c>
      <c r="BA38" s="27" t="n">
        <v>49</v>
      </c>
      <c r="BB38" s="27" t="n">
        <v>50</v>
      </c>
      <c r="BC38" s="27" t="n">
        <v>51</v>
      </c>
      <c r="BD38" s="27" t="n">
        <v>52</v>
      </c>
      <c r="BE38" s="27" t="n">
        <v>53</v>
      </c>
      <c r="BF38" s="27" t="n">
        <v>54</v>
      </c>
      <c r="BG38" s="27" t="n">
        <v>55</v>
      </c>
      <c r="BH38" s="27" t="n">
        <v>56</v>
      </c>
      <c r="BI38" s="27" t="n">
        <v>57</v>
      </c>
      <c r="BJ38" s="27" t="n">
        <v>58</v>
      </c>
      <c r="BK38" s="27" t="n">
        <v>59</v>
      </c>
      <c r="BL38" s="27" t="n">
        <v>60</v>
      </c>
      <c r="BM38" s="27" t="n">
        <v>61</v>
      </c>
      <c r="BN38" s="27" t="n">
        <v>62</v>
      </c>
      <c r="BO38" s="27" t="n">
        <v>63</v>
      </c>
      <c r="BP38" s="27" t="n">
        <v>64</v>
      </c>
      <c r="BQ38" s="27" t="n">
        <v>65</v>
      </c>
      <c r="BR38" s="27" t="n">
        <v>66</v>
      </c>
      <c r="BS38" s="27" t="n">
        <v>67</v>
      </c>
      <c r="BT38" s="27" t="n">
        <v>68</v>
      </c>
      <c r="BU38" s="27" t="n">
        <v>69</v>
      </c>
      <c r="BV38" s="27" t="n">
        <v>70</v>
      </c>
      <c r="BW38" s="27" t="n">
        <v>71</v>
      </c>
      <c r="BX38" s="27" t="n">
        <v>72</v>
      </c>
      <c r="BY38" s="27" t="n">
        <v>73</v>
      </c>
      <c r="BZ38" s="27" t="n">
        <v>74</v>
      </c>
      <c r="CA38" s="27" t="n">
        <v>75</v>
      </c>
      <c r="CB38" s="27" t="n">
        <v>76</v>
      </c>
      <c r="CC38" s="27" t="n">
        <v>77</v>
      </c>
      <c r="CD38" s="27" t="n">
        <v>78</v>
      </c>
      <c r="CE38" s="27" t="n">
        <v>79</v>
      </c>
      <c r="CF38" s="27" t="n">
        <v>80</v>
      </c>
      <c r="CG38" s="27" t="n">
        <v>81</v>
      </c>
      <c r="CH38" s="27" t="n">
        <v>82</v>
      </c>
      <c r="CI38" s="27" t="n">
        <v>83</v>
      </c>
      <c r="CJ38" s="27" t="n">
        <v>84</v>
      </c>
      <c r="CK38" s="27" t="n">
        <v>85</v>
      </c>
      <c r="CL38" s="27" t="n">
        <v>86</v>
      </c>
      <c r="CM38" s="27" t="n">
        <v>87</v>
      </c>
      <c r="CN38" s="27" t="n">
        <v>88</v>
      </c>
      <c r="CO38" s="27" t="n">
        <v>89</v>
      </c>
      <c r="CP38" s="27" t="n">
        <v>90</v>
      </c>
      <c r="CQ38" s="27" t="n">
        <v>91</v>
      </c>
      <c r="CR38" s="27" t="n">
        <v>92</v>
      </c>
      <c r="CS38" s="27" t="n">
        <v>93</v>
      </c>
      <c r="CT38" s="27" t="n">
        <v>94</v>
      </c>
      <c r="CU38" s="27" t="n">
        <v>95</v>
      </c>
      <c r="CV38" s="27" t="n">
        <v>96</v>
      </c>
      <c r="CW38" s="27" t="n">
        <v>97</v>
      </c>
      <c r="CX38" s="27" t="n">
        <v>98</v>
      </c>
      <c r="CY38" s="27" t="n">
        <v>99</v>
      </c>
      <c r="CZ38" s="27" t="n">
        <v>100</v>
      </c>
      <c r="DA38" s="27" t="n">
        <v>101</v>
      </c>
      <c r="DB38" s="27" t="n">
        <v>102</v>
      </c>
      <c r="DC38" s="27" t="n">
        <v>103</v>
      </c>
      <c r="DD38" s="27" t="n">
        <v>104</v>
      </c>
      <c r="DE38" s="27" t="n">
        <v>105</v>
      </c>
      <c r="DF38" s="27" t="n">
        <v>106</v>
      </c>
      <c r="DG38" s="27" t="n">
        <v>107</v>
      </c>
      <c r="DH38" s="27" t="n">
        <v>108</v>
      </c>
      <c r="DI38" s="27" t="n">
        <v>109</v>
      </c>
      <c r="DJ38" s="27" t="n">
        <v>110</v>
      </c>
      <c r="DK38" s="27" t="n">
        <v>111</v>
      </c>
      <c r="DL38" s="27" t="n">
        <v>112</v>
      </c>
      <c r="DM38" s="27" t="n">
        <v>113</v>
      </c>
      <c r="DN38" s="27" t="n">
        <v>114</v>
      </c>
      <c r="DO38" s="27" t="n">
        <v>115</v>
      </c>
      <c r="DP38" s="27" t="n">
        <v>116</v>
      </c>
      <c r="DQ38" s="27" t="n">
        <v>117</v>
      </c>
      <c r="DR38" s="27" t="n">
        <v>118</v>
      </c>
      <c r="DS38" s="27" t="n">
        <v>119</v>
      </c>
      <c r="DT38" s="27" t="n">
        <v>120</v>
      </c>
      <c r="DU38" s="27" t="n">
        <v>121</v>
      </c>
      <c r="DV38" s="27" t="n">
        <v>122</v>
      </c>
      <c r="DW38" s="27" t="n">
        <v>123</v>
      </c>
      <c r="DX38" s="27" t="n">
        <v>124</v>
      </c>
      <c r="DY38" s="27" t="n">
        <v>125</v>
      </c>
      <c r="DZ38" s="27" t="n">
        <v>126</v>
      </c>
      <c r="EA38" s="27" t="n">
        <v>127</v>
      </c>
      <c r="EB38" s="27" t="n">
        <v>128</v>
      </c>
      <c r="EC38" s="27" t="n">
        <v>129</v>
      </c>
      <c r="ED38" s="27" t="n">
        <v>130</v>
      </c>
      <c r="EE38" s="27" t="n">
        <v>131</v>
      </c>
      <c r="EF38" s="27" t="n">
        <v>132</v>
      </c>
      <c r="EG38" s="27" t="n">
        <v>133</v>
      </c>
      <c r="EH38" s="27" t="n">
        <v>134</v>
      </c>
      <c r="EI38" s="27" t="n">
        <v>135</v>
      </c>
      <c r="EJ38" s="27" t="n">
        <v>136</v>
      </c>
      <c r="EK38" s="27" t="n">
        <v>137</v>
      </c>
      <c r="EL38" s="27" t="n">
        <v>138</v>
      </c>
      <c r="EM38" s="27" t="n">
        <v>139</v>
      </c>
      <c r="EN38" s="27" t="n">
        <v>140</v>
      </c>
      <c r="EO38" s="27" t="n">
        <v>141</v>
      </c>
      <c r="EP38" s="27" t="n">
        <v>142</v>
      </c>
      <c r="EQ38" s="27" t="n">
        <v>143</v>
      </c>
      <c r="ER38" s="27" t="n">
        <v>144</v>
      </c>
      <c r="ES38" s="27" t="n">
        <v>145</v>
      </c>
      <c r="ET38" s="27" t="n">
        <v>146</v>
      </c>
      <c r="EU38" s="27" t="n">
        <v>147</v>
      </c>
      <c r="EV38" s="27" t="n">
        <v>148</v>
      </c>
      <c r="EW38" s="27" t="n">
        <v>149</v>
      </c>
      <c r="EX38" s="27" t="n">
        <v>150</v>
      </c>
      <c r="EY38" s="27" t="n">
        <v>151</v>
      </c>
      <c r="EZ38" s="27" t="n">
        <v>152</v>
      </c>
      <c r="FA38" s="27" t="n">
        <v>153</v>
      </c>
      <c r="FB38" s="27" t="n">
        <v>154</v>
      </c>
      <c r="FC38" s="27" t="n">
        <v>155</v>
      </c>
      <c r="FD38" s="27" t="n">
        <v>156</v>
      </c>
      <c r="FE38" s="27" t="n">
        <v>157</v>
      </c>
      <c r="FF38" s="27" t="n">
        <v>158</v>
      </c>
      <c r="FG38" s="27" t="n">
        <v>159</v>
      </c>
      <c r="FH38" s="27" t="n">
        <v>160</v>
      </c>
      <c r="FI38" s="27" t="n">
        <v>161</v>
      </c>
      <c r="FJ38" s="27" t="n">
        <v>162</v>
      </c>
      <c r="FK38" s="27" t="n">
        <v>163</v>
      </c>
      <c r="FL38" s="27" t="n">
        <v>164</v>
      </c>
      <c r="FM38" s="27" t="n">
        <v>165</v>
      </c>
      <c r="FN38" s="27" t="n">
        <v>166</v>
      </c>
      <c r="FO38" s="27" t="n">
        <v>167</v>
      </c>
      <c r="FP38" s="27" t="n">
        <v>168</v>
      </c>
      <c r="FQ38" s="27" t="n">
        <v>169</v>
      </c>
      <c r="FR38" s="27" t="n">
        <v>170</v>
      </c>
      <c r="FS38" s="27" t="n">
        <v>171</v>
      </c>
      <c r="FT38" s="27" t="n">
        <v>172</v>
      </c>
      <c r="FU38" s="27" t="n">
        <v>173</v>
      </c>
      <c r="FV38" s="27" t="n">
        <v>174</v>
      </c>
      <c r="FW38" s="27" t="n">
        <v>175</v>
      </c>
      <c r="FX38" s="27" t="n">
        <v>176</v>
      </c>
      <c r="FY38" s="27" t="n">
        <v>177</v>
      </c>
      <c r="FZ38" s="27" t="n">
        <v>178</v>
      </c>
      <c r="GA38" s="27" t="n">
        <v>179</v>
      </c>
      <c r="GB38" s="27" t="n">
        <v>180</v>
      </c>
      <c r="GC38" s="27" t="n">
        <v>181</v>
      </c>
      <c r="GD38" s="27" t="n">
        <v>182</v>
      </c>
      <c r="GE38" s="27" t="n">
        <v>183</v>
      </c>
      <c r="GF38" s="27" t="n">
        <v>184</v>
      </c>
      <c r="GG38" s="27" t="n">
        <v>185</v>
      </c>
      <c r="GH38" s="27" t="n">
        <v>186</v>
      </c>
      <c r="GI38" s="27" t="n">
        <v>187</v>
      </c>
      <c r="GJ38" s="27" t="n">
        <v>188</v>
      </c>
      <c r="GK38" s="27" t="n">
        <v>189</v>
      </c>
      <c r="GL38" s="27" t="n">
        <v>190</v>
      </c>
      <c r="GM38" s="27" t="n">
        <v>191</v>
      </c>
      <c r="GN38" s="27" t="n">
        <v>192</v>
      </c>
      <c r="GO38" s="27" t="n">
        <v>193</v>
      </c>
      <c r="GP38" s="27" t="n">
        <v>194</v>
      </c>
      <c r="GQ38" s="27" t="n">
        <v>195</v>
      </c>
      <c r="GR38" s="27" t="n">
        <v>196</v>
      </c>
      <c r="GS38" s="27" t="n">
        <v>197</v>
      </c>
      <c r="GT38" s="27" t="n">
        <v>198</v>
      </c>
      <c r="GU38" s="27" t="n">
        <v>199</v>
      </c>
      <c r="GV38" s="27" t="n">
        <v>200</v>
      </c>
      <c r="GW38" s="27" t="n">
        <v>201</v>
      </c>
      <c r="GX38" s="27" t="n">
        <v>202</v>
      </c>
      <c r="GY38" s="27" t="n">
        <v>203</v>
      </c>
      <c r="GZ38" s="27" t="n">
        <v>204</v>
      </c>
      <c r="HA38" s="27" t="n">
        <v>205</v>
      </c>
      <c r="HB38" s="27" t="n">
        <v>206</v>
      </c>
      <c r="HC38" s="27" t="n">
        <v>207</v>
      </c>
      <c r="HD38" s="27" t="n">
        <v>208</v>
      </c>
      <c r="HE38" s="27" t="n">
        <v>209</v>
      </c>
      <c r="HF38" s="27" t="n">
        <v>210</v>
      </c>
      <c r="HG38" s="27" t="n">
        <v>211</v>
      </c>
      <c r="HH38" s="27" t="n">
        <v>212</v>
      </c>
      <c r="HI38" s="27" t="n">
        <v>213</v>
      </c>
      <c r="HJ38" s="27" t="n">
        <v>214</v>
      </c>
      <c r="HK38" s="27" t="n">
        <v>215</v>
      </c>
      <c r="HL38" s="27" t="n">
        <v>216</v>
      </c>
      <c r="HM38" s="27" t="n">
        <v>217</v>
      </c>
      <c r="HN38" s="27" t="n">
        <v>218</v>
      </c>
      <c r="HO38" s="27" t="n">
        <v>219</v>
      </c>
      <c r="HP38" s="27" t="n">
        <v>220</v>
      </c>
      <c r="HQ38" s="27" t="n">
        <v>221</v>
      </c>
      <c r="HR38" s="27" t="n">
        <v>222</v>
      </c>
      <c r="HS38" s="27" t="n">
        <v>223</v>
      </c>
      <c r="HT38" s="27" t="n">
        <v>224</v>
      </c>
      <c r="HU38" s="27" t="n">
        <v>225</v>
      </c>
      <c r="HV38" s="27" t="n">
        <v>226</v>
      </c>
      <c r="HW38" s="27" t="n">
        <v>227</v>
      </c>
      <c r="HX38" s="27" t="n">
        <v>228</v>
      </c>
      <c r="HY38" s="27" t="n">
        <v>229</v>
      </c>
      <c r="HZ38" s="27" t="n">
        <v>230</v>
      </c>
      <c r="IA38" s="27" t="n">
        <v>231</v>
      </c>
      <c r="IB38" s="27" t="n">
        <v>232</v>
      </c>
      <c r="IC38" s="27" t="n">
        <v>233</v>
      </c>
      <c r="ID38" s="27" t="n">
        <v>234</v>
      </c>
      <c r="IE38" s="27" t="n">
        <v>235</v>
      </c>
      <c r="IF38" s="27" t="n">
        <v>236</v>
      </c>
      <c r="IG38" s="27" t="n">
        <v>237</v>
      </c>
      <c r="IH38" s="27" t="n">
        <v>238</v>
      </c>
      <c r="II38" s="27" t="n">
        <v>239</v>
      </c>
      <c r="IJ38" s="27" t="n">
        <v>240</v>
      </c>
      <c r="IK38" s="27" t="n">
        <v>241</v>
      </c>
      <c r="IL38" s="27" t="n">
        <v>242</v>
      </c>
      <c r="IM38" s="27" t="n">
        <v>243</v>
      </c>
      <c r="IN38" s="27" t="n">
        <v>244</v>
      </c>
      <c r="IO38" s="27" t="n">
        <v>245</v>
      </c>
      <c r="IP38" s="27" t="n">
        <v>246</v>
      </c>
      <c r="IQ38" s="27" t="n">
        <v>247</v>
      </c>
      <c r="IR38" s="27" t="n">
        <v>248</v>
      </c>
      <c r="IS38" s="27" t="n">
        <v>249</v>
      </c>
      <c r="IT38" s="27" t="n">
        <v>250</v>
      </c>
      <c r="IU38" s="27" t="n">
        <v>251</v>
      </c>
      <c r="IV38" s="27" t="n">
        <v>252</v>
      </c>
      <c r="IW38" s="27" t="n">
        <v>253</v>
      </c>
      <c r="IX38" s="27" t="n">
        <v>254</v>
      </c>
      <c r="IY38" s="27" t="n">
        <v>255</v>
      </c>
      <c r="IZ38" s="27" t="n">
        <v>256</v>
      </c>
      <c r="JA38" s="27" t="n">
        <v>257</v>
      </c>
      <c r="JB38" s="27" t="n">
        <v>258</v>
      </c>
      <c r="JC38" s="27" t="n">
        <v>259</v>
      </c>
      <c r="JD38" s="27" t="n">
        <v>260</v>
      </c>
      <c r="JE38" s="27" t="n">
        <v>261</v>
      </c>
      <c r="JF38" s="27" t="n">
        <v>262</v>
      </c>
      <c r="JG38" s="27" t="n">
        <v>263</v>
      </c>
      <c r="JH38" s="27" t="n">
        <v>264</v>
      </c>
      <c r="JI38" s="27" t="n">
        <v>265</v>
      </c>
      <c r="JJ38" s="27" t="n">
        <v>266</v>
      </c>
      <c r="JK38" s="27" t="n">
        <v>267</v>
      </c>
      <c r="JL38" s="27" t="n">
        <v>268</v>
      </c>
      <c r="JM38" s="27" t="n">
        <v>269</v>
      </c>
      <c r="JN38" s="27" t="n">
        <v>270</v>
      </c>
      <c r="JO38" s="27" t="n">
        <v>271</v>
      </c>
      <c r="JP38" s="27" t="n">
        <v>272</v>
      </c>
      <c r="JQ38" s="27" t="n">
        <v>273</v>
      </c>
      <c r="JR38" s="27" t="n">
        <v>274</v>
      </c>
      <c r="JS38" s="27" t="n">
        <v>275</v>
      </c>
      <c r="JT38" s="27" t="n">
        <v>276</v>
      </c>
      <c r="JU38" s="27" t="n">
        <v>277</v>
      </c>
      <c r="JV38" s="27" t="n">
        <v>278</v>
      </c>
      <c r="JW38" s="27" t="n">
        <v>279</v>
      </c>
      <c r="JX38" s="27" t="n">
        <v>280</v>
      </c>
      <c r="JY38" s="27" t="n">
        <v>281</v>
      </c>
      <c r="JZ38" s="27" t="n">
        <v>282</v>
      </c>
      <c r="KA38" s="27" t="n">
        <v>283</v>
      </c>
      <c r="KB38" s="27" t="n">
        <v>284</v>
      </c>
      <c r="KC38" s="27" t="n">
        <v>285</v>
      </c>
      <c r="KD38" s="27" t="n">
        <v>286</v>
      </c>
      <c r="KE38" s="27" t="n">
        <v>287</v>
      </c>
      <c r="KF38" s="27" t="n">
        <v>288</v>
      </c>
      <c r="KG38" s="27" t="n">
        <v>289</v>
      </c>
      <c r="KH38" s="27" t="n">
        <v>290</v>
      </c>
      <c r="KI38" s="27" t="n">
        <v>291</v>
      </c>
      <c r="KJ38" s="27" t="n">
        <v>292</v>
      </c>
      <c r="KK38" s="27" t="n">
        <v>293</v>
      </c>
      <c r="KL38" s="27" t="n">
        <v>294</v>
      </c>
      <c r="KM38" s="27" t="n">
        <v>295</v>
      </c>
      <c r="KN38" s="27" t="n">
        <v>296</v>
      </c>
      <c r="KO38" s="27" t="n">
        <v>297</v>
      </c>
      <c r="KP38" s="27" t="n">
        <v>298</v>
      </c>
      <c r="KQ38" s="27" t="n">
        <v>299</v>
      </c>
      <c r="KR38" s="27" t="n">
        <v>300</v>
      </c>
      <c r="KS38" s="27" t="n">
        <v>301</v>
      </c>
      <c r="KT38" s="27" t="n">
        <v>302</v>
      </c>
      <c r="KU38" s="27" t="n">
        <v>303</v>
      </c>
      <c r="KV38" s="27" t="n">
        <v>304</v>
      </c>
      <c r="KW38" s="27" t="n">
        <v>305</v>
      </c>
      <c r="KX38" s="27" t="n">
        <v>306</v>
      </c>
      <c r="KY38" s="27" t="n">
        <v>307</v>
      </c>
      <c r="KZ38" s="27" t="n">
        <v>308</v>
      </c>
      <c r="LA38" s="27" t="n">
        <v>309</v>
      </c>
      <c r="LB38" s="27" t="n">
        <v>310</v>
      </c>
      <c r="LC38" s="27" t="n">
        <v>311</v>
      </c>
      <c r="LD38" s="27" t="n">
        <v>312</v>
      </c>
      <c r="LE38" s="27" t="n">
        <v>313</v>
      </c>
      <c r="LF38" s="27" t="n">
        <v>314</v>
      </c>
      <c r="LG38" s="27" t="n">
        <v>315</v>
      </c>
      <c r="LH38" s="27" t="n">
        <v>316</v>
      </c>
      <c r="LI38" s="27" t="n">
        <v>317</v>
      </c>
      <c r="LJ38" s="27" t="n">
        <v>318</v>
      </c>
      <c r="LK38" s="27" t="n">
        <v>319</v>
      </c>
      <c r="LL38" s="27" t="n">
        <v>320</v>
      </c>
      <c r="LM38" s="27" t="n">
        <v>321</v>
      </c>
      <c r="LN38" s="27" t="n">
        <v>322</v>
      </c>
      <c r="LO38" s="27" t="n">
        <v>323</v>
      </c>
      <c r="LP38" s="27" t="n">
        <v>324</v>
      </c>
      <c r="LQ38" s="27" t="n">
        <v>325</v>
      </c>
      <c r="LR38" s="27" t="n">
        <v>326</v>
      </c>
      <c r="LS38" s="27" t="n">
        <v>327</v>
      </c>
      <c r="LT38" s="27" t="n">
        <v>328</v>
      </c>
      <c r="LU38" s="27" t="n">
        <v>329</v>
      </c>
      <c r="LV38" s="27" t="n">
        <v>330</v>
      </c>
      <c r="LW38" s="27" t="n">
        <v>331</v>
      </c>
      <c r="LX38" s="27" t="n">
        <v>332</v>
      </c>
      <c r="LY38" s="27" t="n">
        <v>333</v>
      </c>
      <c r="LZ38" s="27" t="n">
        <v>334</v>
      </c>
      <c r="MA38" s="27" t="n">
        <v>335</v>
      </c>
      <c r="MB38" s="27" t="n">
        <v>336</v>
      </c>
      <c r="MC38" s="27" t="n">
        <v>337</v>
      </c>
      <c r="MD38" s="27" t="n">
        <v>338</v>
      </c>
      <c r="ME38" s="27" t="n">
        <v>339</v>
      </c>
      <c r="MF38" s="27" t="n">
        <v>340</v>
      </c>
      <c r="MG38" s="27" t="n">
        <v>341</v>
      </c>
      <c r="MH38" s="27" t="n">
        <v>342</v>
      </c>
      <c r="MI38" s="27" t="n">
        <v>343</v>
      </c>
      <c r="MJ38" s="27" t="n">
        <v>344</v>
      </c>
      <c r="MK38" s="27" t="n">
        <v>345</v>
      </c>
      <c r="ML38" s="27" t="n">
        <v>346</v>
      </c>
      <c r="MM38" s="27" t="n">
        <v>347</v>
      </c>
      <c r="MN38" s="27" t="n">
        <v>348</v>
      </c>
      <c r="MO38" s="27" t="n">
        <v>349</v>
      </c>
      <c r="MP38" s="27" t="n">
        <v>350</v>
      </c>
      <c r="MQ38" s="27" t="n">
        <v>351</v>
      </c>
      <c r="MR38" s="27" t="n">
        <v>352</v>
      </c>
      <c r="MS38" s="27" t="n">
        <v>353</v>
      </c>
      <c r="MT38" s="27" t="n">
        <v>354</v>
      </c>
      <c r="MU38" s="27" t="n">
        <v>355</v>
      </c>
      <c r="MV38" s="27" t="n">
        <v>356</v>
      </c>
      <c r="MW38" s="27" t="n">
        <v>357</v>
      </c>
      <c r="MX38" s="27" t="n">
        <v>358</v>
      </c>
      <c r="MY38" s="27" t="n">
        <v>359</v>
      </c>
      <c r="MZ38" s="27" t="n">
        <v>360</v>
      </c>
      <c r="NA38" s="27" t="n">
        <v>361</v>
      </c>
      <c r="NB38" s="27" t="n">
        <v>362</v>
      </c>
      <c r="NC38" s="27" t="n">
        <v>363</v>
      </c>
      <c r="ND38" s="27" t="n">
        <v>364</v>
      </c>
      <c r="NE38" s="27" t="n">
        <v>365</v>
      </c>
      <c r="NF38" s="27" t="n">
        <v>366</v>
      </c>
      <c r="NG38" s="27" t="n">
        <v>367</v>
      </c>
      <c r="NH38" s="27" t="n">
        <v>368</v>
      </c>
      <c r="NI38" s="27" t="n">
        <v>369</v>
      </c>
      <c r="NJ38" s="27" t="n">
        <v>370</v>
      </c>
      <c r="NK38" s="27" t="n">
        <v>371</v>
      </c>
      <c r="NL38" s="27" t="n">
        <v>372</v>
      </c>
    </row>
    <row r="39">
      <c r="B39" s="36" t="inlineStr">
        <is>
          <t>Static Unlevered CF</t>
        </is>
      </c>
      <c r="D39" s="258">
        <f>SUM(E39:NL39)</f>
        <v/>
      </c>
      <c r="E39" s="218">
        <f>-CashFlow!E$5+Operating!E$72+IF(1=DispoMonth,StaticNetSaleUnlev,0)</f>
        <v/>
      </c>
      <c r="F39" s="218">
        <f>-CashFlow!F$5+Operating!F$72+IF(2=DispoMonth,StaticNetSaleUnlev,0)</f>
        <v/>
      </c>
      <c r="G39" s="218">
        <f>-CashFlow!G$5+Operating!G$72+IF(3=DispoMonth,StaticNetSaleUnlev,0)</f>
        <v/>
      </c>
      <c r="H39" s="218">
        <f>-CashFlow!H$5+Operating!H$72+IF(4=DispoMonth,StaticNetSaleUnlev,0)</f>
        <v/>
      </c>
      <c r="I39" s="218">
        <f>-CashFlow!I$5+Operating!I$72+IF(5=DispoMonth,StaticNetSaleUnlev,0)</f>
        <v/>
      </c>
      <c r="J39" s="218">
        <f>-CashFlow!J$5+Operating!J$72+IF(6=DispoMonth,StaticNetSaleUnlev,0)</f>
        <v/>
      </c>
      <c r="K39" s="218">
        <f>-CashFlow!K$5+Operating!K$72+IF(7=DispoMonth,StaticNetSaleUnlev,0)</f>
        <v/>
      </c>
      <c r="L39" s="218">
        <f>-CashFlow!L$5+Operating!L$72+IF(8=DispoMonth,StaticNetSaleUnlev,0)</f>
        <v/>
      </c>
      <c r="M39" s="218">
        <f>-CashFlow!M$5+Operating!M$72+IF(9=DispoMonth,StaticNetSaleUnlev,0)</f>
        <v/>
      </c>
      <c r="N39" s="218">
        <f>-CashFlow!N$5+Operating!N$72+IF(10=DispoMonth,StaticNetSaleUnlev,0)</f>
        <v/>
      </c>
      <c r="O39" s="218">
        <f>-CashFlow!O$5+Operating!O$72+IF(11=DispoMonth,StaticNetSaleUnlev,0)</f>
        <v/>
      </c>
      <c r="P39" s="218">
        <f>-CashFlow!P$5+Operating!P$72+IF(12=DispoMonth,StaticNetSaleUnlev,0)</f>
        <v/>
      </c>
      <c r="Q39" s="218">
        <f>-CashFlow!Q$5+Operating!Q$72+IF(13=DispoMonth,StaticNetSaleUnlev,0)</f>
        <v/>
      </c>
      <c r="R39" s="218">
        <f>-CashFlow!R$5+Operating!R$72+IF(14=DispoMonth,StaticNetSaleUnlev,0)</f>
        <v/>
      </c>
      <c r="S39" s="218">
        <f>-CashFlow!S$5+Operating!S$72+IF(15=DispoMonth,StaticNetSaleUnlev,0)</f>
        <v/>
      </c>
      <c r="T39" s="218">
        <f>-CashFlow!T$5+Operating!T$72+IF(16=DispoMonth,StaticNetSaleUnlev,0)</f>
        <v/>
      </c>
      <c r="U39" s="218">
        <f>-CashFlow!U$5+Operating!U$72+IF(17=DispoMonth,StaticNetSaleUnlev,0)</f>
        <v/>
      </c>
      <c r="V39" s="218">
        <f>-CashFlow!V$5+Operating!V$72+IF(18=DispoMonth,StaticNetSaleUnlev,0)</f>
        <v/>
      </c>
      <c r="W39" s="218">
        <f>-CashFlow!W$5+Operating!W$72+IF(19=DispoMonth,StaticNetSaleUnlev,0)</f>
        <v/>
      </c>
      <c r="X39" s="218">
        <f>-CashFlow!X$5+Operating!X$72+IF(20=DispoMonth,StaticNetSaleUnlev,0)</f>
        <v/>
      </c>
      <c r="Y39" s="218">
        <f>-CashFlow!Y$5+Operating!Y$72+IF(21=DispoMonth,StaticNetSaleUnlev,0)</f>
        <v/>
      </c>
      <c r="Z39" s="218">
        <f>-CashFlow!Z$5+Operating!Z$72+IF(22=DispoMonth,StaticNetSaleUnlev,0)</f>
        <v/>
      </c>
      <c r="AA39" s="218">
        <f>-CashFlow!AA$5+Operating!AA$72+IF(23=DispoMonth,StaticNetSaleUnlev,0)</f>
        <v/>
      </c>
      <c r="AB39" s="218">
        <f>-CashFlow!AB$5+Operating!AB$72+IF(24=DispoMonth,StaticNetSaleUnlev,0)</f>
        <v/>
      </c>
      <c r="AC39" s="218">
        <f>-CashFlow!AC$5+Operating!AC$72+IF(25=DispoMonth,StaticNetSaleUnlev,0)</f>
        <v/>
      </c>
      <c r="AD39" s="218">
        <f>-CashFlow!AD$5+Operating!AD$72+IF(26=DispoMonth,StaticNetSaleUnlev,0)</f>
        <v/>
      </c>
      <c r="AE39" s="218">
        <f>-CashFlow!AE$5+Operating!AE$72+IF(27=DispoMonth,StaticNetSaleUnlev,0)</f>
        <v/>
      </c>
      <c r="AF39" s="218">
        <f>-CashFlow!AF$5+Operating!AF$72+IF(28=DispoMonth,StaticNetSaleUnlev,0)</f>
        <v/>
      </c>
      <c r="AG39" s="218">
        <f>-CashFlow!AG$5+Operating!AG$72+IF(29=DispoMonth,StaticNetSaleUnlev,0)</f>
        <v/>
      </c>
      <c r="AH39" s="218">
        <f>-CashFlow!AH$5+Operating!AH$72+IF(30=DispoMonth,StaticNetSaleUnlev,0)</f>
        <v/>
      </c>
      <c r="AI39" s="218">
        <f>-CashFlow!AI$5+Operating!AI$72+IF(31=DispoMonth,StaticNetSaleUnlev,0)</f>
        <v/>
      </c>
      <c r="AJ39" s="218">
        <f>-CashFlow!AJ$5+Operating!AJ$72+IF(32=DispoMonth,StaticNetSaleUnlev,0)</f>
        <v/>
      </c>
      <c r="AK39" s="218">
        <f>-CashFlow!AK$5+Operating!AK$72+IF(33=DispoMonth,StaticNetSaleUnlev,0)</f>
        <v/>
      </c>
      <c r="AL39" s="218">
        <f>-CashFlow!AL$5+Operating!AL$72+IF(34=DispoMonth,StaticNetSaleUnlev,0)</f>
        <v/>
      </c>
      <c r="AM39" s="218">
        <f>-CashFlow!AM$5+Operating!AM$72+IF(35=DispoMonth,StaticNetSaleUnlev,0)</f>
        <v/>
      </c>
      <c r="AN39" s="218">
        <f>-CashFlow!AN$5+Operating!AN$72+IF(36=DispoMonth,StaticNetSaleUnlev,0)</f>
        <v/>
      </c>
      <c r="AO39" s="218">
        <f>-CashFlow!AO$5+Operating!AO$72+IF(37=DispoMonth,StaticNetSaleUnlev,0)</f>
        <v/>
      </c>
      <c r="AP39" s="218">
        <f>-CashFlow!AP$5+Operating!AP$72+IF(38=DispoMonth,StaticNetSaleUnlev,0)</f>
        <v/>
      </c>
      <c r="AQ39" s="218">
        <f>-CashFlow!AQ$5+Operating!AQ$72+IF(39=DispoMonth,StaticNetSaleUnlev,0)</f>
        <v/>
      </c>
      <c r="AR39" s="218">
        <f>-CashFlow!AR$5+Operating!AR$72+IF(40=DispoMonth,StaticNetSaleUnlev,0)</f>
        <v/>
      </c>
      <c r="AS39" s="218">
        <f>-CashFlow!AS$5+Operating!AS$72+IF(41=DispoMonth,StaticNetSaleUnlev,0)</f>
        <v/>
      </c>
      <c r="AT39" s="218">
        <f>-CashFlow!AT$5+Operating!AT$72+IF(42=DispoMonth,StaticNetSaleUnlev,0)</f>
        <v/>
      </c>
      <c r="AU39" s="218">
        <f>-CashFlow!AU$5+Operating!AU$72+IF(43=DispoMonth,StaticNetSaleUnlev,0)</f>
        <v/>
      </c>
      <c r="AV39" s="218">
        <f>-CashFlow!AV$5+Operating!AV$72+IF(44=DispoMonth,StaticNetSaleUnlev,0)</f>
        <v/>
      </c>
      <c r="AW39" s="218">
        <f>-CashFlow!AW$5+Operating!AW$72+IF(45=DispoMonth,StaticNetSaleUnlev,0)</f>
        <v/>
      </c>
      <c r="AX39" s="218">
        <f>-CashFlow!AX$5+Operating!AX$72+IF(46=DispoMonth,StaticNetSaleUnlev,0)</f>
        <v/>
      </c>
      <c r="AY39" s="218">
        <f>-CashFlow!AY$5+Operating!AY$72+IF(47=DispoMonth,StaticNetSaleUnlev,0)</f>
        <v/>
      </c>
      <c r="AZ39" s="218">
        <f>-CashFlow!AZ$5+Operating!AZ$72+IF(48=DispoMonth,StaticNetSaleUnlev,0)</f>
        <v/>
      </c>
      <c r="BA39" s="218">
        <f>-CashFlow!BA$5+Operating!BA$72+IF(49=DispoMonth,StaticNetSaleUnlev,0)</f>
        <v/>
      </c>
      <c r="BB39" s="218">
        <f>-CashFlow!BB$5+Operating!BB$72+IF(50=DispoMonth,StaticNetSaleUnlev,0)</f>
        <v/>
      </c>
      <c r="BC39" s="218">
        <f>-CashFlow!BC$5+Operating!BC$72+IF(51=DispoMonth,StaticNetSaleUnlev,0)</f>
        <v/>
      </c>
      <c r="BD39" s="218">
        <f>-CashFlow!BD$5+Operating!BD$72+IF(52=DispoMonth,StaticNetSaleUnlev,0)</f>
        <v/>
      </c>
      <c r="BE39" s="218">
        <f>-CashFlow!BE$5+Operating!BE$72+IF(53=DispoMonth,StaticNetSaleUnlev,0)</f>
        <v/>
      </c>
      <c r="BF39" s="218">
        <f>-CashFlow!BF$5+Operating!BF$72+IF(54=DispoMonth,StaticNetSaleUnlev,0)</f>
        <v/>
      </c>
      <c r="BG39" s="218">
        <f>-CashFlow!BG$5+Operating!BG$72+IF(55=DispoMonth,StaticNetSaleUnlev,0)</f>
        <v/>
      </c>
      <c r="BH39" s="218">
        <f>-CashFlow!BH$5+Operating!BH$72+IF(56=DispoMonth,StaticNetSaleUnlev,0)</f>
        <v/>
      </c>
      <c r="BI39" s="218">
        <f>-CashFlow!BI$5+Operating!BI$72+IF(57=DispoMonth,StaticNetSaleUnlev,0)</f>
        <v/>
      </c>
      <c r="BJ39" s="218">
        <f>-CashFlow!BJ$5+Operating!BJ$72+IF(58=DispoMonth,StaticNetSaleUnlev,0)</f>
        <v/>
      </c>
      <c r="BK39" s="218">
        <f>-CashFlow!BK$5+Operating!BK$72+IF(59=DispoMonth,StaticNetSaleUnlev,0)</f>
        <v/>
      </c>
      <c r="BL39" s="218">
        <f>-CashFlow!BL$5+Operating!BL$72+IF(60=DispoMonth,StaticNetSaleUnlev,0)</f>
        <v/>
      </c>
      <c r="BM39" s="218">
        <f>-CashFlow!BM$5+Operating!BM$72+IF(61=DispoMonth,StaticNetSaleUnlev,0)</f>
        <v/>
      </c>
      <c r="BN39" s="218">
        <f>-CashFlow!BN$5+Operating!BN$72+IF(62=DispoMonth,StaticNetSaleUnlev,0)</f>
        <v/>
      </c>
      <c r="BO39" s="218">
        <f>-CashFlow!BO$5+Operating!BO$72+IF(63=DispoMonth,StaticNetSaleUnlev,0)</f>
        <v/>
      </c>
      <c r="BP39" s="218">
        <f>-CashFlow!BP$5+Operating!BP$72+IF(64=DispoMonth,StaticNetSaleUnlev,0)</f>
        <v/>
      </c>
      <c r="BQ39" s="218">
        <f>-CashFlow!BQ$5+Operating!BQ$72+IF(65=DispoMonth,StaticNetSaleUnlev,0)</f>
        <v/>
      </c>
      <c r="BR39" s="218">
        <f>-CashFlow!BR$5+Operating!BR$72+IF(66=DispoMonth,StaticNetSaleUnlev,0)</f>
        <v/>
      </c>
      <c r="BS39" s="218">
        <f>-CashFlow!BS$5+Operating!BS$72+IF(67=DispoMonth,StaticNetSaleUnlev,0)</f>
        <v/>
      </c>
      <c r="BT39" s="218">
        <f>-CashFlow!BT$5+Operating!BT$72+IF(68=DispoMonth,StaticNetSaleUnlev,0)</f>
        <v/>
      </c>
      <c r="BU39" s="218">
        <f>-CashFlow!BU$5+Operating!BU$72+IF(69=DispoMonth,StaticNetSaleUnlev,0)</f>
        <v/>
      </c>
      <c r="BV39" s="218">
        <f>-CashFlow!BV$5+Operating!BV$72+IF(70=DispoMonth,StaticNetSaleUnlev,0)</f>
        <v/>
      </c>
      <c r="BW39" s="218">
        <f>-CashFlow!BW$5+Operating!BW$72+IF(71=DispoMonth,StaticNetSaleUnlev,0)</f>
        <v/>
      </c>
      <c r="BX39" s="218">
        <f>-CashFlow!BX$5+Operating!BX$72+IF(72=DispoMonth,StaticNetSaleUnlev,0)</f>
        <v/>
      </c>
      <c r="BY39" s="218">
        <f>-CashFlow!BY$5+Operating!BY$72+IF(73=DispoMonth,StaticNetSaleUnlev,0)</f>
        <v/>
      </c>
      <c r="BZ39" s="218">
        <f>-CashFlow!BZ$5+Operating!BZ$72+IF(74=DispoMonth,StaticNetSaleUnlev,0)</f>
        <v/>
      </c>
      <c r="CA39" s="218">
        <f>-CashFlow!CA$5+Operating!CA$72+IF(75=DispoMonth,StaticNetSaleUnlev,0)</f>
        <v/>
      </c>
      <c r="CB39" s="218">
        <f>-CashFlow!CB$5+Operating!CB$72+IF(76=DispoMonth,StaticNetSaleUnlev,0)</f>
        <v/>
      </c>
      <c r="CC39" s="218">
        <f>-CashFlow!CC$5+Operating!CC$72+IF(77=DispoMonth,StaticNetSaleUnlev,0)</f>
        <v/>
      </c>
      <c r="CD39" s="218">
        <f>-CashFlow!CD$5+Operating!CD$72+IF(78=DispoMonth,StaticNetSaleUnlev,0)</f>
        <v/>
      </c>
      <c r="CE39" s="218">
        <f>-CashFlow!CE$5+Operating!CE$72+IF(79=DispoMonth,StaticNetSaleUnlev,0)</f>
        <v/>
      </c>
      <c r="CF39" s="218">
        <f>-CashFlow!CF$5+Operating!CF$72+IF(80=DispoMonth,StaticNetSaleUnlev,0)</f>
        <v/>
      </c>
      <c r="CG39" s="218">
        <f>-CashFlow!CG$5+Operating!CG$72+IF(81=DispoMonth,StaticNetSaleUnlev,0)</f>
        <v/>
      </c>
      <c r="CH39" s="218">
        <f>-CashFlow!CH$5+Operating!CH$72+IF(82=DispoMonth,StaticNetSaleUnlev,0)</f>
        <v/>
      </c>
      <c r="CI39" s="218">
        <f>-CashFlow!CI$5+Operating!CI$72+IF(83=DispoMonth,StaticNetSaleUnlev,0)</f>
        <v/>
      </c>
      <c r="CJ39" s="218">
        <f>-CashFlow!CJ$5+Operating!CJ$72+IF(84=DispoMonth,StaticNetSaleUnlev,0)</f>
        <v/>
      </c>
      <c r="CK39" s="218">
        <f>-CashFlow!CK$5+Operating!CK$72+IF(85=DispoMonth,StaticNetSaleUnlev,0)</f>
        <v/>
      </c>
      <c r="CL39" s="218">
        <f>-CashFlow!CL$5+Operating!CL$72+IF(86=DispoMonth,StaticNetSaleUnlev,0)</f>
        <v/>
      </c>
      <c r="CM39" s="218">
        <f>-CashFlow!CM$5+Operating!CM$72+IF(87=DispoMonth,StaticNetSaleUnlev,0)</f>
        <v/>
      </c>
      <c r="CN39" s="218">
        <f>-CashFlow!CN$5+Operating!CN$72+IF(88=DispoMonth,StaticNetSaleUnlev,0)</f>
        <v/>
      </c>
      <c r="CO39" s="218">
        <f>-CashFlow!CO$5+Operating!CO$72+IF(89=DispoMonth,StaticNetSaleUnlev,0)</f>
        <v/>
      </c>
      <c r="CP39" s="218">
        <f>-CashFlow!CP$5+Operating!CP$72+IF(90=DispoMonth,StaticNetSaleUnlev,0)</f>
        <v/>
      </c>
      <c r="CQ39" s="218">
        <f>-CashFlow!CQ$5+Operating!CQ$72+IF(91=DispoMonth,StaticNetSaleUnlev,0)</f>
        <v/>
      </c>
      <c r="CR39" s="218">
        <f>-CashFlow!CR$5+Operating!CR$72+IF(92=DispoMonth,StaticNetSaleUnlev,0)</f>
        <v/>
      </c>
      <c r="CS39" s="218">
        <f>-CashFlow!CS$5+Operating!CS$72+IF(93=DispoMonth,StaticNetSaleUnlev,0)</f>
        <v/>
      </c>
      <c r="CT39" s="218">
        <f>-CashFlow!CT$5+Operating!CT$72+IF(94=DispoMonth,StaticNetSaleUnlev,0)</f>
        <v/>
      </c>
      <c r="CU39" s="218">
        <f>-CashFlow!CU$5+Operating!CU$72+IF(95=DispoMonth,StaticNetSaleUnlev,0)</f>
        <v/>
      </c>
      <c r="CV39" s="218">
        <f>-CashFlow!CV$5+Operating!CV$72+IF(96=DispoMonth,StaticNetSaleUnlev,0)</f>
        <v/>
      </c>
      <c r="CW39" s="218">
        <f>-CashFlow!CW$5+Operating!CW$72+IF(97=DispoMonth,StaticNetSaleUnlev,0)</f>
        <v/>
      </c>
      <c r="CX39" s="218">
        <f>-CashFlow!CX$5+Operating!CX$72+IF(98=DispoMonth,StaticNetSaleUnlev,0)</f>
        <v/>
      </c>
      <c r="CY39" s="218">
        <f>-CashFlow!CY$5+Operating!CY$72+IF(99=DispoMonth,StaticNetSaleUnlev,0)</f>
        <v/>
      </c>
      <c r="CZ39" s="218">
        <f>-CashFlow!CZ$5+Operating!CZ$72+IF(100=DispoMonth,StaticNetSaleUnlev,0)</f>
        <v/>
      </c>
      <c r="DA39" s="218">
        <f>-CashFlow!DA$5+Operating!DA$72+IF(101=DispoMonth,StaticNetSaleUnlev,0)</f>
        <v/>
      </c>
      <c r="DB39" s="218">
        <f>-CashFlow!DB$5+Operating!DB$72+IF(102=DispoMonth,StaticNetSaleUnlev,0)</f>
        <v/>
      </c>
      <c r="DC39" s="218">
        <f>-CashFlow!DC$5+Operating!DC$72+IF(103=DispoMonth,StaticNetSaleUnlev,0)</f>
        <v/>
      </c>
      <c r="DD39" s="218">
        <f>-CashFlow!DD$5+Operating!DD$72+IF(104=DispoMonth,StaticNetSaleUnlev,0)</f>
        <v/>
      </c>
      <c r="DE39" s="218">
        <f>-CashFlow!DE$5+Operating!DE$72+IF(105=DispoMonth,StaticNetSaleUnlev,0)</f>
        <v/>
      </c>
      <c r="DF39" s="218">
        <f>-CashFlow!DF$5+Operating!DF$72+IF(106=DispoMonth,StaticNetSaleUnlev,0)</f>
        <v/>
      </c>
      <c r="DG39" s="218">
        <f>-CashFlow!DG$5+Operating!DG$72+IF(107=DispoMonth,StaticNetSaleUnlev,0)</f>
        <v/>
      </c>
      <c r="DH39" s="218">
        <f>-CashFlow!DH$5+Operating!DH$72+IF(108=DispoMonth,StaticNetSaleUnlev,0)</f>
        <v/>
      </c>
      <c r="DI39" s="218">
        <f>-CashFlow!DI$5+Operating!DI$72+IF(109=DispoMonth,StaticNetSaleUnlev,0)</f>
        <v/>
      </c>
      <c r="DJ39" s="218">
        <f>-CashFlow!DJ$5+Operating!DJ$72+IF(110=DispoMonth,StaticNetSaleUnlev,0)</f>
        <v/>
      </c>
      <c r="DK39" s="218">
        <f>-CashFlow!DK$5+Operating!DK$72+IF(111=DispoMonth,StaticNetSaleUnlev,0)</f>
        <v/>
      </c>
      <c r="DL39" s="218">
        <f>-CashFlow!DL$5+Operating!DL$72+IF(112=DispoMonth,StaticNetSaleUnlev,0)</f>
        <v/>
      </c>
      <c r="DM39" s="218">
        <f>-CashFlow!DM$5+Operating!DM$72+IF(113=DispoMonth,StaticNetSaleUnlev,0)</f>
        <v/>
      </c>
      <c r="DN39" s="218">
        <f>-CashFlow!DN$5+Operating!DN$72+IF(114=DispoMonth,StaticNetSaleUnlev,0)</f>
        <v/>
      </c>
      <c r="DO39" s="218">
        <f>-CashFlow!DO$5+Operating!DO$72+IF(115=DispoMonth,StaticNetSaleUnlev,0)</f>
        <v/>
      </c>
      <c r="DP39" s="218">
        <f>-CashFlow!DP$5+Operating!DP$72+IF(116=DispoMonth,StaticNetSaleUnlev,0)</f>
        <v/>
      </c>
      <c r="DQ39" s="218">
        <f>-CashFlow!DQ$5+Operating!DQ$72+IF(117=DispoMonth,StaticNetSaleUnlev,0)</f>
        <v/>
      </c>
      <c r="DR39" s="218">
        <f>-CashFlow!DR$5+Operating!DR$72+IF(118=DispoMonth,StaticNetSaleUnlev,0)</f>
        <v/>
      </c>
      <c r="DS39" s="218">
        <f>-CashFlow!DS$5+Operating!DS$72+IF(119=DispoMonth,StaticNetSaleUnlev,0)</f>
        <v/>
      </c>
      <c r="DT39" s="218">
        <f>-CashFlow!DT$5+Operating!DT$72+IF(120=DispoMonth,StaticNetSaleUnlev,0)</f>
        <v/>
      </c>
      <c r="DU39" s="218">
        <f>-CashFlow!DU$5+Operating!DU$72+IF(121=DispoMonth,StaticNetSaleUnlev,0)</f>
        <v/>
      </c>
      <c r="DV39" s="218">
        <f>-CashFlow!DV$5+Operating!DV$72+IF(122=DispoMonth,StaticNetSaleUnlev,0)</f>
        <v/>
      </c>
      <c r="DW39" s="218">
        <f>-CashFlow!DW$5+Operating!DW$72+IF(123=DispoMonth,StaticNetSaleUnlev,0)</f>
        <v/>
      </c>
      <c r="DX39" s="218">
        <f>-CashFlow!DX$5+Operating!DX$72+IF(124=DispoMonth,StaticNetSaleUnlev,0)</f>
        <v/>
      </c>
      <c r="DY39" s="218">
        <f>-CashFlow!DY$5+Operating!DY$72+IF(125=DispoMonth,StaticNetSaleUnlev,0)</f>
        <v/>
      </c>
      <c r="DZ39" s="218">
        <f>-CashFlow!DZ$5+Operating!DZ$72+IF(126=DispoMonth,StaticNetSaleUnlev,0)</f>
        <v/>
      </c>
      <c r="EA39" s="218">
        <f>-CashFlow!EA$5+Operating!EA$72+IF(127=DispoMonth,StaticNetSaleUnlev,0)</f>
        <v/>
      </c>
      <c r="EB39" s="218">
        <f>-CashFlow!EB$5+Operating!EB$72+IF(128=DispoMonth,StaticNetSaleUnlev,0)</f>
        <v/>
      </c>
      <c r="EC39" s="218">
        <f>-CashFlow!EC$5+Operating!EC$72+IF(129=DispoMonth,StaticNetSaleUnlev,0)</f>
        <v/>
      </c>
      <c r="ED39" s="218">
        <f>-CashFlow!ED$5+Operating!ED$72+IF(130=DispoMonth,StaticNetSaleUnlev,0)</f>
        <v/>
      </c>
      <c r="EE39" s="218">
        <f>-CashFlow!EE$5+Operating!EE$72+IF(131=DispoMonth,StaticNetSaleUnlev,0)</f>
        <v/>
      </c>
      <c r="EF39" s="218">
        <f>-CashFlow!EF$5+Operating!EF$72+IF(132=DispoMonth,StaticNetSaleUnlev,0)</f>
        <v/>
      </c>
      <c r="EG39" s="218">
        <f>-CashFlow!EG$5+Operating!EG$72+IF(133=DispoMonth,StaticNetSaleUnlev,0)</f>
        <v/>
      </c>
      <c r="EH39" s="218">
        <f>-CashFlow!EH$5+Operating!EH$72+IF(134=DispoMonth,StaticNetSaleUnlev,0)</f>
        <v/>
      </c>
      <c r="EI39" s="218">
        <f>-CashFlow!EI$5+Operating!EI$72+IF(135=DispoMonth,StaticNetSaleUnlev,0)</f>
        <v/>
      </c>
      <c r="EJ39" s="218">
        <f>-CashFlow!EJ$5+Operating!EJ$72+IF(136=DispoMonth,StaticNetSaleUnlev,0)</f>
        <v/>
      </c>
      <c r="EK39" s="218">
        <f>-CashFlow!EK$5+Operating!EK$72+IF(137=DispoMonth,StaticNetSaleUnlev,0)</f>
        <v/>
      </c>
      <c r="EL39" s="218">
        <f>-CashFlow!EL$5+Operating!EL$72+IF(138=DispoMonth,StaticNetSaleUnlev,0)</f>
        <v/>
      </c>
      <c r="EM39" s="218">
        <f>-CashFlow!EM$5+Operating!EM$72+IF(139=DispoMonth,StaticNetSaleUnlev,0)</f>
        <v/>
      </c>
      <c r="EN39" s="218">
        <f>-CashFlow!EN$5+Operating!EN$72+IF(140=DispoMonth,StaticNetSaleUnlev,0)</f>
        <v/>
      </c>
      <c r="EO39" s="218">
        <f>-CashFlow!EO$5+Operating!EO$72+IF(141=DispoMonth,StaticNetSaleUnlev,0)</f>
        <v/>
      </c>
      <c r="EP39" s="218">
        <f>-CashFlow!EP$5+Operating!EP$72+IF(142=DispoMonth,StaticNetSaleUnlev,0)</f>
        <v/>
      </c>
      <c r="EQ39" s="218">
        <f>-CashFlow!EQ$5+Operating!EQ$72+IF(143=DispoMonth,StaticNetSaleUnlev,0)</f>
        <v/>
      </c>
      <c r="ER39" s="218">
        <f>-CashFlow!ER$5+Operating!ER$72+IF(144=DispoMonth,StaticNetSaleUnlev,0)</f>
        <v/>
      </c>
      <c r="ES39" s="218">
        <f>-CashFlow!ES$5+Operating!ES$72+IF(145=DispoMonth,StaticNetSaleUnlev,0)</f>
        <v/>
      </c>
      <c r="ET39" s="218">
        <f>-CashFlow!ET$5+Operating!ET$72+IF(146=DispoMonth,StaticNetSaleUnlev,0)</f>
        <v/>
      </c>
      <c r="EU39" s="218">
        <f>-CashFlow!EU$5+Operating!EU$72+IF(147=DispoMonth,StaticNetSaleUnlev,0)</f>
        <v/>
      </c>
      <c r="EV39" s="218">
        <f>-CashFlow!EV$5+Operating!EV$72+IF(148=DispoMonth,StaticNetSaleUnlev,0)</f>
        <v/>
      </c>
      <c r="EW39" s="218">
        <f>-CashFlow!EW$5+Operating!EW$72+IF(149=DispoMonth,StaticNetSaleUnlev,0)</f>
        <v/>
      </c>
      <c r="EX39" s="218">
        <f>-CashFlow!EX$5+Operating!EX$72+IF(150=DispoMonth,StaticNetSaleUnlev,0)</f>
        <v/>
      </c>
      <c r="EY39" s="218">
        <f>-CashFlow!EY$5+Operating!EY$72+IF(151=DispoMonth,StaticNetSaleUnlev,0)</f>
        <v/>
      </c>
      <c r="EZ39" s="218">
        <f>-CashFlow!EZ$5+Operating!EZ$72+IF(152=DispoMonth,StaticNetSaleUnlev,0)</f>
        <v/>
      </c>
      <c r="FA39" s="218">
        <f>-CashFlow!FA$5+Operating!FA$72+IF(153=DispoMonth,StaticNetSaleUnlev,0)</f>
        <v/>
      </c>
      <c r="FB39" s="218">
        <f>-CashFlow!FB$5+Operating!FB$72+IF(154=DispoMonth,StaticNetSaleUnlev,0)</f>
        <v/>
      </c>
      <c r="FC39" s="218">
        <f>-CashFlow!FC$5+Operating!FC$72+IF(155=DispoMonth,StaticNetSaleUnlev,0)</f>
        <v/>
      </c>
      <c r="FD39" s="218">
        <f>-CashFlow!FD$5+Operating!FD$72+IF(156=DispoMonth,StaticNetSaleUnlev,0)</f>
        <v/>
      </c>
      <c r="FE39" s="218">
        <f>-CashFlow!FE$5+Operating!FE$72+IF(157=DispoMonth,StaticNetSaleUnlev,0)</f>
        <v/>
      </c>
      <c r="FF39" s="218">
        <f>-CashFlow!FF$5+Operating!FF$72+IF(158=DispoMonth,StaticNetSaleUnlev,0)</f>
        <v/>
      </c>
      <c r="FG39" s="218">
        <f>-CashFlow!FG$5+Operating!FG$72+IF(159=DispoMonth,StaticNetSaleUnlev,0)</f>
        <v/>
      </c>
      <c r="FH39" s="218">
        <f>-CashFlow!FH$5+Operating!FH$72+IF(160=DispoMonth,StaticNetSaleUnlev,0)</f>
        <v/>
      </c>
      <c r="FI39" s="218">
        <f>-CashFlow!FI$5+Operating!FI$72+IF(161=DispoMonth,StaticNetSaleUnlev,0)</f>
        <v/>
      </c>
      <c r="FJ39" s="218">
        <f>-CashFlow!FJ$5+Operating!FJ$72+IF(162=DispoMonth,StaticNetSaleUnlev,0)</f>
        <v/>
      </c>
      <c r="FK39" s="218">
        <f>-CashFlow!FK$5+Operating!FK$72+IF(163=DispoMonth,StaticNetSaleUnlev,0)</f>
        <v/>
      </c>
      <c r="FL39" s="218">
        <f>-CashFlow!FL$5+Operating!FL$72+IF(164=DispoMonth,StaticNetSaleUnlev,0)</f>
        <v/>
      </c>
      <c r="FM39" s="218">
        <f>-CashFlow!FM$5+Operating!FM$72+IF(165=DispoMonth,StaticNetSaleUnlev,0)</f>
        <v/>
      </c>
      <c r="FN39" s="218">
        <f>-CashFlow!FN$5+Operating!FN$72+IF(166=DispoMonth,StaticNetSaleUnlev,0)</f>
        <v/>
      </c>
      <c r="FO39" s="218">
        <f>-CashFlow!FO$5+Operating!FO$72+IF(167=DispoMonth,StaticNetSaleUnlev,0)</f>
        <v/>
      </c>
      <c r="FP39" s="218">
        <f>-CashFlow!FP$5+Operating!FP$72+IF(168=DispoMonth,StaticNetSaleUnlev,0)</f>
        <v/>
      </c>
      <c r="FQ39" s="218">
        <f>-CashFlow!FQ$5+Operating!FQ$72+IF(169=DispoMonth,StaticNetSaleUnlev,0)</f>
        <v/>
      </c>
      <c r="FR39" s="218">
        <f>-CashFlow!FR$5+Operating!FR$72+IF(170=DispoMonth,StaticNetSaleUnlev,0)</f>
        <v/>
      </c>
      <c r="FS39" s="218">
        <f>-CashFlow!FS$5+Operating!FS$72+IF(171=DispoMonth,StaticNetSaleUnlev,0)</f>
        <v/>
      </c>
      <c r="FT39" s="218">
        <f>-CashFlow!FT$5+Operating!FT$72+IF(172=DispoMonth,StaticNetSaleUnlev,0)</f>
        <v/>
      </c>
      <c r="FU39" s="218">
        <f>-CashFlow!FU$5+Operating!FU$72+IF(173=DispoMonth,StaticNetSaleUnlev,0)</f>
        <v/>
      </c>
      <c r="FV39" s="218">
        <f>-CashFlow!FV$5+Operating!FV$72+IF(174=DispoMonth,StaticNetSaleUnlev,0)</f>
        <v/>
      </c>
      <c r="FW39" s="218">
        <f>-CashFlow!FW$5+Operating!FW$72+IF(175=DispoMonth,StaticNetSaleUnlev,0)</f>
        <v/>
      </c>
      <c r="FX39" s="218">
        <f>-CashFlow!FX$5+Operating!FX$72+IF(176=DispoMonth,StaticNetSaleUnlev,0)</f>
        <v/>
      </c>
      <c r="FY39" s="218">
        <f>-CashFlow!FY$5+Operating!FY$72+IF(177=DispoMonth,StaticNetSaleUnlev,0)</f>
        <v/>
      </c>
      <c r="FZ39" s="218">
        <f>-CashFlow!FZ$5+Operating!FZ$72+IF(178=DispoMonth,StaticNetSaleUnlev,0)</f>
        <v/>
      </c>
      <c r="GA39" s="218">
        <f>-CashFlow!GA$5+Operating!GA$72+IF(179=DispoMonth,StaticNetSaleUnlev,0)</f>
        <v/>
      </c>
      <c r="GB39" s="218">
        <f>-CashFlow!GB$5+Operating!GB$72+IF(180=DispoMonth,StaticNetSaleUnlev,0)</f>
        <v/>
      </c>
      <c r="GC39" s="218">
        <f>-CashFlow!GC$5+Operating!GC$72+IF(181=DispoMonth,StaticNetSaleUnlev,0)</f>
        <v/>
      </c>
      <c r="GD39" s="218">
        <f>-CashFlow!GD$5+Operating!GD$72+IF(182=DispoMonth,StaticNetSaleUnlev,0)</f>
        <v/>
      </c>
      <c r="GE39" s="218">
        <f>-CashFlow!GE$5+Operating!GE$72+IF(183=DispoMonth,StaticNetSaleUnlev,0)</f>
        <v/>
      </c>
      <c r="GF39" s="218">
        <f>-CashFlow!GF$5+Operating!GF$72+IF(184=DispoMonth,StaticNetSaleUnlev,0)</f>
        <v/>
      </c>
      <c r="GG39" s="218">
        <f>-CashFlow!GG$5+Operating!GG$72+IF(185=DispoMonth,StaticNetSaleUnlev,0)</f>
        <v/>
      </c>
      <c r="GH39" s="218">
        <f>-CashFlow!GH$5+Operating!GH$72+IF(186=DispoMonth,StaticNetSaleUnlev,0)</f>
        <v/>
      </c>
      <c r="GI39" s="218">
        <f>-CashFlow!GI$5+Operating!GI$72+IF(187=DispoMonth,StaticNetSaleUnlev,0)</f>
        <v/>
      </c>
      <c r="GJ39" s="218">
        <f>-CashFlow!GJ$5+Operating!GJ$72+IF(188=DispoMonth,StaticNetSaleUnlev,0)</f>
        <v/>
      </c>
      <c r="GK39" s="218">
        <f>-CashFlow!GK$5+Operating!GK$72+IF(189=DispoMonth,StaticNetSaleUnlev,0)</f>
        <v/>
      </c>
      <c r="GL39" s="218">
        <f>-CashFlow!GL$5+Operating!GL$72+IF(190=DispoMonth,StaticNetSaleUnlev,0)</f>
        <v/>
      </c>
      <c r="GM39" s="218">
        <f>-CashFlow!GM$5+Operating!GM$72+IF(191=DispoMonth,StaticNetSaleUnlev,0)</f>
        <v/>
      </c>
      <c r="GN39" s="218">
        <f>-CashFlow!GN$5+Operating!GN$72+IF(192=DispoMonth,StaticNetSaleUnlev,0)</f>
        <v/>
      </c>
      <c r="GO39" s="218">
        <f>-CashFlow!GO$5+Operating!GO$72+IF(193=DispoMonth,StaticNetSaleUnlev,0)</f>
        <v/>
      </c>
      <c r="GP39" s="218">
        <f>-CashFlow!GP$5+Operating!GP$72+IF(194=DispoMonth,StaticNetSaleUnlev,0)</f>
        <v/>
      </c>
      <c r="GQ39" s="218">
        <f>-CashFlow!GQ$5+Operating!GQ$72+IF(195=DispoMonth,StaticNetSaleUnlev,0)</f>
        <v/>
      </c>
      <c r="GR39" s="218">
        <f>-CashFlow!GR$5+Operating!GR$72+IF(196=DispoMonth,StaticNetSaleUnlev,0)</f>
        <v/>
      </c>
      <c r="GS39" s="218">
        <f>-CashFlow!GS$5+Operating!GS$72+IF(197=DispoMonth,StaticNetSaleUnlev,0)</f>
        <v/>
      </c>
      <c r="GT39" s="218">
        <f>-CashFlow!GT$5+Operating!GT$72+IF(198=DispoMonth,StaticNetSaleUnlev,0)</f>
        <v/>
      </c>
      <c r="GU39" s="218">
        <f>-CashFlow!GU$5+Operating!GU$72+IF(199=DispoMonth,StaticNetSaleUnlev,0)</f>
        <v/>
      </c>
      <c r="GV39" s="218">
        <f>-CashFlow!GV$5+Operating!GV$72+IF(200=DispoMonth,StaticNetSaleUnlev,0)</f>
        <v/>
      </c>
      <c r="GW39" s="218">
        <f>-CashFlow!GW$5+Operating!GW$72+IF(201=DispoMonth,StaticNetSaleUnlev,0)</f>
        <v/>
      </c>
      <c r="GX39" s="218">
        <f>-CashFlow!GX$5+Operating!GX$72+IF(202=DispoMonth,StaticNetSaleUnlev,0)</f>
        <v/>
      </c>
      <c r="GY39" s="218">
        <f>-CashFlow!GY$5+Operating!GY$72+IF(203=DispoMonth,StaticNetSaleUnlev,0)</f>
        <v/>
      </c>
      <c r="GZ39" s="218">
        <f>-CashFlow!GZ$5+Operating!GZ$72+IF(204=DispoMonth,StaticNetSaleUnlev,0)</f>
        <v/>
      </c>
      <c r="HA39" s="218">
        <f>-CashFlow!HA$5+Operating!HA$72+IF(205=DispoMonth,StaticNetSaleUnlev,0)</f>
        <v/>
      </c>
      <c r="HB39" s="218">
        <f>-CashFlow!HB$5+Operating!HB$72+IF(206=DispoMonth,StaticNetSaleUnlev,0)</f>
        <v/>
      </c>
      <c r="HC39" s="218">
        <f>-CashFlow!HC$5+Operating!HC$72+IF(207=DispoMonth,StaticNetSaleUnlev,0)</f>
        <v/>
      </c>
      <c r="HD39" s="218">
        <f>-CashFlow!HD$5+Operating!HD$72+IF(208=DispoMonth,StaticNetSaleUnlev,0)</f>
        <v/>
      </c>
      <c r="HE39" s="218">
        <f>-CashFlow!HE$5+Operating!HE$72+IF(209=DispoMonth,StaticNetSaleUnlev,0)</f>
        <v/>
      </c>
      <c r="HF39" s="218">
        <f>-CashFlow!HF$5+Operating!HF$72+IF(210=DispoMonth,StaticNetSaleUnlev,0)</f>
        <v/>
      </c>
      <c r="HG39" s="218">
        <f>-CashFlow!HG$5+Operating!HG$72+IF(211=DispoMonth,StaticNetSaleUnlev,0)</f>
        <v/>
      </c>
      <c r="HH39" s="218">
        <f>-CashFlow!HH$5+Operating!HH$72+IF(212=DispoMonth,StaticNetSaleUnlev,0)</f>
        <v/>
      </c>
      <c r="HI39" s="218">
        <f>-CashFlow!HI$5+Operating!HI$72+IF(213=DispoMonth,StaticNetSaleUnlev,0)</f>
        <v/>
      </c>
      <c r="HJ39" s="218">
        <f>-CashFlow!HJ$5+Operating!HJ$72+IF(214=DispoMonth,StaticNetSaleUnlev,0)</f>
        <v/>
      </c>
      <c r="HK39" s="218">
        <f>-CashFlow!HK$5+Operating!HK$72+IF(215=DispoMonth,StaticNetSaleUnlev,0)</f>
        <v/>
      </c>
      <c r="HL39" s="218">
        <f>-CashFlow!HL$5+Operating!HL$72+IF(216=DispoMonth,StaticNetSaleUnlev,0)</f>
        <v/>
      </c>
      <c r="HM39" s="218">
        <f>-CashFlow!HM$5+Operating!HM$72+IF(217=DispoMonth,StaticNetSaleUnlev,0)</f>
        <v/>
      </c>
      <c r="HN39" s="218">
        <f>-CashFlow!HN$5+Operating!HN$72+IF(218=DispoMonth,StaticNetSaleUnlev,0)</f>
        <v/>
      </c>
      <c r="HO39" s="218">
        <f>-CashFlow!HO$5+Operating!HO$72+IF(219=DispoMonth,StaticNetSaleUnlev,0)</f>
        <v/>
      </c>
      <c r="HP39" s="218">
        <f>-CashFlow!HP$5+Operating!HP$72+IF(220=DispoMonth,StaticNetSaleUnlev,0)</f>
        <v/>
      </c>
      <c r="HQ39" s="218">
        <f>-CashFlow!HQ$5+Operating!HQ$72+IF(221=DispoMonth,StaticNetSaleUnlev,0)</f>
        <v/>
      </c>
      <c r="HR39" s="218">
        <f>-CashFlow!HR$5+Operating!HR$72+IF(222=DispoMonth,StaticNetSaleUnlev,0)</f>
        <v/>
      </c>
      <c r="HS39" s="218">
        <f>-CashFlow!HS$5+Operating!HS$72+IF(223=DispoMonth,StaticNetSaleUnlev,0)</f>
        <v/>
      </c>
      <c r="HT39" s="218">
        <f>-CashFlow!HT$5+Operating!HT$72+IF(224=DispoMonth,StaticNetSaleUnlev,0)</f>
        <v/>
      </c>
      <c r="HU39" s="218">
        <f>-CashFlow!HU$5+Operating!HU$72+IF(225=DispoMonth,StaticNetSaleUnlev,0)</f>
        <v/>
      </c>
      <c r="HV39" s="218">
        <f>-CashFlow!HV$5+Operating!HV$72+IF(226=DispoMonth,StaticNetSaleUnlev,0)</f>
        <v/>
      </c>
      <c r="HW39" s="218">
        <f>-CashFlow!HW$5+Operating!HW$72+IF(227=DispoMonth,StaticNetSaleUnlev,0)</f>
        <v/>
      </c>
      <c r="HX39" s="218">
        <f>-CashFlow!HX$5+Operating!HX$72+IF(228=DispoMonth,StaticNetSaleUnlev,0)</f>
        <v/>
      </c>
      <c r="HY39" s="218">
        <f>-CashFlow!HY$5+Operating!HY$72+IF(229=DispoMonth,StaticNetSaleUnlev,0)</f>
        <v/>
      </c>
      <c r="HZ39" s="218">
        <f>-CashFlow!HZ$5+Operating!HZ$72+IF(230=DispoMonth,StaticNetSaleUnlev,0)</f>
        <v/>
      </c>
      <c r="IA39" s="218">
        <f>-CashFlow!IA$5+Operating!IA$72+IF(231=DispoMonth,StaticNetSaleUnlev,0)</f>
        <v/>
      </c>
      <c r="IB39" s="218">
        <f>-CashFlow!IB$5+Operating!IB$72+IF(232=DispoMonth,StaticNetSaleUnlev,0)</f>
        <v/>
      </c>
      <c r="IC39" s="218">
        <f>-CashFlow!IC$5+Operating!IC$72+IF(233=DispoMonth,StaticNetSaleUnlev,0)</f>
        <v/>
      </c>
      <c r="ID39" s="218">
        <f>-CashFlow!ID$5+Operating!ID$72+IF(234=DispoMonth,StaticNetSaleUnlev,0)</f>
        <v/>
      </c>
      <c r="IE39" s="218">
        <f>-CashFlow!IE$5+Operating!IE$72+IF(235=DispoMonth,StaticNetSaleUnlev,0)</f>
        <v/>
      </c>
      <c r="IF39" s="218">
        <f>-CashFlow!IF$5+Operating!IF$72+IF(236=DispoMonth,StaticNetSaleUnlev,0)</f>
        <v/>
      </c>
      <c r="IG39" s="218">
        <f>-CashFlow!IG$5+Operating!IG$72+IF(237=DispoMonth,StaticNetSaleUnlev,0)</f>
        <v/>
      </c>
      <c r="IH39" s="218">
        <f>-CashFlow!IH$5+Operating!IH$72+IF(238=DispoMonth,StaticNetSaleUnlev,0)</f>
        <v/>
      </c>
      <c r="II39" s="218">
        <f>-CashFlow!II$5+Operating!II$72+IF(239=DispoMonth,StaticNetSaleUnlev,0)</f>
        <v/>
      </c>
      <c r="IJ39" s="218">
        <f>-CashFlow!IJ$5+Operating!IJ$72+IF(240=DispoMonth,StaticNetSaleUnlev,0)</f>
        <v/>
      </c>
      <c r="IK39" s="218">
        <f>-CashFlow!IK$5+Operating!IK$72+IF(241=DispoMonth,StaticNetSaleUnlev,0)</f>
        <v/>
      </c>
      <c r="IL39" s="218">
        <f>-CashFlow!IL$5+Operating!IL$72+IF(242=DispoMonth,StaticNetSaleUnlev,0)</f>
        <v/>
      </c>
      <c r="IM39" s="218">
        <f>-CashFlow!IM$5+Operating!IM$72+IF(243=DispoMonth,StaticNetSaleUnlev,0)</f>
        <v/>
      </c>
      <c r="IN39" s="218">
        <f>-CashFlow!IN$5+Operating!IN$72+IF(244=DispoMonth,StaticNetSaleUnlev,0)</f>
        <v/>
      </c>
      <c r="IO39" s="218">
        <f>-CashFlow!IO$5+Operating!IO$72+IF(245=DispoMonth,StaticNetSaleUnlev,0)</f>
        <v/>
      </c>
      <c r="IP39" s="218">
        <f>-CashFlow!IP$5+Operating!IP$72+IF(246=DispoMonth,StaticNetSaleUnlev,0)</f>
        <v/>
      </c>
      <c r="IQ39" s="218">
        <f>-CashFlow!IQ$5+Operating!IQ$72+IF(247=DispoMonth,StaticNetSaleUnlev,0)</f>
        <v/>
      </c>
      <c r="IR39" s="218">
        <f>-CashFlow!IR$5+Operating!IR$72+IF(248=DispoMonth,StaticNetSaleUnlev,0)</f>
        <v/>
      </c>
      <c r="IS39" s="218">
        <f>-CashFlow!IS$5+Operating!IS$72+IF(249=DispoMonth,StaticNetSaleUnlev,0)</f>
        <v/>
      </c>
      <c r="IT39" s="218">
        <f>-CashFlow!IT$5+Operating!IT$72+IF(250=DispoMonth,StaticNetSaleUnlev,0)</f>
        <v/>
      </c>
      <c r="IU39" s="218">
        <f>-CashFlow!IU$5+Operating!IU$72+IF(251=DispoMonth,StaticNetSaleUnlev,0)</f>
        <v/>
      </c>
      <c r="IV39" s="218">
        <f>-CashFlow!IV$5+Operating!IV$72+IF(252=DispoMonth,StaticNetSaleUnlev,0)</f>
        <v/>
      </c>
      <c r="IW39" s="218">
        <f>-CashFlow!IW$5+Operating!IW$72+IF(253=DispoMonth,StaticNetSaleUnlev,0)</f>
        <v/>
      </c>
      <c r="IX39" s="218">
        <f>-CashFlow!IX$5+Operating!IX$72+IF(254=DispoMonth,StaticNetSaleUnlev,0)</f>
        <v/>
      </c>
      <c r="IY39" s="218">
        <f>-CashFlow!IY$5+Operating!IY$72+IF(255=DispoMonth,StaticNetSaleUnlev,0)</f>
        <v/>
      </c>
      <c r="IZ39" s="218">
        <f>-CashFlow!IZ$5+Operating!IZ$72+IF(256=DispoMonth,StaticNetSaleUnlev,0)</f>
        <v/>
      </c>
      <c r="JA39" s="218">
        <f>-CashFlow!JA$5+Operating!JA$72+IF(257=DispoMonth,StaticNetSaleUnlev,0)</f>
        <v/>
      </c>
      <c r="JB39" s="218">
        <f>-CashFlow!JB$5+Operating!JB$72+IF(258=DispoMonth,StaticNetSaleUnlev,0)</f>
        <v/>
      </c>
      <c r="JC39" s="218">
        <f>-CashFlow!JC$5+Operating!JC$72+IF(259=DispoMonth,StaticNetSaleUnlev,0)</f>
        <v/>
      </c>
      <c r="JD39" s="218">
        <f>-CashFlow!JD$5+Operating!JD$72+IF(260=DispoMonth,StaticNetSaleUnlev,0)</f>
        <v/>
      </c>
      <c r="JE39" s="218">
        <f>-CashFlow!JE$5+Operating!JE$72+IF(261=DispoMonth,StaticNetSaleUnlev,0)</f>
        <v/>
      </c>
      <c r="JF39" s="218">
        <f>-CashFlow!JF$5+Operating!JF$72+IF(262=DispoMonth,StaticNetSaleUnlev,0)</f>
        <v/>
      </c>
      <c r="JG39" s="218">
        <f>-CashFlow!JG$5+Operating!JG$72+IF(263=DispoMonth,StaticNetSaleUnlev,0)</f>
        <v/>
      </c>
      <c r="JH39" s="218">
        <f>-CashFlow!JH$5+Operating!JH$72+IF(264=DispoMonth,StaticNetSaleUnlev,0)</f>
        <v/>
      </c>
      <c r="JI39" s="218">
        <f>-CashFlow!JI$5+Operating!JI$72+IF(265=DispoMonth,StaticNetSaleUnlev,0)</f>
        <v/>
      </c>
      <c r="JJ39" s="218">
        <f>-CashFlow!JJ$5+Operating!JJ$72+IF(266=DispoMonth,StaticNetSaleUnlev,0)</f>
        <v/>
      </c>
      <c r="JK39" s="218">
        <f>-CashFlow!JK$5+Operating!JK$72+IF(267=DispoMonth,StaticNetSaleUnlev,0)</f>
        <v/>
      </c>
      <c r="JL39" s="218">
        <f>-CashFlow!JL$5+Operating!JL$72+IF(268=DispoMonth,StaticNetSaleUnlev,0)</f>
        <v/>
      </c>
      <c r="JM39" s="218">
        <f>-CashFlow!JM$5+Operating!JM$72+IF(269=DispoMonth,StaticNetSaleUnlev,0)</f>
        <v/>
      </c>
      <c r="JN39" s="218">
        <f>-CashFlow!JN$5+Operating!JN$72+IF(270=DispoMonth,StaticNetSaleUnlev,0)</f>
        <v/>
      </c>
      <c r="JO39" s="218">
        <f>-CashFlow!JO$5+Operating!JO$72+IF(271=DispoMonth,StaticNetSaleUnlev,0)</f>
        <v/>
      </c>
      <c r="JP39" s="218">
        <f>-CashFlow!JP$5+Operating!JP$72+IF(272=DispoMonth,StaticNetSaleUnlev,0)</f>
        <v/>
      </c>
      <c r="JQ39" s="218">
        <f>-CashFlow!JQ$5+Operating!JQ$72+IF(273=DispoMonth,StaticNetSaleUnlev,0)</f>
        <v/>
      </c>
      <c r="JR39" s="218">
        <f>-CashFlow!JR$5+Operating!JR$72+IF(274=DispoMonth,StaticNetSaleUnlev,0)</f>
        <v/>
      </c>
      <c r="JS39" s="218">
        <f>-CashFlow!JS$5+Operating!JS$72+IF(275=DispoMonth,StaticNetSaleUnlev,0)</f>
        <v/>
      </c>
      <c r="JT39" s="218">
        <f>-CashFlow!JT$5+Operating!JT$72+IF(276=DispoMonth,StaticNetSaleUnlev,0)</f>
        <v/>
      </c>
      <c r="JU39" s="218">
        <f>-CashFlow!JU$5+Operating!JU$72+IF(277=DispoMonth,StaticNetSaleUnlev,0)</f>
        <v/>
      </c>
      <c r="JV39" s="218">
        <f>-CashFlow!JV$5+Operating!JV$72+IF(278=DispoMonth,StaticNetSaleUnlev,0)</f>
        <v/>
      </c>
      <c r="JW39" s="218">
        <f>-CashFlow!JW$5+Operating!JW$72+IF(279=DispoMonth,StaticNetSaleUnlev,0)</f>
        <v/>
      </c>
      <c r="JX39" s="218">
        <f>-CashFlow!JX$5+Operating!JX$72+IF(280=DispoMonth,StaticNetSaleUnlev,0)</f>
        <v/>
      </c>
      <c r="JY39" s="218">
        <f>-CashFlow!JY$5+Operating!JY$72+IF(281=DispoMonth,StaticNetSaleUnlev,0)</f>
        <v/>
      </c>
      <c r="JZ39" s="218">
        <f>-CashFlow!JZ$5+Operating!JZ$72+IF(282=DispoMonth,StaticNetSaleUnlev,0)</f>
        <v/>
      </c>
      <c r="KA39" s="218">
        <f>-CashFlow!KA$5+Operating!KA$72+IF(283=DispoMonth,StaticNetSaleUnlev,0)</f>
        <v/>
      </c>
      <c r="KB39" s="218">
        <f>-CashFlow!KB$5+Operating!KB$72+IF(284=DispoMonth,StaticNetSaleUnlev,0)</f>
        <v/>
      </c>
      <c r="KC39" s="218">
        <f>-CashFlow!KC$5+Operating!KC$72+IF(285=DispoMonth,StaticNetSaleUnlev,0)</f>
        <v/>
      </c>
      <c r="KD39" s="218">
        <f>-CashFlow!KD$5+Operating!KD$72+IF(286=DispoMonth,StaticNetSaleUnlev,0)</f>
        <v/>
      </c>
      <c r="KE39" s="218">
        <f>-CashFlow!KE$5+Operating!KE$72+IF(287=DispoMonth,StaticNetSaleUnlev,0)</f>
        <v/>
      </c>
      <c r="KF39" s="218">
        <f>-CashFlow!KF$5+Operating!KF$72+IF(288=DispoMonth,StaticNetSaleUnlev,0)</f>
        <v/>
      </c>
      <c r="KG39" s="218">
        <f>-CashFlow!KG$5+Operating!KG$72+IF(289=DispoMonth,StaticNetSaleUnlev,0)</f>
        <v/>
      </c>
      <c r="KH39" s="218">
        <f>-CashFlow!KH$5+Operating!KH$72+IF(290=DispoMonth,StaticNetSaleUnlev,0)</f>
        <v/>
      </c>
      <c r="KI39" s="218">
        <f>-CashFlow!KI$5+Operating!KI$72+IF(291=DispoMonth,StaticNetSaleUnlev,0)</f>
        <v/>
      </c>
      <c r="KJ39" s="218">
        <f>-CashFlow!KJ$5+Operating!KJ$72+IF(292=DispoMonth,StaticNetSaleUnlev,0)</f>
        <v/>
      </c>
      <c r="KK39" s="218">
        <f>-CashFlow!KK$5+Operating!KK$72+IF(293=DispoMonth,StaticNetSaleUnlev,0)</f>
        <v/>
      </c>
      <c r="KL39" s="218">
        <f>-CashFlow!KL$5+Operating!KL$72+IF(294=DispoMonth,StaticNetSaleUnlev,0)</f>
        <v/>
      </c>
      <c r="KM39" s="218">
        <f>-CashFlow!KM$5+Operating!KM$72+IF(295=DispoMonth,StaticNetSaleUnlev,0)</f>
        <v/>
      </c>
      <c r="KN39" s="218">
        <f>-CashFlow!KN$5+Operating!KN$72+IF(296=DispoMonth,StaticNetSaleUnlev,0)</f>
        <v/>
      </c>
      <c r="KO39" s="218">
        <f>-CashFlow!KO$5+Operating!KO$72+IF(297=DispoMonth,StaticNetSaleUnlev,0)</f>
        <v/>
      </c>
      <c r="KP39" s="218">
        <f>-CashFlow!KP$5+Operating!KP$72+IF(298=DispoMonth,StaticNetSaleUnlev,0)</f>
        <v/>
      </c>
      <c r="KQ39" s="218">
        <f>-CashFlow!KQ$5+Operating!KQ$72+IF(299=DispoMonth,StaticNetSaleUnlev,0)</f>
        <v/>
      </c>
      <c r="KR39" s="218">
        <f>-CashFlow!KR$5+Operating!KR$72+IF(300=DispoMonth,StaticNetSaleUnlev,0)</f>
        <v/>
      </c>
      <c r="KS39" s="218">
        <f>-CashFlow!KS$5+Operating!KS$72+IF(301=DispoMonth,StaticNetSaleUnlev,0)</f>
        <v/>
      </c>
      <c r="KT39" s="218">
        <f>-CashFlow!KT$5+Operating!KT$72+IF(302=DispoMonth,StaticNetSaleUnlev,0)</f>
        <v/>
      </c>
      <c r="KU39" s="218">
        <f>-CashFlow!KU$5+Operating!KU$72+IF(303=DispoMonth,StaticNetSaleUnlev,0)</f>
        <v/>
      </c>
      <c r="KV39" s="218">
        <f>-CashFlow!KV$5+Operating!KV$72+IF(304=DispoMonth,StaticNetSaleUnlev,0)</f>
        <v/>
      </c>
      <c r="KW39" s="218">
        <f>-CashFlow!KW$5+Operating!KW$72+IF(305=DispoMonth,StaticNetSaleUnlev,0)</f>
        <v/>
      </c>
      <c r="KX39" s="218">
        <f>-CashFlow!KX$5+Operating!KX$72+IF(306=DispoMonth,StaticNetSaleUnlev,0)</f>
        <v/>
      </c>
      <c r="KY39" s="218">
        <f>-CashFlow!KY$5+Operating!KY$72+IF(307=DispoMonth,StaticNetSaleUnlev,0)</f>
        <v/>
      </c>
      <c r="KZ39" s="218">
        <f>-CashFlow!KZ$5+Operating!KZ$72+IF(308=DispoMonth,StaticNetSaleUnlev,0)</f>
        <v/>
      </c>
      <c r="LA39" s="218">
        <f>-CashFlow!LA$5+Operating!LA$72+IF(309=DispoMonth,StaticNetSaleUnlev,0)</f>
        <v/>
      </c>
      <c r="LB39" s="218">
        <f>-CashFlow!LB$5+Operating!LB$72+IF(310=DispoMonth,StaticNetSaleUnlev,0)</f>
        <v/>
      </c>
      <c r="LC39" s="218">
        <f>-CashFlow!LC$5+Operating!LC$72+IF(311=DispoMonth,StaticNetSaleUnlev,0)</f>
        <v/>
      </c>
      <c r="LD39" s="218">
        <f>-CashFlow!LD$5+Operating!LD$72+IF(312=DispoMonth,StaticNetSaleUnlev,0)</f>
        <v/>
      </c>
      <c r="LE39" s="218">
        <f>-CashFlow!LE$5+Operating!LE$72+IF(313=DispoMonth,StaticNetSaleUnlev,0)</f>
        <v/>
      </c>
      <c r="LF39" s="218">
        <f>-CashFlow!LF$5+Operating!LF$72+IF(314=DispoMonth,StaticNetSaleUnlev,0)</f>
        <v/>
      </c>
      <c r="LG39" s="218">
        <f>-CashFlow!LG$5+Operating!LG$72+IF(315=DispoMonth,StaticNetSaleUnlev,0)</f>
        <v/>
      </c>
      <c r="LH39" s="218">
        <f>-CashFlow!LH$5+Operating!LH$72+IF(316=DispoMonth,StaticNetSaleUnlev,0)</f>
        <v/>
      </c>
      <c r="LI39" s="218">
        <f>-CashFlow!LI$5+Operating!LI$72+IF(317=DispoMonth,StaticNetSaleUnlev,0)</f>
        <v/>
      </c>
      <c r="LJ39" s="218">
        <f>-CashFlow!LJ$5+Operating!LJ$72+IF(318=DispoMonth,StaticNetSaleUnlev,0)</f>
        <v/>
      </c>
      <c r="LK39" s="218">
        <f>-CashFlow!LK$5+Operating!LK$72+IF(319=DispoMonth,StaticNetSaleUnlev,0)</f>
        <v/>
      </c>
      <c r="LL39" s="218">
        <f>-CashFlow!LL$5+Operating!LL$72+IF(320=DispoMonth,StaticNetSaleUnlev,0)</f>
        <v/>
      </c>
      <c r="LM39" s="218">
        <f>-CashFlow!LM$5+Operating!LM$72+IF(321=DispoMonth,StaticNetSaleUnlev,0)</f>
        <v/>
      </c>
      <c r="LN39" s="218">
        <f>-CashFlow!LN$5+Operating!LN$72+IF(322=DispoMonth,StaticNetSaleUnlev,0)</f>
        <v/>
      </c>
      <c r="LO39" s="218">
        <f>-CashFlow!LO$5+Operating!LO$72+IF(323=DispoMonth,StaticNetSaleUnlev,0)</f>
        <v/>
      </c>
      <c r="LP39" s="218">
        <f>-CashFlow!LP$5+Operating!LP$72+IF(324=DispoMonth,StaticNetSaleUnlev,0)</f>
        <v/>
      </c>
      <c r="LQ39" s="218">
        <f>-CashFlow!LQ$5+Operating!LQ$72+IF(325=DispoMonth,StaticNetSaleUnlev,0)</f>
        <v/>
      </c>
      <c r="LR39" s="218">
        <f>-CashFlow!LR$5+Operating!LR$72+IF(326=DispoMonth,StaticNetSaleUnlev,0)</f>
        <v/>
      </c>
      <c r="LS39" s="218">
        <f>-CashFlow!LS$5+Operating!LS$72+IF(327=DispoMonth,StaticNetSaleUnlev,0)</f>
        <v/>
      </c>
      <c r="LT39" s="218">
        <f>-CashFlow!LT$5+Operating!LT$72+IF(328=DispoMonth,StaticNetSaleUnlev,0)</f>
        <v/>
      </c>
      <c r="LU39" s="218">
        <f>-CashFlow!LU$5+Operating!LU$72+IF(329=DispoMonth,StaticNetSaleUnlev,0)</f>
        <v/>
      </c>
      <c r="LV39" s="218">
        <f>-CashFlow!LV$5+Operating!LV$72+IF(330=DispoMonth,StaticNetSaleUnlev,0)</f>
        <v/>
      </c>
      <c r="LW39" s="218">
        <f>-CashFlow!LW$5+Operating!LW$72+IF(331=DispoMonth,StaticNetSaleUnlev,0)</f>
        <v/>
      </c>
      <c r="LX39" s="218">
        <f>-CashFlow!LX$5+Operating!LX$72+IF(332=DispoMonth,StaticNetSaleUnlev,0)</f>
        <v/>
      </c>
      <c r="LY39" s="218">
        <f>-CashFlow!LY$5+Operating!LY$72+IF(333=DispoMonth,StaticNetSaleUnlev,0)</f>
        <v/>
      </c>
      <c r="LZ39" s="218">
        <f>-CashFlow!LZ$5+Operating!LZ$72+IF(334=DispoMonth,StaticNetSaleUnlev,0)</f>
        <v/>
      </c>
      <c r="MA39" s="218">
        <f>-CashFlow!MA$5+Operating!MA$72+IF(335=DispoMonth,StaticNetSaleUnlev,0)</f>
        <v/>
      </c>
      <c r="MB39" s="218">
        <f>-CashFlow!MB$5+Operating!MB$72+IF(336=DispoMonth,StaticNetSaleUnlev,0)</f>
        <v/>
      </c>
      <c r="MC39" s="218">
        <f>-CashFlow!MC$5+Operating!MC$72+IF(337=DispoMonth,StaticNetSaleUnlev,0)</f>
        <v/>
      </c>
      <c r="MD39" s="218">
        <f>-CashFlow!MD$5+Operating!MD$72+IF(338=DispoMonth,StaticNetSaleUnlev,0)</f>
        <v/>
      </c>
      <c r="ME39" s="218">
        <f>-CashFlow!ME$5+Operating!ME$72+IF(339=DispoMonth,StaticNetSaleUnlev,0)</f>
        <v/>
      </c>
      <c r="MF39" s="218">
        <f>-CashFlow!MF$5+Operating!MF$72+IF(340=DispoMonth,StaticNetSaleUnlev,0)</f>
        <v/>
      </c>
      <c r="MG39" s="218">
        <f>-CashFlow!MG$5+Operating!MG$72+IF(341=DispoMonth,StaticNetSaleUnlev,0)</f>
        <v/>
      </c>
      <c r="MH39" s="218">
        <f>-CashFlow!MH$5+Operating!MH$72+IF(342=DispoMonth,StaticNetSaleUnlev,0)</f>
        <v/>
      </c>
      <c r="MI39" s="218">
        <f>-CashFlow!MI$5+Operating!MI$72+IF(343=DispoMonth,StaticNetSaleUnlev,0)</f>
        <v/>
      </c>
      <c r="MJ39" s="218">
        <f>-CashFlow!MJ$5+Operating!MJ$72+IF(344=DispoMonth,StaticNetSaleUnlev,0)</f>
        <v/>
      </c>
      <c r="MK39" s="218">
        <f>-CashFlow!MK$5+Operating!MK$72+IF(345=DispoMonth,StaticNetSaleUnlev,0)</f>
        <v/>
      </c>
      <c r="ML39" s="218">
        <f>-CashFlow!ML$5+Operating!ML$72+IF(346=DispoMonth,StaticNetSaleUnlev,0)</f>
        <v/>
      </c>
      <c r="MM39" s="218">
        <f>-CashFlow!MM$5+Operating!MM$72+IF(347=DispoMonth,StaticNetSaleUnlev,0)</f>
        <v/>
      </c>
      <c r="MN39" s="218">
        <f>-CashFlow!MN$5+Operating!MN$72+IF(348=DispoMonth,StaticNetSaleUnlev,0)</f>
        <v/>
      </c>
      <c r="MO39" s="218">
        <f>-CashFlow!MO$5+Operating!MO$72+IF(349=DispoMonth,StaticNetSaleUnlev,0)</f>
        <v/>
      </c>
      <c r="MP39" s="218">
        <f>-CashFlow!MP$5+Operating!MP$72+IF(350=DispoMonth,StaticNetSaleUnlev,0)</f>
        <v/>
      </c>
      <c r="MQ39" s="218">
        <f>-CashFlow!MQ$5+Operating!MQ$72+IF(351=DispoMonth,StaticNetSaleUnlev,0)</f>
        <v/>
      </c>
      <c r="MR39" s="218">
        <f>-CashFlow!MR$5+Operating!MR$72+IF(352=DispoMonth,StaticNetSaleUnlev,0)</f>
        <v/>
      </c>
      <c r="MS39" s="218">
        <f>-CashFlow!MS$5+Operating!MS$72+IF(353=DispoMonth,StaticNetSaleUnlev,0)</f>
        <v/>
      </c>
      <c r="MT39" s="218">
        <f>-CashFlow!MT$5+Operating!MT$72+IF(354=DispoMonth,StaticNetSaleUnlev,0)</f>
        <v/>
      </c>
      <c r="MU39" s="218">
        <f>-CashFlow!MU$5+Operating!MU$72+IF(355=DispoMonth,StaticNetSaleUnlev,0)</f>
        <v/>
      </c>
      <c r="MV39" s="218">
        <f>-CashFlow!MV$5+Operating!MV$72+IF(356=DispoMonth,StaticNetSaleUnlev,0)</f>
        <v/>
      </c>
      <c r="MW39" s="218">
        <f>-CashFlow!MW$5+Operating!MW$72+IF(357=DispoMonth,StaticNetSaleUnlev,0)</f>
        <v/>
      </c>
      <c r="MX39" s="218">
        <f>-CashFlow!MX$5+Operating!MX$72+IF(358=DispoMonth,StaticNetSaleUnlev,0)</f>
        <v/>
      </c>
      <c r="MY39" s="218">
        <f>-CashFlow!MY$5+Operating!MY$72+IF(359=DispoMonth,StaticNetSaleUnlev,0)</f>
        <v/>
      </c>
      <c r="MZ39" s="218">
        <f>-CashFlow!MZ$5+Operating!MZ$72+IF(360=DispoMonth,StaticNetSaleUnlev,0)</f>
        <v/>
      </c>
      <c r="NA39" s="218">
        <f>-CashFlow!NA$5+Operating!NA$72+IF(361=DispoMonth,StaticNetSaleUnlev,0)</f>
        <v/>
      </c>
      <c r="NB39" s="218">
        <f>-CashFlow!NB$5+Operating!NB$72+IF(362=DispoMonth,StaticNetSaleUnlev,0)</f>
        <v/>
      </c>
      <c r="NC39" s="218">
        <f>-CashFlow!NC$5+Operating!NC$72+IF(363=DispoMonth,StaticNetSaleUnlev,0)</f>
        <v/>
      </c>
      <c r="ND39" s="218">
        <f>-CashFlow!ND$5+Operating!ND$72+IF(364=DispoMonth,StaticNetSaleUnlev,0)</f>
        <v/>
      </c>
      <c r="NE39" s="218">
        <f>-CashFlow!NE$5+Operating!NE$72+IF(365=DispoMonth,StaticNetSaleUnlev,0)</f>
        <v/>
      </c>
      <c r="NF39" s="218">
        <f>-CashFlow!NF$5+Operating!NF$72+IF(366=DispoMonth,StaticNetSaleUnlev,0)</f>
        <v/>
      </c>
      <c r="NG39" s="218">
        <f>-CashFlow!NG$5+Operating!NG$72+IF(367=DispoMonth,StaticNetSaleUnlev,0)</f>
        <v/>
      </c>
      <c r="NH39" s="218">
        <f>-CashFlow!NH$5+Operating!NH$72+IF(368=DispoMonth,StaticNetSaleUnlev,0)</f>
        <v/>
      </c>
      <c r="NI39" s="218">
        <f>-CashFlow!NI$5+Operating!NI$72+IF(369=DispoMonth,StaticNetSaleUnlev,0)</f>
        <v/>
      </c>
      <c r="NJ39" s="218">
        <f>-CashFlow!NJ$5+Operating!NJ$72+IF(370=DispoMonth,StaticNetSaleUnlev,0)</f>
        <v/>
      </c>
      <c r="NK39" s="218">
        <f>-CashFlow!NK$5+Operating!NK$72+IF(371=DispoMonth,StaticNetSaleUnlev,0)</f>
        <v/>
      </c>
      <c r="NL39" s="218">
        <f>-CashFlow!NL$5+Operating!NL$72+IF(372=DispoMonth,StaticNetSaleUnlev,0)</f>
        <v/>
      </c>
    </row>
    <row r="40">
      <c r="B40" s="52" t="n"/>
      <c r="D40" s="53" t="n"/>
    </row>
    <row r="41">
      <c r="B41" s="36" t="inlineStr">
        <is>
          <t>Static Unlevered IRR</t>
        </is>
      </c>
      <c r="C41" s="140">
        <f>IFERROR((1+IRR(E39:NL39,0.01))^12-1,"n/a")</f>
        <v/>
      </c>
      <c r="D41" s="53" t="n"/>
    </row>
    <row r="42">
      <c r="B42" s="40" t="inlineStr">
        <is>
          <t>Static Unlevered MOIC</t>
        </is>
      </c>
      <c r="C42" s="274">
        <f>IF(SUMIF(E39:NL39,"&lt;0")=0,0,SUMIF(E39:NL39,"&gt;0")/-SUMIF(E39:NL39,"&lt;0"))</f>
        <v/>
      </c>
      <c r="D42" s="66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1:G40"/>
  <sheetViews>
    <sheetView showGridLines="0" workbookViewId="0">
      <pane ySplit="3" topLeftCell="A4" activePane="bottomLeft" state="frozen"/>
      <selection pane="bottomLeft" activeCell="C13" sqref="C13"/>
    </sheetView>
  </sheetViews>
  <sheetFormatPr baseColWidth="8" defaultRowHeight="15"/>
  <cols>
    <col width="3.7109375" customWidth="1" style="97" min="1" max="1"/>
    <col width="48" customWidth="1" style="97" min="2" max="2"/>
    <col width="18" customWidth="1" style="97" min="3" max="3"/>
    <col width="12" customWidth="1" style="97" min="4" max="4"/>
  </cols>
  <sheetData>
    <row r="1" ht="21" customHeight="1" s="97">
      <c r="B1" s="1" t="inlineStr">
        <is>
          <t>Diagnostics &amp; Validation</t>
        </is>
      </c>
    </row>
    <row r="3">
      <c r="B3" s="71" t="inlineStr">
        <is>
          <t>Check</t>
        </is>
      </c>
      <c r="C3" s="118" t="inlineStr">
        <is>
          <t>Value</t>
        </is>
      </c>
      <c r="D3" s="119" t="inlineStr">
        <is>
          <t>Status</t>
        </is>
      </c>
      <c r="F3" s="196" t="inlineStr">
        <is>
          <t>Errors by sheet</t>
        </is>
      </c>
    </row>
    <row r="4">
      <c r="B4" s="36" t="inlineStr">
        <is>
          <t>Total formula errors (workbook-wide scan = 0)</t>
        </is>
      </c>
      <c r="C4" s="218">
        <f>SUM(F4:F17)</f>
        <v/>
      </c>
      <c r="D4" s="172">
        <f>IF(SUM(F4:F17)=0,"PASS","FAIL")</f>
        <v/>
      </c>
      <c r="F4" s="294">
        <f>SUMPRODUCT(--ISERROR(Timeline!E41:NL41))+SUMPRODUCT(--ISERROR(Timeline!C17:C25))</f>
        <v/>
      </c>
      <c r="G4" s="289" t="inlineStr">
        <is>
          <t>Timeline</t>
        </is>
      </c>
    </row>
    <row r="5">
      <c r="B5" s="36" t="inlineStr">
        <is>
          <t>Development budget fully allocated</t>
        </is>
      </c>
      <c r="C5" s="218">
        <f>DevSpend!$D$34-DirectCosts</f>
        <v/>
      </c>
      <c r="D5" s="172">
        <f>IF(ABS(DevSpend!$D$34-DirectCosts)&lt;1,"PASS","FAIL")</f>
        <v/>
      </c>
      <c r="F5" s="294">
        <f>SUMPRODUCT(--ISERROR(DevSpend!E34:NL34))+SUMPRODUCT(--ISERROR(DevSpend!E38:NL38))+SUMPRODUCT(--ISERROR(DevSpend!D34:D43))</f>
        <v/>
      </c>
      <c r="G5" s="289" t="inlineStr">
        <is>
          <t>DevSpend</t>
        </is>
      </c>
    </row>
    <row r="6">
      <c r="B6" s="36" t="inlineStr">
        <is>
          <t>Cost curves sum to line totals</t>
        </is>
      </c>
      <c r="C6" s="218">
        <f>Chk_CostCurve</f>
        <v/>
      </c>
      <c r="D6" s="172">
        <f>IF(ABS(Chk_CostCurve)&lt;1,"PASS","FAIL")</f>
        <v/>
      </c>
      <c r="F6" s="294">
        <f>SUMPRODUCT(--ISERROR(ConLoan!E31:NL31))+SUMPRODUCT(--ISERROR(ConLoan!E32:NL32))+SUMPRODUCT(--ISERROR(ConLoan!C35:C48))</f>
        <v/>
      </c>
      <c r="G6" s="289" t="inlineStr">
        <is>
          <t>ConLoan</t>
        </is>
      </c>
    </row>
    <row r="7">
      <c r="B7" s="36" t="inlineStr">
        <is>
          <t>Dev fee curve sums to fee</t>
        </is>
      </c>
      <c r="C7" s="218">
        <f>Chk_DevFeeCurve</f>
        <v/>
      </c>
      <c r="D7" s="172">
        <f>IF(ABS(Chk_DevFeeCurve)&lt;1,"PASS","FAIL")</f>
        <v/>
      </c>
      <c r="F7" s="294">
        <f>SUMPRODUCT(--ISERROR(LeaseUp!E8:NL8))+SUMPRODUCT(--ISERROR(LeaseUp!E10:NL10))+SUMPRODUCT(--ISERROR(LeaseUp!C13:C14))</f>
        <v/>
      </c>
      <c r="G7" s="289" t="inlineStr">
        <is>
          <t>LeaseUp</t>
        </is>
      </c>
    </row>
    <row r="8">
      <c r="B8" s="36" t="inlineStr">
        <is>
          <t>Construction debt draws reconcile</t>
        </is>
      </c>
      <c r="C8" s="218">
        <f>Chk_DebtDraws</f>
        <v/>
      </c>
      <c r="D8" s="172">
        <f>IF(ABS(Chk_DebtDraws)&lt;1,"PASS","FAIL")</f>
        <v/>
      </c>
      <c r="F8" s="294">
        <f>SUMPRODUCT(--ISERROR(Operating!E23:NL23))+SUMPRODUCT(--ISERROR(Operating!E36:NL36))+SUMPRODUCT(--ISERROR(Operating!E38:NL38))+SUMPRODUCT(--ISERROR(Operating!E42:NL42))+SUMPRODUCT(--ISERROR(Operating!E69:NL69))+SUMPRODUCT(--ISERROR(Operating!C47:C77))</f>
        <v/>
      </c>
      <c r="G8" s="289" t="inlineStr">
        <is>
          <t>Operating</t>
        </is>
      </c>
    </row>
    <row r="9">
      <c r="B9" s="36" t="inlineStr">
        <is>
          <t>Equity draws reconcile</t>
        </is>
      </c>
      <c r="C9" s="218">
        <f>Chk_EquityDraws</f>
        <v/>
      </c>
      <c r="D9" s="172">
        <f>IF(ABS(Chk_EquityDraws)&lt;1,"PASS","FAIL")</f>
        <v/>
      </c>
      <c r="F9" s="294">
        <f>SUMPRODUCT(--ISERROR(PermLoan!E30:NL30))+SUMPRODUCT(--ISERROR(PermLoan!C4:C33))</f>
        <v/>
      </c>
      <c r="G9" s="289" t="inlineStr">
        <is>
          <t>PermLoan</t>
        </is>
      </c>
    </row>
    <row r="10">
      <c r="B10" s="36" t="inlineStr">
        <is>
          <t>Fundable uses reconcile</t>
        </is>
      </c>
      <c r="C10" s="218">
        <f>Chk_Uses</f>
        <v/>
      </c>
      <c r="D10" s="172">
        <f>IF(ABS(Chk_Uses)&lt;1,"PASS","FAIL")</f>
        <v/>
      </c>
      <c r="F10" s="294">
        <f>SUMPRODUCT(--ISERROR(Disposition!C4:C25))</f>
        <v/>
      </c>
      <c r="G10" s="289" t="inlineStr">
        <is>
          <t>Disposition</t>
        </is>
      </c>
    </row>
    <row r="11">
      <c r="B11" s="36" t="inlineStr">
        <is>
          <t>Interest reserve funded &gt;= accrued</t>
        </is>
      </c>
      <c r="C11" s="218">
        <f>Chk_IntReserve</f>
        <v/>
      </c>
      <c r="D11" s="172">
        <f>IF(Chk_IntReserve&gt;=-1,"PASS","FAIL")</f>
        <v/>
      </c>
      <c r="F11" s="294">
        <f>SUMPRODUCT(--ISERROR(CashFlow!E6:NL6))+SUMPRODUCT(--ISERROR(CashFlow!E7:NL7))+SUMPRODUCT(--ISERROR(CashFlow!C10:C15))</f>
        <v/>
      </c>
      <c r="G11" s="289" t="inlineStr">
        <is>
          <t>CashFlow</t>
        </is>
      </c>
    </row>
    <row r="12">
      <c r="B12" s="36" t="inlineStr">
        <is>
          <t>Construction balance drawn to zero</t>
        </is>
      </c>
      <c r="C12" s="218">
        <f>Chk_ConBalEnd</f>
        <v/>
      </c>
      <c r="D12" s="172">
        <f>IF(ABS(Chk_ConBalEnd)&lt;1,"PASS","FAIL")</f>
        <v/>
      </c>
      <c r="F12" s="294">
        <f>SUMPRODUCT(--ISERROR(Returns!E11:NL11))+SUMPRODUCT(--ISERROR(Returns!E12:NL12))+SUMPRODUCT(--ISERROR(Returns!E39:NL39))+SUMPRODUCT(--ISERROR(Returns!C4:C42))</f>
        <v/>
      </c>
      <c r="G12" s="289" t="inlineStr">
        <is>
          <t>Returns</t>
        </is>
      </c>
    </row>
    <row r="13">
      <c r="B13" s="36" t="inlineStr">
        <is>
          <t>Lease-up reaches stabilized occupancy</t>
        </is>
      </c>
      <c r="C13" s="218">
        <f>Chk_LeaseUpReached</f>
        <v/>
      </c>
      <c r="D13" s="172">
        <f>IF(ABS(Chk_LeaseUpReached)&lt;1,"PASS","FAIL")</f>
        <v/>
      </c>
      <c r="F13" s="294">
        <f>SUMPRODUCT(--ISERROR(Proforma!G12:G47))+SUMPRODUCT(--ISERROR(Proforma!C5:C8))</f>
        <v/>
      </c>
      <c r="G13" s="289" t="inlineStr">
        <is>
          <t>Proforma</t>
        </is>
      </c>
    </row>
    <row r="14">
      <c r="B14" s="36" t="inlineStr">
        <is>
          <t>Units delivered reach total by stabilization</t>
        </is>
      </c>
      <c r="C14" s="218">
        <f>Chk_UnitsDelivered-TotalUnits</f>
        <v/>
      </c>
      <c r="D14" s="172">
        <f>IF(Chk_UnitsDelivered&gt;=TotalUnits-1,"PASS","FAIL")</f>
        <v/>
      </c>
      <c r="F14" s="294">
        <f>SUMPRODUCT(--ISERROR(Dashboard!F5:F36))</f>
        <v/>
      </c>
      <c r="G14" s="289" t="inlineStr">
        <is>
          <t>Dashboard</t>
        </is>
      </c>
    </row>
    <row r="15">
      <c r="B15" s="36" t="inlineStr">
        <is>
          <t>Operating reserve &gt;= peak lease-up shortfall</t>
        </is>
      </c>
      <c r="C15" s="218">
        <f>OpReserve+PeakShort</f>
        <v/>
      </c>
      <c r="D15" s="172">
        <f>IF(OpReserve&gt;=-PeakShort-1,"PASS","FAIL")</f>
        <v/>
      </c>
      <c r="F15" s="294">
        <f>SUMPRODUCT(--ISERROR(Budget!J5:J39))+SUMPRODUCT(--ISERROR(Budget!D5:D32))</f>
        <v/>
      </c>
      <c r="G15" s="289" t="inlineStr">
        <is>
          <t>Budget</t>
        </is>
      </c>
    </row>
    <row r="16">
      <c r="B16" s="36" t="inlineStr">
        <is>
          <t>Refi-or-sell switch behaves correctly</t>
        </is>
      </c>
      <c r="C16" s="218">
        <f>RefiFlag</f>
        <v/>
      </c>
      <c r="D16" s="172">
        <f>IF(RefiFlag=1,IF(AND(PermLoan&gt;0,ABS(Chk_RefiBalance)&lt;1,RefiMonth&lt;=ConMaturity),"PASS","FAIL"),IF(AND(PermLoan=0,ActivePayoff&lt;0),"PASS","FAIL"))</f>
        <v/>
      </c>
      <c r="F16" s="294">
        <f>SUMPRODUCT(--ISERROR(UnitMatrix!C14:C27))+SUMPRODUCT(--ISERROR(UnitMatrix!F4:F11))</f>
        <v/>
      </c>
      <c r="G16" s="289" t="inlineStr">
        <is>
          <t>UnitMatrix</t>
        </is>
      </c>
    </row>
    <row r="17">
      <c r="B17" s="36" t="inlineStr">
        <is>
          <t>Permanent loan retires construction (refi only)</t>
        </is>
      </c>
      <c r="C17" s="218">
        <f>IF(RefiFlag=1,PermLoan-ConPayoffBal,0)</f>
        <v/>
      </c>
      <c r="D17" s="172">
        <f>IF(RefiFlag=1,IF(PermLoan&gt;=ConPayoffBal-1,"PASS","FAIL"),"N/A")</f>
        <v/>
      </c>
      <c r="F17" s="294">
        <f>SUMPRODUCT(--ISERROR(Inputs!C16:C27))+SUMPRODUCT(--ISERROR(Inputs!C119:C145))</f>
        <v/>
      </c>
      <c r="G17" s="289" t="inlineStr">
        <is>
          <t>Inputs</t>
        </is>
      </c>
    </row>
    <row r="18">
      <c r="B18" s="36" t="inlineStr">
        <is>
          <t>Refinance sources = uses</t>
        </is>
      </c>
      <c r="C18" s="218">
        <f>Chk_RefiBalance</f>
        <v/>
      </c>
      <c r="D18" s="172">
        <f>IF(ABS(Chk_RefiBalance)&lt;1,"PASS","FAIL")</f>
        <v/>
      </c>
    </row>
    <row r="19">
      <c r="B19" s="36" t="inlineStr">
        <is>
          <t>No-Cash-Out toggle functions (no cash distributed)</t>
        </is>
      </c>
      <c r="C19" s="218">
        <f>RefiCashOut</f>
        <v/>
      </c>
      <c r="D19" s="172">
        <f>IF(IF(NoCashOut=1,RefiCashOut&lt;=1,TRUE()),"PASS","FAIL")</f>
        <v/>
      </c>
    </row>
    <row r="20">
      <c r="B20" s="36" t="inlineStr">
        <is>
          <t>Reassess-on-sale closed form reconciles</t>
        </is>
      </c>
      <c r="C20" s="218">
        <f>Chk_Reassess</f>
        <v/>
      </c>
      <c r="D20" s="172">
        <f>IF(ABS(Chk_Reassess)&lt;1,"PASS","FAIL")</f>
        <v/>
      </c>
    </row>
    <row r="21">
      <c r="B21" s="36" t="inlineStr">
        <is>
          <t>Property value reconciles to NOI &amp; cap</t>
        </is>
      </c>
      <c r="C21" s="218">
        <f>ExitValue-IF(ReassessOnSale&gt;=1,FwdNOIbt/(BlendedExitCap+DispoEffTaxRate),FwdNOIafter/BlendedExitCap)</f>
        <v/>
      </c>
      <c r="D21" s="172">
        <f>IF(ABS(ExitValue-IF(ReassessOnSale&gt;=1,FwdNOIbt/(BlendedExitCap+DispoEffTaxRate),FwdNOIafter/BlendedExitCap))&lt;1,"PASS","FAIL")</f>
        <v/>
      </c>
    </row>
    <row r="22">
      <c r="B22" s="36" t="inlineStr">
        <is>
          <t>Levered cash-flow identity</t>
        </is>
      </c>
      <c r="C22" s="218">
        <f>LevNetProfit-(LevDistros-LevEquityIn)</f>
        <v/>
      </c>
      <c r="D22" s="172">
        <f>IF(ABS(LevNetProfit-(LevDistros-LevEquityIn))&lt;1,"PASS","FAIL")</f>
        <v/>
      </c>
    </row>
    <row r="23">
      <c r="B23" s="36" t="inlineStr">
        <is>
          <t>Unlevered cash-flow identity</t>
        </is>
      </c>
      <c r="C23" s="218">
        <f>UnlevNetProfit-(UnlevDistros-UnlevInvested)</f>
        <v/>
      </c>
      <c r="D23" s="172">
        <f>IF(ABS(UnlevNetProfit-(UnlevDistros-UnlevInvested))&lt;1,"PASS","FAIL")</f>
        <v/>
      </c>
    </row>
    <row r="24">
      <c r="B24" s="36" t="inlineStr">
        <is>
          <t>Perm term not expiring before disposition</t>
        </is>
      </c>
      <c r="C24" s="218">
        <f>IF(RefiFlag=1,RefiMonth+PermTermMonths-DispoMonth,0)</f>
        <v/>
      </c>
      <c r="D24" s="172">
        <f>IF(IF(RefiFlag=1,RefiMonth+PermTermMonths&gt;=DispoMonth,TRUE()),"PASS","FAIL")</f>
        <v/>
      </c>
    </row>
    <row r="25">
      <c r="B25" s="40" t="inlineStr">
        <is>
          <t>Hold period within 1..360 months</t>
        </is>
      </c>
      <c r="C25" s="263">
        <f>HoldPeriodMonths</f>
        <v/>
      </c>
      <c r="D25" s="173">
        <f>IF(AND(HoldPeriodMonths&gt;=1,HoldPeriodMonths&lt;=360),"PASS","FAIL")</f>
        <v/>
      </c>
    </row>
    <row r="27">
      <c r="B27" s="295" t="inlineStr">
        <is>
          <t>Economic Sanity (warnings — do not count as errors)</t>
        </is>
      </c>
      <c r="C27" s="60" t="n"/>
      <c r="D27" s="35" t="n"/>
    </row>
    <row r="28">
      <c r="B28" s="296" t="inlineStr">
        <is>
          <t>Development spread (untrended YOC − exit cap)</t>
        </is>
      </c>
      <c r="C28" s="297">
        <f>DevSpreadBps</f>
        <v/>
      </c>
      <c r="D28" s="298">
        <f>IF(YieldOnCost-ExitCapResidential&lt;0,"WARN","OK")</f>
        <v/>
      </c>
    </row>
    <row r="29">
      <c r="B29" s="299" t="inlineStr">
        <is>
          <t>Construction term within 12–60 months</t>
        </is>
      </c>
      <c r="C29" s="300">
        <f>ConLoanTermMonths</f>
        <v/>
      </c>
      <c r="D29" s="301">
        <f>IF(AND(ConLoanTermMonths&gt;=12,ConLoanTermMonths&lt;=60),"OK","WARN")</f>
        <v/>
      </c>
    </row>
    <row r="30">
      <c r="B30" s="316" t="inlineStr">
        <is>
          <t>Stabilized tax per unit within $500–$4,000</t>
        </is>
      </c>
      <c r="C30" s="302">
        <f>IF(TotalUnits=0,0,StabTaxAnnual/TotalUnits)</f>
        <v/>
      </c>
      <c r="D30" s="208">
        <f>IF(AND(StabTaxAnnual/TotalUnits&gt;=500,StabTaxAnnual/TotalUnits&lt;=4000),"OK","WARN")</f>
        <v/>
      </c>
    </row>
    <row r="31">
      <c r="B31" s="316" t="inlineStr">
        <is>
          <t>Absorption pace ≤ delivery pace</t>
        </is>
      </c>
      <c r="C31" s="294">
        <f>UnitsLeasedPerMo</f>
        <v/>
      </c>
      <c r="D31" s="208">
        <f>IF(UnitsLeasedPerMo&gt;UnitsDeliveredPerMo,"WARN","OK")</f>
        <v/>
      </c>
    </row>
    <row r="32">
      <c r="B32" s="316" t="inlineStr">
        <is>
          <t>Untrended NOI ≤ trended NOI (growth ≥ 0)</t>
        </is>
      </c>
      <c r="C32" s="280">
        <f>StabNOI-StabNOI_Untrended</f>
        <v/>
      </c>
      <c r="D32" s="208">
        <f>IF(OR(GrowthRent&lt;0,GrowthExpense&lt;0),"n/a",IF(StabNOI_Untrended&lt;=StabNOI+1,"OK","WARN"))</f>
        <v/>
      </c>
    </row>
    <row r="34">
      <c r="B34" s="327" t="inlineStr">
        <is>
          <t>Input Hygiene</t>
        </is>
      </c>
      <c r="C34" s="155" t="n"/>
      <c r="D34" s="155" t="n"/>
    </row>
    <row r="35">
      <c r="B35" s="316" t="inlineStr">
        <is>
          <t>Dead input named ranges (0 formula refs)</t>
        </is>
      </c>
      <c r="C35" s="294" t="n">
        <v>0</v>
      </c>
      <c r="D35" s="208" t="inlineStr">
        <is>
          <t>OK</t>
        </is>
      </c>
      <c r="E35" s="289" t="inlineStr">
        <is>
          <t>build-verified: none — every input drives ≥1 formula</t>
        </is>
      </c>
    </row>
    <row r="37">
      <c r="B37" s="327" t="inlineStr">
        <is>
          <t>Summary</t>
        </is>
      </c>
      <c r="C37" s="155" t="n"/>
      <c r="D37" s="155" t="n"/>
    </row>
    <row r="38">
      <c r="B38" s="328" t="inlineStr">
        <is>
          <t>TOTAL ERRORS FOUND</t>
        </is>
      </c>
      <c r="C38" s="304">
        <f>COUNTIF(D4:D25,"FAIL")+COUNTIF(Proforma!$D$46:$D$46,"FAIL")</f>
        <v/>
      </c>
    </row>
    <row r="39">
      <c r="B39" s="328" t="inlineStr">
        <is>
          <t>TOTAL WARNINGS</t>
        </is>
      </c>
      <c r="C39" s="304">
        <f>COUNTIF(D28:D32,"WARN")+COUNTIF(D35:D35,"WARN")</f>
        <v/>
      </c>
    </row>
    <row r="40">
      <c r="B40" s="328" t="inlineStr">
        <is>
          <t>MODEL STATUS</t>
        </is>
      </c>
      <c r="C40" s="305">
        <f>IF(C38=0,"ALL CHECKS PASS","REVIEW FAILURES")</f>
        <v/>
      </c>
    </row>
  </sheetData>
  <conditionalFormatting sqref="D4:D25">
    <cfRule type="cellIs" priority="1" operator="equal" dxfId="1">
      <formula>"PASS"</formula>
    </cfRule>
    <cfRule type="cellIs" priority="2" operator="equal" dxfId="0">
      <formula>"FAIL"</formula>
    </cfRule>
    <cfRule type="cellIs" priority="3" operator="equal" dxfId="7">
      <formula>"PASS"</formula>
    </cfRule>
    <cfRule type="cellIs" priority="4" operator="equal" dxfId="7">
      <formula>"OK"</formula>
    </cfRule>
    <cfRule type="cellIs" priority="5" operator="equal" dxfId="5">
      <formula>"FAIL"</formula>
    </cfRule>
    <cfRule type="cellIs" priority="6" operator="equal" dxfId="8">
      <formula>"WARN"</formula>
    </cfRule>
    <cfRule type="cellIs" priority="7" operator="equal" dxfId="8">
      <formula>"CHECK"</formula>
    </cfRule>
  </conditionalFormatting>
  <conditionalFormatting sqref="D27:D40">
    <cfRule type="cellIs" priority="8" operator="equal" dxfId="7">
      <formula>"PASS"</formula>
    </cfRule>
    <cfRule type="cellIs" priority="9" operator="equal" dxfId="7">
      <formula>"OK"</formula>
    </cfRule>
    <cfRule type="cellIs" priority="10" operator="equal" dxfId="5">
      <formula>"FAIL"</formula>
    </cfRule>
    <cfRule type="cellIs" priority="11" operator="equal" dxfId="8">
      <formula>"WARN"</formula>
    </cfRule>
    <cfRule type="cellIs" priority="12" operator="equal" dxfId="8">
      <formula>"CHECK"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2026-07-02T18:20:03Z</dcterms:created>
  <dcterms:modified xsi:type="dcterms:W3CDTF">2026-07-14T03:28:06Z</dcterms:modified>
  <cp:lastModifiedBy>Thomas Holben</cp:lastModifiedBy>
</cp:coreProperties>
</file>