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" sheetId="16" state="visible" r:id="rId16"/>
    <sheet name="Returns" sheetId="17" state="visible" r:id="rId17"/>
    <sheet name="Diagnostics" sheetId="18" state="visible" r:id="rId18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GPCoInvest">'Waterfall'!$C$5</definedName>
    <definedName name="PrefReturn">'Waterfall'!$C$6</definedName>
    <definedName name="Hurdle2IRR">'Waterfall'!$C$7</definedName>
    <definedName name="Hurdle3IRR">'Waterfall'!$C$8</definedName>
    <definedName name="Promote2">'Waterfall'!$C$9</definedName>
    <definedName name="Promote3">'Waterfall'!$C$10</definedName>
    <definedName name="Promote4">'Waterfall'!$C$11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7">'Diagnostics'!$1:$3</definedName>
    <definedName name="_xlnm.Print_Area" localSheetId="17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9">
    <dataValidation sqref="C14" showDropDown="0" showInputMessage="0" showErrorMessage="1" allowBlank="0" promptTitle="LossToLeasePct" prompt="Range 0–0.1" type="decimal" operator="between">
      <formula1>0</formula1>
      <formula2>0.1</formula2>
    </dataValidation>
    <dataValidation sqref="C15" showDropDown="0" showInputMessage="0" showErrorMessage="1" allowBlank="0" promptTitle="BadDebtPct" prompt="Range 0–0.1" type="decimal" operator="between">
      <formula1>0</formula1>
      <formula2>0.1</formula2>
    </dataValidation>
    <dataValidation sqref="C16" showDropDown="0" showInputMessage="0" showErrorMessage="1" allowBlank="0" promptTitle="ConcessionsPct" prompt="Range 0–0.1" type="decimal" operator="between">
      <formula1>0</formula1>
      <formula2>0.1</formula2>
    </dataValidation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M5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  <c r="M5" s="333">
        <f>IF(TDC_Total=0,0,J5/TDC_Total)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  <c r="M6" s="333">
        <f>IF(TDC_Total=0,0,J6/TDC_Total)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  <c r="M7" s="333">
        <f>IF(TDC_Total=0,0,J7/TDC_Total)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  <c r="M8" s="333">
        <f>IF(TDC_Total=0,0,J8/TDC_Total)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  <c r="M9" s="333">
        <f>IF(TDC_Total=0,0,J9/TDC_Total)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  <c r="M10" s="333">
        <f>IF(TDC_Total=0,0,J10/TDC_Total)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  <c r="M11" s="333">
        <f>IF(TDC_Total=0,0,J11/TDC_Total)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  <c r="M12" s="333">
        <f>IF(TDC_Total=0,0,J12/TDC_Total)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  <c r="M13" s="333">
        <f>IF(TDC_Total=0,0,J13/TDC_Total)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  <c r="M14" s="333">
        <f>IF(TDC_Total=0,0,J14/TDC_Total)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  <c r="M15" s="333">
        <f>IF(TDC_Total=0,0,J15/TDC_Total)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  <c r="M16" s="333">
        <f>IF(TDC_Total=0,0,J16/TDC_Total)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  <c r="M17" s="333">
        <f>IF(TDC_Total=0,0,J17/TDC_Total)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  <c r="M18" s="333">
        <f>IF(TDC_Total=0,0,J18/TDC_Total)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  <c r="M19" s="333">
        <f>IF(TDC_Total=0,0,J19/TDC_Total)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  <c r="M20" s="333">
        <f>IF(TDC_Total=0,0,J20/TDC_Total)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  <c r="M21" s="333">
        <f>IF(TDC_Total=0,0,J21/TDC_Total)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  <c r="M22" s="333">
        <f>IF(TDC_Total=0,0,J22/TDC_Total)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  <c r="M23" s="333">
        <f>IF(TDC_Total=0,0,J23/TDC_Total)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  <c r="M24" s="333">
        <f>IF(TDC_Total=0,0,J24/TDC_Total)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  <c r="M25" s="333">
        <f>IF(TDC_Total=0,0,J25/TDC_Total)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  <c r="M26" s="333">
        <f>IF(TDC_Total=0,0,J26/TDC_Total)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  <c r="M27" s="333">
        <f>IF(TDC_Total=0,0,J27/TDC_Total)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  <c r="M28" s="333">
        <f>IF(TDC_Total=0,0,J28/TDC_Total)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  <c r="M29" s="333">
        <f>IF(TDC_Total=0,0,J29/TDC_Total)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  <c r="M30" s="333">
        <f>IF(TDC_Total=0,0,J30/TDC_Total)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  <c r="M31" s="333">
        <f>IF(TDC_Total=0,0,J31/TDC_Total)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  <c r="M34" s="333">
        <f>IF(TDC_Total=0,0,J34/TDC_Total)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  <c r="M35" s="333">
        <f>IF(TDC_Total=0,0,J35/TDC_Total)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  <c r="M36" s="333">
        <f>IF(TDC_Total=0,0,J36/TDC_Total)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  <c r="M37" s="333">
        <f>IF(TDC_Total=0,0,J37/TDC_Total)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  <c r="M38" s="333">
        <f>IF(TDC_Total=0,0,J38/TDC_Total)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  <c r="M39" s="333">
        <f>IF(TDC_Total=0,0,J39/TDC_Total)</f>
        <v/>
      </c>
    </row>
    <row r="41">
      <c r="B41" s="401" t="inlineStr">
        <is>
          <t>Total Uses (Capitalization)</t>
        </is>
      </c>
      <c r="J41" s="155" t="n"/>
      <c r="K41" s="155" t="n"/>
      <c r="L41" s="155" t="n"/>
      <c r="M41" s="155" t="n"/>
    </row>
    <row r="42">
      <c r="B42" s="316" t="inlineStr">
        <is>
          <t>Direct Costs</t>
        </is>
      </c>
      <c r="J42" s="402">
        <f>DirectCosts</f>
        <v/>
      </c>
      <c r="M42" s="333">
        <f>IF(TDC_Total=0,0,J42/TDC_Total)</f>
        <v/>
      </c>
    </row>
    <row r="43">
      <c r="B43" s="316" t="inlineStr">
        <is>
          <t>Development Fee</t>
        </is>
      </c>
      <c r="J43" s="402">
        <f>DevFee</f>
        <v/>
      </c>
      <c r="M43" s="333">
        <f>IF(TDC_Total=0,0,J43/TDC_Total)</f>
        <v/>
      </c>
    </row>
    <row r="44">
      <c r="B44" s="316" t="inlineStr">
        <is>
          <t>Origination Points</t>
        </is>
      </c>
      <c r="J44" s="402">
        <f>ConPoints</f>
        <v/>
      </c>
      <c r="M44" s="333">
        <f>IF(TDC_Total=0,0,J44/TDC_Total)</f>
        <v/>
      </c>
    </row>
    <row r="45">
      <c r="B45" s="316" t="inlineStr">
        <is>
          <t>Recourse / Indemnity Fee</t>
        </is>
      </c>
      <c r="J45" s="402">
        <f>RecourseFee</f>
        <v/>
      </c>
      <c r="M45" s="333">
        <f>IF(TDC_Total=0,0,J45/TDC_Total)</f>
        <v/>
      </c>
    </row>
    <row r="46">
      <c r="B46" s="316" t="inlineStr">
        <is>
          <t>Other Loan / Closing Costs</t>
        </is>
      </c>
      <c r="J46" s="402">
        <f>ConOtherCosts</f>
        <v/>
      </c>
      <c r="M46" s="333">
        <f>IF(TDC_Total=0,0,J46/TDC_Total)</f>
        <v/>
      </c>
    </row>
    <row r="47">
      <c r="B47" s="316" t="inlineStr">
        <is>
          <t>Interest Reserve</t>
        </is>
      </c>
      <c r="J47" s="402">
        <f>InterestReserveFunded</f>
        <v/>
      </c>
      <c r="M47" s="333">
        <f>IF(TDC_Total=0,0,J47/TDC_Total)</f>
        <v/>
      </c>
    </row>
    <row r="48">
      <c r="B48" s="316" t="inlineStr">
        <is>
          <t>Operating Reserve</t>
        </is>
      </c>
      <c r="J48" s="402">
        <f>OpReserve</f>
        <v/>
      </c>
      <c r="M48" s="333">
        <f>IF(TDC_Total=0,0,J48/TDC_Total)</f>
        <v/>
      </c>
    </row>
    <row r="49">
      <c r="B49" s="330" t="inlineStr">
        <is>
          <t>TOTAL USES (TDC)</t>
        </is>
      </c>
      <c r="J49" s="403">
        <f>TDC_Total</f>
        <v/>
      </c>
      <c r="M49" s="404">
        <f>IF(TDC_Total=0,0,J49/TDC_Total)</f>
        <v/>
      </c>
    </row>
    <row r="51">
      <c r="B51" s="384" t="inlineStr">
        <is>
          <t>Sources</t>
        </is>
      </c>
      <c r="J51" s="155" t="n"/>
      <c r="K51" s="155" t="n"/>
      <c r="L51" s="155" t="n"/>
      <c r="M51" s="155" t="n"/>
    </row>
    <row r="52">
      <c r="B52" s="316" t="inlineStr">
        <is>
          <t>Construction Loan</t>
        </is>
      </c>
      <c r="J52" s="402">
        <f>ConLoanTotal</f>
        <v/>
      </c>
    </row>
    <row r="53">
      <c r="B53" s="316" t="inlineStr">
        <is>
          <t>Equity</t>
        </is>
      </c>
      <c r="J53" s="402">
        <f>EquityTotal</f>
        <v/>
      </c>
    </row>
    <row r="54">
      <c r="B54" s="330" t="inlineStr">
        <is>
          <t>TOTAL SOURCES</t>
        </is>
      </c>
      <c r="J54" s="403">
        <f>ConLoanTotal+EquityTotal</f>
        <v/>
      </c>
    </row>
    <row r="55">
      <c r="B55" s="330" t="inlineStr">
        <is>
          <t>Sources − Uses (check = 0)</t>
        </is>
      </c>
      <c r="J55" s="403">
        <f>ConLoanTotal+EquityTotal-TDC_Total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35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-DevSpend!E$34</f>
        <v/>
      </c>
      <c r="F6" s="402">
        <f>-DevSpend!F$34</f>
        <v/>
      </c>
      <c r="G6" s="402">
        <f>-DevSpend!G$34</f>
        <v/>
      </c>
      <c r="H6" s="402">
        <f>-DevSpend!H$34</f>
        <v/>
      </c>
      <c r="I6" s="402">
        <f>-DevSpend!I$34</f>
        <v/>
      </c>
      <c r="J6" s="402">
        <f>-DevSpend!J$34</f>
        <v/>
      </c>
      <c r="K6" s="402">
        <f>-DevSpend!K$34</f>
        <v/>
      </c>
      <c r="L6" s="402">
        <f>-DevSpend!L$34</f>
        <v/>
      </c>
      <c r="M6" s="402">
        <f>-DevSpend!M$34</f>
        <v/>
      </c>
      <c r="N6" s="402">
        <f>-DevSpend!N$34</f>
        <v/>
      </c>
      <c r="O6" s="402">
        <f>-DevSpend!O$34</f>
        <v/>
      </c>
      <c r="P6" s="402">
        <f>-DevSpend!P$34</f>
        <v/>
      </c>
      <c r="Q6" s="402">
        <f>-DevSpend!Q$34</f>
        <v/>
      </c>
      <c r="R6" s="402">
        <f>-DevSpend!R$34</f>
        <v/>
      </c>
      <c r="S6" s="402">
        <f>-DevSpend!S$34</f>
        <v/>
      </c>
      <c r="T6" s="402">
        <f>-DevSpend!T$34</f>
        <v/>
      </c>
      <c r="U6" s="402">
        <f>-DevSpend!U$34</f>
        <v/>
      </c>
      <c r="V6" s="402">
        <f>-DevSpend!V$34</f>
        <v/>
      </c>
      <c r="W6" s="402">
        <f>-DevSpend!W$34</f>
        <v/>
      </c>
      <c r="X6" s="402">
        <f>-DevSpend!X$34</f>
        <v/>
      </c>
      <c r="Y6" s="402">
        <f>-DevSpend!Y$34</f>
        <v/>
      </c>
      <c r="Z6" s="402">
        <f>-DevSpend!Z$34</f>
        <v/>
      </c>
      <c r="AA6" s="402">
        <f>-DevSpend!AA$34</f>
        <v/>
      </c>
      <c r="AB6" s="402">
        <f>-DevSpend!AB$34</f>
        <v/>
      </c>
      <c r="AC6" s="402">
        <f>-DevSpend!AC$34</f>
        <v/>
      </c>
      <c r="AD6" s="402">
        <f>-DevSpend!AD$34</f>
        <v/>
      </c>
      <c r="AE6" s="402">
        <f>-DevSpend!AE$34</f>
        <v/>
      </c>
      <c r="AF6" s="402">
        <f>-DevSpend!AF$34</f>
        <v/>
      </c>
      <c r="AG6" s="402">
        <f>-DevSpend!AG$34</f>
        <v/>
      </c>
      <c r="AH6" s="402">
        <f>-DevSpend!AH$34</f>
        <v/>
      </c>
      <c r="AI6" s="402">
        <f>-DevSpend!AI$34</f>
        <v/>
      </c>
      <c r="AJ6" s="402">
        <f>-DevSpend!AJ$34</f>
        <v/>
      </c>
      <c r="AK6" s="402">
        <f>-DevSpend!AK$34</f>
        <v/>
      </c>
      <c r="AL6" s="402">
        <f>-DevSpend!AL$34</f>
        <v/>
      </c>
      <c r="AM6" s="402">
        <f>-DevSpend!AM$34</f>
        <v/>
      </c>
      <c r="AN6" s="402">
        <f>-DevSpend!AN$34</f>
        <v/>
      </c>
      <c r="AO6" s="402">
        <f>-DevSpend!AO$34</f>
        <v/>
      </c>
      <c r="AP6" s="402">
        <f>-DevSpend!AP$34</f>
        <v/>
      </c>
      <c r="AQ6" s="402">
        <f>-DevSpend!AQ$34</f>
        <v/>
      </c>
      <c r="AR6" s="402">
        <f>-DevSpend!AR$34</f>
        <v/>
      </c>
      <c r="AS6" s="402">
        <f>-DevSpend!AS$34</f>
        <v/>
      </c>
      <c r="AT6" s="402">
        <f>-DevSpend!AT$34</f>
        <v/>
      </c>
      <c r="AU6" s="402">
        <f>-DevSpend!AU$34</f>
        <v/>
      </c>
      <c r="AV6" s="402">
        <f>-DevSpend!AV$34</f>
        <v/>
      </c>
      <c r="AW6" s="402">
        <f>-DevSpend!AW$34</f>
        <v/>
      </c>
      <c r="AX6" s="402">
        <f>-DevSpend!AX$34</f>
        <v/>
      </c>
      <c r="AY6" s="402">
        <f>-DevSpend!AY$34</f>
        <v/>
      </c>
      <c r="AZ6" s="402">
        <f>-DevSpend!AZ$34</f>
        <v/>
      </c>
      <c r="BA6" s="402">
        <f>-DevSpend!BA$34</f>
        <v/>
      </c>
      <c r="BB6" s="402">
        <f>-DevSpend!BB$34</f>
        <v/>
      </c>
      <c r="BC6" s="402">
        <f>-DevSpend!BC$34</f>
        <v/>
      </c>
      <c r="BD6" s="402">
        <f>-DevSpend!BD$34</f>
        <v/>
      </c>
      <c r="BE6" s="402">
        <f>-DevSpend!BE$34</f>
        <v/>
      </c>
      <c r="BF6" s="402">
        <f>-DevSpend!BF$34</f>
        <v/>
      </c>
      <c r="BG6" s="402">
        <f>-DevSpend!BG$34</f>
        <v/>
      </c>
      <c r="BH6" s="402">
        <f>-DevSpend!BH$34</f>
        <v/>
      </c>
      <c r="BI6" s="402">
        <f>-DevSpend!BI$34</f>
        <v/>
      </c>
      <c r="BJ6" s="402">
        <f>-DevSpend!BJ$34</f>
        <v/>
      </c>
      <c r="BK6" s="402">
        <f>-DevSpend!BK$34</f>
        <v/>
      </c>
      <c r="BL6" s="402">
        <f>-DevSpend!BL$34</f>
        <v/>
      </c>
      <c r="BM6" s="402">
        <f>-DevSpend!BM$34</f>
        <v/>
      </c>
      <c r="BN6" s="402">
        <f>-DevSpend!BN$34</f>
        <v/>
      </c>
      <c r="BO6" s="402">
        <f>-DevSpend!BO$34</f>
        <v/>
      </c>
      <c r="BP6" s="402">
        <f>-DevSpend!BP$34</f>
        <v/>
      </c>
      <c r="BQ6" s="402">
        <f>-DevSpend!BQ$34</f>
        <v/>
      </c>
      <c r="BR6" s="402">
        <f>-DevSpend!BR$34</f>
        <v/>
      </c>
      <c r="BS6" s="402">
        <f>-DevSpend!BS$34</f>
        <v/>
      </c>
      <c r="BT6" s="402">
        <f>-DevSpend!BT$34</f>
        <v/>
      </c>
      <c r="BU6" s="402">
        <f>-DevSpend!BU$34</f>
        <v/>
      </c>
      <c r="BV6" s="402">
        <f>-DevSpend!BV$34</f>
        <v/>
      </c>
      <c r="BW6" s="402">
        <f>-DevSpend!BW$34</f>
        <v/>
      </c>
      <c r="BX6" s="402">
        <f>-DevSpend!BX$34</f>
        <v/>
      </c>
      <c r="BY6" s="402">
        <f>-DevSpend!BY$34</f>
        <v/>
      </c>
      <c r="BZ6" s="402">
        <f>-DevSpend!BZ$34</f>
        <v/>
      </c>
      <c r="CA6" s="402">
        <f>-DevSpend!CA$34</f>
        <v/>
      </c>
      <c r="CB6" s="402">
        <f>-DevSpend!CB$34</f>
        <v/>
      </c>
      <c r="CC6" s="402">
        <f>-DevSpend!CC$34</f>
        <v/>
      </c>
      <c r="CD6" s="402">
        <f>-DevSpend!CD$34</f>
        <v/>
      </c>
      <c r="CE6" s="402">
        <f>-DevSpend!CE$34</f>
        <v/>
      </c>
      <c r="CF6" s="402">
        <f>-DevSpend!CF$34</f>
        <v/>
      </c>
      <c r="CG6" s="402">
        <f>-DevSpend!CG$34</f>
        <v/>
      </c>
      <c r="CH6" s="402">
        <f>-DevSpend!CH$34</f>
        <v/>
      </c>
      <c r="CI6" s="402">
        <f>-DevSpend!CI$34</f>
        <v/>
      </c>
      <c r="CJ6" s="402">
        <f>-DevSpend!CJ$34</f>
        <v/>
      </c>
      <c r="CK6" s="402">
        <f>-DevSpend!CK$34</f>
        <v/>
      </c>
      <c r="CL6" s="402">
        <f>-DevSpend!CL$34</f>
        <v/>
      </c>
      <c r="CM6" s="402">
        <f>-DevSpend!CM$34</f>
        <v/>
      </c>
      <c r="CN6" s="402">
        <f>-DevSpend!CN$34</f>
        <v/>
      </c>
      <c r="CO6" s="402">
        <f>-DevSpend!CO$34</f>
        <v/>
      </c>
      <c r="CP6" s="402">
        <f>-DevSpend!CP$34</f>
        <v/>
      </c>
      <c r="CQ6" s="402">
        <f>-DevSpend!CQ$34</f>
        <v/>
      </c>
      <c r="CR6" s="402">
        <f>-DevSpend!CR$34</f>
        <v/>
      </c>
      <c r="CS6" s="402">
        <f>-DevSpend!CS$34</f>
        <v/>
      </c>
      <c r="CT6" s="402">
        <f>-DevSpend!CT$34</f>
        <v/>
      </c>
      <c r="CU6" s="402">
        <f>-DevSpend!CU$34</f>
        <v/>
      </c>
      <c r="CV6" s="402">
        <f>-DevSpend!CV$34</f>
        <v/>
      </c>
      <c r="CW6" s="402">
        <f>-DevSpend!CW$34</f>
        <v/>
      </c>
      <c r="CX6" s="402">
        <f>-DevSpend!CX$34</f>
        <v/>
      </c>
      <c r="CY6" s="402">
        <f>-DevSpend!CY$34</f>
        <v/>
      </c>
      <c r="CZ6" s="402">
        <f>-DevSpend!CZ$34</f>
        <v/>
      </c>
      <c r="DA6" s="402">
        <f>-DevSpend!DA$34</f>
        <v/>
      </c>
      <c r="DB6" s="402">
        <f>-DevSpend!DB$34</f>
        <v/>
      </c>
      <c r="DC6" s="402">
        <f>-DevSpend!DC$34</f>
        <v/>
      </c>
      <c r="DD6" s="402">
        <f>-DevSpend!DD$34</f>
        <v/>
      </c>
      <c r="DE6" s="402">
        <f>-DevSpend!DE$34</f>
        <v/>
      </c>
      <c r="DF6" s="402">
        <f>-DevSpend!DF$34</f>
        <v/>
      </c>
      <c r="DG6" s="402">
        <f>-DevSpend!DG$34</f>
        <v/>
      </c>
      <c r="DH6" s="402">
        <f>-DevSpend!DH$34</f>
        <v/>
      </c>
      <c r="DI6" s="402">
        <f>-DevSpend!DI$34</f>
        <v/>
      </c>
      <c r="DJ6" s="402">
        <f>-DevSpend!DJ$34</f>
        <v/>
      </c>
      <c r="DK6" s="402">
        <f>-DevSpend!DK$34</f>
        <v/>
      </c>
      <c r="DL6" s="402">
        <f>-DevSpend!DL$34</f>
        <v/>
      </c>
      <c r="DM6" s="402">
        <f>-DevSpend!DM$34</f>
        <v/>
      </c>
      <c r="DN6" s="402">
        <f>-DevSpend!DN$34</f>
        <v/>
      </c>
      <c r="DO6" s="402">
        <f>-DevSpend!DO$34</f>
        <v/>
      </c>
      <c r="DP6" s="402">
        <f>-DevSpend!DP$34</f>
        <v/>
      </c>
      <c r="DQ6" s="402">
        <f>-DevSpend!DQ$34</f>
        <v/>
      </c>
      <c r="DR6" s="402">
        <f>-DevSpend!DR$34</f>
        <v/>
      </c>
      <c r="DS6" s="402">
        <f>-DevSpend!DS$34</f>
        <v/>
      </c>
      <c r="DT6" s="402">
        <f>-DevSpend!DT$34</f>
        <v/>
      </c>
      <c r="DU6" s="402">
        <f>-DevSpend!DU$34</f>
        <v/>
      </c>
      <c r="DV6" s="402">
        <f>-DevSpend!DV$34</f>
        <v/>
      </c>
      <c r="DW6" s="402">
        <f>-DevSpend!DW$34</f>
        <v/>
      </c>
      <c r="DX6" s="402">
        <f>-DevSpend!DX$34</f>
        <v/>
      </c>
      <c r="DY6" s="402">
        <f>-DevSpend!DY$34</f>
        <v/>
      </c>
      <c r="DZ6" s="402">
        <f>-DevSpend!DZ$34</f>
        <v/>
      </c>
      <c r="EA6" s="402">
        <f>-DevSpend!EA$34</f>
        <v/>
      </c>
      <c r="EB6" s="402">
        <f>-DevSpend!EB$34</f>
        <v/>
      </c>
      <c r="EC6" s="402">
        <f>-DevSpend!EC$34</f>
        <v/>
      </c>
      <c r="ED6" s="402">
        <f>-DevSpend!ED$34</f>
        <v/>
      </c>
      <c r="EE6" s="402">
        <f>-DevSpend!EE$34</f>
        <v/>
      </c>
      <c r="EF6" s="402">
        <f>-DevSpend!EF$34</f>
        <v/>
      </c>
      <c r="EG6" s="402">
        <f>-DevSpend!EG$34</f>
        <v/>
      </c>
      <c r="EH6" s="402">
        <f>-DevSpend!EH$34</f>
        <v/>
      </c>
      <c r="EI6" s="402">
        <f>-DevSpend!EI$34</f>
        <v/>
      </c>
      <c r="EJ6" s="402">
        <f>-DevSpend!EJ$34</f>
        <v/>
      </c>
      <c r="EK6" s="402">
        <f>-DevSpend!EK$34</f>
        <v/>
      </c>
      <c r="EL6" s="402">
        <f>-DevSpend!EL$34</f>
        <v/>
      </c>
      <c r="EM6" s="402">
        <f>-DevSpend!EM$34</f>
        <v/>
      </c>
      <c r="EN6" s="402">
        <f>-DevSpend!EN$34</f>
        <v/>
      </c>
      <c r="EO6" s="402">
        <f>-DevSpend!EO$34</f>
        <v/>
      </c>
      <c r="EP6" s="402">
        <f>-DevSpend!EP$34</f>
        <v/>
      </c>
      <c r="EQ6" s="402">
        <f>-DevSpend!EQ$34</f>
        <v/>
      </c>
      <c r="ER6" s="402">
        <f>-DevSpend!ER$34</f>
        <v/>
      </c>
      <c r="ES6" s="402">
        <f>-DevSpend!ES$34</f>
        <v/>
      </c>
      <c r="ET6" s="402">
        <f>-DevSpend!ET$34</f>
        <v/>
      </c>
      <c r="EU6" s="402">
        <f>-DevSpend!EU$34</f>
        <v/>
      </c>
      <c r="EV6" s="402">
        <f>-DevSpend!EV$34</f>
        <v/>
      </c>
      <c r="EW6" s="402">
        <f>-DevSpend!EW$34</f>
        <v/>
      </c>
      <c r="EX6" s="402">
        <f>-DevSpend!EX$34</f>
        <v/>
      </c>
      <c r="EY6" s="402">
        <f>-DevSpend!EY$34</f>
        <v/>
      </c>
      <c r="EZ6" s="402">
        <f>-DevSpend!EZ$34</f>
        <v/>
      </c>
      <c r="FA6" s="402">
        <f>-DevSpend!FA$34</f>
        <v/>
      </c>
      <c r="FB6" s="402">
        <f>-DevSpend!FB$34</f>
        <v/>
      </c>
      <c r="FC6" s="402">
        <f>-DevSpend!FC$34</f>
        <v/>
      </c>
      <c r="FD6" s="402">
        <f>-DevSpend!FD$34</f>
        <v/>
      </c>
      <c r="FE6" s="402">
        <f>-DevSpend!FE$34</f>
        <v/>
      </c>
      <c r="FF6" s="402">
        <f>-DevSpend!FF$34</f>
        <v/>
      </c>
      <c r="FG6" s="402">
        <f>-DevSpend!FG$34</f>
        <v/>
      </c>
      <c r="FH6" s="402">
        <f>-DevSpend!FH$34</f>
        <v/>
      </c>
      <c r="FI6" s="402">
        <f>-DevSpend!FI$34</f>
        <v/>
      </c>
      <c r="FJ6" s="402">
        <f>-DevSpend!FJ$34</f>
        <v/>
      </c>
      <c r="FK6" s="402">
        <f>-DevSpend!FK$34</f>
        <v/>
      </c>
      <c r="FL6" s="402">
        <f>-DevSpend!FL$34</f>
        <v/>
      </c>
      <c r="FM6" s="402">
        <f>-DevSpend!FM$34</f>
        <v/>
      </c>
      <c r="FN6" s="402">
        <f>-DevSpend!FN$34</f>
        <v/>
      </c>
      <c r="FO6" s="402">
        <f>-DevSpend!FO$34</f>
        <v/>
      </c>
      <c r="FP6" s="402">
        <f>-DevSpend!FP$34</f>
        <v/>
      </c>
      <c r="FQ6" s="402">
        <f>-DevSpend!FQ$34</f>
        <v/>
      </c>
      <c r="FR6" s="402">
        <f>-DevSpend!FR$34</f>
        <v/>
      </c>
      <c r="FS6" s="402">
        <f>-DevSpend!FS$34</f>
        <v/>
      </c>
      <c r="FT6" s="402">
        <f>-DevSpend!FT$34</f>
        <v/>
      </c>
      <c r="FU6" s="402">
        <f>-DevSpend!FU$34</f>
        <v/>
      </c>
      <c r="FV6" s="402">
        <f>-DevSpend!FV$34</f>
        <v/>
      </c>
      <c r="FW6" s="402">
        <f>-DevSpend!FW$34</f>
        <v/>
      </c>
      <c r="FX6" s="402">
        <f>-DevSpend!FX$34</f>
        <v/>
      </c>
      <c r="FY6" s="402">
        <f>-DevSpend!FY$34</f>
        <v/>
      </c>
      <c r="FZ6" s="402">
        <f>-DevSpend!FZ$34</f>
        <v/>
      </c>
      <c r="GA6" s="402">
        <f>-DevSpend!GA$34</f>
        <v/>
      </c>
      <c r="GB6" s="402">
        <f>-DevSpend!GB$34</f>
        <v/>
      </c>
      <c r="GC6" s="402">
        <f>-DevSpend!GC$34</f>
        <v/>
      </c>
      <c r="GD6" s="402">
        <f>-DevSpend!GD$34</f>
        <v/>
      </c>
      <c r="GE6" s="402">
        <f>-DevSpend!GE$34</f>
        <v/>
      </c>
      <c r="GF6" s="402">
        <f>-DevSpend!GF$34</f>
        <v/>
      </c>
      <c r="GG6" s="402">
        <f>-DevSpend!GG$34</f>
        <v/>
      </c>
      <c r="GH6" s="402">
        <f>-DevSpend!GH$34</f>
        <v/>
      </c>
      <c r="GI6" s="402">
        <f>-DevSpend!GI$34</f>
        <v/>
      </c>
      <c r="GJ6" s="402">
        <f>-DevSpend!GJ$34</f>
        <v/>
      </c>
      <c r="GK6" s="402">
        <f>-DevSpend!GK$34</f>
        <v/>
      </c>
      <c r="GL6" s="402">
        <f>-DevSpend!GL$34</f>
        <v/>
      </c>
      <c r="GM6" s="402">
        <f>-DevSpend!GM$34</f>
        <v/>
      </c>
      <c r="GN6" s="402">
        <f>-DevSpend!GN$34</f>
        <v/>
      </c>
      <c r="GO6" s="402">
        <f>-DevSpend!GO$34</f>
        <v/>
      </c>
      <c r="GP6" s="402">
        <f>-DevSpend!GP$34</f>
        <v/>
      </c>
      <c r="GQ6" s="402">
        <f>-DevSpend!GQ$34</f>
        <v/>
      </c>
      <c r="GR6" s="402">
        <f>-DevSpend!GR$34</f>
        <v/>
      </c>
      <c r="GS6" s="402">
        <f>-DevSpend!GS$34</f>
        <v/>
      </c>
      <c r="GT6" s="402">
        <f>-DevSpend!GT$34</f>
        <v/>
      </c>
      <c r="GU6" s="402">
        <f>-DevSpend!GU$34</f>
        <v/>
      </c>
      <c r="GV6" s="402">
        <f>-DevSpend!GV$34</f>
        <v/>
      </c>
      <c r="GW6" s="402">
        <f>-DevSpend!GW$34</f>
        <v/>
      </c>
      <c r="GX6" s="402">
        <f>-DevSpend!GX$34</f>
        <v/>
      </c>
      <c r="GY6" s="402">
        <f>-DevSpend!GY$34</f>
        <v/>
      </c>
      <c r="GZ6" s="402">
        <f>-DevSpend!GZ$34</f>
        <v/>
      </c>
      <c r="HA6" s="402">
        <f>-DevSpend!HA$34</f>
        <v/>
      </c>
      <c r="HB6" s="402">
        <f>-DevSpend!HB$34</f>
        <v/>
      </c>
      <c r="HC6" s="402">
        <f>-DevSpend!HC$34</f>
        <v/>
      </c>
      <c r="HD6" s="402">
        <f>-DevSpend!HD$34</f>
        <v/>
      </c>
      <c r="HE6" s="402">
        <f>-DevSpend!HE$34</f>
        <v/>
      </c>
      <c r="HF6" s="402">
        <f>-DevSpend!HF$34</f>
        <v/>
      </c>
      <c r="HG6" s="402">
        <f>-DevSpend!HG$34</f>
        <v/>
      </c>
      <c r="HH6" s="402">
        <f>-DevSpend!HH$34</f>
        <v/>
      </c>
      <c r="HI6" s="402">
        <f>-DevSpend!HI$34</f>
        <v/>
      </c>
      <c r="HJ6" s="402">
        <f>-DevSpend!HJ$34</f>
        <v/>
      </c>
      <c r="HK6" s="402">
        <f>-DevSpend!HK$34</f>
        <v/>
      </c>
      <c r="HL6" s="402">
        <f>-DevSpend!HL$34</f>
        <v/>
      </c>
      <c r="HM6" s="402">
        <f>-DevSpend!HM$34</f>
        <v/>
      </c>
      <c r="HN6" s="402">
        <f>-DevSpend!HN$34</f>
        <v/>
      </c>
      <c r="HO6" s="402">
        <f>-DevSpend!HO$34</f>
        <v/>
      </c>
      <c r="HP6" s="402">
        <f>-DevSpend!HP$34</f>
        <v/>
      </c>
      <c r="HQ6" s="402">
        <f>-DevSpend!HQ$34</f>
        <v/>
      </c>
      <c r="HR6" s="402">
        <f>-DevSpend!HR$34</f>
        <v/>
      </c>
      <c r="HS6" s="402">
        <f>-DevSpend!HS$34</f>
        <v/>
      </c>
      <c r="HT6" s="402">
        <f>-DevSpend!HT$34</f>
        <v/>
      </c>
      <c r="HU6" s="402">
        <f>-DevSpend!HU$34</f>
        <v/>
      </c>
      <c r="HV6" s="402">
        <f>-DevSpend!HV$34</f>
        <v/>
      </c>
      <c r="HW6" s="402">
        <f>-DevSpend!HW$34</f>
        <v/>
      </c>
      <c r="HX6" s="402">
        <f>-DevSpend!HX$34</f>
        <v/>
      </c>
      <c r="HY6" s="402">
        <f>-DevSpend!HY$34</f>
        <v/>
      </c>
      <c r="HZ6" s="402">
        <f>-DevSpend!HZ$34</f>
        <v/>
      </c>
      <c r="IA6" s="402">
        <f>-DevSpend!IA$34</f>
        <v/>
      </c>
      <c r="IB6" s="402">
        <f>-DevSpend!IB$34</f>
        <v/>
      </c>
      <c r="IC6" s="402">
        <f>-DevSpend!IC$34</f>
        <v/>
      </c>
      <c r="ID6" s="402">
        <f>-DevSpend!ID$34</f>
        <v/>
      </c>
      <c r="IE6" s="402">
        <f>-DevSpend!IE$34</f>
        <v/>
      </c>
      <c r="IF6" s="402">
        <f>-DevSpend!IF$34</f>
        <v/>
      </c>
      <c r="IG6" s="402">
        <f>-DevSpend!IG$34</f>
        <v/>
      </c>
      <c r="IH6" s="402">
        <f>-DevSpend!IH$34</f>
        <v/>
      </c>
      <c r="II6" s="402">
        <f>-DevSpend!II$34</f>
        <v/>
      </c>
      <c r="IJ6" s="402">
        <f>-DevSpend!IJ$34</f>
        <v/>
      </c>
      <c r="IK6" s="402">
        <f>-DevSpend!IK$34</f>
        <v/>
      </c>
      <c r="IL6" s="402">
        <f>-DevSpend!IL$34</f>
        <v/>
      </c>
      <c r="IM6" s="402">
        <f>-DevSpend!IM$34</f>
        <v/>
      </c>
      <c r="IN6" s="402">
        <f>-DevSpend!IN$34</f>
        <v/>
      </c>
      <c r="IO6" s="402">
        <f>-DevSpend!IO$34</f>
        <v/>
      </c>
      <c r="IP6" s="402">
        <f>-DevSpend!IP$34</f>
        <v/>
      </c>
      <c r="IQ6" s="402">
        <f>-DevSpend!IQ$34</f>
        <v/>
      </c>
      <c r="IR6" s="402">
        <f>-DevSpend!IR$34</f>
        <v/>
      </c>
      <c r="IS6" s="402">
        <f>-DevSpend!IS$34</f>
        <v/>
      </c>
      <c r="IT6" s="402">
        <f>-DevSpend!IT$34</f>
        <v/>
      </c>
      <c r="IU6" s="402">
        <f>-DevSpend!IU$34</f>
        <v/>
      </c>
      <c r="IV6" s="402">
        <f>-DevSpend!IV$34</f>
        <v/>
      </c>
      <c r="IW6" s="402">
        <f>-DevSpend!IW$34</f>
        <v/>
      </c>
      <c r="IX6" s="402">
        <f>-DevSpend!IX$34</f>
        <v/>
      </c>
      <c r="IY6" s="402">
        <f>-DevSpend!IY$34</f>
        <v/>
      </c>
      <c r="IZ6" s="402">
        <f>-DevSpend!IZ$34</f>
        <v/>
      </c>
      <c r="JA6" s="402">
        <f>-DevSpend!JA$34</f>
        <v/>
      </c>
      <c r="JB6" s="402">
        <f>-DevSpend!JB$34</f>
        <v/>
      </c>
      <c r="JC6" s="402">
        <f>-DevSpend!JC$34</f>
        <v/>
      </c>
      <c r="JD6" s="402">
        <f>-DevSpend!JD$34</f>
        <v/>
      </c>
      <c r="JE6" s="402">
        <f>-DevSpend!JE$34</f>
        <v/>
      </c>
      <c r="JF6" s="402">
        <f>-DevSpend!JF$34</f>
        <v/>
      </c>
      <c r="JG6" s="402">
        <f>-DevSpend!JG$34</f>
        <v/>
      </c>
      <c r="JH6" s="402">
        <f>-DevSpend!JH$34</f>
        <v/>
      </c>
      <c r="JI6" s="402">
        <f>-DevSpend!JI$34</f>
        <v/>
      </c>
      <c r="JJ6" s="402">
        <f>-DevSpend!JJ$34</f>
        <v/>
      </c>
      <c r="JK6" s="402">
        <f>-DevSpend!JK$34</f>
        <v/>
      </c>
      <c r="JL6" s="402">
        <f>-DevSpend!JL$34</f>
        <v/>
      </c>
      <c r="JM6" s="402">
        <f>-DevSpend!JM$34</f>
        <v/>
      </c>
      <c r="JN6" s="402">
        <f>-DevSpend!JN$34</f>
        <v/>
      </c>
      <c r="JO6" s="402">
        <f>-DevSpend!JO$34</f>
        <v/>
      </c>
      <c r="JP6" s="402">
        <f>-DevSpend!JP$34</f>
        <v/>
      </c>
      <c r="JQ6" s="402">
        <f>-DevSpend!JQ$34</f>
        <v/>
      </c>
      <c r="JR6" s="402">
        <f>-DevSpend!JR$34</f>
        <v/>
      </c>
      <c r="JS6" s="402">
        <f>-DevSpend!JS$34</f>
        <v/>
      </c>
      <c r="JT6" s="402">
        <f>-DevSpend!JT$34</f>
        <v/>
      </c>
      <c r="JU6" s="402">
        <f>-DevSpend!JU$34</f>
        <v/>
      </c>
      <c r="JV6" s="402">
        <f>-DevSpend!JV$34</f>
        <v/>
      </c>
      <c r="JW6" s="402">
        <f>-DevSpend!JW$34</f>
        <v/>
      </c>
      <c r="JX6" s="402">
        <f>-DevSpend!JX$34</f>
        <v/>
      </c>
      <c r="JY6" s="402">
        <f>-DevSpend!JY$34</f>
        <v/>
      </c>
      <c r="JZ6" s="402">
        <f>-DevSpend!JZ$34</f>
        <v/>
      </c>
      <c r="KA6" s="402">
        <f>-DevSpend!KA$34</f>
        <v/>
      </c>
      <c r="KB6" s="402">
        <f>-DevSpend!KB$34</f>
        <v/>
      </c>
      <c r="KC6" s="402">
        <f>-DevSpend!KC$34</f>
        <v/>
      </c>
      <c r="KD6" s="402">
        <f>-DevSpend!KD$34</f>
        <v/>
      </c>
      <c r="KE6" s="402">
        <f>-DevSpend!KE$34</f>
        <v/>
      </c>
      <c r="KF6" s="402">
        <f>-DevSpend!KF$34</f>
        <v/>
      </c>
      <c r="KG6" s="402">
        <f>-DevSpend!KG$34</f>
        <v/>
      </c>
      <c r="KH6" s="402">
        <f>-DevSpend!KH$34</f>
        <v/>
      </c>
      <c r="KI6" s="402">
        <f>-DevSpend!KI$34</f>
        <v/>
      </c>
      <c r="KJ6" s="402">
        <f>-DevSpend!KJ$34</f>
        <v/>
      </c>
      <c r="KK6" s="402">
        <f>-DevSpend!KK$34</f>
        <v/>
      </c>
      <c r="KL6" s="402">
        <f>-DevSpend!KL$34</f>
        <v/>
      </c>
      <c r="KM6" s="402">
        <f>-DevSpend!KM$34</f>
        <v/>
      </c>
      <c r="KN6" s="402">
        <f>-DevSpend!KN$34</f>
        <v/>
      </c>
      <c r="KO6" s="402">
        <f>-DevSpend!KO$34</f>
        <v/>
      </c>
      <c r="KP6" s="402">
        <f>-DevSpend!KP$34</f>
        <v/>
      </c>
      <c r="KQ6" s="402">
        <f>-DevSpend!KQ$34</f>
        <v/>
      </c>
      <c r="KR6" s="402">
        <f>-DevSpend!KR$34</f>
        <v/>
      </c>
      <c r="KS6" s="402">
        <f>-DevSpend!KS$34</f>
        <v/>
      </c>
      <c r="KT6" s="402">
        <f>-DevSpend!KT$34</f>
        <v/>
      </c>
      <c r="KU6" s="402">
        <f>-DevSpend!KU$34</f>
        <v/>
      </c>
      <c r="KV6" s="402">
        <f>-DevSpend!KV$34</f>
        <v/>
      </c>
      <c r="KW6" s="402">
        <f>-DevSpend!KW$34</f>
        <v/>
      </c>
      <c r="KX6" s="402">
        <f>-DevSpend!KX$34</f>
        <v/>
      </c>
      <c r="KY6" s="402">
        <f>-DevSpend!KY$34</f>
        <v/>
      </c>
      <c r="KZ6" s="402">
        <f>-DevSpend!KZ$34</f>
        <v/>
      </c>
      <c r="LA6" s="402">
        <f>-DevSpend!LA$34</f>
        <v/>
      </c>
      <c r="LB6" s="402">
        <f>-DevSpend!LB$34</f>
        <v/>
      </c>
      <c r="LC6" s="402">
        <f>-DevSpend!LC$34</f>
        <v/>
      </c>
      <c r="LD6" s="402">
        <f>-DevSpend!LD$34</f>
        <v/>
      </c>
      <c r="LE6" s="402">
        <f>-DevSpend!LE$34</f>
        <v/>
      </c>
      <c r="LF6" s="402">
        <f>-DevSpend!LF$34</f>
        <v/>
      </c>
      <c r="LG6" s="402">
        <f>-DevSpend!LG$34</f>
        <v/>
      </c>
      <c r="LH6" s="402">
        <f>-DevSpend!LH$34</f>
        <v/>
      </c>
      <c r="LI6" s="402">
        <f>-DevSpend!LI$34</f>
        <v/>
      </c>
      <c r="LJ6" s="402">
        <f>-DevSpend!LJ$34</f>
        <v/>
      </c>
      <c r="LK6" s="402">
        <f>-DevSpend!LK$34</f>
        <v/>
      </c>
      <c r="LL6" s="402">
        <f>-DevSpend!LL$34</f>
        <v/>
      </c>
      <c r="LM6" s="402">
        <f>-DevSpend!LM$34</f>
        <v/>
      </c>
      <c r="LN6" s="402">
        <f>-DevSpend!LN$34</f>
        <v/>
      </c>
      <c r="LO6" s="402">
        <f>-DevSpend!LO$34</f>
        <v/>
      </c>
      <c r="LP6" s="402">
        <f>-DevSpend!LP$34</f>
        <v/>
      </c>
      <c r="LQ6" s="402">
        <f>-DevSpend!LQ$34</f>
        <v/>
      </c>
      <c r="LR6" s="402">
        <f>-DevSpend!LR$34</f>
        <v/>
      </c>
      <c r="LS6" s="402">
        <f>-DevSpend!LS$34</f>
        <v/>
      </c>
      <c r="LT6" s="402">
        <f>-DevSpend!LT$34</f>
        <v/>
      </c>
      <c r="LU6" s="402">
        <f>-DevSpend!LU$34</f>
        <v/>
      </c>
      <c r="LV6" s="402">
        <f>-DevSpend!LV$34</f>
        <v/>
      </c>
      <c r="LW6" s="402">
        <f>-DevSpend!LW$34</f>
        <v/>
      </c>
      <c r="LX6" s="402">
        <f>-DevSpend!LX$34</f>
        <v/>
      </c>
      <c r="LY6" s="402">
        <f>-DevSpend!LY$34</f>
        <v/>
      </c>
      <c r="LZ6" s="402">
        <f>-DevSpend!LZ$34</f>
        <v/>
      </c>
      <c r="MA6" s="402">
        <f>-DevSpend!MA$34</f>
        <v/>
      </c>
      <c r="MB6" s="402">
        <f>-DevSpend!MB$34</f>
        <v/>
      </c>
      <c r="MC6" s="402">
        <f>-DevSpend!MC$34</f>
        <v/>
      </c>
      <c r="MD6" s="402">
        <f>-DevSpend!MD$34</f>
        <v/>
      </c>
      <c r="ME6" s="402">
        <f>-DevSpend!ME$34</f>
        <v/>
      </c>
      <c r="MF6" s="402">
        <f>-DevSpend!MF$34</f>
        <v/>
      </c>
      <c r="MG6" s="402">
        <f>-DevSpend!MG$34</f>
        <v/>
      </c>
      <c r="MH6" s="402">
        <f>-DevSpend!MH$34</f>
        <v/>
      </c>
      <c r="MI6" s="402">
        <f>-DevSpend!MI$34</f>
        <v/>
      </c>
      <c r="MJ6" s="402">
        <f>-DevSpend!MJ$34</f>
        <v/>
      </c>
      <c r="MK6" s="402">
        <f>-DevSpend!MK$34</f>
        <v/>
      </c>
      <c r="ML6" s="402">
        <f>-DevSpend!ML$34</f>
        <v/>
      </c>
      <c r="MM6" s="402">
        <f>-DevSpend!MM$34</f>
        <v/>
      </c>
      <c r="MN6" s="402">
        <f>-DevSpend!MN$34</f>
        <v/>
      </c>
      <c r="MO6" s="402">
        <f>-DevSpend!MO$34</f>
        <v/>
      </c>
      <c r="MP6" s="402">
        <f>-DevSpend!MP$34</f>
        <v/>
      </c>
      <c r="MQ6" s="402">
        <f>-DevSpend!MQ$34</f>
        <v/>
      </c>
      <c r="MR6" s="402">
        <f>-DevSpend!MR$34</f>
        <v/>
      </c>
      <c r="MS6" s="402">
        <f>-DevSpend!MS$34</f>
        <v/>
      </c>
      <c r="MT6" s="402">
        <f>-DevSpend!MT$34</f>
        <v/>
      </c>
      <c r="MU6" s="402">
        <f>-DevSpend!MU$34</f>
        <v/>
      </c>
      <c r="MV6" s="402">
        <f>-DevSpend!MV$34</f>
        <v/>
      </c>
      <c r="MW6" s="402">
        <f>-DevSpend!MW$34</f>
        <v/>
      </c>
      <c r="MX6" s="402">
        <f>-DevSpend!MX$34</f>
        <v/>
      </c>
      <c r="MY6" s="402">
        <f>-DevSpend!MY$34</f>
        <v/>
      </c>
      <c r="MZ6" s="402">
        <f>-DevSpend!MZ$34</f>
        <v/>
      </c>
      <c r="NA6" s="402">
        <f>-DevSpend!NA$34</f>
        <v/>
      </c>
      <c r="NB6" s="402">
        <f>-DevSpend!NB$34</f>
        <v/>
      </c>
      <c r="NC6" s="402">
        <f>-DevSpend!NC$34</f>
        <v/>
      </c>
      <c r="ND6" s="402">
        <f>-DevSpend!ND$34</f>
        <v/>
      </c>
      <c r="NE6" s="402">
        <f>-DevSpend!NE$34</f>
        <v/>
      </c>
      <c r="NF6" s="402">
        <f>-DevSpend!NF$34</f>
        <v/>
      </c>
      <c r="NG6" s="402">
        <f>-DevSpend!NG$34</f>
        <v/>
      </c>
      <c r="NH6" s="402">
        <f>-DevSpend!NH$34</f>
        <v/>
      </c>
      <c r="NI6" s="402">
        <f>-DevSpend!NI$34</f>
        <v/>
      </c>
      <c r="NJ6" s="402">
        <f>-DevSpend!NJ$34</f>
        <v/>
      </c>
      <c r="NK6" s="402">
        <f>-DevSpend!NK$34</f>
        <v/>
      </c>
      <c r="NL6" s="402">
        <f>-DevSpend!NL$34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-DevSpend!E$35</f>
        <v/>
      </c>
      <c r="F7" s="402">
        <f>-DevSpend!F$35</f>
        <v/>
      </c>
      <c r="G7" s="402">
        <f>-DevSpend!G$35</f>
        <v/>
      </c>
      <c r="H7" s="402">
        <f>-DevSpend!H$35</f>
        <v/>
      </c>
      <c r="I7" s="402">
        <f>-DevSpend!I$35</f>
        <v/>
      </c>
      <c r="J7" s="402">
        <f>-DevSpend!J$35</f>
        <v/>
      </c>
      <c r="K7" s="402">
        <f>-DevSpend!K$35</f>
        <v/>
      </c>
      <c r="L7" s="402">
        <f>-DevSpend!L$35</f>
        <v/>
      </c>
      <c r="M7" s="402">
        <f>-DevSpend!M$35</f>
        <v/>
      </c>
      <c r="N7" s="402">
        <f>-DevSpend!N$35</f>
        <v/>
      </c>
      <c r="O7" s="402">
        <f>-DevSpend!O$35</f>
        <v/>
      </c>
      <c r="P7" s="402">
        <f>-DevSpend!P$35</f>
        <v/>
      </c>
      <c r="Q7" s="402">
        <f>-DevSpend!Q$35</f>
        <v/>
      </c>
      <c r="R7" s="402">
        <f>-DevSpend!R$35</f>
        <v/>
      </c>
      <c r="S7" s="402">
        <f>-DevSpend!S$35</f>
        <v/>
      </c>
      <c r="T7" s="402">
        <f>-DevSpend!T$35</f>
        <v/>
      </c>
      <c r="U7" s="402">
        <f>-DevSpend!U$35</f>
        <v/>
      </c>
      <c r="V7" s="402">
        <f>-DevSpend!V$35</f>
        <v/>
      </c>
      <c r="W7" s="402">
        <f>-DevSpend!W$35</f>
        <v/>
      </c>
      <c r="X7" s="402">
        <f>-DevSpend!X$35</f>
        <v/>
      </c>
      <c r="Y7" s="402">
        <f>-DevSpend!Y$35</f>
        <v/>
      </c>
      <c r="Z7" s="402">
        <f>-DevSpend!Z$35</f>
        <v/>
      </c>
      <c r="AA7" s="402">
        <f>-DevSpend!AA$35</f>
        <v/>
      </c>
      <c r="AB7" s="402">
        <f>-DevSpend!AB$35</f>
        <v/>
      </c>
      <c r="AC7" s="402">
        <f>-DevSpend!AC$35</f>
        <v/>
      </c>
      <c r="AD7" s="402">
        <f>-DevSpend!AD$35</f>
        <v/>
      </c>
      <c r="AE7" s="402">
        <f>-DevSpend!AE$35</f>
        <v/>
      </c>
      <c r="AF7" s="402">
        <f>-DevSpend!AF$35</f>
        <v/>
      </c>
      <c r="AG7" s="402">
        <f>-DevSpend!AG$35</f>
        <v/>
      </c>
      <c r="AH7" s="402">
        <f>-DevSpend!AH$35</f>
        <v/>
      </c>
      <c r="AI7" s="402">
        <f>-DevSpend!AI$35</f>
        <v/>
      </c>
      <c r="AJ7" s="402">
        <f>-DevSpend!AJ$35</f>
        <v/>
      </c>
      <c r="AK7" s="402">
        <f>-DevSpend!AK$35</f>
        <v/>
      </c>
      <c r="AL7" s="402">
        <f>-DevSpend!AL$35</f>
        <v/>
      </c>
      <c r="AM7" s="402">
        <f>-DevSpend!AM$35</f>
        <v/>
      </c>
      <c r="AN7" s="402">
        <f>-DevSpend!AN$35</f>
        <v/>
      </c>
      <c r="AO7" s="402">
        <f>-DevSpend!AO$35</f>
        <v/>
      </c>
      <c r="AP7" s="402">
        <f>-DevSpend!AP$35</f>
        <v/>
      </c>
      <c r="AQ7" s="402">
        <f>-DevSpend!AQ$35</f>
        <v/>
      </c>
      <c r="AR7" s="402">
        <f>-DevSpend!AR$35</f>
        <v/>
      </c>
      <c r="AS7" s="402">
        <f>-DevSpend!AS$35</f>
        <v/>
      </c>
      <c r="AT7" s="402">
        <f>-DevSpend!AT$35</f>
        <v/>
      </c>
      <c r="AU7" s="402">
        <f>-DevSpend!AU$35</f>
        <v/>
      </c>
      <c r="AV7" s="402">
        <f>-DevSpend!AV$35</f>
        <v/>
      </c>
      <c r="AW7" s="402">
        <f>-DevSpend!AW$35</f>
        <v/>
      </c>
      <c r="AX7" s="402">
        <f>-DevSpend!AX$35</f>
        <v/>
      </c>
      <c r="AY7" s="402">
        <f>-DevSpend!AY$35</f>
        <v/>
      </c>
      <c r="AZ7" s="402">
        <f>-DevSpend!AZ$35</f>
        <v/>
      </c>
      <c r="BA7" s="402">
        <f>-DevSpend!BA$35</f>
        <v/>
      </c>
      <c r="BB7" s="402">
        <f>-DevSpend!BB$35</f>
        <v/>
      </c>
      <c r="BC7" s="402">
        <f>-DevSpend!BC$35</f>
        <v/>
      </c>
      <c r="BD7" s="402">
        <f>-DevSpend!BD$35</f>
        <v/>
      </c>
      <c r="BE7" s="402">
        <f>-DevSpend!BE$35</f>
        <v/>
      </c>
      <c r="BF7" s="402">
        <f>-DevSpend!BF$35</f>
        <v/>
      </c>
      <c r="BG7" s="402">
        <f>-DevSpend!BG$35</f>
        <v/>
      </c>
      <c r="BH7" s="402">
        <f>-DevSpend!BH$35</f>
        <v/>
      </c>
      <c r="BI7" s="402">
        <f>-DevSpend!BI$35</f>
        <v/>
      </c>
      <c r="BJ7" s="402">
        <f>-DevSpend!BJ$35</f>
        <v/>
      </c>
      <c r="BK7" s="402">
        <f>-DevSpend!BK$35</f>
        <v/>
      </c>
      <c r="BL7" s="402">
        <f>-DevSpend!BL$35</f>
        <v/>
      </c>
      <c r="BM7" s="402">
        <f>-DevSpend!BM$35</f>
        <v/>
      </c>
      <c r="BN7" s="402">
        <f>-DevSpend!BN$35</f>
        <v/>
      </c>
      <c r="BO7" s="402">
        <f>-DevSpend!BO$35</f>
        <v/>
      </c>
      <c r="BP7" s="402">
        <f>-DevSpend!BP$35</f>
        <v/>
      </c>
      <c r="BQ7" s="402">
        <f>-DevSpend!BQ$35</f>
        <v/>
      </c>
      <c r="BR7" s="402">
        <f>-DevSpend!BR$35</f>
        <v/>
      </c>
      <c r="BS7" s="402">
        <f>-DevSpend!BS$35</f>
        <v/>
      </c>
      <c r="BT7" s="402">
        <f>-DevSpend!BT$35</f>
        <v/>
      </c>
      <c r="BU7" s="402">
        <f>-DevSpend!BU$35</f>
        <v/>
      </c>
      <c r="BV7" s="402">
        <f>-DevSpend!BV$35</f>
        <v/>
      </c>
      <c r="BW7" s="402">
        <f>-DevSpend!BW$35</f>
        <v/>
      </c>
      <c r="BX7" s="402">
        <f>-DevSpend!BX$35</f>
        <v/>
      </c>
      <c r="BY7" s="402">
        <f>-DevSpend!BY$35</f>
        <v/>
      </c>
      <c r="BZ7" s="402">
        <f>-DevSpend!BZ$35</f>
        <v/>
      </c>
      <c r="CA7" s="402">
        <f>-DevSpend!CA$35</f>
        <v/>
      </c>
      <c r="CB7" s="402">
        <f>-DevSpend!CB$35</f>
        <v/>
      </c>
      <c r="CC7" s="402">
        <f>-DevSpend!CC$35</f>
        <v/>
      </c>
      <c r="CD7" s="402">
        <f>-DevSpend!CD$35</f>
        <v/>
      </c>
      <c r="CE7" s="402">
        <f>-DevSpend!CE$35</f>
        <v/>
      </c>
      <c r="CF7" s="402">
        <f>-DevSpend!CF$35</f>
        <v/>
      </c>
      <c r="CG7" s="402">
        <f>-DevSpend!CG$35</f>
        <v/>
      </c>
      <c r="CH7" s="402">
        <f>-DevSpend!CH$35</f>
        <v/>
      </c>
      <c r="CI7" s="402">
        <f>-DevSpend!CI$35</f>
        <v/>
      </c>
      <c r="CJ7" s="402">
        <f>-DevSpend!CJ$35</f>
        <v/>
      </c>
      <c r="CK7" s="402">
        <f>-DevSpend!CK$35</f>
        <v/>
      </c>
      <c r="CL7" s="402">
        <f>-DevSpend!CL$35</f>
        <v/>
      </c>
      <c r="CM7" s="402">
        <f>-DevSpend!CM$35</f>
        <v/>
      </c>
      <c r="CN7" s="402">
        <f>-DevSpend!CN$35</f>
        <v/>
      </c>
      <c r="CO7" s="402">
        <f>-DevSpend!CO$35</f>
        <v/>
      </c>
      <c r="CP7" s="402">
        <f>-DevSpend!CP$35</f>
        <v/>
      </c>
      <c r="CQ7" s="402">
        <f>-DevSpend!CQ$35</f>
        <v/>
      </c>
      <c r="CR7" s="402">
        <f>-DevSpend!CR$35</f>
        <v/>
      </c>
      <c r="CS7" s="402">
        <f>-DevSpend!CS$35</f>
        <v/>
      </c>
      <c r="CT7" s="402">
        <f>-DevSpend!CT$35</f>
        <v/>
      </c>
      <c r="CU7" s="402">
        <f>-DevSpend!CU$35</f>
        <v/>
      </c>
      <c r="CV7" s="402">
        <f>-DevSpend!CV$35</f>
        <v/>
      </c>
      <c r="CW7" s="402">
        <f>-DevSpend!CW$35</f>
        <v/>
      </c>
      <c r="CX7" s="402">
        <f>-DevSpend!CX$35</f>
        <v/>
      </c>
      <c r="CY7" s="402">
        <f>-DevSpend!CY$35</f>
        <v/>
      </c>
      <c r="CZ7" s="402">
        <f>-DevSpend!CZ$35</f>
        <v/>
      </c>
      <c r="DA7" s="402">
        <f>-DevSpend!DA$35</f>
        <v/>
      </c>
      <c r="DB7" s="402">
        <f>-DevSpend!DB$35</f>
        <v/>
      </c>
      <c r="DC7" s="402">
        <f>-DevSpend!DC$35</f>
        <v/>
      </c>
      <c r="DD7" s="402">
        <f>-DevSpend!DD$35</f>
        <v/>
      </c>
      <c r="DE7" s="402">
        <f>-DevSpend!DE$35</f>
        <v/>
      </c>
      <c r="DF7" s="402">
        <f>-DevSpend!DF$35</f>
        <v/>
      </c>
      <c r="DG7" s="402">
        <f>-DevSpend!DG$35</f>
        <v/>
      </c>
      <c r="DH7" s="402">
        <f>-DevSpend!DH$35</f>
        <v/>
      </c>
      <c r="DI7" s="402">
        <f>-DevSpend!DI$35</f>
        <v/>
      </c>
      <c r="DJ7" s="402">
        <f>-DevSpend!DJ$35</f>
        <v/>
      </c>
      <c r="DK7" s="402">
        <f>-DevSpend!DK$35</f>
        <v/>
      </c>
      <c r="DL7" s="402">
        <f>-DevSpend!DL$35</f>
        <v/>
      </c>
      <c r="DM7" s="402">
        <f>-DevSpend!DM$35</f>
        <v/>
      </c>
      <c r="DN7" s="402">
        <f>-DevSpend!DN$35</f>
        <v/>
      </c>
      <c r="DO7" s="402">
        <f>-DevSpend!DO$35</f>
        <v/>
      </c>
      <c r="DP7" s="402">
        <f>-DevSpend!DP$35</f>
        <v/>
      </c>
      <c r="DQ7" s="402">
        <f>-DevSpend!DQ$35</f>
        <v/>
      </c>
      <c r="DR7" s="402">
        <f>-DevSpend!DR$35</f>
        <v/>
      </c>
      <c r="DS7" s="402">
        <f>-DevSpend!DS$35</f>
        <v/>
      </c>
      <c r="DT7" s="402">
        <f>-DevSpend!DT$35</f>
        <v/>
      </c>
      <c r="DU7" s="402">
        <f>-DevSpend!DU$35</f>
        <v/>
      </c>
      <c r="DV7" s="402">
        <f>-DevSpend!DV$35</f>
        <v/>
      </c>
      <c r="DW7" s="402">
        <f>-DevSpend!DW$35</f>
        <v/>
      </c>
      <c r="DX7" s="402">
        <f>-DevSpend!DX$35</f>
        <v/>
      </c>
      <c r="DY7" s="402">
        <f>-DevSpend!DY$35</f>
        <v/>
      </c>
      <c r="DZ7" s="402">
        <f>-DevSpend!DZ$35</f>
        <v/>
      </c>
      <c r="EA7" s="402">
        <f>-DevSpend!EA$35</f>
        <v/>
      </c>
      <c r="EB7" s="402">
        <f>-DevSpend!EB$35</f>
        <v/>
      </c>
      <c r="EC7" s="402">
        <f>-DevSpend!EC$35</f>
        <v/>
      </c>
      <c r="ED7" s="402">
        <f>-DevSpend!ED$35</f>
        <v/>
      </c>
      <c r="EE7" s="402">
        <f>-DevSpend!EE$35</f>
        <v/>
      </c>
      <c r="EF7" s="402">
        <f>-DevSpend!EF$35</f>
        <v/>
      </c>
      <c r="EG7" s="402">
        <f>-DevSpend!EG$35</f>
        <v/>
      </c>
      <c r="EH7" s="402">
        <f>-DevSpend!EH$35</f>
        <v/>
      </c>
      <c r="EI7" s="402">
        <f>-DevSpend!EI$35</f>
        <v/>
      </c>
      <c r="EJ7" s="402">
        <f>-DevSpend!EJ$35</f>
        <v/>
      </c>
      <c r="EK7" s="402">
        <f>-DevSpend!EK$35</f>
        <v/>
      </c>
      <c r="EL7" s="402">
        <f>-DevSpend!EL$35</f>
        <v/>
      </c>
      <c r="EM7" s="402">
        <f>-DevSpend!EM$35</f>
        <v/>
      </c>
      <c r="EN7" s="402">
        <f>-DevSpend!EN$35</f>
        <v/>
      </c>
      <c r="EO7" s="402">
        <f>-DevSpend!EO$35</f>
        <v/>
      </c>
      <c r="EP7" s="402">
        <f>-DevSpend!EP$35</f>
        <v/>
      </c>
      <c r="EQ7" s="402">
        <f>-DevSpend!EQ$35</f>
        <v/>
      </c>
      <c r="ER7" s="402">
        <f>-DevSpend!ER$35</f>
        <v/>
      </c>
      <c r="ES7" s="402">
        <f>-DevSpend!ES$35</f>
        <v/>
      </c>
      <c r="ET7" s="402">
        <f>-DevSpend!ET$35</f>
        <v/>
      </c>
      <c r="EU7" s="402">
        <f>-DevSpend!EU$35</f>
        <v/>
      </c>
      <c r="EV7" s="402">
        <f>-DevSpend!EV$35</f>
        <v/>
      </c>
      <c r="EW7" s="402">
        <f>-DevSpend!EW$35</f>
        <v/>
      </c>
      <c r="EX7" s="402">
        <f>-DevSpend!EX$35</f>
        <v/>
      </c>
      <c r="EY7" s="402">
        <f>-DevSpend!EY$35</f>
        <v/>
      </c>
      <c r="EZ7" s="402">
        <f>-DevSpend!EZ$35</f>
        <v/>
      </c>
      <c r="FA7" s="402">
        <f>-DevSpend!FA$35</f>
        <v/>
      </c>
      <c r="FB7" s="402">
        <f>-DevSpend!FB$35</f>
        <v/>
      </c>
      <c r="FC7" s="402">
        <f>-DevSpend!FC$35</f>
        <v/>
      </c>
      <c r="FD7" s="402">
        <f>-DevSpend!FD$35</f>
        <v/>
      </c>
      <c r="FE7" s="402">
        <f>-DevSpend!FE$35</f>
        <v/>
      </c>
      <c r="FF7" s="402">
        <f>-DevSpend!FF$35</f>
        <v/>
      </c>
      <c r="FG7" s="402">
        <f>-DevSpend!FG$35</f>
        <v/>
      </c>
      <c r="FH7" s="402">
        <f>-DevSpend!FH$35</f>
        <v/>
      </c>
      <c r="FI7" s="402">
        <f>-DevSpend!FI$35</f>
        <v/>
      </c>
      <c r="FJ7" s="402">
        <f>-DevSpend!FJ$35</f>
        <v/>
      </c>
      <c r="FK7" s="402">
        <f>-DevSpend!FK$35</f>
        <v/>
      </c>
      <c r="FL7" s="402">
        <f>-DevSpend!FL$35</f>
        <v/>
      </c>
      <c r="FM7" s="402">
        <f>-DevSpend!FM$35</f>
        <v/>
      </c>
      <c r="FN7" s="402">
        <f>-DevSpend!FN$35</f>
        <v/>
      </c>
      <c r="FO7" s="402">
        <f>-DevSpend!FO$35</f>
        <v/>
      </c>
      <c r="FP7" s="402">
        <f>-DevSpend!FP$35</f>
        <v/>
      </c>
      <c r="FQ7" s="402">
        <f>-DevSpend!FQ$35</f>
        <v/>
      </c>
      <c r="FR7" s="402">
        <f>-DevSpend!FR$35</f>
        <v/>
      </c>
      <c r="FS7" s="402">
        <f>-DevSpend!FS$35</f>
        <v/>
      </c>
      <c r="FT7" s="402">
        <f>-DevSpend!FT$35</f>
        <v/>
      </c>
      <c r="FU7" s="402">
        <f>-DevSpend!FU$35</f>
        <v/>
      </c>
      <c r="FV7" s="402">
        <f>-DevSpend!FV$35</f>
        <v/>
      </c>
      <c r="FW7" s="402">
        <f>-DevSpend!FW$35</f>
        <v/>
      </c>
      <c r="FX7" s="402">
        <f>-DevSpend!FX$35</f>
        <v/>
      </c>
      <c r="FY7" s="402">
        <f>-DevSpend!FY$35</f>
        <v/>
      </c>
      <c r="FZ7" s="402">
        <f>-DevSpend!FZ$35</f>
        <v/>
      </c>
      <c r="GA7" s="402">
        <f>-DevSpend!GA$35</f>
        <v/>
      </c>
      <c r="GB7" s="402">
        <f>-DevSpend!GB$35</f>
        <v/>
      </c>
      <c r="GC7" s="402">
        <f>-DevSpend!GC$35</f>
        <v/>
      </c>
      <c r="GD7" s="402">
        <f>-DevSpend!GD$35</f>
        <v/>
      </c>
      <c r="GE7" s="402">
        <f>-DevSpend!GE$35</f>
        <v/>
      </c>
      <c r="GF7" s="402">
        <f>-DevSpend!GF$35</f>
        <v/>
      </c>
      <c r="GG7" s="402">
        <f>-DevSpend!GG$35</f>
        <v/>
      </c>
      <c r="GH7" s="402">
        <f>-DevSpend!GH$35</f>
        <v/>
      </c>
      <c r="GI7" s="402">
        <f>-DevSpend!GI$35</f>
        <v/>
      </c>
      <c r="GJ7" s="402">
        <f>-DevSpend!GJ$35</f>
        <v/>
      </c>
      <c r="GK7" s="402">
        <f>-DevSpend!GK$35</f>
        <v/>
      </c>
      <c r="GL7" s="402">
        <f>-DevSpend!GL$35</f>
        <v/>
      </c>
      <c r="GM7" s="402">
        <f>-DevSpend!GM$35</f>
        <v/>
      </c>
      <c r="GN7" s="402">
        <f>-DevSpend!GN$35</f>
        <v/>
      </c>
      <c r="GO7" s="402">
        <f>-DevSpend!GO$35</f>
        <v/>
      </c>
      <c r="GP7" s="402">
        <f>-DevSpend!GP$35</f>
        <v/>
      </c>
      <c r="GQ7" s="402">
        <f>-DevSpend!GQ$35</f>
        <v/>
      </c>
      <c r="GR7" s="402">
        <f>-DevSpend!GR$35</f>
        <v/>
      </c>
      <c r="GS7" s="402">
        <f>-DevSpend!GS$35</f>
        <v/>
      </c>
      <c r="GT7" s="402">
        <f>-DevSpend!GT$35</f>
        <v/>
      </c>
      <c r="GU7" s="402">
        <f>-DevSpend!GU$35</f>
        <v/>
      </c>
      <c r="GV7" s="402">
        <f>-DevSpend!GV$35</f>
        <v/>
      </c>
      <c r="GW7" s="402">
        <f>-DevSpend!GW$35</f>
        <v/>
      </c>
      <c r="GX7" s="402">
        <f>-DevSpend!GX$35</f>
        <v/>
      </c>
      <c r="GY7" s="402">
        <f>-DevSpend!GY$35</f>
        <v/>
      </c>
      <c r="GZ7" s="402">
        <f>-DevSpend!GZ$35</f>
        <v/>
      </c>
      <c r="HA7" s="402">
        <f>-DevSpend!HA$35</f>
        <v/>
      </c>
      <c r="HB7" s="402">
        <f>-DevSpend!HB$35</f>
        <v/>
      </c>
      <c r="HC7" s="402">
        <f>-DevSpend!HC$35</f>
        <v/>
      </c>
      <c r="HD7" s="402">
        <f>-DevSpend!HD$35</f>
        <v/>
      </c>
      <c r="HE7" s="402">
        <f>-DevSpend!HE$35</f>
        <v/>
      </c>
      <c r="HF7" s="402">
        <f>-DevSpend!HF$35</f>
        <v/>
      </c>
      <c r="HG7" s="402">
        <f>-DevSpend!HG$35</f>
        <v/>
      </c>
      <c r="HH7" s="402">
        <f>-DevSpend!HH$35</f>
        <v/>
      </c>
      <c r="HI7" s="402">
        <f>-DevSpend!HI$35</f>
        <v/>
      </c>
      <c r="HJ7" s="402">
        <f>-DevSpend!HJ$35</f>
        <v/>
      </c>
      <c r="HK7" s="402">
        <f>-DevSpend!HK$35</f>
        <v/>
      </c>
      <c r="HL7" s="402">
        <f>-DevSpend!HL$35</f>
        <v/>
      </c>
      <c r="HM7" s="402">
        <f>-DevSpend!HM$35</f>
        <v/>
      </c>
      <c r="HN7" s="402">
        <f>-DevSpend!HN$35</f>
        <v/>
      </c>
      <c r="HO7" s="402">
        <f>-DevSpend!HO$35</f>
        <v/>
      </c>
      <c r="HP7" s="402">
        <f>-DevSpend!HP$35</f>
        <v/>
      </c>
      <c r="HQ7" s="402">
        <f>-DevSpend!HQ$35</f>
        <v/>
      </c>
      <c r="HR7" s="402">
        <f>-DevSpend!HR$35</f>
        <v/>
      </c>
      <c r="HS7" s="402">
        <f>-DevSpend!HS$35</f>
        <v/>
      </c>
      <c r="HT7" s="402">
        <f>-DevSpend!HT$35</f>
        <v/>
      </c>
      <c r="HU7" s="402">
        <f>-DevSpend!HU$35</f>
        <v/>
      </c>
      <c r="HV7" s="402">
        <f>-DevSpend!HV$35</f>
        <v/>
      </c>
      <c r="HW7" s="402">
        <f>-DevSpend!HW$35</f>
        <v/>
      </c>
      <c r="HX7" s="402">
        <f>-DevSpend!HX$35</f>
        <v/>
      </c>
      <c r="HY7" s="402">
        <f>-DevSpend!HY$35</f>
        <v/>
      </c>
      <c r="HZ7" s="402">
        <f>-DevSpend!HZ$35</f>
        <v/>
      </c>
      <c r="IA7" s="402">
        <f>-DevSpend!IA$35</f>
        <v/>
      </c>
      <c r="IB7" s="402">
        <f>-DevSpend!IB$35</f>
        <v/>
      </c>
      <c r="IC7" s="402">
        <f>-DevSpend!IC$35</f>
        <v/>
      </c>
      <c r="ID7" s="402">
        <f>-DevSpend!ID$35</f>
        <v/>
      </c>
      <c r="IE7" s="402">
        <f>-DevSpend!IE$35</f>
        <v/>
      </c>
      <c r="IF7" s="402">
        <f>-DevSpend!IF$35</f>
        <v/>
      </c>
      <c r="IG7" s="402">
        <f>-DevSpend!IG$35</f>
        <v/>
      </c>
      <c r="IH7" s="402">
        <f>-DevSpend!IH$35</f>
        <v/>
      </c>
      <c r="II7" s="402">
        <f>-DevSpend!II$35</f>
        <v/>
      </c>
      <c r="IJ7" s="402">
        <f>-DevSpend!IJ$35</f>
        <v/>
      </c>
      <c r="IK7" s="402">
        <f>-DevSpend!IK$35</f>
        <v/>
      </c>
      <c r="IL7" s="402">
        <f>-DevSpend!IL$35</f>
        <v/>
      </c>
      <c r="IM7" s="402">
        <f>-DevSpend!IM$35</f>
        <v/>
      </c>
      <c r="IN7" s="402">
        <f>-DevSpend!IN$35</f>
        <v/>
      </c>
      <c r="IO7" s="402">
        <f>-DevSpend!IO$35</f>
        <v/>
      </c>
      <c r="IP7" s="402">
        <f>-DevSpend!IP$35</f>
        <v/>
      </c>
      <c r="IQ7" s="402">
        <f>-DevSpend!IQ$35</f>
        <v/>
      </c>
      <c r="IR7" s="402">
        <f>-DevSpend!IR$35</f>
        <v/>
      </c>
      <c r="IS7" s="402">
        <f>-DevSpend!IS$35</f>
        <v/>
      </c>
      <c r="IT7" s="402">
        <f>-DevSpend!IT$35</f>
        <v/>
      </c>
      <c r="IU7" s="402">
        <f>-DevSpend!IU$35</f>
        <v/>
      </c>
      <c r="IV7" s="402">
        <f>-DevSpend!IV$35</f>
        <v/>
      </c>
      <c r="IW7" s="402">
        <f>-DevSpend!IW$35</f>
        <v/>
      </c>
      <c r="IX7" s="402">
        <f>-DevSpend!IX$35</f>
        <v/>
      </c>
      <c r="IY7" s="402">
        <f>-DevSpend!IY$35</f>
        <v/>
      </c>
      <c r="IZ7" s="402">
        <f>-DevSpend!IZ$35</f>
        <v/>
      </c>
      <c r="JA7" s="402">
        <f>-DevSpend!JA$35</f>
        <v/>
      </c>
      <c r="JB7" s="402">
        <f>-DevSpend!JB$35</f>
        <v/>
      </c>
      <c r="JC7" s="402">
        <f>-DevSpend!JC$35</f>
        <v/>
      </c>
      <c r="JD7" s="402">
        <f>-DevSpend!JD$35</f>
        <v/>
      </c>
      <c r="JE7" s="402">
        <f>-DevSpend!JE$35</f>
        <v/>
      </c>
      <c r="JF7" s="402">
        <f>-DevSpend!JF$35</f>
        <v/>
      </c>
      <c r="JG7" s="402">
        <f>-DevSpend!JG$35</f>
        <v/>
      </c>
      <c r="JH7" s="402">
        <f>-DevSpend!JH$35</f>
        <v/>
      </c>
      <c r="JI7" s="402">
        <f>-DevSpend!JI$35</f>
        <v/>
      </c>
      <c r="JJ7" s="402">
        <f>-DevSpend!JJ$35</f>
        <v/>
      </c>
      <c r="JK7" s="402">
        <f>-DevSpend!JK$35</f>
        <v/>
      </c>
      <c r="JL7" s="402">
        <f>-DevSpend!JL$35</f>
        <v/>
      </c>
      <c r="JM7" s="402">
        <f>-DevSpend!JM$35</f>
        <v/>
      </c>
      <c r="JN7" s="402">
        <f>-DevSpend!JN$35</f>
        <v/>
      </c>
      <c r="JO7" s="402">
        <f>-DevSpend!JO$35</f>
        <v/>
      </c>
      <c r="JP7" s="402">
        <f>-DevSpend!JP$35</f>
        <v/>
      </c>
      <c r="JQ7" s="402">
        <f>-DevSpend!JQ$35</f>
        <v/>
      </c>
      <c r="JR7" s="402">
        <f>-DevSpend!JR$35</f>
        <v/>
      </c>
      <c r="JS7" s="402">
        <f>-DevSpend!JS$35</f>
        <v/>
      </c>
      <c r="JT7" s="402">
        <f>-DevSpend!JT$35</f>
        <v/>
      </c>
      <c r="JU7" s="402">
        <f>-DevSpend!JU$35</f>
        <v/>
      </c>
      <c r="JV7" s="402">
        <f>-DevSpend!JV$35</f>
        <v/>
      </c>
      <c r="JW7" s="402">
        <f>-DevSpend!JW$35</f>
        <v/>
      </c>
      <c r="JX7" s="402">
        <f>-DevSpend!JX$35</f>
        <v/>
      </c>
      <c r="JY7" s="402">
        <f>-DevSpend!JY$35</f>
        <v/>
      </c>
      <c r="JZ7" s="402">
        <f>-DevSpend!JZ$35</f>
        <v/>
      </c>
      <c r="KA7" s="402">
        <f>-DevSpend!KA$35</f>
        <v/>
      </c>
      <c r="KB7" s="402">
        <f>-DevSpend!KB$35</f>
        <v/>
      </c>
      <c r="KC7" s="402">
        <f>-DevSpend!KC$35</f>
        <v/>
      </c>
      <c r="KD7" s="402">
        <f>-DevSpend!KD$35</f>
        <v/>
      </c>
      <c r="KE7" s="402">
        <f>-DevSpend!KE$35</f>
        <v/>
      </c>
      <c r="KF7" s="402">
        <f>-DevSpend!KF$35</f>
        <v/>
      </c>
      <c r="KG7" s="402">
        <f>-DevSpend!KG$35</f>
        <v/>
      </c>
      <c r="KH7" s="402">
        <f>-DevSpend!KH$35</f>
        <v/>
      </c>
      <c r="KI7" s="402">
        <f>-DevSpend!KI$35</f>
        <v/>
      </c>
      <c r="KJ7" s="402">
        <f>-DevSpend!KJ$35</f>
        <v/>
      </c>
      <c r="KK7" s="402">
        <f>-DevSpend!KK$35</f>
        <v/>
      </c>
      <c r="KL7" s="402">
        <f>-DevSpend!KL$35</f>
        <v/>
      </c>
      <c r="KM7" s="402">
        <f>-DevSpend!KM$35</f>
        <v/>
      </c>
      <c r="KN7" s="402">
        <f>-DevSpend!KN$35</f>
        <v/>
      </c>
      <c r="KO7" s="402">
        <f>-DevSpend!KO$35</f>
        <v/>
      </c>
      <c r="KP7" s="402">
        <f>-DevSpend!KP$35</f>
        <v/>
      </c>
      <c r="KQ7" s="402">
        <f>-DevSpend!KQ$35</f>
        <v/>
      </c>
      <c r="KR7" s="402">
        <f>-DevSpend!KR$35</f>
        <v/>
      </c>
      <c r="KS7" s="402">
        <f>-DevSpend!KS$35</f>
        <v/>
      </c>
      <c r="KT7" s="402">
        <f>-DevSpend!KT$35</f>
        <v/>
      </c>
      <c r="KU7" s="402">
        <f>-DevSpend!KU$35</f>
        <v/>
      </c>
      <c r="KV7" s="402">
        <f>-DevSpend!KV$35</f>
        <v/>
      </c>
      <c r="KW7" s="402">
        <f>-DevSpend!KW$35</f>
        <v/>
      </c>
      <c r="KX7" s="402">
        <f>-DevSpend!KX$35</f>
        <v/>
      </c>
      <c r="KY7" s="402">
        <f>-DevSpend!KY$35</f>
        <v/>
      </c>
      <c r="KZ7" s="402">
        <f>-DevSpend!KZ$35</f>
        <v/>
      </c>
      <c r="LA7" s="402">
        <f>-DevSpend!LA$35</f>
        <v/>
      </c>
      <c r="LB7" s="402">
        <f>-DevSpend!LB$35</f>
        <v/>
      </c>
      <c r="LC7" s="402">
        <f>-DevSpend!LC$35</f>
        <v/>
      </c>
      <c r="LD7" s="402">
        <f>-DevSpend!LD$35</f>
        <v/>
      </c>
      <c r="LE7" s="402">
        <f>-DevSpend!LE$35</f>
        <v/>
      </c>
      <c r="LF7" s="402">
        <f>-DevSpend!LF$35</f>
        <v/>
      </c>
      <c r="LG7" s="402">
        <f>-DevSpend!LG$35</f>
        <v/>
      </c>
      <c r="LH7" s="402">
        <f>-DevSpend!LH$35</f>
        <v/>
      </c>
      <c r="LI7" s="402">
        <f>-DevSpend!LI$35</f>
        <v/>
      </c>
      <c r="LJ7" s="402">
        <f>-DevSpend!LJ$35</f>
        <v/>
      </c>
      <c r="LK7" s="402">
        <f>-DevSpend!LK$35</f>
        <v/>
      </c>
      <c r="LL7" s="402">
        <f>-DevSpend!LL$35</f>
        <v/>
      </c>
      <c r="LM7" s="402">
        <f>-DevSpend!LM$35</f>
        <v/>
      </c>
      <c r="LN7" s="402">
        <f>-DevSpend!LN$35</f>
        <v/>
      </c>
      <c r="LO7" s="402">
        <f>-DevSpend!LO$35</f>
        <v/>
      </c>
      <c r="LP7" s="402">
        <f>-DevSpend!LP$35</f>
        <v/>
      </c>
      <c r="LQ7" s="402">
        <f>-DevSpend!LQ$35</f>
        <v/>
      </c>
      <c r="LR7" s="402">
        <f>-DevSpend!LR$35</f>
        <v/>
      </c>
      <c r="LS7" s="402">
        <f>-DevSpend!LS$35</f>
        <v/>
      </c>
      <c r="LT7" s="402">
        <f>-DevSpend!LT$35</f>
        <v/>
      </c>
      <c r="LU7" s="402">
        <f>-DevSpend!LU$35</f>
        <v/>
      </c>
      <c r="LV7" s="402">
        <f>-DevSpend!LV$35</f>
        <v/>
      </c>
      <c r="LW7" s="402">
        <f>-DevSpend!LW$35</f>
        <v/>
      </c>
      <c r="LX7" s="402">
        <f>-DevSpend!LX$35</f>
        <v/>
      </c>
      <c r="LY7" s="402">
        <f>-DevSpend!LY$35</f>
        <v/>
      </c>
      <c r="LZ7" s="402">
        <f>-DevSpend!LZ$35</f>
        <v/>
      </c>
      <c r="MA7" s="402">
        <f>-DevSpend!MA$35</f>
        <v/>
      </c>
      <c r="MB7" s="402">
        <f>-DevSpend!MB$35</f>
        <v/>
      </c>
      <c r="MC7" s="402">
        <f>-DevSpend!MC$35</f>
        <v/>
      </c>
      <c r="MD7" s="402">
        <f>-DevSpend!MD$35</f>
        <v/>
      </c>
      <c r="ME7" s="402">
        <f>-DevSpend!ME$35</f>
        <v/>
      </c>
      <c r="MF7" s="402">
        <f>-DevSpend!MF$35</f>
        <v/>
      </c>
      <c r="MG7" s="402">
        <f>-DevSpend!MG$35</f>
        <v/>
      </c>
      <c r="MH7" s="402">
        <f>-DevSpend!MH$35</f>
        <v/>
      </c>
      <c r="MI7" s="402">
        <f>-DevSpend!MI$35</f>
        <v/>
      </c>
      <c r="MJ7" s="402">
        <f>-DevSpend!MJ$35</f>
        <v/>
      </c>
      <c r="MK7" s="402">
        <f>-DevSpend!MK$35</f>
        <v/>
      </c>
      <c r="ML7" s="402">
        <f>-DevSpend!ML$35</f>
        <v/>
      </c>
      <c r="MM7" s="402">
        <f>-DevSpend!MM$35</f>
        <v/>
      </c>
      <c r="MN7" s="402">
        <f>-DevSpend!MN$35</f>
        <v/>
      </c>
      <c r="MO7" s="402">
        <f>-DevSpend!MO$35</f>
        <v/>
      </c>
      <c r="MP7" s="402">
        <f>-DevSpend!MP$35</f>
        <v/>
      </c>
      <c r="MQ7" s="402">
        <f>-DevSpend!MQ$35</f>
        <v/>
      </c>
      <c r="MR7" s="402">
        <f>-DevSpend!MR$35</f>
        <v/>
      </c>
      <c r="MS7" s="402">
        <f>-DevSpend!MS$35</f>
        <v/>
      </c>
      <c r="MT7" s="402">
        <f>-DevSpend!MT$35</f>
        <v/>
      </c>
      <c r="MU7" s="402">
        <f>-DevSpend!MU$35</f>
        <v/>
      </c>
      <c r="MV7" s="402">
        <f>-DevSpend!MV$35</f>
        <v/>
      </c>
      <c r="MW7" s="402">
        <f>-DevSpend!MW$35</f>
        <v/>
      </c>
      <c r="MX7" s="402">
        <f>-DevSpend!MX$35</f>
        <v/>
      </c>
      <c r="MY7" s="402">
        <f>-DevSpend!MY$35</f>
        <v/>
      </c>
      <c r="MZ7" s="402">
        <f>-DevSpend!MZ$35</f>
        <v/>
      </c>
      <c r="NA7" s="402">
        <f>-DevSpend!NA$35</f>
        <v/>
      </c>
      <c r="NB7" s="402">
        <f>-DevSpend!NB$35</f>
        <v/>
      </c>
      <c r="NC7" s="402">
        <f>-DevSpend!NC$35</f>
        <v/>
      </c>
      <c r="ND7" s="402">
        <f>-DevSpend!ND$35</f>
        <v/>
      </c>
      <c r="NE7" s="402">
        <f>-DevSpend!NE$35</f>
        <v/>
      </c>
      <c r="NF7" s="402">
        <f>-DevSpend!NF$35</f>
        <v/>
      </c>
      <c r="NG7" s="402">
        <f>-DevSpend!NG$35</f>
        <v/>
      </c>
      <c r="NH7" s="402">
        <f>-DevSpend!NH$35</f>
        <v/>
      </c>
      <c r="NI7" s="402">
        <f>-DevSpend!NI$35</f>
        <v/>
      </c>
      <c r="NJ7" s="402">
        <f>-DevSpend!NJ$35</f>
        <v/>
      </c>
      <c r="NK7" s="402">
        <f>-DevSpend!NK$35</f>
        <v/>
      </c>
      <c r="NL7" s="402">
        <f>-DevSpend!NL$35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-DevSpend!E$38</f>
        <v/>
      </c>
      <c r="F8" s="402">
        <f>-DevSpend!F$38</f>
        <v/>
      </c>
      <c r="G8" s="402">
        <f>-DevSpend!G$38</f>
        <v/>
      </c>
      <c r="H8" s="402">
        <f>-DevSpend!H$38</f>
        <v/>
      </c>
      <c r="I8" s="402">
        <f>-DevSpend!I$38</f>
        <v/>
      </c>
      <c r="J8" s="402">
        <f>-DevSpend!J$38</f>
        <v/>
      </c>
      <c r="K8" s="402">
        <f>-DevSpend!K$38</f>
        <v/>
      </c>
      <c r="L8" s="402">
        <f>-DevSpend!L$38</f>
        <v/>
      </c>
      <c r="M8" s="402">
        <f>-DevSpend!M$38</f>
        <v/>
      </c>
      <c r="N8" s="402">
        <f>-DevSpend!N$38</f>
        <v/>
      </c>
      <c r="O8" s="402">
        <f>-DevSpend!O$38</f>
        <v/>
      </c>
      <c r="P8" s="402">
        <f>-DevSpend!P$38</f>
        <v/>
      </c>
      <c r="Q8" s="402">
        <f>-DevSpend!Q$38</f>
        <v/>
      </c>
      <c r="R8" s="402">
        <f>-DevSpend!R$38</f>
        <v/>
      </c>
      <c r="S8" s="402">
        <f>-DevSpend!S$38</f>
        <v/>
      </c>
      <c r="T8" s="402">
        <f>-DevSpend!T$38</f>
        <v/>
      </c>
      <c r="U8" s="402">
        <f>-DevSpend!U$38</f>
        <v/>
      </c>
      <c r="V8" s="402">
        <f>-DevSpend!V$38</f>
        <v/>
      </c>
      <c r="W8" s="402">
        <f>-DevSpend!W$38</f>
        <v/>
      </c>
      <c r="X8" s="402">
        <f>-DevSpend!X$38</f>
        <v/>
      </c>
      <c r="Y8" s="402">
        <f>-DevSpend!Y$38</f>
        <v/>
      </c>
      <c r="Z8" s="402">
        <f>-DevSpend!Z$38</f>
        <v/>
      </c>
      <c r="AA8" s="402">
        <f>-DevSpend!AA$38</f>
        <v/>
      </c>
      <c r="AB8" s="402">
        <f>-DevSpend!AB$38</f>
        <v/>
      </c>
      <c r="AC8" s="402">
        <f>-DevSpend!AC$38</f>
        <v/>
      </c>
      <c r="AD8" s="402">
        <f>-DevSpend!AD$38</f>
        <v/>
      </c>
      <c r="AE8" s="402">
        <f>-DevSpend!AE$38</f>
        <v/>
      </c>
      <c r="AF8" s="402">
        <f>-DevSpend!AF$38</f>
        <v/>
      </c>
      <c r="AG8" s="402">
        <f>-DevSpend!AG$38</f>
        <v/>
      </c>
      <c r="AH8" s="402">
        <f>-DevSpend!AH$38</f>
        <v/>
      </c>
      <c r="AI8" s="402">
        <f>-DevSpend!AI$38</f>
        <v/>
      </c>
      <c r="AJ8" s="402">
        <f>-DevSpend!AJ$38</f>
        <v/>
      </c>
      <c r="AK8" s="402">
        <f>-DevSpend!AK$38</f>
        <v/>
      </c>
      <c r="AL8" s="402">
        <f>-DevSpend!AL$38</f>
        <v/>
      </c>
      <c r="AM8" s="402">
        <f>-DevSpend!AM$38</f>
        <v/>
      </c>
      <c r="AN8" s="402">
        <f>-DevSpend!AN$38</f>
        <v/>
      </c>
      <c r="AO8" s="402">
        <f>-DevSpend!AO$38</f>
        <v/>
      </c>
      <c r="AP8" s="402">
        <f>-DevSpend!AP$38</f>
        <v/>
      </c>
      <c r="AQ8" s="402">
        <f>-DevSpend!AQ$38</f>
        <v/>
      </c>
      <c r="AR8" s="402">
        <f>-DevSpend!AR$38</f>
        <v/>
      </c>
      <c r="AS8" s="402">
        <f>-DevSpend!AS$38</f>
        <v/>
      </c>
      <c r="AT8" s="402">
        <f>-DevSpend!AT$38</f>
        <v/>
      </c>
      <c r="AU8" s="402">
        <f>-DevSpend!AU$38</f>
        <v/>
      </c>
      <c r="AV8" s="402">
        <f>-DevSpend!AV$38</f>
        <v/>
      </c>
      <c r="AW8" s="402">
        <f>-DevSpend!AW$38</f>
        <v/>
      </c>
      <c r="AX8" s="402">
        <f>-DevSpend!AX$38</f>
        <v/>
      </c>
      <c r="AY8" s="402">
        <f>-DevSpend!AY$38</f>
        <v/>
      </c>
      <c r="AZ8" s="402">
        <f>-DevSpend!AZ$38</f>
        <v/>
      </c>
      <c r="BA8" s="402">
        <f>-DevSpend!BA$38</f>
        <v/>
      </c>
      <c r="BB8" s="402">
        <f>-DevSpend!BB$38</f>
        <v/>
      </c>
      <c r="BC8" s="402">
        <f>-DevSpend!BC$38</f>
        <v/>
      </c>
      <c r="BD8" s="402">
        <f>-DevSpend!BD$38</f>
        <v/>
      </c>
      <c r="BE8" s="402">
        <f>-DevSpend!BE$38</f>
        <v/>
      </c>
      <c r="BF8" s="402">
        <f>-DevSpend!BF$38</f>
        <v/>
      </c>
      <c r="BG8" s="402">
        <f>-DevSpend!BG$38</f>
        <v/>
      </c>
      <c r="BH8" s="402">
        <f>-DevSpend!BH$38</f>
        <v/>
      </c>
      <c r="BI8" s="402">
        <f>-DevSpend!BI$38</f>
        <v/>
      </c>
      <c r="BJ8" s="402">
        <f>-DevSpend!BJ$38</f>
        <v/>
      </c>
      <c r="BK8" s="402">
        <f>-DevSpend!BK$38</f>
        <v/>
      </c>
      <c r="BL8" s="402">
        <f>-DevSpend!BL$38</f>
        <v/>
      </c>
      <c r="BM8" s="402">
        <f>-DevSpend!BM$38</f>
        <v/>
      </c>
      <c r="BN8" s="402">
        <f>-DevSpend!BN$38</f>
        <v/>
      </c>
      <c r="BO8" s="402">
        <f>-DevSpend!BO$38</f>
        <v/>
      </c>
      <c r="BP8" s="402">
        <f>-DevSpend!BP$38</f>
        <v/>
      </c>
      <c r="BQ8" s="402">
        <f>-DevSpend!BQ$38</f>
        <v/>
      </c>
      <c r="BR8" s="402">
        <f>-DevSpend!BR$38</f>
        <v/>
      </c>
      <c r="BS8" s="402">
        <f>-DevSpend!BS$38</f>
        <v/>
      </c>
      <c r="BT8" s="402">
        <f>-DevSpend!BT$38</f>
        <v/>
      </c>
      <c r="BU8" s="402">
        <f>-DevSpend!BU$38</f>
        <v/>
      </c>
      <c r="BV8" s="402">
        <f>-DevSpend!BV$38</f>
        <v/>
      </c>
      <c r="BW8" s="402">
        <f>-DevSpend!BW$38</f>
        <v/>
      </c>
      <c r="BX8" s="402">
        <f>-DevSpend!BX$38</f>
        <v/>
      </c>
      <c r="BY8" s="402">
        <f>-DevSpend!BY$38</f>
        <v/>
      </c>
      <c r="BZ8" s="402">
        <f>-DevSpend!BZ$38</f>
        <v/>
      </c>
      <c r="CA8" s="402">
        <f>-DevSpend!CA$38</f>
        <v/>
      </c>
      <c r="CB8" s="402">
        <f>-DevSpend!CB$38</f>
        <v/>
      </c>
      <c r="CC8" s="402">
        <f>-DevSpend!CC$38</f>
        <v/>
      </c>
      <c r="CD8" s="402">
        <f>-DevSpend!CD$38</f>
        <v/>
      </c>
      <c r="CE8" s="402">
        <f>-DevSpend!CE$38</f>
        <v/>
      </c>
      <c r="CF8" s="402">
        <f>-DevSpend!CF$38</f>
        <v/>
      </c>
      <c r="CG8" s="402">
        <f>-DevSpend!CG$38</f>
        <v/>
      </c>
      <c r="CH8" s="402">
        <f>-DevSpend!CH$38</f>
        <v/>
      </c>
      <c r="CI8" s="402">
        <f>-DevSpend!CI$38</f>
        <v/>
      </c>
      <c r="CJ8" s="402">
        <f>-DevSpend!CJ$38</f>
        <v/>
      </c>
      <c r="CK8" s="402">
        <f>-DevSpend!CK$38</f>
        <v/>
      </c>
      <c r="CL8" s="402">
        <f>-DevSpend!CL$38</f>
        <v/>
      </c>
      <c r="CM8" s="402">
        <f>-DevSpend!CM$38</f>
        <v/>
      </c>
      <c r="CN8" s="402">
        <f>-DevSpend!CN$38</f>
        <v/>
      </c>
      <c r="CO8" s="402">
        <f>-DevSpend!CO$38</f>
        <v/>
      </c>
      <c r="CP8" s="402">
        <f>-DevSpend!CP$38</f>
        <v/>
      </c>
      <c r="CQ8" s="402">
        <f>-DevSpend!CQ$38</f>
        <v/>
      </c>
      <c r="CR8" s="402">
        <f>-DevSpend!CR$38</f>
        <v/>
      </c>
      <c r="CS8" s="402">
        <f>-DevSpend!CS$38</f>
        <v/>
      </c>
      <c r="CT8" s="402">
        <f>-DevSpend!CT$38</f>
        <v/>
      </c>
      <c r="CU8" s="402">
        <f>-DevSpend!CU$38</f>
        <v/>
      </c>
      <c r="CV8" s="402">
        <f>-DevSpend!CV$38</f>
        <v/>
      </c>
      <c r="CW8" s="402">
        <f>-DevSpend!CW$38</f>
        <v/>
      </c>
      <c r="CX8" s="402">
        <f>-DevSpend!CX$38</f>
        <v/>
      </c>
      <c r="CY8" s="402">
        <f>-DevSpend!CY$38</f>
        <v/>
      </c>
      <c r="CZ8" s="402">
        <f>-DevSpend!CZ$38</f>
        <v/>
      </c>
      <c r="DA8" s="402">
        <f>-DevSpend!DA$38</f>
        <v/>
      </c>
      <c r="DB8" s="402">
        <f>-DevSpend!DB$38</f>
        <v/>
      </c>
      <c r="DC8" s="402">
        <f>-DevSpend!DC$38</f>
        <v/>
      </c>
      <c r="DD8" s="402">
        <f>-DevSpend!DD$38</f>
        <v/>
      </c>
      <c r="DE8" s="402">
        <f>-DevSpend!DE$38</f>
        <v/>
      </c>
      <c r="DF8" s="402">
        <f>-DevSpend!DF$38</f>
        <v/>
      </c>
      <c r="DG8" s="402">
        <f>-DevSpend!DG$38</f>
        <v/>
      </c>
      <c r="DH8" s="402">
        <f>-DevSpend!DH$38</f>
        <v/>
      </c>
      <c r="DI8" s="402">
        <f>-DevSpend!DI$38</f>
        <v/>
      </c>
      <c r="DJ8" s="402">
        <f>-DevSpend!DJ$38</f>
        <v/>
      </c>
      <c r="DK8" s="402">
        <f>-DevSpend!DK$38</f>
        <v/>
      </c>
      <c r="DL8" s="402">
        <f>-DevSpend!DL$38</f>
        <v/>
      </c>
      <c r="DM8" s="402">
        <f>-DevSpend!DM$38</f>
        <v/>
      </c>
      <c r="DN8" s="402">
        <f>-DevSpend!DN$38</f>
        <v/>
      </c>
      <c r="DO8" s="402">
        <f>-DevSpend!DO$38</f>
        <v/>
      </c>
      <c r="DP8" s="402">
        <f>-DevSpend!DP$38</f>
        <v/>
      </c>
      <c r="DQ8" s="402">
        <f>-DevSpend!DQ$38</f>
        <v/>
      </c>
      <c r="DR8" s="402">
        <f>-DevSpend!DR$38</f>
        <v/>
      </c>
      <c r="DS8" s="402">
        <f>-DevSpend!DS$38</f>
        <v/>
      </c>
      <c r="DT8" s="402">
        <f>-DevSpend!DT$38</f>
        <v/>
      </c>
      <c r="DU8" s="402">
        <f>-DevSpend!DU$38</f>
        <v/>
      </c>
      <c r="DV8" s="402">
        <f>-DevSpend!DV$38</f>
        <v/>
      </c>
      <c r="DW8" s="402">
        <f>-DevSpend!DW$38</f>
        <v/>
      </c>
      <c r="DX8" s="402">
        <f>-DevSpend!DX$38</f>
        <v/>
      </c>
      <c r="DY8" s="402">
        <f>-DevSpend!DY$38</f>
        <v/>
      </c>
      <c r="DZ8" s="402">
        <f>-DevSpend!DZ$38</f>
        <v/>
      </c>
      <c r="EA8" s="402">
        <f>-DevSpend!EA$38</f>
        <v/>
      </c>
      <c r="EB8" s="402">
        <f>-DevSpend!EB$38</f>
        <v/>
      </c>
      <c r="EC8" s="402">
        <f>-DevSpend!EC$38</f>
        <v/>
      </c>
      <c r="ED8" s="402">
        <f>-DevSpend!ED$38</f>
        <v/>
      </c>
      <c r="EE8" s="402">
        <f>-DevSpend!EE$38</f>
        <v/>
      </c>
      <c r="EF8" s="402">
        <f>-DevSpend!EF$38</f>
        <v/>
      </c>
      <c r="EG8" s="402">
        <f>-DevSpend!EG$38</f>
        <v/>
      </c>
      <c r="EH8" s="402">
        <f>-DevSpend!EH$38</f>
        <v/>
      </c>
      <c r="EI8" s="402">
        <f>-DevSpend!EI$38</f>
        <v/>
      </c>
      <c r="EJ8" s="402">
        <f>-DevSpend!EJ$38</f>
        <v/>
      </c>
      <c r="EK8" s="402">
        <f>-DevSpend!EK$38</f>
        <v/>
      </c>
      <c r="EL8" s="402">
        <f>-DevSpend!EL$38</f>
        <v/>
      </c>
      <c r="EM8" s="402">
        <f>-DevSpend!EM$38</f>
        <v/>
      </c>
      <c r="EN8" s="402">
        <f>-DevSpend!EN$38</f>
        <v/>
      </c>
      <c r="EO8" s="402">
        <f>-DevSpend!EO$38</f>
        <v/>
      </c>
      <c r="EP8" s="402">
        <f>-DevSpend!EP$38</f>
        <v/>
      </c>
      <c r="EQ8" s="402">
        <f>-DevSpend!EQ$38</f>
        <v/>
      </c>
      <c r="ER8" s="402">
        <f>-DevSpend!ER$38</f>
        <v/>
      </c>
      <c r="ES8" s="402">
        <f>-DevSpend!ES$38</f>
        <v/>
      </c>
      <c r="ET8" s="402">
        <f>-DevSpend!ET$38</f>
        <v/>
      </c>
      <c r="EU8" s="402">
        <f>-DevSpend!EU$38</f>
        <v/>
      </c>
      <c r="EV8" s="402">
        <f>-DevSpend!EV$38</f>
        <v/>
      </c>
      <c r="EW8" s="402">
        <f>-DevSpend!EW$38</f>
        <v/>
      </c>
      <c r="EX8" s="402">
        <f>-DevSpend!EX$38</f>
        <v/>
      </c>
      <c r="EY8" s="402">
        <f>-DevSpend!EY$38</f>
        <v/>
      </c>
      <c r="EZ8" s="402">
        <f>-DevSpend!EZ$38</f>
        <v/>
      </c>
      <c r="FA8" s="402">
        <f>-DevSpend!FA$38</f>
        <v/>
      </c>
      <c r="FB8" s="402">
        <f>-DevSpend!FB$38</f>
        <v/>
      </c>
      <c r="FC8" s="402">
        <f>-DevSpend!FC$38</f>
        <v/>
      </c>
      <c r="FD8" s="402">
        <f>-DevSpend!FD$38</f>
        <v/>
      </c>
      <c r="FE8" s="402">
        <f>-DevSpend!FE$38</f>
        <v/>
      </c>
      <c r="FF8" s="402">
        <f>-DevSpend!FF$38</f>
        <v/>
      </c>
      <c r="FG8" s="402">
        <f>-DevSpend!FG$38</f>
        <v/>
      </c>
      <c r="FH8" s="402">
        <f>-DevSpend!FH$38</f>
        <v/>
      </c>
      <c r="FI8" s="402">
        <f>-DevSpend!FI$38</f>
        <v/>
      </c>
      <c r="FJ8" s="402">
        <f>-DevSpend!FJ$38</f>
        <v/>
      </c>
      <c r="FK8" s="402">
        <f>-DevSpend!FK$38</f>
        <v/>
      </c>
      <c r="FL8" s="402">
        <f>-DevSpend!FL$38</f>
        <v/>
      </c>
      <c r="FM8" s="402">
        <f>-DevSpend!FM$38</f>
        <v/>
      </c>
      <c r="FN8" s="402">
        <f>-DevSpend!FN$38</f>
        <v/>
      </c>
      <c r="FO8" s="402">
        <f>-DevSpend!FO$38</f>
        <v/>
      </c>
      <c r="FP8" s="402">
        <f>-DevSpend!FP$38</f>
        <v/>
      </c>
      <c r="FQ8" s="402">
        <f>-DevSpend!FQ$38</f>
        <v/>
      </c>
      <c r="FR8" s="402">
        <f>-DevSpend!FR$38</f>
        <v/>
      </c>
      <c r="FS8" s="402">
        <f>-DevSpend!FS$38</f>
        <v/>
      </c>
      <c r="FT8" s="402">
        <f>-DevSpend!FT$38</f>
        <v/>
      </c>
      <c r="FU8" s="402">
        <f>-DevSpend!FU$38</f>
        <v/>
      </c>
      <c r="FV8" s="402">
        <f>-DevSpend!FV$38</f>
        <v/>
      </c>
      <c r="FW8" s="402">
        <f>-DevSpend!FW$38</f>
        <v/>
      </c>
      <c r="FX8" s="402">
        <f>-DevSpend!FX$38</f>
        <v/>
      </c>
      <c r="FY8" s="402">
        <f>-DevSpend!FY$38</f>
        <v/>
      </c>
      <c r="FZ8" s="402">
        <f>-DevSpend!FZ$38</f>
        <v/>
      </c>
      <c r="GA8" s="402">
        <f>-DevSpend!GA$38</f>
        <v/>
      </c>
      <c r="GB8" s="402">
        <f>-DevSpend!GB$38</f>
        <v/>
      </c>
      <c r="GC8" s="402">
        <f>-DevSpend!GC$38</f>
        <v/>
      </c>
      <c r="GD8" s="402">
        <f>-DevSpend!GD$38</f>
        <v/>
      </c>
      <c r="GE8" s="402">
        <f>-DevSpend!GE$38</f>
        <v/>
      </c>
      <c r="GF8" s="402">
        <f>-DevSpend!GF$38</f>
        <v/>
      </c>
      <c r="GG8" s="402">
        <f>-DevSpend!GG$38</f>
        <v/>
      </c>
      <c r="GH8" s="402">
        <f>-DevSpend!GH$38</f>
        <v/>
      </c>
      <c r="GI8" s="402">
        <f>-DevSpend!GI$38</f>
        <v/>
      </c>
      <c r="GJ8" s="402">
        <f>-DevSpend!GJ$38</f>
        <v/>
      </c>
      <c r="GK8" s="402">
        <f>-DevSpend!GK$38</f>
        <v/>
      </c>
      <c r="GL8" s="402">
        <f>-DevSpend!GL$38</f>
        <v/>
      </c>
      <c r="GM8" s="402">
        <f>-DevSpend!GM$38</f>
        <v/>
      </c>
      <c r="GN8" s="402">
        <f>-DevSpend!GN$38</f>
        <v/>
      </c>
      <c r="GO8" s="402">
        <f>-DevSpend!GO$38</f>
        <v/>
      </c>
      <c r="GP8" s="402">
        <f>-DevSpend!GP$38</f>
        <v/>
      </c>
      <c r="GQ8" s="402">
        <f>-DevSpend!GQ$38</f>
        <v/>
      </c>
      <c r="GR8" s="402">
        <f>-DevSpend!GR$38</f>
        <v/>
      </c>
      <c r="GS8" s="402">
        <f>-DevSpend!GS$38</f>
        <v/>
      </c>
      <c r="GT8" s="402">
        <f>-DevSpend!GT$38</f>
        <v/>
      </c>
      <c r="GU8" s="402">
        <f>-DevSpend!GU$38</f>
        <v/>
      </c>
      <c r="GV8" s="402">
        <f>-DevSpend!GV$38</f>
        <v/>
      </c>
      <c r="GW8" s="402">
        <f>-DevSpend!GW$38</f>
        <v/>
      </c>
      <c r="GX8" s="402">
        <f>-DevSpend!GX$38</f>
        <v/>
      </c>
      <c r="GY8" s="402">
        <f>-DevSpend!GY$38</f>
        <v/>
      </c>
      <c r="GZ8" s="402">
        <f>-DevSpend!GZ$38</f>
        <v/>
      </c>
      <c r="HA8" s="402">
        <f>-DevSpend!HA$38</f>
        <v/>
      </c>
      <c r="HB8" s="402">
        <f>-DevSpend!HB$38</f>
        <v/>
      </c>
      <c r="HC8" s="402">
        <f>-DevSpend!HC$38</f>
        <v/>
      </c>
      <c r="HD8" s="402">
        <f>-DevSpend!HD$38</f>
        <v/>
      </c>
      <c r="HE8" s="402">
        <f>-DevSpend!HE$38</f>
        <v/>
      </c>
      <c r="HF8" s="402">
        <f>-DevSpend!HF$38</f>
        <v/>
      </c>
      <c r="HG8" s="402">
        <f>-DevSpend!HG$38</f>
        <v/>
      </c>
      <c r="HH8" s="402">
        <f>-DevSpend!HH$38</f>
        <v/>
      </c>
      <c r="HI8" s="402">
        <f>-DevSpend!HI$38</f>
        <v/>
      </c>
      <c r="HJ8" s="402">
        <f>-DevSpend!HJ$38</f>
        <v/>
      </c>
      <c r="HK8" s="402">
        <f>-DevSpend!HK$38</f>
        <v/>
      </c>
      <c r="HL8" s="402">
        <f>-DevSpend!HL$38</f>
        <v/>
      </c>
      <c r="HM8" s="402">
        <f>-DevSpend!HM$38</f>
        <v/>
      </c>
      <c r="HN8" s="402">
        <f>-DevSpend!HN$38</f>
        <v/>
      </c>
      <c r="HO8" s="402">
        <f>-DevSpend!HO$38</f>
        <v/>
      </c>
      <c r="HP8" s="402">
        <f>-DevSpend!HP$38</f>
        <v/>
      </c>
      <c r="HQ8" s="402">
        <f>-DevSpend!HQ$38</f>
        <v/>
      </c>
      <c r="HR8" s="402">
        <f>-DevSpend!HR$38</f>
        <v/>
      </c>
      <c r="HS8" s="402">
        <f>-DevSpend!HS$38</f>
        <v/>
      </c>
      <c r="HT8" s="402">
        <f>-DevSpend!HT$38</f>
        <v/>
      </c>
      <c r="HU8" s="402">
        <f>-DevSpend!HU$38</f>
        <v/>
      </c>
      <c r="HV8" s="402">
        <f>-DevSpend!HV$38</f>
        <v/>
      </c>
      <c r="HW8" s="402">
        <f>-DevSpend!HW$38</f>
        <v/>
      </c>
      <c r="HX8" s="402">
        <f>-DevSpend!HX$38</f>
        <v/>
      </c>
      <c r="HY8" s="402">
        <f>-DevSpend!HY$38</f>
        <v/>
      </c>
      <c r="HZ8" s="402">
        <f>-DevSpend!HZ$38</f>
        <v/>
      </c>
      <c r="IA8" s="402">
        <f>-DevSpend!IA$38</f>
        <v/>
      </c>
      <c r="IB8" s="402">
        <f>-DevSpend!IB$38</f>
        <v/>
      </c>
      <c r="IC8" s="402">
        <f>-DevSpend!IC$38</f>
        <v/>
      </c>
      <c r="ID8" s="402">
        <f>-DevSpend!ID$38</f>
        <v/>
      </c>
      <c r="IE8" s="402">
        <f>-DevSpend!IE$38</f>
        <v/>
      </c>
      <c r="IF8" s="402">
        <f>-DevSpend!IF$38</f>
        <v/>
      </c>
      <c r="IG8" s="402">
        <f>-DevSpend!IG$38</f>
        <v/>
      </c>
      <c r="IH8" s="402">
        <f>-DevSpend!IH$38</f>
        <v/>
      </c>
      <c r="II8" s="402">
        <f>-DevSpend!II$38</f>
        <v/>
      </c>
      <c r="IJ8" s="402">
        <f>-DevSpend!IJ$38</f>
        <v/>
      </c>
      <c r="IK8" s="402">
        <f>-DevSpend!IK$38</f>
        <v/>
      </c>
      <c r="IL8" s="402">
        <f>-DevSpend!IL$38</f>
        <v/>
      </c>
      <c r="IM8" s="402">
        <f>-DevSpend!IM$38</f>
        <v/>
      </c>
      <c r="IN8" s="402">
        <f>-DevSpend!IN$38</f>
        <v/>
      </c>
      <c r="IO8" s="402">
        <f>-DevSpend!IO$38</f>
        <v/>
      </c>
      <c r="IP8" s="402">
        <f>-DevSpend!IP$38</f>
        <v/>
      </c>
      <c r="IQ8" s="402">
        <f>-DevSpend!IQ$38</f>
        <v/>
      </c>
      <c r="IR8" s="402">
        <f>-DevSpend!IR$38</f>
        <v/>
      </c>
      <c r="IS8" s="402">
        <f>-DevSpend!IS$38</f>
        <v/>
      </c>
      <c r="IT8" s="402">
        <f>-DevSpend!IT$38</f>
        <v/>
      </c>
      <c r="IU8" s="402">
        <f>-DevSpend!IU$38</f>
        <v/>
      </c>
      <c r="IV8" s="402">
        <f>-DevSpend!IV$38</f>
        <v/>
      </c>
      <c r="IW8" s="402">
        <f>-DevSpend!IW$38</f>
        <v/>
      </c>
      <c r="IX8" s="402">
        <f>-DevSpend!IX$38</f>
        <v/>
      </c>
      <c r="IY8" s="402">
        <f>-DevSpend!IY$38</f>
        <v/>
      </c>
      <c r="IZ8" s="402">
        <f>-DevSpend!IZ$38</f>
        <v/>
      </c>
      <c r="JA8" s="402">
        <f>-DevSpend!JA$38</f>
        <v/>
      </c>
      <c r="JB8" s="402">
        <f>-DevSpend!JB$38</f>
        <v/>
      </c>
      <c r="JC8" s="402">
        <f>-DevSpend!JC$38</f>
        <v/>
      </c>
      <c r="JD8" s="402">
        <f>-DevSpend!JD$38</f>
        <v/>
      </c>
      <c r="JE8" s="402">
        <f>-DevSpend!JE$38</f>
        <v/>
      </c>
      <c r="JF8" s="402">
        <f>-DevSpend!JF$38</f>
        <v/>
      </c>
      <c r="JG8" s="402">
        <f>-DevSpend!JG$38</f>
        <v/>
      </c>
      <c r="JH8" s="402">
        <f>-DevSpend!JH$38</f>
        <v/>
      </c>
      <c r="JI8" s="402">
        <f>-DevSpend!JI$38</f>
        <v/>
      </c>
      <c r="JJ8" s="402">
        <f>-DevSpend!JJ$38</f>
        <v/>
      </c>
      <c r="JK8" s="402">
        <f>-DevSpend!JK$38</f>
        <v/>
      </c>
      <c r="JL8" s="402">
        <f>-DevSpend!JL$38</f>
        <v/>
      </c>
      <c r="JM8" s="402">
        <f>-DevSpend!JM$38</f>
        <v/>
      </c>
      <c r="JN8" s="402">
        <f>-DevSpend!JN$38</f>
        <v/>
      </c>
      <c r="JO8" s="402">
        <f>-DevSpend!JO$38</f>
        <v/>
      </c>
      <c r="JP8" s="402">
        <f>-DevSpend!JP$38</f>
        <v/>
      </c>
      <c r="JQ8" s="402">
        <f>-DevSpend!JQ$38</f>
        <v/>
      </c>
      <c r="JR8" s="402">
        <f>-DevSpend!JR$38</f>
        <v/>
      </c>
      <c r="JS8" s="402">
        <f>-DevSpend!JS$38</f>
        <v/>
      </c>
      <c r="JT8" s="402">
        <f>-DevSpend!JT$38</f>
        <v/>
      </c>
      <c r="JU8" s="402">
        <f>-DevSpend!JU$38</f>
        <v/>
      </c>
      <c r="JV8" s="402">
        <f>-DevSpend!JV$38</f>
        <v/>
      </c>
      <c r="JW8" s="402">
        <f>-DevSpend!JW$38</f>
        <v/>
      </c>
      <c r="JX8" s="402">
        <f>-DevSpend!JX$38</f>
        <v/>
      </c>
      <c r="JY8" s="402">
        <f>-DevSpend!JY$38</f>
        <v/>
      </c>
      <c r="JZ8" s="402">
        <f>-DevSpend!JZ$38</f>
        <v/>
      </c>
      <c r="KA8" s="402">
        <f>-DevSpend!KA$38</f>
        <v/>
      </c>
      <c r="KB8" s="402">
        <f>-DevSpend!KB$38</f>
        <v/>
      </c>
      <c r="KC8" s="402">
        <f>-DevSpend!KC$38</f>
        <v/>
      </c>
      <c r="KD8" s="402">
        <f>-DevSpend!KD$38</f>
        <v/>
      </c>
      <c r="KE8" s="402">
        <f>-DevSpend!KE$38</f>
        <v/>
      </c>
      <c r="KF8" s="402">
        <f>-DevSpend!KF$38</f>
        <v/>
      </c>
      <c r="KG8" s="402">
        <f>-DevSpend!KG$38</f>
        <v/>
      </c>
      <c r="KH8" s="402">
        <f>-DevSpend!KH$38</f>
        <v/>
      </c>
      <c r="KI8" s="402">
        <f>-DevSpend!KI$38</f>
        <v/>
      </c>
      <c r="KJ8" s="402">
        <f>-DevSpend!KJ$38</f>
        <v/>
      </c>
      <c r="KK8" s="402">
        <f>-DevSpend!KK$38</f>
        <v/>
      </c>
      <c r="KL8" s="402">
        <f>-DevSpend!KL$38</f>
        <v/>
      </c>
      <c r="KM8" s="402">
        <f>-DevSpend!KM$38</f>
        <v/>
      </c>
      <c r="KN8" s="402">
        <f>-DevSpend!KN$38</f>
        <v/>
      </c>
      <c r="KO8" s="402">
        <f>-DevSpend!KO$38</f>
        <v/>
      </c>
      <c r="KP8" s="402">
        <f>-DevSpend!KP$38</f>
        <v/>
      </c>
      <c r="KQ8" s="402">
        <f>-DevSpend!KQ$38</f>
        <v/>
      </c>
      <c r="KR8" s="402">
        <f>-DevSpend!KR$38</f>
        <v/>
      </c>
      <c r="KS8" s="402">
        <f>-DevSpend!KS$38</f>
        <v/>
      </c>
      <c r="KT8" s="402">
        <f>-DevSpend!KT$38</f>
        <v/>
      </c>
      <c r="KU8" s="402">
        <f>-DevSpend!KU$38</f>
        <v/>
      </c>
      <c r="KV8" s="402">
        <f>-DevSpend!KV$38</f>
        <v/>
      </c>
      <c r="KW8" s="402">
        <f>-DevSpend!KW$38</f>
        <v/>
      </c>
      <c r="KX8" s="402">
        <f>-DevSpend!KX$38</f>
        <v/>
      </c>
      <c r="KY8" s="402">
        <f>-DevSpend!KY$38</f>
        <v/>
      </c>
      <c r="KZ8" s="402">
        <f>-DevSpend!KZ$38</f>
        <v/>
      </c>
      <c r="LA8" s="402">
        <f>-DevSpend!LA$38</f>
        <v/>
      </c>
      <c r="LB8" s="402">
        <f>-DevSpend!LB$38</f>
        <v/>
      </c>
      <c r="LC8" s="402">
        <f>-DevSpend!LC$38</f>
        <v/>
      </c>
      <c r="LD8" s="402">
        <f>-DevSpend!LD$38</f>
        <v/>
      </c>
      <c r="LE8" s="402">
        <f>-DevSpend!LE$38</f>
        <v/>
      </c>
      <c r="LF8" s="402">
        <f>-DevSpend!LF$38</f>
        <v/>
      </c>
      <c r="LG8" s="402">
        <f>-DevSpend!LG$38</f>
        <v/>
      </c>
      <c r="LH8" s="402">
        <f>-DevSpend!LH$38</f>
        <v/>
      </c>
      <c r="LI8" s="402">
        <f>-DevSpend!LI$38</f>
        <v/>
      </c>
      <c r="LJ8" s="402">
        <f>-DevSpend!LJ$38</f>
        <v/>
      </c>
      <c r="LK8" s="402">
        <f>-DevSpend!LK$38</f>
        <v/>
      </c>
      <c r="LL8" s="402">
        <f>-DevSpend!LL$38</f>
        <v/>
      </c>
      <c r="LM8" s="402">
        <f>-DevSpend!LM$38</f>
        <v/>
      </c>
      <c r="LN8" s="402">
        <f>-DevSpend!LN$38</f>
        <v/>
      </c>
      <c r="LO8" s="402">
        <f>-DevSpend!LO$38</f>
        <v/>
      </c>
      <c r="LP8" s="402">
        <f>-DevSpend!LP$38</f>
        <v/>
      </c>
      <c r="LQ8" s="402">
        <f>-DevSpend!LQ$38</f>
        <v/>
      </c>
      <c r="LR8" s="402">
        <f>-DevSpend!LR$38</f>
        <v/>
      </c>
      <c r="LS8" s="402">
        <f>-DevSpend!LS$38</f>
        <v/>
      </c>
      <c r="LT8" s="402">
        <f>-DevSpend!LT$38</f>
        <v/>
      </c>
      <c r="LU8" s="402">
        <f>-DevSpend!LU$38</f>
        <v/>
      </c>
      <c r="LV8" s="402">
        <f>-DevSpend!LV$38</f>
        <v/>
      </c>
      <c r="LW8" s="402">
        <f>-DevSpend!LW$38</f>
        <v/>
      </c>
      <c r="LX8" s="402">
        <f>-DevSpend!LX$38</f>
        <v/>
      </c>
      <c r="LY8" s="402">
        <f>-DevSpend!LY$38</f>
        <v/>
      </c>
      <c r="LZ8" s="402">
        <f>-DevSpend!LZ$38</f>
        <v/>
      </c>
      <c r="MA8" s="402">
        <f>-DevSpend!MA$38</f>
        <v/>
      </c>
      <c r="MB8" s="402">
        <f>-DevSpend!MB$38</f>
        <v/>
      </c>
      <c r="MC8" s="402">
        <f>-DevSpend!MC$38</f>
        <v/>
      </c>
      <c r="MD8" s="402">
        <f>-DevSpend!MD$38</f>
        <v/>
      </c>
      <c r="ME8" s="402">
        <f>-DevSpend!ME$38</f>
        <v/>
      </c>
      <c r="MF8" s="402">
        <f>-DevSpend!MF$38</f>
        <v/>
      </c>
      <c r="MG8" s="402">
        <f>-DevSpend!MG$38</f>
        <v/>
      </c>
      <c r="MH8" s="402">
        <f>-DevSpend!MH$38</f>
        <v/>
      </c>
      <c r="MI8" s="402">
        <f>-DevSpend!MI$38</f>
        <v/>
      </c>
      <c r="MJ8" s="402">
        <f>-DevSpend!MJ$38</f>
        <v/>
      </c>
      <c r="MK8" s="402">
        <f>-DevSpend!MK$38</f>
        <v/>
      </c>
      <c r="ML8" s="402">
        <f>-DevSpend!ML$38</f>
        <v/>
      </c>
      <c r="MM8" s="402">
        <f>-DevSpend!MM$38</f>
        <v/>
      </c>
      <c r="MN8" s="402">
        <f>-DevSpend!MN$38</f>
        <v/>
      </c>
      <c r="MO8" s="402">
        <f>-DevSpend!MO$38</f>
        <v/>
      </c>
      <c r="MP8" s="402">
        <f>-DevSpend!MP$38</f>
        <v/>
      </c>
      <c r="MQ8" s="402">
        <f>-DevSpend!MQ$38</f>
        <v/>
      </c>
      <c r="MR8" s="402">
        <f>-DevSpend!MR$38</f>
        <v/>
      </c>
      <c r="MS8" s="402">
        <f>-DevSpend!MS$38</f>
        <v/>
      </c>
      <c r="MT8" s="402">
        <f>-DevSpend!MT$38</f>
        <v/>
      </c>
      <c r="MU8" s="402">
        <f>-DevSpend!MU$38</f>
        <v/>
      </c>
      <c r="MV8" s="402">
        <f>-DevSpend!MV$38</f>
        <v/>
      </c>
      <c r="MW8" s="402">
        <f>-DevSpend!MW$38</f>
        <v/>
      </c>
      <c r="MX8" s="402">
        <f>-DevSpend!MX$38</f>
        <v/>
      </c>
      <c r="MY8" s="402">
        <f>-DevSpend!MY$38</f>
        <v/>
      </c>
      <c r="MZ8" s="402">
        <f>-DevSpend!MZ$38</f>
        <v/>
      </c>
      <c r="NA8" s="402">
        <f>-DevSpend!NA$38</f>
        <v/>
      </c>
      <c r="NB8" s="402">
        <f>-DevSpend!NB$38</f>
        <v/>
      </c>
      <c r="NC8" s="402">
        <f>-DevSpend!NC$38</f>
        <v/>
      </c>
      <c r="ND8" s="402">
        <f>-DevSpend!ND$38</f>
        <v/>
      </c>
      <c r="NE8" s="402">
        <f>-DevSpend!NE$38</f>
        <v/>
      </c>
      <c r="NF8" s="402">
        <f>-DevSpend!NF$38</f>
        <v/>
      </c>
      <c r="NG8" s="402">
        <f>-DevSpend!NG$38</f>
        <v/>
      </c>
      <c r="NH8" s="402">
        <f>-DevSpend!NH$38</f>
        <v/>
      </c>
      <c r="NI8" s="402">
        <f>-DevSpend!NI$38</f>
        <v/>
      </c>
      <c r="NJ8" s="402">
        <f>-DevSpend!NJ$38</f>
        <v/>
      </c>
      <c r="NK8" s="402">
        <f>-DevSpend!NK$38</f>
        <v/>
      </c>
      <c r="NL8" s="402">
        <f>-DevSpend!NL$38</f>
        <v/>
      </c>
    </row>
    <row r="9">
      <c r="B9" s="330" t="inlineStr">
        <is>
          <t>Total Project Uses</t>
        </is>
      </c>
      <c r="D9" s="403">
        <f>SUM(E9:NL9)</f>
        <v/>
      </c>
      <c r="E9" s="407">
        <f>-(DevSpend!E$34+DevSpend!E$35+DevSpend!E$38)</f>
        <v/>
      </c>
      <c r="F9" s="407">
        <f>-(DevSpend!F$34+DevSpend!F$35+DevSpend!F$38)</f>
        <v/>
      </c>
      <c r="G9" s="407">
        <f>-(DevSpend!G$34+DevSpend!G$35+DevSpend!G$38)</f>
        <v/>
      </c>
      <c r="H9" s="407">
        <f>-(DevSpend!H$34+DevSpend!H$35+DevSpend!H$38)</f>
        <v/>
      </c>
      <c r="I9" s="407">
        <f>-(DevSpend!I$34+DevSpend!I$35+DevSpend!I$38)</f>
        <v/>
      </c>
      <c r="J9" s="407">
        <f>-(DevSpend!J$34+DevSpend!J$35+DevSpend!J$38)</f>
        <v/>
      </c>
      <c r="K9" s="407">
        <f>-(DevSpend!K$34+DevSpend!K$35+DevSpend!K$38)</f>
        <v/>
      </c>
      <c r="L9" s="407">
        <f>-(DevSpend!L$34+DevSpend!L$35+DevSpend!L$38)</f>
        <v/>
      </c>
      <c r="M9" s="407">
        <f>-(DevSpend!M$34+DevSpend!M$35+DevSpend!M$38)</f>
        <v/>
      </c>
      <c r="N9" s="407">
        <f>-(DevSpend!N$34+DevSpend!N$35+DevSpend!N$38)</f>
        <v/>
      </c>
      <c r="O9" s="407">
        <f>-(DevSpend!O$34+DevSpend!O$35+DevSpend!O$38)</f>
        <v/>
      </c>
      <c r="P9" s="407">
        <f>-(DevSpend!P$34+DevSpend!P$35+DevSpend!P$38)</f>
        <v/>
      </c>
      <c r="Q9" s="407">
        <f>-(DevSpend!Q$34+DevSpend!Q$35+DevSpend!Q$38)</f>
        <v/>
      </c>
      <c r="R9" s="407">
        <f>-(DevSpend!R$34+DevSpend!R$35+DevSpend!R$38)</f>
        <v/>
      </c>
      <c r="S9" s="407">
        <f>-(DevSpend!S$34+DevSpend!S$35+DevSpend!S$38)</f>
        <v/>
      </c>
      <c r="T9" s="407">
        <f>-(DevSpend!T$34+DevSpend!T$35+DevSpend!T$38)</f>
        <v/>
      </c>
      <c r="U9" s="407">
        <f>-(DevSpend!U$34+DevSpend!U$35+DevSpend!U$38)</f>
        <v/>
      </c>
      <c r="V9" s="407">
        <f>-(DevSpend!V$34+DevSpend!V$35+DevSpend!V$38)</f>
        <v/>
      </c>
      <c r="W9" s="407">
        <f>-(DevSpend!W$34+DevSpend!W$35+DevSpend!W$38)</f>
        <v/>
      </c>
      <c r="X9" s="407">
        <f>-(DevSpend!X$34+DevSpend!X$35+DevSpend!X$38)</f>
        <v/>
      </c>
      <c r="Y9" s="407">
        <f>-(DevSpend!Y$34+DevSpend!Y$35+DevSpend!Y$38)</f>
        <v/>
      </c>
      <c r="Z9" s="407">
        <f>-(DevSpend!Z$34+DevSpend!Z$35+DevSpend!Z$38)</f>
        <v/>
      </c>
      <c r="AA9" s="407">
        <f>-(DevSpend!AA$34+DevSpend!AA$35+DevSpend!AA$38)</f>
        <v/>
      </c>
      <c r="AB9" s="407">
        <f>-(DevSpend!AB$34+DevSpend!AB$35+DevSpend!AB$38)</f>
        <v/>
      </c>
      <c r="AC9" s="407">
        <f>-(DevSpend!AC$34+DevSpend!AC$35+DevSpend!AC$38)</f>
        <v/>
      </c>
      <c r="AD9" s="407">
        <f>-(DevSpend!AD$34+DevSpend!AD$35+DevSpend!AD$38)</f>
        <v/>
      </c>
      <c r="AE9" s="407">
        <f>-(DevSpend!AE$34+DevSpend!AE$35+DevSpend!AE$38)</f>
        <v/>
      </c>
      <c r="AF9" s="407">
        <f>-(DevSpend!AF$34+DevSpend!AF$35+DevSpend!AF$38)</f>
        <v/>
      </c>
      <c r="AG9" s="407">
        <f>-(DevSpend!AG$34+DevSpend!AG$35+DevSpend!AG$38)</f>
        <v/>
      </c>
      <c r="AH9" s="407">
        <f>-(DevSpend!AH$34+DevSpend!AH$35+DevSpend!AH$38)</f>
        <v/>
      </c>
      <c r="AI9" s="407">
        <f>-(DevSpend!AI$34+DevSpend!AI$35+DevSpend!AI$38)</f>
        <v/>
      </c>
      <c r="AJ9" s="407">
        <f>-(DevSpend!AJ$34+DevSpend!AJ$35+DevSpend!AJ$38)</f>
        <v/>
      </c>
      <c r="AK9" s="407">
        <f>-(DevSpend!AK$34+DevSpend!AK$35+DevSpend!AK$38)</f>
        <v/>
      </c>
      <c r="AL9" s="407">
        <f>-(DevSpend!AL$34+DevSpend!AL$35+DevSpend!AL$38)</f>
        <v/>
      </c>
      <c r="AM9" s="407">
        <f>-(DevSpend!AM$34+DevSpend!AM$35+DevSpend!AM$38)</f>
        <v/>
      </c>
      <c r="AN9" s="407">
        <f>-(DevSpend!AN$34+DevSpend!AN$35+DevSpend!AN$38)</f>
        <v/>
      </c>
      <c r="AO9" s="407">
        <f>-(DevSpend!AO$34+DevSpend!AO$35+DevSpend!AO$38)</f>
        <v/>
      </c>
      <c r="AP9" s="407">
        <f>-(DevSpend!AP$34+DevSpend!AP$35+DevSpend!AP$38)</f>
        <v/>
      </c>
      <c r="AQ9" s="407">
        <f>-(DevSpend!AQ$34+DevSpend!AQ$35+DevSpend!AQ$38)</f>
        <v/>
      </c>
      <c r="AR9" s="407">
        <f>-(DevSpend!AR$34+DevSpend!AR$35+DevSpend!AR$38)</f>
        <v/>
      </c>
      <c r="AS9" s="407">
        <f>-(DevSpend!AS$34+DevSpend!AS$35+DevSpend!AS$38)</f>
        <v/>
      </c>
      <c r="AT9" s="407">
        <f>-(DevSpend!AT$34+DevSpend!AT$35+DevSpend!AT$38)</f>
        <v/>
      </c>
      <c r="AU9" s="407">
        <f>-(DevSpend!AU$34+DevSpend!AU$35+DevSpend!AU$38)</f>
        <v/>
      </c>
      <c r="AV9" s="407">
        <f>-(DevSpend!AV$34+DevSpend!AV$35+DevSpend!AV$38)</f>
        <v/>
      </c>
      <c r="AW9" s="407">
        <f>-(DevSpend!AW$34+DevSpend!AW$35+DevSpend!AW$38)</f>
        <v/>
      </c>
      <c r="AX9" s="407">
        <f>-(DevSpend!AX$34+DevSpend!AX$35+DevSpend!AX$38)</f>
        <v/>
      </c>
      <c r="AY9" s="407">
        <f>-(DevSpend!AY$34+DevSpend!AY$35+DevSpend!AY$38)</f>
        <v/>
      </c>
      <c r="AZ9" s="407">
        <f>-(DevSpend!AZ$34+DevSpend!AZ$35+DevSpend!AZ$38)</f>
        <v/>
      </c>
      <c r="BA9" s="407">
        <f>-(DevSpend!BA$34+DevSpend!BA$35+DevSpend!BA$38)</f>
        <v/>
      </c>
      <c r="BB9" s="407">
        <f>-(DevSpend!BB$34+DevSpend!BB$35+DevSpend!BB$38)</f>
        <v/>
      </c>
      <c r="BC9" s="407">
        <f>-(DevSpend!BC$34+DevSpend!BC$35+DevSpend!BC$38)</f>
        <v/>
      </c>
      <c r="BD9" s="407">
        <f>-(DevSpend!BD$34+DevSpend!BD$35+DevSpend!BD$38)</f>
        <v/>
      </c>
      <c r="BE9" s="407">
        <f>-(DevSpend!BE$34+DevSpend!BE$35+DevSpend!BE$38)</f>
        <v/>
      </c>
      <c r="BF9" s="407">
        <f>-(DevSpend!BF$34+DevSpend!BF$35+DevSpend!BF$38)</f>
        <v/>
      </c>
      <c r="BG9" s="407">
        <f>-(DevSpend!BG$34+DevSpend!BG$35+DevSpend!BG$38)</f>
        <v/>
      </c>
      <c r="BH9" s="407">
        <f>-(DevSpend!BH$34+DevSpend!BH$35+DevSpend!BH$38)</f>
        <v/>
      </c>
      <c r="BI9" s="407">
        <f>-(DevSpend!BI$34+DevSpend!BI$35+DevSpend!BI$38)</f>
        <v/>
      </c>
      <c r="BJ9" s="407">
        <f>-(DevSpend!BJ$34+DevSpend!BJ$35+DevSpend!BJ$38)</f>
        <v/>
      </c>
      <c r="BK9" s="407">
        <f>-(DevSpend!BK$34+DevSpend!BK$35+DevSpend!BK$38)</f>
        <v/>
      </c>
      <c r="BL9" s="407">
        <f>-(DevSpend!BL$34+DevSpend!BL$35+DevSpend!BL$38)</f>
        <v/>
      </c>
      <c r="BM9" s="407">
        <f>-(DevSpend!BM$34+DevSpend!BM$35+DevSpend!BM$38)</f>
        <v/>
      </c>
      <c r="BN9" s="407">
        <f>-(DevSpend!BN$34+DevSpend!BN$35+DevSpend!BN$38)</f>
        <v/>
      </c>
      <c r="BO9" s="407">
        <f>-(DevSpend!BO$34+DevSpend!BO$35+DevSpend!BO$38)</f>
        <v/>
      </c>
      <c r="BP9" s="407">
        <f>-(DevSpend!BP$34+DevSpend!BP$35+DevSpend!BP$38)</f>
        <v/>
      </c>
      <c r="BQ9" s="407">
        <f>-(DevSpend!BQ$34+DevSpend!BQ$35+DevSpend!BQ$38)</f>
        <v/>
      </c>
      <c r="BR9" s="407">
        <f>-(DevSpend!BR$34+DevSpend!BR$35+DevSpend!BR$38)</f>
        <v/>
      </c>
      <c r="BS9" s="407">
        <f>-(DevSpend!BS$34+DevSpend!BS$35+DevSpend!BS$38)</f>
        <v/>
      </c>
      <c r="BT9" s="407">
        <f>-(DevSpend!BT$34+DevSpend!BT$35+DevSpend!BT$38)</f>
        <v/>
      </c>
      <c r="BU9" s="407">
        <f>-(DevSpend!BU$34+DevSpend!BU$35+DevSpend!BU$38)</f>
        <v/>
      </c>
      <c r="BV9" s="407">
        <f>-(DevSpend!BV$34+DevSpend!BV$35+DevSpend!BV$38)</f>
        <v/>
      </c>
      <c r="BW9" s="407">
        <f>-(DevSpend!BW$34+DevSpend!BW$35+DevSpend!BW$38)</f>
        <v/>
      </c>
      <c r="BX9" s="407">
        <f>-(DevSpend!BX$34+DevSpend!BX$35+DevSpend!BX$38)</f>
        <v/>
      </c>
      <c r="BY9" s="407">
        <f>-(DevSpend!BY$34+DevSpend!BY$35+DevSpend!BY$38)</f>
        <v/>
      </c>
      <c r="BZ9" s="407">
        <f>-(DevSpend!BZ$34+DevSpend!BZ$35+DevSpend!BZ$38)</f>
        <v/>
      </c>
      <c r="CA9" s="407">
        <f>-(DevSpend!CA$34+DevSpend!CA$35+DevSpend!CA$38)</f>
        <v/>
      </c>
      <c r="CB9" s="407">
        <f>-(DevSpend!CB$34+DevSpend!CB$35+DevSpend!CB$38)</f>
        <v/>
      </c>
      <c r="CC9" s="407">
        <f>-(DevSpend!CC$34+DevSpend!CC$35+DevSpend!CC$38)</f>
        <v/>
      </c>
      <c r="CD9" s="407">
        <f>-(DevSpend!CD$34+DevSpend!CD$35+DevSpend!CD$38)</f>
        <v/>
      </c>
      <c r="CE9" s="407">
        <f>-(DevSpend!CE$34+DevSpend!CE$35+DevSpend!CE$38)</f>
        <v/>
      </c>
      <c r="CF9" s="407">
        <f>-(DevSpend!CF$34+DevSpend!CF$35+DevSpend!CF$38)</f>
        <v/>
      </c>
      <c r="CG9" s="407">
        <f>-(DevSpend!CG$34+DevSpend!CG$35+DevSpend!CG$38)</f>
        <v/>
      </c>
      <c r="CH9" s="407">
        <f>-(DevSpend!CH$34+DevSpend!CH$35+DevSpend!CH$38)</f>
        <v/>
      </c>
      <c r="CI9" s="407">
        <f>-(DevSpend!CI$34+DevSpend!CI$35+DevSpend!CI$38)</f>
        <v/>
      </c>
      <c r="CJ9" s="407">
        <f>-(DevSpend!CJ$34+DevSpend!CJ$35+DevSpend!CJ$38)</f>
        <v/>
      </c>
      <c r="CK9" s="407">
        <f>-(DevSpend!CK$34+DevSpend!CK$35+DevSpend!CK$38)</f>
        <v/>
      </c>
      <c r="CL9" s="407">
        <f>-(DevSpend!CL$34+DevSpend!CL$35+DevSpend!CL$38)</f>
        <v/>
      </c>
      <c r="CM9" s="407">
        <f>-(DevSpend!CM$34+DevSpend!CM$35+DevSpend!CM$38)</f>
        <v/>
      </c>
      <c r="CN9" s="407">
        <f>-(DevSpend!CN$34+DevSpend!CN$35+DevSpend!CN$38)</f>
        <v/>
      </c>
      <c r="CO9" s="407">
        <f>-(DevSpend!CO$34+DevSpend!CO$35+DevSpend!CO$38)</f>
        <v/>
      </c>
      <c r="CP9" s="407">
        <f>-(DevSpend!CP$34+DevSpend!CP$35+DevSpend!CP$38)</f>
        <v/>
      </c>
      <c r="CQ9" s="407">
        <f>-(DevSpend!CQ$34+DevSpend!CQ$35+DevSpend!CQ$38)</f>
        <v/>
      </c>
      <c r="CR9" s="407">
        <f>-(DevSpend!CR$34+DevSpend!CR$35+DevSpend!CR$38)</f>
        <v/>
      </c>
      <c r="CS9" s="407">
        <f>-(DevSpend!CS$34+DevSpend!CS$35+DevSpend!CS$38)</f>
        <v/>
      </c>
      <c r="CT9" s="407">
        <f>-(DevSpend!CT$34+DevSpend!CT$35+DevSpend!CT$38)</f>
        <v/>
      </c>
      <c r="CU9" s="407">
        <f>-(DevSpend!CU$34+DevSpend!CU$35+DevSpend!CU$38)</f>
        <v/>
      </c>
      <c r="CV9" s="407">
        <f>-(DevSpend!CV$34+DevSpend!CV$35+DevSpend!CV$38)</f>
        <v/>
      </c>
      <c r="CW9" s="407">
        <f>-(DevSpend!CW$34+DevSpend!CW$35+DevSpend!CW$38)</f>
        <v/>
      </c>
      <c r="CX9" s="407">
        <f>-(DevSpend!CX$34+DevSpend!CX$35+DevSpend!CX$38)</f>
        <v/>
      </c>
      <c r="CY9" s="407">
        <f>-(DevSpend!CY$34+DevSpend!CY$35+DevSpend!CY$38)</f>
        <v/>
      </c>
      <c r="CZ9" s="407">
        <f>-(DevSpend!CZ$34+DevSpend!CZ$35+DevSpend!CZ$38)</f>
        <v/>
      </c>
      <c r="DA9" s="407">
        <f>-(DevSpend!DA$34+DevSpend!DA$35+DevSpend!DA$38)</f>
        <v/>
      </c>
      <c r="DB9" s="407">
        <f>-(DevSpend!DB$34+DevSpend!DB$35+DevSpend!DB$38)</f>
        <v/>
      </c>
      <c r="DC9" s="407">
        <f>-(DevSpend!DC$34+DevSpend!DC$35+DevSpend!DC$38)</f>
        <v/>
      </c>
      <c r="DD9" s="407">
        <f>-(DevSpend!DD$34+DevSpend!DD$35+DevSpend!DD$38)</f>
        <v/>
      </c>
      <c r="DE9" s="407">
        <f>-(DevSpend!DE$34+DevSpend!DE$35+DevSpend!DE$38)</f>
        <v/>
      </c>
      <c r="DF9" s="407">
        <f>-(DevSpend!DF$34+DevSpend!DF$35+DevSpend!DF$38)</f>
        <v/>
      </c>
      <c r="DG9" s="407">
        <f>-(DevSpend!DG$34+DevSpend!DG$35+DevSpend!DG$38)</f>
        <v/>
      </c>
      <c r="DH9" s="407">
        <f>-(DevSpend!DH$34+DevSpend!DH$35+DevSpend!DH$38)</f>
        <v/>
      </c>
      <c r="DI9" s="407">
        <f>-(DevSpend!DI$34+DevSpend!DI$35+DevSpend!DI$38)</f>
        <v/>
      </c>
      <c r="DJ9" s="407">
        <f>-(DevSpend!DJ$34+DevSpend!DJ$35+DevSpend!DJ$38)</f>
        <v/>
      </c>
      <c r="DK9" s="407">
        <f>-(DevSpend!DK$34+DevSpend!DK$35+DevSpend!DK$38)</f>
        <v/>
      </c>
      <c r="DL9" s="407">
        <f>-(DevSpend!DL$34+DevSpend!DL$35+DevSpend!DL$38)</f>
        <v/>
      </c>
      <c r="DM9" s="407">
        <f>-(DevSpend!DM$34+DevSpend!DM$35+DevSpend!DM$38)</f>
        <v/>
      </c>
      <c r="DN9" s="407">
        <f>-(DevSpend!DN$34+DevSpend!DN$35+DevSpend!DN$38)</f>
        <v/>
      </c>
      <c r="DO9" s="407">
        <f>-(DevSpend!DO$34+DevSpend!DO$35+DevSpend!DO$38)</f>
        <v/>
      </c>
      <c r="DP9" s="407">
        <f>-(DevSpend!DP$34+DevSpend!DP$35+DevSpend!DP$38)</f>
        <v/>
      </c>
      <c r="DQ9" s="407">
        <f>-(DevSpend!DQ$34+DevSpend!DQ$35+DevSpend!DQ$38)</f>
        <v/>
      </c>
      <c r="DR9" s="407">
        <f>-(DevSpend!DR$34+DevSpend!DR$35+DevSpend!DR$38)</f>
        <v/>
      </c>
      <c r="DS9" s="407">
        <f>-(DevSpend!DS$34+DevSpend!DS$35+DevSpend!DS$38)</f>
        <v/>
      </c>
      <c r="DT9" s="407">
        <f>-(DevSpend!DT$34+DevSpend!DT$35+DevSpend!DT$38)</f>
        <v/>
      </c>
      <c r="DU9" s="407">
        <f>-(DevSpend!DU$34+DevSpend!DU$35+DevSpend!DU$38)</f>
        <v/>
      </c>
      <c r="DV9" s="407">
        <f>-(DevSpend!DV$34+DevSpend!DV$35+DevSpend!DV$38)</f>
        <v/>
      </c>
      <c r="DW9" s="407">
        <f>-(DevSpend!DW$34+DevSpend!DW$35+DevSpend!DW$38)</f>
        <v/>
      </c>
      <c r="DX9" s="407">
        <f>-(DevSpend!DX$34+DevSpend!DX$35+DevSpend!DX$38)</f>
        <v/>
      </c>
      <c r="DY9" s="407">
        <f>-(DevSpend!DY$34+DevSpend!DY$35+DevSpend!DY$38)</f>
        <v/>
      </c>
      <c r="DZ9" s="407">
        <f>-(DevSpend!DZ$34+DevSpend!DZ$35+DevSpend!DZ$38)</f>
        <v/>
      </c>
      <c r="EA9" s="407">
        <f>-(DevSpend!EA$34+DevSpend!EA$35+DevSpend!EA$38)</f>
        <v/>
      </c>
      <c r="EB9" s="407">
        <f>-(DevSpend!EB$34+DevSpend!EB$35+DevSpend!EB$38)</f>
        <v/>
      </c>
      <c r="EC9" s="407">
        <f>-(DevSpend!EC$34+DevSpend!EC$35+DevSpend!EC$38)</f>
        <v/>
      </c>
      <c r="ED9" s="407">
        <f>-(DevSpend!ED$34+DevSpend!ED$35+DevSpend!ED$38)</f>
        <v/>
      </c>
      <c r="EE9" s="407">
        <f>-(DevSpend!EE$34+DevSpend!EE$35+DevSpend!EE$38)</f>
        <v/>
      </c>
      <c r="EF9" s="407">
        <f>-(DevSpend!EF$34+DevSpend!EF$35+DevSpend!EF$38)</f>
        <v/>
      </c>
      <c r="EG9" s="407">
        <f>-(DevSpend!EG$34+DevSpend!EG$35+DevSpend!EG$38)</f>
        <v/>
      </c>
      <c r="EH9" s="407">
        <f>-(DevSpend!EH$34+DevSpend!EH$35+DevSpend!EH$38)</f>
        <v/>
      </c>
      <c r="EI9" s="407">
        <f>-(DevSpend!EI$34+DevSpend!EI$35+DevSpend!EI$38)</f>
        <v/>
      </c>
      <c r="EJ9" s="407">
        <f>-(DevSpend!EJ$34+DevSpend!EJ$35+DevSpend!EJ$38)</f>
        <v/>
      </c>
      <c r="EK9" s="407">
        <f>-(DevSpend!EK$34+DevSpend!EK$35+DevSpend!EK$38)</f>
        <v/>
      </c>
      <c r="EL9" s="407">
        <f>-(DevSpend!EL$34+DevSpend!EL$35+DevSpend!EL$38)</f>
        <v/>
      </c>
      <c r="EM9" s="407">
        <f>-(DevSpend!EM$34+DevSpend!EM$35+DevSpend!EM$38)</f>
        <v/>
      </c>
      <c r="EN9" s="407">
        <f>-(DevSpend!EN$34+DevSpend!EN$35+DevSpend!EN$38)</f>
        <v/>
      </c>
      <c r="EO9" s="407">
        <f>-(DevSpend!EO$34+DevSpend!EO$35+DevSpend!EO$38)</f>
        <v/>
      </c>
      <c r="EP9" s="407">
        <f>-(DevSpend!EP$34+DevSpend!EP$35+DevSpend!EP$38)</f>
        <v/>
      </c>
      <c r="EQ9" s="407">
        <f>-(DevSpend!EQ$34+DevSpend!EQ$35+DevSpend!EQ$38)</f>
        <v/>
      </c>
      <c r="ER9" s="407">
        <f>-(DevSpend!ER$34+DevSpend!ER$35+DevSpend!ER$38)</f>
        <v/>
      </c>
      <c r="ES9" s="407">
        <f>-(DevSpend!ES$34+DevSpend!ES$35+DevSpend!ES$38)</f>
        <v/>
      </c>
      <c r="ET9" s="407">
        <f>-(DevSpend!ET$34+DevSpend!ET$35+DevSpend!ET$38)</f>
        <v/>
      </c>
      <c r="EU9" s="407">
        <f>-(DevSpend!EU$34+DevSpend!EU$35+DevSpend!EU$38)</f>
        <v/>
      </c>
      <c r="EV9" s="407">
        <f>-(DevSpend!EV$34+DevSpend!EV$35+DevSpend!EV$38)</f>
        <v/>
      </c>
      <c r="EW9" s="407">
        <f>-(DevSpend!EW$34+DevSpend!EW$35+DevSpend!EW$38)</f>
        <v/>
      </c>
      <c r="EX9" s="407">
        <f>-(DevSpend!EX$34+DevSpend!EX$35+DevSpend!EX$38)</f>
        <v/>
      </c>
      <c r="EY9" s="407">
        <f>-(DevSpend!EY$34+DevSpend!EY$35+DevSpend!EY$38)</f>
        <v/>
      </c>
      <c r="EZ9" s="407">
        <f>-(DevSpend!EZ$34+DevSpend!EZ$35+DevSpend!EZ$38)</f>
        <v/>
      </c>
      <c r="FA9" s="407">
        <f>-(DevSpend!FA$34+DevSpend!FA$35+DevSpend!FA$38)</f>
        <v/>
      </c>
      <c r="FB9" s="407">
        <f>-(DevSpend!FB$34+DevSpend!FB$35+DevSpend!FB$38)</f>
        <v/>
      </c>
      <c r="FC9" s="407">
        <f>-(DevSpend!FC$34+DevSpend!FC$35+DevSpend!FC$38)</f>
        <v/>
      </c>
      <c r="FD9" s="407">
        <f>-(DevSpend!FD$34+DevSpend!FD$35+DevSpend!FD$38)</f>
        <v/>
      </c>
      <c r="FE9" s="407">
        <f>-(DevSpend!FE$34+DevSpend!FE$35+DevSpend!FE$38)</f>
        <v/>
      </c>
      <c r="FF9" s="407">
        <f>-(DevSpend!FF$34+DevSpend!FF$35+DevSpend!FF$38)</f>
        <v/>
      </c>
      <c r="FG9" s="407">
        <f>-(DevSpend!FG$34+DevSpend!FG$35+DevSpend!FG$38)</f>
        <v/>
      </c>
      <c r="FH9" s="407">
        <f>-(DevSpend!FH$34+DevSpend!FH$35+DevSpend!FH$38)</f>
        <v/>
      </c>
      <c r="FI9" s="407">
        <f>-(DevSpend!FI$34+DevSpend!FI$35+DevSpend!FI$38)</f>
        <v/>
      </c>
      <c r="FJ9" s="407">
        <f>-(DevSpend!FJ$34+DevSpend!FJ$35+DevSpend!FJ$38)</f>
        <v/>
      </c>
      <c r="FK9" s="407">
        <f>-(DevSpend!FK$34+DevSpend!FK$35+DevSpend!FK$38)</f>
        <v/>
      </c>
      <c r="FL9" s="407">
        <f>-(DevSpend!FL$34+DevSpend!FL$35+DevSpend!FL$38)</f>
        <v/>
      </c>
      <c r="FM9" s="407">
        <f>-(DevSpend!FM$34+DevSpend!FM$35+DevSpend!FM$38)</f>
        <v/>
      </c>
      <c r="FN9" s="407">
        <f>-(DevSpend!FN$34+DevSpend!FN$35+DevSpend!FN$38)</f>
        <v/>
      </c>
      <c r="FO9" s="407">
        <f>-(DevSpend!FO$34+DevSpend!FO$35+DevSpend!FO$38)</f>
        <v/>
      </c>
      <c r="FP9" s="407">
        <f>-(DevSpend!FP$34+DevSpend!FP$35+DevSpend!FP$38)</f>
        <v/>
      </c>
      <c r="FQ9" s="407">
        <f>-(DevSpend!FQ$34+DevSpend!FQ$35+DevSpend!FQ$38)</f>
        <v/>
      </c>
      <c r="FR9" s="407">
        <f>-(DevSpend!FR$34+DevSpend!FR$35+DevSpend!FR$38)</f>
        <v/>
      </c>
      <c r="FS9" s="407">
        <f>-(DevSpend!FS$34+DevSpend!FS$35+DevSpend!FS$38)</f>
        <v/>
      </c>
      <c r="FT9" s="407">
        <f>-(DevSpend!FT$34+DevSpend!FT$35+DevSpend!FT$38)</f>
        <v/>
      </c>
      <c r="FU9" s="407">
        <f>-(DevSpend!FU$34+DevSpend!FU$35+DevSpend!FU$38)</f>
        <v/>
      </c>
      <c r="FV9" s="407">
        <f>-(DevSpend!FV$34+DevSpend!FV$35+DevSpend!FV$38)</f>
        <v/>
      </c>
      <c r="FW9" s="407">
        <f>-(DevSpend!FW$34+DevSpend!FW$35+DevSpend!FW$38)</f>
        <v/>
      </c>
      <c r="FX9" s="407">
        <f>-(DevSpend!FX$34+DevSpend!FX$35+DevSpend!FX$38)</f>
        <v/>
      </c>
      <c r="FY9" s="407">
        <f>-(DevSpend!FY$34+DevSpend!FY$35+DevSpend!FY$38)</f>
        <v/>
      </c>
      <c r="FZ9" s="407">
        <f>-(DevSpend!FZ$34+DevSpend!FZ$35+DevSpend!FZ$38)</f>
        <v/>
      </c>
      <c r="GA9" s="407">
        <f>-(DevSpend!GA$34+DevSpend!GA$35+DevSpend!GA$38)</f>
        <v/>
      </c>
      <c r="GB9" s="407">
        <f>-(DevSpend!GB$34+DevSpend!GB$35+DevSpend!GB$38)</f>
        <v/>
      </c>
      <c r="GC9" s="407">
        <f>-(DevSpend!GC$34+DevSpend!GC$35+DevSpend!GC$38)</f>
        <v/>
      </c>
      <c r="GD9" s="407">
        <f>-(DevSpend!GD$34+DevSpend!GD$35+DevSpend!GD$38)</f>
        <v/>
      </c>
      <c r="GE9" s="407">
        <f>-(DevSpend!GE$34+DevSpend!GE$35+DevSpend!GE$38)</f>
        <v/>
      </c>
      <c r="GF9" s="407">
        <f>-(DevSpend!GF$34+DevSpend!GF$35+DevSpend!GF$38)</f>
        <v/>
      </c>
      <c r="GG9" s="407">
        <f>-(DevSpend!GG$34+DevSpend!GG$35+DevSpend!GG$38)</f>
        <v/>
      </c>
      <c r="GH9" s="407">
        <f>-(DevSpend!GH$34+DevSpend!GH$35+DevSpend!GH$38)</f>
        <v/>
      </c>
      <c r="GI9" s="407">
        <f>-(DevSpend!GI$34+DevSpend!GI$35+DevSpend!GI$38)</f>
        <v/>
      </c>
      <c r="GJ9" s="407">
        <f>-(DevSpend!GJ$34+DevSpend!GJ$35+DevSpend!GJ$38)</f>
        <v/>
      </c>
      <c r="GK9" s="407">
        <f>-(DevSpend!GK$34+DevSpend!GK$35+DevSpend!GK$38)</f>
        <v/>
      </c>
      <c r="GL9" s="407">
        <f>-(DevSpend!GL$34+DevSpend!GL$35+DevSpend!GL$38)</f>
        <v/>
      </c>
      <c r="GM9" s="407">
        <f>-(DevSpend!GM$34+DevSpend!GM$35+DevSpend!GM$38)</f>
        <v/>
      </c>
      <c r="GN9" s="407">
        <f>-(DevSpend!GN$34+DevSpend!GN$35+DevSpend!GN$38)</f>
        <v/>
      </c>
      <c r="GO9" s="407">
        <f>-(DevSpend!GO$34+DevSpend!GO$35+DevSpend!GO$38)</f>
        <v/>
      </c>
      <c r="GP9" s="407">
        <f>-(DevSpend!GP$34+DevSpend!GP$35+DevSpend!GP$38)</f>
        <v/>
      </c>
      <c r="GQ9" s="407">
        <f>-(DevSpend!GQ$34+DevSpend!GQ$35+DevSpend!GQ$38)</f>
        <v/>
      </c>
      <c r="GR9" s="407">
        <f>-(DevSpend!GR$34+DevSpend!GR$35+DevSpend!GR$38)</f>
        <v/>
      </c>
      <c r="GS9" s="407">
        <f>-(DevSpend!GS$34+DevSpend!GS$35+DevSpend!GS$38)</f>
        <v/>
      </c>
      <c r="GT9" s="407">
        <f>-(DevSpend!GT$34+DevSpend!GT$35+DevSpend!GT$38)</f>
        <v/>
      </c>
      <c r="GU9" s="407">
        <f>-(DevSpend!GU$34+DevSpend!GU$35+DevSpend!GU$38)</f>
        <v/>
      </c>
      <c r="GV9" s="407">
        <f>-(DevSpend!GV$34+DevSpend!GV$35+DevSpend!GV$38)</f>
        <v/>
      </c>
      <c r="GW9" s="407">
        <f>-(DevSpend!GW$34+DevSpend!GW$35+DevSpend!GW$38)</f>
        <v/>
      </c>
      <c r="GX9" s="407">
        <f>-(DevSpend!GX$34+DevSpend!GX$35+DevSpend!GX$38)</f>
        <v/>
      </c>
      <c r="GY9" s="407">
        <f>-(DevSpend!GY$34+DevSpend!GY$35+DevSpend!GY$38)</f>
        <v/>
      </c>
      <c r="GZ9" s="407">
        <f>-(DevSpend!GZ$34+DevSpend!GZ$35+DevSpend!GZ$38)</f>
        <v/>
      </c>
      <c r="HA9" s="407">
        <f>-(DevSpend!HA$34+DevSpend!HA$35+DevSpend!HA$38)</f>
        <v/>
      </c>
      <c r="HB9" s="407">
        <f>-(DevSpend!HB$34+DevSpend!HB$35+DevSpend!HB$38)</f>
        <v/>
      </c>
      <c r="HC9" s="407">
        <f>-(DevSpend!HC$34+DevSpend!HC$35+DevSpend!HC$38)</f>
        <v/>
      </c>
      <c r="HD9" s="407">
        <f>-(DevSpend!HD$34+DevSpend!HD$35+DevSpend!HD$38)</f>
        <v/>
      </c>
      <c r="HE9" s="407">
        <f>-(DevSpend!HE$34+DevSpend!HE$35+DevSpend!HE$38)</f>
        <v/>
      </c>
      <c r="HF9" s="407">
        <f>-(DevSpend!HF$34+DevSpend!HF$35+DevSpend!HF$38)</f>
        <v/>
      </c>
      <c r="HG9" s="407">
        <f>-(DevSpend!HG$34+DevSpend!HG$35+DevSpend!HG$38)</f>
        <v/>
      </c>
      <c r="HH9" s="407">
        <f>-(DevSpend!HH$34+DevSpend!HH$35+DevSpend!HH$38)</f>
        <v/>
      </c>
      <c r="HI9" s="407">
        <f>-(DevSpend!HI$34+DevSpend!HI$35+DevSpend!HI$38)</f>
        <v/>
      </c>
      <c r="HJ9" s="407">
        <f>-(DevSpend!HJ$34+DevSpend!HJ$35+DevSpend!HJ$38)</f>
        <v/>
      </c>
      <c r="HK9" s="407">
        <f>-(DevSpend!HK$34+DevSpend!HK$35+DevSpend!HK$38)</f>
        <v/>
      </c>
      <c r="HL9" s="407">
        <f>-(DevSpend!HL$34+DevSpend!HL$35+DevSpend!HL$38)</f>
        <v/>
      </c>
      <c r="HM9" s="407">
        <f>-(DevSpend!HM$34+DevSpend!HM$35+DevSpend!HM$38)</f>
        <v/>
      </c>
      <c r="HN9" s="407">
        <f>-(DevSpend!HN$34+DevSpend!HN$35+DevSpend!HN$38)</f>
        <v/>
      </c>
      <c r="HO9" s="407">
        <f>-(DevSpend!HO$34+DevSpend!HO$35+DevSpend!HO$38)</f>
        <v/>
      </c>
      <c r="HP9" s="407">
        <f>-(DevSpend!HP$34+DevSpend!HP$35+DevSpend!HP$38)</f>
        <v/>
      </c>
      <c r="HQ9" s="407">
        <f>-(DevSpend!HQ$34+DevSpend!HQ$35+DevSpend!HQ$38)</f>
        <v/>
      </c>
      <c r="HR9" s="407">
        <f>-(DevSpend!HR$34+DevSpend!HR$35+DevSpend!HR$38)</f>
        <v/>
      </c>
      <c r="HS9" s="407">
        <f>-(DevSpend!HS$34+DevSpend!HS$35+DevSpend!HS$38)</f>
        <v/>
      </c>
      <c r="HT9" s="407">
        <f>-(DevSpend!HT$34+DevSpend!HT$35+DevSpend!HT$38)</f>
        <v/>
      </c>
      <c r="HU9" s="407">
        <f>-(DevSpend!HU$34+DevSpend!HU$35+DevSpend!HU$38)</f>
        <v/>
      </c>
      <c r="HV9" s="407">
        <f>-(DevSpend!HV$34+DevSpend!HV$35+DevSpend!HV$38)</f>
        <v/>
      </c>
      <c r="HW9" s="407">
        <f>-(DevSpend!HW$34+DevSpend!HW$35+DevSpend!HW$38)</f>
        <v/>
      </c>
      <c r="HX9" s="407">
        <f>-(DevSpend!HX$34+DevSpend!HX$35+DevSpend!HX$38)</f>
        <v/>
      </c>
      <c r="HY9" s="407">
        <f>-(DevSpend!HY$34+DevSpend!HY$35+DevSpend!HY$38)</f>
        <v/>
      </c>
      <c r="HZ9" s="407">
        <f>-(DevSpend!HZ$34+DevSpend!HZ$35+DevSpend!HZ$38)</f>
        <v/>
      </c>
      <c r="IA9" s="407">
        <f>-(DevSpend!IA$34+DevSpend!IA$35+DevSpend!IA$38)</f>
        <v/>
      </c>
      <c r="IB9" s="407">
        <f>-(DevSpend!IB$34+DevSpend!IB$35+DevSpend!IB$38)</f>
        <v/>
      </c>
      <c r="IC9" s="407">
        <f>-(DevSpend!IC$34+DevSpend!IC$35+DevSpend!IC$38)</f>
        <v/>
      </c>
      <c r="ID9" s="407">
        <f>-(DevSpend!ID$34+DevSpend!ID$35+DevSpend!ID$38)</f>
        <v/>
      </c>
      <c r="IE9" s="407">
        <f>-(DevSpend!IE$34+DevSpend!IE$35+DevSpend!IE$38)</f>
        <v/>
      </c>
      <c r="IF9" s="407">
        <f>-(DevSpend!IF$34+DevSpend!IF$35+DevSpend!IF$38)</f>
        <v/>
      </c>
      <c r="IG9" s="407">
        <f>-(DevSpend!IG$34+DevSpend!IG$35+DevSpend!IG$38)</f>
        <v/>
      </c>
      <c r="IH9" s="407">
        <f>-(DevSpend!IH$34+DevSpend!IH$35+DevSpend!IH$38)</f>
        <v/>
      </c>
      <c r="II9" s="407">
        <f>-(DevSpend!II$34+DevSpend!II$35+DevSpend!II$38)</f>
        <v/>
      </c>
      <c r="IJ9" s="407">
        <f>-(DevSpend!IJ$34+DevSpend!IJ$35+DevSpend!IJ$38)</f>
        <v/>
      </c>
      <c r="IK9" s="407">
        <f>-(DevSpend!IK$34+DevSpend!IK$35+DevSpend!IK$38)</f>
        <v/>
      </c>
      <c r="IL9" s="407">
        <f>-(DevSpend!IL$34+DevSpend!IL$35+DevSpend!IL$38)</f>
        <v/>
      </c>
      <c r="IM9" s="407">
        <f>-(DevSpend!IM$34+DevSpend!IM$35+DevSpend!IM$38)</f>
        <v/>
      </c>
      <c r="IN9" s="407">
        <f>-(DevSpend!IN$34+DevSpend!IN$35+DevSpend!IN$38)</f>
        <v/>
      </c>
      <c r="IO9" s="407">
        <f>-(DevSpend!IO$34+DevSpend!IO$35+DevSpend!IO$38)</f>
        <v/>
      </c>
      <c r="IP9" s="407">
        <f>-(DevSpend!IP$34+DevSpend!IP$35+DevSpend!IP$38)</f>
        <v/>
      </c>
      <c r="IQ9" s="407">
        <f>-(DevSpend!IQ$34+DevSpend!IQ$35+DevSpend!IQ$38)</f>
        <v/>
      </c>
      <c r="IR9" s="407">
        <f>-(DevSpend!IR$34+DevSpend!IR$35+DevSpend!IR$38)</f>
        <v/>
      </c>
      <c r="IS9" s="407">
        <f>-(DevSpend!IS$34+DevSpend!IS$35+DevSpend!IS$38)</f>
        <v/>
      </c>
      <c r="IT9" s="407">
        <f>-(DevSpend!IT$34+DevSpend!IT$35+DevSpend!IT$38)</f>
        <v/>
      </c>
      <c r="IU9" s="407">
        <f>-(DevSpend!IU$34+DevSpend!IU$35+DevSpend!IU$38)</f>
        <v/>
      </c>
      <c r="IV9" s="407">
        <f>-(DevSpend!IV$34+DevSpend!IV$35+DevSpend!IV$38)</f>
        <v/>
      </c>
      <c r="IW9" s="407">
        <f>-(DevSpend!IW$34+DevSpend!IW$35+DevSpend!IW$38)</f>
        <v/>
      </c>
      <c r="IX9" s="407">
        <f>-(DevSpend!IX$34+DevSpend!IX$35+DevSpend!IX$38)</f>
        <v/>
      </c>
      <c r="IY9" s="407">
        <f>-(DevSpend!IY$34+DevSpend!IY$35+DevSpend!IY$38)</f>
        <v/>
      </c>
      <c r="IZ9" s="407">
        <f>-(DevSpend!IZ$34+DevSpend!IZ$35+DevSpend!IZ$38)</f>
        <v/>
      </c>
      <c r="JA9" s="407">
        <f>-(DevSpend!JA$34+DevSpend!JA$35+DevSpend!JA$38)</f>
        <v/>
      </c>
      <c r="JB9" s="407">
        <f>-(DevSpend!JB$34+DevSpend!JB$35+DevSpend!JB$38)</f>
        <v/>
      </c>
      <c r="JC9" s="407">
        <f>-(DevSpend!JC$34+DevSpend!JC$35+DevSpend!JC$38)</f>
        <v/>
      </c>
      <c r="JD9" s="407">
        <f>-(DevSpend!JD$34+DevSpend!JD$35+DevSpend!JD$38)</f>
        <v/>
      </c>
      <c r="JE9" s="407">
        <f>-(DevSpend!JE$34+DevSpend!JE$35+DevSpend!JE$38)</f>
        <v/>
      </c>
      <c r="JF9" s="407">
        <f>-(DevSpend!JF$34+DevSpend!JF$35+DevSpend!JF$38)</f>
        <v/>
      </c>
      <c r="JG9" s="407">
        <f>-(DevSpend!JG$34+DevSpend!JG$35+DevSpend!JG$38)</f>
        <v/>
      </c>
      <c r="JH9" s="407">
        <f>-(DevSpend!JH$34+DevSpend!JH$35+DevSpend!JH$38)</f>
        <v/>
      </c>
      <c r="JI9" s="407">
        <f>-(DevSpend!JI$34+DevSpend!JI$35+DevSpend!JI$38)</f>
        <v/>
      </c>
      <c r="JJ9" s="407">
        <f>-(DevSpend!JJ$34+DevSpend!JJ$35+DevSpend!JJ$38)</f>
        <v/>
      </c>
      <c r="JK9" s="407">
        <f>-(DevSpend!JK$34+DevSpend!JK$35+DevSpend!JK$38)</f>
        <v/>
      </c>
      <c r="JL9" s="407">
        <f>-(DevSpend!JL$34+DevSpend!JL$35+DevSpend!JL$38)</f>
        <v/>
      </c>
      <c r="JM9" s="407">
        <f>-(DevSpend!JM$34+DevSpend!JM$35+DevSpend!JM$38)</f>
        <v/>
      </c>
      <c r="JN9" s="407">
        <f>-(DevSpend!JN$34+DevSpend!JN$35+DevSpend!JN$38)</f>
        <v/>
      </c>
      <c r="JO9" s="407">
        <f>-(DevSpend!JO$34+DevSpend!JO$35+DevSpend!JO$38)</f>
        <v/>
      </c>
      <c r="JP9" s="407">
        <f>-(DevSpend!JP$34+DevSpend!JP$35+DevSpend!JP$38)</f>
        <v/>
      </c>
      <c r="JQ9" s="407">
        <f>-(DevSpend!JQ$34+DevSpend!JQ$35+DevSpend!JQ$38)</f>
        <v/>
      </c>
      <c r="JR9" s="407">
        <f>-(DevSpend!JR$34+DevSpend!JR$35+DevSpend!JR$38)</f>
        <v/>
      </c>
      <c r="JS9" s="407">
        <f>-(DevSpend!JS$34+DevSpend!JS$35+DevSpend!JS$38)</f>
        <v/>
      </c>
      <c r="JT9" s="407">
        <f>-(DevSpend!JT$34+DevSpend!JT$35+DevSpend!JT$38)</f>
        <v/>
      </c>
      <c r="JU9" s="407">
        <f>-(DevSpend!JU$34+DevSpend!JU$35+DevSpend!JU$38)</f>
        <v/>
      </c>
      <c r="JV9" s="407">
        <f>-(DevSpend!JV$34+DevSpend!JV$35+DevSpend!JV$38)</f>
        <v/>
      </c>
      <c r="JW9" s="407">
        <f>-(DevSpend!JW$34+DevSpend!JW$35+DevSpend!JW$38)</f>
        <v/>
      </c>
      <c r="JX9" s="407">
        <f>-(DevSpend!JX$34+DevSpend!JX$35+DevSpend!JX$38)</f>
        <v/>
      </c>
      <c r="JY9" s="407">
        <f>-(DevSpend!JY$34+DevSpend!JY$35+DevSpend!JY$38)</f>
        <v/>
      </c>
      <c r="JZ9" s="407">
        <f>-(DevSpend!JZ$34+DevSpend!JZ$35+DevSpend!JZ$38)</f>
        <v/>
      </c>
      <c r="KA9" s="407">
        <f>-(DevSpend!KA$34+DevSpend!KA$35+DevSpend!KA$38)</f>
        <v/>
      </c>
      <c r="KB9" s="407">
        <f>-(DevSpend!KB$34+DevSpend!KB$35+DevSpend!KB$38)</f>
        <v/>
      </c>
      <c r="KC9" s="407">
        <f>-(DevSpend!KC$34+DevSpend!KC$35+DevSpend!KC$38)</f>
        <v/>
      </c>
      <c r="KD9" s="407">
        <f>-(DevSpend!KD$34+DevSpend!KD$35+DevSpend!KD$38)</f>
        <v/>
      </c>
      <c r="KE9" s="407">
        <f>-(DevSpend!KE$34+DevSpend!KE$35+DevSpend!KE$38)</f>
        <v/>
      </c>
      <c r="KF9" s="407">
        <f>-(DevSpend!KF$34+DevSpend!KF$35+DevSpend!KF$38)</f>
        <v/>
      </c>
      <c r="KG9" s="407">
        <f>-(DevSpend!KG$34+DevSpend!KG$35+DevSpend!KG$38)</f>
        <v/>
      </c>
      <c r="KH9" s="407">
        <f>-(DevSpend!KH$34+DevSpend!KH$35+DevSpend!KH$38)</f>
        <v/>
      </c>
      <c r="KI9" s="407">
        <f>-(DevSpend!KI$34+DevSpend!KI$35+DevSpend!KI$38)</f>
        <v/>
      </c>
      <c r="KJ9" s="407">
        <f>-(DevSpend!KJ$34+DevSpend!KJ$35+DevSpend!KJ$38)</f>
        <v/>
      </c>
      <c r="KK9" s="407">
        <f>-(DevSpend!KK$34+DevSpend!KK$35+DevSpend!KK$38)</f>
        <v/>
      </c>
      <c r="KL9" s="407">
        <f>-(DevSpend!KL$34+DevSpend!KL$35+DevSpend!KL$38)</f>
        <v/>
      </c>
      <c r="KM9" s="407">
        <f>-(DevSpend!KM$34+DevSpend!KM$35+DevSpend!KM$38)</f>
        <v/>
      </c>
      <c r="KN9" s="407">
        <f>-(DevSpend!KN$34+DevSpend!KN$35+DevSpend!KN$38)</f>
        <v/>
      </c>
      <c r="KO9" s="407">
        <f>-(DevSpend!KO$34+DevSpend!KO$35+DevSpend!KO$38)</f>
        <v/>
      </c>
      <c r="KP9" s="407">
        <f>-(DevSpend!KP$34+DevSpend!KP$35+DevSpend!KP$38)</f>
        <v/>
      </c>
      <c r="KQ9" s="407">
        <f>-(DevSpend!KQ$34+DevSpend!KQ$35+DevSpend!KQ$38)</f>
        <v/>
      </c>
      <c r="KR9" s="407">
        <f>-(DevSpend!KR$34+DevSpend!KR$35+DevSpend!KR$38)</f>
        <v/>
      </c>
      <c r="KS9" s="407">
        <f>-(DevSpend!KS$34+DevSpend!KS$35+DevSpend!KS$38)</f>
        <v/>
      </c>
      <c r="KT9" s="407">
        <f>-(DevSpend!KT$34+DevSpend!KT$35+DevSpend!KT$38)</f>
        <v/>
      </c>
      <c r="KU9" s="407">
        <f>-(DevSpend!KU$34+DevSpend!KU$35+DevSpend!KU$38)</f>
        <v/>
      </c>
      <c r="KV9" s="407">
        <f>-(DevSpend!KV$34+DevSpend!KV$35+DevSpend!KV$38)</f>
        <v/>
      </c>
      <c r="KW9" s="407">
        <f>-(DevSpend!KW$34+DevSpend!KW$35+DevSpend!KW$38)</f>
        <v/>
      </c>
      <c r="KX9" s="407">
        <f>-(DevSpend!KX$34+DevSpend!KX$35+DevSpend!KX$38)</f>
        <v/>
      </c>
      <c r="KY9" s="407">
        <f>-(DevSpend!KY$34+DevSpend!KY$35+DevSpend!KY$38)</f>
        <v/>
      </c>
      <c r="KZ9" s="407">
        <f>-(DevSpend!KZ$34+DevSpend!KZ$35+DevSpend!KZ$38)</f>
        <v/>
      </c>
      <c r="LA9" s="407">
        <f>-(DevSpend!LA$34+DevSpend!LA$35+DevSpend!LA$38)</f>
        <v/>
      </c>
      <c r="LB9" s="407">
        <f>-(DevSpend!LB$34+DevSpend!LB$35+DevSpend!LB$38)</f>
        <v/>
      </c>
      <c r="LC9" s="407">
        <f>-(DevSpend!LC$34+DevSpend!LC$35+DevSpend!LC$38)</f>
        <v/>
      </c>
      <c r="LD9" s="407">
        <f>-(DevSpend!LD$34+DevSpend!LD$35+DevSpend!LD$38)</f>
        <v/>
      </c>
      <c r="LE9" s="407">
        <f>-(DevSpend!LE$34+DevSpend!LE$35+DevSpend!LE$38)</f>
        <v/>
      </c>
      <c r="LF9" s="407">
        <f>-(DevSpend!LF$34+DevSpend!LF$35+DevSpend!LF$38)</f>
        <v/>
      </c>
      <c r="LG9" s="407">
        <f>-(DevSpend!LG$34+DevSpend!LG$35+DevSpend!LG$38)</f>
        <v/>
      </c>
      <c r="LH9" s="407">
        <f>-(DevSpend!LH$34+DevSpend!LH$35+DevSpend!LH$38)</f>
        <v/>
      </c>
      <c r="LI9" s="407">
        <f>-(DevSpend!LI$34+DevSpend!LI$35+DevSpend!LI$38)</f>
        <v/>
      </c>
      <c r="LJ9" s="407">
        <f>-(DevSpend!LJ$34+DevSpend!LJ$35+DevSpend!LJ$38)</f>
        <v/>
      </c>
      <c r="LK9" s="407">
        <f>-(DevSpend!LK$34+DevSpend!LK$35+DevSpend!LK$38)</f>
        <v/>
      </c>
      <c r="LL9" s="407">
        <f>-(DevSpend!LL$34+DevSpend!LL$35+DevSpend!LL$38)</f>
        <v/>
      </c>
      <c r="LM9" s="407">
        <f>-(DevSpend!LM$34+DevSpend!LM$35+DevSpend!LM$38)</f>
        <v/>
      </c>
      <c r="LN9" s="407">
        <f>-(DevSpend!LN$34+DevSpend!LN$35+DevSpend!LN$38)</f>
        <v/>
      </c>
      <c r="LO9" s="407">
        <f>-(DevSpend!LO$34+DevSpend!LO$35+DevSpend!LO$38)</f>
        <v/>
      </c>
      <c r="LP9" s="407">
        <f>-(DevSpend!LP$34+DevSpend!LP$35+DevSpend!LP$38)</f>
        <v/>
      </c>
      <c r="LQ9" s="407">
        <f>-(DevSpend!LQ$34+DevSpend!LQ$35+DevSpend!LQ$38)</f>
        <v/>
      </c>
      <c r="LR9" s="407">
        <f>-(DevSpend!LR$34+DevSpend!LR$35+DevSpend!LR$38)</f>
        <v/>
      </c>
      <c r="LS9" s="407">
        <f>-(DevSpend!LS$34+DevSpend!LS$35+DevSpend!LS$38)</f>
        <v/>
      </c>
      <c r="LT9" s="407">
        <f>-(DevSpend!LT$34+DevSpend!LT$35+DevSpend!LT$38)</f>
        <v/>
      </c>
      <c r="LU9" s="407">
        <f>-(DevSpend!LU$34+DevSpend!LU$35+DevSpend!LU$38)</f>
        <v/>
      </c>
      <c r="LV9" s="407">
        <f>-(DevSpend!LV$34+DevSpend!LV$35+DevSpend!LV$38)</f>
        <v/>
      </c>
      <c r="LW9" s="407">
        <f>-(DevSpend!LW$34+DevSpend!LW$35+DevSpend!LW$38)</f>
        <v/>
      </c>
      <c r="LX9" s="407">
        <f>-(DevSpend!LX$34+DevSpend!LX$35+DevSpend!LX$38)</f>
        <v/>
      </c>
      <c r="LY9" s="407">
        <f>-(DevSpend!LY$34+DevSpend!LY$35+DevSpend!LY$38)</f>
        <v/>
      </c>
      <c r="LZ9" s="407">
        <f>-(DevSpend!LZ$34+DevSpend!LZ$35+DevSpend!LZ$38)</f>
        <v/>
      </c>
      <c r="MA9" s="407">
        <f>-(DevSpend!MA$34+DevSpend!MA$35+DevSpend!MA$38)</f>
        <v/>
      </c>
      <c r="MB9" s="407">
        <f>-(DevSpend!MB$34+DevSpend!MB$35+DevSpend!MB$38)</f>
        <v/>
      </c>
      <c r="MC9" s="407">
        <f>-(DevSpend!MC$34+DevSpend!MC$35+DevSpend!MC$38)</f>
        <v/>
      </c>
      <c r="MD9" s="407">
        <f>-(DevSpend!MD$34+DevSpend!MD$35+DevSpend!MD$38)</f>
        <v/>
      </c>
      <c r="ME9" s="407">
        <f>-(DevSpend!ME$34+DevSpend!ME$35+DevSpend!ME$38)</f>
        <v/>
      </c>
      <c r="MF9" s="407">
        <f>-(DevSpend!MF$34+DevSpend!MF$35+DevSpend!MF$38)</f>
        <v/>
      </c>
      <c r="MG9" s="407">
        <f>-(DevSpend!MG$34+DevSpend!MG$35+DevSpend!MG$38)</f>
        <v/>
      </c>
      <c r="MH9" s="407">
        <f>-(DevSpend!MH$34+DevSpend!MH$35+DevSpend!MH$38)</f>
        <v/>
      </c>
      <c r="MI9" s="407">
        <f>-(DevSpend!MI$34+DevSpend!MI$35+DevSpend!MI$38)</f>
        <v/>
      </c>
      <c r="MJ9" s="407">
        <f>-(DevSpend!MJ$34+DevSpend!MJ$35+DevSpend!MJ$38)</f>
        <v/>
      </c>
      <c r="MK9" s="407">
        <f>-(DevSpend!MK$34+DevSpend!MK$35+DevSpend!MK$38)</f>
        <v/>
      </c>
      <c r="ML9" s="407">
        <f>-(DevSpend!ML$34+DevSpend!ML$35+DevSpend!ML$38)</f>
        <v/>
      </c>
      <c r="MM9" s="407">
        <f>-(DevSpend!MM$34+DevSpend!MM$35+DevSpend!MM$38)</f>
        <v/>
      </c>
      <c r="MN9" s="407">
        <f>-(DevSpend!MN$34+DevSpend!MN$35+DevSpend!MN$38)</f>
        <v/>
      </c>
      <c r="MO9" s="407">
        <f>-(DevSpend!MO$34+DevSpend!MO$35+DevSpend!MO$38)</f>
        <v/>
      </c>
      <c r="MP9" s="407">
        <f>-(DevSpend!MP$34+DevSpend!MP$35+DevSpend!MP$38)</f>
        <v/>
      </c>
      <c r="MQ9" s="407">
        <f>-(DevSpend!MQ$34+DevSpend!MQ$35+DevSpend!MQ$38)</f>
        <v/>
      </c>
      <c r="MR9" s="407">
        <f>-(DevSpend!MR$34+DevSpend!MR$35+DevSpend!MR$38)</f>
        <v/>
      </c>
      <c r="MS9" s="407">
        <f>-(DevSpend!MS$34+DevSpend!MS$35+DevSpend!MS$38)</f>
        <v/>
      </c>
      <c r="MT9" s="407">
        <f>-(DevSpend!MT$34+DevSpend!MT$35+DevSpend!MT$38)</f>
        <v/>
      </c>
      <c r="MU9" s="407">
        <f>-(DevSpend!MU$34+DevSpend!MU$35+DevSpend!MU$38)</f>
        <v/>
      </c>
      <c r="MV9" s="407">
        <f>-(DevSpend!MV$34+DevSpend!MV$35+DevSpend!MV$38)</f>
        <v/>
      </c>
      <c r="MW9" s="407">
        <f>-(DevSpend!MW$34+DevSpend!MW$35+DevSpend!MW$38)</f>
        <v/>
      </c>
      <c r="MX9" s="407">
        <f>-(DevSpend!MX$34+DevSpend!MX$35+DevSpend!MX$38)</f>
        <v/>
      </c>
      <c r="MY9" s="407">
        <f>-(DevSpend!MY$34+DevSpend!MY$35+DevSpend!MY$38)</f>
        <v/>
      </c>
      <c r="MZ9" s="407">
        <f>-(DevSpend!MZ$34+DevSpend!MZ$35+DevSpend!MZ$38)</f>
        <v/>
      </c>
      <c r="NA9" s="407">
        <f>-(DevSpend!NA$34+DevSpend!NA$35+DevSpend!NA$38)</f>
        <v/>
      </c>
      <c r="NB9" s="407">
        <f>-(DevSpend!NB$34+DevSpend!NB$35+DevSpend!NB$38)</f>
        <v/>
      </c>
      <c r="NC9" s="407">
        <f>-(DevSpend!NC$34+DevSpend!NC$35+DevSpend!NC$38)</f>
        <v/>
      </c>
      <c r="ND9" s="407">
        <f>-(DevSpend!ND$34+DevSpend!ND$35+DevSpend!ND$38)</f>
        <v/>
      </c>
      <c r="NE9" s="407">
        <f>-(DevSpend!NE$34+DevSpend!NE$35+DevSpend!NE$38)</f>
        <v/>
      </c>
      <c r="NF9" s="407">
        <f>-(DevSpend!NF$34+DevSpend!NF$35+DevSpend!NF$38)</f>
        <v/>
      </c>
      <c r="NG9" s="407">
        <f>-(DevSpend!NG$34+DevSpend!NG$35+DevSpend!NG$38)</f>
        <v/>
      </c>
      <c r="NH9" s="407">
        <f>-(DevSpend!NH$34+DevSpend!NH$35+DevSpend!NH$38)</f>
        <v/>
      </c>
      <c r="NI9" s="407">
        <f>-(DevSpend!NI$34+DevSpend!NI$35+DevSpend!NI$38)</f>
        <v/>
      </c>
      <c r="NJ9" s="407">
        <f>-(DevSpend!NJ$34+DevSpend!NJ$35+DevSpend!NJ$38)</f>
        <v/>
      </c>
      <c r="NK9" s="407">
        <f>-(DevSpend!NK$34+DevSpend!NK$35+DevSpend!NK$38)</f>
        <v/>
      </c>
      <c r="NL9" s="407">
        <f>-(DevSpend!NL$34+DevSpend!NL$35+DevSpend!NL$38)</f>
        <v/>
      </c>
    </row>
    <row r="10">
      <c r="B10" s="384" t="inlineStr">
        <is>
          <t>Debt</t>
        </is>
      </c>
      <c r="D10" s="401" t="inlineStr"/>
      <c r="E10" s="155" t="n"/>
      <c r="F10" s="155" t="n"/>
      <c r="G10" s="155" t="n"/>
      <c r="H10" s="155" t="n"/>
      <c r="I10" s="155" t="n"/>
      <c r="J10" s="155" t="n"/>
      <c r="K10" s="155" t="n"/>
      <c r="L10" s="155" t="n"/>
      <c r="M10" s="155" t="n"/>
      <c r="N10" s="155" t="n"/>
      <c r="O10" s="155" t="n"/>
      <c r="P10" s="155" t="n"/>
      <c r="Q10" s="155" t="n"/>
      <c r="R10" s="155" t="n"/>
      <c r="S10" s="155" t="n"/>
      <c r="T10" s="155" t="n"/>
      <c r="U10" s="155" t="n"/>
      <c r="V10" s="155" t="n"/>
      <c r="W10" s="155" t="n"/>
      <c r="X10" s="155" t="n"/>
      <c r="Y10" s="155" t="n"/>
      <c r="Z10" s="155" t="n"/>
      <c r="AA10" s="155" t="n"/>
      <c r="AB10" s="155" t="n"/>
      <c r="AC10" s="155" t="n"/>
      <c r="AD10" s="155" t="n"/>
      <c r="AE10" s="155" t="n"/>
      <c r="AF10" s="155" t="n"/>
      <c r="AG10" s="155" t="n"/>
      <c r="AH10" s="155" t="n"/>
      <c r="AI10" s="155" t="n"/>
      <c r="AJ10" s="155" t="n"/>
      <c r="AK10" s="155" t="n"/>
      <c r="AL10" s="155" t="n"/>
      <c r="AM10" s="155" t="n"/>
      <c r="AN10" s="155" t="n"/>
      <c r="AO10" s="155" t="n"/>
      <c r="AP10" s="155" t="n"/>
      <c r="AQ10" s="155" t="n"/>
      <c r="AR10" s="155" t="n"/>
      <c r="AS10" s="155" t="n"/>
      <c r="AT10" s="155" t="n"/>
      <c r="AU10" s="155" t="n"/>
      <c r="AV10" s="155" t="n"/>
      <c r="AW10" s="155" t="n"/>
      <c r="AX10" s="155" t="n"/>
      <c r="AY10" s="155" t="n"/>
      <c r="AZ10" s="155" t="n"/>
      <c r="BA10" s="155" t="n"/>
      <c r="BB10" s="155" t="n"/>
      <c r="BC10" s="155" t="n"/>
      <c r="BD10" s="155" t="n"/>
      <c r="BE10" s="155" t="n"/>
      <c r="BF10" s="155" t="n"/>
      <c r="BG10" s="155" t="n"/>
      <c r="BH10" s="155" t="n"/>
      <c r="BI10" s="155" t="n"/>
      <c r="BJ10" s="155" t="n"/>
      <c r="BK10" s="155" t="n"/>
      <c r="BL10" s="155" t="n"/>
      <c r="BM10" s="155" t="n"/>
      <c r="BN10" s="155" t="n"/>
      <c r="BO10" s="155" t="n"/>
      <c r="BP10" s="155" t="n"/>
      <c r="BQ10" s="155" t="n"/>
      <c r="BR10" s="155" t="n"/>
      <c r="BS10" s="155" t="n"/>
      <c r="BT10" s="155" t="n"/>
      <c r="BU10" s="155" t="n"/>
      <c r="BV10" s="155" t="n"/>
      <c r="BW10" s="155" t="n"/>
      <c r="BX10" s="155" t="n"/>
      <c r="BY10" s="155" t="n"/>
      <c r="BZ10" s="155" t="n"/>
      <c r="CA10" s="155" t="n"/>
      <c r="CB10" s="155" t="n"/>
      <c r="CC10" s="155" t="n"/>
      <c r="CD10" s="155" t="n"/>
      <c r="CE10" s="155" t="n"/>
      <c r="CF10" s="155" t="n"/>
      <c r="CG10" s="155" t="n"/>
      <c r="CH10" s="155" t="n"/>
      <c r="CI10" s="155" t="n"/>
      <c r="CJ10" s="155" t="n"/>
      <c r="CK10" s="155" t="n"/>
      <c r="CL10" s="155" t="n"/>
      <c r="CM10" s="155" t="n"/>
      <c r="CN10" s="155" t="n"/>
      <c r="CO10" s="155" t="n"/>
      <c r="CP10" s="155" t="n"/>
      <c r="CQ10" s="155" t="n"/>
      <c r="CR10" s="155" t="n"/>
      <c r="CS10" s="155" t="n"/>
      <c r="CT10" s="155" t="n"/>
      <c r="CU10" s="155" t="n"/>
      <c r="CV10" s="155" t="n"/>
      <c r="CW10" s="155" t="n"/>
      <c r="CX10" s="155" t="n"/>
      <c r="CY10" s="155" t="n"/>
      <c r="CZ10" s="155" t="n"/>
      <c r="DA10" s="155" t="n"/>
      <c r="DB10" s="155" t="n"/>
      <c r="DC10" s="155" t="n"/>
      <c r="DD10" s="155" t="n"/>
      <c r="DE10" s="155" t="n"/>
      <c r="DF10" s="155" t="n"/>
      <c r="DG10" s="155" t="n"/>
      <c r="DH10" s="155" t="n"/>
      <c r="DI10" s="155" t="n"/>
      <c r="DJ10" s="155" t="n"/>
      <c r="DK10" s="155" t="n"/>
      <c r="DL10" s="155" t="n"/>
      <c r="DM10" s="155" t="n"/>
      <c r="DN10" s="155" t="n"/>
      <c r="DO10" s="155" t="n"/>
      <c r="DP10" s="155" t="n"/>
      <c r="DQ10" s="155" t="n"/>
      <c r="DR10" s="155" t="n"/>
      <c r="DS10" s="155" t="n"/>
      <c r="DT10" s="155" t="n"/>
      <c r="DU10" s="155" t="n"/>
      <c r="DV10" s="155" t="n"/>
      <c r="DW10" s="155" t="n"/>
      <c r="DX10" s="155" t="n"/>
      <c r="DY10" s="155" t="n"/>
      <c r="DZ10" s="155" t="n"/>
      <c r="EA10" s="155" t="n"/>
      <c r="EB10" s="155" t="n"/>
      <c r="EC10" s="155" t="n"/>
      <c r="ED10" s="155" t="n"/>
      <c r="EE10" s="155" t="n"/>
      <c r="EF10" s="155" t="n"/>
      <c r="EG10" s="155" t="n"/>
      <c r="EH10" s="155" t="n"/>
      <c r="EI10" s="155" t="n"/>
      <c r="EJ10" s="155" t="n"/>
      <c r="EK10" s="155" t="n"/>
      <c r="EL10" s="155" t="n"/>
      <c r="EM10" s="155" t="n"/>
      <c r="EN10" s="155" t="n"/>
      <c r="EO10" s="155" t="n"/>
      <c r="EP10" s="155" t="n"/>
      <c r="EQ10" s="155" t="n"/>
      <c r="ER10" s="155" t="n"/>
      <c r="ES10" s="155" t="n"/>
      <c r="ET10" s="155" t="n"/>
      <c r="EU10" s="155" t="n"/>
      <c r="EV10" s="155" t="n"/>
      <c r="EW10" s="155" t="n"/>
      <c r="EX10" s="155" t="n"/>
      <c r="EY10" s="155" t="n"/>
      <c r="EZ10" s="155" t="n"/>
      <c r="FA10" s="155" t="n"/>
      <c r="FB10" s="155" t="n"/>
      <c r="FC10" s="155" t="n"/>
      <c r="FD10" s="155" t="n"/>
      <c r="FE10" s="155" t="n"/>
      <c r="FF10" s="155" t="n"/>
      <c r="FG10" s="155" t="n"/>
      <c r="FH10" s="155" t="n"/>
      <c r="FI10" s="155" t="n"/>
      <c r="FJ10" s="155" t="n"/>
      <c r="FK10" s="155" t="n"/>
      <c r="FL10" s="155" t="n"/>
      <c r="FM10" s="155" t="n"/>
      <c r="FN10" s="155" t="n"/>
      <c r="FO10" s="155" t="n"/>
      <c r="FP10" s="155" t="n"/>
      <c r="FQ10" s="155" t="n"/>
      <c r="FR10" s="155" t="n"/>
      <c r="FS10" s="155" t="n"/>
      <c r="FT10" s="155" t="n"/>
      <c r="FU10" s="155" t="n"/>
      <c r="FV10" s="155" t="n"/>
      <c r="FW10" s="155" t="n"/>
      <c r="FX10" s="155" t="n"/>
      <c r="FY10" s="155" t="n"/>
      <c r="FZ10" s="155" t="n"/>
      <c r="GA10" s="155" t="n"/>
      <c r="GB10" s="155" t="n"/>
      <c r="GC10" s="155" t="n"/>
      <c r="GD10" s="155" t="n"/>
      <c r="GE10" s="155" t="n"/>
      <c r="GF10" s="155" t="n"/>
      <c r="GG10" s="155" t="n"/>
      <c r="GH10" s="155" t="n"/>
      <c r="GI10" s="155" t="n"/>
      <c r="GJ10" s="155" t="n"/>
      <c r="GK10" s="155" t="n"/>
      <c r="GL10" s="155" t="n"/>
      <c r="GM10" s="155" t="n"/>
      <c r="GN10" s="155" t="n"/>
      <c r="GO10" s="155" t="n"/>
      <c r="GP10" s="155" t="n"/>
      <c r="GQ10" s="155" t="n"/>
      <c r="GR10" s="155" t="n"/>
      <c r="GS10" s="155" t="n"/>
      <c r="GT10" s="155" t="n"/>
      <c r="GU10" s="155" t="n"/>
      <c r="GV10" s="155" t="n"/>
      <c r="GW10" s="155" t="n"/>
      <c r="GX10" s="155" t="n"/>
      <c r="GY10" s="155" t="n"/>
      <c r="GZ10" s="155" t="n"/>
      <c r="HA10" s="155" t="n"/>
      <c r="HB10" s="155" t="n"/>
      <c r="HC10" s="155" t="n"/>
      <c r="HD10" s="155" t="n"/>
      <c r="HE10" s="155" t="n"/>
      <c r="HF10" s="155" t="n"/>
      <c r="HG10" s="155" t="n"/>
      <c r="HH10" s="155" t="n"/>
      <c r="HI10" s="155" t="n"/>
      <c r="HJ10" s="155" t="n"/>
      <c r="HK10" s="155" t="n"/>
      <c r="HL10" s="155" t="n"/>
      <c r="HM10" s="155" t="n"/>
      <c r="HN10" s="155" t="n"/>
      <c r="HO10" s="155" t="n"/>
      <c r="HP10" s="155" t="n"/>
      <c r="HQ10" s="155" t="n"/>
      <c r="HR10" s="155" t="n"/>
      <c r="HS10" s="155" t="n"/>
      <c r="HT10" s="155" t="n"/>
      <c r="HU10" s="155" t="n"/>
      <c r="HV10" s="155" t="n"/>
      <c r="HW10" s="155" t="n"/>
      <c r="HX10" s="155" t="n"/>
      <c r="HY10" s="155" t="n"/>
      <c r="HZ10" s="155" t="n"/>
      <c r="IA10" s="155" t="n"/>
      <c r="IB10" s="155" t="n"/>
      <c r="IC10" s="155" t="n"/>
      <c r="ID10" s="155" t="n"/>
      <c r="IE10" s="155" t="n"/>
      <c r="IF10" s="155" t="n"/>
      <c r="IG10" s="155" t="n"/>
      <c r="IH10" s="155" t="n"/>
      <c r="II10" s="155" t="n"/>
      <c r="IJ10" s="155" t="n"/>
      <c r="IK10" s="155" t="n"/>
      <c r="IL10" s="155" t="n"/>
      <c r="IM10" s="155" t="n"/>
      <c r="IN10" s="155" t="n"/>
      <c r="IO10" s="155" t="n"/>
      <c r="IP10" s="155" t="n"/>
      <c r="IQ10" s="155" t="n"/>
      <c r="IR10" s="155" t="n"/>
      <c r="IS10" s="155" t="n"/>
      <c r="IT10" s="155" t="n"/>
      <c r="IU10" s="155" t="n"/>
      <c r="IV10" s="155" t="n"/>
      <c r="IW10" s="155" t="n"/>
      <c r="IX10" s="155" t="n"/>
      <c r="IY10" s="155" t="n"/>
      <c r="IZ10" s="155" t="n"/>
      <c r="JA10" s="155" t="n"/>
      <c r="JB10" s="155" t="n"/>
      <c r="JC10" s="155" t="n"/>
      <c r="JD10" s="155" t="n"/>
      <c r="JE10" s="155" t="n"/>
      <c r="JF10" s="155" t="n"/>
      <c r="JG10" s="155" t="n"/>
      <c r="JH10" s="155" t="n"/>
      <c r="JI10" s="155" t="n"/>
      <c r="JJ10" s="155" t="n"/>
      <c r="JK10" s="155" t="n"/>
      <c r="JL10" s="155" t="n"/>
      <c r="JM10" s="155" t="n"/>
      <c r="JN10" s="155" t="n"/>
      <c r="JO10" s="155" t="n"/>
      <c r="JP10" s="155" t="n"/>
      <c r="JQ10" s="155" t="n"/>
      <c r="JR10" s="155" t="n"/>
      <c r="JS10" s="155" t="n"/>
      <c r="JT10" s="155" t="n"/>
      <c r="JU10" s="155" t="n"/>
      <c r="JV10" s="155" t="n"/>
      <c r="JW10" s="155" t="n"/>
      <c r="JX10" s="155" t="n"/>
      <c r="JY10" s="155" t="n"/>
      <c r="JZ10" s="155" t="n"/>
      <c r="KA10" s="155" t="n"/>
      <c r="KB10" s="155" t="n"/>
      <c r="KC10" s="155" t="n"/>
      <c r="KD10" s="155" t="n"/>
      <c r="KE10" s="155" t="n"/>
      <c r="KF10" s="155" t="n"/>
      <c r="KG10" s="155" t="n"/>
      <c r="KH10" s="155" t="n"/>
      <c r="KI10" s="155" t="n"/>
      <c r="KJ10" s="155" t="n"/>
      <c r="KK10" s="155" t="n"/>
      <c r="KL10" s="155" t="n"/>
      <c r="KM10" s="155" t="n"/>
      <c r="KN10" s="155" t="n"/>
      <c r="KO10" s="155" t="n"/>
      <c r="KP10" s="155" t="n"/>
      <c r="KQ10" s="155" t="n"/>
      <c r="KR10" s="155" t="n"/>
      <c r="KS10" s="155" t="n"/>
      <c r="KT10" s="155" t="n"/>
      <c r="KU10" s="155" t="n"/>
      <c r="KV10" s="155" t="n"/>
      <c r="KW10" s="155" t="n"/>
      <c r="KX10" s="155" t="n"/>
      <c r="KY10" s="155" t="n"/>
      <c r="KZ10" s="155" t="n"/>
      <c r="LA10" s="155" t="n"/>
      <c r="LB10" s="155" t="n"/>
      <c r="LC10" s="155" t="n"/>
      <c r="LD10" s="155" t="n"/>
      <c r="LE10" s="155" t="n"/>
      <c r="LF10" s="155" t="n"/>
      <c r="LG10" s="155" t="n"/>
      <c r="LH10" s="155" t="n"/>
      <c r="LI10" s="155" t="n"/>
      <c r="LJ10" s="155" t="n"/>
      <c r="LK10" s="155" t="n"/>
      <c r="LL10" s="155" t="n"/>
      <c r="LM10" s="155" t="n"/>
      <c r="LN10" s="155" t="n"/>
      <c r="LO10" s="155" t="n"/>
      <c r="LP10" s="155" t="n"/>
      <c r="LQ10" s="155" t="n"/>
      <c r="LR10" s="155" t="n"/>
      <c r="LS10" s="155" t="n"/>
      <c r="LT10" s="155" t="n"/>
      <c r="LU10" s="155" t="n"/>
      <c r="LV10" s="155" t="n"/>
      <c r="LW10" s="155" t="n"/>
      <c r="LX10" s="155" t="n"/>
      <c r="LY10" s="155" t="n"/>
      <c r="LZ10" s="155" t="n"/>
      <c r="MA10" s="155" t="n"/>
      <c r="MB10" s="155" t="n"/>
      <c r="MC10" s="155" t="n"/>
      <c r="MD10" s="155" t="n"/>
      <c r="ME10" s="155" t="n"/>
      <c r="MF10" s="155" t="n"/>
      <c r="MG10" s="155" t="n"/>
      <c r="MH10" s="155" t="n"/>
      <c r="MI10" s="155" t="n"/>
      <c r="MJ10" s="155" t="n"/>
      <c r="MK10" s="155" t="n"/>
      <c r="ML10" s="155" t="n"/>
      <c r="MM10" s="155" t="n"/>
      <c r="MN10" s="155" t="n"/>
      <c r="MO10" s="155" t="n"/>
      <c r="MP10" s="155" t="n"/>
      <c r="MQ10" s="155" t="n"/>
      <c r="MR10" s="155" t="n"/>
      <c r="MS10" s="155" t="n"/>
      <c r="MT10" s="155" t="n"/>
      <c r="MU10" s="155" t="n"/>
      <c r="MV10" s="155" t="n"/>
      <c r="MW10" s="155" t="n"/>
      <c r="MX10" s="155" t="n"/>
      <c r="MY10" s="155" t="n"/>
      <c r="MZ10" s="155" t="n"/>
      <c r="NA10" s="155" t="n"/>
      <c r="NB10" s="155" t="n"/>
      <c r="NC10" s="155" t="n"/>
      <c r="ND10" s="155" t="n"/>
      <c r="NE10" s="155" t="n"/>
      <c r="NF10" s="155" t="n"/>
      <c r="NG10" s="155" t="n"/>
      <c r="NH10" s="155" t="n"/>
      <c r="NI10" s="155" t="n"/>
      <c r="NJ10" s="155" t="n"/>
      <c r="NK10" s="155" t="n"/>
      <c r="NL10" s="155" t="n"/>
    </row>
    <row r="11">
      <c r="B11" s="316" t="inlineStr">
        <is>
          <t>Construction Debt Draw</t>
        </is>
      </c>
      <c r="D11" s="402">
        <f>SUM(E11:NL11)</f>
        <v/>
      </c>
      <c r="E11" s="402">
        <f>ConLoan!E$29</f>
        <v/>
      </c>
      <c r="F11" s="402">
        <f>ConLoan!F$29</f>
        <v/>
      </c>
      <c r="G11" s="402">
        <f>ConLoan!G$29</f>
        <v/>
      </c>
      <c r="H11" s="402">
        <f>ConLoan!H$29</f>
        <v/>
      </c>
      <c r="I11" s="402">
        <f>ConLoan!I$29</f>
        <v/>
      </c>
      <c r="J11" s="402">
        <f>ConLoan!J$29</f>
        <v/>
      </c>
      <c r="K11" s="402">
        <f>ConLoan!K$29</f>
        <v/>
      </c>
      <c r="L11" s="402">
        <f>ConLoan!L$29</f>
        <v/>
      </c>
      <c r="M11" s="402">
        <f>ConLoan!M$29</f>
        <v/>
      </c>
      <c r="N11" s="402">
        <f>ConLoan!N$29</f>
        <v/>
      </c>
      <c r="O11" s="402">
        <f>ConLoan!O$29</f>
        <v/>
      </c>
      <c r="P11" s="402">
        <f>ConLoan!P$29</f>
        <v/>
      </c>
      <c r="Q11" s="402">
        <f>ConLoan!Q$29</f>
        <v/>
      </c>
      <c r="R11" s="402">
        <f>ConLoan!R$29</f>
        <v/>
      </c>
      <c r="S11" s="402">
        <f>ConLoan!S$29</f>
        <v/>
      </c>
      <c r="T11" s="402">
        <f>ConLoan!T$29</f>
        <v/>
      </c>
      <c r="U11" s="402">
        <f>ConLoan!U$29</f>
        <v/>
      </c>
      <c r="V11" s="402">
        <f>ConLoan!V$29</f>
        <v/>
      </c>
      <c r="W11" s="402">
        <f>ConLoan!W$29</f>
        <v/>
      </c>
      <c r="X11" s="402">
        <f>ConLoan!X$29</f>
        <v/>
      </c>
      <c r="Y11" s="402">
        <f>ConLoan!Y$29</f>
        <v/>
      </c>
      <c r="Z11" s="402">
        <f>ConLoan!Z$29</f>
        <v/>
      </c>
      <c r="AA11" s="402">
        <f>ConLoan!AA$29</f>
        <v/>
      </c>
      <c r="AB11" s="402">
        <f>ConLoan!AB$29</f>
        <v/>
      </c>
      <c r="AC11" s="402">
        <f>ConLoan!AC$29</f>
        <v/>
      </c>
      <c r="AD11" s="402">
        <f>ConLoan!AD$29</f>
        <v/>
      </c>
      <c r="AE11" s="402">
        <f>ConLoan!AE$29</f>
        <v/>
      </c>
      <c r="AF11" s="402">
        <f>ConLoan!AF$29</f>
        <v/>
      </c>
      <c r="AG11" s="402">
        <f>ConLoan!AG$29</f>
        <v/>
      </c>
      <c r="AH11" s="402">
        <f>ConLoan!AH$29</f>
        <v/>
      </c>
      <c r="AI11" s="402">
        <f>ConLoan!AI$29</f>
        <v/>
      </c>
      <c r="AJ11" s="402">
        <f>ConLoan!AJ$29</f>
        <v/>
      </c>
      <c r="AK11" s="402">
        <f>ConLoan!AK$29</f>
        <v/>
      </c>
      <c r="AL11" s="402">
        <f>ConLoan!AL$29</f>
        <v/>
      </c>
      <c r="AM11" s="402">
        <f>ConLoan!AM$29</f>
        <v/>
      </c>
      <c r="AN11" s="402">
        <f>ConLoan!AN$29</f>
        <v/>
      </c>
      <c r="AO11" s="402">
        <f>ConLoan!AO$29</f>
        <v/>
      </c>
      <c r="AP11" s="402">
        <f>ConLoan!AP$29</f>
        <v/>
      </c>
      <c r="AQ11" s="402">
        <f>ConLoan!AQ$29</f>
        <v/>
      </c>
      <c r="AR11" s="402">
        <f>ConLoan!AR$29</f>
        <v/>
      </c>
      <c r="AS11" s="402">
        <f>ConLoan!AS$29</f>
        <v/>
      </c>
      <c r="AT11" s="402">
        <f>ConLoan!AT$29</f>
        <v/>
      </c>
      <c r="AU11" s="402">
        <f>ConLoan!AU$29</f>
        <v/>
      </c>
      <c r="AV11" s="402">
        <f>ConLoan!AV$29</f>
        <v/>
      </c>
      <c r="AW11" s="402">
        <f>ConLoan!AW$29</f>
        <v/>
      </c>
      <c r="AX11" s="402">
        <f>ConLoan!AX$29</f>
        <v/>
      </c>
      <c r="AY11" s="402">
        <f>ConLoan!AY$29</f>
        <v/>
      </c>
      <c r="AZ11" s="402">
        <f>ConLoan!AZ$29</f>
        <v/>
      </c>
      <c r="BA11" s="402">
        <f>ConLoan!BA$29</f>
        <v/>
      </c>
      <c r="BB11" s="402">
        <f>ConLoan!BB$29</f>
        <v/>
      </c>
      <c r="BC11" s="402">
        <f>ConLoan!BC$29</f>
        <v/>
      </c>
      <c r="BD11" s="402">
        <f>ConLoan!BD$29</f>
        <v/>
      </c>
      <c r="BE11" s="402">
        <f>ConLoan!BE$29</f>
        <v/>
      </c>
      <c r="BF11" s="402">
        <f>ConLoan!BF$29</f>
        <v/>
      </c>
      <c r="BG11" s="402">
        <f>ConLoan!BG$29</f>
        <v/>
      </c>
      <c r="BH11" s="402">
        <f>ConLoan!BH$29</f>
        <v/>
      </c>
      <c r="BI11" s="402">
        <f>ConLoan!BI$29</f>
        <v/>
      </c>
      <c r="BJ11" s="402">
        <f>ConLoan!BJ$29</f>
        <v/>
      </c>
      <c r="BK11" s="402">
        <f>ConLoan!BK$29</f>
        <v/>
      </c>
      <c r="BL11" s="402">
        <f>ConLoan!BL$29</f>
        <v/>
      </c>
      <c r="BM11" s="402">
        <f>ConLoan!BM$29</f>
        <v/>
      </c>
      <c r="BN11" s="402">
        <f>ConLoan!BN$29</f>
        <v/>
      </c>
      <c r="BO11" s="402">
        <f>ConLoan!BO$29</f>
        <v/>
      </c>
      <c r="BP11" s="402">
        <f>ConLoan!BP$29</f>
        <v/>
      </c>
      <c r="BQ11" s="402">
        <f>ConLoan!BQ$29</f>
        <v/>
      </c>
      <c r="BR11" s="402">
        <f>ConLoan!BR$29</f>
        <v/>
      </c>
      <c r="BS11" s="402">
        <f>ConLoan!BS$29</f>
        <v/>
      </c>
      <c r="BT11" s="402">
        <f>ConLoan!BT$29</f>
        <v/>
      </c>
      <c r="BU11" s="402">
        <f>ConLoan!BU$29</f>
        <v/>
      </c>
      <c r="BV11" s="402">
        <f>ConLoan!BV$29</f>
        <v/>
      </c>
      <c r="BW11" s="402">
        <f>ConLoan!BW$29</f>
        <v/>
      </c>
      <c r="BX11" s="402">
        <f>ConLoan!BX$29</f>
        <v/>
      </c>
      <c r="BY11" s="402">
        <f>ConLoan!BY$29</f>
        <v/>
      </c>
      <c r="BZ11" s="402">
        <f>ConLoan!BZ$29</f>
        <v/>
      </c>
      <c r="CA11" s="402">
        <f>ConLoan!CA$29</f>
        <v/>
      </c>
      <c r="CB11" s="402">
        <f>ConLoan!CB$29</f>
        <v/>
      </c>
      <c r="CC11" s="402">
        <f>ConLoan!CC$29</f>
        <v/>
      </c>
      <c r="CD11" s="402">
        <f>ConLoan!CD$29</f>
        <v/>
      </c>
      <c r="CE11" s="402">
        <f>ConLoan!CE$29</f>
        <v/>
      </c>
      <c r="CF11" s="402">
        <f>ConLoan!CF$29</f>
        <v/>
      </c>
      <c r="CG11" s="402">
        <f>ConLoan!CG$29</f>
        <v/>
      </c>
      <c r="CH11" s="402">
        <f>ConLoan!CH$29</f>
        <v/>
      </c>
      <c r="CI11" s="402">
        <f>ConLoan!CI$29</f>
        <v/>
      </c>
      <c r="CJ11" s="402">
        <f>ConLoan!CJ$29</f>
        <v/>
      </c>
      <c r="CK11" s="402">
        <f>ConLoan!CK$29</f>
        <v/>
      </c>
      <c r="CL11" s="402">
        <f>ConLoan!CL$29</f>
        <v/>
      </c>
      <c r="CM11" s="402">
        <f>ConLoan!CM$29</f>
        <v/>
      </c>
      <c r="CN11" s="402">
        <f>ConLoan!CN$29</f>
        <v/>
      </c>
      <c r="CO11" s="402">
        <f>ConLoan!CO$29</f>
        <v/>
      </c>
      <c r="CP11" s="402">
        <f>ConLoan!CP$29</f>
        <v/>
      </c>
      <c r="CQ11" s="402">
        <f>ConLoan!CQ$29</f>
        <v/>
      </c>
      <c r="CR11" s="402">
        <f>ConLoan!CR$29</f>
        <v/>
      </c>
      <c r="CS11" s="402">
        <f>ConLoan!CS$29</f>
        <v/>
      </c>
      <c r="CT11" s="402">
        <f>ConLoan!CT$29</f>
        <v/>
      </c>
      <c r="CU11" s="402">
        <f>ConLoan!CU$29</f>
        <v/>
      </c>
      <c r="CV11" s="402">
        <f>ConLoan!CV$29</f>
        <v/>
      </c>
      <c r="CW11" s="402">
        <f>ConLoan!CW$29</f>
        <v/>
      </c>
      <c r="CX11" s="402">
        <f>ConLoan!CX$29</f>
        <v/>
      </c>
      <c r="CY11" s="402">
        <f>ConLoan!CY$29</f>
        <v/>
      </c>
      <c r="CZ11" s="402">
        <f>ConLoan!CZ$29</f>
        <v/>
      </c>
      <c r="DA11" s="402">
        <f>ConLoan!DA$29</f>
        <v/>
      </c>
      <c r="DB11" s="402">
        <f>ConLoan!DB$29</f>
        <v/>
      </c>
      <c r="DC11" s="402">
        <f>ConLoan!DC$29</f>
        <v/>
      </c>
      <c r="DD11" s="402">
        <f>ConLoan!DD$29</f>
        <v/>
      </c>
      <c r="DE11" s="402">
        <f>ConLoan!DE$29</f>
        <v/>
      </c>
      <c r="DF11" s="402">
        <f>ConLoan!DF$29</f>
        <v/>
      </c>
      <c r="DG11" s="402">
        <f>ConLoan!DG$29</f>
        <v/>
      </c>
      <c r="DH11" s="402">
        <f>ConLoan!DH$29</f>
        <v/>
      </c>
      <c r="DI11" s="402">
        <f>ConLoan!DI$29</f>
        <v/>
      </c>
      <c r="DJ11" s="402">
        <f>ConLoan!DJ$29</f>
        <v/>
      </c>
      <c r="DK11" s="402">
        <f>ConLoan!DK$29</f>
        <v/>
      </c>
      <c r="DL11" s="402">
        <f>ConLoan!DL$29</f>
        <v/>
      </c>
      <c r="DM11" s="402">
        <f>ConLoan!DM$29</f>
        <v/>
      </c>
      <c r="DN11" s="402">
        <f>ConLoan!DN$29</f>
        <v/>
      </c>
      <c r="DO11" s="402">
        <f>ConLoan!DO$29</f>
        <v/>
      </c>
      <c r="DP11" s="402">
        <f>ConLoan!DP$29</f>
        <v/>
      </c>
      <c r="DQ11" s="402">
        <f>ConLoan!DQ$29</f>
        <v/>
      </c>
      <c r="DR11" s="402">
        <f>ConLoan!DR$29</f>
        <v/>
      </c>
      <c r="DS11" s="402">
        <f>ConLoan!DS$29</f>
        <v/>
      </c>
      <c r="DT11" s="402">
        <f>ConLoan!DT$29</f>
        <v/>
      </c>
      <c r="DU11" s="402">
        <f>ConLoan!DU$29</f>
        <v/>
      </c>
      <c r="DV11" s="402">
        <f>ConLoan!DV$29</f>
        <v/>
      </c>
      <c r="DW11" s="402">
        <f>ConLoan!DW$29</f>
        <v/>
      </c>
      <c r="DX11" s="402">
        <f>ConLoan!DX$29</f>
        <v/>
      </c>
      <c r="DY11" s="402">
        <f>ConLoan!DY$29</f>
        <v/>
      </c>
      <c r="DZ11" s="402">
        <f>ConLoan!DZ$29</f>
        <v/>
      </c>
      <c r="EA11" s="402">
        <f>ConLoan!EA$29</f>
        <v/>
      </c>
      <c r="EB11" s="402">
        <f>ConLoan!EB$29</f>
        <v/>
      </c>
      <c r="EC11" s="402">
        <f>ConLoan!EC$29</f>
        <v/>
      </c>
      <c r="ED11" s="402">
        <f>ConLoan!ED$29</f>
        <v/>
      </c>
      <c r="EE11" s="402">
        <f>ConLoan!EE$29</f>
        <v/>
      </c>
      <c r="EF11" s="402">
        <f>ConLoan!EF$29</f>
        <v/>
      </c>
      <c r="EG11" s="402">
        <f>ConLoan!EG$29</f>
        <v/>
      </c>
      <c r="EH11" s="402">
        <f>ConLoan!EH$29</f>
        <v/>
      </c>
      <c r="EI11" s="402">
        <f>ConLoan!EI$29</f>
        <v/>
      </c>
      <c r="EJ11" s="402">
        <f>ConLoan!EJ$29</f>
        <v/>
      </c>
      <c r="EK11" s="402">
        <f>ConLoan!EK$29</f>
        <v/>
      </c>
      <c r="EL11" s="402">
        <f>ConLoan!EL$29</f>
        <v/>
      </c>
      <c r="EM11" s="402">
        <f>ConLoan!EM$29</f>
        <v/>
      </c>
      <c r="EN11" s="402">
        <f>ConLoan!EN$29</f>
        <v/>
      </c>
      <c r="EO11" s="402">
        <f>ConLoan!EO$29</f>
        <v/>
      </c>
      <c r="EP11" s="402">
        <f>ConLoan!EP$29</f>
        <v/>
      </c>
      <c r="EQ11" s="402">
        <f>ConLoan!EQ$29</f>
        <v/>
      </c>
      <c r="ER11" s="402">
        <f>ConLoan!ER$29</f>
        <v/>
      </c>
      <c r="ES11" s="402">
        <f>ConLoan!ES$29</f>
        <v/>
      </c>
      <c r="ET11" s="402">
        <f>ConLoan!ET$29</f>
        <v/>
      </c>
      <c r="EU11" s="402">
        <f>ConLoan!EU$29</f>
        <v/>
      </c>
      <c r="EV11" s="402">
        <f>ConLoan!EV$29</f>
        <v/>
      </c>
      <c r="EW11" s="402">
        <f>ConLoan!EW$29</f>
        <v/>
      </c>
      <c r="EX11" s="402">
        <f>ConLoan!EX$29</f>
        <v/>
      </c>
      <c r="EY11" s="402">
        <f>ConLoan!EY$29</f>
        <v/>
      </c>
      <c r="EZ11" s="402">
        <f>ConLoan!EZ$29</f>
        <v/>
      </c>
      <c r="FA11" s="402">
        <f>ConLoan!FA$29</f>
        <v/>
      </c>
      <c r="FB11" s="402">
        <f>ConLoan!FB$29</f>
        <v/>
      </c>
      <c r="FC11" s="402">
        <f>ConLoan!FC$29</f>
        <v/>
      </c>
      <c r="FD11" s="402">
        <f>ConLoan!FD$29</f>
        <v/>
      </c>
      <c r="FE11" s="402">
        <f>ConLoan!FE$29</f>
        <v/>
      </c>
      <c r="FF11" s="402">
        <f>ConLoan!FF$29</f>
        <v/>
      </c>
      <c r="FG11" s="402">
        <f>ConLoan!FG$29</f>
        <v/>
      </c>
      <c r="FH11" s="402">
        <f>ConLoan!FH$29</f>
        <v/>
      </c>
      <c r="FI11" s="402">
        <f>ConLoan!FI$29</f>
        <v/>
      </c>
      <c r="FJ11" s="402">
        <f>ConLoan!FJ$29</f>
        <v/>
      </c>
      <c r="FK11" s="402">
        <f>ConLoan!FK$29</f>
        <v/>
      </c>
      <c r="FL11" s="402">
        <f>ConLoan!FL$29</f>
        <v/>
      </c>
      <c r="FM11" s="402">
        <f>ConLoan!FM$29</f>
        <v/>
      </c>
      <c r="FN11" s="402">
        <f>ConLoan!FN$29</f>
        <v/>
      </c>
      <c r="FO11" s="402">
        <f>ConLoan!FO$29</f>
        <v/>
      </c>
      <c r="FP11" s="402">
        <f>ConLoan!FP$29</f>
        <v/>
      </c>
      <c r="FQ11" s="402">
        <f>ConLoan!FQ$29</f>
        <v/>
      </c>
      <c r="FR11" s="402">
        <f>ConLoan!FR$29</f>
        <v/>
      </c>
      <c r="FS11" s="402">
        <f>ConLoan!FS$29</f>
        <v/>
      </c>
      <c r="FT11" s="402">
        <f>ConLoan!FT$29</f>
        <v/>
      </c>
      <c r="FU11" s="402">
        <f>ConLoan!FU$29</f>
        <v/>
      </c>
      <c r="FV11" s="402">
        <f>ConLoan!FV$29</f>
        <v/>
      </c>
      <c r="FW11" s="402">
        <f>ConLoan!FW$29</f>
        <v/>
      </c>
      <c r="FX11" s="402">
        <f>ConLoan!FX$29</f>
        <v/>
      </c>
      <c r="FY11" s="402">
        <f>ConLoan!FY$29</f>
        <v/>
      </c>
      <c r="FZ11" s="402">
        <f>ConLoan!FZ$29</f>
        <v/>
      </c>
      <c r="GA11" s="402">
        <f>ConLoan!GA$29</f>
        <v/>
      </c>
      <c r="GB11" s="402">
        <f>ConLoan!GB$29</f>
        <v/>
      </c>
      <c r="GC11" s="402">
        <f>ConLoan!GC$29</f>
        <v/>
      </c>
      <c r="GD11" s="402">
        <f>ConLoan!GD$29</f>
        <v/>
      </c>
      <c r="GE11" s="402">
        <f>ConLoan!GE$29</f>
        <v/>
      </c>
      <c r="GF11" s="402">
        <f>ConLoan!GF$29</f>
        <v/>
      </c>
      <c r="GG11" s="402">
        <f>ConLoan!GG$29</f>
        <v/>
      </c>
      <c r="GH11" s="402">
        <f>ConLoan!GH$29</f>
        <v/>
      </c>
      <c r="GI11" s="402">
        <f>ConLoan!GI$29</f>
        <v/>
      </c>
      <c r="GJ11" s="402">
        <f>ConLoan!GJ$29</f>
        <v/>
      </c>
      <c r="GK11" s="402">
        <f>ConLoan!GK$29</f>
        <v/>
      </c>
      <c r="GL11" s="402">
        <f>ConLoan!GL$29</f>
        <v/>
      </c>
      <c r="GM11" s="402">
        <f>ConLoan!GM$29</f>
        <v/>
      </c>
      <c r="GN11" s="402">
        <f>ConLoan!GN$29</f>
        <v/>
      </c>
      <c r="GO11" s="402">
        <f>ConLoan!GO$29</f>
        <v/>
      </c>
      <c r="GP11" s="402">
        <f>ConLoan!GP$29</f>
        <v/>
      </c>
      <c r="GQ11" s="402">
        <f>ConLoan!GQ$29</f>
        <v/>
      </c>
      <c r="GR11" s="402">
        <f>ConLoan!GR$29</f>
        <v/>
      </c>
      <c r="GS11" s="402">
        <f>ConLoan!GS$29</f>
        <v/>
      </c>
      <c r="GT11" s="402">
        <f>ConLoan!GT$29</f>
        <v/>
      </c>
      <c r="GU11" s="402">
        <f>ConLoan!GU$29</f>
        <v/>
      </c>
      <c r="GV11" s="402">
        <f>ConLoan!GV$29</f>
        <v/>
      </c>
      <c r="GW11" s="402">
        <f>ConLoan!GW$29</f>
        <v/>
      </c>
      <c r="GX11" s="402">
        <f>ConLoan!GX$29</f>
        <v/>
      </c>
      <c r="GY11" s="402">
        <f>ConLoan!GY$29</f>
        <v/>
      </c>
      <c r="GZ11" s="402">
        <f>ConLoan!GZ$29</f>
        <v/>
      </c>
      <c r="HA11" s="402">
        <f>ConLoan!HA$29</f>
        <v/>
      </c>
      <c r="HB11" s="402">
        <f>ConLoan!HB$29</f>
        <v/>
      </c>
      <c r="HC11" s="402">
        <f>ConLoan!HC$29</f>
        <v/>
      </c>
      <c r="HD11" s="402">
        <f>ConLoan!HD$29</f>
        <v/>
      </c>
      <c r="HE11" s="402">
        <f>ConLoan!HE$29</f>
        <v/>
      </c>
      <c r="HF11" s="402">
        <f>ConLoan!HF$29</f>
        <v/>
      </c>
      <c r="HG11" s="402">
        <f>ConLoan!HG$29</f>
        <v/>
      </c>
      <c r="HH11" s="402">
        <f>ConLoan!HH$29</f>
        <v/>
      </c>
      <c r="HI11" s="402">
        <f>ConLoan!HI$29</f>
        <v/>
      </c>
      <c r="HJ11" s="402">
        <f>ConLoan!HJ$29</f>
        <v/>
      </c>
      <c r="HK11" s="402">
        <f>ConLoan!HK$29</f>
        <v/>
      </c>
      <c r="HL11" s="402">
        <f>ConLoan!HL$29</f>
        <v/>
      </c>
      <c r="HM11" s="402">
        <f>ConLoan!HM$29</f>
        <v/>
      </c>
      <c r="HN11" s="402">
        <f>ConLoan!HN$29</f>
        <v/>
      </c>
      <c r="HO11" s="402">
        <f>ConLoan!HO$29</f>
        <v/>
      </c>
      <c r="HP11" s="402">
        <f>ConLoan!HP$29</f>
        <v/>
      </c>
      <c r="HQ11" s="402">
        <f>ConLoan!HQ$29</f>
        <v/>
      </c>
      <c r="HR11" s="402">
        <f>ConLoan!HR$29</f>
        <v/>
      </c>
      <c r="HS11" s="402">
        <f>ConLoan!HS$29</f>
        <v/>
      </c>
      <c r="HT11" s="402">
        <f>ConLoan!HT$29</f>
        <v/>
      </c>
      <c r="HU11" s="402">
        <f>ConLoan!HU$29</f>
        <v/>
      </c>
      <c r="HV11" s="402">
        <f>ConLoan!HV$29</f>
        <v/>
      </c>
      <c r="HW11" s="402">
        <f>ConLoan!HW$29</f>
        <v/>
      </c>
      <c r="HX11" s="402">
        <f>ConLoan!HX$29</f>
        <v/>
      </c>
      <c r="HY11" s="402">
        <f>ConLoan!HY$29</f>
        <v/>
      </c>
      <c r="HZ11" s="402">
        <f>ConLoan!HZ$29</f>
        <v/>
      </c>
      <c r="IA11" s="402">
        <f>ConLoan!IA$29</f>
        <v/>
      </c>
      <c r="IB11" s="402">
        <f>ConLoan!IB$29</f>
        <v/>
      </c>
      <c r="IC11" s="402">
        <f>ConLoan!IC$29</f>
        <v/>
      </c>
      <c r="ID11" s="402">
        <f>ConLoan!ID$29</f>
        <v/>
      </c>
      <c r="IE11" s="402">
        <f>ConLoan!IE$29</f>
        <v/>
      </c>
      <c r="IF11" s="402">
        <f>ConLoan!IF$29</f>
        <v/>
      </c>
      <c r="IG11" s="402">
        <f>ConLoan!IG$29</f>
        <v/>
      </c>
      <c r="IH11" s="402">
        <f>ConLoan!IH$29</f>
        <v/>
      </c>
      <c r="II11" s="402">
        <f>ConLoan!II$29</f>
        <v/>
      </c>
      <c r="IJ11" s="402">
        <f>ConLoan!IJ$29</f>
        <v/>
      </c>
      <c r="IK11" s="402">
        <f>ConLoan!IK$29</f>
        <v/>
      </c>
      <c r="IL11" s="402">
        <f>ConLoan!IL$29</f>
        <v/>
      </c>
      <c r="IM11" s="402">
        <f>ConLoan!IM$29</f>
        <v/>
      </c>
      <c r="IN11" s="402">
        <f>ConLoan!IN$29</f>
        <v/>
      </c>
      <c r="IO11" s="402">
        <f>ConLoan!IO$29</f>
        <v/>
      </c>
      <c r="IP11" s="402">
        <f>ConLoan!IP$29</f>
        <v/>
      </c>
      <c r="IQ11" s="402">
        <f>ConLoan!IQ$29</f>
        <v/>
      </c>
      <c r="IR11" s="402">
        <f>ConLoan!IR$29</f>
        <v/>
      </c>
      <c r="IS11" s="402">
        <f>ConLoan!IS$29</f>
        <v/>
      </c>
      <c r="IT11" s="402">
        <f>ConLoan!IT$29</f>
        <v/>
      </c>
      <c r="IU11" s="402">
        <f>ConLoan!IU$29</f>
        <v/>
      </c>
      <c r="IV11" s="402">
        <f>ConLoan!IV$29</f>
        <v/>
      </c>
      <c r="IW11" s="402">
        <f>ConLoan!IW$29</f>
        <v/>
      </c>
      <c r="IX11" s="402">
        <f>ConLoan!IX$29</f>
        <v/>
      </c>
      <c r="IY11" s="402">
        <f>ConLoan!IY$29</f>
        <v/>
      </c>
      <c r="IZ11" s="402">
        <f>ConLoan!IZ$29</f>
        <v/>
      </c>
      <c r="JA11" s="402">
        <f>ConLoan!JA$29</f>
        <v/>
      </c>
      <c r="JB11" s="402">
        <f>ConLoan!JB$29</f>
        <v/>
      </c>
      <c r="JC11" s="402">
        <f>ConLoan!JC$29</f>
        <v/>
      </c>
      <c r="JD11" s="402">
        <f>ConLoan!JD$29</f>
        <v/>
      </c>
      <c r="JE11" s="402">
        <f>ConLoan!JE$29</f>
        <v/>
      </c>
      <c r="JF11" s="402">
        <f>ConLoan!JF$29</f>
        <v/>
      </c>
      <c r="JG11" s="402">
        <f>ConLoan!JG$29</f>
        <v/>
      </c>
      <c r="JH11" s="402">
        <f>ConLoan!JH$29</f>
        <v/>
      </c>
      <c r="JI11" s="402">
        <f>ConLoan!JI$29</f>
        <v/>
      </c>
      <c r="JJ11" s="402">
        <f>ConLoan!JJ$29</f>
        <v/>
      </c>
      <c r="JK11" s="402">
        <f>ConLoan!JK$29</f>
        <v/>
      </c>
      <c r="JL11" s="402">
        <f>ConLoan!JL$29</f>
        <v/>
      </c>
      <c r="JM11" s="402">
        <f>ConLoan!JM$29</f>
        <v/>
      </c>
      <c r="JN11" s="402">
        <f>ConLoan!JN$29</f>
        <v/>
      </c>
      <c r="JO11" s="402">
        <f>ConLoan!JO$29</f>
        <v/>
      </c>
      <c r="JP11" s="402">
        <f>ConLoan!JP$29</f>
        <v/>
      </c>
      <c r="JQ11" s="402">
        <f>ConLoan!JQ$29</f>
        <v/>
      </c>
      <c r="JR11" s="402">
        <f>ConLoan!JR$29</f>
        <v/>
      </c>
      <c r="JS11" s="402">
        <f>ConLoan!JS$29</f>
        <v/>
      </c>
      <c r="JT11" s="402">
        <f>ConLoan!JT$29</f>
        <v/>
      </c>
      <c r="JU11" s="402">
        <f>ConLoan!JU$29</f>
        <v/>
      </c>
      <c r="JV11" s="402">
        <f>ConLoan!JV$29</f>
        <v/>
      </c>
      <c r="JW11" s="402">
        <f>ConLoan!JW$29</f>
        <v/>
      </c>
      <c r="JX11" s="402">
        <f>ConLoan!JX$29</f>
        <v/>
      </c>
      <c r="JY11" s="402">
        <f>ConLoan!JY$29</f>
        <v/>
      </c>
      <c r="JZ11" s="402">
        <f>ConLoan!JZ$29</f>
        <v/>
      </c>
      <c r="KA11" s="402">
        <f>ConLoan!KA$29</f>
        <v/>
      </c>
      <c r="KB11" s="402">
        <f>ConLoan!KB$29</f>
        <v/>
      </c>
      <c r="KC11" s="402">
        <f>ConLoan!KC$29</f>
        <v/>
      </c>
      <c r="KD11" s="402">
        <f>ConLoan!KD$29</f>
        <v/>
      </c>
      <c r="KE11" s="402">
        <f>ConLoan!KE$29</f>
        <v/>
      </c>
      <c r="KF11" s="402">
        <f>ConLoan!KF$29</f>
        <v/>
      </c>
      <c r="KG11" s="402">
        <f>ConLoan!KG$29</f>
        <v/>
      </c>
      <c r="KH11" s="402">
        <f>ConLoan!KH$29</f>
        <v/>
      </c>
      <c r="KI11" s="402">
        <f>ConLoan!KI$29</f>
        <v/>
      </c>
      <c r="KJ11" s="402">
        <f>ConLoan!KJ$29</f>
        <v/>
      </c>
      <c r="KK11" s="402">
        <f>ConLoan!KK$29</f>
        <v/>
      </c>
      <c r="KL11" s="402">
        <f>ConLoan!KL$29</f>
        <v/>
      </c>
      <c r="KM11" s="402">
        <f>ConLoan!KM$29</f>
        <v/>
      </c>
      <c r="KN11" s="402">
        <f>ConLoan!KN$29</f>
        <v/>
      </c>
      <c r="KO11" s="402">
        <f>ConLoan!KO$29</f>
        <v/>
      </c>
      <c r="KP11" s="402">
        <f>ConLoan!KP$29</f>
        <v/>
      </c>
      <c r="KQ11" s="402">
        <f>ConLoan!KQ$29</f>
        <v/>
      </c>
      <c r="KR11" s="402">
        <f>ConLoan!KR$29</f>
        <v/>
      </c>
      <c r="KS11" s="402">
        <f>ConLoan!KS$29</f>
        <v/>
      </c>
      <c r="KT11" s="402">
        <f>ConLoan!KT$29</f>
        <v/>
      </c>
      <c r="KU11" s="402">
        <f>ConLoan!KU$29</f>
        <v/>
      </c>
      <c r="KV11" s="402">
        <f>ConLoan!KV$29</f>
        <v/>
      </c>
      <c r="KW11" s="402">
        <f>ConLoan!KW$29</f>
        <v/>
      </c>
      <c r="KX11" s="402">
        <f>ConLoan!KX$29</f>
        <v/>
      </c>
      <c r="KY11" s="402">
        <f>ConLoan!KY$29</f>
        <v/>
      </c>
      <c r="KZ11" s="402">
        <f>ConLoan!KZ$29</f>
        <v/>
      </c>
      <c r="LA11" s="402">
        <f>ConLoan!LA$29</f>
        <v/>
      </c>
      <c r="LB11" s="402">
        <f>ConLoan!LB$29</f>
        <v/>
      </c>
      <c r="LC11" s="402">
        <f>ConLoan!LC$29</f>
        <v/>
      </c>
      <c r="LD11" s="402">
        <f>ConLoan!LD$29</f>
        <v/>
      </c>
      <c r="LE11" s="402">
        <f>ConLoan!LE$29</f>
        <v/>
      </c>
      <c r="LF11" s="402">
        <f>ConLoan!LF$29</f>
        <v/>
      </c>
      <c r="LG11" s="402">
        <f>ConLoan!LG$29</f>
        <v/>
      </c>
      <c r="LH11" s="402">
        <f>ConLoan!LH$29</f>
        <v/>
      </c>
      <c r="LI11" s="402">
        <f>ConLoan!LI$29</f>
        <v/>
      </c>
      <c r="LJ11" s="402">
        <f>ConLoan!LJ$29</f>
        <v/>
      </c>
      <c r="LK11" s="402">
        <f>ConLoan!LK$29</f>
        <v/>
      </c>
      <c r="LL11" s="402">
        <f>ConLoan!LL$29</f>
        <v/>
      </c>
      <c r="LM11" s="402">
        <f>ConLoan!LM$29</f>
        <v/>
      </c>
      <c r="LN11" s="402">
        <f>ConLoan!LN$29</f>
        <v/>
      </c>
      <c r="LO11" s="402">
        <f>ConLoan!LO$29</f>
        <v/>
      </c>
      <c r="LP11" s="402">
        <f>ConLoan!LP$29</f>
        <v/>
      </c>
      <c r="LQ11" s="402">
        <f>ConLoan!LQ$29</f>
        <v/>
      </c>
      <c r="LR11" s="402">
        <f>ConLoan!LR$29</f>
        <v/>
      </c>
      <c r="LS11" s="402">
        <f>ConLoan!LS$29</f>
        <v/>
      </c>
      <c r="LT11" s="402">
        <f>ConLoan!LT$29</f>
        <v/>
      </c>
      <c r="LU11" s="402">
        <f>ConLoan!LU$29</f>
        <v/>
      </c>
      <c r="LV11" s="402">
        <f>ConLoan!LV$29</f>
        <v/>
      </c>
      <c r="LW11" s="402">
        <f>ConLoan!LW$29</f>
        <v/>
      </c>
      <c r="LX11" s="402">
        <f>ConLoan!LX$29</f>
        <v/>
      </c>
      <c r="LY11" s="402">
        <f>ConLoan!LY$29</f>
        <v/>
      </c>
      <c r="LZ11" s="402">
        <f>ConLoan!LZ$29</f>
        <v/>
      </c>
      <c r="MA11" s="402">
        <f>ConLoan!MA$29</f>
        <v/>
      </c>
      <c r="MB11" s="402">
        <f>ConLoan!MB$29</f>
        <v/>
      </c>
      <c r="MC11" s="402">
        <f>ConLoan!MC$29</f>
        <v/>
      </c>
      <c r="MD11" s="402">
        <f>ConLoan!MD$29</f>
        <v/>
      </c>
      <c r="ME11" s="402">
        <f>ConLoan!ME$29</f>
        <v/>
      </c>
      <c r="MF11" s="402">
        <f>ConLoan!MF$29</f>
        <v/>
      </c>
      <c r="MG11" s="402">
        <f>ConLoan!MG$29</f>
        <v/>
      </c>
      <c r="MH11" s="402">
        <f>ConLoan!MH$29</f>
        <v/>
      </c>
      <c r="MI11" s="402">
        <f>ConLoan!MI$29</f>
        <v/>
      </c>
      <c r="MJ11" s="402">
        <f>ConLoan!MJ$29</f>
        <v/>
      </c>
      <c r="MK11" s="402">
        <f>ConLoan!MK$29</f>
        <v/>
      </c>
      <c r="ML11" s="402">
        <f>ConLoan!ML$29</f>
        <v/>
      </c>
      <c r="MM11" s="402">
        <f>ConLoan!MM$29</f>
        <v/>
      </c>
      <c r="MN11" s="402">
        <f>ConLoan!MN$29</f>
        <v/>
      </c>
      <c r="MO11" s="402">
        <f>ConLoan!MO$29</f>
        <v/>
      </c>
      <c r="MP11" s="402">
        <f>ConLoan!MP$29</f>
        <v/>
      </c>
      <c r="MQ11" s="402">
        <f>ConLoan!MQ$29</f>
        <v/>
      </c>
      <c r="MR11" s="402">
        <f>ConLoan!MR$29</f>
        <v/>
      </c>
      <c r="MS11" s="402">
        <f>ConLoan!MS$29</f>
        <v/>
      </c>
      <c r="MT11" s="402">
        <f>ConLoan!MT$29</f>
        <v/>
      </c>
      <c r="MU11" s="402">
        <f>ConLoan!MU$29</f>
        <v/>
      </c>
      <c r="MV11" s="402">
        <f>ConLoan!MV$29</f>
        <v/>
      </c>
      <c r="MW11" s="402">
        <f>ConLoan!MW$29</f>
        <v/>
      </c>
      <c r="MX11" s="402">
        <f>ConLoan!MX$29</f>
        <v/>
      </c>
      <c r="MY11" s="402">
        <f>ConLoan!MY$29</f>
        <v/>
      </c>
      <c r="MZ11" s="402">
        <f>ConLoan!MZ$29</f>
        <v/>
      </c>
      <c r="NA11" s="402">
        <f>ConLoan!NA$29</f>
        <v/>
      </c>
      <c r="NB11" s="402">
        <f>ConLoan!NB$29</f>
        <v/>
      </c>
      <c r="NC11" s="402">
        <f>ConLoan!NC$29</f>
        <v/>
      </c>
      <c r="ND11" s="402">
        <f>ConLoan!ND$29</f>
        <v/>
      </c>
      <c r="NE11" s="402">
        <f>ConLoan!NE$29</f>
        <v/>
      </c>
      <c r="NF11" s="402">
        <f>ConLoan!NF$29</f>
        <v/>
      </c>
      <c r="NG11" s="402">
        <f>ConLoan!NG$29</f>
        <v/>
      </c>
      <c r="NH11" s="402">
        <f>ConLoan!NH$29</f>
        <v/>
      </c>
      <c r="NI11" s="402">
        <f>ConLoan!NI$29</f>
        <v/>
      </c>
      <c r="NJ11" s="402">
        <f>ConLoan!NJ$29</f>
        <v/>
      </c>
      <c r="NK11" s="402">
        <f>ConLoan!NK$29</f>
        <v/>
      </c>
      <c r="NL11" s="402">
        <f>ConLoan!NL$29</f>
        <v/>
      </c>
    </row>
    <row r="12">
      <c r="B12" s="316" t="inlineStr">
        <is>
          <t>Construction Interest — Capitalized</t>
        </is>
      </c>
      <c r="D12" s="402">
        <f>SUM(E12:NL12)</f>
        <v/>
      </c>
      <c r="E12" s="402">
        <f>-ConLoan!E$31</f>
        <v/>
      </c>
      <c r="F12" s="402">
        <f>-ConLoan!F$31</f>
        <v/>
      </c>
      <c r="G12" s="402">
        <f>-ConLoan!G$31</f>
        <v/>
      </c>
      <c r="H12" s="402">
        <f>-ConLoan!H$31</f>
        <v/>
      </c>
      <c r="I12" s="402">
        <f>-ConLoan!I$31</f>
        <v/>
      </c>
      <c r="J12" s="402">
        <f>-ConLoan!J$31</f>
        <v/>
      </c>
      <c r="K12" s="402">
        <f>-ConLoan!K$31</f>
        <v/>
      </c>
      <c r="L12" s="402">
        <f>-ConLoan!L$31</f>
        <v/>
      </c>
      <c r="M12" s="402">
        <f>-ConLoan!M$31</f>
        <v/>
      </c>
      <c r="N12" s="402">
        <f>-ConLoan!N$31</f>
        <v/>
      </c>
      <c r="O12" s="402">
        <f>-ConLoan!O$31</f>
        <v/>
      </c>
      <c r="P12" s="402">
        <f>-ConLoan!P$31</f>
        <v/>
      </c>
      <c r="Q12" s="402">
        <f>-ConLoan!Q$31</f>
        <v/>
      </c>
      <c r="R12" s="402">
        <f>-ConLoan!R$31</f>
        <v/>
      </c>
      <c r="S12" s="402">
        <f>-ConLoan!S$31</f>
        <v/>
      </c>
      <c r="T12" s="402">
        <f>-ConLoan!T$31</f>
        <v/>
      </c>
      <c r="U12" s="402">
        <f>-ConLoan!U$31</f>
        <v/>
      </c>
      <c r="V12" s="402">
        <f>-ConLoan!V$31</f>
        <v/>
      </c>
      <c r="W12" s="402">
        <f>-ConLoan!W$31</f>
        <v/>
      </c>
      <c r="X12" s="402">
        <f>-ConLoan!X$31</f>
        <v/>
      </c>
      <c r="Y12" s="402">
        <f>-ConLoan!Y$31</f>
        <v/>
      </c>
      <c r="Z12" s="402">
        <f>-ConLoan!Z$31</f>
        <v/>
      </c>
      <c r="AA12" s="402">
        <f>-ConLoan!AA$31</f>
        <v/>
      </c>
      <c r="AB12" s="402">
        <f>-ConLoan!AB$31</f>
        <v/>
      </c>
      <c r="AC12" s="402">
        <f>-ConLoan!AC$31</f>
        <v/>
      </c>
      <c r="AD12" s="402">
        <f>-ConLoan!AD$31</f>
        <v/>
      </c>
      <c r="AE12" s="402">
        <f>-ConLoan!AE$31</f>
        <v/>
      </c>
      <c r="AF12" s="402">
        <f>-ConLoan!AF$31</f>
        <v/>
      </c>
      <c r="AG12" s="402">
        <f>-ConLoan!AG$31</f>
        <v/>
      </c>
      <c r="AH12" s="402">
        <f>-ConLoan!AH$31</f>
        <v/>
      </c>
      <c r="AI12" s="402">
        <f>-ConLoan!AI$31</f>
        <v/>
      </c>
      <c r="AJ12" s="402">
        <f>-ConLoan!AJ$31</f>
        <v/>
      </c>
      <c r="AK12" s="402">
        <f>-ConLoan!AK$31</f>
        <v/>
      </c>
      <c r="AL12" s="402">
        <f>-ConLoan!AL$31</f>
        <v/>
      </c>
      <c r="AM12" s="402">
        <f>-ConLoan!AM$31</f>
        <v/>
      </c>
      <c r="AN12" s="402">
        <f>-ConLoan!AN$31</f>
        <v/>
      </c>
      <c r="AO12" s="402">
        <f>-ConLoan!AO$31</f>
        <v/>
      </c>
      <c r="AP12" s="402">
        <f>-ConLoan!AP$31</f>
        <v/>
      </c>
      <c r="AQ12" s="402">
        <f>-ConLoan!AQ$31</f>
        <v/>
      </c>
      <c r="AR12" s="402">
        <f>-ConLoan!AR$31</f>
        <v/>
      </c>
      <c r="AS12" s="402">
        <f>-ConLoan!AS$31</f>
        <v/>
      </c>
      <c r="AT12" s="402">
        <f>-ConLoan!AT$31</f>
        <v/>
      </c>
      <c r="AU12" s="402">
        <f>-ConLoan!AU$31</f>
        <v/>
      </c>
      <c r="AV12" s="402">
        <f>-ConLoan!AV$31</f>
        <v/>
      </c>
      <c r="AW12" s="402">
        <f>-ConLoan!AW$31</f>
        <v/>
      </c>
      <c r="AX12" s="402">
        <f>-ConLoan!AX$31</f>
        <v/>
      </c>
      <c r="AY12" s="402">
        <f>-ConLoan!AY$31</f>
        <v/>
      </c>
      <c r="AZ12" s="402">
        <f>-ConLoan!AZ$31</f>
        <v/>
      </c>
      <c r="BA12" s="402">
        <f>-ConLoan!BA$31</f>
        <v/>
      </c>
      <c r="BB12" s="402">
        <f>-ConLoan!BB$31</f>
        <v/>
      </c>
      <c r="BC12" s="402">
        <f>-ConLoan!BC$31</f>
        <v/>
      </c>
      <c r="BD12" s="402">
        <f>-ConLoan!BD$31</f>
        <v/>
      </c>
      <c r="BE12" s="402">
        <f>-ConLoan!BE$31</f>
        <v/>
      </c>
      <c r="BF12" s="402">
        <f>-ConLoan!BF$31</f>
        <v/>
      </c>
      <c r="BG12" s="402">
        <f>-ConLoan!BG$31</f>
        <v/>
      </c>
      <c r="BH12" s="402">
        <f>-ConLoan!BH$31</f>
        <v/>
      </c>
      <c r="BI12" s="402">
        <f>-ConLoan!BI$31</f>
        <v/>
      </c>
      <c r="BJ12" s="402">
        <f>-ConLoan!BJ$31</f>
        <v/>
      </c>
      <c r="BK12" s="402">
        <f>-ConLoan!BK$31</f>
        <v/>
      </c>
      <c r="BL12" s="402">
        <f>-ConLoan!BL$31</f>
        <v/>
      </c>
      <c r="BM12" s="402">
        <f>-ConLoan!BM$31</f>
        <v/>
      </c>
      <c r="BN12" s="402">
        <f>-ConLoan!BN$31</f>
        <v/>
      </c>
      <c r="BO12" s="402">
        <f>-ConLoan!BO$31</f>
        <v/>
      </c>
      <c r="BP12" s="402">
        <f>-ConLoan!BP$31</f>
        <v/>
      </c>
      <c r="BQ12" s="402">
        <f>-ConLoan!BQ$31</f>
        <v/>
      </c>
      <c r="BR12" s="402">
        <f>-ConLoan!BR$31</f>
        <v/>
      </c>
      <c r="BS12" s="402">
        <f>-ConLoan!BS$31</f>
        <v/>
      </c>
      <c r="BT12" s="402">
        <f>-ConLoan!BT$31</f>
        <v/>
      </c>
      <c r="BU12" s="402">
        <f>-ConLoan!BU$31</f>
        <v/>
      </c>
      <c r="BV12" s="402">
        <f>-ConLoan!BV$31</f>
        <v/>
      </c>
      <c r="BW12" s="402">
        <f>-ConLoan!BW$31</f>
        <v/>
      </c>
      <c r="BX12" s="402">
        <f>-ConLoan!BX$31</f>
        <v/>
      </c>
      <c r="BY12" s="402">
        <f>-ConLoan!BY$31</f>
        <v/>
      </c>
      <c r="BZ12" s="402">
        <f>-ConLoan!BZ$31</f>
        <v/>
      </c>
      <c r="CA12" s="402">
        <f>-ConLoan!CA$31</f>
        <v/>
      </c>
      <c r="CB12" s="402">
        <f>-ConLoan!CB$31</f>
        <v/>
      </c>
      <c r="CC12" s="402">
        <f>-ConLoan!CC$31</f>
        <v/>
      </c>
      <c r="CD12" s="402">
        <f>-ConLoan!CD$31</f>
        <v/>
      </c>
      <c r="CE12" s="402">
        <f>-ConLoan!CE$31</f>
        <v/>
      </c>
      <c r="CF12" s="402">
        <f>-ConLoan!CF$31</f>
        <v/>
      </c>
      <c r="CG12" s="402">
        <f>-ConLoan!CG$31</f>
        <v/>
      </c>
      <c r="CH12" s="402">
        <f>-ConLoan!CH$31</f>
        <v/>
      </c>
      <c r="CI12" s="402">
        <f>-ConLoan!CI$31</f>
        <v/>
      </c>
      <c r="CJ12" s="402">
        <f>-ConLoan!CJ$31</f>
        <v/>
      </c>
      <c r="CK12" s="402">
        <f>-ConLoan!CK$31</f>
        <v/>
      </c>
      <c r="CL12" s="402">
        <f>-ConLoan!CL$31</f>
        <v/>
      </c>
      <c r="CM12" s="402">
        <f>-ConLoan!CM$31</f>
        <v/>
      </c>
      <c r="CN12" s="402">
        <f>-ConLoan!CN$31</f>
        <v/>
      </c>
      <c r="CO12" s="402">
        <f>-ConLoan!CO$31</f>
        <v/>
      </c>
      <c r="CP12" s="402">
        <f>-ConLoan!CP$31</f>
        <v/>
      </c>
      <c r="CQ12" s="402">
        <f>-ConLoan!CQ$31</f>
        <v/>
      </c>
      <c r="CR12" s="402">
        <f>-ConLoan!CR$31</f>
        <v/>
      </c>
      <c r="CS12" s="402">
        <f>-ConLoan!CS$31</f>
        <v/>
      </c>
      <c r="CT12" s="402">
        <f>-ConLoan!CT$31</f>
        <v/>
      </c>
      <c r="CU12" s="402">
        <f>-ConLoan!CU$31</f>
        <v/>
      </c>
      <c r="CV12" s="402">
        <f>-ConLoan!CV$31</f>
        <v/>
      </c>
      <c r="CW12" s="402">
        <f>-ConLoan!CW$31</f>
        <v/>
      </c>
      <c r="CX12" s="402">
        <f>-ConLoan!CX$31</f>
        <v/>
      </c>
      <c r="CY12" s="402">
        <f>-ConLoan!CY$31</f>
        <v/>
      </c>
      <c r="CZ12" s="402">
        <f>-ConLoan!CZ$31</f>
        <v/>
      </c>
      <c r="DA12" s="402">
        <f>-ConLoan!DA$31</f>
        <v/>
      </c>
      <c r="DB12" s="402">
        <f>-ConLoan!DB$31</f>
        <v/>
      </c>
      <c r="DC12" s="402">
        <f>-ConLoan!DC$31</f>
        <v/>
      </c>
      <c r="DD12" s="402">
        <f>-ConLoan!DD$31</f>
        <v/>
      </c>
      <c r="DE12" s="402">
        <f>-ConLoan!DE$31</f>
        <v/>
      </c>
      <c r="DF12" s="402">
        <f>-ConLoan!DF$31</f>
        <v/>
      </c>
      <c r="DG12" s="402">
        <f>-ConLoan!DG$31</f>
        <v/>
      </c>
      <c r="DH12" s="402">
        <f>-ConLoan!DH$31</f>
        <v/>
      </c>
      <c r="DI12" s="402">
        <f>-ConLoan!DI$31</f>
        <v/>
      </c>
      <c r="DJ12" s="402">
        <f>-ConLoan!DJ$31</f>
        <v/>
      </c>
      <c r="DK12" s="402">
        <f>-ConLoan!DK$31</f>
        <v/>
      </c>
      <c r="DL12" s="402">
        <f>-ConLoan!DL$31</f>
        <v/>
      </c>
      <c r="DM12" s="402">
        <f>-ConLoan!DM$31</f>
        <v/>
      </c>
      <c r="DN12" s="402">
        <f>-ConLoan!DN$31</f>
        <v/>
      </c>
      <c r="DO12" s="402">
        <f>-ConLoan!DO$31</f>
        <v/>
      </c>
      <c r="DP12" s="402">
        <f>-ConLoan!DP$31</f>
        <v/>
      </c>
      <c r="DQ12" s="402">
        <f>-ConLoan!DQ$31</f>
        <v/>
      </c>
      <c r="DR12" s="402">
        <f>-ConLoan!DR$31</f>
        <v/>
      </c>
      <c r="DS12" s="402">
        <f>-ConLoan!DS$31</f>
        <v/>
      </c>
      <c r="DT12" s="402">
        <f>-ConLoan!DT$31</f>
        <v/>
      </c>
      <c r="DU12" s="402">
        <f>-ConLoan!DU$31</f>
        <v/>
      </c>
      <c r="DV12" s="402">
        <f>-ConLoan!DV$31</f>
        <v/>
      </c>
      <c r="DW12" s="402">
        <f>-ConLoan!DW$31</f>
        <v/>
      </c>
      <c r="DX12" s="402">
        <f>-ConLoan!DX$31</f>
        <v/>
      </c>
      <c r="DY12" s="402">
        <f>-ConLoan!DY$31</f>
        <v/>
      </c>
      <c r="DZ12" s="402">
        <f>-ConLoan!DZ$31</f>
        <v/>
      </c>
      <c r="EA12" s="402">
        <f>-ConLoan!EA$31</f>
        <v/>
      </c>
      <c r="EB12" s="402">
        <f>-ConLoan!EB$31</f>
        <v/>
      </c>
      <c r="EC12" s="402">
        <f>-ConLoan!EC$31</f>
        <v/>
      </c>
      <c r="ED12" s="402">
        <f>-ConLoan!ED$31</f>
        <v/>
      </c>
      <c r="EE12" s="402">
        <f>-ConLoan!EE$31</f>
        <v/>
      </c>
      <c r="EF12" s="402">
        <f>-ConLoan!EF$31</f>
        <v/>
      </c>
      <c r="EG12" s="402">
        <f>-ConLoan!EG$31</f>
        <v/>
      </c>
      <c r="EH12" s="402">
        <f>-ConLoan!EH$31</f>
        <v/>
      </c>
      <c r="EI12" s="402">
        <f>-ConLoan!EI$31</f>
        <v/>
      </c>
      <c r="EJ12" s="402">
        <f>-ConLoan!EJ$31</f>
        <v/>
      </c>
      <c r="EK12" s="402">
        <f>-ConLoan!EK$31</f>
        <v/>
      </c>
      <c r="EL12" s="402">
        <f>-ConLoan!EL$31</f>
        <v/>
      </c>
      <c r="EM12" s="402">
        <f>-ConLoan!EM$31</f>
        <v/>
      </c>
      <c r="EN12" s="402">
        <f>-ConLoan!EN$31</f>
        <v/>
      </c>
      <c r="EO12" s="402">
        <f>-ConLoan!EO$31</f>
        <v/>
      </c>
      <c r="EP12" s="402">
        <f>-ConLoan!EP$31</f>
        <v/>
      </c>
      <c r="EQ12" s="402">
        <f>-ConLoan!EQ$31</f>
        <v/>
      </c>
      <c r="ER12" s="402">
        <f>-ConLoan!ER$31</f>
        <v/>
      </c>
      <c r="ES12" s="402">
        <f>-ConLoan!ES$31</f>
        <v/>
      </c>
      <c r="ET12" s="402">
        <f>-ConLoan!ET$31</f>
        <v/>
      </c>
      <c r="EU12" s="402">
        <f>-ConLoan!EU$31</f>
        <v/>
      </c>
      <c r="EV12" s="402">
        <f>-ConLoan!EV$31</f>
        <v/>
      </c>
      <c r="EW12" s="402">
        <f>-ConLoan!EW$31</f>
        <v/>
      </c>
      <c r="EX12" s="402">
        <f>-ConLoan!EX$31</f>
        <v/>
      </c>
      <c r="EY12" s="402">
        <f>-ConLoan!EY$31</f>
        <v/>
      </c>
      <c r="EZ12" s="402">
        <f>-ConLoan!EZ$31</f>
        <v/>
      </c>
      <c r="FA12" s="402">
        <f>-ConLoan!FA$31</f>
        <v/>
      </c>
      <c r="FB12" s="402">
        <f>-ConLoan!FB$31</f>
        <v/>
      </c>
      <c r="FC12" s="402">
        <f>-ConLoan!FC$31</f>
        <v/>
      </c>
      <c r="FD12" s="402">
        <f>-ConLoan!FD$31</f>
        <v/>
      </c>
      <c r="FE12" s="402">
        <f>-ConLoan!FE$31</f>
        <v/>
      </c>
      <c r="FF12" s="402">
        <f>-ConLoan!FF$31</f>
        <v/>
      </c>
      <c r="FG12" s="402">
        <f>-ConLoan!FG$31</f>
        <v/>
      </c>
      <c r="FH12" s="402">
        <f>-ConLoan!FH$31</f>
        <v/>
      </c>
      <c r="FI12" s="402">
        <f>-ConLoan!FI$31</f>
        <v/>
      </c>
      <c r="FJ12" s="402">
        <f>-ConLoan!FJ$31</f>
        <v/>
      </c>
      <c r="FK12" s="402">
        <f>-ConLoan!FK$31</f>
        <v/>
      </c>
      <c r="FL12" s="402">
        <f>-ConLoan!FL$31</f>
        <v/>
      </c>
      <c r="FM12" s="402">
        <f>-ConLoan!FM$31</f>
        <v/>
      </c>
      <c r="FN12" s="402">
        <f>-ConLoan!FN$31</f>
        <v/>
      </c>
      <c r="FO12" s="402">
        <f>-ConLoan!FO$31</f>
        <v/>
      </c>
      <c r="FP12" s="402">
        <f>-ConLoan!FP$31</f>
        <v/>
      </c>
      <c r="FQ12" s="402">
        <f>-ConLoan!FQ$31</f>
        <v/>
      </c>
      <c r="FR12" s="402">
        <f>-ConLoan!FR$31</f>
        <v/>
      </c>
      <c r="FS12" s="402">
        <f>-ConLoan!FS$31</f>
        <v/>
      </c>
      <c r="FT12" s="402">
        <f>-ConLoan!FT$31</f>
        <v/>
      </c>
      <c r="FU12" s="402">
        <f>-ConLoan!FU$31</f>
        <v/>
      </c>
      <c r="FV12" s="402">
        <f>-ConLoan!FV$31</f>
        <v/>
      </c>
      <c r="FW12" s="402">
        <f>-ConLoan!FW$31</f>
        <v/>
      </c>
      <c r="FX12" s="402">
        <f>-ConLoan!FX$31</f>
        <v/>
      </c>
      <c r="FY12" s="402">
        <f>-ConLoan!FY$31</f>
        <v/>
      </c>
      <c r="FZ12" s="402">
        <f>-ConLoan!FZ$31</f>
        <v/>
      </c>
      <c r="GA12" s="402">
        <f>-ConLoan!GA$31</f>
        <v/>
      </c>
      <c r="GB12" s="402">
        <f>-ConLoan!GB$31</f>
        <v/>
      </c>
      <c r="GC12" s="402">
        <f>-ConLoan!GC$31</f>
        <v/>
      </c>
      <c r="GD12" s="402">
        <f>-ConLoan!GD$31</f>
        <v/>
      </c>
      <c r="GE12" s="402">
        <f>-ConLoan!GE$31</f>
        <v/>
      </c>
      <c r="GF12" s="402">
        <f>-ConLoan!GF$31</f>
        <v/>
      </c>
      <c r="GG12" s="402">
        <f>-ConLoan!GG$31</f>
        <v/>
      </c>
      <c r="GH12" s="402">
        <f>-ConLoan!GH$31</f>
        <v/>
      </c>
      <c r="GI12" s="402">
        <f>-ConLoan!GI$31</f>
        <v/>
      </c>
      <c r="GJ12" s="402">
        <f>-ConLoan!GJ$31</f>
        <v/>
      </c>
      <c r="GK12" s="402">
        <f>-ConLoan!GK$31</f>
        <v/>
      </c>
      <c r="GL12" s="402">
        <f>-ConLoan!GL$31</f>
        <v/>
      </c>
      <c r="GM12" s="402">
        <f>-ConLoan!GM$31</f>
        <v/>
      </c>
      <c r="GN12" s="402">
        <f>-ConLoan!GN$31</f>
        <v/>
      </c>
      <c r="GO12" s="402">
        <f>-ConLoan!GO$31</f>
        <v/>
      </c>
      <c r="GP12" s="402">
        <f>-ConLoan!GP$31</f>
        <v/>
      </c>
      <c r="GQ12" s="402">
        <f>-ConLoan!GQ$31</f>
        <v/>
      </c>
      <c r="GR12" s="402">
        <f>-ConLoan!GR$31</f>
        <v/>
      </c>
      <c r="GS12" s="402">
        <f>-ConLoan!GS$31</f>
        <v/>
      </c>
      <c r="GT12" s="402">
        <f>-ConLoan!GT$31</f>
        <v/>
      </c>
      <c r="GU12" s="402">
        <f>-ConLoan!GU$31</f>
        <v/>
      </c>
      <c r="GV12" s="402">
        <f>-ConLoan!GV$31</f>
        <v/>
      </c>
      <c r="GW12" s="402">
        <f>-ConLoan!GW$31</f>
        <v/>
      </c>
      <c r="GX12" s="402">
        <f>-ConLoan!GX$31</f>
        <v/>
      </c>
      <c r="GY12" s="402">
        <f>-ConLoan!GY$31</f>
        <v/>
      </c>
      <c r="GZ12" s="402">
        <f>-ConLoan!GZ$31</f>
        <v/>
      </c>
      <c r="HA12" s="402">
        <f>-ConLoan!HA$31</f>
        <v/>
      </c>
      <c r="HB12" s="402">
        <f>-ConLoan!HB$31</f>
        <v/>
      </c>
      <c r="HC12" s="402">
        <f>-ConLoan!HC$31</f>
        <v/>
      </c>
      <c r="HD12" s="402">
        <f>-ConLoan!HD$31</f>
        <v/>
      </c>
      <c r="HE12" s="402">
        <f>-ConLoan!HE$31</f>
        <v/>
      </c>
      <c r="HF12" s="402">
        <f>-ConLoan!HF$31</f>
        <v/>
      </c>
      <c r="HG12" s="402">
        <f>-ConLoan!HG$31</f>
        <v/>
      </c>
      <c r="HH12" s="402">
        <f>-ConLoan!HH$31</f>
        <v/>
      </c>
      <c r="HI12" s="402">
        <f>-ConLoan!HI$31</f>
        <v/>
      </c>
      <c r="HJ12" s="402">
        <f>-ConLoan!HJ$31</f>
        <v/>
      </c>
      <c r="HK12" s="402">
        <f>-ConLoan!HK$31</f>
        <v/>
      </c>
      <c r="HL12" s="402">
        <f>-ConLoan!HL$31</f>
        <v/>
      </c>
      <c r="HM12" s="402">
        <f>-ConLoan!HM$31</f>
        <v/>
      </c>
      <c r="HN12" s="402">
        <f>-ConLoan!HN$31</f>
        <v/>
      </c>
      <c r="HO12" s="402">
        <f>-ConLoan!HO$31</f>
        <v/>
      </c>
      <c r="HP12" s="402">
        <f>-ConLoan!HP$31</f>
        <v/>
      </c>
      <c r="HQ12" s="402">
        <f>-ConLoan!HQ$31</f>
        <v/>
      </c>
      <c r="HR12" s="402">
        <f>-ConLoan!HR$31</f>
        <v/>
      </c>
      <c r="HS12" s="402">
        <f>-ConLoan!HS$31</f>
        <v/>
      </c>
      <c r="HT12" s="402">
        <f>-ConLoan!HT$31</f>
        <v/>
      </c>
      <c r="HU12" s="402">
        <f>-ConLoan!HU$31</f>
        <v/>
      </c>
      <c r="HV12" s="402">
        <f>-ConLoan!HV$31</f>
        <v/>
      </c>
      <c r="HW12" s="402">
        <f>-ConLoan!HW$31</f>
        <v/>
      </c>
      <c r="HX12" s="402">
        <f>-ConLoan!HX$31</f>
        <v/>
      </c>
      <c r="HY12" s="402">
        <f>-ConLoan!HY$31</f>
        <v/>
      </c>
      <c r="HZ12" s="402">
        <f>-ConLoan!HZ$31</f>
        <v/>
      </c>
      <c r="IA12" s="402">
        <f>-ConLoan!IA$31</f>
        <v/>
      </c>
      <c r="IB12" s="402">
        <f>-ConLoan!IB$31</f>
        <v/>
      </c>
      <c r="IC12" s="402">
        <f>-ConLoan!IC$31</f>
        <v/>
      </c>
      <c r="ID12" s="402">
        <f>-ConLoan!ID$31</f>
        <v/>
      </c>
      <c r="IE12" s="402">
        <f>-ConLoan!IE$31</f>
        <v/>
      </c>
      <c r="IF12" s="402">
        <f>-ConLoan!IF$31</f>
        <v/>
      </c>
      <c r="IG12" s="402">
        <f>-ConLoan!IG$31</f>
        <v/>
      </c>
      <c r="IH12" s="402">
        <f>-ConLoan!IH$31</f>
        <v/>
      </c>
      <c r="II12" s="402">
        <f>-ConLoan!II$31</f>
        <v/>
      </c>
      <c r="IJ12" s="402">
        <f>-ConLoan!IJ$31</f>
        <v/>
      </c>
      <c r="IK12" s="402">
        <f>-ConLoan!IK$31</f>
        <v/>
      </c>
      <c r="IL12" s="402">
        <f>-ConLoan!IL$31</f>
        <v/>
      </c>
      <c r="IM12" s="402">
        <f>-ConLoan!IM$31</f>
        <v/>
      </c>
      <c r="IN12" s="402">
        <f>-ConLoan!IN$31</f>
        <v/>
      </c>
      <c r="IO12" s="402">
        <f>-ConLoan!IO$31</f>
        <v/>
      </c>
      <c r="IP12" s="402">
        <f>-ConLoan!IP$31</f>
        <v/>
      </c>
      <c r="IQ12" s="402">
        <f>-ConLoan!IQ$31</f>
        <v/>
      </c>
      <c r="IR12" s="402">
        <f>-ConLoan!IR$31</f>
        <v/>
      </c>
      <c r="IS12" s="402">
        <f>-ConLoan!IS$31</f>
        <v/>
      </c>
      <c r="IT12" s="402">
        <f>-ConLoan!IT$31</f>
        <v/>
      </c>
      <c r="IU12" s="402">
        <f>-ConLoan!IU$31</f>
        <v/>
      </c>
      <c r="IV12" s="402">
        <f>-ConLoan!IV$31</f>
        <v/>
      </c>
      <c r="IW12" s="402">
        <f>-ConLoan!IW$31</f>
        <v/>
      </c>
      <c r="IX12" s="402">
        <f>-ConLoan!IX$31</f>
        <v/>
      </c>
      <c r="IY12" s="402">
        <f>-ConLoan!IY$31</f>
        <v/>
      </c>
      <c r="IZ12" s="402">
        <f>-ConLoan!IZ$31</f>
        <v/>
      </c>
      <c r="JA12" s="402">
        <f>-ConLoan!JA$31</f>
        <v/>
      </c>
      <c r="JB12" s="402">
        <f>-ConLoan!JB$31</f>
        <v/>
      </c>
      <c r="JC12" s="402">
        <f>-ConLoan!JC$31</f>
        <v/>
      </c>
      <c r="JD12" s="402">
        <f>-ConLoan!JD$31</f>
        <v/>
      </c>
      <c r="JE12" s="402">
        <f>-ConLoan!JE$31</f>
        <v/>
      </c>
      <c r="JF12" s="402">
        <f>-ConLoan!JF$31</f>
        <v/>
      </c>
      <c r="JG12" s="402">
        <f>-ConLoan!JG$31</f>
        <v/>
      </c>
      <c r="JH12" s="402">
        <f>-ConLoan!JH$31</f>
        <v/>
      </c>
      <c r="JI12" s="402">
        <f>-ConLoan!JI$31</f>
        <v/>
      </c>
      <c r="JJ12" s="402">
        <f>-ConLoan!JJ$31</f>
        <v/>
      </c>
      <c r="JK12" s="402">
        <f>-ConLoan!JK$31</f>
        <v/>
      </c>
      <c r="JL12" s="402">
        <f>-ConLoan!JL$31</f>
        <v/>
      </c>
      <c r="JM12" s="402">
        <f>-ConLoan!JM$31</f>
        <v/>
      </c>
      <c r="JN12" s="402">
        <f>-ConLoan!JN$31</f>
        <v/>
      </c>
      <c r="JO12" s="402">
        <f>-ConLoan!JO$31</f>
        <v/>
      </c>
      <c r="JP12" s="402">
        <f>-ConLoan!JP$31</f>
        <v/>
      </c>
      <c r="JQ12" s="402">
        <f>-ConLoan!JQ$31</f>
        <v/>
      </c>
      <c r="JR12" s="402">
        <f>-ConLoan!JR$31</f>
        <v/>
      </c>
      <c r="JS12" s="402">
        <f>-ConLoan!JS$31</f>
        <v/>
      </c>
      <c r="JT12" s="402">
        <f>-ConLoan!JT$31</f>
        <v/>
      </c>
      <c r="JU12" s="402">
        <f>-ConLoan!JU$31</f>
        <v/>
      </c>
      <c r="JV12" s="402">
        <f>-ConLoan!JV$31</f>
        <v/>
      </c>
      <c r="JW12" s="402">
        <f>-ConLoan!JW$31</f>
        <v/>
      </c>
      <c r="JX12" s="402">
        <f>-ConLoan!JX$31</f>
        <v/>
      </c>
      <c r="JY12" s="402">
        <f>-ConLoan!JY$31</f>
        <v/>
      </c>
      <c r="JZ12" s="402">
        <f>-ConLoan!JZ$31</f>
        <v/>
      </c>
      <c r="KA12" s="402">
        <f>-ConLoan!KA$31</f>
        <v/>
      </c>
      <c r="KB12" s="402">
        <f>-ConLoan!KB$31</f>
        <v/>
      </c>
      <c r="KC12" s="402">
        <f>-ConLoan!KC$31</f>
        <v/>
      </c>
      <c r="KD12" s="402">
        <f>-ConLoan!KD$31</f>
        <v/>
      </c>
      <c r="KE12" s="402">
        <f>-ConLoan!KE$31</f>
        <v/>
      </c>
      <c r="KF12" s="402">
        <f>-ConLoan!KF$31</f>
        <v/>
      </c>
      <c r="KG12" s="402">
        <f>-ConLoan!KG$31</f>
        <v/>
      </c>
      <c r="KH12" s="402">
        <f>-ConLoan!KH$31</f>
        <v/>
      </c>
      <c r="KI12" s="402">
        <f>-ConLoan!KI$31</f>
        <v/>
      </c>
      <c r="KJ12" s="402">
        <f>-ConLoan!KJ$31</f>
        <v/>
      </c>
      <c r="KK12" s="402">
        <f>-ConLoan!KK$31</f>
        <v/>
      </c>
      <c r="KL12" s="402">
        <f>-ConLoan!KL$31</f>
        <v/>
      </c>
      <c r="KM12" s="402">
        <f>-ConLoan!KM$31</f>
        <v/>
      </c>
      <c r="KN12" s="402">
        <f>-ConLoan!KN$31</f>
        <v/>
      </c>
      <c r="KO12" s="402">
        <f>-ConLoan!KO$31</f>
        <v/>
      </c>
      <c r="KP12" s="402">
        <f>-ConLoan!KP$31</f>
        <v/>
      </c>
      <c r="KQ12" s="402">
        <f>-ConLoan!KQ$31</f>
        <v/>
      </c>
      <c r="KR12" s="402">
        <f>-ConLoan!KR$31</f>
        <v/>
      </c>
      <c r="KS12" s="402">
        <f>-ConLoan!KS$31</f>
        <v/>
      </c>
      <c r="KT12" s="402">
        <f>-ConLoan!KT$31</f>
        <v/>
      </c>
      <c r="KU12" s="402">
        <f>-ConLoan!KU$31</f>
        <v/>
      </c>
      <c r="KV12" s="402">
        <f>-ConLoan!KV$31</f>
        <v/>
      </c>
      <c r="KW12" s="402">
        <f>-ConLoan!KW$31</f>
        <v/>
      </c>
      <c r="KX12" s="402">
        <f>-ConLoan!KX$31</f>
        <v/>
      </c>
      <c r="KY12" s="402">
        <f>-ConLoan!KY$31</f>
        <v/>
      </c>
      <c r="KZ12" s="402">
        <f>-ConLoan!KZ$31</f>
        <v/>
      </c>
      <c r="LA12" s="402">
        <f>-ConLoan!LA$31</f>
        <v/>
      </c>
      <c r="LB12" s="402">
        <f>-ConLoan!LB$31</f>
        <v/>
      </c>
      <c r="LC12" s="402">
        <f>-ConLoan!LC$31</f>
        <v/>
      </c>
      <c r="LD12" s="402">
        <f>-ConLoan!LD$31</f>
        <v/>
      </c>
      <c r="LE12" s="402">
        <f>-ConLoan!LE$31</f>
        <v/>
      </c>
      <c r="LF12" s="402">
        <f>-ConLoan!LF$31</f>
        <v/>
      </c>
      <c r="LG12" s="402">
        <f>-ConLoan!LG$31</f>
        <v/>
      </c>
      <c r="LH12" s="402">
        <f>-ConLoan!LH$31</f>
        <v/>
      </c>
      <c r="LI12" s="402">
        <f>-ConLoan!LI$31</f>
        <v/>
      </c>
      <c r="LJ12" s="402">
        <f>-ConLoan!LJ$31</f>
        <v/>
      </c>
      <c r="LK12" s="402">
        <f>-ConLoan!LK$31</f>
        <v/>
      </c>
      <c r="LL12" s="402">
        <f>-ConLoan!LL$31</f>
        <v/>
      </c>
      <c r="LM12" s="402">
        <f>-ConLoan!LM$31</f>
        <v/>
      </c>
      <c r="LN12" s="402">
        <f>-ConLoan!LN$31</f>
        <v/>
      </c>
      <c r="LO12" s="402">
        <f>-ConLoan!LO$31</f>
        <v/>
      </c>
      <c r="LP12" s="402">
        <f>-ConLoan!LP$31</f>
        <v/>
      </c>
      <c r="LQ12" s="402">
        <f>-ConLoan!LQ$31</f>
        <v/>
      </c>
      <c r="LR12" s="402">
        <f>-ConLoan!LR$31</f>
        <v/>
      </c>
      <c r="LS12" s="402">
        <f>-ConLoan!LS$31</f>
        <v/>
      </c>
      <c r="LT12" s="402">
        <f>-ConLoan!LT$31</f>
        <v/>
      </c>
      <c r="LU12" s="402">
        <f>-ConLoan!LU$31</f>
        <v/>
      </c>
      <c r="LV12" s="402">
        <f>-ConLoan!LV$31</f>
        <v/>
      </c>
      <c r="LW12" s="402">
        <f>-ConLoan!LW$31</f>
        <v/>
      </c>
      <c r="LX12" s="402">
        <f>-ConLoan!LX$31</f>
        <v/>
      </c>
      <c r="LY12" s="402">
        <f>-ConLoan!LY$31</f>
        <v/>
      </c>
      <c r="LZ12" s="402">
        <f>-ConLoan!LZ$31</f>
        <v/>
      </c>
      <c r="MA12" s="402">
        <f>-ConLoan!MA$31</f>
        <v/>
      </c>
      <c r="MB12" s="402">
        <f>-ConLoan!MB$31</f>
        <v/>
      </c>
      <c r="MC12" s="402">
        <f>-ConLoan!MC$31</f>
        <v/>
      </c>
      <c r="MD12" s="402">
        <f>-ConLoan!MD$31</f>
        <v/>
      </c>
      <c r="ME12" s="402">
        <f>-ConLoan!ME$31</f>
        <v/>
      </c>
      <c r="MF12" s="402">
        <f>-ConLoan!MF$31</f>
        <v/>
      </c>
      <c r="MG12" s="402">
        <f>-ConLoan!MG$31</f>
        <v/>
      </c>
      <c r="MH12" s="402">
        <f>-ConLoan!MH$31</f>
        <v/>
      </c>
      <c r="MI12" s="402">
        <f>-ConLoan!MI$31</f>
        <v/>
      </c>
      <c r="MJ12" s="402">
        <f>-ConLoan!MJ$31</f>
        <v/>
      </c>
      <c r="MK12" s="402">
        <f>-ConLoan!MK$31</f>
        <v/>
      </c>
      <c r="ML12" s="402">
        <f>-ConLoan!ML$31</f>
        <v/>
      </c>
      <c r="MM12" s="402">
        <f>-ConLoan!MM$31</f>
        <v/>
      </c>
      <c r="MN12" s="402">
        <f>-ConLoan!MN$31</f>
        <v/>
      </c>
      <c r="MO12" s="402">
        <f>-ConLoan!MO$31</f>
        <v/>
      </c>
      <c r="MP12" s="402">
        <f>-ConLoan!MP$31</f>
        <v/>
      </c>
      <c r="MQ12" s="402">
        <f>-ConLoan!MQ$31</f>
        <v/>
      </c>
      <c r="MR12" s="402">
        <f>-ConLoan!MR$31</f>
        <v/>
      </c>
      <c r="MS12" s="402">
        <f>-ConLoan!MS$31</f>
        <v/>
      </c>
      <c r="MT12" s="402">
        <f>-ConLoan!MT$31</f>
        <v/>
      </c>
      <c r="MU12" s="402">
        <f>-ConLoan!MU$31</f>
        <v/>
      </c>
      <c r="MV12" s="402">
        <f>-ConLoan!MV$31</f>
        <v/>
      </c>
      <c r="MW12" s="402">
        <f>-ConLoan!MW$31</f>
        <v/>
      </c>
      <c r="MX12" s="402">
        <f>-ConLoan!MX$31</f>
        <v/>
      </c>
      <c r="MY12" s="402">
        <f>-ConLoan!MY$31</f>
        <v/>
      </c>
      <c r="MZ12" s="402">
        <f>-ConLoan!MZ$31</f>
        <v/>
      </c>
      <c r="NA12" s="402">
        <f>-ConLoan!NA$31</f>
        <v/>
      </c>
      <c r="NB12" s="402">
        <f>-ConLoan!NB$31</f>
        <v/>
      </c>
      <c r="NC12" s="402">
        <f>-ConLoan!NC$31</f>
        <v/>
      </c>
      <c r="ND12" s="402">
        <f>-ConLoan!ND$31</f>
        <v/>
      </c>
      <c r="NE12" s="402">
        <f>-ConLoan!NE$31</f>
        <v/>
      </c>
      <c r="NF12" s="402">
        <f>-ConLoan!NF$31</f>
        <v/>
      </c>
      <c r="NG12" s="402">
        <f>-ConLoan!NG$31</f>
        <v/>
      </c>
      <c r="NH12" s="402">
        <f>-ConLoan!NH$31</f>
        <v/>
      </c>
      <c r="NI12" s="402">
        <f>-ConLoan!NI$31</f>
        <v/>
      </c>
      <c r="NJ12" s="402">
        <f>-ConLoan!NJ$31</f>
        <v/>
      </c>
      <c r="NK12" s="402">
        <f>-ConLoan!NK$31</f>
        <v/>
      </c>
      <c r="NL12" s="402">
        <f>-ConLoan!NL$31</f>
        <v/>
      </c>
    </row>
    <row r="13">
      <c r="B13" s="316" t="inlineStr">
        <is>
          <t>Construction Interest — Current Pay</t>
        </is>
      </c>
      <c r="D13" s="402">
        <f>SUM(E13:NL13)</f>
        <v/>
      </c>
      <c r="E13" s="402">
        <f>-ConLoan!E$50</f>
        <v/>
      </c>
      <c r="F13" s="402">
        <f>-ConLoan!F$50</f>
        <v/>
      </c>
      <c r="G13" s="402">
        <f>-ConLoan!G$50</f>
        <v/>
      </c>
      <c r="H13" s="402">
        <f>-ConLoan!H$50</f>
        <v/>
      </c>
      <c r="I13" s="402">
        <f>-ConLoan!I$50</f>
        <v/>
      </c>
      <c r="J13" s="402">
        <f>-ConLoan!J$50</f>
        <v/>
      </c>
      <c r="K13" s="402">
        <f>-ConLoan!K$50</f>
        <v/>
      </c>
      <c r="L13" s="402">
        <f>-ConLoan!L$50</f>
        <v/>
      </c>
      <c r="M13" s="402">
        <f>-ConLoan!M$50</f>
        <v/>
      </c>
      <c r="N13" s="402">
        <f>-ConLoan!N$50</f>
        <v/>
      </c>
      <c r="O13" s="402">
        <f>-ConLoan!O$50</f>
        <v/>
      </c>
      <c r="P13" s="402">
        <f>-ConLoan!P$50</f>
        <v/>
      </c>
      <c r="Q13" s="402">
        <f>-ConLoan!Q$50</f>
        <v/>
      </c>
      <c r="R13" s="402">
        <f>-ConLoan!R$50</f>
        <v/>
      </c>
      <c r="S13" s="402">
        <f>-ConLoan!S$50</f>
        <v/>
      </c>
      <c r="T13" s="402">
        <f>-ConLoan!T$50</f>
        <v/>
      </c>
      <c r="U13" s="402">
        <f>-ConLoan!U$50</f>
        <v/>
      </c>
      <c r="V13" s="402">
        <f>-ConLoan!V$50</f>
        <v/>
      </c>
      <c r="W13" s="402">
        <f>-ConLoan!W$50</f>
        <v/>
      </c>
      <c r="X13" s="402">
        <f>-ConLoan!X$50</f>
        <v/>
      </c>
      <c r="Y13" s="402">
        <f>-ConLoan!Y$50</f>
        <v/>
      </c>
      <c r="Z13" s="402">
        <f>-ConLoan!Z$50</f>
        <v/>
      </c>
      <c r="AA13" s="402">
        <f>-ConLoan!AA$50</f>
        <v/>
      </c>
      <c r="AB13" s="402">
        <f>-ConLoan!AB$50</f>
        <v/>
      </c>
      <c r="AC13" s="402">
        <f>-ConLoan!AC$50</f>
        <v/>
      </c>
      <c r="AD13" s="402">
        <f>-ConLoan!AD$50</f>
        <v/>
      </c>
      <c r="AE13" s="402">
        <f>-ConLoan!AE$50</f>
        <v/>
      </c>
      <c r="AF13" s="402">
        <f>-ConLoan!AF$50</f>
        <v/>
      </c>
      <c r="AG13" s="402">
        <f>-ConLoan!AG$50</f>
        <v/>
      </c>
      <c r="AH13" s="402">
        <f>-ConLoan!AH$50</f>
        <v/>
      </c>
      <c r="AI13" s="402">
        <f>-ConLoan!AI$50</f>
        <v/>
      </c>
      <c r="AJ13" s="402">
        <f>-ConLoan!AJ$50</f>
        <v/>
      </c>
      <c r="AK13" s="402">
        <f>-ConLoan!AK$50</f>
        <v/>
      </c>
      <c r="AL13" s="402">
        <f>-ConLoan!AL$50</f>
        <v/>
      </c>
      <c r="AM13" s="402">
        <f>-ConLoan!AM$50</f>
        <v/>
      </c>
      <c r="AN13" s="402">
        <f>-ConLoan!AN$50</f>
        <v/>
      </c>
      <c r="AO13" s="402">
        <f>-ConLoan!AO$50</f>
        <v/>
      </c>
      <c r="AP13" s="402">
        <f>-ConLoan!AP$50</f>
        <v/>
      </c>
      <c r="AQ13" s="402">
        <f>-ConLoan!AQ$50</f>
        <v/>
      </c>
      <c r="AR13" s="402">
        <f>-ConLoan!AR$50</f>
        <v/>
      </c>
      <c r="AS13" s="402">
        <f>-ConLoan!AS$50</f>
        <v/>
      </c>
      <c r="AT13" s="402">
        <f>-ConLoan!AT$50</f>
        <v/>
      </c>
      <c r="AU13" s="402">
        <f>-ConLoan!AU$50</f>
        <v/>
      </c>
      <c r="AV13" s="402">
        <f>-ConLoan!AV$50</f>
        <v/>
      </c>
      <c r="AW13" s="402">
        <f>-ConLoan!AW$50</f>
        <v/>
      </c>
      <c r="AX13" s="402">
        <f>-ConLoan!AX$50</f>
        <v/>
      </c>
      <c r="AY13" s="402">
        <f>-ConLoan!AY$50</f>
        <v/>
      </c>
      <c r="AZ13" s="402">
        <f>-ConLoan!AZ$50</f>
        <v/>
      </c>
      <c r="BA13" s="402">
        <f>-ConLoan!BA$50</f>
        <v/>
      </c>
      <c r="BB13" s="402">
        <f>-ConLoan!BB$50</f>
        <v/>
      </c>
      <c r="BC13" s="402">
        <f>-ConLoan!BC$50</f>
        <v/>
      </c>
      <c r="BD13" s="402">
        <f>-ConLoan!BD$50</f>
        <v/>
      </c>
      <c r="BE13" s="402">
        <f>-ConLoan!BE$50</f>
        <v/>
      </c>
      <c r="BF13" s="402">
        <f>-ConLoan!BF$50</f>
        <v/>
      </c>
      <c r="BG13" s="402">
        <f>-ConLoan!BG$50</f>
        <v/>
      </c>
      <c r="BH13" s="402">
        <f>-ConLoan!BH$50</f>
        <v/>
      </c>
      <c r="BI13" s="402">
        <f>-ConLoan!BI$50</f>
        <v/>
      </c>
      <c r="BJ13" s="402">
        <f>-ConLoan!BJ$50</f>
        <v/>
      </c>
      <c r="BK13" s="402">
        <f>-ConLoan!BK$50</f>
        <v/>
      </c>
      <c r="BL13" s="402">
        <f>-ConLoan!BL$50</f>
        <v/>
      </c>
      <c r="BM13" s="402">
        <f>-ConLoan!BM$50</f>
        <v/>
      </c>
      <c r="BN13" s="402">
        <f>-ConLoan!BN$50</f>
        <v/>
      </c>
      <c r="BO13" s="402">
        <f>-ConLoan!BO$50</f>
        <v/>
      </c>
      <c r="BP13" s="402">
        <f>-ConLoan!BP$50</f>
        <v/>
      </c>
      <c r="BQ13" s="402">
        <f>-ConLoan!BQ$50</f>
        <v/>
      </c>
      <c r="BR13" s="402">
        <f>-ConLoan!BR$50</f>
        <v/>
      </c>
      <c r="BS13" s="402">
        <f>-ConLoan!BS$50</f>
        <v/>
      </c>
      <c r="BT13" s="402">
        <f>-ConLoan!BT$50</f>
        <v/>
      </c>
      <c r="BU13" s="402">
        <f>-ConLoan!BU$50</f>
        <v/>
      </c>
      <c r="BV13" s="402">
        <f>-ConLoan!BV$50</f>
        <v/>
      </c>
      <c r="BW13" s="402">
        <f>-ConLoan!BW$50</f>
        <v/>
      </c>
      <c r="BX13" s="402">
        <f>-ConLoan!BX$50</f>
        <v/>
      </c>
      <c r="BY13" s="402">
        <f>-ConLoan!BY$50</f>
        <v/>
      </c>
      <c r="BZ13" s="402">
        <f>-ConLoan!BZ$50</f>
        <v/>
      </c>
      <c r="CA13" s="402">
        <f>-ConLoan!CA$50</f>
        <v/>
      </c>
      <c r="CB13" s="402">
        <f>-ConLoan!CB$50</f>
        <v/>
      </c>
      <c r="CC13" s="402">
        <f>-ConLoan!CC$50</f>
        <v/>
      </c>
      <c r="CD13" s="402">
        <f>-ConLoan!CD$50</f>
        <v/>
      </c>
      <c r="CE13" s="402">
        <f>-ConLoan!CE$50</f>
        <v/>
      </c>
      <c r="CF13" s="402">
        <f>-ConLoan!CF$50</f>
        <v/>
      </c>
      <c r="CG13" s="402">
        <f>-ConLoan!CG$50</f>
        <v/>
      </c>
      <c r="CH13" s="402">
        <f>-ConLoan!CH$50</f>
        <v/>
      </c>
      <c r="CI13" s="402">
        <f>-ConLoan!CI$50</f>
        <v/>
      </c>
      <c r="CJ13" s="402">
        <f>-ConLoan!CJ$50</f>
        <v/>
      </c>
      <c r="CK13" s="402">
        <f>-ConLoan!CK$50</f>
        <v/>
      </c>
      <c r="CL13" s="402">
        <f>-ConLoan!CL$50</f>
        <v/>
      </c>
      <c r="CM13" s="402">
        <f>-ConLoan!CM$50</f>
        <v/>
      </c>
      <c r="CN13" s="402">
        <f>-ConLoan!CN$50</f>
        <v/>
      </c>
      <c r="CO13" s="402">
        <f>-ConLoan!CO$50</f>
        <v/>
      </c>
      <c r="CP13" s="402">
        <f>-ConLoan!CP$50</f>
        <v/>
      </c>
      <c r="CQ13" s="402">
        <f>-ConLoan!CQ$50</f>
        <v/>
      </c>
      <c r="CR13" s="402">
        <f>-ConLoan!CR$50</f>
        <v/>
      </c>
      <c r="CS13" s="402">
        <f>-ConLoan!CS$50</f>
        <v/>
      </c>
      <c r="CT13" s="402">
        <f>-ConLoan!CT$50</f>
        <v/>
      </c>
      <c r="CU13" s="402">
        <f>-ConLoan!CU$50</f>
        <v/>
      </c>
      <c r="CV13" s="402">
        <f>-ConLoan!CV$50</f>
        <v/>
      </c>
      <c r="CW13" s="402">
        <f>-ConLoan!CW$50</f>
        <v/>
      </c>
      <c r="CX13" s="402">
        <f>-ConLoan!CX$50</f>
        <v/>
      </c>
      <c r="CY13" s="402">
        <f>-ConLoan!CY$50</f>
        <v/>
      </c>
      <c r="CZ13" s="402">
        <f>-ConLoan!CZ$50</f>
        <v/>
      </c>
      <c r="DA13" s="402">
        <f>-ConLoan!DA$50</f>
        <v/>
      </c>
      <c r="DB13" s="402">
        <f>-ConLoan!DB$50</f>
        <v/>
      </c>
      <c r="DC13" s="402">
        <f>-ConLoan!DC$50</f>
        <v/>
      </c>
      <c r="DD13" s="402">
        <f>-ConLoan!DD$50</f>
        <v/>
      </c>
      <c r="DE13" s="402">
        <f>-ConLoan!DE$50</f>
        <v/>
      </c>
      <c r="DF13" s="402">
        <f>-ConLoan!DF$50</f>
        <v/>
      </c>
      <c r="DG13" s="402">
        <f>-ConLoan!DG$50</f>
        <v/>
      </c>
      <c r="DH13" s="402">
        <f>-ConLoan!DH$50</f>
        <v/>
      </c>
      <c r="DI13" s="402">
        <f>-ConLoan!DI$50</f>
        <v/>
      </c>
      <c r="DJ13" s="402">
        <f>-ConLoan!DJ$50</f>
        <v/>
      </c>
      <c r="DK13" s="402">
        <f>-ConLoan!DK$50</f>
        <v/>
      </c>
      <c r="DL13" s="402">
        <f>-ConLoan!DL$50</f>
        <v/>
      </c>
      <c r="DM13" s="402">
        <f>-ConLoan!DM$50</f>
        <v/>
      </c>
      <c r="DN13" s="402">
        <f>-ConLoan!DN$50</f>
        <v/>
      </c>
      <c r="DO13" s="402">
        <f>-ConLoan!DO$50</f>
        <v/>
      </c>
      <c r="DP13" s="402">
        <f>-ConLoan!DP$50</f>
        <v/>
      </c>
      <c r="DQ13" s="402">
        <f>-ConLoan!DQ$50</f>
        <v/>
      </c>
      <c r="DR13" s="402">
        <f>-ConLoan!DR$50</f>
        <v/>
      </c>
      <c r="DS13" s="402">
        <f>-ConLoan!DS$50</f>
        <v/>
      </c>
      <c r="DT13" s="402">
        <f>-ConLoan!DT$50</f>
        <v/>
      </c>
      <c r="DU13" s="402">
        <f>-ConLoan!DU$50</f>
        <v/>
      </c>
      <c r="DV13" s="402">
        <f>-ConLoan!DV$50</f>
        <v/>
      </c>
      <c r="DW13" s="402">
        <f>-ConLoan!DW$50</f>
        <v/>
      </c>
      <c r="DX13" s="402">
        <f>-ConLoan!DX$50</f>
        <v/>
      </c>
      <c r="DY13" s="402">
        <f>-ConLoan!DY$50</f>
        <v/>
      </c>
      <c r="DZ13" s="402">
        <f>-ConLoan!DZ$50</f>
        <v/>
      </c>
      <c r="EA13" s="402">
        <f>-ConLoan!EA$50</f>
        <v/>
      </c>
      <c r="EB13" s="402">
        <f>-ConLoan!EB$50</f>
        <v/>
      </c>
      <c r="EC13" s="402">
        <f>-ConLoan!EC$50</f>
        <v/>
      </c>
      <c r="ED13" s="402">
        <f>-ConLoan!ED$50</f>
        <v/>
      </c>
      <c r="EE13" s="402">
        <f>-ConLoan!EE$50</f>
        <v/>
      </c>
      <c r="EF13" s="402">
        <f>-ConLoan!EF$50</f>
        <v/>
      </c>
      <c r="EG13" s="402">
        <f>-ConLoan!EG$50</f>
        <v/>
      </c>
      <c r="EH13" s="402">
        <f>-ConLoan!EH$50</f>
        <v/>
      </c>
      <c r="EI13" s="402">
        <f>-ConLoan!EI$50</f>
        <v/>
      </c>
      <c r="EJ13" s="402">
        <f>-ConLoan!EJ$50</f>
        <v/>
      </c>
      <c r="EK13" s="402">
        <f>-ConLoan!EK$50</f>
        <v/>
      </c>
      <c r="EL13" s="402">
        <f>-ConLoan!EL$50</f>
        <v/>
      </c>
      <c r="EM13" s="402">
        <f>-ConLoan!EM$50</f>
        <v/>
      </c>
      <c r="EN13" s="402">
        <f>-ConLoan!EN$50</f>
        <v/>
      </c>
      <c r="EO13" s="402">
        <f>-ConLoan!EO$50</f>
        <v/>
      </c>
      <c r="EP13" s="402">
        <f>-ConLoan!EP$50</f>
        <v/>
      </c>
      <c r="EQ13" s="402">
        <f>-ConLoan!EQ$50</f>
        <v/>
      </c>
      <c r="ER13" s="402">
        <f>-ConLoan!ER$50</f>
        <v/>
      </c>
      <c r="ES13" s="402">
        <f>-ConLoan!ES$50</f>
        <v/>
      </c>
      <c r="ET13" s="402">
        <f>-ConLoan!ET$50</f>
        <v/>
      </c>
      <c r="EU13" s="402">
        <f>-ConLoan!EU$50</f>
        <v/>
      </c>
      <c r="EV13" s="402">
        <f>-ConLoan!EV$50</f>
        <v/>
      </c>
      <c r="EW13" s="402">
        <f>-ConLoan!EW$50</f>
        <v/>
      </c>
      <c r="EX13" s="402">
        <f>-ConLoan!EX$50</f>
        <v/>
      </c>
      <c r="EY13" s="402">
        <f>-ConLoan!EY$50</f>
        <v/>
      </c>
      <c r="EZ13" s="402">
        <f>-ConLoan!EZ$50</f>
        <v/>
      </c>
      <c r="FA13" s="402">
        <f>-ConLoan!FA$50</f>
        <v/>
      </c>
      <c r="FB13" s="402">
        <f>-ConLoan!FB$50</f>
        <v/>
      </c>
      <c r="FC13" s="402">
        <f>-ConLoan!FC$50</f>
        <v/>
      </c>
      <c r="FD13" s="402">
        <f>-ConLoan!FD$50</f>
        <v/>
      </c>
      <c r="FE13" s="402">
        <f>-ConLoan!FE$50</f>
        <v/>
      </c>
      <c r="FF13" s="402">
        <f>-ConLoan!FF$50</f>
        <v/>
      </c>
      <c r="FG13" s="402">
        <f>-ConLoan!FG$50</f>
        <v/>
      </c>
      <c r="FH13" s="402">
        <f>-ConLoan!FH$50</f>
        <v/>
      </c>
      <c r="FI13" s="402">
        <f>-ConLoan!FI$50</f>
        <v/>
      </c>
      <c r="FJ13" s="402">
        <f>-ConLoan!FJ$50</f>
        <v/>
      </c>
      <c r="FK13" s="402">
        <f>-ConLoan!FK$50</f>
        <v/>
      </c>
      <c r="FL13" s="402">
        <f>-ConLoan!FL$50</f>
        <v/>
      </c>
      <c r="FM13" s="402">
        <f>-ConLoan!FM$50</f>
        <v/>
      </c>
      <c r="FN13" s="402">
        <f>-ConLoan!FN$50</f>
        <v/>
      </c>
      <c r="FO13" s="402">
        <f>-ConLoan!FO$50</f>
        <v/>
      </c>
      <c r="FP13" s="402">
        <f>-ConLoan!FP$50</f>
        <v/>
      </c>
      <c r="FQ13" s="402">
        <f>-ConLoan!FQ$50</f>
        <v/>
      </c>
      <c r="FR13" s="402">
        <f>-ConLoan!FR$50</f>
        <v/>
      </c>
      <c r="FS13" s="402">
        <f>-ConLoan!FS$50</f>
        <v/>
      </c>
      <c r="FT13" s="402">
        <f>-ConLoan!FT$50</f>
        <v/>
      </c>
      <c r="FU13" s="402">
        <f>-ConLoan!FU$50</f>
        <v/>
      </c>
      <c r="FV13" s="402">
        <f>-ConLoan!FV$50</f>
        <v/>
      </c>
      <c r="FW13" s="402">
        <f>-ConLoan!FW$50</f>
        <v/>
      </c>
      <c r="FX13" s="402">
        <f>-ConLoan!FX$50</f>
        <v/>
      </c>
      <c r="FY13" s="402">
        <f>-ConLoan!FY$50</f>
        <v/>
      </c>
      <c r="FZ13" s="402">
        <f>-ConLoan!FZ$50</f>
        <v/>
      </c>
      <c r="GA13" s="402">
        <f>-ConLoan!GA$50</f>
        <v/>
      </c>
      <c r="GB13" s="402">
        <f>-ConLoan!GB$50</f>
        <v/>
      </c>
      <c r="GC13" s="402">
        <f>-ConLoan!GC$50</f>
        <v/>
      </c>
      <c r="GD13" s="402">
        <f>-ConLoan!GD$50</f>
        <v/>
      </c>
      <c r="GE13" s="402">
        <f>-ConLoan!GE$50</f>
        <v/>
      </c>
      <c r="GF13" s="402">
        <f>-ConLoan!GF$50</f>
        <v/>
      </c>
      <c r="GG13" s="402">
        <f>-ConLoan!GG$50</f>
        <v/>
      </c>
      <c r="GH13" s="402">
        <f>-ConLoan!GH$50</f>
        <v/>
      </c>
      <c r="GI13" s="402">
        <f>-ConLoan!GI$50</f>
        <v/>
      </c>
      <c r="GJ13" s="402">
        <f>-ConLoan!GJ$50</f>
        <v/>
      </c>
      <c r="GK13" s="402">
        <f>-ConLoan!GK$50</f>
        <v/>
      </c>
      <c r="GL13" s="402">
        <f>-ConLoan!GL$50</f>
        <v/>
      </c>
      <c r="GM13" s="402">
        <f>-ConLoan!GM$50</f>
        <v/>
      </c>
      <c r="GN13" s="402">
        <f>-ConLoan!GN$50</f>
        <v/>
      </c>
      <c r="GO13" s="402">
        <f>-ConLoan!GO$50</f>
        <v/>
      </c>
      <c r="GP13" s="402">
        <f>-ConLoan!GP$50</f>
        <v/>
      </c>
      <c r="GQ13" s="402">
        <f>-ConLoan!GQ$50</f>
        <v/>
      </c>
      <c r="GR13" s="402">
        <f>-ConLoan!GR$50</f>
        <v/>
      </c>
      <c r="GS13" s="402">
        <f>-ConLoan!GS$50</f>
        <v/>
      </c>
      <c r="GT13" s="402">
        <f>-ConLoan!GT$50</f>
        <v/>
      </c>
      <c r="GU13" s="402">
        <f>-ConLoan!GU$50</f>
        <v/>
      </c>
      <c r="GV13" s="402">
        <f>-ConLoan!GV$50</f>
        <v/>
      </c>
      <c r="GW13" s="402">
        <f>-ConLoan!GW$50</f>
        <v/>
      </c>
      <c r="GX13" s="402">
        <f>-ConLoan!GX$50</f>
        <v/>
      </c>
      <c r="GY13" s="402">
        <f>-ConLoan!GY$50</f>
        <v/>
      </c>
      <c r="GZ13" s="402">
        <f>-ConLoan!GZ$50</f>
        <v/>
      </c>
      <c r="HA13" s="402">
        <f>-ConLoan!HA$50</f>
        <v/>
      </c>
      <c r="HB13" s="402">
        <f>-ConLoan!HB$50</f>
        <v/>
      </c>
      <c r="HC13" s="402">
        <f>-ConLoan!HC$50</f>
        <v/>
      </c>
      <c r="HD13" s="402">
        <f>-ConLoan!HD$50</f>
        <v/>
      </c>
      <c r="HE13" s="402">
        <f>-ConLoan!HE$50</f>
        <v/>
      </c>
      <c r="HF13" s="402">
        <f>-ConLoan!HF$50</f>
        <v/>
      </c>
      <c r="HG13" s="402">
        <f>-ConLoan!HG$50</f>
        <v/>
      </c>
      <c r="HH13" s="402">
        <f>-ConLoan!HH$50</f>
        <v/>
      </c>
      <c r="HI13" s="402">
        <f>-ConLoan!HI$50</f>
        <v/>
      </c>
      <c r="HJ13" s="402">
        <f>-ConLoan!HJ$50</f>
        <v/>
      </c>
      <c r="HK13" s="402">
        <f>-ConLoan!HK$50</f>
        <v/>
      </c>
      <c r="HL13" s="402">
        <f>-ConLoan!HL$50</f>
        <v/>
      </c>
      <c r="HM13" s="402">
        <f>-ConLoan!HM$50</f>
        <v/>
      </c>
      <c r="HN13" s="402">
        <f>-ConLoan!HN$50</f>
        <v/>
      </c>
      <c r="HO13" s="402">
        <f>-ConLoan!HO$50</f>
        <v/>
      </c>
      <c r="HP13" s="402">
        <f>-ConLoan!HP$50</f>
        <v/>
      </c>
      <c r="HQ13" s="402">
        <f>-ConLoan!HQ$50</f>
        <v/>
      </c>
      <c r="HR13" s="402">
        <f>-ConLoan!HR$50</f>
        <v/>
      </c>
      <c r="HS13" s="402">
        <f>-ConLoan!HS$50</f>
        <v/>
      </c>
      <c r="HT13" s="402">
        <f>-ConLoan!HT$50</f>
        <v/>
      </c>
      <c r="HU13" s="402">
        <f>-ConLoan!HU$50</f>
        <v/>
      </c>
      <c r="HV13" s="402">
        <f>-ConLoan!HV$50</f>
        <v/>
      </c>
      <c r="HW13" s="402">
        <f>-ConLoan!HW$50</f>
        <v/>
      </c>
      <c r="HX13" s="402">
        <f>-ConLoan!HX$50</f>
        <v/>
      </c>
      <c r="HY13" s="402">
        <f>-ConLoan!HY$50</f>
        <v/>
      </c>
      <c r="HZ13" s="402">
        <f>-ConLoan!HZ$50</f>
        <v/>
      </c>
      <c r="IA13" s="402">
        <f>-ConLoan!IA$50</f>
        <v/>
      </c>
      <c r="IB13" s="402">
        <f>-ConLoan!IB$50</f>
        <v/>
      </c>
      <c r="IC13" s="402">
        <f>-ConLoan!IC$50</f>
        <v/>
      </c>
      <c r="ID13" s="402">
        <f>-ConLoan!ID$50</f>
        <v/>
      </c>
      <c r="IE13" s="402">
        <f>-ConLoan!IE$50</f>
        <v/>
      </c>
      <c r="IF13" s="402">
        <f>-ConLoan!IF$50</f>
        <v/>
      </c>
      <c r="IG13" s="402">
        <f>-ConLoan!IG$50</f>
        <v/>
      </c>
      <c r="IH13" s="402">
        <f>-ConLoan!IH$50</f>
        <v/>
      </c>
      <c r="II13" s="402">
        <f>-ConLoan!II$50</f>
        <v/>
      </c>
      <c r="IJ13" s="402">
        <f>-ConLoan!IJ$50</f>
        <v/>
      </c>
      <c r="IK13" s="402">
        <f>-ConLoan!IK$50</f>
        <v/>
      </c>
      <c r="IL13" s="402">
        <f>-ConLoan!IL$50</f>
        <v/>
      </c>
      <c r="IM13" s="402">
        <f>-ConLoan!IM$50</f>
        <v/>
      </c>
      <c r="IN13" s="402">
        <f>-ConLoan!IN$50</f>
        <v/>
      </c>
      <c r="IO13" s="402">
        <f>-ConLoan!IO$50</f>
        <v/>
      </c>
      <c r="IP13" s="402">
        <f>-ConLoan!IP$50</f>
        <v/>
      </c>
      <c r="IQ13" s="402">
        <f>-ConLoan!IQ$50</f>
        <v/>
      </c>
      <c r="IR13" s="402">
        <f>-ConLoan!IR$50</f>
        <v/>
      </c>
      <c r="IS13" s="402">
        <f>-ConLoan!IS$50</f>
        <v/>
      </c>
      <c r="IT13" s="402">
        <f>-ConLoan!IT$50</f>
        <v/>
      </c>
      <c r="IU13" s="402">
        <f>-ConLoan!IU$50</f>
        <v/>
      </c>
      <c r="IV13" s="402">
        <f>-ConLoan!IV$50</f>
        <v/>
      </c>
      <c r="IW13" s="402">
        <f>-ConLoan!IW$50</f>
        <v/>
      </c>
      <c r="IX13" s="402">
        <f>-ConLoan!IX$50</f>
        <v/>
      </c>
      <c r="IY13" s="402">
        <f>-ConLoan!IY$50</f>
        <v/>
      </c>
      <c r="IZ13" s="402">
        <f>-ConLoan!IZ$50</f>
        <v/>
      </c>
      <c r="JA13" s="402">
        <f>-ConLoan!JA$50</f>
        <v/>
      </c>
      <c r="JB13" s="402">
        <f>-ConLoan!JB$50</f>
        <v/>
      </c>
      <c r="JC13" s="402">
        <f>-ConLoan!JC$50</f>
        <v/>
      </c>
      <c r="JD13" s="402">
        <f>-ConLoan!JD$50</f>
        <v/>
      </c>
      <c r="JE13" s="402">
        <f>-ConLoan!JE$50</f>
        <v/>
      </c>
      <c r="JF13" s="402">
        <f>-ConLoan!JF$50</f>
        <v/>
      </c>
      <c r="JG13" s="402">
        <f>-ConLoan!JG$50</f>
        <v/>
      </c>
      <c r="JH13" s="402">
        <f>-ConLoan!JH$50</f>
        <v/>
      </c>
      <c r="JI13" s="402">
        <f>-ConLoan!JI$50</f>
        <v/>
      </c>
      <c r="JJ13" s="402">
        <f>-ConLoan!JJ$50</f>
        <v/>
      </c>
      <c r="JK13" s="402">
        <f>-ConLoan!JK$50</f>
        <v/>
      </c>
      <c r="JL13" s="402">
        <f>-ConLoan!JL$50</f>
        <v/>
      </c>
      <c r="JM13" s="402">
        <f>-ConLoan!JM$50</f>
        <v/>
      </c>
      <c r="JN13" s="402">
        <f>-ConLoan!JN$50</f>
        <v/>
      </c>
      <c r="JO13" s="402">
        <f>-ConLoan!JO$50</f>
        <v/>
      </c>
      <c r="JP13" s="402">
        <f>-ConLoan!JP$50</f>
        <v/>
      </c>
      <c r="JQ13" s="402">
        <f>-ConLoan!JQ$50</f>
        <v/>
      </c>
      <c r="JR13" s="402">
        <f>-ConLoan!JR$50</f>
        <v/>
      </c>
      <c r="JS13" s="402">
        <f>-ConLoan!JS$50</f>
        <v/>
      </c>
      <c r="JT13" s="402">
        <f>-ConLoan!JT$50</f>
        <v/>
      </c>
      <c r="JU13" s="402">
        <f>-ConLoan!JU$50</f>
        <v/>
      </c>
      <c r="JV13" s="402">
        <f>-ConLoan!JV$50</f>
        <v/>
      </c>
      <c r="JW13" s="402">
        <f>-ConLoan!JW$50</f>
        <v/>
      </c>
      <c r="JX13" s="402">
        <f>-ConLoan!JX$50</f>
        <v/>
      </c>
      <c r="JY13" s="402">
        <f>-ConLoan!JY$50</f>
        <v/>
      </c>
      <c r="JZ13" s="402">
        <f>-ConLoan!JZ$50</f>
        <v/>
      </c>
      <c r="KA13" s="402">
        <f>-ConLoan!KA$50</f>
        <v/>
      </c>
      <c r="KB13" s="402">
        <f>-ConLoan!KB$50</f>
        <v/>
      </c>
      <c r="KC13" s="402">
        <f>-ConLoan!KC$50</f>
        <v/>
      </c>
      <c r="KD13" s="402">
        <f>-ConLoan!KD$50</f>
        <v/>
      </c>
      <c r="KE13" s="402">
        <f>-ConLoan!KE$50</f>
        <v/>
      </c>
      <c r="KF13" s="402">
        <f>-ConLoan!KF$50</f>
        <v/>
      </c>
      <c r="KG13" s="402">
        <f>-ConLoan!KG$50</f>
        <v/>
      </c>
      <c r="KH13" s="402">
        <f>-ConLoan!KH$50</f>
        <v/>
      </c>
      <c r="KI13" s="402">
        <f>-ConLoan!KI$50</f>
        <v/>
      </c>
      <c r="KJ13" s="402">
        <f>-ConLoan!KJ$50</f>
        <v/>
      </c>
      <c r="KK13" s="402">
        <f>-ConLoan!KK$50</f>
        <v/>
      </c>
      <c r="KL13" s="402">
        <f>-ConLoan!KL$50</f>
        <v/>
      </c>
      <c r="KM13" s="402">
        <f>-ConLoan!KM$50</f>
        <v/>
      </c>
      <c r="KN13" s="402">
        <f>-ConLoan!KN$50</f>
        <v/>
      </c>
      <c r="KO13" s="402">
        <f>-ConLoan!KO$50</f>
        <v/>
      </c>
      <c r="KP13" s="402">
        <f>-ConLoan!KP$50</f>
        <v/>
      </c>
      <c r="KQ13" s="402">
        <f>-ConLoan!KQ$50</f>
        <v/>
      </c>
      <c r="KR13" s="402">
        <f>-ConLoan!KR$50</f>
        <v/>
      </c>
      <c r="KS13" s="402">
        <f>-ConLoan!KS$50</f>
        <v/>
      </c>
      <c r="KT13" s="402">
        <f>-ConLoan!KT$50</f>
        <v/>
      </c>
      <c r="KU13" s="402">
        <f>-ConLoan!KU$50</f>
        <v/>
      </c>
      <c r="KV13" s="402">
        <f>-ConLoan!KV$50</f>
        <v/>
      </c>
      <c r="KW13" s="402">
        <f>-ConLoan!KW$50</f>
        <v/>
      </c>
      <c r="KX13" s="402">
        <f>-ConLoan!KX$50</f>
        <v/>
      </c>
      <c r="KY13" s="402">
        <f>-ConLoan!KY$50</f>
        <v/>
      </c>
      <c r="KZ13" s="402">
        <f>-ConLoan!KZ$50</f>
        <v/>
      </c>
      <c r="LA13" s="402">
        <f>-ConLoan!LA$50</f>
        <v/>
      </c>
      <c r="LB13" s="402">
        <f>-ConLoan!LB$50</f>
        <v/>
      </c>
      <c r="LC13" s="402">
        <f>-ConLoan!LC$50</f>
        <v/>
      </c>
      <c r="LD13" s="402">
        <f>-ConLoan!LD$50</f>
        <v/>
      </c>
      <c r="LE13" s="402">
        <f>-ConLoan!LE$50</f>
        <v/>
      </c>
      <c r="LF13" s="402">
        <f>-ConLoan!LF$50</f>
        <v/>
      </c>
      <c r="LG13" s="402">
        <f>-ConLoan!LG$50</f>
        <v/>
      </c>
      <c r="LH13" s="402">
        <f>-ConLoan!LH$50</f>
        <v/>
      </c>
      <c r="LI13" s="402">
        <f>-ConLoan!LI$50</f>
        <v/>
      </c>
      <c r="LJ13" s="402">
        <f>-ConLoan!LJ$50</f>
        <v/>
      </c>
      <c r="LK13" s="402">
        <f>-ConLoan!LK$50</f>
        <v/>
      </c>
      <c r="LL13" s="402">
        <f>-ConLoan!LL$50</f>
        <v/>
      </c>
      <c r="LM13" s="402">
        <f>-ConLoan!LM$50</f>
        <v/>
      </c>
      <c r="LN13" s="402">
        <f>-ConLoan!LN$50</f>
        <v/>
      </c>
      <c r="LO13" s="402">
        <f>-ConLoan!LO$50</f>
        <v/>
      </c>
      <c r="LP13" s="402">
        <f>-ConLoan!LP$50</f>
        <v/>
      </c>
      <c r="LQ13" s="402">
        <f>-ConLoan!LQ$50</f>
        <v/>
      </c>
      <c r="LR13" s="402">
        <f>-ConLoan!LR$50</f>
        <v/>
      </c>
      <c r="LS13" s="402">
        <f>-ConLoan!LS$50</f>
        <v/>
      </c>
      <c r="LT13" s="402">
        <f>-ConLoan!LT$50</f>
        <v/>
      </c>
      <c r="LU13" s="402">
        <f>-ConLoan!LU$50</f>
        <v/>
      </c>
      <c r="LV13" s="402">
        <f>-ConLoan!LV$50</f>
        <v/>
      </c>
      <c r="LW13" s="402">
        <f>-ConLoan!LW$50</f>
        <v/>
      </c>
      <c r="LX13" s="402">
        <f>-ConLoan!LX$50</f>
        <v/>
      </c>
      <c r="LY13" s="402">
        <f>-ConLoan!LY$50</f>
        <v/>
      </c>
      <c r="LZ13" s="402">
        <f>-ConLoan!LZ$50</f>
        <v/>
      </c>
      <c r="MA13" s="402">
        <f>-ConLoan!MA$50</f>
        <v/>
      </c>
      <c r="MB13" s="402">
        <f>-ConLoan!MB$50</f>
        <v/>
      </c>
      <c r="MC13" s="402">
        <f>-ConLoan!MC$50</f>
        <v/>
      </c>
      <c r="MD13" s="402">
        <f>-ConLoan!MD$50</f>
        <v/>
      </c>
      <c r="ME13" s="402">
        <f>-ConLoan!ME$50</f>
        <v/>
      </c>
      <c r="MF13" s="402">
        <f>-ConLoan!MF$50</f>
        <v/>
      </c>
      <c r="MG13" s="402">
        <f>-ConLoan!MG$50</f>
        <v/>
      </c>
      <c r="MH13" s="402">
        <f>-ConLoan!MH$50</f>
        <v/>
      </c>
      <c r="MI13" s="402">
        <f>-ConLoan!MI$50</f>
        <v/>
      </c>
      <c r="MJ13" s="402">
        <f>-ConLoan!MJ$50</f>
        <v/>
      </c>
      <c r="MK13" s="402">
        <f>-ConLoan!MK$50</f>
        <v/>
      </c>
      <c r="ML13" s="402">
        <f>-ConLoan!ML$50</f>
        <v/>
      </c>
      <c r="MM13" s="402">
        <f>-ConLoan!MM$50</f>
        <v/>
      </c>
      <c r="MN13" s="402">
        <f>-ConLoan!MN$50</f>
        <v/>
      </c>
      <c r="MO13" s="402">
        <f>-ConLoan!MO$50</f>
        <v/>
      </c>
      <c r="MP13" s="402">
        <f>-ConLoan!MP$50</f>
        <v/>
      </c>
      <c r="MQ13" s="402">
        <f>-ConLoan!MQ$50</f>
        <v/>
      </c>
      <c r="MR13" s="402">
        <f>-ConLoan!MR$50</f>
        <v/>
      </c>
      <c r="MS13" s="402">
        <f>-ConLoan!MS$50</f>
        <v/>
      </c>
      <c r="MT13" s="402">
        <f>-ConLoan!MT$50</f>
        <v/>
      </c>
      <c r="MU13" s="402">
        <f>-ConLoan!MU$50</f>
        <v/>
      </c>
      <c r="MV13" s="402">
        <f>-ConLoan!MV$50</f>
        <v/>
      </c>
      <c r="MW13" s="402">
        <f>-ConLoan!MW$50</f>
        <v/>
      </c>
      <c r="MX13" s="402">
        <f>-ConLoan!MX$50</f>
        <v/>
      </c>
      <c r="MY13" s="402">
        <f>-ConLoan!MY$50</f>
        <v/>
      </c>
      <c r="MZ13" s="402">
        <f>-ConLoan!MZ$50</f>
        <v/>
      </c>
      <c r="NA13" s="402">
        <f>-ConLoan!NA$50</f>
        <v/>
      </c>
      <c r="NB13" s="402">
        <f>-ConLoan!NB$50</f>
        <v/>
      </c>
      <c r="NC13" s="402">
        <f>-ConLoan!NC$50</f>
        <v/>
      </c>
      <c r="ND13" s="402">
        <f>-ConLoan!ND$50</f>
        <v/>
      </c>
      <c r="NE13" s="402">
        <f>-ConLoan!NE$50</f>
        <v/>
      </c>
      <c r="NF13" s="402">
        <f>-ConLoan!NF$50</f>
        <v/>
      </c>
      <c r="NG13" s="402">
        <f>-ConLoan!NG$50</f>
        <v/>
      </c>
      <c r="NH13" s="402">
        <f>-ConLoan!NH$50</f>
        <v/>
      </c>
      <c r="NI13" s="402">
        <f>-ConLoan!NI$50</f>
        <v/>
      </c>
      <c r="NJ13" s="402">
        <f>-ConLoan!NJ$50</f>
        <v/>
      </c>
      <c r="NK13" s="402">
        <f>-ConLoan!NK$50</f>
        <v/>
      </c>
      <c r="NL13" s="402">
        <f>-ConLoan!NL$50</f>
        <v/>
      </c>
    </row>
    <row r="14">
      <c r="B14" s="316" t="inlineStr">
        <is>
          <t>Permanent Interest</t>
        </is>
      </c>
      <c r="D14" s="402">
        <f>SUM(E14:NL14)</f>
        <v/>
      </c>
      <c r="E14" s="402">
        <f>-PermLoan!E$27</f>
        <v/>
      </c>
      <c r="F14" s="402">
        <f>-PermLoan!F$27</f>
        <v/>
      </c>
      <c r="G14" s="402">
        <f>-PermLoan!G$27</f>
        <v/>
      </c>
      <c r="H14" s="402">
        <f>-PermLoan!H$27</f>
        <v/>
      </c>
      <c r="I14" s="402">
        <f>-PermLoan!I$27</f>
        <v/>
      </c>
      <c r="J14" s="402">
        <f>-PermLoan!J$27</f>
        <v/>
      </c>
      <c r="K14" s="402">
        <f>-PermLoan!K$27</f>
        <v/>
      </c>
      <c r="L14" s="402">
        <f>-PermLoan!L$27</f>
        <v/>
      </c>
      <c r="M14" s="402">
        <f>-PermLoan!M$27</f>
        <v/>
      </c>
      <c r="N14" s="402">
        <f>-PermLoan!N$27</f>
        <v/>
      </c>
      <c r="O14" s="402">
        <f>-PermLoan!O$27</f>
        <v/>
      </c>
      <c r="P14" s="402">
        <f>-PermLoan!P$27</f>
        <v/>
      </c>
      <c r="Q14" s="402">
        <f>-PermLoan!Q$27</f>
        <v/>
      </c>
      <c r="R14" s="402">
        <f>-PermLoan!R$27</f>
        <v/>
      </c>
      <c r="S14" s="402">
        <f>-PermLoan!S$27</f>
        <v/>
      </c>
      <c r="T14" s="402">
        <f>-PermLoan!T$27</f>
        <v/>
      </c>
      <c r="U14" s="402">
        <f>-PermLoan!U$27</f>
        <v/>
      </c>
      <c r="V14" s="402">
        <f>-PermLoan!V$27</f>
        <v/>
      </c>
      <c r="W14" s="402">
        <f>-PermLoan!W$27</f>
        <v/>
      </c>
      <c r="X14" s="402">
        <f>-PermLoan!X$27</f>
        <v/>
      </c>
      <c r="Y14" s="402">
        <f>-PermLoan!Y$27</f>
        <v/>
      </c>
      <c r="Z14" s="402">
        <f>-PermLoan!Z$27</f>
        <v/>
      </c>
      <c r="AA14" s="402">
        <f>-PermLoan!AA$27</f>
        <v/>
      </c>
      <c r="AB14" s="402">
        <f>-PermLoan!AB$27</f>
        <v/>
      </c>
      <c r="AC14" s="402">
        <f>-PermLoan!AC$27</f>
        <v/>
      </c>
      <c r="AD14" s="402">
        <f>-PermLoan!AD$27</f>
        <v/>
      </c>
      <c r="AE14" s="402">
        <f>-PermLoan!AE$27</f>
        <v/>
      </c>
      <c r="AF14" s="402">
        <f>-PermLoan!AF$27</f>
        <v/>
      </c>
      <c r="AG14" s="402">
        <f>-PermLoan!AG$27</f>
        <v/>
      </c>
      <c r="AH14" s="402">
        <f>-PermLoan!AH$27</f>
        <v/>
      </c>
      <c r="AI14" s="402">
        <f>-PermLoan!AI$27</f>
        <v/>
      </c>
      <c r="AJ14" s="402">
        <f>-PermLoan!AJ$27</f>
        <v/>
      </c>
      <c r="AK14" s="402">
        <f>-PermLoan!AK$27</f>
        <v/>
      </c>
      <c r="AL14" s="402">
        <f>-PermLoan!AL$27</f>
        <v/>
      </c>
      <c r="AM14" s="402">
        <f>-PermLoan!AM$27</f>
        <v/>
      </c>
      <c r="AN14" s="402">
        <f>-PermLoan!AN$27</f>
        <v/>
      </c>
      <c r="AO14" s="402">
        <f>-PermLoan!AO$27</f>
        <v/>
      </c>
      <c r="AP14" s="402">
        <f>-PermLoan!AP$27</f>
        <v/>
      </c>
      <c r="AQ14" s="402">
        <f>-PermLoan!AQ$27</f>
        <v/>
      </c>
      <c r="AR14" s="402">
        <f>-PermLoan!AR$27</f>
        <v/>
      </c>
      <c r="AS14" s="402">
        <f>-PermLoan!AS$27</f>
        <v/>
      </c>
      <c r="AT14" s="402">
        <f>-PermLoan!AT$27</f>
        <v/>
      </c>
      <c r="AU14" s="402">
        <f>-PermLoan!AU$27</f>
        <v/>
      </c>
      <c r="AV14" s="402">
        <f>-PermLoan!AV$27</f>
        <v/>
      </c>
      <c r="AW14" s="402">
        <f>-PermLoan!AW$27</f>
        <v/>
      </c>
      <c r="AX14" s="402">
        <f>-PermLoan!AX$27</f>
        <v/>
      </c>
      <c r="AY14" s="402">
        <f>-PermLoan!AY$27</f>
        <v/>
      </c>
      <c r="AZ14" s="402">
        <f>-PermLoan!AZ$27</f>
        <v/>
      </c>
      <c r="BA14" s="402">
        <f>-PermLoan!BA$27</f>
        <v/>
      </c>
      <c r="BB14" s="402">
        <f>-PermLoan!BB$27</f>
        <v/>
      </c>
      <c r="BC14" s="402">
        <f>-PermLoan!BC$27</f>
        <v/>
      </c>
      <c r="BD14" s="402">
        <f>-PermLoan!BD$27</f>
        <v/>
      </c>
      <c r="BE14" s="402">
        <f>-PermLoan!BE$27</f>
        <v/>
      </c>
      <c r="BF14" s="402">
        <f>-PermLoan!BF$27</f>
        <v/>
      </c>
      <c r="BG14" s="402">
        <f>-PermLoan!BG$27</f>
        <v/>
      </c>
      <c r="BH14" s="402">
        <f>-PermLoan!BH$27</f>
        <v/>
      </c>
      <c r="BI14" s="402">
        <f>-PermLoan!BI$27</f>
        <v/>
      </c>
      <c r="BJ14" s="402">
        <f>-PermLoan!BJ$27</f>
        <v/>
      </c>
      <c r="BK14" s="402">
        <f>-PermLoan!BK$27</f>
        <v/>
      </c>
      <c r="BL14" s="402">
        <f>-PermLoan!BL$27</f>
        <v/>
      </c>
      <c r="BM14" s="402">
        <f>-PermLoan!BM$27</f>
        <v/>
      </c>
      <c r="BN14" s="402">
        <f>-PermLoan!BN$27</f>
        <v/>
      </c>
      <c r="BO14" s="402">
        <f>-PermLoan!BO$27</f>
        <v/>
      </c>
      <c r="BP14" s="402">
        <f>-PermLoan!BP$27</f>
        <v/>
      </c>
      <c r="BQ14" s="402">
        <f>-PermLoan!BQ$27</f>
        <v/>
      </c>
      <c r="BR14" s="402">
        <f>-PermLoan!BR$27</f>
        <v/>
      </c>
      <c r="BS14" s="402">
        <f>-PermLoan!BS$27</f>
        <v/>
      </c>
      <c r="BT14" s="402">
        <f>-PermLoan!BT$27</f>
        <v/>
      </c>
      <c r="BU14" s="402">
        <f>-PermLoan!BU$27</f>
        <v/>
      </c>
      <c r="BV14" s="402">
        <f>-PermLoan!BV$27</f>
        <v/>
      </c>
      <c r="BW14" s="402">
        <f>-PermLoan!BW$27</f>
        <v/>
      </c>
      <c r="BX14" s="402">
        <f>-PermLoan!BX$27</f>
        <v/>
      </c>
      <c r="BY14" s="402">
        <f>-PermLoan!BY$27</f>
        <v/>
      </c>
      <c r="BZ14" s="402">
        <f>-PermLoan!BZ$27</f>
        <v/>
      </c>
      <c r="CA14" s="402">
        <f>-PermLoan!CA$27</f>
        <v/>
      </c>
      <c r="CB14" s="402">
        <f>-PermLoan!CB$27</f>
        <v/>
      </c>
      <c r="CC14" s="402">
        <f>-PermLoan!CC$27</f>
        <v/>
      </c>
      <c r="CD14" s="402">
        <f>-PermLoan!CD$27</f>
        <v/>
      </c>
      <c r="CE14" s="402">
        <f>-PermLoan!CE$27</f>
        <v/>
      </c>
      <c r="CF14" s="402">
        <f>-PermLoan!CF$27</f>
        <v/>
      </c>
      <c r="CG14" s="402">
        <f>-PermLoan!CG$27</f>
        <v/>
      </c>
      <c r="CH14" s="402">
        <f>-PermLoan!CH$27</f>
        <v/>
      </c>
      <c r="CI14" s="402">
        <f>-PermLoan!CI$27</f>
        <v/>
      </c>
      <c r="CJ14" s="402">
        <f>-PermLoan!CJ$27</f>
        <v/>
      </c>
      <c r="CK14" s="402">
        <f>-PermLoan!CK$27</f>
        <v/>
      </c>
      <c r="CL14" s="402">
        <f>-PermLoan!CL$27</f>
        <v/>
      </c>
      <c r="CM14" s="402">
        <f>-PermLoan!CM$27</f>
        <v/>
      </c>
      <c r="CN14" s="402">
        <f>-PermLoan!CN$27</f>
        <v/>
      </c>
      <c r="CO14" s="402">
        <f>-PermLoan!CO$27</f>
        <v/>
      </c>
      <c r="CP14" s="402">
        <f>-PermLoan!CP$27</f>
        <v/>
      </c>
      <c r="CQ14" s="402">
        <f>-PermLoan!CQ$27</f>
        <v/>
      </c>
      <c r="CR14" s="402">
        <f>-PermLoan!CR$27</f>
        <v/>
      </c>
      <c r="CS14" s="402">
        <f>-PermLoan!CS$27</f>
        <v/>
      </c>
      <c r="CT14" s="402">
        <f>-PermLoan!CT$27</f>
        <v/>
      </c>
      <c r="CU14" s="402">
        <f>-PermLoan!CU$27</f>
        <v/>
      </c>
      <c r="CV14" s="402">
        <f>-PermLoan!CV$27</f>
        <v/>
      </c>
      <c r="CW14" s="402">
        <f>-PermLoan!CW$27</f>
        <v/>
      </c>
      <c r="CX14" s="402">
        <f>-PermLoan!CX$27</f>
        <v/>
      </c>
      <c r="CY14" s="402">
        <f>-PermLoan!CY$27</f>
        <v/>
      </c>
      <c r="CZ14" s="402">
        <f>-PermLoan!CZ$27</f>
        <v/>
      </c>
      <c r="DA14" s="402">
        <f>-PermLoan!DA$27</f>
        <v/>
      </c>
      <c r="DB14" s="402">
        <f>-PermLoan!DB$27</f>
        <v/>
      </c>
      <c r="DC14" s="402">
        <f>-PermLoan!DC$27</f>
        <v/>
      </c>
      <c r="DD14" s="402">
        <f>-PermLoan!DD$27</f>
        <v/>
      </c>
      <c r="DE14" s="402">
        <f>-PermLoan!DE$27</f>
        <v/>
      </c>
      <c r="DF14" s="402">
        <f>-PermLoan!DF$27</f>
        <v/>
      </c>
      <c r="DG14" s="402">
        <f>-PermLoan!DG$27</f>
        <v/>
      </c>
      <c r="DH14" s="402">
        <f>-PermLoan!DH$27</f>
        <v/>
      </c>
      <c r="DI14" s="402">
        <f>-PermLoan!DI$27</f>
        <v/>
      </c>
      <c r="DJ14" s="402">
        <f>-PermLoan!DJ$27</f>
        <v/>
      </c>
      <c r="DK14" s="402">
        <f>-PermLoan!DK$27</f>
        <v/>
      </c>
      <c r="DL14" s="402">
        <f>-PermLoan!DL$27</f>
        <v/>
      </c>
      <c r="DM14" s="402">
        <f>-PermLoan!DM$27</f>
        <v/>
      </c>
      <c r="DN14" s="402">
        <f>-PermLoan!DN$27</f>
        <v/>
      </c>
      <c r="DO14" s="402">
        <f>-PermLoan!DO$27</f>
        <v/>
      </c>
      <c r="DP14" s="402">
        <f>-PermLoan!DP$27</f>
        <v/>
      </c>
      <c r="DQ14" s="402">
        <f>-PermLoan!DQ$27</f>
        <v/>
      </c>
      <c r="DR14" s="402">
        <f>-PermLoan!DR$27</f>
        <v/>
      </c>
      <c r="DS14" s="402">
        <f>-PermLoan!DS$27</f>
        <v/>
      </c>
      <c r="DT14" s="402">
        <f>-PermLoan!DT$27</f>
        <v/>
      </c>
      <c r="DU14" s="402">
        <f>-PermLoan!DU$27</f>
        <v/>
      </c>
      <c r="DV14" s="402">
        <f>-PermLoan!DV$27</f>
        <v/>
      </c>
      <c r="DW14" s="402">
        <f>-PermLoan!DW$27</f>
        <v/>
      </c>
      <c r="DX14" s="402">
        <f>-PermLoan!DX$27</f>
        <v/>
      </c>
      <c r="DY14" s="402">
        <f>-PermLoan!DY$27</f>
        <v/>
      </c>
      <c r="DZ14" s="402">
        <f>-PermLoan!DZ$27</f>
        <v/>
      </c>
      <c r="EA14" s="402">
        <f>-PermLoan!EA$27</f>
        <v/>
      </c>
      <c r="EB14" s="402">
        <f>-PermLoan!EB$27</f>
        <v/>
      </c>
      <c r="EC14" s="402">
        <f>-PermLoan!EC$27</f>
        <v/>
      </c>
      <c r="ED14" s="402">
        <f>-PermLoan!ED$27</f>
        <v/>
      </c>
      <c r="EE14" s="402">
        <f>-PermLoan!EE$27</f>
        <v/>
      </c>
      <c r="EF14" s="402">
        <f>-PermLoan!EF$27</f>
        <v/>
      </c>
      <c r="EG14" s="402">
        <f>-PermLoan!EG$27</f>
        <v/>
      </c>
      <c r="EH14" s="402">
        <f>-PermLoan!EH$27</f>
        <v/>
      </c>
      <c r="EI14" s="402">
        <f>-PermLoan!EI$27</f>
        <v/>
      </c>
      <c r="EJ14" s="402">
        <f>-PermLoan!EJ$27</f>
        <v/>
      </c>
      <c r="EK14" s="402">
        <f>-PermLoan!EK$27</f>
        <v/>
      </c>
      <c r="EL14" s="402">
        <f>-PermLoan!EL$27</f>
        <v/>
      </c>
      <c r="EM14" s="402">
        <f>-PermLoan!EM$27</f>
        <v/>
      </c>
      <c r="EN14" s="402">
        <f>-PermLoan!EN$27</f>
        <v/>
      </c>
      <c r="EO14" s="402">
        <f>-PermLoan!EO$27</f>
        <v/>
      </c>
      <c r="EP14" s="402">
        <f>-PermLoan!EP$27</f>
        <v/>
      </c>
      <c r="EQ14" s="402">
        <f>-PermLoan!EQ$27</f>
        <v/>
      </c>
      <c r="ER14" s="402">
        <f>-PermLoan!ER$27</f>
        <v/>
      </c>
      <c r="ES14" s="402">
        <f>-PermLoan!ES$27</f>
        <v/>
      </c>
      <c r="ET14" s="402">
        <f>-PermLoan!ET$27</f>
        <v/>
      </c>
      <c r="EU14" s="402">
        <f>-PermLoan!EU$27</f>
        <v/>
      </c>
      <c r="EV14" s="402">
        <f>-PermLoan!EV$27</f>
        <v/>
      </c>
      <c r="EW14" s="402">
        <f>-PermLoan!EW$27</f>
        <v/>
      </c>
      <c r="EX14" s="402">
        <f>-PermLoan!EX$27</f>
        <v/>
      </c>
      <c r="EY14" s="402">
        <f>-PermLoan!EY$27</f>
        <v/>
      </c>
      <c r="EZ14" s="402">
        <f>-PermLoan!EZ$27</f>
        <v/>
      </c>
      <c r="FA14" s="402">
        <f>-PermLoan!FA$27</f>
        <v/>
      </c>
      <c r="FB14" s="402">
        <f>-PermLoan!FB$27</f>
        <v/>
      </c>
      <c r="FC14" s="402">
        <f>-PermLoan!FC$27</f>
        <v/>
      </c>
      <c r="FD14" s="402">
        <f>-PermLoan!FD$27</f>
        <v/>
      </c>
      <c r="FE14" s="402">
        <f>-PermLoan!FE$27</f>
        <v/>
      </c>
      <c r="FF14" s="402">
        <f>-PermLoan!FF$27</f>
        <v/>
      </c>
      <c r="FG14" s="402">
        <f>-PermLoan!FG$27</f>
        <v/>
      </c>
      <c r="FH14" s="402">
        <f>-PermLoan!FH$27</f>
        <v/>
      </c>
      <c r="FI14" s="402">
        <f>-PermLoan!FI$27</f>
        <v/>
      </c>
      <c r="FJ14" s="402">
        <f>-PermLoan!FJ$27</f>
        <v/>
      </c>
      <c r="FK14" s="402">
        <f>-PermLoan!FK$27</f>
        <v/>
      </c>
      <c r="FL14" s="402">
        <f>-PermLoan!FL$27</f>
        <v/>
      </c>
      <c r="FM14" s="402">
        <f>-PermLoan!FM$27</f>
        <v/>
      </c>
      <c r="FN14" s="402">
        <f>-PermLoan!FN$27</f>
        <v/>
      </c>
      <c r="FO14" s="402">
        <f>-PermLoan!FO$27</f>
        <v/>
      </c>
      <c r="FP14" s="402">
        <f>-PermLoan!FP$27</f>
        <v/>
      </c>
      <c r="FQ14" s="402">
        <f>-PermLoan!FQ$27</f>
        <v/>
      </c>
      <c r="FR14" s="402">
        <f>-PermLoan!FR$27</f>
        <v/>
      </c>
      <c r="FS14" s="402">
        <f>-PermLoan!FS$27</f>
        <v/>
      </c>
      <c r="FT14" s="402">
        <f>-PermLoan!FT$27</f>
        <v/>
      </c>
      <c r="FU14" s="402">
        <f>-PermLoan!FU$27</f>
        <v/>
      </c>
      <c r="FV14" s="402">
        <f>-PermLoan!FV$27</f>
        <v/>
      </c>
      <c r="FW14" s="402">
        <f>-PermLoan!FW$27</f>
        <v/>
      </c>
      <c r="FX14" s="402">
        <f>-PermLoan!FX$27</f>
        <v/>
      </c>
      <c r="FY14" s="402">
        <f>-PermLoan!FY$27</f>
        <v/>
      </c>
      <c r="FZ14" s="402">
        <f>-PermLoan!FZ$27</f>
        <v/>
      </c>
      <c r="GA14" s="402">
        <f>-PermLoan!GA$27</f>
        <v/>
      </c>
      <c r="GB14" s="402">
        <f>-PermLoan!GB$27</f>
        <v/>
      </c>
      <c r="GC14" s="402">
        <f>-PermLoan!GC$27</f>
        <v/>
      </c>
      <c r="GD14" s="402">
        <f>-PermLoan!GD$27</f>
        <v/>
      </c>
      <c r="GE14" s="402">
        <f>-PermLoan!GE$27</f>
        <v/>
      </c>
      <c r="GF14" s="402">
        <f>-PermLoan!GF$27</f>
        <v/>
      </c>
      <c r="GG14" s="402">
        <f>-PermLoan!GG$27</f>
        <v/>
      </c>
      <c r="GH14" s="402">
        <f>-PermLoan!GH$27</f>
        <v/>
      </c>
      <c r="GI14" s="402">
        <f>-PermLoan!GI$27</f>
        <v/>
      </c>
      <c r="GJ14" s="402">
        <f>-PermLoan!GJ$27</f>
        <v/>
      </c>
      <c r="GK14" s="402">
        <f>-PermLoan!GK$27</f>
        <v/>
      </c>
      <c r="GL14" s="402">
        <f>-PermLoan!GL$27</f>
        <v/>
      </c>
      <c r="GM14" s="402">
        <f>-PermLoan!GM$27</f>
        <v/>
      </c>
      <c r="GN14" s="402">
        <f>-PermLoan!GN$27</f>
        <v/>
      </c>
      <c r="GO14" s="402">
        <f>-PermLoan!GO$27</f>
        <v/>
      </c>
      <c r="GP14" s="402">
        <f>-PermLoan!GP$27</f>
        <v/>
      </c>
      <c r="GQ14" s="402">
        <f>-PermLoan!GQ$27</f>
        <v/>
      </c>
      <c r="GR14" s="402">
        <f>-PermLoan!GR$27</f>
        <v/>
      </c>
      <c r="GS14" s="402">
        <f>-PermLoan!GS$27</f>
        <v/>
      </c>
      <c r="GT14" s="402">
        <f>-PermLoan!GT$27</f>
        <v/>
      </c>
      <c r="GU14" s="402">
        <f>-PermLoan!GU$27</f>
        <v/>
      </c>
      <c r="GV14" s="402">
        <f>-PermLoan!GV$27</f>
        <v/>
      </c>
      <c r="GW14" s="402">
        <f>-PermLoan!GW$27</f>
        <v/>
      </c>
      <c r="GX14" s="402">
        <f>-PermLoan!GX$27</f>
        <v/>
      </c>
      <c r="GY14" s="402">
        <f>-PermLoan!GY$27</f>
        <v/>
      </c>
      <c r="GZ14" s="402">
        <f>-PermLoan!GZ$27</f>
        <v/>
      </c>
      <c r="HA14" s="402">
        <f>-PermLoan!HA$27</f>
        <v/>
      </c>
      <c r="HB14" s="402">
        <f>-PermLoan!HB$27</f>
        <v/>
      </c>
      <c r="HC14" s="402">
        <f>-PermLoan!HC$27</f>
        <v/>
      </c>
      <c r="HD14" s="402">
        <f>-PermLoan!HD$27</f>
        <v/>
      </c>
      <c r="HE14" s="402">
        <f>-PermLoan!HE$27</f>
        <v/>
      </c>
      <c r="HF14" s="402">
        <f>-PermLoan!HF$27</f>
        <v/>
      </c>
      <c r="HG14" s="402">
        <f>-PermLoan!HG$27</f>
        <v/>
      </c>
      <c r="HH14" s="402">
        <f>-PermLoan!HH$27</f>
        <v/>
      </c>
      <c r="HI14" s="402">
        <f>-PermLoan!HI$27</f>
        <v/>
      </c>
      <c r="HJ14" s="402">
        <f>-PermLoan!HJ$27</f>
        <v/>
      </c>
      <c r="HK14" s="402">
        <f>-PermLoan!HK$27</f>
        <v/>
      </c>
      <c r="HL14" s="402">
        <f>-PermLoan!HL$27</f>
        <v/>
      </c>
      <c r="HM14" s="402">
        <f>-PermLoan!HM$27</f>
        <v/>
      </c>
      <c r="HN14" s="402">
        <f>-PermLoan!HN$27</f>
        <v/>
      </c>
      <c r="HO14" s="402">
        <f>-PermLoan!HO$27</f>
        <v/>
      </c>
      <c r="HP14" s="402">
        <f>-PermLoan!HP$27</f>
        <v/>
      </c>
      <c r="HQ14" s="402">
        <f>-PermLoan!HQ$27</f>
        <v/>
      </c>
      <c r="HR14" s="402">
        <f>-PermLoan!HR$27</f>
        <v/>
      </c>
      <c r="HS14" s="402">
        <f>-PermLoan!HS$27</f>
        <v/>
      </c>
      <c r="HT14" s="402">
        <f>-PermLoan!HT$27</f>
        <v/>
      </c>
      <c r="HU14" s="402">
        <f>-PermLoan!HU$27</f>
        <v/>
      </c>
      <c r="HV14" s="402">
        <f>-PermLoan!HV$27</f>
        <v/>
      </c>
      <c r="HW14" s="402">
        <f>-PermLoan!HW$27</f>
        <v/>
      </c>
      <c r="HX14" s="402">
        <f>-PermLoan!HX$27</f>
        <v/>
      </c>
      <c r="HY14" s="402">
        <f>-PermLoan!HY$27</f>
        <v/>
      </c>
      <c r="HZ14" s="402">
        <f>-PermLoan!HZ$27</f>
        <v/>
      </c>
      <c r="IA14" s="402">
        <f>-PermLoan!IA$27</f>
        <v/>
      </c>
      <c r="IB14" s="402">
        <f>-PermLoan!IB$27</f>
        <v/>
      </c>
      <c r="IC14" s="402">
        <f>-PermLoan!IC$27</f>
        <v/>
      </c>
      <c r="ID14" s="402">
        <f>-PermLoan!ID$27</f>
        <v/>
      </c>
      <c r="IE14" s="402">
        <f>-PermLoan!IE$27</f>
        <v/>
      </c>
      <c r="IF14" s="402">
        <f>-PermLoan!IF$27</f>
        <v/>
      </c>
      <c r="IG14" s="402">
        <f>-PermLoan!IG$27</f>
        <v/>
      </c>
      <c r="IH14" s="402">
        <f>-PermLoan!IH$27</f>
        <v/>
      </c>
      <c r="II14" s="402">
        <f>-PermLoan!II$27</f>
        <v/>
      </c>
      <c r="IJ14" s="402">
        <f>-PermLoan!IJ$27</f>
        <v/>
      </c>
      <c r="IK14" s="402">
        <f>-PermLoan!IK$27</f>
        <v/>
      </c>
      <c r="IL14" s="402">
        <f>-PermLoan!IL$27</f>
        <v/>
      </c>
      <c r="IM14" s="402">
        <f>-PermLoan!IM$27</f>
        <v/>
      </c>
      <c r="IN14" s="402">
        <f>-PermLoan!IN$27</f>
        <v/>
      </c>
      <c r="IO14" s="402">
        <f>-PermLoan!IO$27</f>
        <v/>
      </c>
      <c r="IP14" s="402">
        <f>-PermLoan!IP$27</f>
        <v/>
      </c>
      <c r="IQ14" s="402">
        <f>-PermLoan!IQ$27</f>
        <v/>
      </c>
      <c r="IR14" s="402">
        <f>-PermLoan!IR$27</f>
        <v/>
      </c>
      <c r="IS14" s="402">
        <f>-PermLoan!IS$27</f>
        <v/>
      </c>
      <c r="IT14" s="402">
        <f>-PermLoan!IT$27</f>
        <v/>
      </c>
      <c r="IU14" s="402">
        <f>-PermLoan!IU$27</f>
        <v/>
      </c>
      <c r="IV14" s="402">
        <f>-PermLoan!IV$27</f>
        <v/>
      </c>
      <c r="IW14" s="402">
        <f>-PermLoan!IW$27</f>
        <v/>
      </c>
      <c r="IX14" s="402">
        <f>-PermLoan!IX$27</f>
        <v/>
      </c>
      <c r="IY14" s="402">
        <f>-PermLoan!IY$27</f>
        <v/>
      </c>
      <c r="IZ14" s="402">
        <f>-PermLoan!IZ$27</f>
        <v/>
      </c>
      <c r="JA14" s="402">
        <f>-PermLoan!JA$27</f>
        <v/>
      </c>
      <c r="JB14" s="402">
        <f>-PermLoan!JB$27</f>
        <v/>
      </c>
      <c r="JC14" s="402">
        <f>-PermLoan!JC$27</f>
        <v/>
      </c>
      <c r="JD14" s="402">
        <f>-PermLoan!JD$27</f>
        <v/>
      </c>
      <c r="JE14" s="402">
        <f>-PermLoan!JE$27</f>
        <v/>
      </c>
      <c r="JF14" s="402">
        <f>-PermLoan!JF$27</f>
        <v/>
      </c>
      <c r="JG14" s="402">
        <f>-PermLoan!JG$27</f>
        <v/>
      </c>
      <c r="JH14" s="402">
        <f>-PermLoan!JH$27</f>
        <v/>
      </c>
      <c r="JI14" s="402">
        <f>-PermLoan!JI$27</f>
        <v/>
      </c>
      <c r="JJ14" s="402">
        <f>-PermLoan!JJ$27</f>
        <v/>
      </c>
      <c r="JK14" s="402">
        <f>-PermLoan!JK$27</f>
        <v/>
      </c>
      <c r="JL14" s="402">
        <f>-PermLoan!JL$27</f>
        <v/>
      </c>
      <c r="JM14" s="402">
        <f>-PermLoan!JM$27</f>
        <v/>
      </c>
      <c r="JN14" s="402">
        <f>-PermLoan!JN$27</f>
        <v/>
      </c>
      <c r="JO14" s="402">
        <f>-PermLoan!JO$27</f>
        <v/>
      </c>
      <c r="JP14" s="402">
        <f>-PermLoan!JP$27</f>
        <v/>
      </c>
      <c r="JQ14" s="402">
        <f>-PermLoan!JQ$27</f>
        <v/>
      </c>
      <c r="JR14" s="402">
        <f>-PermLoan!JR$27</f>
        <v/>
      </c>
      <c r="JS14" s="402">
        <f>-PermLoan!JS$27</f>
        <v/>
      </c>
      <c r="JT14" s="402">
        <f>-PermLoan!JT$27</f>
        <v/>
      </c>
      <c r="JU14" s="402">
        <f>-PermLoan!JU$27</f>
        <v/>
      </c>
      <c r="JV14" s="402">
        <f>-PermLoan!JV$27</f>
        <v/>
      </c>
      <c r="JW14" s="402">
        <f>-PermLoan!JW$27</f>
        <v/>
      </c>
      <c r="JX14" s="402">
        <f>-PermLoan!JX$27</f>
        <v/>
      </c>
      <c r="JY14" s="402">
        <f>-PermLoan!JY$27</f>
        <v/>
      </c>
      <c r="JZ14" s="402">
        <f>-PermLoan!JZ$27</f>
        <v/>
      </c>
      <c r="KA14" s="402">
        <f>-PermLoan!KA$27</f>
        <v/>
      </c>
      <c r="KB14" s="402">
        <f>-PermLoan!KB$27</f>
        <v/>
      </c>
      <c r="KC14" s="402">
        <f>-PermLoan!KC$27</f>
        <v/>
      </c>
      <c r="KD14" s="402">
        <f>-PermLoan!KD$27</f>
        <v/>
      </c>
      <c r="KE14" s="402">
        <f>-PermLoan!KE$27</f>
        <v/>
      </c>
      <c r="KF14" s="402">
        <f>-PermLoan!KF$27</f>
        <v/>
      </c>
      <c r="KG14" s="402">
        <f>-PermLoan!KG$27</f>
        <v/>
      </c>
      <c r="KH14" s="402">
        <f>-PermLoan!KH$27</f>
        <v/>
      </c>
      <c r="KI14" s="402">
        <f>-PermLoan!KI$27</f>
        <v/>
      </c>
      <c r="KJ14" s="402">
        <f>-PermLoan!KJ$27</f>
        <v/>
      </c>
      <c r="KK14" s="402">
        <f>-PermLoan!KK$27</f>
        <v/>
      </c>
      <c r="KL14" s="402">
        <f>-PermLoan!KL$27</f>
        <v/>
      </c>
      <c r="KM14" s="402">
        <f>-PermLoan!KM$27</f>
        <v/>
      </c>
      <c r="KN14" s="402">
        <f>-PermLoan!KN$27</f>
        <v/>
      </c>
      <c r="KO14" s="402">
        <f>-PermLoan!KO$27</f>
        <v/>
      </c>
      <c r="KP14" s="402">
        <f>-PermLoan!KP$27</f>
        <v/>
      </c>
      <c r="KQ14" s="402">
        <f>-PermLoan!KQ$27</f>
        <v/>
      </c>
      <c r="KR14" s="402">
        <f>-PermLoan!KR$27</f>
        <v/>
      </c>
      <c r="KS14" s="402">
        <f>-PermLoan!KS$27</f>
        <v/>
      </c>
      <c r="KT14" s="402">
        <f>-PermLoan!KT$27</f>
        <v/>
      </c>
      <c r="KU14" s="402">
        <f>-PermLoan!KU$27</f>
        <v/>
      </c>
      <c r="KV14" s="402">
        <f>-PermLoan!KV$27</f>
        <v/>
      </c>
      <c r="KW14" s="402">
        <f>-PermLoan!KW$27</f>
        <v/>
      </c>
      <c r="KX14" s="402">
        <f>-PermLoan!KX$27</f>
        <v/>
      </c>
      <c r="KY14" s="402">
        <f>-PermLoan!KY$27</f>
        <v/>
      </c>
      <c r="KZ14" s="402">
        <f>-PermLoan!KZ$27</f>
        <v/>
      </c>
      <c r="LA14" s="402">
        <f>-PermLoan!LA$27</f>
        <v/>
      </c>
      <c r="LB14" s="402">
        <f>-PermLoan!LB$27</f>
        <v/>
      </c>
      <c r="LC14" s="402">
        <f>-PermLoan!LC$27</f>
        <v/>
      </c>
      <c r="LD14" s="402">
        <f>-PermLoan!LD$27</f>
        <v/>
      </c>
      <c r="LE14" s="402">
        <f>-PermLoan!LE$27</f>
        <v/>
      </c>
      <c r="LF14" s="402">
        <f>-PermLoan!LF$27</f>
        <v/>
      </c>
      <c r="LG14" s="402">
        <f>-PermLoan!LG$27</f>
        <v/>
      </c>
      <c r="LH14" s="402">
        <f>-PermLoan!LH$27</f>
        <v/>
      </c>
      <c r="LI14" s="402">
        <f>-PermLoan!LI$27</f>
        <v/>
      </c>
      <c r="LJ14" s="402">
        <f>-PermLoan!LJ$27</f>
        <v/>
      </c>
      <c r="LK14" s="402">
        <f>-PermLoan!LK$27</f>
        <v/>
      </c>
      <c r="LL14" s="402">
        <f>-PermLoan!LL$27</f>
        <v/>
      </c>
      <c r="LM14" s="402">
        <f>-PermLoan!LM$27</f>
        <v/>
      </c>
      <c r="LN14" s="402">
        <f>-PermLoan!LN$27</f>
        <v/>
      </c>
      <c r="LO14" s="402">
        <f>-PermLoan!LO$27</f>
        <v/>
      </c>
      <c r="LP14" s="402">
        <f>-PermLoan!LP$27</f>
        <v/>
      </c>
      <c r="LQ14" s="402">
        <f>-PermLoan!LQ$27</f>
        <v/>
      </c>
      <c r="LR14" s="402">
        <f>-PermLoan!LR$27</f>
        <v/>
      </c>
      <c r="LS14" s="402">
        <f>-PermLoan!LS$27</f>
        <v/>
      </c>
      <c r="LT14" s="402">
        <f>-PermLoan!LT$27</f>
        <v/>
      </c>
      <c r="LU14" s="402">
        <f>-PermLoan!LU$27</f>
        <v/>
      </c>
      <c r="LV14" s="402">
        <f>-PermLoan!LV$27</f>
        <v/>
      </c>
      <c r="LW14" s="402">
        <f>-PermLoan!LW$27</f>
        <v/>
      </c>
      <c r="LX14" s="402">
        <f>-PermLoan!LX$27</f>
        <v/>
      </c>
      <c r="LY14" s="402">
        <f>-PermLoan!LY$27</f>
        <v/>
      </c>
      <c r="LZ14" s="402">
        <f>-PermLoan!LZ$27</f>
        <v/>
      </c>
      <c r="MA14" s="402">
        <f>-PermLoan!MA$27</f>
        <v/>
      </c>
      <c r="MB14" s="402">
        <f>-PermLoan!MB$27</f>
        <v/>
      </c>
      <c r="MC14" s="402">
        <f>-PermLoan!MC$27</f>
        <v/>
      </c>
      <c r="MD14" s="402">
        <f>-PermLoan!MD$27</f>
        <v/>
      </c>
      <c r="ME14" s="402">
        <f>-PermLoan!ME$27</f>
        <v/>
      </c>
      <c r="MF14" s="402">
        <f>-PermLoan!MF$27</f>
        <v/>
      </c>
      <c r="MG14" s="402">
        <f>-PermLoan!MG$27</f>
        <v/>
      </c>
      <c r="MH14" s="402">
        <f>-PermLoan!MH$27</f>
        <v/>
      </c>
      <c r="MI14" s="402">
        <f>-PermLoan!MI$27</f>
        <v/>
      </c>
      <c r="MJ14" s="402">
        <f>-PermLoan!MJ$27</f>
        <v/>
      </c>
      <c r="MK14" s="402">
        <f>-PermLoan!MK$27</f>
        <v/>
      </c>
      <c r="ML14" s="402">
        <f>-PermLoan!ML$27</f>
        <v/>
      </c>
      <c r="MM14" s="402">
        <f>-PermLoan!MM$27</f>
        <v/>
      </c>
      <c r="MN14" s="402">
        <f>-PermLoan!MN$27</f>
        <v/>
      </c>
      <c r="MO14" s="402">
        <f>-PermLoan!MO$27</f>
        <v/>
      </c>
      <c r="MP14" s="402">
        <f>-PermLoan!MP$27</f>
        <v/>
      </c>
      <c r="MQ14" s="402">
        <f>-PermLoan!MQ$27</f>
        <v/>
      </c>
      <c r="MR14" s="402">
        <f>-PermLoan!MR$27</f>
        <v/>
      </c>
      <c r="MS14" s="402">
        <f>-PermLoan!MS$27</f>
        <v/>
      </c>
      <c r="MT14" s="402">
        <f>-PermLoan!MT$27</f>
        <v/>
      </c>
      <c r="MU14" s="402">
        <f>-PermLoan!MU$27</f>
        <v/>
      </c>
      <c r="MV14" s="402">
        <f>-PermLoan!MV$27</f>
        <v/>
      </c>
      <c r="MW14" s="402">
        <f>-PermLoan!MW$27</f>
        <v/>
      </c>
      <c r="MX14" s="402">
        <f>-PermLoan!MX$27</f>
        <v/>
      </c>
      <c r="MY14" s="402">
        <f>-PermLoan!MY$27</f>
        <v/>
      </c>
      <c r="MZ14" s="402">
        <f>-PermLoan!MZ$27</f>
        <v/>
      </c>
      <c r="NA14" s="402">
        <f>-PermLoan!NA$27</f>
        <v/>
      </c>
      <c r="NB14" s="402">
        <f>-PermLoan!NB$27</f>
        <v/>
      </c>
      <c r="NC14" s="402">
        <f>-PermLoan!NC$27</f>
        <v/>
      </c>
      <c r="ND14" s="402">
        <f>-PermLoan!ND$27</f>
        <v/>
      </c>
      <c r="NE14" s="402">
        <f>-PermLoan!NE$27</f>
        <v/>
      </c>
      <c r="NF14" s="402">
        <f>-PermLoan!NF$27</f>
        <v/>
      </c>
      <c r="NG14" s="402">
        <f>-PermLoan!NG$27</f>
        <v/>
      </c>
      <c r="NH14" s="402">
        <f>-PermLoan!NH$27</f>
        <v/>
      </c>
      <c r="NI14" s="402">
        <f>-PermLoan!NI$27</f>
        <v/>
      </c>
      <c r="NJ14" s="402">
        <f>-PermLoan!NJ$27</f>
        <v/>
      </c>
      <c r="NK14" s="402">
        <f>-PermLoan!NK$27</f>
        <v/>
      </c>
      <c r="NL14" s="402">
        <f>-PermLoan!NL$27</f>
        <v/>
      </c>
    </row>
    <row r="15">
      <c r="B15" s="316" t="inlineStr">
        <is>
          <t>Permanent Principal</t>
        </is>
      </c>
      <c r="D15" s="402">
        <f>SUM(E15:NL15)</f>
        <v/>
      </c>
      <c r="E15" s="402">
        <f>-PermLoan!E$28</f>
        <v/>
      </c>
      <c r="F15" s="402">
        <f>-PermLoan!F$28</f>
        <v/>
      </c>
      <c r="G15" s="402">
        <f>-PermLoan!G$28</f>
        <v/>
      </c>
      <c r="H15" s="402">
        <f>-PermLoan!H$28</f>
        <v/>
      </c>
      <c r="I15" s="402">
        <f>-PermLoan!I$28</f>
        <v/>
      </c>
      <c r="J15" s="402">
        <f>-PermLoan!J$28</f>
        <v/>
      </c>
      <c r="K15" s="402">
        <f>-PermLoan!K$28</f>
        <v/>
      </c>
      <c r="L15" s="402">
        <f>-PermLoan!L$28</f>
        <v/>
      </c>
      <c r="M15" s="402">
        <f>-PermLoan!M$28</f>
        <v/>
      </c>
      <c r="N15" s="402">
        <f>-PermLoan!N$28</f>
        <v/>
      </c>
      <c r="O15" s="402">
        <f>-PermLoan!O$28</f>
        <v/>
      </c>
      <c r="P15" s="402">
        <f>-PermLoan!P$28</f>
        <v/>
      </c>
      <c r="Q15" s="402">
        <f>-PermLoan!Q$28</f>
        <v/>
      </c>
      <c r="R15" s="402">
        <f>-PermLoan!R$28</f>
        <v/>
      </c>
      <c r="S15" s="402">
        <f>-PermLoan!S$28</f>
        <v/>
      </c>
      <c r="T15" s="402">
        <f>-PermLoan!T$28</f>
        <v/>
      </c>
      <c r="U15" s="402">
        <f>-PermLoan!U$28</f>
        <v/>
      </c>
      <c r="V15" s="402">
        <f>-PermLoan!V$28</f>
        <v/>
      </c>
      <c r="W15" s="402">
        <f>-PermLoan!W$28</f>
        <v/>
      </c>
      <c r="X15" s="402">
        <f>-PermLoan!X$28</f>
        <v/>
      </c>
      <c r="Y15" s="402">
        <f>-PermLoan!Y$28</f>
        <v/>
      </c>
      <c r="Z15" s="402">
        <f>-PermLoan!Z$28</f>
        <v/>
      </c>
      <c r="AA15" s="402">
        <f>-PermLoan!AA$28</f>
        <v/>
      </c>
      <c r="AB15" s="402">
        <f>-PermLoan!AB$28</f>
        <v/>
      </c>
      <c r="AC15" s="402">
        <f>-PermLoan!AC$28</f>
        <v/>
      </c>
      <c r="AD15" s="402">
        <f>-PermLoan!AD$28</f>
        <v/>
      </c>
      <c r="AE15" s="402">
        <f>-PermLoan!AE$28</f>
        <v/>
      </c>
      <c r="AF15" s="402">
        <f>-PermLoan!AF$28</f>
        <v/>
      </c>
      <c r="AG15" s="402">
        <f>-PermLoan!AG$28</f>
        <v/>
      </c>
      <c r="AH15" s="402">
        <f>-PermLoan!AH$28</f>
        <v/>
      </c>
      <c r="AI15" s="402">
        <f>-PermLoan!AI$28</f>
        <v/>
      </c>
      <c r="AJ15" s="402">
        <f>-PermLoan!AJ$28</f>
        <v/>
      </c>
      <c r="AK15" s="402">
        <f>-PermLoan!AK$28</f>
        <v/>
      </c>
      <c r="AL15" s="402">
        <f>-PermLoan!AL$28</f>
        <v/>
      </c>
      <c r="AM15" s="402">
        <f>-PermLoan!AM$28</f>
        <v/>
      </c>
      <c r="AN15" s="402">
        <f>-PermLoan!AN$28</f>
        <v/>
      </c>
      <c r="AO15" s="402">
        <f>-PermLoan!AO$28</f>
        <v/>
      </c>
      <c r="AP15" s="402">
        <f>-PermLoan!AP$28</f>
        <v/>
      </c>
      <c r="AQ15" s="402">
        <f>-PermLoan!AQ$28</f>
        <v/>
      </c>
      <c r="AR15" s="402">
        <f>-PermLoan!AR$28</f>
        <v/>
      </c>
      <c r="AS15" s="402">
        <f>-PermLoan!AS$28</f>
        <v/>
      </c>
      <c r="AT15" s="402">
        <f>-PermLoan!AT$28</f>
        <v/>
      </c>
      <c r="AU15" s="402">
        <f>-PermLoan!AU$28</f>
        <v/>
      </c>
      <c r="AV15" s="402">
        <f>-PermLoan!AV$28</f>
        <v/>
      </c>
      <c r="AW15" s="402">
        <f>-PermLoan!AW$28</f>
        <v/>
      </c>
      <c r="AX15" s="402">
        <f>-PermLoan!AX$28</f>
        <v/>
      </c>
      <c r="AY15" s="402">
        <f>-PermLoan!AY$28</f>
        <v/>
      </c>
      <c r="AZ15" s="402">
        <f>-PermLoan!AZ$28</f>
        <v/>
      </c>
      <c r="BA15" s="402">
        <f>-PermLoan!BA$28</f>
        <v/>
      </c>
      <c r="BB15" s="402">
        <f>-PermLoan!BB$28</f>
        <v/>
      </c>
      <c r="BC15" s="402">
        <f>-PermLoan!BC$28</f>
        <v/>
      </c>
      <c r="BD15" s="402">
        <f>-PermLoan!BD$28</f>
        <v/>
      </c>
      <c r="BE15" s="402">
        <f>-PermLoan!BE$28</f>
        <v/>
      </c>
      <c r="BF15" s="402">
        <f>-PermLoan!BF$28</f>
        <v/>
      </c>
      <c r="BG15" s="402">
        <f>-PermLoan!BG$28</f>
        <v/>
      </c>
      <c r="BH15" s="402">
        <f>-PermLoan!BH$28</f>
        <v/>
      </c>
      <c r="BI15" s="402">
        <f>-PermLoan!BI$28</f>
        <v/>
      </c>
      <c r="BJ15" s="402">
        <f>-PermLoan!BJ$28</f>
        <v/>
      </c>
      <c r="BK15" s="402">
        <f>-PermLoan!BK$28</f>
        <v/>
      </c>
      <c r="BL15" s="402">
        <f>-PermLoan!BL$28</f>
        <v/>
      </c>
      <c r="BM15" s="402">
        <f>-PermLoan!BM$28</f>
        <v/>
      </c>
      <c r="BN15" s="402">
        <f>-PermLoan!BN$28</f>
        <v/>
      </c>
      <c r="BO15" s="402">
        <f>-PermLoan!BO$28</f>
        <v/>
      </c>
      <c r="BP15" s="402">
        <f>-PermLoan!BP$28</f>
        <v/>
      </c>
      <c r="BQ15" s="402">
        <f>-PermLoan!BQ$28</f>
        <v/>
      </c>
      <c r="BR15" s="402">
        <f>-PermLoan!BR$28</f>
        <v/>
      </c>
      <c r="BS15" s="402">
        <f>-PermLoan!BS$28</f>
        <v/>
      </c>
      <c r="BT15" s="402">
        <f>-PermLoan!BT$28</f>
        <v/>
      </c>
      <c r="BU15" s="402">
        <f>-PermLoan!BU$28</f>
        <v/>
      </c>
      <c r="BV15" s="402">
        <f>-PermLoan!BV$28</f>
        <v/>
      </c>
      <c r="BW15" s="402">
        <f>-PermLoan!BW$28</f>
        <v/>
      </c>
      <c r="BX15" s="402">
        <f>-PermLoan!BX$28</f>
        <v/>
      </c>
      <c r="BY15" s="402">
        <f>-PermLoan!BY$28</f>
        <v/>
      </c>
      <c r="BZ15" s="402">
        <f>-PermLoan!BZ$28</f>
        <v/>
      </c>
      <c r="CA15" s="402">
        <f>-PermLoan!CA$28</f>
        <v/>
      </c>
      <c r="CB15" s="402">
        <f>-PermLoan!CB$28</f>
        <v/>
      </c>
      <c r="CC15" s="402">
        <f>-PermLoan!CC$28</f>
        <v/>
      </c>
      <c r="CD15" s="402">
        <f>-PermLoan!CD$28</f>
        <v/>
      </c>
      <c r="CE15" s="402">
        <f>-PermLoan!CE$28</f>
        <v/>
      </c>
      <c r="CF15" s="402">
        <f>-PermLoan!CF$28</f>
        <v/>
      </c>
      <c r="CG15" s="402">
        <f>-PermLoan!CG$28</f>
        <v/>
      </c>
      <c r="CH15" s="402">
        <f>-PermLoan!CH$28</f>
        <v/>
      </c>
      <c r="CI15" s="402">
        <f>-PermLoan!CI$28</f>
        <v/>
      </c>
      <c r="CJ15" s="402">
        <f>-PermLoan!CJ$28</f>
        <v/>
      </c>
      <c r="CK15" s="402">
        <f>-PermLoan!CK$28</f>
        <v/>
      </c>
      <c r="CL15" s="402">
        <f>-PermLoan!CL$28</f>
        <v/>
      </c>
      <c r="CM15" s="402">
        <f>-PermLoan!CM$28</f>
        <v/>
      </c>
      <c r="CN15" s="402">
        <f>-PermLoan!CN$28</f>
        <v/>
      </c>
      <c r="CO15" s="402">
        <f>-PermLoan!CO$28</f>
        <v/>
      </c>
      <c r="CP15" s="402">
        <f>-PermLoan!CP$28</f>
        <v/>
      </c>
      <c r="CQ15" s="402">
        <f>-PermLoan!CQ$28</f>
        <v/>
      </c>
      <c r="CR15" s="402">
        <f>-PermLoan!CR$28</f>
        <v/>
      </c>
      <c r="CS15" s="402">
        <f>-PermLoan!CS$28</f>
        <v/>
      </c>
      <c r="CT15" s="402">
        <f>-PermLoan!CT$28</f>
        <v/>
      </c>
      <c r="CU15" s="402">
        <f>-PermLoan!CU$28</f>
        <v/>
      </c>
      <c r="CV15" s="402">
        <f>-PermLoan!CV$28</f>
        <v/>
      </c>
      <c r="CW15" s="402">
        <f>-PermLoan!CW$28</f>
        <v/>
      </c>
      <c r="CX15" s="402">
        <f>-PermLoan!CX$28</f>
        <v/>
      </c>
      <c r="CY15" s="402">
        <f>-PermLoan!CY$28</f>
        <v/>
      </c>
      <c r="CZ15" s="402">
        <f>-PermLoan!CZ$28</f>
        <v/>
      </c>
      <c r="DA15" s="402">
        <f>-PermLoan!DA$28</f>
        <v/>
      </c>
      <c r="DB15" s="402">
        <f>-PermLoan!DB$28</f>
        <v/>
      </c>
      <c r="DC15" s="402">
        <f>-PermLoan!DC$28</f>
        <v/>
      </c>
      <c r="DD15" s="402">
        <f>-PermLoan!DD$28</f>
        <v/>
      </c>
      <c r="DE15" s="402">
        <f>-PermLoan!DE$28</f>
        <v/>
      </c>
      <c r="DF15" s="402">
        <f>-PermLoan!DF$28</f>
        <v/>
      </c>
      <c r="DG15" s="402">
        <f>-PermLoan!DG$28</f>
        <v/>
      </c>
      <c r="DH15" s="402">
        <f>-PermLoan!DH$28</f>
        <v/>
      </c>
      <c r="DI15" s="402">
        <f>-PermLoan!DI$28</f>
        <v/>
      </c>
      <c r="DJ15" s="402">
        <f>-PermLoan!DJ$28</f>
        <v/>
      </c>
      <c r="DK15" s="402">
        <f>-PermLoan!DK$28</f>
        <v/>
      </c>
      <c r="DL15" s="402">
        <f>-PermLoan!DL$28</f>
        <v/>
      </c>
      <c r="DM15" s="402">
        <f>-PermLoan!DM$28</f>
        <v/>
      </c>
      <c r="DN15" s="402">
        <f>-PermLoan!DN$28</f>
        <v/>
      </c>
      <c r="DO15" s="402">
        <f>-PermLoan!DO$28</f>
        <v/>
      </c>
      <c r="DP15" s="402">
        <f>-PermLoan!DP$28</f>
        <v/>
      </c>
      <c r="DQ15" s="402">
        <f>-PermLoan!DQ$28</f>
        <v/>
      </c>
      <c r="DR15" s="402">
        <f>-PermLoan!DR$28</f>
        <v/>
      </c>
      <c r="DS15" s="402">
        <f>-PermLoan!DS$28</f>
        <v/>
      </c>
      <c r="DT15" s="402">
        <f>-PermLoan!DT$28</f>
        <v/>
      </c>
      <c r="DU15" s="402">
        <f>-PermLoan!DU$28</f>
        <v/>
      </c>
      <c r="DV15" s="402">
        <f>-PermLoan!DV$28</f>
        <v/>
      </c>
      <c r="DW15" s="402">
        <f>-PermLoan!DW$28</f>
        <v/>
      </c>
      <c r="DX15" s="402">
        <f>-PermLoan!DX$28</f>
        <v/>
      </c>
      <c r="DY15" s="402">
        <f>-PermLoan!DY$28</f>
        <v/>
      </c>
      <c r="DZ15" s="402">
        <f>-PermLoan!DZ$28</f>
        <v/>
      </c>
      <c r="EA15" s="402">
        <f>-PermLoan!EA$28</f>
        <v/>
      </c>
      <c r="EB15" s="402">
        <f>-PermLoan!EB$28</f>
        <v/>
      </c>
      <c r="EC15" s="402">
        <f>-PermLoan!EC$28</f>
        <v/>
      </c>
      <c r="ED15" s="402">
        <f>-PermLoan!ED$28</f>
        <v/>
      </c>
      <c r="EE15" s="402">
        <f>-PermLoan!EE$28</f>
        <v/>
      </c>
      <c r="EF15" s="402">
        <f>-PermLoan!EF$28</f>
        <v/>
      </c>
      <c r="EG15" s="402">
        <f>-PermLoan!EG$28</f>
        <v/>
      </c>
      <c r="EH15" s="402">
        <f>-PermLoan!EH$28</f>
        <v/>
      </c>
      <c r="EI15" s="402">
        <f>-PermLoan!EI$28</f>
        <v/>
      </c>
      <c r="EJ15" s="402">
        <f>-PermLoan!EJ$28</f>
        <v/>
      </c>
      <c r="EK15" s="402">
        <f>-PermLoan!EK$28</f>
        <v/>
      </c>
      <c r="EL15" s="402">
        <f>-PermLoan!EL$28</f>
        <v/>
      </c>
      <c r="EM15" s="402">
        <f>-PermLoan!EM$28</f>
        <v/>
      </c>
      <c r="EN15" s="402">
        <f>-PermLoan!EN$28</f>
        <v/>
      </c>
      <c r="EO15" s="402">
        <f>-PermLoan!EO$28</f>
        <v/>
      </c>
      <c r="EP15" s="402">
        <f>-PermLoan!EP$28</f>
        <v/>
      </c>
      <c r="EQ15" s="402">
        <f>-PermLoan!EQ$28</f>
        <v/>
      </c>
      <c r="ER15" s="402">
        <f>-PermLoan!ER$28</f>
        <v/>
      </c>
      <c r="ES15" s="402">
        <f>-PermLoan!ES$28</f>
        <v/>
      </c>
      <c r="ET15" s="402">
        <f>-PermLoan!ET$28</f>
        <v/>
      </c>
      <c r="EU15" s="402">
        <f>-PermLoan!EU$28</f>
        <v/>
      </c>
      <c r="EV15" s="402">
        <f>-PermLoan!EV$28</f>
        <v/>
      </c>
      <c r="EW15" s="402">
        <f>-PermLoan!EW$28</f>
        <v/>
      </c>
      <c r="EX15" s="402">
        <f>-PermLoan!EX$28</f>
        <v/>
      </c>
      <c r="EY15" s="402">
        <f>-PermLoan!EY$28</f>
        <v/>
      </c>
      <c r="EZ15" s="402">
        <f>-PermLoan!EZ$28</f>
        <v/>
      </c>
      <c r="FA15" s="402">
        <f>-PermLoan!FA$28</f>
        <v/>
      </c>
      <c r="FB15" s="402">
        <f>-PermLoan!FB$28</f>
        <v/>
      </c>
      <c r="FC15" s="402">
        <f>-PermLoan!FC$28</f>
        <v/>
      </c>
      <c r="FD15" s="402">
        <f>-PermLoan!FD$28</f>
        <v/>
      </c>
      <c r="FE15" s="402">
        <f>-PermLoan!FE$28</f>
        <v/>
      </c>
      <c r="FF15" s="402">
        <f>-PermLoan!FF$28</f>
        <v/>
      </c>
      <c r="FG15" s="402">
        <f>-PermLoan!FG$28</f>
        <v/>
      </c>
      <c r="FH15" s="402">
        <f>-PermLoan!FH$28</f>
        <v/>
      </c>
      <c r="FI15" s="402">
        <f>-PermLoan!FI$28</f>
        <v/>
      </c>
      <c r="FJ15" s="402">
        <f>-PermLoan!FJ$28</f>
        <v/>
      </c>
      <c r="FK15" s="402">
        <f>-PermLoan!FK$28</f>
        <v/>
      </c>
      <c r="FL15" s="402">
        <f>-PermLoan!FL$28</f>
        <v/>
      </c>
      <c r="FM15" s="402">
        <f>-PermLoan!FM$28</f>
        <v/>
      </c>
      <c r="FN15" s="402">
        <f>-PermLoan!FN$28</f>
        <v/>
      </c>
      <c r="FO15" s="402">
        <f>-PermLoan!FO$28</f>
        <v/>
      </c>
      <c r="FP15" s="402">
        <f>-PermLoan!FP$28</f>
        <v/>
      </c>
      <c r="FQ15" s="402">
        <f>-PermLoan!FQ$28</f>
        <v/>
      </c>
      <c r="FR15" s="402">
        <f>-PermLoan!FR$28</f>
        <v/>
      </c>
      <c r="FS15" s="402">
        <f>-PermLoan!FS$28</f>
        <v/>
      </c>
      <c r="FT15" s="402">
        <f>-PermLoan!FT$28</f>
        <v/>
      </c>
      <c r="FU15" s="402">
        <f>-PermLoan!FU$28</f>
        <v/>
      </c>
      <c r="FV15" s="402">
        <f>-PermLoan!FV$28</f>
        <v/>
      </c>
      <c r="FW15" s="402">
        <f>-PermLoan!FW$28</f>
        <v/>
      </c>
      <c r="FX15" s="402">
        <f>-PermLoan!FX$28</f>
        <v/>
      </c>
      <c r="FY15" s="402">
        <f>-PermLoan!FY$28</f>
        <v/>
      </c>
      <c r="FZ15" s="402">
        <f>-PermLoan!FZ$28</f>
        <v/>
      </c>
      <c r="GA15" s="402">
        <f>-PermLoan!GA$28</f>
        <v/>
      </c>
      <c r="GB15" s="402">
        <f>-PermLoan!GB$28</f>
        <v/>
      </c>
      <c r="GC15" s="402">
        <f>-PermLoan!GC$28</f>
        <v/>
      </c>
      <c r="GD15" s="402">
        <f>-PermLoan!GD$28</f>
        <v/>
      </c>
      <c r="GE15" s="402">
        <f>-PermLoan!GE$28</f>
        <v/>
      </c>
      <c r="GF15" s="402">
        <f>-PermLoan!GF$28</f>
        <v/>
      </c>
      <c r="GG15" s="402">
        <f>-PermLoan!GG$28</f>
        <v/>
      </c>
      <c r="GH15" s="402">
        <f>-PermLoan!GH$28</f>
        <v/>
      </c>
      <c r="GI15" s="402">
        <f>-PermLoan!GI$28</f>
        <v/>
      </c>
      <c r="GJ15" s="402">
        <f>-PermLoan!GJ$28</f>
        <v/>
      </c>
      <c r="GK15" s="402">
        <f>-PermLoan!GK$28</f>
        <v/>
      </c>
      <c r="GL15" s="402">
        <f>-PermLoan!GL$28</f>
        <v/>
      </c>
      <c r="GM15" s="402">
        <f>-PermLoan!GM$28</f>
        <v/>
      </c>
      <c r="GN15" s="402">
        <f>-PermLoan!GN$28</f>
        <v/>
      </c>
      <c r="GO15" s="402">
        <f>-PermLoan!GO$28</f>
        <v/>
      </c>
      <c r="GP15" s="402">
        <f>-PermLoan!GP$28</f>
        <v/>
      </c>
      <c r="GQ15" s="402">
        <f>-PermLoan!GQ$28</f>
        <v/>
      </c>
      <c r="GR15" s="402">
        <f>-PermLoan!GR$28</f>
        <v/>
      </c>
      <c r="GS15" s="402">
        <f>-PermLoan!GS$28</f>
        <v/>
      </c>
      <c r="GT15" s="402">
        <f>-PermLoan!GT$28</f>
        <v/>
      </c>
      <c r="GU15" s="402">
        <f>-PermLoan!GU$28</f>
        <v/>
      </c>
      <c r="GV15" s="402">
        <f>-PermLoan!GV$28</f>
        <v/>
      </c>
      <c r="GW15" s="402">
        <f>-PermLoan!GW$28</f>
        <v/>
      </c>
      <c r="GX15" s="402">
        <f>-PermLoan!GX$28</f>
        <v/>
      </c>
      <c r="GY15" s="402">
        <f>-PermLoan!GY$28</f>
        <v/>
      </c>
      <c r="GZ15" s="402">
        <f>-PermLoan!GZ$28</f>
        <v/>
      </c>
      <c r="HA15" s="402">
        <f>-PermLoan!HA$28</f>
        <v/>
      </c>
      <c r="HB15" s="402">
        <f>-PermLoan!HB$28</f>
        <v/>
      </c>
      <c r="HC15" s="402">
        <f>-PermLoan!HC$28</f>
        <v/>
      </c>
      <c r="HD15" s="402">
        <f>-PermLoan!HD$28</f>
        <v/>
      </c>
      <c r="HE15" s="402">
        <f>-PermLoan!HE$28</f>
        <v/>
      </c>
      <c r="HF15" s="402">
        <f>-PermLoan!HF$28</f>
        <v/>
      </c>
      <c r="HG15" s="402">
        <f>-PermLoan!HG$28</f>
        <v/>
      </c>
      <c r="HH15" s="402">
        <f>-PermLoan!HH$28</f>
        <v/>
      </c>
      <c r="HI15" s="402">
        <f>-PermLoan!HI$28</f>
        <v/>
      </c>
      <c r="HJ15" s="402">
        <f>-PermLoan!HJ$28</f>
        <v/>
      </c>
      <c r="HK15" s="402">
        <f>-PermLoan!HK$28</f>
        <v/>
      </c>
      <c r="HL15" s="402">
        <f>-PermLoan!HL$28</f>
        <v/>
      </c>
      <c r="HM15" s="402">
        <f>-PermLoan!HM$28</f>
        <v/>
      </c>
      <c r="HN15" s="402">
        <f>-PermLoan!HN$28</f>
        <v/>
      </c>
      <c r="HO15" s="402">
        <f>-PermLoan!HO$28</f>
        <v/>
      </c>
      <c r="HP15" s="402">
        <f>-PermLoan!HP$28</f>
        <v/>
      </c>
      <c r="HQ15" s="402">
        <f>-PermLoan!HQ$28</f>
        <v/>
      </c>
      <c r="HR15" s="402">
        <f>-PermLoan!HR$28</f>
        <v/>
      </c>
      <c r="HS15" s="402">
        <f>-PermLoan!HS$28</f>
        <v/>
      </c>
      <c r="HT15" s="402">
        <f>-PermLoan!HT$28</f>
        <v/>
      </c>
      <c r="HU15" s="402">
        <f>-PermLoan!HU$28</f>
        <v/>
      </c>
      <c r="HV15" s="402">
        <f>-PermLoan!HV$28</f>
        <v/>
      </c>
      <c r="HW15" s="402">
        <f>-PermLoan!HW$28</f>
        <v/>
      </c>
      <c r="HX15" s="402">
        <f>-PermLoan!HX$28</f>
        <v/>
      </c>
      <c r="HY15" s="402">
        <f>-PermLoan!HY$28</f>
        <v/>
      </c>
      <c r="HZ15" s="402">
        <f>-PermLoan!HZ$28</f>
        <v/>
      </c>
      <c r="IA15" s="402">
        <f>-PermLoan!IA$28</f>
        <v/>
      </c>
      <c r="IB15" s="402">
        <f>-PermLoan!IB$28</f>
        <v/>
      </c>
      <c r="IC15" s="402">
        <f>-PermLoan!IC$28</f>
        <v/>
      </c>
      <c r="ID15" s="402">
        <f>-PermLoan!ID$28</f>
        <v/>
      </c>
      <c r="IE15" s="402">
        <f>-PermLoan!IE$28</f>
        <v/>
      </c>
      <c r="IF15" s="402">
        <f>-PermLoan!IF$28</f>
        <v/>
      </c>
      <c r="IG15" s="402">
        <f>-PermLoan!IG$28</f>
        <v/>
      </c>
      <c r="IH15" s="402">
        <f>-PermLoan!IH$28</f>
        <v/>
      </c>
      <c r="II15" s="402">
        <f>-PermLoan!II$28</f>
        <v/>
      </c>
      <c r="IJ15" s="402">
        <f>-PermLoan!IJ$28</f>
        <v/>
      </c>
      <c r="IK15" s="402">
        <f>-PermLoan!IK$28</f>
        <v/>
      </c>
      <c r="IL15" s="402">
        <f>-PermLoan!IL$28</f>
        <v/>
      </c>
      <c r="IM15" s="402">
        <f>-PermLoan!IM$28</f>
        <v/>
      </c>
      <c r="IN15" s="402">
        <f>-PermLoan!IN$28</f>
        <v/>
      </c>
      <c r="IO15" s="402">
        <f>-PermLoan!IO$28</f>
        <v/>
      </c>
      <c r="IP15" s="402">
        <f>-PermLoan!IP$28</f>
        <v/>
      </c>
      <c r="IQ15" s="402">
        <f>-PermLoan!IQ$28</f>
        <v/>
      </c>
      <c r="IR15" s="402">
        <f>-PermLoan!IR$28</f>
        <v/>
      </c>
      <c r="IS15" s="402">
        <f>-PermLoan!IS$28</f>
        <v/>
      </c>
      <c r="IT15" s="402">
        <f>-PermLoan!IT$28</f>
        <v/>
      </c>
      <c r="IU15" s="402">
        <f>-PermLoan!IU$28</f>
        <v/>
      </c>
      <c r="IV15" s="402">
        <f>-PermLoan!IV$28</f>
        <v/>
      </c>
      <c r="IW15" s="402">
        <f>-PermLoan!IW$28</f>
        <v/>
      </c>
      <c r="IX15" s="402">
        <f>-PermLoan!IX$28</f>
        <v/>
      </c>
      <c r="IY15" s="402">
        <f>-PermLoan!IY$28</f>
        <v/>
      </c>
      <c r="IZ15" s="402">
        <f>-PermLoan!IZ$28</f>
        <v/>
      </c>
      <c r="JA15" s="402">
        <f>-PermLoan!JA$28</f>
        <v/>
      </c>
      <c r="JB15" s="402">
        <f>-PermLoan!JB$28</f>
        <v/>
      </c>
      <c r="JC15" s="402">
        <f>-PermLoan!JC$28</f>
        <v/>
      </c>
      <c r="JD15" s="402">
        <f>-PermLoan!JD$28</f>
        <v/>
      </c>
      <c r="JE15" s="402">
        <f>-PermLoan!JE$28</f>
        <v/>
      </c>
      <c r="JF15" s="402">
        <f>-PermLoan!JF$28</f>
        <v/>
      </c>
      <c r="JG15" s="402">
        <f>-PermLoan!JG$28</f>
        <v/>
      </c>
      <c r="JH15" s="402">
        <f>-PermLoan!JH$28</f>
        <v/>
      </c>
      <c r="JI15" s="402">
        <f>-PermLoan!JI$28</f>
        <v/>
      </c>
      <c r="JJ15" s="402">
        <f>-PermLoan!JJ$28</f>
        <v/>
      </c>
      <c r="JK15" s="402">
        <f>-PermLoan!JK$28</f>
        <v/>
      </c>
      <c r="JL15" s="402">
        <f>-PermLoan!JL$28</f>
        <v/>
      </c>
      <c r="JM15" s="402">
        <f>-PermLoan!JM$28</f>
        <v/>
      </c>
      <c r="JN15" s="402">
        <f>-PermLoan!JN$28</f>
        <v/>
      </c>
      <c r="JO15" s="402">
        <f>-PermLoan!JO$28</f>
        <v/>
      </c>
      <c r="JP15" s="402">
        <f>-PermLoan!JP$28</f>
        <v/>
      </c>
      <c r="JQ15" s="402">
        <f>-PermLoan!JQ$28</f>
        <v/>
      </c>
      <c r="JR15" s="402">
        <f>-PermLoan!JR$28</f>
        <v/>
      </c>
      <c r="JS15" s="402">
        <f>-PermLoan!JS$28</f>
        <v/>
      </c>
      <c r="JT15" s="402">
        <f>-PermLoan!JT$28</f>
        <v/>
      </c>
      <c r="JU15" s="402">
        <f>-PermLoan!JU$28</f>
        <v/>
      </c>
      <c r="JV15" s="402">
        <f>-PermLoan!JV$28</f>
        <v/>
      </c>
      <c r="JW15" s="402">
        <f>-PermLoan!JW$28</f>
        <v/>
      </c>
      <c r="JX15" s="402">
        <f>-PermLoan!JX$28</f>
        <v/>
      </c>
      <c r="JY15" s="402">
        <f>-PermLoan!JY$28</f>
        <v/>
      </c>
      <c r="JZ15" s="402">
        <f>-PermLoan!JZ$28</f>
        <v/>
      </c>
      <c r="KA15" s="402">
        <f>-PermLoan!KA$28</f>
        <v/>
      </c>
      <c r="KB15" s="402">
        <f>-PermLoan!KB$28</f>
        <v/>
      </c>
      <c r="KC15" s="402">
        <f>-PermLoan!KC$28</f>
        <v/>
      </c>
      <c r="KD15" s="402">
        <f>-PermLoan!KD$28</f>
        <v/>
      </c>
      <c r="KE15" s="402">
        <f>-PermLoan!KE$28</f>
        <v/>
      </c>
      <c r="KF15" s="402">
        <f>-PermLoan!KF$28</f>
        <v/>
      </c>
      <c r="KG15" s="402">
        <f>-PermLoan!KG$28</f>
        <v/>
      </c>
      <c r="KH15" s="402">
        <f>-PermLoan!KH$28</f>
        <v/>
      </c>
      <c r="KI15" s="402">
        <f>-PermLoan!KI$28</f>
        <v/>
      </c>
      <c r="KJ15" s="402">
        <f>-PermLoan!KJ$28</f>
        <v/>
      </c>
      <c r="KK15" s="402">
        <f>-PermLoan!KK$28</f>
        <v/>
      </c>
      <c r="KL15" s="402">
        <f>-PermLoan!KL$28</f>
        <v/>
      </c>
      <c r="KM15" s="402">
        <f>-PermLoan!KM$28</f>
        <v/>
      </c>
      <c r="KN15" s="402">
        <f>-PermLoan!KN$28</f>
        <v/>
      </c>
      <c r="KO15" s="402">
        <f>-PermLoan!KO$28</f>
        <v/>
      </c>
      <c r="KP15" s="402">
        <f>-PermLoan!KP$28</f>
        <v/>
      </c>
      <c r="KQ15" s="402">
        <f>-PermLoan!KQ$28</f>
        <v/>
      </c>
      <c r="KR15" s="402">
        <f>-PermLoan!KR$28</f>
        <v/>
      </c>
      <c r="KS15" s="402">
        <f>-PermLoan!KS$28</f>
        <v/>
      </c>
      <c r="KT15" s="402">
        <f>-PermLoan!KT$28</f>
        <v/>
      </c>
      <c r="KU15" s="402">
        <f>-PermLoan!KU$28</f>
        <v/>
      </c>
      <c r="KV15" s="402">
        <f>-PermLoan!KV$28</f>
        <v/>
      </c>
      <c r="KW15" s="402">
        <f>-PermLoan!KW$28</f>
        <v/>
      </c>
      <c r="KX15" s="402">
        <f>-PermLoan!KX$28</f>
        <v/>
      </c>
      <c r="KY15" s="402">
        <f>-PermLoan!KY$28</f>
        <v/>
      </c>
      <c r="KZ15" s="402">
        <f>-PermLoan!KZ$28</f>
        <v/>
      </c>
      <c r="LA15" s="402">
        <f>-PermLoan!LA$28</f>
        <v/>
      </c>
      <c r="LB15" s="402">
        <f>-PermLoan!LB$28</f>
        <v/>
      </c>
      <c r="LC15" s="402">
        <f>-PermLoan!LC$28</f>
        <v/>
      </c>
      <c r="LD15" s="402">
        <f>-PermLoan!LD$28</f>
        <v/>
      </c>
      <c r="LE15" s="402">
        <f>-PermLoan!LE$28</f>
        <v/>
      </c>
      <c r="LF15" s="402">
        <f>-PermLoan!LF$28</f>
        <v/>
      </c>
      <c r="LG15" s="402">
        <f>-PermLoan!LG$28</f>
        <v/>
      </c>
      <c r="LH15" s="402">
        <f>-PermLoan!LH$28</f>
        <v/>
      </c>
      <c r="LI15" s="402">
        <f>-PermLoan!LI$28</f>
        <v/>
      </c>
      <c r="LJ15" s="402">
        <f>-PermLoan!LJ$28</f>
        <v/>
      </c>
      <c r="LK15" s="402">
        <f>-PermLoan!LK$28</f>
        <v/>
      </c>
      <c r="LL15" s="402">
        <f>-PermLoan!LL$28</f>
        <v/>
      </c>
      <c r="LM15" s="402">
        <f>-PermLoan!LM$28</f>
        <v/>
      </c>
      <c r="LN15" s="402">
        <f>-PermLoan!LN$28</f>
        <v/>
      </c>
      <c r="LO15" s="402">
        <f>-PermLoan!LO$28</f>
        <v/>
      </c>
      <c r="LP15" s="402">
        <f>-PermLoan!LP$28</f>
        <v/>
      </c>
      <c r="LQ15" s="402">
        <f>-PermLoan!LQ$28</f>
        <v/>
      </c>
      <c r="LR15" s="402">
        <f>-PermLoan!LR$28</f>
        <v/>
      </c>
      <c r="LS15" s="402">
        <f>-PermLoan!LS$28</f>
        <v/>
      </c>
      <c r="LT15" s="402">
        <f>-PermLoan!LT$28</f>
        <v/>
      </c>
      <c r="LU15" s="402">
        <f>-PermLoan!LU$28</f>
        <v/>
      </c>
      <c r="LV15" s="402">
        <f>-PermLoan!LV$28</f>
        <v/>
      </c>
      <c r="LW15" s="402">
        <f>-PermLoan!LW$28</f>
        <v/>
      </c>
      <c r="LX15" s="402">
        <f>-PermLoan!LX$28</f>
        <v/>
      </c>
      <c r="LY15" s="402">
        <f>-PermLoan!LY$28</f>
        <v/>
      </c>
      <c r="LZ15" s="402">
        <f>-PermLoan!LZ$28</f>
        <v/>
      </c>
      <c r="MA15" s="402">
        <f>-PermLoan!MA$28</f>
        <v/>
      </c>
      <c r="MB15" s="402">
        <f>-PermLoan!MB$28</f>
        <v/>
      </c>
      <c r="MC15" s="402">
        <f>-PermLoan!MC$28</f>
        <v/>
      </c>
      <c r="MD15" s="402">
        <f>-PermLoan!MD$28</f>
        <v/>
      </c>
      <c r="ME15" s="402">
        <f>-PermLoan!ME$28</f>
        <v/>
      </c>
      <c r="MF15" s="402">
        <f>-PermLoan!MF$28</f>
        <v/>
      </c>
      <c r="MG15" s="402">
        <f>-PermLoan!MG$28</f>
        <v/>
      </c>
      <c r="MH15" s="402">
        <f>-PermLoan!MH$28</f>
        <v/>
      </c>
      <c r="MI15" s="402">
        <f>-PermLoan!MI$28</f>
        <v/>
      </c>
      <c r="MJ15" s="402">
        <f>-PermLoan!MJ$28</f>
        <v/>
      </c>
      <c r="MK15" s="402">
        <f>-PermLoan!MK$28</f>
        <v/>
      </c>
      <c r="ML15" s="402">
        <f>-PermLoan!ML$28</f>
        <v/>
      </c>
      <c r="MM15" s="402">
        <f>-PermLoan!MM$28</f>
        <v/>
      </c>
      <c r="MN15" s="402">
        <f>-PermLoan!MN$28</f>
        <v/>
      </c>
      <c r="MO15" s="402">
        <f>-PermLoan!MO$28</f>
        <v/>
      </c>
      <c r="MP15" s="402">
        <f>-PermLoan!MP$28</f>
        <v/>
      </c>
      <c r="MQ15" s="402">
        <f>-PermLoan!MQ$28</f>
        <v/>
      </c>
      <c r="MR15" s="402">
        <f>-PermLoan!MR$28</f>
        <v/>
      </c>
      <c r="MS15" s="402">
        <f>-PermLoan!MS$28</f>
        <v/>
      </c>
      <c r="MT15" s="402">
        <f>-PermLoan!MT$28</f>
        <v/>
      </c>
      <c r="MU15" s="402">
        <f>-PermLoan!MU$28</f>
        <v/>
      </c>
      <c r="MV15" s="402">
        <f>-PermLoan!MV$28</f>
        <v/>
      </c>
      <c r="MW15" s="402">
        <f>-PermLoan!MW$28</f>
        <v/>
      </c>
      <c r="MX15" s="402">
        <f>-PermLoan!MX$28</f>
        <v/>
      </c>
      <c r="MY15" s="402">
        <f>-PermLoan!MY$28</f>
        <v/>
      </c>
      <c r="MZ15" s="402">
        <f>-PermLoan!MZ$28</f>
        <v/>
      </c>
      <c r="NA15" s="402">
        <f>-PermLoan!NA$28</f>
        <v/>
      </c>
      <c r="NB15" s="402">
        <f>-PermLoan!NB$28</f>
        <v/>
      </c>
      <c r="NC15" s="402">
        <f>-PermLoan!NC$28</f>
        <v/>
      </c>
      <c r="ND15" s="402">
        <f>-PermLoan!ND$28</f>
        <v/>
      </c>
      <c r="NE15" s="402">
        <f>-PermLoan!NE$28</f>
        <v/>
      </c>
      <c r="NF15" s="402">
        <f>-PermLoan!NF$28</f>
        <v/>
      </c>
      <c r="NG15" s="402">
        <f>-PermLoan!NG$28</f>
        <v/>
      </c>
      <c r="NH15" s="402">
        <f>-PermLoan!NH$28</f>
        <v/>
      </c>
      <c r="NI15" s="402">
        <f>-PermLoan!NI$28</f>
        <v/>
      </c>
      <c r="NJ15" s="402">
        <f>-PermLoan!NJ$28</f>
        <v/>
      </c>
      <c r="NK15" s="402">
        <f>-PermLoan!NK$28</f>
        <v/>
      </c>
      <c r="NL15" s="402">
        <f>-PermLoan!NL$28</f>
        <v/>
      </c>
    </row>
    <row r="16">
      <c r="B16" s="330" t="inlineStr">
        <is>
          <t>Total Cash Debt Service</t>
        </is>
      </c>
      <c r="D16" s="403">
        <f>SUM(E16:NL16)</f>
        <v/>
      </c>
      <c r="E16" s="407">
        <f>-(ConLoan!E$50+PermLoan!E$29)</f>
        <v/>
      </c>
      <c r="F16" s="407">
        <f>-(ConLoan!F$50+PermLoan!F$29)</f>
        <v/>
      </c>
      <c r="G16" s="407">
        <f>-(ConLoan!G$50+PermLoan!G$29)</f>
        <v/>
      </c>
      <c r="H16" s="407">
        <f>-(ConLoan!H$50+PermLoan!H$29)</f>
        <v/>
      </c>
      <c r="I16" s="407">
        <f>-(ConLoan!I$50+PermLoan!I$29)</f>
        <v/>
      </c>
      <c r="J16" s="407">
        <f>-(ConLoan!J$50+PermLoan!J$29)</f>
        <v/>
      </c>
      <c r="K16" s="407">
        <f>-(ConLoan!K$50+PermLoan!K$29)</f>
        <v/>
      </c>
      <c r="L16" s="407">
        <f>-(ConLoan!L$50+PermLoan!L$29)</f>
        <v/>
      </c>
      <c r="M16" s="407">
        <f>-(ConLoan!M$50+PermLoan!M$29)</f>
        <v/>
      </c>
      <c r="N16" s="407">
        <f>-(ConLoan!N$50+PermLoan!N$29)</f>
        <v/>
      </c>
      <c r="O16" s="407">
        <f>-(ConLoan!O$50+PermLoan!O$29)</f>
        <v/>
      </c>
      <c r="P16" s="407">
        <f>-(ConLoan!P$50+PermLoan!P$29)</f>
        <v/>
      </c>
      <c r="Q16" s="407">
        <f>-(ConLoan!Q$50+PermLoan!Q$29)</f>
        <v/>
      </c>
      <c r="R16" s="407">
        <f>-(ConLoan!R$50+PermLoan!R$29)</f>
        <v/>
      </c>
      <c r="S16" s="407">
        <f>-(ConLoan!S$50+PermLoan!S$29)</f>
        <v/>
      </c>
      <c r="T16" s="407">
        <f>-(ConLoan!T$50+PermLoan!T$29)</f>
        <v/>
      </c>
      <c r="U16" s="407">
        <f>-(ConLoan!U$50+PermLoan!U$29)</f>
        <v/>
      </c>
      <c r="V16" s="407">
        <f>-(ConLoan!V$50+PermLoan!V$29)</f>
        <v/>
      </c>
      <c r="W16" s="407">
        <f>-(ConLoan!W$50+PermLoan!W$29)</f>
        <v/>
      </c>
      <c r="X16" s="407">
        <f>-(ConLoan!X$50+PermLoan!X$29)</f>
        <v/>
      </c>
      <c r="Y16" s="407">
        <f>-(ConLoan!Y$50+PermLoan!Y$29)</f>
        <v/>
      </c>
      <c r="Z16" s="407">
        <f>-(ConLoan!Z$50+PermLoan!Z$29)</f>
        <v/>
      </c>
      <c r="AA16" s="407">
        <f>-(ConLoan!AA$50+PermLoan!AA$29)</f>
        <v/>
      </c>
      <c r="AB16" s="407">
        <f>-(ConLoan!AB$50+PermLoan!AB$29)</f>
        <v/>
      </c>
      <c r="AC16" s="407">
        <f>-(ConLoan!AC$50+PermLoan!AC$29)</f>
        <v/>
      </c>
      <c r="AD16" s="407">
        <f>-(ConLoan!AD$50+PermLoan!AD$29)</f>
        <v/>
      </c>
      <c r="AE16" s="407">
        <f>-(ConLoan!AE$50+PermLoan!AE$29)</f>
        <v/>
      </c>
      <c r="AF16" s="407">
        <f>-(ConLoan!AF$50+PermLoan!AF$29)</f>
        <v/>
      </c>
      <c r="AG16" s="407">
        <f>-(ConLoan!AG$50+PermLoan!AG$29)</f>
        <v/>
      </c>
      <c r="AH16" s="407">
        <f>-(ConLoan!AH$50+PermLoan!AH$29)</f>
        <v/>
      </c>
      <c r="AI16" s="407">
        <f>-(ConLoan!AI$50+PermLoan!AI$29)</f>
        <v/>
      </c>
      <c r="AJ16" s="407">
        <f>-(ConLoan!AJ$50+PermLoan!AJ$29)</f>
        <v/>
      </c>
      <c r="AK16" s="407">
        <f>-(ConLoan!AK$50+PermLoan!AK$29)</f>
        <v/>
      </c>
      <c r="AL16" s="407">
        <f>-(ConLoan!AL$50+PermLoan!AL$29)</f>
        <v/>
      </c>
      <c r="AM16" s="407">
        <f>-(ConLoan!AM$50+PermLoan!AM$29)</f>
        <v/>
      </c>
      <c r="AN16" s="407">
        <f>-(ConLoan!AN$50+PermLoan!AN$29)</f>
        <v/>
      </c>
      <c r="AO16" s="407">
        <f>-(ConLoan!AO$50+PermLoan!AO$29)</f>
        <v/>
      </c>
      <c r="AP16" s="407">
        <f>-(ConLoan!AP$50+PermLoan!AP$29)</f>
        <v/>
      </c>
      <c r="AQ16" s="407">
        <f>-(ConLoan!AQ$50+PermLoan!AQ$29)</f>
        <v/>
      </c>
      <c r="AR16" s="407">
        <f>-(ConLoan!AR$50+PermLoan!AR$29)</f>
        <v/>
      </c>
      <c r="AS16" s="407">
        <f>-(ConLoan!AS$50+PermLoan!AS$29)</f>
        <v/>
      </c>
      <c r="AT16" s="407">
        <f>-(ConLoan!AT$50+PermLoan!AT$29)</f>
        <v/>
      </c>
      <c r="AU16" s="407">
        <f>-(ConLoan!AU$50+PermLoan!AU$29)</f>
        <v/>
      </c>
      <c r="AV16" s="407">
        <f>-(ConLoan!AV$50+PermLoan!AV$29)</f>
        <v/>
      </c>
      <c r="AW16" s="407">
        <f>-(ConLoan!AW$50+PermLoan!AW$29)</f>
        <v/>
      </c>
      <c r="AX16" s="407">
        <f>-(ConLoan!AX$50+PermLoan!AX$29)</f>
        <v/>
      </c>
      <c r="AY16" s="407">
        <f>-(ConLoan!AY$50+PermLoan!AY$29)</f>
        <v/>
      </c>
      <c r="AZ16" s="407">
        <f>-(ConLoan!AZ$50+PermLoan!AZ$29)</f>
        <v/>
      </c>
      <c r="BA16" s="407">
        <f>-(ConLoan!BA$50+PermLoan!BA$29)</f>
        <v/>
      </c>
      <c r="BB16" s="407">
        <f>-(ConLoan!BB$50+PermLoan!BB$29)</f>
        <v/>
      </c>
      <c r="BC16" s="407">
        <f>-(ConLoan!BC$50+PermLoan!BC$29)</f>
        <v/>
      </c>
      <c r="BD16" s="407">
        <f>-(ConLoan!BD$50+PermLoan!BD$29)</f>
        <v/>
      </c>
      <c r="BE16" s="407">
        <f>-(ConLoan!BE$50+PermLoan!BE$29)</f>
        <v/>
      </c>
      <c r="BF16" s="407">
        <f>-(ConLoan!BF$50+PermLoan!BF$29)</f>
        <v/>
      </c>
      <c r="BG16" s="407">
        <f>-(ConLoan!BG$50+PermLoan!BG$29)</f>
        <v/>
      </c>
      <c r="BH16" s="407">
        <f>-(ConLoan!BH$50+PermLoan!BH$29)</f>
        <v/>
      </c>
      <c r="BI16" s="407">
        <f>-(ConLoan!BI$50+PermLoan!BI$29)</f>
        <v/>
      </c>
      <c r="BJ16" s="407">
        <f>-(ConLoan!BJ$50+PermLoan!BJ$29)</f>
        <v/>
      </c>
      <c r="BK16" s="407">
        <f>-(ConLoan!BK$50+PermLoan!BK$29)</f>
        <v/>
      </c>
      <c r="BL16" s="407">
        <f>-(ConLoan!BL$50+PermLoan!BL$29)</f>
        <v/>
      </c>
      <c r="BM16" s="407">
        <f>-(ConLoan!BM$50+PermLoan!BM$29)</f>
        <v/>
      </c>
      <c r="BN16" s="407">
        <f>-(ConLoan!BN$50+PermLoan!BN$29)</f>
        <v/>
      </c>
      <c r="BO16" s="407">
        <f>-(ConLoan!BO$50+PermLoan!BO$29)</f>
        <v/>
      </c>
      <c r="BP16" s="407">
        <f>-(ConLoan!BP$50+PermLoan!BP$29)</f>
        <v/>
      </c>
      <c r="BQ16" s="407">
        <f>-(ConLoan!BQ$50+PermLoan!BQ$29)</f>
        <v/>
      </c>
      <c r="BR16" s="407">
        <f>-(ConLoan!BR$50+PermLoan!BR$29)</f>
        <v/>
      </c>
      <c r="BS16" s="407">
        <f>-(ConLoan!BS$50+PermLoan!BS$29)</f>
        <v/>
      </c>
      <c r="BT16" s="407">
        <f>-(ConLoan!BT$50+PermLoan!BT$29)</f>
        <v/>
      </c>
      <c r="BU16" s="407">
        <f>-(ConLoan!BU$50+PermLoan!BU$29)</f>
        <v/>
      </c>
      <c r="BV16" s="407">
        <f>-(ConLoan!BV$50+PermLoan!BV$29)</f>
        <v/>
      </c>
      <c r="BW16" s="407">
        <f>-(ConLoan!BW$50+PermLoan!BW$29)</f>
        <v/>
      </c>
      <c r="BX16" s="407">
        <f>-(ConLoan!BX$50+PermLoan!BX$29)</f>
        <v/>
      </c>
      <c r="BY16" s="407">
        <f>-(ConLoan!BY$50+PermLoan!BY$29)</f>
        <v/>
      </c>
      <c r="BZ16" s="407">
        <f>-(ConLoan!BZ$50+PermLoan!BZ$29)</f>
        <v/>
      </c>
      <c r="CA16" s="407">
        <f>-(ConLoan!CA$50+PermLoan!CA$29)</f>
        <v/>
      </c>
      <c r="CB16" s="407">
        <f>-(ConLoan!CB$50+PermLoan!CB$29)</f>
        <v/>
      </c>
      <c r="CC16" s="407">
        <f>-(ConLoan!CC$50+PermLoan!CC$29)</f>
        <v/>
      </c>
      <c r="CD16" s="407">
        <f>-(ConLoan!CD$50+PermLoan!CD$29)</f>
        <v/>
      </c>
      <c r="CE16" s="407">
        <f>-(ConLoan!CE$50+PermLoan!CE$29)</f>
        <v/>
      </c>
      <c r="CF16" s="407">
        <f>-(ConLoan!CF$50+PermLoan!CF$29)</f>
        <v/>
      </c>
      <c r="CG16" s="407">
        <f>-(ConLoan!CG$50+PermLoan!CG$29)</f>
        <v/>
      </c>
      <c r="CH16" s="407">
        <f>-(ConLoan!CH$50+PermLoan!CH$29)</f>
        <v/>
      </c>
      <c r="CI16" s="407">
        <f>-(ConLoan!CI$50+PermLoan!CI$29)</f>
        <v/>
      </c>
      <c r="CJ16" s="407">
        <f>-(ConLoan!CJ$50+PermLoan!CJ$29)</f>
        <v/>
      </c>
      <c r="CK16" s="407">
        <f>-(ConLoan!CK$50+PermLoan!CK$29)</f>
        <v/>
      </c>
      <c r="CL16" s="407">
        <f>-(ConLoan!CL$50+PermLoan!CL$29)</f>
        <v/>
      </c>
      <c r="CM16" s="407">
        <f>-(ConLoan!CM$50+PermLoan!CM$29)</f>
        <v/>
      </c>
      <c r="CN16" s="407">
        <f>-(ConLoan!CN$50+PermLoan!CN$29)</f>
        <v/>
      </c>
      <c r="CO16" s="407">
        <f>-(ConLoan!CO$50+PermLoan!CO$29)</f>
        <v/>
      </c>
      <c r="CP16" s="407">
        <f>-(ConLoan!CP$50+PermLoan!CP$29)</f>
        <v/>
      </c>
      <c r="CQ16" s="407">
        <f>-(ConLoan!CQ$50+PermLoan!CQ$29)</f>
        <v/>
      </c>
      <c r="CR16" s="407">
        <f>-(ConLoan!CR$50+PermLoan!CR$29)</f>
        <v/>
      </c>
      <c r="CS16" s="407">
        <f>-(ConLoan!CS$50+PermLoan!CS$29)</f>
        <v/>
      </c>
      <c r="CT16" s="407">
        <f>-(ConLoan!CT$50+PermLoan!CT$29)</f>
        <v/>
      </c>
      <c r="CU16" s="407">
        <f>-(ConLoan!CU$50+PermLoan!CU$29)</f>
        <v/>
      </c>
      <c r="CV16" s="407">
        <f>-(ConLoan!CV$50+PermLoan!CV$29)</f>
        <v/>
      </c>
      <c r="CW16" s="407">
        <f>-(ConLoan!CW$50+PermLoan!CW$29)</f>
        <v/>
      </c>
      <c r="CX16" s="407">
        <f>-(ConLoan!CX$50+PermLoan!CX$29)</f>
        <v/>
      </c>
      <c r="CY16" s="407">
        <f>-(ConLoan!CY$50+PermLoan!CY$29)</f>
        <v/>
      </c>
      <c r="CZ16" s="407">
        <f>-(ConLoan!CZ$50+PermLoan!CZ$29)</f>
        <v/>
      </c>
      <c r="DA16" s="407">
        <f>-(ConLoan!DA$50+PermLoan!DA$29)</f>
        <v/>
      </c>
      <c r="DB16" s="407">
        <f>-(ConLoan!DB$50+PermLoan!DB$29)</f>
        <v/>
      </c>
      <c r="DC16" s="407">
        <f>-(ConLoan!DC$50+PermLoan!DC$29)</f>
        <v/>
      </c>
      <c r="DD16" s="407">
        <f>-(ConLoan!DD$50+PermLoan!DD$29)</f>
        <v/>
      </c>
      <c r="DE16" s="407">
        <f>-(ConLoan!DE$50+PermLoan!DE$29)</f>
        <v/>
      </c>
      <c r="DF16" s="407">
        <f>-(ConLoan!DF$50+PermLoan!DF$29)</f>
        <v/>
      </c>
      <c r="DG16" s="407">
        <f>-(ConLoan!DG$50+PermLoan!DG$29)</f>
        <v/>
      </c>
      <c r="DH16" s="407">
        <f>-(ConLoan!DH$50+PermLoan!DH$29)</f>
        <v/>
      </c>
      <c r="DI16" s="407">
        <f>-(ConLoan!DI$50+PermLoan!DI$29)</f>
        <v/>
      </c>
      <c r="DJ16" s="407">
        <f>-(ConLoan!DJ$50+PermLoan!DJ$29)</f>
        <v/>
      </c>
      <c r="DK16" s="407">
        <f>-(ConLoan!DK$50+PermLoan!DK$29)</f>
        <v/>
      </c>
      <c r="DL16" s="407">
        <f>-(ConLoan!DL$50+PermLoan!DL$29)</f>
        <v/>
      </c>
      <c r="DM16" s="407">
        <f>-(ConLoan!DM$50+PermLoan!DM$29)</f>
        <v/>
      </c>
      <c r="DN16" s="407">
        <f>-(ConLoan!DN$50+PermLoan!DN$29)</f>
        <v/>
      </c>
      <c r="DO16" s="407">
        <f>-(ConLoan!DO$50+PermLoan!DO$29)</f>
        <v/>
      </c>
      <c r="DP16" s="407">
        <f>-(ConLoan!DP$50+PermLoan!DP$29)</f>
        <v/>
      </c>
      <c r="DQ16" s="407">
        <f>-(ConLoan!DQ$50+PermLoan!DQ$29)</f>
        <v/>
      </c>
      <c r="DR16" s="407">
        <f>-(ConLoan!DR$50+PermLoan!DR$29)</f>
        <v/>
      </c>
      <c r="DS16" s="407">
        <f>-(ConLoan!DS$50+PermLoan!DS$29)</f>
        <v/>
      </c>
      <c r="DT16" s="407">
        <f>-(ConLoan!DT$50+PermLoan!DT$29)</f>
        <v/>
      </c>
      <c r="DU16" s="407">
        <f>-(ConLoan!DU$50+PermLoan!DU$29)</f>
        <v/>
      </c>
      <c r="DV16" s="407">
        <f>-(ConLoan!DV$50+PermLoan!DV$29)</f>
        <v/>
      </c>
      <c r="DW16" s="407">
        <f>-(ConLoan!DW$50+PermLoan!DW$29)</f>
        <v/>
      </c>
      <c r="DX16" s="407">
        <f>-(ConLoan!DX$50+PermLoan!DX$29)</f>
        <v/>
      </c>
      <c r="DY16" s="407">
        <f>-(ConLoan!DY$50+PermLoan!DY$29)</f>
        <v/>
      </c>
      <c r="DZ16" s="407">
        <f>-(ConLoan!DZ$50+PermLoan!DZ$29)</f>
        <v/>
      </c>
      <c r="EA16" s="407">
        <f>-(ConLoan!EA$50+PermLoan!EA$29)</f>
        <v/>
      </c>
      <c r="EB16" s="407">
        <f>-(ConLoan!EB$50+PermLoan!EB$29)</f>
        <v/>
      </c>
      <c r="EC16" s="407">
        <f>-(ConLoan!EC$50+PermLoan!EC$29)</f>
        <v/>
      </c>
      <c r="ED16" s="407">
        <f>-(ConLoan!ED$50+PermLoan!ED$29)</f>
        <v/>
      </c>
      <c r="EE16" s="407">
        <f>-(ConLoan!EE$50+PermLoan!EE$29)</f>
        <v/>
      </c>
      <c r="EF16" s="407">
        <f>-(ConLoan!EF$50+PermLoan!EF$29)</f>
        <v/>
      </c>
      <c r="EG16" s="407">
        <f>-(ConLoan!EG$50+PermLoan!EG$29)</f>
        <v/>
      </c>
      <c r="EH16" s="407">
        <f>-(ConLoan!EH$50+PermLoan!EH$29)</f>
        <v/>
      </c>
      <c r="EI16" s="407">
        <f>-(ConLoan!EI$50+PermLoan!EI$29)</f>
        <v/>
      </c>
      <c r="EJ16" s="407">
        <f>-(ConLoan!EJ$50+PermLoan!EJ$29)</f>
        <v/>
      </c>
      <c r="EK16" s="407">
        <f>-(ConLoan!EK$50+PermLoan!EK$29)</f>
        <v/>
      </c>
      <c r="EL16" s="407">
        <f>-(ConLoan!EL$50+PermLoan!EL$29)</f>
        <v/>
      </c>
      <c r="EM16" s="407">
        <f>-(ConLoan!EM$50+PermLoan!EM$29)</f>
        <v/>
      </c>
      <c r="EN16" s="407">
        <f>-(ConLoan!EN$50+PermLoan!EN$29)</f>
        <v/>
      </c>
      <c r="EO16" s="407">
        <f>-(ConLoan!EO$50+PermLoan!EO$29)</f>
        <v/>
      </c>
      <c r="EP16" s="407">
        <f>-(ConLoan!EP$50+PermLoan!EP$29)</f>
        <v/>
      </c>
      <c r="EQ16" s="407">
        <f>-(ConLoan!EQ$50+PermLoan!EQ$29)</f>
        <v/>
      </c>
      <c r="ER16" s="407">
        <f>-(ConLoan!ER$50+PermLoan!ER$29)</f>
        <v/>
      </c>
      <c r="ES16" s="407">
        <f>-(ConLoan!ES$50+PermLoan!ES$29)</f>
        <v/>
      </c>
      <c r="ET16" s="407">
        <f>-(ConLoan!ET$50+PermLoan!ET$29)</f>
        <v/>
      </c>
      <c r="EU16" s="407">
        <f>-(ConLoan!EU$50+PermLoan!EU$29)</f>
        <v/>
      </c>
      <c r="EV16" s="407">
        <f>-(ConLoan!EV$50+PermLoan!EV$29)</f>
        <v/>
      </c>
      <c r="EW16" s="407">
        <f>-(ConLoan!EW$50+PermLoan!EW$29)</f>
        <v/>
      </c>
      <c r="EX16" s="407">
        <f>-(ConLoan!EX$50+PermLoan!EX$29)</f>
        <v/>
      </c>
      <c r="EY16" s="407">
        <f>-(ConLoan!EY$50+PermLoan!EY$29)</f>
        <v/>
      </c>
      <c r="EZ16" s="407">
        <f>-(ConLoan!EZ$50+PermLoan!EZ$29)</f>
        <v/>
      </c>
      <c r="FA16" s="407">
        <f>-(ConLoan!FA$50+PermLoan!FA$29)</f>
        <v/>
      </c>
      <c r="FB16" s="407">
        <f>-(ConLoan!FB$50+PermLoan!FB$29)</f>
        <v/>
      </c>
      <c r="FC16" s="407">
        <f>-(ConLoan!FC$50+PermLoan!FC$29)</f>
        <v/>
      </c>
      <c r="FD16" s="407">
        <f>-(ConLoan!FD$50+PermLoan!FD$29)</f>
        <v/>
      </c>
      <c r="FE16" s="407">
        <f>-(ConLoan!FE$50+PermLoan!FE$29)</f>
        <v/>
      </c>
      <c r="FF16" s="407">
        <f>-(ConLoan!FF$50+PermLoan!FF$29)</f>
        <v/>
      </c>
      <c r="FG16" s="407">
        <f>-(ConLoan!FG$50+PermLoan!FG$29)</f>
        <v/>
      </c>
      <c r="FH16" s="407">
        <f>-(ConLoan!FH$50+PermLoan!FH$29)</f>
        <v/>
      </c>
      <c r="FI16" s="407">
        <f>-(ConLoan!FI$50+PermLoan!FI$29)</f>
        <v/>
      </c>
      <c r="FJ16" s="407">
        <f>-(ConLoan!FJ$50+PermLoan!FJ$29)</f>
        <v/>
      </c>
      <c r="FK16" s="407">
        <f>-(ConLoan!FK$50+PermLoan!FK$29)</f>
        <v/>
      </c>
      <c r="FL16" s="407">
        <f>-(ConLoan!FL$50+PermLoan!FL$29)</f>
        <v/>
      </c>
      <c r="FM16" s="407">
        <f>-(ConLoan!FM$50+PermLoan!FM$29)</f>
        <v/>
      </c>
      <c r="FN16" s="407">
        <f>-(ConLoan!FN$50+PermLoan!FN$29)</f>
        <v/>
      </c>
      <c r="FO16" s="407">
        <f>-(ConLoan!FO$50+PermLoan!FO$29)</f>
        <v/>
      </c>
      <c r="FP16" s="407">
        <f>-(ConLoan!FP$50+PermLoan!FP$29)</f>
        <v/>
      </c>
      <c r="FQ16" s="407">
        <f>-(ConLoan!FQ$50+PermLoan!FQ$29)</f>
        <v/>
      </c>
      <c r="FR16" s="407">
        <f>-(ConLoan!FR$50+PermLoan!FR$29)</f>
        <v/>
      </c>
      <c r="FS16" s="407">
        <f>-(ConLoan!FS$50+PermLoan!FS$29)</f>
        <v/>
      </c>
      <c r="FT16" s="407">
        <f>-(ConLoan!FT$50+PermLoan!FT$29)</f>
        <v/>
      </c>
      <c r="FU16" s="407">
        <f>-(ConLoan!FU$50+PermLoan!FU$29)</f>
        <v/>
      </c>
      <c r="FV16" s="407">
        <f>-(ConLoan!FV$50+PermLoan!FV$29)</f>
        <v/>
      </c>
      <c r="FW16" s="407">
        <f>-(ConLoan!FW$50+PermLoan!FW$29)</f>
        <v/>
      </c>
      <c r="FX16" s="407">
        <f>-(ConLoan!FX$50+PermLoan!FX$29)</f>
        <v/>
      </c>
      <c r="FY16" s="407">
        <f>-(ConLoan!FY$50+PermLoan!FY$29)</f>
        <v/>
      </c>
      <c r="FZ16" s="407">
        <f>-(ConLoan!FZ$50+PermLoan!FZ$29)</f>
        <v/>
      </c>
      <c r="GA16" s="407">
        <f>-(ConLoan!GA$50+PermLoan!GA$29)</f>
        <v/>
      </c>
      <c r="GB16" s="407">
        <f>-(ConLoan!GB$50+PermLoan!GB$29)</f>
        <v/>
      </c>
      <c r="GC16" s="407">
        <f>-(ConLoan!GC$50+PermLoan!GC$29)</f>
        <v/>
      </c>
      <c r="GD16" s="407">
        <f>-(ConLoan!GD$50+PermLoan!GD$29)</f>
        <v/>
      </c>
      <c r="GE16" s="407">
        <f>-(ConLoan!GE$50+PermLoan!GE$29)</f>
        <v/>
      </c>
      <c r="GF16" s="407">
        <f>-(ConLoan!GF$50+PermLoan!GF$29)</f>
        <v/>
      </c>
      <c r="GG16" s="407">
        <f>-(ConLoan!GG$50+PermLoan!GG$29)</f>
        <v/>
      </c>
      <c r="GH16" s="407">
        <f>-(ConLoan!GH$50+PermLoan!GH$29)</f>
        <v/>
      </c>
      <c r="GI16" s="407">
        <f>-(ConLoan!GI$50+PermLoan!GI$29)</f>
        <v/>
      </c>
      <c r="GJ16" s="407">
        <f>-(ConLoan!GJ$50+PermLoan!GJ$29)</f>
        <v/>
      </c>
      <c r="GK16" s="407">
        <f>-(ConLoan!GK$50+PermLoan!GK$29)</f>
        <v/>
      </c>
      <c r="GL16" s="407">
        <f>-(ConLoan!GL$50+PermLoan!GL$29)</f>
        <v/>
      </c>
      <c r="GM16" s="407">
        <f>-(ConLoan!GM$50+PermLoan!GM$29)</f>
        <v/>
      </c>
      <c r="GN16" s="407">
        <f>-(ConLoan!GN$50+PermLoan!GN$29)</f>
        <v/>
      </c>
      <c r="GO16" s="407">
        <f>-(ConLoan!GO$50+PermLoan!GO$29)</f>
        <v/>
      </c>
      <c r="GP16" s="407">
        <f>-(ConLoan!GP$50+PermLoan!GP$29)</f>
        <v/>
      </c>
      <c r="GQ16" s="407">
        <f>-(ConLoan!GQ$50+PermLoan!GQ$29)</f>
        <v/>
      </c>
      <c r="GR16" s="407">
        <f>-(ConLoan!GR$50+PermLoan!GR$29)</f>
        <v/>
      </c>
      <c r="GS16" s="407">
        <f>-(ConLoan!GS$50+PermLoan!GS$29)</f>
        <v/>
      </c>
      <c r="GT16" s="407">
        <f>-(ConLoan!GT$50+PermLoan!GT$29)</f>
        <v/>
      </c>
      <c r="GU16" s="407">
        <f>-(ConLoan!GU$50+PermLoan!GU$29)</f>
        <v/>
      </c>
      <c r="GV16" s="407">
        <f>-(ConLoan!GV$50+PermLoan!GV$29)</f>
        <v/>
      </c>
      <c r="GW16" s="407">
        <f>-(ConLoan!GW$50+PermLoan!GW$29)</f>
        <v/>
      </c>
      <c r="GX16" s="407">
        <f>-(ConLoan!GX$50+PermLoan!GX$29)</f>
        <v/>
      </c>
      <c r="GY16" s="407">
        <f>-(ConLoan!GY$50+PermLoan!GY$29)</f>
        <v/>
      </c>
      <c r="GZ16" s="407">
        <f>-(ConLoan!GZ$50+PermLoan!GZ$29)</f>
        <v/>
      </c>
      <c r="HA16" s="407">
        <f>-(ConLoan!HA$50+PermLoan!HA$29)</f>
        <v/>
      </c>
      <c r="HB16" s="407">
        <f>-(ConLoan!HB$50+PermLoan!HB$29)</f>
        <v/>
      </c>
      <c r="HC16" s="407">
        <f>-(ConLoan!HC$50+PermLoan!HC$29)</f>
        <v/>
      </c>
      <c r="HD16" s="407">
        <f>-(ConLoan!HD$50+PermLoan!HD$29)</f>
        <v/>
      </c>
      <c r="HE16" s="407">
        <f>-(ConLoan!HE$50+PermLoan!HE$29)</f>
        <v/>
      </c>
      <c r="HF16" s="407">
        <f>-(ConLoan!HF$50+PermLoan!HF$29)</f>
        <v/>
      </c>
      <c r="HG16" s="407">
        <f>-(ConLoan!HG$50+PermLoan!HG$29)</f>
        <v/>
      </c>
      <c r="HH16" s="407">
        <f>-(ConLoan!HH$50+PermLoan!HH$29)</f>
        <v/>
      </c>
      <c r="HI16" s="407">
        <f>-(ConLoan!HI$50+PermLoan!HI$29)</f>
        <v/>
      </c>
      <c r="HJ16" s="407">
        <f>-(ConLoan!HJ$50+PermLoan!HJ$29)</f>
        <v/>
      </c>
      <c r="HK16" s="407">
        <f>-(ConLoan!HK$50+PermLoan!HK$29)</f>
        <v/>
      </c>
      <c r="HL16" s="407">
        <f>-(ConLoan!HL$50+PermLoan!HL$29)</f>
        <v/>
      </c>
      <c r="HM16" s="407">
        <f>-(ConLoan!HM$50+PermLoan!HM$29)</f>
        <v/>
      </c>
      <c r="HN16" s="407">
        <f>-(ConLoan!HN$50+PermLoan!HN$29)</f>
        <v/>
      </c>
      <c r="HO16" s="407">
        <f>-(ConLoan!HO$50+PermLoan!HO$29)</f>
        <v/>
      </c>
      <c r="HP16" s="407">
        <f>-(ConLoan!HP$50+PermLoan!HP$29)</f>
        <v/>
      </c>
      <c r="HQ16" s="407">
        <f>-(ConLoan!HQ$50+PermLoan!HQ$29)</f>
        <v/>
      </c>
      <c r="HR16" s="407">
        <f>-(ConLoan!HR$50+PermLoan!HR$29)</f>
        <v/>
      </c>
      <c r="HS16" s="407">
        <f>-(ConLoan!HS$50+PermLoan!HS$29)</f>
        <v/>
      </c>
      <c r="HT16" s="407">
        <f>-(ConLoan!HT$50+PermLoan!HT$29)</f>
        <v/>
      </c>
      <c r="HU16" s="407">
        <f>-(ConLoan!HU$50+PermLoan!HU$29)</f>
        <v/>
      </c>
      <c r="HV16" s="407">
        <f>-(ConLoan!HV$50+PermLoan!HV$29)</f>
        <v/>
      </c>
      <c r="HW16" s="407">
        <f>-(ConLoan!HW$50+PermLoan!HW$29)</f>
        <v/>
      </c>
      <c r="HX16" s="407">
        <f>-(ConLoan!HX$50+PermLoan!HX$29)</f>
        <v/>
      </c>
      <c r="HY16" s="407">
        <f>-(ConLoan!HY$50+PermLoan!HY$29)</f>
        <v/>
      </c>
      <c r="HZ16" s="407">
        <f>-(ConLoan!HZ$50+PermLoan!HZ$29)</f>
        <v/>
      </c>
      <c r="IA16" s="407">
        <f>-(ConLoan!IA$50+PermLoan!IA$29)</f>
        <v/>
      </c>
      <c r="IB16" s="407">
        <f>-(ConLoan!IB$50+PermLoan!IB$29)</f>
        <v/>
      </c>
      <c r="IC16" s="407">
        <f>-(ConLoan!IC$50+PermLoan!IC$29)</f>
        <v/>
      </c>
      <c r="ID16" s="407">
        <f>-(ConLoan!ID$50+PermLoan!ID$29)</f>
        <v/>
      </c>
      <c r="IE16" s="407">
        <f>-(ConLoan!IE$50+PermLoan!IE$29)</f>
        <v/>
      </c>
      <c r="IF16" s="407">
        <f>-(ConLoan!IF$50+PermLoan!IF$29)</f>
        <v/>
      </c>
      <c r="IG16" s="407">
        <f>-(ConLoan!IG$50+PermLoan!IG$29)</f>
        <v/>
      </c>
      <c r="IH16" s="407">
        <f>-(ConLoan!IH$50+PermLoan!IH$29)</f>
        <v/>
      </c>
      <c r="II16" s="407">
        <f>-(ConLoan!II$50+PermLoan!II$29)</f>
        <v/>
      </c>
      <c r="IJ16" s="407">
        <f>-(ConLoan!IJ$50+PermLoan!IJ$29)</f>
        <v/>
      </c>
      <c r="IK16" s="407">
        <f>-(ConLoan!IK$50+PermLoan!IK$29)</f>
        <v/>
      </c>
      <c r="IL16" s="407">
        <f>-(ConLoan!IL$50+PermLoan!IL$29)</f>
        <v/>
      </c>
      <c r="IM16" s="407">
        <f>-(ConLoan!IM$50+PermLoan!IM$29)</f>
        <v/>
      </c>
      <c r="IN16" s="407">
        <f>-(ConLoan!IN$50+PermLoan!IN$29)</f>
        <v/>
      </c>
      <c r="IO16" s="407">
        <f>-(ConLoan!IO$50+PermLoan!IO$29)</f>
        <v/>
      </c>
      <c r="IP16" s="407">
        <f>-(ConLoan!IP$50+PermLoan!IP$29)</f>
        <v/>
      </c>
      <c r="IQ16" s="407">
        <f>-(ConLoan!IQ$50+PermLoan!IQ$29)</f>
        <v/>
      </c>
      <c r="IR16" s="407">
        <f>-(ConLoan!IR$50+PermLoan!IR$29)</f>
        <v/>
      </c>
      <c r="IS16" s="407">
        <f>-(ConLoan!IS$50+PermLoan!IS$29)</f>
        <v/>
      </c>
      <c r="IT16" s="407">
        <f>-(ConLoan!IT$50+PermLoan!IT$29)</f>
        <v/>
      </c>
      <c r="IU16" s="407">
        <f>-(ConLoan!IU$50+PermLoan!IU$29)</f>
        <v/>
      </c>
      <c r="IV16" s="407">
        <f>-(ConLoan!IV$50+PermLoan!IV$29)</f>
        <v/>
      </c>
      <c r="IW16" s="407">
        <f>-(ConLoan!IW$50+PermLoan!IW$29)</f>
        <v/>
      </c>
      <c r="IX16" s="407">
        <f>-(ConLoan!IX$50+PermLoan!IX$29)</f>
        <v/>
      </c>
      <c r="IY16" s="407">
        <f>-(ConLoan!IY$50+PermLoan!IY$29)</f>
        <v/>
      </c>
      <c r="IZ16" s="407">
        <f>-(ConLoan!IZ$50+PermLoan!IZ$29)</f>
        <v/>
      </c>
      <c r="JA16" s="407">
        <f>-(ConLoan!JA$50+PermLoan!JA$29)</f>
        <v/>
      </c>
      <c r="JB16" s="407">
        <f>-(ConLoan!JB$50+PermLoan!JB$29)</f>
        <v/>
      </c>
      <c r="JC16" s="407">
        <f>-(ConLoan!JC$50+PermLoan!JC$29)</f>
        <v/>
      </c>
      <c r="JD16" s="407">
        <f>-(ConLoan!JD$50+PermLoan!JD$29)</f>
        <v/>
      </c>
      <c r="JE16" s="407">
        <f>-(ConLoan!JE$50+PermLoan!JE$29)</f>
        <v/>
      </c>
      <c r="JF16" s="407">
        <f>-(ConLoan!JF$50+PermLoan!JF$29)</f>
        <v/>
      </c>
      <c r="JG16" s="407">
        <f>-(ConLoan!JG$50+PermLoan!JG$29)</f>
        <v/>
      </c>
      <c r="JH16" s="407">
        <f>-(ConLoan!JH$50+PermLoan!JH$29)</f>
        <v/>
      </c>
      <c r="JI16" s="407">
        <f>-(ConLoan!JI$50+PermLoan!JI$29)</f>
        <v/>
      </c>
      <c r="JJ16" s="407">
        <f>-(ConLoan!JJ$50+PermLoan!JJ$29)</f>
        <v/>
      </c>
      <c r="JK16" s="407">
        <f>-(ConLoan!JK$50+PermLoan!JK$29)</f>
        <v/>
      </c>
      <c r="JL16" s="407">
        <f>-(ConLoan!JL$50+PermLoan!JL$29)</f>
        <v/>
      </c>
      <c r="JM16" s="407">
        <f>-(ConLoan!JM$50+PermLoan!JM$29)</f>
        <v/>
      </c>
      <c r="JN16" s="407">
        <f>-(ConLoan!JN$50+PermLoan!JN$29)</f>
        <v/>
      </c>
      <c r="JO16" s="407">
        <f>-(ConLoan!JO$50+PermLoan!JO$29)</f>
        <v/>
      </c>
      <c r="JP16" s="407">
        <f>-(ConLoan!JP$50+PermLoan!JP$29)</f>
        <v/>
      </c>
      <c r="JQ16" s="407">
        <f>-(ConLoan!JQ$50+PermLoan!JQ$29)</f>
        <v/>
      </c>
      <c r="JR16" s="407">
        <f>-(ConLoan!JR$50+PermLoan!JR$29)</f>
        <v/>
      </c>
      <c r="JS16" s="407">
        <f>-(ConLoan!JS$50+PermLoan!JS$29)</f>
        <v/>
      </c>
      <c r="JT16" s="407">
        <f>-(ConLoan!JT$50+PermLoan!JT$29)</f>
        <v/>
      </c>
      <c r="JU16" s="407">
        <f>-(ConLoan!JU$50+PermLoan!JU$29)</f>
        <v/>
      </c>
      <c r="JV16" s="407">
        <f>-(ConLoan!JV$50+PermLoan!JV$29)</f>
        <v/>
      </c>
      <c r="JW16" s="407">
        <f>-(ConLoan!JW$50+PermLoan!JW$29)</f>
        <v/>
      </c>
      <c r="JX16" s="407">
        <f>-(ConLoan!JX$50+PermLoan!JX$29)</f>
        <v/>
      </c>
      <c r="JY16" s="407">
        <f>-(ConLoan!JY$50+PermLoan!JY$29)</f>
        <v/>
      </c>
      <c r="JZ16" s="407">
        <f>-(ConLoan!JZ$50+PermLoan!JZ$29)</f>
        <v/>
      </c>
      <c r="KA16" s="407">
        <f>-(ConLoan!KA$50+PermLoan!KA$29)</f>
        <v/>
      </c>
      <c r="KB16" s="407">
        <f>-(ConLoan!KB$50+PermLoan!KB$29)</f>
        <v/>
      </c>
      <c r="KC16" s="407">
        <f>-(ConLoan!KC$50+PermLoan!KC$29)</f>
        <v/>
      </c>
      <c r="KD16" s="407">
        <f>-(ConLoan!KD$50+PermLoan!KD$29)</f>
        <v/>
      </c>
      <c r="KE16" s="407">
        <f>-(ConLoan!KE$50+PermLoan!KE$29)</f>
        <v/>
      </c>
      <c r="KF16" s="407">
        <f>-(ConLoan!KF$50+PermLoan!KF$29)</f>
        <v/>
      </c>
      <c r="KG16" s="407">
        <f>-(ConLoan!KG$50+PermLoan!KG$29)</f>
        <v/>
      </c>
      <c r="KH16" s="407">
        <f>-(ConLoan!KH$50+PermLoan!KH$29)</f>
        <v/>
      </c>
      <c r="KI16" s="407">
        <f>-(ConLoan!KI$50+PermLoan!KI$29)</f>
        <v/>
      </c>
      <c r="KJ16" s="407">
        <f>-(ConLoan!KJ$50+PermLoan!KJ$29)</f>
        <v/>
      </c>
      <c r="KK16" s="407">
        <f>-(ConLoan!KK$50+PermLoan!KK$29)</f>
        <v/>
      </c>
      <c r="KL16" s="407">
        <f>-(ConLoan!KL$50+PermLoan!KL$29)</f>
        <v/>
      </c>
      <c r="KM16" s="407">
        <f>-(ConLoan!KM$50+PermLoan!KM$29)</f>
        <v/>
      </c>
      <c r="KN16" s="407">
        <f>-(ConLoan!KN$50+PermLoan!KN$29)</f>
        <v/>
      </c>
      <c r="KO16" s="407">
        <f>-(ConLoan!KO$50+PermLoan!KO$29)</f>
        <v/>
      </c>
      <c r="KP16" s="407">
        <f>-(ConLoan!KP$50+PermLoan!KP$29)</f>
        <v/>
      </c>
      <c r="KQ16" s="407">
        <f>-(ConLoan!KQ$50+PermLoan!KQ$29)</f>
        <v/>
      </c>
      <c r="KR16" s="407">
        <f>-(ConLoan!KR$50+PermLoan!KR$29)</f>
        <v/>
      </c>
      <c r="KS16" s="407">
        <f>-(ConLoan!KS$50+PermLoan!KS$29)</f>
        <v/>
      </c>
      <c r="KT16" s="407">
        <f>-(ConLoan!KT$50+PermLoan!KT$29)</f>
        <v/>
      </c>
      <c r="KU16" s="407">
        <f>-(ConLoan!KU$50+PermLoan!KU$29)</f>
        <v/>
      </c>
      <c r="KV16" s="407">
        <f>-(ConLoan!KV$50+PermLoan!KV$29)</f>
        <v/>
      </c>
      <c r="KW16" s="407">
        <f>-(ConLoan!KW$50+PermLoan!KW$29)</f>
        <v/>
      </c>
      <c r="KX16" s="407">
        <f>-(ConLoan!KX$50+PermLoan!KX$29)</f>
        <v/>
      </c>
      <c r="KY16" s="407">
        <f>-(ConLoan!KY$50+PermLoan!KY$29)</f>
        <v/>
      </c>
      <c r="KZ16" s="407">
        <f>-(ConLoan!KZ$50+PermLoan!KZ$29)</f>
        <v/>
      </c>
      <c r="LA16" s="407">
        <f>-(ConLoan!LA$50+PermLoan!LA$29)</f>
        <v/>
      </c>
      <c r="LB16" s="407">
        <f>-(ConLoan!LB$50+PermLoan!LB$29)</f>
        <v/>
      </c>
      <c r="LC16" s="407">
        <f>-(ConLoan!LC$50+PermLoan!LC$29)</f>
        <v/>
      </c>
      <c r="LD16" s="407">
        <f>-(ConLoan!LD$50+PermLoan!LD$29)</f>
        <v/>
      </c>
      <c r="LE16" s="407">
        <f>-(ConLoan!LE$50+PermLoan!LE$29)</f>
        <v/>
      </c>
      <c r="LF16" s="407">
        <f>-(ConLoan!LF$50+PermLoan!LF$29)</f>
        <v/>
      </c>
      <c r="LG16" s="407">
        <f>-(ConLoan!LG$50+PermLoan!LG$29)</f>
        <v/>
      </c>
      <c r="LH16" s="407">
        <f>-(ConLoan!LH$50+PermLoan!LH$29)</f>
        <v/>
      </c>
      <c r="LI16" s="407">
        <f>-(ConLoan!LI$50+PermLoan!LI$29)</f>
        <v/>
      </c>
      <c r="LJ16" s="407">
        <f>-(ConLoan!LJ$50+PermLoan!LJ$29)</f>
        <v/>
      </c>
      <c r="LK16" s="407">
        <f>-(ConLoan!LK$50+PermLoan!LK$29)</f>
        <v/>
      </c>
      <c r="LL16" s="407">
        <f>-(ConLoan!LL$50+PermLoan!LL$29)</f>
        <v/>
      </c>
      <c r="LM16" s="407">
        <f>-(ConLoan!LM$50+PermLoan!LM$29)</f>
        <v/>
      </c>
      <c r="LN16" s="407">
        <f>-(ConLoan!LN$50+PermLoan!LN$29)</f>
        <v/>
      </c>
      <c r="LO16" s="407">
        <f>-(ConLoan!LO$50+PermLoan!LO$29)</f>
        <v/>
      </c>
      <c r="LP16" s="407">
        <f>-(ConLoan!LP$50+PermLoan!LP$29)</f>
        <v/>
      </c>
      <c r="LQ16" s="407">
        <f>-(ConLoan!LQ$50+PermLoan!LQ$29)</f>
        <v/>
      </c>
      <c r="LR16" s="407">
        <f>-(ConLoan!LR$50+PermLoan!LR$29)</f>
        <v/>
      </c>
      <c r="LS16" s="407">
        <f>-(ConLoan!LS$50+PermLoan!LS$29)</f>
        <v/>
      </c>
      <c r="LT16" s="407">
        <f>-(ConLoan!LT$50+PermLoan!LT$29)</f>
        <v/>
      </c>
      <c r="LU16" s="407">
        <f>-(ConLoan!LU$50+PermLoan!LU$29)</f>
        <v/>
      </c>
      <c r="LV16" s="407">
        <f>-(ConLoan!LV$50+PermLoan!LV$29)</f>
        <v/>
      </c>
      <c r="LW16" s="407">
        <f>-(ConLoan!LW$50+PermLoan!LW$29)</f>
        <v/>
      </c>
      <c r="LX16" s="407">
        <f>-(ConLoan!LX$50+PermLoan!LX$29)</f>
        <v/>
      </c>
      <c r="LY16" s="407">
        <f>-(ConLoan!LY$50+PermLoan!LY$29)</f>
        <v/>
      </c>
      <c r="LZ16" s="407">
        <f>-(ConLoan!LZ$50+PermLoan!LZ$29)</f>
        <v/>
      </c>
      <c r="MA16" s="407">
        <f>-(ConLoan!MA$50+PermLoan!MA$29)</f>
        <v/>
      </c>
      <c r="MB16" s="407">
        <f>-(ConLoan!MB$50+PermLoan!MB$29)</f>
        <v/>
      </c>
      <c r="MC16" s="407">
        <f>-(ConLoan!MC$50+PermLoan!MC$29)</f>
        <v/>
      </c>
      <c r="MD16" s="407">
        <f>-(ConLoan!MD$50+PermLoan!MD$29)</f>
        <v/>
      </c>
      <c r="ME16" s="407">
        <f>-(ConLoan!ME$50+PermLoan!ME$29)</f>
        <v/>
      </c>
      <c r="MF16" s="407">
        <f>-(ConLoan!MF$50+PermLoan!MF$29)</f>
        <v/>
      </c>
      <c r="MG16" s="407">
        <f>-(ConLoan!MG$50+PermLoan!MG$29)</f>
        <v/>
      </c>
      <c r="MH16" s="407">
        <f>-(ConLoan!MH$50+PermLoan!MH$29)</f>
        <v/>
      </c>
      <c r="MI16" s="407">
        <f>-(ConLoan!MI$50+PermLoan!MI$29)</f>
        <v/>
      </c>
      <c r="MJ16" s="407">
        <f>-(ConLoan!MJ$50+PermLoan!MJ$29)</f>
        <v/>
      </c>
      <c r="MK16" s="407">
        <f>-(ConLoan!MK$50+PermLoan!MK$29)</f>
        <v/>
      </c>
      <c r="ML16" s="407">
        <f>-(ConLoan!ML$50+PermLoan!ML$29)</f>
        <v/>
      </c>
      <c r="MM16" s="407">
        <f>-(ConLoan!MM$50+PermLoan!MM$29)</f>
        <v/>
      </c>
      <c r="MN16" s="407">
        <f>-(ConLoan!MN$50+PermLoan!MN$29)</f>
        <v/>
      </c>
      <c r="MO16" s="407">
        <f>-(ConLoan!MO$50+PermLoan!MO$29)</f>
        <v/>
      </c>
      <c r="MP16" s="407">
        <f>-(ConLoan!MP$50+PermLoan!MP$29)</f>
        <v/>
      </c>
      <c r="MQ16" s="407">
        <f>-(ConLoan!MQ$50+PermLoan!MQ$29)</f>
        <v/>
      </c>
      <c r="MR16" s="407">
        <f>-(ConLoan!MR$50+PermLoan!MR$29)</f>
        <v/>
      </c>
      <c r="MS16" s="407">
        <f>-(ConLoan!MS$50+PermLoan!MS$29)</f>
        <v/>
      </c>
      <c r="MT16" s="407">
        <f>-(ConLoan!MT$50+PermLoan!MT$29)</f>
        <v/>
      </c>
      <c r="MU16" s="407">
        <f>-(ConLoan!MU$50+PermLoan!MU$29)</f>
        <v/>
      </c>
      <c r="MV16" s="407">
        <f>-(ConLoan!MV$50+PermLoan!MV$29)</f>
        <v/>
      </c>
      <c r="MW16" s="407">
        <f>-(ConLoan!MW$50+PermLoan!MW$29)</f>
        <v/>
      </c>
      <c r="MX16" s="407">
        <f>-(ConLoan!MX$50+PermLoan!MX$29)</f>
        <v/>
      </c>
      <c r="MY16" s="407">
        <f>-(ConLoan!MY$50+PermLoan!MY$29)</f>
        <v/>
      </c>
      <c r="MZ16" s="407">
        <f>-(ConLoan!MZ$50+PermLoan!MZ$29)</f>
        <v/>
      </c>
      <c r="NA16" s="407">
        <f>-(ConLoan!NA$50+PermLoan!NA$29)</f>
        <v/>
      </c>
      <c r="NB16" s="407">
        <f>-(ConLoan!NB$50+PermLoan!NB$29)</f>
        <v/>
      </c>
      <c r="NC16" s="407">
        <f>-(ConLoan!NC$50+PermLoan!NC$29)</f>
        <v/>
      </c>
      <c r="ND16" s="407">
        <f>-(ConLoan!ND$50+PermLoan!ND$29)</f>
        <v/>
      </c>
      <c r="NE16" s="407">
        <f>-(ConLoan!NE$50+PermLoan!NE$29)</f>
        <v/>
      </c>
      <c r="NF16" s="407">
        <f>-(ConLoan!NF$50+PermLoan!NF$29)</f>
        <v/>
      </c>
      <c r="NG16" s="407">
        <f>-(ConLoan!NG$50+PermLoan!NG$29)</f>
        <v/>
      </c>
      <c r="NH16" s="407">
        <f>-(ConLoan!NH$50+PermLoan!NH$29)</f>
        <v/>
      </c>
      <c r="NI16" s="407">
        <f>-(ConLoan!NI$50+PermLoan!NI$29)</f>
        <v/>
      </c>
      <c r="NJ16" s="407">
        <f>-(ConLoan!NJ$50+PermLoan!NJ$29)</f>
        <v/>
      </c>
      <c r="NK16" s="407">
        <f>-(ConLoan!NK$50+PermLoan!NK$29)</f>
        <v/>
      </c>
      <c r="NL16" s="407">
        <f>-(ConLoan!NL$50+PermLoan!NL$29)</f>
        <v/>
      </c>
    </row>
    <row r="17">
      <c r="B17" s="316" t="inlineStr">
        <is>
          <t>Construction Loan Balance (EOM)</t>
        </is>
      </c>
      <c r="D17" s="402">
        <f>INDEX(E17:NL17,HoldPeriodMonths)</f>
        <v/>
      </c>
      <c r="E17" s="402">
        <f>ConLoan!E$32</f>
        <v/>
      </c>
      <c r="F17" s="402">
        <f>ConLoan!F$32</f>
        <v/>
      </c>
      <c r="G17" s="402">
        <f>ConLoan!G$32</f>
        <v/>
      </c>
      <c r="H17" s="402">
        <f>ConLoan!H$32</f>
        <v/>
      </c>
      <c r="I17" s="402">
        <f>ConLoan!I$32</f>
        <v/>
      </c>
      <c r="J17" s="402">
        <f>ConLoan!J$32</f>
        <v/>
      </c>
      <c r="K17" s="402">
        <f>ConLoan!K$32</f>
        <v/>
      </c>
      <c r="L17" s="402">
        <f>ConLoan!L$32</f>
        <v/>
      </c>
      <c r="M17" s="402">
        <f>ConLoan!M$32</f>
        <v/>
      </c>
      <c r="N17" s="402">
        <f>ConLoan!N$32</f>
        <v/>
      </c>
      <c r="O17" s="402">
        <f>ConLoan!O$32</f>
        <v/>
      </c>
      <c r="P17" s="402">
        <f>ConLoan!P$32</f>
        <v/>
      </c>
      <c r="Q17" s="402">
        <f>ConLoan!Q$32</f>
        <v/>
      </c>
      <c r="R17" s="402">
        <f>ConLoan!R$32</f>
        <v/>
      </c>
      <c r="S17" s="402">
        <f>ConLoan!S$32</f>
        <v/>
      </c>
      <c r="T17" s="402">
        <f>ConLoan!T$32</f>
        <v/>
      </c>
      <c r="U17" s="402">
        <f>ConLoan!U$32</f>
        <v/>
      </c>
      <c r="V17" s="402">
        <f>ConLoan!V$32</f>
        <v/>
      </c>
      <c r="W17" s="402">
        <f>ConLoan!W$32</f>
        <v/>
      </c>
      <c r="X17" s="402">
        <f>ConLoan!X$32</f>
        <v/>
      </c>
      <c r="Y17" s="402">
        <f>ConLoan!Y$32</f>
        <v/>
      </c>
      <c r="Z17" s="402">
        <f>ConLoan!Z$32</f>
        <v/>
      </c>
      <c r="AA17" s="402">
        <f>ConLoan!AA$32</f>
        <v/>
      </c>
      <c r="AB17" s="402">
        <f>ConLoan!AB$32</f>
        <v/>
      </c>
      <c r="AC17" s="402">
        <f>ConLoan!AC$32</f>
        <v/>
      </c>
      <c r="AD17" s="402">
        <f>ConLoan!AD$32</f>
        <v/>
      </c>
      <c r="AE17" s="402">
        <f>ConLoan!AE$32</f>
        <v/>
      </c>
      <c r="AF17" s="402">
        <f>ConLoan!AF$32</f>
        <v/>
      </c>
      <c r="AG17" s="402">
        <f>ConLoan!AG$32</f>
        <v/>
      </c>
      <c r="AH17" s="402">
        <f>ConLoan!AH$32</f>
        <v/>
      </c>
      <c r="AI17" s="402">
        <f>ConLoan!AI$32</f>
        <v/>
      </c>
      <c r="AJ17" s="402">
        <f>ConLoan!AJ$32</f>
        <v/>
      </c>
      <c r="AK17" s="402">
        <f>ConLoan!AK$32</f>
        <v/>
      </c>
      <c r="AL17" s="402">
        <f>ConLoan!AL$32</f>
        <v/>
      </c>
      <c r="AM17" s="402">
        <f>ConLoan!AM$32</f>
        <v/>
      </c>
      <c r="AN17" s="402">
        <f>ConLoan!AN$32</f>
        <v/>
      </c>
      <c r="AO17" s="402">
        <f>ConLoan!AO$32</f>
        <v/>
      </c>
      <c r="AP17" s="402">
        <f>ConLoan!AP$32</f>
        <v/>
      </c>
      <c r="AQ17" s="402">
        <f>ConLoan!AQ$32</f>
        <v/>
      </c>
      <c r="AR17" s="402">
        <f>ConLoan!AR$32</f>
        <v/>
      </c>
      <c r="AS17" s="402">
        <f>ConLoan!AS$32</f>
        <v/>
      </c>
      <c r="AT17" s="402">
        <f>ConLoan!AT$32</f>
        <v/>
      </c>
      <c r="AU17" s="402">
        <f>ConLoan!AU$32</f>
        <v/>
      </c>
      <c r="AV17" s="402">
        <f>ConLoan!AV$32</f>
        <v/>
      </c>
      <c r="AW17" s="402">
        <f>ConLoan!AW$32</f>
        <v/>
      </c>
      <c r="AX17" s="402">
        <f>ConLoan!AX$32</f>
        <v/>
      </c>
      <c r="AY17" s="402">
        <f>ConLoan!AY$32</f>
        <v/>
      </c>
      <c r="AZ17" s="402">
        <f>ConLoan!AZ$32</f>
        <v/>
      </c>
      <c r="BA17" s="402">
        <f>ConLoan!BA$32</f>
        <v/>
      </c>
      <c r="BB17" s="402">
        <f>ConLoan!BB$32</f>
        <v/>
      </c>
      <c r="BC17" s="402">
        <f>ConLoan!BC$32</f>
        <v/>
      </c>
      <c r="BD17" s="402">
        <f>ConLoan!BD$32</f>
        <v/>
      </c>
      <c r="BE17" s="402">
        <f>ConLoan!BE$32</f>
        <v/>
      </c>
      <c r="BF17" s="402">
        <f>ConLoan!BF$32</f>
        <v/>
      </c>
      <c r="BG17" s="402">
        <f>ConLoan!BG$32</f>
        <v/>
      </c>
      <c r="BH17" s="402">
        <f>ConLoan!BH$32</f>
        <v/>
      </c>
      <c r="BI17" s="402">
        <f>ConLoan!BI$32</f>
        <v/>
      </c>
      <c r="BJ17" s="402">
        <f>ConLoan!BJ$32</f>
        <v/>
      </c>
      <c r="BK17" s="402">
        <f>ConLoan!BK$32</f>
        <v/>
      </c>
      <c r="BL17" s="402">
        <f>ConLoan!BL$32</f>
        <v/>
      </c>
      <c r="BM17" s="402">
        <f>ConLoan!BM$32</f>
        <v/>
      </c>
      <c r="BN17" s="402">
        <f>ConLoan!BN$32</f>
        <v/>
      </c>
      <c r="BO17" s="402">
        <f>ConLoan!BO$32</f>
        <v/>
      </c>
      <c r="BP17" s="402">
        <f>ConLoan!BP$32</f>
        <v/>
      </c>
      <c r="BQ17" s="402">
        <f>ConLoan!BQ$32</f>
        <v/>
      </c>
      <c r="BR17" s="402">
        <f>ConLoan!BR$32</f>
        <v/>
      </c>
      <c r="BS17" s="402">
        <f>ConLoan!BS$32</f>
        <v/>
      </c>
      <c r="BT17" s="402">
        <f>ConLoan!BT$32</f>
        <v/>
      </c>
      <c r="BU17" s="402">
        <f>ConLoan!BU$32</f>
        <v/>
      </c>
      <c r="BV17" s="402">
        <f>ConLoan!BV$32</f>
        <v/>
      </c>
      <c r="BW17" s="402">
        <f>ConLoan!BW$32</f>
        <v/>
      </c>
      <c r="BX17" s="402">
        <f>ConLoan!BX$32</f>
        <v/>
      </c>
      <c r="BY17" s="402">
        <f>ConLoan!BY$32</f>
        <v/>
      </c>
      <c r="BZ17" s="402">
        <f>ConLoan!BZ$32</f>
        <v/>
      </c>
      <c r="CA17" s="402">
        <f>ConLoan!CA$32</f>
        <v/>
      </c>
      <c r="CB17" s="402">
        <f>ConLoan!CB$32</f>
        <v/>
      </c>
      <c r="CC17" s="402">
        <f>ConLoan!CC$32</f>
        <v/>
      </c>
      <c r="CD17" s="402">
        <f>ConLoan!CD$32</f>
        <v/>
      </c>
      <c r="CE17" s="402">
        <f>ConLoan!CE$32</f>
        <v/>
      </c>
      <c r="CF17" s="402">
        <f>ConLoan!CF$32</f>
        <v/>
      </c>
      <c r="CG17" s="402">
        <f>ConLoan!CG$32</f>
        <v/>
      </c>
      <c r="CH17" s="402">
        <f>ConLoan!CH$32</f>
        <v/>
      </c>
      <c r="CI17" s="402">
        <f>ConLoan!CI$32</f>
        <v/>
      </c>
      <c r="CJ17" s="402">
        <f>ConLoan!CJ$32</f>
        <v/>
      </c>
      <c r="CK17" s="402">
        <f>ConLoan!CK$32</f>
        <v/>
      </c>
      <c r="CL17" s="402">
        <f>ConLoan!CL$32</f>
        <v/>
      </c>
      <c r="CM17" s="402">
        <f>ConLoan!CM$32</f>
        <v/>
      </c>
      <c r="CN17" s="402">
        <f>ConLoan!CN$32</f>
        <v/>
      </c>
      <c r="CO17" s="402">
        <f>ConLoan!CO$32</f>
        <v/>
      </c>
      <c r="CP17" s="402">
        <f>ConLoan!CP$32</f>
        <v/>
      </c>
      <c r="CQ17" s="402">
        <f>ConLoan!CQ$32</f>
        <v/>
      </c>
      <c r="CR17" s="402">
        <f>ConLoan!CR$32</f>
        <v/>
      </c>
      <c r="CS17" s="402">
        <f>ConLoan!CS$32</f>
        <v/>
      </c>
      <c r="CT17" s="402">
        <f>ConLoan!CT$32</f>
        <v/>
      </c>
      <c r="CU17" s="402">
        <f>ConLoan!CU$32</f>
        <v/>
      </c>
      <c r="CV17" s="402">
        <f>ConLoan!CV$32</f>
        <v/>
      </c>
      <c r="CW17" s="402">
        <f>ConLoan!CW$32</f>
        <v/>
      </c>
      <c r="CX17" s="402">
        <f>ConLoan!CX$32</f>
        <v/>
      </c>
      <c r="CY17" s="402">
        <f>ConLoan!CY$32</f>
        <v/>
      </c>
      <c r="CZ17" s="402">
        <f>ConLoan!CZ$32</f>
        <v/>
      </c>
      <c r="DA17" s="402">
        <f>ConLoan!DA$32</f>
        <v/>
      </c>
      <c r="DB17" s="402">
        <f>ConLoan!DB$32</f>
        <v/>
      </c>
      <c r="DC17" s="402">
        <f>ConLoan!DC$32</f>
        <v/>
      </c>
      <c r="DD17" s="402">
        <f>ConLoan!DD$32</f>
        <v/>
      </c>
      <c r="DE17" s="402">
        <f>ConLoan!DE$32</f>
        <v/>
      </c>
      <c r="DF17" s="402">
        <f>ConLoan!DF$32</f>
        <v/>
      </c>
      <c r="DG17" s="402">
        <f>ConLoan!DG$32</f>
        <v/>
      </c>
      <c r="DH17" s="402">
        <f>ConLoan!DH$32</f>
        <v/>
      </c>
      <c r="DI17" s="402">
        <f>ConLoan!DI$32</f>
        <v/>
      </c>
      <c r="DJ17" s="402">
        <f>ConLoan!DJ$32</f>
        <v/>
      </c>
      <c r="DK17" s="402">
        <f>ConLoan!DK$32</f>
        <v/>
      </c>
      <c r="DL17" s="402">
        <f>ConLoan!DL$32</f>
        <v/>
      </c>
      <c r="DM17" s="402">
        <f>ConLoan!DM$32</f>
        <v/>
      </c>
      <c r="DN17" s="402">
        <f>ConLoan!DN$32</f>
        <v/>
      </c>
      <c r="DO17" s="402">
        <f>ConLoan!DO$32</f>
        <v/>
      </c>
      <c r="DP17" s="402">
        <f>ConLoan!DP$32</f>
        <v/>
      </c>
      <c r="DQ17" s="402">
        <f>ConLoan!DQ$32</f>
        <v/>
      </c>
      <c r="DR17" s="402">
        <f>ConLoan!DR$32</f>
        <v/>
      </c>
      <c r="DS17" s="402">
        <f>ConLoan!DS$32</f>
        <v/>
      </c>
      <c r="DT17" s="402">
        <f>ConLoan!DT$32</f>
        <v/>
      </c>
      <c r="DU17" s="402">
        <f>ConLoan!DU$32</f>
        <v/>
      </c>
      <c r="DV17" s="402">
        <f>ConLoan!DV$32</f>
        <v/>
      </c>
      <c r="DW17" s="402">
        <f>ConLoan!DW$32</f>
        <v/>
      </c>
      <c r="DX17" s="402">
        <f>ConLoan!DX$32</f>
        <v/>
      </c>
      <c r="DY17" s="402">
        <f>ConLoan!DY$32</f>
        <v/>
      </c>
      <c r="DZ17" s="402">
        <f>ConLoan!DZ$32</f>
        <v/>
      </c>
      <c r="EA17" s="402">
        <f>ConLoan!EA$32</f>
        <v/>
      </c>
      <c r="EB17" s="402">
        <f>ConLoan!EB$32</f>
        <v/>
      </c>
      <c r="EC17" s="402">
        <f>ConLoan!EC$32</f>
        <v/>
      </c>
      <c r="ED17" s="402">
        <f>ConLoan!ED$32</f>
        <v/>
      </c>
      <c r="EE17" s="402">
        <f>ConLoan!EE$32</f>
        <v/>
      </c>
      <c r="EF17" s="402">
        <f>ConLoan!EF$32</f>
        <v/>
      </c>
      <c r="EG17" s="402">
        <f>ConLoan!EG$32</f>
        <v/>
      </c>
      <c r="EH17" s="402">
        <f>ConLoan!EH$32</f>
        <v/>
      </c>
      <c r="EI17" s="402">
        <f>ConLoan!EI$32</f>
        <v/>
      </c>
      <c r="EJ17" s="402">
        <f>ConLoan!EJ$32</f>
        <v/>
      </c>
      <c r="EK17" s="402">
        <f>ConLoan!EK$32</f>
        <v/>
      </c>
      <c r="EL17" s="402">
        <f>ConLoan!EL$32</f>
        <v/>
      </c>
      <c r="EM17" s="402">
        <f>ConLoan!EM$32</f>
        <v/>
      </c>
      <c r="EN17" s="402">
        <f>ConLoan!EN$32</f>
        <v/>
      </c>
      <c r="EO17" s="402">
        <f>ConLoan!EO$32</f>
        <v/>
      </c>
      <c r="EP17" s="402">
        <f>ConLoan!EP$32</f>
        <v/>
      </c>
      <c r="EQ17" s="402">
        <f>ConLoan!EQ$32</f>
        <v/>
      </c>
      <c r="ER17" s="402">
        <f>ConLoan!ER$32</f>
        <v/>
      </c>
      <c r="ES17" s="402">
        <f>ConLoan!ES$32</f>
        <v/>
      </c>
      <c r="ET17" s="402">
        <f>ConLoan!ET$32</f>
        <v/>
      </c>
      <c r="EU17" s="402">
        <f>ConLoan!EU$32</f>
        <v/>
      </c>
      <c r="EV17" s="402">
        <f>ConLoan!EV$32</f>
        <v/>
      </c>
      <c r="EW17" s="402">
        <f>ConLoan!EW$32</f>
        <v/>
      </c>
      <c r="EX17" s="402">
        <f>ConLoan!EX$32</f>
        <v/>
      </c>
      <c r="EY17" s="402">
        <f>ConLoan!EY$32</f>
        <v/>
      </c>
      <c r="EZ17" s="402">
        <f>ConLoan!EZ$32</f>
        <v/>
      </c>
      <c r="FA17" s="402">
        <f>ConLoan!FA$32</f>
        <v/>
      </c>
      <c r="FB17" s="402">
        <f>ConLoan!FB$32</f>
        <v/>
      </c>
      <c r="FC17" s="402">
        <f>ConLoan!FC$32</f>
        <v/>
      </c>
      <c r="FD17" s="402">
        <f>ConLoan!FD$32</f>
        <v/>
      </c>
      <c r="FE17" s="402">
        <f>ConLoan!FE$32</f>
        <v/>
      </c>
      <c r="FF17" s="402">
        <f>ConLoan!FF$32</f>
        <v/>
      </c>
      <c r="FG17" s="402">
        <f>ConLoan!FG$32</f>
        <v/>
      </c>
      <c r="FH17" s="402">
        <f>ConLoan!FH$32</f>
        <v/>
      </c>
      <c r="FI17" s="402">
        <f>ConLoan!FI$32</f>
        <v/>
      </c>
      <c r="FJ17" s="402">
        <f>ConLoan!FJ$32</f>
        <v/>
      </c>
      <c r="FK17" s="402">
        <f>ConLoan!FK$32</f>
        <v/>
      </c>
      <c r="FL17" s="402">
        <f>ConLoan!FL$32</f>
        <v/>
      </c>
      <c r="FM17" s="402">
        <f>ConLoan!FM$32</f>
        <v/>
      </c>
      <c r="FN17" s="402">
        <f>ConLoan!FN$32</f>
        <v/>
      </c>
      <c r="FO17" s="402">
        <f>ConLoan!FO$32</f>
        <v/>
      </c>
      <c r="FP17" s="402">
        <f>ConLoan!FP$32</f>
        <v/>
      </c>
      <c r="FQ17" s="402">
        <f>ConLoan!FQ$32</f>
        <v/>
      </c>
      <c r="FR17" s="402">
        <f>ConLoan!FR$32</f>
        <v/>
      </c>
      <c r="FS17" s="402">
        <f>ConLoan!FS$32</f>
        <v/>
      </c>
      <c r="FT17" s="402">
        <f>ConLoan!FT$32</f>
        <v/>
      </c>
      <c r="FU17" s="402">
        <f>ConLoan!FU$32</f>
        <v/>
      </c>
      <c r="FV17" s="402">
        <f>ConLoan!FV$32</f>
        <v/>
      </c>
      <c r="FW17" s="402">
        <f>ConLoan!FW$32</f>
        <v/>
      </c>
      <c r="FX17" s="402">
        <f>ConLoan!FX$32</f>
        <v/>
      </c>
      <c r="FY17" s="402">
        <f>ConLoan!FY$32</f>
        <v/>
      </c>
      <c r="FZ17" s="402">
        <f>ConLoan!FZ$32</f>
        <v/>
      </c>
      <c r="GA17" s="402">
        <f>ConLoan!GA$32</f>
        <v/>
      </c>
      <c r="GB17" s="402">
        <f>ConLoan!GB$32</f>
        <v/>
      </c>
      <c r="GC17" s="402">
        <f>ConLoan!GC$32</f>
        <v/>
      </c>
      <c r="GD17" s="402">
        <f>ConLoan!GD$32</f>
        <v/>
      </c>
      <c r="GE17" s="402">
        <f>ConLoan!GE$32</f>
        <v/>
      </c>
      <c r="GF17" s="402">
        <f>ConLoan!GF$32</f>
        <v/>
      </c>
      <c r="GG17" s="402">
        <f>ConLoan!GG$32</f>
        <v/>
      </c>
      <c r="GH17" s="402">
        <f>ConLoan!GH$32</f>
        <v/>
      </c>
      <c r="GI17" s="402">
        <f>ConLoan!GI$32</f>
        <v/>
      </c>
      <c r="GJ17" s="402">
        <f>ConLoan!GJ$32</f>
        <v/>
      </c>
      <c r="GK17" s="402">
        <f>ConLoan!GK$32</f>
        <v/>
      </c>
      <c r="GL17" s="402">
        <f>ConLoan!GL$32</f>
        <v/>
      </c>
      <c r="GM17" s="402">
        <f>ConLoan!GM$32</f>
        <v/>
      </c>
      <c r="GN17" s="402">
        <f>ConLoan!GN$32</f>
        <v/>
      </c>
      <c r="GO17" s="402">
        <f>ConLoan!GO$32</f>
        <v/>
      </c>
      <c r="GP17" s="402">
        <f>ConLoan!GP$32</f>
        <v/>
      </c>
      <c r="GQ17" s="402">
        <f>ConLoan!GQ$32</f>
        <v/>
      </c>
      <c r="GR17" s="402">
        <f>ConLoan!GR$32</f>
        <v/>
      </c>
      <c r="GS17" s="402">
        <f>ConLoan!GS$32</f>
        <v/>
      </c>
      <c r="GT17" s="402">
        <f>ConLoan!GT$32</f>
        <v/>
      </c>
      <c r="GU17" s="402">
        <f>ConLoan!GU$32</f>
        <v/>
      </c>
      <c r="GV17" s="402">
        <f>ConLoan!GV$32</f>
        <v/>
      </c>
      <c r="GW17" s="402">
        <f>ConLoan!GW$32</f>
        <v/>
      </c>
      <c r="GX17" s="402">
        <f>ConLoan!GX$32</f>
        <v/>
      </c>
      <c r="GY17" s="402">
        <f>ConLoan!GY$32</f>
        <v/>
      </c>
      <c r="GZ17" s="402">
        <f>ConLoan!GZ$32</f>
        <v/>
      </c>
      <c r="HA17" s="402">
        <f>ConLoan!HA$32</f>
        <v/>
      </c>
      <c r="HB17" s="402">
        <f>ConLoan!HB$32</f>
        <v/>
      </c>
      <c r="HC17" s="402">
        <f>ConLoan!HC$32</f>
        <v/>
      </c>
      <c r="HD17" s="402">
        <f>ConLoan!HD$32</f>
        <v/>
      </c>
      <c r="HE17" s="402">
        <f>ConLoan!HE$32</f>
        <v/>
      </c>
      <c r="HF17" s="402">
        <f>ConLoan!HF$32</f>
        <v/>
      </c>
      <c r="HG17" s="402">
        <f>ConLoan!HG$32</f>
        <v/>
      </c>
      <c r="HH17" s="402">
        <f>ConLoan!HH$32</f>
        <v/>
      </c>
      <c r="HI17" s="402">
        <f>ConLoan!HI$32</f>
        <v/>
      </c>
      <c r="HJ17" s="402">
        <f>ConLoan!HJ$32</f>
        <v/>
      </c>
      <c r="HK17" s="402">
        <f>ConLoan!HK$32</f>
        <v/>
      </c>
      <c r="HL17" s="402">
        <f>ConLoan!HL$32</f>
        <v/>
      </c>
      <c r="HM17" s="402">
        <f>ConLoan!HM$32</f>
        <v/>
      </c>
      <c r="HN17" s="402">
        <f>ConLoan!HN$32</f>
        <v/>
      </c>
      <c r="HO17" s="402">
        <f>ConLoan!HO$32</f>
        <v/>
      </c>
      <c r="HP17" s="402">
        <f>ConLoan!HP$32</f>
        <v/>
      </c>
      <c r="HQ17" s="402">
        <f>ConLoan!HQ$32</f>
        <v/>
      </c>
      <c r="HR17" s="402">
        <f>ConLoan!HR$32</f>
        <v/>
      </c>
      <c r="HS17" s="402">
        <f>ConLoan!HS$32</f>
        <v/>
      </c>
      <c r="HT17" s="402">
        <f>ConLoan!HT$32</f>
        <v/>
      </c>
      <c r="HU17" s="402">
        <f>ConLoan!HU$32</f>
        <v/>
      </c>
      <c r="HV17" s="402">
        <f>ConLoan!HV$32</f>
        <v/>
      </c>
      <c r="HW17" s="402">
        <f>ConLoan!HW$32</f>
        <v/>
      </c>
      <c r="HX17" s="402">
        <f>ConLoan!HX$32</f>
        <v/>
      </c>
      <c r="HY17" s="402">
        <f>ConLoan!HY$32</f>
        <v/>
      </c>
      <c r="HZ17" s="402">
        <f>ConLoan!HZ$32</f>
        <v/>
      </c>
      <c r="IA17" s="402">
        <f>ConLoan!IA$32</f>
        <v/>
      </c>
      <c r="IB17" s="402">
        <f>ConLoan!IB$32</f>
        <v/>
      </c>
      <c r="IC17" s="402">
        <f>ConLoan!IC$32</f>
        <v/>
      </c>
      <c r="ID17" s="402">
        <f>ConLoan!ID$32</f>
        <v/>
      </c>
      <c r="IE17" s="402">
        <f>ConLoan!IE$32</f>
        <v/>
      </c>
      <c r="IF17" s="402">
        <f>ConLoan!IF$32</f>
        <v/>
      </c>
      <c r="IG17" s="402">
        <f>ConLoan!IG$32</f>
        <v/>
      </c>
      <c r="IH17" s="402">
        <f>ConLoan!IH$32</f>
        <v/>
      </c>
      <c r="II17" s="402">
        <f>ConLoan!II$32</f>
        <v/>
      </c>
      <c r="IJ17" s="402">
        <f>ConLoan!IJ$32</f>
        <v/>
      </c>
      <c r="IK17" s="402">
        <f>ConLoan!IK$32</f>
        <v/>
      </c>
      <c r="IL17" s="402">
        <f>ConLoan!IL$32</f>
        <v/>
      </c>
      <c r="IM17" s="402">
        <f>ConLoan!IM$32</f>
        <v/>
      </c>
      <c r="IN17" s="402">
        <f>ConLoan!IN$32</f>
        <v/>
      </c>
      <c r="IO17" s="402">
        <f>ConLoan!IO$32</f>
        <v/>
      </c>
      <c r="IP17" s="402">
        <f>ConLoan!IP$32</f>
        <v/>
      </c>
      <c r="IQ17" s="402">
        <f>ConLoan!IQ$32</f>
        <v/>
      </c>
      <c r="IR17" s="402">
        <f>ConLoan!IR$32</f>
        <v/>
      </c>
      <c r="IS17" s="402">
        <f>ConLoan!IS$32</f>
        <v/>
      </c>
      <c r="IT17" s="402">
        <f>ConLoan!IT$32</f>
        <v/>
      </c>
      <c r="IU17" s="402">
        <f>ConLoan!IU$32</f>
        <v/>
      </c>
      <c r="IV17" s="402">
        <f>ConLoan!IV$32</f>
        <v/>
      </c>
      <c r="IW17" s="402">
        <f>ConLoan!IW$32</f>
        <v/>
      </c>
      <c r="IX17" s="402">
        <f>ConLoan!IX$32</f>
        <v/>
      </c>
      <c r="IY17" s="402">
        <f>ConLoan!IY$32</f>
        <v/>
      </c>
      <c r="IZ17" s="402">
        <f>ConLoan!IZ$32</f>
        <v/>
      </c>
      <c r="JA17" s="402">
        <f>ConLoan!JA$32</f>
        <v/>
      </c>
      <c r="JB17" s="402">
        <f>ConLoan!JB$32</f>
        <v/>
      </c>
      <c r="JC17" s="402">
        <f>ConLoan!JC$32</f>
        <v/>
      </c>
      <c r="JD17" s="402">
        <f>ConLoan!JD$32</f>
        <v/>
      </c>
      <c r="JE17" s="402">
        <f>ConLoan!JE$32</f>
        <v/>
      </c>
      <c r="JF17" s="402">
        <f>ConLoan!JF$32</f>
        <v/>
      </c>
      <c r="JG17" s="402">
        <f>ConLoan!JG$32</f>
        <v/>
      </c>
      <c r="JH17" s="402">
        <f>ConLoan!JH$32</f>
        <v/>
      </c>
      <c r="JI17" s="402">
        <f>ConLoan!JI$32</f>
        <v/>
      </c>
      <c r="JJ17" s="402">
        <f>ConLoan!JJ$32</f>
        <v/>
      </c>
      <c r="JK17" s="402">
        <f>ConLoan!JK$32</f>
        <v/>
      </c>
      <c r="JL17" s="402">
        <f>ConLoan!JL$32</f>
        <v/>
      </c>
      <c r="JM17" s="402">
        <f>ConLoan!JM$32</f>
        <v/>
      </c>
      <c r="JN17" s="402">
        <f>ConLoan!JN$32</f>
        <v/>
      </c>
      <c r="JO17" s="402">
        <f>ConLoan!JO$32</f>
        <v/>
      </c>
      <c r="JP17" s="402">
        <f>ConLoan!JP$32</f>
        <v/>
      </c>
      <c r="JQ17" s="402">
        <f>ConLoan!JQ$32</f>
        <v/>
      </c>
      <c r="JR17" s="402">
        <f>ConLoan!JR$32</f>
        <v/>
      </c>
      <c r="JS17" s="402">
        <f>ConLoan!JS$32</f>
        <v/>
      </c>
      <c r="JT17" s="402">
        <f>ConLoan!JT$32</f>
        <v/>
      </c>
      <c r="JU17" s="402">
        <f>ConLoan!JU$32</f>
        <v/>
      </c>
      <c r="JV17" s="402">
        <f>ConLoan!JV$32</f>
        <v/>
      </c>
      <c r="JW17" s="402">
        <f>ConLoan!JW$32</f>
        <v/>
      </c>
      <c r="JX17" s="402">
        <f>ConLoan!JX$32</f>
        <v/>
      </c>
      <c r="JY17" s="402">
        <f>ConLoan!JY$32</f>
        <v/>
      </c>
      <c r="JZ17" s="402">
        <f>ConLoan!JZ$32</f>
        <v/>
      </c>
      <c r="KA17" s="402">
        <f>ConLoan!KA$32</f>
        <v/>
      </c>
      <c r="KB17" s="402">
        <f>ConLoan!KB$32</f>
        <v/>
      </c>
      <c r="KC17" s="402">
        <f>ConLoan!KC$32</f>
        <v/>
      </c>
      <c r="KD17" s="402">
        <f>ConLoan!KD$32</f>
        <v/>
      </c>
      <c r="KE17" s="402">
        <f>ConLoan!KE$32</f>
        <v/>
      </c>
      <c r="KF17" s="402">
        <f>ConLoan!KF$32</f>
        <v/>
      </c>
      <c r="KG17" s="402">
        <f>ConLoan!KG$32</f>
        <v/>
      </c>
      <c r="KH17" s="402">
        <f>ConLoan!KH$32</f>
        <v/>
      </c>
      <c r="KI17" s="402">
        <f>ConLoan!KI$32</f>
        <v/>
      </c>
      <c r="KJ17" s="402">
        <f>ConLoan!KJ$32</f>
        <v/>
      </c>
      <c r="KK17" s="402">
        <f>ConLoan!KK$32</f>
        <v/>
      </c>
      <c r="KL17" s="402">
        <f>ConLoan!KL$32</f>
        <v/>
      </c>
      <c r="KM17" s="402">
        <f>ConLoan!KM$32</f>
        <v/>
      </c>
      <c r="KN17" s="402">
        <f>ConLoan!KN$32</f>
        <v/>
      </c>
      <c r="KO17" s="402">
        <f>ConLoan!KO$32</f>
        <v/>
      </c>
      <c r="KP17" s="402">
        <f>ConLoan!KP$32</f>
        <v/>
      </c>
      <c r="KQ17" s="402">
        <f>ConLoan!KQ$32</f>
        <v/>
      </c>
      <c r="KR17" s="402">
        <f>ConLoan!KR$32</f>
        <v/>
      </c>
      <c r="KS17" s="402">
        <f>ConLoan!KS$32</f>
        <v/>
      </c>
      <c r="KT17" s="402">
        <f>ConLoan!KT$32</f>
        <v/>
      </c>
      <c r="KU17" s="402">
        <f>ConLoan!KU$32</f>
        <v/>
      </c>
      <c r="KV17" s="402">
        <f>ConLoan!KV$32</f>
        <v/>
      </c>
      <c r="KW17" s="402">
        <f>ConLoan!KW$32</f>
        <v/>
      </c>
      <c r="KX17" s="402">
        <f>ConLoan!KX$32</f>
        <v/>
      </c>
      <c r="KY17" s="402">
        <f>ConLoan!KY$32</f>
        <v/>
      </c>
      <c r="KZ17" s="402">
        <f>ConLoan!KZ$32</f>
        <v/>
      </c>
      <c r="LA17" s="402">
        <f>ConLoan!LA$32</f>
        <v/>
      </c>
      <c r="LB17" s="402">
        <f>ConLoan!LB$32</f>
        <v/>
      </c>
      <c r="LC17" s="402">
        <f>ConLoan!LC$32</f>
        <v/>
      </c>
      <c r="LD17" s="402">
        <f>ConLoan!LD$32</f>
        <v/>
      </c>
      <c r="LE17" s="402">
        <f>ConLoan!LE$32</f>
        <v/>
      </c>
      <c r="LF17" s="402">
        <f>ConLoan!LF$32</f>
        <v/>
      </c>
      <c r="LG17" s="402">
        <f>ConLoan!LG$32</f>
        <v/>
      </c>
      <c r="LH17" s="402">
        <f>ConLoan!LH$32</f>
        <v/>
      </c>
      <c r="LI17" s="402">
        <f>ConLoan!LI$32</f>
        <v/>
      </c>
      <c r="LJ17" s="402">
        <f>ConLoan!LJ$32</f>
        <v/>
      </c>
      <c r="LK17" s="402">
        <f>ConLoan!LK$32</f>
        <v/>
      </c>
      <c r="LL17" s="402">
        <f>ConLoan!LL$32</f>
        <v/>
      </c>
      <c r="LM17" s="402">
        <f>ConLoan!LM$32</f>
        <v/>
      </c>
      <c r="LN17" s="402">
        <f>ConLoan!LN$32</f>
        <v/>
      </c>
      <c r="LO17" s="402">
        <f>ConLoan!LO$32</f>
        <v/>
      </c>
      <c r="LP17" s="402">
        <f>ConLoan!LP$32</f>
        <v/>
      </c>
      <c r="LQ17" s="402">
        <f>ConLoan!LQ$32</f>
        <v/>
      </c>
      <c r="LR17" s="402">
        <f>ConLoan!LR$32</f>
        <v/>
      </c>
      <c r="LS17" s="402">
        <f>ConLoan!LS$32</f>
        <v/>
      </c>
      <c r="LT17" s="402">
        <f>ConLoan!LT$32</f>
        <v/>
      </c>
      <c r="LU17" s="402">
        <f>ConLoan!LU$32</f>
        <v/>
      </c>
      <c r="LV17" s="402">
        <f>ConLoan!LV$32</f>
        <v/>
      </c>
      <c r="LW17" s="402">
        <f>ConLoan!LW$32</f>
        <v/>
      </c>
      <c r="LX17" s="402">
        <f>ConLoan!LX$32</f>
        <v/>
      </c>
      <c r="LY17" s="402">
        <f>ConLoan!LY$32</f>
        <v/>
      </c>
      <c r="LZ17" s="402">
        <f>ConLoan!LZ$32</f>
        <v/>
      </c>
      <c r="MA17" s="402">
        <f>ConLoan!MA$32</f>
        <v/>
      </c>
      <c r="MB17" s="402">
        <f>ConLoan!MB$32</f>
        <v/>
      </c>
      <c r="MC17" s="402">
        <f>ConLoan!MC$32</f>
        <v/>
      </c>
      <c r="MD17" s="402">
        <f>ConLoan!MD$32</f>
        <v/>
      </c>
      <c r="ME17" s="402">
        <f>ConLoan!ME$32</f>
        <v/>
      </c>
      <c r="MF17" s="402">
        <f>ConLoan!MF$32</f>
        <v/>
      </c>
      <c r="MG17" s="402">
        <f>ConLoan!MG$32</f>
        <v/>
      </c>
      <c r="MH17" s="402">
        <f>ConLoan!MH$32</f>
        <v/>
      </c>
      <c r="MI17" s="402">
        <f>ConLoan!MI$32</f>
        <v/>
      </c>
      <c r="MJ17" s="402">
        <f>ConLoan!MJ$32</f>
        <v/>
      </c>
      <c r="MK17" s="402">
        <f>ConLoan!MK$32</f>
        <v/>
      </c>
      <c r="ML17" s="402">
        <f>ConLoan!ML$32</f>
        <v/>
      </c>
      <c r="MM17" s="402">
        <f>ConLoan!MM$32</f>
        <v/>
      </c>
      <c r="MN17" s="402">
        <f>ConLoan!MN$32</f>
        <v/>
      </c>
      <c r="MO17" s="402">
        <f>ConLoan!MO$32</f>
        <v/>
      </c>
      <c r="MP17" s="402">
        <f>ConLoan!MP$32</f>
        <v/>
      </c>
      <c r="MQ17" s="402">
        <f>ConLoan!MQ$32</f>
        <v/>
      </c>
      <c r="MR17" s="402">
        <f>ConLoan!MR$32</f>
        <v/>
      </c>
      <c r="MS17" s="402">
        <f>ConLoan!MS$32</f>
        <v/>
      </c>
      <c r="MT17" s="402">
        <f>ConLoan!MT$32</f>
        <v/>
      </c>
      <c r="MU17" s="402">
        <f>ConLoan!MU$32</f>
        <v/>
      </c>
      <c r="MV17" s="402">
        <f>ConLoan!MV$32</f>
        <v/>
      </c>
      <c r="MW17" s="402">
        <f>ConLoan!MW$32</f>
        <v/>
      </c>
      <c r="MX17" s="402">
        <f>ConLoan!MX$32</f>
        <v/>
      </c>
      <c r="MY17" s="402">
        <f>ConLoan!MY$32</f>
        <v/>
      </c>
      <c r="MZ17" s="402">
        <f>ConLoan!MZ$32</f>
        <v/>
      </c>
      <c r="NA17" s="402">
        <f>ConLoan!NA$32</f>
        <v/>
      </c>
      <c r="NB17" s="402">
        <f>ConLoan!NB$32</f>
        <v/>
      </c>
      <c r="NC17" s="402">
        <f>ConLoan!NC$32</f>
        <v/>
      </c>
      <c r="ND17" s="402">
        <f>ConLoan!ND$32</f>
        <v/>
      </c>
      <c r="NE17" s="402">
        <f>ConLoan!NE$32</f>
        <v/>
      </c>
      <c r="NF17" s="402">
        <f>ConLoan!NF$32</f>
        <v/>
      </c>
      <c r="NG17" s="402">
        <f>ConLoan!NG$32</f>
        <v/>
      </c>
      <c r="NH17" s="402">
        <f>ConLoan!NH$32</f>
        <v/>
      </c>
      <c r="NI17" s="402">
        <f>ConLoan!NI$32</f>
        <v/>
      </c>
      <c r="NJ17" s="402">
        <f>ConLoan!NJ$32</f>
        <v/>
      </c>
      <c r="NK17" s="402">
        <f>ConLoan!NK$32</f>
        <v/>
      </c>
      <c r="NL17" s="402">
        <f>ConLoan!NL$32</f>
        <v/>
      </c>
    </row>
    <row r="18">
      <c r="B18" s="316" t="inlineStr">
        <is>
          <t>Permanent Loan Balance (EOM)</t>
        </is>
      </c>
      <c r="D18" s="402">
        <f>INDEX(E18:NL18,HoldPeriodMonths)</f>
        <v/>
      </c>
      <c r="E18" s="402">
        <f>PermLoan!E$30</f>
        <v/>
      </c>
      <c r="F18" s="402">
        <f>PermLoan!F$30</f>
        <v/>
      </c>
      <c r="G18" s="402">
        <f>PermLoan!G$30</f>
        <v/>
      </c>
      <c r="H18" s="402">
        <f>PermLoan!H$30</f>
        <v/>
      </c>
      <c r="I18" s="402">
        <f>PermLoan!I$30</f>
        <v/>
      </c>
      <c r="J18" s="402">
        <f>PermLoan!J$30</f>
        <v/>
      </c>
      <c r="K18" s="402">
        <f>PermLoan!K$30</f>
        <v/>
      </c>
      <c r="L18" s="402">
        <f>PermLoan!L$30</f>
        <v/>
      </c>
      <c r="M18" s="402">
        <f>PermLoan!M$30</f>
        <v/>
      </c>
      <c r="N18" s="402">
        <f>PermLoan!N$30</f>
        <v/>
      </c>
      <c r="O18" s="402">
        <f>PermLoan!O$30</f>
        <v/>
      </c>
      <c r="P18" s="402">
        <f>PermLoan!P$30</f>
        <v/>
      </c>
      <c r="Q18" s="402">
        <f>PermLoan!Q$30</f>
        <v/>
      </c>
      <c r="R18" s="402">
        <f>PermLoan!R$30</f>
        <v/>
      </c>
      <c r="S18" s="402">
        <f>PermLoan!S$30</f>
        <v/>
      </c>
      <c r="T18" s="402">
        <f>PermLoan!T$30</f>
        <v/>
      </c>
      <c r="U18" s="402">
        <f>PermLoan!U$30</f>
        <v/>
      </c>
      <c r="V18" s="402">
        <f>PermLoan!V$30</f>
        <v/>
      </c>
      <c r="W18" s="402">
        <f>PermLoan!W$30</f>
        <v/>
      </c>
      <c r="X18" s="402">
        <f>PermLoan!X$30</f>
        <v/>
      </c>
      <c r="Y18" s="402">
        <f>PermLoan!Y$30</f>
        <v/>
      </c>
      <c r="Z18" s="402">
        <f>PermLoan!Z$30</f>
        <v/>
      </c>
      <c r="AA18" s="402">
        <f>PermLoan!AA$30</f>
        <v/>
      </c>
      <c r="AB18" s="402">
        <f>PermLoan!AB$30</f>
        <v/>
      </c>
      <c r="AC18" s="402">
        <f>PermLoan!AC$30</f>
        <v/>
      </c>
      <c r="AD18" s="402">
        <f>PermLoan!AD$30</f>
        <v/>
      </c>
      <c r="AE18" s="402">
        <f>PermLoan!AE$30</f>
        <v/>
      </c>
      <c r="AF18" s="402">
        <f>PermLoan!AF$30</f>
        <v/>
      </c>
      <c r="AG18" s="402">
        <f>PermLoan!AG$30</f>
        <v/>
      </c>
      <c r="AH18" s="402">
        <f>PermLoan!AH$30</f>
        <v/>
      </c>
      <c r="AI18" s="402">
        <f>PermLoan!AI$30</f>
        <v/>
      </c>
      <c r="AJ18" s="402">
        <f>PermLoan!AJ$30</f>
        <v/>
      </c>
      <c r="AK18" s="402">
        <f>PermLoan!AK$30</f>
        <v/>
      </c>
      <c r="AL18" s="402">
        <f>PermLoan!AL$30</f>
        <v/>
      </c>
      <c r="AM18" s="402">
        <f>PermLoan!AM$30</f>
        <v/>
      </c>
      <c r="AN18" s="402">
        <f>PermLoan!AN$30</f>
        <v/>
      </c>
      <c r="AO18" s="402">
        <f>PermLoan!AO$30</f>
        <v/>
      </c>
      <c r="AP18" s="402">
        <f>PermLoan!AP$30</f>
        <v/>
      </c>
      <c r="AQ18" s="402">
        <f>PermLoan!AQ$30</f>
        <v/>
      </c>
      <c r="AR18" s="402">
        <f>PermLoan!AR$30</f>
        <v/>
      </c>
      <c r="AS18" s="402">
        <f>PermLoan!AS$30</f>
        <v/>
      </c>
      <c r="AT18" s="402">
        <f>PermLoan!AT$30</f>
        <v/>
      </c>
      <c r="AU18" s="402">
        <f>PermLoan!AU$30</f>
        <v/>
      </c>
      <c r="AV18" s="402">
        <f>PermLoan!AV$30</f>
        <v/>
      </c>
      <c r="AW18" s="402">
        <f>PermLoan!AW$30</f>
        <v/>
      </c>
      <c r="AX18" s="402">
        <f>PermLoan!AX$30</f>
        <v/>
      </c>
      <c r="AY18" s="402">
        <f>PermLoan!AY$30</f>
        <v/>
      </c>
      <c r="AZ18" s="402">
        <f>PermLoan!AZ$30</f>
        <v/>
      </c>
      <c r="BA18" s="402">
        <f>PermLoan!BA$30</f>
        <v/>
      </c>
      <c r="BB18" s="402">
        <f>PermLoan!BB$30</f>
        <v/>
      </c>
      <c r="BC18" s="402">
        <f>PermLoan!BC$30</f>
        <v/>
      </c>
      <c r="BD18" s="402">
        <f>PermLoan!BD$30</f>
        <v/>
      </c>
      <c r="BE18" s="402">
        <f>PermLoan!BE$30</f>
        <v/>
      </c>
      <c r="BF18" s="402">
        <f>PermLoan!BF$30</f>
        <v/>
      </c>
      <c r="BG18" s="402">
        <f>PermLoan!BG$30</f>
        <v/>
      </c>
      <c r="BH18" s="402">
        <f>PermLoan!BH$30</f>
        <v/>
      </c>
      <c r="BI18" s="402">
        <f>PermLoan!BI$30</f>
        <v/>
      </c>
      <c r="BJ18" s="402">
        <f>PermLoan!BJ$30</f>
        <v/>
      </c>
      <c r="BK18" s="402">
        <f>PermLoan!BK$30</f>
        <v/>
      </c>
      <c r="BL18" s="402">
        <f>PermLoan!BL$30</f>
        <v/>
      </c>
      <c r="BM18" s="402">
        <f>PermLoan!BM$30</f>
        <v/>
      </c>
      <c r="BN18" s="402">
        <f>PermLoan!BN$30</f>
        <v/>
      </c>
      <c r="BO18" s="402">
        <f>PermLoan!BO$30</f>
        <v/>
      </c>
      <c r="BP18" s="402">
        <f>PermLoan!BP$30</f>
        <v/>
      </c>
      <c r="BQ18" s="402">
        <f>PermLoan!BQ$30</f>
        <v/>
      </c>
      <c r="BR18" s="402">
        <f>PermLoan!BR$30</f>
        <v/>
      </c>
      <c r="BS18" s="402">
        <f>PermLoan!BS$30</f>
        <v/>
      </c>
      <c r="BT18" s="402">
        <f>PermLoan!BT$30</f>
        <v/>
      </c>
      <c r="BU18" s="402">
        <f>PermLoan!BU$30</f>
        <v/>
      </c>
      <c r="BV18" s="402">
        <f>PermLoan!BV$30</f>
        <v/>
      </c>
      <c r="BW18" s="402">
        <f>PermLoan!BW$30</f>
        <v/>
      </c>
      <c r="BX18" s="402">
        <f>PermLoan!BX$30</f>
        <v/>
      </c>
      <c r="BY18" s="402">
        <f>PermLoan!BY$30</f>
        <v/>
      </c>
      <c r="BZ18" s="402">
        <f>PermLoan!BZ$30</f>
        <v/>
      </c>
      <c r="CA18" s="402">
        <f>PermLoan!CA$30</f>
        <v/>
      </c>
      <c r="CB18" s="402">
        <f>PermLoan!CB$30</f>
        <v/>
      </c>
      <c r="CC18" s="402">
        <f>PermLoan!CC$30</f>
        <v/>
      </c>
      <c r="CD18" s="402">
        <f>PermLoan!CD$30</f>
        <v/>
      </c>
      <c r="CE18" s="402">
        <f>PermLoan!CE$30</f>
        <v/>
      </c>
      <c r="CF18" s="402">
        <f>PermLoan!CF$30</f>
        <v/>
      </c>
      <c r="CG18" s="402">
        <f>PermLoan!CG$30</f>
        <v/>
      </c>
      <c r="CH18" s="402">
        <f>PermLoan!CH$30</f>
        <v/>
      </c>
      <c r="CI18" s="402">
        <f>PermLoan!CI$30</f>
        <v/>
      </c>
      <c r="CJ18" s="402">
        <f>PermLoan!CJ$30</f>
        <v/>
      </c>
      <c r="CK18" s="402">
        <f>PermLoan!CK$30</f>
        <v/>
      </c>
      <c r="CL18" s="402">
        <f>PermLoan!CL$30</f>
        <v/>
      </c>
      <c r="CM18" s="402">
        <f>PermLoan!CM$30</f>
        <v/>
      </c>
      <c r="CN18" s="402">
        <f>PermLoan!CN$30</f>
        <v/>
      </c>
      <c r="CO18" s="402">
        <f>PermLoan!CO$30</f>
        <v/>
      </c>
      <c r="CP18" s="402">
        <f>PermLoan!CP$30</f>
        <v/>
      </c>
      <c r="CQ18" s="402">
        <f>PermLoan!CQ$30</f>
        <v/>
      </c>
      <c r="CR18" s="402">
        <f>PermLoan!CR$30</f>
        <v/>
      </c>
      <c r="CS18" s="402">
        <f>PermLoan!CS$30</f>
        <v/>
      </c>
      <c r="CT18" s="402">
        <f>PermLoan!CT$30</f>
        <v/>
      </c>
      <c r="CU18" s="402">
        <f>PermLoan!CU$30</f>
        <v/>
      </c>
      <c r="CV18" s="402">
        <f>PermLoan!CV$30</f>
        <v/>
      </c>
      <c r="CW18" s="402">
        <f>PermLoan!CW$30</f>
        <v/>
      </c>
      <c r="CX18" s="402">
        <f>PermLoan!CX$30</f>
        <v/>
      </c>
      <c r="CY18" s="402">
        <f>PermLoan!CY$30</f>
        <v/>
      </c>
      <c r="CZ18" s="402">
        <f>PermLoan!CZ$30</f>
        <v/>
      </c>
      <c r="DA18" s="402">
        <f>PermLoan!DA$30</f>
        <v/>
      </c>
      <c r="DB18" s="402">
        <f>PermLoan!DB$30</f>
        <v/>
      </c>
      <c r="DC18" s="402">
        <f>PermLoan!DC$30</f>
        <v/>
      </c>
      <c r="DD18" s="402">
        <f>PermLoan!DD$30</f>
        <v/>
      </c>
      <c r="DE18" s="402">
        <f>PermLoan!DE$30</f>
        <v/>
      </c>
      <c r="DF18" s="402">
        <f>PermLoan!DF$30</f>
        <v/>
      </c>
      <c r="DG18" s="402">
        <f>PermLoan!DG$30</f>
        <v/>
      </c>
      <c r="DH18" s="402">
        <f>PermLoan!DH$30</f>
        <v/>
      </c>
      <c r="DI18" s="402">
        <f>PermLoan!DI$30</f>
        <v/>
      </c>
      <c r="DJ18" s="402">
        <f>PermLoan!DJ$30</f>
        <v/>
      </c>
      <c r="DK18" s="402">
        <f>PermLoan!DK$30</f>
        <v/>
      </c>
      <c r="DL18" s="402">
        <f>PermLoan!DL$30</f>
        <v/>
      </c>
      <c r="DM18" s="402">
        <f>PermLoan!DM$30</f>
        <v/>
      </c>
      <c r="DN18" s="402">
        <f>PermLoan!DN$30</f>
        <v/>
      </c>
      <c r="DO18" s="402">
        <f>PermLoan!DO$30</f>
        <v/>
      </c>
      <c r="DP18" s="402">
        <f>PermLoan!DP$30</f>
        <v/>
      </c>
      <c r="DQ18" s="402">
        <f>PermLoan!DQ$30</f>
        <v/>
      </c>
      <c r="DR18" s="402">
        <f>PermLoan!DR$30</f>
        <v/>
      </c>
      <c r="DS18" s="402">
        <f>PermLoan!DS$30</f>
        <v/>
      </c>
      <c r="DT18" s="402">
        <f>PermLoan!DT$30</f>
        <v/>
      </c>
      <c r="DU18" s="402">
        <f>PermLoan!DU$30</f>
        <v/>
      </c>
      <c r="DV18" s="402">
        <f>PermLoan!DV$30</f>
        <v/>
      </c>
      <c r="DW18" s="402">
        <f>PermLoan!DW$30</f>
        <v/>
      </c>
      <c r="DX18" s="402">
        <f>PermLoan!DX$30</f>
        <v/>
      </c>
      <c r="DY18" s="402">
        <f>PermLoan!DY$30</f>
        <v/>
      </c>
      <c r="DZ18" s="402">
        <f>PermLoan!DZ$30</f>
        <v/>
      </c>
      <c r="EA18" s="402">
        <f>PermLoan!EA$30</f>
        <v/>
      </c>
      <c r="EB18" s="402">
        <f>PermLoan!EB$30</f>
        <v/>
      </c>
      <c r="EC18" s="402">
        <f>PermLoan!EC$30</f>
        <v/>
      </c>
      <c r="ED18" s="402">
        <f>PermLoan!ED$30</f>
        <v/>
      </c>
      <c r="EE18" s="402">
        <f>PermLoan!EE$30</f>
        <v/>
      </c>
      <c r="EF18" s="402">
        <f>PermLoan!EF$30</f>
        <v/>
      </c>
      <c r="EG18" s="402">
        <f>PermLoan!EG$30</f>
        <v/>
      </c>
      <c r="EH18" s="402">
        <f>PermLoan!EH$30</f>
        <v/>
      </c>
      <c r="EI18" s="402">
        <f>PermLoan!EI$30</f>
        <v/>
      </c>
      <c r="EJ18" s="402">
        <f>PermLoan!EJ$30</f>
        <v/>
      </c>
      <c r="EK18" s="402">
        <f>PermLoan!EK$30</f>
        <v/>
      </c>
      <c r="EL18" s="402">
        <f>PermLoan!EL$30</f>
        <v/>
      </c>
      <c r="EM18" s="402">
        <f>PermLoan!EM$30</f>
        <v/>
      </c>
      <c r="EN18" s="402">
        <f>PermLoan!EN$30</f>
        <v/>
      </c>
      <c r="EO18" s="402">
        <f>PermLoan!EO$30</f>
        <v/>
      </c>
      <c r="EP18" s="402">
        <f>PermLoan!EP$30</f>
        <v/>
      </c>
      <c r="EQ18" s="402">
        <f>PermLoan!EQ$30</f>
        <v/>
      </c>
      <c r="ER18" s="402">
        <f>PermLoan!ER$30</f>
        <v/>
      </c>
      <c r="ES18" s="402">
        <f>PermLoan!ES$30</f>
        <v/>
      </c>
      <c r="ET18" s="402">
        <f>PermLoan!ET$30</f>
        <v/>
      </c>
      <c r="EU18" s="402">
        <f>PermLoan!EU$30</f>
        <v/>
      </c>
      <c r="EV18" s="402">
        <f>PermLoan!EV$30</f>
        <v/>
      </c>
      <c r="EW18" s="402">
        <f>PermLoan!EW$30</f>
        <v/>
      </c>
      <c r="EX18" s="402">
        <f>PermLoan!EX$30</f>
        <v/>
      </c>
      <c r="EY18" s="402">
        <f>PermLoan!EY$30</f>
        <v/>
      </c>
      <c r="EZ18" s="402">
        <f>PermLoan!EZ$30</f>
        <v/>
      </c>
      <c r="FA18" s="402">
        <f>PermLoan!FA$30</f>
        <v/>
      </c>
      <c r="FB18" s="402">
        <f>PermLoan!FB$30</f>
        <v/>
      </c>
      <c r="FC18" s="402">
        <f>PermLoan!FC$30</f>
        <v/>
      </c>
      <c r="FD18" s="402">
        <f>PermLoan!FD$30</f>
        <v/>
      </c>
      <c r="FE18" s="402">
        <f>PermLoan!FE$30</f>
        <v/>
      </c>
      <c r="FF18" s="402">
        <f>PermLoan!FF$30</f>
        <v/>
      </c>
      <c r="FG18" s="402">
        <f>PermLoan!FG$30</f>
        <v/>
      </c>
      <c r="FH18" s="402">
        <f>PermLoan!FH$30</f>
        <v/>
      </c>
      <c r="FI18" s="402">
        <f>PermLoan!FI$30</f>
        <v/>
      </c>
      <c r="FJ18" s="402">
        <f>PermLoan!FJ$30</f>
        <v/>
      </c>
      <c r="FK18" s="402">
        <f>PermLoan!FK$30</f>
        <v/>
      </c>
      <c r="FL18" s="402">
        <f>PermLoan!FL$30</f>
        <v/>
      </c>
      <c r="FM18" s="402">
        <f>PermLoan!FM$30</f>
        <v/>
      </c>
      <c r="FN18" s="402">
        <f>PermLoan!FN$30</f>
        <v/>
      </c>
      <c r="FO18" s="402">
        <f>PermLoan!FO$30</f>
        <v/>
      </c>
      <c r="FP18" s="402">
        <f>PermLoan!FP$30</f>
        <v/>
      </c>
      <c r="FQ18" s="402">
        <f>PermLoan!FQ$30</f>
        <v/>
      </c>
      <c r="FR18" s="402">
        <f>PermLoan!FR$30</f>
        <v/>
      </c>
      <c r="FS18" s="402">
        <f>PermLoan!FS$30</f>
        <v/>
      </c>
      <c r="FT18" s="402">
        <f>PermLoan!FT$30</f>
        <v/>
      </c>
      <c r="FU18" s="402">
        <f>PermLoan!FU$30</f>
        <v/>
      </c>
      <c r="FV18" s="402">
        <f>PermLoan!FV$30</f>
        <v/>
      </c>
      <c r="FW18" s="402">
        <f>PermLoan!FW$30</f>
        <v/>
      </c>
      <c r="FX18" s="402">
        <f>PermLoan!FX$30</f>
        <v/>
      </c>
      <c r="FY18" s="402">
        <f>PermLoan!FY$30</f>
        <v/>
      </c>
      <c r="FZ18" s="402">
        <f>PermLoan!FZ$30</f>
        <v/>
      </c>
      <c r="GA18" s="402">
        <f>PermLoan!GA$30</f>
        <v/>
      </c>
      <c r="GB18" s="402">
        <f>PermLoan!GB$30</f>
        <v/>
      </c>
      <c r="GC18" s="402">
        <f>PermLoan!GC$30</f>
        <v/>
      </c>
      <c r="GD18" s="402">
        <f>PermLoan!GD$30</f>
        <v/>
      </c>
      <c r="GE18" s="402">
        <f>PermLoan!GE$30</f>
        <v/>
      </c>
      <c r="GF18" s="402">
        <f>PermLoan!GF$30</f>
        <v/>
      </c>
      <c r="GG18" s="402">
        <f>PermLoan!GG$30</f>
        <v/>
      </c>
      <c r="GH18" s="402">
        <f>PermLoan!GH$30</f>
        <v/>
      </c>
      <c r="GI18" s="402">
        <f>PermLoan!GI$30</f>
        <v/>
      </c>
      <c r="GJ18" s="402">
        <f>PermLoan!GJ$30</f>
        <v/>
      </c>
      <c r="GK18" s="402">
        <f>PermLoan!GK$30</f>
        <v/>
      </c>
      <c r="GL18" s="402">
        <f>PermLoan!GL$30</f>
        <v/>
      </c>
      <c r="GM18" s="402">
        <f>PermLoan!GM$30</f>
        <v/>
      </c>
      <c r="GN18" s="402">
        <f>PermLoan!GN$30</f>
        <v/>
      </c>
      <c r="GO18" s="402">
        <f>PermLoan!GO$30</f>
        <v/>
      </c>
      <c r="GP18" s="402">
        <f>PermLoan!GP$30</f>
        <v/>
      </c>
      <c r="GQ18" s="402">
        <f>PermLoan!GQ$30</f>
        <v/>
      </c>
      <c r="GR18" s="402">
        <f>PermLoan!GR$30</f>
        <v/>
      </c>
      <c r="GS18" s="402">
        <f>PermLoan!GS$30</f>
        <v/>
      </c>
      <c r="GT18" s="402">
        <f>PermLoan!GT$30</f>
        <v/>
      </c>
      <c r="GU18" s="402">
        <f>PermLoan!GU$30</f>
        <v/>
      </c>
      <c r="GV18" s="402">
        <f>PermLoan!GV$30</f>
        <v/>
      </c>
      <c r="GW18" s="402">
        <f>PermLoan!GW$30</f>
        <v/>
      </c>
      <c r="GX18" s="402">
        <f>PermLoan!GX$30</f>
        <v/>
      </c>
      <c r="GY18" s="402">
        <f>PermLoan!GY$30</f>
        <v/>
      </c>
      <c r="GZ18" s="402">
        <f>PermLoan!GZ$30</f>
        <v/>
      </c>
      <c r="HA18" s="402">
        <f>PermLoan!HA$30</f>
        <v/>
      </c>
      <c r="HB18" s="402">
        <f>PermLoan!HB$30</f>
        <v/>
      </c>
      <c r="HC18" s="402">
        <f>PermLoan!HC$30</f>
        <v/>
      </c>
      <c r="HD18" s="402">
        <f>PermLoan!HD$30</f>
        <v/>
      </c>
      <c r="HE18" s="402">
        <f>PermLoan!HE$30</f>
        <v/>
      </c>
      <c r="HF18" s="402">
        <f>PermLoan!HF$30</f>
        <v/>
      </c>
      <c r="HG18" s="402">
        <f>PermLoan!HG$30</f>
        <v/>
      </c>
      <c r="HH18" s="402">
        <f>PermLoan!HH$30</f>
        <v/>
      </c>
      <c r="HI18" s="402">
        <f>PermLoan!HI$30</f>
        <v/>
      </c>
      <c r="HJ18" s="402">
        <f>PermLoan!HJ$30</f>
        <v/>
      </c>
      <c r="HK18" s="402">
        <f>PermLoan!HK$30</f>
        <v/>
      </c>
      <c r="HL18" s="402">
        <f>PermLoan!HL$30</f>
        <v/>
      </c>
      <c r="HM18" s="402">
        <f>PermLoan!HM$30</f>
        <v/>
      </c>
      <c r="HN18" s="402">
        <f>PermLoan!HN$30</f>
        <v/>
      </c>
      <c r="HO18" s="402">
        <f>PermLoan!HO$30</f>
        <v/>
      </c>
      <c r="HP18" s="402">
        <f>PermLoan!HP$30</f>
        <v/>
      </c>
      <c r="HQ18" s="402">
        <f>PermLoan!HQ$30</f>
        <v/>
      </c>
      <c r="HR18" s="402">
        <f>PermLoan!HR$30</f>
        <v/>
      </c>
      <c r="HS18" s="402">
        <f>PermLoan!HS$30</f>
        <v/>
      </c>
      <c r="HT18" s="402">
        <f>PermLoan!HT$30</f>
        <v/>
      </c>
      <c r="HU18" s="402">
        <f>PermLoan!HU$30</f>
        <v/>
      </c>
      <c r="HV18" s="402">
        <f>PermLoan!HV$30</f>
        <v/>
      </c>
      <c r="HW18" s="402">
        <f>PermLoan!HW$30</f>
        <v/>
      </c>
      <c r="HX18" s="402">
        <f>PermLoan!HX$30</f>
        <v/>
      </c>
      <c r="HY18" s="402">
        <f>PermLoan!HY$30</f>
        <v/>
      </c>
      <c r="HZ18" s="402">
        <f>PermLoan!HZ$30</f>
        <v/>
      </c>
      <c r="IA18" s="402">
        <f>PermLoan!IA$30</f>
        <v/>
      </c>
      <c r="IB18" s="402">
        <f>PermLoan!IB$30</f>
        <v/>
      </c>
      <c r="IC18" s="402">
        <f>PermLoan!IC$30</f>
        <v/>
      </c>
      <c r="ID18" s="402">
        <f>PermLoan!ID$30</f>
        <v/>
      </c>
      <c r="IE18" s="402">
        <f>PermLoan!IE$30</f>
        <v/>
      </c>
      <c r="IF18" s="402">
        <f>PermLoan!IF$30</f>
        <v/>
      </c>
      <c r="IG18" s="402">
        <f>PermLoan!IG$30</f>
        <v/>
      </c>
      <c r="IH18" s="402">
        <f>PermLoan!IH$30</f>
        <v/>
      </c>
      <c r="II18" s="402">
        <f>PermLoan!II$30</f>
        <v/>
      </c>
      <c r="IJ18" s="402">
        <f>PermLoan!IJ$30</f>
        <v/>
      </c>
      <c r="IK18" s="402">
        <f>PermLoan!IK$30</f>
        <v/>
      </c>
      <c r="IL18" s="402">
        <f>PermLoan!IL$30</f>
        <v/>
      </c>
      <c r="IM18" s="402">
        <f>PermLoan!IM$30</f>
        <v/>
      </c>
      <c r="IN18" s="402">
        <f>PermLoan!IN$30</f>
        <v/>
      </c>
      <c r="IO18" s="402">
        <f>PermLoan!IO$30</f>
        <v/>
      </c>
      <c r="IP18" s="402">
        <f>PermLoan!IP$30</f>
        <v/>
      </c>
      <c r="IQ18" s="402">
        <f>PermLoan!IQ$30</f>
        <v/>
      </c>
      <c r="IR18" s="402">
        <f>PermLoan!IR$30</f>
        <v/>
      </c>
      <c r="IS18" s="402">
        <f>PermLoan!IS$30</f>
        <v/>
      </c>
      <c r="IT18" s="402">
        <f>PermLoan!IT$30</f>
        <v/>
      </c>
      <c r="IU18" s="402">
        <f>PermLoan!IU$30</f>
        <v/>
      </c>
      <c r="IV18" s="402">
        <f>PermLoan!IV$30</f>
        <v/>
      </c>
      <c r="IW18" s="402">
        <f>PermLoan!IW$30</f>
        <v/>
      </c>
      <c r="IX18" s="402">
        <f>PermLoan!IX$30</f>
        <v/>
      </c>
      <c r="IY18" s="402">
        <f>PermLoan!IY$30</f>
        <v/>
      </c>
      <c r="IZ18" s="402">
        <f>PermLoan!IZ$30</f>
        <v/>
      </c>
      <c r="JA18" s="402">
        <f>PermLoan!JA$30</f>
        <v/>
      </c>
      <c r="JB18" s="402">
        <f>PermLoan!JB$30</f>
        <v/>
      </c>
      <c r="JC18" s="402">
        <f>PermLoan!JC$30</f>
        <v/>
      </c>
      <c r="JD18" s="402">
        <f>PermLoan!JD$30</f>
        <v/>
      </c>
      <c r="JE18" s="402">
        <f>PermLoan!JE$30</f>
        <v/>
      </c>
      <c r="JF18" s="402">
        <f>PermLoan!JF$30</f>
        <v/>
      </c>
      <c r="JG18" s="402">
        <f>PermLoan!JG$30</f>
        <v/>
      </c>
      <c r="JH18" s="402">
        <f>PermLoan!JH$30</f>
        <v/>
      </c>
      <c r="JI18" s="402">
        <f>PermLoan!JI$30</f>
        <v/>
      </c>
      <c r="JJ18" s="402">
        <f>PermLoan!JJ$30</f>
        <v/>
      </c>
      <c r="JK18" s="402">
        <f>PermLoan!JK$30</f>
        <v/>
      </c>
      <c r="JL18" s="402">
        <f>PermLoan!JL$30</f>
        <v/>
      </c>
      <c r="JM18" s="402">
        <f>PermLoan!JM$30</f>
        <v/>
      </c>
      <c r="JN18" s="402">
        <f>PermLoan!JN$30</f>
        <v/>
      </c>
      <c r="JO18" s="402">
        <f>PermLoan!JO$30</f>
        <v/>
      </c>
      <c r="JP18" s="402">
        <f>PermLoan!JP$30</f>
        <v/>
      </c>
      <c r="JQ18" s="402">
        <f>PermLoan!JQ$30</f>
        <v/>
      </c>
      <c r="JR18" s="402">
        <f>PermLoan!JR$30</f>
        <v/>
      </c>
      <c r="JS18" s="402">
        <f>PermLoan!JS$30</f>
        <v/>
      </c>
      <c r="JT18" s="402">
        <f>PermLoan!JT$30</f>
        <v/>
      </c>
      <c r="JU18" s="402">
        <f>PermLoan!JU$30</f>
        <v/>
      </c>
      <c r="JV18" s="402">
        <f>PermLoan!JV$30</f>
        <v/>
      </c>
      <c r="JW18" s="402">
        <f>PermLoan!JW$30</f>
        <v/>
      </c>
      <c r="JX18" s="402">
        <f>PermLoan!JX$30</f>
        <v/>
      </c>
      <c r="JY18" s="402">
        <f>PermLoan!JY$30</f>
        <v/>
      </c>
      <c r="JZ18" s="402">
        <f>PermLoan!JZ$30</f>
        <v/>
      </c>
      <c r="KA18" s="402">
        <f>PermLoan!KA$30</f>
        <v/>
      </c>
      <c r="KB18" s="402">
        <f>PermLoan!KB$30</f>
        <v/>
      </c>
      <c r="KC18" s="402">
        <f>PermLoan!KC$30</f>
        <v/>
      </c>
      <c r="KD18" s="402">
        <f>PermLoan!KD$30</f>
        <v/>
      </c>
      <c r="KE18" s="402">
        <f>PermLoan!KE$30</f>
        <v/>
      </c>
      <c r="KF18" s="402">
        <f>PermLoan!KF$30</f>
        <v/>
      </c>
      <c r="KG18" s="402">
        <f>PermLoan!KG$30</f>
        <v/>
      </c>
      <c r="KH18" s="402">
        <f>PermLoan!KH$30</f>
        <v/>
      </c>
      <c r="KI18" s="402">
        <f>PermLoan!KI$30</f>
        <v/>
      </c>
      <c r="KJ18" s="402">
        <f>PermLoan!KJ$30</f>
        <v/>
      </c>
      <c r="KK18" s="402">
        <f>PermLoan!KK$30</f>
        <v/>
      </c>
      <c r="KL18" s="402">
        <f>PermLoan!KL$30</f>
        <v/>
      </c>
      <c r="KM18" s="402">
        <f>PermLoan!KM$30</f>
        <v/>
      </c>
      <c r="KN18" s="402">
        <f>PermLoan!KN$30</f>
        <v/>
      </c>
      <c r="KO18" s="402">
        <f>PermLoan!KO$30</f>
        <v/>
      </c>
      <c r="KP18" s="402">
        <f>PermLoan!KP$30</f>
        <v/>
      </c>
      <c r="KQ18" s="402">
        <f>PermLoan!KQ$30</f>
        <v/>
      </c>
      <c r="KR18" s="402">
        <f>PermLoan!KR$30</f>
        <v/>
      </c>
      <c r="KS18" s="402">
        <f>PermLoan!KS$30</f>
        <v/>
      </c>
      <c r="KT18" s="402">
        <f>PermLoan!KT$30</f>
        <v/>
      </c>
      <c r="KU18" s="402">
        <f>PermLoan!KU$30</f>
        <v/>
      </c>
      <c r="KV18" s="402">
        <f>PermLoan!KV$30</f>
        <v/>
      </c>
      <c r="KW18" s="402">
        <f>PermLoan!KW$30</f>
        <v/>
      </c>
      <c r="KX18" s="402">
        <f>PermLoan!KX$30</f>
        <v/>
      </c>
      <c r="KY18" s="402">
        <f>PermLoan!KY$30</f>
        <v/>
      </c>
      <c r="KZ18" s="402">
        <f>PermLoan!KZ$30</f>
        <v/>
      </c>
      <c r="LA18" s="402">
        <f>PermLoan!LA$30</f>
        <v/>
      </c>
      <c r="LB18" s="402">
        <f>PermLoan!LB$30</f>
        <v/>
      </c>
      <c r="LC18" s="402">
        <f>PermLoan!LC$30</f>
        <v/>
      </c>
      <c r="LD18" s="402">
        <f>PermLoan!LD$30</f>
        <v/>
      </c>
      <c r="LE18" s="402">
        <f>PermLoan!LE$30</f>
        <v/>
      </c>
      <c r="LF18" s="402">
        <f>PermLoan!LF$30</f>
        <v/>
      </c>
      <c r="LG18" s="402">
        <f>PermLoan!LG$30</f>
        <v/>
      </c>
      <c r="LH18" s="402">
        <f>PermLoan!LH$30</f>
        <v/>
      </c>
      <c r="LI18" s="402">
        <f>PermLoan!LI$30</f>
        <v/>
      </c>
      <c r="LJ18" s="402">
        <f>PermLoan!LJ$30</f>
        <v/>
      </c>
      <c r="LK18" s="402">
        <f>PermLoan!LK$30</f>
        <v/>
      </c>
      <c r="LL18" s="402">
        <f>PermLoan!LL$30</f>
        <v/>
      </c>
      <c r="LM18" s="402">
        <f>PermLoan!LM$30</f>
        <v/>
      </c>
      <c r="LN18" s="402">
        <f>PermLoan!LN$30</f>
        <v/>
      </c>
      <c r="LO18" s="402">
        <f>PermLoan!LO$30</f>
        <v/>
      </c>
      <c r="LP18" s="402">
        <f>PermLoan!LP$30</f>
        <v/>
      </c>
      <c r="LQ18" s="402">
        <f>PermLoan!LQ$30</f>
        <v/>
      </c>
      <c r="LR18" s="402">
        <f>PermLoan!LR$30</f>
        <v/>
      </c>
      <c r="LS18" s="402">
        <f>PermLoan!LS$30</f>
        <v/>
      </c>
      <c r="LT18" s="402">
        <f>PermLoan!LT$30</f>
        <v/>
      </c>
      <c r="LU18" s="402">
        <f>PermLoan!LU$30</f>
        <v/>
      </c>
      <c r="LV18" s="402">
        <f>PermLoan!LV$30</f>
        <v/>
      </c>
      <c r="LW18" s="402">
        <f>PermLoan!LW$30</f>
        <v/>
      </c>
      <c r="LX18" s="402">
        <f>PermLoan!LX$30</f>
        <v/>
      </c>
      <c r="LY18" s="402">
        <f>PermLoan!LY$30</f>
        <v/>
      </c>
      <c r="LZ18" s="402">
        <f>PermLoan!LZ$30</f>
        <v/>
      </c>
      <c r="MA18" s="402">
        <f>PermLoan!MA$30</f>
        <v/>
      </c>
      <c r="MB18" s="402">
        <f>PermLoan!MB$30</f>
        <v/>
      </c>
      <c r="MC18" s="402">
        <f>PermLoan!MC$30</f>
        <v/>
      </c>
      <c r="MD18" s="402">
        <f>PermLoan!MD$30</f>
        <v/>
      </c>
      <c r="ME18" s="402">
        <f>PermLoan!ME$30</f>
        <v/>
      </c>
      <c r="MF18" s="402">
        <f>PermLoan!MF$30</f>
        <v/>
      </c>
      <c r="MG18" s="402">
        <f>PermLoan!MG$30</f>
        <v/>
      </c>
      <c r="MH18" s="402">
        <f>PermLoan!MH$30</f>
        <v/>
      </c>
      <c r="MI18" s="402">
        <f>PermLoan!MI$30</f>
        <v/>
      </c>
      <c r="MJ18" s="402">
        <f>PermLoan!MJ$30</f>
        <v/>
      </c>
      <c r="MK18" s="402">
        <f>PermLoan!MK$30</f>
        <v/>
      </c>
      <c r="ML18" s="402">
        <f>PermLoan!ML$30</f>
        <v/>
      </c>
      <c r="MM18" s="402">
        <f>PermLoan!MM$30</f>
        <v/>
      </c>
      <c r="MN18" s="402">
        <f>PermLoan!MN$30</f>
        <v/>
      </c>
      <c r="MO18" s="402">
        <f>PermLoan!MO$30</f>
        <v/>
      </c>
      <c r="MP18" s="402">
        <f>PermLoan!MP$30</f>
        <v/>
      </c>
      <c r="MQ18" s="402">
        <f>PermLoan!MQ$30</f>
        <v/>
      </c>
      <c r="MR18" s="402">
        <f>PermLoan!MR$30</f>
        <v/>
      </c>
      <c r="MS18" s="402">
        <f>PermLoan!MS$30</f>
        <v/>
      </c>
      <c r="MT18" s="402">
        <f>PermLoan!MT$30</f>
        <v/>
      </c>
      <c r="MU18" s="402">
        <f>PermLoan!MU$30</f>
        <v/>
      </c>
      <c r="MV18" s="402">
        <f>PermLoan!MV$30</f>
        <v/>
      </c>
      <c r="MW18" s="402">
        <f>PermLoan!MW$30</f>
        <v/>
      </c>
      <c r="MX18" s="402">
        <f>PermLoan!MX$30</f>
        <v/>
      </c>
      <c r="MY18" s="402">
        <f>PermLoan!MY$30</f>
        <v/>
      </c>
      <c r="MZ18" s="402">
        <f>PermLoan!MZ$30</f>
        <v/>
      </c>
      <c r="NA18" s="402">
        <f>PermLoan!NA$30</f>
        <v/>
      </c>
      <c r="NB18" s="402">
        <f>PermLoan!NB$30</f>
        <v/>
      </c>
      <c r="NC18" s="402">
        <f>PermLoan!NC$30</f>
        <v/>
      </c>
      <c r="ND18" s="402">
        <f>PermLoan!ND$30</f>
        <v/>
      </c>
      <c r="NE18" s="402">
        <f>PermLoan!NE$30</f>
        <v/>
      </c>
      <c r="NF18" s="402">
        <f>PermLoan!NF$30</f>
        <v/>
      </c>
      <c r="NG18" s="402">
        <f>PermLoan!NG$30</f>
        <v/>
      </c>
      <c r="NH18" s="402">
        <f>PermLoan!NH$30</f>
        <v/>
      </c>
      <c r="NI18" s="402">
        <f>PermLoan!NI$30</f>
        <v/>
      </c>
      <c r="NJ18" s="402">
        <f>PermLoan!NJ$30</f>
        <v/>
      </c>
      <c r="NK18" s="402">
        <f>PermLoan!NK$30</f>
        <v/>
      </c>
      <c r="NL18" s="402">
        <f>PermLoan!NL$30</f>
        <v/>
      </c>
    </row>
    <row r="19">
      <c r="B19" s="316" t="inlineStr">
        <is>
          <t>Interest Reserve Balance (EOM)</t>
        </is>
      </c>
      <c r="D19" s="402">
        <f>INDEX(E19:NL19,HoldPeriodMonths)</f>
        <v/>
      </c>
      <c r="E19" s="402">
        <f>ConLoan!E$51</f>
        <v/>
      </c>
      <c r="F19" s="402">
        <f>ConLoan!F$51</f>
        <v/>
      </c>
      <c r="G19" s="402">
        <f>ConLoan!G$51</f>
        <v/>
      </c>
      <c r="H19" s="402">
        <f>ConLoan!H$51</f>
        <v/>
      </c>
      <c r="I19" s="402">
        <f>ConLoan!I$51</f>
        <v/>
      </c>
      <c r="J19" s="402">
        <f>ConLoan!J$51</f>
        <v/>
      </c>
      <c r="K19" s="402">
        <f>ConLoan!K$51</f>
        <v/>
      </c>
      <c r="L19" s="402">
        <f>ConLoan!L$51</f>
        <v/>
      </c>
      <c r="M19" s="402">
        <f>ConLoan!M$51</f>
        <v/>
      </c>
      <c r="N19" s="402">
        <f>ConLoan!N$51</f>
        <v/>
      </c>
      <c r="O19" s="402">
        <f>ConLoan!O$51</f>
        <v/>
      </c>
      <c r="P19" s="402">
        <f>ConLoan!P$51</f>
        <v/>
      </c>
      <c r="Q19" s="402">
        <f>ConLoan!Q$51</f>
        <v/>
      </c>
      <c r="R19" s="402">
        <f>ConLoan!R$51</f>
        <v/>
      </c>
      <c r="S19" s="402">
        <f>ConLoan!S$51</f>
        <v/>
      </c>
      <c r="T19" s="402">
        <f>ConLoan!T$51</f>
        <v/>
      </c>
      <c r="U19" s="402">
        <f>ConLoan!U$51</f>
        <v/>
      </c>
      <c r="V19" s="402">
        <f>ConLoan!V$51</f>
        <v/>
      </c>
      <c r="W19" s="402">
        <f>ConLoan!W$51</f>
        <v/>
      </c>
      <c r="X19" s="402">
        <f>ConLoan!X$51</f>
        <v/>
      </c>
      <c r="Y19" s="402">
        <f>ConLoan!Y$51</f>
        <v/>
      </c>
      <c r="Z19" s="402">
        <f>ConLoan!Z$51</f>
        <v/>
      </c>
      <c r="AA19" s="402">
        <f>ConLoan!AA$51</f>
        <v/>
      </c>
      <c r="AB19" s="402">
        <f>ConLoan!AB$51</f>
        <v/>
      </c>
      <c r="AC19" s="402">
        <f>ConLoan!AC$51</f>
        <v/>
      </c>
      <c r="AD19" s="402">
        <f>ConLoan!AD$51</f>
        <v/>
      </c>
      <c r="AE19" s="402">
        <f>ConLoan!AE$51</f>
        <v/>
      </c>
      <c r="AF19" s="402">
        <f>ConLoan!AF$51</f>
        <v/>
      </c>
      <c r="AG19" s="402">
        <f>ConLoan!AG$51</f>
        <v/>
      </c>
      <c r="AH19" s="402">
        <f>ConLoan!AH$51</f>
        <v/>
      </c>
      <c r="AI19" s="402">
        <f>ConLoan!AI$51</f>
        <v/>
      </c>
      <c r="AJ19" s="402">
        <f>ConLoan!AJ$51</f>
        <v/>
      </c>
      <c r="AK19" s="402">
        <f>ConLoan!AK$51</f>
        <v/>
      </c>
      <c r="AL19" s="402">
        <f>ConLoan!AL$51</f>
        <v/>
      </c>
      <c r="AM19" s="402">
        <f>ConLoan!AM$51</f>
        <v/>
      </c>
      <c r="AN19" s="402">
        <f>ConLoan!AN$51</f>
        <v/>
      </c>
      <c r="AO19" s="402">
        <f>ConLoan!AO$51</f>
        <v/>
      </c>
      <c r="AP19" s="402">
        <f>ConLoan!AP$51</f>
        <v/>
      </c>
      <c r="AQ19" s="402">
        <f>ConLoan!AQ$51</f>
        <v/>
      </c>
      <c r="AR19" s="402">
        <f>ConLoan!AR$51</f>
        <v/>
      </c>
      <c r="AS19" s="402">
        <f>ConLoan!AS$51</f>
        <v/>
      </c>
      <c r="AT19" s="402">
        <f>ConLoan!AT$51</f>
        <v/>
      </c>
      <c r="AU19" s="402">
        <f>ConLoan!AU$51</f>
        <v/>
      </c>
      <c r="AV19" s="402">
        <f>ConLoan!AV$51</f>
        <v/>
      </c>
      <c r="AW19" s="402">
        <f>ConLoan!AW$51</f>
        <v/>
      </c>
      <c r="AX19" s="402">
        <f>ConLoan!AX$51</f>
        <v/>
      </c>
      <c r="AY19" s="402">
        <f>ConLoan!AY$51</f>
        <v/>
      </c>
      <c r="AZ19" s="402">
        <f>ConLoan!AZ$51</f>
        <v/>
      </c>
      <c r="BA19" s="402">
        <f>ConLoan!BA$51</f>
        <v/>
      </c>
      <c r="BB19" s="402">
        <f>ConLoan!BB$51</f>
        <v/>
      </c>
      <c r="BC19" s="402">
        <f>ConLoan!BC$51</f>
        <v/>
      </c>
      <c r="BD19" s="402">
        <f>ConLoan!BD$51</f>
        <v/>
      </c>
      <c r="BE19" s="402">
        <f>ConLoan!BE$51</f>
        <v/>
      </c>
      <c r="BF19" s="402">
        <f>ConLoan!BF$51</f>
        <v/>
      </c>
      <c r="BG19" s="402">
        <f>ConLoan!BG$51</f>
        <v/>
      </c>
      <c r="BH19" s="402">
        <f>ConLoan!BH$51</f>
        <v/>
      </c>
      <c r="BI19" s="402">
        <f>ConLoan!BI$51</f>
        <v/>
      </c>
      <c r="BJ19" s="402">
        <f>ConLoan!BJ$51</f>
        <v/>
      </c>
      <c r="BK19" s="402">
        <f>ConLoan!BK$51</f>
        <v/>
      </c>
      <c r="BL19" s="402">
        <f>ConLoan!BL$51</f>
        <v/>
      </c>
      <c r="BM19" s="402">
        <f>ConLoan!BM$51</f>
        <v/>
      </c>
      <c r="BN19" s="402">
        <f>ConLoan!BN$51</f>
        <v/>
      </c>
      <c r="BO19" s="402">
        <f>ConLoan!BO$51</f>
        <v/>
      </c>
      <c r="BP19" s="402">
        <f>ConLoan!BP$51</f>
        <v/>
      </c>
      <c r="BQ19" s="402">
        <f>ConLoan!BQ$51</f>
        <v/>
      </c>
      <c r="BR19" s="402">
        <f>ConLoan!BR$51</f>
        <v/>
      </c>
      <c r="BS19" s="402">
        <f>ConLoan!BS$51</f>
        <v/>
      </c>
      <c r="BT19" s="402">
        <f>ConLoan!BT$51</f>
        <v/>
      </c>
      <c r="BU19" s="402">
        <f>ConLoan!BU$51</f>
        <v/>
      </c>
      <c r="BV19" s="402">
        <f>ConLoan!BV$51</f>
        <v/>
      </c>
      <c r="BW19" s="402">
        <f>ConLoan!BW$51</f>
        <v/>
      </c>
      <c r="BX19" s="402">
        <f>ConLoan!BX$51</f>
        <v/>
      </c>
      <c r="BY19" s="402">
        <f>ConLoan!BY$51</f>
        <v/>
      </c>
      <c r="BZ19" s="402">
        <f>ConLoan!BZ$51</f>
        <v/>
      </c>
      <c r="CA19" s="402">
        <f>ConLoan!CA$51</f>
        <v/>
      </c>
      <c r="CB19" s="402">
        <f>ConLoan!CB$51</f>
        <v/>
      </c>
      <c r="CC19" s="402">
        <f>ConLoan!CC$51</f>
        <v/>
      </c>
      <c r="CD19" s="402">
        <f>ConLoan!CD$51</f>
        <v/>
      </c>
      <c r="CE19" s="402">
        <f>ConLoan!CE$51</f>
        <v/>
      </c>
      <c r="CF19" s="402">
        <f>ConLoan!CF$51</f>
        <v/>
      </c>
      <c r="CG19" s="402">
        <f>ConLoan!CG$51</f>
        <v/>
      </c>
      <c r="CH19" s="402">
        <f>ConLoan!CH$51</f>
        <v/>
      </c>
      <c r="CI19" s="402">
        <f>ConLoan!CI$51</f>
        <v/>
      </c>
      <c r="CJ19" s="402">
        <f>ConLoan!CJ$51</f>
        <v/>
      </c>
      <c r="CK19" s="402">
        <f>ConLoan!CK$51</f>
        <v/>
      </c>
      <c r="CL19" s="402">
        <f>ConLoan!CL$51</f>
        <v/>
      </c>
      <c r="CM19" s="402">
        <f>ConLoan!CM$51</f>
        <v/>
      </c>
      <c r="CN19" s="402">
        <f>ConLoan!CN$51</f>
        <v/>
      </c>
      <c r="CO19" s="402">
        <f>ConLoan!CO$51</f>
        <v/>
      </c>
      <c r="CP19" s="402">
        <f>ConLoan!CP$51</f>
        <v/>
      </c>
      <c r="CQ19" s="402">
        <f>ConLoan!CQ$51</f>
        <v/>
      </c>
      <c r="CR19" s="402">
        <f>ConLoan!CR$51</f>
        <v/>
      </c>
      <c r="CS19" s="402">
        <f>ConLoan!CS$51</f>
        <v/>
      </c>
      <c r="CT19" s="402">
        <f>ConLoan!CT$51</f>
        <v/>
      </c>
      <c r="CU19" s="402">
        <f>ConLoan!CU$51</f>
        <v/>
      </c>
      <c r="CV19" s="402">
        <f>ConLoan!CV$51</f>
        <v/>
      </c>
      <c r="CW19" s="402">
        <f>ConLoan!CW$51</f>
        <v/>
      </c>
      <c r="CX19" s="402">
        <f>ConLoan!CX$51</f>
        <v/>
      </c>
      <c r="CY19" s="402">
        <f>ConLoan!CY$51</f>
        <v/>
      </c>
      <c r="CZ19" s="402">
        <f>ConLoan!CZ$51</f>
        <v/>
      </c>
      <c r="DA19" s="402">
        <f>ConLoan!DA$51</f>
        <v/>
      </c>
      <c r="DB19" s="402">
        <f>ConLoan!DB$51</f>
        <v/>
      </c>
      <c r="DC19" s="402">
        <f>ConLoan!DC$51</f>
        <v/>
      </c>
      <c r="DD19" s="402">
        <f>ConLoan!DD$51</f>
        <v/>
      </c>
      <c r="DE19" s="402">
        <f>ConLoan!DE$51</f>
        <v/>
      </c>
      <c r="DF19" s="402">
        <f>ConLoan!DF$51</f>
        <v/>
      </c>
      <c r="DG19" s="402">
        <f>ConLoan!DG$51</f>
        <v/>
      </c>
      <c r="DH19" s="402">
        <f>ConLoan!DH$51</f>
        <v/>
      </c>
      <c r="DI19" s="402">
        <f>ConLoan!DI$51</f>
        <v/>
      </c>
      <c r="DJ19" s="402">
        <f>ConLoan!DJ$51</f>
        <v/>
      </c>
      <c r="DK19" s="402">
        <f>ConLoan!DK$51</f>
        <v/>
      </c>
      <c r="DL19" s="402">
        <f>ConLoan!DL$51</f>
        <v/>
      </c>
      <c r="DM19" s="402">
        <f>ConLoan!DM$51</f>
        <v/>
      </c>
      <c r="DN19" s="402">
        <f>ConLoan!DN$51</f>
        <v/>
      </c>
      <c r="DO19" s="402">
        <f>ConLoan!DO$51</f>
        <v/>
      </c>
      <c r="DP19" s="402">
        <f>ConLoan!DP$51</f>
        <v/>
      </c>
      <c r="DQ19" s="402">
        <f>ConLoan!DQ$51</f>
        <v/>
      </c>
      <c r="DR19" s="402">
        <f>ConLoan!DR$51</f>
        <v/>
      </c>
      <c r="DS19" s="402">
        <f>ConLoan!DS$51</f>
        <v/>
      </c>
      <c r="DT19" s="402">
        <f>ConLoan!DT$51</f>
        <v/>
      </c>
      <c r="DU19" s="402">
        <f>ConLoan!DU$51</f>
        <v/>
      </c>
      <c r="DV19" s="402">
        <f>ConLoan!DV$51</f>
        <v/>
      </c>
      <c r="DW19" s="402">
        <f>ConLoan!DW$51</f>
        <v/>
      </c>
      <c r="DX19" s="402">
        <f>ConLoan!DX$51</f>
        <v/>
      </c>
      <c r="DY19" s="402">
        <f>ConLoan!DY$51</f>
        <v/>
      </c>
      <c r="DZ19" s="402">
        <f>ConLoan!DZ$51</f>
        <v/>
      </c>
      <c r="EA19" s="402">
        <f>ConLoan!EA$51</f>
        <v/>
      </c>
      <c r="EB19" s="402">
        <f>ConLoan!EB$51</f>
        <v/>
      </c>
      <c r="EC19" s="402">
        <f>ConLoan!EC$51</f>
        <v/>
      </c>
      <c r="ED19" s="402">
        <f>ConLoan!ED$51</f>
        <v/>
      </c>
      <c r="EE19" s="402">
        <f>ConLoan!EE$51</f>
        <v/>
      </c>
      <c r="EF19" s="402">
        <f>ConLoan!EF$51</f>
        <v/>
      </c>
      <c r="EG19" s="402">
        <f>ConLoan!EG$51</f>
        <v/>
      </c>
      <c r="EH19" s="402">
        <f>ConLoan!EH$51</f>
        <v/>
      </c>
      <c r="EI19" s="402">
        <f>ConLoan!EI$51</f>
        <v/>
      </c>
      <c r="EJ19" s="402">
        <f>ConLoan!EJ$51</f>
        <v/>
      </c>
      <c r="EK19" s="402">
        <f>ConLoan!EK$51</f>
        <v/>
      </c>
      <c r="EL19" s="402">
        <f>ConLoan!EL$51</f>
        <v/>
      </c>
      <c r="EM19" s="402">
        <f>ConLoan!EM$51</f>
        <v/>
      </c>
      <c r="EN19" s="402">
        <f>ConLoan!EN$51</f>
        <v/>
      </c>
      <c r="EO19" s="402">
        <f>ConLoan!EO$51</f>
        <v/>
      </c>
      <c r="EP19" s="402">
        <f>ConLoan!EP$51</f>
        <v/>
      </c>
      <c r="EQ19" s="402">
        <f>ConLoan!EQ$51</f>
        <v/>
      </c>
      <c r="ER19" s="402">
        <f>ConLoan!ER$51</f>
        <v/>
      </c>
      <c r="ES19" s="402">
        <f>ConLoan!ES$51</f>
        <v/>
      </c>
      <c r="ET19" s="402">
        <f>ConLoan!ET$51</f>
        <v/>
      </c>
      <c r="EU19" s="402">
        <f>ConLoan!EU$51</f>
        <v/>
      </c>
      <c r="EV19" s="402">
        <f>ConLoan!EV$51</f>
        <v/>
      </c>
      <c r="EW19" s="402">
        <f>ConLoan!EW$51</f>
        <v/>
      </c>
      <c r="EX19" s="402">
        <f>ConLoan!EX$51</f>
        <v/>
      </c>
      <c r="EY19" s="402">
        <f>ConLoan!EY$51</f>
        <v/>
      </c>
      <c r="EZ19" s="402">
        <f>ConLoan!EZ$51</f>
        <v/>
      </c>
      <c r="FA19" s="402">
        <f>ConLoan!FA$51</f>
        <v/>
      </c>
      <c r="FB19" s="402">
        <f>ConLoan!FB$51</f>
        <v/>
      </c>
      <c r="FC19" s="402">
        <f>ConLoan!FC$51</f>
        <v/>
      </c>
      <c r="FD19" s="402">
        <f>ConLoan!FD$51</f>
        <v/>
      </c>
      <c r="FE19" s="402">
        <f>ConLoan!FE$51</f>
        <v/>
      </c>
      <c r="FF19" s="402">
        <f>ConLoan!FF$51</f>
        <v/>
      </c>
      <c r="FG19" s="402">
        <f>ConLoan!FG$51</f>
        <v/>
      </c>
      <c r="FH19" s="402">
        <f>ConLoan!FH$51</f>
        <v/>
      </c>
      <c r="FI19" s="402">
        <f>ConLoan!FI$51</f>
        <v/>
      </c>
      <c r="FJ19" s="402">
        <f>ConLoan!FJ$51</f>
        <v/>
      </c>
      <c r="FK19" s="402">
        <f>ConLoan!FK$51</f>
        <v/>
      </c>
      <c r="FL19" s="402">
        <f>ConLoan!FL$51</f>
        <v/>
      </c>
      <c r="FM19" s="402">
        <f>ConLoan!FM$51</f>
        <v/>
      </c>
      <c r="FN19" s="402">
        <f>ConLoan!FN$51</f>
        <v/>
      </c>
      <c r="FO19" s="402">
        <f>ConLoan!FO$51</f>
        <v/>
      </c>
      <c r="FP19" s="402">
        <f>ConLoan!FP$51</f>
        <v/>
      </c>
      <c r="FQ19" s="402">
        <f>ConLoan!FQ$51</f>
        <v/>
      </c>
      <c r="FR19" s="402">
        <f>ConLoan!FR$51</f>
        <v/>
      </c>
      <c r="FS19" s="402">
        <f>ConLoan!FS$51</f>
        <v/>
      </c>
      <c r="FT19" s="402">
        <f>ConLoan!FT$51</f>
        <v/>
      </c>
      <c r="FU19" s="402">
        <f>ConLoan!FU$51</f>
        <v/>
      </c>
      <c r="FV19" s="402">
        <f>ConLoan!FV$51</f>
        <v/>
      </c>
      <c r="FW19" s="402">
        <f>ConLoan!FW$51</f>
        <v/>
      </c>
      <c r="FX19" s="402">
        <f>ConLoan!FX$51</f>
        <v/>
      </c>
      <c r="FY19" s="402">
        <f>ConLoan!FY$51</f>
        <v/>
      </c>
      <c r="FZ19" s="402">
        <f>ConLoan!FZ$51</f>
        <v/>
      </c>
      <c r="GA19" s="402">
        <f>ConLoan!GA$51</f>
        <v/>
      </c>
      <c r="GB19" s="402">
        <f>ConLoan!GB$51</f>
        <v/>
      </c>
      <c r="GC19" s="402">
        <f>ConLoan!GC$51</f>
        <v/>
      </c>
      <c r="GD19" s="402">
        <f>ConLoan!GD$51</f>
        <v/>
      </c>
      <c r="GE19" s="402">
        <f>ConLoan!GE$51</f>
        <v/>
      </c>
      <c r="GF19" s="402">
        <f>ConLoan!GF$51</f>
        <v/>
      </c>
      <c r="GG19" s="402">
        <f>ConLoan!GG$51</f>
        <v/>
      </c>
      <c r="GH19" s="402">
        <f>ConLoan!GH$51</f>
        <v/>
      </c>
      <c r="GI19" s="402">
        <f>ConLoan!GI$51</f>
        <v/>
      </c>
      <c r="GJ19" s="402">
        <f>ConLoan!GJ$51</f>
        <v/>
      </c>
      <c r="GK19" s="402">
        <f>ConLoan!GK$51</f>
        <v/>
      </c>
      <c r="GL19" s="402">
        <f>ConLoan!GL$51</f>
        <v/>
      </c>
      <c r="GM19" s="402">
        <f>ConLoan!GM$51</f>
        <v/>
      </c>
      <c r="GN19" s="402">
        <f>ConLoan!GN$51</f>
        <v/>
      </c>
      <c r="GO19" s="402">
        <f>ConLoan!GO$51</f>
        <v/>
      </c>
      <c r="GP19" s="402">
        <f>ConLoan!GP$51</f>
        <v/>
      </c>
      <c r="GQ19" s="402">
        <f>ConLoan!GQ$51</f>
        <v/>
      </c>
      <c r="GR19" s="402">
        <f>ConLoan!GR$51</f>
        <v/>
      </c>
      <c r="GS19" s="402">
        <f>ConLoan!GS$51</f>
        <v/>
      </c>
      <c r="GT19" s="402">
        <f>ConLoan!GT$51</f>
        <v/>
      </c>
      <c r="GU19" s="402">
        <f>ConLoan!GU$51</f>
        <v/>
      </c>
      <c r="GV19" s="402">
        <f>ConLoan!GV$51</f>
        <v/>
      </c>
      <c r="GW19" s="402">
        <f>ConLoan!GW$51</f>
        <v/>
      </c>
      <c r="GX19" s="402">
        <f>ConLoan!GX$51</f>
        <v/>
      </c>
      <c r="GY19" s="402">
        <f>ConLoan!GY$51</f>
        <v/>
      </c>
      <c r="GZ19" s="402">
        <f>ConLoan!GZ$51</f>
        <v/>
      </c>
      <c r="HA19" s="402">
        <f>ConLoan!HA$51</f>
        <v/>
      </c>
      <c r="HB19" s="402">
        <f>ConLoan!HB$51</f>
        <v/>
      </c>
      <c r="HC19" s="402">
        <f>ConLoan!HC$51</f>
        <v/>
      </c>
      <c r="HD19" s="402">
        <f>ConLoan!HD$51</f>
        <v/>
      </c>
      <c r="HE19" s="402">
        <f>ConLoan!HE$51</f>
        <v/>
      </c>
      <c r="HF19" s="402">
        <f>ConLoan!HF$51</f>
        <v/>
      </c>
      <c r="HG19" s="402">
        <f>ConLoan!HG$51</f>
        <v/>
      </c>
      <c r="HH19" s="402">
        <f>ConLoan!HH$51</f>
        <v/>
      </c>
      <c r="HI19" s="402">
        <f>ConLoan!HI$51</f>
        <v/>
      </c>
      <c r="HJ19" s="402">
        <f>ConLoan!HJ$51</f>
        <v/>
      </c>
      <c r="HK19" s="402">
        <f>ConLoan!HK$51</f>
        <v/>
      </c>
      <c r="HL19" s="402">
        <f>ConLoan!HL$51</f>
        <v/>
      </c>
      <c r="HM19" s="402">
        <f>ConLoan!HM$51</f>
        <v/>
      </c>
      <c r="HN19" s="402">
        <f>ConLoan!HN$51</f>
        <v/>
      </c>
      <c r="HO19" s="402">
        <f>ConLoan!HO$51</f>
        <v/>
      </c>
      <c r="HP19" s="402">
        <f>ConLoan!HP$51</f>
        <v/>
      </c>
      <c r="HQ19" s="402">
        <f>ConLoan!HQ$51</f>
        <v/>
      </c>
      <c r="HR19" s="402">
        <f>ConLoan!HR$51</f>
        <v/>
      </c>
      <c r="HS19" s="402">
        <f>ConLoan!HS$51</f>
        <v/>
      </c>
      <c r="HT19" s="402">
        <f>ConLoan!HT$51</f>
        <v/>
      </c>
      <c r="HU19" s="402">
        <f>ConLoan!HU$51</f>
        <v/>
      </c>
      <c r="HV19" s="402">
        <f>ConLoan!HV$51</f>
        <v/>
      </c>
      <c r="HW19" s="402">
        <f>ConLoan!HW$51</f>
        <v/>
      </c>
      <c r="HX19" s="402">
        <f>ConLoan!HX$51</f>
        <v/>
      </c>
      <c r="HY19" s="402">
        <f>ConLoan!HY$51</f>
        <v/>
      </c>
      <c r="HZ19" s="402">
        <f>ConLoan!HZ$51</f>
        <v/>
      </c>
      <c r="IA19" s="402">
        <f>ConLoan!IA$51</f>
        <v/>
      </c>
      <c r="IB19" s="402">
        <f>ConLoan!IB$51</f>
        <v/>
      </c>
      <c r="IC19" s="402">
        <f>ConLoan!IC$51</f>
        <v/>
      </c>
      <c r="ID19" s="402">
        <f>ConLoan!ID$51</f>
        <v/>
      </c>
      <c r="IE19" s="402">
        <f>ConLoan!IE$51</f>
        <v/>
      </c>
      <c r="IF19" s="402">
        <f>ConLoan!IF$51</f>
        <v/>
      </c>
      <c r="IG19" s="402">
        <f>ConLoan!IG$51</f>
        <v/>
      </c>
      <c r="IH19" s="402">
        <f>ConLoan!IH$51</f>
        <v/>
      </c>
      <c r="II19" s="402">
        <f>ConLoan!II$51</f>
        <v/>
      </c>
      <c r="IJ19" s="402">
        <f>ConLoan!IJ$51</f>
        <v/>
      </c>
      <c r="IK19" s="402">
        <f>ConLoan!IK$51</f>
        <v/>
      </c>
      <c r="IL19" s="402">
        <f>ConLoan!IL$51</f>
        <v/>
      </c>
      <c r="IM19" s="402">
        <f>ConLoan!IM$51</f>
        <v/>
      </c>
      <c r="IN19" s="402">
        <f>ConLoan!IN$51</f>
        <v/>
      </c>
      <c r="IO19" s="402">
        <f>ConLoan!IO$51</f>
        <v/>
      </c>
      <c r="IP19" s="402">
        <f>ConLoan!IP$51</f>
        <v/>
      </c>
      <c r="IQ19" s="402">
        <f>ConLoan!IQ$51</f>
        <v/>
      </c>
      <c r="IR19" s="402">
        <f>ConLoan!IR$51</f>
        <v/>
      </c>
      <c r="IS19" s="402">
        <f>ConLoan!IS$51</f>
        <v/>
      </c>
      <c r="IT19" s="402">
        <f>ConLoan!IT$51</f>
        <v/>
      </c>
      <c r="IU19" s="402">
        <f>ConLoan!IU$51</f>
        <v/>
      </c>
      <c r="IV19" s="402">
        <f>ConLoan!IV$51</f>
        <v/>
      </c>
      <c r="IW19" s="402">
        <f>ConLoan!IW$51</f>
        <v/>
      </c>
      <c r="IX19" s="402">
        <f>ConLoan!IX$51</f>
        <v/>
      </c>
      <c r="IY19" s="402">
        <f>ConLoan!IY$51</f>
        <v/>
      </c>
      <c r="IZ19" s="402">
        <f>ConLoan!IZ$51</f>
        <v/>
      </c>
      <c r="JA19" s="402">
        <f>ConLoan!JA$51</f>
        <v/>
      </c>
      <c r="JB19" s="402">
        <f>ConLoan!JB$51</f>
        <v/>
      </c>
      <c r="JC19" s="402">
        <f>ConLoan!JC$51</f>
        <v/>
      </c>
      <c r="JD19" s="402">
        <f>ConLoan!JD$51</f>
        <v/>
      </c>
      <c r="JE19" s="402">
        <f>ConLoan!JE$51</f>
        <v/>
      </c>
      <c r="JF19" s="402">
        <f>ConLoan!JF$51</f>
        <v/>
      </c>
      <c r="JG19" s="402">
        <f>ConLoan!JG$51</f>
        <v/>
      </c>
      <c r="JH19" s="402">
        <f>ConLoan!JH$51</f>
        <v/>
      </c>
      <c r="JI19" s="402">
        <f>ConLoan!JI$51</f>
        <v/>
      </c>
      <c r="JJ19" s="402">
        <f>ConLoan!JJ$51</f>
        <v/>
      </c>
      <c r="JK19" s="402">
        <f>ConLoan!JK$51</f>
        <v/>
      </c>
      <c r="JL19" s="402">
        <f>ConLoan!JL$51</f>
        <v/>
      </c>
      <c r="JM19" s="402">
        <f>ConLoan!JM$51</f>
        <v/>
      </c>
      <c r="JN19" s="402">
        <f>ConLoan!JN$51</f>
        <v/>
      </c>
      <c r="JO19" s="402">
        <f>ConLoan!JO$51</f>
        <v/>
      </c>
      <c r="JP19" s="402">
        <f>ConLoan!JP$51</f>
        <v/>
      </c>
      <c r="JQ19" s="402">
        <f>ConLoan!JQ$51</f>
        <v/>
      </c>
      <c r="JR19" s="402">
        <f>ConLoan!JR$51</f>
        <v/>
      </c>
      <c r="JS19" s="402">
        <f>ConLoan!JS$51</f>
        <v/>
      </c>
      <c r="JT19" s="402">
        <f>ConLoan!JT$51</f>
        <v/>
      </c>
      <c r="JU19" s="402">
        <f>ConLoan!JU$51</f>
        <v/>
      </c>
      <c r="JV19" s="402">
        <f>ConLoan!JV$51</f>
        <v/>
      </c>
      <c r="JW19" s="402">
        <f>ConLoan!JW$51</f>
        <v/>
      </c>
      <c r="JX19" s="402">
        <f>ConLoan!JX$51</f>
        <v/>
      </c>
      <c r="JY19" s="402">
        <f>ConLoan!JY$51</f>
        <v/>
      </c>
      <c r="JZ19" s="402">
        <f>ConLoan!JZ$51</f>
        <v/>
      </c>
      <c r="KA19" s="402">
        <f>ConLoan!KA$51</f>
        <v/>
      </c>
      <c r="KB19" s="402">
        <f>ConLoan!KB$51</f>
        <v/>
      </c>
      <c r="KC19" s="402">
        <f>ConLoan!KC$51</f>
        <v/>
      </c>
      <c r="KD19" s="402">
        <f>ConLoan!KD$51</f>
        <v/>
      </c>
      <c r="KE19" s="402">
        <f>ConLoan!KE$51</f>
        <v/>
      </c>
      <c r="KF19" s="402">
        <f>ConLoan!KF$51</f>
        <v/>
      </c>
      <c r="KG19" s="402">
        <f>ConLoan!KG$51</f>
        <v/>
      </c>
      <c r="KH19" s="402">
        <f>ConLoan!KH$51</f>
        <v/>
      </c>
      <c r="KI19" s="402">
        <f>ConLoan!KI$51</f>
        <v/>
      </c>
      <c r="KJ19" s="402">
        <f>ConLoan!KJ$51</f>
        <v/>
      </c>
      <c r="KK19" s="402">
        <f>ConLoan!KK$51</f>
        <v/>
      </c>
      <c r="KL19" s="402">
        <f>ConLoan!KL$51</f>
        <v/>
      </c>
      <c r="KM19" s="402">
        <f>ConLoan!KM$51</f>
        <v/>
      </c>
      <c r="KN19" s="402">
        <f>ConLoan!KN$51</f>
        <v/>
      </c>
      <c r="KO19" s="402">
        <f>ConLoan!KO$51</f>
        <v/>
      </c>
      <c r="KP19" s="402">
        <f>ConLoan!KP$51</f>
        <v/>
      </c>
      <c r="KQ19" s="402">
        <f>ConLoan!KQ$51</f>
        <v/>
      </c>
      <c r="KR19" s="402">
        <f>ConLoan!KR$51</f>
        <v/>
      </c>
      <c r="KS19" s="402">
        <f>ConLoan!KS$51</f>
        <v/>
      </c>
      <c r="KT19" s="402">
        <f>ConLoan!KT$51</f>
        <v/>
      </c>
      <c r="KU19" s="402">
        <f>ConLoan!KU$51</f>
        <v/>
      </c>
      <c r="KV19" s="402">
        <f>ConLoan!KV$51</f>
        <v/>
      </c>
      <c r="KW19" s="402">
        <f>ConLoan!KW$51</f>
        <v/>
      </c>
      <c r="KX19" s="402">
        <f>ConLoan!KX$51</f>
        <v/>
      </c>
      <c r="KY19" s="402">
        <f>ConLoan!KY$51</f>
        <v/>
      </c>
      <c r="KZ19" s="402">
        <f>ConLoan!KZ$51</f>
        <v/>
      </c>
      <c r="LA19" s="402">
        <f>ConLoan!LA$51</f>
        <v/>
      </c>
      <c r="LB19" s="402">
        <f>ConLoan!LB$51</f>
        <v/>
      </c>
      <c r="LC19" s="402">
        <f>ConLoan!LC$51</f>
        <v/>
      </c>
      <c r="LD19" s="402">
        <f>ConLoan!LD$51</f>
        <v/>
      </c>
      <c r="LE19" s="402">
        <f>ConLoan!LE$51</f>
        <v/>
      </c>
      <c r="LF19" s="402">
        <f>ConLoan!LF$51</f>
        <v/>
      </c>
      <c r="LG19" s="402">
        <f>ConLoan!LG$51</f>
        <v/>
      </c>
      <c r="LH19" s="402">
        <f>ConLoan!LH$51</f>
        <v/>
      </c>
      <c r="LI19" s="402">
        <f>ConLoan!LI$51</f>
        <v/>
      </c>
      <c r="LJ19" s="402">
        <f>ConLoan!LJ$51</f>
        <v/>
      </c>
      <c r="LK19" s="402">
        <f>ConLoan!LK$51</f>
        <v/>
      </c>
      <c r="LL19" s="402">
        <f>ConLoan!LL$51</f>
        <v/>
      </c>
      <c r="LM19" s="402">
        <f>ConLoan!LM$51</f>
        <v/>
      </c>
      <c r="LN19" s="402">
        <f>ConLoan!LN$51</f>
        <v/>
      </c>
      <c r="LO19" s="402">
        <f>ConLoan!LO$51</f>
        <v/>
      </c>
      <c r="LP19" s="402">
        <f>ConLoan!LP$51</f>
        <v/>
      </c>
      <c r="LQ19" s="402">
        <f>ConLoan!LQ$51</f>
        <v/>
      </c>
      <c r="LR19" s="402">
        <f>ConLoan!LR$51</f>
        <v/>
      </c>
      <c r="LS19" s="402">
        <f>ConLoan!LS$51</f>
        <v/>
      </c>
      <c r="LT19" s="402">
        <f>ConLoan!LT$51</f>
        <v/>
      </c>
      <c r="LU19" s="402">
        <f>ConLoan!LU$51</f>
        <v/>
      </c>
      <c r="LV19" s="402">
        <f>ConLoan!LV$51</f>
        <v/>
      </c>
      <c r="LW19" s="402">
        <f>ConLoan!LW$51</f>
        <v/>
      </c>
      <c r="LX19" s="402">
        <f>ConLoan!LX$51</f>
        <v/>
      </c>
      <c r="LY19" s="402">
        <f>ConLoan!LY$51</f>
        <v/>
      </c>
      <c r="LZ19" s="402">
        <f>ConLoan!LZ$51</f>
        <v/>
      </c>
      <c r="MA19" s="402">
        <f>ConLoan!MA$51</f>
        <v/>
      </c>
      <c r="MB19" s="402">
        <f>ConLoan!MB$51</f>
        <v/>
      </c>
      <c r="MC19" s="402">
        <f>ConLoan!MC$51</f>
        <v/>
      </c>
      <c r="MD19" s="402">
        <f>ConLoan!MD$51</f>
        <v/>
      </c>
      <c r="ME19" s="402">
        <f>ConLoan!ME$51</f>
        <v/>
      </c>
      <c r="MF19" s="402">
        <f>ConLoan!MF$51</f>
        <v/>
      </c>
      <c r="MG19" s="402">
        <f>ConLoan!MG$51</f>
        <v/>
      </c>
      <c r="MH19" s="402">
        <f>ConLoan!MH$51</f>
        <v/>
      </c>
      <c r="MI19" s="402">
        <f>ConLoan!MI$51</f>
        <v/>
      </c>
      <c r="MJ19" s="402">
        <f>ConLoan!MJ$51</f>
        <v/>
      </c>
      <c r="MK19" s="402">
        <f>ConLoan!MK$51</f>
        <v/>
      </c>
      <c r="ML19" s="402">
        <f>ConLoan!ML$51</f>
        <v/>
      </c>
      <c r="MM19" s="402">
        <f>ConLoan!MM$51</f>
        <v/>
      </c>
      <c r="MN19" s="402">
        <f>ConLoan!MN$51</f>
        <v/>
      </c>
      <c r="MO19" s="402">
        <f>ConLoan!MO$51</f>
        <v/>
      </c>
      <c r="MP19" s="402">
        <f>ConLoan!MP$51</f>
        <v/>
      </c>
      <c r="MQ19" s="402">
        <f>ConLoan!MQ$51</f>
        <v/>
      </c>
      <c r="MR19" s="402">
        <f>ConLoan!MR$51</f>
        <v/>
      </c>
      <c r="MS19" s="402">
        <f>ConLoan!MS$51</f>
        <v/>
      </c>
      <c r="MT19" s="402">
        <f>ConLoan!MT$51</f>
        <v/>
      </c>
      <c r="MU19" s="402">
        <f>ConLoan!MU$51</f>
        <v/>
      </c>
      <c r="MV19" s="402">
        <f>ConLoan!MV$51</f>
        <v/>
      </c>
      <c r="MW19" s="402">
        <f>ConLoan!MW$51</f>
        <v/>
      </c>
      <c r="MX19" s="402">
        <f>ConLoan!MX$51</f>
        <v/>
      </c>
      <c r="MY19" s="402">
        <f>ConLoan!MY$51</f>
        <v/>
      </c>
      <c r="MZ19" s="402">
        <f>ConLoan!MZ$51</f>
        <v/>
      </c>
      <c r="NA19" s="402">
        <f>ConLoan!NA$51</f>
        <v/>
      </c>
      <c r="NB19" s="402">
        <f>ConLoan!NB$51</f>
        <v/>
      </c>
      <c r="NC19" s="402">
        <f>ConLoan!NC$51</f>
        <v/>
      </c>
      <c r="ND19" s="402">
        <f>ConLoan!ND$51</f>
        <v/>
      </c>
      <c r="NE19" s="402">
        <f>ConLoan!NE$51</f>
        <v/>
      </c>
      <c r="NF19" s="402">
        <f>ConLoan!NF$51</f>
        <v/>
      </c>
      <c r="NG19" s="402">
        <f>ConLoan!NG$51</f>
        <v/>
      </c>
      <c r="NH19" s="402">
        <f>ConLoan!NH$51</f>
        <v/>
      </c>
      <c r="NI19" s="402">
        <f>ConLoan!NI$51</f>
        <v/>
      </c>
      <c r="NJ19" s="402">
        <f>ConLoan!NJ$51</f>
        <v/>
      </c>
      <c r="NK19" s="402">
        <f>ConLoan!NK$51</f>
        <v/>
      </c>
      <c r="NL19" s="402">
        <f>ConLoan!NL$51</f>
        <v/>
      </c>
    </row>
    <row r="20">
      <c r="B20" s="384" t="inlineStr">
        <is>
          <t>Equity</t>
        </is>
      </c>
      <c r="D20" s="401" t="inlineStr"/>
      <c r="E20" s="155" t="n"/>
      <c r="F20" s="155" t="n"/>
      <c r="G20" s="155" t="n"/>
      <c r="H20" s="155" t="n"/>
      <c r="I20" s="155" t="n"/>
      <c r="J20" s="155" t="n"/>
      <c r="K20" s="155" t="n"/>
      <c r="L20" s="155" t="n"/>
      <c r="M20" s="155" t="n"/>
      <c r="N20" s="155" t="n"/>
      <c r="O20" s="155" t="n"/>
      <c r="P20" s="155" t="n"/>
      <c r="Q20" s="155" t="n"/>
      <c r="R20" s="155" t="n"/>
      <c r="S20" s="155" t="n"/>
      <c r="T20" s="155" t="n"/>
      <c r="U20" s="155" t="n"/>
      <c r="V20" s="155" t="n"/>
      <c r="W20" s="155" t="n"/>
      <c r="X20" s="155" t="n"/>
      <c r="Y20" s="155" t="n"/>
      <c r="Z20" s="155" t="n"/>
      <c r="AA20" s="155" t="n"/>
      <c r="AB20" s="155" t="n"/>
      <c r="AC20" s="155" t="n"/>
      <c r="AD20" s="155" t="n"/>
      <c r="AE20" s="155" t="n"/>
      <c r="AF20" s="155" t="n"/>
      <c r="AG20" s="155" t="n"/>
      <c r="AH20" s="155" t="n"/>
      <c r="AI20" s="155" t="n"/>
      <c r="AJ20" s="155" t="n"/>
      <c r="AK20" s="155" t="n"/>
      <c r="AL20" s="155" t="n"/>
      <c r="AM20" s="155" t="n"/>
      <c r="AN20" s="155" t="n"/>
      <c r="AO20" s="155" t="n"/>
      <c r="AP20" s="155" t="n"/>
      <c r="AQ20" s="155" t="n"/>
      <c r="AR20" s="155" t="n"/>
      <c r="AS20" s="155" t="n"/>
      <c r="AT20" s="155" t="n"/>
      <c r="AU20" s="155" t="n"/>
      <c r="AV20" s="155" t="n"/>
      <c r="AW20" s="155" t="n"/>
      <c r="AX20" s="155" t="n"/>
      <c r="AY20" s="155" t="n"/>
      <c r="AZ20" s="155" t="n"/>
      <c r="BA20" s="155" t="n"/>
      <c r="BB20" s="155" t="n"/>
      <c r="BC20" s="155" t="n"/>
      <c r="BD20" s="155" t="n"/>
      <c r="BE20" s="155" t="n"/>
      <c r="BF20" s="155" t="n"/>
      <c r="BG20" s="155" t="n"/>
      <c r="BH20" s="155" t="n"/>
      <c r="BI20" s="155" t="n"/>
      <c r="BJ20" s="155" t="n"/>
      <c r="BK20" s="155" t="n"/>
      <c r="BL20" s="155" t="n"/>
      <c r="BM20" s="155" t="n"/>
      <c r="BN20" s="155" t="n"/>
      <c r="BO20" s="155" t="n"/>
      <c r="BP20" s="155" t="n"/>
      <c r="BQ20" s="155" t="n"/>
      <c r="BR20" s="155" t="n"/>
      <c r="BS20" s="155" t="n"/>
      <c r="BT20" s="155" t="n"/>
      <c r="BU20" s="155" t="n"/>
      <c r="BV20" s="155" t="n"/>
      <c r="BW20" s="155" t="n"/>
      <c r="BX20" s="155" t="n"/>
      <c r="BY20" s="155" t="n"/>
      <c r="BZ20" s="155" t="n"/>
      <c r="CA20" s="155" t="n"/>
      <c r="CB20" s="155" t="n"/>
      <c r="CC20" s="155" t="n"/>
      <c r="CD20" s="155" t="n"/>
      <c r="CE20" s="155" t="n"/>
      <c r="CF20" s="155" t="n"/>
      <c r="CG20" s="155" t="n"/>
      <c r="CH20" s="155" t="n"/>
      <c r="CI20" s="155" t="n"/>
      <c r="CJ20" s="155" t="n"/>
      <c r="CK20" s="155" t="n"/>
      <c r="CL20" s="155" t="n"/>
      <c r="CM20" s="155" t="n"/>
      <c r="CN20" s="155" t="n"/>
      <c r="CO20" s="155" t="n"/>
      <c r="CP20" s="155" t="n"/>
      <c r="CQ20" s="155" t="n"/>
      <c r="CR20" s="155" t="n"/>
      <c r="CS20" s="155" t="n"/>
      <c r="CT20" s="155" t="n"/>
      <c r="CU20" s="155" t="n"/>
      <c r="CV20" s="155" t="n"/>
      <c r="CW20" s="155" t="n"/>
      <c r="CX20" s="155" t="n"/>
      <c r="CY20" s="155" t="n"/>
      <c r="CZ20" s="155" t="n"/>
      <c r="DA20" s="155" t="n"/>
      <c r="DB20" s="155" t="n"/>
      <c r="DC20" s="155" t="n"/>
      <c r="DD20" s="155" t="n"/>
      <c r="DE20" s="155" t="n"/>
      <c r="DF20" s="155" t="n"/>
      <c r="DG20" s="155" t="n"/>
      <c r="DH20" s="155" t="n"/>
      <c r="DI20" s="155" t="n"/>
      <c r="DJ20" s="155" t="n"/>
      <c r="DK20" s="155" t="n"/>
      <c r="DL20" s="155" t="n"/>
      <c r="DM20" s="155" t="n"/>
      <c r="DN20" s="155" t="n"/>
      <c r="DO20" s="155" t="n"/>
      <c r="DP20" s="155" t="n"/>
      <c r="DQ20" s="155" t="n"/>
      <c r="DR20" s="155" t="n"/>
      <c r="DS20" s="155" t="n"/>
      <c r="DT20" s="155" t="n"/>
      <c r="DU20" s="155" t="n"/>
      <c r="DV20" s="155" t="n"/>
      <c r="DW20" s="155" t="n"/>
      <c r="DX20" s="155" t="n"/>
      <c r="DY20" s="155" t="n"/>
      <c r="DZ20" s="155" t="n"/>
      <c r="EA20" s="155" t="n"/>
      <c r="EB20" s="155" t="n"/>
      <c r="EC20" s="155" t="n"/>
      <c r="ED20" s="155" t="n"/>
      <c r="EE20" s="155" t="n"/>
      <c r="EF20" s="155" t="n"/>
      <c r="EG20" s="155" t="n"/>
      <c r="EH20" s="155" t="n"/>
      <c r="EI20" s="155" t="n"/>
      <c r="EJ20" s="155" t="n"/>
      <c r="EK20" s="155" t="n"/>
      <c r="EL20" s="155" t="n"/>
      <c r="EM20" s="155" t="n"/>
      <c r="EN20" s="155" t="n"/>
      <c r="EO20" s="155" t="n"/>
      <c r="EP20" s="155" t="n"/>
      <c r="EQ20" s="155" t="n"/>
      <c r="ER20" s="155" t="n"/>
      <c r="ES20" s="155" t="n"/>
      <c r="ET20" s="155" t="n"/>
      <c r="EU20" s="155" t="n"/>
      <c r="EV20" s="155" t="n"/>
      <c r="EW20" s="155" t="n"/>
      <c r="EX20" s="155" t="n"/>
      <c r="EY20" s="155" t="n"/>
      <c r="EZ20" s="155" t="n"/>
      <c r="FA20" s="155" t="n"/>
      <c r="FB20" s="155" t="n"/>
      <c r="FC20" s="155" t="n"/>
      <c r="FD20" s="155" t="n"/>
      <c r="FE20" s="155" t="n"/>
      <c r="FF20" s="155" t="n"/>
      <c r="FG20" s="155" t="n"/>
      <c r="FH20" s="155" t="n"/>
      <c r="FI20" s="155" t="n"/>
      <c r="FJ20" s="155" t="n"/>
      <c r="FK20" s="155" t="n"/>
      <c r="FL20" s="155" t="n"/>
      <c r="FM20" s="155" t="n"/>
      <c r="FN20" s="155" t="n"/>
      <c r="FO20" s="155" t="n"/>
      <c r="FP20" s="155" t="n"/>
      <c r="FQ20" s="155" t="n"/>
      <c r="FR20" s="155" t="n"/>
      <c r="FS20" s="155" t="n"/>
      <c r="FT20" s="155" t="n"/>
      <c r="FU20" s="155" t="n"/>
      <c r="FV20" s="155" t="n"/>
      <c r="FW20" s="155" t="n"/>
      <c r="FX20" s="155" t="n"/>
      <c r="FY20" s="155" t="n"/>
      <c r="FZ20" s="155" t="n"/>
      <c r="GA20" s="155" t="n"/>
      <c r="GB20" s="155" t="n"/>
      <c r="GC20" s="155" t="n"/>
      <c r="GD20" s="155" t="n"/>
      <c r="GE20" s="155" t="n"/>
      <c r="GF20" s="155" t="n"/>
      <c r="GG20" s="155" t="n"/>
      <c r="GH20" s="155" t="n"/>
      <c r="GI20" s="155" t="n"/>
      <c r="GJ20" s="155" t="n"/>
      <c r="GK20" s="155" t="n"/>
      <c r="GL20" s="155" t="n"/>
      <c r="GM20" s="155" t="n"/>
      <c r="GN20" s="155" t="n"/>
      <c r="GO20" s="155" t="n"/>
      <c r="GP20" s="155" t="n"/>
      <c r="GQ20" s="155" t="n"/>
      <c r="GR20" s="155" t="n"/>
      <c r="GS20" s="155" t="n"/>
      <c r="GT20" s="155" t="n"/>
      <c r="GU20" s="155" t="n"/>
      <c r="GV20" s="155" t="n"/>
      <c r="GW20" s="155" t="n"/>
      <c r="GX20" s="155" t="n"/>
      <c r="GY20" s="155" t="n"/>
      <c r="GZ20" s="155" t="n"/>
      <c r="HA20" s="155" t="n"/>
      <c r="HB20" s="155" t="n"/>
      <c r="HC20" s="155" t="n"/>
      <c r="HD20" s="155" t="n"/>
      <c r="HE20" s="155" t="n"/>
      <c r="HF20" s="155" t="n"/>
      <c r="HG20" s="155" t="n"/>
      <c r="HH20" s="155" t="n"/>
      <c r="HI20" s="155" t="n"/>
      <c r="HJ20" s="155" t="n"/>
      <c r="HK20" s="155" t="n"/>
      <c r="HL20" s="155" t="n"/>
      <c r="HM20" s="155" t="n"/>
      <c r="HN20" s="155" t="n"/>
      <c r="HO20" s="155" t="n"/>
      <c r="HP20" s="155" t="n"/>
      <c r="HQ20" s="155" t="n"/>
      <c r="HR20" s="155" t="n"/>
      <c r="HS20" s="155" t="n"/>
      <c r="HT20" s="155" t="n"/>
      <c r="HU20" s="155" t="n"/>
      <c r="HV20" s="155" t="n"/>
      <c r="HW20" s="155" t="n"/>
      <c r="HX20" s="155" t="n"/>
      <c r="HY20" s="155" t="n"/>
      <c r="HZ20" s="155" t="n"/>
      <c r="IA20" s="155" t="n"/>
      <c r="IB20" s="155" t="n"/>
      <c r="IC20" s="155" t="n"/>
      <c r="ID20" s="155" t="n"/>
      <c r="IE20" s="155" t="n"/>
      <c r="IF20" s="155" t="n"/>
      <c r="IG20" s="155" t="n"/>
      <c r="IH20" s="155" t="n"/>
      <c r="II20" s="155" t="n"/>
      <c r="IJ20" s="155" t="n"/>
      <c r="IK20" s="155" t="n"/>
      <c r="IL20" s="155" t="n"/>
      <c r="IM20" s="155" t="n"/>
      <c r="IN20" s="155" t="n"/>
      <c r="IO20" s="155" t="n"/>
      <c r="IP20" s="155" t="n"/>
      <c r="IQ20" s="155" t="n"/>
      <c r="IR20" s="155" t="n"/>
      <c r="IS20" s="155" t="n"/>
      <c r="IT20" s="155" t="n"/>
      <c r="IU20" s="155" t="n"/>
      <c r="IV20" s="155" t="n"/>
      <c r="IW20" s="155" t="n"/>
      <c r="IX20" s="155" t="n"/>
      <c r="IY20" s="155" t="n"/>
      <c r="IZ20" s="155" t="n"/>
      <c r="JA20" s="155" t="n"/>
      <c r="JB20" s="155" t="n"/>
      <c r="JC20" s="155" t="n"/>
      <c r="JD20" s="155" t="n"/>
      <c r="JE20" s="155" t="n"/>
      <c r="JF20" s="155" t="n"/>
      <c r="JG20" s="155" t="n"/>
      <c r="JH20" s="155" t="n"/>
      <c r="JI20" s="155" t="n"/>
      <c r="JJ20" s="155" t="n"/>
      <c r="JK20" s="155" t="n"/>
      <c r="JL20" s="155" t="n"/>
      <c r="JM20" s="155" t="n"/>
      <c r="JN20" s="155" t="n"/>
      <c r="JO20" s="155" t="n"/>
      <c r="JP20" s="155" t="n"/>
      <c r="JQ20" s="155" t="n"/>
      <c r="JR20" s="155" t="n"/>
      <c r="JS20" s="155" t="n"/>
      <c r="JT20" s="155" t="n"/>
      <c r="JU20" s="155" t="n"/>
      <c r="JV20" s="155" t="n"/>
      <c r="JW20" s="155" t="n"/>
      <c r="JX20" s="155" t="n"/>
      <c r="JY20" s="155" t="n"/>
      <c r="JZ20" s="155" t="n"/>
      <c r="KA20" s="155" t="n"/>
      <c r="KB20" s="155" t="n"/>
      <c r="KC20" s="155" t="n"/>
      <c r="KD20" s="155" t="n"/>
      <c r="KE20" s="155" t="n"/>
      <c r="KF20" s="155" t="n"/>
      <c r="KG20" s="155" t="n"/>
      <c r="KH20" s="155" t="n"/>
      <c r="KI20" s="155" t="n"/>
      <c r="KJ20" s="155" t="n"/>
      <c r="KK20" s="155" t="n"/>
      <c r="KL20" s="155" t="n"/>
      <c r="KM20" s="155" t="n"/>
      <c r="KN20" s="155" t="n"/>
      <c r="KO20" s="155" t="n"/>
      <c r="KP20" s="155" t="n"/>
      <c r="KQ20" s="155" t="n"/>
      <c r="KR20" s="155" t="n"/>
      <c r="KS20" s="155" t="n"/>
      <c r="KT20" s="155" t="n"/>
      <c r="KU20" s="155" t="n"/>
      <c r="KV20" s="155" t="n"/>
      <c r="KW20" s="155" t="n"/>
      <c r="KX20" s="155" t="n"/>
      <c r="KY20" s="155" t="n"/>
      <c r="KZ20" s="155" t="n"/>
      <c r="LA20" s="155" t="n"/>
      <c r="LB20" s="155" t="n"/>
      <c r="LC20" s="155" t="n"/>
      <c r="LD20" s="155" t="n"/>
      <c r="LE20" s="155" t="n"/>
      <c r="LF20" s="155" t="n"/>
      <c r="LG20" s="155" t="n"/>
      <c r="LH20" s="155" t="n"/>
      <c r="LI20" s="155" t="n"/>
      <c r="LJ20" s="155" t="n"/>
      <c r="LK20" s="155" t="n"/>
      <c r="LL20" s="155" t="n"/>
      <c r="LM20" s="155" t="n"/>
      <c r="LN20" s="155" t="n"/>
      <c r="LO20" s="155" t="n"/>
      <c r="LP20" s="155" t="n"/>
      <c r="LQ20" s="155" t="n"/>
      <c r="LR20" s="155" t="n"/>
      <c r="LS20" s="155" t="n"/>
      <c r="LT20" s="155" t="n"/>
      <c r="LU20" s="155" t="n"/>
      <c r="LV20" s="155" t="n"/>
      <c r="LW20" s="155" t="n"/>
      <c r="LX20" s="155" t="n"/>
      <c r="LY20" s="155" t="n"/>
      <c r="LZ20" s="155" t="n"/>
      <c r="MA20" s="155" t="n"/>
      <c r="MB20" s="155" t="n"/>
      <c r="MC20" s="155" t="n"/>
      <c r="MD20" s="155" t="n"/>
      <c r="ME20" s="155" t="n"/>
      <c r="MF20" s="155" t="n"/>
      <c r="MG20" s="155" t="n"/>
      <c r="MH20" s="155" t="n"/>
      <c r="MI20" s="155" t="n"/>
      <c r="MJ20" s="155" t="n"/>
      <c r="MK20" s="155" t="n"/>
      <c r="ML20" s="155" t="n"/>
      <c r="MM20" s="155" t="n"/>
      <c r="MN20" s="155" t="n"/>
      <c r="MO20" s="155" t="n"/>
      <c r="MP20" s="155" t="n"/>
      <c r="MQ20" s="155" t="n"/>
      <c r="MR20" s="155" t="n"/>
      <c r="MS20" s="155" t="n"/>
      <c r="MT20" s="155" t="n"/>
      <c r="MU20" s="155" t="n"/>
      <c r="MV20" s="155" t="n"/>
      <c r="MW20" s="155" t="n"/>
      <c r="MX20" s="155" t="n"/>
      <c r="MY20" s="155" t="n"/>
      <c r="MZ20" s="155" t="n"/>
      <c r="NA20" s="155" t="n"/>
      <c r="NB20" s="155" t="n"/>
      <c r="NC20" s="155" t="n"/>
      <c r="ND20" s="155" t="n"/>
      <c r="NE20" s="155" t="n"/>
      <c r="NF20" s="155" t="n"/>
      <c r="NG20" s="155" t="n"/>
      <c r="NH20" s="155" t="n"/>
      <c r="NI20" s="155" t="n"/>
      <c r="NJ20" s="155" t="n"/>
      <c r="NK20" s="155" t="n"/>
      <c r="NL20" s="155" t="n"/>
    </row>
    <row r="21">
      <c r="B21" s="316" t="inlineStr">
        <is>
          <t>Equity Contribution</t>
        </is>
      </c>
      <c r="D21" s="402">
        <f>SUM(E21:NL21)</f>
        <v/>
      </c>
      <c r="E21" s="402">
        <f>ConLoan!E$27</f>
        <v/>
      </c>
      <c r="F21" s="402">
        <f>ConLoan!F$27</f>
        <v/>
      </c>
      <c r="G21" s="402">
        <f>ConLoan!G$27</f>
        <v/>
      </c>
      <c r="H21" s="402">
        <f>ConLoan!H$27</f>
        <v/>
      </c>
      <c r="I21" s="402">
        <f>ConLoan!I$27</f>
        <v/>
      </c>
      <c r="J21" s="402">
        <f>ConLoan!J$27</f>
        <v/>
      </c>
      <c r="K21" s="402">
        <f>ConLoan!K$27</f>
        <v/>
      </c>
      <c r="L21" s="402">
        <f>ConLoan!L$27</f>
        <v/>
      </c>
      <c r="M21" s="402">
        <f>ConLoan!M$27</f>
        <v/>
      </c>
      <c r="N21" s="402">
        <f>ConLoan!N$27</f>
        <v/>
      </c>
      <c r="O21" s="402">
        <f>ConLoan!O$27</f>
        <v/>
      </c>
      <c r="P21" s="402">
        <f>ConLoan!P$27</f>
        <v/>
      </c>
      <c r="Q21" s="402">
        <f>ConLoan!Q$27</f>
        <v/>
      </c>
      <c r="R21" s="402">
        <f>ConLoan!R$27</f>
        <v/>
      </c>
      <c r="S21" s="402">
        <f>ConLoan!S$27</f>
        <v/>
      </c>
      <c r="T21" s="402">
        <f>ConLoan!T$27</f>
        <v/>
      </c>
      <c r="U21" s="402">
        <f>ConLoan!U$27</f>
        <v/>
      </c>
      <c r="V21" s="402">
        <f>ConLoan!V$27</f>
        <v/>
      </c>
      <c r="W21" s="402">
        <f>ConLoan!W$27</f>
        <v/>
      </c>
      <c r="X21" s="402">
        <f>ConLoan!X$27</f>
        <v/>
      </c>
      <c r="Y21" s="402">
        <f>ConLoan!Y$27</f>
        <v/>
      </c>
      <c r="Z21" s="402">
        <f>ConLoan!Z$27</f>
        <v/>
      </c>
      <c r="AA21" s="402">
        <f>ConLoan!AA$27</f>
        <v/>
      </c>
      <c r="AB21" s="402">
        <f>ConLoan!AB$27</f>
        <v/>
      </c>
      <c r="AC21" s="402">
        <f>ConLoan!AC$27</f>
        <v/>
      </c>
      <c r="AD21" s="402">
        <f>ConLoan!AD$27</f>
        <v/>
      </c>
      <c r="AE21" s="402">
        <f>ConLoan!AE$27</f>
        <v/>
      </c>
      <c r="AF21" s="402">
        <f>ConLoan!AF$27</f>
        <v/>
      </c>
      <c r="AG21" s="402">
        <f>ConLoan!AG$27</f>
        <v/>
      </c>
      <c r="AH21" s="402">
        <f>ConLoan!AH$27</f>
        <v/>
      </c>
      <c r="AI21" s="402">
        <f>ConLoan!AI$27</f>
        <v/>
      </c>
      <c r="AJ21" s="402">
        <f>ConLoan!AJ$27</f>
        <v/>
      </c>
      <c r="AK21" s="402">
        <f>ConLoan!AK$27</f>
        <v/>
      </c>
      <c r="AL21" s="402">
        <f>ConLoan!AL$27</f>
        <v/>
      </c>
      <c r="AM21" s="402">
        <f>ConLoan!AM$27</f>
        <v/>
      </c>
      <c r="AN21" s="402">
        <f>ConLoan!AN$27</f>
        <v/>
      </c>
      <c r="AO21" s="402">
        <f>ConLoan!AO$27</f>
        <v/>
      </c>
      <c r="AP21" s="402">
        <f>ConLoan!AP$27</f>
        <v/>
      </c>
      <c r="AQ21" s="402">
        <f>ConLoan!AQ$27</f>
        <v/>
      </c>
      <c r="AR21" s="402">
        <f>ConLoan!AR$27</f>
        <v/>
      </c>
      <c r="AS21" s="402">
        <f>ConLoan!AS$27</f>
        <v/>
      </c>
      <c r="AT21" s="402">
        <f>ConLoan!AT$27</f>
        <v/>
      </c>
      <c r="AU21" s="402">
        <f>ConLoan!AU$27</f>
        <v/>
      </c>
      <c r="AV21" s="402">
        <f>ConLoan!AV$27</f>
        <v/>
      </c>
      <c r="AW21" s="402">
        <f>ConLoan!AW$27</f>
        <v/>
      </c>
      <c r="AX21" s="402">
        <f>ConLoan!AX$27</f>
        <v/>
      </c>
      <c r="AY21" s="402">
        <f>ConLoan!AY$27</f>
        <v/>
      </c>
      <c r="AZ21" s="402">
        <f>ConLoan!AZ$27</f>
        <v/>
      </c>
      <c r="BA21" s="402">
        <f>ConLoan!BA$27</f>
        <v/>
      </c>
      <c r="BB21" s="402">
        <f>ConLoan!BB$27</f>
        <v/>
      </c>
      <c r="BC21" s="402">
        <f>ConLoan!BC$27</f>
        <v/>
      </c>
      <c r="BD21" s="402">
        <f>ConLoan!BD$27</f>
        <v/>
      </c>
      <c r="BE21" s="402">
        <f>ConLoan!BE$27</f>
        <v/>
      </c>
      <c r="BF21" s="402">
        <f>ConLoan!BF$27</f>
        <v/>
      </c>
      <c r="BG21" s="402">
        <f>ConLoan!BG$27</f>
        <v/>
      </c>
      <c r="BH21" s="402">
        <f>ConLoan!BH$27</f>
        <v/>
      </c>
      <c r="BI21" s="402">
        <f>ConLoan!BI$27</f>
        <v/>
      </c>
      <c r="BJ21" s="402">
        <f>ConLoan!BJ$27</f>
        <v/>
      </c>
      <c r="BK21" s="402">
        <f>ConLoan!BK$27</f>
        <v/>
      </c>
      <c r="BL21" s="402">
        <f>ConLoan!BL$27</f>
        <v/>
      </c>
      <c r="BM21" s="402">
        <f>ConLoan!BM$27</f>
        <v/>
      </c>
      <c r="BN21" s="402">
        <f>ConLoan!BN$27</f>
        <v/>
      </c>
      <c r="BO21" s="402">
        <f>ConLoan!BO$27</f>
        <v/>
      </c>
      <c r="BP21" s="402">
        <f>ConLoan!BP$27</f>
        <v/>
      </c>
      <c r="BQ21" s="402">
        <f>ConLoan!BQ$27</f>
        <v/>
      </c>
      <c r="BR21" s="402">
        <f>ConLoan!BR$27</f>
        <v/>
      </c>
      <c r="BS21" s="402">
        <f>ConLoan!BS$27</f>
        <v/>
      </c>
      <c r="BT21" s="402">
        <f>ConLoan!BT$27</f>
        <v/>
      </c>
      <c r="BU21" s="402">
        <f>ConLoan!BU$27</f>
        <v/>
      </c>
      <c r="BV21" s="402">
        <f>ConLoan!BV$27</f>
        <v/>
      </c>
      <c r="BW21" s="402">
        <f>ConLoan!BW$27</f>
        <v/>
      </c>
      <c r="BX21" s="402">
        <f>ConLoan!BX$27</f>
        <v/>
      </c>
      <c r="BY21" s="402">
        <f>ConLoan!BY$27</f>
        <v/>
      </c>
      <c r="BZ21" s="402">
        <f>ConLoan!BZ$27</f>
        <v/>
      </c>
      <c r="CA21" s="402">
        <f>ConLoan!CA$27</f>
        <v/>
      </c>
      <c r="CB21" s="402">
        <f>ConLoan!CB$27</f>
        <v/>
      </c>
      <c r="CC21" s="402">
        <f>ConLoan!CC$27</f>
        <v/>
      </c>
      <c r="CD21" s="402">
        <f>ConLoan!CD$27</f>
        <v/>
      </c>
      <c r="CE21" s="402">
        <f>ConLoan!CE$27</f>
        <v/>
      </c>
      <c r="CF21" s="402">
        <f>ConLoan!CF$27</f>
        <v/>
      </c>
      <c r="CG21" s="402">
        <f>ConLoan!CG$27</f>
        <v/>
      </c>
      <c r="CH21" s="402">
        <f>ConLoan!CH$27</f>
        <v/>
      </c>
      <c r="CI21" s="402">
        <f>ConLoan!CI$27</f>
        <v/>
      </c>
      <c r="CJ21" s="402">
        <f>ConLoan!CJ$27</f>
        <v/>
      </c>
      <c r="CK21" s="402">
        <f>ConLoan!CK$27</f>
        <v/>
      </c>
      <c r="CL21" s="402">
        <f>ConLoan!CL$27</f>
        <v/>
      </c>
      <c r="CM21" s="402">
        <f>ConLoan!CM$27</f>
        <v/>
      </c>
      <c r="CN21" s="402">
        <f>ConLoan!CN$27</f>
        <v/>
      </c>
      <c r="CO21" s="402">
        <f>ConLoan!CO$27</f>
        <v/>
      </c>
      <c r="CP21" s="402">
        <f>ConLoan!CP$27</f>
        <v/>
      </c>
      <c r="CQ21" s="402">
        <f>ConLoan!CQ$27</f>
        <v/>
      </c>
      <c r="CR21" s="402">
        <f>ConLoan!CR$27</f>
        <v/>
      </c>
      <c r="CS21" s="402">
        <f>ConLoan!CS$27</f>
        <v/>
      </c>
      <c r="CT21" s="402">
        <f>ConLoan!CT$27</f>
        <v/>
      </c>
      <c r="CU21" s="402">
        <f>ConLoan!CU$27</f>
        <v/>
      </c>
      <c r="CV21" s="402">
        <f>ConLoan!CV$27</f>
        <v/>
      </c>
      <c r="CW21" s="402">
        <f>ConLoan!CW$27</f>
        <v/>
      </c>
      <c r="CX21" s="402">
        <f>ConLoan!CX$27</f>
        <v/>
      </c>
      <c r="CY21" s="402">
        <f>ConLoan!CY$27</f>
        <v/>
      </c>
      <c r="CZ21" s="402">
        <f>ConLoan!CZ$27</f>
        <v/>
      </c>
      <c r="DA21" s="402">
        <f>ConLoan!DA$27</f>
        <v/>
      </c>
      <c r="DB21" s="402">
        <f>ConLoan!DB$27</f>
        <v/>
      </c>
      <c r="DC21" s="402">
        <f>ConLoan!DC$27</f>
        <v/>
      </c>
      <c r="DD21" s="402">
        <f>ConLoan!DD$27</f>
        <v/>
      </c>
      <c r="DE21" s="402">
        <f>ConLoan!DE$27</f>
        <v/>
      </c>
      <c r="DF21" s="402">
        <f>ConLoan!DF$27</f>
        <v/>
      </c>
      <c r="DG21" s="402">
        <f>ConLoan!DG$27</f>
        <v/>
      </c>
      <c r="DH21" s="402">
        <f>ConLoan!DH$27</f>
        <v/>
      </c>
      <c r="DI21" s="402">
        <f>ConLoan!DI$27</f>
        <v/>
      </c>
      <c r="DJ21" s="402">
        <f>ConLoan!DJ$27</f>
        <v/>
      </c>
      <c r="DK21" s="402">
        <f>ConLoan!DK$27</f>
        <v/>
      </c>
      <c r="DL21" s="402">
        <f>ConLoan!DL$27</f>
        <v/>
      </c>
      <c r="DM21" s="402">
        <f>ConLoan!DM$27</f>
        <v/>
      </c>
      <c r="DN21" s="402">
        <f>ConLoan!DN$27</f>
        <v/>
      </c>
      <c r="DO21" s="402">
        <f>ConLoan!DO$27</f>
        <v/>
      </c>
      <c r="DP21" s="402">
        <f>ConLoan!DP$27</f>
        <v/>
      </c>
      <c r="DQ21" s="402">
        <f>ConLoan!DQ$27</f>
        <v/>
      </c>
      <c r="DR21" s="402">
        <f>ConLoan!DR$27</f>
        <v/>
      </c>
      <c r="DS21" s="402">
        <f>ConLoan!DS$27</f>
        <v/>
      </c>
      <c r="DT21" s="402">
        <f>ConLoan!DT$27</f>
        <v/>
      </c>
      <c r="DU21" s="402">
        <f>ConLoan!DU$27</f>
        <v/>
      </c>
      <c r="DV21" s="402">
        <f>ConLoan!DV$27</f>
        <v/>
      </c>
      <c r="DW21" s="402">
        <f>ConLoan!DW$27</f>
        <v/>
      </c>
      <c r="DX21" s="402">
        <f>ConLoan!DX$27</f>
        <v/>
      </c>
      <c r="DY21" s="402">
        <f>ConLoan!DY$27</f>
        <v/>
      </c>
      <c r="DZ21" s="402">
        <f>ConLoan!DZ$27</f>
        <v/>
      </c>
      <c r="EA21" s="402">
        <f>ConLoan!EA$27</f>
        <v/>
      </c>
      <c r="EB21" s="402">
        <f>ConLoan!EB$27</f>
        <v/>
      </c>
      <c r="EC21" s="402">
        <f>ConLoan!EC$27</f>
        <v/>
      </c>
      <c r="ED21" s="402">
        <f>ConLoan!ED$27</f>
        <v/>
      </c>
      <c r="EE21" s="402">
        <f>ConLoan!EE$27</f>
        <v/>
      </c>
      <c r="EF21" s="402">
        <f>ConLoan!EF$27</f>
        <v/>
      </c>
      <c r="EG21" s="402">
        <f>ConLoan!EG$27</f>
        <v/>
      </c>
      <c r="EH21" s="402">
        <f>ConLoan!EH$27</f>
        <v/>
      </c>
      <c r="EI21" s="402">
        <f>ConLoan!EI$27</f>
        <v/>
      </c>
      <c r="EJ21" s="402">
        <f>ConLoan!EJ$27</f>
        <v/>
      </c>
      <c r="EK21" s="402">
        <f>ConLoan!EK$27</f>
        <v/>
      </c>
      <c r="EL21" s="402">
        <f>ConLoan!EL$27</f>
        <v/>
      </c>
      <c r="EM21" s="402">
        <f>ConLoan!EM$27</f>
        <v/>
      </c>
      <c r="EN21" s="402">
        <f>ConLoan!EN$27</f>
        <v/>
      </c>
      <c r="EO21" s="402">
        <f>ConLoan!EO$27</f>
        <v/>
      </c>
      <c r="EP21" s="402">
        <f>ConLoan!EP$27</f>
        <v/>
      </c>
      <c r="EQ21" s="402">
        <f>ConLoan!EQ$27</f>
        <v/>
      </c>
      <c r="ER21" s="402">
        <f>ConLoan!ER$27</f>
        <v/>
      </c>
      <c r="ES21" s="402">
        <f>ConLoan!ES$27</f>
        <v/>
      </c>
      <c r="ET21" s="402">
        <f>ConLoan!ET$27</f>
        <v/>
      </c>
      <c r="EU21" s="402">
        <f>ConLoan!EU$27</f>
        <v/>
      </c>
      <c r="EV21" s="402">
        <f>ConLoan!EV$27</f>
        <v/>
      </c>
      <c r="EW21" s="402">
        <f>ConLoan!EW$27</f>
        <v/>
      </c>
      <c r="EX21" s="402">
        <f>ConLoan!EX$27</f>
        <v/>
      </c>
      <c r="EY21" s="402">
        <f>ConLoan!EY$27</f>
        <v/>
      </c>
      <c r="EZ21" s="402">
        <f>ConLoan!EZ$27</f>
        <v/>
      </c>
      <c r="FA21" s="402">
        <f>ConLoan!FA$27</f>
        <v/>
      </c>
      <c r="FB21" s="402">
        <f>ConLoan!FB$27</f>
        <v/>
      </c>
      <c r="FC21" s="402">
        <f>ConLoan!FC$27</f>
        <v/>
      </c>
      <c r="FD21" s="402">
        <f>ConLoan!FD$27</f>
        <v/>
      </c>
      <c r="FE21" s="402">
        <f>ConLoan!FE$27</f>
        <v/>
      </c>
      <c r="FF21" s="402">
        <f>ConLoan!FF$27</f>
        <v/>
      </c>
      <c r="FG21" s="402">
        <f>ConLoan!FG$27</f>
        <v/>
      </c>
      <c r="FH21" s="402">
        <f>ConLoan!FH$27</f>
        <v/>
      </c>
      <c r="FI21" s="402">
        <f>ConLoan!FI$27</f>
        <v/>
      </c>
      <c r="FJ21" s="402">
        <f>ConLoan!FJ$27</f>
        <v/>
      </c>
      <c r="FK21" s="402">
        <f>ConLoan!FK$27</f>
        <v/>
      </c>
      <c r="FL21" s="402">
        <f>ConLoan!FL$27</f>
        <v/>
      </c>
      <c r="FM21" s="402">
        <f>ConLoan!FM$27</f>
        <v/>
      </c>
      <c r="FN21" s="402">
        <f>ConLoan!FN$27</f>
        <v/>
      </c>
      <c r="FO21" s="402">
        <f>ConLoan!FO$27</f>
        <v/>
      </c>
      <c r="FP21" s="402">
        <f>ConLoan!FP$27</f>
        <v/>
      </c>
      <c r="FQ21" s="402">
        <f>ConLoan!FQ$27</f>
        <v/>
      </c>
      <c r="FR21" s="402">
        <f>ConLoan!FR$27</f>
        <v/>
      </c>
      <c r="FS21" s="402">
        <f>ConLoan!FS$27</f>
        <v/>
      </c>
      <c r="FT21" s="402">
        <f>ConLoan!FT$27</f>
        <v/>
      </c>
      <c r="FU21" s="402">
        <f>ConLoan!FU$27</f>
        <v/>
      </c>
      <c r="FV21" s="402">
        <f>ConLoan!FV$27</f>
        <v/>
      </c>
      <c r="FW21" s="402">
        <f>ConLoan!FW$27</f>
        <v/>
      </c>
      <c r="FX21" s="402">
        <f>ConLoan!FX$27</f>
        <v/>
      </c>
      <c r="FY21" s="402">
        <f>ConLoan!FY$27</f>
        <v/>
      </c>
      <c r="FZ21" s="402">
        <f>ConLoan!FZ$27</f>
        <v/>
      </c>
      <c r="GA21" s="402">
        <f>ConLoan!GA$27</f>
        <v/>
      </c>
      <c r="GB21" s="402">
        <f>ConLoan!GB$27</f>
        <v/>
      </c>
      <c r="GC21" s="402">
        <f>ConLoan!GC$27</f>
        <v/>
      </c>
      <c r="GD21" s="402">
        <f>ConLoan!GD$27</f>
        <v/>
      </c>
      <c r="GE21" s="402">
        <f>ConLoan!GE$27</f>
        <v/>
      </c>
      <c r="GF21" s="402">
        <f>ConLoan!GF$27</f>
        <v/>
      </c>
      <c r="GG21" s="402">
        <f>ConLoan!GG$27</f>
        <v/>
      </c>
      <c r="GH21" s="402">
        <f>ConLoan!GH$27</f>
        <v/>
      </c>
      <c r="GI21" s="402">
        <f>ConLoan!GI$27</f>
        <v/>
      </c>
      <c r="GJ21" s="402">
        <f>ConLoan!GJ$27</f>
        <v/>
      </c>
      <c r="GK21" s="402">
        <f>ConLoan!GK$27</f>
        <v/>
      </c>
      <c r="GL21" s="402">
        <f>ConLoan!GL$27</f>
        <v/>
      </c>
      <c r="GM21" s="402">
        <f>ConLoan!GM$27</f>
        <v/>
      </c>
      <c r="GN21" s="402">
        <f>ConLoan!GN$27</f>
        <v/>
      </c>
      <c r="GO21" s="402">
        <f>ConLoan!GO$27</f>
        <v/>
      </c>
      <c r="GP21" s="402">
        <f>ConLoan!GP$27</f>
        <v/>
      </c>
      <c r="GQ21" s="402">
        <f>ConLoan!GQ$27</f>
        <v/>
      </c>
      <c r="GR21" s="402">
        <f>ConLoan!GR$27</f>
        <v/>
      </c>
      <c r="GS21" s="402">
        <f>ConLoan!GS$27</f>
        <v/>
      </c>
      <c r="GT21" s="402">
        <f>ConLoan!GT$27</f>
        <v/>
      </c>
      <c r="GU21" s="402">
        <f>ConLoan!GU$27</f>
        <v/>
      </c>
      <c r="GV21" s="402">
        <f>ConLoan!GV$27</f>
        <v/>
      </c>
      <c r="GW21" s="402">
        <f>ConLoan!GW$27</f>
        <v/>
      </c>
      <c r="GX21" s="402">
        <f>ConLoan!GX$27</f>
        <v/>
      </c>
      <c r="GY21" s="402">
        <f>ConLoan!GY$27</f>
        <v/>
      </c>
      <c r="GZ21" s="402">
        <f>ConLoan!GZ$27</f>
        <v/>
      </c>
      <c r="HA21" s="402">
        <f>ConLoan!HA$27</f>
        <v/>
      </c>
      <c r="HB21" s="402">
        <f>ConLoan!HB$27</f>
        <v/>
      </c>
      <c r="HC21" s="402">
        <f>ConLoan!HC$27</f>
        <v/>
      </c>
      <c r="HD21" s="402">
        <f>ConLoan!HD$27</f>
        <v/>
      </c>
      <c r="HE21" s="402">
        <f>ConLoan!HE$27</f>
        <v/>
      </c>
      <c r="HF21" s="402">
        <f>ConLoan!HF$27</f>
        <v/>
      </c>
      <c r="HG21" s="402">
        <f>ConLoan!HG$27</f>
        <v/>
      </c>
      <c r="HH21" s="402">
        <f>ConLoan!HH$27</f>
        <v/>
      </c>
      <c r="HI21" s="402">
        <f>ConLoan!HI$27</f>
        <v/>
      </c>
      <c r="HJ21" s="402">
        <f>ConLoan!HJ$27</f>
        <v/>
      </c>
      <c r="HK21" s="402">
        <f>ConLoan!HK$27</f>
        <v/>
      </c>
      <c r="HL21" s="402">
        <f>ConLoan!HL$27</f>
        <v/>
      </c>
      <c r="HM21" s="402">
        <f>ConLoan!HM$27</f>
        <v/>
      </c>
      <c r="HN21" s="402">
        <f>ConLoan!HN$27</f>
        <v/>
      </c>
      <c r="HO21" s="402">
        <f>ConLoan!HO$27</f>
        <v/>
      </c>
      <c r="HP21" s="402">
        <f>ConLoan!HP$27</f>
        <v/>
      </c>
      <c r="HQ21" s="402">
        <f>ConLoan!HQ$27</f>
        <v/>
      </c>
      <c r="HR21" s="402">
        <f>ConLoan!HR$27</f>
        <v/>
      </c>
      <c r="HS21" s="402">
        <f>ConLoan!HS$27</f>
        <v/>
      </c>
      <c r="HT21" s="402">
        <f>ConLoan!HT$27</f>
        <v/>
      </c>
      <c r="HU21" s="402">
        <f>ConLoan!HU$27</f>
        <v/>
      </c>
      <c r="HV21" s="402">
        <f>ConLoan!HV$27</f>
        <v/>
      </c>
      <c r="HW21" s="402">
        <f>ConLoan!HW$27</f>
        <v/>
      </c>
      <c r="HX21" s="402">
        <f>ConLoan!HX$27</f>
        <v/>
      </c>
      <c r="HY21" s="402">
        <f>ConLoan!HY$27</f>
        <v/>
      </c>
      <c r="HZ21" s="402">
        <f>ConLoan!HZ$27</f>
        <v/>
      </c>
      <c r="IA21" s="402">
        <f>ConLoan!IA$27</f>
        <v/>
      </c>
      <c r="IB21" s="402">
        <f>ConLoan!IB$27</f>
        <v/>
      </c>
      <c r="IC21" s="402">
        <f>ConLoan!IC$27</f>
        <v/>
      </c>
      <c r="ID21" s="402">
        <f>ConLoan!ID$27</f>
        <v/>
      </c>
      <c r="IE21" s="402">
        <f>ConLoan!IE$27</f>
        <v/>
      </c>
      <c r="IF21" s="402">
        <f>ConLoan!IF$27</f>
        <v/>
      </c>
      <c r="IG21" s="402">
        <f>ConLoan!IG$27</f>
        <v/>
      </c>
      <c r="IH21" s="402">
        <f>ConLoan!IH$27</f>
        <v/>
      </c>
      <c r="II21" s="402">
        <f>ConLoan!II$27</f>
        <v/>
      </c>
      <c r="IJ21" s="402">
        <f>ConLoan!IJ$27</f>
        <v/>
      </c>
      <c r="IK21" s="402">
        <f>ConLoan!IK$27</f>
        <v/>
      </c>
      <c r="IL21" s="402">
        <f>ConLoan!IL$27</f>
        <v/>
      </c>
      <c r="IM21" s="402">
        <f>ConLoan!IM$27</f>
        <v/>
      </c>
      <c r="IN21" s="402">
        <f>ConLoan!IN$27</f>
        <v/>
      </c>
      <c r="IO21" s="402">
        <f>ConLoan!IO$27</f>
        <v/>
      </c>
      <c r="IP21" s="402">
        <f>ConLoan!IP$27</f>
        <v/>
      </c>
      <c r="IQ21" s="402">
        <f>ConLoan!IQ$27</f>
        <v/>
      </c>
      <c r="IR21" s="402">
        <f>ConLoan!IR$27</f>
        <v/>
      </c>
      <c r="IS21" s="402">
        <f>ConLoan!IS$27</f>
        <v/>
      </c>
      <c r="IT21" s="402">
        <f>ConLoan!IT$27</f>
        <v/>
      </c>
      <c r="IU21" s="402">
        <f>ConLoan!IU$27</f>
        <v/>
      </c>
      <c r="IV21" s="402">
        <f>ConLoan!IV$27</f>
        <v/>
      </c>
      <c r="IW21" s="402">
        <f>ConLoan!IW$27</f>
        <v/>
      </c>
      <c r="IX21" s="402">
        <f>ConLoan!IX$27</f>
        <v/>
      </c>
      <c r="IY21" s="402">
        <f>ConLoan!IY$27</f>
        <v/>
      </c>
      <c r="IZ21" s="402">
        <f>ConLoan!IZ$27</f>
        <v/>
      </c>
      <c r="JA21" s="402">
        <f>ConLoan!JA$27</f>
        <v/>
      </c>
      <c r="JB21" s="402">
        <f>ConLoan!JB$27</f>
        <v/>
      </c>
      <c r="JC21" s="402">
        <f>ConLoan!JC$27</f>
        <v/>
      </c>
      <c r="JD21" s="402">
        <f>ConLoan!JD$27</f>
        <v/>
      </c>
      <c r="JE21" s="402">
        <f>ConLoan!JE$27</f>
        <v/>
      </c>
      <c r="JF21" s="402">
        <f>ConLoan!JF$27</f>
        <v/>
      </c>
      <c r="JG21" s="402">
        <f>ConLoan!JG$27</f>
        <v/>
      </c>
      <c r="JH21" s="402">
        <f>ConLoan!JH$27</f>
        <v/>
      </c>
      <c r="JI21" s="402">
        <f>ConLoan!JI$27</f>
        <v/>
      </c>
      <c r="JJ21" s="402">
        <f>ConLoan!JJ$27</f>
        <v/>
      </c>
      <c r="JK21" s="402">
        <f>ConLoan!JK$27</f>
        <v/>
      </c>
      <c r="JL21" s="402">
        <f>ConLoan!JL$27</f>
        <v/>
      </c>
      <c r="JM21" s="402">
        <f>ConLoan!JM$27</f>
        <v/>
      </c>
      <c r="JN21" s="402">
        <f>ConLoan!JN$27</f>
        <v/>
      </c>
      <c r="JO21" s="402">
        <f>ConLoan!JO$27</f>
        <v/>
      </c>
      <c r="JP21" s="402">
        <f>ConLoan!JP$27</f>
        <v/>
      </c>
      <c r="JQ21" s="402">
        <f>ConLoan!JQ$27</f>
        <v/>
      </c>
      <c r="JR21" s="402">
        <f>ConLoan!JR$27</f>
        <v/>
      </c>
      <c r="JS21" s="402">
        <f>ConLoan!JS$27</f>
        <v/>
      </c>
      <c r="JT21" s="402">
        <f>ConLoan!JT$27</f>
        <v/>
      </c>
      <c r="JU21" s="402">
        <f>ConLoan!JU$27</f>
        <v/>
      </c>
      <c r="JV21" s="402">
        <f>ConLoan!JV$27</f>
        <v/>
      </c>
      <c r="JW21" s="402">
        <f>ConLoan!JW$27</f>
        <v/>
      </c>
      <c r="JX21" s="402">
        <f>ConLoan!JX$27</f>
        <v/>
      </c>
      <c r="JY21" s="402">
        <f>ConLoan!JY$27</f>
        <v/>
      </c>
      <c r="JZ21" s="402">
        <f>ConLoan!JZ$27</f>
        <v/>
      </c>
      <c r="KA21" s="402">
        <f>ConLoan!KA$27</f>
        <v/>
      </c>
      <c r="KB21" s="402">
        <f>ConLoan!KB$27</f>
        <v/>
      </c>
      <c r="KC21" s="402">
        <f>ConLoan!KC$27</f>
        <v/>
      </c>
      <c r="KD21" s="402">
        <f>ConLoan!KD$27</f>
        <v/>
      </c>
      <c r="KE21" s="402">
        <f>ConLoan!KE$27</f>
        <v/>
      </c>
      <c r="KF21" s="402">
        <f>ConLoan!KF$27</f>
        <v/>
      </c>
      <c r="KG21" s="402">
        <f>ConLoan!KG$27</f>
        <v/>
      </c>
      <c r="KH21" s="402">
        <f>ConLoan!KH$27</f>
        <v/>
      </c>
      <c r="KI21" s="402">
        <f>ConLoan!KI$27</f>
        <v/>
      </c>
      <c r="KJ21" s="402">
        <f>ConLoan!KJ$27</f>
        <v/>
      </c>
      <c r="KK21" s="402">
        <f>ConLoan!KK$27</f>
        <v/>
      </c>
      <c r="KL21" s="402">
        <f>ConLoan!KL$27</f>
        <v/>
      </c>
      <c r="KM21" s="402">
        <f>ConLoan!KM$27</f>
        <v/>
      </c>
      <c r="KN21" s="402">
        <f>ConLoan!KN$27</f>
        <v/>
      </c>
      <c r="KO21" s="402">
        <f>ConLoan!KO$27</f>
        <v/>
      </c>
      <c r="KP21" s="402">
        <f>ConLoan!KP$27</f>
        <v/>
      </c>
      <c r="KQ21" s="402">
        <f>ConLoan!KQ$27</f>
        <v/>
      </c>
      <c r="KR21" s="402">
        <f>ConLoan!KR$27</f>
        <v/>
      </c>
      <c r="KS21" s="402">
        <f>ConLoan!KS$27</f>
        <v/>
      </c>
      <c r="KT21" s="402">
        <f>ConLoan!KT$27</f>
        <v/>
      </c>
      <c r="KU21" s="402">
        <f>ConLoan!KU$27</f>
        <v/>
      </c>
      <c r="KV21" s="402">
        <f>ConLoan!KV$27</f>
        <v/>
      </c>
      <c r="KW21" s="402">
        <f>ConLoan!KW$27</f>
        <v/>
      </c>
      <c r="KX21" s="402">
        <f>ConLoan!KX$27</f>
        <v/>
      </c>
      <c r="KY21" s="402">
        <f>ConLoan!KY$27</f>
        <v/>
      </c>
      <c r="KZ21" s="402">
        <f>ConLoan!KZ$27</f>
        <v/>
      </c>
      <c r="LA21" s="402">
        <f>ConLoan!LA$27</f>
        <v/>
      </c>
      <c r="LB21" s="402">
        <f>ConLoan!LB$27</f>
        <v/>
      </c>
      <c r="LC21" s="402">
        <f>ConLoan!LC$27</f>
        <v/>
      </c>
      <c r="LD21" s="402">
        <f>ConLoan!LD$27</f>
        <v/>
      </c>
      <c r="LE21" s="402">
        <f>ConLoan!LE$27</f>
        <v/>
      </c>
      <c r="LF21" s="402">
        <f>ConLoan!LF$27</f>
        <v/>
      </c>
      <c r="LG21" s="402">
        <f>ConLoan!LG$27</f>
        <v/>
      </c>
      <c r="LH21" s="402">
        <f>ConLoan!LH$27</f>
        <v/>
      </c>
      <c r="LI21" s="402">
        <f>ConLoan!LI$27</f>
        <v/>
      </c>
      <c r="LJ21" s="402">
        <f>ConLoan!LJ$27</f>
        <v/>
      </c>
      <c r="LK21" s="402">
        <f>ConLoan!LK$27</f>
        <v/>
      </c>
      <c r="LL21" s="402">
        <f>ConLoan!LL$27</f>
        <v/>
      </c>
      <c r="LM21" s="402">
        <f>ConLoan!LM$27</f>
        <v/>
      </c>
      <c r="LN21" s="402">
        <f>ConLoan!LN$27</f>
        <v/>
      </c>
      <c r="LO21" s="402">
        <f>ConLoan!LO$27</f>
        <v/>
      </c>
      <c r="LP21" s="402">
        <f>ConLoan!LP$27</f>
        <v/>
      </c>
      <c r="LQ21" s="402">
        <f>ConLoan!LQ$27</f>
        <v/>
      </c>
      <c r="LR21" s="402">
        <f>ConLoan!LR$27</f>
        <v/>
      </c>
      <c r="LS21" s="402">
        <f>ConLoan!LS$27</f>
        <v/>
      </c>
      <c r="LT21" s="402">
        <f>ConLoan!LT$27</f>
        <v/>
      </c>
      <c r="LU21" s="402">
        <f>ConLoan!LU$27</f>
        <v/>
      </c>
      <c r="LV21" s="402">
        <f>ConLoan!LV$27</f>
        <v/>
      </c>
      <c r="LW21" s="402">
        <f>ConLoan!LW$27</f>
        <v/>
      </c>
      <c r="LX21" s="402">
        <f>ConLoan!LX$27</f>
        <v/>
      </c>
      <c r="LY21" s="402">
        <f>ConLoan!LY$27</f>
        <v/>
      </c>
      <c r="LZ21" s="402">
        <f>ConLoan!LZ$27</f>
        <v/>
      </c>
      <c r="MA21" s="402">
        <f>ConLoan!MA$27</f>
        <v/>
      </c>
      <c r="MB21" s="402">
        <f>ConLoan!MB$27</f>
        <v/>
      </c>
      <c r="MC21" s="402">
        <f>ConLoan!MC$27</f>
        <v/>
      </c>
      <c r="MD21" s="402">
        <f>ConLoan!MD$27</f>
        <v/>
      </c>
      <c r="ME21" s="402">
        <f>ConLoan!ME$27</f>
        <v/>
      </c>
      <c r="MF21" s="402">
        <f>ConLoan!MF$27</f>
        <v/>
      </c>
      <c r="MG21" s="402">
        <f>ConLoan!MG$27</f>
        <v/>
      </c>
      <c r="MH21" s="402">
        <f>ConLoan!MH$27</f>
        <v/>
      </c>
      <c r="MI21" s="402">
        <f>ConLoan!MI$27</f>
        <v/>
      </c>
      <c r="MJ21" s="402">
        <f>ConLoan!MJ$27</f>
        <v/>
      </c>
      <c r="MK21" s="402">
        <f>ConLoan!MK$27</f>
        <v/>
      </c>
      <c r="ML21" s="402">
        <f>ConLoan!ML$27</f>
        <v/>
      </c>
      <c r="MM21" s="402">
        <f>ConLoan!MM$27</f>
        <v/>
      </c>
      <c r="MN21" s="402">
        <f>ConLoan!MN$27</f>
        <v/>
      </c>
      <c r="MO21" s="402">
        <f>ConLoan!MO$27</f>
        <v/>
      </c>
      <c r="MP21" s="402">
        <f>ConLoan!MP$27</f>
        <v/>
      </c>
      <c r="MQ21" s="402">
        <f>ConLoan!MQ$27</f>
        <v/>
      </c>
      <c r="MR21" s="402">
        <f>ConLoan!MR$27</f>
        <v/>
      </c>
      <c r="MS21" s="402">
        <f>ConLoan!MS$27</f>
        <v/>
      </c>
      <c r="MT21" s="402">
        <f>ConLoan!MT$27</f>
        <v/>
      </c>
      <c r="MU21" s="402">
        <f>ConLoan!MU$27</f>
        <v/>
      </c>
      <c r="MV21" s="402">
        <f>ConLoan!MV$27</f>
        <v/>
      </c>
      <c r="MW21" s="402">
        <f>ConLoan!MW$27</f>
        <v/>
      </c>
      <c r="MX21" s="402">
        <f>ConLoan!MX$27</f>
        <v/>
      </c>
      <c r="MY21" s="402">
        <f>ConLoan!MY$27</f>
        <v/>
      </c>
      <c r="MZ21" s="402">
        <f>ConLoan!MZ$27</f>
        <v/>
      </c>
      <c r="NA21" s="402">
        <f>ConLoan!NA$27</f>
        <v/>
      </c>
      <c r="NB21" s="402">
        <f>ConLoan!NB$27</f>
        <v/>
      </c>
      <c r="NC21" s="402">
        <f>ConLoan!NC$27</f>
        <v/>
      </c>
      <c r="ND21" s="402">
        <f>ConLoan!ND$27</f>
        <v/>
      </c>
      <c r="NE21" s="402">
        <f>ConLoan!NE$27</f>
        <v/>
      </c>
      <c r="NF21" s="402">
        <f>ConLoan!NF$27</f>
        <v/>
      </c>
      <c r="NG21" s="402">
        <f>ConLoan!NG$27</f>
        <v/>
      </c>
      <c r="NH21" s="402">
        <f>ConLoan!NH$27</f>
        <v/>
      </c>
      <c r="NI21" s="402">
        <f>ConLoan!NI$27</f>
        <v/>
      </c>
      <c r="NJ21" s="402">
        <f>ConLoan!NJ$27</f>
        <v/>
      </c>
      <c r="NK21" s="402">
        <f>ConLoan!NK$27</f>
        <v/>
      </c>
      <c r="NL21" s="402">
        <f>ConLoan!NL$27</f>
        <v/>
      </c>
    </row>
    <row r="22">
      <c r="B22" s="316" t="inlineStr">
        <is>
          <t>Refi Cash Distribution</t>
        </is>
      </c>
      <c r="D22" s="402">
        <f>SUM(E22:NL22)</f>
        <v/>
      </c>
      <c r="E22" s="402">
        <f>IF(E$3=RefiMonth,RefiCashOut,0)</f>
        <v/>
      </c>
      <c r="F22" s="402">
        <f>IF(F$3=RefiMonth,RefiCashOut,0)</f>
        <v/>
      </c>
      <c r="G22" s="402">
        <f>IF(G$3=RefiMonth,RefiCashOut,0)</f>
        <v/>
      </c>
      <c r="H22" s="402">
        <f>IF(H$3=RefiMonth,RefiCashOut,0)</f>
        <v/>
      </c>
      <c r="I22" s="402">
        <f>IF(I$3=RefiMonth,RefiCashOut,0)</f>
        <v/>
      </c>
      <c r="J22" s="402">
        <f>IF(J$3=RefiMonth,RefiCashOut,0)</f>
        <v/>
      </c>
      <c r="K22" s="402">
        <f>IF(K$3=RefiMonth,RefiCashOut,0)</f>
        <v/>
      </c>
      <c r="L22" s="402">
        <f>IF(L$3=RefiMonth,RefiCashOut,0)</f>
        <v/>
      </c>
      <c r="M22" s="402">
        <f>IF(M$3=RefiMonth,RefiCashOut,0)</f>
        <v/>
      </c>
      <c r="N22" s="402">
        <f>IF(N$3=RefiMonth,RefiCashOut,0)</f>
        <v/>
      </c>
      <c r="O22" s="402">
        <f>IF(O$3=RefiMonth,RefiCashOut,0)</f>
        <v/>
      </c>
      <c r="P22" s="402">
        <f>IF(P$3=RefiMonth,RefiCashOut,0)</f>
        <v/>
      </c>
      <c r="Q22" s="402">
        <f>IF(Q$3=RefiMonth,RefiCashOut,0)</f>
        <v/>
      </c>
      <c r="R22" s="402">
        <f>IF(R$3=RefiMonth,RefiCashOut,0)</f>
        <v/>
      </c>
      <c r="S22" s="402">
        <f>IF(S$3=RefiMonth,RefiCashOut,0)</f>
        <v/>
      </c>
      <c r="T22" s="402">
        <f>IF(T$3=RefiMonth,RefiCashOut,0)</f>
        <v/>
      </c>
      <c r="U22" s="402">
        <f>IF(U$3=RefiMonth,RefiCashOut,0)</f>
        <v/>
      </c>
      <c r="V22" s="402">
        <f>IF(V$3=RefiMonth,RefiCashOut,0)</f>
        <v/>
      </c>
      <c r="W22" s="402">
        <f>IF(W$3=RefiMonth,RefiCashOut,0)</f>
        <v/>
      </c>
      <c r="X22" s="402">
        <f>IF(X$3=RefiMonth,RefiCashOut,0)</f>
        <v/>
      </c>
      <c r="Y22" s="402">
        <f>IF(Y$3=RefiMonth,RefiCashOut,0)</f>
        <v/>
      </c>
      <c r="Z22" s="402">
        <f>IF(Z$3=RefiMonth,RefiCashOut,0)</f>
        <v/>
      </c>
      <c r="AA22" s="402">
        <f>IF(AA$3=RefiMonth,RefiCashOut,0)</f>
        <v/>
      </c>
      <c r="AB22" s="402">
        <f>IF(AB$3=RefiMonth,RefiCashOut,0)</f>
        <v/>
      </c>
      <c r="AC22" s="402">
        <f>IF(AC$3=RefiMonth,RefiCashOut,0)</f>
        <v/>
      </c>
      <c r="AD22" s="402">
        <f>IF(AD$3=RefiMonth,RefiCashOut,0)</f>
        <v/>
      </c>
      <c r="AE22" s="402">
        <f>IF(AE$3=RefiMonth,RefiCashOut,0)</f>
        <v/>
      </c>
      <c r="AF22" s="402">
        <f>IF(AF$3=RefiMonth,RefiCashOut,0)</f>
        <v/>
      </c>
      <c r="AG22" s="402">
        <f>IF(AG$3=RefiMonth,RefiCashOut,0)</f>
        <v/>
      </c>
      <c r="AH22" s="402">
        <f>IF(AH$3=RefiMonth,RefiCashOut,0)</f>
        <v/>
      </c>
      <c r="AI22" s="402">
        <f>IF(AI$3=RefiMonth,RefiCashOut,0)</f>
        <v/>
      </c>
      <c r="AJ22" s="402">
        <f>IF(AJ$3=RefiMonth,RefiCashOut,0)</f>
        <v/>
      </c>
      <c r="AK22" s="402">
        <f>IF(AK$3=RefiMonth,RefiCashOut,0)</f>
        <v/>
      </c>
      <c r="AL22" s="402">
        <f>IF(AL$3=RefiMonth,RefiCashOut,0)</f>
        <v/>
      </c>
      <c r="AM22" s="402">
        <f>IF(AM$3=RefiMonth,RefiCashOut,0)</f>
        <v/>
      </c>
      <c r="AN22" s="402">
        <f>IF(AN$3=RefiMonth,RefiCashOut,0)</f>
        <v/>
      </c>
      <c r="AO22" s="402">
        <f>IF(AO$3=RefiMonth,RefiCashOut,0)</f>
        <v/>
      </c>
      <c r="AP22" s="402">
        <f>IF(AP$3=RefiMonth,RefiCashOut,0)</f>
        <v/>
      </c>
      <c r="AQ22" s="402">
        <f>IF(AQ$3=RefiMonth,RefiCashOut,0)</f>
        <v/>
      </c>
      <c r="AR22" s="402">
        <f>IF(AR$3=RefiMonth,RefiCashOut,0)</f>
        <v/>
      </c>
      <c r="AS22" s="402">
        <f>IF(AS$3=RefiMonth,RefiCashOut,0)</f>
        <v/>
      </c>
      <c r="AT22" s="402">
        <f>IF(AT$3=RefiMonth,RefiCashOut,0)</f>
        <v/>
      </c>
      <c r="AU22" s="402">
        <f>IF(AU$3=RefiMonth,RefiCashOut,0)</f>
        <v/>
      </c>
      <c r="AV22" s="402">
        <f>IF(AV$3=RefiMonth,RefiCashOut,0)</f>
        <v/>
      </c>
      <c r="AW22" s="402">
        <f>IF(AW$3=RefiMonth,RefiCashOut,0)</f>
        <v/>
      </c>
      <c r="AX22" s="402">
        <f>IF(AX$3=RefiMonth,RefiCashOut,0)</f>
        <v/>
      </c>
      <c r="AY22" s="402">
        <f>IF(AY$3=RefiMonth,RefiCashOut,0)</f>
        <v/>
      </c>
      <c r="AZ22" s="402">
        <f>IF(AZ$3=RefiMonth,RefiCashOut,0)</f>
        <v/>
      </c>
      <c r="BA22" s="402">
        <f>IF(BA$3=RefiMonth,RefiCashOut,0)</f>
        <v/>
      </c>
      <c r="BB22" s="402">
        <f>IF(BB$3=RefiMonth,RefiCashOut,0)</f>
        <v/>
      </c>
      <c r="BC22" s="402">
        <f>IF(BC$3=RefiMonth,RefiCashOut,0)</f>
        <v/>
      </c>
      <c r="BD22" s="402">
        <f>IF(BD$3=RefiMonth,RefiCashOut,0)</f>
        <v/>
      </c>
      <c r="BE22" s="402">
        <f>IF(BE$3=RefiMonth,RefiCashOut,0)</f>
        <v/>
      </c>
      <c r="BF22" s="402">
        <f>IF(BF$3=RefiMonth,RefiCashOut,0)</f>
        <v/>
      </c>
      <c r="BG22" s="402">
        <f>IF(BG$3=RefiMonth,RefiCashOut,0)</f>
        <v/>
      </c>
      <c r="BH22" s="402">
        <f>IF(BH$3=RefiMonth,RefiCashOut,0)</f>
        <v/>
      </c>
      <c r="BI22" s="402">
        <f>IF(BI$3=RefiMonth,RefiCashOut,0)</f>
        <v/>
      </c>
      <c r="BJ22" s="402">
        <f>IF(BJ$3=RefiMonth,RefiCashOut,0)</f>
        <v/>
      </c>
      <c r="BK22" s="402">
        <f>IF(BK$3=RefiMonth,RefiCashOut,0)</f>
        <v/>
      </c>
      <c r="BL22" s="402">
        <f>IF(BL$3=RefiMonth,RefiCashOut,0)</f>
        <v/>
      </c>
      <c r="BM22" s="402">
        <f>IF(BM$3=RefiMonth,RefiCashOut,0)</f>
        <v/>
      </c>
      <c r="BN22" s="402">
        <f>IF(BN$3=RefiMonth,RefiCashOut,0)</f>
        <v/>
      </c>
      <c r="BO22" s="402">
        <f>IF(BO$3=RefiMonth,RefiCashOut,0)</f>
        <v/>
      </c>
      <c r="BP22" s="402">
        <f>IF(BP$3=RefiMonth,RefiCashOut,0)</f>
        <v/>
      </c>
      <c r="BQ22" s="402">
        <f>IF(BQ$3=RefiMonth,RefiCashOut,0)</f>
        <v/>
      </c>
      <c r="BR22" s="402">
        <f>IF(BR$3=RefiMonth,RefiCashOut,0)</f>
        <v/>
      </c>
      <c r="BS22" s="402">
        <f>IF(BS$3=RefiMonth,RefiCashOut,0)</f>
        <v/>
      </c>
      <c r="BT22" s="402">
        <f>IF(BT$3=RefiMonth,RefiCashOut,0)</f>
        <v/>
      </c>
      <c r="BU22" s="402">
        <f>IF(BU$3=RefiMonth,RefiCashOut,0)</f>
        <v/>
      </c>
      <c r="BV22" s="402">
        <f>IF(BV$3=RefiMonth,RefiCashOut,0)</f>
        <v/>
      </c>
      <c r="BW22" s="402">
        <f>IF(BW$3=RefiMonth,RefiCashOut,0)</f>
        <v/>
      </c>
      <c r="BX22" s="402">
        <f>IF(BX$3=RefiMonth,RefiCashOut,0)</f>
        <v/>
      </c>
      <c r="BY22" s="402">
        <f>IF(BY$3=RefiMonth,RefiCashOut,0)</f>
        <v/>
      </c>
      <c r="BZ22" s="402">
        <f>IF(BZ$3=RefiMonth,RefiCashOut,0)</f>
        <v/>
      </c>
      <c r="CA22" s="402">
        <f>IF(CA$3=RefiMonth,RefiCashOut,0)</f>
        <v/>
      </c>
      <c r="CB22" s="402">
        <f>IF(CB$3=RefiMonth,RefiCashOut,0)</f>
        <v/>
      </c>
      <c r="CC22" s="402">
        <f>IF(CC$3=RefiMonth,RefiCashOut,0)</f>
        <v/>
      </c>
      <c r="CD22" s="402">
        <f>IF(CD$3=RefiMonth,RefiCashOut,0)</f>
        <v/>
      </c>
      <c r="CE22" s="402">
        <f>IF(CE$3=RefiMonth,RefiCashOut,0)</f>
        <v/>
      </c>
      <c r="CF22" s="402">
        <f>IF(CF$3=RefiMonth,RefiCashOut,0)</f>
        <v/>
      </c>
      <c r="CG22" s="402">
        <f>IF(CG$3=RefiMonth,RefiCashOut,0)</f>
        <v/>
      </c>
      <c r="CH22" s="402">
        <f>IF(CH$3=RefiMonth,RefiCashOut,0)</f>
        <v/>
      </c>
      <c r="CI22" s="402">
        <f>IF(CI$3=RefiMonth,RefiCashOut,0)</f>
        <v/>
      </c>
      <c r="CJ22" s="402">
        <f>IF(CJ$3=RefiMonth,RefiCashOut,0)</f>
        <v/>
      </c>
      <c r="CK22" s="402">
        <f>IF(CK$3=RefiMonth,RefiCashOut,0)</f>
        <v/>
      </c>
      <c r="CL22" s="402">
        <f>IF(CL$3=RefiMonth,RefiCashOut,0)</f>
        <v/>
      </c>
      <c r="CM22" s="402">
        <f>IF(CM$3=RefiMonth,RefiCashOut,0)</f>
        <v/>
      </c>
      <c r="CN22" s="402">
        <f>IF(CN$3=RefiMonth,RefiCashOut,0)</f>
        <v/>
      </c>
      <c r="CO22" s="402">
        <f>IF(CO$3=RefiMonth,RefiCashOut,0)</f>
        <v/>
      </c>
      <c r="CP22" s="402">
        <f>IF(CP$3=RefiMonth,RefiCashOut,0)</f>
        <v/>
      </c>
      <c r="CQ22" s="402">
        <f>IF(CQ$3=RefiMonth,RefiCashOut,0)</f>
        <v/>
      </c>
      <c r="CR22" s="402">
        <f>IF(CR$3=RefiMonth,RefiCashOut,0)</f>
        <v/>
      </c>
      <c r="CS22" s="402">
        <f>IF(CS$3=RefiMonth,RefiCashOut,0)</f>
        <v/>
      </c>
      <c r="CT22" s="402">
        <f>IF(CT$3=RefiMonth,RefiCashOut,0)</f>
        <v/>
      </c>
      <c r="CU22" s="402">
        <f>IF(CU$3=RefiMonth,RefiCashOut,0)</f>
        <v/>
      </c>
      <c r="CV22" s="402">
        <f>IF(CV$3=RefiMonth,RefiCashOut,0)</f>
        <v/>
      </c>
      <c r="CW22" s="402">
        <f>IF(CW$3=RefiMonth,RefiCashOut,0)</f>
        <v/>
      </c>
      <c r="CX22" s="402">
        <f>IF(CX$3=RefiMonth,RefiCashOut,0)</f>
        <v/>
      </c>
      <c r="CY22" s="402">
        <f>IF(CY$3=RefiMonth,RefiCashOut,0)</f>
        <v/>
      </c>
      <c r="CZ22" s="402">
        <f>IF(CZ$3=RefiMonth,RefiCashOut,0)</f>
        <v/>
      </c>
      <c r="DA22" s="402">
        <f>IF(DA$3=RefiMonth,RefiCashOut,0)</f>
        <v/>
      </c>
      <c r="DB22" s="402">
        <f>IF(DB$3=RefiMonth,RefiCashOut,0)</f>
        <v/>
      </c>
      <c r="DC22" s="402">
        <f>IF(DC$3=RefiMonth,RefiCashOut,0)</f>
        <v/>
      </c>
      <c r="DD22" s="402">
        <f>IF(DD$3=RefiMonth,RefiCashOut,0)</f>
        <v/>
      </c>
      <c r="DE22" s="402">
        <f>IF(DE$3=RefiMonth,RefiCashOut,0)</f>
        <v/>
      </c>
      <c r="DF22" s="402">
        <f>IF(DF$3=RefiMonth,RefiCashOut,0)</f>
        <v/>
      </c>
      <c r="DG22" s="402">
        <f>IF(DG$3=RefiMonth,RefiCashOut,0)</f>
        <v/>
      </c>
      <c r="DH22" s="402">
        <f>IF(DH$3=RefiMonth,RefiCashOut,0)</f>
        <v/>
      </c>
      <c r="DI22" s="402">
        <f>IF(DI$3=RefiMonth,RefiCashOut,0)</f>
        <v/>
      </c>
      <c r="DJ22" s="402">
        <f>IF(DJ$3=RefiMonth,RefiCashOut,0)</f>
        <v/>
      </c>
      <c r="DK22" s="402">
        <f>IF(DK$3=RefiMonth,RefiCashOut,0)</f>
        <v/>
      </c>
      <c r="DL22" s="402">
        <f>IF(DL$3=RefiMonth,RefiCashOut,0)</f>
        <v/>
      </c>
      <c r="DM22" s="402">
        <f>IF(DM$3=RefiMonth,RefiCashOut,0)</f>
        <v/>
      </c>
      <c r="DN22" s="402">
        <f>IF(DN$3=RefiMonth,RefiCashOut,0)</f>
        <v/>
      </c>
      <c r="DO22" s="402">
        <f>IF(DO$3=RefiMonth,RefiCashOut,0)</f>
        <v/>
      </c>
      <c r="DP22" s="402">
        <f>IF(DP$3=RefiMonth,RefiCashOut,0)</f>
        <v/>
      </c>
      <c r="DQ22" s="402">
        <f>IF(DQ$3=RefiMonth,RefiCashOut,0)</f>
        <v/>
      </c>
      <c r="DR22" s="402">
        <f>IF(DR$3=RefiMonth,RefiCashOut,0)</f>
        <v/>
      </c>
      <c r="DS22" s="402">
        <f>IF(DS$3=RefiMonth,RefiCashOut,0)</f>
        <v/>
      </c>
      <c r="DT22" s="402">
        <f>IF(DT$3=RefiMonth,RefiCashOut,0)</f>
        <v/>
      </c>
      <c r="DU22" s="402">
        <f>IF(DU$3=RefiMonth,RefiCashOut,0)</f>
        <v/>
      </c>
      <c r="DV22" s="402">
        <f>IF(DV$3=RefiMonth,RefiCashOut,0)</f>
        <v/>
      </c>
      <c r="DW22" s="402">
        <f>IF(DW$3=RefiMonth,RefiCashOut,0)</f>
        <v/>
      </c>
      <c r="DX22" s="402">
        <f>IF(DX$3=RefiMonth,RefiCashOut,0)</f>
        <v/>
      </c>
      <c r="DY22" s="402">
        <f>IF(DY$3=RefiMonth,RefiCashOut,0)</f>
        <v/>
      </c>
      <c r="DZ22" s="402">
        <f>IF(DZ$3=RefiMonth,RefiCashOut,0)</f>
        <v/>
      </c>
      <c r="EA22" s="402">
        <f>IF(EA$3=RefiMonth,RefiCashOut,0)</f>
        <v/>
      </c>
      <c r="EB22" s="402">
        <f>IF(EB$3=RefiMonth,RefiCashOut,0)</f>
        <v/>
      </c>
      <c r="EC22" s="402">
        <f>IF(EC$3=RefiMonth,RefiCashOut,0)</f>
        <v/>
      </c>
      <c r="ED22" s="402">
        <f>IF(ED$3=RefiMonth,RefiCashOut,0)</f>
        <v/>
      </c>
      <c r="EE22" s="402">
        <f>IF(EE$3=RefiMonth,RefiCashOut,0)</f>
        <v/>
      </c>
      <c r="EF22" s="402">
        <f>IF(EF$3=RefiMonth,RefiCashOut,0)</f>
        <v/>
      </c>
      <c r="EG22" s="402">
        <f>IF(EG$3=RefiMonth,RefiCashOut,0)</f>
        <v/>
      </c>
      <c r="EH22" s="402">
        <f>IF(EH$3=RefiMonth,RefiCashOut,0)</f>
        <v/>
      </c>
      <c r="EI22" s="402">
        <f>IF(EI$3=RefiMonth,RefiCashOut,0)</f>
        <v/>
      </c>
      <c r="EJ22" s="402">
        <f>IF(EJ$3=RefiMonth,RefiCashOut,0)</f>
        <v/>
      </c>
      <c r="EK22" s="402">
        <f>IF(EK$3=RefiMonth,RefiCashOut,0)</f>
        <v/>
      </c>
      <c r="EL22" s="402">
        <f>IF(EL$3=RefiMonth,RefiCashOut,0)</f>
        <v/>
      </c>
      <c r="EM22" s="402">
        <f>IF(EM$3=RefiMonth,RefiCashOut,0)</f>
        <v/>
      </c>
      <c r="EN22" s="402">
        <f>IF(EN$3=RefiMonth,RefiCashOut,0)</f>
        <v/>
      </c>
      <c r="EO22" s="402">
        <f>IF(EO$3=RefiMonth,RefiCashOut,0)</f>
        <v/>
      </c>
      <c r="EP22" s="402">
        <f>IF(EP$3=RefiMonth,RefiCashOut,0)</f>
        <v/>
      </c>
      <c r="EQ22" s="402">
        <f>IF(EQ$3=RefiMonth,RefiCashOut,0)</f>
        <v/>
      </c>
      <c r="ER22" s="402">
        <f>IF(ER$3=RefiMonth,RefiCashOut,0)</f>
        <v/>
      </c>
      <c r="ES22" s="402">
        <f>IF(ES$3=RefiMonth,RefiCashOut,0)</f>
        <v/>
      </c>
      <c r="ET22" s="402">
        <f>IF(ET$3=RefiMonth,RefiCashOut,0)</f>
        <v/>
      </c>
      <c r="EU22" s="402">
        <f>IF(EU$3=RefiMonth,RefiCashOut,0)</f>
        <v/>
      </c>
      <c r="EV22" s="402">
        <f>IF(EV$3=RefiMonth,RefiCashOut,0)</f>
        <v/>
      </c>
      <c r="EW22" s="402">
        <f>IF(EW$3=RefiMonth,RefiCashOut,0)</f>
        <v/>
      </c>
      <c r="EX22" s="402">
        <f>IF(EX$3=RefiMonth,RefiCashOut,0)</f>
        <v/>
      </c>
      <c r="EY22" s="402">
        <f>IF(EY$3=RefiMonth,RefiCashOut,0)</f>
        <v/>
      </c>
      <c r="EZ22" s="402">
        <f>IF(EZ$3=RefiMonth,RefiCashOut,0)</f>
        <v/>
      </c>
      <c r="FA22" s="402">
        <f>IF(FA$3=RefiMonth,RefiCashOut,0)</f>
        <v/>
      </c>
      <c r="FB22" s="402">
        <f>IF(FB$3=RefiMonth,RefiCashOut,0)</f>
        <v/>
      </c>
      <c r="FC22" s="402">
        <f>IF(FC$3=RefiMonth,RefiCashOut,0)</f>
        <v/>
      </c>
      <c r="FD22" s="402">
        <f>IF(FD$3=RefiMonth,RefiCashOut,0)</f>
        <v/>
      </c>
      <c r="FE22" s="402">
        <f>IF(FE$3=RefiMonth,RefiCashOut,0)</f>
        <v/>
      </c>
      <c r="FF22" s="402">
        <f>IF(FF$3=RefiMonth,RefiCashOut,0)</f>
        <v/>
      </c>
      <c r="FG22" s="402">
        <f>IF(FG$3=RefiMonth,RefiCashOut,0)</f>
        <v/>
      </c>
      <c r="FH22" s="402">
        <f>IF(FH$3=RefiMonth,RefiCashOut,0)</f>
        <v/>
      </c>
      <c r="FI22" s="402">
        <f>IF(FI$3=RefiMonth,RefiCashOut,0)</f>
        <v/>
      </c>
      <c r="FJ22" s="402">
        <f>IF(FJ$3=RefiMonth,RefiCashOut,0)</f>
        <v/>
      </c>
      <c r="FK22" s="402">
        <f>IF(FK$3=RefiMonth,RefiCashOut,0)</f>
        <v/>
      </c>
      <c r="FL22" s="402">
        <f>IF(FL$3=RefiMonth,RefiCashOut,0)</f>
        <v/>
      </c>
      <c r="FM22" s="402">
        <f>IF(FM$3=RefiMonth,RefiCashOut,0)</f>
        <v/>
      </c>
      <c r="FN22" s="402">
        <f>IF(FN$3=RefiMonth,RefiCashOut,0)</f>
        <v/>
      </c>
      <c r="FO22" s="402">
        <f>IF(FO$3=RefiMonth,RefiCashOut,0)</f>
        <v/>
      </c>
      <c r="FP22" s="402">
        <f>IF(FP$3=RefiMonth,RefiCashOut,0)</f>
        <v/>
      </c>
      <c r="FQ22" s="402">
        <f>IF(FQ$3=RefiMonth,RefiCashOut,0)</f>
        <v/>
      </c>
      <c r="FR22" s="402">
        <f>IF(FR$3=RefiMonth,RefiCashOut,0)</f>
        <v/>
      </c>
      <c r="FS22" s="402">
        <f>IF(FS$3=RefiMonth,RefiCashOut,0)</f>
        <v/>
      </c>
      <c r="FT22" s="402">
        <f>IF(FT$3=RefiMonth,RefiCashOut,0)</f>
        <v/>
      </c>
      <c r="FU22" s="402">
        <f>IF(FU$3=RefiMonth,RefiCashOut,0)</f>
        <v/>
      </c>
      <c r="FV22" s="402">
        <f>IF(FV$3=RefiMonth,RefiCashOut,0)</f>
        <v/>
      </c>
      <c r="FW22" s="402">
        <f>IF(FW$3=RefiMonth,RefiCashOut,0)</f>
        <v/>
      </c>
      <c r="FX22" s="402">
        <f>IF(FX$3=RefiMonth,RefiCashOut,0)</f>
        <v/>
      </c>
      <c r="FY22" s="402">
        <f>IF(FY$3=RefiMonth,RefiCashOut,0)</f>
        <v/>
      </c>
      <c r="FZ22" s="402">
        <f>IF(FZ$3=RefiMonth,RefiCashOut,0)</f>
        <v/>
      </c>
      <c r="GA22" s="402">
        <f>IF(GA$3=RefiMonth,RefiCashOut,0)</f>
        <v/>
      </c>
      <c r="GB22" s="402">
        <f>IF(GB$3=RefiMonth,RefiCashOut,0)</f>
        <v/>
      </c>
      <c r="GC22" s="402">
        <f>IF(GC$3=RefiMonth,RefiCashOut,0)</f>
        <v/>
      </c>
      <c r="GD22" s="402">
        <f>IF(GD$3=RefiMonth,RefiCashOut,0)</f>
        <v/>
      </c>
      <c r="GE22" s="402">
        <f>IF(GE$3=RefiMonth,RefiCashOut,0)</f>
        <v/>
      </c>
      <c r="GF22" s="402">
        <f>IF(GF$3=RefiMonth,RefiCashOut,0)</f>
        <v/>
      </c>
      <c r="GG22" s="402">
        <f>IF(GG$3=RefiMonth,RefiCashOut,0)</f>
        <v/>
      </c>
      <c r="GH22" s="402">
        <f>IF(GH$3=RefiMonth,RefiCashOut,0)</f>
        <v/>
      </c>
      <c r="GI22" s="402">
        <f>IF(GI$3=RefiMonth,RefiCashOut,0)</f>
        <v/>
      </c>
      <c r="GJ22" s="402">
        <f>IF(GJ$3=RefiMonth,RefiCashOut,0)</f>
        <v/>
      </c>
      <c r="GK22" s="402">
        <f>IF(GK$3=RefiMonth,RefiCashOut,0)</f>
        <v/>
      </c>
      <c r="GL22" s="402">
        <f>IF(GL$3=RefiMonth,RefiCashOut,0)</f>
        <v/>
      </c>
      <c r="GM22" s="402">
        <f>IF(GM$3=RefiMonth,RefiCashOut,0)</f>
        <v/>
      </c>
      <c r="GN22" s="402">
        <f>IF(GN$3=RefiMonth,RefiCashOut,0)</f>
        <v/>
      </c>
      <c r="GO22" s="402">
        <f>IF(GO$3=RefiMonth,RefiCashOut,0)</f>
        <v/>
      </c>
      <c r="GP22" s="402">
        <f>IF(GP$3=RefiMonth,RefiCashOut,0)</f>
        <v/>
      </c>
      <c r="GQ22" s="402">
        <f>IF(GQ$3=RefiMonth,RefiCashOut,0)</f>
        <v/>
      </c>
      <c r="GR22" s="402">
        <f>IF(GR$3=RefiMonth,RefiCashOut,0)</f>
        <v/>
      </c>
      <c r="GS22" s="402">
        <f>IF(GS$3=RefiMonth,RefiCashOut,0)</f>
        <v/>
      </c>
      <c r="GT22" s="402">
        <f>IF(GT$3=RefiMonth,RefiCashOut,0)</f>
        <v/>
      </c>
      <c r="GU22" s="402">
        <f>IF(GU$3=RefiMonth,RefiCashOut,0)</f>
        <v/>
      </c>
      <c r="GV22" s="402">
        <f>IF(GV$3=RefiMonth,RefiCashOut,0)</f>
        <v/>
      </c>
      <c r="GW22" s="402">
        <f>IF(GW$3=RefiMonth,RefiCashOut,0)</f>
        <v/>
      </c>
      <c r="GX22" s="402">
        <f>IF(GX$3=RefiMonth,RefiCashOut,0)</f>
        <v/>
      </c>
      <c r="GY22" s="402">
        <f>IF(GY$3=RefiMonth,RefiCashOut,0)</f>
        <v/>
      </c>
      <c r="GZ22" s="402">
        <f>IF(GZ$3=RefiMonth,RefiCashOut,0)</f>
        <v/>
      </c>
      <c r="HA22" s="402">
        <f>IF(HA$3=RefiMonth,RefiCashOut,0)</f>
        <v/>
      </c>
      <c r="HB22" s="402">
        <f>IF(HB$3=RefiMonth,RefiCashOut,0)</f>
        <v/>
      </c>
      <c r="HC22" s="402">
        <f>IF(HC$3=RefiMonth,RefiCashOut,0)</f>
        <v/>
      </c>
      <c r="HD22" s="402">
        <f>IF(HD$3=RefiMonth,RefiCashOut,0)</f>
        <v/>
      </c>
      <c r="HE22" s="402">
        <f>IF(HE$3=RefiMonth,RefiCashOut,0)</f>
        <v/>
      </c>
      <c r="HF22" s="402">
        <f>IF(HF$3=RefiMonth,RefiCashOut,0)</f>
        <v/>
      </c>
      <c r="HG22" s="402">
        <f>IF(HG$3=RefiMonth,RefiCashOut,0)</f>
        <v/>
      </c>
      <c r="HH22" s="402">
        <f>IF(HH$3=RefiMonth,RefiCashOut,0)</f>
        <v/>
      </c>
      <c r="HI22" s="402">
        <f>IF(HI$3=RefiMonth,RefiCashOut,0)</f>
        <v/>
      </c>
      <c r="HJ22" s="402">
        <f>IF(HJ$3=RefiMonth,RefiCashOut,0)</f>
        <v/>
      </c>
      <c r="HK22" s="402">
        <f>IF(HK$3=RefiMonth,RefiCashOut,0)</f>
        <v/>
      </c>
      <c r="HL22" s="402">
        <f>IF(HL$3=RefiMonth,RefiCashOut,0)</f>
        <v/>
      </c>
      <c r="HM22" s="402">
        <f>IF(HM$3=RefiMonth,RefiCashOut,0)</f>
        <v/>
      </c>
      <c r="HN22" s="402">
        <f>IF(HN$3=RefiMonth,RefiCashOut,0)</f>
        <v/>
      </c>
      <c r="HO22" s="402">
        <f>IF(HO$3=RefiMonth,RefiCashOut,0)</f>
        <v/>
      </c>
      <c r="HP22" s="402">
        <f>IF(HP$3=RefiMonth,RefiCashOut,0)</f>
        <v/>
      </c>
      <c r="HQ22" s="402">
        <f>IF(HQ$3=RefiMonth,RefiCashOut,0)</f>
        <v/>
      </c>
      <c r="HR22" s="402">
        <f>IF(HR$3=RefiMonth,RefiCashOut,0)</f>
        <v/>
      </c>
      <c r="HS22" s="402">
        <f>IF(HS$3=RefiMonth,RefiCashOut,0)</f>
        <v/>
      </c>
      <c r="HT22" s="402">
        <f>IF(HT$3=RefiMonth,RefiCashOut,0)</f>
        <v/>
      </c>
      <c r="HU22" s="402">
        <f>IF(HU$3=RefiMonth,RefiCashOut,0)</f>
        <v/>
      </c>
      <c r="HV22" s="402">
        <f>IF(HV$3=RefiMonth,RefiCashOut,0)</f>
        <v/>
      </c>
      <c r="HW22" s="402">
        <f>IF(HW$3=RefiMonth,RefiCashOut,0)</f>
        <v/>
      </c>
      <c r="HX22" s="402">
        <f>IF(HX$3=RefiMonth,RefiCashOut,0)</f>
        <v/>
      </c>
      <c r="HY22" s="402">
        <f>IF(HY$3=RefiMonth,RefiCashOut,0)</f>
        <v/>
      </c>
      <c r="HZ22" s="402">
        <f>IF(HZ$3=RefiMonth,RefiCashOut,0)</f>
        <v/>
      </c>
      <c r="IA22" s="402">
        <f>IF(IA$3=RefiMonth,RefiCashOut,0)</f>
        <v/>
      </c>
      <c r="IB22" s="402">
        <f>IF(IB$3=RefiMonth,RefiCashOut,0)</f>
        <v/>
      </c>
      <c r="IC22" s="402">
        <f>IF(IC$3=RefiMonth,RefiCashOut,0)</f>
        <v/>
      </c>
      <c r="ID22" s="402">
        <f>IF(ID$3=RefiMonth,RefiCashOut,0)</f>
        <v/>
      </c>
      <c r="IE22" s="402">
        <f>IF(IE$3=RefiMonth,RefiCashOut,0)</f>
        <v/>
      </c>
      <c r="IF22" s="402">
        <f>IF(IF$3=RefiMonth,RefiCashOut,0)</f>
        <v/>
      </c>
      <c r="IG22" s="402">
        <f>IF(IG$3=RefiMonth,RefiCashOut,0)</f>
        <v/>
      </c>
      <c r="IH22" s="402">
        <f>IF(IH$3=RefiMonth,RefiCashOut,0)</f>
        <v/>
      </c>
      <c r="II22" s="402">
        <f>IF(II$3=RefiMonth,RefiCashOut,0)</f>
        <v/>
      </c>
      <c r="IJ22" s="402">
        <f>IF(IJ$3=RefiMonth,RefiCashOut,0)</f>
        <v/>
      </c>
      <c r="IK22" s="402">
        <f>IF(IK$3=RefiMonth,RefiCashOut,0)</f>
        <v/>
      </c>
      <c r="IL22" s="402">
        <f>IF(IL$3=RefiMonth,RefiCashOut,0)</f>
        <v/>
      </c>
      <c r="IM22" s="402">
        <f>IF(IM$3=RefiMonth,RefiCashOut,0)</f>
        <v/>
      </c>
      <c r="IN22" s="402">
        <f>IF(IN$3=RefiMonth,RefiCashOut,0)</f>
        <v/>
      </c>
      <c r="IO22" s="402">
        <f>IF(IO$3=RefiMonth,RefiCashOut,0)</f>
        <v/>
      </c>
      <c r="IP22" s="402">
        <f>IF(IP$3=RefiMonth,RefiCashOut,0)</f>
        <v/>
      </c>
      <c r="IQ22" s="402">
        <f>IF(IQ$3=RefiMonth,RefiCashOut,0)</f>
        <v/>
      </c>
      <c r="IR22" s="402">
        <f>IF(IR$3=RefiMonth,RefiCashOut,0)</f>
        <v/>
      </c>
      <c r="IS22" s="402">
        <f>IF(IS$3=RefiMonth,RefiCashOut,0)</f>
        <v/>
      </c>
      <c r="IT22" s="402">
        <f>IF(IT$3=RefiMonth,RefiCashOut,0)</f>
        <v/>
      </c>
      <c r="IU22" s="402">
        <f>IF(IU$3=RefiMonth,RefiCashOut,0)</f>
        <v/>
      </c>
      <c r="IV22" s="402">
        <f>IF(IV$3=RefiMonth,RefiCashOut,0)</f>
        <v/>
      </c>
      <c r="IW22" s="402">
        <f>IF(IW$3=RefiMonth,RefiCashOut,0)</f>
        <v/>
      </c>
      <c r="IX22" s="402">
        <f>IF(IX$3=RefiMonth,RefiCashOut,0)</f>
        <v/>
      </c>
      <c r="IY22" s="402">
        <f>IF(IY$3=RefiMonth,RefiCashOut,0)</f>
        <v/>
      </c>
      <c r="IZ22" s="402">
        <f>IF(IZ$3=RefiMonth,RefiCashOut,0)</f>
        <v/>
      </c>
      <c r="JA22" s="402">
        <f>IF(JA$3=RefiMonth,RefiCashOut,0)</f>
        <v/>
      </c>
      <c r="JB22" s="402">
        <f>IF(JB$3=RefiMonth,RefiCashOut,0)</f>
        <v/>
      </c>
      <c r="JC22" s="402">
        <f>IF(JC$3=RefiMonth,RefiCashOut,0)</f>
        <v/>
      </c>
      <c r="JD22" s="402">
        <f>IF(JD$3=RefiMonth,RefiCashOut,0)</f>
        <v/>
      </c>
      <c r="JE22" s="402">
        <f>IF(JE$3=RefiMonth,RefiCashOut,0)</f>
        <v/>
      </c>
      <c r="JF22" s="402">
        <f>IF(JF$3=RefiMonth,RefiCashOut,0)</f>
        <v/>
      </c>
      <c r="JG22" s="402">
        <f>IF(JG$3=RefiMonth,RefiCashOut,0)</f>
        <v/>
      </c>
      <c r="JH22" s="402">
        <f>IF(JH$3=RefiMonth,RefiCashOut,0)</f>
        <v/>
      </c>
      <c r="JI22" s="402">
        <f>IF(JI$3=RefiMonth,RefiCashOut,0)</f>
        <v/>
      </c>
      <c r="JJ22" s="402">
        <f>IF(JJ$3=RefiMonth,RefiCashOut,0)</f>
        <v/>
      </c>
      <c r="JK22" s="402">
        <f>IF(JK$3=RefiMonth,RefiCashOut,0)</f>
        <v/>
      </c>
      <c r="JL22" s="402">
        <f>IF(JL$3=RefiMonth,RefiCashOut,0)</f>
        <v/>
      </c>
      <c r="JM22" s="402">
        <f>IF(JM$3=RefiMonth,RefiCashOut,0)</f>
        <v/>
      </c>
      <c r="JN22" s="402">
        <f>IF(JN$3=RefiMonth,RefiCashOut,0)</f>
        <v/>
      </c>
      <c r="JO22" s="402">
        <f>IF(JO$3=RefiMonth,RefiCashOut,0)</f>
        <v/>
      </c>
      <c r="JP22" s="402">
        <f>IF(JP$3=RefiMonth,RefiCashOut,0)</f>
        <v/>
      </c>
      <c r="JQ22" s="402">
        <f>IF(JQ$3=RefiMonth,RefiCashOut,0)</f>
        <v/>
      </c>
      <c r="JR22" s="402">
        <f>IF(JR$3=RefiMonth,RefiCashOut,0)</f>
        <v/>
      </c>
      <c r="JS22" s="402">
        <f>IF(JS$3=RefiMonth,RefiCashOut,0)</f>
        <v/>
      </c>
      <c r="JT22" s="402">
        <f>IF(JT$3=RefiMonth,RefiCashOut,0)</f>
        <v/>
      </c>
      <c r="JU22" s="402">
        <f>IF(JU$3=RefiMonth,RefiCashOut,0)</f>
        <v/>
      </c>
      <c r="JV22" s="402">
        <f>IF(JV$3=RefiMonth,RefiCashOut,0)</f>
        <v/>
      </c>
      <c r="JW22" s="402">
        <f>IF(JW$3=RefiMonth,RefiCashOut,0)</f>
        <v/>
      </c>
      <c r="JX22" s="402">
        <f>IF(JX$3=RefiMonth,RefiCashOut,0)</f>
        <v/>
      </c>
      <c r="JY22" s="402">
        <f>IF(JY$3=RefiMonth,RefiCashOut,0)</f>
        <v/>
      </c>
      <c r="JZ22" s="402">
        <f>IF(JZ$3=RefiMonth,RefiCashOut,0)</f>
        <v/>
      </c>
      <c r="KA22" s="402">
        <f>IF(KA$3=RefiMonth,RefiCashOut,0)</f>
        <v/>
      </c>
      <c r="KB22" s="402">
        <f>IF(KB$3=RefiMonth,RefiCashOut,0)</f>
        <v/>
      </c>
      <c r="KC22" s="402">
        <f>IF(KC$3=RefiMonth,RefiCashOut,0)</f>
        <v/>
      </c>
      <c r="KD22" s="402">
        <f>IF(KD$3=RefiMonth,RefiCashOut,0)</f>
        <v/>
      </c>
      <c r="KE22" s="402">
        <f>IF(KE$3=RefiMonth,RefiCashOut,0)</f>
        <v/>
      </c>
      <c r="KF22" s="402">
        <f>IF(KF$3=RefiMonth,RefiCashOut,0)</f>
        <v/>
      </c>
      <c r="KG22" s="402">
        <f>IF(KG$3=RefiMonth,RefiCashOut,0)</f>
        <v/>
      </c>
      <c r="KH22" s="402">
        <f>IF(KH$3=RefiMonth,RefiCashOut,0)</f>
        <v/>
      </c>
      <c r="KI22" s="402">
        <f>IF(KI$3=RefiMonth,RefiCashOut,0)</f>
        <v/>
      </c>
      <c r="KJ22" s="402">
        <f>IF(KJ$3=RefiMonth,RefiCashOut,0)</f>
        <v/>
      </c>
      <c r="KK22" s="402">
        <f>IF(KK$3=RefiMonth,RefiCashOut,0)</f>
        <v/>
      </c>
      <c r="KL22" s="402">
        <f>IF(KL$3=RefiMonth,RefiCashOut,0)</f>
        <v/>
      </c>
      <c r="KM22" s="402">
        <f>IF(KM$3=RefiMonth,RefiCashOut,0)</f>
        <v/>
      </c>
      <c r="KN22" s="402">
        <f>IF(KN$3=RefiMonth,RefiCashOut,0)</f>
        <v/>
      </c>
      <c r="KO22" s="402">
        <f>IF(KO$3=RefiMonth,RefiCashOut,0)</f>
        <v/>
      </c>
      <c r="KP22" s="402">
        <f>IF(KP$3=RefiMonth,RefiCashOut,0)</f>
        <v/>
      </c>
      <c r="KQ22" s="402">
        <f>IF(KQ$3=RefiMonth,RefiCashOut,0)</f>
        <v/>
      </c>
      <c r="KR22" s="402">
        <f>IF(KR$3=RefiMonth,RefiCashOut,0)</f>
        <v/>
      </c>
      <c r="KS22" s="402">
        <f>IF(KS$3=RefiMonth,RefiCashOut,0)</f>
        <v/>
      </c>
      <c r="KT22" s="402">
        <f>IF(KT$3=RefiMonth,RefiCashOut,0)</f>
        <v/>
      </c>
      <c r="KU22" s="402">
        <f>IF(KU$3=RefiMonth,RefiCashOut,0)</f>
        <v/>
      </c>
      <c r="KV22" s="402">
        <f>IF(KV$3=RefiMonth,RefiCashOut,0)</f>
        <v/>
      </c>
      <c r="KW22" s="402">
        <f>IF(KW$3=RefiMonth,RefiCashOut,0)</f>
        <v/>
      </c>
      <c r="KX22" s="402">
        <f>IF(KX$3=RefiMonth,RefiCashOut,0)</f>
        <v/>
      </c>
      <c r="KY22" s="402">
        <f>IF(KY$3=RefiMonth,RefiCashOut,0)</f>
        <v/>
      </c>
      <c r="KZ22" s="402">
        <f>IF(KZ$3=RefiMonth,RefiCashOut,0)</f>
        <v/>
      </c>
      <c r="LA22" s="402">
        <f>IF(LA$3=RefiMonth,RefiCashOut,0)</f>
        <v/>
      </c>
      <c r="LB22" s="402">
        <f>IF(LB$3=RefiMonth,RefiCashOut,0)</f>
        <v/>
      </c>
      <c r="LC22" s="402">
        <f>IF(LC$3=RefiMonth,RefiCashOut,0)</f>
        <v/>
      </c>
      <c r="LD22" s="402">
        <f>IF(LD$3=RefiMonth,RefiCashOut,0)</f>
        <v/>
      </c>
      <c r="LE22" s="402">
        <f>IF(LE$3=RefiMonth,RefiCashOut,0)</f>
        <v/>
      </c>
      <c r="LF22" s="402">
        <f>IF(LF$3=RefiMonth,RefiCashOut,0)</f>
        <v/>
      </c>
      <c r="LG22" s="402">
        <f>IF(LG$3=RefiMonth,RefiCashOut,0)</f>
        <v/>
      </c>
      <c r="LH22" s="402">
        <f>IF(LH$3=RefiMonth,RefiCashOut,0)</f>
        <v/>
      </c>
      <c r="LI22" s="402">
        <f>IF(LI$3=RefiMonth,RefiCashOut,0)</f>
        <v/>
      </c>
      <c r="LJ22" s="402">
        <f>IF(LJ$3=RefiMonth,RefiCashOut,0)</f>
        <v/>
      </c>
      <c r="LK22" s="402">
        <f>IF(LK$3=RefiMonth,RefiCashOut,0)</f>
        <v/>
      </c>
      <c r="LL22" s="402">
        <f>IF(LL$3=RefiMonth,RefiCashOut,0)</f>
        <v/>
      </c>
      <c r="LM22" s="402">
        <f>IF(LM$3=RefiMonth,RefiCashOut,0)</f>
        <v/>
      </c>
      <c r="LN22" s="402">
        <f>IF(LN$3=RefiMonth,RefiCashOut,0)</f>
        <v/>
      </c>
      <c r="LO22" s="402">
        <f>IF(LO$3=RefiMonth,RefiCashOut,0)</f>
        <v/>
      </c>
      <c r="LP22" s="402">
        <f>IF(LP$3=RefiMonth,RefiCashOut,0)</f>
        <v/>
      </c>
      <c r="LQ22" s="402">
        <f>IF(LQ$3=RefiMonth,RefiCashOut,0)</f>
        <v/>
      </c>
      <c r="LR22" s="402">
        <f>IF(LR$3=RefiMonth,RefiCashOut,0)</f>
        <v/>
      </c>
      <c r="LS22" s="402">
        <f>IF(LS$3=RefiMonth,RefiCashOut,0)</f>
        <v/>
      </c>
      <c r="LT22" s="402">
        <f>IF(LT$3=RefiMonth,RefiCashOut,0)</f>
        <v/>
      </c>
      <c r="LU22" s="402">
        <f>IF(LU$3=RefiMonth,RefiCashOut,0)</f>
        <v/>
      </c>
      <c r="LV22" s="402">
        <f>IF(LV$3=RefiMonth,RefiCashOut,0)</f>
        <v/>
      </c>
      <c r="LW22" s="402">
        <f>IF(LW$3=RefiMonth,RefiCashOut,0)</f>
        <v/>
      </c>
      <c r="LX22" s="402">
        <f>IF(LX$3=RefiMonth,RefiCashOut,0)</f>
        <v/>
      </c>
      <c r="LY22" s="402">
        <f>IF(LY$3=RefiMonth,RefiCashOut,0)</f>
        <v/>
      </c>
      <c r="LZ22" s="402">
        <f>IF(LZ$3=RefiMonth,RefiCashOut,0)</f>
        <v/>
      </c>
      <c r="MA22" s="402">
        <f>IF(MA$3=RefiMonth,RefiCashOut,0)</f>
        <v/>
      </c>
      <c r="MB22" s="402">
        <f>IF(MB$3=RefiMonth,RefiCashOut,0)</f>
        <v/>
      </c>
      <c r="MC22" s="402">
        <f>IF(MC$3=RefiMonth,RefiCashOut,0)</f>
        <v/>
      </c>
      <c r="MD22" s="402">
        <f>IF(MD$3=RefiMonth,RefiCashOut,0)</f>
        <v/>
      </c>
      <c r="ME22" s="402">
        <f>IF(ME$3=RefiMonth,RefiCashOut,0)</f>
        <v/>
      </c>
      <c r="MF22" s="402">
        <f>IF(MF$3=RefiMonth,RefiCashOut,0)</f>
        <v/>
      </c>
      <c r="MG22" s="402">
        <f>IF(MG$3=RefiMonth,RefiCashOut,0)</f>
        <v/>
      </c>
      <c r="MH22" s="402">
        <f>IF(MH$3=RefiMonth,RefiCashOut,0)</f>
        <v/>
      </c>
      <c r="MI22" s="402">
        <f>IF(MI$3=RefiMonth,RefiCashOut,0)</f>
        <v/>
      </c>
      <c r="MJ22" s="402">
        <f>IF(MJ$3=RefiMonth,RefiCashOut,0)</f>
        <v/>
      </c>
      <c r="MK22" s="402">
        <f>IF(MK$3=RefiMonth,RefiCashOut,0)</f>
        <v/>
      </c>
      <c r="ML22" s="402">
        <f>IF(ML$3=RefiMonth,RefiCashOut,0)</f>
        <v/>
      </c>
      <c r="MM22" s="402">
        <f>IF(MM$3=RefiMonth,RefiCashOut,0)</f>
        <v/>
      </c>
      <c r="MN22" s="402">
        <f>IF(MN$3=RefiMonth,RefiCashOut,0)</f>
        <v/>
      </c>
      <c r="MO22" s="402">
        <f>IF(MO$3=RefiMonth,RefiCashOut,0)</f>
        <v/>
      </c>
      <c r="MP22" s="402">
        <f>IF(MP$3=RefiMonth,RefiCashOut,0)</f>
        <v/>
      </c>
      <c r="MQ22" s="402">
        <f>IF(MQ$3=RefiMonth,RefiCashOut,0)</f>
        <v/>
      </c>
      <c r="MR22" s="402">
        <f>IF(MR$3=RefiMonth,RefiCashOut,0)</f>
        <v/>
      </c>
      <c r="MS22" s="402">
        <f>IF(MS$3=RefiMonth,RefiCashOut,0)</f>
        <v/>
      </c>
      <c r="MT22" s="402">
        <f>IF(MT$3=RefiMonth,RefiCashOut,0)</f>
        <v/>
      </c>
      <c r="MU22" s="402">
        <f>IF(MU$3=RefiMonth,RefiCashOut,0)</f>
        <v/>
      </c>
      <c r="MV22" s="402">
        <f>IF(MV$3=RefiMonth,RefiCashOut,0)</f>
        <v/>
      </c>
      <c r="MW22" s="402">
        <f>IF(MW$3=RefiMonth,RefiCashOut,0)</f>
        <v/>
      </c>
      <c r="MX22" s="402">
        <f>IF(MX$3=RefiMonth,RefiCashOut,0)</f>
        <v/>
      </c>
      <c r="MY22" s="402">
        <f>IF(MY$3=RefiMonth,RefiCashOut,0)</f>
        <v/>
      </c>
      <c r="MZ22" s="402">
        <f>IF(MZ$3=RefiMonth,RefiCashOut,0)</f>
        <v/>
      </c>
      <c r="NA22" s="402">
        <f>IF(NA$3=RefiMonth,RefiCashOut,0)</f>
        <v/>
      </c>
      <c r="NB22" s="402">
        <f>IF(NB$3=RefiMonth,RefiCashOut,0)</f>
        <v/>
      </c>
      <c r="NC22" s="402">
        <f>IF(NC$3=RefiMonth,RefiCashOut,0)</f>
        <v/>
      </c>
      <c r="ND22" s="402">
        <f>IF(ND$3=RefiMonth,RefiCashOut,0)</f>
        <v/>
      </c>
      <c r="NE22" s="402">
        <f>IF(NE$3=RefiMonth,RefiCashOut,0)</f>
        <v/>
      </c>
      <c r="NF22" s="402">
        <f>IF(NF$3=RefiMonth,RefiCashOut,0)</f>
        <v/>
      </c>
      <c r="NG22" s="402">
        <f>IF(NG$3=RefiMonth,RefiCashOut,0)</f>
        <v/>
      </c>
      <c r="NH22" s="402">
        <f>IF(NH$3=RefiMonth,RefiCashOut,0)</f>
        <v/>
      </c>
      <c r="NI22" s="402">
        <f>IF(NI$3=RefiMonth,RefiCashOut,0)</f>
        <v/>
      </c>
      <c r="NJ22" s="402">
        <f>IF(NJ$3=RefiMonth,RefiCashOut,0)</f>
        <v/>
      </c>
      <c r="NK22" s="402">
        <f>IF(NK$3=RefiMonth,RefiCashOut,0)</f>
        <v/>
      </c>
      <c r="NL22" s="402">
        <f>IF(NL$3=RefiMonth,RefiCashOut,0)</f>
        <v/>
      </c>
    </row>
    <row r="23">
      <c r="B23" s="384" t="inlineStr">
        <is>
          <t>Operations</t>
        </is>
      </c>
      <c r="D23" s="401" t="inlineStr"/>
      <c r="E23" s="155" t="n"/>
      <c r="F23" s="155" t="n"/>
      <c r="G23" s="155" t="n"/>
      <c r="H23" s="155" t="n"/>
      <c r="I23" s="155" t="n"/>
      <c r="J23" s="155" t="n"/>
      <c r="K23" s="155" t="n"/>
      <c r="L23" s="155" t="n"/>
      <c r="M23" s="155" t="n"/>
      <c r="N23" s="155" t="n"/>
      <c r="O23" s="155" t="n"/>
      <c r="P23" s="155" t="n"/>
      <c r="Q23" s="155" t="n"/>
      <c r="R23" s="155" t="n"/>
      <c r="S23" s="155" t="n"/>
      <c r="T23" s="155" t="n"/>
      <c r="U23" s="155" t="n"/>
      <c r="V23" s="155" t="n"/>
      <c r="W23" s="155" t="n"/>
      <c r="X23" s="155" t="n"/>
      <c r="Y23" s="155" t="n"/>
      <c r="Z23" s="155" t="n"/>
      <c r="AA23" s="155" t="n"/>
      <c r="AB23" s="155" t="n"/>
      <c r="AC23" s="155" t="n"/>
      <c r="AD23" s="155" t="n"/>
      <c r="AE23" s="155" t="n"/>
      <c r="AF23" s="155" t="n"/>
      <c r="AG23" s="155" t="n"/>
      <c r="AH23" s="155" t="n"/>
      <c r="AI23" s="155" t="n"/>
      <c r="AJ23" s="155" t="n"/>
      <c r="AK23" s="155" t="n"/>
      <c r="AL23" s="155" t="n"/>
      <c r="AM23" s="155" t="n"/>
      <c r="AN23" s="155" t="n"/>
      <c r="AO23" s="155" t="n"/>
      <c r="AP23" s="155" t="n"/>
      <c r="AQ23" s="155" t="n"/>
      <c r="AR23" s="155" t="n"/>
      <c r="AS23" s="155" t="n"/>
      <c r="AT23" s="155" t="n"/>
      <c r="AU23" s="155" t="n"/>
      <c r="AV23" s="155" t="n"/>
      <c r="AW23" s="155" t="n"/>
      <c r="AX23" s="155" t="n"/>
      <c r="AY23" s="155" t="n"/>
      <c r="AZ23" s="155" t="n"/>
      <c r="BA23" s="155" t="n"/>
      <c r="BB23" s="155" t="n"/>
      <c r="BC23" s="155" t="n"/>
      <c r="BD23" s="155" t="n"/>
      <c r="BE23" s="155" t="n"/>
      <c r="BF23" s="155" t="n"/>
      <c r="BG23" s="155" t="n"/>
      <c r="BH23" s="155" t="n"/>
      <c r="BI23" s="155" t="n"/>
      <c r="BJ23" s="155" t="n"/>
      <c r="BK23" s="155" t="n"/>
      <c r="BL23" s="155" t="n"/>
      <c r="BM23" s="155" t="n"/>
      <c r="BN23" s="155" t="n"/>
      <c r="BO23" s="155" t="n"/>
      <c r="BP23" s="155" t="n"/>
      <c r="BQ23" s="155" t="n"/>
      <c r="BR23" s="155" t="n"/>
      <c r="BS23" s="155" t="n"/>
      <c r="BT23" s="155" t="n"/>
      <c r="BU23" s="155" t="n"/>
      <c r="BV23" s="155" t="n"/>
      <c r="BW23" s="155" t="n"/>
      <c r="BX23" s="155" t="n"/>
      <c r="BY23" s="155" t="n"/>
      <c r="BZ23" s="155" t="n"/>
      <c r="CA23" s="155" t="n"/>
      <c r="CB23" s="155" t="n"/>
      <c r="CC23" s="155" t="n"/>
      <c r="CD23" s="155" t="n"/>
      <c r="CE23" s="155" t="n"/>
      <c r="CF23" s="155" t="n"/>
      <c r="CG23" s="155" t="n"/>
      <c r="CH23" s="155" t="n"/>
      <c r="CI23" s="155" t="n"/>
      <c r="CJ23" s="155" t="n"/>
      <c r="CK23" s="155" t="n"/>
      <c r="CL23" s="155" t="n"/>
      <c r="CM23" s="155" t="n"/>
      <c r="CN23" s="155" t="n"/>
      <c r="CO23" s="155" t="n"/>
      <c r="CP23" s="155" t="n"/>
      <c r="CQ23" s="155" t="n"/>
      <c r="CR23" s="155" t="n"/>
      <c r="CS23" s="155" t="n"/>
      <c r="CT23" s="155" t="n"/>
      <c r="CU23" s="155" t="n"/>
      <c r="CV23" s="155" t="n"/>
      <c r="CW23" s="155" t="n"/>
      <c r="CX23" s="155" t="n"/>
      <c r="CY23" s="155" t="n"/>
      <c r="CZ23" s="155" t="n"/>
      <c r="DA23" s="155" t="n"/>
      <c r="DB23" s="155" t="n"/>
      <c r="DC23" s="155" t="n"/>
      <c r="DD23" s="155" t="n"/>
      <c r="DE23" s="155" t="n"/>
      <c r="DF23" s="155" t="n"/>
      <c r="DG23" s="155" t="n"/>
      <c r="DH23" s="155" t="n"/>
      <c r="DI23" s="155" t="n"/>
      <c r="DJ23" s="155" t="n"/>
      <c r="DK23" s="155" t="n"/>
      <c r="DL23" s="155" t="n"/>
      <c r="DM23" s="155" t="n"/>
      <c r="DN23" s="155" t="n"/>
      <c r="DO23" s="155" t="n"/>
      <c r="DP23" s="155" t="n"/>
      <c r="DQ23" s="155" t="n"/>
      <c r="DR23" s="155" t="n"/>
      <c r="DS23" s="155" t="n"/>
      <c r="DT23" s="155" t="n"/>
      <c r="DU23" s="155" t="n"/>
      <c r="DV23" s="155" t="n"/>
      <c r="DW23" s="155" t="n"/>
      <c r="DX23" s="155" t="n"/>
      <c r="DY23" s="155" t="n"/>
      <c r="DZ23" s="155" t="n"/>
      <c r="EA23" s="155" t="n"/>
      <c r="EB23" s="155" t="n"/>
      <c r="EC23" s="155" t="n"/>
      <c r="ED23" s="155" t="n"/>
      <c r="EE23" s="155" t="n"/>
      <c r="EF23" s="155" t="n"/>
      <c r="EG23" s="155" t="n"/>
      <c r="EH23" s="155" t="n"/>
      <c r="EI23" s="155" t="n"/>
      <c r="EJ23" s="155" t="n"/>
      <c r="EK23" s="155" t="n"/>
      <c r="EL23" s="155" t="n"/>
      <c r="EM23" s="155" t="n"/>
      <c r="EN23" s="155" t="n"/>
      <c r="EO23" s="155" t="n"/>
      <c r="EP23" s="155" t="n"/>
      <c r="EQ23" s="155" t="n"/>
      <c r="ER23" s="155" t="n"/>
      <c r="ES23" s="155" t="n"/>
      <c r="ET23" s="155" t="n"/>
      <c r="EU23" s="155" t="n"/>
      <c r="EV23" s="155" t="n"/>
      <c r="EW23" s="155" t="n"/>
      <c r="EX23" s="155" t="n"/>
      <c r="EY23" s="155" t="n"/>
      <c r="EZ23" s="155" t="n"/>
      <c r="FA23" s="155" t="n"/>
      <c r="FB23" s="155" t="n"/>
      <c r="FC23" s="155" t="n"/>
      <c r="FD23" s="155" t="n"/>
      <c r="FE23" s="155" t="n"/>
      <c r="FF23" s="155" t="n"/>
      <c r="FG23" s="155" t="n"/>
      <c r="FH23" s="155" t="n"/>
      <c r="FI23" s="155" t="n"/>
      <c r="FJ23" s="155" t="n"/>
      <c r="FK23" s="155" t="n"/>
      <c r="FL23" s="155" t="n"/>
      <c r="FM23" s="155" t="n"/>
      <c r="FN23" s="155" t="n"/>
      <c r="FO23" s="155" t="n"/>
      <c r="FP23" s="155" t="n"/>
      <c r="FQ23" s="155" t="n"/>
      <c r="FR23" s="155" t="n"/>
      <c r="FS23" s="155" t="n"/>
      <c r="FT23" s="155" t="n"/>
      <c r="FU23" s="155" t="n"/>
      <c r="FV23" s="155" t="n"/>
      <c r="FW23" s="155" t="n"/>
      <c r="FX23" s="155" t="n"/>
      <c r="FY23" s="155" t="n"/>
      <c r="FZ23" s="155" t="n"/>
      <c r="GA23" s="155" t="n"/>
      <c r="GB23" s="155" t="n"/>
      <c r="GC23" s="155" t="n"/>
      <c r="GD23" s="155" t="n"/>
      <c r="GE23" s="155" t="n"/>
      <c r="GF23" s="155" t="n"/>
      <c r="GG23" s="155" t="n"/>
      <c r="GH23" s="155" t="n"/>
      <c r="GI23" s="155" t="n"/>
      <c r="GJ23" s="155" t="n"/>
      <c r="GK23" s="155" t="n"/>
      <c r="GL23" s="155" t="n"/>
      <c r="GM23" s="155" t="n"/>
      <c r="GN23" s="155" t="n"/>
      <c r="GO23" s="155" t="n"/>
      <c r="GP23" s="155" t="n"/>
      <c r="GQ23" s="155" t="n"/>
      <c r="GR23" s="155" t="n"/>
      <c r="GS23" s="155" t="n"/>
      <c r="GT23" s="155" t="n"/>
      <c r="GU23" s="155" t="n"/>
      <c r="GV23" s="155" t="n"/>
      <c r="GW23" s="155" t="n"/>
      <c r="GX23" s="155" t="n"/>
      <c r="GY23" s="155" t="n"/>
      <c r="GZ23" s="155" t="n"/>
      <c r="HA23" s="155" t="n"/>
      <c r="HB23" s="155" t="n"/>
      <c r="HC23" s="155" t="n"/>
      <c r="HD23" s="155" t="n"/>
      <c r="HE23" s="155" t="n"/>
      <c r="HF23" s="155" t="n"/>
      <c r="HG23" s="155" t="n"/>
      <c r="HH23" s="155" t="n"/>
      <c r="HI23" s="155" t="n"/>
      <c r="HJ23" s="155" t="n"/>
      <c r="HK23" s="155" t="n"/>
      <c r="HL23" s="155" t="n"/>
      <c r="HM23" s="155" t="n"/>
      <c r="HN23" s="155" t="n"/>
      <c r="HO23" s="155" t="n"/>
      <c r="HP23" s="155" t="n"/>
      <c r="HQ23" s="155" t="n"/>
      <c r="HR23" s="155" t="n"/>
      <c r="HS23" s="155" t="n"/>
      <c r="HT23" s="155" t="n"/>
      <c r="HU23" s="155" t="n"/>
      <c r="HV23" s="155" t="n"/>
      <c r="HW23" s="155" t="n"/>
      <c r="HX23" s="155" t="n"/>
      <c r="HY23" s="155" t="n"/>
      <c r="HZ23" s="155" t="n"/>
      <c r="IA23" s="155" t="n"/>
      <c r="IB23" s="155" t="n"/>
      <c r="IC23" s="155" t="n"/>
      <c r="ID23" s="155" t="n"/>
      <c r="IE23" s="155" t="n"/>
      <c r="IF23" s="155" t="n"/>
      <c r="IG23" s="155" t="n"/>
      <c r="IH23" s="155" t="n"/>
      <c r="II23" s="155" t="n"/>
      <c r="IJ23" s="155" t="n"/>
      <c r="IK23" s="155" t="n"/>
      <c r="IL23" s="155" t="n"/>
      <c r="IM23" s="155" t="n"/>
      <c r="IN23" s="155" t="n"/>
      <c r="IO23" s="155" t="n"/>
      <c r="IP23" s="155" t="n"/>
      <c r="IQ23" s="155" t="n"/>
      <c r="IR23" s="155" t="n"/>
      <c r="IS23" s="155" t="n"/>
      <c r="IT23" s="155" t="n"/>
      <c r="IU23" s="155" t="n"/>
      <c r="IV23" s="155" t="n"/>
      <c r="IW23" s="155" t="n"/>
      <c r="IX23" s="155" t="n"/>
      <c r="IY23" s="155" t="n"/>
      <c r="IZ23" s="155" t="n"/>
      <c r="JA23" s="155" t="n"/>
      <c r="JB23" s="155" t="n"/>
      <c r="JC23" s="155" t="n"/>
      <c r="JD23" s="155" t="n"/>
      <c r="JE23" s="155" t="n"/>
      <c r="JF23" s="155" t="n"/>
      <c r="JG23" s="155" t="n"/>
      <c r="JH23" s="155" t="n"/>
      <c r="JI23" s="155" t="n"/>
      <c r="JJ23" s="155" t="n"/>
      <c r="JK23" s="155" t="n"/>
      <c r="JL23" s="155" t="n"/>
      <c r="JM23" s="155" t="n"/>
      <c r="JN23" s="155" t="n"/>
      <c r="JO23" s="155" t="n"/>
      <c r="JP23" s="155" t="n"/>
      <c r="JQ23" s="155" t="n"/>
      <c r="JR23" s="155" t="n"/>
      <c r="JS23" s="155" t="n"/>
      <c r="JT23" s="155" t="n"/>
      <c r="JU23" s="155" t="n"/>
      <c r="JV23" s="155" t="n"/>
      <c r="JW23" s="155" t="n"/>
      <c r="JX23" s="155" t="n"/>
      <c r="JY23" s="155" t="n"/>
      <c r="JZ23" s="155" t="n"/>
      <c r="KA23" s="155" t="n"/>
      <c r="KB23" s="155" t="n"/>
      <c r="KC23" s="155" t="n"/>
      <c r="KD23" s="155" t="n"/>
      <c r="KE23" s="155" t="n"/>
      <c r="KF23" s="155" t="n"/>
      <c r="KG23" s="155" t="n"/>
      <c r="KH23" s="155" t="n"/>
      <c r="KI23" s="155" t="n"/>
      <c r="KJ23" s="155" t="n"/>
      <c r="KK23" s="155" t="n"/>
      <c r="KL23" s="155" t="n"/>
      <c r="KM23" s="155" t="n"/>
      <c r="KN23" s="155" t="n"/>
      <c r="KO23" s="155" t="n"/>
      <c r="KP23" s="155" t="n"/>
      <c r="KQ23" s="155" t="n"/>
      <c r="KR23" s="155" t="n"/>
      <c r="KS23" s="155" t="n"/>
      <c r="KT23" s="155" t="n"/>
      <c r="KU23" s="155" t="n"/>
      <c r="KV23" s="155" t="n"/>
      <c r="KW23" s="155" t="n"/>
      <c r="KX23" s="155" t="n"/>
      <c r="KY23" s="155" t="n"/>
      <c r="KZ23" s="155" t="n"/>
      <c r="LA23" s="155" t="n"/>
      <c r="LB23" s="155" t="n"/>
      <c r="LC23" s="155" t="n"/>
      <c r="LD23" s="155" t="n"/>
      <c r="LE23" s="155" t="n"/>
      <c r="LF23" s="155" t="n"/>
      <c r="LG23" s="155" t="n"/>
      <c r="LH23" s="155" t="n"/>
      <c r="LI23" s="155" t="n"/>
      <c r="LJ23" s="155" t="n"/>
      <c r="LK23" s="155" t="n"/>
      <c r="LL23" s="155" t="n"/>
      <c r="LM23" s="155" t="n"/>
      <c r="LN23" s="155" t="n"/>
      <c r="LO23" s="155" t="n"/>
      <c r="LP23" s="155" t="n"/>
      <c r="LQ23" s="155" t="n"/>
      <c r="LR23" s="155" t="n"/>
      <c r="LS23" s="155" t="n"/>
      <c r="LT23" s="155" t="n"/>
      <c r="LU23" s="155" t="n"/>
      <c r="LV23" s="155" t="n"/>
      <c r="LW23" s="155" t="n"/>
      <c r="LX23" s="155" t="n"/>
      <c r="LY23" s="155" t="n"/>
      <c r="LZ23" s="155" t="n"/>
      <c r="MA23" s="155" t="n"/>
      <c r="MB23" s="155" t="n"/>
      <c r="MC23" s="155" t="n"/>
      <c r="MD23" s="155" t="n"/>
      <c r="ME23" s="155" t="n"/>
      <c r="MF23" s="155" t="n"/>
      <c r="MG23" s="155" t="n"/>
      <c r="MH23" s="155" t="n"/>
      <c r="MI23" s="155" t="n"/>
      <c r="MJ23" s="155" t="n"/>
      <c r="MK23" s="155" t="n"/>
      <c r="ML23" s="155" t="n"/>
      <c r="MM23" s="155" t="n"/>
      <c r="MN23" s="155" t="n"/>
      <c r="MO23" s="155" t="n"/>
      <c r="MP23" s="155" t="n"/>
      <c r="MQ23" s="155" t="n"/>
      <c r="MR23" s="155" t="n"/>
      <c r="MS23" s="155" t="n"/>
      <c r="MT23" s="155" t="n"/>
      <c r="MU23" s="155" t="n"/>
      <c r="MV23" s="155" t="n"/>
      <c r="MW23" s="155" t="n"/>
      <c r="MX23" s="155" t="n"/>
      <c r="MY23" s="155" t="n"/>
      <c r="MZ23" s="155" t="n"/>
      <c r="NA23" s="155" t="n"/>
      <c r="NB23" s="155" t="n"/>
      <c r="NC23" s="155" t="n"/>
      <c r="ND23" s="155" t="n"/>
      <c r="NE23" s="155" t="n"/>
      <c r="NF23" s="155" t="n"/>
      <c r="NG23" s="155" t="n"/>
      <c r="NH23" s="155" t="n"/>
      <c r="NI23" s="155" t="n"/>
      <c r="NJ23" s="155" t="n"/>
      <c r="NK23" s="155" t="n"/>
      <c r="NL23" s="155" t="n"/>
    </row>
    <row r="24">
      <c r="B24" s="316" t="inlineStr">
        <is>
          <t>Effective Gross Income</t>
        </is>
      </c>
      <c r="D24" s="402">
        <f>SUM(E24:NL24)</f>
        <v/>
      </c>
      <c r="E24" s="402">
        <f>Operating!E$23</f>
        <v/>
      </c>
      <c r="F24" s="402">
        <f>Operating!F$23</f>
        <v/>
      </c>
      <c r="G24" s="402">
        <f>Operating!G$23</f>
        <v/>
      </c>
      <c r="H24" s="402">
        <f>Operating!H$23</f>
        <v/>
      </c>
      <c r="I24" s="402">
        <f>Operating!I$23</f>
        <v/>
      </c>
      <c r="J24" s="402">
        <f>Operating!J$23</f>
        <v/>
      </c>
      <c r="K24" s="402">
        <f>Operating!K$23</f>
        <v/>
      </c>
      <c r="L24" s="402">
        <f>Operating!L$23</f>
        <v/>
      </c>
      <c r="M24" s="402">
        <f>Operating!M$23</f>
        <v/>
      </c>
      <c r="N24" s="402">
        <f>Operating!N$23</f>
        <v/>
      </c>
      <c r="O24" s="402">
        <f>Operating!O$23</f>
        <v/>
      </c>
      <c r="P24" s="402">
        <f>Operating!P$23</f>
        <v/>
      </c>
      <c r="Q24" s="402">
        <f>Operating!Q$23</f>
        <v/>
      </c>
      <c r="R24" s="402">
        <f>Operating!R$23</f>
        <v/>
      </c>
      <c r="S24" s="402">
        <f>Operating!S$23</f>
        <v/>
      </c>
      <c r="T24" s="402">
        <f>Operating!T$23</f>
        <v/>
      </c>
      <c r="U24" s="402">
        <f>Operating!U$23</f>
        <v/>
      </c>
      <c r="V24" s="402">
        <f>Operating!V$23</f>
        <v/>
      </c>
      <c r="W24" s="402">
        <f>Operating!W$23</f>
        <v/>
      </c>
      <c r="X24" s="402">
        <f>Operating!X$23</f>
        <v/>
      </c>
      <c r="Y24" s="402">
        <f>Operating!Y$23</f>
        <v/>
      </c>
      <c r="Z24" s="402">
        <f>Operating!Z$23</f>
        <v/>
      </c>
      <c r="AA24" s="402">
        <f>Operating!AA$23</f>
        <v/>
      </c>
      <c r="AB24" s="402">
        <f>Operating!AB$23</f>
        <v/>
      </c>
      <c r="AC24" s="402">
        <f>Operating!AC$23</f>
        <v/>
      </c>
      <c r="AD24" s="402">
        <f>Operating!AD$23</f>
        <v/>
      </c>
      <c r="AE24" s="402">
        <f>Operating!AE$23</f>
        <v/>
      </c>
      <c r="AF24" s="402">
        <f>Operating!AF$23</f>
        <v/>
      </c>
      <c r="AG24" s="402">
        <f>Operating!AG$23</f>
        <v/>
      </c>
      <c r="AH24" s="402">
        <f>Operating!AH$23</f>
        <v/>
      </c>
      <c r="AI24" s="402">
        <f>Operating!AI$23</f>
        <v/>
      </c>
      <c r="AJ24" s="402">
        <f>Operating!AJ$23</f>
        <v/>
      </c>
      <c r="AK24" s="402">
        <f>Operating!AK$23</f>
        <v/>
      </c>
      <c r="AL24" s="402">
        <f>Operating!AL$23</f>
        <v/>
      </c>
      <c r="AM24" s="402">
        <f>Operating!AM$23</f>
        <v/>
      </c>
      <c r="AN24" s="402">
        <f>Operating!AN$23</f>
        <v/>
      </c>
      <c r="AO24" s="402">
        <f>Operating!AO$23</f>
        <v/>
      </c>
      <c r="AP24" s="402">
        <f>Operating!AP$23</f>
        <v/>
      </c>
      <c r="AQ24" s="402">
        <f>Operating!AQ$23</f>
        <v/>
      </c>
      <c r="AR24" s="402">
        <f>Operating!AR$23</f>
        <v/>
      </c>
      <c r="AS24" s="402">
        <f>Operating!AS$23</f>
        <v/>
      </c>
      <c r="AT24" s="402">
        <f>Operating!AT$23</f>
        <v/>
      </c>
      <c r="AU24" s="402">
        <f>Operating!AU$23</f>
        <v/>
      </c>
      <c r="AV24" s="402">
        <f>Operating!AV$23</f>
        <v/>
      </c>
      <c r="AW24" s="402">
        <f>Operating!AW$23</f>
        <v/>
      </c>
      <c r="AX24" s="402">
        <f>Operating!AX$23</f>
        <v/>
      </c>
      <c r="AY24" s="402">
        <f>Operating!AY$23</f>
        <v/>
      </c>
      <c r="AZ24" s="402">
        <f>Operating!AZ$23</f>
        <v/>
      </c>
      <c r="BA24" s="402">
        <f>Operating!BA$23</f>
        <v/>
      </c>
      <c r="BB24" s="402">
        <f>Operating!BB$23</f>
        <v/>
      </c>
      <c r="BC24" s="402">
        <f>Operating!BC$23</f>
        <v/>
      </c>
      <c r="BD24" s="402">
        <f>Operating!BD$23</f>
        <v/>
      </c>
      <c r="BE24" s="402">
        <f>Operating!BE$23</f>
        <v/>
      </c>
      <c r="BF24" s="402">
        <f>Operating!BF$23</f>
        <v/>
      </c>
      <c r="BG24" s="402">
        <f>Operating!BG$23</f>
        <v/>
      </c>
      <c r="BH24" s="402">
        <f>Operating!BH$23</f>
        <v/>
      </c>
      <c r="BI24" s="402">
        <f>Operating!BI$23</f>
        <v/>
      </c>
      <c r="BJ24" s="402">
        <f>Operating!BJ$23</f>
        <v/>
      </c>
      <c r="BK24" s="402">
        <f>Operating!BK$23</f>
        <v/>
      </c>
      <c r="BL24" s="402">
        <f>Operating!BL$23</f>
        <v/>
      </c>
      <c r="BM24" s="402">
        <f>Operating!BM$23</f>
        <v/>
      </c>
      <c r="BN24" s="402">
        <f>Operating!BN$23</f>
        <v/>
      </c>
      <c r="BO24" s="402">
        <f>Operating!BO$23</f>
        <v/>
      </c>
      <c r="BP24" s="402">
        <f>Operating!BP$23</f>
        <v/>
      </c>
      <c r="BQ24" s="402">
        <f>Operating!BQ$23</f>
        <v/>
      </c>
      <c r="BR24" s="402">
        <f>Operating!BR$23</f>
        <v/>
      </c>
      <c r="BS24" s="402">
        <f>Operating!BS$23</f>
        <v/>
      </c>
      <c r="BT24" s="402">
        <f>Operating!BT$23</f>
        <v/>
      </c>
      <c r="BU24" s="402">
        <f>Operating!BU$23</f>
        <v/>
      </c>
      <c r="BV24" s="402">
        <f>Operating!BV$23</f>
        <v/>
      </c>
      <c r="BW24" s="402">
        <f>Operating!BW$23</f>
        <v/>
      </c>
      <c r="BX24" s="402">
        <f>Operating!BX$23</f>
        <v/>
      </c>
      <c r="BY24" s="402">
        <f>Operating!BY$23</f>
        <v/>
      </c>
      <c r="BZ24" s="402">
        <f>Operating!BZ$23</f>
        <v/>
      </c>
      <c r="CA24" s="402">
        <f>Operating!CA$23</f>
        <v/>
      </c>
      <c r="CB24" s="402">
        <f>Operating!CB$23</f>
        <v/>
      </c>
      <c r="CC24" s="402">
        <f>Operating!CC$23</f>
        <v/>
      </c>
      <c r="CD24" s="402">
        <f>Operating!CD$23</f>
        <v/>
      </c>
      <c r="CE24" s="402">
        <f>Operating!CE$23</f>
        <v/>
      </c>
      <c r="CF24" s="402">
        <f>Operating!CF$23</f>
        <v/>
      </c>
      <c r="CG24" s="402">
        <f>Operating!CG$23</f>
        <v/>
      </c>
      <c r="CH24" s="402">
        <f>Operating!CH$23</f>
        <v/>
      </c>
      <c r="CI24" s="402">
        <f>Operating!CI$23</f>
        <v/>
      </c>
      <c r="CJ24" s="402">
        <f>Operating!CJ$23</f>
        <v/>
      </c>
      <c r="CK24" s="402">
        <f>Operating!CK$23</f>
        <v/>
      </c>
      <c r="CL24" s="402">
        <f>Operating!CL$23</f>
        <v/>
      </c>
      <c r="CM24" s="402">
        <f>Operating!CM$23</f>
        <v/>
      </c>
      <c r="CN24" s="402">
        <f>Operating!CN$23</f>
        <v/>
      </c>
      <c r="CO24" s="402">
        <f>Operating!CO$23</f>
        <v/>
      </c>
      <c r="CP24" s="402">
        <f>Operating!CP$23</f>
        <v/>
      </c>
      <c r="CQ24" s="402">
        <f>Operating!CQ$23</f>
        <v/>
      </c>
      <c r="CR24" s="402">
        <f>Operating!CR$23</f>
        <v/>
      </c>
      <c r="CS24" s="402">
        <f>Operating!CS$23</f>
        <v/>
      </c>
      <c r="CT24" s="402">
        <f>Operating!CT$23</f>
        <v/>
      </c>
      <c r="CU24" s="402">
        <f>Operating!CU$23</f>
        <v/>
      </c>
      <c r="CV24" s="402">
        <f>Operating!CV$23</f>
        <v/>
      </c>
      <c r="CW24" s="402">
        <f>Operating!CW$23</f>
        <v/>
      </c>
      <c r="CX24" s="402">
        <f>Operating!CX$23</f>
        <v/>
      </c>
      <c r="CY24" s="402">
        <f>Operating!CY$23</f>
        <v/>
      </c>
      <c r="CZ24" s="402">
        <f>Operating!CZ$23</f>
        <v/>
      </c>
      <c r="DA24" s="402">
        <f>Operating!DA$23</f>
        <v/>
      </c>
      <c r="DB24" s="402">
        <f>Operating!DB$23</f>
        <v/>
      </c>
      <c r="DC24" s="402">
        <f>Operating!DC$23</f>
        <v/>
      </c>
      <c r="DD24" s="402">
        <f>Operating!DD$23</f>
        <v/>
      </c>
      <c r="DE24" s="402">
        <f>Operating!DE$23</f>
        <v/>
      </c>
      <c r="DF24" s="402">
        <f>Operating!DF$23</f>
        <v/>
      </c>
      <c r="DG24" s="402">
        <f>Operating!DG$23</f>
        <v/>
      </c>
      <c r="DH24" s="402">
        <f>Operating!DH$23</f>
        <v/>
      </c>
      <c r="DI24" s="402">
        <f>Operating!DI$23</f>
        <v/>
      </c>
      <c r="DJ24" s="402">
        <f>Operating!DJ$23</f>
        <v/>
      </c>
      <c r="DK24" s="402">
        <f>Operating!DK$23</f>
        <v/>
      </c>
      <c r="DL24" s="402">
        <f>Operating!DL$23</f>
        <v/>
      </c>
      <c r="DM24" s="402">
        <f>Operating!DM$23</f>
        <v/>
      </c>
      <c r="DN24" s="402">
        <f>Operating!DN$23</f>
        <v/>
      </c>
      <c r="DO24" s="402">
        <f>Operating!DO$23</f>
        <v/>
      </c>
      <c r="DP24" s="402">
        <f>Operating!DP$23</f>
        <v/>
      </c>
      <c r="DQ24" s="402">
        <f>Operating!DQ$23</f>
        <v/>
      </c>
      <c r="DR24" s="402">
        <f>Operating!DR$23</f>
        <v/>
      </c>
      <c r="DS24" s="402">
        <f>Operating!DS$23</f>
        <v/>
      </c>
      <c r="DT24" s="402">
        <f>Operating!DT$23</f>
        <v/>
      </c>
      <c r="DU24" s="402">
        <f>Operating!DU$23</f>
        <v/>
      </c>
      <c r="DV24" s="402">
        <f>Operating!DV$23</f>
        <v/>
      </c>
      <c r="DW24" s="402">
        <f>Operating!DW$23</f>
        <v/>
      </c>
      <c r="DX24" s="402">
        <f>Operating!DX$23</f>
        <v/>
      </c>
      <c r="DY24" s="402">
        <f>Operating!DY$23</f>
        <v/>
      </c>
      <c r="DZ24" s="402">
        <f>Operating!DZ$23</f>
        <v/>
      </c>
      <c r="EA24" s="402">
        <f>Operating!EA$23</f>
        <v/>
      </c>
      <c r="EB24" s="402">
        <f>Operating!EB$23</f>
        <v/>
      </c>
      <c r="EC24" s="402">
        <f>Operating!EC$23</f>
        <v/>
      </c>
      <c r="ED24" s="402">
        <f>Operating!ED$23</f>
        <v/>
      </c>
      <c r="EE24" s="402">
        <f>Operating!EE$23</f>
        <v/>
      </c>
      <c r="EF24" s="402">
        <f>Operating!EF$23</f>
        <v/>
      </c>
      <c r="EG24" s="402">
        <f>Operating!EG$23</f>
        <v/>
      </c>
      <c r="EH24" s="402">
        <f>Operating!EH$23</f>
        <v/>
      </c>
      <c r="EI24" s="402">
        <f>Operating!EI$23</f>
        <v/>
      </c>
      <c r="EJ24" s="402">
        <f>Operating!EJ$23</f>
        <v/>
      </c>
      <c r="EK24" s="402">
        <f>Operating!EK$23</f>
        <v/>
      </c>
      <c r="EL24" s="402">
        <f>Operating!EL$23</f>
        <v/>
      </c>
      <c r="EM24" s="402">
        <f>Operating!EM$23</f>
        <v/>
      </c>
      <c r="EN24" s="402">
        <f>Operating!EN$23</f>
        <v/>
      </c>
      <c r="EO24" s="402">
        <f>Operating!EO$23</f>
        <v/>
      </c>
      <c r="EP24" s="402">
        <f>Operating!EP$23</f>
        <v/>
      </c>
      <c r="EQ24" s="402">
        <f>Operating!EQ$23</f>
        <v/>
      </c>
      <c r="ER24" s="402">
        <f>Operating!ER$23</f>
        <v/>
      </c>
      <c r="ES24" s="402">
        <f>Operating!ES$23</f>
        <v/>
      </c>
      <c r="ET24" s="402">
        <f>Operating!ET$23</f>
        <v/>
      </c>
      <c r="EU24" s="402">
        <f>Operating!EU$23</f>
        <v/>
      </c>
      <c r="EV24" s="402">
        <f>Operating!EV$23</f>
        <v/>
      </c>
      <c r="EW24" s="402">
        <f>Operating!EW$23</f>
        <v/>
      </c>
      <c r="EX24" s="402">
        <f>Operating!EX$23</f>
        <v/>
      </c>
      <c r="EY24" s="402">
        <f>Operating!EY$23</f>
        <v/>
      </c>
      <c r="EZ24" s="402">
        <f>Operating!EZ$23</f>
        <v/>
      </c>
      <c r="FA24" s="402">
        <f>Operating!FA$23</f>
        <v/>
      </c>
      <c r="FB24" s="402">
        <f>Operating!FB$23</f>
        <v/>
      </c>
      <c r="FC24" s="402">
        <f>Operating!FC$23</f>
        <v/>
      </c>
      <c r="FD24" s="402">
        <f>Operating!FD$23</f>
        <v/>
      </c>
      <c r="FE24" s="402">
        <f>Operating!FE$23</f>
        <v/>
      </c>
      <c r="FF24" s="402">
        <f>Operating!FF$23</f>
        <v/>
      </c>
      <c r="FG24" s="402">
        <f>Operating!FG$23</f>
        <v/>
      </c>
      <c r="FH24" s="402">
        <f>Operating!FH$23</f>
        <v/>
      </c>
      <c r="FI24" s="402">
        <f>Operating!FI$23</f>
        <v/>
      </c>
      <c r="FJ24" s="402">
        <f>Operating!FJ$23</f>
        <v/>
      </c>
      <c r="FK24" s="402">
        <f>Operating!FK$23</f>
        <v/>
      </c>
      <c r="FL24" s="402">
        <f>Operating!FL$23</f>
        <v/>
      </c>
      <c r="FM24" s="402">
        <f>Operating!FM$23</f>
        <v/>
      </c>
      <c r="FN24" s="402">
        <f>Operating!FN$23</f>
        <v/>
      </c>
      <c r="FO24" s="402">
        <f>Operating!FO$23</f>
        <v/>
      </c>
      <c r="FP24" s="402">
        <f>Operating!FP$23</f>
        <v/>
      </c>
      <c r="FQ24" s="402">
        <f>Operating!FQ$23</f>
        <v/>
      </c>
      <c r="FR24" s="402">
        <f>Operating!FR$23</f>
        <v/>
      </c>
      <c r="FS24" s="402">
        <f>Operating!FS$23</f>
        <v/>
      </c>
      <c r="FT24" s="402">
        <f>Operating!FT$23</f>
        <v/>
      </c>
      <c r="FU24" s="402">
        <f>Operating!FU$23</f>
        <v/>
      </c>
      <c r="FV24" s="402">
        <f>Operating!FV$23</f>
        <v/>
      </c>
      <c r="FW24" s="402">
        <f>Operating!FW$23</f>
        <v/>
      </c>
      <c r="FX24" s="402">
        <f>Operating!FX$23</f>
        <v/>
      </c>
      <c r="FY24" s="402">
        <f>Operating!FY$23</f>
        <v/>
      </c>
      <c r="FZ24" s="402">
        <f>Operating!FZ$23</f>
        <v/>
      </c>
      <c r="GA24" s="402">
        <f>Operating!GA$23</f>
        <v/>
      </c>
      <c r="GB24" s="402">
        <f>Operating!GB$23</f>
        <v/>
      </c>
      <c r="GC24" s="402">
        <f>Operating!GC$23</f>
        <v/>
      </c>
      <c r="GD24" s="402">
        <f>Operating!GD$23</f>
        <v/>
      </c>
      <c r="GE24" s="402">
        <f>Operating!GE$23</f>
        <v/>
      </c>
      <c r="GF24" s="402">
        <f>Operating!GF$23</f>
        <v/>
      </c>
      <c r="GG24" s="402">
        <f>Operating!GG$23</f>
        <v/>
      </c>
      <c r="GH24" s="402">
        <f>Operating!GH$23</f>
        <v/>
      </c>
      <c r="GI24" s="402">
        <f>Operating!GI$23</f>
        <v/>
      </c>
      <c r="GJ24" s="402">
        <f>Operating!GJ$23</f>
        <v/>
      </c>
      <c r="GK24" s="402">
        <f>Operating!GK$23</f>
        <v/>
      </c>
      <c r="GL24" s="402">
        <f>Operating!GL$23</f>
        <v/>
      </c>
      <c r="GM24" s="402">
        <f>Operating!GM$23</f>
        <v/>
      </c>
      <c r="GN24" s="402">
        <f>Operating!GN$23</f>
        <v/>
      </c>
      <c r="GO24" s="402">
        <f>Operating!GO$23</f>
        <v/>
      </c>
      <c r="GP24" s="402">
        <f>Operating!GP$23</f>
        <v/>
      </c>
      <c r="GQ24" s="402">
        <f>Operating!GQ$23</f>
        <v/>
      </c>
      <c r="GR24" s="402">
        <f>Operating!GR$23</f>
        <v/>
      </c>
      <c r="GS24" s="402">
        <f>Operating!GS$23</f>
        <v/>
      </c>
      <c r="GT24" s="402">
        <f>Operating!GT$23</f>
        <v/>
      </c>
      <c r="GU24" s="402">
        <f>Operating!GU$23</f>
        <v/>
      </c>
      <c r="GV24" s="402">
        <f>Operating!GV$23</f>
        <v/>
      </c>
      <c r="GW24" s="402">
        <f>Operating!GW$23</f>
        <v/>
      </c>
      <c r="GX24" s="402">
        <f>Operating!GX$23</f>
        <v/>
      </c>
      <c r="GY24" s="402">
        <f>Operating!GY$23</f>
        <v/>
      </c>
      <c r="GZ24" s="402">
        <f>Operating!GZ$23</f>
        <v/>
      </c>
      <c r="HA24" s="402">
        <f>Operating!HA$23</f>
        <v/>
      </c>
      <c r="HB24" s="402">
        <f>Operating!HB$23</f>
        <v/>
      </c>
      <c r="HC24" s="402">
        <f>Operating!HC$23</f>
        <v/>
      </c>
      <c r="HD24" s="402">
        <f>Operating!HD$23</f>
        <v/>
      </c>
      <c r="HE24" s="402">
        <f>Operating!HE$23</f>
        <v/>
      </c>
      <c r="HF24" s="402">
        <f>Operating!HF$23</f>
        <v/>
      </c>
      <c r="HG24" s="402">
        <f>Operating!HG$23</f>
        <v/>
      </c>
      <c r="HH24" s="402">
        <f>Operating!HH$23</f>
        <v/>
      </c>
      <c r="HI24" s="402">
        <f>Operating!HI$23</f>
        <v/>
      </c>
      <c r="HJ24" s="402">
        <f>Operating!HJ$23</f>
        <v/>
      </c>
      <c r="HK24" s="402">
        <f>Operating!HK$23</f>
        <v/>
      </c>
      <c r="HL24" s="402">
        <f>Operating!HL$23</f>
        <v/>
      </c>
      <c r="HM24" s="402">
        <f>Operating!HM$23</f>
        <v/>
      </c>
      <c r="HN24" s="402">
        <f>Operating!HN$23</f>
        <v/>
      </c>
      <c r="HO24" s="402">
        <f>Operating!HO$23</f>
        <v/>
      </c>
      <c r="HP24" s="402">
        <f>Operating!HP$23</f>
        <v/>
      </c>
      <c r="HQ24" s="402">
        <f>Operating!HQ$23</f>
        <v/>
      </c>
      <c r="HR24" s="402">
        <f>Operating!HR$23</f>
        <v/>
      </c>
      <c r="HS24" s="402">
        <f>Operating!HS$23</f>
        <v/>
      </c>
      <c r="HT24" s="402">
        <f>Operating!HT$23</f>
        <v/>
      </c>
      <c r="HU24" s="402">
        <f>Operating!HU$23</f>
        <v/>
      </c>
      <c r="HV24" s="402">
        <f>Operating!HV$23</f>
        <v/>
      </c>
      <c r="HW24" s="402">
        <f>Operating!HW$23</f>
        <v/>
      </c>
      <c r="HX24" s="402">
        <f>Operating!HX$23</f>
        <v/>
      </c>
      <c r="HY24" s="402">
        <f>Operating!HY$23</f>
        <v/>
      </c>
      <c r="HZ24" s="402">
        <f>Operating!HZ$23</f>
        <v/>
      </c>
      <c r="IA24" s="402">
        <f>Operating!IA$23</f>
        <v/>
      </c>
      <c r="IB24" s="402">
        <f>Operating!IB$23</f>
        <v/>
      </c>
      <c r="IC24" s="402">
        <f>Operating!IC$23</f>
        <v/>
      </c>
      <c r="ID24" s="402">
        <f>Operating!ID$23</f>
        <v/>
      </c>
      <c r="IE24" s="402">
        <f>Operating!IE$23</f>
        <v/>
      </c>
      <c r="IF24" s="402">
        <f>Operating!IF$23</f>
        <v/>
      </c>
      <c r="IG24" s="402">
        <f>Operating!IG$23</f>
        <v/>
      </c>
      <c r="IH24" s="402">
        <f>Operating!IH$23</f>
        <v/>
      </c>
      <c r="II24" s="402">
        <f>Operating!II$23</f>
        <v/>
      </c>
      <c r="IJ24" s="402">
        <f>Operating!IJ$23</f>
        <v/>
      </c>
      <c r="IK24" s="402">
        <f>Operating!IK$23</f>
        <v/>
      </c>
      <c r="IL24" s="402">
        <f>Operating!IL$23</f>
        <v/>
      </c>
      <c r="IM24" s="402">
        <f>Operating!IM$23</f>
        <v/>
      </c>
      <c r="IN24" s="402">
        <f>Operating!IN$23</f>
        <v/>
      </c>
      <c r="IO24" s="402">
        <f>Operating!IO$23</f>
        <v/>
      </c>
      <c r="IP24" s="402">
        <f>Operating!IP$23</f>
        <v/>
      </c>
      <c r="IQ24" s="402">
        <f>Operating!IQ$23</f>
        <v/>
      </c>
      <c r="IR24" s="402">
        <f>Operating!IR$23</f>
        <v/>
      </c>
      <c r="IS24" s="402">
        <f>Operating!IS$23</f>
        <v/>
      </c>
      <c r="IT24" s="402">
        <f>Operating!IT$23</f>
        <v/>
      </c>
      <c r="IU24" s="402">
        <f>Operating!IU$23</f>
        <v/>
      </c>
      <c r="IV24" s="402">
        <f>Operating!IV$23</f>
        <v/>
      </c>
      <c r="IW24" s="402">
        <f>Operating!IW$23</f>
        <v/>
      </c>
      <c r="IX24" s="402">
        <f>Operating!IX$23</f>
        <v/>
      </c>
      <c r="IY24" s="402">
        <f>Operating!IY$23</f>
        <v/>
      </c>
      <c r="IZ24" s="402">
        <f>Operating!IZ$23</f>
        <v/>
      </c>
      <c r="JA24" s="402">
        <f>Operating!JA$23</f>
        <v/>
      </c>
      <c r="JB24" s="402">
        <f>Operating!JB$23</f>
        <v/>
      </c>
      <c r="JC24" s="402">
        <f>Operating!JC$23</f>
        <v/>
      </c>
      <c r="JD24" s="402">
        <f>Operating!JD$23</f>
        <v/>
      </c>
      <c r="JE24" s="402">
        <f>Operating!JE$23</f>
        <v/>
      </c>
      <c r="JF24" s="402">
        <f>Operating!JF$23</f>
        <v/>
      </c>
      <c r="JG24" s="402">
        <f>Operating!JG$23</f>
        <v/>
      </c>
      <c r="JH24" s="402">
        <f>Operating!JH$23</f>
        <v/>
      </c>
      <c r="JI24" s="402">
        <f>Operating!JI$23</f>
        <v/>
      </c>
      <c r="JJ24" s="402">
        <f>Operating!JJ$23</f>
        <v/>
      </c>
      <c r="JK24" s="402">
        <f>Operating!JK$23</f>
        <v/>
      </c>
      <c r="JL24" s="402">
        <f>Operating!JL$23</f>
        <v/>
      </c>
      <c r="JM24" s="402">
        <f>Operating!JM$23</f>
        <v/>
      </c>
      <c r="JN24" s="402">
        <f>Operating!JN$23</f>
        <v/>
      </c>
      <c r="JO24" s="402">
        <f>Operating!JO$23</f>
        <v/>
      </c>
      <c r="JP24" s="402">
        <f>Operating!JP$23</f>
        <v/>
      </c>
      <c r="JQ24" s="402">
        <f>Operating!JQ$23</f>
        <v/>
      </c>
      <c r="JR24" s="402">
        <f>Operating!JR$23</f>
        <v/>
      </c>
      <c r="JS24" s="402">
        <f>Operating!JS$23</f>
        <v/>
      </c>
      <c r="JT24" s="402">
        <f>Operating!JT$23</f>
        <v/>
      </c>
      <c r="JU24" s="402">
        <f>Operating!JU$23</f>
        <v/>
      </c>
      <c r="JV24" s="402">
        <f>Operating!JV$23</f>
        <v/>
      </c>
      <c r="JW24" s="402">
        <f>Operating!JW$23</f>
        <v/>
      </c>
      <c r="JX24" s="402">
        <f>Operating!JX$23</f>
        <v/>
      </c>
      <c r="JY24" s="402">
        <f>Operating!JY$23</f>
        <v/>
      </c>
      <c r="JZ24" s="402">
        <f>Operating!JZ$23</f>
        <v/>
      </c>
      <c r="KA24" s="402">
        <f>Operating!KA$23</f>
        <v/>
      </c>
      <c r="KB24" s="402">
        <f>Operating!KB$23</f>
        <v/>
      </c>
      <c r="KC24" s="402">
        <f>Operating!KC$23</f>
        <v/>
      </c>
      <c r="KD24" s="402">
        <f>Operating!KD$23</f>
        <v/>
      </c>
      <c r="KE24" s="402">
        <f>Operating!KE$23</f>
        <v/>
      </c>
      <c r="KF24" s="402">
        <f>Operating!KF$23</f>
        <v/>
      </c>
      <c r="KG24" s="402">
        <f>Operating!KG$23</f>
        <v/>
      </c>
      <c r="KH24" s="402">
        <f>Operating!KH$23</f>
        <v/>
      </c>
      <c r="KI24" s="402">
        <f>Operating!KI$23</f>
        <v/>
      </c>
      <c r="KJ24" s="402">
        <f>Operating!KJ$23</f>
        <v/>
      </c>
      <c r="KK24" s="402">
        <f>Operating!KK$23</f>
        <v/>
      </c>
      <c r="KL24" s="402">
        <f>Operating!KL$23</f>
        <v/>
      </c>
      <c r="KM24" s="402">
        <f>Operating!KM$23</f>
        <v/>
      </c>
      <c r="KN24" s="402">
        <f>Operating!KN$23</f>
        <v/>
      </c>
      <c r="KO24" s="402">
        <f>Operating!KO$23</f>
        <v/>
      </c>
      <c r="KP24" s="402">
        <f>Operating!KP$23</f>
        <v/>
      </c>
      <c r="KQ24" s="402">
        <f>Operating!KQ$23</f>
        <v/>
      </c>
      <c r="KR24" s="402">
        <f>Operating!KR$23</f>
        <v/>
      </c>
      <c r="KS24" s="402">
        <f>Operating!KS$23</f>
        <v/>
      </c>
      <c r="KT24" s="402">
        <f>Operating!KT$23</f>
        <v/>
      </c>
      <c r="KU24" s="402">
        <f>Operating!KU$23</f>
        <v/>
      </c>
      <c r="KV24" s="402">
        <f>Operating!KV$23</f>
        <v/>
      </c>
      <c r="KW24" s="402">
        <f>Operating!KW$23</f>
        <v/>
      </c>
      <c r="KX24" s="402">
        <f>Operating!KX$23</f>
        <v/>
      </c>
      <c r="KY24" s="402">
        <f>Operating!KY$23</f>
        <v/>
      </c>
      <c r="KZ24" s="402">
        <f>Operating!KZ$23</f>
        <v/>
      </c>
      <c r="LA24" s="402">
        <f>Operating!LA$23</f>
        <v/>
      </c>
      <c r="LB24" s="402">
        <f>Operating!LB$23</f>
        <v/>
      </c>
      <c r="LC24" s="402">
        <f>Operating!LC$23</f>
        <v/>
      </c>
      <c r="LD24" s="402">
        <f>Operating!LD$23</f>
        <v/>
      </c>
      <c r="LE24" s="402">
        <f>Operating!LE$23</f>
        <v/>
      </c>
      <c r="LF24" s="402">
        <f>Operating!LF$23</f>
        <v/>
      </c>
      <c r="LG24" s="402">
        <f>Operating!LG$23</f>
        <v/>
      </c>
      <c r="LH24" s="402">
        <f>Operating!LH$23</f>
        <v/>
      </c>
      <c r="LI24" s="402">
        <f>Operating!LI$23</f>
        <v/>
      </c>
      <c r="LJ24" s="402">
        <f>Operating!LJ$23</f>
        <v/>
      </c>
      <c r="LK24" s="402">
        <f>Operating!LK$23</f>
        <v/>
      </c>
      <c r="LL24" s="402">
        <f>Operating!LL$23</f>
        <v/>
      </c>
      <c r="LM24" s="402">
        <f>Operating!LM$23</f>
        <v/>
      </c>
      <c r="LN24" s="402">
        <f>Operating!LN$23</f>
        <v/>
      </c>
      <c r="LO24" s="402">
        <f>Operating!LO$23</f>
        <v/>
      </c>
      <c r="LP24" s="402">
        <f>Operating!LP$23</f>
        <v/>
      </c>
      <c r="LQ24" s="402">
        <f>Operating!LQ$23</f>
        <v/>
      </c>
      <c r="LR24" s="402">
        <f>Operating!LR$23</f>
        <v/>
      </c>
      <c r="LS24" s="402">
        <f>Operating!LS$23</f>
        <v/>
      </c>
      <c r="LT24" s="402">
        <f>Operating!LT$23</f>
        <v/>
      </c>
      <c r="LU24" s="402">
        <f>Operating!LU$23</f>
        <v/>
      </c>
      <c r="LV24" s="402">
        <f>Operating!LV$23</f>
        <v/>
      </c>
      <c r="LW24" s="402">
        <f>Operating!LW$23</f>
        <v/>
      </c>
      <c r="LX24" s="402">
        <f>Operating!LX$23</f>
        <v/>
      </c>
      <c r="LY24" s="402">
        <f>Operating!LY$23</f>
        <v/>
      </c>
      <c r="LZ24" s="402">
        <f>Operating!LZ$23</f>
        <v/>
      </c>
      <c r="MA24" s="402">
        <f>Operating!MA$23</f>
        <v/>
      </c>
      <c r="MB24" s="402">
        <f>Operating!MB$23</f>
        <v/>
      </c>
      <c r="MC24" s="402">
        <f>Operating!MC$23</f>
        <v/>
      </c>
      <c r="MD24" s="402">
        <f>Operating!MD$23</f>
        <v/>
      </c>
      <c r="ME24" s="402">
        <f>Operating!ME$23</f>
        <v/>
      </c>
      <c r="MF24" s="402">
        <f>Operating!MF$23</f>
        <v/>
      </c>
      <c r="MG24" s="402">
        <f>Operating!MG$23</f>
        <v/>
      </c>
      <c r="MH24" s="402">
        <f>Operating!MH$23</f>
        <v/>
      </c>
      <c r="MI24" s="402">
        <f>Operating!MI$23</f>
        <v/>
      </c>
      <c r="MJ24" s="402">
        <f>Operating!MJ$23</f>
        <v/>
      </c>
      <c r="MK24" s="402">
        <f>Operating!MK$23</f>
        <v/>
      </c>
      <c r="ML24" s="402">
        <f>Operating!ML$23</f>
        <v/>
      </c>
      <c r="MM24" s="402">
        <f>Operating!MM$23</f>
        <v/>
      </c>
      <c r="MN24" s="402">
        <f>Operating!MN$23</f>
        <v/>
      </c>
      <c r="MO24" s="402">
        <f>Operating!MO$23</f>
        <v/>
      </c>
      <c r="MP24" s="402">
        <f>Operating!MP$23</f>
        <v/>
      </c>
      <c r="MQ24" s="402">
        <f>Operating!MQ$23</f>
        <v/>
      </c>
      <c r="MR24" s="402">
        <f>Operating!MR$23</f>
        <v/>
      </c>
      <c r="MS24" s="402">
        <f>Operating!MS$23</f>
        <v/>
      </c>
      <c r="MT24" s="402">
        <f>Operating!MT$23</f>
        <v/>
      </c>
      <c r="MU24" s="402">
        <f>Operating!MU$23</f>
        <v/>
      </c>
      <c r="MV24" s="402">
        <f>Operating!MV$23</f>
        <v/>
      </c>
      <c r="MW24" s="402">
        <f>Operating!MW$23</f>
        <v/>
      </c>
      <c r="MX24" s="402">
        <f>Operating!MX$23</f>
        <v/>
      </c>
      <c r="MY24" s="402">
        <f>Operating!MY$23</f>
        <v/>
      </c>
      <c r="MZ24" s="402">
        <f>Operating!MZ$23</f>
        <v/>
      </c>
      <c r="NA24" s="402">
        <f>Operating!NA$23</f>
        <v/>
      </c>
      <c r="NB24" s="402">
        <f>Operating!NB$23</f>
        <v/>
      </c>
      <c r="NC24" s="402">
        <f>Operating!NC$23</f>
        <v/>
      </c>
      <c r="ND24" s="402">
        <f>Operating!ND$23</f>
        <v/>
      </c>
      <c r="NE24" s="402">
        <f>Operating!NE$23</f>
        <v/>
      </c>
      <c r="NF24" s="402">
        <f>Operating!NF$23</f>
        <v/>
      </c>
      <c r="NG24" s="402">
        <f>Operating!NG$23</f>
        <v/>
      </c>
      <c r="NH24" s="402">
        <f>Operating!NH$23</f>
        <v/>
      </c>
      <c r="NI24" s="402">
        <f>Operating!NI$23</f>
        <v/>
      </c>
      <c r="NJ24" s="402">
        <f>Operating!NJ$23</f>
        <v/>
      </c>
      <c r="NK24" s="402">
        <f>Operating!NK$23</f>
        <v/>
      </c>
      <c r="NL24" s="402">
        <f>Operating!NL$23</f>
        <v/>
      </c>
    </row>
    <row r="25">
      <c r="B25" s="316" t="inlineStr">
        <is>
          <t>Total Operating Expenses</t>
        </is>
      </c>
      <c r="D25" s="402">
        <f>SUM(E25:NL25)</f>
        <v/>
      </c>
      <c r="E25" s="402">
        <f>-Operating!E$37</f>
        <v/>
      </c>
      <c r="F25" s="402">
        <f>-Operating!F$37</f>
        <v/>
      </c>
      <c r="G25" s="402">
        <f>-Operating!G$37</f>
        <v/>
      </c>
      <c r="H25" s="402">
        <f>-Operating!H$37</f>
        <v/>
      </c>
      <c r="I25" s="402">
        <f>-Operating!I$37</f>
        <v/>
      </c>
      <c r="J25" s="402">
        <f>-Operating!J$37</f>
        <v/>
      </c>
      <c r="K25" s="402">
        <f>-Operating!K$37</f>
        <v/>
      </c>
      <c r="L25" s="402">
        <f>-Operating!L$37</f>
        <v/>
      </c>
      <c r="M25" s="402">
        <f>-Operating!M$37</f>
        <v/>
      </c>
      <c r="N25" s="402">
        <f>-Operating!N$37</f>
        <v/>
      </c>
      <c r="O25" s="402">
        <f>-Operating!O$37</f>
        <v/>
      </c>
      <c r="P25" s="402">
        <f>-Operating!P$37</f>
        <v/>
      </c>
      <c r="Q25" s="402">
        <f>-Operating!Q$37</f>
        <v/>
      </c>
      <c r="R25" s="402">
        <f>-Operating!R$37</f>
        <v/>
      </c>
      <c r="S25" s="402">
        <f>-Operating!S$37</f>
        <v/>
      </c>
      <c r="T25" s="402">
        <f>-Operating!T$37</f>
        <v/>
      </c>
      <c r="U25" s="402">
        <f>-Operating!U$37</f>
        <v/>
      </c>
      <c r="V25" s="402">
        <f>-Operating!V$37</f>
        <v/>
      </c>
      <c r="W25" s="402">
        <f>-Operating!W$37</f>
        <v/>
      </c>
      <c r="X25" s="402">
        <f>-Operating!X$37</f>
        <v/>
      </c>
      <c r="Y25" s="402">
        <f>-Operating!Y$37</f>
        <v/>
      </c>
      <c r="Z25" s="402">
        <f>-Operating!Z$37</f>
        <v/>
      </c>
      <c r="AA25" s="402">
        <f>-Operating!AA$37</f>
        <v/>
      </c>
      <c r="AB25" s="402">
        <f>-Operating!AB$37</f>
        <v/>
      </c>
      <c r="AC25" s="402">
        <f>-Operating!AC$37</f>
        <v/>
      </c>
      <c r="AD25" s="402">
        <f>-Operating!AD$37</f>
        <v/>
      </c>
      <c r="AE25" s="402">
        <f>-Operating!AE$37</f>
        <v/>
      </c>
      <c r="AF25" s="402">
        <f>-Operating!AF$37</f>
        <v/>
      </c>
      <c r="AG25" s="402">
        <f>-Operating!AG$37</f>
        <v/>
      </c>
      <c r="AH25" s="402">
        <f>-Operating!AH$37</f>
        <v/>
      </c>
      <c r="AI25" s="402">
        <f>-Operating!AI$37</f>
        <v/>
      </c>
      <c r="AJ25" s="402">
        <f>-Operating!AJ$37</f>
        <v/>
      </c>
      <c r="AK25" s="402">
        <f>-Operating!AK$37</f>
        <v/>
      </c>
      <c r="AL25" s="402">
        <f>-Operating!AL$37</f>
        <v/>
      </c>
      <c r="AM25" s="402">
        <f>-Operating!AM$37</f>
        <v/>
      </c>
      <c r="AN25" s="402">
        <f>-Operating!AN$37</f>
        <v/>
      </c>
      <c r="AO25" s="402">
        <f>-Operating!AO$37</f>
        <v/>
      </c>
      <c r="AP25" s="402">
        <f>-Operating!AP$37</f>
        <v/>
      </c>
      <c r="AQ25" s="402">
        <f>-Operating!AQ$37</f>
        <v/>
      </c>
      <c r="AR25" s="402">
        <f>-Operating!AR$37</f>
        <v/>
      </c>
      <c r="AS25" s="402">
        <f>-Operating!AS$37</f>
        <v/>
      </c>
      <c r="AT25" s="402">
        <f>-Operating!AT$37</f>
        <v/>
      </c>
      <c r="AU25" s="402">
        <f>-Operating!AU$37</f>
        <v/>
      </c>
      <c r="AV25" s="402">
        <f>-Operating!AV$37</f>
        <v/>
      </c>
      <c r="AW25" s="402">
        <f>-Operating!AW$37</f>
        <v/>
      </c>
      <c r="AX25" s="402">
        <f>-Operating!AX$37</f>
        <v/>
      </c>
      <c r="AY25" s="402">
        <f>-Operating!AY$37</f>
        <v/>
      </c>
      <c r="AZ25" s="402">
        <f>-Operating!AZ$37</f>
        <v/>
      </c>
      <c r="BA25" s="402">
        <f>-Operating!BA$37</f>
        <v/>
      </c>
      <c r="BB25" s="402">
        <f>-Operating!BB$37</f>
        <v/>
      </c>
      <c r="BC25" s="402">
        <f>-Operating!BC$37</f>
        <v/>
      </c>
      <c r="BD25" s="402">
        <f>-Operating!BD$37</f>
        <v/>
      </c>
      <c r="BE25" s="402">
        <f>-Operating!BE$37</f>
        <v/>
      </c>
      <c r="BF25" s="402">
        <f>-Operating!BF$37</f>
        <v/>
      </c>
      <c r="BG25" s="402">
        <f>-Operating!BG$37</f>
        <v/>
      </c>
      <c r="BH25" s="402">
        <f>-Operating!BH$37</f>
        <v/>
      </c>
      <c r="BI25" s="402">
        <f>-Operating!BI$37</f>
        <v/>
      </c>
      <c r="BJ25" s="402">
        <f>-Operating!BJ$37</f>
        <v/>
      </c>
      <c r="BK25" s="402">
        <f>-Operating!BK$37</f>
        <v/>
      </c>
      <c r="BL25" s="402">
        <f>-Operating!BL$37</f>
        <v/>
      </c>
      <c r="BM25" s="402">
        <f>-Operating!BM$37</f>
        <v/>
      </c>
      <c r="BN25" s="402">
        <f>-Operating!BN$37</f>
        <v/>
      </c>
      <c r="BO25" s="402">
        <f>-Operating!BO$37</f>
        <v/>
      </c>
      <c r="BP25" s="402">
        <f>-Operating!BP$37</f>
        <v/>
      </c>
      <c r="BQ25" s="402">
        <f>-Operating!BQ$37</f>
        <v/>
      </c>
      <c r="BR25" s="402">
        <f>-Operating!BR$37</f>
        <v/>
      </c>
      <c r="BS25" s="402">
        <f>-Operating!BS$37</f>
        <v/>
      </c>
      <c r="BT25" s="402">
        <f>-Operating!BT$37</f>
        <v/>
      </c>
      <c r="BU25" s="402">
        <f>-Operating!BU$37</f>
        <v/>
      </c>
      <c r="BV25" s="402">
        <f>-Operating!BV$37</f>
        <v/>
      </c>
      <c r="BW25" s="402">
        <f>-Operating!BW$37</f>
        <v/>
      </c>
      <c r="BX25" s="402">
        <f>-Operating!BX$37</f>
        <v/>
      </c>
      <c r="BY25" s="402">
        <f>-Operating!BY$37</f>
        <v/>
      </c>
      <c r="BZ25" s="402">
        <f>-Operating!BZ$37</f>
        <v/>
      </c>
      <c r="CA25" s="402">
        <f>-Operating!CA$37</f>
        <v/>
      </c>
      <c r="CB25" s="402">
        <f>-Operating!CB$37</f>
        <v/>
      </c>
      <c r="CC25" s="402">
        <f>-Operating!CC$37</f>
        <v/>
      </c>
      <c r="CD25" s="402">
        <f>-Operating!CD$37</f>
        <v/>
      </c>
      <c r="CE25" s="402">
        <f>-Operating!CE$37</f>
        <v/>
      </c>
      <c r="CF25" s="402">
        <f>-Operating!CF$37</f>
        <v/>
      </c>
      <c r="CG25" s="402">
        <f>-Operating!CG$37</f>
        <v/>
      </c>
      <c r="CH25" s="402">
        <f>-Operating!CH$37</f>
        <v/>
      </c>
      <c r="CI25" s="402">
        <f>-Operating!CI$37</f>
        <v/>
      </c>
      <c r="CJ25" s="402">
        <f>-Operating!CJ$37</f>
        <v/>
      </c>
      <c r="CK25" s="402">
        <f>-Operating!CK$37</f>
        <v/>
      </c>
      <c r="CL25" s="402">
        <f>-Operating!CL$37</f>
        <v/>
      </c>
      <c r="CM25" s="402">
        <f>-Operating!CM$37</f>
        <v/>
      </c>
      <c r="CN25" s="402">
        <f>-Operating!CN$37</f>
        <v/>
      </c>
      <c r="CO25" s="402">
        <f>-Operating!CO$37</f>
        <v/>
      </c>
      <c r="CP25" s="402">
        <f>-Operating!CP$37</f>
        <v/>
      </c>
      <c r="CQ25" s="402">
        <f>-Operating!CQ$37</f>
        <v/>
      </c>
      <c r="CR25" s="402">
        <f>-Operating!CR$37</f>
        <v/>
      </c>
      <c r="CS25" s="402">
        <f>-Operating!CS$37</f>
        <v/>
      </c>
      <c r="CT25" s="402">
        <f>-Operating!CT$37</f>
        <v/>
      </c>
      <c r="CU25" s="402">
        <f>-Operating!CU$37</f>
        <v/>
      </c>
      <c r="CV25" s="402">
        <f>-Operating!CV$37</f>
        <v/>
      </c>
      <c r="CW25" s="402">
        <f>-Operating!CW$37</f>
        <v/>
      </c>
      <c r="CX25" s="402">
        <f>-Operating!CX$37</f>
        <v/>
      </c>
      <c r="CY25" s="402">
        <f>-Operating!CY$37</f>
        <v/>
      </c>
      <c r="CZ25" s="402">
        <f>-Operating!CZ$37</f>
        <v/>
      </c>
      <c r="DA25" s="402">
        <f>-Operating!DA$37</f>
        <v/>
      </c>
      <c r="DB25" s="402">
        <f>-Operating!DB$37</f>
        <v/>
      </c>
      <c r="DC25" s="402">
        <f>-Operating!DC$37</f>
        <v/>
      </c>
      <c r="DD25" s="402">
        <f>-Operating!DD$37</f>
        <v/>
      </c>
      <c r="DE25" s="402">
        <f>-Operating!DE$37</f>
        <v/>
      </c>
      <c r="DF25" s="402">
        <f>-Operating!DF$37</f>
        <v/>
      </c>
      <c r="DG25" s="402">
        <f>-Operating!DG$37</f>
        <v/>
      </c>
      <c r="DH25" s="402">
        <f>-Operating!DH$37</f>
        <v/>
      </c>
      <c r="DI25" s="402">
        <f>-Operating!DI$37</f>
        <v/>
      </c>
      <c r="DJ25" s="402">
        <f>-Operating!DJ$37</f>
        <v/>
      </c>
      <c r="DK25" s="402">
        <f>-Operating!DK$37</f>
        <v/>
      </c>
      <c r="DL25" s="402">
        <f>-Operating!DL$37</f>
        <v/>
      </c>
      <c r="DM25" s="402">
        <f>-Operating!DM$37</f>
        <v/>
      </c>
      <c r="DN25" s="402">
        <f>-Operating!DN$37</f>
        <v/>
      </c>
      <c r="DO25" s="402">
        <f>-Operating!DO$37</f>
        <v/>
      </c>
      <c r="DP25" s="402">
        <f>-Operating!DP$37</f>
        <v/>
      </c>
      <c r="DQ25" s="402">
        <f>-Operating!DQ$37</f>
        <v/>
      </c>
      <c r="DR25" s="402">
        <f>-Operating!DR$37</f>
        <v/>
      </c>
      <c r="DS25" s="402">
        <f>-Operating!DS$37</f>
        <v/>
      </c>
      <c r="DT25" s="402">
        <f>-Operating!DT$37</f>
        <v/>
      </c>
      <c r="DU25" s="402">
        <f>-Operating!DU$37</f>
        <v/>
      </c>
      <c r="DV25" s="402">
        <f>-Operating!DV$37</f>
        <v/>
      </c>
      <c r="DW25" s="402">
        <f>-Operating!DW$37</f>
        <v/>
      </c>
      <c r="DX25" s="402">
        <f>-Operating!DX$37</f>
        <v/>
      </c>
      <c r="DY25" s="402">
        <f>-Operating!DY$37</f>
        <v/>
      </c>
      <c r="DZ25" s="402">
        <f>-Operating!DZ$37</f>
        <v/>
      </c>
      <c r="EA25" s="402">
        <f>-Operating!EA$37</f>
        <v/>
      </c>
      <c r="EB25" s="402">
        <f>-Operating!EB$37</f>
        <v/>
      </c>
      <c r="EC25" s="402">
        <f>-Operating!EC$37</f>
        <v/>
      </c>
      <c r="ED25" s="402">
        <f>-Operating!ED$37</f>
        <v/>
      </c>
      <c r="EE25" s="402">
        <f>-Operating!EE$37</f>
        <v/>
      </c>
      <c r="EF25" s="402">
        <f>-Operating!EF$37</f>
        <v/>
      </c>
      <c r="EG25" s="402">
        <f>-Operating!EG$37</f>
        <v/>
      </c>
      <c r="EH25" s="402">
        <f>-Operating!EH$37</f>
        <v/>
      </c>
      <c r="EI25" s="402">
        <f>-Operating!EI$37</f>
        <v/>
      </c>
      <c r="EJ25" s="402">
        <f>-Operating!EJ$37</f>
        <v/>
      </c>
      <c r="EK25" s="402">
        <f>-Operating!EK$37</f>
        <v/>
      </c>
      <c r="EL25" s="402">
        <f>-Operating!EL$37</f>
        <v/>
      </c>
      <c r="EM25" s="402">
        <f>-Operating!EM$37</f>
        <v/>
      </c>
      <c r="EN25" s="402">
        <f>-Operating!EN$37</f>
        <v/>
      </c>
      <c r="EO25" s="402">
        <f>-Operating!EO$37</f>
        <v/>
      </c>
      <c r="EP25" s="402">
        <f>-Operating!EP$37</f>
        <v/>
      </c>
      <c r="EQ25" s="402">
        <f>-Operating!EQ$37</f>
        <v/>
      </c>
      <c r="ER25" s="402">
        <f>-Operating!ER$37</f>
        <v/>
      </c>
      <c r="ES25" s="402">
        <f>-Operating!ES$37</f>
        <v/>
      </c>
      <c r="ET25" s="402">
        <f>-Operating!ET$37</f>
        <v/>
      </c>
      <c r="EU25" s="402">
        <f>-Operating!EU$37</f>
        <v/>
      </c>
      <c r="EV25" s="402">
        <f>-Operating!EV$37</f>
        <v/>
      </c>
      <c r="EW25" s="402">
        <f>-Operating!EW$37</f>
        <v/>
      </c>
      <c r="EX25" s="402">
        <f>-Operating!EX$37</f>
        <v/>
      </c>
      <c r="EY25" s="402">
        <f>-Operating!EY$37</f>
        <v/>
      </c>
      <c r="EZ25" s="402">
        <f>-Operating!EZ$37</f>
        <v/>
      </c>
      <c r="FA25" s="402">
        <f>-Operating!FA$37</f>
        <v/>
      </c>
      <c r="FB25" s="402">
        <f>-Operating!FB$37</f>
        <v/>
      </c>
      <c r="FC25" s="402">
        <f>-Operating!FC$37</f>
        <v/>
      </c>
      <c r="FD25" s="402">
        <f>-Operating!FD$37</f>
        <v/>
      </c>
      <c r="FE25" s="402">
        <f>-Operating!FE$37</f>
        <v/>
      </c>
      <c r="FF25" s="402">
        <f>-Operating!FF$37</f>
        <v/>
      </c>
      <c r="FG25" s="402">
        <f>-Operating!FG$37</f>
        <v/>
      </c>
      <c r="FH25" s="402">
        <f>-Operating!FH$37</f>
        <v/>
      </c>
      <c r="FI25" s="402">
        <f>-Operating!FI$37</f>
        <v/>
      </c>
      <c r="FJ25" s="402">
        <f>-Operating!FJ$37</f>
        <v/>
      </c>
      <c r="FK25" s="402">
        <f>-Operating!FK$37</f>
        <v/>
      </c>
      <c r="FL25" s="402">
        <f>-Operating!FL$37</f>
        <v/>
      </c>
      <c r="FM25" s="402">
        <f>-Operating!FM$37</f>
        <v/>
      </c>
      <c r="FN25" s="402">
        <f>-Operating!FN$37</f>
        <v/>
      </c>
      <c r="FO25" s="402">
        <f>-Operating!FO$37</f>
        <v/>
      </c>
      <c r="FP25" s="402">
        <f>-Operating!FP$37</f>
        <v/>
      </c>
      <c r="FQ25" s="402">
        <f>-Operating!FQ$37</f>
        <v/>
      </c>
      <c r="FR25" s="402">
        <f>-Operating!FR$37</f>
        <v/>
      </c>
      <c r="FS25" s="402">
        <f>-Operating!FS$37</f>
        <v/>
      </c>
      <c r="FT25" s="402">
        <f>-Operating!FT$37</f>
        <v/>
      </c>
      <c r="FU25" s="402">
        <f>-Operating!FU$37</f>
        <v/>
      </c>
      <c r="FV25" s="402">
        <f>-Operating!FV$37</f>
        <v/>
      </c>
      <c r="FW25" s="402">
        <f>-Operating!FW$37</f>
        <v/>
      </c>
      <c r="FX25" s="402">
        <f>-Operating!FX$37</f>
        <v/>
      </c>
      <c r="FY25" s="402">
        <f>-Operating!FY$37</f>
        <v/>
      </c>
      <c r="FZ25" s="402">
        <f>-Operating!FZ$37</f>
        <v/>
      </c>
      <c r="GA25" s="402">
        <f>-Operating!GA$37</f>
        <v/>
      </c>
      <c r="GB25" s="402">
        <f>-Operating!GB$37</f>
        <v/>
      </c>
      <c r="GC25" s="402">
        <f>-Operating!GC$37</f>
        <v/>
      </c>
      <c r="GD25" s="402">
        <f>-Operating!GD$37</f>
        <v/>
      </c>
      <c r="GE25" s="402">
        <f>-Operating!GE$37</f>
        <v/>
      </c>
      <c r="GF25" s="402">
        <f>-Operating!GF$37</f>
        <v/>
      </c>
      <c r="GG25" s="402">
        <f>-Operating!GG$37</f>
        <v/>
      </c>
      <c r="GH25" s="402">
        <f>-Operating!GH$37</f>
        <v/>
      </c>
      <c r="GI25" s="402">
        <f>-Operating!GI$37</f>
        <v/>
      </c>
      <c r="GJ25" s="402">
        <f>-Operating!GJ$37</f>
        <v/>
      </c>
      <c r="GK25" s="402">
        <f>-Operating!GK$37</f>
        <v/>
      </c>
      <c r="GL25" s="402">
        <f>-Operating!GL$37</f>
        <v/>
      </c>
      <c r="GM25" s="402">
        <f>-Operating!GM$37</f>
        <v/>
      </c>
      <c r="GN25" s="402">
        <f>-Operating!GN$37</f>
        <v/>
      </c>
      <c r="GO25" s="402">
        <f>-Operating!GO$37</f>
        <v/>
      </c>
      <c r="GP25" s="402">
        <f>-Operating!GP$37</f>
        <v/>
      </c>
      <c r="GQ25" s="402">
        <f>-Operating!GQ$37</f>
        <v/>
      </c>
      <c r="GR25" s="402">
        <f>-Operating!GR$37</f>
        <v/>
      </c>
      <c r="GS25" s="402">
        <f>-Operating!GS$37</f>
        <v/>
      </c>
      <c r="GT25" s="402">
        <f>-Operating!GT$37</f>
        <v/>
      </c>
      <c r="GU25" s="402">
        <f>-Operating!GU$37</f>
        <v/>
      </c>
      <c r="GV25" s="402">
        <f>-Operating!GV$37</f>
        <v/>
      </c>
      <c r="GW25" s="402">
        <f>-Operating!GW$37</f>
        <v/>
      </c>
      <c r="GX25" s="402">
        <f>-Operating!GX$37</f>
        <v/>
      </c>
      <c r="GY25" s="402">
        <f>-Operating!GY$37</f>
        <v/>
      </c>
      <c r="GZ25" s="402">
        <f>-Operating!GZ$37</f>
        <v/>
      </c>
      <c r="HA25" s="402">
        <f>-Operating!HA$37</f>
        <v/>
      </c>
      <c r="HB25" s="402">
        <f>-Operating!HB$37</f>
        <v/>
      </c>
      <c r="HC25" s="402">
        <f>-Operating!HC$37</f>
        <v/>
      </c>
      <c r="HD25" s="402">
        <f>-Operating!HD$37</f>
        <v/>
      </c>
      <c r="HE25" s="402">
        <f>-Operating!HE$37</f>
        <v/>
      </c>
      <c r="HF25" s="402">
        <f>-Operating!HF$37</f>
        <v/>
      </c>
      <c r="HG25" s="402">
        <f>-Operating!HG$37</f>
        <v/>
      </c>
      <c r="HH25" s="402">
        <f>-Operating!HH$37</f>
        <v/>
      </c>
      <c r="HI25" s="402">
        <f>-Operating!HI$37</f>
        <v/>
      </c>
      <c r="HJ25" s="402">
        <f>-Operating!HJ$37</f>
        <v/>
      </c>
      <c r="HK25" s="402">
        <f>-Operating!HK$37</f>
        <v/>
      </c>
      <c r="HL25" s="402">
        <f>-Operating!HL$37</f>
        <v/>
      </c>
      <c r="HM25" s="402">
        <f>-Operating!HM$37</f>
        <v/>
      </c>
      <c r="HN25" s="402">
        <f>-Operating!HN$37</f>
        <v/>
      </c>
      <c r="HO25" s="402">
        <f>-Operating!HO$37</f>
        <v/>
      </c>
      <c r="HP25" s="402">
        <f>-Operating!HP$37</f>
        <v/>
      </c>
      <c r="HQ25" s="402">
        <f>-Operating!HQ$37</f>
        <v/>
      </c>
      <c r="HR25" s="402">
        <f>-Operating!HR$37</f>
        <v/>
      </c>
      <c r="HS25" s="402">
        <f>-Operating!HS$37</f>
        <v/>
      </c>
      <c r="HT25" s="402">
        <f>-Operating!HT$37</f>
        <v/>
      </c>
      <c r="HU25" s="402">
        <f>-Operating!HU$37</f>
        <v/>
      </c>
      <c r="HV25" s="402">
        <f>-Operating!HV$37</f>
        <v/>
      </c>
      <c r="HW25" s="402">
        <f>-Operating!HW$37</f>
        <v/>
      </c>
      <c r="HX25" s="402">
        <f>-Operating!HX$37</f>
        <v/>
      </c>
      <c r="HY25" s="402">
        <f>-Operating!HY$37</f>
        <v/>
      </c>
      <c r="HZ25" s="402">
        <f>-Operating!HZ$37</f>
        <v/>
      </c>
      <c r="IA25" s="402">
        <f>-Operating!IA$37</f>
        <v/>
      </c>
      <c r="IB25" s="402">
        <f>-Operating!IB$37</f>
        <v/>
      </c>
      <c r="IC25" s="402">
        <f>-Operating!IC$37</f>
        <v/>
      </c>
      <c r="ID25" s="402">
        <f>-Operating!ID$37</f>
        <v/>
      </c>
      <c r="IE25" s="402">
        <f>-Operating!IE$37</f>
        <v/>
      </c>
      <c r="IF25" s="402">
        <f>-Operating!IF$37</f>
        <v/>
      </c>
      <c r="IG25" s="402">
        <f>-Operating!IG$37</f>
        <v/>
      </c>
      <c r="IH25" s="402">
        <f>-Operating!IH$37</f>
        <v/>
      </c>
      <c r="II25" s="402">
        <f>-Operating!II$37</f>
        <v/>
      </c>
      <c r="IJ25" s="402">
        <f>-Operating!IJ$37</f>
        <v/>
      </c>
      <c r="IK25" s="402">
        <f>-Operating!IK$37</f>
        <v/>
      </c>
      <c r="IL25" s="402">
        <f>-Operating!IL$37</f>
        <v/>
      </c>
      <c r="IM25" s="402">
        <f>-Operating!IM$37</f>
        <v/>
      </c>
      <c r="IN25" s="402">
        <f>-Operating!IN$37</f>
        <v/>
      </c>
      <c r="IO25" s="402">
        <f>-Operating!IO$37</f>
        <v/>
      </c>
      <c r="IP25" s="402">
        <f>-Operating!IP$37</f>
        <v/>
      </c>
      <c r="IQ25" s="402">
        <f>-Operating!IQ$37</f>
        <v/>
      </c>
      <c r="IR25" s="402">
        <f>-Operating!IR$37</f>
        <v/>
      </c>
      <c r="IS25" s="402">
        <f>-Operating!IS$37</f>
        <v/>
      </c>
      <c r="IT25" s="402">
        <f>-Operating!IT$37</f>
        <v/>
      </c>
      <c r="IU25" s="402">
        <f>-Operating!IU$37</f>
        <v/>
      </c>
      <c r="IV25" s="402">
        <f>-Operating!IV$37</f>
        <v/>
      </c>
      <c r="IW25" s="402">
        <f>-Operating!IW$37</f>
        <v/>
      </c>
      <c r="IX25" s="402">
        <f>-Operating!IX$37</f>
        <v/>
      </c>
      <c r="IY25" s="402">
        <f>-Operating!IY$37</f>
        <v/>
      </c>
      <c r="IZ25" s="402">
        <f>-Operating!IZ$37</f>
        <v/>
      </c>
      <c r="JA25" s="402">
        <f>-Operating!JA$37</f>
        <v/>
      </c>
      <c r="JB25" s="402">
        <f>-Operating!JB$37</f>
        <v/>
      </c>
      <c r="JC25" s="402">
        <f>-Operating!JC$37</f>
        <v/>
      </c>
      <c r="JD25" s="402">
        <f>-Operating!JD$37</f>
        <v/>
      </c>
      <c r="JE25" s="402">
        <f>-Operating!JE$37</f>
        <v/>
      </c>
      <c r="JF25" s="402">
        <f>-Operating!JF$37</f>
        <v/>
      </c>
      <c r="JG25" s="402">
        <f>-Operating!JG$37</f>
        <v/>
      </c>
      <c r="JH25" s="402">
        <f>-Operating!JH$37</f>
        <v/>
      </c>
      <c r="JI25" s="402">
        <f>-Operating!JI$37</f>
        <v/>
      </c>
      <c r="JJ25" s="402">
        <f>-Operating!JJ$37</f>
        <v/>
      </c>
      <c r="JK25" s="402">
        <f>-Operating!JK$37</f>
        <v/>
      </c>
      <c r="JL25" s="402">
        <f>-Operating!JL$37</f>
        <v/>
      </c>
      <c r="JM25" s="402">
        <f>-Operating!JM$37</f>
        <v/>
      </c>
      <c r="JN25" s="402">
        <f>-Operating!JN$37</f>
        <v/>
      </c>
      <c r="JO25" s="402">
        <f>-Operating!JO$37</f>
        <v/>
      </c>
      <c r="JP25" s="402">
        <f>-Operating!JP$37</f>
        <v/>
      </c>
      <c r="JQ25" s="402">
        <f>-Operating!JQ$37</f>
        <v/>
      </c>
      <c r="JR25" s="402">
        <f>-Operating!JR$37</f>
        <v/>
      </c>
      <c r="JS25" s="402">
        <f>-Operating!JS$37</f>
        <v/>
      </c>
      <c r="JT25" s="402">
        <f>-Operating!JT$37</f>
        <v/>
      </c>
      <c r="JU25" s="402">
        <f>-Operating!JU$37</f>
        <v/>
      </c>
      <c r="JV25" s="402">
        <f>-Operating!JV$37</f>
        <v/>
      </c>
      <c r="JW25" s="402">
        <f>-Operating!JW$37</f>
        <v/>
      </c>
      <c r="JX25" s="402">
        <f>-Operating!JX$37</f>
        <v/>
      </c>
      <c r="JY25" s="402">
        <f>-Operating!JY$37</f>
        <v/>
      </c>
      <c r="JZ25" s="402">
        <f>-Operating!JZ$37</f>
        <v/>
      </c>
      <c r="KA25" s="402">
        <f>-Operating!KA$37</f>
        <v/>
      </c>
      <c r="KB25" s="402">
        <f>-Operating!KB$37</f>
        <v/>
      </c>
      <c r="KC25" s="402">
        <f>-Operating!KC$37</f>
        <v/>
      </c>
      <c r="KD25" s="402">
        <f>-Operating!KD$37</f>
        <v/>
      </c>
      <c r="KE25" s="402">
        <f>-Operating!KE$37</f>
        <v/>
      </c>
      <c r="KF25" s="402">
        <f>-Operating!KF$37</f>
        <v/>
      </c>
      <c r="KG25" s="402">
        <f>-Operating!KG$37</f>
        <v/>
      </c>
      <c r="KH25" s="402">
        <f>-Operating!KH$37</f>
        <v/>
      </c>
      <c r="KI25" s="402">
        <f>-Operating!KI$37</f>
        <v/>
      </c>
      <c r="KJ25" s="402">
        <f>-Operating!KJ$37</f>
        <v/>
      </c>
      <c r="KK25" s="402">
        <f>-Operating!KK$37</f>
        <v/>
      </c>
      <c r="KL25" s="402">
        <f>-Operating!KL$37</f>
        <v/>
      </c>
      <c r="KM25" s="402">
        <f>-Operating!KM$37</f>
        <v/>
      </c>
      <c r="KN25" s="402">
        <f>-Operating!KN$37</f>
        <v/>
      </c>
      <c r="KO25" s="402">
        <f>-Operating!KO$37</f>
        <v/>
      </c>
      <c r="KP25" s="402">
        <f>-Operating!KP$37</f>
        <v/>
      </c>
      <c r="KQ25" s="402">
        <f>-Operating!KQ$37</f>
        <v/>
      </c>
      <c r="KR25" s="402">
        <f>-Operating!KR$37</f>
        <v/>
      </c>
      <c r="KS25" s="402">
        <f>-Operating!KS$37</f>
        <v/>
      </c>
      <c r="KT25" s="402">
        <f>-Operating!KT$37</f>
        <v/>
      </c>
      <c r="KU25" s="402">
        <f>-Operating!KU$37</f>
        <v/>
      </c>
      <c r="KV25" s="402">
        <f>-Operating!KV$37</f>
        <v/>
      </c>
      <c r="KW25" s="402">
        <f>-Operating!KW$37</f>
        <v/>
      </c>
      <c r="KX25" s="402">
        <f>-Operating!KX$37</f>
        <v/>
      </c>
      <c r="KY25" s="402">
        <f>-Operating!KY$37</f>
        <v/>
      </c>
      <c r="KZ25" s="402">
        <f>-Operating!KZ$37</f>
        <v/>
      </c>
      <c r="LA25" s="402">
        <f>-Operating!LA$37</f>
        <v/>
      </c>
      <c r="LB25" s="402">
        <f>-Operating!LB$37</f>
        <v/>
      </c>
      <c r="LC25" s="402">
        <f>-Operating!LC$37</f>
        <v/>
      </c>
      <c r="LD25" s="402">
        <f>-Operating!LD$37</f>
        <v/>
      </c>
      <c r="LE25" s="402">
        <f>-Operating!LE$37</f>
        <v/>
      </c>
      <c r="LF25" s="402">
        <f>-Operating!LF$37</f>
        <v/>
      </c>
      <c r="LG25" s="402">
        <f>-Operating!LG$37</f>
        <v/>
      </c>
      <c r="LH25" s="402">
        <f>-Operating!LH$37</f>
        <v/>
      </c>
      <c r="LI25" s="402">
        <f>-Operating!LI$37</f>
        <v/>
      </c>
      <c r="LJ25" s="402">
        <f>-Operating!LJ$37</f>
        <v/>
      </c>
      <c r="LK25" s="402">
        <f>-Operating!LK$37</f>
        <v/>
      </c>
      <c r="LL25" s="402">
        <f>-Operating!LL$37</f>
        <v/>
      </c>
      <c r="LM25" s="402">
        <f>-Operating!LM$37</f>
        <v/>
      </c>
      <c r="LN25" s="402">
        <f>-Operating!LN$37</f>
        <v/>
      </c>
      <c r="LO25" s="402">
        <f>-Operating!LO$37</f>
        <v/>
      </c>
      <c r="LP25" s="402">
        <f>-Operating!LP$37</f>
        <v/>
      </c>
      <c r="LQ25" s="402">
        <f>-Operating!LQ$37</f>
        <v/>
      </c>
      <c r="LR25" s="402">
        <f>-Operating!LR$37</f>
        <v/>
      </c>
      <c r="LS25" s="402">
        <f>-Operating!LS$37</f>
        <v/>
      </c>
      <c r="LT25" s="402">
        <f>-Operating!LT$37</f>
        <v/>
      </c>
      <c r="LU25" s="402">
        <f>-Operating!LU$37</f>
        <v/>
      </c>
      <c r="LV25" s="402">
        <f>-Operating!LV$37</f>
        <v/>
      </c>
      <c r="LW25" s="402">
        <f>-Operating!LW$37</f>
        <v/>
      </c>
      <c r="LX25" s="402">
        <f>-Operating!LX$37</f>
        <v/>
      </c>
      <c r="LY25" s="402">
        <f>-Operating!LY$37</f>
        <v/>
      </c>
      <c r="LZ25" s="402">
        <f>-Operating!LZ$37</f>
        <v/>
      </c>
      <c r="MA25" s="402">
        <f>-Operating!MA$37</f>
        <v/>
      </c>
      <c r="MB25" s="402">
        <f>-Operating!MB$37</f>
        <v/>
      </c>
      <c r="MC25" s="402">
        <f>-Operating!MC$37</f>
        <v/>
      </c>
      <c r="MD25" s="402">
        <f>-Operating!MD$37</f>
        <v/>
      </c>
      <c r="ME25" s="402">
        <f>-Operating!ME$37</f>
        <v/>
      </c>
      <c r="MF25" s="402">
        <f>-Operating!MF$37</f>
        <v/>
      </c>
      <c r="MG25" s="402">
        <f>-Operating!MG$37</f>
        <v/>
      </c>
      <c r="MH25" s="402">
        <f>-Operating!MH$37</f>
        <v/>
      </c>
      <c r="MI25" s="402">
        <f>-Operating!MI$37</f>
        <v/>
      </c>
      <c r="MJ25" s="402">
        <f>-Operating!MJ$37</f>
        <v/>
      </c>
      <c r="MK25" s="402">
        <f>-Operating!MK$37</f>
        <v/>
      </c>
      <c r="ML25" s="402">
        <f>-Operating!ML$37</f>
        <v/>
      </c>
      <c r="MM25" s="402">
        <f>-Operating!MM$37</f>
        <v/>
      </c>
      <c r="MN25" s="402">
        <f>-Operating!MN$37</f>
        <v/>
      </c>
      <c r="MO25" s="402">
        <f>-Operating!MO$37</f>
        <v/>
      </c>
      <c r="MP25" s="402">
        <f>-Operating!MP$37</f>
        <v/>
      </c>
      <c r="MQ25" s="402">
        <f>-Operating!MQ$37</f>
        <v/>
      </c>
      <c r="MR25" s="402">
        <f>-Operating!MR$37</f>
        <v/>
      </c>
      <c r="MS25" s="402">
        <f>-Operating!MS$37</f>
        <v/>
      </c>
      <c r="MT25" s="402">
        <f>-Operating!MT$37</f>
        <v/>
      </c>
      <c r="MU25" s="402">
        <f>-Operating!MU$37</f>
        <v/>
      </c>
      <c r="MV25" s="402">
        <f>-Operating!MV$37</f>
        <v/>
      </c>
      <c r="MW25" s="402">
        <f>-Operating!MW$37</f>
        <v/>
      </c>
      <c r="MX25" s="402">
        <f>-Operating!MX$37</f>
        <v/>
      </c>
      <c r="MY25" s="402">
        <f>-Operating!MY$37</f>
        <v/>
      </c>
      <c r="MZ25" s="402">
        <f>-Operating!MZ$37</f>
        <v/>
      </c>
      <c r="NA25" s="402">
        <f>-Operating!NA$37</f>
        <v/>
      </c>
      <c r="NB25" s="402">
        <f>-Operating!NB$37</f>
        <v/>
      </c>
      <c r="NC25" s="402">
        <f>-Operating!NC$37</f>
        <v/>
      </c>
      <c r="ND25" s="402">
        <f>-Operating!ND$37</f>
        <v/>
      </c>
      <c r="NE25" s="402">
        <f>-Operating!NE$37</f>
        <v/>
      </c>
      <c r="NF25" s="402">
        <f>-Operating!NF$37</f>
        <v/>
      </c>
      <c r="NG25" s="402">
        <f>-Operating!NG$37</f>
        <v/>
      </c>
      <c r="NH25" s="402">
        <f>-Operating!NH$37</f>
        <v/>
      </c>
      <c r="NI25" s="402">
        <f>-Operating!NI$37</f>
        <v/>
      </c>
      <c r="NJ25" s="402">
        <f>-Operating!NJ$37</f>
        <v/>
      </c>
      <c r="NK25" s="402">
        <f>-Operating!NK$37</f>
        <v/>
      </c>
      <c r="NL25" s="402">
        <f>-Operating!NL$37</f>
        <v/>
      </c>
    </row>
    <row r="26">
      <c r="B26" s="330" t="inlineStr">
        <is>
          <t>Net Operating Income</t>
        </is>
      </c>
      <c r="D26" s="403">
        <f>SUM(E26:NL26)</f>
        <v/>
      </c>
      <c r="E26" s="407">
        <f>Operating!E$38</f>
        <v/>
      </c>
      <c r="F26" s="407">
        <f>Operating!F$38</f>
        <v/>
      </c>
      <c r="G26" s="407">
        <f>Operating!G$38</f>
        <v/>
      </c>
      <c r="H26" s="407">
        <f>Operating!H$38</f>
        <v/>
      </c>
      <c r="I26" s="407">
        <f>Operating!I$38</f>
        <v/>
      </c>
      <c r="J26" s="407">
        <f>Operating!J$38</f>
        <v/>
      </c>
      <c r="K26" s="407">
        <f>Operating!K$38</f>
        <v/>
      </c>
      <c r="L26" s="407">
        <f>Operating!L$38</f>
        <v/>
      </c>
      <c r="M26" s="407">
        <f>Operating!M$38</f>
        <v/>
      </c>
      <c r="N26" s="407">
        <f>Operating!N$38</f>
        <v/>
      </c>
      <c r="O26" s="407">
        <f>Operating!O$38</f>
        <v/>
      </c>
      <c r="P26" s="407">
        <f>Operating!P$38</f>
        <v/>
      </c>
      <c r="Q26" s="407">
        <f>Operating!Q$38</f>
        <v/>
      </c>
      <c r="R26" s="407">
        <f>Operating!R$38</f>
        <v/>
      </c>
      <c r="S26" s="407">
        <f>Operating!S$38</f>
        <v/>
      </c>
      <c r="T26" s="407">
        <f>Operating!T$38</f>
        <v/>
      </c>
      <c r="U26" s="407">
        <f>Operating!U$38</f>
        <v/>
      </c>
      <c r="V26" s="407">
        <f>Operating!V$38</f>
        <v/>
      </c>
      <c r="W26" s="407">
        <f>Operating!W$38</f>
        <v/>
      </c>
      <c r="X26" s="407">
        <f>Operating!X$38</f>
        <v/>
      </c>
      <c r="Y26" s="407">
        <f>Operating!Y$38</f>
        <v/>
      </c>
      <c r="Z26" s="407">
        <f>Operating!Z$38</f>
        <v/>
      </c>
      <c r="AA26" s="407">
        <f>Operating!AA$38</f>
        <v/>
      </c>
      <c r="AB26" s="407">
        <f>Operating!AB$38</f>
        <v/>
      </c>
      <c r="AC26" s="407">
        <f>Operating!AC$38</f>
        <v/>
      </c>
      <c r="AD26" s="407">
        <f>Operating!AD$38</f>
        <v/>
      </c>
      <c r="AE26" s="407">
        <f>Operating!AE$38</f>
        <v/>
      </c>
      <c r="AF26" s="407">
        <f>Operating!AF$38</f>
        <v/>
      </c>
      <c r="AG26" s="407">
        <f>Operating!AG$38</f>
        <v/>
      </c>
      <c r="AH26" s="407">
        <f>Operating!AH$38</f>
        <v/>
      </c>
      <c r="AI26" s="407">
        <f>Operating!AI$38</f>
        <v/>
      </c>
      <c r="AJ26" s="407">
        <f>Operating!AJ$38</f>
        <v/>
      </c>
      <c r="AK26" s="407">
        <f>Operating!AK$38</f>
        <v/>
      </c>
      <c r="AL26" s="407">
        <f>Operating!AL$38</f>
        <v/>
      </c>
      <c r="AM26" s="407">
        <f>Operating!AM$38</f>
        <v/>
      </c>
      <c r="AN26" s="407">
        <f>Operating!AN$38</f>
        <v/>
      </c>
      <c r="AO26" s="407">
        <f>Operating!AO$38</f>
        <v/>
      </c>
      <c r="AP26" s="407">
        <f>Operating!AP$38</f>
        <v/>
      </c>
      <c r="AQ26" s="407">
        <f>Operating!AQ$38</f>
        <v/>
      </c>
      <c r="AR26" s="407">
        <f>Operating!AR$38</f>
        <v/>
      </c>
      <c r="AS26" s="407">
        <f>Operating!AS$38</f>
        <v/>
      </c>
      <c r="AT26" s="407">
        <f>Operating!AT$38</f>
        <v/>
      </c>
      <c r="AU26" s="407">
        <f>Operating!AU$38</f>
        <v/>
      </c>
      <c r="AV26" s="407">
        <f>Operating!AV$38</f>
        <v/>
      </c>
      <c r="AW26" s="407">
        <f>Operating!AW$38</f>
        <v/>
      </c>
      <c r="AX26" s="407">
        <f>Operating!AX$38</f>
        <v/>
      </c>
      <c r="AY26" s="407">
        <f>Operating!AY$38</f>
        <v/>
      </c>
      <c r="AZ26" s="407">
        <f>Operating!AZ$38</f>
        <v/>
      </c>
      <c r="BA26" s="407">
        <f>Operating!BA$38</f>
        <v/>
      </c>
      <c r="BB26" s="407">
        <f>Operating!BB$38</f>
        <v/>
      </c>
      <c r="BC26" s="407">
        <f>Operating!BC$38</f>
        <v/>
      </c>
      <c r="BD26" s="407">
        <f>Operating!BD$38</f>
        <v/>
      </c>
      <c r="BE26" s="407">
        <f>Operating!BE$38</f>
        <v/>
      </c>
      <c r="BF26" s="407">
        <f>Operating!BF$38</f>
        <v/>
      </c>
      <c r="BG26" s="407">
        <f>Operating!BG$38</f>
        <v/>
      </c>
      <c r="BH26" s="407">
        <f>Operating!BH$38</f>
        <v/>
      </c>
      <c r="BI26" s="407">
        <f>Operating!BI$38</f>
        <v/>
      </c>
      <c r="BJ26" s="407">
        <f>Operating!BJ$38</f>
        <v/>
      </c>
      <c r="BK26" s="407">
        <f>Operating!BK$38</f>
        <v/>
      </c>
      <c r="BL26" s="407">
        <f>Operating!BL$38</f>
        <v/>
      </c>
      <c r="BM26" s="407">
        <f>Operating!BM$38</f>
        <v/>
      </c>
      <c r="BN26" s="407">
        <f>Operating!BN$38</f>
        <v/>
      </c>
      <c r="BO26" s="407">
        <f>Operating!BO$38</f>
        <v/>
      </c>
      <c r="BP26" s="407">
        <f>Operating!BP$38</f>
        <v/>
      </c>
      <c r="BQ26" s="407">
        <f>Operating!BQ$38</f>
        <v/>
      </c>
      <c r="BR26" s="407">
        <f>Operating!BR$38</f>
        <v/>
      </c>
      <c r="BS26" s="407">
        <f>Operating!BS$38</f>
        <v/>
      </c>
      <c r="BT26" s="407">
        <f>Operating!BT$38</f>
        <v/>
      </c>
      <c r="BU26" s="407">
        <f>Operating!BU$38</f>
        <v/>
      </c>
      <c r="BV26" s="407">
        <f>Operating!BV$38</f>
        <v/>
      </c>
      <c r="BW26" s="407">
        <f>Operating!BW$38</f>
        <v/>
      </c>
      <c r="BX26" s="407">
        <f>Operating!BX$38</f>
        <v/>
      </c>
      <c r="BY26" s="407">
        <f>Operating!BY$38</f>
        <v/>
      </c>
      <c r="BZ26" s="407">
        <f>Operating!BZ$38</f>
        <v/>
      </c>
      <c r="CA26" s="407">
        <f>Operating!CA$38</f>
        <v/>
      </c>
      <c r="CB26" s="407">
        <f>Operating!CB$38</f>
        <v/>
      </c>
      <c r="CC26" s="407">
        <f>Operating!CC$38</f>
        <v/>
      </c>
      <c r="CD26" s="407">
        <f>Operating!CD$38</f>
        <v/>
      </c>
      <c r="CE26" s="407">
        <f>Operating!CE$38</f>
        <v/>
      </c>
      <c r="CF26" s="407">
        <f>Operating!CF$38</f>
        <v/>
      </c>
      <c r="CG26" s="407">
        <f>Operating!CG$38</f>
        <v/>
      </c>
      <c r="CH26" s="407">
        <f>Operating!CH$38</f>
        <v/>
      </c>
      <c r="CI26" s="407">
        <f>Operating!CI$38</f>
        <v/>
      </c>
      <c r="CJ26" s="407">
        <f>Operating!CJ$38</f>
        <v/>
      </c>
      <c r="CK26" s="407">
        <f>Operating!CK$38</f>
        <v/>
      </c>
      <c r="CL26" s="407">
        <f>Operating!CL$38</f>
        <v/>
      </c>
      <c r="CM26" s="407">
        <f>Operating!CM$38</f>
        <v/>
      </c>
      <c r="CN26" s="407">
        <f>Operating!CN$38</f>
        <v/>
      </c>
      <c r="CO26" s="407">
        <f>Operating!CO$38</f>
        <v/>
      </c>
      <c r="CP26" s="407">
        <f>Operating!CP$38</f>
        <v/>
      </c>
      <c r="CQ26" s="407">
        <f>Operating!CQ$38</f>
        <v/>
      </c>
      <c r="CR26" s="407">
        <f>Operating!CR$38</f>
        <v/>
      </c>
      <c r="CS26" s="407">
        <f>Operating!CS$38</f>
        <v/>
      </c>
      <c r="CT26" s="407">
        <f>Operating!CT$38</f>
        <v/>
      </c>
      <c r="CU26" s="407">
        <f>Operating!CU$38</f>
        <v/>
      </c>
      <c r="CV26" s="407">
        <f>Operating!CV$38</f>
        <v/>
      </c>
      <c r="CW26" s="407">
        <f>Operating!CW$38</f>
        <v/>
      </c>
      <c r="CX26" s="407">
        <f>Operating!CX$38</f>
        <v/>
      </c>
      <c r="CY26" s="407">
        <f>Operating!CY$38</f>
        <v/>
      </c>
      <c r="CZ26" s="407">
        <f>Operating!CZ$38</f>
        <v/>
      </c>
      <c r="DA26" s="407">
        <f>Operating!DA$38</f>
        <v/>
      </c>
      <c r="DB26" s="407">
        <f>Operating!DB$38</f>
        <v/>
      </c>
      <c r="DC26" s="407">
        <f>Operating!DC$38</f>
        <v/>
      </c>
      <c r="DD26" s="407">
        <f>Operating!DD$38</f>
        <v/>
      </c>
      <c r="DE26" s="407">
        <f>Operating!DE$38</f>
        <v/>
      </c>
      <c r="DF26" s="407">
        <f>Operating!DF$38</f>
        <v/>
      </c>
      <c r="DG26" s="407">
        <f>Operating!DG$38</f>
        <v/>
      </c>
      <c r="DH26" s="407">
        <f>Operating!DH$38</f>
        <v/>
      </c>
      <c r="DI26" s="407">
        <f>Operating!DI$38</f>
        <v/>
      </c>
      <c r="DJ26" s="407">
        <f>Operating!DJ$38</f>
        <v/>
      </c>
      <c r="DK26" s="407">
        <f>Operating!DK$38</f>
        <v/>
      </c>
      <c r="DL26" s="407">
        <f>Operating!DL$38</f>
        <v/>
      </c>
      <c r="DM26" s="407">
        <f>Operating!DM$38</f>
        <v/>
      </c>
      <c r="DN26" s="407">
        <f>Operating!DN$38</f>
        <v/>
      </c>
      <c r="DO26" s="407">
        <f>Operating!DO$38</f>
        <v/>
      </c>
      <c r="DP26" s="407">
        <f>Operating!DP$38</f>
        <v/>
      </c>
      <c r="DQ26" s="407">
        <f>Operating!DQ$38</f>
        <v/>
      </c>
      <c r="DR26" s="407">
        <f>Operating!DR$38</f>
        <v/>
      </c>
      <c r="DS26" s="407">
        <f>Operating!DS$38</f>
        <v/>
      </c>
      <c r="DT26" s="407">
        <f>Operating!DT$38</f>
        <v/>
      </c>
      <c r="DU26" s="407">
        <f>Operating!DU$38</f>
        <v/>
      </c>
      <c r="DV26" s="407">
        <f>Operating!DV$38</f>
        <v/>
      </c>
      <c r="DW26" s="407">
        <f>Operating!DW$38</f>
        <v/>
      </c>
      <c r="DX26" s="407">
        <f>Operating!DX$38</f>
        <v/>
      </c>
      <c r="DY26" s="407">
        <f>Operating!DY$38</f>
        <v/>
      </c>
      <c r="DZ26" s="407">
        <f>Operating!DZ$38</f>
        <v/>
      </c>
      <c r="EA26" s="407">
        <f>Operating!EA$38</f>
        <v/>
      </c>
      <c r="EB26" s="407">
        <f>Operating!EB$38</f>
        <v/>
      </c>
      <c r="EC26" s="407">
        <f>Operating!EC$38</f>
        <v/>
      </c>
      <c r="ED26" s="407">
        <f>Operating!ED$38</f>
        <v/>
      </c>
      <c r="EE26" s="407">
        <f>Operating!EE$38</f>
        <v/>
      </c>
      <c r="EF26" s="407">
        <f>Operating!EF$38</f>
        <v/>
      </c>
      <c r="EG26" s="407">
        <f>Operating!EG$38</f>
        <v/>
      </c>
      <c r="EH26" s="407">
        <f>Operating!EH$38</f>
        <v/>
      </c>
      <c r="EI26" s="407">
        <f>Operating!EI$38</f>
        <v/>
      </c>
      <c r="EJ26" s="407">
        <f>Operating!EJ$38</f>
        <v/>
      </c>
      <c r="EK26" s="407">
        <f>Operating!EK$38</f>
        <v/>
      </c>
      <c r="EL26" s="407">
        <f>Operating!EL$38</f>
        <v/>
      </c>
      <c r="EM26" s="407">
        <f>Operating!EM$38</f>
        <v/>
      </c>
      <c r="EN26" s="407">
        <f>Operating!EN$38</f>
        <v/>
      </c>
      <c r="EO26" s="407">
        <f>Operating!EO$38</f>
        <v/>
      </c>
      <c r="EP26" s="407">
        <f>Operating!EP$38</f>
        <v/>
      </c>
      <c r="EQ26" s="407">
        <f>Operating!EQ$38</f>
        <v/>
      </c>
      <c r="ER26" s="407">
        <f>Operating!ER$38</f>
        <v/>
      </c>
      <c r="ES26" s="407">
        <f>Operating!ES$38</f>
        <v/>
      </c>
      <c r="ET26" s="407">
        <f>Operating!ET$38</f>
        <v/>
      </c>
      <c r="EU26" s="407">
        <f>Operating!EU$38</f>
        <v/>
      </c>
      <c r="EV26" s="407">
        <f>Operating!EV$38</f>
        <v/>
      </c>
      <c r="EW26" s="407">
        <f>Operating!EW$38</f>
        <v/>
      </c>
      <c r="EX26" s="407">
        <f>Operating!EX$38</f>
        <v/>
      </c>
      <c r="EY26" s="407">
        <f>Operating!EY$38</f>
        <v/>
      </c>
      <c r="EZ26" s="407">
        <f>Operating!EZ$38</f>
        <v/>
      </c>
      <c r="FA26" s="407">
        <f>Operating!FA$38</f>
        <v/>
      </c>
      <c r="FB26" s="407">
        <f>Operating!FB$38</f>
        <v/>
      </c>
      <c r="FC26" s="407">
        <f>Operating!FC$38</f>
        <v/>
      </c>
      <c r="FD26" s="407">
        <f>Operating!FD$38</f>
        <v/>
      </c>
      <c r="FE26" s="407">
        <f>Operating!FE$38</f>
        <v/>
      </c>
      <c r="FF26" s="407">
        <f>Operating!FF$38</f>
        <v/>
      </c>
      <c r="FG26" s="407">
        <f>Operating!FG$38</f>
        <v/>
      </c>
      <c r="FH26" s="407">
        <f>Operating!FH$38</f>
        <v/>
      </c>
      <c r="FI26" s="407">
        <f>Operating!FI$38</f>
        <v/>
      </c>
      <c r="FJ26" s="407">
        <f>Operating!FJ$38</f>
        <v/>
      </c>
      <c r="FK26" s="407">
        <f>Operating!FK$38</f>
        <v/>
      </c>
      <c r="FL26" s="407">
        <f>Operating!FL$38</f>
        <v/>
      </c>
      <c r="FM26" s="407">
        <f>Operating!FM$38</f>
        <v/>
      </c>
      <c r="FN26" s="407">
        <f>Operating!FN$38</f>
        <v/>
      </c>
      <c r="FO26" s="407">
        <f>Operating!FO$38</f>
        <v/>
      </c>
      <c r="FP26" s="407">
        <f>Operating!FP$38</f>
        <v/>
      </c>
      <c r="FQ26" s="407">
        <f>Operating!FQ$38</f>
        <v/>
      </c>
      <c r="FR26" s="407">
        <f>Operating!FR$38</f>
        <v/>
      </c>
      <c r="FS26" s="407">
        <f>Operating!FS$38</f>
        <v/>
      </c>
      <c r="FT26" s="407">
        <f>Operating!FT$38</f>
        <v/>
      </c>
      <c r="FU26" s="407">
        <f>Operating!FU$38</f>
        <v/>
      </c>
      <c r="FV26" s="407">
        <f>Operating!FV$38</f>
        <v/>
      </c>
      <c r="FW26" s="407">
        <f>Operating!FW$38</f>
        <v/>
      </c>
      <c r="FX26" s="407">
        <f>Operating!FX$38</f>
        <v/>
      </c>
      <c r="FY26" s="407">
        <f>Operating!FY$38</f>
        <v/>
      </c>
      <c r="FZ26" s="407">
        <f>Operating!FZ$38</f>
        <v/>
      </c>
      <c r="GA26" s="407">
        <f>Operating!GA$38</f>
        <v/>
      </c>
      <c r="GB26" s="407">
        <f>Operating!GB$38</f>
        <v/>
      </c>
      <c r="GC26" s="407">
        <f>Operating!GC$38</f>
        <v/>
      </c>
      <c r="GD26" s="407">
        <f>Operating!GD$38</f>
        <v/>
      </c>
      <c r="GE26" s="407">
        <f>Operating!GE$38</f>
        <v/>
      </c>
      <c r="GF26" s="407">
        <f>Operating!GF$38</f>
        <v/>
      </c>
      <c r="GG26" s="407">
        <f>Operating!GG$38</f>
        <v/>
      </c>
      <c r="GH26" s="407">
        <f>Operating!GH$38</f>
        <v/>
      </c>
      <c r="GI26" s="407">
        <f>Operating!GI$38</f>
        <v/>
      </c>
      <c r="GJ26" s="407">
        <f>Operating!GJ$38</f>
        <v/>
      </c>
      <c r="GK26" s="407">
        <f>Operating!GK$38</f>
        <v/>
      </c>
      <c r="GL26" s="407">
        <f>Operating!GL$38</f>
        <v/>
      </c>
      <c r="GM26" s="407">
        <f>Operating!GM$38</f>
        <v/>
      </c>
      <c r="GN26" s="407">
        <f>Operating!GN$38</f>
        <v/>
      </c>
      <c r="GO26" s="407">
        <f>Operating!GO$38</f>
        <v/>
      </c>
      <c r="GP26" s="407">
        <f>Operating!GP$38</f>
        <v/>
      </c>
      <c r="GQ26" s="407">
        <f>Operating!GQ$38</f>
        <v/>
      </c>
      <c r="GR26" s="407">
        <f>Operating!GR$38</f>
        <v/>
      </c>
      <c r="GS26" s="407">
        <f>Operating!GS$38</f>
        <v/>
      </c>
      <c r="GT26" s="407">
        <f>Operating!GT$38</f>
        <v/>
      </c>
      <c r="GU26" s="407">
        <f>Operating!GU$38</f>
        <v/>
      </c>
      <c r="GV26" s="407">
        <f>Operating!GV$38</f>
        <v/>
      </c>
      <c r="GW26" s="407">
        <f>Operating!GW$38</f>
        <v/>
      </c>
      <c r="GX26" s="407">
        <f>Operating!GX$38</f>
        <v/>
      </c>
      <c r="GY26" s="407">
        <f>Operating!GY$38</f>
        <v/>
      </c>
      <c r="GZ26" s="407">
        <f>Operating!GZ$38</f>
        <v/>
      </c>
      <c r="HA26" s="407">
        <f>Operating!HA$38</f>
        <v/>
      </c>
      <c r="HB26" s="407">
        <f>Operating!HB$38</f>
        <v/>
      </c>
      <c r="HC26" s="407">
        <f>Operating!HC$38</f>
        <v/>
      </c>
      <c r="HD26" s="407">
        <f>Operating!HD$38</f>
        <v/>
      </c>
      <c r="HE26" s="407">
        <f>Operating!HE$38</f>
        <v/>
      </c>
      <c r="HF26" s="407">
        <f>Operating!HF$38</f>
        <v/>
      </c>
      <c r="HG26" s="407">
        <f>Operating!HG$38</f>
        <v/>
      </c>
      <c r="HH26" s="407">
        <f>Operating!HH$38</f>
        <v/>
      </c>
      <c r="HI26" s="407">
        <f>Operating!HI$38</f>
        <v/>
      </c>
      <c r="HJ26" s="407">
        <f>Operating!HJ$38</f>
        <v/>
      </c>
      <c r="HK26" s="407">
        <f>Operating!HK$38</f>
        <v/>
      </c>
      <c r="HL26" s="407">
        <f>Operating!HL$38</f>
        <v/>
      </c>
      <c r="HM26" s="407">
        <f>Operating!HM$38</f>
        <v/>
      </c>
      <c r="HN26" s="407">
        <f>Operating!HN$38</f>
        <v/>
      </c>
      <c r="HO26" s="407">
        <f>Operating!HO$38</f>
        <v/>
      </c>
      <c r="HP26" s="407">
        <f>Operating!HP$38</f>
        <v/>
      </c>
      <c r="HQ26" s="407">
        <f>Operating!HQ$38</f>
        <v/>
      </c>
      <c r="HR26" s="407">
        <f>Operating!HR$38</f>
        <v/>
      </c>
      <c r="HS26" s="407">
        <f>Operating!HS$38</f>
        <v/>
      </c>
      <c r="HT26" s="407">
        <f>Operating!HT$38</f>
        <v/>
      </c>
      <c r="HU26" s="407">
        <f>Operating!HU$38</f>
        <v/>
      </c>
      <c r="HV26" s="407">
        <f>Operating!HV$38</f>
        <v/>
      </c>
      <c r="HW26" s="407">
        <f>Operating!HW$38</f>
        <v/>
      </c>
      <c r="HX26" s="407">
        <f>Operating!HX$38</f>
        <v/>
      </c>
      <c r="HY26" s="407">
        <f>Operating!HY$38</f>
        <v/>
      </c>
      <c r="HZ26" s="407">
        <f>Operating!HZ$38</f>
        <v/>
      </c>
      <c r="IA26" s="407">
        <f>Operating!IA$38</f>
        <v/>
      </c>
      <c r="IB26" s="407">
        <f>Operating!IB$38</f>
        <v/>
      </c>
      <c r="IC26" s="407">
        <f>Operating!IC$38</f>
        <v/>
      </c>
      <c r="ID26" s="407">
        <f>Operating!ID$38</f>
        <v/>
      </c>
      <c r="IE26" s="407">
        <f>Operating!IE$38</f>
        <v/>
      </c>
      <c r="IF26" s="407">
        <f>Operating!IF$38</f>
        <v/>
      </c>
      <c r="IG26" s="407">
        <f>Operating!IG$38</f>
        <v/>
      </c>
      <c r="IH26" s="407">
        <f>Operating!IH$38</f>
        <v/>
      </c>
      <c r="II26" s="407">
        <f>Operating!II$38</f>
        <v/>
      </c>
      <c r="IJ26" s="407">
        <f>Operating!IJ$38</f>
        <v/>
      </c>
      <c r="IK26" s="407">
        <f>Operating!IK$38</f>
        <v/>
      </c>
      <c r="IL26" s="407">
        <f>Operating!IL$38</f>
        <v/>
      </c>
      <c r="IM26" s="407">
        <f>Operating!IM$38</f>
        <v/>
      </c>
      <c r="IN26" s="407">
        <f>Operating!IN$38</f>
        <v/>
      </c>
      <c r="IO26" s="407">
        <f>Operating!IO$38</f>
        <v/>
      </c>
      <c r="IP26" s="407">
        <f>Operating!IP$38</f>
        <v/>
      </c>
      <c r="IQ26" s="407">
        <f>Operating!IQ$38</f>
        <v/>
      </c>
      <c r="IR26" s="407">
        <f>Operating!IR$38</f>
        <v/>
      </c>
      <c r="IS26" s="407">
        <f>Operating!IS$38</f>
        <v/>
      </c>
      <c r="IT26" s="407">
        <f>Operating!IT$38</f>
        <v/>
      </c>
      <c r="IU26" s="407">
        <f>Operating!IU$38</f>
        <v/>
      </c>
      <c r="IV26" s="407">
        <f>Operating!IV$38</f>
        <v/>
      </c>
      <c r="IW26" s="407">
        <f>Operating!IW$38</f>
        <v/>
      </c>
      <c r="IX26" s="407">
        <f>Operating!IX$38</f>
        <v/>
      </c>
      <c r="IY26" s="407">
        <f>Operating!IY$38</f>
        <v/>
      </c>
      <c r="IZ26" s="407">
        <f>Operating!IZ$38</f>
        <v/>
      </c>
      <c r="JA26" s="407">
        <f>Operating!JA$38</f>
        <v/>
      </c>
      <c r="JB26" s="407">
        <f>Operating!JB$38</f>
        <v/>
      </c>
      <c r="JC26" s="407">
        <f>Operating!JC$38</f>
        <v/>
      </c>
      <c r="JD26" s="407">
        <f>Operating!JD$38</f>
        <v/>
      </c>
      <c r="JE26" s="407">
        <f>Operating!JE$38</f>
        <v/>
      </c>
      <c r="JF26" s="407">
        <f>Operating!JF$38</f>
        <v/>
      </c>
      <c r="JG26" s="407">
        <f>Operating!JG$38</f>
        <v/>
      </c>
      <c r="JH26" s="407">
        <f>Operating!JH$38</f>
        <v/>
      </c>
      <c r="JI26" s="407">
        <f>Operating!JI$38</f>
        <v/>
      </c>
      <c r="JJ26" s="407">
        <f>Operating!JJ$38</f>
        <v/>
      </c>
      <c r="JK26" s="407">
        <f>Operating!JK$38</f>
        <v/>
      </c>
      <c r="JL26" s="407">
        <f>Operating!JL$38</f>
        <v/>
      </c>
      <c r="JM26" s="407">
        <f>Operating!JM$38</f>
        <v/>
      </c>
      <c r="JN26" s="407">
        <f>Operating!JN$38</f>
        <v/>
      </c>
      <c r="JO26" s="407">
        <f>Operating!JO$38</f>
        <v/>
      </c>
      <c r="JP26" s="407">
        <f>Operating!JP$38</f>
        <v/>
      </c>
      <c r="JQ26" s="407">
        <f>Operating!JQ$38</f>
        <v/>
      </c>
      <c r="JR26" s="407">
        <f>Operating!JR$38</f>
        <v/>
      </c>
      <c r="JS26" s="407">
        <f>Operating!JS$38</f>
        <v/>
      </c>
      <c r="JT26" s="407">
        <f>Operating!JT$38</f>
        <v/>
      </c>
      <c r="JU26" s="407">
        <f>Operating!JU$38</f>
        <v/>
      </c>
      <c r="JV26" s="407">
        <f>Operating!JV$38</f>
        <v/>
      </c>
      <c r="JW26" s="407">
        <f>Operating!JW$38</f>
        <v/>
      </c>
      <c r="JX26" s="407">
        <f>Operating!JX$38</f>
        <v/>
      </c>
      <c r="JY26" s="407">
        <f>Operating!JY$38</f>
        <v/>
      </c>
      <c r="JZ26" s="407">
        <f>Operating!JZ$38</f>
        <v/>
      </c>
      <c r="KA26" s="407">
        <f>Operating!KA$38</f>
        <v/>
      </c>
      <c r="KB26" s="407">
        <f>Operating!KB$38</f>
        <v/>
      </c>
      <c r="KC26" s="407">
        <f>Operating!KC$38</f>
        <v/>
      </c>
      <c r="KD26" s="407">
        <f>Operating!KD$38</f>
        <v/>
      </c>
      <c r="KE26" s="407">
        <f>Operating!KE$38</f>
        <v/>
      </c>
      <c r="KF26" s="407">
        <f>Operating!KF$38</f>
        <v/>
      </c>
      <c r="KG26" s="407">
        <f>Operating!KG$38</f>
        <v/>
      </c>
      <c r="KH26" s="407">
        <f>Operating!KH$38</f>
        <v/>
      </c>
      <c r="KI26" s="407">
        <f>Operating!KI$38</f>
        <v/>
      </c>
      <c r="KJ26" s="407">
        <f>Operating!KJ$38</f>
        <v/>
      </c>
      <c r="KK26" s="407">
        <f>Operating!KK$38</f>
        <v/>
      </c>
      <c r="KL26" s="407">
        <f>Operating!KL$38</f>
        <v/>
      </c>
      <c r="KM26" s="407">
        <f>Operating!KM$38</f>
        <v/>
      </c>
      <c r="KN26" s="407">
        <f>Operating!KN$38</f>
        <v/>
      </c>
      <c r="KO26" s="407">
        <f>Operating!KO$38</f>
        <v/>
      </c>
      <c r="KP26" s="407">
        <f>Operating!KP$38</f>
        <v/>
      </c>
      <c r="KQ26" s="407">
        <f>Operating!KQ$38</f>
        <v/>
      </c>
      <c r="KR26" s="407">
        <f>Operating!KR$38</f>
        <v/>
      </c>
      <c r="KS26" s="407">
        <f>Operating!KS$38</f>
        <v/>
      </c>
      <c r="KT26" s="407">
        <f>Operating!KT$38</f>
        <v/>
      </c>
      <c r="KU26" s="407">
        <f>Operating!KU$38</f>
        <v/>
      </c>
      <c r="KV26" s="407">
        <f>Operating!KV$38</f>
        <v/>
      </c>
      <c r="KW26" s="407">
        <f>Operating!KW$38</f>
        <v/>
      </c>
      <c r="KX26" s="407">
        <f>Operating!KX$38</f>
        <v/>
      </c>
      <c r="KY26" s="407">
        <f>Operating!KY$38</f>
        <v/>
      </c>
      <c r="KZ26" s="407">
        <f>Operating!KZ$38</f>
        <v/>
      </c>
      <c r="LA26" s="407">
        <f>Operating!LA$38</f>
        <v/>
      </c>
      <c r="LB26" s="407">
        <f>Operating!LB$38</f>
        <v/>
      </c>
      <c r="LC26" s="407">
        <f>Operating!LC$38</f>
        <v/>
      </c>
      <c r="LD26" s="407">
        <f>Operating!LD$38</f>
        <v/>
      </c>
      <c r="LE26" s="407">
        <f>Operating!LE$38</f>
        <v/>
      </c>
      <c r="LF26" s="407">
        <f>Operating!LF$38</f>
        <v/>
      </c>
      <c r="LG26" s="407">
        <f>Operating!LG$38</f>
        <v/>
      </c>
      <c r="LH26" s="407">
        <f>Operating!LH$38</f>
        <v/>
      </c>
      <c r="LI26" s="407">
        <f>Operating!LI$38</f>
        <v/>
      </c>
      <c r="LJ26" s="407">
        <f>Operating!LJ$38</f>
        <v/>
      </c>
      <c r="LK26" s="407">
        <f>Operating!LK$38</f>
        <v/>
      </c>
      <c r="LL26" s="407">
        <f>Operating!LL$38</f>
        <v/>
      </c>
      <c r="LM26" s="407">
        <f>Operating!LM$38</f>
        <v/>
      </c>
      <c r="LN26" s="407">
        <f>Operating!LN$38</f>
        <v/>
      </c>
      <c r="LO26" s="407">
        <f>Operating!LO$38</f>
        <v/>
      </c>
      <c r="LP26" s="407">
        <f>Operating!LP$38</f>
        <v/>
      </c>
      <c r="LQ26" s="407">
        <f>Operating!LQ$38</f>
        <v/>
      </c>
      <c r="LR26" s="407">
        <f>Operating!LR$38</f>
        <v/>
      </c>
      <c r="LS26" s="407">
        <f>Operating!LS$38</f>
        <v/>
      </c>
      <c r="LT26" s="407">
        <f>Operating!LT$38</f>
        <v/>
      </c>
      <c r="LU26" s="407">
        <f>Operating!LU$38</f>
        <v/>
      </c>
      <c r="LV26" s="407">
        <f>Operating!LV$38</f>
        <v/>
      </c>
      <c r="LW26" s="407">
        <f>Operating!LW$38</f>
        <v/>
      </c>
      <c r="LX26" s="407">
        <f>Operating!LX$38</f>
        <v/>
      </c>
      <c r="LY26" s="407">
        <f>Operating!LY$38</f>
        <v/>
      </c>
      <c r="LZ26" s="407">
        <f>Operating!LZ$38</f>
        <v/>
      </c>
      <c r="MA26" s="407">
        <f>Operating!MA$38</f>
        <v/>
      </c>
      <c r="MB26" s="407">
        <f>Operating!MB$38</f>
        <v/>
      </c>
      <c r="MC26" s="407">
        <f>Operating!MC$38</f>
        <v/>
      </c>
      <c r="MD26" s="407">
        <f>Operating!MD$38</f>
        <v/>
      </c>
      <c r="ME26" s="407">
        <f>Operating!ME$38</f>
        <v/>
      </c>
      <c r="MF26" s="407">
        <f>Operating!MF$38</f>
        <v/>
      </c>
      <c r="MG26" s="407">
        <f>Operating!MG$38</f>
        <v/>
      </c>
      <c r="MH26" s="407">
        <f>Operating!MH$38</f>
        <v/>
      </c>
      <c r="MI26" s="407">
        <f>Operating!MI$38</f>
        <v/>
      </c>
      <c r="MJ26" s="407">
        <f>Operating!MJ$38</f>
        <v/>
      </c>
      <c r="MK26" s="407">
        <f>Operating!MK$38</f>
        <v/>
      </c>
      <c r="ML26" s="407">
        <f>Operating!ML$38</f>
        <v/>
      </c>
      <c r="MM26" s="407">
        <f>Operating!MM$38</f>
        <v/>
      </c>
      <c r="MN26" s="407">
        <f>Operating!MN$38</f>
        <v/>
      </c>
      <c r="MO26" s="407">
        <f>Operating!MO$38</f>
        <v/>
      </c>
      <c r="MP26" s="407">
        <f>Operating!MP$38</f>
        <v/>
      </c>
      <c r="MQ26" s="407">
        <f>Operating!MQ$38</f>
        <v/>
      </c>
      <c r="MR26" s="407">
        <f>Operating!MR$38</f>
        <v/>
      </c>
      <c r="MS26" s="407">
        <f>Operating!MS$38</f>
        <v/>
      </c>
      <c r="MT26" s="407">
        <f>Operating!MT$38</f>
        <v/>
      </c>
      <c r="MU26" s="407">
        <f>Operating!MU$38</f>
        <v/>
      </c>
      <c r="MV26" s="407">
        <f>Operating!MV$38</f>
        <v/>
      </c>
      <c r="MW26" s="407">
        <f>Operating!MW$38</f>
        <v/>
      </c>
      <c r="MX26" s="407">
        <f>Operating!MX$38</f>
        <v/>
      </c>
      <c r="MY26" s="407">
        <f>Operating!MY$38</f>
        <v/>
      </c>
      <c r="MZ26" s="407">
        <f>Operating!MZ$38</f>
        <v/>
      </c>
      <c r="NA26" s="407">
        <f>Operating!NA$38</f>
        <v/>
      </c>
      <c r="NB26" s="407">
        <f>Operating!NB$38</f>
        <v/>
      </c>
      <c r="NC26" s="407">
        <f>Operating!NC$38</f>
        <v/>
      </c>
      <c r="ND26" s="407">
        <f>Operating!ND$38</f>
        <v/>
      </c>
      <c r="NE26" s="407">
        <f>Operating!NE$38</f>
        <v/>
      </c>
      <c r="NF26" s="407">
        <f>Operating!NF$38</f>
        <v/>
      </c>
      <c r="NG26" s="407">
        <f>Operating!NG$38</f>
        <v/>
      </c>
      <c r="NH26" s="407">
        <f>Operating!NH$38</f>
        <v/>
      </c>
      <c r="NI26" s="407">
        <f>Operating!NI$38</f>
        <v/>
      </c>
      <c r="NJ26" s="407">
        <f>Operating!NJ$38</f>
        <v/>
      </c>
      <c r="NK26" s="407">
        <f>Operating!NK$38</f>
        <v/>
      </c>
      <c r="NL26" s="407">
        <f>Operating!NL$38</f>
        <v/>
      </c>
    </row>
    <row r="27">
      <c r="B27" s="316" t="inlineStr">
        <is>
          <t>Asset Management Fees</t>
        </is>
      </c>
      <c r="D27" s="402">
        <f>SUM(E27:NL27)</f>
        <v/>
      </c>
      <c r="E27" s="402">
        <f>-AssetMgmtFeePct*Operating!E$23</f>
        <v/>
      </c>
      <c r="F27" s="402">
        <f>-AssetMgmtFeePct*Operating!F$23</f>
        <v/>
      </c>
      <c r="G27" s="402">
        <f>-AssetMgmtFeePct*Operating!G$23</f>
        <v/>
      </c>
      <c r="H27" s="402">
        <f>-AssetMgmtFeePct*Operating!H$23</f>
        <v/>
      </c>
      <c r="I27" s="402">
        <f>-AssetMgmtFeePct*Operating!I$23</f>
        <v/>
      </c>
      <c r="J27" s="402">
        <f>-AssetMgmtFeePct*Operating!J$23</f>
        <v/>
      </c>
      <c r="K27" s="402">
        <f>-AssetMgmtFeePct*Operating!K$23</f>
        <v/>
      </c>
      <c r="L27" s="402">
        <f>-AssetMgmtFeePct*Operating!L$23</f>
        <v/>
      </c>
      <c r="M27" s="402">
        <f>-AssetMgmtFeePct*Operating!M$23</f>
        <v/>
      </c>
      <c r="N27" s="402">
        <f>-AssetMgmtFeePct*Operating!N$23</f>
        <v/>
      </c>
      <c r="O27" s="402">
        <f>-AssetMgmtFeePct*Operating!O$23</f>
        <v/>
      </c>
      <c r="P27" s="402">
        <f>-AssetMgmtFeePct*Operating!P$23</f>
        <v/>
      </c>
      <c r="Q27" s="402">
        <f>-AssetMgmtFeePct*Operating!Q$23</f>
        <v/>
      </c>
      <c r="R27" s="402">
        <f>-AssetMgmtFeePct*Operating!R$23</f>
        <v/>
      </c>
      <c r="S27" s="402">
        <f>-AssetMgmtFeePct*Operating!S$23</f>
        <v/>
      </c>
      <c r="T27" s="402">
        <f>-AssetMgmtFeePct*Operating!T$23</f>
        <v/>
      </c>
      <c r="U27" s="402">
        <f>-AssetMgmtFeePct*Operating!U$23</f>
        <v/>
      </c>
      <c r="V27" s="402">
        <f>-AssetMgmtFeePct*Operating!V$23</f>
        <v/>
      </c>
      <c r="W27" s="402">
        <f>-AssetMgmtFeePct*Operating!W$23</f>
        <v/>
      </c>
      <c r="X27" s="402">
        <f>-AssetMgmtFeePct*Operating!X$23</f>
        <v/>
      </c>
      <c r="Y27" s="402">
        <f>-AssetMgmtFeePct*Operating!Y$23</f>
        <v/>
      </c>
      <c r="Z27" s="402">
        <f>-AssetMgmtFeePct*Operating!Z$23</f>
        <v/>
      </c>
      <c r="AA27" s="402">
        <f>-AssetMgmtFeePct*Operating!AA$23</f>
        <v/>
      </c>
      <c r="AB27" s="402">
        <f>-AssetMgmtFeePct*Operating!AB$23</f>
        <v/>
      </c>
      <c r="AC27" s="402">
        <f>-AssetMgmtFeePct*Operating!AC$23</f>
        <v/>
      </c>
      <c r="AD27" s="402">
        <f>-AssetMgmtFeePct*Operating!AD$23</f>
        <v/>
      </c>
      <c r="AE27" s="402">
        <f>-AssetMgmtFeePct*Operating!AE$23</f>
        <v/>
      </c>
      <c r="AF27" s="402">
        <f>-AssetMgmtFeePct*Operating!AF$23</f>
        <v/>
      </c>
      <c r="AG27" s="402">
        <f>-AssetMgmtFeePct*Operating!AG$23</f>
        <v/>
      </c>
      <c r="AH27" s="402">
        <f>-AssetMgmtFeePct*Operating!AH$23</f>
        <v/>
      </c>
      <c r="AI27" s="402">
        <f>-AssetMgmtFeePct*Operating!AI$23</f>
        <v/>
      </c>
      <c r="AJ27" s="402">
        <f>-AssetMgmtFeePct*Operating!AJ$23</f>
        <v/>
      </c>
      <c r="AK27" s="402">
        <f>-AssetMgmtFeePct*Operating!AK$23</f>
        <v/>
      </c>
      <c r="AL27" s="402">
        <f>-AssetMgmtFeePct*Operating!AL$23</f>
        <v/>
      </c>
      <c r="AM27" s="402">
        <f>-AssetMgmtFeePct*Operating!AM$23</f>
        <v/>
      </c>
      <c r="AN27" s="402">
        <f>-AssetMgmtFeePct*Operating!AN$23</f>
        <v/>
      </c>
      <c r="AO27" s="402">
        <f>-AssetMgmtFeePct*Operating!AO$23</f>
        <v/>
      </c>
      <c r="AP27" s="402">
        <f>-AssetMgmtFeePct*Operating!AP$23</f>
        <v/>
      </c>
      <c r="AQ27" s="402">
        <f>-AssetMgmtFeePct*Operating!AQ$23</f>
        <v/>
      </c>
      <c r="AR27" s="402">
        <f>-AssetMgmtFeePct*Operating!AR$23</f>
        <v/>
      </c>
      <c r="AS27" s="402">
        <f>-AssetMgmtFeePct*Operating!AS$23</f>
        <v/>
      </c>
      <c r="AT27" s="402">
        <f>-AssetMgmtFeePct*Operating!AT$23</f>
        <v/>
      </c>
      <c r="AU27" s="402">
        <f>-AssetMgmtFeePct*Operating!AU$23</f>
        <v/>
      </c>
      <c r="AV27" s="402">
        <f>-AssetMgmtFeePct*Operating!AV$23</f>
        <v/>
      </c>
      <c r="AW27" s="402">
        <f>-AssetMgmtFeePct*Operating!AW$23</f>
        <v/>
      </c>
      <c r="AX27" s="402">
        <f>-AssetMgmtFeePct*Operating!AX$23</f>
        <v/>
      </c>
      <c r="AY27" s="402">
        <f>-AssetMgmtFeePct*Operating!AY$23</f>
        <v/>
      </c>
      <c r="AZ27" s="402">
        <f>-AssetMgmtFeePct*Operating!AZ$23</f>
        <v/>
      </c>
      <c r="BA27" s="402">
        <f>-AssetMgmtFeePct*Operating!BA$23</f>
        <v/>
      </c>
      <c r="BB27" s="402">
        <f>-AssetMgmtFeePct*Operating!BB$23</f>
        <v/>
      </c>
      <c r="BC27" s="402">
        <f>-AssetMgmtFeePct*Operating!BC$23</f>
        <v/>
      </c>
      <c r="BD27" s="402">
        <f>-AssetMgmtFeePct*Operating!BD$23</f>
        <v/>
      </c>
      <c r="BE27" s="402">
        <f>-AssetMgmtFeePct*Operating!BE$23</f>
        <v/>
      </c>
      <c r="BF27" s="402">
        <f>-AssetMgmtFeePct*Operating!BF$23</f>
        <v/>
      </c>
      <c r="BG27" s="402">
        <f>-AssetMgmtFeePct*Operating!BG$23</f>
        <v/>
      </c>
      <c r="BH27" s="402">
        <f>-AssetMgmtFeePct*Operating!BH$23</f>
        <v/>
      </c>
      <c r="BI27" s="402">
        <f>-AssetMgmtFeePct*Operating!BI$23</f>
        <v/>
      </c>
      <c r="BJ27" s="402">
        <f>-AssetMgmtFeePct*Operating!BJ$23</f>
        <v/>
      </c>
      <c r="BK27" s="402">
        <f>-AssetMgmtFeePct*Operating!BK$23</f>
        <v/>
      </c>
      <c r="BL27" s="402">
        <f>-AssetMgmtFeePct*Operating!BL$23</f>
        <v/>
      </c>
      <c r="BM27" s="402">
        <f>-AssetMgmtFeePct*Operating!BM$23</f>
        <v/>
      </c>
      <c r="BN27" s="402">
        <f>-AssetMgmtFeePct*Operating!BN$23</f>
        <v/>
      </c>
      <c r="BO27" s="402">
        <f>-AssetMgmtFeePct*Operating!BO$23</f>
        <v/>
      </c>
      <c r="BP27" s="402">
        <f>-AssetMgmtFeePct*Operating!BP$23</f>
        <v/>
      </c>
      <c r="BQ27" s="402">
        <f>-AssetMgmtFeePct*Operating!BQ$23</f>
        <v/>
      </c>
      <c r="BR27" s="402">
        <f>-AssetMgmtFeePct*Operating!BR$23</f>
        <v/>
      </c>
      <c r="BS27" s="402">
        <f>-AssetMgmtFeePct*Operating!BS$23</f>
        <v/>
      </c>
      <c r="BT27" s="402">
        <f>-AssetMgmtFeePct*Operating!BT$23</f>
        <v/>
      </c>
      <c r="BU27" s="402">
        <f>-AssetMgmtFeePct*Operating!BU$23</f>
        <v/>
      </c>
      <c r="BV27" s="402">
        <f>-AssetMgmtFeePct*Operating!BV$23</f>
        <v/>
      </c>
      <c r="BW27" s="402">
        <f>-AssetMgmtFeePct*Operating!BW$23</f>
        <v/>
      </c>
      <c r="BX27" s="402">
        <f>-AssetMgmtFeePct*Operating!BX$23</f>
        <v/>
      </c>
      <c r="BY27" s="402">
        <f>-AssetMgmtFeePct*Operating!BY$23</f>
        <v/>
      </c>
      <c r="BZ27" s="402">
        <f>-AssetMgmtFeePct*Operating!BZ$23</f>
        <v/>
      </c>
      <c r="CA27" s="402">
        <f>-AssetMgmtFeePct*Operating!CA$23</f>
        <v/>
      </c>
      <c r="CB27" s="402">
        <f>-AssetMgmtFeePct*Operating!CB$23</f>
        <v/>
      </c>
      <c r="CC27" s="402">
        <f>-AssetMgmtFeePct*Operating!CC$23</f>
        <v/>
      </c>
      <c r="CD27" s="402">
        <f>-AssetMgmtFeePct*Operating!CD$23</f>
        <v/>
      </c>
      <c r="CE27" s="402">
        <f>-AssetMgmtFeePct*Operating!CE$23</f>
        <v/>
      </c>
      <c r="CF27" s="402">
        <f>-AssetMgmtFeePct*Operating!CF$23</f>
        <v/>
      </c>
      <c r="CG27" s="402">
        <f>-AssetMgmtFeePct*Operating!CG$23</f>
        <v/>
      </c>
      <c r="CH27" s="402">
        <f>-AssetMgmtFeePct*Operating!CH$23</f>
        <v/>
      </c>
      <c r="CI27" s="402">
        <f>-AssetMgmtFeePct*Operating!CI$23</f>
        <v/>
      </c>
      <c r="CJ27" s="402">
        <f>-AssetMgmtFeePct*Operating!CJ$23</f>
        <v/>
      </c>
      <c r="CK27" s="402">
        <f>-AssetMgmtFeePct*Operating!CK$23</f>
        <v/>
      </c>
      <c r="CL27" s="402">
        <f>-AssetMgmtFeePct*Operating!CL$23</f>
        <v/>
      </c>
      <c r="CM27" s="402">
        <f>-AssetMgmtFeePct*Operating!CM$23</f>
        <v/>
      </c>
      <c r="CN27" s="402">
        <f>-AssetMgmtFeePct*Operating!CN$23</f>
        <v/>
      </c>
      <c r="CO27" s="402">
        <f>-AssetMgmtFeePct*Operating!CO$23</f>
        <v/>
      </c>
      <c r="CP27" s="402">
        <f>-AssetMgmtFeePct*Operating!CP$23</f>
        <v/>
      </c>
      <c r="CQ27" s="402">
        <f>-AssetMgmtFeePct*Operating!CQ$23</f>
        <v/>
      </c>
      <c r="CR27" s="402">
        <f>-AssetMgmtFeePct*Operating!CR$23</f>
        <v/>
      </c>
      <c r="CS27" s="402">
        <f>-AssetMgmtFeePct*Operating!CS$23</f>
        <v/>
      </c>
      <c r="CT27" s="402">
        <f>-AssetMgmtFeePct*Operating!CT$23</f>
        <v/>
      </c>
      <c r="CU27" s="402">
        <f>-AssetMgmtFeePct*Operating!CU$23</f>
        <v/>
      </c>
      <c r="CV27" s="402">
        <f>-AssetMgmtFeePct*Operating!CV$23</f>
        <v/>
      </c>
      <c r="CW27" s="402">
        <f>-AssetMgmtFeePct*Operating!CW$23</f>
        <v/>
      </c>
      <c r="CX27" s="402">
        <f>-AssetMgmtFeePct*Operating!CX$23</f>
        <v/>
      </c>
      <c r="CY27" s="402">
        <f>-AssetMgmtFeePct*Operating!CY$23</f>
        <v/>
      </c>
      <c r="CZ27" s="402">
        <f>-AssetMgmtFeePct*Operating!CZ$23</f>
        <v/>
      </c>
      <c r="DA27" s="402">
        <f>-AssetMgmtFeePct*Operating!DA$23</f>
        <v/>
      </c>
      <c r="DB27" s="402">
        <f>-AssetMgmtFeePct*Operating!DB$23</f>
        <v/>
      </c>
      <c r="DC27" s="402">
        <f>-AssetMgmtFeePct*Operating!DC$23</f>
        <v/>
      </c>
      <c r="DD27" s="402">
        <f>-AssetMgmtFeePct*Operating!DD$23</f>
        <v/>
      </c>
      <c r="DE27" s="402">
        <f>-AssetMgmtFeePct*Operating!DE$23</f>
        <v/>
      </c>
      <c r="DF27" s="402">
        <f>-AssetMgmtFeePct*Operating!DF$23</f>
        <v/>
      </c>
      <c r="DG27" s="402">
        <f>-AssetMgmtFeePct*Operating!DG$23</f>
        <v/>
      </c>
      <c r="DH27" s="402">
        <f>-AssetMgmtFeePct*Operating!DH$23</f>
        <v/>
      </c>
      <c r="DI27" s="402">
        <f>-AssetMgmtFeePct*Operating!DI$23</f>
        <v/>
      </c>
      <c r="DJ27" s="402">
        <f>-AssetMgmtFeePct*Operating!DJ$23</f>
        <v/>
      </c>
      <c r="DK27" s="402">
        <f>-AssetMgmtFeePct*Operating!DK$23</f>
        <v/>
      </c>
      <c r="DL27" s="402">
        <f>-AssetMgmtFeePct*Operating!DL$23</f>
        <v/>
      </c>
      <c r="DM27" s="402">
        <f>-AssetMgmtFeePct*Operating!DM$23</f>
        <v/>
      </c>
      <c r="DN27" s="402">
        <f>-AssetMgmtFeePct*Operating!DN$23</f>
        <v/>
      </c>
      <c r="DO27" s="402">
        <f>-AssetMgmtFeePct*Operating!DO$23</f>
        <v/>
      </c>
      <c r="DP27" s="402">
        <f>-AssetMgmtFeePct*Operating!DP$23</f>
        <v/>
      </c>
      <c r="DQ27" s="402">
        <f>-AssetMgmtFeePct*Operating!DQ$23</f>
        <v/>
      </c>
      <c r="DR27" s="402">
        <f>-AssetMgmtFeePct*Operating!DR$23</f>
        <v/>
      </c>
      <c r="DS27" s="402">
        <f>-AssetMgmtFeePct*Operating!DS$23</f>
        <v/>
      </c>
      <c r="DT27" s="402">
        <f>-AssetMgmtFeePct*Operating!DT$23</f>
        <v/>
      </c>
      <c r="DU27" s="402">
        <f>-AssetMgmtFeePct*Operating!DU$23</f>
        <v/>
      </c>
      <c r="DV27" s="402">
        <f>-AssetMgmtFeePct*Operating!DV$23</f>
        <v/>
      </c>
      <c r="DW27" s="402">
        <f>-AssetMgmtFeePct*Operating!DW$23</f>
        <v/>
      </c>
      <c r="DX27" s="402">
        <f>-AssetMgmtFeePct*Operating!DX$23</f>
        <v/>
      </c>
      <c r="DY27" s="402">
        <f>-AssetMgmtFeePct*Operating!DY$23</f>
        <v/>
      </c>
      <c r="DZ27" s="402">
        <f>-AssetMgmtFeePct*Operating!DZ$23</f>
        <v/>
      </c>
      <c r="EA27" s="402">
        <f>-AssetMgmtFeePct*Operating!EA$23</f>
        <v/>
      </c>
      <c r="EB27" s="402">
        <f>-AssetMgmtFeePct*Operating!EB$23</f>
        <v/>
      </c>
      <c r="EC27" s="402">
        <f>-AssetMgmtFeePct*Operating!EC$23</f>
        <v/>
      </c>
      <c r="ED27" s="402">
        <f>-AssetMgmtFeePct*Operating!ED$23</f>
        <v/>
      </c>
      <c r="EE27" s="402">
        <f>-AssetMgmtFeePct*Operating!EE$23</f>
        <v/>
      </c>
      <c r="EF27" s="402">
        <f>-AssetMgmtFeePct*Operating!EF$23</f>
        <v/>
      </c>
      <c r="EG27" s="402">
        <f>-AssetMgmtFeePct*Operating!EG$23</f>
        <v/>
      </c>
      <c r="EH27" s="402">
        <f>-AssetMgmtFeePct*Operating!EH$23</f>
        <v/>
      </c>
      <c r="EI27" s="402">
        <f>-AssetMgmtFeePct*Operating!EI$23</f>
        <v/>
      </c>
      <c r="EJ27" s="402">
        <f>-AssetMgmtFeePct*Operating!EJ$23</f>
        <v/>
      </c>
      <c r="EK27" s="402">
        <f>-AssetMgmtFeePct*Operating!EK$23</f>
        <v/>
      </c>
      <c r="EL27" s="402">
        <f>-AssetMgmtFeePct*Operating!EL$23</f>
        <v/>
      </c>
      <c r="EM27" s="402">
        <f>-AssetMgmtFeePct*Operating!EM$23</f>
        <v/>
      </c>
      <c r="EN27" s="402">
        <f>-AssetMgmtFeePct*Operating!EN$23</f>
        <v/>
      </c>
      <c r="EO27" s="402">
        <f>-AssetMgmtFeePct*Operating!EO$23</f>
        <v/>
      </c>
      <c r="EP27" s="402">
        <f>-AssetMgmtFeePct*Operating!EP$23</f>
        <v/>
      </c>
      <c r="EQ27" s="402">
        <f>-AssetMgmtFeePct*Operating!EQ$23</f>
        <v/>
      </c>
      <c r="ER27" s="402">
        <f>-AssetMgmtFeePct*Operating!ER$23</f>
        <v/>
      </c>
      <c r="ES27" s="402">
        <f>-AssetMgmtFeePct*Operating!ES$23</f>
        <v/>
      </c>
      <c r="ET27" s="402">
        <f>-AssetMgmtFeePct*Operating!ET$23</f>
        <v/>
      </c>
      <c r="EU27" s="402">
        <f>-AssetMgmtFeePct*Operating!EU$23</f>
        <v/>
      </c>
      <c r="EV27" s="402">
        <f>-AssetMgmtFeePct*Operating!EV$23</f>
        <v/>
      </c>
      <c r="EW27" s="402">
        <f>-AssetMgmtFeePct*Operating!EW$23</f>
        <v/>
      </c>
      <c r="EX27" s="402">
        <f>-AssetMgmtFeePct*Operating!EX$23</f>
        <v/>
      </c>
      <c r="EY27" s="402">
        <f>-AssetMgmtFeePct*Operating!EY$23</f>
        <v/>
      </c>
      <c r="EZ27" s="402">
        <f>-AssetMgmtFeePct*Operating!EZ$23</f>
        <v/>
      </c>
      <c r="FA27" s="402">
        <f>-AssetMgmtFeePct*Operating!FA$23</f>
        <v/>
      </c>
      <c r="FB27" s="402">
        <f>-AssetMgmtFeePct*Operating!FB$23</f>
        <v/>
      </c>
      <c r="FC27" s="402">
        <f>-AssetMgmtFeePct*Operating!FC$23</f>
        <v/>
      </c>
      <c r="FD27" s="402">
        <f>-AssetMgmtFeePct*Operating!FD$23</f>
        <v/>
      </c>
      <c r="FE27" s="402">
        <f>-AssetMgmtFeePct*Operating!FE$23</f>
        <v/>
      </c>
      <c r="FF27" s="402">
        <f>-AssetMgmtFeePct*Operating!FF$23</f>
        <v/>
      </c>
      <c r="FG27" s="402">
        <f>-AssetMgmtFeePct*Operating!FG$23</f>
        <v/>
      </c>
      <c r="FH27" s="402">
        <f>-AssetMgmtFeePct*Operating!FH$23</f>
        <v/>
      </c>
      <c r="FI27" s="402">
        <f>-AssetMgmtFeePct*Operating!FI$23</f>
        <v/>
      </c>
      <c r="FJ27" s="402">
        <f>-AssetMgmtFeePct*Operating!FJ$23</f>
        <v/>
      </c>
      <c r="FK27" s="402">
        <f>-AssetMgmtFeePct*Operating!FK$23</f>
        <v/>
      </c>
      <c r="FL27" s="402">
        <f>-AssetMgmtFeePct*Operating!FL$23</f>
        <v/>
      </c>
      <c r="FM27" s="402">
        <f>-AssetMgmtFeePct*Operating!FM$23</f>
        <v/>
      </c>
      <c r="FN27" s="402">
        <f>-AssetMgmtFeePct*Operating!FN$23</f>
        <v/>
      </c>
      <c r="FO27" s="402">
        <f>-AssetMgmtFeePct*Operating!FO$23</f>
        <v/>
      </c>
      <c r="FP27" s="402">
        <f>-AssetMgmtFeePct*Operating!FP$23</f>
        <v/>
      </c>
      <c r="FQ27" s="402">
        <f>-AssetMgmtFeePct*Operating!FQ$23</f>
        <v/>
      </c>
      <c r="FR27" s="402">
        <f>-AssetMgmtFeePct*Operating!FR$23</f>
        <v/>
      </c>
      <c r="FS27" s="402">
        <f>-AssetMgmtFeePct*Operating!FS$23</f>
        <v/>
      </c>
      <c r="FT27" s="402">
        <f>-AssetMgmtFeePct*Operating!FT$23</f>
        <v/>
      </c>
      <c r="FU27" s="402">
        <f>-AssetMgmtFeePct*Operating!FU$23</f>
        <v/>
      </c>
      <c r="FV27" s="402">
        <f>-AssetMgmtFeePct*Operating!FV$23</f>
        <v/>
      </c>
      <c r="FW27" s="402">
        <f>-AssetMgmtFeePct*Operating!FW$23</f>
        <v/>
      </c>
      <c r="FX27" s="402">
        <f>-AssetMgmtFeePct*Operating!FX$23</f>
        <v/>
      </c>
      <c r="FY27" s="402">
        <f>-AssetMgmtFeePct*Operating!FY$23</f>
        <v/>
      </c>
      <c r="FZ27" s="402">
        <f>-AssetMgmtFeePct*Operating!FZ$23</f>
        <v/>
      </c>
      <c r="GA27" s="402">
        <f>-AssetMgmtFeePct*Operating!GA$23</f>
        <v/>
      </c>
      <c r="GB27" s="402">
        <f>-AssetMgmtFeePct*Operating!GB$23</f>
        <v/>
      </c>
      <c r="GC27" s="402">
        <f>-AssetMgmtFeePct*Operating!GC$23</f>
        <v/>
      </c>
      <c r="GD27" s="402">
        <f>-AssetMgmtFeePct*Operating!GD$23</f>
        <v/>
      </c>
      <c r="GE27" s="402">
        <f>-AssetMgmtFeePct*Operating!GE$23</f>
        <v/>
      </c>
      <c r="GF27" s="402">
        <f>-AssetMgmtFeePct*Operating!GF$23</f>
        <v/>
      </c>
      <c r="GG27" s="402">
        <f>-AssetMgmtFeePct*Operating!GG$23</f>
        <v/>
      </c>
      <c r="GH27" s="402">
        <f>-AssetMgmtFeePct*Operating!GH$23</f>
        <v/>
      </c>
      <c r="GI27" s="402">
        <f>-AssetMgmtFeePct*Operating!GI$23</f>
        <v/>
      </c>
      <c r="GJ27" s="402">
        <f>-AssetMgmtFeePct*Operating!GJ$23</f>
        <v/>
      </c>
      <c r="GK27" s="402">
        <f>-AssetMgmtFeePct*Operating!GK$23</f>
        <v/>
      </c>
      <c r="GL27" s="402">
        <f>-AssetMgmtFeePct*Operating!GL$23</f>
        <v/>
      </c>
      <c r="GM27" s="402">
        <f>-AssetMgmtFeePct*Operating!GM$23</f>
        <v/>
      </c>
      <c r="GN27" s="402">
        <f>-AssetMgmtFeePct*Operating!GN$23</f>
        <v/>
      </c>
      <c r="GO27" s="402">
        <f>-AssetMgmtFeePct*Operating!GO$23</f>
        <v/>
      </c>
      <c r="GP27" s="402">
        <f>-AssetMgmtFeePct*Operating!GP$23</f>
        <v/>
      </c>
      <c r="GQ27" s="402">
        <f>-AssetMgmtFeePct*Operating!GQ$23</f>
        <v/>
      </c>
      <c r="GR27" s="402">
        <f>-AssetMgmtFeePct*Operating!GR$23</f>
        <v/>
      </c>
      <c r="GS27" s="402">
        <f>-AssetMgmtFeePct*Operating!GS$23</f>
        <v/>
      </c>
      <c r="GT27" s="402">
        <f>-AssetMgmtFeePct*Operating!GT$23</f>
        <v/>
      </c>
      <c r="GU27" s="402">
        <f>-AssetMgmtFeePct*Operating!GU$23</f>
        <v/>
      </c>
      <c r="GV27" s="402">
        <f>-AssetMgmtFeePct*Operating!GV$23</f>
        <v/>
      </c>
      <c r="GW27" s="402">
        <f>-AssetMgmtFeePct*Operating!GW$23</f>
        <v/>
      </c>
      <c r="GX27" s="402">
        <f>-AssetMgmtFeePct*Operating!GX$23</f>
        <v/>
      </c>
      <c r="GY27" s="402">
        <f>-AssetMgmtFeePct*Operating!GY$23</f>
        <v/>
      </c>
      <c r="GZ27" s="402">
        <f>-AssetMgmtFeePct*Operating!GZ$23</f>
        <v/>
      </c>
      <c r="HA27" s="402">
        <f>-AssetMgmtFeePct*Operating!HA$23</f>
        <v/>
      </c>
      <c r="HB27" s="402">
        <f>-AssetMgmtFeePct*Operating!HB$23</f>
        <v/>
      </c>
      <c r="HC27" s="402">
        <f>-AssetMgmtFeePct*Operating!HC$23</f>
        <v/>
      </c>
      <c r="HD27" s="402">
        <f>-AssetMgmtFeePct*Operating!HD$23</f>
        <v/>
      </c>
      <c r="HE27" s="402">
        <f>-AssetMgmtFeePct*Operating!HE$23</f>
        <v/>
      </c>
      <c r="HF27" s="402">
        <f>-AssetMgmtFeePct*Operating!HF$23</f>
        <v/>
      </c>
      <c r="HG27" s="402">
        <f>-AssetMgmtFeePct*Operating!HG$23</f>
        <v/>
      </c>
      <c r="HH27" s="402">
        <f>-AssetMgmtFeePct*Operating!HH$23</f>
        <v/>
      </c>
      <c r="HI27" s="402">
        <f>-AssetMgmtFeePct*Operating!HI$23</f>
        <v/>
      </c>
      <c r="HJ27" s="402">
        <f>-AssetMgmtFeePct*Operating!HJ$23</f>
        <v/>
      </c>
      <c r="HK27" s="402">
        <f>-AssetMgmtFeePct*Operating!HK$23</f>
        <v/>
      </c>
      <c r="HL27" s="402">
        <f>-AssetMgmtFeePct*Operating!HL$23</f>
        <v/>
      </c>
      <c r="HM27" s="402">
        <f>-AssetMgmtFeePct*Operating!HM$23</f>
        <v/>
      </c>
      <c r="HN27" s="402">
        <f>-AssetMgmtFeePct*Operating!HN$23</f>
        <v/>
      </c>
      <c r="HO27" s="402">
        <f>-AssetMgmtFeePct*Operating!HO$23</f>
        <v/>
      </c>
      <c r="HP27" s="402">
        <f>-AssetMgmtFeePct*Operating!HP$23</f>
        <v/>
      </c>
      <c r="HQ27" s="402">
        <f>-AssetMgmtFeePct*Operating!HQ$23</f>
        <v/>
      </c>
      <c r="HR27" s="402">
        <f>-AssetMgmtFeePct*Operating!HR$23</f>
        <v/>
      </c>
      <c r="HS27" s="402">
        <f>-AssetMgmtFeePct*Operating!HS$23</f>
        <v/>
      </c>
      <c r="HT27" s="402">
        <f>-AssetMgmtFeePct*Operating!HT$23</f>
        <v/>
      </c>
      <c r="HU27" s="402">
        <f>-AssetMgmtFeePct*Operating!HU$23</f>
        <v/>
      </c>
      <c r="HV27" s="402">
        <f>-AssetMgmtFeePct*Operating!HV$23</f>
        <v/>
      </c>
      <c r="HW27" s="402">
        <f>-AssetMgmtFeePct*Operating!HW$23</f>
        <v/>
      </c>
      <c r="HX27" s="402">
        <f>-AssetMgmtFeePct*Operating!HX$23</f>
        <v/>
      </c>
      <c r="HY27" s="402">
        <f>-AssetMgmtFeePct*Operating!HY$23</f>
        <v/>
      </c>
      <c r="HZ27" s="402">
        <f>-AssetMgmtFeePct*Operating!HZ$23</f>
        <v/>
      </c>
      <c r="IA27" s="402">
        <f>-AssetMgmtFeePct*Operating!IA$23</f>
        <v/>
      </c>
      <c r="IB27" s="402">
        <f>-AssetMgmtFeePct*Operating!IB$23</f>
        <v/>
      </c>
      <c r="IC27" s="402">
        <f>-AssetMgmtFeePct*Operating!IC$23</f>
        <v/>
      </c>
      <c r="ID27" s="402">
        <f>-AssetMgmtFeePct*Operating!ID$23</f>
        <v/>
      </c>
      <c r="IE27" s="402">
        <f>-AssetMgmtFeePct*Operating!IE$23</f>
        <v/>
      </c>
      <c r="IF27" s="402">
        <f>-AssetMgmtFeePct*Operating!IF$23</f>
        <v/>
      </c>
      <c r="IG27" s="402">
        <f>-AssetMgmtFeePct*Operating!IG$23</f>
        <v/>
      </c>
      <c r="IH27" s="402">
        <f>-AssetMgmtFeePct*Operating!IH$23</f>
        <v/>
      </c>
      <c r="II27" s="402">
        <f>-AssetMgmtFeePct*Operating!II$23</f>
        <v/>
      </c>
      <c r="IJ27" s="402">
        <f>-AssetMgmtFeePct*Operating!IJ$23</f>
        <v/>
      </c>
      <c r="IK27" s="402">
        <f>-AssetMgmtFeePct*Operating!IK$23</f>
        <v/>
      </c>
      <c r="IL27" s="402">
        <f>-AssetMgmtFeePct*Operating!IL$23</f>
        <v/>
      </c>
      <c r="IM27" s="402">
        <f>-AssetMgmtFeePct*Operating!IM$23</f>
        <v/>
      </c>
      <c r="IN27" s="402">
        <f>-AssetMgmtFeePct*Operating!IN$23</f>
        <v/>
      </c>
      <c r="IO27" s="402">
        <f>-AssetMgmtFeePct*Operating!IO$23</f>
        <v/>
      </c>
      <c r="IP27" s="402">
        <f>-AssetMgmtFeePct*Operating!IP$23</f>
        <v/>
      </c>
      <c r="IQ27" s="402">
        <f>-AssetMgmtFeePct*Operating!IQ$23</f>
        <v/>
      </c>
      <c r="IR27" s="402">
        <f>-AssetMgmtFeePct*Operating!IR$23</f>
        <v/>
      </c>
      <c r="IS27" s="402">
        <f>-AssetMgmtFeePct*Operating!IS$23</f>
        <v/>
      </c>
      <c r="IT27" s="402">
        <f>-AssetMgmtFeePct*Operating!IT$23</f>
        <v/>
      </c>
      <c r="IU27" s="402">
        <f>-AssetMgmtFeePct*Operating!IU$23</f>
        <v/>
      </c>
      <c r="IV27" s="402">
        <f>-AssetMgmtFeePct*Operating!IV$23</f>
        <v/>
      </c>
      <c r="IW27" s="402">
        <f>-AssetMgmtFeePct*Operating!IW$23</f>
        <v/>
      </c>
      <c r="IX27" s="402">
        <f>-AssetMgmtFeePct*Operating!IX$23</f>
        <v/>
      </c>
      <c r="IY27" s="402">
        <f>-AssetMgmtFeePct*Operating!IY$23</f>
        <v/>
      </c>
      <c r="IZ27" s="402">
        <f>-AssetMgmtFeePct*Operating!IZ$23</f>
        <v/>
      </c>
      <c r="JA27" s="402">
        <f>-AssetMgmtFeePct*Operating!JA$23</f>
        <v/>
      </c>
      <c r="JB27" s="402">
        <f>-AssetMgmtFeePct*Operating!JB$23</f>
        <v/>
      </c>
      <c r="JC27" s="402">
        <f>-AssetMgmtFeePct*Operating!JC$23</f>
        <v/>
      </c>
      <c r="JD27" s="402">
        <f>-AssetMgmtFeePct*Operating!JD$23</f>
        <v/>
      </c>
      <c r="JE27" s="402">
        <f>-AssetMgmtFeePct*Operating!JE$23</f>
        <v/>
      </c>
      <c r="JF27" s="402">
        <f>-AssetMgmtFeePct*Operating!JF$23</f>
        <v/>
      </c>
      <c r="JG27" s="402">
        <f>-AssetMgmtFeePct*Operating!JG$23</f>
        <v/>
      </c>
      <c r="JH27" s="402">
        <f>-AssetMgmtFeePct*Operating!JH$23</f>
        <v/>
      </c>
      <c r="JI27" s="402">
        <f>-AssetMgmtFeePct*Operating!JI$23</f>
        <v/>
      </c>
      <c r="JJ27" s="402">
        <f>-AssetMgmtFeePct*Operating!JJ$23</f>
        <v/>
      </c>
      <c r="JK27" s="402">
        <f>-AssetMgmtFeePct*Operating!JK$23</f>
        <v/>
      </c>
      <c r="JL27" s="402">
        <f>-AssetMgmtFeePct*Operating!JL$23</f>
        <v/>
      </c>
      <c r="JM27" s="402">
        <f>-AssetMgmtFeePct*Operating!JM$23</f>
        <v/>
      </c>
      <c r="JN27" s="402">
        <f>-AssetMgmtFeePct*Operating!JN$23</f>
        <v/>
      </c>
      <c r="JO27" s="402">
        <f>-AssetMgmtFeePct*Operating!JO$23</f>
        <v/>
      </c>
      <c r="JP27" s="402">
        <f>-AssetMgmtFeePct*Operating!JP$23</f>
        <v/>
      </c>
      <c r="JQ27" s="402">
        <f>-AssetMgmtFeePct*Operating!JQ$23</f>
        <v/>
      </c>
      <c r="JR27" s="402">
        <f>-AssetMgmtFeePct*Operating!JR$23</f>
        <v/>
      </c>
      <c r="JS27" s="402">
        <f>-AssetMgmtFeePct*Operating!JS$23</f>
        <v/>
      </c>
      <c r="JT27" s="402">
        <f>-AssetMgmtFeePct*Operating!JT$23</f>
        <v/>
      </c>
      <c r="JU27" s="402">
        <f>-AssetMgmtFeePct*Operating!JU$23</f>
        <v/>
      </c>
      <c r="JV27" s="402">
        <f>-AssetMgmtFeePct*Operating!JV$23</f>
        <v/>
      </c>
      <c r="JW27" s="402">
        <f>-AssetMgmtFeePct*Operating!JW$23</f>
        <v/>
      </c>
      <c r="JX27" s="402">
        <f>-AssetMgmtFeePct*Operating!JX$23</f>
        <v/>
      </c>
      <c r="JY27" s="402">
        <f>-AssetMgmtFeePct*Operating!JY$23</f>
        <v/>
      </c>
      <c r="JZ27" s="402">
        <f>-AssetMgmtFeePct*Operating!JZ$23</f>
        <v/>
      </c>
      <c r="KA27" s="402">
        <f>-AssetMgmtFeePct*Operating!KA$23</f>
        <v/>
      </c>
      <c r="KB27" s="402">
        <f>-AssetMgmtFeePct*Operating!KB$23</f>
        <v/>
      </c>
      <c r="KC27" s="402">
        <f>-AssetMgmtFeePct*Operating!KC$23</f>
        <v/>
      </c>
      <c r="KD27" s="402">
        <f>-AssetMgmtFeePct*Operating!KD$23</f>
        <v/>
      </c>
      <c r="KE27" s="402">
        <f>-AssetMgmtFeePct*Operating!KE$23</f>
        <v/>
      </c>
      <c r="KF27" s="402">
        <f>-AssetMgmtFeePct*Operating!KF$23</f>
        <v/>
      </c>
      <c r="KG27" s="402">
        <f>-AssetMgmtFeePct*Operating!KG$23</f>
        <v/>
      </c>
      <c r="KH27" s="402">
        <f>-AssetMgmtFeePct*Operating!KH$23</f>
        <v/>
      </c>
      <c r="KI27" s="402">
        <f>-AssetMgmtFeePct*Operating!KI$23</f>
        <v/>
      </c>
      <c r="KJ27" s="402">
        <f>-AssetMgmtFeePct*Operating!KJ$23</f>
        <v/>
      </c>
      <c r="KK27" s="402">
        <f>-AssetMgmtFeePct*Operating!KK$23</f>
        <v/>
      </c>
      <c r="KL27" s="402">
        <f>-AssetMgmtFeePct*Operating!KL$23</f>
        <v/>
      </c>
      <c r="KM27" s="402">
        <f>-AssetMgmtFeePct*Operating!KM$23</f>
        <v/>
      </c>
      <c r="KN27" s="402">
        <f>-AssetMgmtFeePct*Operating!KN$23</f>
        <v/>
      </c>
      <c r="KO27" s="402">
        <f>-AssetMgmtFeePct*Operating!KO$23</f>
        <v/>
      </c>
      <c r="KP27" s="402">
        <f>-AssetMgmtFeePct*Operating!KP$23</f>
        <v/>
      </c>
      <c r="KQ27" s="402">
        <f>-AssetMgmtFeePct*Operating!KQ$23</f>
        <v/>
      </c>
      <c r="KR27" s="402">
        <f>-AssetMgmtFeePct*Operating!KR$23</f>
        <v/>
      </c>
      <c r="KS27" s="402">
        <f>-AssetMgmtFeePct*Operating!KS$23</f>
        <v/>
      </c>
      <c r="KT27" s="402">
        <f>-AssetMgmtFeePct*Operating!KT$23</f>
        <v/>
      </c>
      <c r="KU27" s="402">
        <f>-AssetMgmtFeePct*Operating!KU$23</f>
        <v/>
      </c>
      <c r="KV27" s="402">
        <f>-AssetMgmtFeePct*Operating!KV$23</f>
        <v/>
      </c>
      <c r="KW27" s="402">
        <f>-AssetMgmtFeePct*Operating!KW$23</f>
        <v/>
      </c>
      <c r="KX27" s="402">
        <f>-AssetMgmtFeePct*Operating!KX$23</f>
        <v/>
      </c>
      <c r="KY27" s="402">
        <f>-AssetMgmtFeePct*Operating!KY$23</f>
        <v/>
      </c>
      <c r="KZ27" s="402">
        <f>-AssetMgmtFeePct*Operating!KZ$23</f>
        <v/>
      </c>
      <c r="LA27" s="402">
        <f>-AssetMgmtFeePct*Operating!LA$23</f>
        <v/>
      </c>
      <c r="LB27" s="402">
        <f>-AssetMgmtFeePct*Operating!LB$23</f>
        <v/>
      </c>
      <c r="LC27" s="402">
        <f>-AssetMgmtFeePct*Operating!LC$23</f>
        <v/>
      </c>
      <c r="LD27" s="402">
        <f>-AssetMgmtFeePct*Operating!LD$23</f>
        <v/>
      </c>
      <c r="LE27" s="402">
        <f>-AssetMgmtFeePct*Operating!LE$23</f>
        <v/>
      </c>
      <c r="LF27" s="402">
        <f>-AssetMgmtFeePct*Operating!LF$23</f>
        <v/>
      </c>
      <c r="LG27" s="402">
        <f>-AssetMgmtFeePct*Operating!LG$23</f>
        <v/>
      </c>
      <c r="LH27" s="402">
        <f>-AssetMgmtFeePct*Operating!LH$23</f>
        <v/>
      </c>
      <c r="LI27" s="402">
        <f>-AssetMgmtFeePct*Operating!LI$23</f>
        <v/>
      </c>
      <c r="LJ27" s="402">
        <f>-AssetMgmtFeePct*Operating!LJ$23</f>
        <v/>
      </c>
      <c r="LK27" s="402">
        <f>-AssetMgmtFeePct*Operating!LK$23</f>
        <v/>
      </c>
      <c r="LL27" s="402">
        <f>-AssetMgmtFeePct*Operating!LL$23</f>
        <v/>
      </c>
      <c r="LM27" s="402">
        <f>-AssetMgmtFeePct*Operating!LM$23</f>
        <v/>
      </c>
      <c r="LN27" s="402">
        <f>-AssetMgmtFeePct*Operating!LN$23</f>
        <v/>
      </c>
      <c r="LO27" s="402">
        <f>-AssetMgmtFeePct*Operating!LO$23</f>
        <v/>
      </c>
      <c r="LP27" s="402">
        <f>-AssetMgmtFeePct*Operating!LP$23</f>
        <v/>
      </c>
      <c r="LQ27" s="402">
        <f>-AssetMgmtFeePct*Operating!LQ$23</f>
        <v/>
      </c>
      <c r="LR27" s="402">
        <f>-AssetMgmtFeePct*Operating!LR$23</f>
        <v/>
      </c>
      <c r="LS27" s="402">
        <f>-AssetMgmtFeePct*Operating!LS$23</f>
        <v/>
      </c>
      <c r="LT27" s="402">
        <f>-AssetMgmtFeePct*Operating!LT$23</f>
        <v/>
      </c>
      <c r="LU27" s="402">
        <f>-AssetMgmtFeePct*Operating!LU$23</f>
        <v/>
      </c>
      <c r="LV27" s="402">
        <f>-AssetMgmtFeePct*Operating!LV$23</f>
        <v/>
      </c>
      <c r="LW27" s="402">
        <f>-AssetMgmtFeePct*Operating!LW$23</f>
        <v/>
      </c>
      <c r="LX27" s="402">
        <f>-AssetMgmtFeePct*Operating!LX$23</f>
        <v/>
      </c>
      <c r="LY27" s="402">
        <f>-AssetMgmtFeePct*Operating!LY$23</f>
        <v/>
      </c>
      <c r="LZ27" s="402">
        <f>-AssetMgmtFeePct*Operating!LZ$23</f>
        <v/>
      </c>
      <c r="MA27" s="402">
        <f>-AssetMgmtFeePct*Operating!MA$23</f>
        <v/>
      </c>
      <c r="MB27" s="402">
        <f>-AssetMgmtFeePct*Operating!MB$23</f>
        <v/>
      </c>
      <c r="MC27" s="402">
        <f>-AssetMgmtFeePct*Operating!MC$23</f>
        <v/>
      </c>
      <c r="MD27" s="402">
        <f>-AssetMgmtFeePct*Operating!MD$23</f>
        <v/>
      </c>
      <c r="ME27" s="402">
        <f>-AssetMgmtFeePct*Operating!ME$23</f>
        <v/>
      </c>
      <c r="MF27" s="402">
        <f>-AssetMgmtFeePct*Operating!MF$23</f>
        <v/>
      </c>
      <c r="MG27" s="402">
        <f>-AssetMgmtFeePct*Operating!MG$23</f>
        <v/>
      </c>
      <c r="MH27" s="402">
        <f>-AssetMgmtFeePct*Operating!MH$23</f>
        <v/>
      </c>
      <c r="MI27" s="402">
        <f>-AssetMgmtFeePct*Operating!MI$23</f>
        <v/>
      </c>
      <c r="MJ27" s="402">
        <f>-AssetMgmtFeePct*Operating!MJ$23</f>
        <v/>
      </c>
      <c r="MK27" s="402">
        <f>-AssetMgmtFeePct*Operating!MK$23</f>
        <v/>
      </c>
      <c r="ML27" s="402">
        <f>-AssetMgmtFeePct*Operating!ML$23</f>
        <v/>
      </c>
      <c r="MM27" s="402">
        <f>-AssetMgmtFeePct*Operating!MM$23</f>
        <v/>
      </c>
      <c r="MN27" s="402">
        <f>-AssetMgmtFeePct*Operating!MN$23</f>
        <v/>
      </c>
      <c r="MO27" s="402">
        <f>-AssetMgmtFeePct*Operating!MO$23</f>
        <v/>
      </c>
      <c r="MP27" s="402">
        <f>-AssetMgmtFeePct*Operating!MP$23</f>
        <v/>
      </c>
      <c r="MQ27" s="402">
        <f>-AssetMgmtFeePct*Operating!MQ$23</f>
        <v/>
      </c>
      <c r="MR27" s="402">
        <f>-AssetMgmtFeePct*Operating!MR$23</f>
        <v/>
      </c>
      <c r="MS27" s="402">
        <f>-AssetMgmtFeePct*Operating!MS$23</f>
        <v/>
      </c>
      <c r="MT27" s="402">
        <f>-AssetMgmtFeePct*Operating!MT$23</f>
        <v/>
      </c>
      <c r="MU27" s="402">
        <f>-AssetMgmtFeePct*Operating!MU$23</f>
        <v/>
      </c>
      <c r="MV27" s="402">
        <f>-AssetMgmtFeePct*Operating!MV$23</f>
        <v/>
      </c>
      <c r="MW27" s="402">
        <f>-AssetMgmtFeePct*Operating!MW$23</f>
        <v/>
      </c>
      <c r="MX27" s="402">
        <f>-AssetMgmtFeePct*Operating!MX$23</f>
        <v/>
      </c>
      <c r="MY27" s="402">
        <f>-AssetMgmtFeePct*Operating!MY$23</f>
        <v/>
      </c>
      <c r="MZ27" s="402">
        <f>-AssetMgmtFeePct*Operating!MZ$23</f>
        <v/>
      </c>
      <c r="NA27" s="402">
        <f>-AssetMgmtFeePct*Operating!NA$23</f>
        <v/>
      </c>
      <c r="NB27" s="402">
        <f>-AssetMgmtFeePct*Operating!NB$23</f>
        <v/>
      </c>
      <c r="NC27" s="402">
        <f>-AssetMgmtFeePct*Operating!NC$23</f>
        <v/>
      </c>
      <c r="ND27" s="402">
        <f>-AssetMgmtFeePct*Operating!ND$23</f>
        <v/>
      </c>
      <c r="NE27" s="402">
        <f>-AssetMgmtFeePct*Operating!NE$23</f>
        <v/>
      </c>
      <c r="NF27" s="402">
        <f>-AssetMgmtFeePct*Operating!NF$23</f>
        <v/>
      </c>
      <c r="NG27" s="402">
        <f>-AssetMgmtFeePct*Operating!NG$23</f>
        <v/>
      </c>
      <c r="NH27" s="402">
        <f>-AssetMgmtFeePct*Operating!NH$23</f>
        <v/>
      </c>
      <c r="NI27" s="402">
        <f>-AssetMgmtFeePct*Operating!NI$23</f>
        <v/>
      </c>
      <c r="NJ27" s="402">
        <f>-AssetMgmtFeePct*Operating!NJ$23</f>
        <v/>
      </c>
      <c r="NK27" s="402">
        <f>-AssetMgmtFeePct*Operating!NK$23</f>
        <v/>
      </c>
      <c r="NL27" s="402">
        <f>-AssetMgmtFeePct*Operating!NL$23</f>
        <v/>
      </c>
    </row>
    <row r="28">
      <c r="B28" s="316" t="inlineStr">
        <is>
          <t>Capital Reserves &amp; Tax Prep</t>
        </is>
      </c>
      <c r="D28" s="402">
        <f>SUM(E28:NL28)</f>
        <v/>
      </c>
      <c r="E28" s="402">
        <f>-(Operating!E$40-AssetMgmtFeePct*Operating!E$23)</f>
        <v/>
      </c>
      <c r="F28" s="402">
        <f>-(Operating!F$40-AssetMgmtFeePct*Operating!F$23)</f>
        <v/>
      </c>
      <c r="G28" s="402">
        <f>-(Operating!G$40-AssetMgmtFeePct*Operating!G$23)</f>
        <v/>
      </c>
      <c r="H28" s="402">
        <f>-(Operating!H$40-AssetMgmtFeePct*Operating!H$23)</f>
        <v/>
      </c>
      <c r="I28" s="402">
        <f>-(Operating!I$40-AssetMgmtFeePct*Operating!I$23)</f>
        <v/>
      </c>
      <c r="J28" s="402">
        <f>-(Operating!J$40-AssetMgmtFeePct*Operating!J$23)</f>
        <v/>
      </c>
      <c r="K28" s="402">
        <f>-(Operating!K$40-AssetMgmtFeePct*Operating!K$23)</f>
        <v/>
      </c>
      <c r="L28" s="402">
        <f>-(Operating!L$40-AssetMgmtFeePct*Operating!L$23)</f>
        <v/>
      </c>
      <c r="M28" s="402">
        <f>-(Operating!M$40-AssetMgmtFeePct*Operating!M$23)</f>
        <v/>
      </c>
      <c r="N28" s="402">
        <f>-(Operating!N$40-AssetMgmtFeePct*Operating!N$23)</f>
        <v/>
      </c>
      <c r="O28" s="402">
        <f>-(Operating!O$40-AssetMgmtFeePct*Operating!O$23)</f>
        <v/>
      </c>
      <c r="P28" s="402">
        <f>-(Operating!P$40-AssetMgmtFeePct*Operating!P$23)</f>
        <v/>
      </c>
      <c r="Q28" s="402">
        <f>-(Operating!Q$40-AssetMgmtFeePct*Operating!Q$23)</f>
        <v/>
      </c>
      <c r="R28" s="402">
        <f>-(Operating!R$40-AssetMgmtFeePct*Operating!R$23)</f>
        <v/>
      </c>
      <c r="S28" s="402">
        <f>-(Operating!S$40-AssetMgmtFeePct*Operating!S$23)</f>
        <v/>
      </c>
      <c r="T28" s="402">
        <f>-(Operating!T$40-AssetMgmtFeePct*Operating!T$23)</f>
        <v/>
      </c>
      <c r="U28" s="402">
        <f>-(Operating!U$40-AssetMgmtFeePct*Operating!U$23)</f>
        <v/>
      </c>
      <c r="V28" s="402">
        <f>-(Operating!V$40-AssetMgmtFeePct*Operating!V$23)</f>
        <v/>
      </c>
      <c r="W28" s="402">
        <f>-(Operating!W$40-AssetMgmtFeePct*Operating!W$23)</f>
        <v/>
      </c>
      <c r="X28" s="402">
        <f>-(Operating!X$40-AssetMgmtFeePct*Operating!X$23)</f>
        <v/>
      </c>
      <c r="Y28" s="402">
        <f>-(Operating!Y$40-AssetMgmtFeePct*Operating!Y$23)</f>
        <v/>
      </c>
      <c r="Z28" s="402">
        <f>-(Operating!Z$40-AssetMgmtFeePct*Operating!Z$23)</f>
        <v/>
      </c>
      <c r="AA28" s="402">
        <f>-(Operating!AA$40-AssetMgmtFeePct*Operating!AA$23)</f>
        <v/>
      </c>
      <c r="AB28" s="402">
        <f>-(Operating!AB$40-AssetMgmtFeePct*Operating!AB$23)</f>
        <v/>
      </c>
      <c r="AC28" s="402">
        <f>-(Operating!AC$40-AssetMgmtFeePct*Operating!AC$23)</f>
        <v/>
      </c>
      <c r="AD28" s="402">
        <f>-(Operating!AD$40-AssetMgmtFeePct*Operating!AD$23)</f>
        <v/>
      </c>
      <c r="AE28" s="402">
        <f>-(Operating!AE$40-AssetMgmtFeePct*Operating!AE$23)</f>
        <v/>
      </c>
      <c r="AF28" s="402">
        <f>-(Operating!AF$40-AssetMgmtFeePct*Operating!AF$23)</f>
        <v/>
      </c>
      <c r="AG28" s="402">
        <f>-(Operating!AG$40-AssetMgmtFeePct*Operating!AG$23)</f>
        <v/>
      </c>
      <c r="AH28" s="402">
        <f>-(Operating!AH$40-AssetMgmtFeePct*Operating!AH$23)</f>
        <v/>
      </c>
      <c r="AI28" s="402">
        <f>-(Operating!AI$40-AssetMgmtFeePct*Operating!AI$23)</f>
        <v/>
      </c>
      <c r="AJ28" s="402">
        <f>-(Operating!AJ$40-AssetMgmtFeePct*Operating!AJ$23)</f>
        <v/>
      </c>
      <c r="AK28" s="402">
        <f>-(Operating!AK$40-AssetMgmtFeePct*Operating!AK$23)</f>
        <v/>
      </c>
      <c r="AL28" s="402">
        <f>-(Operating!AL$40-AssetMgmtFeePct*Operating!AL$23)</f>
        <v/>
      </c>
      <c r="AM28" s="402">
        <f>-(Operating!AM$40-AssetMgmtFeePct*Operating!AM$23)</f>
        <v/>
      </c>
      <c r="AN28" s="402">
        <f>-(Operating!AN$40-AssetMgmtFeePct*Operating!AN$23)</f>
        <v/>
      </c>
      <c r="AO28" s="402">
        <f>-(Operating!AO$40-AssetMgmtFeePct*Operating!AO$23)</f>
        <v/>
      </c>
      <c r="AP28" s="402">
        <f>-(Operating!AP$40-AssetMgmtFeePct*Operating!AP$23)</f>
        <v/>
      </c>
      <c r="AQ28" s="402">
        <f>-(Operating!AQ$40-AssetMgmtFeePct*Operating!AQ$23)</f>
        <v/>
      </c>
      <c r="AR28" s="402">
        <f>-(Operating!AR$40-AssetMgmtFeePct*Operating!AR$23)</f>
        <v/>
      </c>
      <c r="AS28" s="402">
        <f>-(Operating!AS$40-AssetMgmtFeePct*Operating!AS$23)</f>
        <v/>
      </c>
      <c r="AT28" s="402">
        <f>-(Operating!AT$40-AssetMgmtFeePct*Operating!AT$23)</f>
        <v/>
      </c>
      <c r="AU28" s="402">
        <f>-(Operating!AU$40-AssetMgmtFeePct*Operating!AU$23)</f>
        <v/>
      </c>
      <c r="AV28" s="402">
        <f>-(Operating!AV$40-AssetMgmtFeePct*Operating!AV$23)</f>
        <v/>
      </c>
      <c r="AW28" s="402">
        <f>-(Operating!AW$40-AssetMgmtFeePct*Operating!AW$23)</f>
        <v/>
      </c>
      <c r="AX28" s="402">
        <f>-(Operating!AX$40-AssetMgmtFeePct*Operating!AX$23)</f>
        <v/>
      </c>
      <c r="AY28" s="402">
        <f>-(Operating!AY$40-AssetMgmtFeePct*Operating!AY$23)</f>
        <v/>
      </c>
      <c r="AZ28" s="402">
        <f>-(Operating!AZ$40-AssetMgmtFeePct*Operating!AZ$23)</f>
        <v/>
      </c>
      <c r="BA28" s="402">
        <f>-(Operating!BA$40-AssetMgmtFeePct*Operating!BA$23)</f>
        <v/>
      </c>
      <c r="BB28" s="402">
        <f>-(Operating!BB$40-AssetMgmtFeePct*Operating!BB$23)</f>
        <v/>
      </c>
      <c r="BC28" s="402">
        <f>-(Operating!BC$40-AssetMgmtFeePct*Operating!BC$23)</f>
        <v/>
      </c>
      <c r="BD28" s="402">
        <f>-(Operating!BD$40-AssetMgmtFeePct*Operating!BD$23)</f>
        <v/>
      </c>
      <c r="BE28" s="402">
        <f>-(Operating!BE$40-AssetMgmtFeePct*Operating!BE$23)</f>
        <v/>
      </c>
      <c r="BF28" s="402">
        <f>-(Operating!BF$40-AssetMgmtFeePct*Operating!BF$23)</f>
        <v/>
      </c>
      <c r="BG28" s="402">
        <f>-(Operating!BG$40-AssetMgmtFeePct*Operating!BG$23)</f>
        <v/>
      </c>
      <c r="BH28" s="402">
        <f>-(Operating!BH$40-AssetMgmtFeePct*Operating!BH$23)</f>
        <v/>
      </c>
      <c r="BI28" s="402">
        <f>-(Operating!BI$40-AssetMgmtFeePct*Operating!BI$23)</f>
        <v/>
      </c>
      <c r="BJ28" s="402">
        <f>-(Operating!BJ$40-AssetMgmtFeePct*Operating!BJ$23)</f>
        <v/>
      </c>
      <c r="BK28" s="402">
        <f>-(Operating!BK$40-AssetMgmtFeePct*Operating!BK$23)</f>
        <v/>
      </c>
      <c r="BL28" s="402">
        <f>-(Operating!BL$40-AssetMgmtFeePct*Operating!BL$23)</f>
        <v/>
      </c>
      <c r="BM28" s="402">
        <f>-(Operating!BM$40-AssetMgmtFeePct*Operating!BM$23)</f>
        <v/>
      </c>
      <c r="BN28" s="402">
        <f>-(Operating!BN$40-AssetMgmtFeePct*Operating!BN$23)</f>
        <v/>
      </c>
      <c r="BO28" s="402">
        <f>-(Operating!BO$40-AssetMgmtFeePct*Operating!BO$23)</f>
        <v/>
      </c>
      <c r="BP28" s="402">
        <f>-(Operating!BP$40-AssetMgmtFeePct*Operating!BP$23)</f>
        <v/>
      </c>
      <c r="BQ28" s="402">
        <f>-(Operating!BQ$40-AssetMgmtFeePct*Operating!BQ$23)</f>
        <v/>
      </c>
      <c r="BR28" s="402">
        <f>-(Operating!BR$40-AssetMgmtFeePct*Operating!BR$23)</f>
        <v/>
      </c>
      <c r="BS28" s="402">
        <f>-(Operating!BS$40-AssetMgmtFeePct*Operating!BS$23)</f>
        <v/>
      </c>
      <c r="BT28" s="402">
        <f>-(Operating!BT$40-AssetMgmtFeePct*Operating!BT$23)</f>
        <v/>
      </c>
      <c r="BU28" s="402">
        <f>-(Operating!BU$40-AssetMgmtFeePct*Operating!BU$23)</f>
        <v/>
      </c>
      <c r="BV28" s="402">
        <f>-(Operating!BV$40-AssetMgmtFeePct*Operating!BV$23)</f>
        <v/>
      </c>
      <c r="BW28" s="402">
        <f>-(Operating!BW$40-AssetMgmtFeePct*Operating!BW$23)</f>
        <v/>
      </c>
      <c r="BX28" s="402">
        <f>-(Operating!BX$40-AssetMgmtFeePct*Operating!BX$23)</f>
        <v/>
      </c>
      <c r="BY28" s="402">
        <f>-(Operating!BY$40-AssetMgmtFeePct*Operating!BY$23)</f>
        <v/>
      </c>
      <c r="BZ28" s="402">
        <f>-(Operating!BZ$40-AssetMgmtFeePct*Operating!BZ$23)</f>
        <v/>
      </c>
      <c r="CA28" s="402">
        <f>-(Operating!CA$40-AssetMgmtFeePct*Operating!CA$23)</f>
        <v/>
      </c>
      <c r="CB28" s="402">
        <f>-(Operating!CB$40-AssetMgmtFeePct*Operating!CB$23)</f>
        <v/>
      </c>
      <c r="CC28" s="402">
        <f>-(Operating!CC$40-AssetMgmtFeePct*Operating!CC$23)</f>
        <v/>
      </c>
      <c r="CD28" s="402">
        <f>-(Operating!CD$40-AssetMgmtFeePct*Operating!CD$23)</f>
        <v/>
      </c>
      <c r="CE28" s="402">
        <f>-(Operating!CE$40-AssetMgmtFeePct*Operating!CE$23)</f>
        <v/>
      </c>
      <c r="CF28" s="402">
        <f>-(Operating!CF$40-AssetMgmtFeePct*Operating!CF$23)</f>
        <v/>
      </c>
      <c r="CG28" s="402">
        <f>-(Operating!CG$40-AssetMgmtFeePct*Operating!CG$23)</f>
        <v/>
      </c>
      <c r="CH28" s="402">
        <f>-(Operating!CH$40-AssetMgmtFeePct*Operating!CH$23)</f>
        <v/>
      </c>
      <c r="CI28" s="402">
        <f>-(Operating!CI$40-AssetMgmtFeePct*Operating!CI$23)</f>
        <v/>
      </c>
      <c r="CJ28" s="402">
        <f>-(Operating!CJ$40-AssetMgmtFeePct*Operating!CJ$23)</f>
        <v/>
      </c>
      <c r="CK28" s="402">
        <f>-(Operating!CK$40-AssetMgmtFeePct*Operating!CK$23)</f>
        <v/>
      </c>
      <c r="CL28" s="402">
        <f>-(Operating!CL$40-AssetMgmtFeePct*Operating!CL$23)</f>
        <v/>
      </c>
      <c r="CM28" s="402">
        <f>-(Operating!CM$40-AssetMgmtFeePct*Operating!CM$23)</f>
        <v/>
      </c>
      <c r="CN28" s="402">
        <f>-(Operating!CN$40-AssetMgmtFeePct*Operating!CN$23)</f>
        <v/>
      </c>
      <c r="CO28" s="402">
        <f>-(Operating!CO$40-AssetMgmtFeePct*Operating!CO$23)</f>
        <v/>
      </c>
      <c r="CP28" s="402">
        <f>-(Operating!CP$40-AssetMgmtFeePct*Operating!CP$23)</f>
        <v/>
      </c>
      <c r="CQ28" s="402">
        <f>-(Operating!CQ$40-AssetMgmtFeePct*Operating!CQ$23)</f>
        <v/>
      </c>
      <c r="CR28" s="402">
        <f>-(Operating!CR$40-AssetMgmtFeePct*Operating!CR$23)</f>
        <v/>
      </c>
      <c r="CS28" s="402">
        <f>-(Operating!CS$40-AssetMgmtFeePct*Operating!CS$23)</f>
        <v/>
      </c>
      <c r="CT28" s="402">
        <f>-(Operating!CT$40-AssetMgmtFeePct*Operating!CT$23)</f>
        <v/>
      </c>
      <c r="CU28" s="402">
        <f>-(Operating!CU$40-AssetMgmtFeePct*Operating!CU$23)</f>
        <v/>
      </c>
      <c r="CV28" s="402">
        <f>-(Operating!CV$40-AssetMgmtFeePct*Operating!CV$23)</f>
        <v/>
      </c>
      <c r="CW28" s="402">
        <f>-(Operating!CW$40-AssetMgmtFeePct*Operating!CW$23)</f>
        <v/>
      </c>
      <c r="CX28" s="402">
        <f>-(Operating!CX$40-AssetMgmtFeePct*Operating!CX$23)</f>
        <v/>
      </c>
      <c r="CY28" s="402">
        <f>-(Operating!CY$40-AssetMgmtFeePct*Operating!CY$23)</f>
        <v/>
      </c>
      <c r="CZ28" s="402">
        <f>-(Operating!CZ$40-AssetMgmtFeePct*Operating!CZ$23)</f>
        <v/>
      </c>
      <c r="DA28" s="402">
        <f>-(Operating!DA$40-AssetMgmtFeePct*Operating!DA$23)</f>
        <v/>
      </c>
      <c r="DB28" s="402">
        <f>-(Operating!DB$40-AssetMgmtFeePct*Operating!DB$23)</f>
        <v/>
      </c>
      <c r="DC28" s="402">
        <f>-(Operating!DC$40-AssetMgmtFeePct*Operating!DC$23)</f>
        <v/>
      </c>
      <c r="DD28" s="402">
        <f>-(Operating!DD$40-AssetMgmtFeePct*Operating!DD$23)</f>
        <v/>
      </c>
      <c r="DE28" s="402">
        <f>-(Operating!DE$40-AssetMgmtFeePct*Operating!DE$23)</f>
        <v/>
      </c>
      <c r="DF28" s="402">
        <f>-(Operating!DF$40-AssetMgmtFeePct*Operating!DF$23)</f>
        <v/>
      </c>
      <c r="DG28" s="402">
        <f>-(Operating!DG$40-AssetMgmtFeePct*Operating!DG$23)</f>
        <v/>
      </c>
      <c r="DH28" s="402">
        <f>-(Operating!DH$40-AssetMgmtFeePct*Operating!DH$23)</f>
        <v/>
      </c>
      <c r="DI28" s="402">
        <f>-(Operating!DI$40-AssetMgmtFeePct*Operating!DI$23)</f>
        <v/>
      </c>
      <c r="DJ28" s="402">
        <f>-(Operating!DJ$40-AssetMgmtFeePct*Operating!DJ$23)</f>
        <v/>
      </c>
      <c r="DK28" s="402">
        <f>-(Operating!DK$40-AssetMgmtFeePct*Operating!DK$23)</f>
        <v/>
      </c>
      <c r="DL28" s="402">
        <f>-(Operating!DL$40-AssetMgmtFeePct*Operating!DL$23)</f>
        <v/>
      </c>
      <c r="DM28" s="402">
        <f>-(Operating!DM$40-AssetMgmtFeePct*Operating!DM$23)</f>
        <v/>
      </c>
      <c r="DN28" s="402">
        <f>-(Operating!DN$40-AssetMgmtFeePct*Operating!DN$23)</f>
        <v/>
      </c>
      <c r="DO28" s="402">
        <f>-(Operating!DO$40-AssetMgmtFeePct*Operating!DO$23)</f>
        <v/>
      </c>
      <c r="DP28" s="402">
        <f>-(Operating!DP$40-AssetMgmtFeePct*Operating!DP$23)</f>
        <v/>
      </c>
      <c r="DQ28" s="402">
        <f>-(Operating!DQ$40-AssetMgmtFeePct*Operating!DQ$23)</f>
        <v/>
      </c>
      <c r="DR28" s="402">
        <f>-(Operating!DR$40-AssetMgmtFeePct*Operating!DR$23)</f>
        <v/>
      </c>
      <c r="DS28" s="402">
        <f>-(Operating!DS$40-AssetMgmtFeePct*Operating!DS$23)</f>
        <v/>
      </c>
      <c r="DT28" s="402">
        <f>-(Operating!DT$40-AssetMgmtFeePct*Operating!DT$23)</f>
        <v/>
      </c>
      <c r="DU28" s="402">
        <f>-(Operating!DU$40-AssetMgmtFeePct*Operating!DU$23)</f>
        <v/>
      </c>
      <c r="DV28" s="402">
        <f>-(Operating!DV$40-AssetMgmtFeePct*Operating!DV$23)</f>
        <v/>
      </c>
      <c r="DW28" s="402">
        <f>-(Operating!DW$40-AssetMgmtFeePct*Operating!DW$23)</f>
        <v/>
      </c>
      <c r="DX28" s="402">
        <f>-(Operating!DX$40-AssetMgmtFeePct*Operating!DX$23)</f>
        <v/>
      </c>
      <c r="DY28" s="402">
        <f>-(Operating!DY$40-AssetMgmtFeePct*Operating!DY$23)</f>
        <v/>
      </c>
      <c r="DZ28" s="402">
        <f>-(Operating!DZ$40-AssetMgmtFeePct*Operating!DZ$23)</f>
        <v/>
      </c>
      <c r="EA28" s="402">
        <f>-(Operating!EA$40-AssetMgmtFeePct*Operating!EA$23)</f>
        <v/>
      </c>
      <c r="EB28" s="402">
        <f>-(Operating!EB$40-AssetMgmtFeePct*Operating!EB$23)</f>
        <v/>
      </c>
      <c r="EC28" s="402">
        <f>-(Operating!EC$40-AssetMgmtFeePct*Operating!EC$23)</f>
        <v/>
      </c>
      <c r="ED28" s="402">
        <f>-(Operating!ED$40-AssetMgmtFeePct*Operating!ED$23)</f>
        <v/>
      </c>
      <c r="EE28" s="402">
        <f>-(Operating!EE$40-AssetMgmtFeePct*Operating!EE$23)</f>
        <v/>
      </c>
      <c r="EF28" s="402">
        <f>-(Operating!EF$40-AssetMgmtFeePct*Operating!EF$23)</f>
        <v/>
      </c>
      <c r="EG28" s="402">
        <f>-(Operating!EG$40-AssetMgmtFeePct*Operating!EG$23)</f>
        <v/>
      </c>
      <c r="EH28" s="402">
        <f>-(Operating!EH$40-AssetMgmtFeePct*Operating!EH$23)</f>
        <v/>
      </c>
      <c r="EI28" s="402">
        <f>-(Operating!EI$40-AssetMgmtFeePct*Operating!EI$23)</f>
        <v/>
      </c>
      <c r="EJ28" s="402">
        <f>-(Operating!EJ$40-AssetMgmtFeePct*Operating!EJ$23)</f>
        <v/>
      </c>
      <c r="EK28" s="402">
        <f>-(Operating!EK$40-AssetMgmtFeePct*Operating!EK$23)</f>
        <v/>
      </c>
      <c r="EL28" s="402">
        <f>-(Operating!EL$40-AssetMgmtFeePct*Operating!EL$23)</f>
        <v/>
      </c>
      <c r="EM28" s="402">
        <f>-(Operating!EM$40-AssetMgmtFeePct*Operating!EM$23)</f>
        <v/>
      </c>
      <c r="EN28" s="402">
        <f>-(Operating!EN$40-AssetMgmtFeePct*Operating!EN$23)</f>
        <v/>
      </c>
      <c r="EO28" s="402">
        <f>-(Operating!EO$40-AssetMgmtFeePct*Operating!EO$23)</f>
        <v/>
      </c>
      <c r="EP28" s="402">
        <f>-(Operating!EP$40-AssetMgmtFeePct*Operating!EP$23)</f>
        <v/>
      </c>
      <c r="EQ28" s="402">
        <f>-(Operating!EQ$40-AssetMgmtFeePct*Operating!EQ$23)</f>
        <v/>
      </c>
      <c r="ER28" s="402">
        <f>-(Operating!ER$40-AssetMgmtFeePct*Operating!ER$23)</f>
        <v/>
      </c>
      <c r="ES28" s="402">
        <f>-(Operating!ES$40-AssetMgmtFeePct*Operating!ES$23)</f>
        <v/>
      </c>
      <c r="ET28" s="402">
        <f>-(Operating!ET$40-AssetMgmtFeePct*Operating!ET$23)</f>
        <v/>
      </c>
      <c r="EU28" s="402">
        <f>-(Operating!EU$40-AssetMgmtFeePct*Operating!EU$23)</f>
        <v/>
      </c>
      <c r="EV28" s="402">
        <f>-(Operating!EV$40-AssetMgmtFeePct*Operating!EV$23)</f>
        <v/>
      </c>
      <c r="EW28" s="402">
        <f>-(Operating!EW$40-AssetMgmtFeePct*Operating!EW$23)</f>
        <v/>
      </c>
      <c r="EX28" s="402">
        <f>-(Operating!EX$40-AssetMgmtFeePct*Operating!EX$23)</f>
        <v/>
      </c>
      <c r="EY28" s="402">
        <f>-(Operating!EY$40-AssetMgmtFeePct*Operating!EY$23)</f>
        <v/>
      </c>
      <c r="EZ28" s="402">
        <f>-(Operating!EZ$40-AssetMgmtFeePct*Operating!EZ$23)</f>
        <v/>
      </c>
      <c r="FA28" s="402">
        <f>-(Operating!FA$40-AssetMgmtFeePct*Operating!FA$23)</f>
        <v/>
      </c>
      <c r="FB28" s="402">
        <f>-(Operating!FB$40-AssetMgmtFeePct*Operating!FB$23)</f>
        <v/>
      </c>
      <c r="FC28" s="402">
        <f>-(Operating!FC$40-AssetMgmtFeePct*Operating!FC$23)</f>
        <v/>
      </c>
      <c r="FD28" s="402">
        <f>-(Operating!FD$40-AssetMgmtFeePct*Operating!FD$23)</f>
        <v/>
      </c>
      <c r="FE28" s="402">
        <f>-(Operating!FE$40-AssetMgmtFeePct*Operating!FE$23)</f>
        <v/>
      </c>
      <c r="FF28" s="402">
        <f>-(Operating!FF$40-AssetMgmtFeePct*Operating!FF$23)</f>
        <v/>
      </c>
      <c r="FG28" s="402">
        <f>-(Operating!FG$40-AssetMgmtFeePct*Operating!FG$23)</f>
        <v/>
      </c>
      <c r="FH28" s="402">
        <f>-(Operating!FH$40-AssetMgmtFeePct*Operating!FH$23)</f>
        <v/>
      </c>
      <c r="FI28" s="402">
        <f>-(Operating!FI$40-AssetMgmtFeePct*Operating!FI$23)</f>
        <v/>
      </c>
      <c r="FJ28" s="402">
        <f>-(Operating!FJ$40-AssetMgmtFeePct*Operating!FJ$23)</f>
        <v/>
      </c>
      <c r="FK28" s="402">
        <f>-(Operating!FK$40-AssetMgmtFeePct*Operating!FK$23)</f>
        <v/>
      </c>
      <c r="FL28" s="402">
        <f>-(Operating!FL$40-AssetMgmtFeePct*Operating!FL$23)</f>
        <v/>
      </c>
      <c r="FM28" s="402">
        <f>-(Operating!FM$40-AssetMgmtFeePct*Operating!FM$23)</f>
        <v/>
      </c>
      <c r="FN28" s="402">
        <f>-(Operating!FN$40-AssetMgmtFeePct*Operating!FN$23)</f>
        <v/>
      </c>
      <c r="FO28" s="402">
        <f>-(Operating!FO$40-AssetMgmtFeePct*Operating!FO$23)</f>
        <v/>
      </c>
      <c r="FP28" s="402">
        <f>-(Operating!FP$40-AssetMgmtFeePct*Operating!FP$23)</f>
        <v/>
      </c>
      <c r="FQ28" s="402">
        <f>-(Operating!FQ$40-AssetMgmtFeePct*Operating!FQ$23)</f>
        <v/>
      </c>
      <c r="FR28" s="402">
        <f>-(Operating!FR$40-AssetMgmtFeePct*Operating!FR$23)</f>
        <v/>
      </c>
      <c r="FS28" s="402">
        <f>-(Operating!FS$40-AssetMgmtFeePct*Operating!FS$23)</f>
        <v/>
      </c>
      <c r="FT28" s="402">
        <f>-(Operating!FT$40-AssetMgmtFeePct*Operating!FT$23)</f>
        <v/>
      </c>
      <c r="FU28" s="402">
        <f>-(Operating!FU$40-AssetMgmtFeePct*Operating!FU$23)</f>
        <v/>
      </c>
      <c r="FV28" s="402">
        <f>-(Operating!FV$40-AssetMgmtFeePct*Operating!FV$23)</f>
        <v/>
      </c>
      <c r="FW28" s="402">
        <f>-(Operating!FW$40-AssetMgmtFeePct*Operating!FW$23)</f>
        <v/>
      </c>
      <c r="FX28" s="402">
        <f>-(Operating!FX$40-AssetMgmtFeePct*Operating!FX$23)</f>
        <v/>
      </c>
      <c r="FY28" s="402">
        <f>-(Operating!FY$40-AssetMgmtFeePct*Operating!FY$23)</f>
        <v/>
      </c>
      <c r="FZ28" s="402">
        <f>-(Operating!FZ$40-AssetMgmtFeePct*Operating!FZ$23)</f>
        <v/>
      </c>
      <c r="GA28" s="402">
        <f>-(Operating!GA$40-AssetMgmtFeePct*Operating!GA$23)</f>
        <v/>
      </c>
      <c r="GB28" s="402">
        <f>-(Operating!GB$40-AssetMgmtFeePct*Operating!GB$23)</f>
        <v/>
      </c>
      <c r="GC28" s="402">
        <f>-(Operating!GC$40-AssetMgmtFeePct*Operating!GC$23)</f>
        <v/>
      </c>
      <c r="GD28" s="402">
        <f>-(Operating!GD$40-AssetMgmtFeePct*Operating!GD$23)</f>
        <v/>
      </c>
      <c r="GE28" s="402">
        <f>-(Operating!GE$40-AssetMgmtFeePct*Operating!GE$23)</f>
        <v/>
      </c>
      <c r="GF28" s="402">
        <f>-(Operating!GF$40-AssetMgmtFeePct*Operating!GF$23)</f>
        <v/>
      </c>
      <c r="GG28" s="402">
        <f>-(Operating!GG$40-AssetMgmtFeePct*Operating!GG$23)</f>
        <v/>
      </c>
      <c r="GH28" s="402">
        <f>-(Operating!GH$40-AssetMgmtFeePct*Operating!GH$23)</f>
        <v/>
      </c>
      <c r="GI28" s="402">
        <f>-(Operating!GI$40-AssetMgmtFeePct*Operating!GI$23)</f>
        <v/>
      </c>
      <c r="GJ28" s="402">
        <f>-(Operating!GJ$40-AssetMgmtFeePct*Operating!GJ$23)</f>
        <v/>
      </c>
      <c r="GK28" s="402">
        <f>-(Operating!GK$40-AssetMgmtFeePct*Operating!GK$23)</f>
        <v/>
      </c>
      <c r="GL28" s="402">
        <f>-(Operating!GL$40-AssetMgmtFeePct*Operating!GL$23)</f>
        <v/>
      </c>
      <c r="GM28" s="402">
        <f>-(Operating!GM$40-AssetMgmtFeePct*Operating!GM$23)</f>
        <v/>
      </c>
      <c r="GN28" s="402">
        <f>-(Operating!GN$40-AssetMgmtFeePct*Operating!GN$23)</f>
        <v/>
      </c>
      <c r="GO28" s="402">
        <f>-(Operating!GO$40-AssetMgmtFeePct*Operating!GO$23)</f>
        <v/>
      </c>
      <c r="GP28" s="402">
        <f>-(Operating!GP$40-AssetMgmtFeePct*Operating!GP$23)</f>
        <v/>
      </c>
      <c r="GQ28" s="402">
        <f>-(Operating!GQ$40-AssetMgmtFeePct*Operating!GQ$23)</f>
        <v/>
      </c>
      <c r="GR28" s="402">
        <f>-(Operating!GR$40-AssetMgmtFeePct*Operating!GR$23)</f>
        <v/>
      </c>
      <c r="GS28" s="402">
        <f>-(Operating!GS$40-AssetMgmtFeePct*Operating!GS$23)</f>
        <v/>
      </c>
      <c r="GT28" s="402">
        <f>-(Operating!GT$40-AssetMgmtFeePct*Operating!GT$23)</f>
        <v/>
      </c>
      <c r="GU28" s="402">
        <f>-(Operating!GU$40-AssetMgmtFeePct*Operating!GU$23)</f>
        <v/>
      </c>
      <c r="GV28" s="402">
        <f>-(Operating!GV$40-AssetMgmtFeePct*Operating!GV$23)</f>
        <v/>
      </c>
      <c r="GW28" s="402">
        <f>-(Operating!GW$40-AssetMgmtFeePct*Operating!GW$23)</f>
        <v/>
      </c>
      <c r="GX28" s="402">
        <f>-(Operating!GX$40-AssetMgmtFeePct*Operating!GX$23)</f>
        <v/>
      </c>
      <c r="GY28" s="402">
        <f>-(Operating!GY$40-AssetMgmtFeePct*Operating!GY$23)</f>
        <v/>
      </c>
      <c r="GZ28" s="402">
        <f>-(Operating!GZ$40-AssetMgmtFeePct*Operating!GZ$23)</f>
        <v/>
      </c>
      <c r="HA28" s="402">
        <f>-(Operating!HA$40-AssetMgmtFeePct*Operating!HA$23)</f>
        <v/>
      </c>
      <c r="HB28" s="402">
        <f>-(Operating!HB$40-AssetMgmtFeePct*Operating!HB$23)</f>
        <v/>
      </c>
      <c r="HC28" s="402">
        <f>-(Operating!HC$40-AssetMgmtFeePct*Operating!HC$23)</f>
        <v/>
      </c>
      <c r="HD28" s="402">
        <f>-(Operating!HD$40-AssetMgmtFeePct*Operating!HD$23)</f>
        <v/>
      </c>
      <c r="HE28" s="402">
        <f>-(Operating!HE$40-AssetMgmtFeePct*Operating!HE$23)</f>
        <v/>
      </c>
      <c r="HF28" s="402">
        <f>-(Operating!HF$40-AssetMgmtFeePct*Operating!HF$23)</f>
        <v/>
      </c>
      <c r="HG28" s="402">
        <f>-(Operating!HG$40-AssetMgmtFeePct*Operating!HG$23)</f>
        <v/>
      </c>
      <c r="HH28" s="402">
        <f>-(Operating!HH$40-AssetMgmtFeePct*Operating!HH$23)</f>
        <v/>
      </c>
      <c r="HI28" s="402">
        <f>-(Operating!HI$40-AssetMgmtFeePct*Operating!HI$23)</f>
        <v/>
      </c>
      <c r="HJ28" s="402">
        <f>-(Operating!HJ$40-AssetMgmtFeePct*Operating!HJ$23)</f>
        <v/>
      </c>
      <c r="HK28" s="402">
        <f>-(Operating!HK$40-AssetMgmtFeePct*Operating!HK$23)</f>
        <v/>
      </c>
      <c r="HL28" s="402">
        <f>-(Operating!HL$40-AssetMgmtFeePct*Operating!HL$23)</f>
        <v/>
      </c>
      <c r="HM28" s="402">
        <f>-(Operating!HM$40-AssetMgmtFeePct*Operating!HM$23)</f>
        <v/>
      </c>
      <c r="HN28" s="402">
        <f>-(Operating!HN$40-AssetMgmtFeePct*Operating!HN$23)</f>
        <v/>
      </c>
      <c r="HO28" s="402">
        <f>-(Operating!HO$40-AssetMgmtFeePct*Operating!HO$23)</f>
        <v/>
      </c>
      <c r="HP28" s="402">
        <f>-(Operating!HP$40-AssetMgmtFeePct*Operating!HP$23)</f>
        <v/>
      </c>
      <c r="HQ28" s="402">
        <f>-(Operating!HQ$40-AssetMgmtFeePct*Operating!HQ$23)</f>
        <v/>
      </c>
      <c r="HR28" s="402">
        <f>-(Operating!HR$40-AssetMgmtFeePct*Operating!HR$23)</f>
        <v/>
      </c>
      <c r="HS28" s="402">
        <f>-(Operating!HS$40-AssetMgmtFeePct*Operating!HS$23)</f>
        <v/>
      </c>
      <c r="HT28" s="402">
        <f>-(Operating!HT$40-AssetMgmtFeePct*Operating!HT$23)</f>
        <v/>
      </c>
      <c r="HU28" s="402">
        <f>-(Operating!HU$40-AssetMgmtFeePct*Operating!HU$23)</f>
        <v/>
      </c>
      <c r="HV28" s="402">
        <f>-(Operating!HV$40-AssetMgmtFeePct*Operating!HV$23)</f>
        <v/>
      </c>
      <c r="HW28" s="402">
        <f>-(Operating!HW$40-AssetMgmtFeePct*Operating!HW$23)</f>
        <v/>
      </c>
      <c r="HX28" s="402">
        <f>-(Operating!HX$40-AssetMgmtFeePct*Operating!HX$23)</f>
        <v/>
      </c>
      <c r="HY28" s="402">
        <f>-(Operating!HY$40-AssetMgmtFeePct*Operating!HY$23)</f>
        <v/>
      </c>
      <c r="HZ28" s="402">
        <f>-(Operating!HZ$40-AssetMgmtFeePct*Operating!HZ$23)</f>
        <v/>
      </c>
      <c r="IA28" s="402">
        <f>-(Operating!IA$40-AssetMgmtFeePct*Operating!IA$23)</f>
        <v/>
      </c>
      <c r="IB28" s="402">
        <f>-(Operating!IB$40-AssetMgmtFeePct*Operating!IB$23)</f>
        <v/>
      </c>
      <c r="IC28" s="402">
        <f>-(Operating!IC$40-AssetMgmtFeePct*Operating!IC$23)</f>
        <v/>
      </c>
      <c r="ID28" s="402">
        <f>-(Operating!ID$40-AssetMgmtFeePct*Operating!ID$23)</f>
        <v/>
      </c>
      <c r="IE28" s="402">
        <f>-(Operating!IE$40-AssetMgmtFeePct*Operating!IE$23)</f>
        <v/>
      </c>
      <c r="IF28" s="402">
        <f>-(Operating!IF$40-AssetMgmtFeePct*Operating!IF$23)</f>
        <v/>
      </c>
      <c r="IG28" s="402">
        <f>-(Operating!IG$40-AssetMgmtFeePct*Operating!IG$23)</f>
        <v/>
      </c>
      <c r="IH28" s="402">
        <f>-(Operating!IH$40-AssetMgmtFeePct*Operating!IH$23)</f>
        <v/>
      </c>
      <c r="II28" s="402">
        <f>-(Operating!II$40-AssetMgmtFeePct*Operating!II$23)</f>
        <v/>
      </c>
      <c r="IJ28" s="402">
        <f>-(Operating!IJ$40-AssetMgmtFeePct*Operating!IJ$23)</f>
        <v/>
      </c>
      <c r="IK28" s="402">
        <f>-(Operating!IK$40-AssetMgmtFeePct*Operating!IK$23)</f>
        <v/>
      </c>
      <c r="IL28" s="402">
        <f>-(Operating!IL$40-AssetMgmtFeePct*Operating!IL$23)</f>
        <v/>
      </c>
      <c r="IM28" s="402">
        <f>-(Operating!IM$40-AssetMgmtFeePct*Operating!IM$23)</f>
        <v/>
      </c>
      <c r="IN28" s="402">
        <f>-(Operating!IN$40-AssetMgmtFeePct*Operating!IN$23)</f>
        <v/>
      </c>
      <c r="IO28" s="402">
        <f>-(Operating!IO$40-AssetMgmtFeePct*Operating!IO$23)</f>
        <v/>
      </c>
      <c r="IP28" s="402">
        <f>-(Operating!IP$40-AssetMgmtFeePct*Operating!IP$23)</f>
        <v/>
      </c>
      <c r="IQ28" s="402">
        <f>-(Operating!IQ$40-AssetMgmtFeePct*Operating!IQ$23)</f>
        <v/>
      </c>
      <c r="IR28" s="402">
        <f>-(Operating!IR$40-AssetMgmtFeePct*Operating!IR$23)</f>
        <v/>
      </c>
      <c r="IS28" s="402">
        <f>-(Operating!IS$40-AssetMgmtFeePct*Operating!IS$23)</f>
        <v/>
      </c>
      <c r="IT28" s="402">
        <f>-(Operating!IT$40-AssetMgmtFeePct*Operating!IT$23)</f>
        <v/>
      </c>
      <c r="IU28" s="402">
        <f>-(Operating!IU$40-AssetMgmtFeePct*Operating!IU$23)</f>
        <v/>
      </c>
      <c r="IV28" s="402">
        <f>-(Operating!IV$40-AssetMgmtFeePct*Operating!IV$23)</f>
        <v/>
      </c>
      <c r="IW28" s="402">
        <f>-(Operating!IW$40-AssetMgmtFeePct*Operating!IW$23)</f>
        <v/>
      </c>
      <c r="IX28" s="402">
        <f>-(Operating!IX$40-AssetMgmtFeePct*Operating!IX$23)</f>
        <v/>
      </c>
      <c r="IY28" s="402">
        <f>-(Operating!IY$40-AssetMgmtFeePct*Operating!IY$23)</f>
        <v/>
      </c>
      <c r="IZ28" s="402">
        <f>-(Operating!IZ$40-AssetMgmtFeePct*Operating!IZ$23)</f>
        <v/>
      </c>
      <c r="JA28" s="402">
        <f>-(Operating!JA$40-AssetMgmtFeePct*Operating!JA$23)</f>
        <v/>
      </c>
      <c r="JB28" s="402">
        <f>-(Operating!JB$40-AssetMgmtFeePct*Operating!JB$23)</f>
        <v/>
      </c>
      <c r="JC28" s="402">
        <f>-(Operating!JC$40-AssetMgmtFeePct*Operating!JC$23)</f>
        <v/>
      </c>
      <c r="JD28" s="402">
        <f>-(Operating!JD$40-AssetMgmtFeePct*Operating!JD$23)</f>
        <v/>
      </c>
      <c r="JE28" s="402">
        <f>-(Operating!JE$40-AssetMgmtFeePct*Operating!JE$23)</f>
        <v/>
      </c>
      <c r="JF28" s="402">
        <f>-(Operating!JF$40-AssetMgmtFeePct*Operating!JF$23)</f>
        <v/>
      </c>
      <c r="JG28" s="402">
        <f>-(Operating!JG$40-AssetMgmtFeePct*Operating!JG$23)</f>
        <v/>
      </c>
      <c r="JH28" s="402">
        <f>-(Operating!JH$40-AssetMgmtFeePct*Operating!JH$23)</f>
        <v/>
      </c>
      <c r="JI28" s="402">
        <f>-(Operating!JI$40-AssetMgmtFeePct*Operating!JI$23)</f>
        <v/>
      </c>
      <c r="JJ28" s="402">
        <f>-(Operating!JJ$40-AssetMgmtFeePct*Operating!JJ$23)</f>
        <v/>
      </c>
      <c r="JK28" s="402">
        <f>-(Operating!JK$40-AssetMgmtFeePct*Operating!JK$23)</f>
        <v/>
      </c>
      <c r="JL28" s="402">
        <f>-(Operating!JL$40-AssetMgmtFeePct*Operating!JL$23)</f>
        <v/>
      </c>
      <c r="JM28" s="402">
        <f>-(Operating!JM$40-AssetMgmtFeePct*Operating!JM$23)</f>
        <v/>
      </c>
      <c r="JN28" s="402">
        <f>-(Operating!JN$40-AssetMgmtFeePct*Operating!JN$23)</f>
        <v/>
      </c>
      <c r="JO28" s="402">
        <f>-(Operating!JO$40-AssetMgmtFeePct*Operating!JO$23)</f>
        <v/>
      </c>
      <c r="JP28" s="402">
        <f>-(Operating!JP$40-AssetMgmtFeePct*Operating!JP$23)</f>
        <v/>
      </c>
      <c r="JQ28" s="402">
        <f>-(Operating!JQ$40-AssetMgmtFeePct*Operating!JQ$23)</f>
        <v/>
      </c>
      <c r="JR28" s="402">
        <f>-(Operating!JR$40-AssetMgmtFeePct*Operating!JR$23)</f>
        <v/>
      </c>
      <c r="JS28" s="402">
        <f>-(Operating!JS$40-AssetMgmtFeePct*Operating!JS$23)</f>
        <v/>
      </c>
      <c r="JT28" s="402">
        <f>-(Operating!JT$40-AssetMgmtFeePct*Operating!JT$23)</f>
        <v/>
      </c>
      <c r="JU28" s="402">
        <f>-(Operating!JU$40-AssetMgmtFeePct*Operating!JU$23)</f>
        <v/>
      </c>
      <c r="JV28" s="402">
        <f>-(Operating!JV$40-AssetMgmtFeePct*Operating!JV$23)</f>
        <v/>
      </c>
      <c r="JW28" s="402">
        <f>-(Operating!JW$40-AssetMgmtFeePct*Operating!JW$23)</f>
        <v/>
      </c>
      <c r="JX28" s="402">
        <f>-(Operating!JX$40-AssetMgmtFeePct*Operating!JX$23)</f>
        <v/>
      </c>
      <c r="JY28" s="402">
        <f>-(Operating!JY$40-AssetMgmtFeePct*Operating!JY$23)</f>
        <v/>
      </c>
      <c r="JZ28" s="402">
        <f>-(Operating!JZ$40-AssetMgmtFeePct*Operating!JZ$23)</f>
        <v/>
      </c>
      <c r="KA28" s="402">
        <f>-(Operating!KA$40-AssetMgmtFeePct*Operating!KA$23)</f>
        <v/>
      </c>
      <c r="KB28" s="402">
        <f>-(Operating!KB$40-AssetMgmtFeePct*Operating!KB$23)</f>
        <v/>
      </c>
      <c r="KC28" s="402">
        <f>-(Operating!KC$40-AssetMgmtFeePct*Operating!KC$23)</f>
        <v/>
      </c>
      <c r="KD28" s="402">
        <f>-(Operating!KD$40-AssetMgmtFeePct*Operating!KD$23)</f>
        <v/>
      </c>
      <c r="KE28" s="402">
        <f>-(Operating!KE$40-AssetMgmtFeePct*Operating!KE$23)</f>
        <v/>
      </c>
      <c r="KF28" s="402">
        <f>-(Operating!KF$40-AssetMgmtFeePct*Operating!KF$23)</f>
        <v/>
      </c>
      <c r="KG28" s="402">
        <f>-(Operating!KG$40-AssetMgmtFeePct*Operating!KG$23)</f>
        <v/>
      </c>
      <c r="KH28" s="402">
        <f>-(Operating!KH$40-AssetMgmtFeePct*Operating!KH$23)</f>
        <v/>
      </c>
      <c r="KI28" s="402">
        <f>-(Operating!KI$40-AssetMgmtFeePct*Operating!KI$23)</f>
        <v/>
      </c>
      <c r="KJ28" s="402">
        <f>-(Operating!KJ$40-AssetMgmtFeePct*Operating!KJ$23)</f>
        <v/>
      </c>
      <c r="KK28" s="402">
        <f>-(Operating!KK$40-AssetMgmtFeePct*Operating!KK$23)</f>
        <v/>
      </c>
      <c r="KL28" s="402">
        <f>-(Operating!KL$40-AssetMgmtFeePct*Operating!KL$23)</f>
        <v/>
      </c>
      <c r="KM28" s="402">
        <f>-(Operating!KM$40-AssetMgmtFeePct*Operating!KM$23)</f>
        <v/>
      </c>
      <c r="KN28" s="402">
        <f>-(Operating!KN$40-AssetMgmtFeePct*Operating!KN$23)</f>
        <v/>
      </c>
      <c r="KO28" s="402">
        <f>-(Operating!KO$40-AssetMgmtFeePct*Operating!KO$23)</f>
        <v/>
      </c>
      <c r="KP28" s="402">
        <f>-(Operating!KP$40-AssetMgmtFeePct*Operating!KP$23)</f>
        <v/>
      </c>
      <c r="KQ28" s="402">
        <f>-(Operating!KQ$40-AssetMgmtFeePct*Operating!KQ$23)</f>
        <v/>
      </c>
      <c r="KR28" s="402">
        <f>-(Operating!KR$40-AssetMgmtFeePct*Operating!KR$23)</f>
        <v/>
      </c>
      <c r="KS28" s="402">
        <f>-(Operating!KS$40-AssetMgmtFeePct*Operating!KS$23)</f>
        <v/>
      </c>
      <c r="KT28" s="402">
        <f>-(Operating!KT$40-AssetMgmtFeePct*Operating!KT$23)</f>
        <v/>
      </c>
      <c r="KU28" s="402">
        <f>-(Operating!KU$40-AssetMgmtFeePct*Operating!KU$23)</f>
        <v/>
      </c>
      <c r="KV28" s="402">
        <f>-(Operating!KV$40-AssetMgmtFeePct*Operating!KV$23)</f>
        <v/>
      </c>
      <c r="KW28" s="402">
        <f>-(Operating!KW$40-AssetMgmtFeePct*Operating!KW$23)</f>
        <v/>
      </c>
      <c r="KX28" s="402">
        <f>-(Operating!KX$40-AssetMgmtFeePct*Operating!KX$23)</f>
        <v/>
      </c>
      <c r="KY28" s="402">
        <f>-(Operating!KY$40-AssetMgmtFeePct*Operating!KY$23)</f>
        <v/>
      </c>
      <c r="KZ28" s="402">
        <f>-(Operating!KZ$40-AssetMgmtFeePct*Operating!KZ$23)</f>
        <v/>
      </c>
      <c r="LA28" s="402">
        <f>-(Operating!LA$40-AssetMgmtFeePct*Operating!LA$23)</f>
        <v/>
      </c>
      <c r="LB28" s="402">
        <f>-(Operating!LB$40-AssetMgmtFeePct*Operating!LB$23)</f>
        <v/>
      </c>
      <c r="LC28" s="402">
        <f>-(Operating!LC$40-AssetMgmtFeePct*Operating!LC$23)</f>
        <v/>
      </c>
      <c r="LD28" s="402">
        <f>-(Operating!LD$40-AssetMgmtFeePct*Operating!LD$23)</f>
        <v/>
      </c>
      <c r="LE28" s="402">
        <f>-(Operating!LE$40-AssetMgmtFeePct*Operating!LE$23)</f>
        <v/>
      </c>
      <c r="LF28" s="402">
        <f>-(Operating!LF$40-AssetMgmtFeePct*Operating!LF$23)</f>
        <v/>
      </c>
      <c r="LG28" s="402">
        <f>-(Operating!LG$40-AssetMgmtFeePct*Operating!LG$23)</f>
        <v/>
      </c>
      <c r="LH28" s="402">
        <f>-(Operating!LH$40-AssetMgmtFeePct*Operating!LH$23)</f>
        <v/>
      </c>
      <c r="LI28" s="402">
        <f>-(Operating!LI$40-AssetMgmtFeePct*Operating!LI$23)</f>
        <v/>
      </c>
      <c r="LJ28" s="402">
        <f>-(Operating!LJ$40-AssetMgmtFeePct*Operating!LJ$23)</f>
        <v/>
      </c>
      <c r="LK28" s="402">
        <f>-(Operating!LK$40-AssetMgmtFeePct*Operating!LK$23)</f>
        <v/>
      </c>
      <c r="LL28" s="402">
        <f>-(Operating!LL$40-AssetMgmtFeePct*Operating!LL$23)</f>
        <v/>
      </c>
      <c r="LM28" s="402">
        <f>-(Operating!LM$40-AssetMgmtFeePct*Operating!LM$23)</f>
        <v/>
      </c>
      <c r="LN28" s="402">
        <f>-(Operating!LN$40-AssetMgmtFeePct*Operating!LN$23)</f>
        <v/>
      </c>
      <c r="LO28" s="402">
        <f>-(Operating!LO$40-AssetMgmtFeePct*Operating!LO$23)</f>
        <v/>
      </c>
      <c r="LP28" s="402">
        <f>-(Operating!LP$40-AssetMgmtFeePct*Operating!LP$23)</f>
        <v/>
      </c>
      <c r="LQ28" s="402">
        <f>-(Operating!LQ$40-AssetMgmtFeePct*Operating!LQ$23)</f>
        <v/>
      </c>
      <c r="LR28" s="402">
        <f>-(Operating!LR$40-AssetMgmtFeePct*Operating!LR$23)</f>
        <v/>
      </c>
      <c r="LS28" s="402">
        <f>-(Operating!LS$40-AssetMgmtFeePct*Operating!LS$23)</f>
        <v/>
      </c>
      <c r="LT28" s="402">
        <f>-(Operating!LT$40-AssetMgmtFeePct*Operating!LT$23)</f>
        <v/>
      </c>
      <c r="LU28" s="402">
        <f>-(Operating!LU$40-AssetMgmtFeePct*Operating!LU$23)</f>
        <v/>
      </c>
      <c r="LV28" s="402">
        <f>-(Operating!LV$40-AssetMgmtFeePct*Operating!LV$23)</f>
        <v/>
      </c>
      <c r="LW28" s="402">
        <f>-(Operating!LW$40-AssetMgmtFeePct*Operating!LW$23)</f>
        <v/>
      </c>
      <c r="LX28" s="402">
        <f>-(Operating!LX$40-AssetMgmtFeePct*Operating!LX$23)</f>
        <v/>
      </c>
      <c r="LY28" s="402">
        <f>-(Operating!LY$40-AssetMgmtFeePct*Operating!LY$23)</f>
        <v/>
      </c>
      <c r="LZ28" s="402">
        <f>-(Operating!LZ$40-AssetMgmtFeePct*Operating!LZ$23)</f>
        <v/>
      </c>
      <c r="MA28" s="402">
        <f>-(Operating!MA$40-AssetMgmtFeePct*Operating!MA$23)</f>
        <v/>
      </c>
      <c r="MB28" s="402">
        <f>-(Operating!MB$40-AssetMgmtFeePct*Operating!MB$23)</f>
        <v/>
      </c>
      <c r="MC28" s="402">
        <f>-(Operating!MC$40-AssetMgmtFeePct*Operating!MC$23)</f>
        <v/>
      </c>
      <c r="MD28" s="402">
        <f>-(Operating!MD$40-AssetMgmtFeePct*Operating!MD$23)</f>
        <v/>
      </c>
      <c r="ME28" s="402">
        <f>-(Operating!ME$40-AssetMgmtFeePct*Operating!ME$23)</f>
        <v/>
      </c>
      <c r="MF28" s="402">
        <f>-(Operating!MF$40-AssetMgmtFeePct*Operating!MF$23)</f>
        <v/>
      </c>
      <c r="MG28" s="402">
        <f>-(Operating!MG$40-AssetMgmtFeePct*Operating!MG$23)</f>
        <v/>
      </c>
      <c r="MH28" s="402">
        <f>-(Operating!MH$40-AssetMgmtFeePct*Operating!MH$23)</f>
        <v/>
      </c>
      <c r="MI28" s="402">
        <f>-(Operating!MI$40-AssetMgmtFeePct*Operating!MI$23)</f>
        <v/>
      </c>
      <c r="MJ28" s="402">
        <f>-(Operating!MJ$40-AssetMgmtFeePct*Operating!MJ$23)</f>
        <v/>
      </c>
      <c r="MK28" s="402">
        <f>-(Operating!MK$40-AssetMgmtFeePct*Operating!MK$23)</f>
        <v/>
      </c>
      <c r="ML28" s="402">
        <f>-(Operating!ML$40-AssetMgmtFeePct*Operating!ML$23)</f>
        <v/>
      </c>
      <c r="MM28" s="402">
        <f>-(Operating!MM$40-AssetMgmtFeePct*Operating!MM$23)</f>
        <v/>
      </c>
      <c r="MN28" s="402">
        <f>-(Operating!MN$40-AssetMgmtFeePct*Operating!MN$23)</f>
        <v/>
      </c>
      <c r="MO28" s="402">
        <f>-(Operating!MO$40-AssetMgmtFeePct*Operating!MO$23)</f>
        <v/>
      </c>
      <c r="MP28" s="402">
        <f>-(Operating!MP$40-AssetMgmtFeePct*Operating!MP$23)</f>
        <v/>
      </c>
      <c r="MQ28" s="402">
        <f>-(Operating!MQ$40-AssetMgmtFeePct*Operating!MQ$23)</f>
        <v/>
      </c>
      <c r="MR28" s="402">
        <f>-(Operating!MR$40-AssetMgmtFeePct*Operating!MR$23)</f>
        <v/>
      </c>
      <c r="MS28" s="402">
        <f>-(Operating!MS$40-AssetMgmtFeePct*Operating!MS$23)</f>
        <v/>
      </c>
      <c r="MT28" s="402">
        <f>-(Operating!MT$40-AssetMgmtFeePct*Operating!MT$23)</f>
        <v/>
      </c>
      <c r="MU28" s="402">
        <f>-(Operating!MU$40-AssetMgmtFeePct*Operating!MU$23)</f>
        <v/>
      </c>
      <c r="MV28" s="402">
        <f>-(Operating!MV$40-AssetMgmtFeePct*Operating!MV$23)</f>
        <v/>
      </c>
      <c r="MW28" s="402">
        <f>-(Operating!MW$40-AssetMgmtFeePct*Operating!MW$23)</f>
        <v/>
      </c>
      <c r="MX28" s="402">
        <f>-(Operating!MX$40-AssetMgmtFeePct*Operating!MX$23)</f>
        <v/>
      </c>
      <c r="MY28" s="402">
        <f>-(Operating!MY$40-AssetMgmtFeePct*Operating!MY$23)</f>
        <v/>
      </c>
      <c r="MZ28" s="402">
        <f>-(Operating!MZ$40-AssetMgmtFeePct*Operating!MZ$23)</f>
        <v/>
      </c>
      <c r="NA28" s="402">
        <f>-(Operating!NA$40-AssetMgmtFeePct*Operating!NA$23)</f>
        <v/>
      </c>
      <c r="NB28" s="402">
        <f>-(Operating!NB$40-AssetMgmtFeePct*Operating!NB$23)</f>
        <v/>
      </c>
      <c r="NC28" s="402">
        <f>-(Operating!NC$40-AssetMgmtFeePct*Operating!NC$23)</f>
        <v/>
      </c>
      <c r="ND28" s="402">
        <f>-(Operating!ND$40-AssetMgmtFeePct*Operating!ND$23)</f>
        <v/>
      </c>
      <c r="NE28" s="402">
        <f>-(Operating!NE$40-AssetMgmtFeePct*Operating!NE$23)</f>
        <v/>
      </c>
      <c r="NF28" s="402">
        <f>-(Operating!NF$40-AssetMgmtFeePct*Operating!NF$23)</f>
        <v/>
      </c>
      <c r="NG28" s="402">
        <f>-(Operating!NG$40-AssetMgmtFeePct*Operating!NG$23)</f>
        <v/>
      </c>
      <c r="NH28" s="402">
        <f>-(Operating!NH$40-AssetMgmtFeePct*Operating!NH$23)</f>
        <v/>
      </c>
      <c r="NI28" s="402">
        <f>-(Operating!NI$40-AssetMgmtFeePct*Operating!NI$23)</f>
        <v/>
      </c>
      <c r="NJ28" s="402">
        <f>-(Operating!NJ$40-AssetMgmtFeePct*Operating!NJ$23)</f>
        <v/>
      </c>
      <c r="NK28" s="402">
        <f>-(Operating!NK$40-AssetMgmtFeePct*Operating!NK$23)</f>
        <v/>
      </c>
      <c r="NL28" s="402">
        <f>-(Operating!NL$40-AssetMgmtFeePct*Operating!NL$23)</f>
        <v/>
      </c>
    </row>
    <row r="29">
      <c r="B29" s="330" t="inlineStr">
        <is>
          <t>Property Operating Cash Flow</t>
        </is>
      </c>
      <c r="D29" s="403">
        <f>SUM(E29:NL29)</f>
        <v/>
      </c>
      <c r="E29" s="407">
        <f>Operating!E$42</f>
        <v/>
      </c>
      <c r="F29" s="407">
        <f>Operating!F$42</f>
        <v/>
      </c>
      <c r="G29" s="407">
        <f>Operating!G$42</f>
        <v/>
      </c>
      <c r="H29" s="407">
        <f>Operating!H$42</f>
        <v/>
      </c>
      <c r="I29" s="407">
        <f>Operating!I$42</f>
        <v/>
      </c>
      <c r="J29" s="407">
        <f>Operating!J$42</f>
        <v/>
      </c>
      <c r="K29" s="407">
        <f>Operating!K$42</f>
        <v/>
      </c>
      <c r="L29" s="407">
        <f>Operating!L$42</f>
        <v/>
      </c>
      <c r="M29" s="407">
        <f>Operating!M$42</f>
        <v/>
      </c>
      <c r="N29" s="407">
        <f>Operating!N$42</f>
        <v/>
      </c>
      <c r="O29" s="407">
        <f>Operating!O$42</f>
        <v/>
      </c>
      <c r="P29" s="407">
        <f>Operating!P$42</f>
        <v/>
      </c>
      <c r="Q29" s="407">
        <f>Operating!Q$42</f>
        <v/>
      </c>
      <c r="R29" s="407">
        <f>Operating!R$42</f>
        <v/>
      </c>
      <c r="S29" s="407">
        <f>Operating!S$42</f>
        <v/>
      </c>
      <c r="T29" s="407">
        <f>Operating!T$42</f>
        <v/>
      </c>
      <c r="U29" s="407">
        <f>Operating!U$42</f>
        <v/>
      </c>
      <c r="V29" s="407">
        <f>Operating!V$42</f>
        <v/>
      </c>
      <c r="W29" s="407">
        <f>Operating!W$42</f>
        <v/>
      </c>
      <c r="X29" s="407">
        <f>Operating!X$42</f>
        <v/>
      </c>
      <c r="Y29" s="407">
        <f>Operating!Y$42</f>
        <v/>
      </c>
      <c r="Z29" s="407">
        <f>Operating!Z$42</f>
        <v/>
      </c>
      <c r="AA29" s="407">
        <f>Operating!AA$42</f>
        <v/>
      </c>
      <c r="AB29" s="407">
        <f>Operating!AB$42</f>
        <v/>
      </c>
      <c r="AC29" s="407">
        <f>Operating!AC$42</f>
        <v/>
      </c>
      <c r="AD29" s="407">
        <f>Operating!AD$42</f>
        <v/>
      </c>
      <c r="AE29" s="407">
        <f>Operating!AE$42</f>
        <v/>
      </c>
      <c r="AF29" s="407">
        <f>Operating!AF$42</f>
        <v/>
      </c>
      <c r="AG29" s="407">
        <f>Operating!AG$42</f>
        <v/>
      </c>
      <c r="AH29" s="407">
        <f>Operating!AH$42</f>
        <v/>
      </c>
      <c r="AI29" s="407">
        <f>Operating!AI$42</f>
        <v/>
      </c>
      <c r="AJ29" s="407">
        <f>Operating!AJ$42</f>
        <v/>
      </c>
      <c r="AK29" s="407">
        <f>Operating!AK$42</f>
        <v/>
      </c>
      <c r="AL29" s="407">
        <f>Operating!AL$42</f>
        <v/>
      </c>
      <c r="AM29" s="407">
        <f>Operating!AM$42</f>
        <v/>
      </c>
      <c r="AN29" s="407">
        <f>Operating!AN$42</f>
        <v/>
      </c>
      <c r="AO29" s="407">
        <f>Operating!AO$42</f>
        <v/>
      </c>
      <c r="AP29" s="407">
        <f>Operating!AP$42</f>
        <v/>
      </c>
      <c r="AQ29" s="407">
        <f>Operating!AQ$42</f>
        <v/>
      </c>
      <c r="AR29" s="407">
        <f>Operating!AR$42</f>
        <v/>
      </c>
      <c r="AS29" s="407">
        <f>Operating!AS$42</f>
        <v/>
      </c>
      <c r="AT29" s="407">
        <f>Operating!AT$42</f>
        <v/>
      </c>
      <c r="AU29" s="407">
        <f>Operating!AU$42</f>
        <v/>
      </c>
      <c r="AV29" s="407">
        <f>Operating!AV$42</f>
        <v/>
      </c>
      <c r="AW29" s="407">
        <f>Operating!AW$42</f>
        <v/>
      </c>
      <c r="AX29" s="407">
        <f>Operating!AX$42</f>
        <v/>
      </c>
      <c r="AY29" s="407">
        <f>Operating!AY$42</f>
        <v/>
      </c>
      <c r="AZ29" s="407">
        <f>Operating!AZ$42</f>
        <v/>
      </c>
      <c r="BA29" s="407">
        <f>Operating!BA$42</f>
        <v/>
      </c>
      <c r="BB29" s="407">
        <f>Operating!BB$42</f>
        <v/>
      </c>
      <c r="BC29" s="407">
        <f>Operating!BC$42</f>
        <v/>
      </c>
      <c r="BD29" s="407">
        <f>Operating!BD$42</f>
        <v/>
      </c>
      <c r="BE29" s="407">
        <f>Operating!BE$42</f>
        <v/>
      </c>
      <c r="BF29" s="407">
        <f>Operating!BF$42</f>
        <v/>
      </c>
      <c r="BG29" s="407">
        <f>Operating!BG$42</f>
        <v/>
      </c>
      <c r="BH29" s="407">
        <f>Operating!BH$42</f>
        <v/>
      </c>
      <c r="BI29" s="407">
        <f>Operating!BI$42</f>
        <v/>
      </c>
      <c r="BJ29" s="407">
        <f>Operating!BJ$42</f>
        <v/>
      </c>
      <c r="BK29" s="407">
        <f>Operating!BK$42</f>
        <v/>
      </c>
      <c r="BL29" s="407">
        <f>Operating!BL$42</f>
        <v/>
      </c>
      <c r="BM29" s="407">
        <f>Operating!BM$42</f>
        <v/>
      </c>
      <c r="BN29" s="407">
        <f>Operating!BN$42</f>
        <v/>
      </c>
      <c r="BO29" s="407">
        <f>Operating!BO$42</f>
        <v/>
      </c>
      <c r="BP29" s="407">
        <f>Operating!BP$42</f>
        <v/>
      </c>
      <c r="BQ29" s="407">
        <f>Operating!BQ$42</f>
        <v/>
      </c>
      <c r="BR29" s="407">
        <f>Operating!BR$42</f>
        <v/>
      </c>
      <c r="BS29" s="407">
        <f>Operating!BS$42</f>
        <v/>
      </c>
      <c r="BT29" s="407">
        <f>Operating!BT$42</f>
        <v/>
      </c>
      <c r="BU29" s="407">
        <f>Operating!BU$42</f>
        <v/>
      </c>
      <c r="BV29" s="407">
        <f>Operating!BV$42</f>
        <v/>
      </c>
      <c r="BW29" s="407">
        <f>Operating!BW$42</f>
        <v/>
      </c>
      <c r="BX29" s="407">
        <f>Operating!BX$42</f>
        <v/>
      </c>
      <c r="BY29" s="407">
        <f>Operating!BY$42</f>
        <v/>
      </c>
      <c r="BZ29" s="407">
        <f>Operating!BZ$42</f>
        <v/>
      </c>
      <c r="CA29" s="407">
        <f>Operating!CA$42</f>
        <v/>
      </c>
      <c r="CB29" s="407">
        <f>Operating!CB$42</f>
        <v/>
      </c>
      <c r="CC29" s="407">
        <f>Operating!CC$42</f>
        <v/>
      </c>
      <c r="CD29" s="407">
        <f>Operating!CD$42</f>
        <v/>
      </c>
      <c r="CE29" s="407">
        <f>Operating!CE$42</f>
        <v/>
      </c>
      <c r="CF29" s="407">
        <f>Operating!CF$42</f>
        <v/>
      </c>
      <c r="CG29" s="407">
        <f>Operating!CG$42</f>
        <v/>
      </c>
      <c r="CH29" s="407">
        <f>Operating!CH$42</f>
        <v/>
      </c>
      <c r="CI29" s="407">
        <f>Operating!CI$42</f>
        <v/>
      </c>
      <c r="CJ29" s="407">
        <f>Operating!CJ$42</f>
        <v/>
      </c>
      <c r="CK29" s="407">
        <f>Operating!CK$42</f>
        <v/>
      </c>
      <c r="CL29" s="407">
        <f>Operating!CL$42</f>
        <v/>
      </c>
      <c r="CM29" s="407">
        <f>Operating!CM$42</f>
        <v/>
      </c>
      <c r="CN29" s="407">
        <f>Operating!CN$42</f>
        <v/>
      </c>
      <c r="CO29" s="407">
        <f>Operating!CO$42</f>
        <v/>
      </c>
      <c r="CP29" s="407">
        <f>Operating!CP$42</f>
        <v/>
      </c>
      <c r="CQ29" s="407">
        <f>Operating!CQ$42</f>
        <v/>
      </c>
      <c r="CR29" s="407">
        <f>Operating!CR$42</f>
        <v/>
      </c>
      <c r="CS29" s="407">
        <f>Operating!CS$42</f>
        <v/>
      </c>
      <c r="CT29" s="407">
        <f>Operating!CT$42</f>
        <v/>
      </c>
      <c r="CU29" s="407">
        <f>Operating!CU$42</f>
        <v/>
      </c>
      <c r="CV29" s="407">
        <f>Operating!CV$42</f>
        <v/>
      </c>
      <c r="CW29" s="407">
        <f>Operating!CW$42</f>
        <v/>
      </c>
      <c r="CX29" s="407">
        <f>Operating!CX$42</f>
        <v/>
      </c>
      <c r="CY29" s="407">
        <f>Operating!CY$42</f>
        <v/>
      </c>
      <c r="CZ29" s="407">
        <f>Operating!CZ$42</f>
        <v/>
      </c>
      <c r="DA29" s="407">
        <f>Operating!DA$42</f>
        <v/>
      </c>
      <c r="DB29" s="407">
        <f>Operating!DB$42</f>
        <v/>
      </c>
      <c r="DC29" s="407">
        <f>Operating!DC$42</f>
        <v/>
      </c>
      <c r="DD29" s="407">
        <f>Operating!DD$42</f>
        <v/>
      </c>
      <c r="DE29" s="407">
        <f>Operating!DE$42</f>
        <v/>
      </c>
      <c r="DF29" s="407">
        <f>Operating!DF$42</f>
        <v/>
      </c>
      <c r="DG29" s="407">
        <f>Operating!DG$42</f>
        <v/>
      </c>
      <c r="DH29" s="407">
        <f>Operating!DH$42</f>
        <v/>
      </c>
      <c r="DI29" s="407">
        <f>Operating!DI$42</f>
        <v/>
      </c>
      <c r="DJ29" s="407">
        <f>Operating!DJ$42</f>
        <v/>
      </c>
      <c r="DK29" s="407">
        <f>Operating!DK$42</f>
        <v/>
      </c>
      <c r="DL29" s="407">
        <f>Operating!DL$42</f>
        <v/>
      </c>
      <c r="DM29" s="407">
        <f>Operating!DM$42</f>
        <v/>
      </c>
      <c r="DN29" s="407">
        <f>Operating!DN$42</f>
        <v/>
      </c>
      <c r="DO29" s="407">
        <f>Operating!DO$42</f>
        <v/>
      </c>
      <c r="DP29" s="407">
        <f>Operating!DP$42</f>
        <v/>
      </c>
      <c r="DQ29" s="407">
        <f>Operating!DQ$42</f>
        <v/>
      </c>
      <c r="DR29" s="407">
        <f>Operating!DR$42</f>
        <v/>
      </c>
      <c r="DS29" s="407">
        <f>Operating!DS$42</f>
        <v/>
      </c>
      <c r="DT29" s="407">
        <f>Operating!DT$42</f>
        <v/>
      </c>
      <c r="DU29" s="407">
        <f>Operating!DU$42</f>
        <v/>
      </c>
      <c r="DV29" s="407">
        <f>Operating!DV$42</f>
        <v/>
      </c>
      <c r="DW29" s="407">
        <f>Operating!DW$42</f>
        <v/>
      </c>
      <c r="DX29" s="407">
        <f>Operating!DX$42</f>
        <v/>
      </c>
      <c r="DY29" s="407">
        <f>Operating!DY$42</f>
        <v/>
      </c>
      <c r="DZ29" s="407">
        <f>Operating!DZ$42</f>
        <v/>
      </c>
      <c r="EA29" s="407">
        <f>Operating!EA$42</f>
        <v/>
      </c>
      <c r="EB29" s="407">
        <f>Operating!EB$42</f>
        <v/>
      </c>
      <c r="EC29" s="407">
        <f>Operating!EC$42</f>
        <v/>
      </c>
      <c r="ED29" s="407">
        <f>Operating!ED$42</f>
        <v/>
      </c>
      <c r="EE29" s="407">
        <f>Operating!EE$42</f>
        <v/>
      </c>
      <c r="EF29" s="407">
        <f>Operating!EF$42</f>
        <v/>
      </c>
      <c r="EG29" s="407">
        <f>Operating!EG$42</f>
        <v/>
      </c>
      <c r="EH29" s="407">
        <f>Operating!EH$42</f>
        <v/>
      </c>
      <c r="EI29" s="407">
        <f>Operating!EI$42</f>
        <v/>
      </c>
      <c r="EJ29" s="407">
        <f>Operating!EJ$42</f>
        <v/>
      </c>
      <c r="EK29" s="407">
        <f>Operating!EK$42</f>
        <v/>
      </c>
      <c r="EL29" s="407">
        <f>Operating!EL$42</f>
        <v/>
      </c>
      <c r="EM29" s="407">
        <f>Operating!EM$42</f>
        <v/>
      </c>
      <c r="EN29" s="407">
        <f>Operating!EN$42</f>
        <v/>
      </c>
      <c r="EO29" s="407">
        <f>Operating!EO$42</f>
        <v/>
      </c>
      <c r="EP29" s="407">
        <f>Operating!EP$42</f>
        <v/>
      </c>
      <c r="EQ29" s="407">
        <f>Operating!EQ$42</f>
        <v/>
      </c>
      <c r="ER29" s="407">
        <f>Operating!ER$42</f>
        <v/>
      </c>
      <c r="ES29" s="407">
        <f>Operating!ES$42</f>
        <v/>
      </c>
      <c r="ET29" s="407">
        <f>Operating!ET$42</f>
        <v/>
      </c>
      <c r="EU29" s="407">
        <f>Operating!EU$42</f>
        <v/>
      </c>
      <c r="EV29" s="407">
        <f>Operating!EV$42</f>
        <v/>
      </c>
      <c r="EW29" s="407">
        <f>Operating!EW$42</f>
        <v/>
      </c>
      <c r="EX29" s="407">
        <f>Operating!EX$42</f>
        <v/>
      </c>
      <c r="EY29" s="407">
        <f>Operating!EY$42</f>
        <v/>
      </c>
      <c r="EZ29" s="407">
        <f>Operating!EZ$42</f>
        <v/>
      </c>
      <c r="FA29" s="407">
        <f>Operating!FA$42</f>
        <v/>
      </c>
      <c r="FB29" s="407">
        <f>Operating!FB$42</f>
        <v/>
      </c>
      <c r="FC29" s="407">
        <f>Operating!FC$42</f>
        <v/>
      </c>
      <c r="FD29" s="407">
        <f>Operating!FD$42</f>
        <v/>
      </c>
      <c r="FE29" s="407">
        <f>Operating!FE$42</f>
        <v/>
      </c>
      <c r="FF29" s="407">
        <f>Operating!FF$42</f>
        <v/>
      </c>
      <c r="FG29" s="407">
        <f>Operating!FG$42</f>
        <v/>
      </c>
      <c r="FH29" s="407">
        <f>Operating!FH$42</f>
        <v/>
      </c>
      <c r="FI29" s="407">
        <f>Operating!FI$42</f>
        <v/>
      </c>
      <c r="FJ29" s="407">
        <f>Operating!FJ$42</f>
        <v/>
      </c>
      <c r="FK29" s="407">
        <f>Operating!FK$42</f>
        <v/>
      </c>
      <c r="FL29" s="407">
        <f>Operating!FL$42</f>
        <v/>
      </c>
      <c r="FM29" s="407">
        <f>Operating!FM$42</f>
        <v/>
      </c>
      <c r="FN29" s="407">
        <f>Operating!FN$42</f>
        <v/>
      </c>
      <c r="FO29" s="407">
        <f>Operating!FO$42</f>
        <v/>
      </c>
      <c r="FP29" s="407">
        <f>Operating!FP$42</f>
        <v/>
      </c>
      <c r="FQ29" s="407">
        <f>Operating!FQ$42</f>
        <v/>
      </c>
      <c r="FR29" s="407">
        <f>Operating!FR$42</f>
        <v/>
      </c>
      <c r="FS29" s="407">
        <f>Operating!FS$42</f>
        <v/>
      </c>
      <c r="FT29" s="407">
        <f>Operating!FT$42</f>
        <v/>
      </c>
      <c r="FU29" s="407">
        <f>Operating!FU$42</f>
        <v/>
      </c>
      <c r="FV29" s="407">
        <f>Operating!FV$42</f>
        <v/>
      </c>
      <c r="FW29" s="407">
        <f>Operating!FW$42</f>
        <v/>
      </c>
      <c r="FX29" s="407">
        <f>Operating!FX$42</f>
        <v/>
      </c>
      <c r="FY29" s="407">
        <f>Operating!FY$42</f>
        <v/>
      </c>
      <c r="FZ29" s="407">
        <f>Operating!FZ$42</f>
        <v/>
      </c>
      <c r="GA29" s="407">
        <f>Operating!GA$42</f>
        <v/>
      </c>
      <c r="GB29" s="407">
        <f>Operating!GB$42</f>
        <v/>
      </c>
      <c r="GC29" s="407">
        <f>Operating!GC$42</f>
        <v/>
      </c>
      <c r="GD29" s="407">
        <f>Operating!GD$42</f>
        <v/>
      </c>
      <c r="GE29" s="407">
        <f>Operating!GE$42</f>
        <v/>
      </c>
      <c r="GF29" s="407">
        <f>Operating!GF$42</f>
        <v/>
      </c>
      <c r="GG29" s="407">
        <f>Operating!GG$42</f>
        <v/>
      </c>
      <c r="GH29" s="407">
        <f>Operating!GH$42</f>
        <v/>
      </c>
      <c r="GI29" s="407">
        <f>Operating!GI$42</f>
        <v/>
      </c>
      <c r="GJ29" s="407">
        <f>Operating!GJ$42</f>
        <v/>
      </c>
      <c r="GK29" s="407">
        <f>Operating!GK$42</f>
        <v/>
      </c>
      <c r="GL29" s="407">
        <f>Operating!GL$42</f>
        <v/>
      </c>
      <c r="GM29" s="407">
        <f>Operating!GM$42</f>
        <v/>
      </c>
      <c r="GN29" s="407">
        <f>Operating!GN$42</f>
        <v/>
      </c>
      <c r="GO29" s="407">
        <f>Operating!GO$42</f>
        <v/>
      </c>
      <c r="GP29" s="407">
        <f>Operating!GP$42</f>
        <v/>
      </c>
      <c r="GQ29" s="407">
        <f>Operating!GQ$42</f>
        <v/>
      </c>
      <c r="GR29" s="407">
        <f>Operating!GR$42</f>
        <v/>
      </c>
      <c r="GS29" s="407">
        <f>Operating!GS$42</f>
        <v/>
      </c>
      <c r="GT29" s="407">
        <f>Operating!GT$42</f>
        <v/>
      </c>
      <c r="GU29" s="407">
        <f>Operating!GU$42</f>
        <v/>
      </c>
      <c r="GV29" s="407">
        <f>Operating!GV$42</f>
        <v/>
      </c>
      <c r="GW29" s="407">
        <f>Operating!GW$42</f>
        <v/>
      </c>
      <c r="GX29" s="407">
        <f>Operating!GX$42</f>
        <v/>
      </c>
      <c r="GY29" s="407">
        <f>Operating!GY$42</f>
        <v/>
      </c>
      <c r="GZ29" s="407">
        <f>Operating!GZ$42</f>
        <v/>
      </c>
      <c r="HA29" s="407">
        <f>Operating!HA$42</f>
        <v/>
      </c>
      <c r="HB29" s="407">
        <f>Operating!HB$42</f>
        <v/>
      </c>
      <c r="HC29" s="407">
        <f>Operating!HC$42</f>
        <v/>
      </c>
      <c r="HD29" s="407">
        <f>Operating!HD$42</f>
        <v/>
      </c>
      <c r="HE29" s="407">
        <f>Operating!HE$42</f>
        <v/>
      </c>
      <c r="HF29" s="407">
        <f>Operating!HF$42</f>
        <v/>
      </c>
      <c r="HG29" s="407">
        <f>Operating!HG$42</f>
        <v/>
      </c>
      <c r="HH29" s="407">
        <f>Operating!HH$42</f>
        <v/>
      </c>
      <c r="HI29" s="407">
        <f>Operating!HI$42</f>
        <v/>
      </c>
      <c r="HJ29" s="407">
        <f>Operating!HJ$42</f>
        <v/>
      </c>
      <c r="HK29" s="407">
        <f>Operating!HK$42</f>
        <v/>
      </c>
      <c r="HL29" s="407">
        <f>Operating!HL$42</f>
        <v/>
      </c>
      <c r="HM29" s="407">
        <f>Operating!HM$42</f>
        <v/>
      </c>
      <c r="HN29" s="407">
        <f>Operating!HN$42</f>
        <v/>
      </c>
      <c r="HO29" s="407">
        <f>Operating!HO$42</f>
        <v/>
      </c>
      <c r="HP29" s="407">
        <f>Operating!HP$42</f>
        <v/>
      </c>
      <c r="HQ29" s="407">
        <f>Operating!HQ$42</f>
        <v/>
      </c>
      <c r="HR29" s="407">
        <f>Operating!HR$42</f>
        <v/>
      </c>
      <c r="HS29" s="407">
        <f>Operating!HS$42</f>
        <v/>
      </c>
      <c r="HT29" s="407">
        <f>Operating!HT$42</f>
        <v/>
      </c>
      <c r="HU29" s="407">
        <f>Operating!HU$42</f>
        <v/>
      </c>
      <c r="HV29" s="407">
        <f>Operating!HV$42</f>
        <v/>
      </c>
      <c r="HW29" s="407">
        <f>Operating!HW$42</f>
        <v/>
      </c>
      <c r="HX29" s="407">
        <f>Operating!HX$42</f>
        <v/>
      </c>
      <c r="HY29" s="407">
        <f>Operating!HY$42</f>
        <v/>
      </c>
      <c r="HZ29" s="407">
        <f>Operating!HZ$42</f>
        <v/>
      </c>
      <c r="IA29" s="407">
        <f>Operating!IA$42</f>
        <v/>
      </c>
      <c r="IB29" s="407">
        <f>Operating!IB$42</f>
        <v/>
      </c>
      <c r="IC29" s="407">
        <f>Operating!IC$42</f>
        <v/>
      </c>
      <c r="ID29" s="407">
        <f>Operating!ID$42</f>
        <v/>
      </c>
      <c r="IE29" s="407">
        <f>Operating!IE$42</f>
        <v/>
      </c>
      <c r="IF29" s="407">
        <f>Operating!IF$42</f>
        <v/>
      </c>
      <c r="IG29" s="407">
        <f>Operating!IG$42</f>
        <v/>
      </c>
      <c r="IH29" s="407">
        <f>Operating!IH$42</f>
        <v/>
      </c>
      <c r="II29" s="407">
        <f>Operating!II$42</f>
        <v/>
      </c>
      <c r="IJ29" s="407">
        <f>Operating!IJ$42</f>
        <v/>
      </c>
      <c r="IK29" s="407">
        <f>Operating!IK$42</f>
        <v/>
      </c>
      <c r="IL29" s="407">
        <f>Operating!IL$42</f>
        <v/>
      </c>
      <c r="IM29" s="407">
        <f>Operating!IM$42</f>
        <v/>
      </c>
      <c r="IN29" s="407">
        <f>Operating!IN$42</f>
        <v/>
      </c>
      <c r="IO29" s="407">
        <f>Operating!IO$42</f>
        <v/>
      </c>
      <c r="IP29" s="407">
        <f>Operating!IP$42</f>
        <v/>
      </c>
      <c r="IQ29" s="407">
        <f>Operating!IQ$42</f>
        <v/>
      </c>
      <c r="IR29" s="407">
        <f>Operating!IR$42</f>
        <v/>
      </c>
      <c r="IS29" s="407">
        <f>Operating!IS$42</f>
        <v/>
      </c>
      <c r="IT29" s="407">
        <f>Operating!IT$42</f>
        <v/>
      </c>
      <c r="IU29" s="407">
        <f>Operating!IU$42</f>
        <v/>
      </c>
      <c r="IV29" s="407">
        <f>Operating!IV$42</f>
        <v/>
      </c>
      <c r="IW29" s="407">
        <f>Operating!IW$42</f>
        <v/>
      </c>
      <c r="IX29" s="407">
        <f>Operating!IX$42</f>
        <v/>
      </c>
      <c r="IY29" s="407">
        <f>Operating!IY$42</f>
        <v/>
      </c>
      <c r="IZ29" s="407">
        <f>Operating!IZ$42</f>
        <v/>
      </c>
      <c r="JA29" s="407">
        <f>Operating!JA$42</f>
        <v/>
      </c>
      <c r="JB29" s="407">
        <f>Operating!JB$42</f>
        <v/>
      </c>
      <c r="JC29" s="407">
        <f>Operating!JC$42</f>
        <v/>
      </c>
      <c r="JD29" s="407">
        <f>Operating!JD$42</f>
        <v/>
      </c>
      <c r="JE29" s="407">
        <f>Operating!JE$42</f>
        <v/>
      </c>
      <c r="JF29" s="407">
        <f>Operating!JF$42</f>
        <v/>
      </c>
      <c r="JG29" s="407">
        <f>Operating!JG$42</f>
        <v/>
      </c>
      <c r="JH29" s="407">
        <f>Operating!JH$42</f>
        <v/>
      </c>
      <c r="JI29" s="407">
        <f>Operating!JI$42</f>
        <v/>
      </c>
      <c r="JJ29" s="407">
        <f>Operating!JJ$42</f>
        <v/>
      </c>
      <c r="JK29" s="407">
        <f>Operating!JK$42</f>
        <v/>
      </c>
      <c r="JL29" s="407">
        <f>Operating!JL$42</f>
        <v/>
      </c>
      <c r="JM29" s="407">
        <f>Operating!JM$42</f>
        <v/>
      </c>
      <c r="JN29" s="407">
        <f>Operating!JN$42</f>
        <v/>
      </c>
      <c r="JO29" s="407">
        <f>Operating!JO$42</f>
        <v/>
      </c>
      <c r="JP29" s="407">
        <f>Operating!JP$42</f>
        <v/>
      </c>
      <c r="JQ29" s="407">
        <f>Operating!JQ$42</f>
        <v/>
      </c>
      <c r="JR29" s="407">
        <f>Operating!JR$42</f>
        <v/>
      </c>
      <c r="JS29" s="407">
        <f>Operating!JS$42</f>
        <v/>
      </c>
      <c r="JT29" s="407">
        <f>Operating!JT$42</f>
        <v/>
      </c>
      <c r="JU29" s="407">
        <f>Operating!JU$42</f>
        <v/>
      </c>
      <c r="JV29" s="407">
        <f>Operating!JV$42</f>
        <v/>
      </c>
      <c r="JW29" s="407">
        <f>Operating!JW$42</f>
        <v/>
      </c>
      <c r="JX29" s="407">
        <f>Operating!JX$42</f>
        <v/>
      </c>
      <c r="JY29" s="407">
        <f>Operating!JY$42</f>
        <v/>
      </c>
      <c r="JZ29" s="407">
        <f>Operating!JZ$42</f>
        <v/>
      </c>
      <c r="KA29" s="407">
        <f>Operating!KA$42</f>
        <v/>
      </c>
      <c r="KB29" s="407">
        <f>Operating!KB$42</f>
        <v/>
      </c>
      <c r="KC29" s="407">
        <f>Operating!KC$42</f>
        <v/>
      </c>
      <c r="KD29" s="407">
        <f>Operating!KD$42</f>
        <v/>
      </c>
      <c r="KE29" s="407">
        <f>Operating!KE$42</f>
        <v/>
      </c>
      <c r="KF29" s="407">
        <f>Operating!KF$42</f>
        <v/>
      </c>
      <c r="KG29" s="407">
        <f>Operating!KG$42</f>
        <v/>
      </c>
      <c r="KH29" s="407">
        <f>Operating!KH$42</f>
        <v/>
      </c>
      <c r="KI29" s="407">
        <f>Operating!KI$42</f>
        <v/>
      </c>
      <c r="KJ29" s="407">
        <f>Operating!KJ$42</f>
        <v/>
      </c>
      <c r="KK29" s="407">
        <f>Operating!KK$42</f>
        <v/>
      </c>
      <c r="KL29" s="407">
        <f>Operating!KL$42</f>
        <v/>
      </c>
      <c r="KM29" s="407">
        <f>Operating!KM$42</f>
        <v/>
      </c>
      <c r="KN29" s="407">
        <f>Operating!KN$42</f>
        <v/>
      </c>
      <c r="KO29" s="407">
        <f>Operating!KO$42</f>
        <v/>
      </c>
      <c r="KP29" s="407">
        <f>Operating!KP$42</f>
        <v/>
      </c>
      <c r="KQ29" s="407">
        <f>Operating!KQ$42</f>
        <v/>
      </c>
      <c r="KR29" s="407">
        <f>Operating!KR$42</f>
        <v/>
      </c>
      <c r="KS29" s="407">
        <f>Operating!KS$42</f>
        <v/>
      </c>
      <c r="KT29" s="407">
        <f>Operating!KT$42</f>
        <v/>
      </c>
      <c r="KU29" s="407">
        <f>Operating!KU$42</f>
        <v/>
      </c>
      <c r="KV29" s="407">
        <f>Operating!KV$42</f>
        <v/>
      </c>
      <c r="KW29" s="407">
        <f>Operating!KW$42</f>
        <v/>
      </c>
      <c r="KX29" s="407">
        <f>Operating!KX$42</f>
        <v/>
      </c>
      <c r="KY29" s="407">
        <f>Operating!KY$42</f>
        <v/>
      </c>
      <c r="KZ29" s="407">
        <f>Operating!KZ$42</f>
        <v/>
      </c>
      <c r="LA29" s="407">
        <f>Operating!LA$42</f>
        <v/>
      </c>
      <c r="LB29" s="407">
        <f>Operating!LB$42</f>
        <v/>
      </c>
      <c r="LC29" s="407">
        <f>Operating!LC$42</f>
        <v/>
      </c>
      <c r="LD29" s="407">
        <f>Operating!LD$42</f>
        <v/>
      </c>
      <c r="LE29" s="407">
        <f>Operating!LE$42</f>
        <v/>
      </c>
      <c r="LF29" s="407">
        <f>Operating!LF$42</f>
        <v/>
      </c>
      <c r="LG29" s="407">
        <f>Operating!LG$42</f>
        <v/>
      </c>
      <c r="LH29" s="407">
        <f>Operating!LH$42</f>
        <v/>
      </c>
      <c r="LI29" s="407">
        <f>Operating!LI$42</f>
        <v/>
      </c>
      <c r="LJ29" s="407">
        <f>Operating!LJ$42</f>
        <v/>
      </c>
      <c r="LK29" s="407">
        <f>Operating!LK$42</f>
        <v/>
      </c>
      <c r="LL29" s="407">
        <f>Operating!LL$42</f>
        <v/>
      </c>
      <c r="LM29" s="407">
        <f>Operating!LM$42</f>
        <v/>
      </c>
      <c r="LN29" s="407">
        <f>Operating!LN$42</f>
        <v/>
      </c>
      <c r="LO29" s="407">
        <f>Operating!LO$42</f>
        <v/>
      </c>
      <c r="LP29" s="407">
        <f>Operating!LP$42</f>
        <v/>
      </c>
      <c r="LQ29" s="407">
        <f>Operating!LQ$42</f>
        <v/>
      </c>
      <c r="LR29" s="407">
        <f>Operating!LR$42</f>
        <v/>
      </c>
      <c r="LS29" s="407">
        <f>Operating!LS$42</f>
        <v/>
      </c>
      <c r="LT29" s="407">
        <f>Operating!LT$42</f>
        <v/>
      </c>
      <c r="LU29" s="407">
        <f>Operating!LU$42</f>
        <v/>
      </c>
      <c r="LV29" s="407">
        <f>Operating!LV$42</f>
        <v/>
      </c>
      <c r="LW29" s="407">
        <f>Operating!LW$42</f>
        <v/>
      </c>
      <c r="LX29" s="407">
        <f>Operating!LX$42</f>
        <v/>
      </c>
      <c r="LY29" s="407">
        <f>Operating!LY$42</f>
        <v/>
      </c>
      <c r="LZ29" s="407">
        <f>Operating!LZ$42</f>
        <v/>
      </c>
      <c r="MA29" s="407">
        <f>Operating!MA$42</f>
        <v/>
      </c>
      <c r="MB29" s="407">
        <f>Operating!MB$42</f>
        <v/>
      </c>
      <c r="MC29" s="407">
        <f>Operating!MC$42</f>
        <v/>
      </c>
      <c r="MD29" s="407">
        <f>Operating!MD$42</f>
        <v/>
      </c>
      <c r="ME29" s="407">
        <f>Operating!ME$42</f>
        <v/>
      </c>
      <c r="MF29" s="407">
        <f>Operating!MF$42</f>
        <v/>
      </c>
      <c r="MG29" s="407">
        <f>Operating!MG$42</f>
        <v/>
      </c>
      <c r="MH29" s="407">
        <f>Operating!MH$42</f>
        <v/>
      </c>
      <c r="MI29" s="407">
        <f>Operating!MI$42</f>
        <v/>
      </c>
      <c r="MJ29" s="407">
        <f>Operating!MJ$42</f>
        <v/>
      </c>
      <c r="MK29" s="407">
        <f>Operating!MK$42</f>
        <v/>
      </c>
      <c r="ML29" s="407">
        <f>Operating!ML$42</f>
        <v/>
      </c>
      <c r="MM29" s="407">
        <f>Operating!MM$42</f>
        <v/>
      </c>
      <c r="MN29" s="407">
        <f>Operating!MN$42</f>
        <v/>
      </c>
      <c r="MO29" s="407">
        <f>Operating!MO$42</f>
        <v/>
      </c>
      <c r="MP29" s="407">
        <f>Operating!MP$42</f>
        <v/>
      </c>
      <c r="MQ29" s="407">
        <f>Operating!MQ$42</f>
        <v/>
      </c>
      <c r="MR29" s="407">
        <f>Operating!MR$42</f>
        <v/>
      </c>
      <c r="MS29" s="407">
        <f>Operating!MS$42</f>
        <v/>
      </c>
      <c r="MT29" s="407">
        <f>Operating!MT$42</f>
        <v/>
      </c>
      <c r="MU29" s="407">
        <f>Operating!MU$42</f>
        <v/>
      </c>
      <c r="MV29" s="407">
        <f>Operating!MV$42</f>
        <v/>
      </c>
      <c r="MW29" s="407">
        <f>Operating!MW$42</f>
        <v/>
      </c>
      <c r="MX29" s="407">
        <f>Operating!MX$42</f>
        <v/>
      </c>
      <c r="MY29" s="407">
        <f>Operating!MY$42</f>
        <v/>
      </c>
      <c r="MZ29" s="407">
        <f>Operating!MZ$42</f>
        <v/>
      </c>
      <c r="NA29" s="407">
        <f>Operating!NA$42</f>
        <v/>
      </c>
      <c r="NB29" s="407">
        <f>Operating!NB$42</f>
        <v/>
      </c>
      <c r="NC29" s="407">
        <f>Operating!NC$42</f>
        <v/>
      </c>
      <c r="ND29" s="407">
        <f>Operating!ND$42</f>
        <v/>
      </c>
      <c r="NE29" s="407">
        <f>Operating!NE$42</f>
        <v/>
      </c>
      <c r="NF29" s="407">
        <f>Operating!NF$42</f>
        <v/>
      </c>
      <c r="NG29" s="407">
        <f>Operating!NG$42</f>
        <v/>
      </c>
      <c r="NH29" s="407">
        <f>Operating!NH$42</f>
        <v/>
      </c>
      <c r="NI29" s="407">
        <f>Operating!NI$42</f>
        <v/>
      </c>
      <c r="NJ29" s="407">
        <f>Operating!NJ$42</f>
        <v/>
      </c>
      <c r="NK29" s="407">
        <f>Operating!NK$42</f>
        <v/>
      </c>
      <c r="NL29" s="407">
        <f>Operating!NL$42</f>
        <v/>
      </c>
    </row>
    <row r="30">
      <c r="B30" s="384" t="inlineStr">
        <is>
          <t>Project Cash Flow</t>
        </is>
      </c>
      <c r="D30" s="401" t="inlineStr"/>
      <c r="E30" s="155" t="n"/>
      <c r="F30" s="155" t="n"/>
      <c r="G30" s="155" t="n"/>
      <c r="H30" s="155" t="n"/>
      <c r="I30" s="155" t="n"/>
      <c r="J30" s="155" t="n"/>
      <c r="K30" s="155" t="n"/>
      <c r="L30" s="155" t="n"/>
      <c r="M30" s="155" t="n"/>
      <c r="N30" s="155" t="n"/>
      <c r="O30" s="155" t="n"/>
      <c r="P30" s="155" t="n"/>
      <c r="Q30" s="155" t="n"/>
      <c r="R30" s="155" t="n"/>
      <c r="S30" s="155" t="n"/>
      <c r="T30" s="155" t="n"/>
      <c r="U30" s="155" t="n"/>
      <c r="V30" s="155" t="n"/>
      <c r="W30" s="155" t="n"/>
      <c r="X30" s="155" t="n"/>
      <c r="Y30" s="155" t="n"/>
      <c r="Z30" s="155" t="n"/>
      <c r="AA30" s="155" t="n"/>
      <c r="AB30" s="155" t="n"/>
      <c r="AC30" s="155" t="n"/>
      <c r="AD30" s="155" t="n"/>
      <c r="AE30" s="155" t="n"/>
      <c r="AF30" s="155" t="n"/>
      <c r="AG30" s="155" t="n"/>
      <c r="AH30" s="155" t="n"/>
      <c r="AI30" s="155" t="n"/>
      <c r="AJ30" s="155" t="n"/>
      <c r="AK30" s="155" t="n"/>
      <c r="AL30" s="155" t="n"/>
      <c r="AM30" s="155" t="n"/>
      <c r="AN30" s="155" t="n"/>
      <c r="AO30" s="155" t="n"/>
      <c r="AP30" s="155" t="n"/>
      <c r="AQ30" s="155" t="n"/>
      <c r="AR30" s="155" t="n"/>
      <c r="AS30" s="155" t="n"/>
      <c r="AT30" s="155" t="n"/>
      <c r="AU30" s="155" t="n"/>
      <c r="AV30" s="155" t="n"/>
      <c r="AW30" s="155" t="n"/>
      <c r="AX30" s="155" t="n"/>
      <c r="AY30" s="155" t="n"/>
      <c r="AZ30" s="155" t="n"/>
      <c r="BA30" s="155" t="n"/>
      <c r="BB30" s="155" t="n"/>
      <c r="BC30" s="155" t="n"/>
      <c r="BD30" s="155" t="n"/>
      <c r="BE30" s="155" t="n"/>
      <c r="BF30" s="155" t="n"/>
      <c r="BG30" s="155" t="n"/>
      <c r="BH30" s="155" t="n"/>
      <c r="BI30" s="155" t="n"/>
      <c r="BJ30" s="155" t="n"/>
      <c r="BK30" s="155" t="n"/>
      <c r="BL30" s="155" t="n"/>
      <c r="BM30" s="155" t="n"/>
      <c r="BN30" s="155" t="n"/>
      <c r="BO30" s="155" t="n"/>
      <c r="BP30" s="155" t="n"/>
      <c r="BQ30" s="155" t="n"/>
      <c r="BR30" s="155" t="n"/>
      <c r="BS30" s="155" t="n"/>
      <c r="BT30" s="155" t="n"/>
      <c r="BU30" s="155" t="n"/>
      <c r="BV30" s="155" t="n"/>
      <c r="BW30" s="155" t="n"/>
      <c r="BX30" s="155" t="n"/>
      <c r="BY30" s="155" t="n"/>
      <c r="BZ30" s="155" t="n"/>
      <c r="CA30" s="155" t="n"/>
      <c r="CB30" s="155" t="n"/>
      <c r="CC30" s="155" t="n"/>
      <c r="CD30" s="155" t="n"/>
      <c r="CE30" s="155" t="n"/>
      <c r="CF30" s="155" t="n"/>
      <c r="CG30" s="155" t="n"/>
      <c r="CH30" s="155" t="n"/>
      <c r="CI30" s="155" t="n"/>
      <c r="CJ30" s="155" t="n"/>
      <c r="CK30" s="155" t="n"/>
      <c r="CL30" s="155" t="n"/>
      <c r="CM30" s="155" t="n"/>
      <c r="CN30" s="155" t="n"/>
      <c r="CO30" s="155" t="n"/>
      <c r="CP30" s="155" t="n"/>
      <c r="CQ30" s="155" t="n"/>
      <c r="CR30" s="155" t="n"/>
      <c r="CS30" s="155" t="n"/>
      <c r="CT30" s="155" t="n"/>
      <c r="CU30" s="155" t="n"/>
      <c r="CV30" s="155" t="n"/>
      <c r="CW30" s="155" t="n"/>
      <c r="CX30" s="155" t="n"/>
      <c r="CY30" s="155" t="n"/>
      <c r="CZ30" s="155" t="n"/>
      <c r="DA30" s="155" t="n"/>
      <c r="DB30" s="155" t="n"/>
      <c r="DC30" s="155" t="n"/>
      <c r="DD30" s="155" t="n"/>
      <c r="DE30" s="155" t="n"/>
      <c r="DF30" s="155" t="n"/>
      <c r="DG30" s="155" t="n"/>
      <c r="DH30" s="155" t="n"/>
      <c r="DI30" s="155" t="n"/>
      <c r="DJ30" s="155" t="n"/>
      <c r="DK30" s="155" t="n"/>
      <c r="DL30" s="155" t="n"/>
      <c r="DM30" s="155" t="n"/>
      <c r="DN30" s="155" t="n"/>
      <c r="DO30" s="155" t="n"/>
      <c r="DP30" s="155" t="n"/>
      <c r="DQ30" s="155" t="n"/>
      <c r="DR30" s="155" t="n"/>
      <c r="DS30" s="155" t="n"/>
      <c r="DT30" s="155" t="n"/>
      <c r="DU30" s="155" t="n"/>
      <c r="DV30" s="155" t="n"/>
      <c r="DW30" s="155" t="n"/>
      <c r="DX30" s="155" t="n"/>
      <c r="DY30" s="155" t="n"/>
      <c r="DZ30" s="155" t="n"/>
      <c r="EA30" s="155" t="n"/>
      <c r="EB30" s="155" t="n"/>
      <c r="EC30" s="155" t="n"/>
      <c r="ED30" s="155" t="n"/>
      <c r="EE30" s="155" t="n"/>
      <c r="EF30" s="155" t="n"/>
      <c r="EG30" s="155" t="n"/>
      <c r="EH30" s="155" t="n"/>
      <c r="EI30" s="155" t="n"/>
      <c r="EJ30" s="155" t="n"/>
      <c r="EK30" s="155" t="n"/>
      <c r="EL30" s="155" t="n"/>
      <c r="EM30" s="155" t="n"/>
      <c r="EN30" s="155" t="n"/>
      <c r="EO30" s="155" t="n"/>
      <c r="EP30" s="155" t="n"/>
      <c r="EQ30" s="155" t="n"/>
      <c r="ER30" s="155" t="n"/>
      <c r="ES30" s="155" t="n"/>
      <c r="ET30" s="155" t="n"/>
      <c r="EU30" s="155" t="n"/>
      <c r="EV30" s="155" t="n"/>
      <c r="EW30" s="155" t="n"/>
      <c r="EX30" s="155" t="n"/>
      <c r="EY30" s="155" t="n"/>
      <c r="EZ30" s="155" t="n"/>
      <c r="FA30" s="155" t="n"/>
      <c r="FB30" s="155" t="n"/>
      <c r="FC30" s="155" t="n"/>
      <c r="FD30" s="155" t="n"/>
      <c r="FE30" s="155" t="n"/>
      <c r="FF30" s="155" t="n"/>
      <c r="FG30" s="155" t="n"/>
      <c r="FH30" s="155" t="n"/>
      <c r="FI30" s="155" t="n"/>
      <c r="FJ30" s="155" t="n"/>
      <c r="FK30" s="155" t="n"/>
      <c r="FL30" s="155" t="n"/>
      <c r="FM30" s="155" t="n"/>
      <c r="FN30" s="155" t="n"/>
      <c r="FO30" s="155" t="n"/>
      <c r="FP30" s="155" t="n"/>
      <c r="FQ30" s="155" t="n"/>
      <c r="FR30" s="155" t="n"/>
      <c r="FS30" s="155" t="n"/>
      <c r="FT30" s="155" t="n"/>
      <c r="FU30" s="155" t="n"/>
      <c r="FV30" s="155" t="n"/>
      <c r="FW30" s="155" t="n"/>
      <c r="FX30" s="155" t="n"/>
      <c r="FY30" s="155" t="n"/>
      <c r="FZ30" s="155" t="n"/>
      <c r="GA30" s="155" t="n"/>
      <c r="GB30" s="155" t="n"/>
      <c r="GC30" s="155" t="n"/>
      <c r="GD30" s="155" t="n"/>
      <c r="GE30" s="155" t="n"/>
      <c r="GF30" s="155" t="n"/>
      <c r="GG30" s="155" t="n"/>
      <c r="GH30" s="155" t="n"/>
      <c r="GI30" s="155" t="n"/>
      <c r="GJ30" s="155" t="n"/>
      <c r="GK30" s="155" t="n"/>
      <c r="GL30" s="155" t="n"/>
      <c r="GM30" s="155" t="n"/>
      <c r="GN30" s="155" t="n"/>
      <c r="GO30" s="155" t="n"/>
      <c r="GP30" s="155" t="n"/>
      <c r="GQ30" s="155" t="n"/>
      <c r="GR30" s="155" t="n"/>
      <c r="GS30" s="155" t="n"/>
      <c r="GT30" s="155" t="n"/>
      <c r="GU30" s="155" t="n"/>
      <c r="GV30" s="155" t="n"/>
      <c r="GW30" s="155" t="n"/>
      <c r="GX30" s="155" t="n"/>
      <c r="GY30" s="155" t="n"/>
      <c r="GZ30" s="155" t="n"/>
      <c r="HA30" s="155" t="n"/>
      <c r="HB30" s="155" t="n"/>
      <c r="HC30" s="155" t="n"/>
      <c r="HD30" s="155" t="n"/>
      <c r="HE30" s="155" t="n"/>
      <c r="HF30" s="155" t="n"/>
      <c r="HG30" s="155" t="n"/>
      <c r="HH30" s="155" t="n"/>
      <c r="HI30" s="155" t="n"/>
      <c r="HJ30" s="155" t="n"/>
      <c r="HK30" s="155" t="n"/>
      <c r="HL30" s="155" t="n"/>
      <c r="HM30" s="155" t="n"/>
      <c r="HN30" s="155" t="n"/>
      <c r="HO30" s="155" t="n"/>
      <c r="HP30" s="155" t="n"/>
      <c r="HQ30" s="155" t="n"/>
      <c r="HR30" s="155" t="n"/>
      <c r="HS30" s="155" t="n"/>
      <c r="HT30" s="155" t="n"/>
      <c r="HU30" s="155" t="n"/>
      <c r="HV30" s="155" t="n"/>
      <c r="HW30" s="155" t="n"/>
      <c r="HX30" s="155" t="n"/>
      <c r="HY30" s="155" t="n"/>
      <c r="HZ30" s="155" t="n"/>
      <c r="IA30" s="155" t="n"/>
      <c r="IB30" s="155" t="n"/>
      <c r="IC30" s="155" t="n"/>
      <c r="ID30" s="155" t="n"/>
      <c r="IE30" s="155" t="n"/>
      <c r="IF30" s="155" t="n"/>
      <c r="IG30" s="155" t="n"/>
      <c r="IH30" s="155" t="n"/>
      <c r="II30" s="155" t="n"/>
      <c r="IJ30" s="155" t="n"/>
      <c r="IK30" s="155" t="n"/>
      <c r="IL30" s="155" t="n"/>
      <c r="IM30" s="155" t="n"/>
      <c r="IN30" s="155" t="n"/>
      <c r="IO30" s="155" t="n"/>
      <c r="IP30" s="155" t="n"/>
      <c r="IQ30" s="155" t="n"/>
      <c r="IR30" s="155" t="n"/>
      <c r="IS30" s="155" t="n"/>
      <c r="IT30" s="155" t="n"/>
      <c r="IU30" s="155" t="n"/>
      <c r="IV30" s="155" t="n"/>
      <c r="IW30" s="155" t="n"/>
      <c r="IX30" s="155" t="n"/>
      <c r="IY30" s="155" t="n"/>
      <c r="IZ30" s="155" t="n"/>
      <c r="JA30" s="155" t="n"/>
      <c r="JB30" s="155" t="n"/>
      <c r="JC30" s="155" t="n"/>
      <c r="JD30" s="155" t="n"/>
      <c r="JE30" s="155" t="n"/>
      <c r="JF30" s="155" t="n"/>
      <c r="JG30" s="155" t="n"/>
      <c r="JH30" s="155" t="n"/>
      <c r="JI30" s="155" t="n"/>
      <c r="JJ30" s="155" t="n"/>
      <c r="JK30" s="155" t="n"/>
      <c r="JL30" s="155" t="n"/>
      <c r="JM30" s="155" t="n"/>
      <c r="JN30" s="155" t="n"/>
      <c r="JO30" s="155" t="n"/>
      <c r="JP30" s="155" t="n"/>
      <c r="JQ30" s="155" t="n"/>
      <c r="JR30" s="155" t="n"/>
      <c r="JS30" s="155" t="n"/>
      <c r="JT30" s="155" t="n"/>
      <c r="JU30" s="155" t="n"/>
      <c r="JV30" s="155" t="n"/>
      <c r="JW30" s="155" t="n"/>
      <c r="JX30" s="155" t="n"/>
      <c r="JY30" s="155" t="n"/>
      <c r="JZ30" s="155" t="n"/>
      <c r="KA30" s="155" t="n"/>
      <c r="KB30" s="155" t="n"/>
      <c r="KC30" s="155" t="n"/>
      <c r="KD30" s="155" t="n"/>
      <c r="KE30" s="155" t="n"/>
      <c r="KF30" s="155" t="n"/>
      <c r="KG30" s="155" t="n"/>
      <c r="KH30" s="155" t="n"/>
      <c r="KI30" s="155" t="n"/>
      <c r="KJ30" s="155" t="n"/>
      <c r="KK30" s="155" t="n"/>
      <c r="KL30" s="155" t="n"/>
      <c r="KM30" s="155" t="n"/>
      <c r="KN30" s="155" t="n"/>
      <c r="KO30" s="155" t="n"/>
      <c r="KP30" s="155" t="n"/>
      <c r="KQ30" s="155" t="n"/>
      <c r="KR30" s="155" t="n"/>
      <c r="KS30" s="155" t="n"/>
      <c r="KT30" s="155" t="n"/>
      <c r="KU30" s="155" t="n"/>
      <c r="KV30" s="155" t="n"/>
      <c r="KW30" s="155" t="n"/>
      <c r="KX30" s="155" t="n"/>
      <c r="KY30" s="155" t="n"/>
      <c r="KZ30" s="155" t="n"/>
      <c r="LA30" s="155" t="n"/>
      <c r="LB30" s="155" t="n"/>
      <c r="LC30" s="155" t="n"/>
      <c r="LD30" s="155" t="n"/>
      <c r="LE30" s="155" t="n"/>
      <c r="LF30" s="155" t="n"/>
      <c r="LG30" s="155" t="n"/>
      <c r="LH30" s="155" t="n"/>
      <c r="LI30" s="155" t="n"/>
      <c r="LJ30" s="155" t="n"/>
      <c r="LK30" s="155" t="n"/>
      <c r="LL30" s="155" t="n"/>
      <c r="LM30" s="155" t="n"/>
      <c r="LN30" s="155" t="n"/>
      <c r="LO30" s="155" t="n"/>
      <c r="LP30" s="155" t="n"/>
      <c r="LQ30" s="155" t="n"/>
      <c r="LR30" s="155" t="n"/>
      <c r="LS30" s="155" t="n"/>
      <c r="LT30" s="155" t="n"/>
      <c r="LU30" s="155" t="n"/>
      <c r="LV30" s="155" t="n"/>
      <c r="LW30" s="155" t="n"/>
      <c r="LX30" s="155" t="n"/>
      <c r="LY30" s="155" t="n"/>
      <c r="LZ30" s="155" t="n"/>
      <c r="MA30" s="155" t="n"/>
      <c r="MB30" s="155" t="n"/>
      <c r="MC30" s="155" t="n"/>
      <c r="MD30" s="155" t="n"/>
      <c r="ME30" s="155" t="n"/>
      <c r="MF30" s="155" t="n"/>
      <c r="MG30" s="155" t="n"/>
      <c r="MH30" s="155" t="n"/>
      <c r="MI30" s="155" t="n"/>
      <c r="MJ30" s="155" t="n"/>
      <c r="MK30" s="155" t="n"/>
      <c r="ML30" s="155" t="n"/>
      <c r="MM30" s="155" t="n"/>
      <c r="MN30" s="155" t="n"/>
      <c r="MO30" s="155" t="n"/>
      <c r="MP30" s="155" t="n"/>
      <c r="MQ30" s="155" t="n"/>
      <c r="MR30" s="155" t="n"/>
      <c r="MS30" s="155" t="n"/>
      <c r="MT30" s="155" t="n"/>
      <c r="MU30" s="155" t="n"/>
      <c r="MV30" s="155" t="n"/>
      <c r="MW30" s="155" t="n"/>
      <c r="MX30" s="155" t="n"/>
      <c r="MY30" s="155" t="n"/>
      <c r="MZ30" s="155" t="n"/>
      <c r="NA30" s="155" t="n"/>
      <c r="NB30" s="155" t="n"/>
      <c r="NC30" s="155" t="n"/>
      <c r="ND30" s="155" t="n"/>
      <c r="NE30" s="155" t="n"/>
      <c r="NF30" s="155" t="n"/>
      <c r="NG30" s="155" t="n"/>
      <c r="NH30" s="155" t="n"/>
      <c r="NI30" s="155" t="n"/>
      <c r="NJ30" s="155" t="n"/>
      <c r="NK30" s="155" t="n"/>
      <c r="NL30" s="155" t="n"/>
    </row>
    <row r="31">
      <c r="B31" s="316" t="inlineStr">
        <is>
          <t>Net Sale Proceeds (at disposition)</t>
        </is>
      </c>
      <c r="D31" s="402">
        <f>SUM(E31:NL31)</f>
        <v/>
      </c>
      <c r="E31" s="402">
        <f>IF(E$3=DispoMonth,NetSale,0)</f>
        <v/>
      </c>
      <c r="F31" s="402">
        <f>IF(F$3=DispoMonth,NetSale,0)</f>
        <v/>
      </c>
      <c r="G31" s="402">
        <f>IF(G$3=DispoMonth,NetSale,0)</f>
        <v/>
      </c>
      <c r="H31" s="402">
        <f>IF(H$3=DispoMonth,NetSale,0)</f>
        <v/>
      </c>
      <c r="I31" s="402">
        <f>IF(I$3=DispoMonth,NetSale,0)</f>
        <v/>
      </c>
      <c r="J31" s="402">
        <f>IF(J$3=DispoMonth,NetSale,0)</f>
        <v/>
      </c>
      <c r="K31" s="402">
        <f>IF(K$3=DispoMonth,NetSale,0)</f>
        <v/>
      </c>
      <c r="L31" s="402">
        <f>IF(L$3=DispoMonth,NetSale,0)</f>
        <v/>
      </c>
      <c r="M31" s="402">
        <f>IF(M$3=DispoMonth,NetSale,0)</f>
        <v/>
      </c>
      <c r="N31" s="402">
        <f>IF(N$3=DispoMonth,NetSale,0)</f>
        <v/>
      </c>
      <c r="O31" s="402">
        <f>IF(O$3=DispoMonth,NetSale,0)</f>
        <v/>
      </c>
      <c r="P31" s="402">
        <f>IF(P$3=DispoMonth,NetSale,0)</f>
        <v/>
      </c>
      <c r="Q31" s="402">
        <f>IF(Q$3=DispoMonth,NetSale,0)</f>
        <v/>
      </c>
      <c r="R31" s="402">
        <f>IF(R$3=DispoMonth,NetSale,0)</f>
        <v/>
      </c>
      <c r="S31" s="402">
        <f>IF(S$3=DispoMonth,NetSale,0)</f>
        <v/>
      </c>
      <c r="T31" s="402">
        <f>IF(T$3=DispoMonth,NetSale,0)</f>
        <v/>
      </c>
      <c r="U31" s="402">
        <f>IF(U$3=DispoMonth,NetSale,0)</f>
        <v/>
      </c>
      <c r="V31" s="402">
        <f>IF(V$3=DispoMonth,NetSale,0)</f>
        <v/>
      </c>
      <c r="W31" s="402">
        <f>IF(W$3=DispoMonth,NetSale,0)</f>
        <v/>
      </c>
      <c r="X31" s="402">
        <f>IF(X$3=DispoMonth,NetSale,0)</f>
        <v/>
      </c>
      <c r="Y31" s="402">
        <f>IF(Y$3=DispoMonth,NetSale,0)</f>
        <v/>
      </c>
      <c r="Z31" s="402">
        <f>IF(Z$3=DispoMonth,NetSale,0)</f>
        <v/>
      </c>
      <c r="AA31" s="402">
        <f>IF(AA$3=DispoMonth,NetSale,0)</f>
        <v/>
      </c>
      <c r="AB31" s="402">
        <f>IF(AB$3=DispoMonth,NetSale,0)</f>
        <v/>
      </c>
      <c r="AC31" s="402">
        <f>IF(AC$3=DispoMonth,NetSale,0)</f>
        <v/>
      </c>
      <c r="AD31" s="402">
        <f>IF(AD$3=DispoMonth,NetSale,0)</f>
        <v/>
      </c>
      <c r="AE31" s="402">
        <f>IF(AE$3=DispoMonth,NetSale,0)</f>
        <v/>
      </c>
      <c r="AF31" s="402">
        <f>IF(AF$3=DispoMonth,NetSale,0)</f>
        <v/>
      </c>
      <c r="AG31" s="402">
        <f>IF(AG$3=DispoMonth,NetSale,0)</f>
        <v/>
      </c>
      <c r="AH31" s="402">
        <f>IF(AH$3=DispoMonth,NetSale,0)</f>
        <v/>
      </c>
      <c r="AI31" s="402">
        <f>IF(AI$3=DispoMonth,NetSale,0)</f>
        <v/>
      </c>
      <c r="AJ31" s="402">
        <f>IF(AJ$3=DispoMonth,NetSale,0)</f>
        <v/>
      </c>
      <c r="AK31" s="402">
        <f>IF(AK$3=DispoMonth,NetSale,0)</f>
        <v/>
      </c>
      <c r="AL31" s="402">
        <f>IF(AL$3=DispoMonth,NetSale,0)</f>
        <v/>
      </c>
      <c r="AM31" s="402">
        <f>IF(AM$3=DispoMonth,NetSale,0)</f>
        <v/>
      </c>
      <c r="AN31" s="402">
        <f>IF(AN$3=DispoMonth,NetSale,0)</f>
        <v/>
      </c>
      <c r="AO31" s="402">
        <f>IF(AO$3=DispoMonth,NetSale,0)</f>
        <v/>
      </c>
      <c r="AP31" s="402">
        <f>IF(AP$3=DispoMonth,NetSale,0)</f>
        <v/>
      </c>
      <c r="AQ31" s="402">
        <f>IF(AQ$3=DispoMonth,NetSale,0)</f>
        <v/>
      </c>
      <c r="AR31" s="402">
        <f>IF(AR$3=DispoMonth,NetSale,0)</f>
        <v/>
      </c>
      <c r="AS31" s="402">
        <f>IF(AS$3=DispoMonth,NetSale,0)</f>
        <v/>
      </c>
      <c r="AT31" s="402">
        <f>IF(AT$3=DispoMonth,NetSale,0)</f>
        <v/>
      </c>
      <c r="AU31" s="402">
        <f>IF(AU$3=DispoMonth,NetSale,0)</f>
        <v/>
      </c>
      <c r="AV31" s="402">
        <f>IF(AV$3=DispoMonth,NetSale,0)</f>
        <v/>
      </c>
      <c r="AW31" s="402">
        <f>IF(AW$3=DispoMonth,NetSale,0)</f>
        <v/>
      </c>
      <c r="AX31" s="402">
        <f>IF(AX$3=DispoMonth,NetSale,0)</f>
        <v/>
      </c>
      <c r="AY31" s="402">
        <f>IF(AY$3=DispoMonth,NetSale,0)</f>
        <v/>
      </c>
      <c r="AZ31" s="402">
        <f>IF(AZ$3=DispoMonth,NetSale,0)</f>
        <v/>
      </c>
      <c r="BA31" s="402">
        <f>IF(BA$3=DispoMonth,NetSale,0)</f>
        <v/>
      </c>
      <c r="BB31" s="402">
        <f>IF(BB$3=DispoMonth,NetSale,0)</f>
        <v/>
      </c>
      <c r="BC31" s="402">
        <f>IF(BC$3=DispoMonth,NetSale,0)</f>
        <v/>
      </c>
      <c r="BD31" s="402">
        <f>IF(BD$3=DispoMonth,NetSale,0)</f>
        <v/>
      </c>
      <c r="BE31" s="402">
        <f>IF(BE$3=DispoMonth,NetSale,0)</f>
        <v/>
      </c>
      <c r="BF31" s="402">
        <f>IF(BF$3=DispoMonth,NetSale,0)</f>
        <v/>
      </c>
      <c r="BG31" s="402">
        <f>IF(BG$3=DispoMonth,NetSale,0)</f>
        <v/>
      </c>
      <c r="BH31" s="402">
        <f>IF(BH$3=DispoMonth,NetSale,0)</f>
        <v/>
      </c>
      <c r="BI31" s="402">
        <f>IF(BI$3=DispoMonth,NetSale,0)</f>
        <v/>
      </c>
      <c r="BJ31" s="402">
        <f>IF(BJ$3=DispoMonth,NetSale,0)</f>
        <v/>
      </c>
      <c r="BK31" s="402">
        <f>IF(BK$3=DispoMonth,NetSale,0)</f>
        <v/>
      </c>
      <c r="BL31" s="402">
        <f>IF(BL$3=DispoMonth,NetSale,0)</f>
        <v/>
      </c>
      <c r="BM31" s="402">
        <f>IF(BM$3=DispoMonth,NetSale,0)</f>
        <v/>
      </c>
      <c r="BN31" s="402">
        <f>IF(BN$3=DispoMonth,NetSale,0)</f>
        <v/>
      </c>
      <c r="BO31" s="402">
        <f>IF(BO$3=DispoMonth,NetSale,0)</f>
        <v/>
      </c>
      <c r="BP31" s="402">
        <f>IF(BP$3=DispoMonth,NetSale,0)</f>
        <v/>
      </c>
      <c r="BQ31" s="402">
        <f>IF(BQ$3=DispoMonth,NetSale,0)</f>
        <v/>
      </c>
      <c r="BR31" s="402">
        <f>IF(BR$3=DispoMonth,NetSale,0)</f>
        <v/>
      </c>
      <c r="BS31" s="402">
        <f>IF(BS$3=DispoMonth,NetSale,0)</f>
        <v/>
      </c>
      <c r="BT31" s="402">
        <f>IF(BT$3=DispoMonth,NetSale,0)</f>
        <v/>
      </c>
      <c r="BU31" s="402">
        <f>IF(BU$3=DispoMonth,NetSale,0)</f>
        <v/>
      </c>
      <c r="BV31" s="402">
        <f>IF(BV$3=DispoMonth,NetSale,0)</f>
        <v/>
      </c>
      <c r="BW31" s="402">
        <f>IF(BW$3=DispoMonth,NetSale,0)</f>
        <v/>
      </c>
      <c r="BX31" s="402">
        <f>IF(BX$3=DispoMonth,NetSale,0)</f>
        <v/>
      </c>
      <c r="BY31" s="402">
        <f>IF(BY$3=DispoMonth,NetSale,0)</f>
        <v/>
      </c>
      <c r="BZ31" s="402">
        <f>IF(BZ$3=DispoMonth,NetSale,0)</f>
        <v/>
      </c>
      <c r="CA31" s="402">
        <f>IF(CA$3=DispoMonth,NetSale,0)</f>
        <v/>
      </c>
      <c r="CB31" s="402">
        <f>IF(CB$3=DispoMonth,NetSale,0)</f>
        <v/>
      </c>
      <c r="CC31" s="402">
        <f>IF(CC$3=DispoMonth,NetSale,0)</f>
        <v/>
      </c>
      <c r="CD31" s="402">
        <f>IF(CD$3=DispoMonth,NetSale,0)</f>
        <v/>
      </c>
      <c r="CE31" s="402">
        <f>IF(CE$3=DispoMonth,NetSale,0)</f>
        <v/>
      </c>
      <c r="CF31" s="402">
        <f>IF(CF$3=DispoMonth,NetSale,0)</f>
        <v/>
      </c>
      <c r="CG31" s="402">
        <f>IF(CG$3=DispoMonth,NetSale,0)</f>
        <v/>
      </c>
      <c r="CH31" s="402">
        <f>IF(CH$3=DispoMonth,NetSale,0)</f>
        <v/>
      </c>
      <c r="CI31" s="402">
        <f>IF(CI$3=DispoMonth,NetSale,0)</f>
        <v/>
      </c>
      <c r="CJ31" s="402">
        <f>IF(CJ$3=DispoMonth,NetSale,0)</f>
        <v/>
      </c>
      <c r="CK31" s="402">
        <f>IF(CK$3=DispoMonth,NetSale,0)</f>
        <v/>
      </c>
      <c r="CL31" s="402">
        <f>IF(CL$3=DispoMonth,NetSale,0)</f>
        <v/>
      </c>
      <c r="CM31" s="402">
        <f>IF(CM$3=DispoMonth,NetSale,0)</f>
        <v/>
      </c>
      <c r="CN31" s="402">
        <f>IF(CN$3=DispoMonth,NetSale,0)</f>
        <v/>
      </c>
      <c r="CO31" s="402">
        <f>IF(CO$3=DispoMonth,NetSale,0)</f>
        <v/>
      </c>
      <c r="CP31" s="402">
        <f>IF(CP$3=DispoMonth,NetSale,0)</f>
        <v/>
      </c>
      <c r="CQ31" s="402">
        <f>IF(CQ$3=DispoMonth,NetSale,0)</f>
        <v/>
      </c>
      <c r="CR31" s="402">
        <f>IF(CR$3=DispoMonth,NetSale,0)</f>
        <v/>
      </c>
      <c r="CS31" s="402">
        <f>IF(CS$3=DispoMonth,NetSale,0)</f>
        <v/>
      </c>
      <c r="CT31" s="402">
        <f>IF(CT$3=DispoMonth,NetSale,0)</f>
        <v/>
      </c>
      <c r="CU31" s="402">
        <f>IF(CU$3=DispoMonth,NetSale,0)</f>
        <v/>
      </c>
      <c r="CV31" s="402">
        <f>IF(CV$3=DispoMonth,NetSale,0)</f>
        <v/>
      </c>
      <c r="CW31" s="402">
        <f>IF(CW$3=DispoMonth,NetSale,0)</f>
        <v/>
      </c>
      <c r="CX31" s="402">
        <f>IF(CX$3=DispoMonth,NetSale,0)</f>
        <v/>
      </c>
      <c r="CY31" s="402">
        <f>IF(CY$3=DispoMonth,NetSale,0)</f>
        <v/>
      </c>
      <c r="CZ31" s="402">
        <f>IF(CZ$3=DispoMonth,NetSale,0)</f>
        <v/>
      </c>
      <c r="DA31" s="402">
        <f>IF(DA$3=DispoMonth,NetSale,0)</f>
        <v/>
      </c>
      <c r="DB31" s="402">
        <f>IF(DB$3=DispoMonth,NetSale,0)</f>
        <v/>
      </c>
      <c r="DC31" s="402">
        <f>IF(DC$3=DispoMonth,NetSale,0)</f>
        <v/>
      </c>
      <c r="DD31" s="402">
        <f>IF(DD$3=DispoMonth,NetSale,0)</f>
        <v/>
      </c>
      <c r="DE31" s="402">
        <f>IF(DE$3=DispoMonth,NetSale,0)</f>
        <v/>
      </c>
      <c r="DF31" s="402">
        <f>IF(DF$3=DispoMonth,NetSale,0)</f>
        <v/>
      </c>
      <c r="DG31" s="402">
        <f>IF(DG$3=DispoMonth,NetSale,0)</f>
        <v/>
      </c>
      <c r="DH31" s="402">
        <f>IF(DH$3=DispoMonth,NetSale,0)</f>
        <v/>
      </c>
      <c r="DI31" s="402">
        <f>IF(DI$3=DispoMonth,NetSale,0)</f>
        <v/>
      </c>
      <c r="DJ31" s="402">
        <f>IF(DJ$3=DispoMonth,NetSale,0)</f>
        <v/>
      </c>
      <c r="DK31" s="402">
        <f>IF(DK$3=DispoMonth,NetSale,0)</f>
        <v/>
      </c>
      <c r="DL31" s="402">
        <f>IF(DL$3=DispoMonth,NetSale,0)</f>
        <v/>
      </c>
      <c r="DM31" s="402">
        <f>IF(DM$3=DispoMonth,NetSale,0)</f>
        <v/>
      </c>
      <c r="DN31" s="402">
        <f>IF(DN$3=DispoMonth,NetSale,0)</f>
        <v/>
      </c>
      <c r="DO31" s="402">
        <f>IF(DO$3=DispoMonth,NetSale,0)</f>
        <v/>
      </c>
      <c r="DP31" s="402">
        <f>IF(DP$3=DispoMonth,NetSale,0)</f>
        <v/>
      </c>
      <c r="DQ31" s="402">
        <f>IF(DQ$3=DispoMonth,NetSale,0)</f>
        <v/>
      </c>
      <c r="DR31" s="402">
        <f>IF(DR$3=DispoMonth,NetSale,0)</f>
        <v/>
      </c>
      <c r="DS31" s="402">
        <f>IF(DS$3=DispoMonth,NetSale,0)</f>
        <v/>
      </c>
      <c r="DT31" s="402">
        <f>IF(DT$3=DispoMonth,NetSale,0)</f>
        <v/>
      </c>
      <c r="DU31" s="402">
        <f>IF(DU$3=DispoMonth,NetSale,0)</f>
        <v/>
      </c>
      <c r="DV31" s="402">
        <f>IF(DV$3=DispoMonth,NetSale,0)</f>
        <v/>
      </c>
      <c r="DW31" s="402">
        <f>IF(DW$3=DispoMonth,NetSale,0)</f>
        <v/>
      </c>
      <c r="DX31" s="402">
        <f>IF(DX$3=DispoMonth,NetSale,0)</f>
        <v/>
      </c>
      <c r="DY31" s="402">
        <f>IF(DY$3=DispoMonth,NetSale,0)</f>
        <v/>
      </c>
      <c r="DZ31" s="402">
        <f>IF(DZ$3=DispoMonth,NetSale,0)</f>
        <v/>
      </c>
      <c r="EA31" s="402">
        <f>IF(EA$3=DispoMonth,NetSale,0)</f>
        <v/>
      </c>
      <c r="EB31" s="402">
        <f>IF(EB$3=DispoMonth,NetSale,0)</f>
        <v/>
      </c>
      <c r="EC31" s="402">
        <f>IF(EC$3=DispoMonth,NetSale,0)</f>
        <v/>
      </c>
      <c r="ED31" s="402">
        <f>IF(ED$3=DispoMonth,NetSale,0)</f>
        <v/>
      </c>
      <c r="EE31" s="402">
        <f>IF(EE$3=DispoMonth,NetSale,0)</f>
        <v/>
      </c>
      <c r="EF31" s="402">
        <f>IF(EF$3=DispoMonth,NetSale,0)</f>
        <v/>
      </c>
      <c r="EG31" s="402">
        <f>IF(EG$3=DispoMonth,NetSale,0)</f>
        <v/>
      </c>
      <c r="EH31" s="402">
        <f>IF(EH$3=DispoMonth,NetSale,0)</f>
        <v/>
      </c>
      <c r="EI31" s="402">
        <f>IF(EI$3=DispoMonth,NetSale,0)</f>
        <v/>
      </c>
      <c r="EJ31" s="402">
        <f>IF(EJ$3=DispoMonth,NetSale,0)</f>
        <v/>
      </c>
      <c r="EK31" s="402">
        <f>IF(EK$3=DispoMonth,NetSale,0)</f>
        <v/>
      </c>
      <c r="EL31" s="402">
        <f>IF(EL$3=DispoMonth,NetSale,0)</f>
        <v/>
      </c>
      <c r="EM31" s="402">
        <f>IF(EM$3=DispoMonth,NetSale,0)</f>
        <v/>
      </c>
      <c r="EN31" s="402">
        <f>IF(EN$3=DispoMonth,NetSale,0)</f>
        <v/>
      </c>
      <c r="EO31" s="402">
        <f>IF(EO$3=DispoMonth,NetSale,0)</f>
        <v/>
      </c>
      <c r="EP31" s="402">
        <f>IF(EP$3=DispoMonth,NetSale,0)</f>
        <v/>
      </c>
      <c r="EQ31" s="402">
        <f>IF(EQ$3=DispoMonth,NetSale,0)</f>
        <v/>
      </c>
      <c r="ER31" s="402">
        <f>IF(ER$3=DispoMonth,NetSale,0)</f>
        <v/>
      </c>
      <c r="ES31" s="402">
        <f>IF(ES$3=DispoMonth,NetSale,0)</f>
        <v/>
      </c>
      <c r="ET31" s="402">
        <f>IF(ET$3=DispoMonth,NetSale,0)</f>
        <v/>
      </c>
      <c r="EU31" s="402">
        <f>IF(EU$3=DispoMonth,NetSale,0)</f>
        <v/>
      </c>
      <c r="EV31" s="402">
        <f>IF(EV$3=DispoMonth,NetSale,0)</f>
        <v/>
      </c>
      <c r="EW31" s="402">
        <f>IF(EW$3=DispoMonth,NetSale,0)</f>
        <v/>
      </c>
      <c r="EX31" s="402">
        <f>IF(EX$3=DispoMonth,NetSale,0)</f>
        <v/>
      </c>
      <c r="EY31" s="402">
        <f>IF(EY$3=DispoMonth,NetSale,0)</f>
        <v/>
      </c>
      <c r="EZ31" s="402">
        <f>IF(EZ$3=DispoMonth,NetSale,0)</f>
        <v/>
      </c>
      <c r="FA31" s="402">
        <f>IF(FA$3=DispoMonth,NetSale,0)</f>
        <v/>
      </c>
      <c r="FB31" s="402">
        <f>IF(FB$3=DispoMonth,NetSale,0)</f>
        <v/>
      </c>
      <c r="FC31" s="402">
        <f>IF(FC$3=DispoMonth,NetSale,0)</f>
        <v/>
      </c>
      <c r="FD31" s="402">
        <f>IF(FD$3=DispoMonth,NetSale,0)</f>
        <v/>
      </c>
      <c r="FE31" s="402">
        <f>IF(FE$3=DispoMonth,NetSale,0)</f>
        <v/>
      </c>
      <c r="FF31" s="402">
        <f>IF(FF$3=DispoMonth,NetSale,0)</f>
        <v/>
      </c>
      <c r="FG31" s="402">
        <f>IF(FG$3=DispoMonth,NetSale,0)</f>
        <v/>
      </c>
      <c r="FH31" s="402">
        <f>IF(FH$3=DispoMonth,NetSale,0)</f>
        <v/>
      </c>
      <c r="FI31" s="402">
        <f>IF(FI$3=DispoMonth,NetSale,0)</f>
        <v/>
      </c>
      <c r="FJ31" s="402">
        <f>IF(FJ$3=DispoMonth,NetSale,0)</f>
        <v/>
      </c>
      <c r="FK31" s="402">
        <f>IF(FK$3=DispoMonth,NetSale,0)</f>
        <v/>
      </c>
      <c r="FL31" s="402">
        <f>IF(FL$3=DispoMonth,NetSale,0)</f>
        <v/>
      </c>
      <c r="FM31" s="402">
        <f>IF(FM$3=DispoMonth,NetSale,0)</f>
        <v/>
      </c>
      <c r="FN31" s="402">
        <f>IF(FN$3=DispoMonth,NetSale,0)</f>
        <v/>
      </c>
      <c r="FO31" s="402">
        <f>IF(FO$3=DispoMonth,NetSale,0)</f>
        <v/>
      </c>
      <c r="FP31" s="402">
        <f>IF(FP$3=DispoMonth,NetSale,0)</f>
        <v/>
      </c>
      <c r="FQ31" s="402">
        <f>IF(FQ$3=DispoMonth,NetSale,0)</f>
        <v/>
      </c>
      <c r="FR31" s="402">
        <f>IF(FR$3=DispoMonth,NetSale,0)</f>
        <v/>
      </c>
      <c r="FS31" s="402">
        <f>IF(FS$3=DispoMonth,NetSale,0)</f>
        <v/>
      </c>
      <c r="FT31" s="402">
        <f>IF(FT$3=DispoMonth,NetSale,0)</f>
        <v/>
      </c>
      <c r="FU31" s="402">
        <f>IF(FU$3=DispoMonth,NetSale,0)</f>
        <v/>
      </c>
      <c r="FV31" s="402">
        <f>IF(FV$3=DispoMonth,NetSale,0)</f>
        <v/>
      </c>
      <c r="FW31" s="402">
        <f>IF(FW$3=DispoMonth,NetSale,0)</f>
        <v/>
      </c>
      <c r="FX31" s="402">
        <f>IF(FX$3=DispoMonth,NetSale,0)</f>
        <v/>
      </c>
      <c r="FY31" s="402">
        <f>IF(FY$3=DispoMonth,NetSale,0)</f>
        <v/>
      </c>
      <c r="FZ31" s="402">
        <f>IF(FZ$3=DispoMonth,NetSale,0)</f>
        <v/>
      </c>
      <c r="GA31" s="402">
        <f>IF(GA$3=DispoMonth,NetSale,0)</f>
        <v/>
      </c>
      <c r="GB31" s="402">
        <f>IF(GB$3=DispoMonth,NetSale,0)</f>
        <v/>
      </c>
      <c r="GC31" s="402">
        <f>IF(GC$3=DispoMonth,NetSale,0)</f>
        <v/>
      </c>
      <c r="GD31" s="402">
        <f>IF(GD$3=DispoMonth,NetSale,0)</f>
        <v/>
      </c>
      <c r="GE31" s="402">
        <f>IF(GE$3=DispoMonth,NetSale,0)</f>
        <v/>
      </c>
      <c r="GF31" s="402">
        <f>IF(GF$3=DispoMonth,NetSale,0)</f>
        <v/>
      </c>
      <c r="GG31" s="402">
        <f>IF(GG$3=DispoMonth,NetSale,0)</f>
        <v/>
      </c>
      <c r="GH31" s="402">
        <f>IF(GH$3=DispoMonth,NetSale,0)</f>
        <v/>
      </c>
      <c r="GI31" s="402">
        <f>IF(GI$3=DispoMonth,NetSale,0)</f>
        <v/>
      </c>
      <c r="GJ31" s="402">
        <f>IF(GJ$3=DispoMonth,NetSale,0)</f>
        <v/>
      </c>
      <c r="GK31" s="402">
        <f>IF(GK$3=DispoMonth,NetSale,0)</f>
        <v/>
      </c>
      <c r="GL31" s="402">
        <f>IF(GL$3=DispoMonth,NetSale,0)</f>
        <v/>
      </c>
      <c r="GM31" s="402">
        <f>IF(GM$3=DispoMonth,NetSale,0)</f>
        <v/>
      </c>
      <c r="GN31" s="402">
        <f>IF(GN$3=DispoMonth,NetSale,0)</f>
        <v/>
      </c>
      <c r="GO31" s="402">
        <f>IF(GO$3=DispoMonth,NetSale,0)</f>
        <v/>
      </c>
      <c r="GP31" s="402">
        <f>IF(GP$3=DispoMonth,NetSale,0)</f>
        <v/>
      </c>
      <c r="GQ31" s="402">
        <f>IF(GQ$3=DispoMonth,NetSale,0)</f>
        <v/>
      </c>
      <c r="GR31" s="402">
        <f>IF(GR$3=DispoMonth,NetSale,0)</f>
        <v/>
      </c>
      <c r="GS31" s="402">
        <f>IF(GS$3=DispoMonth,NetSale,0)</f>
        <v/>
      </c>
      <c r="GT31" s="402">
        <f>IF(GT$3=DispoMonth,NetSale,0)</f>
        <v/>
      </c>
      <c r="GU31" s="402">
        <f>IF(GU$3=DispoMonth,NetSale,0)</f>
        <v/>
      </c>
      <c r="GV31" s="402">
        <f>IF(GV$3=DispoMonth,NetSale,0)</f>
        <v/>
      </c>
      <c r="GW31" s="402">
        <f>IF(GW$3=DispoMonth,NetSale,0)</f>
        <v/>
      </c>
      <c r="GX31" s="402">
        <f>IF(GX$3=DispoMonth,NetSale,0)</f>
        <v/>
      </c>
      <c r="GY31" s="402">
        <f>IF(GY$3=DispoMonth,NetSale,0)</f>
        <v/>
      </c>
      <c r="GZ31" s="402">
        <f>IF(GZ$3=DispoMonth,NetSale,0)</f>
        <v/>
      </c>
      <c r="HA31" s="402">
        <f>IF(HA$3=DispoMonth,NetSale,0)</f>
        <v/>
      </c>
      <c r="HB31" s="402">
        <f>IF(HB$3=DispoMonth,NetSale,0)</f>
        <v/>
      </c>
      <c r="HC31" s="402">
        <f>IF(HC$3=DispoMonth,NetSale,0)</f>
        <v/>
      </c>
      <c r="HD31" s="402">
        <f>IF(HD$3=DispoMonth,NetSale,0)</f>
        <v/>
      </c>
      <c r="HE31" s="402">
        <f>IF(HE$3=DispoMonth,NetSale,0)</f>
        <v/>
      </c>
      <c r="HF31" s="402">
        <f>IF(HF$3=DispoMonth,NetSale,0)</f>
        <v/>
      </c>
      <c r="HG31" s="402">
        <f>IF(HG$3=DispoMonth,NetSale,0)</f>
        <v/>
      </c>
      <c r="HH31" s="402">
        <f>IF(HH$3=DispoMonth,NetSale,0)</f>
        <v/>
      </c>
      <c r="HI31" s="402">
        <f>IF(HI$3=DispoMonth,NetSale,0)</f>
        <v/>
      </c>
      <c r="HJ31" s="402">
        <f>IF(HJ$3=DispoMonth,NetSale,0)</f>
        <v/>
      </c>
      <c r="HK31" s="402">
        <f>IF(HK$3=DispoMonth,NetSale,0)</f>
        <v/>
      </c>
      <c r="HL31" s="402">
        <f>IF(HL$3=DispoMonth,NetSale,0)</f>
        <v/>
      </c>
      <c r="HM31" s="402">
        <f>IF(HM$3=DispoMonth,NetSale,0)</f>
        <v/>
      </c>
      <c r="HN31" s="402">
        <f>IF(HN$3=DispoMonth,NetSale,0)</f>
        <v/>
      </c>
      <c r="HO31" s="402">
        <f>IF(HO$3=DispoMonth,NetSale,0)</f>
        <v/>
      </c>
      <c r="HP31" s="402">
        <f>IF(HP$3=DispoMonth,NetSale,0)</f>
        <v/>
      </c>
      <c r="HQ31" s="402">
        <f>IF(HQ$3=DispoMonth,NetSale,0)</f>
        <v/>
      </c>
      <c r="HR31" s="402">
        <f>IF(HR$3=DispoMonth,NetSale,0)</f>
        <v/>
      </c>
      <c r="HS31" s="402">
        <f>IF(HS$3=DispoMonth,NetSale,0)</f>
        <v/>
      </c>
      <c r="HT31" s="402">
        <f>IF(HT$3=DispoMonth,NetSale,0)</f>
        <v/>
      </c>
      <c r="HU31" s="402">
        <f>IF(HU$3=DispoMonth,NetSale,0)</f>
        <v/>
      </c>
      <c r="HV31" s="402">
        <f>IF(HV$3=DispoMonth,NetSale,0)</f>
        <v/>
      </c>
      <c r="HW31" s="402">
        <f>IF(HW$3=DispoMonth,NetSale,0)</f>
        <v/>
      </c>
      <c r="HX31" s="402">
        <f>IF(HX$3=DispoMonth,NetSale,0)</f>
        <v/>
      </c>
      <c r="HY31" s="402">
        <f>IF(HY$3=DispoMonth,NetSale,0)</f>
        <v/>
      </c>
      <c r="HZ31" s="402">
        <f>IF(HZ$3=DispoMonth,NetSale,0)</f>
        <v/>
      </c>
      <c r="IA31" s="402">
        <f>IF(IA$3=DispoMonth,NetSale,0)</f>
        <v/>
      </c>
      <c r="IB31" s="402">
        <f>IF(IB$3=DispoMonth,NetSale,0)</f>
        <v/>
      </c>
      <c r="IC31" s="402">
        <f>IF(IC$3=DispoMonth,NetSale,0)</f>
        <v/>
      </c>
      <c r="ID31" s="402">
        <f>IF(ID$3=DispoMonth,NetSale,0)</f>
        <v/>
      </c>
      <c r="IE31" s="402">
        <f>IF(IE$3=DispoMonth,NetSale,0)</f>
        <v/>
      </c>
      <c r="IF31" s="402">
        <f>IF(IF$3=DispoMonth,NetSale,0)</f>
        <v/>
      </c>
      <c r="IG31" s="402">
        <f>IF(IG$3=DispoMonth,NetSale,0)</f>
        <v/>
      </c>
      <c r="IH31" s="402">
        <f>IF(IH$3=DispoMonth,NetSale,0)</f>
        <v/>
      </c>
      <c r="II31" s="402">
        <f>IF(II$3=DispoMonth,NetSale,0)</f>
        <v/>
      </c>
      <c r="IJ31" s="402">
        <f>IF(IJ$3=DispoMonth,NetSale,0)</f>
        <v/>
      </c>
      <c r="IK31" s="402">
        <f>IF(IK$3=DispoMonth,NetSale,0)</f>
        <v/>
      </c>
      <c r="IL31" s="402">
        <f>IF(IL$3=DispoMonth,NetSale,0)</f>
        <v/>
      </c>
      <c r="IM31" s="402">
        <f>IF(IM$3=DispoMonth,NetSale,0)</f>
        <v/>
      </c>
      <c r="IN31" s="402">
        <f>IF(IN$3=DispoMonth,NetSale,0)</f>
        <v/>
      </c>
      <c r="IO31" s="402">
        <f>IF(IO$3=DispoMonth,NetSale,0)</f>
        <v/>
      </c>
      <c r="IP31" s="402">
        <f>IF(IP$3=DispoMonth,NetSale,0)</f>
        <v/>
      </c>
      <c r="IQ31" s="402">
        <f>IF(IQ$3=DispoMonth,NetSale,0)</f>
        <v/>
      </c>
      <c r="IR31" s="402">
        <f>IF(IR$3=DispoMonth,NetSale,0)</f>
        <v/>
      </c>
      <c r="IS31" s="402">
        <f>IF(IS$3=DispoMonth,NetSale,0)</f>
        <v/>
      </c>
      <c r="IT31" s="402">
        <f>IF(IT$3=DispoMonth,NetSale,0)</f>
        <v/>
      </c>
      <c r="IU31" s="402">
        <f>IF(IU$3=DispoMonth,NetSale,0)</f>
        <v/>
      </c>
      <c r="IV31" s="402">
        <f>IF(IV$3=DispoMonth,NetSale,0)</f>
        <v/>
      </c>
      <c r="IW31" s="402">
        <f>IF(IW$3=DispoMonth,NetSale,0)</f>
        <v/>
      </c>
      <c r="IX31" s="402">
        <f>IF(IX$3=DispoMonth,NetSale,0)</f>
        <v/>
      </c>
      <c r="IY31" s="402">
        <f>IF(IY$3=DispoMonth,NetSale,0)</f>
        <v/>
      </c>
      <c r="IZ31" s="402">
        <f>IF(IZ$3=DispoMonth,NetSale,0)</f>
        <v/>
      </c>
      <c r="JA31" s="402">
        <f>IF(JA$3=DispoMonth,NetSale,0)</f>
        <v/>
      </c>
      <c r="JB31" s="402">
        <f>IF(JB$3=DispoMonth,NetSale,0)</f>
        <v/>
      </c>
      <c r="JC31" s="402">
        <f>IF(JC$3=DispoMonth,NetSale,0)</f>
        <v/>
      </c>
      <c r="JD31" s="402">
        <f>IF(JD$3=DispoMonth,NetSale,0)</f>
        <v/>
      </c>
      <c r="JE31" s="402">
        <f>IF(JE$3=DispoMonth,NetSale,0)</f>
        <v/>
      </c>
      <c r="JF31" s="402">
        <f>IF(JF$3=DispoMonth,NetSale,0)</f>
        <v/>
      </c>
      <c r="JG31" s="402">
        <f>IF(JG$3=DispoMonth,NetSale,0)</f>
        <v/>
      </c>
      <c r="JH31" s="402">
        <f>IF(JH$3=DispoMonth,NetSale,0)</f>
        <v/>
      </c>
      <c r="JI31" s="402">
        <f>IF(JI$3=DispoMonth,NetSale,0)</f>
        <v/>
      </c>
      <c r="JJ31" s="402">
        <f>IF(JJ$3=DispoMonth,NetSale,0)</f>
        <v/>
      </c>
      <c r="JK31" s="402">
        <f>IF(JK$3=DispoMonth,NetSale,0)</f>
        <v/>
      </c>
      <c r="JL31" s="402">
        <f>IF(JL$3=DispoMonth,NetSale,0)</f>
        <v/>
      </c>
      <c r="JM31" s="402">
        <f>IF(JM$3=DispoMonth,NetSale,0)</f>
        <v/>
      </c>
      <c r="JN31" s="402">
        <f>IF(JN$3=DispoMonth,NetSale,0)</f>
        <v/>
      </c>
      <c r="JO31" s="402">
        <f>IF(JO$3=DispoMonth,NetSale,0)</f>
        <v/>
      </c>
      <c r="JP31" s="402">
        <f>IF(JP$3=DispoMonth,NetSale,0)</f>
        <v/>
      </c>
      <c r="JQ31" s="402">
        <f>IF(JQ$3=DispoMonth,NetSale,0)</f>
        <v/>
      </c>
      <c r="JR31" s="402">
        <f>IF(JR$3=DispoMonth,NetSale,0)</f>
        <v/>
      </c>
      <c r="JS31" s="402">
        <f>IF(JS$3=DispoMonth,NetSale,0)</f>
        <v/>
      </c>
      <c r="JT31" s="402">
        <f>IF(JT$3=DispoMonth,NetSale,0)</f>
        <v/>
      </c>
      <c r="JU31" s="402">
        <f>IF(JU$3=DispoMonth,NetSale,0)</f>
        <v/>
      </c>
      <c r="JV31" s="402">
        <f>IF(JV$3=DispoMonth,NetSale,0)</f>
        <v/>
      </c>
      <c r="JW31" s="402">
        <f>IF(JW$3=DispoMonth,NetSale,0)</f>
        <v/>
      </c>
      <c r="JX31" s="402">
        <f>IF(JX$3=DispoMonth,NetSale,0)</f>
        <v/>
      </c>
      <c r="JY31" s="402">
        <f>IF(JY$3=DispoMonth,NetSale,0)</f>
        <v/>
      </c>
      <c r="JZ31" s="402">
        <f>IF(JZ$3=DispoMonth,NetSale,0)</f>
        <v/>
      </c>
      <c r="KA31" s="402">
        <f>IF(KA$3=DispoMonth,NetSale,0)</f>
        <v/>
      </c>
      <c r="KB31" s="402">
        <f>IF(KB$3=DispoMonth,NetSale,0)</f>
        <v/>
      </c>
      <c r="KC31" s="402">
        <f>IF(KC$3=DispoMonth,NetSale,0)</f>
        <v/>
      </c>
      <c r="KD31" s="402">
        <f>IF(KD$3=DispoMonth,NetSale,0)</f>
        <v/>
      </c>
      <c r="KE31" s="402">
        <f>IF(KE$3=DispoMonth,NetSale,0)</f>
        <v/>
      </c>
      <c r="KF31" s="402">
        <f>IF(KF$3=DispoMonth,NetSale,0)</f>
        <v/>
      </c>
      <c r="KG31" s="402">
        <f>IF(KG$3=DispoMonth,NetSale,0)</f>
        <v/>
      </c>
      <c r="KH31" s="402">
        <f>IF(KH$3=DispoMonth,NetSale,0)</f>
        <v/>
      </c>
      <c r="KI31" s="402">
        <f>IF(KI$3=DispoMonth,NetSale,0)</f>
        <v/>
      </c>
      <c r="KJ31" s="402">
        <f>IF(KJ$3=DispoMonth,NetSale,0)</f>
        <v/>
      </c>
      <c r="KK31" s="402">
        <f>IF(KK$3=DispoMonth,NetSale,0)</f>
        <v/>
      </c>
      <c r="KL31" s="402">
        <f>IF(KL$3=DispoMonth,NetSale,0)</f>
        <v/>
      </c>
      <c r="KM31" s="402">
        <f>IF(KM$3=DispoMonth,NetSale,0)</f>
        <v/>
      </c>
      <c r="KN31" s="402">
        <f>IF(KN$3=DispoMonth,NetSale,0)</f>
        <v/>
      </c>
      <c r="KO31" s="402">
        <f>IF(KO$3=DispoMonth,NetSale,0)</f>
        <v/>
      </c>
      <c r="KP31" s="402">
        <f>IF(KP$3=DispoMonth,NetSale,0)</f>
        <v/>
      </c>
      <c r="KQ31" s="402">
        <f>IF(KQ$3=DispoMonth,NetSale,0)</f>
        <v/>
      </c>
      <c r="KR31" s="402">
        <f>IF(KR$3=DispoMonth,NetSale,0)</f>
        <v/>
      </c>
      <c r="KS31" s="402">
        <f>IF(KS$3=DispoMonth,NetSale,0)</f>
        <v/>
      </c>
      <c r="KT31" s="402">
        <f>IF(KT$3=DispoMonth,NetSale,0)</f>
        <v/>
      </c>
      <c r="KU31" s="402">
        <f>IF(KU$3=DispoMonth,NetSale,0)</f>
        <v/>
      </c>
      <c r="KV31" s="402">
        <f>IF(KV$3=DispoMonth,NetSale,0)</f>
        <v/>
      </c>
      <c r="KW31" s="402">
        <f>IF(KW$3=DispoMonth,NetSale,0)</f>
        <v/>
      </c>
      <c r="KX31" s="402">
        <f>IF(KX$3=DispoMonth,NetSale,0)</f>
        <v/>
      </c>
      <c r="KY31" s="402">
        <f>IF(KY$3=DispoMonth,NetSale,0)</f>
        <v/>
      </c>
      <c r="KZ31" s="402">
        <f>IF(KZ$3=DispoMonth,NetSale,0)</f>
        <v/>
      </c>
      <c r="LA31" s="402">
        <f>IF(LA$3=DispoMonth,NetSale,0)</f>
        <v/>
      </c>
      <c r="LB31" s="402">
        <f>IF(LB$3=DispoMonth,NetSale,0)</f>
        <v/>
      </c>
      <c r="LC31" s="402">
        <f>IF(LC$3=DispoMonth,NetSale,0)</f>
        <v/>
      </c>
      <c r="LD31" s="402">
        <f>IF(LD$3=DispoMonth,NetSale,0)</f>
        <v/>
      </c>
      <c r="LE31" s="402">
        <f>IF(LE$3=DispoMonth,NetSale,0)</f>
        <v/>
      </c>
      <c r="LF31" s="402">
        <f>IF(LF$3=DispoMonth,NetSale,0)</f>
        <v/>
      </c>
      <c r="LG31" s="402">
        <f>IF(LG$3=DispoMonth,NetSale,0)</f>
        <v/>
      </c>
      <c r="LH31" s="402">
        <f>IF(LH$3=DispoMonth,NetSale,0)</f>
        <v/>
      </c>
      <c r="LI31" s="402">
        <f>IF(LI$3=DispoMonth,NetSale,0)</f>
        <v/>
      </c>
      <c r="LJ31" s="402">
        <f>IF(LJ$3=DispoMonth,NetSale,0)</f>
        <v/>
      </c>
      <c r="LK31" s="402">
        <f>IF(LK$3=DispoMonth,NetSale,0)</f>
        <v/>
      </c>
      <c r="LL31" s="402">
        <f>IF(LL$3=DispoMonth,NetSale,0)</f>
        <v/>
      </c>
      <c r="LM31" s="402">
        <f>IF(LM$3=DispoMonth,NetSale,0)</f>
        <v/>
      </c>
      <c r="LN31" s="402">
        <f>IF(LN$3=DispoMonth,NetSale,0)</f>
        <v/>
      </c>
      <c r="LO31" s="402">
        <f>IF(LO$3=DispoMonth,NetSale,0)</f>
        <v/>
      </c>
      <c r="LP31" s="402">
        <f>IF(LP$3=DispoMonth,NetSale,0)</f>
        <v/>
      </c>
      <c r="LQ31" s="402">
        <f>IF(LQ$3=DispoMonth,NetSale,0)</f>
        <v/>
      </c>
      <c r="LR31" s="402">
        <f>IF(LR$3=DispoMonth,NetSale,0)</f>
        <v/>
      </c>
      <c r="LS31" s="402">
        <f>IF(LS$3=DispoMonth,NetSale,0)</f>
        <v/>
      </c>
      <c r="LT31" s="402">
        <f>IF(LT$3=DispoMonth,NetSale,0)</f>
        <v/>
      </c>
      <c r="LU31" s="402">
        <f>IF(LU$3=DispoMonth,NetSale,0)</f>
        <v/>
      </c>
      <c r="LV31" s="402">
        <f>IF(LV$3=DispoMonth,NetSale,0)</f>
        <v/>
      </c>
      <c r="LW31" s="402">
        <f>IF(LW$3=DispoMonth,NetSale,0)</f>
        <v/>
      </c>
      <c r="LX31" s="402">
        <f>IF(LX$3=DispoMonth,NetSale,0)</f>
        <v/>
      </c>
      <c r="LY31" s="402">
        <f>IF(LY$3=DispoMonth,NetSale,0)</f>
        <v/>
      </c>
      <c r="LZ31" s="402">
        <f>IF(LZ$3=DispoMonth,NetSale,0)</f>
        <v/>
      </c>
      <c r="MA31" s="402">
        <f>IF(MA$3=DispoMonth,NetSale,0)</f>
        <v/>
      </c>
      <c r="MB31" s="402">
        <f>IF(MB$3=DispoMonth,NetSale,0)</f>
        <v/>
      </c>
      <c r="MC31" s="402">
        <f>IF(MC$3=DispoMonth,NetSale,0)</f>
        <v/>
      </c>
      <c r="MD31" s="402">
        <f>IF(MD$3=DispoMonth,NetSale,0)</f>
        <v/>
      </c>
      <c r="ME31" s="402">
        <f>IF(ME$3=DispoMonth,NetSale,0)</f>
        <v/>
      </c>
      <c r="MF31" s="402">
        <f>IF(MF$3=DispoMonth,NetSale,0)</f>
        <v/>
      </c>
      <c r="MG31" s="402">
        <f>IF(MG$3=DispoMonth,NetSale,0)</f>
        <v/>
      </c>
      <c r="MH31" s="402">
        <f>IF(MH$3=DispoMonth,NetSale,0)</f>
        <v/>
      </c>
      <c r="MI31" s="402">
        <f>IF(MI$3=DispoMonth,NetSale,0)</f>
        <v/>
      </c>
      <c r="MJ31" s="402">
        <f>IF(MJ$3=DispoMonth,NetSale,0)</f>
        <v/>
      </c>
      <c r="MK31" s="402">
        <f>IF(MK$3=DispoMonth,NetSale,0)</f>
        <v/>
      </c>
      <c r="ML31" s="402">
        <f>IF(ML$3=DispoMonth,NetSale,0)</f>
        <v/>
      </c>
      <c r="MM31" s="402">
        <f>IF(MM$3=DispoMonth,NetSale,0)</f>
        <v/>
      </c>
      <c r="MN31" s="402">
        <f>IF(MN$3=DispoMonth,NetSale,0)</f>
        <v/>
      </c>
      <c r="MO31" s="402">
        <f>IF(MO$3=DispoMonth,NetSale,0)</f>
        <v/>
      </c>
      <c r="MP31" s="402">
        <f>IF(MP$3=DispoMonth,NetSale,0)</f>
        <v/>
      </c>
      <c r="MQ31" s="402">
        <f>IF(MQ$3=DispoMonth,NetSale,0)</f>
        <v/>
      </c>
      <c r="MR31" s="402">
        <f>IF(MR$3=DispoMonth,NetSale,0)</f>
        <v/>
      </c>
      <c r="MS31" s="402">
        <f>IF(MS$3=DispoMonth,NetSale,0)</f>
        <v/>
      </c>
      <c r="MT31" s="402">
        <f>IF(MT$3=DispoMonth,NetSale,0)</f>
        <v/>
      </c>
      <c r="MU31" s="402">
        <f>IF(MU$3=DispoMonth,NetSale,0)</f>
        <v/>
      </c>
      <c r="MV31" s="402">
        <f>IF(MV$3=DispoMonth,NetSale,0)</f>
        <v/>
      </c>
      <c r="MW31" s="402">
        <f>IF(MW$3=DispoMonth,NetSale,0)</f>
        <v/>
      </c>
      <c r="MX31" s="402">
        <f>IF(MX$3=DispoMonth,NetSale,0)</f>
        <v/>
      </c>
      <c r="MY31" s="402">
        <f>IF(MY$3=DispoMonth,NetSale,0)</f>
        <v/>
      </c>
      <c r="MZ31" s="402">
        <f>IF(MZ$3=DispoMonth,NetSale,0)</f>
        <v/>
      </c>
      <c r="NA31" s="402">
        <f>IF(NA$3=DispoMonth,NetSale,0)</f>
        <v/>
      </c>
      <c r="NB31" s="402">
        <f>IF(NB$3=DispoMonth,NetSale,0)</f>
        <v/>
      </c>
      <c r="NC31" s="402">
        <f>IF(NC$3=DispoMonth,NetSale,0)</f>
        <v/>
      </c>
      <c r="ND31" s="402">
        <f>IF(ND$3=DispoMonth,NetSale,0)</f>
        <v/>
      </c>
      <c r="NE31" s="402">
        <f>IF(NE$3=DispoMonth,NetSale,0)</f>
        <v/>
      </c>
      <c r="NF31" s="402">
        <f>IF(NF$3=DispoMonth,NetSale,0)</f>
        <v/>
      </c>
      <c r="NG31" s="402">
        <f>IF(NG$3=DispoMonth,NetSale,0)</f>
        <v/>
      </c>
      <c r="NH31" s="402">
        <f>IF(NH$3=DispoMonth,NetSale,0)</f>
        <v/>
      </c>
      <c r="NI31" s="402">
        <f>IF(NI$3=DispoMonth,NetSale,0)</f>
        <v/>
      </c>
      <c r="NJ31" s="402">
        <f>IF(NJ$3=DispoMonth,NetSale,0)</f>
        <v/>
      </c>
      <c r="NK31" s="402">
        <f>IF(NK$3=DispoMonth,NetSale,0)</f>
        <v/>
      </c>
      <c r="NL31" s="402">
        <f>IF(NL$3=DispoMonth,NetSale,0)</f>
        <v/>
      </c>
    </row>
    <row r="32">
      <c r="B32" s="330" t="inlineStr">
        <is>
          <t>Unlevered Cash Flow</t>
        </is>
      </c>
      <c r="D32" s="403">
        <f>SUM(E32:NL32)</f>
        <v/>
      </c>
      <c r="E32" s="407">
        <f>CashFlow!E$7</f>
        <v/>
      </c>
      <c r="F32" s="407">
        <f>CashFlow!F$7</f>
        <v/>
      </c>
      <c r="G32" s="407">
        <f>CashFlow!G$7</f>
        <v/>
      </c>
      <c r="H32" s="407">
        <f>CashFlow!H$7</f>
        <v/>
      </c>
      <c r="I32" s="407">
        <f>CashFlow!I$7</f>
        <v/>
      </c>
      <c r="J32" s="407">
        <f>CashFlow!J$7</f>
        <v/>
      </c>
      <c r="K32" s="407">
        <f>CashFlow!K$7</f>
        <v/>
      </c>
      <c r="L32" s="407">
        <f>CashFlow!L$7</f>
        <v/>
      </c>
      <c r="M32" s="407">
        <f>CashFlow!M$7</f>
        <v/>
      </c>
      <c r="N32" s="407">
        <f>CashFlow!N$7</f>
        <v/>
      </c>
      <c r="O32" s="407">
        <f>CashFlow!O$7</f>
        <v/>
      </c>
      <c r="P32" s="407">
        <f>CashFlow!P$7</f>
        <v/>
      </c>
      <c r="Q32" s="407">
        <f>CashFlow!Q$7</f>
        <v/>
      </c>
      <c r="R32" s="407">
        <f>CashFlow!R$7</f>
        <v/>
      </c>
      <c r="S32" s="407">
        <f>CashFlow!S$7</f>
        <v/>
      </c>
      <c r="T32" s="407">
        <f>CashFlow!T$7</f>
        <v/>
      </c>
      <c r="U32" s="407">
        <f>CashFlow!U$7</f>
        <v/>
      </c>
      <c r="V32" s="407">
        <f>CashFlow!V$7</f>
        <v/>
      </c>
      <c r="W32" s="407">
        <f>CashFlow!W$7</f>
        <v/>
      </c>
      <c r="X32" s="407">
        <f>CashFlow!X$7</f>
        <v/>
      </c>
      <c r="Y32" s="407">
        <f>CashFlow!Y$7</f>
        <v/>
      </c>
      <c r="Z32" s="407">
        <f>CashFlow!Z$7</f>
        <v/>
      </c>
      <c r="AA32" s="407">
        <f>CashFlow!AA$7</f>
        <v/>
      </c>
      <c r="AB32" s="407">
        <f>CashFlow!AB$7</f>
        <v/>
      </c>
      <c r="AC32" s="407">
        <f>CashFlow!AC$7</f>
        <v/>
      </c>
      <c r="AD32" s="407">
        <f>CashFlow!AD$7</f>
        <v/>
      </c>
      <c r="AE32" s="407">
        <f>CashFlow!AE$7</f>
        <v/>
      </c>
      <c r="AF32" s="407">
        <f>CashFlow!AF$7</f>
        <v/>
      </c>
      <c r="AG32" s="407">
        <f>CashFlow!AG$7</f>
        <v/>
      </c>
      <c r="AH32" s="407">
        <f>CashFlow!AH$7</f>
        <v/>
      </c>
      <c r="AI32" s="407">
        <f>CashFlow!AI$7</f>
        <v/>
      </c>
      <c r="AJ32" s="407">
        <f>CashFlow!AJ$7</f>
        <v/>
      </c>
      <c r="AK32" s="407">
        <f>CashFlow!AK$7</f>
        <v/>
      </c>
      <c r="AL32" s="407">
        <f>CashFlow!AL$7</f>
        <v/>
      </c>
      <c r="AM32" s="407">
        <f>CashFlow!AM$7</f>
        <v/>
      </c>
      <c r="AN32" s="407">
        <f>CashFlow!AN$7</f>
        <v/>
      </c>
      <c r="AO32" s="407">
        <f>CashFlow!AO$7</f>
        <v/>
      </c>
      <c r="AP32" s="407">
        <f>CashFlow!AP$7</f>
        <v/>
      </c>
      <c r="AQ32" s="407">
        <f>CashFlow!AQ$7</f>
        <v/>
      </c>
      <c r="AR32" s="407">
        <f>CashFlow!AR$7</f>
        <v/>
      </c>
      <c r="AS32" s="407">
        <f>CashFlow!AS$7</f>
        <v/>
      </c>
      <c r="AT32" s="407">
        <f>CashFlow!AT$7</f>
        <v/>
      </c>
      <c r="AU32" s="407">
        <f>CashFlow!AU$7</f>
        <v/>
      </c>
      <c r="AV32" s="407">
        <f>CashFlow!AV$7</f>
        <v/>
      </c>
      <c r="AW32" s="407">
        <f>CashFlow!AW$7</f>
        <v/>
      </c>
      <c r="AX32" s="407">
        <f>CashFlow!AX$7</f>
        <v/>
      </c>
      <c r="AY32" s="407">
        <f>CashFlow!AY$7</f>
        <v/>
      </c>
      <c r="AZ32" s="407">
        <f>CashFlow!AZ$7</f>
        <v/>
      </c>
      <c r="BA32" s="407">
        <f>CashFlow!BA$7</f>
        <v/>
      </c>
      <c r="BB32" s="407">
        <f>CashFlow!BB$7</f>
        <v/>
      </c>
      <c r="BC32" s="407">
        <f>CashFlow!BC$7</f>
        <v/>
      </c>
      <c r="BD32" s="407">
        <f>CashFlow!BD$7</f>
        <v/>
      </c>
      <c r="BE32" s="407">
        <f>CashFlow!BE$7</f>
        <v/>
      </c>
      <c r="BF32" s="407">
        <f>CashFlow!BF$7</f>
        <v/>
      </c>
      <c r="BG32" s="407">
        <f>CashFlow!BG$7</f>
        <v/>
      </c>
      <c r="BH32" s="407">
        <f>CashFlow!BH$7</f>
        <v/>
      </c>
      <c r="BI32" s="407">
        <f>CashFlow!BI$7</f>
        <v/>
      </c>
      <c r="BJ32" s="407">
        <f>CashFlow!BJ$7</f>
        <v/>
      </c>
      <c r="BK32" s="407">
        <f>CashFlow!BK$7</f>
        <v/>
      </c>
      <c r="BL32" s="407">
        <f>CashFlow!BL$7</f>
        <v/>
      </c>
      <c r="BM32" s="407">
        <f>CashFlow!BM$7</f>
        <v/>
      </c>
      <c r="BN32" s="407">
        <f>CashFlow!BN$7</f>
        <v/>
      </c>
      <c r="BO32" s="407">
        <f>CashFlow!BO$7</f>
        <v/>
      </c>
      <c r="BP32" s="407">
        <f>CashFlow!BP$7</f>
        <v/>
      </c>
      <c r="BQ32" s="407">
        <f>CashFlow!BQ$7</f>
        <v/>
      </c>
      <c r="BR32" s="407">
        <f>CashFlow!BR$7</f>
        <v/>
      </c>
      <c r="BS32" s="407">
        <f>CashFlow!BS$7</f>
        <v/>
      </c>
      <c r="BT32" s="407">
        <f>CashFlow!BT$7</f>
        <v/>
      </c>
      <c r="BU32" s="407">
        <f>CashFlow!BU$7</f>
        <v/>
      </c>
      <c r="BV32" s="407">
        <f>CashFlow!BV$7</f>
        <v/>
      </c>
      <c r="BW32" s="407">
        <f>CashFlow!BW$7</f>
        <v/>
      </c>
      <c r="BX32" s="407">
        <f>CashFlow!BX$7</f>
        <v/>
      </c>
      <c r="BY32" s="407">
        <f>CashFlow!BY$7</f>
        <v/>
      </c>
      <c r="BZ32" s="407">
        <f>CashFlow!BZ$7</f>
        <v/>
      </c>
      <c r="CA32" s="407">
        <f>CashFlow!CA$7</f>
        <v/>
      </c>
      <c r="CB32" s="407">
        <f>CashFlow!CB$7</f>
        <v/>
      </c>
      <c r="CC32" s="407">
        <f>CashFlow!CC$7</f>
        <v/>
      </c>
      <c r="CD32" s="407">
        <f>CashFlow!CD$7</f>
        <v/>
      </c>
      <c r="CE32" s="407">
        <f>CashFlow!CE$7</f>
        <v/>
      </c>
      <c r="CF32" s="407">
        <f>CashFlow!CF$7</f>
        <v/>
      </c>
      <c r="CG32" s="407">
        <f>CashFlow!CG$7</f>
        <v/>
      </c>
      <c r="CH32" s="407">
        <f>CashFlow!CH$7</f>
        <v/>
      </c>
      <c r="CI32" s="407">
        <f>CashFlow!CI$7</f>
        <v/>
      </c>
      <c r="CJ32" s="407">
        <f>CashFlow!CJ$7</f>
        <v/>
      </c>
      <c r="CK32" s="407">
        <f>CashFlow!CK$7</f>
        <v/>
      </c>
      <c r="CL32" s="407">
        <f>CashFlow!CL$7</f>
        <v/>
      </c>
      <c r="CM32" s="407">
        <f>CashFlow!CM$7</f>
        <v/>
      </c>
      <c r="CN32" s="407">
        <f>CashFlow!CN$7</f>
        <v/>
      </c>
      <c r="CO32" s="407">
        <f>CashFlow!CO$7</f>
        <v/>
      </c>
      <c r="CP32" s="407">
        <f>CashFlow!CP$7</f>
        <v/>
      </c>
      <c r="CQ32" s="407">
        <f>CashFlow!CQ$7</f>
        <v/>
      </c>
      <c r="CR32" s="407">
        <f>CashFlow!CR$7</f>
        <v/>
      </c>
      <c r="CS32" s="407">
        <f>CashFlow!CS$7</f>
        <v/>
      </c>
      <c r="CT32" s="407">
        <f>CashFlow!CT$7</f>
        <v/>
      </c>
      <c r="CU32" s="407">
        <f>CashFlow!CU$7</f>
        <v/>
      </c>
      <c r="CV32" s="407">
        <f>CashFlow!CV$7</f>
        <v/>
      </c>
      <c r="CW32" s="407">
        <f>CashFlow!CW$7</f>
        <v/>
      </c>
      <c r="CX32" s="407">
        <f>CashFlow!CX$7</f>
        <v/>
      </c>
      <c r="CY32" s="407">
        <f>CashFlow!CY$7</f>
        <v/>
      </c>
      <c r="CZ32" s="407">
        <f>CashFlow!CZ$7</f>
        <v/>
      </c>
      <c r="DA32" s="407">
        <f>CashFlow!DA$7</f>
        <v/>
      </c>
      <c r="DB32" s="407">
        <f>CashFlow!DB$7</f>
        <v/>
      </c>
      <c r="DC32" s="407">
        <f>CashFlow!DC$7</f>
        <v/>
      </c>
      <c r="DD32" s="407">
        <f>CashFlow!DD$7</f>
        <v/>
      </c>
      <c r="DE32" s="407">
        <f>CashFlow!DE$7</f>
        <v/>
      </c>
      <c r="DF32" s="407">
        <f>CashFlow!DF$7</f>
        <v/>
      </c>
      <c r="DG32" s="407">
        <f>CashFlow!DG$7</f>
        <v/>
      </c>
      <c r="DH32" s="407">
        <f>CashFlow!DH$7</f>
        <v/>
      </c>
      <c r="DI32" s="407">
        <f>CashFlow!DI$7</f>
        <v/>
      </c>
      <c r="DJ32" s="407">
        <f>CashFlow!DJ$7</f>
        <v/>
      </c>
      <c r="DK32" s="407">
        <f>CashFlow!DK$7</f>
        <v/>
      </c>
      <c r="DL32" s="407">
        <f>CashFlow!DL$7</f>
        <v/>
      </c>
      <c r="DM32" s="407">
        <f>CashFlow!DM$7</f>
        <v/>
      </c>
      <c r="DN32" s="407">
        <f>CashFlow!DN$7</f>
        <v/>
      </c>
      <c r="DO32" s="407">
        <f>CashFlow!DO$7</f>
        <v/>
      </c>
      <c r="DP32" s="407">
        <f>CashFlow!DP$7</f>
        <v/>
      </c>
      <c r="DQ32" s="407">
        <f>CashFlow!DQ$7</f>
        <v/>
      </c>
      <c r="DR32" s="407">
        <f>CashFlow!DR$7</f>
        <v/>
      </c>
      <c r="DS32" s="407">
        <f>CashFlow!DS$7</f>
        <v/>
      </c>
      <c r="DT32" s="407">
        <f>CashFlow!DT$7</f>
        <v/>
      </c>
      <c r="DU32" s="407">
        <f>CashFlow!DU$7</f>
        <v/>
      </c>
      <c r="DV32" s="407">
        <f>CashFlow!DV$7</f>
        <v/>
      </c>
      <c r="DW32" s="407">
        <f>CashFlow!DW$7</f>
        <v/>
      </c>
      <c r="DX32" s="407">
        <f>CashFlow!DX$7</f>
        <v/>
      </c>
      <c r="DY32" s="407">
        <f>CashFlow!DY$7</f>
        <v/>
      </c>
      <c r="DZ32" s="407">
        <f>CashFlow!DZ$7</f>
        <v/>
      </c>
      <c r="EA32" s="407">
        <f>CashFlow!EA$7</f>
        <v/>
      </c>
      <c r="EB32" s="407">
        <f>CashFlow!EB$7</f>
        <v/>
      </c>
      <c r="EC32" s="407">
        <f>CashFlow!EC$7</f>
        <v/>
      </c>
      <c r="ED32" s="407">
        <f>CashFlow!ED$7</f>
        <v/>
      </c>
      <c r="EE32" s="407">
        <f>CashFlow!EE$7</f>
        <v/>
      </c>
      <c r="EF32" s="407">
        <f>CashFlow!EF$7</f>
        <v/>
      </c>
      <c r="EG32" s="407">
        <f>CashFlow!EG$7</f>
        <v/>
      </c>
      <c r="EH32" s="407">
        <f>CashFlow!EH$7</f>
        <v/>
      </c>
      <c r="EI32" s="407">
        <f>CashFlow!EI$7</f>
        <v/>
      </c>
      <c r="EJ32" s="407">
        <f>CashFlow!EJ$7</f>
        <v/>
      </c>
      <c r="EK32" s="407">
        <f>CashFlow!EK$7</f>
        <v/>
      </c>
      <c r="EL32" s="407">
        <f>CashFlow!EL$7</f>
        <v/>
      </c>
      <c r="EM32" s="407">
        <f>CashFlow!EM$7</f>
        <v/>
      </c>
      <c r="EN32" s="407">
        <f>CashFlow!EN$7</f>
        <v/>
      </c>
      <c r="EO32" s="407">
        <f>CashFlow!EO$7</f>
        <v/>
      </c>
      <c r="EP32" s="407">
        <f>CashFlow!EP$7</f>
        <v/>
      </c>
      <c r="EQ32" s="407">
        <f>CashFlow!EQ$7</f>
        <v/>
      </c>
      <c r="ER32" s="407">
        <f>CashFlow!ER$7</f>
        <v/>
      </c>
      <c r="ES32" s="407">
        <f>CashFlow!ES$7</f>
        <v/>
      </c>
      <c r="ET32" s="407">
        <f>CashFlow!ET$7</f>
        <v/>
      </c>
      <c r="EU32" s="407">
        <f>CashFlow!EU$7</f>
        <v/>
      </c>
      <c r="EV32" s="407">
        <f>CashFlow!EV$7</f>
        <v/>
      </c>
      <c r="EW32" s="407">
        <f>CashFlow!EW$7</f>
        <v/>
      </c>
      <c r="EX32" s="407">
        <f>CashFlow!EX$7</f>
        <v/>
      </c>
      <c r="EY32" s="407">
        <f>CashFlow!EY$7</f>
        <v/>
      </c>
      <c r="EZ32" s="407">
        <f>CashFlow!EZ$7</f>
        <v/>
      </c>
      <c r="FA32" s="407">
        <f>CashFlow!FA$7</f>
        <v/>
      </c>
      <c r="FB32" s="407">
        <f>CashFlow!FB$7</f>
        <v/>
      </c>
      <c r="FC32" s="407">
        <f>CashFlow!FC$7</f>
        <v/>
      </c>
      <c r="FD32" s="407">
        <f>CashFlow!FD$7</f>
        <v/>
      </c>
      <c r="FE32" s="407">
        <f>CashFlow!FE$7</f>
        <v/>
      </c>
      <c r="FF32" s="407">
        <f>CashFlow!FF$7</f>
        <v/>
      </c>
      <c r="FG32" s="407">
        <f>CashFlow!FG$7</f>
        <v/>
      </c>
      <c r="FH32" s="407">
        <f>CashFlow!FH$7</f>
        <v/>
      </c>
      <c r="FI32" s="407">
        <f>CashFlow!FI$7</f>
        <v/>
      </c>
      <c r="FJ32" s="407">
        <f>CashFlow!FJ$7</f>
        <v/>
      </c>
      <c r="FK32" s="407">
        <f>CashFlow!FK$7</f>
        <v/>
      </c>
      <c r="FL32" s="407">
        <f>CashFlow!FL$7</f>
        <v/>
      </c>
      <c r="FM32" s="407">
        <f>CashFlow!FM$7</f>
        <v/>
      </c>
      <c r="FN32" s="407">
        <f>CashFlow!FN$7</f>
        <v/>
      </c>
      <c r="FO32" s="407">
        <f>CashFlow!FO$7</f>
        <v/>
      </c>
      <c r="FP32" s="407">
        <f>CashFlow!FP$7</f>
        <v/>
      </c>
      <c r="FQ32" s="407">
        <f>CashFlow!FQ$7</f>
        <v/>
      </c>
      <c r="FR32" s="407">
        <f>CashFlow!FR$7</f>
        <v/>
      </c>
      <c r="FS32" s="407">
        <f>CashFlow!FS$7</f>
        <v/>
      </c>
      <c r="FT32" s="407">
        <f>CashFlow!FT$7</f>
        <v/>
      </c>
      <c r="FU32" s="407">
        <f>CashFlow!FU$7</f>
        <v/>
      </c>
      <c r="FV32" s="407">
        <f>CashFlow!FV$7</f>
        <v/>
      </c>
      <c r="FW32" s="407">
        <f>CashFlow!FW$7</f>
        <v/>
      </c>
      <c r="FX32" s="407">
        <f>CashFlow!FX$7</f>
        <v/>
      </c>
      <c r="FY32" s="407">
        <f>CashFlow!FY$7</f>
        <v/>
      </c>
      <c r="FZ32" s="407">
        <f>CashFlow!FZ$7</f>
        <v/>
      </c>
      <c r="GA32" s="407">
        <f>CashFlow!GA$7</f>
        <v/>
      </c>
      <c r="GB32" s="407">
        <f>CashFlow!GB$7</f>
        <v/>
      </c>
      <c r="GC32" s="407">
        <f>CashFlow!GC$7</f>
        <v/>
      </c>
      <c r="GD32" s="407">
        <f>CashFlow!GD$7</f>
        <v/>
      </c>
      <c r="GE32" s="407">
        <f>CashFlow!GE$7</f>
        <v/>
      </c>
      <c r="GF32" s="407">
        <f>CashFlow!GF$7</f>
        <v/>
      </c>
      <c r="GG32" s="407">
        <f>CashFlow!GG$7</f>
        <v/>
      </c>
      <c r="GH32" s="407">
        <f>CashFlow!GH$7</f>
        <v/>
      </c>
      <c r="GI32" s="407">
        <f>CashFlow!GI$7</f>
        <v/>
      </c>
      <c r="GJ32" s="407">
        <f>CashFlow!GJ$7</f>
        <v/>
      </c>
      <c r="GK32" s="407">
        <f>CashFlow!GK$7</f>
        <v/>
      </c>
      <c r="GL32" s="407">
        <f>CashFlow!GL$7</f>
        <v/>
      </c>
      <c r="GM32" s="407">
        <f>CashFlow!GM$7</f>
        <v/>
      </c>
      <c r="GN32" s="407">
        <f>CashFlow!GN$7</f>
        <v/>
      </c>
      <c r="GO32" s="407">
        <f>CashFlow!GO$7</f>
        <v/>
      </c>
      <c r="GP32" s="407">
        <f>CashFlow!GP$7</f>
        <v/>
      </c>
      <c r="GQ32" s="407">
        <f>CashFlow!GQ$7</f>
        <v/>
      </c>
      <c r="GR32" s="407">
        <f>CashFlow!GR$7</f>
        <v/>
      </c>
      <c r="GS32" s="407">
        <f>CashFlow!GS$7</f>
        <v/>
      </c>
      <c r="GT32" s="407">
        <f>CashFlow!GT$7</f>
        <v/>
      </c>
      <c r="GU32" s="407">
        <f>CashFlow!GU$7</f>
        <v/>
      </c>
      <c r="GV32" s="407">
        <f>CashFlow!GV$7</f>
        <v/>
      </c>
      <c r="GW32" s="407">
        <f>CashFlow!GW$7</f>
        <v/>
      </c>
      <c r="GX32" s="407">
        <f>CashFlow!GX$7</f>
        <v/>
      </c>
      <c r="GY32" s="407">
        <f>CashFlow!GY$7</f>
        <v/>
      </c>
      <c r="GZ32" s="407">
        <f>CashFlow!GZ$7</f>
        <v/>
      </c>
      <c r="HA32" s="407">
        <f>CashFlow!HA$7</f>
        <v/>
      </c>
      <c r="HB32" s="407">
        <f>CashFlow!HB$7</f>
        <v/>
      </c>
      <c r="HC32" s="407">
        <f>CashFlow!HC$7</f>
        <v/>
      </c>
      <c r="HD32" s="407">
        <f>CashFlow!HD$7</f>
        <v/>
      </c>
      <c r="HE32" s="407">
        <f>CashFlow!HE$7</f>
        <v/>
      </c>
      <c r="HF32" s="407">
        <f>CashFlow!HF$7</f>
        <v/>
      </c>
      <c r="HG32" s="407">
        <f>CashFlow!HG$7</f>
        <v/>
      </c>
      <c r="HH32" s="407">
        <f>CashFlow!HH$7</f>
        <v/>
      </c>
      <c r="HI32" s="407">
        <f>CashFlow!HI$7</f>
        <v/>
      </c>
      <c r="HJ32" s="407">
        <f>CashFlow!HJ$7</f>
        <v/>
      </c>
      <c r="HK32" s="407">
        <f>CashFlow!HK$7</f>
        <v/>
      </c>
      <c r="HL32" s="407">
        <f>CashFlow!HL$7</f>
        <v/>
      </c>
      <c r="HM32" s="407">
        <f>CashFlow!HM$7</f>
        <v/>
      </c>
      <c r="HN32" s="407">
        <f>CashFlow!HN$7</f>
        <v/>
      </c>
      <c r="HO32" s="407">
        <f>CashFlow!HO$7</f>
        <v/>
      </c>
      <c r="HP32" s="407">
        <f>CashFlow!HP$7</f>
        <v/>
      </c>
      <c r="HQ32" s="407">
        <f>CashFlow!HQ$7</f>
        <v/>
      </c>
      <c r="HR32" s="407">
        <f>CashFlow!HR$7</f>
        <v/>
      </c>
      <c r="HS32" s="407">
        <f>CashFlow!HS$7</f>
        <v/>
      </c>
      <c r="HT32" s="407">
        <f>CashFlow!HT$7</f>
        <v/>
      </c>
      <c r="HU32" s="407">
        <f>CashFlow!HU$7</f>
        <v/>
      </c>
      <c r="HV32" s="407">
        <f>CashFlow!HV$7</f>
        <v/>
      </c>
      <c r="HW32" s="407">
        <f>CashFlow!HW$7</f>
        <v/>
      </c>
      <c r="HX32" s="407">
        <f>CashFlow!HX$7</f>
        <v/>
      </c>
      <c r="HY32" s="407">
        <f>CashFlow!HY$7</f>
        <v/>
      </c>
      <c r="HZ32" s="407">
        <f>CashFlow!HZ$7</f>
        <v/>
      </c>
      <c r="IA32" s="407">
        <f>CashFlow!IA$7</f>
        <v/>
      </c>
      <c r="IB32" s="407">
        <f>CashFlow!IB$7</f>
        <v/>
      </c>
      <c r="IC32" s="407">
        <f>CashFlow!IC$7</f>
        <v/>
      </c>
      <c r="ID32" s="407">
        <f>CashFlow!ID$7</f>
        <v/>
      </c>
      <c r="IE32" s="407">
        <f>CashFlow!IE$7</f>
        <v/>
      </c>
      <c r="IF32" s="407">
        <f>CashFlow!IF$7</f>
        <v/>
      </c>
      <c r="IG32" s="407">
        <f>CashFlow!IG$7</f>
        <v/>
      </c>
      <c r="IH32" s="407">
        <f>CashFlow!IH$7</f>
        <v/>
      </c>
      <c r="II32" s="407">
        <f>CashFlow!II$7</f>
        <v/>
      </c>
      <c r="IJ32" s="407">
        <f>CashFlow!IJ$7</f>
        <v/>
      </c>
      <c r="IK32" s="407">
        <f>CashFlow!IK$7</f>
        <v/>
      </c>
      <c r="IL32" s="407">
        <f>CashFlow!IL$7</f>
        <v/>
      </c>
      <c r="IM32" s="407">
        <f>CashFlow!IM$7</f>
        <v/>
      </c>
      <c r="IN32" s="407">
        <f>CashFlow!IN$7</f>
        <v/>
      </c>
      <c r="IO32" s="407">
        <f>CashFlow!IO$7</f>
        <v/>
      </c>
      <c r="IP32" s="407">
        <f>CashFlow!IP$7</f>
        <v/>
      </c>
      <c r="IQ32" s="407">
        <f>CashFlow!IQ$7</f>
        <v/>
      </c>
      <c r="IR32" s="407">
        <f>CashFlow!IR$7</f>
        <v/>
      </c>
      <c r="IS32" s="407">
        <f>CashFlow!IS$7</f>
        <v/>
      </c>
      <c r="IT32" s="407">
        <f>CashFlow!IT$7</f>
        <v/>
      </c>
      <c r="IU32" s="407">
        <f>CashFlow!IU$7</f>
        <v/>
      </c>
      <c r="IV32" s="407">
        <f>CashFlow!IV$7</f>
        <v/>
      </c>
      <c r="IW32" s="407">
        <f>CashFlow!IW$7</f>
        <v/>
      </c>
      <c r="IX32" s="407">
        <f>CashFlow!IX$7</f>
        <v/>
      </c>
      <c r="IY32" s="407">
        <f>CashFlow!IY$7</f>
        <v/>
      </c>
      <c r="IZ32" s="407">
        <f>CashFlow!IZ$7</f>
        <v/>
      </c>
      <c r="JA32" s="407">
        <f>CashFlow!JA$7</f>
        <v/>
      </c>
      <c r="JB32" s="407">
        <f>CashFlow!JB$7</f>
        <v/>
      </c>
      <c r="JC32" s="407">
        <f>CashFlow!JC$7</f>
        <v/>
      </c>
      <c r="JD32" s="407">
        <f>CashFlow!JD$7</f>
        <v/>
      </c>
      <c r="JE32" s="407">
        <f>CashFlow!JE$7</f>
        <v/>
      </c>
      <c r="JF32" s="407">
        <f>CashFlow!JF$7</f>
        <v/>
      </c>
      <c r="JG32" s="407">
        <f>CashFlow!JG$7</f>
        <v/>
      </c>
      <c r="JH32" s="407">
        <f>CashFlow!JH$7</f>
        <v/>
      </c>
      <c r="JI32" s="407">
        <f>CashFlow!JI$7</f>
        <v/>
      </c>
      <c r="JJ32" s="407">
        <f>CashFlow!JJ$7</f>
        <v/>
      </c>
      <c r="JK32" s="407">
        <f>CashFlow!JK$7</f>
        <v/>
      </c>
      <c r="JL32" s="407">
        <f>CashFlow!JL$7</f>
        <v/>
      </c>
      <c r="JM32" s="407">
        <f>CashFlow!JM$7</f>
        <v/>
      </c>
      <c r="JN32" s="407">
        <f>CashFlow!JN$7</f>
        <v/>
      </c>
      <c r="JO32" s="407">
        <f>CashFlow!JO$7</f>
        <v/>
      </c>
      <c r="JP32" s="407">
        <f>CashFlow!JP$7</f>
        <v/>
      </c>
      <c r="JQ32" s="407">
        <f>CashFlow!JQ$7</f>
        <v/>
      </c>
      <c r="JR32" s="407">
        <f>CashFlow!JR$7</f>
        <v/>
      </c>
      <c r="JS32" s="407">
        <f>CashFlow!JS$7</f>
        <v/>
      </c>
      <c r="JT32" s="407">
        <f>CashFlow!JT$7</f>
        <v/>
      </c>
      <c r="JU32" s="407">
        <f>CashFlow!JU$7</f>
        <v/>
      </c>
      <c r="JV32" s="407">
        <f>CashFlow!JV$7</f>
        <v/>
      </c>
      <c r="JW32" s="407">
        <f>CashFlow!JW$7</f>
        <v/>
      </c>
      <c r="JX32" s="407">
        <f>CashFlow!JX$7</f>
        <v/>
      </c>
      <c r="JY32" s="407">
        <f>CashFlow!JY$7</f>
        <v/>
      </c>
      <c r="JZ32" s="407">
        <f>CashFlow!JZ$7</f>
        <v/>
      </c>
      <c r="KA32" s="407">
        <f>CashFlow!KA$7</f>
        <v/>
      </c>
      <c r="KB32" s="407">
        <f>CashFlow!KB$7</f>
        <v/>
      </c>
      <c r="KC32" s="407">
        <f>CashFlow!KC$7</f>
        <v/>
      </c>
      <c r="KD32" s="407">
        <f>CashFlow!KD$7</f>
        <v/>
      </c>
      <c r="KE32" s="407">
        <f>CashFlow!KE$7</f>
        <v/>
      </c>
      <c r="KF32" s="407">
        <f>CashFlow!KF$7</f>
        <v/>
      </c>
      <c r="KG32" s="407">
        <f>CashFlow!KG$7</f>
        <v/>
      </c>
      <c r="KH32" s="407">
        <f>CashFlow!KH$7</f>
        <v/>
      </c>
      <c r="KI32" s="407">
        <f>CashFlow!KI$7</f>
        <v/>
      </c>
      <c r="KJ32" s="407">
        <f>CashFlow!KJ$7</f>
        <v/>
      </c>
      <c r="KK32" s="407">
        <f>CashFlow!KK$7</f>
        <v/>
      </c>
      <c r="KL32" s="407">
        <f>CashFlow!KL$7</f>
        <v/>
      </c>
      <c r="KM32" s="407">
        <f>CashFlow!KM$7</f>
        <v/>
      </c>
      <c r="KN32" s="407">
        <f>CashFlow!KN$7</f>
        <v/>
      </c>
      <c r="KO32" s="407">
        <f>CashFlow!KO$7</f>
        <v/>
      </c>
      <c r="KP32" s="407">
        <f>CashFlow!KP$7</f>
        <v/>
      </c>
      <c r="KQ32" s="407">
        <f>CashFlow!KQ$7</f>
        <v/>
      </c>
      <c r="KR32" s="407">
        <f>CashFlow!KR$7</f>
        <v/>
      </c>
      <c r="KS32" s="407">
        <f>CashFlow!KS$7</f>
        <v/>
      </c>
      <c r="KT32" s="407">
        <f>CashFlow!KT$7</f>
        <v/>
      </c>
      <c r="KU32" s="407">
        <f>CashFlow!KU$7</f>
        <v/>
      </c>
      <c r="KV32" s="407">
        <f>CashFlow!KV$7</f>
        <v/>
      </c>
      <c r="KW32" s="407">
        <f>CashFlow!KW$7</f>
        <v/>
      </c>
      <c r="KX32" s="407">
        <f>CashFlow!KX$7</f>
        <v/>
      </c>
      <c r="KY32" s="407">
        <f>CashFlow!KY$7</f>
        <v/>
      </c>
      <c r="KZ32" s="407">
        <f>CashFlow!KZ$7</f>
        <v/>
      </c>
      <c r="LA32" s="407">
        <f>CashFlow!LA$7</f>
        <v/>
      </c>
      <c r="LB32" s="407">
        <f>CashFlow!LB$7</f>
        <v/>
      </c>
      <c r="LC32" s="407">
        <f>CashFlow!LC$7</f>
        <v/>
      </c>
      <c r="LD32" s="407">
        <f>CashFlow!LD$7</f>
        <v/>
      </c>
      <c r="LE32" s="407">
        <f>CashFlow!LE$7</f>
        <v/>
      </c>
      <c r="LF32" s="407">
        <f>CashFlow!LF$7</f>
        <v/>
      </c>
      <c r="LG32" s="407">
        <f>CashFlow!LG$7</f>
        <v/>
      </c>
      <c r="LH32" s="407">
        <f>CashFlow!LH$7</f>
        <v/>
      </c>
      <c r="LI32" s="407">
        <f>CashFlow!LI$7</f>
        <v/>
      </c>
      <c r="LJ32" s="407">
        <f>CashFlow!LJ$7</f>
        <v/>
      </c>
      <c r="LK32" s="407">
        <f>CashFlow!LK$7</f>
        <v/>
      </c>
      <c r="LL32" s="407">
        <f>CashFlow!LL$7</f>
        <v/>
      </c>
      <c r="LM32" s="407">
        <f>CashFlow!LM$7</f>
        <v/>
      </c>
      <c r="LN32" s="407">
        <f>CashFlow!LN$7</f>
        <v/>
      </c>
      <c r="LO32" s="407">
        <f>CashFlow!LO$7</f>
        <v/>
      </c>
      <c r="LP32" s="407">
        <f>CashFlow!LP$7</f>
        <v/>
      </c>
      <c r="LQ32" s="407">
        <f>CashFlow!LQ$7</f>
        <v/>
      </c>
      <c r="LR32" s="407">
        <f>CashFlow!LR$7</f>
        <v/>
      </c>
      <c r="LS32" s="407">
        <f>CashFlow!LS$7</f>
        <v/>
      </c>
      <c r="LT32" s="407">
        <f>CashFlow!LT$7</f>
        <v/>
      </c>
      <c r="LU32" s="407">
        <f>CashFlow!LU$7</f>
        <v/>
      </c>
      <c r="LV32" s="407">
        <f>CashFlow!LV$7</f>
        <v/>
      </c>
      <c r="LW32" s="407">
        <f>CashFlow!LW$7</f>
        <v/>
      </c>
      <c r="LX32" s="407">
        <f>CashFlow!LX$7</f>
        <v/>
      </c>
      <c r="LY32" s="407">
        <f>CashFlow!LY$7</f>
        <v/>
      </c>
      <c r="LZ32" s="407">
        <f>CashFlow!LZ$7</f>
        <v/>
      </c>
      <c r="MA32" s="407">
        <f>CashFlow!MA$7</f>
        <v/>
      </c>
      <c r="MB32" s="407">
        <f>CashFlow!MB$7</f>
        <v/>
      </c>
      <c r="MC32" s="407">
        <f>CashFlow!MC$7</f>
        <v/>
      </c>
      <c r="MD32" s="407">
        <f>CashFlow!MD$7</f>
        <v/>
      </c>
      <c r="ME32" s="407">
        <f>CashFlow!ME$7</f>
        <v/>
      </c>
      <c r="MF32" s="407">
        <f>CashFlow!MF$7</f>
        <v/>
      </c>
      <c r="MG32" s="407">
        <f>CashFlow!MG$7</f>
        <v/>
      </c>
      <c r="MH32" s="407">
        <f>CashFlow!MH$7</f>
        <v/>
      </c>
      <c r="MI32" s="407">
        <f>CashFlow!MI$7</f>
        <v/>
      </c>
      <c r="MJ32" s="407">
        <f>CashFlow!MJ$7</f>
        <v/>
      </c>
      <c r="MK32" s="407">
        <f>CashFlow!MK$7</f>
        <v/>
      </c>
      <c r="ML32" s="407">
        <f>CashFlow!ML$7</f>
        <v/>
      </c>
      <c r="MM32" s="407">
        <f>CashFlow!MM$7</f>
        <v/>
      </c>
      <c r="MN32" s="407">
        <f>CashFlow!MN$7</f>
        <v/>
      </c>
      <c r="MO32" s="407">
        <f>CashFlow!MO$7</f>
        <v/>
      </c>
      <c r="MP32" s="407">
        <f>CashFlow!MP$7</f>
        <v/>
      </c>
      <c r="MQ32" s="407">
        <f>CashFlow!MQ$7</f>
        <v/>
      </c>
      <c r="MR32" s="407">
        <f>CashFlow!MR$7</f>
        <v/>
      </c>
      <c r="MS32" s="407">
        <f>CashFlow!MS$7</f>
        <v/>
      </c>
      <c r="MT32" s="407">
        <f>CashFlow!MT$7</f>
        <v/>
      </c>
      <c r="MU32" s="407">
        <f>CashFlow!MU$7</f>
        <v/>
      </c>
      <c r="MV32" s="407">
        <f>CashFlow!MV$7</f>
        <v/>
      </c>
      <c r="MW32" s="407">
        <f>CashFlow!MW$7</f>
        <v/>
      </c>
      <c r="MX32" s="407">
        <f>CashFlow!MX$7</f>
        <v/>
      </c>
      <c r="MY32" s="407">
        <f>CashFlow!MY$7</f>
        <v/>
      </c>
      <c r="MZ32" s="407">
        <f>CashFlow!MZ$7</f>
        <v/>
      </c>
      <c r="NA32" s="407">
        <f>CashFlow!NA$7</f>
        <v/>
      </c>
      <c r="NB32" s="407">
        <f>CashFlow!NB$7</f>
        <v/>
      </c>
      <c r="NC32" s="407">
        <f>CashFlow!NC$7</f>
        <v/>
      </c>
      <c r="ND32" s="407">
        <f>CashFlow!ND$7</f>
        <v/>
      </c>
      <c r="NE32" s="407">
        <f>CashFlow!NE$7</f>
        <v/>
      </c>
      <c r="NF32" s="407">
        <f>CashFlow!NF$7</f>
        <v/>
      </c>
      <c r="NG32" s="407">
        <f>CashFlow!NG$7</f>
        <v/>
      </c>
      <c r="NH32" s="407">
        <f>CashFlow!NH$7</f>
        <v/>
      </c>
      <c r="NI32" s="407">
        <f>CashFlow!NI$7</f>
        <v/>
      </c>
      <c r="NJ32" s="407">
        <f>CashFlow!NJ$7</f>
        <v/>
      </c>
      <c r="NK32" s="407">
        <f>CashFlow!NK$7</f>
        <v/>
      </c>
      <c r="NL32" s="407">
        <f>CashFlow!NL$7</f>
        <v/>
      </c>
    </row>
    <row r="33">
      <c r="B33" s="330" t="inlineStr">
        <is>
          <t>Levered Cash Flow to Equity</t>
        </is>
      </c>
      <c r="D33" s="403">
        <f>SUM(E33:NL33)</f>
        <v/>
      </c>
      <c r="E33" s="407">
        <f>CashFlow!E$6</f>
        <v/>
      </c>
      <c r="F33" s="407">
        <f>CashFlow!F$6</f>
        <v/>
      </c>
      <c r="G33" s="407">
        <f>CashFlow!G$6</f>
        <v/>
      </c>
      <c r="H33" s="407">
        <f>CashFlow!H$6</f>
        <v/>
      </c>
      <c r="I33" s="407">
        <f>CashFlow!I$6</f>
        <v/>
      </c>
      <c r="J33" s="407">
        <f>CashFlow!J$6</f>
        <v/>
      </c>
      <c r="K33" s="407">
        <f>CashFlow!K$6</f>
        <v/>
      </c>
      <c r="L33" s="407">
        <f>CashFlow!L$6</f>
        <v/>
      </c>
      <c r="M33" s="407">
        <f>CashFlow!M$6</f>
        <v/>
      </c>
      <c r="N33" s="407">
        <f>CashFlow!N$6</f>
        <v/>
      </c>
      <c r="O33" s="407">
        <f>CashFlow!O$6</f>
        <v/>
      </c>
      <c r="P33" s="407">
        <f>CashFlow!P$6</f>
        <v/>
      </c>
      <c r="Q33" s="407">
        <f>CashFlow!Q$6</f>
        <v/>
      </c>
      <c r="R33" s="407">
        <f>CashFlow!R$6</f>
        <v/>
      </c>
      <c r="S33" s="407">
        <f>CashFlow!S$6</f>
        <v/>
      </c>
      <c r="T33" s="407">
        <f>CashFlow!T$6</f>
        <v/>
      </c>
      <c r="U33" s="407">
        <f>CashFlow!U$6</f>
        <v/>
      </c>
      <c r="V33" s="407">
        <f>CashFlow!V$6</f>
        <v/>
      </c>
      <c r="W33" s="407">
        <f>CashFlow!W$6</f>
        <v/>
      </c>
      <c r="X33" s="407">
        <f>CashFlow!X$6</f>
        <v/>
      </c>
      <c r="Y33" s="407">
        <f>CashFlow!Y$6</f>
        <v/>
      </c>
      <c r="Z33" s="407">
        <f>CashFlow!Z$6</f>
        <v/>
      </c>
      <c r="AA33" s="407">
        <f>CashFlow!AA$6</f>
        <v/>
      </c>
      <c r="AB33" s="407">
        <f>CashFlow!AB$6</f>
        <v/>
      </c>
      <c r="AC33" s="407">
        <f>CashFlow!AC$6</f>
        <v/>
      </c>
      <c r="AD33" s="407">
        <f>CashFlow!AD$6</f>
        <v/>
      </c>
      <c r="AE33" s="407">
        <f>CashFlow!AE$6</f>
        <v/>
      </c>
      <c r="AF33" s="407">
        <f>CashFlow!AF$6</f>
        <v/>
      </c>
      <c r="AG33" s="407">
        <f>CashFlow!AG$6</f>
        <v/>
      </c>
      <c r="AH33" s="407">
        <f>CashFlow!AH$6</f>
        <v/>
      </c>
      <c r="AI33" s="407">
        <f>CashFlow!AI$6</f>
        <v/>
      </c>
      <c r="AJ33" s="407">
        <f>CashFlow!AJ$6</f>
        <v/>
      </c>
      <c r="AK33" s="407">
        <f>CashFlow!AK$6</f>
        <v/>
      </c>
      <c r="AL33" s="407">
        <f>CashFlow!AL$6</f>
        <v/>
      </c>
      <c r="AM33" s="407">
        <f>CashFlow!AM$6</f>
        <v/>
      </c>
      <c r="AN33" s="407">
        <f>CashFlow!AN$6</f>
        <v/>
      </c>
      <c r="AO33" s="407">
        <f>CashFlow!AO$6</f>
        <v/>
      </c>
      <c r="AP33" s="407">
        <f>CashFlow!AP$6</f>
        <v/>
      </c>
      <c r="AQ33" s="407">
        <f>CashFlow!AQ$6</f>
        <v/>
      </c>
      <c r="AR33" s="407">
        <f>CashFlow!AR$6</f>
        <v/>
      </c>
      <c r="AS33" s="407">
        <f>CashFlow!AS$6</f>
        <v/>
      </c>
      <c r="AT33" s="407">
        <f>CashFlow!AT$6</f>
        <v/>
      </c>
      <c r="AU33" s="407">
        <f>CashFlow!AU$6</f>
        <v/>
      </c>
      <c r="AV33" s="407">
        <f>CashFlow!AV$6</f>
        <v/>
      </c>
      <c r="AW33" s="407">
        <f>CashFlow!AW$6</f>
        <v/>
      </c>
      <c r="AX33" s="407">
        <f>CashFlow!AX$6</f>
        <v/>
      </c>
      <c r="AY33" s="407">
        <f>CashFlow!AY$6</f>
        <v/>
      </c>
      <c r="AZ33" s="407">
        <f>CashFlow!AZ$6</f>
        <v/>
      </c>
      <c r="BA33" s="407">
        <f>CashFlow!BA$6</f>
        <v/>
      </c>
      <c r="BB33" s="407">
        <f>CashFlow!BB$6</f>
        <v/>
      </c>
      <c r="BC33" s="407">
        <f>CashFlow!BC$6</f>
        <v/>
      </c>
      <c r="BD33" s="407">
        <f>CashFlow!BD$6</f>
        <v/>
      </c>
      <c r="BE33" s="407">
        <f>CashFlow!BE$6</f>
        <v/>
      </c>
      <c r="BF33" s="407">
        <f>CashFlow!BF$6</f>
        <v/>
      </c>
      <c r="BG33" s="407">
        <f>CashFlow!BG$6</f>
        <v/>
      </c>
      <c r="BH33" s="407">
        <f>CashFlow!BH$6</f>
        <v/>
      </c>
      <c r="BI33" s="407">
        <f>CashFlow!BI$6</f>
        <v/>
      </c>
      <c r="BJ33" s="407">
        <f>CashFlow!BJ$6</f>
        <v/>
      </c>
      <c r="BK33" s="407">
        <f>CashFlow!BK$6</f>
        <v/>
      </c>
      <c r="BL33" s="407">
        <f>CashFlow!BL$6</f>
        <v/>
      </c>
      <c r="BM33" s="407">
        <f>CashFlow!BM$6</f>
        <v/>
      </c>
      <c r="BN33" s="407">
        <f>CashFlow!BN$6</f>
        <v/>
      </c>
      <c r="BO33" s="407">
        <f>CashFlow!BO$6</f>
        <v/>
      </c>
      <c r="BP33" s="407">
        <f>CashFlow!BP$6</f>
        <v/>
      </c>
      <c r="BQ33" s="407">
        <f>CashFlow!BQ$6</f>
        <v/>
      </c>
      <c r="BR33" s="407">
        <f>CashFlow!BR$6</f>
        <v/>
      </c>
      <c r="BS33" s="407">
        <f>CashFlow!BS$6</f>
        <v/>
      </c>
      <c r="BT33" s="407">
        <f>CashFlow!BT$6</f>
        <v/>
      </c>
      <c r="BU33" s="407">
        <f>CashFlow!BU$6</f>
        <v/>
      </c>
      <c r="BV33" s="407">
        <f>CashFlow!BV$6</f>
        <v/>
      </c>
      <c r="BW33" s="407">
        <f>CashFlow!BW$6</f>
        <v/>
      </c>
      <c r="BX33" s="407">
        <f>CashFlow!BX$6</f>
        <v/>
      </c>
      <c r="BY33" s="407">
        <f>CashFlow!BY$6</f>
        <v/>
      </c>
      <c r="BZ33" s="407">
        <f>CashFlow!BZ$6</f>
        <v/>
      </c>
      <c r="CA33" s="407">
        <f>CashFlow!CA$6</f>
        <v/>
      </c>
      <c r="CB33" s="407">
        <f>CashFlow!CB$6</f>
        <v/>
      </c>
      <c r="CC33" s="407">
        <f>CashFlow!CC$6</f>
        <v/>
      </c>
      <c r="CD33" s="407">
        <f>CashFlow!CD$6</f>
        <v/>
      </c>
      <c r="CE33" s="407">
        <f>CashFlow!CE$6</f>
        <v/>
      </c>
      <c r="CF33" s="407">
        <f>CashFlow!CF$6</f>
        <v/>
      </c>
      <c r="CG33" s="407">
        <f>CashFlow!CG$6</f>
        <v/>
      </c>
      <c r="CH33" s="407">
        <f>CashFlow!CH$6</f>
        <v/>
      </c>
      <c r="CI33" s="407">
        <f>CashFlow!CI$6</f>
        <v/>
      </c>
      <c r="CJ33" s="407">
        <f>CashFlow!CJ$6</f>
        <v/>
      </c>
      <c r="CK33" s="407">
        <f>CashFlow!CK$6</f>
        <v/>
      </c>
      <c r="CL33" s="407">
        <f>CashFlow!CL$6</f>
        <v/>
      </c>
      <c r="CM33" s="407">
        <f>CashFlow!CM$6</f>
        <v/>
      </c>
      <c r="CN33" s="407">
        <f>CashFlow!CN$6</f>
        <v/>
      </c>
      <c r="CO33" s="407">
        <f>CashFlow!CO$6</f>
        <v/>
      </c>
      <c r="CP33" s="407">
        <f>CashFlow!CP$6</f>
        <v/>
      </c>
      <c r="CQ33" s="407">
        <f>CashFlow!CQ$6</f>
        <v/>
      </c>
      <c r="CR33" s="407">
        <f>CashFlow!CR$6</f>
        <v/>
      </c>
      <c r="CS33" s="407">
        <f>CashFlow!CS$6</f>
        <v/>
      </c>
      <c r="CT33" s="407">
        <f>CashFlow!CT$6</f>
        <v/>
      </c>
      <c r="CU33" s="407">
        <f>CashFlow!CU$6</f>
        <v/>
      </c>
      <c r="CV33" s="407">
        <f>CashFlow!CV$6</f>
        <v/>
      </c>
      <c r="CW33" s="407">
        <f>CashFlow!CW$6</f>
        <v/>
      </c>
      <c r="CX33" s="407">
        <f>CashFlow!CX$6</f>
        <v/>
      </c>
      <c r="CY33" s="407">
        <f>CashFlow!CY$6</f>
        <v/>
      </c>
      <c r="CZ33" s="407">
        <f>CashFlow!CZ$6</f>
        <v/>
      </c>
      <c r="DA33" s="407">
        <f>CashFlow!DA$6</f>
        <v/>
      </c>
      <c r="DB33" s="407">
        <f>CashFlow!DB$6</f>
        <v/>
      </c>
      <c r="DC33" s="407">
        <f>CashFlow!DC$6</f>
        <v/>
      </c>
      <c r="DD33" s="407">
        <f>CashFlow!DD$6</f>
        <v/>
      </c>
      <c r="DE33" s="407">
        <f>CashFlow!DE$6</f>
        <v/>
      </c>
      <c r="DF33" s="407">
        <f>CashFlow!DF$6</f>
        <v/>
      </c>
      <c r="DG33" s="407">
        <f>CashFlow!DG$6</f>
        <v/>
      </c>
      <c r="DH33" s="407">
        <f>CashFlow!DH$6</f>
        <v/>
      </c>
      <c r="DI33" s="407">
        <f>CashFlow!DI$6</f>
        <v/>
      </c>
      <c r="DJ33" s="407">
        <f>CashFlow!DJ$6</f>
        <v/>
      </c>
      <c r="DK33" s="407">
        <f>CashFlow!DK$6</f>
        <v/>
      </c>
      <c r="DL33" s="407">
        <f>CashFlow!DL$6</f>
        <v/>
      </c>
      <c r="DM33" s="407">
        <f>CashFlow!DM$6</f>
        <v/>
      </c>
      <c r="DN33" s="407">
        <f>CashFlow!DN$6</f>
        <v/>
      </c>
      <c r="DO33" s="407">
        <f>CashFlow!DO$6</f>
        <v/>
      </c>
      <c r="DP33" s="407">
        <f>CashFlow!DP$6</f>
        <v/>
      </c>
      <c r="DQ33" s="407">
        <f>CashFlow!DQ$6</f>
        <v/>
      </c>
      <c r="DR33" s="407">
        <f>CashFlow!DR$6</f>
        <v/>
      </c>
      <c r="DS33" s="407">
        <f>CashFlow!DS$6</f>
        <v/>
      </c>
      <c r="DT33" s="407">
        <f>CashFlow!DT$6</f>
        <v/>
      </c>
      <c r="DU33" s="407">
        <f>CashFlow!DU$6</f>
        <v/>
      </c>
      <c r="DV33" s="407">
        <f>CashFlow!DV$6</f>
        <v/>
      </c>
      <c r="DW33" s="407">
        <f>CashFlow!DW$6</f>
        <v/>
      </c>
      <c r="DX33" s="407">
        <f>CashFlow!DX$6</f>
        <v/>
      </c>
      <c r="DY33" s="407">
        <f>CashFlow!DY$6</f>
        <v/>
      </c>
      <c r="DZ33" s="407">
        <f>CashFlow!DZ$6</f>
        <v/>
      </c>
      <c r="EA33" s="407">
        <f>CashFlow!EA$6</f>
        <v/>
      </c>
      <c r="EB33" s="407">
        <f>CashFlow!EB$6</f>
        <v/>
      </c>
      <c r="EC33" s="407">
        <f>CashFlow!EC$6</f>
        <v/>
      </c>
      <c r="ED33" s="407">
        <f>CashFlow!ED$6</f>
        <v/>
      </c>
      <c r="EE33" s="407">
        <f>CashFlow!EE$6</f>
        <v/>
      </c>
      <c r="EF33" s="407">
        <f>CashFlow!EF$6</f>
        <v/>
      </c>
      <c r="EG33" s="407">
        <f>CashFlow!EG$6</f>
        <v/>
      </c>
      <c r="EH33" s="407">
        <f>CashFlow!EH$6</f>
        <v/>
      </c>
      <c r="EI33" s="407">
        <f>CashFlow!EI$6</f>
        <v/>
      </c>
      <c r="EJ33" s="407">
        <f>CashFlow!EJ$6</f>
        <v/>
      </c>
      <c r="EK33" s="407">
        <f>CashFlow!EK$6</f>
        <v/>
      </c>
      <c r="EL33" s="407">
        <f>CashFlow!EL$6</f>
        <v/>
      </c>
      <c r="EM33" s="407">
        <f>CashFlow!EM$6</f>
        <v/>
      </c>
      <c r="EN33" s="407">
        <f>CashFlow!EN$6</f>
        <v/>
      </c>
      <c r="EO33" s="407">
        <f>CashFlow!EO$6</f>
        <v/>
      </c>
      <c r="EP33" s="407">
        <f>CashFlow!EP$6</f>
        <v/>
      </c>
      <c r="EQ33" s="407">
        <f>CashFlow!EQ$6</f>
        <v/>
      </c>
      <c r="ER33" s="407">
        <f>CashFlow!ER$6</f>
        <v/>
      </c>
      <c r="ES33" s="407">
        <f>CashFlow!ES$6</f>
        <v/>
      </c>
      <c r="ET33" s="407">
        <f>CashFlow!ET$6</f>
        <v/>
      </c>
      <c r="EU33" s="407">
        <f>CashFlow!EU$6</f>
        <v/>
      </c>
      <c r="EV33" s="407">
        <f>CashFlow!EV$6</f>
        <v/>
      </c>
      <c r="EW33" s="407">
        <f>CashFlow!EW$6</f>
        <v/>
      </c>
      <c r="EX33" s="407">
        <f>CashFlow!EX$6</f>
        <v/>
      </c>
      <c r="EY33" s="407">
        <f>CashFlow!EY$6</f>
        <v/>
      </c>
      <c r="EZ33" s="407">
        <f>CashFlow!EZ$6</f>
        <v/>
      </c>
      <c r="FA33" s="407">
        <f>CashFlow!FA$6</f>
        <v/>
      </c>
      <c r="FB33" s="407">
        <f>CashFlow!FB$6</f>
        <v/>
      </c>
      <c r="FC33" s="407">
        <f>CashFlow!FC$6</f>
        <v/>
      </c>
      <c r="FD33" s="407">
        <f>CashFlow!FD$6</f>
        <v/>
      </c>
      <c r="FE33" s="407">
        <f>CashFlow!FE$6</f>
        <v/>
      </c>
      <c r="FF33" s="407">
        <f>CashFlow!FF$6</f>
        <v/>
      </c>
      <c r="FG33" s="407">
        <f>CashFlow!FG$6</f>
        <v/>
      </c>
      <c r="FH33" s="407">
        <f>CashFlow!FH$6</f>
        <v/>
      </c>
      <c r="FI33" s="407">
        <f>CashFlow!FI$6</f>
        <v/>
      </c>
      <c r="FJ33" s="407">
        <f>CashFlow!FJ$6</f>
        <v/>
      </c>
      <c r="FK33" s="407">
        <f>CashFlow!FK$6</f>
        <v/>
      </c>
      <c r="FL33" s="407">
        <f>CashFlow!FL$6</f>
        <v/>
      </c>
      <c r="FM33" s="407">
        <f>CashFlow!FM$6</f>
        <v/>
      </c>
      <c r="FN33" s="407">
        <f>CashFlow!FN$6</f>
        <v/>
      </c>
      <c r="FO33" s="407">
        <f>CashFlow!FO$6</f>
        <v/>
      </c>
      <c r="FP33" s="407">
        <f>CashFlow!FP$6</f>
        <v/>
      </c>
      <c r="FQ33" s="407">
        <f>CashFlow!FQ$6</f>
        <v/>
      </c>
      <c r="FR33" s="407">
        <f>CashFlow!FR$6</f>
        <v/>
      </c>
      <c r="FS33" s="407">
        <f>CashFlow!FS$6</f>
        <v/>
      </c>
      <c r="FT33" s="407">
        <f>CashFlow!FT$6</f>
        <v/>
      </c>
      <c r="FU33" s="407">
        <f>CashFlow!FU$6</f>
        <v/>
      </c>
      <c r="FV33" s="407">
        <f>CashFlow!FV$6</f>
        <v/>
      </c>
      <c r="FW33" s="407">
        <f>CashFlow!FW$6</f>
        <v/>
      </c>
      <c r="FX33" s="407">
        <f>CashFlow!FX$6</f>
        <v/>
      </c>
      <c r="FY33" s="407">
        <f>CashFlow!FY$6</f>
        <v/>
      </c>
      <c r="FZ33" s="407">
        <f>CashFlow!FZ$6</f>
        <v/>
      </c>
      <c r="GA33" s="407">
        <f>CashFlow!GA$6</f>
        <v/>
      </c>
      <c r="GB33" s="407">
        <f>CashFlow!GB$6</f>
        <v/>
      </c>
      <c r="GC33" s="407">
        <f>CashFlow!GC$6</f>
        <v/>
      </c>
      <c r="GD33" s="407">
        <f>CashFlow!GD$6</f>
        <v/>
      </c>
      <c r="GE33" s="407">
        <f>CashFlow!GE$6</f>
        <v/>
      </c>
      <c r="GF33" s="407">
        <f>CashFlow!GF$6</f>
        <v/>
      </c>
      <c r="GG33" s="407">
        <f>CashFlow!GG$6</f>
        <v/>
      </c>
      <c r="GH33" s="407">
        <f>CashFlow!GH$6</f>
        <v/>
      </c>
      <c r="GI33" s="407">
        <f>CashFlow!GI$6</f>
        <v/>
      </c>
      <c r="GJ33" s="407">
        <f>CashFlow!GJ$6</f>
        <v/>
      </c>
      <c r="GK33" s="407">
        <f>CashFlow!GK$6</f>
        <v/>
      </c>
      <c r="GL33" s="407">
        <f>CashFlow!GL$6</f>
        <v/>
      </c>
      <c r="GM33" s="407">
        <f>CashFlow!GM$6</f>
        <v/>
      </c>
      <c r="GN33" s="407">
        <f>CashFlow!GN$6</f>
        <v/>
      </c>
      <c r="GO33" s="407">
        <f>CashFlow!GO$6</f>
        <v/>
      </c>
      <c r="GP33" s="407">
        <f>CashFlow!GP$6</f>
        <v/>
      </c>
      <c r="GQ33" s="407">
        <f>CashFlow!GQ$6</f>
        <v/>
      </c>
      <c r="GR33" s="407">
        <f>CashFlow!GR$6</f>
        <v/>
      </c>
      <c r="GS33" s="407">
        <f>CashFlow!GS$6</f>
        <v/>
      </c>
      <c r="GT33" s="407">
        <f>CashFlow!GT$6</f>
        <v/>
      </c>
      <c r="GU33" s="407">
        <f>CashFlow!GU$6</f>
        <v/>
      </c>
      <c r="GV33" s="407">
        <f>CashFlow!GV$6</f>
        <v/>
      </c>
      <c r="GW33" s="407">
        <f>CashFlow!GW$6</f>
        <v/>
      </c>
      <c r="GX33" s="407">
        <f>CashFlow!GX$6</f>
        <v/>
      </c>
      <c r="GY33" s="407">
        <f>CashFlow!GY$6</f>
        <v/>
      </c>
      <c r="GZ33" s="407">
        <f>CashFlow!GZ$6</f>
        <v/>
      </c>
      <c r="HA33" s="407">
        <f>CashFlow!HA$6</f>
        <v/>
      </c>
      <c r="HB33" s="407">
        <f>CashFlow!HB$6</f>
        <v/>
      </c>
      <c r="HC33" s="407">
        <f>CashFlow!HC$6</f>
        <v/>
      </c>
      <c r="HD33" s="407">
        <f>CashFlow!HD$6</f>
        <v/>
      </c>
      <c r="HE33" s="407">
        <f>CashFlow!HE$6</f>
        <v/>
      </c>
      <c r="HF33" s="407">
        <f>CashFlow!HF$6</f>
        <v/>
      </c>
      <c r="HG33" s="407">
        <f>CashFlow!HG$6</f>
        <v/>
      </c>
      <c r="HH33" s="407">
        <f>CashFlow!HH$6</f>
        <v/>
      </c>
      <c r="HI33" s="407">
        <f>CashFlow!HI$6</f>
        <v/>
      </c>
      <c r="HJ33" s="407">
        <f>CashFlow!HJ$6</f>
        <v/>
      </c>
      <c r="HK33" s="407">
        <f>CashFlow!HK$6</f>
        <v/>
      </c>
      <c r="HL33" s="407">
        <f>CashFlow!HL$6</f>
        <v/>
      </c>
      <c r="HM33" s="407">
        <f>CashFlow!HM$6</f>
        <v/>
      </c>
      <c r="HN33" s="407">
        <f>CashFlow!HN$6</f>
        <v/>
      </c>
      <c r="HO33" s="407">
        <f>CashFlow!HO$6</f>
        <v/>
      </c>
      <c r="HP33" s="407">
        <f>CashFlow!HP$6</f>
        <v/>
      </c>
      <c r="HQ33" s="407">
        <f>CashFlow!HQ$6</f>
        <v/>
      </c>
      <c r="HR33" s="407">
        <f>CashFlow!HR$6</f>
        <v/>
      </c>
      <c r="HS33" s="407">
        <f>CashFlow!HS$6</f>
        <v/>
      </c>
      <c r="HT33" s="407">
        <f>CashFlow!HT$6</f>
        <v/>
      </c>
      <c r="HU33" s="407">
        <f>CashFlow!HU$6</f>
        <v/>
      </c>
      <c r="HV33" s="407">
        <f>CashFlow!HV$6</f>
        <v/>
      </c>
      <c r="HW33" s="407">
        <f>CashFlow!HW$6</f>
        <v/>
      </c>
      <c r="HX33" s="407">
        <f>CashFlow!HX$6</f>
        <v/>
      </c>
      <c r="HY33" s="407">
        <f>CashFlow!HY$6</f>
        <v/>
      </c>
      <c r="HZ33" s="407">
        <f>CashFlow!HZ$6</f>
        <v/>
      </c>
      <c r="IA33" s="407">
        <f>CashFlow!IA$6</f>
        <v/>
      </c>
      <c r="IB33" s="407">
        <f>CashFlow!IB$6</f>
        <v/>
      </c>
      <c r="IC33" s="407">
        <f>CashFlow!IC$6</f>
        <v/>
      </c>
      <c r="ID33" s="407">
        <f>CashFlow!ID$6</f>
        <v/>
      </c>
      <c r="IE33" s="407">
        <f>CashFlow!IE$6</f>
        <v/>
      </c>
      <c r="IF33" s="407">
        <f>CashFlow!IF$6</f>
        <v/>
      </c>
      <c r="IG33" s="407">
        <f>CashFlow!IG$6</f>
        <v/>
      </c>
      <c r="IH33" s="407">
        <f>CashFlow!IH$6</f>
        <v/>
      </c>
      <c r="II33" s="407">
        <f>CashFlow!II$6</f>
        <v/>
      </c>
      <c r="IJ33" s="407">
        <f>CashFlow!IJ$6</f>
        <v/>
      </c>
      <c r="IK33" s="407">
        <f>CashFlow!IK$6</f>
        <v/>
      </c>
      <c r="IL33" s="407">
        <f>CashFlow!IL$6</f>
        <v/>
      </c>
      <c r="IM33" s="407">
        <f>CashFlow!IM$6</f>
        <v/>
      </c>
      <c r="IN33" s="407">
        <f>CashFlow!IN$6</f>
        <v/>
      </c>
      <c r="IO33" s="407">
        <f>CashFlow!IO$6</f>
        <v/>
      </c>
      <c r="IP33" s="407">
        <f>CashFlow!IP$6</f>
        <v/>
      </c>
      <c r="IQ33" s="407">
        <f>CashFlow!IQ$6</f>
        <v/>
      </c>
      <c r="IR33" s="407">
        <f>CashFlow!IR$6</f>
        <v/>
      </c>
      <c r="IS33" s="407">
        <f>CashFlow!IS$6</f>
        <v/>
      </c>
      <c r="IT33" s="407">
        <f>CashFlow!IT$6</f>
        <v/>
      </c>
      <c r="IU33" s="407">
        <f>CashFlow!IU$6</f>
        <v/>
      </c>
      <c r="IV33" s="407">
        <f>CashFlow!IV$6</f>
        <v/>
      </c>
      <c r="IW33" s="407">
        <f>CashFlow!IW$6</f>
        <v/>
      </c>
      <c r="IX33" s="407">
        <f>CashFlow!IX$6</f>
        <v/>
      </c>
      <c r="IY33" s="407">
        <f>CashFlow!IY$6</f>
        <v/>
      </c>
      <c r="IZ33" s="407">
        <f>CashFlow!IZ$6</f>
        <v/>
      </c>
      <c r="JA33" s="407">
        <f>CashFlow!JA$6</f>
        <v/>
      </c>
      <c r="JB33" s="407">
        <f>CashFlow!JB$6</f>
        <v/>
      </c>
      <c r="JC33" s="407">
        <f>CashFlow!JC$6</f>
        <v/>
      </c>
      <c r="JD33" s="407">
        <f>CashFlow!JD$6</f>
        <v/>
      </c>
      <c r="JE33" s="407">
        <f>CashFlow!JE$6</f>
        <v/>
      </c>
      <c r="JF33" s="407">
        <f>CashFlow!JF$6</f>
        <v/>
      </c>
      <c r="JG33" s="407">
        <f>CashFlow!JG$6</f>
        <v/>
      </c>
      <c r="JH33" s="407">
        <f>CashFlow!JH$6</f>
        <v/>
      </c>
      <c r="JI33" s="407">
        <f>CashFlow!JI$6</f>
        <v/>
      </c>
      <c r="JJ33" s="407">
        <f>CashFlow!JJ$6</f>
        <v/>
      </c>
      <c r="JK33" s="407">
        <f>CashFlow!JK$6</f>
        <v/>
      </c>
      <c r="JL33" s="407">
        <f>CashFlow!JL$6</f>
        <v/>
      </c>
      <c r="JM33" s="407">
        <f>CashFlow!JM$6</f>
        <v/>
      </c>
      <c r="JN33" s="407">
        <f>CashFlow!JN$6</f>
        <v/>
      </c>
      <c r="JO33" s="407">
        <f>CashFlow!JO$6</f>
        <v/>
      </c>
      <c r="JP33" s="407">
        <f>CashFlow!JP$6</f>
        <v/>
      </c>
      <c r="JQ33" s="407">
        <f>CashFlow!JQ$6</f>
        <v/>
      </c>
      <c r="JR33" s="407">
        <f>CashFlow!JR$6</f>
        <v/>
      </c>
      <c r="JS33" s="407">
        <f>CashFlow!JS$6</f>
        <v/>
      </c>
      <c r="JT33" s="407">
        <f>CashFlow!JT$6</f>
        <v/>
      </c>
      <c r="JU33" s="407">
        <f>CashFlow!JU$6</f>
        <v/>
      </c>
      <c r="JV33" s="407">
        <f>CashFlow!JV$6</f>
        <v/>
      </c>
      <c r="JW33" s="407">
        <f>CashFlow!JW$6</f>
        <v/>
      </c>
      <c r="JX33" s="407">
        <f>CashFlow!JX$6</f>
        <v/>
      </c>
      <c r="JY33" s="407">
        <f>CashFlow!JY$6</f>
        <v/>
      </c>
      <c r="JZ33" s="407">
        <f>CashFlow!JZ$6</f>
        <v/>
      </c>
      <c r="KA33" s="407">
        <f>CashFlow!KA$6</f>
        <v/>
      </c>
      <c r="KB33" s="407">
        <f>CashFlow!KB$6</f>
        <v/>
      </c>
      <c r="KC33" s="407">
        <f>CashFlow!KC$6</f>
        <v/>
      </c>
      <c r="KD33" s="407">
        <f>CashFlow!KD$6</f>
        <v/>
      </c>
      <c r="KE33" s="407">
        <f>CashFlow!KE$6</f>
        <v/>
      </c>
      <c r="KF33" s="407">
        <f>CashFlow!KF$6</f>
        <v/>
      </c>
      <c r="KG33" s="407">
        <f>CashFlow!KG$6</f>
        <v/>
      </c>
      <c r="KH33" s="407">
        <f>CashFlow!KH$6</f>
        <v/>
      </c>
      <c r="KI33" s="407">
        <f>CashFlow!KI$6</f>
        <v/>
      </c>
      <c r="KJ33" s="407">
        <f>CashFlow!KJ$6</f>
        <v/>
      </c>
      <c r="KK33" s="407">
        <f>CashFlow!KK$6</f>
        <v/>
      </c>
      <c r="KL33" s="407">
        <f>CashFlow!KL$6</f>
        <v/>
      </c>
      <c r="KM33" s="407">
        <f>CashFlow!KM$6</f>
        <v/>
      </c>
      <c r="KN33" s="407">
        <f>CashFlow!KN$6</f>
        <v/>
      </c>
      <c r="KO33" s="407">
        <f>CashFlow!KO$6</f>
        <v/>
      </c>
      <c r="KP33" s="407">
        <f>CashFlow!KP$6</f>
        <v/>
      </c>
      <c r="KQ33" s="407">
        <f>CashFlow!KQ$6</f>
        <v/>
      </c>
      <c r="KR33" s="407">
        <f>CashFlow!KR$6</f>
        <v/>
      </c>
      <c r="KS33" s="407">
        <f>CashFlow!KS$6</f>
        <v/>
      </c>
      <c r="KT33" s="407">
        <f>CashFlow!KT$6</f>
        <v/>
      </c>
      <c r="KU33" s="407">
        <f>CashFlow!KU$6</f>
        <v/>
      </c>
      <c r="KV33" s="407">
        <f>CashFlow!KV$6</f>
        <v/>
      </c>
      <c r="KW33" s="407">
        <f>CashFlow!KW$6</f>
        <v/>
      </c>
      <c r="KX33" s="407">
        <f>CashFlow!KX$6</f>
        <v/>
      </c>
      <c r="KY33" s="407">
        <f>CashFlow!KY$6</f>
        <v/>
      </c>
      <c r="KZ33" s="407">
        <f>CashFlow!KZ$6</f>
        <v/>
      </c>
      <c r="LA33" s="407">
        <f>CashFlow!LA$6</f>
        <v/>
      </c>
      <c r="LB33" s="407">
        <f>CashFlow!LB$6</f>
        <v/>
      </c>
      <c r="LC33" s="407">
        <f>CashFlow!LC$6</f>
        <v/>
      </c>
      <c r="LD33" s="407">
        <f>CashFlow!LD$6</f>
        <v/>
      </c>
      <c r="LE33" s="407">
        <f>CashFlow!LE$6</f>
        <v/>
      </c>
      <c r="LF33" s="407">
        <f>CashFlow!LF$6</f>
        <v/>
      </c>
      <c r="LG33" s="407">
        <f>CashFlow!LG$6</f>
        <v/>
      </c>
      <c r="LH33" s="407">
        <f>CashFlow!LH$6</f>
        <v/>
      </c>
      <c r="LI33" s="407">
        <f>CashFlow!LI$6</f>
        <v/>
      </c>
      <c r="LJ33" s="407">
        <f>CashFlow!LJ$6</f>
        <v/>
      </c>
      <c r="LK33" s="407">
        <f>CashFlow!LK$6</f>
        <v/>
      </c>
      <c r="LL33" s="407">
        <f>CashFlow!LL$6</f>
        <v/>
      </c>
      <c r="LM33" s="407">
        <f>CashFlow!LM$6</f>
        <v/>
      </c>
      <c r="LN33" s="407">
        <f>CashFlow!LN$6</f>
        <v/>
      </c>
      <c r="LO33" s="407">
        <f>CashFlow!LO$6</f>
        <v/>
      </c>
      <c r="LP33" s="407">
        <f>CashFlow!LP$6</f>
        <v/>
      </c>
      <c r="LQ33" s="407">
        <f>CashFlow!LQ$6</f>
        <v/>
      </c>
      <c r="LR33" s="407">
        <f>CashFlow!LR$6</f>
        <v/>
      </c>
      <c r="LS33" s="407">
        <f>CashFlow!LS$6</f>
        <v/>
      </c>
      <c r="LT33" s="407">
        <f>CashFlow!LT$6</f>
        <v/>
      </c>
      <c r="LU33" s="407">
        <f>CashFlow!LU$6</f>
        <v/>
      </c>
      <c r="LV33" s="407">
        <f>CashFlow!LV$6</f>
        <v/>
      </c>
      <c r="LW33" s="407">
        <f>CashFlow!LW$6</f>
        <v/>
      </c>
      <c r="LX33" s="407">
        <f>CashFlow!LX$6</f>
        <v/>
      </c>
      <c r="LY33" s="407">
        <f>CashFlow!LY$6</f>
        <v/>
      </c>
      <c r="LZ33" s="407">
        <f>CashFlow!LZ$6</f>
        <v/>
      </c>
      <c r="MA33" s="407">
        <f>CashFlow!MA$6</f>
        <v/>
      </c>
      <c r="MB33" s="407">
        <f>CashFlow!MB$6</f>
        <v/>
      </c>
      <c r="MC33" s="407">
        <f>CashFlow!MC$6</f>
        <v/>
      </c>
      <c r="MD33" s="407">
        <f>CashFlow!MD$6</f>
        <v/>
      </c>
      <c r="ME33" s="407">
        <f>CashFlow!ME$6</f>
        <v/>
      </c>
      <c r="MF33" s="407">
        <f>CashFlow!MF$6</f>
        <v/>
      </c>
      <c r="MG33" s="407">
        <f>CashFlow!MG$6</f>
        <v/>
      </c>
      <c r="MH33" s="407">
        <f>CashFlow!MH$6</f>
        <v/>
      </c>
      <c r="MI33" s="407">
        <f>CashFlow!MI$6</f>
        <v/>
      </c>
      <c r="MJ33" s="407">
        <f>CashFlow!MJ$6</f>
        <v/>
      </c>
      <c r="MK33" s="407">
        <f>CashFlow!MK$6</f>
        <v/>
      </c>
      <c r="ML33" s="407">
        <f>CashFlow!ML$6</f>
        <v/>
      </c>
      <c r="MM33" s="407">
        <f>CashFlow!MM$6</f>
        <v/>
      </c>
      <c r="MN33" s="407">
        <f>CashFlow!MN$6</f>
        <v/>
      </c>
      <c r="MO33" s="407">
        <f>CashFlow!MO$6</f>
        <v/>
      </c>
      <c r="MP33" s="407">
        <f>CashFlow!MP$6</f>
        <v/>
      </c>
      <c r="MQ33" s="407">
        <f>CashFlow!MQ$6</f>
        <v/>
      </c>
      <c r="MR33" s="407">
        <f>CashFlow!MR$6</f>
        <v/>
      </c>
      <c r="MS33" s="407">
        <f>CashFlow!MS$6</f>
        <v/>
      </c>
      <c r="MT33" s="407">
        <f>CashFlow!MT$6</f>
        <v/>
      </c>
      <c r="MU33" s="407">
        <f>CashFlow!MU$6</f>
        <v/>
      </c>
      <c r="MV33" s="407">
        <f>CashFlow!MV$6</f>
        <v/>
      </c>
      <c r="MW33" s="407">
        <f>CashFlow!MW$6</f>
        <v/>
      </c>
      <c r="MX33" s="407">
        <f>CashFlow!MX$6</f>
        <v/>
      </c>
      <c r="MY33" s="407">
        <f>CashFlow!MY$6</f>
        <v/>
      </c>
      <c r="MZ33" s="407">
        <f>CashFlow!MZ$6</f>
        <v/>
      </c>
      <c r="NA33" s="407">
        <f>CashFlow!NA$6</f>
        <v/>
      </c>
      <c r="NB33" s="407">
        <f>CashFlow!NB$6</f>
        <v/>
      </c>
      <c r="NC33" s="407">
        <f>CashFlow!NC$6</f>
        <v/>
      </c>
      <c r="ND33" s="407">
        <f>CashFlow!ND$6</f>
        <v/>
      </c>
      <c r="NE33" s="407">
        <f>CashFlow!NE$6</f>
        <v/>
      </c>
      <c r="NF33" s="407">
        <f>CashFlow!NF$6</f>
        <v/>
      </c>
      <c r="NG33" s="407">
        <f>CashFlow!NG$6</f>
        <v/>
      </c>
      <c r="NH33" s="407">
        <f>CashFlow!NH$6</f>
        <v/>
      </c>
      <c r="NI33" s="407">
        <f>CashFlow!NI$6</f>
        <v/>
      </c>
      <c r="NJ33" s="407">
        <f>CashFlow!NJ$6</f>
        <v/>
      </c>
      <c r="NK33" s="407">
        <f>CashFlow!NK$6</f>
        <v/>
      </c>
      <c r="NL33" s="407">
        <f>CashFlow!NL$6</f>
        <v/>
      </c>
    </row>
    <row r="34">
      <c r="B34" s="316" t="inlineStr">
        <is>
          <t>Cumulative Levered Cash Flow</t>
        </is>
      </c>
      <c r="D34" s="407">
        <f>INDEX(E34:NL34,HoldPeriodMonths)</f>
        <v/>
      </c>
      <c r="E34" s="402">
        <f>0+E33</f>
        <v/>
      </c>
      <c r="F34" s="402">
        <f>E34+F33</f>
        <v/>
      </c>
      <c r="G34" s="402">
        <f>F34+G33</f>
        <v/>
      </c>
      <c r="H34" s="402">
        <f>G34+H33</f>
        <v/>
      </c>
      <c r="I34" s="402">
        <f>H34+I33</f>
        <v/>
      </c>
      <c r="J34" s="402">
        <f>I34+J33</f>
        <v/>
      </c>
      <c r="K34" s="402">
        <f>J34+K33</f>
        <v/>
      </c>
      <c r="L34" s="402">
        <f>K34+L33</f>
        <v/>
      </c>
      <c r="M34" s="402">
        <f>L34+M33</f>
        <v/>
      </c>
      <c r="N34" s="402">
        <f>M34+N33</f>
        <v/>
      </c>
      <c r="O34" s="402">
        <f>N34+O33</f>
        <v/>
      </c>
      <c r="P34" s="402">
        <f>O34+P33</f>
        <v/>
      </c>
      <c r="Q34" s="402">
        <f>P34+Q33</f>
        <v/>
      </c>
      <c r="R34" s="402">
        <f>Q34+R33</f>
        <v/>
      </c>
      <c r="S34" s="402">
        <f>R34+S33</f>
        <v/>
      </c>
      <c r="T34" s="402">
        <f>S34+T33</f>
        <v/>
      </c>
      <c r="U34" s="402">
        <f>T34+U33</f>
        <v/>
      </c>
      <c r="V34" s="402">
        <f>U34+V33</f>
        <v/>
      </c>
      <c r="W34" s="402">
        <f>V34+W33</f>
        <v/>
      </c>
      <c r="X34" s="402">
        <f>W34+X33</f>
        <v/>
      </c>
      <c r="Y34" s="402">
        <f>X34+Y33</f>
        <v/>
      </c>
      <c r="Z34" s="402">
        <f>Y34+Z33</f>
        <v/>
      </c>
      <c r="AA34" s="402">
        <f>Z34+AA33</f>
        <v/>
      </c>
      <c r="AB34" s="402">
        <f>AA34+AB33</f>
        <v/>
      </c>
      <c r="AC34" s="402">
        <f>AB34+AC33</f>
        <v/>
      </c>
      <c r="AD34" s="402">
        <f>AC34+AD33</f>
        <v/>
      </c>
      <c r="AE34" s="402">
        <f>AD34+AE33</f>
        <v/>
      </c>
      <c r="AF34" s="402">
        <f>AE34+AF33</f>
        <v/>
      </c>
      <c r="AG34" s="402">
        <f>AF34+AG33</f>
        <v/>
      </c>
      <c r="AH34" s="402">
        <f>AG34+AH33</f>
        <v/>
      </c>
      <c r="AI34" s="402">
        <f>AH34+AI33</f>
        <v/>
      </c>
      <c r="AJ34" s="402">
        <f>AI34+AJ33</f>
        <v/>
      </c>
      <c r="AK34" s="402">
        <f>AJ34+AK33</f>
        <v/>
      </c>
      <c r="AL34" s="402">
        <f>AK34+AL33</f>
        <v/>
      </c>
      <c r="AM34" s="402">
        <f>AL34+AM33</f>
        <v/>
      </c>
      <c r="AN34" s="402">
        <f>AM34+AN33</f>
        <v/>
      </c>
      <c r="AO34" s="402">
        <f>AN34+AO33</f>
        <v/>
      </c>
      <c r="AP34" s="402">
        <f>AO34+AP33</f>
        <v/>
      </c>
      <c r="AQ34" s="402">
        <f>AP34+AQ33</f>
        <v/>
      </c>
      <c r="AR34" s="402">
        <f>AQ34+AR33</f>
        <v/>
      </c>
      <c r="AS34" s="402">
        <f>AR34+AS33</f>
        <v/>
      </c>
      <c r="AT34" s="402">
        <f>AS34+AT33</f>
        <v/>
      </c>
      <c r="AU34" s="402">
        <f>AT34+AU33</f>
        <v/>
      </c>
      <c r="AV34" s="402">
        <f>AU34+AV33</f>
        <v/>
      </c>
      <c r="AW34" s="402">
        <f>AV34+AW33</f>
        <v/>
      </c>
      <c r="AX34" s="402">
        <f>AW34+AX33</f>
        <v/>
      </c>
      <c r="AY34" s="402">
        <f>AX34+AY33</f>
        <v/>
      </c>
      <c r="AZ34" s="402">
        <f>AY34+AZ33</f>
        <v/>
      </c>
      <c r="BA34" s="402">
        <f>AZ34+BA33</f>
        <v/>
      </c>
      <c r="BB34" s="402">
        <f>BA34+BB33</f>
        <v/>
      </c>
      <c r="BC34" s="402">
        <f>BB34+BC33</f>
        <v/>
      </c>
      <c r="BD34" s="402">
        <f>BC34+BD33</f>
        <v/>
      </c>
      <c r="BE34" s="402">
        <f>BD34+BE33</f>
        <v/>
      </c>
      <c r="BF34" s="402">
        <f>BE34+BF33</f>
        <v/>
      </c>
      <c r="BG34" s="402">
        <f>BF34+BG33</f>
        <v/>
      </c>
      <c r="BH34" s="402">
        <f>BG34+BH33</f>
        <v/>
      </c>
      <c r="BI34" s="402">
        <f>BH34+BI33</f>
        <v/>
      </c>
      <c r="BJ34" s="402">
        <f>BI34+BJ33</f>
        <v/>
      </c>
      <c r="BK34" s="402">
        <f>BJ34+BK33</f>
        <v/>
      </c>
      <c r="BL34" s="402">
        <f>BK34+BL33</f>
        <v/>
      </c>
      <c r="BM34" s="402">
        <f>BL34+BM33</f>
        <v/>
      </c>
      <c r="BN34" s="402">
        <f>BM34+BN33</f>
        <v/>
      </c>
      <c r="BO34" s="402">
        <f>BN34+BO33</f>
        <v/>
      </c>
      <c r="BP34" s="402">
        <f>BO34+BP33</f>
        <v/>
      </c>
      <c r="BQ34" s="402">
        <f>BP34+BQ33</f>
        <v/>
      </c>
      <c r="BR34" s="402">
        <f>BQ34+BR33</f>
        <v/>
      </c>
      <c r="BS34" s="402">
        <f>BR34+BS33</f>
        <v/>
      </c>
      <c r="BT34" s="402">
        <f>BS34+BT33</f>
        <v/>
      </c>
      <c r="BU34" s="402">
        <f>BT34+BU33</f>
        <v/>
      </c>
      <c r="BV34" s="402">
        <f>BU34+BV33</f>
        <v/>
      </c>
      <c r="BW34" s="402">
        <f>BV34+BW33</f>
        <v/>
      </c>
      <c r="BX34" s="402">
        <f>BW34+BX33</f>
        <v/>
      </c>
      <c r="BY34" s="402">
        <f>BX34+BY33</f>
        <v/>
      </c>
      <c r="BZ34" s="402">
        <f>BY34+BZ33</f>
        <v/>
      </c>
      <c r="CA34" s="402">
        <f>BZ34+CA33</f>
        <v/>
      </c>
      <c r="CB34" s="402">
        <f>CA34+CB33</f>
        <v/>
      </c>
      <c r="CC34" s="402">
        <f>CB34+CC33</f>
        <v/>
      </c>
      <c r="CD34" s="402">
        <f>CC34+CD33</f>
        <v/>
      </c>
      <c r="CE34" s="402">
        <f>CD34+CE33</f>
        <v/>
      </c>
      <c r="CF34" s="402">
        <f>CE34+CF33</f>
        <v/>
      </c>
      <c r="CG34" s="402">
        <f>CF34+CG33</f>
        <v/>
      </c>
      <c r="CH34" s="402">
        <f>CG34+CH33</f>
        <v/>
      </c>
      <c r="CI34" s="402">
        <f>CH34+CI33</f>
        <v/>
      </c>
      <c r="CJ34" s="402">
        <f>CI34+CJ33</f>
        <v/>
      </c>
      <c r="CK34" s="402">
        <f>CJ34+CK33</f>
        <v/>
      </c>
      <c r="CL34" s="402">
        <f>CK34+CL33</f>
        <v/>
      </c>
      <c r="CM34" s="402">
        <f>CL34+CM33</f>
        <v/>
      </c>
      <c r="CN34" s="402">
        <f>CM34+CN33</f>
        <v/>
      </c>
      <c r="CO34" s="402">
        <f>CN34+CO33</f>
        <v/>
      </c>
      <c r="CP34" s="402">
        <f>CO34+CP33</f>
        <v/>
      </c>
      <c r="CQ34" s="402">
        <f>CP34+CQ33</f>
        <v/>
      </c>
      <c r="CR34" s="402">
        <f>CQ34+CR33</f>
        <v/>
      </c>
      <c r="CS34" s="402">
        <f>CR34+CS33</f>
        <v/>
      </c>
      <c r="CT34" s="402">
        <f>CS34+CT33</f>
        <v/>
      </c>
      <c r="CU34" s="402">
        <f>CT34+CU33</f>
        <v/>
      </c>
      <c r="CV34" s="402">
        <f>CU34+CV33</f>
        <v/>
      </c>
      <c r="CW34" s="402">
        <f>CV34+CW33</f>
        <v/>
      </c>
      <c r="CX34" s="402">
        <f>CW34+CX33</f>
        <v/>
      </c>
      <c r="CY34" s="402">
        <f>CX34+CY33</f>
        <v/>
      </c>
      <c r="CZ34" s="402">
        <f>CY34+CZ33</f>
        <v/>
      </c>
      <c r="DA34" s="402">
        <f>CZ34+DA33</f>
        <v/>
      </c>
      <c r="DB34" s="402">
        <f>DA34+DB33</f>
        <v/>
      </c>
      <c r="DC34" s="402">
        <f>DB34+DC33</f>
        <v/>
      </c>
      <c r="DD34" s="402">
        <f>DC34+DD33</f>
        <v/>
      </c>
      <c r="DE34" s="402">
        <f>DD34+DE33</f>
        <v/>
      </c>
      <c r="DF34" s="402">
        <f>DE34+DF33</f>
        <v/>
      </c>
      <c r="DG34" s="402">
        <f>DF34+DG33</f>
        <v/>
      </c>
      <c r="DH34" s="402">
        <f>DG34+DH33</f>
        <v/>
      </c>
      <c r="DI34" s="402">
        <f>DH34+DI33</f>
        <v/>
      </c>
      <c r="DJ34" s="402">
        <f>DI34+DJ33</f>
        <v/>
      </c>
      <c r="DK34" s="402">
        <f>DJ34+DK33</f>
        <v/>
      </c>
      <c r="DL34" s="402">
        <f>DK34+DL33</f>
        <v/>
      </c>
      <c r="DM34" s="402">
        <f>DL34+DM33</f>
        <v/>
      </c>
      <c r="DN34" s="402">
        <f>DM34+DN33</f>
        <v/>
      </c>
      <c r="DO34" s="402">
        <f>DN34+DO33</f>
        <v/>
      </c>
      <c r="DP34" s="402">
        <f>DO34+DP33</f>
        <v/>
      </c>
      <c r="DQ34" s="402">
        <f>DP34+DQ33</f>
        <v/>
      </c>
      <c r="DR34" s="402">
        <f>DQ34+DR33</f>
        <v/>
      </c>
      <c r="DS34" s="402">
        <f>DR34+DS33</f>
        <v/>
      </c>
      <c r="DT34" s="402">
        <f>DS34+DT33</f>
        <v/>
      </c>
      <c r="DU34" s="402">
        <f>DT34+DU33</f>
        <v/>
      </c>
      <c r="DV34" s="402">
        <f>DU34+DV33</f>
        <v/>
      </c>
      <c r="DW34" s="402">
        <f>DV34+DW33</f>
        <v/>
      </c>
      <c r="DX34" s="402">
        <f>DW34+DX33</f>
        <v/>
      </c>
      <c r="DY34" s="402">
        <f>DX34+DY33</f>
        <v/>
      </c>
      <c r="DZ34" s="402">
        <f>DY34+DZ33</f>
        <v/>
      </c>
      <c r="EA34" s="402">
        <f>DZ34+EA33</f>
        <v/>
      </c>
      <c r="EB34" s="402">
        <f>EA34+EB33</f>
        <v/>
      </c>
      <c r="EC34" s="402">
        <f>EB34+EC33</f>
        <v/>
      </c>
      <c r="ED34" s="402">
        <f>EC34+ED33</f>
        <v/>
      </c>
      <c r="EE34" s="402">
        <f>ED34+EE33</f>
        <v/>
      </c>
      <c r="EF34" s="402">
        <f>EE34+EF33</f>
        <v/>
      </c>
      <c r="EG34" s="402">
        <f>EF34+EG33</f>
        <v/>
      </c>
      <c r="EH34" s="402">
        <f>EG34+EH33</f>
        <v/>
      </c>
      <c r="EI34" s="402">
        <f>EH34+EI33</f>
        <v/>
      </c>
      <c r="EJ34" s="402">
        <f>EI34+EJ33</f>
        <v/>
      </c>
      <c r="EK34" s="402">
        <f>EJ34+EK33</f>
        <v/>
      </c>
      <c r="EL34" s="402">
        <f>EK34+EL33</f>
        <v/>
      </c>
      <c r="EM34" s="402">
        <f>EL34+EM33</f>
        <v/>
      </c>
      <c r="EN34" s="402">
        <f>EM34+EN33</f>
        <v/>
      </c>
      <c r="EO34" s="402">
        <f>EN34+EO33</f>
        <v/>
      </c>
      <c r="EP34" s="402">
        <f>EO34+EP33</f>
        <v/>
      </c>
      <c r="EQ34" s="402">
        <f>EP34+EQ33</f>
        <v/>
      </c>
      <c r="ER34" s="402">
        <f>EQ34+ER33</f>
        <v/>
      </c>
      <c r="ES34" s="402">
        <f>ER34+ES33</f>
        <v/>
      </c>
      <c r="ET34" s="402">
        <f>ES34+ET33</f>
        <v/>
      </c>
      <c r="EU34" s="402">
        <f>ET34+EU33</f>
        <v/>
      </c>
      <c r="EV34" s="402">
        <f>EU34+EV33</f>
        <v/>
      </c>
      <c r="EW34" s="402">
        <f>EV34+EW33</f>
        <v/>
      </c>
      <c r="EX34" s="402">
        <f>EW34+EX33</f>
        <v/>
      </c>
      <c r="EY34" s="402">
        <f>EX34+EY33</f>
        <v/>
      </c>
      <c r="EZ34" s="402">
        <f>EY34+EZ33</f>
        <v/>
      </c>
      <c r="FA34" s="402">
        <f>EZ34+FA33</f>
        <v/>
      </c>
      <c r="FB34" s="402">
        <f>FA34+FB33</f>
        <v/>
      </c>
      <c r="FC34" s="402">
        <f>FB34+FC33</f>
        <v/>
      </c>
      <c r="FD34" s="402">
        <f>FC34+FD33</f>
        <v/>
      </c>
      <c r="FE34" s="402">
        <f>FD34+FE33</f>
        <v/>
      </c>
      <c r="FF34" s="402">
        <f>FE34+FF33</f>
        <v/>
      </c>
      <c r="FG34" s="402">
        <f>FF34+FG33</f>
        <v/>
      </c>
      <c r="FH34" s="402">
        <f>FG34+FH33</f>
        <v/>
      </c>
      <c r="FI34" s="402">
        <f>FH34+FI33</f>
        <v/>
      </c>
      <c r="FJ34" s="402">
        <f>FI34+FJ33</f>
        <v/>
      </c>
      <c r="FK34" s="402">
        <f>FJ34+FK33</f>
        <v/>
      </c>
      <c r="FL34" s="402">
        <f>FK34+FL33</f>
        <v/>
      </c>
      <c r="FM34" s="402">
        <f>FL34+FM33</f>
        <v/>
      </c>
      <c r="FN34" s="402">
        <f>FM34+FN33</f>
        <v/>
      </c>
      <c r="FO34" s="402">
        <f>FN34+FO33</f>
        <v/>
      </c>
      <c r="FP34" s="402">
        <f>FO34+FP33</f>
        <v/>
      </c>
      <c r="FQ34" s="402">
        <f>FP34+FQ33</f>
        <v/>
      </c>
      <c r="FR34" s="402">
        <f>FQ34+FR33</f>
        <v/>
      </c>
      <c r="FS34" s="402">
        <f>FR34+FS33</f>
        <v/>
      </c>
      <c r="FT34" s="402">
        <f>FS34+FT33</f>
        <v/>
      </c>
      <c r="FU34" s="402">
        <f>FT34+FU33</f>
        <v/>
      </c>
      <c r="FV34" s="402">
        <f>FU34+FV33</f>
        <v/>
      </c>
      <c r="FW34" s="402">
        <f>FV34+FW33</f>
        <v/>
      </c>
      <c r="FX34" s="402">
        <f>FW34+FX33</f>
        <v/>
      </c>
      <c r="FY34" s="402">
        <f>FX34+FY33</f>
        <v/>
      </c>
      <c r="FZ34" s="402">
        <f>FY34+FZ33</f>
        <v/>
      </c>
      <c r="GA34" s="402">
        <f>FZ34+GA33</f>
        <v/>
      </c>
      <c r="GB34" s="402">
        <f>GA34+GB33</f>
        <v/>
      </c>
      <c r="GC34" s="402">
        <f>GB34+GC33</f>
        <v/>
      </c>
      <c r="GD34" s="402">
        <f>GC34+GD33</f>
        <v/>
      </c>
      <c r="GE34" s="402">
        <f>GD34+GE33</f>
        <v/>
      </c>
      <c r="GF34" s="402">
        <f>GE34+GF33</f>
        <v/>
      </c>
      <c r="GG34" s="402">
        <f>GF34+GG33</f>
        <v/>
      </c>
      <c r="GH34" s="402">
        <f>GG34+GH33</f>
        <v/>
      </c>
      <c r="GI34" s="402">
        <f>GH34+GI33</f>
        <v/>
      </c>
      <c r="GJ34" s="402">
        <f>GI34+GJ33</f>
        <v/>
      </c>
      <c r="GK34" s="402">
        <f>GJ34+GK33</f>
        <v/>
      </c>
      <c r="GL34" s="402">
        <f>GK34+GL33</f>
        <v/>
      </c>
      <c r="GM34" s="402">
        <f>GL34+GM33</f>
        <v/>
      </c>
      <c r="GN34" s="402">
        <f>GM34+GN33</f>
        <v/>
      </c>
      <c r="GO34" s="402">
        <f>GN34+GO33</f>
        <v/>
      </c>
      <c r="GP34" s="402">
        <f>GO34+GP33</f>
        <v/>
      </c>
      <c r="GQ34" s="402">
        <f>GP34+GQ33</f>
        <v/>
      </c>
      <c r="GR34" s="402">
        <f>GQ34+GR33</f>
        <v/>
      </c>
      <c r="GS34" s="402">
        <f>GR34+GS33</f>
        <v/>
      </c>
      <c r="GT34" s="402">
        <f>GS34+GT33</f>
        <v/>
      </c>
      <c r="GU34" s="402">
        <f>GT34+GU33</f>
        <v/>
      </c>
      <c r="GV34" s="402">
        <f>GU34+GV33</f>
        <v/>
      </c>
      <c r="GW34" s="402">
        <f>GV34+GW33</f>
        <v/>
      </c>
      <c r="GX34" s="402">
        <f>GW34+GX33</f>
        <v/>
      </c>
      <c r="GY34" s="402">
        <f>GX34+GY33</f>
        <v/>
      </c>
      <c r="GZ34" s="402">
        <f>GY34+GZ33</f>
        <v/>
      </c>
      <c r="HA34" s="402">
        <f>GZ34+HA33</f>
        <v/>
      </c>
      <c r="HB34" s="402">
        <f>HA34+HB33</f>
        <v/>
      </c>
      <c r="HC34" s="402">
        <f>HB34+HC33</f>
        <v/>
      </c>
      <c r="HD34" s="402">
        <f>HC34+HD33</f>
        <v/>
      </c>
      <c r="HE34" s="402">
        <f>HD34+HE33</f>
        <v/>
      </c>
      <c r="HF34" s="402">
        <f>HE34+HF33</f>
        <v/>
      </c>
      <c r="HG34" s="402">
        <f>HF34+HG33</f>
        <v/>
      </c>
      <c r="HH34" s="402">
        <f>HG34+HH33</f>
        <v/>
      </c>
      <c r="HI34" s="402">
        <f>HH34+HI33</f>
        <v/>
      </c>
      <c r="HJ34" s="402">
        <f>HI34+HJ33</f>
        <v/>
      </c>
      <c r="HK34" s="402">
        <f>HJ34+HK33</f>
        <v/>
      </c>
      <c r="HL34" s="402">
        <f>HK34+HL33</f>
        <v/>
      </c>
      <c r="HM34" s="402">
        <f>HL34+HM33</f>
        <v/>
      </c>
      <c r="HN34" s="402">
        <f>HM34+HN33</f>
        <v/>
      </c>
      <c r="HO34" s="402">
        <f>HN34+HO33</f>
        <v/>
      </c>
      <c r="HP34" s="402">
        <f>HO34+HP33</f>
        <v/>
      </c>
      <c r="HQ34" s="402">
        <f>HP34+HQ33</f>
        <v/>
      </c>
      <c r="HR34" s="402">
        <f>HQ34+HR33</f>
        <v/>
      </c>
      <c r="HS34" s="402">
        <f>HR34+HS33</f>
        <v/>
      </c>
      <c r="HT34" s="402">
        <f>HS34+HT33</f>
        <v/>
      </c>
      <c r="HU34" s="402">
        <f>HT34+HU33</f>
        <v/>
      </c>
      <c r="HV34" s="402">
        <f>HU34+HV33</f>
        <v/>
      </c>
      <c r="HW34" s="402">
        <f>HV34+HW33</f>
        <v/>
      </c>
      <c r="HX34" s="402">
        <f>HW34+HX33</f>
        <v/>
      </c>
      <c r="HY34" s="402">
        <f>HX34+HY33</f>
        <v/>
      </c>
      <c r="HZ34" s="402">
        <f>HY34+HZ33</f>
        <v/>
      </c>
      <c r="IA34" s="402">
        <f>HZ34+IA33</f>
        <v/>
      </c>
      <c r="IB34" s="402">
        <f>IA34+IB33</f>
        <v/>
      </c>
      <c r="IC34" s="402">
        <f>IB34+IC33</f>
        <v/>
      </c>
      <c r="ID34" s="402">
        <f>IC34+ID33</f>
        <v/>
      </c>
      <c r="IE34" s="402">
        <f>ID34+IE33</f>
        <v/>
      </c>
      <c r="IF34" s="402">
        <f>IE34+IF33</f>
        <v/>
      </c>
      <c r="IG34" s="402">
        <f>IF34+IG33</f>
        <v/>
      </c>
      <c r="IH34" s="402">
        <f>IG34+IH33</f>
        <v/>
      </c>
      <c r="II34" s="402">
        <f>IH34+II33</f>
        <v/>
      </c>
      <c r="IJ34" s="402">
        <f>II34+IJ33</f>
        <v/>
      </c>
      <c r="IK34" s="402">
        <f>IJ34+IK33</f>
        <v/>
      </c>
      <c r="IL34" s="402">
        <f>IK34+IL33</f>
        <v/>
      </c>
      <c r="IM34" s="402">
        <f>IL34+IM33</f>
        <v/>
      </c>
      <c r="IN34" s="402">
        <f>IM34+IN33</f>
        <v/>
      </c>
      <c r="IO34" s="402">
        <f>IN34+IO33</f>
        <v/>
      </c>
      <c r="IP34" s="402">
        <f>IO34+IP33</f>
        <v/>
      </c>
      <c r="IQ34" s="402">
        <f>IP34+IQ33</f>
        <v/>
      </c>
      <c r="IR34" s="402">
        <f>IQ34+IR33</f>
        <v/>
      </c>
      <c r="IS34" s="402">
        <f>IR34+IS33</f>
        <v/>
      </c>
      <c r="IT34" s="402">
        <f>IS34+IT33</f>
        <v/>
      </c>
      <c r="IU34" s="402">
        <f>IT34+IU33</f>
        <v/>
      </c>
      <c r="IV34" s="402">
        <f>IU34+IV33</f>
        <v/>
      </c>
      <c r="IW34" s="402">
        <f>IV34+IW33</f>
        <v/>
      </c>
      <c r="IX34" s="402">
        <f>IW34+IX33</f>
        <v/>
      </c>
      <c r="IY34" s="402">
        <f>IX34+IY33</f>
        <v/>
      </c>
      <c r="IZ34" s="402">
        <f>IY34+IZ33</f>
        <v/>
      </c>
      <c r="JA34" s="402">
        <f>IZ34+JA33</f>
        <v/>
      </c>
      <c r="JB34" s="402">
        <f>JA34+JB33</f>
        <v/>
      </c>
      <c r="JC34" s="402">
        <f>JB34+JC33</f>
        <v/>
      </c>
      <c r="JD34" s="402">
        <f>JC34+JD33</f>
        <v/>
      </c>
      <c r="JE34" s="402">
        <f>JD34+JE33</f>
        <v/>
      </c>
      <c r="JF34" s="402">
        <f>JE34+JF33</f>
        <v/>
      </c>
      <c r="JG34" s="402">
        <f>JF34+JG33</f>
        <v/>
      </c>
      <c r="JH34" s="402">
        <f>JG34+JH33</f>
        <v/>
      </c>
      <c r="JI34" s="402">
        <f>JH34+JI33</f>
        <v/>
      </c>
      <c r="JJ34" s="402">
        <f>JI34+JJ33</f>
        <v/>
      </c>
      <c r="JK34" s="402">
        <f>JJ34+JK33</f>
        <v/>
      </c>
      <c r="JL34" s="402">
        <f>JK34+JL33</f>
        <v/>
      </c>
      <c r="JM34" s="402">
        <f>JL34+JM33</f>
        <v/>
      </c>
      <c r="JN34" s="402">
        <f>JM34+JN33</f>
        <v/>
      </c>
      <c r="JO34" s="402">
        <f>JN34+JO33</f>
        <v/>
      </c>
      <c r="JP34" s="402">
        <f>JO34+JP33</f>
        <v/>
      </c>
      <c r="JQ34" s="402">
        <f>JP34+JQ33</f>
        <v/>
      </c>
      <c r="JR34" s="402">
        <f>JQ34+JR33</f>
        <v/>
      </c>
      <c r="JS34" s="402">
        <f>JR34+JS33</f>
        <v/>
      </c>
      <c r="JT34" s="402">
        <f>JS34+JT33</f>
        <v/>
      </c>
      <c r="JU34" s="402">
        <f>JT34+JU33</f>
        <v/>
      </c>
      <c r="JV34" s="402">
        <f>JU34+JV33</f>
        <v/>
      </c>
      <c r="JW34" s="402">
        <f>JV34+JW33</f>
        <v/>
      </c>
      <c r="JX34" s="402">
        <f>JW34+JX33</f>
        <v/>
      </c>
      <c r="JY34" s="402">
        <f>JX34+JY33</f>
        <v/>
      </c>
      <c r="JZ34" s="402">
        <f>JY34+JZ33</f>
        <v/>
      </c>
      <c r="KA34" s="402">
        <f>JZ34+KA33</f>
        <v/>
      </c>
      <c r="KB34" s="402">
        <f>KA34+KB33</f>
        <v/>
      </c>
      <c r="KC34" s="402">
        <f>KB34+KC33</f>
        <v/>
      </c>
      <c r="KD34" s="402">
        <f>KC34+KD33</f>
        <v/>
      </c>
      <c r="KE34" s="402">
        <f>KD34+KE33</f>
        <v/>
      </c>
      <c r="KF34" s="402">
        <f>KE34+KF33</f>
        <v/>
      </c>
      <c r="KG34" s="402">
        <f>KF34+KG33</f>
        <v/>
      </c>
      <c r="KH34" s="402">
        <f>KG34+KH33</f>
        <v/>
      </c>
      <c r="KI34" s="402">
        <f>KH34+KI33</f>
        <v/>
      </c>
      <c r="KJ34" s="402">
        <f>KI34+KJ33</f>
        <v/>
      </c>
      <c r="KK34" s="402">
        <f>KJ34+KK33</f>
        <v/>
      </c>
      <c r="KL34" s="402">
        <f>KK34+KL33</f>
        <v/>
      </c>
      <c r="KM34" s="402">
        <f>KL34+KM33</f>
        <v/>
      </c>
      <c r="KN34" s="402">
        <f>KM34+KN33</f>
        <v/>
      </c>
      <c r="KO34" s="402">
        <f>KN34+KO33</f>
        <v/>
      </c>
      <c r="KP34" s="402">
        <f>KO34+KP33</f>
        <v/>
      </c>
      <c r="KQ34" s="402">
        <f>KP34+KQ33</f>
        <v/>
      </c>
      <c r="KR34" s="402">
        <f>KQ34+KR33</f>
        <v/>
      </c>
      <c r="KS34" s="402">
        <f>KR34+KS33</f>
        <v/>
      </c>
      <c r="KT34" s="402">
        <f>KS34+KT33</f>
        <v/>
      </c>
      <c r="KU34" s="402">
        <f>KT34+KU33</f>
        <v/>
      </c>
      <c r="KV34" s="402">
        <f>KU34+KV33</f>
        <v/>
      </c>
      <c r="KW34" s="402">
        <f>KV34+KW33</f>
        <v/>
      </c>
      <c r="KX34" s="402">
        <f>KW34+KX33</f>
        <v/>
      </c>
      <c r="KY34" s="402">
        <f>KX34+KY33</f>
        <v/>
      </c>
      <c r="KZ34" s="402">
        <f>KY34+KZ33</f>
        <v/>
      </c>
      <c r="LA34" s="402">
        <f>KZ34+LA33</f>
        <v/>
      </c>
      <c r="LB34" s="402">
        <f>LA34+LB33</f>
        <v/>
      </c>
      <c r="LC34" s="402">
        <f>LB34+LC33</f>
        <v/>
      </c>
      <c r="LD34" s="402">
        <f>LC34+LD33</f>
        <v/>
      </c>
      <c r="LE34" s="402">
        <f>LD34+LE33</f>
        <v/>
      </c>
      <c r="LF34" s="402">
        <f>LE34+LF33</f>
        <v/>
      </c>
      <c r="LG34" s="402">
        <f>LF34+LG33</f>
        <v/>
      </c>
      <c r="LH34" s="402">
        <f>LG34+LH33</f>
        <v/>
      </c>
      <c r="LI34" s="402">
        <f>LH34+LI33</f>
        <v/>
      </c>
      <c r="LJ34" s="402">
        <f>LI34+LJ33</f>
        <v/>
      </c>
      <c r="LK34" s="402">
        <f>LJ34+LK33</f>
        <v/>
      </c>
      <c r="LL34" s="402">
        <f>LK34+LL33</f>
        <v/>
      </c>
      <c r="LM34" s="402">
        <f>LL34+LM33</f>
        <v/>
      </c>
      <c r="LN34" s="402">
        <f>LM34+LN33</f>
        <v/>
      </c>
      <c r="LO34" s="402">
        <f>LN34+LO33</f>
        <v/>
      </c>
      <c r="LP34" s="402">
        <f>LO34+LP33</f>
        <v/>
      </c>
      <c r="LQ34" s="402">
        <f>LP34+LQ33</f>
        <v/>
      </c>
      <c r="LR34" s="402">
        <f>LQ34+LR33</f>
        <v/>
      </c>
      <c r="LS34" s="402">
        <f>LR34+LS33</f>
        <v/>
      </c>
      <c r="LT34" s="402">
        <f>LS34+LT33</f>
        <v/>
      </c>
      <c r="LU34" s="402">
        <f>LT34+LU33</f>
        <v/>
      </c>
      <c r="LV34" s="402">
        <f>LU34+LV33</f>
        <v/>
      </c>
      <c r="LW34" s="402">
        <f>LV34+LW33</f>
        <v/>
      </c>
      <c r="LX34" s="402">
        <f>LW34+LX33</f>
        <v/>
      </c>
      <c r="LY34" s="402">
        <f>LX34+LY33</f>
        <v/>
      </c>
      <c r="LZ34" s="402">
        <f>LY34+LZ33</f>
        <v/>
      </c>
      <c r="MA34" s="402">
        <f>LZ34+MA33</f>
        <v/>
      </c>
      <c r="MB34" s="402">
        <f>MA34+MB33</f>
        <v/>
      </c>
      <c r="MC34" s="402">
        <f>MB34+MC33</f>
        <v/>
      </c>
      <c r="MD34" s="402">
        <f>MC34+MD33</f>
        <v/>
      </c>
      <c r="ME34" s="402">
        <f>MD34+ME33</f>
        <v/>
      </c>
      <c r="MF34" s="402">
        <f>ME34+MF33</f>
        <v/>
      </c>
      <c r="MG34" s="402">
        <f>MF34+MG33</f>
        <v/>
      </c>
      <c r="MH34" s="402">
        <f>MG34+MH33</f>
        <v/>
      </c>
      <c r="MI34" s="402">
        <f>MH34+MI33</f>
        <v/>
      </c>
      <c r="MJ34" s="402">
        <f>MI34+MJ33</f>
        <v/>
      </c>
      <c r="MK34" s="402">
        <f>MJ34+MK33</f>
        <v/>
      </c>
      <c r="ML34" s="402">
        <f>MK34+ML33</f>
        <v/>
      </c>
      <c r="MM34" s="402">
        <f>ML34+MM33</f>
        <v/>
      </c>
      <c r="MN34" s="402">
        <f>MM34+MN33</f>
        <v/>
      </c>
      <c r="MO34" s="402">
        <f>MN34+MO33</f>
        <v/>
      </c>
      <c r="MP34" s="402">
        <f>MO34+MP33</f>
        <v/>
      </c>
      <c r="MQ34" s="402">
        <f>MP34+MQ33</f>
        <v/>
      </c>
      <c r="MR34" s="402">
        <f>MQ34+MR33</f>
        <v/>
      </c>
      <c r="MS34" s="402">
        <f>MR34+MS33</f>
        <v/>
      </c>
      <c r="MT34" s="402">
        <f>MS34+MT33</f>
        <v/>
      </c>
      <c r="MU34" s="402">
        <f>MT34+MU33</f>
        <v/>
      </c>
      <c r="MV34" s="402">
        <f>MU34+MV33</f>
        <v/>
      </c>
      <c r="MW34" s="402">
        <f>MV34+MW33</f>
        <v/>
      </c>
      <c r="MX34" s="402">
        <f>MW34+MX33</f>
        <v/>
      </c>
      <c r="MY34" s="402">
        <f>MX34+MY33</f>
        <v/>
      </c>
      <c r="MZ34" s="402">
        <f>MY34+MZ33</f>
        <v/>
      </c>
      <c r="NA34" s="402">
        <f>MZ34+NA33</f>
        <v/>
      </c>
      <c r="NB34" s="402">
        <f>NA34+NB33</f>
        <v/>
      </c>
      <c r="NC34" s="402">
        <f>NB34+NC33</f>
        <v/>
      </c>
      <c r="ND34" s="402">
        <f>NC34+ND33</f>
        <v/>
      </c>
      <c r="NE34" s="402">
        <f>ND34+NE33</f>
        <v/>
      </c>
      <c r="NF34" s="402">
        <f>NE34+NF33</f>
        <v/>
      </c>
      <c r="NG34" s="402">
        <f>NF34+NG33</f>
        <v/>
      </c>
      <c r="NH34" s="402">
        <f>NG34+NH33</f>
        <v/>
      </c>
      <c r="NI34" s="402">
        <f>NH34+NI33</f>
        <v/>
      </c>
      <c r="NJ34" s="402">
        <f>NI34+NJ33</f>
        <v/>
      </c>
      <c r="NK34" s="402">
        <f>NJ34+NK33</f>
        <v/>
      </c>
      <c r="NL34" s="402">
        <f>NK34+NL33</f>
        <v/>
      </c>
    </row>
    <row r="35">
      <c r="B35" s="316" t="inlineStr">
        <is>
          <t>Cumulative Equity Invested</t>
        </is>
      </c>
      <c r="D35" s="407">
        <f>INDEX(E35:NL35,HoldPeriodMonths)</f>
        <v/>
      </c>
      <c r="E35" s="402">
        <f>0+MIN(0,E33)</f>
        <v/>
      </c>
      <c r="F35" s="402">
        <f>E35+MIN(0,F33)</f>
        <v/>
      </c>
      <c r="G35" s="402">
        <f>F35+MIN(0,G33)</f>
        <v/>
      </c>
      <c r="H35" s="402">
        <f>G35+MIN(0,H33)</f>
        <v/>
      </c>
      <c r="I35" s="402">
        <f>H35+MIN(0,I33)</f>
        <v/>
      </c>
      <c r="J35" s="402">
        <f>I35+MIN(0,J33)</f>
        <v/>
      </c>
      <c r="K35" s="402">
        <f>J35+MIN(0,K33)</f>
        <v/>
      </c>
      <c r="L35" s="402">
        <f>K35+MIN(0,L33)</f>
        <v/>
      </c>
      <c r="M35" s="402">
        <f>L35+MIN(0,M33)</f>
        <v/>
      </c>
      <c r="N35" s="402">
        <f>M35+MIN(0,N33)</f>
        <v/>
      </c>
      <c r="O35" s="402">
        <f>N35+MIN(0,O33)</f>
        <v/>
      </c>
      <c r="P35" s="402">
        <f>O35+MIN(0,P33)</f>
        <v/>
      </c>
      <c r="Q35" s="402">
        <f>P35+MIN(0,Q33)</f>
        <v/>
      </c>
      <c r="R35" s="402">
        <f>Q35+MIN(0,R33)</f>
        <v/>
      </c>
      <c r="S35" s="402">
        <f>R35+MIN(0,S33)</f>
        <v/>
      </c>
      <c r="T35" s="402">
        <f>S35+MIN(0,T33)</f>
        <v/>
      </c>
      <c r="U35" s="402">
        <f>T35+MIN(0,U33)</f>
        <v/>
      </c>
      <c r="V35" s="402">
        <f>U35+MIN(0,V33)</f>
        <v/>
      </c>
      <c r="W35" s="402">
        <f>V35+MIN(0,W33)</f>
        <v/>
      </c>
      <c r="X35" s="402">
        <f>W35+MIN(0,X33)</f>
        <v/>
      </c>
      <c r="Y35" s="402">
        <f>X35+MIN(0,Y33)</f>
        <v/>
      </c>
      <c r="Z35" s="402">
        <f>Y35+MIN(0,Z33)</f>
        <v/>
      </c>
      <c r="AA35" s="402">
        <f>Z35+MIN(0,AA33)</f>
        <v/>
      </c>
      <c r="AB35" s="402">
        <f>AA35+MIN(0,AB33)</f>
        <v/>
      </c>
      <c r="AC35" s="402">
        <f>AB35+MIN(0,AC33)</f>
        <v/>
      </c>
      <c r="AD35" s="402">
        <f>AC35+MIN(0,AD33)</f>
        <v/>
      </c>
      <c r="AE35" s="402">
        <f>AD35+MIN(0,AE33)</f>
        <v/>
      </c>
      <c r="AF35" s="402">
        <f>AE35+MIN(0,AF33)</f>
        <v/>
      </c>
      <c r="AG35" s="402">
        <f>AF35+MIN(0,AG33)</f>
        <v/>
      </c>
      <c r="AH35" s="402">
        <f>AG35+MIN(0,AH33)</f>
        <v/>
      </c>
      <c r="AI35" s="402">
        <f>AH35+MIN(0,AI33)</f>
        <v/>
      </c>
      <c r="AJ35" s="402">
        <f>AI35+MIN(0,AJ33)</f>
        <v/>
      </c>
      <c r="AK35" s="402">
        <f>AJ35+MIN(0,AK33)</f>
        <v/>
      </c>
      <c r="AL35" s="402">
        <f>AK35+MIN(0,AL33)</f>
        <v/>
      </c>
      <c r="AM35" s="402">
        <f>AL35+MIN(0,AM33)</f>
        <v/>
      </c>
      <c r="AN35" s="402">
        <f>AM35+MIN(0,AN33)</f>
        <v/>
      </c>
      <c r="AO35" s="402">
        <f>AN35+MIN(0,AO33)</f>
        <v/>
      </c>
      <c r="AP35" s="402">
        <f>AO35+MIN(0,AP33)</f>
        <v/>
      </c>
      <c r="AQ35" s="402">
        <f>AP35+MIN(0,AQ33)</f>
        <v/>
      </c>
      <c r="AR35" s="402">
        <f>AQ35+MIN(0,AR33)</f>
        <v/>
      </c>
      <c r="AS35" s="402">
        <f>AR35+MIN(0,AS33)</f>
        <v/>
      </c>
      <c r="AT35" s="402">
        <f>AS35+MIN(0,AT33)</f>
        <v/>
      </c>
      <c r="AU35" s="402">
        <f>AT35+MIN(0,AU33)</f>
        <v/>
      </c>
      <c r="AV35" s="402">
        <f>AU35+MIN(0,AV33)</f>
        <v/>
      </c>
      <c r="AW35" s="402">
        <f>AV35+MIN(0,AW33)</f>
        <v/>
      </c>
      <c r="AX35" s="402">
        <f>AW35+MIN(0,AX33)</f>
        <v/>
      </c>
      <c r="AY35" s="402">
        <f>AX35+MIN(0,AY33)</f>
        <v/>
      </c>
      <c r="AZ35" s="402">
        <f>AY35+MIN(0,AZ33)</f>
        <v/>
      </c>
      <c r="BA35" s="402">
        <f>AZ35+MIN(0,BA33)</f>
        <v/>
      </c>
      <c r="BB35" s="402">
        <f>BA35+MIN(0,BB33)</f>
        <v/>
      </c>
      <c r="BC35" s="402">
        <f>BB35+MIN(0,BC33)</f>
        <v/>
      </c>
      <c r="BD35" s="402">
        <f>BC35+MIN(0,BD33)</f>
        <v/>
      </c>
      <c r="BE35" s="402">
        <f>BD35+MIN(0,BE33)</f>
        <v/>
      </c>
      <c r="BF35" s="402">
        <f>BE35+MIN(0,BF33)</f>
        <v/>
      </c>
      <c r="BG35" s="402">
        <f>BF35+MIN(0,BG33)</f>
        <v/>
      </c>
      <c r="BH35" s="402">
        <f>BG35+MIN(0,BH33)</f>
        <v/>
      </c>
      <c r="BI35" s="402">
        <f>BH35+MIN(0,BI33)</f>
        <v/>
      </c>
      <c r="BJ35" s="402">
        <f>BI35+MIN(0,BJ33)</f>
        <v/>
      </c>
      <c r="BK35" s="402">
        <f>BJ35+MIN(0,BK33)</f>
        <v/>
      </c>
      <c r="BL35" s="402">
        <f>BK35+MIN(0,BL33)</f>
        <v/>
      </c>
      <c r="BM35" s="402">
        <f>BL35+MIN(0,BM33)</f>
        <v/>
      </c>
      <c r="BN35" s="402">
        <f>BM35+MIN(0,BN33)</f>
        <v/>
      </c>
      <c r="BO35" s="402">
        <f>BN35+MIN(0,BO33)</f>
        <v/>
      </c>
      <c r="BP35" s="402">
        <f>BO35+MIN(0,BP33)</f>
        <v/>
      </c>
      <c r="BQ35" s="402">
        <f>BP35+MIN(0,BQ33)</f>
        <v/>
      </c>
      <c r="BR35" s="402">
        <f>BQ35+MIN(0,BR33)</f>
        <v/>
      </c>
      <c r="BS35" s="402">
        <f>BR35+MIN(0,BS33)</f>
        <v/>
      </c>
      <c r="BT35" s="402">
        <f>BS35+MIN(0,BT33)</f>
        <v/>
      </c>
      <c r="BU35" s="402">
        <f>BT35+MIN(0,BU33)</f>
        <v/>
      </c>
      <c r="BV35" s="402">
        <f>BU35+MIN(0,BV33)</f>
        <v/>
      </c>
      <c r="BW35" s="402">
        <f>BV35+MIN(0,BW33)</f>
        <v/>
      </c>
      <c r="BX35" s="402">
        <f>BW35+MIN(0,BX33)</f>
        <v/>
      </c>
      <c r="BY35" s="402">
        <f>BX35+MIN(0,BY33)</f>
        <v/>
      </c>
      <c r="BZ35" s="402">
        <f>BY35+MIN(0,BZ33)</f>
        <v/>
      </c>
      <c r="CA35" s="402">
        <f>BZ35+MIN(0,CA33)</f>
        <v/>
      </c>
      <c r="CB35" s="402">
        <f>CA35+MIN(0,CB33)</f>
        <v/>
      </c>
      <c r="CC35" s="402">
        <f>CB35+MIN(0,CC33)</f>
        <v/>
      </c>
      <c r="CD35" s="402">
        <f>CC35+MIN(0,CD33)</f>
        <v/>
      </c>
      <c r="CE35" s="402">
        <f>CD35+MIN(0,CE33)</f>
        <v/>
      </c>
      <c r="CF35" s="402">
        <f>CE35+MIN(0,CF33)</f>
        <v/>
      </c>
      <c r="CG35" s="402">
        <f>CF35+MIN(0,CG33)</f>
        <v/>
      </c>
      <c r="CH35" s="402">
        <f>CG35+MIN(0,CH33)</f>
        <v/>
      </c>
      <c r="CI35" s="402">
        <f>CH35+MIN(0,CI33)</f>
        <v/>
      </c>
      <c r="CJ35" s="402">
        <f>CI35+MIN(0,CJ33)</f>
        <v/>
      </c>
      <c r="CK35" s="402">
        <f>CJ35+MIN(0,CK33)</f>
        <v/>
      </c>
      <c r="CL35" s="402">
        <f>CK35+MIN(0,CL33)</f>
        <v/>
      </c>
      <c r="CM35" s="402">
        <f>CL35+MIN(0,CM33)</f>
        <v/>
      </c>
      <c r="CN35" s="402">
        <f>CM35+MIN(0,CN33)</f>
        <v/>
      </c>
      <c r="CO35" s="402">
        <f>CN35+MIN(0,CO33)</f>
        <v/>
      </c>
      <c r="CP35" s="402">
        <f>CO35+MIN(0,CP33)</f>
        <v/>
      </c>
      <c r="CQ35" s="402">
        <f>CP35+MIN(0,CQ33)</f>
        <v/>
      </c>
      <c r="CR35" s="402">
        <f>CQ35+MIN(0,CR33)</f>
        <v/>
      </c>
      <c r="CS35" s="402">
        <f>CR35+MIN(0,CS33)</f>
        <v/>
      </c>
      <c r="CT35" s="402">
        <f>CS35+MIN(0,CT33)</f>
        <v/>
      </c>
      <c r="CU35" s="402">
        <f>CT35+MIN(0,CU33)</f>
        <v/>
      </c>
      <c r="CV35" s="402">
        <f>CU35+MIN(0,CV33)</f>
        <v/>
      </c>
      <c r="CW35" s="402">
        <f>CV35+MIN(0,CW33)</f>
        <v/>
      </c>
      <c r="CX35" s="402">
        <f>CW35+MIN(0,CX33)</f>
        <v/>
      </c>
      <c r="CY35" s="402">
        <f>CX35+MIN(0,CY33)</f>
        <v/>
      </c>
      <c r="CZ35" s="402">
        <f>CY35+MIN(0,CZ33)</f>
        <v/>
      </c>
      <c r="DA35" s="402">
        <f>CZ35+MIN(0,DA33)</f>
        <v/>
      </c>
      <c r="DB35" s="402">
        <f>DA35+MIN(0,DB33)</f>
        <v/>
      </c>
      <c r="DC35" s="402">
        <f>DB35+MIN(0,DC33)</f>
        <v/>
      </c>
      <c r="DD35" s="402">
        <f>DC35+MIN(0,DD33)</f>
        <v/>
      </c>
      <c r="DE35" s="402">
        <f>DD35+MIN(0,DE33)</f>
        <v/>
      </c>
      <c r="DF35" s="402">
        <f>DE35+MIN(0,DF33)</f>
        <v/>
      </c>
      <c r="DG35" s="402">
        <f>DF35+MIN(0,DG33)</f>
        <v/>
      </c>
      <c r="DH35" s="402">
        <f>DG35+MIN(0,DH33)</f>
        <v/>
      </c>
      <c r="DI35" s="402">
        <f>DH35+MIN(0,DI33)</f>
        <v/>
      </c>
      <c r="DJ35" s="402">
        <f>DI35+MIN(0,DJ33)</f>
        <v/>
      </c>
      <c r="DK35" s="402">
        <f>DJ35+MIN(0,DK33)</f>
        <v/>
      </c>
      <c r="DL35" s="402">
        <f>DK35+MIN(0,DL33)</f>
        <v/>
      </c>
      <c r="DM35" s="402">
        <f>DL35+MIN(0,DM33)</f>
        <v/>
      </c>
      <c r="DN35" s="402">
        <f>DM35+MIN(0,DN33)</f>
        <v/>
      </c>
      <c r="DO35" s="402">
        <f>DN35+MIN(0,DO33)</f>
        <v/>
      </c>
      <c r="DP35" s="402">
        <f>DO35+MIN(0,DP33)</f>
        <v/>
      </c>
      <c r="DQ35" s="402">
        <f>DP35+MIN(0,DQ33)</f>
        <v/>
      </c>
      <c r="DR35" s="402">
        <f>DQ35+MIN(0,DR33)</f>
        <v/>
      </c>
      <c r="DS35" s="402">
        <f>DR35+MIN(0,DS33)</f>
        <v/>
      </c>
      <c r="DT35" s="402">
        <f>DS35+MIN(0,DT33)</f>
        <v/>
      </c>
      <c r="DU35" s="402">
        <f>DT35+MIN(0,DU33)</f>
        <v/>
      </c>
      <c r="DV35" s="402">
        <f>DU35+MIN(0,DV33)</f>
        <v/>
      </c>
      <c r="DW35" s="402">
        <f>DV35+MIN(0,DW33)</f>
        <v/>
      </c>
      <c r="DX35" s="402">
        <f>DW35+MIN(0,DX33)</f>
        <v/>
      </c>
      <c r="DY35" s="402">
        <f>DX35+MIN(0,DY33)</f>
        <v/>
      </c>
      <c r="DZ35" s="402">
        <f>DY35+MIN(0,DZ33)</f>
        <v/>
      </c>
      <c r="EA35" s="402">
        <f>DZ35+MIN(0,EA33)</f>
        <v/>
      </c>
      <c r="EB35" s="402">
        <f>EA35+MIN(0,EB33)</f>
        <v/>
      </c>
      <c r="EC35" s="402">
        <f>EB35+MIN(0,EC33)</f>
        <v/>
      </c>
      <c r="ED35" s="402">
        <f>EC35+MIN(0,ED33)</f>
        <v/>
      </c>
      <c r="EE35" s="402">
        <f>ED35+MIN(0,EE33)</f>
        <v/>
      </c>
      <c r="EF35" s="402">
        <f>EE35+MIN(0,EF33)</f>
        <v/>
      </c>
      <c r="EG35" s="402">
        <f>EF35+MIN(0,EG33)</f>
        <v/>
      </c>
      <c r="EH35" s="402">
        <f>EG35+MIN(0,EH33)</f>
        <v/>
      </c>
      <c r="EI35" s="402">
        <f>EH35+MIN(0,EI33)</f>
        <v/>
      </c>
      <c r="EJ35" s="402">
        <f>EI35+MIN(0,EJ33)</f>
        <v/>
      </c>
      <c r="EK35" s="402">
        <f>EJ35+MIN(0,EK33)</f>
        <v/>
      </c>
      <c r="EL35" s="402">
        <f>EK35+MIN(0,EL33)</f>
        <v/>
      </c>
      <c r="EM35" s="402">
        <f>EL35+MIN(0,EM33)</f>
        <v/>
      </c>
      <c r="EN35" s="402">
        <f>EM35+MIN(0,EN33)</f>
        <v/>
      </c>
      <c r="EO35" s="402">
        <f>EN35+MIN(0,EO33)</f>
        <v/>
      </c>
      <c r="EP35" s="402">
        <f>EO35+MIN(0,EP33)</f>
        <v/>
      </c>
      <c r="EQ35" s="402">
        <f>EP35+MIN(0,EQ33)</f>
        <v/>
      </c>
      <c r="ER35" s="402">
        <f>EQ35+MIN(0,ER33)</f>
        <v/>
      </c>
      <c r="ES35" s="402">
        <f>ER35+MIN(0,ES33)</f>
        <v/>
      </c>
      <c r="ET35" s="402">
        <f>ES35+MIN(0,ET33)</f>
        <v/>
      </c>
      <c r="EU35" s="402">
        <f>ET35+MIN(0,EU33)</f>
        <v/>
      </c>
      <c r="EV35" s="402">
        <f>EU35+MIN(0,EV33)</f>
        <v/>
      </c>
      <c r="EW35" s="402">
        <f>EV35+MIN(0,EW33)</f>
        <v/>
      </c>
      <c r="EX35" s="402">
        <f>EW35+MIN(0,EX33)</f>
        <v/>
      </c>
      <c r="EY35" s="402">
        <f>EX35+MIN(0,EY33)</f>
        <v/>
      </c>
      <c r="EZ35" s="402">
        <f>EY35+MIN(0,EZ33)</f>
        <v/>
      </c>
      <c r="FA35" s="402">
        <f>EZ35+MIN(0,FA33)</f>
        <v/>
      </c>
      <c r="FB35" s="402">
        <f>FA35+MIN(0,FB33)</f>
        <v/>
      </c>
      <c r="FC35" s="402">
        <f>FB35+MIN(0,FC33)</f>
        <v/>
      </c>
      <c r="FD35" s="402">
        <f>FC35+MIN(0,FD33)</f>
        <v/>
      </c>
      <c r="FE35" s="402">
        <f>FD35+MIN(0,FE33)</f>
        <v/>
      </c>
      <c r="FF35" s="402">
        <f>FE35+MIN(0,FF33)</f>
        <v/>
      </c>
      <c r="FG35" s="402">
        <f>FF35+MIN(0,FG33)</f>
        <v/>
      </c>
      <c r="FH35" s="402">
        <f>FG35+MIN(0,FH33)</f>
        <v/>
      </c>
      <c r="FI35" s="402">
        <f>FH35+MIN(0,FI33)</f>
        <v/>
      </c>
      <c r="FJ35" s="402">
        <f>FI35+MIN(0,FJ33)</f>
        <v/>
      </c>
      <c r="FK35" s="402">
        <f>FJ35+MIN(0,FK33)</f>
        <v/>
      </c>
      <c r="FL35" s="402">
        <f>FK35+MIN(0,FL33)</f>
        <v/>
      </c>
      <c r="FM35" s="402">
        <f>FL35+MIN(0,FM33)</f>
        <v/>
      </c>
      <c r="FN35" s="402">
        <f>FM35+MIN(0,FN33)</f>
        <v/>
      </c>
      <c r="FO35" s="402">
        <f>FN35+MIN(0,FO33)</f>
        <v/>
      </c>
      <c r="FP35" s="402">
        <f>FO35+MIN(0,FP33)</f>
        <v/>
      </c>
      <c r="FQ35" s="402">
        <f>FP35+MIN(0,FQ33)</f>
        <v/>
      </c>
      <c r="FR35" s="402">
        <f>FQ35+MIN(0,FR33)</f>
        <v/>
      </c>
      <c r="FS35" s="402">
        <f>FR35+MIN(0,FS33)</f>
        <v/>
      </c>
      <c r="FT35" s="402">
        <f>FS35+MIN(0,FT33)</f>
        <v/>
      </c>
      <c r="FU35" s="402">
        <f>FT35+MIN(0,FU33)</f>
        <v/>
      </c>
      <c r="FV35" s="402">
        <f>FU35+MIN(0,FV33)</f>
        <v/>
      </c>
      <c r="FW35" s="402">
        <f>FV35+MIN(0,FW33)</f>
        <v/>
      </c>
      <c r="FX35" s="402">
        <f>FW35+MIN(0,FX33)</f>
        <v/>
      </c>
      <c r="FY35" s="402">
        <f>FX35+MIN(0,FY33)</f>
        <v/>
      </c>
      <c r="FZ35" s="402">
        <f>FY35+MIN(0,FZ33)</f>
        <v/>
      </c>
      <c r="GA35" s="402">
        <f>FZ35+MIN(0,GA33)</f>
        <v/>
      </c>
      <c r="GB35" s="402">
        <f>GA35+MIN(0,GB33)</f>
        <v/>
      </c>
      <c r="GC35" s="402">
        <f>GB35+MIN(0,GC33)</f>
        <v/>
      </c>
      <c r="GD35" s="402">
        <f>GC35+MIN(0,GD33)</f>
        <v/>
      </c>
      <c r="GE35" s="402">
        <f>GD35+MIN(0,GE33)</f>
        <v/>
      </c>
      <c r="GF35" s="402">
        <f>GE35+MIN(0,GF33)</f>
        <v/>
      </c>
      <c r="GG35" s="402">
        <f>GF35+MIN(0,GG33)</f>
        <v/>
      </c>
      <c r="GH35" s="402">
        <f>GG35+MIN(0,GH33)</f>
        <v/>
      </c>
      <c r="GI35" s="402">
        <f>GH35+MIN(0,GI33)</f>
        <v/>
      </c>
      <c r="GJ35" s="402">
        <f>GI35+MIN(0,GJ33)</f>
        <v/>
      </c>
      <c r="GK35" s="402">
        <f>GJ35+MIN(0,GK33)</f>
        <v/>
      </c>
      <c r="GL35" s="402">
        <f>GK35+MIN(0,GL33)</f>
        <v/>
      </c>
      <c r="GM35" s="402">
        <f>GL35+MIN(0,GM33)</f>
        <v/>
      </c>
      <c r="GN35" s="402">
        <f>GM35+MIN(0,GN33)</f>
        <v/>
      </c>
      <c r="GO35" s="402">
        <f>GN35+MIN(0,GO33)</f>
        <v/>
      </c>
      <c r="GP35" s="402">
        <f>GO35+MIN(0,GP33)</f>
        <v/>
      </c>
      <c r="GQ35" s="402">
        <f>GP35+MIN(0,GQ33)</f>
        <v/>
      </c>
      <c r="GR35" s="402">
        <f>GQ35+MIN(0,GR33)</f>
        <v/>
      </c>
      <c r="GS35" s="402">
        <f>GR35+MIN(0,GS33)</f>
        <v/>
      </c>
      <c r="GT35" s="402">
        <f>GS35+MIN(0,GT33)</f>
        <v/>
      </c>
      <c r="GU35" s="402">
        <f>GT35+MIN(0,GU33)</f>
        <v/>
      </c>
      <c r="GV35" s="402">
        <f>GU35+MIN(0,GV33)</f>
        <v/>
      </c>
      <c r="GW35" s="402">
        <f>GV35+MIN(0,GW33)</f>
        <v/>
      </c>
      <c r="GX35" s="402">
        <f>GW35+MIN(0,GX33)</f>
        <v/>
      </c>
      <c r="GY35" s="402">
        <f>GX35+MIN(0,GY33)</f>
        <v/>
      </c>
      <c r="GZ35" s="402">
        <f>GY35+MIN(0,GZ33)</f>
        <v/>
      </c>
      <c r="HA35" s="402">
        <f>GZ35+MIN(0,HA33)</f>
        <v/>
      </c>
      <c r="HB35" s="402">
        <f>HA35+MIN(0,HB33)</f>
        <v/>
      </c>
      <c r="HC35" s="402">
        <f>HB35+MIN(0,HC33)</f>
        <v/>
      </c>
      <c r="HD35" s="402">
        <f>HC35+MIN(0,HD33)</f>
        <v/>
      </c>
      <c r="HE35" s="402">
        <f>HD35+MIN(0,HE33)</f>
        <v/>
      </c>
      <c r="HF35" s="402">
        <f>HE35+MIN(0,HF33)</f>
        <v/>
      </c>
      <c r="HG35" s="402">
        <f>HF35+MIN(0,HG33)</f>
        <v/>
      </c>
      <c r="HH35" s="402">
        <f>HG35+MIN(0,HH33)</f>
        <v/>
      </c>
      <c r="HI35" s="402">
        <f>HH35+MIN(0,HI33)</f>
        <v/>
      </c>
      <c r="HJ35" s="402">
        <f>HI35+MIN(0,HJ33)</f>
        <v/>
      </c>
      <c r="HK35" s="402">
        <f>HJ35+MIN(0,HK33)</f>
        <v/>
      </c>
      <c r="HL35" s="402">
        <f>HK35+MIN(0,HL33)</f>
        <v/>
      </c>
      <c r="HM35" s="402">
        <f>HL35+MIN(0,HM33)</f>
        <v/>
      </c>
      <c r="HN35" s="402">
        <f>HM35+MIN(0,HN33)</f>
        <v/>
      </c>
      <c r="HO35" s="402">
        <f>HN35+MIN(0,HO33)</f>
        <v/>
      </c>
      <c r="HP35" s="402">
        <f>HO35+MIN(0,HP33)</f>
        <v/>
      </c>
      <c r="HQ35" s="402">
        <f>HP35+MIN(0,HQ33)</f>
        <v/>
      </c>
      <c r="HR35" s="402">
        <f>HQ35+MIN(0,HR33)</f>
        <v/>
      </c>
      <c r="HS35" s="402">
        <f>HR35+MIN(0,HS33)</f>
        <v/>
      </c>
      <c r="HT35" s="402">
        <f>HS35+MIN(0,HT33)</f>
        <v/>
      </c>
      <c r="HU35" s="402">
        <f>HT35+MIN(0,HU33)</f>
        <v/>
      </c>
      <c r="HV35" s="402">
        <f>HU35+MIN(0,HV33)</f>
        <v/>
      </c>
      <c r="HW35" s="402">
        <f>HV35+MIN(0,HW33)</f>
        <v/>
      </c>
      <c r="HX35" s="402">
        <f>HW35+MIN(0,HX33)</f>
        <v/>
      </c>
      <c r="HY35" s="402">
        <f>HX35+MIN(0,HY33)</f>
        <v/>
      </c>
      <c r="HZ35" s="402">
        <f>HY35+MIN(0,HZ33)</f>
        <v/>
      </c>
      <c r="IA35" s="402">
        <f>HZ35+MIN(0,IA33)</f>
        <v/>
      </c>
      <c r="IB35" s="402">
        <f>IA35+MIN(0,IB33)</f>
        <v/>
      </c>
      <c r="IC35" s="402">
        <f>IB35+MIN(0,IC33)</f>
        <v/>
      </c>
      <c r="ID35" s="402">
        <f>IC35+MIN(0,ID33)</f>
        <v/>
      </c>
      <c r="IE35" s="402">
        <f>ID35+MIN(0,IE33)</f>
        <v/>
      </c>
      <c r="IF35" s="402">
        <f>IE35+MIN(0,IF33)</f>
        <v/>
      </c>
      <c r="IG35" s="402">
        <f>IF35+MIN(0,IG33)</f>
        <v/>
      </c>
      <c r="IH35" s="402">
        <f>IG35+MIN(0,IH33)</f>
        <v/>
      </c>
      <c r="II35" s="402">
        <f>IH35+MIN(0,II33)</f>
        <v/>
      </c>
      <c r="IJ35" s="402">
        <f>II35+MIN(0,IJ33)</f>
        <v/>
      </c>
      <c r="IK35" s="402">
        <f>IJ35+MIN(0,IK33)</f>
        <v/>
      </c>
      <c r="IL35" s="402">
        <f>IK35+MIN(0,IL33)</f>
        <v/>
      </c>
      <c r="IM35" s="402">
        <f>IL35+MIN(0,IM33)</f>
        <v/>
      </c>
      <c r="IN35" s="402">
        <f>IM35+MIN(0,IN33)</f>
        <v/>
      </c>
      <c r="IO35" s="402">
        <f>IN35+MIN(0,IO33)</f>
        <v/>
      </c>
      <c r="IP35" s="402">
        <f>IO35+MIN(0,IP33)</f>
        <v/>
      </c>
      <c r="IQ35" s="402">
        <f>IP35+MIN(0,IQ33)</f>
        <v/>
      </c>
      <c r="IR35" s="402">
        <f>IQ35+MIN(0,IR33)</f>
        <v/>
      </c>
      <c r="IS35" s="402">
        <f>IR35+MIN(0,IS33)</f>
        <v/>
      </c>
      <c r="IT35" s="402">
        <f>IS35+MIN(0,IT33)</f>
        <v/>
      </c>
      <c r="IU35" s="402">
        <f>IT35+MIN(0,IU33)</f>
        <v/>
      </c>
      <c r="IV35" s="402">
        <f>IU35+MIN(0,IV33)</f>
        <v/>
      </c>
      <c r="IW35" s="402">
        <f>IV35+MIN(0,IW33)</f>
        <v/>
      </c>
      <c r="IX35" s="402">
        <f>IW35+MIN(0,IX33)</f>
        <v/>
      </c>
      <c r="IY35" s="402">
        <f>IX35+MIN(0,IY33)</f>
        <v/>
      </c>
      <c r="IZ35" s="402">
        <f>IY35+MIN(0,IZ33)</f>
        <v/>
      </c>
      <c r="JA35" s="402">
        <f>IZ35+MIN(0,JA33)</f>
        <v/>
      </c>
      <c r="JB35" s="402">
        <f>JA35+MIN(0,JB33)</f>
        <v/>
      </c>
      <c r="JC35" s="402">
        <f>JB35+MIN(0,JC33)</f>
        <v/>
      </c>
      <c r="JD35" s="402">
        <f>JC35+MIN(0,JD33)</f>
        <v/>
      </c>
      <c r="JE35" s="402">
        <f>JD35+MIN(0,JE33)</f>
        <v/>
      </c>
      <c r="JF35" s="402">
        <f>JE35+MIN(0,JF33)</f>
        <v/>
      </c>
      <c r="JG35" s="402">
        <f>JF35+MIN(0,JG33)</f>
        <v/>
      </c>
      <c r="JH35" s="402">
        <f>JG35+MIN(0,JH33)</f>
        <v/>
      </c>
      <c r="JI35" s="402">
        <f>JH35+MIN(0,JI33)</f>
        <v/>
      </c>
      <c r="JJ35" s="402">
        <f>JI35+MIN(0,JJ33)</f>
        <v/>
      </c>
      <c r="JK35" s="402">
        <f>JJ35+MIN(0,JK33)</f>
        <v/>
      </c>
      <c r="JL35" s="402">
        <f>JK35+MIN(0,JL33)</f>
        <v/>
      </c>
      <c r="JM35" s="402">
        <f>JL35+MIN(0,JM33)</f>
        <v/>
      </c>
      <c r="JN35" s="402">
        <f>JM35+MIN(0,JN33)</f>
        <v/>
      </c>
      <c r="JO35" s="402">
        <f>JN35+MIN(0,JO33)</f>
        <v/>
      </c>
      <c r="JP35" s="402">
        <f>JO35+MIN(0,JP33)</f>
        <v/>
      </c>
      <c r="JQ35" s="402">
        <f>JP35+MIN(0,JQ33)</f>
        <v/>
      </c>
      <c r="JR35" s="402">
        <f>JQ35+MIN(0,JR33)</f>
        <v/>
      </c>
      <c r="JS35" s="402">
        <f>JR35+MIN(0,JS33)</f>
        <v/>
      </c>
      <c r="JT35" s="402">
        <f>JS35+MIN(0,JT33)</f>
        <v/>
      </c>
      <c r="JU35" s="402">
        <f>JT35+MIN(0,JU33)</f>
        <v/>
      </c>
      <c r="JV35" s="402">
        <f>JU35+MIN(0,JV33)</f>
        <v/>
      </c>
      <c r="JW35" s="402">
        <f>JV35+MIN(0,JW33)</f>
        <v/>
      </c>
      <c r="JX35" s="402">
        <f>JW35+MIN(0,JX33)</f>
        <v/>
      </c>
      <c r="JY35" s="402">
        <f>JX35+MIN(0,JY33)</f>
        <v/>
      </c>
      <c r="JZ35" s="402">
        <f>JY35+MIN(0,JZ33)</f>
        <v/>
      </c>
      <c r="KA35" s="402">
        <f>JZ35+MIN(0,KA33)</f>
        <v/>
      </c>
      <c r="KB35" s="402">
        <f>KA35+MIN(0,KB33)</f>
        <v/>
      </c>
      <c r="KC35" s="402">
        <f>KB35+MIN(0,KC33)</f>
        <v/>
      </c>
      <c r="KD35" s="402">
        <f>KC35+MIN(0,KD33)</f>
        <v/>
      </c>
      <c r="KE35" s="402">
        <f>KD35+MIN(0,KE33)</f>
        <v/>
      </c>
      <c r="KF35" s="402">
        <f>KE35+MIN(0,KF33)</f>
        <v/>
      </c>
      <c r="KG35" s="402">
        <f>KF35+MIN(0,KG33)</f>
        <v/>
      </c>
      <c r="KH35" s="402">
        <f>KG35+MIN(0,KH33)</f>
        <v/>
      </c>
      <c r="KI35" s="402">
        <f>KH35+MIN(0,KI33)</f>
        <v/>
      </c>
      <c r="KJ35" s="402">
        <f>KI35+MIN(0,KJ33)</f>
        <v/>
      </c>
      <c r="KK35" s="402">
        <f>KJ35+MIN(0,KK33)</f>
        <v/>
      </c>
      <c r="KL35" s="402">
        <f>KK35+MIN(0,KL33)</f>
        <v/>
      </c>
      <c r="KM35" s="402">
        <f>KL35+MIN(0,KM33)</f>
        <v/>
      </c>
      <c r="KN35" s="402">
        <f>KM35+MIN(0,KN33)</f>
        <v/>
      </c>
      <c r="KO35" s="402">
        <f>KN35+MIN(0,KO33)</f>
        <v/>
      </c>
      <c r="KP35" s="402">
        <f>KO35+MIN(0,KP33)</f>
        <v/>
      </c>
      <c r="KQ35" s="402">
        <f>KP35+MIN(0,KQ33)</f>
        <v/>
      </c>
      <c r="KR35" s="402">
        <f>KQ35+MIN(0,KR33)</f>
        <v/>
      </c>
      <c r="KS35" s="402">
        <f>KR35+MIN(0,KS33)</f>
        <v/>
      </c>
      <c r="KT35" s="402">
        <f>KS35+MIN(0,KT33)</f>
        <v/>
      </c>
      <c r="KU35" s="402">
        <f>KT35+MIN(0,KU33)</f>
        <v/>
      </c>
      <c r="KV35" s="402">
        <f>KU35+MIN(0,KV33)</f>
        <v/>
      </c>
      <c r="KW35" s="402">
        <f>KV35+MIN(0,KW33)</f>
        <v/>
      </c>
      <c r="KX35" s="402">
        <f>KW35+MIN(0,KX33)</f>
        <v/>
      </c>
      <c r="KY35" s="402">
        <f>KX35+MIN(0,KY33)</f>
        <v/>
      </c>
      <c r="KZ35" s="402">
        <f>KY35+MIN(0,KZ33)</f>
        <v/>
      </c>
      <c r="LA35" s="402">
        <f>KZ35+MIN(0,LA33)</f>
        <v/>
      </c>
      <c r="LB35" s="402">
        <f>LA35+MIN(0,LB33)</f>
        <v/>
      </c>
      <c r="LC35" s="402">
        <f>LB35+MIN(0,LC33)</f>
        <v/>
      </c>
      <c r="LD35" s="402">
        <f>LC35+MIN(0,LD33)</f>
        <v/>
      </c>
      <c r="LE35" s="402">
        <f>LD35+MIN(0,LE33)</f>
        <v/>
      </c>
      <c r="LF35" s="402">
        <f>LE35+MIN(0,LF33)</f>
        <v/>
      </c>
      <c r="LG35" s="402">
        <f>LF35+MIN(0,LG33)</f>
        <v/>
      </c>
      <c r="LH35" s="402">
        <f>LG35+MIN(0,LH33)</f>
        <v/>
      </c>
      <c r="LI35" s="402">
        <f>LH35+MIN(0,LI33)</f>
        <v/>
      </c>
      <c r="LJ35" s="402">
        <f>LI35+MIN(0,LJ33)</f>
        <v/>
      </c>
      <c r="LK35" s="402">
        <f>LJ35+MIN(0,LK33)</f>
        <v/>
      </c>
      <c r="LL35" s="402">
        <f>LK35+MIN(0,LL33)</f>
        <v/>
      </c>
      <c r="LM35" s="402">
        <f>LL35+MIN(0,LM33)</f>
        <v/>
      </c>
      <c r="LN35" s="402">
        <f>LM35+MIN(0,LN33)</f>
        <v/>
      </c>
      <c r="LO35" s="402">
        <f>LN35+MIN(0,LO33)</f>
        <v/>
      </c>
      <c r="LP35" s="402">
        <f>LO35+MIN(0,LP33)</f>
        <v/>
      </c>
      <c r="LQ35" s="402">
        <f>LP35+MIN(0,LQ33)</f>
        <v/>
      </c>
      <c r="LR35" s="402">
        <f>LQ35+MIN(0,LR33)</f>
        <v/>
      </c>
      <c r="LS35" s="402">
        <f>LR35+MIN(0,LS33)</f>
        <v/>
      </c>
      <c r="LT35" s="402">
        <f>LS35+MIN(0,LT33)</f>
        <v/>
      </c>
      <c r="LU35" s="402">
        <f>LT35+MIN(0,LU33)</f>
        <v/>
      </c>
      <c r="LV35" s="402">
        <f>LU35+MIN(0,LV33)</f>
        <v/>
      </c>
      <c r="LW35" s="402">
        <f>LV35+MIN(0,LW33)</f>
        <v/>
      </c>
      <c r="LX35" s="402">
        <f>LW35+MIN(0,LX33)</f>
        <v/>
      </c>
      <c r="LY35" s="402">
        <f>LX35+MIN(0,LY33)</f>
        <v/>
      </c>
      <c r="LZ35" s="402">
        <f>LY35+MIN(0,LZ33)</f>
        <v/>
      </c>
      <c r="MA35" s="402">
        <f>LZ35+MIN(0,MA33)</f>
        <v/>
      </c>
      <c r="MB35" s="402">
        <f>MA35+MIN(0,MB33)</f>
        <v/>
      </c>
      <c r="MC35" s="402">
        <f>MB35+MIN(0,MC33)</f>
        <v/>
      </c>
      <c r="MD35" s="402">
        <f>MC35+MIN(0,MD33)</f>
        <v/>
      </c>
      <c r="ME35" s="402">
        <f>MD35+MIN(0,ME33)</f>
        <v/>
      </c>
      <c r="MF35" s="402">
        <f>ME35+MIN(0,MF33)</f>
        <v/>
      </c>
      <c r="MG35" s="402">
        <f>MF35+MIN(0,MG33)</f>
        <v/>
      </c>
      <c r="MH35" s="402">
        <f>MG35+MIN(0,MH33)</f>
        <v/>
      </c>
      <c r="MI35" s="402">
        <f>MH35+MIN(0,MI33)</f>
        <v/>
      </c>
      <c r="MJ35" s="402">
        <f>MI35+MIN(0,MJ33)</f>
        <v/>
      </c>
      <c r="MK35" s="402">
        <f>MJ35+MIN(0,MK33)</f>
        <v/>
      </c>
      <c r="ML35" s="402">
        <f>MK35+MIN(0,ML33)</f>
        <v/>
      </c>
      <c r="MM35" s="402">
        <f>ML35+MIN(0,MM33)</f>
        <v/>
      </c>
      <c r="MN35" s="402">
        <f>MM35+MIN(0,MN33)</f>
        <v/>
      </c>
      <c r="MO35" s="402">
        <f>MN35+MIN(0,MO33)</f>
        <v/>
      </c>
      <c r="MP35" s="402">
        <f>MO35+MIN(0,MP33)</f>
        <v/>
      </c>
      <c r="MQ35" s="402">
        <f>MP35+MIN(0,MQ33)</f>
        <v/>
      </c>
      <c r="MR35" s="402">
        <f>MQ35+MIN(0,MR33)</f>
        <v/>
      </c>
      <c r="MS35" s="402">
        <f>MR35+MIN(0,MS33)</f>
        <v/>
      </c>
      <c r="MT35" s="402">
        <f>MS35+MIN(0,MT33)</f>
        <v/>
      </c>
      <c r="MU35" s="402">
        <f>MT35+MIN(0,MU33)</f>
        <v/>
      </c>
      <c r="MV35" s="402">
        <f>MU35+MIN(0,MV33)</f>
        <v/>
      </c>
      <c r="MW35" s="402">
        <f>MV35+MIN(0,MW33)</f>
        <v/>
      </c>
      <c r="MX35" s="402">
        <f>MW35+MIN(0,MX33)</f>
        <v/>
      </c>
      <c r="MY35" s="402">
        <f>MX35+MIN(0,MY33)</f>
        <v/>
      </c>
      <c r="MZ35" s="402">
        <f>MY35+MIN(0,MZ33)</f>
        <v/>
      </c>
      <c r="NA35" s="402">
        <f>MZ35+MIN(0,NA33)</f>
        <v/>
      </c>
      <c r="NB35" s="402">
        <f>NA35+MIN(0,NB33)</f>
        <v/>
      </c>
      <c r="NC35" s="402">
        <f>NB35+MIN(0,NC33)</f>
        <v/>
      </c>
      <c r="ND35" s="402">
        <f>NC35+MIN(0,ND33)</f>
        <v/>
      </c>
      <c r="NE35" s="402">
        <f>ND35+MIN(0,NE33)</f>
        <v/>
      </c>
      <c r="NF35" s="402">
        <f>NE35+MIN(0,NF33)</f>
        <v/>
      </c>
      <c r="NG35" s="402">
        <f>NF35+MIN(0,NG33)</f>
        <v/>
      </c>
      <c r="NH35" s="402">
        <f>NG35+MIN(0,NH33)</f>
        <v/>
      </c>
      <c r="NI35" s="402">
        <f>NH35+MIN(0,NI33)</f>
        <v/>
      </c>
      <c r="NJ35" s="402">
        <f>NI35+MIN(0,NJ33)</f>
        <v/>
      </c>
      <c r="NK35" s="402">
        <f>NJ35+MIN(0,NK33)</f>
        <v/>
      </c>
      <c r="NL35" s="402">
        <f>NK35+MIN(0,NL33)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51"/>
  <sheetViews>
    <sheetView showGridLines="0" workbookViewId="0">
      <pane xSplit="4" ySplit="21" topLeftCell="E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Waterfall Assumptions</t>
        </is>
      </c>
      <c r="C4" s="155" t="n"/>
      <c r="D4" s="155" t="n"/>
    </row>
    <row r="5">
      <c r="B5" s="316" t="inlineStr">
        <is>
          <t>GP Co-Invest %</t>
        </is>
      </c>
      <c r="C5" s="386" t="n">
        <v>0.1</v>
      </c>
    </row>
    <row r="6">
      <c r="B6" s="316" t="inlineStr">
        <is>
          <t>Preferred Return (Tier 1)</t>
        </is>
      </c>
      <c r="C6" s="386" t="n">
        <v>0.08</v>
      </c>
    </row>
    <row r="7">
      <c r="B7" s="316" t="inlineStr">
        <is>
          <t>Hurdle 2 IRR</t>
        </is>
      </c>
      <c r="C7" s="386" t="n">
        <v>0.12</v>
      </c>
    </row>
    <row r="8">
      <c r="B8" s="316" t="inlineStr">
        <is>
          <t>Hurdle 3 IRR</t>
        </is>
      </c>
      <c r="C8" s="386" t="n">
        <v>0.15</v>
      </c>
    </row>
    <row r="9">
      <c r="B9" s="316" t="inlineStr">
        <is>
          <t>GP Promote — Tier 2</t>
        </is>
      </c>
      <c r="C9" s="386" t="n">
        <v>0.2</v>
      </c>
    </row>
    <row r="10">
      <c r="B10" s="316" t="inlineStr">
        <is>
          <t>GP Promote — Tier 3</t>
        </is>
      </c>
      <c r="C10" s="386" t="n">
        <v>0.3</v>
      </c>
    </row>
    <row r="11">
      <c r="B11" s="316" t="inlineStr">
        <is>
          <t>GP Promote — Tier 4 (residual)</t>
        </is>
      </c>
      <c r="C11" s="386" t="n">
        <v>0.4</v>
      </c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DevSpend!E$35</f>
        <v/>
      </c>
      <c r="F45" s="402">
        <f>DevSpend!F$35</f>
        <v/>
      </c>
      <c r="G45" s="402">
        <f>DevSpend!G$35</f>
        <v/>
      </c>
      <c r="H45" s="402">
        <f>DevSpend!H$35</f>
        <v/>
      </c>
      <c r="I45" s="402">
        <f>DevSpend!I$35</f>
        <v/>
      </c>
      <c r="J45" s="402">
        <f>DevSpend!J$35</f>
        <v/>
      </c>
      <c r="K45" s="402">
        <f>DevSpend!K$35</f>
        <v/>
      </c>
      <c r="L45" s="402">
        <f>DevSpend!L$35</f>
        <v/>
      </c>
      <c r="M45" s="402">
        <f>DevSpend!M$35</f>
        <v/>
      </c>
      <c r="N45" s="402">
        <f>DevSpend!N$35</f>
        <v/>
      </c>
      <c r="O45" s="402">
        <f>DevSpend!O$35</f>
        <v/>
      </c>
      <c r="P45" s="402">
        <f>DevSpend!P$35</f>
        <v/>
      </c>
      <c r="Q45" s="402">
        <f>DevSpend!Q$35</f>
        <v/>
      </c>
      <c r="R45" s="402">
        <f>DevSpend!R$35</f>
        <v/>
      </c>
      <c r="S45" s="402">
        <f>DevSpend!S$35</f>
        <v/>
      </c>
      <c r="T45" s="402">
        <f>DevSpend!T$35</f>
        <v/>
      </c>
      <c r="U45" s="402">
        <f>DevSpend!U$35</f>
        <v/>
      </c>
      <c r="V45" s="402">
        <f>DevSpend!V$35</f>
        <v/>
      </c>
      <c r="W45" s="402">
        <f>DevSpend!W$35</f>
        <v/>
      </c>
      <c r="X45" s="402">
        <f>DevSpend!X$35</f>
        <v/>
      </c>
      <c r="Y45" s="402">
        <f>DevSpend!Y$35</f>
        <v/>
      </c>
      <c r="Z45" s="402">
        <f>DevSpend!Z$35</f>
        <v/>
      </c>
      <c r="AA45" s="402">
        <f>DevSpend!AA$35</f>
        <v/>
      </c>
      <c r="AB45" s="402">
        <f>DevSpend!AB$35</f>
        <v/>
      </c>
      <c r="AC45" s="402">
        <f>DevSpend!AC$35</f>
        <v/>
      </c>
      <c r="AD45" s="402">
        <f>DevSpend!AD$35</f>
        <v/>
      </c>
      <c r="AE45" s="402">
        <f>DevSpend!AE$35</f>
        <v/>
      </c>
      <c r="AF45" s="402">
        <f>DevSpend!AF$35</f>
        <v/>
      </c>
      <c r="AG45" s="402">
        <f>DevSpend!AG$35</f>
        <v/>
      </c>
      <c r="AH45" s="402">
        <f>DevSpend!AH$35</f>
        <v/>
      </c>
      <c r="AI45" s="402">
        <f>DevSpend!AI$35</f>
        <v/>
      </c>
      <c r="AJ45" s="402">
        <f>DevSpend!AJ$35</f>
        <v/>
      </c>
      <c r="AK45" s="402">
        <f>DevSpend!AK$35</f>
        <v/>
      </c>
      <c r="AL45" s="402">
        <f>DevSpend!AL$35</f>
        <v/>
      </c>
      <c r="AM45" s="402">
        <f>DevSpend!AM$35</f>
        <v/>
      </c>
      <c r="AN45" s="402">
        <f>DevSpend!AN$35</f>
        <v/>
      </c>
      <c r="AO45" s="402">
        <f>DevSpend!AO$35</f>
        <v/>
      </c>
      <c r="AP45" s="402">
        <f>DevSpend!AP$35</f>
        <v/>
      </c>
      <c r="AQ45" s="402">
        <f>DevSpend!AQ$35</f>
        <v/>
      </c>
      <c r="AR45" s="402">
        <f>DevSpend!AR$35</f>
        <v/>
      </c>
      <c r="AS45" s="402">
        <f>DevSpend!AS$35</f>
        <v/>
      </c>
      <c r="AT45" s="402">
        <f>DevSpend!AT$35</f>
        <v/>
      </c>
      <c r="AU45" s="402">
        <f>DevSpend!AU$35</f>
        <v/>
      </c>
      <c r="AV45" s="402">
        <f>DevSpend!AV$35</f>
        <v/>
      </c>
      <c r="AW45" s="402">
        <f>DevSpend!AW$35</f>
        <v/>
      </c>
      <c r="AX45" s="402">
        <f>DevSpend!AX$35</f>
        <v/>
      </c>
      <c r="AY45" s="402">
        <f>DevSpend!AY$35</f>
        <v/>
      </c>
      <c r="AZ45" s="402">
        <f>DevSpend!AZ$35</f>
        <v/>
      </c>
      <c r="BA45" s="402">
        <f>DevSpend!BA$35</f>
        <v/>
      </c>
      <c r="BB45" s="402">
        <f>DevSpend!BB$35</f>
        <v/>
      </c>
      <c r="BC45" s="402">
        <f>DevSpend!BC$35</f>
        <v/>
      </c>
      <c r="BD45" s="402">
        <f>DevSpend!BD$35</f>
        <v/>
      </c>
      <c r="BE45" s="402">
        <f>DevSpend!BE$35</f>
        <v/>
      </c>
      <c r="BF45" s="402">
        <f>DevSpend!BF$35</f>
        <v/>
      </c>
      <c r="BG45" s="402">
        <f>DevSpend!BG$35</f>
        <v/>
      </c>
      <c r="BH45" s="402">
        <f>DevSpend!BH$35</f>
        <v/>
      </c>
      <c r="BI45" s="402">
        <f>DevSpend!BI$35</f>
        <v/>
      </c>
      <c r="BJ45" s="402">
        <f>DevSpend!BJ$35</f>
        <v/>
      </c>
      <c r="BK45" s="402">
        <f>DevSpend!BK$35</f>
        <v/>
      </c>
      <c r="BL45" s="402">
        <f>DevSpend!BL$35</f>
        <v/>
      </c>
      <c r="BM45" s="402">
        <f>DevSpend!BM$35</f>
        <v/>
      </c>
      <c r="BN45" s="402">
        <f>DevSpend!BN$35</f>
        <v/>
      </c>
      <c r="BO45" s="402">
        <f>DevSpend!BO$35</f>
        <v/>
      </c>
      <c r="BP45" s="402">
        <f>DevSpend!BP$35</f>
        <v/>
      </c>
      <c r="BQ45" s="402">
        <f>DevSpend!BQ$35</f>
        <v/>
      </c>
      <c r="BR45" s="402">
        <f>DevSpend!BR$35</f>
        <v/>
      </c>
      <c r="BS45" s="402">
        <f>DevSpend!BS$35</f>
        <v/>
      </c>
      <c r="BT45" s="402">
        <f>DevSpend!BT$35</f>
        <v/>
      </c>
      <c r="BU45" s="402">
        <f>DevSpend!BU$35</f>
        <v/>
      </c>
      <c r="BV45" s="402">
        <f>DevSpend!BV$35</f>
        <v/>
      </c>
      <c r="BW45" s="402">
        <f>DevSpend!BW$35</f>
        <v/>
      </c>
      <c r="BX45" s="402">
        <f>DevSpend!BX$35</f>
        <v/>
      </c>
      <c r="BY45" s="402">
        <f>DevSpend!BY$35</f>
        <v/>
      </c>
      <c r="BZ45" s="402">
        <f>DevSpend!BZ$35</f>
        <v/>
      </c>
      <c r="CA45" s="402">
        <f>DevSpend!CA$35</f>
        <v/>
      </c>
      <c r="CB45" s="402">
        <f>DevSpend!CB$35</f>
        <v/>
      </c>
      <c r="CC45" s="402">
        <f>DevSpend!CC$35</f>
        <v/>
      </c>
      <c r="CD45" s="402">
        <f>DevSpend!CD$35</f>
        <v/>
      </c>
      <c r="CE45" s="402">
        <f>DevSpend!CE$35</f>
        <v/>
      </c>
      <c r="CF45" s="402">
        <f>DevSpend!CF$35</f>
        <v/>
      </c>
      <c r="CG45" s="402">
        <f>DevSpend!CG$35</f>
        <v/>
      </c>
      <c r="CH45" s="402">
        <f>DevSpend!CH$35</f>
        <v/>
      </c>
      <c r="CI45" s="402">
        <f>DevSpend!CI$35</f>
        <v/>
      </c>
      <c r="CJ45" s="402">
        <f>DevSpend!CJ$35</f>
        <v/>
      </c>
      <c r="CK45" s="402">
        <f>DevSpend!CK$35</f>
        <v/>
      </c>
      <c r="CL45" s="402">
        <f>DevSpend!CL$35</f>
        <v/>
      </c>
      <c r="CM45" s="402">
        <f>DevSpend!CM$35</f>
        <v/>
      </c>
      <c r="CN45" s="402">
        <f>DevSpend!CN$35</f>
        <v/>
      </c>
      <c r="CO45" s="402">
        <f>DevSpend!CO$35</f>
        <v/>
      </c>
      <c r="CP45" s="402">
        <f>DevSpend!CP$35</f>
        <v/>
      </c>
      <c r="CQ45" s="402">
        <f>DevSpend!CQ$35</f>
        <v/>
      </c>
      <c r="CR45" s="402">
        <f>DevSpend!CR$35</f>
        <v/>
      </c>
      <c r="CS45" s="402">
        <f>DevSpend!CS$35</f>
        <v/>
      </c>
      <c r="CT45" s="402">
        <f>DevSpend!CT$35</f>
        <v/>
      </c>
      <c r="CU45" s="402">
        <f>DevSpend!CU$35</f>
        <v/>
      </c>
      <c r="CV45" s="402">
        <f>DevSpend!CV$35</f>
        <v/>
      </c>
      <c r="CW45" s="402">
        <f>DevSpend!CW$35</f>
        <v/>
      </c>
      <c r="CX45" s="402">
        <f>DevSpend!CX$35</f>
        <v/>
      </c>
      <c r="CY45" s="402">
        <f>DevSpend!CY$35</f>
        <v/>
      </c>
      <c r="CZ45" s="402">
        <f>DevSpend!CZ$35</f>
        <v/>
      </c>
      <c r="DA45" s="402">
        <f>DevSpend!DA$35</f>
        <v/>
      </c>
      <c r="DB45" s="402">
        <f>DevSpend!DB$35</f>
        <v/>
      </c>
      <c r="DC45" s="402">
        <f>DevSpend!DC$35</f>
        <v/>
      </c>
      <c r="DD45" s="402">
        <f>DevSpend!DD$35</f>
        <v/>
      </c>
      <c r="DE45" s="402">
        <f>DevSpend!DE$35</f>
        <v/>
      </c>
      <c r="DF45" s="402">
        <f>DevSpend!DF$35</f>
        <v/>
      </c>
      <c r="DG45" s="402">
        <f>DevSpend!DG$35</f>
        <v/>
      </c>
      <c r="DH45" s="402">
        <f>DevSpend!DH$35</f>
        <v/>
      </c>
      <c r="DI45" s="402">
        <f>DevSpend!DI$35</f>
        <v/>
      </c>
      <c r="DJ45" s="402">
        <f>DevSpend!DJ$35</f>
        <v/>
      </c>
      <c r="DK45" s="402">
        <f>DevSpend!DK$35</f>
        <v/>
      </c>
      <c r="DL45" s="402">
        <f>DevSpend!DL$35</f>
        <v/>
      </c>
      <c r="DM45" s="402">
        <f>DevSpend!DM$35</f>
        <v/>
      </c>
      <c r="DN45" s="402">
        <f>DevSpend!DN$35</f>
        <v/>
      </c>
      <c r="DO45" s="402">
        <f>DevSpend!DO$35</f>
        <v/>
      </c>
      <c r="DP45" s="402">
        <f>DevSpend!DP$35</f>
        <v/>
      </c>
      <c r="DQ45" s="402">
        <f>DevSpend!DQ$35</f>
        <v/>
      </c>
      <c r="DR45" s="402">
        <f>DevSpend!DR$35</f>
        <v/>
      </c>
      <c r="DS45" s="402">
        <f>DevSpend!DS$35</f>
        <v/>
      </c>
      <c r="DT45" s="402">
        <f>DevSpend!DT$35</f>
        <v/>
      </c>
      <c r="DU45" s="402">
        <f>DevSpend!DU$35</f>
        <v/>
      </c>
      <c r="DV45" s="402">
        <f>DevSpend!DV$35</f>
        <v/>
      </c>
      <c r="DW45" s="402">
        <f>DevSpend!DW$35</f>
        <v/>
      </c>
      <c r="DX45" s="402">
        <f>DevSpend!DX$35</f>
        <v/>
      </c>
      <c r="DY45" s="402">
        <f>DevSpend!DY$35</f>
        <v/>
      </c>
      <c r="DZ45" s="402">
        <f>DevSpend!DZ$35</f>
        <v/>
      </c>
      <c r="EA45" s="402">
        <f>DevSpend!EA$35</f>
        <v/>
      </c>
      <c r="EB45" s="402">
        <f>DevSpend!EB$35</f>
        <v/>
      </c>
      <c r="EC45" s="402">
        <f>DevSpend!EC$35</f>
        <v/>
      </c>
      <c r="ED45" s="402">
        <f>DevSpend!ED$35</f>
        <v/>
      </c>
      <c r="EE45" s="402">
        <f>DevSpend!EE$35</f>
        <v/>
      </c>
      <c r="EF45" s="402">
        <f>DevSpend!EF$35</f>
        <v/>
      </c>
      <c r="EG45" s="402">
        <f>DevSpend!EG$35</f>
        <v/>
      </c>
      <c r="EH45" s="402">
        <f>DevSpend!EH$35</f>
        <v/>
      </c>
      <c r="EI45" s="402">
        <f>DevSpend!EI$35</f>
        <v/>
      </c>
      <c r="EJ45" s="402">
        <f>DevSpend!EJ$35</f>
        <v/>
      </c>
      <c r="EK45" s="402">
        <f>DevSpend!EK$35</f>
        <v/>
      </c>
      <c r="EL45" s="402">
        <f>DevSpend!EL$35</f>
        <v/>
      </c>
      <c r="EM45" s="402">
        <f>DevSpend!EM$35</f>
        <v/>
      </c>
      <c r="EN45" s="402">
        <f>DevSpend!EN$35</f>
        <v/>
      </c>
      <c r="EO45" s="402">
        <f>DevSpend!EO$35</f>
        <v/>
      </c>
      <c r="EP45" s="402">
        <f>DevSpend!EP$35</f>
        <v/>
      </c>
      <c r="EQ45" s="402">
        <f>DevSpend!EQ$35</f>
        <v/>
      </c>
      <c r="ER45" s="402">
        <f>DevSpend!ER$35</f>
        <v/>
      </c>
      <c r="ES45" s="402">
        <f>DevSpend!ES$35</f>
        <v/>
      </c>
      <c r="ET45" s="402">
        <f>DevSpend!ET$35</f>
        <v/>
      </c>
      <c r="EU45" s="402">
        <f>DevSpend!EU$35</f>
        <v/>
      </c>
      <c r="EV45" s="402">
        <f>DevSpend!EV$35</f>
        <v/>
      </c>
      <c r="EW45" s="402">
        <f>DevSpend!EW$35</f>
        <v/>
      </c>
      <c r="EX45" s="402">
        <f>DevSpend!EX$35</f>
        <v/>
      </c>
      <c r="EY45" s="402">
        <f>DevSpend!EY$35</f>
        <v/>
      </c>
      <c r="EZ45" s="402">
        <f>DevSpend!EZ$35</f>
        <v/>
      </c>
      <c r="FA45" s="402">
        <f>DevSpend!FA$35</f>
        <v/>
      </c>
      <c r="FB45" s="402">
        <f>DevSpend!FB$35</f>
        <v/>
      </c>
      <c r="FC45" s="402">
        <f>DevSpend!FC$35</f>
        <v/>
      </c>
      <c r="FD45" s="402">
        <f>DevSpend!FD$35</f>
        <v/>
      </c>
      <c r="FE45" s="402">
        <f>DevSpend!FE$35</f>
        <v/>
      </c>
      <c r="FF45" s="402">
        <f>DevSpend!FF$35</f>
        <v/>
      </c>
      <c r="FG45" s="402">
        <f>DevSpend!FG$35</f>
        <v/>
      </c>
      <c r="FH45" s="402">
        <f>DevSpend!FH$35</f>
        <v/>
      </c>
      <c r="FI45" s="402">
        <f>DevSpend!FI$35</f>
        <v/>
      </c>
      <c r="FJ45" s="402">
        <f>DevSpend!FJ$35</f>
        <v/>
      </c>
      <c r="FK45" s="402">
        <f>DevSpend!FK$35</f>
        <v/>
      </c>
      <c r="FL45" s="402">
        <f>DevSpend!FL$35</f>
        <v/>
      </c>
      <c r="FM45" s="402">
        <f>DevSpend!FM$35</f>
        <v/>
      </c>
      <c r="FN45" s="402">
        <f>DevSpend!FN$35</f>
        <v/>
      </c>
      <c r="FO45" s="402">
        <f>DevSpend!FO$35</f>
        <v/>
      </c>
      <c r="FP45" s="402">
        <f>DevSpend!FP$35</f>
        <v/>
      </c>
      <c r="FQ45" s="402">
        <f>DevSpend!FQ$35</f>
        <v/>
      </c>
      <c r="FR45" s="402">
        <f>DevSpend!FR$35</f>
        <v/>
      </c>
      <c r="FS45" s="402">
        <f>DevSpend!FS$35</f>
        <v/>
      </c>
      <c r="FT45" s="402">
        <f>DevSpend!FT$35</f>
        <v/>
      </c>
      <c r="FU45" s="402">
        <f>DevSpend!FU$35</f>
        <v/>
      </c>
      <c r="FV45" s="402">
        <f>DevSpend!FV$35</f>
        <v/>
      </c>
      <c r="FW45" s="402">
        <f>DevSpend!FW$35</f>
        <v/>
      </c>
      <c r="FX45" s="402">
        <f>DevSpend!FX$35</f>
        <v/>
      </c>
      <c r="FY45" s="402">
        <f>DevSpend!FY$35</f>
        <v/>
      </c>
      <c r="FZ45" s="402">
        <f>DevSpend!FZ$35</f>
        <v/>
      </c>
      <c r="GA45" s="402">
        <f>DevSpend!GA$35</f>
        <v/>
      </c>
      <c r="GB45" s="402">
        <f>DevSpend!GB$35</f>
        <v/>
      </c>
      <c r="GC45" s="402">
        <f>DevSpend!GC$35</f>
        <v/>
      </c>
      <c r="GD45" s="402">
        <f>DevSpend!GD$35</f>
        <v/>
      </c>
      <c r="GE45" s="402">
        <f>DevSpend!GE$35</f>
        <v/>
      </c>
      <c r="GF45" s="402">
        <f>DevSpend!GF$35</f>
        <v/>
      </c>
      <c r="GG45" s="402">
        <f>DevSpend!GG$35</f>
        <v/>
      </c>
      <c r="GH45" s="402">
        <f>DevSpend!GH$35</f>
        <v/>
      </c>
      <c r="GI45" s="402">
        <f>DevSpend!GI$35</f>
        <v/>
      </c>
      <c r="GJ45" s="402">
        <f>DevSpend!GJ$35</f>
        <v/>
      </c>
      <c r="GK45" s="402">
        <f>DevSpend!GK$35</f>
        <v/>
      </c>
      <c r="GL45" s="402">
        <f>DevSpend!GL$35</f>
        <v/>
      </c>
      <c r="GM45" s="402">
        <f>DevSpend!GM$35</f>
        <v/>
      </c>
      <c r="GN45" s="402">
        <f>DevSpend!GN$35</f>
        <v/>
      </c>
      <c r="GO45" s="402">
        <f>DevSpend!GO$35</f>
        <v/>
      </c>
      <c r="GP45" s="402">
        <f>DevSpend!GP$35</f>
        <v/>
      </c>
      <c r="GQ45" s="402">
        <f>DevSpend!GQ$35</f>
        <v/>
      </c>
      <c r="GR45" s="402">
        <f>DevSpend!GR$35</f>
        <v/>
      </c>
      <c r="GS45" s="402">
        <f>DevSpend!GS$35</f>
        <v/>
      </c>
      <c r="GT45" s="402">
        <f>DevSpend!GT$35</f>
        <v/>
      </c>
      <c r="GU45" s="402">
        <f>DevSpend!GU$35</f>
        <v/>
      </c>
      <c r="GV45" s="402">
        <f>DevSpend!GV$35</f>
        <v/>
      </c>
      <c r="GW45" s="402">
        <f>DevSpend!GW$35</f>
        <v/>
      </c>
      <c r="GX45" s="402">
        <f>DevSpend!GX$35</f>
        <v/>
      </c>
      <c r="GY45" s="402">
        <f>DevSpend!GY$35</f>
        <v/>
      </c>
      <c r="GZ45" s="402">
        <f>DevSpend!GZ$35</f>
        <v/>
      </c>
      <c r="HA45" s="402">
        <f>DevSpend!HA$35</f>
        <v/>
      </c>
      <c r="HB45" s="402">
        <f>DevSpend!HB$35</f>
        <v/>
      </c>
      <c r="HC45" s="402">
        <f>DevSpend!HC$35</f>
        <v/>
      </c>
      <c r="HD45" s="402">
        <f>DevSpend!HD$35</f>
        <v/>
      </c>
      <c r="HE45" s="402">
        <f>DevSpend!HE$35</f>
        <v/>
      </c>
      <c r="HF45" s="402">
        <f>DevSpend!HF$35</f>
        <v/>
      </c>
      <c r="HG45" s="402">
        <f>DevSpend!HG$35</f>
        <v/>
      </c>
      <c r="HH45" s="402">
        <f>DevSpend!HH$35</f>
        <v/>
      </c>
      <c r="HI45" s="402">
        <f>DevSpend!HI$35</f>
        <v/>
      </c>
      <c r="HJ45" s="402">
        <f>DevSpend!HJ$35</f>
        <v/>
      </c>
      <c r="HK45" s="402">
        <f>DevSpend!HK$35</f>
        <v/>
      </c>
      <c r="HL45" s="402">
        <f>DevSpend!HL$35</f>
        <v/>
      </c>
      <c r="HM45" s="402">
        <f>DevSpend!HM$35</f>
        <v/>
      </c>
      <c r="HN45" s="402">
        <f>DevSpend!HN$35</f>
        <v/>
      </c>
      <c r="HO45" s="402">
        <f>DevSpend!HO$35</f>
        <v/>
      </c>
      <c r="HP45" s="402">
        <f>DevSpend!HP$35</f>
        <v/>
      </c>
      <c r="HQ45" s="402">
        <f>DevSpend!HQ$35</f>
        <v/>
      </c>
      <c r="HR45" s="402">
        <f>DevSpend!HR$35</f>
        <v/>
      </c>
      <c r="HS45" s="402">
        <f>DevSpend!HS$35</f>
        <v/>
      </c>
      <c r="HT45" s="402">
        <f>DevSpend!HT$35</f>
        <v/>
      </c>
      <c r="HU45" s="402">
        <f>DevSpend!HU$35</f>
        <v/>
      </c>
      <c r="HV45" s="402">
        <f>DevSpend!HV$35</f>
        <v/>
      </c>
      <c r="HW45" s="402">
        <f>DevSpend!HW$35</f>
        <v/>
      </c>
      <c r="HX45" s="402">
        <f>DevSpend!HX$35</f>
        <v/>
      </c>
      <c r="HY45" s="402">
        <f>DevSpend!HY$35</f>
        <v/>
      </c>
      <c r="HZ45" s="402">
        <f>DevSpend!HZ$35</f>
        <v/>
      </c>
      <c r="IA45" s="402">
        <f>DevSpend!IA$35</f>
        <v/>
      </c>
      <c r="IB45" s="402">
        <f>DevSpend!IB$35</f>
        <v/>
      </c>
      <c r="IC45" s="402">
        <f>DevSpend!IC$35</f>
        <v/>
      </c>
      <c r="ID45" s="402">
        <f>DevSpend!ID$35</f>
        <v/>
      </c>
      <c r="IE45" s="402">
        <f>DevSpend!IE$35</f>
        <v/>
      </c>
      <c r="IF45" s="402">
        <f>DevSpend!IF$35</f>
        <v/>
      </c>
      <c r="IG45" s="402">
        <f>DevSpend!IG$35</f>
        <v/>
      </c>
      <c r="IH45" s="402">
        <f>DevSpend!IH$35</f>
        <v/>
      </c>
      <c r="II45" s="402">
        <f>DevSpend!II$35</f>
        <v/>
      </c>
      <c r="IJ45" s="402">
        <f>DevSpend!IJ$35</f>
        <v/>
      </c>
      <c r="IK45" s="402">
        <f>DevSpend!IK$35</f>
        <v/>
      </c>
      <c r="IL45" s="402">
        <f>DevSpend!IL$35</f>
        <v/>
      </c>
      <c r="IM45" s="402">
        <f>DevSpend!IM$35</f>
        <v/>
      </c>
      <c r="IN45" s="402">
        <f>DevSpend!IN$35</f>
        <v/>
      </c>
      <c r="IO45" s="402">
        <f>DevSpend!IO$35</f>
        <v/>
      </c>
      <c r="IP45" s="402">
        <f>DevSpend!IP$35</f>
        <v/>
      </c>
      <c r="IQ45" s="402">
        <f>DevSpend!IQ$35</f>
        <v/>
      </c>
      <c r="IR45" s="402">
        <f>DevSpend!IR$35</f>
        <v/>
      </c>
      <c r="IS45" s="402">
        <f>DevSpend!IS$35</f>
        <v/>
      </c>
      <c r="IT45" s="402">
        <f>DevSpend!IT$35</f>
        <v/>
      </c>
      <c r="IU45" s="402">
        <f>DevSpend!IU$35</f>
        <v/>
      </c>
      <c r="IV45" s="402">
        <f>DevSpend!IV$35</f>
        <v/>
      </c>
      <c r="IW45" s="402">
        <f>DevSpend!IW$35</f>
        <v/>
      </c>
      <c r="IX45" s="402">
        <f>DevSpend!IX$35</f>
        <v/>
      </c>
      <c r="IY45" s="402">
        <f>DevSpend!IY$35</f>
        <v/>
      </c>
      <c r="IZ45" s="402">
        <f>DevSpend!IZ$35</f>
        <v/>
      </c>
      <c r="JA45" s="402">
        <f>DevSpend!JA$35</f>
        <v/>
      </c>
      <c r="JB45" s="402">
        <f>DevSpend!JB$35</f>
        <v/>
      </c>
      <c r="JC45" s="402">
        <f>DevSpend!JC$35</f>
        <v/>
      </c>
      <c r="JD45" s="402">
        <f>DevSpend!JD$35</f>
        <v/>
      </c>
      <c r="JE45" s="402">
        <f>DevSpend!JE$35</f>
        <v/>
      </c>
      <c r="JF45" s="402">
        <f>DevSpend!JF$35</f>
        <v/>
      </c>
      <c r="JG45" s="402">
        <f>DevSpend!JG$35</f>
        <v/>
      </c>
      <c r="JH45" s="402">
        <f>DevSpend!JH$35</f>
        <v/>
      </c>
      <c r="JI45" s="402">
        <f>DevSpend!JI$35</f>
        <v/>
      </c>
      <c r="JJ45" s="402">
        <f>DevSpend!JJ$35</f>
        <v/>
      </c>
      <c r="JK45" s="402">
        <f>DevSpend!JK$35</f>
        <v/>
      </c>
      <c r="JL45" s="402">
        <f>DevSpend!JL$35</f>
        <v/>
      </c>
      <c r="JM45" s="402">
        <f>DevSpend!JM$35</f>
        <v/>
      </c>
      <c r="JN45" s="402">
        <f>DevSpend!JN$35</f>
        <v/>
      </c>
      <c r="JO45" s="402">
        <f>DevSpend!JO$35</f>
        <v/>
      </c>
      <c r="JP45" s="402">
        <f>DevSpend!JP$35</f>
        <v/>
      </c>
      <c r="JQ45" s="402">
        <f>DevSpend!JQ$35</f>
        <v/>
      </c>
      <c r="JR45" s="402">
        <f>DevSpend!JR$35</f>
        <v/>
      </c>
      <c r="JS45" s="402">
        <f>DevSpend!JS$35</f>
        <v/>
      </c>
      <c r="JT45" s="402">
        <f>DevSpend!JT$35</f>
        <v/>
      </c>
      <c r="JU45" s="402">
        <f>DevSpend!JU$35</f>
        <v/>
      </c>
      <c r="JV45" s="402">
        <f>DevSpend!JV$35</f>
        <v/>
      </c>
      <c r="JW45" s="402">
        <f>DevSpend!JW$35</f>
        <v/>
      </c>
      <c r="JX45" s="402">
        <f>DevSpend!JX$35</f>
        <v/>
      </c>
      <c r="JY45" s="402">
        <f>DevSpend!JY$35</f>
        <v/>
      </c>
      <c r="JZ45" s="402">
        <f>DevSpend!JZ$35</f>
        <v/>
      </c>
      <c r="KA45" s="402">
        <f>DevSpend!KA$35</f>
        <v/>
      </c>
      <c r="KB45" s="402">
        <f>DevSpend!KB$35</f>
        <v/>
      </c>
      <c r="KC45" s="402">
        <f>DevSpend!KC$35</f>
        <v/>
      </c>
      <c r="KD45" s="402">
        <f>DevSpend!KD$35</f>
        <v/>
      </c>
      <c r="KE45" s="402">
        <f>DevSpend!KE$35</f>
        <v/>
      </c>
      <c r="KF45" s="402">
        <f>DevSpend!KF$35</f>
        <v/>
      </c>
      <c r="KG45" s="402">
        <f>DevSpend!KG$35</f>
        <v/>
      </c>
      <c r="KH45" s="402">
        <f>DevSpend!KH$35</f>
        <v/>
      </c>
      <c r="KI45" s="402">
        <f>DevSpend!KI$35</f>
        <v/>
      </c>
      <c r="KJ45" s="402">
        <f>DevSpend!KJ$35</f>
        <v/>
      </c>
      <c r="KK45" s="402">
        <f>DevSpend!KK$35</f>
        <v/>
      </c>
      <c r="KL45" s="402">
        <f>DevSpend!KL$35</f>
        <v/>
      </c>
      <c r="KM45" s="402">
        <f>DevSpend!KM$35</f>
        <v/>
      </c>
      <c r="KN45" s="402">
        <f>DevSpend!KN$35</f>
        <v/>
      </c>
      <c r="KO45" s="402">
        <f>DevSpend!KO$35</f>
        <v/>
      </c>
      <c r="KP45" s="402">
        <f>DevSpend!KP$35</f>
        <v/>
      </c>
      <c r="KQ45" s="402">
        <f>DevSpend!KQ$35</f>
        <v/>
      </c>
      <c r="KR45" s="402">
        <f>DevSpend!KR$35</f>
        <v/>
      </c>
      <c r="KS45" s="402">
        <f>DevSpend!KS$35</f>
        <v/>
      </c>
      <c r="KT45" s="402">
        <f>DevSpend!KT$35</f>
        <v/>
      </c>
      <c r="KU45" s="402">
        <f>DevSpend!KU$35</f>
        <v/>
      </c>
      <c r="KV45" s="402">
        <f>DevSpend!KV$35</f>
        <v/>
      </c>
      <c r="KW45" s="402">
        <f>DevSpend!KW$35</f>
        <v/>
      </c>
      <c r="KX45" s="402">
        <f>DevSpend!KX$35</f>
        <v/>
      </c>
      <c r="KY45" s="402">
        <f>DevSpend!KY$35</f>
        <v/>
      </c>
      <c r="KZ45" s="402">
        <f>DevSpend!KZ$35</f>
        <v/>
      </c>
      <c r="LA45" s="402">
        <f>DevSpend!LA$35</f>
        <v/>
      </c>
      <c r="LB45" s="402">
        <f>DevSpend!LB$35</f>
        <v/>
      </c>
      <c r="LC45" s="402">
        <f>DevSpend!LC$35</f>
        <v/>
      </c>
      <c r="LD45" s="402">
        <f>DevSpend!LD$35</f>
        <v/>
      </c>
      <c r="LE45" s="402">
        <f>DevSpend!LE$35</f>
        <v/>
      </c>
      <c r="LF45" s="402">
        <f>DevSpend!LF$35</f>
        <v/>
      </c>
      <c r="LG45" s="402">
        <f>DevSpend!LG$35</f>
        <v/>
      </c>
      <c r="LH45" s="402">
        <f>DevSpend!LH$35</f>
        <v/>
      </c>
      <c r="LI45" s="402">
        <f>DevSpend!LI$35</f>
        <v/>
      </c>
      <c r="LJ45" s="402">
        <f>DevSpend!LJ$35</f>
        <v/>
      </c>
      <c r="LK45" s="402">
        <f>DevSpend!LK$35</f>
        <v/>
      </c>
      <c r="LL45" s="402">
        <f>DevSpend!LL$35</f>
        <v/>
      </c>
      <c r="LM45" s="402">
        <f>DevSpend!LM$35</f>
        <v/>
      </c>
      <c r="LN45" s="402">
        <f>DevSpend!LN$35</f>
        <v/>
      </c>
      <c r="LO45" s="402">
        <f>DevSpend!LO$35</f>
        <v/>
      </c>
      <c r="LP45" s="402">
        <f>DevSpend!LP$35</f>
        <v/>
      </c>
      <c r="LQ45" s="402">
        <f>DevSpend!LQ$35</f>
        <v/>
      </c>
      <c r="LR45" s="402">
        <f>DevSpend!LR$35</f>
        <v/>
      </c>
      <c r="LS45" s="402">
        <f>DevSpend!LS$35</f>
        <v/>
      </c>
      <c r="LT45" s="402">
        <f>DevSpend!LT$35</f>
        <v/>
      </c>
      <c r="LU45" s="402">
        <f>DevSpend!LU$35</f>
        <v/>
      </c>
      <c r="LV45" s="402">
        <f>DevSpend!LV$35</f>
        <v/>
      </c>
      <c r="LW45" s="402">
        <f>DevSpend!LW$35</f>
        <v/>
      </c>
      <c r="LX45" s="402">
        <f>DevSpend!LX$35</f>
        <v/>
      </c>
      <c r="LY45" s="402">
        <f>DevSpend!LY$35</f>
        <v/>
      </c>
      <c r="LZ45" s="402">
        <f>DevSpend!LZ$35</f>
        <v/>
      </c>
      <c r="MA45" s="402">
        <f>DevSpend!MA$35</f>
        <v/>
      </c>
      <c r="MB45" s="402">
        <f>DevSpend!MB$35</f>
        <v/>
      </c>
      <c r="MC45" s="402">
        <f>DevSpend!MC$35</f>
        <v/>
      </c>
      <c r="MD45" s="402">
        <f>DevSpend!MD$35</f>
        <v/>
      </c>
      <c r="ME45" s="402">
        <f>DevSpend!ME$35</f>
        <v/>
      </c>
      <c r="MF45" s="402">
        <f>DevSpend!MF$35</f>
        <v/>
      </c>
      <c r="MG45" s="402">
        <f>DevSpend!MG$35</f>
        <v/>
      </c>
      <c r="MH45" s="402">
        <f>DevSpend!MH$35</f>
        <v/>
      </c>
      <c r="MI45" s="402">
        <f>DevSpend!MI$35</f>
        <v/>
      </c>
      <c r="MJ45" s="402">
        <f>DevSpend!MJ$35</f>
        <v/>
      </c>
      <c r="MK45" s="402">
        <f>DevSpend!MK$35</f>
        <v/>
      </c>
      <c r="ML45" s="402">
        <f>DevSpend!ML$35</f>
        <v/>
      </c>
      <c r="MM45" s="402">
        <f>DevSpend!MM$35</f>
        <v/>
      </c>
      <c r="MN45" s="402">
        <f>DevSpend!MN$35</f>
        <v/>
      </c>
      <c r="MO45" s="402">
        <f>DevSpend!MO$35</f>
        <v/>
      </c>
      <c r="MP45" s="402">
        <f>DevSpend!MP$35</f>
        <v/>
      </c>
      <c r="MQ45" s="402">
        <f>DevSpend!MQ$35</f>
        <v/>
      </c>
      <c r="MR45" s="402">
        <f>DevSpend!MR$35</f>
        <v/>
      </c>
      <c r="MS45" s="402">
        <f>DevSpend!MS$35</f>
        <v/>
      </c>
      <c r="MT45" s="402">
        <f>DevSpend!MT$35</f>
        <v/>
      </c>
      <c r="MU45" s="402">
        <f>DevSpend!MU$35</f>
        <v/>
      </c>
      <c r="MV45" s="402">
        <f>DevSpend!MV$35</f>
        <v/>
      </c>
      <c r="MW45" s="402">
        <f>DevSpend!MW$35</f>
        <v/>
      </c>
      <c r="MX45" s="402">
        <f>DevSpend!MX$35</f>
        <v/>
      </c>
      <c r="MY45" s="402">
        <f>DevSpend!MY$35</f>
        <v/>
      </c>
      <c r="MZ45" s="402">
        <f>DevSpend!MZ$35</f>
        <v/>
      </c>
      <c r="NA45" s="402">
        <f>DevSpend!NA$35</f>
        <v/>
      </c>
      <c r="NB45" s="402">
        <f>DevSpend!NB$35</f>
        <v/>
      </c>
      <c r="NC45" s="402">
        <f>DevSpend!NC$35</f>
        <v/>
      </c>
      <c r="ND45" s="402">
        <f>DevSpend!ND$35</f>
        <v/>
      </c>
      <c r="NE45" s="402">
        <f>DevSpend!NE$35</f>
        <v/>
      </c>
      <c r="NF45" s="402">
        <f>DevSpend!NF$35</f>
        <v/>
      </c>
      <c r="NG45" s="402">
        <f>DevSpend!NG$35</f>
        <v/>
      </c>
      <c r="NH45" s="402">
        <f>DevSpend!NH$35</f>
        <v/>
      </c>
      <c r="NI45" s="402">
        <f>DevSpend!NI$35</f>
        <v/>
      </c>
      <c r="NJ45" s="402">
        <f>DevSpend!NJ$35</f>
        <v/>
      </c>
      <c r="NK45" s="402">
        <f>DevSpend!NK$35</f>
        <v/>
      </c>
      <c r="NL45" s="402">
        <f>DevSpend!NL$35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promptTitle="GP Co-Invest %" type="decimal" operator="between">
      <formula1>0</formula1>
      <formula2>1</formula2>
    </dataValidation>
    <dataValidation sqref="C6" showDropDown="0" showInputMessage="0" showErrorMessage="1" allowBlank="0" promptTitle="Preferred Return (Tier 1)" type="decimal" operator="between">
      <formula1>0</formula1>
      <formula2>0.3</formula2>
    </dataValidation>
    <dataValidation sqref="C7" showDropDown="0" showInputMessage="0" showErrorMessage="1" allowBlank="0" promptTitle="Hurdle 2 IRR" type="decimal" operator="between">
      <formula1>0</formula1>
      <formula2>0.5</formula2>
    </dataValidation>
    <dataValidation sqref="C8" showDropDown="0" showInputMessage="0" showErrorMessage="1" allowBlank="0" promptTitle="Hurdle 3 IRR" type="decimal" operator="between">
      <formula1>0</formula1>
      <formula2>0.6</formula2>
    </dataValidation>
    <dataValidation sqref="C9" showDropDown="0" showInputMessage="0" showErrorMessage="1" allowBlank="0" promptTitle="GP Promote — Tier 2" type="decimal" operator="between">
      <formula1>0</formula1>
      <formula2>1</formula2>
    </dataValidation>
    <dataValidation sqref="C10" showDropDown="0" showInputMessage="0" showErrorMessage="1" allowBlank="0" promptTitle="GP Promote — Tier 3" type="decimal" operator="between">
      <formula1>0</formula1>
      <formula2>1</formula2>
    </dataValidation>
    <dataValidation sqref="C11" showDropDown="0" showInputMessage="0" showErrorMessage="1" allowBlank="0" promptTitle="GP Promote — Tier 4 (residual)" type="decimal" operator="between">
      <formula1>0</formula1>
      <formula2>1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2026-10-28T18:53:17Z</dcterms:modified>
  <cp:lastModifiedBy>Thomas Holben</cp:lastModifiedBy>
</cp:coreProperties>
</file>