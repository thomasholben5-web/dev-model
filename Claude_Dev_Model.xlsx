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Proforma" sheetId="2" state="visible" r:id="rId2"/>
    <sheet name="Inputs" sheetId="3" state="visible" r:id="rId3"/>
    <sheet name="UnitMatrix" sheetId="4" state="visible" r:id="rId4"/>
    <sheet name="Budget" sheetId="5" state="visible" r:id="rId5"/>
    <sheet name="Timeline" sheetId="6" state="visible" r:id="rId6"/>
    <sheet name="DevSpend" sheetId="7" state="visible" r:id="rId7"/>
    <sheet name="ConLoan" sheetId="8" state="visible" r:id="rId8"/>
    <sheet name="LeaseUp" sheetId="9" state="visible" r:id="rId9"/>
    <sheet name="Operating" sheetId="10" state="visible" r:id="rId10"/>
    <sheet name="PermLoan" sheetId="11" state="visible" r:id="rId11"/>
    <sheet name="Disposition" sheetId="12" state="visible" r:id="rId12"/>
    <sheet name="CashFlow" sheetId="13" state="visible" r:id="rId13"/>
    <sheet name="Returns" sheetId="14" state="visible" r:id="rId14"/>
    <sheet name="Diagnostics" sheetId="15" state="visible" r:id="rId15"/>
  </sheets>
  <definedNames>
    <definedName name="ActivePayoff">Disposition!$C$18</definedName>
    <definedName name="AssessedValueStab">Operating!$C$56</definedName>
    <definedName name="AssetMgmtFeePct">Inputs!$C$117</definedName>
    <definedName name="AvgUnitSF">UnitMatrix!$C$19</definedName>
    <definedName name="BadDebtPct">Inputs!$C$96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rokerCostPct">Inputs!$C$91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apAdjAging">Inputs!$C$19</definedName>
    <definedName name="CapAdjLocation">Inputs!$C$17</definedName>
    <definedName name="CapAdjSize">Inputs!$C$18</definedName>
    <definedName name="CapReservePerUnit">Inputs!$C$115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ity">Inputs!$C$7</definedName>
    <definedName name="ConActual360">Inputs!$C$64</definedName>
    <definedName name="ConcessionsPct">Inputs!$C$97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ermMonths">Inputs!$C$62</definedName>
    <definedName name="ConLoanTotal">ConLoan!$C$37</definedName>
    <definedName name="ConMaturity">Timeline!$C$18</definedName>
    <definedName name="ConMinDebtYield">Inputs!$C$67</definedName>
    <definedName name="ConMinDSCR">Inputs!$C$68</definedName>
    <definedName name="ConOtherCosts">Inputs!$C$66</definedName>
    <definedName name="ConPayoffBal">ConLoan!$C$38</definedName>
    <definedName name="ConPayoffMonth">Timeline!$C$25</definedName>
    <definedName name="ConPoints">ConLoan!$C$9</definedName>
    <definedName name="ConPointsPct">Inputs!$C$65</definedName>
    <definedName name="ConRate">Inputs!$C$63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FeePctDirect">Inputs!$C$85</definedName>
    <definedName name="DevFeeThirdPartySplit">Inputs!$C$86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DispoTaxRatePct">Inputs!$C$53</definedName>
    <definedName name="EfficiencyRatio">Inputs!$C$43</definedName>
    <definedName name="EffTaxRateOnValue">Operating!$C$54</definedName>
    <definedName name="EntryCapRate">Inputs!$C$16</definedName>
    <definedName name="EquityBudget">ConLoan!$C$13</definedName>
    <definedName name="EquityTotal">ConLoan!$C$40</definedName>
    <definedName name="ExistingStructureCost">Inputs!$C$44</definedName>
    <definedName name="ExitCapResidential">Inputs!$C$20</definedName>
    <definedName name="ExitCapRetail">Inputs!$C$21</definedName>
    <definedName name="ExitValue">Disposition!$C$10</definedName>
    <definedName name="ExpAdminPerUnit">Inputs!$C$112</definedName>
    <definedName name="ExpAdvertisingPerUnit">Inputs!$C$113</definedName>
    <definedName name="ExpContractPerUnit">Inputs!$C$111</definedName>
    <definedName name="ExpInsurancePerUnit">Inputs!$C$106</definedName>
    <definedName name="ExpPayrollPerUnit">Inputs!$C$108</definedName>
    <definedName name="ExpRMPerUnit">Inputs!$C$109</definedName>
    <definedName name="ExpTurnoverPerUnit">Inputs!$C$110</definedName>
    <definedName name="ExpUtilitiesPerUnit">Inputs!$C$107</definedName>
    <definedName name="FARRatio">Inputs!$C$42</definedName>
    <definedName name="FundingOrderPari">Inputs!$C$56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Acres">Inputs!$C$40</definedName>
    <definedName name="GrossSale">Disposition!$C$13</definedName>
    <definedName name="GrowthExpense">Inputs!$C$24</definedName>
    <definedName name="GrowthLowIncRent">Inputs!$C$23</definedName>
    <definedName name="GrowthOther">Inputs!$C$27</definedName>
    <definedName name="GrowthRent">Inputs!$C$22</definedName>
    <definedName name="GrowthStartDate">Inputs!$C$28</definedName>
    <definedName name="GrowthStartMonth">Timeline!$C$22</definedName>
    <definedName name="GrowthTax">Inputs!$C$26</definedName>
    <definedName name="GrowthUtility">Inputs!$C$25</definedName>
    <definedName name="HoldPeriodMonths">Inputs!$C$15</definedName>
    <definedName name="InceptionDate">Inputs!$C$12</definedName>
    <definedName name="InterestReserveAccrued">ConLoan!$C$35</definedName>
    <definedName name="InterestReserveFunded">ConLoan!$C$36</definedName>
    <definedName name="InvestmentType">Inputs!$C$5</definedName>
    <definedName name="LandCost">Inputs!$C$39</definedName>
    <definedName name="LeaseUpElevationPct">Inputs!$C$35</definedName>
    <definedName name="LeaseUpIncomeOffset">Inputs!$C$31</definedName>
    <definedName name="LeaseUpRampPct">Inputs!$C$34</definedName>
    <definedName name="LenderReqReserveOverride">Inputs!$C$69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cation">Inputs!$C$11</definedName>
    <definedName name="LossToLeasePct">Inputs!$C$98</definedName>
    <definedName name="LowUnits">UnitMatrix!$C$16</definedName>
    <definedName name="LTC_Realized">ConLoan!$C$41</definedName>
    <definedName name="Market">Inputs!$C$9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gmtFeePct">Inputs!$C$114</definedName>
    <definedName name="MilestoneEnd">Timeline!$E$4:$E$14</definedName>
    <definedName name="MilestoneNames">Timeline!$B$4:$B$14</definedName>
    <definedName name="MilestoneStart">Timeline!$C$4:$C$14</definedName>
    <definedName name="ModelUnits">Inputs!$C$99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Acres">Inputs!$C$41</definedName>
    <definedName name="NetSale">Disposition!$C$19</definedName>
    <definedName name="NetSaleUnlev">Disposition!$C$20</definedName>
    <definedName name="NoCashOut">Inputs!$C$81</definedName>
    <definedName name="NRSF">UnitMatrix!$C$17</definedName>
    <definedName name="OpReserve">Operating!$C$51</definedName>
    <definedName name="OpReserveCoverage">Inputs!$C$58</definedName>
    <definedName name="OpReserveMinMonths">Inputs!$C$59</definedName>
    <definedName name="OtherIncPerUnitMo">Inputs!$C$103</definedName>
    <definedName name="ParkingPerUnitMo">Inputs!$C$100</definedName>
    <definedName name="PeakShort">Operating!$C$50</definedName>
    <definedName name="PermActual360">Inputs!$C$77</definedName>
    <definedName name="PermAmortMonths">Inputs!$C$76</definedName>
    <definedName name="PermDSCRtest">PermLoan!$C$20</definedName>
    <definedName name="PermDYtest">PermLoan!$C$19</definedName>
    <definedName name="PermIOMonths">Inputs!$C$75</definedName>
    <definedName name="PermLoan">PermLoan!$C$12</definedName>
    <definedName name="PermLTVtest">PermLoan!$C$18</definedName>
    <definedName name="PermMaxLTV">Inputs!$C$72</definedName>
    <definedName name="PermMinDebtYield">Inputs!$C$79</definedName>
    <definedName name="PermMinDSCR">Inputs!$C$80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PointsPct">Inputs!$C$78</definedName>
    <definedName name="PermRate">Inputs!$C$73</definedName>
    <definedName name="PermSized">PermLoan!$C$10</definedName>
    <definedName name="PermTermMonths">Inputs!$C$74</definedName>
    <definedName name="ProductType">Inputs!$C$10</definedName>
    <definedName name="PropertyName">Inputs!$C$6</definedName>
    <definedName name="ReassessOnSale">Inputs!$C$52</definedName>
    <definedName name="RecourseFee">ConLoan!$C$10</definedName>
    <definedName name="RecourseFeePct">Inputs!$C$88</definedName>
    <definedName name="RefiCashOut">PermLoan!$C$14</definedName>
    <definedName name="RefiFlag">Timeline!$C$23</definedName>
    <definedName name="RefiMonth">Timeline!$C$24</definedName>
    <definedName name="RefiMonthOverride">Inputs!$C$82</definedName>
    <definedName name="RetailIncomeMo">Inputs!$C$101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alesTaxPct">Inputs!$C$92</definedName>
    <definedName name="SponsorDispoFee">Disposition!$C$16</definedName>
    <definedName name="SponsorDispoFeePct">Inputs!$C$87</definedName>
    <definedName name="StabilizedOccupancy">Inputs!$C$36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e">Inputs!$C$8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rgetLTC">Inputs!$C$57</definedName>
    <definedName name="TaxAssessmentPct">Inputs!$C$48</definedName>
    <definedName name="TaxLevyPct">Inputs!$C$47</definedName>
    <definedName name="TaxMethodValue">Inputs!$C$50</definedName>
    <definedName name="TaxPrepPerUnit">Inputs!$C$116</definedName>
    <definedName name="TaxProration">Disposition!$C$17</definedName>
    <definedName name="TaxProrationMonths">Inputs!$C$93</definedName>
    <definedName name="TaxValueAdjFactor">Inputs!$C$49</definedName>
    <definedName name="TaxYear1">Operating!$C$57</definedName>
    <definedName name="TaxYear1Override">Inputs!$C$51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itsDeliveredPerMo">Inputs!$C$32</definedName>
    <definedName name="UnitsLeasedPerMo">Inputs!$C$33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UtilReimbPerUnitMo">Inputs!$C$102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DeliveryLagMonths">'Inputs'!$C$120</definedName>
    <definedName name="Dur_OpenEscrow">'Inputs'!$C$121</definedName>
    <definedName name="Dur_DueDiligence">'Inputs'!$C$122</definedName>
    <definedName name="Dur_Entitlement">'Inputs'!$C$123</definedName>
    <definedName name="Dur_PreConstruction">'Inputs'!$C$124</definedName>
    <definedName name="Dur_InitialClosing">'Inputs'!$C$125</definedName>
    <definedName name="Dur_Construction">'Inputs'!$C$126</definedName>
    <definedName name="Dur_FirstUnitDelivery">'Inputs'!$C$127</definedName>
    <definedName name="Dur_Stabilization">'Inputs'!$C$128</definedName>
    <definedName name="Dur_Recap">'Inputs'!$C$129</definedName>
    <definedName name="Dur_Disposition">'Inputs'!$C$130</definedName>
    <definedName name="StaticTaxYear1">'Operating'!$C$77</definedName>
    <definedName name="TaxCapitalizeLeaseUp">'Inputs'!$C$135</definedName>
    <definedName name="TaxOpStartMonth">'Timeline'!$C$45</definedName>
    <definedName name="ErrorsFound">'Diagnostics'!$C$38</definedName>
    <definedName name="WarningsFound">'Diagnostics'!$C$39</definedName>
  </definedNames>
  <calcPr calcId="191029" fullCalcOnLoad="1" iterate="1"/>
</workbook>
</file>

<file path=xl/styles.xml><?xml version="1.0" encoding="utf-8"?>
<styleSheet xmlns="http://schemas.openxmlformats.org/spreadsheetml/2006/main">
  <numFmts count="17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</numFmts>
  <fonts count="20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</borders>
  <cellStyleXfs count="1">
    <xf numFmtId="0" fontId="0" fillId="0" borderId="0"/>
  </cellStyleXfs>
  <cellXfs count="30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</cellXfs>
  <cellStyles count="1">
    <cellStyle name="Normal" xfId="0" builtinId="0"/>
  </cellStyles>
  <dxfs count="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30" customWidth="1" style="97" min="2" max="2"/>
    <col width="18" customWidth="1" style="97" min="3" max="3"/>
    <col width="6" customWidth="1" style="97" min="4" max="4"/>
    <col width="30" customWidth="1" style="97" min="5" max="5"/>
    <col width="18" customWidth="1" style="97" min="6" max="6"/>
  </cols>
  <sheetData>
    <row r="1" ht="21" customHeight="1" s="97">
      <c r="B1" s="1" t="inlineStr">
        <is>
          <t>Multifamily Development Model — Dashboard</t>
        </is>
      </c>
    </row>
    <row r="2">
      <c r="B2" s="33">
        <f>""&amp;PropertyName&amp;"  •  "&amp;City&amp;", "&amp;State&amp;"  •  "&amp;ProductType&amp;"  •  "&amp;InvestmentType&amp;"  ("&amp;Location&amp;")"</f>
        <v/>
      </c>
    </row>
    <row r="3"/>
    <row r="4">
      <c r="B4" s="34" t="inlineStr">
        <is>
          <t>Deal Snapshot</t>
        </is>
      </c>
      <c r="C4" s="35" t="n"/>
      <c r="E4" s="34" t="inlineStr">
        <is>
          <t>Key Returns</t>
        </is>
      </c>
      <c r="F4" s="35" t="n"/>
    </row>
    <row r="5">
      <c r="B5" s="36" t="inlineStr">
        <is>
          <t>Total Units</t>
        </is>
      </c>
      <c r="C5" s="37">
        <f>TotalUnits</f>
        <v/>
      </c>
      <c r="E5" s="36" t="inlineStr">
        <is>
          <t>Levered IRR (net)</t>
        </is>
      </c>
      <c r="F5" s="42">
        <f>LevIRR</f>
        <v/>
      </c>
    </row>
    <row r="6">
      <c r="B6" s="36" t="inlineStr">
        <is>
          <t>Net Rentable SF</t>
        </is>
      </c>
      <c r="C6" s="37">
        <f>NRSF</f>
        <v/>
      </c>
      <c r="E6" s="36" t="inlineStr">
        <is>
          <t>Levered IRR (gross)</t>
        </is>
      </c>
      <c r="F6" s="42">
        <f>LevIRRgross</f>
        <v/>
      </c>
    </row>
    <row r="7">
      <c r="B7" s="36" t="inlineStr">
        <is>
          <t>Hold Period (months)</t>
        </is>
      </c>
      <c r="C7" s="176">
        <f>HoldPeriodMonths</f>
        <v/>
      </c>
      <c r="E7" s="36" t="inlineStr">
        <is>
          <t>Unlevered IRR (net)</t>
        </is>
      </c>
      <c r="F7" s="42">
        <f>UnlevIRR</f>
        <v/>
      </c>
    </row>
    <row r="8">
      <c r="B8" s="36" t="inlineStr">
        <is>
          <t>Refi or Sell</t>
        </is>
      </c>
      <c r="C8" s="39">
        <f>IF(RefiFlag=1,"Refinance then hold","Sell during construction")</f>
        <v/>
      </c>
      <c r="E8" s="36" t="inlineStr">
        <is>
          <t>Levered MOIC (net)</t>
        </is>
      </c>
      <c r="F8" s="177">
        <f>LevMOIC</f>
        <v/>
      </c>
    </row>
    <row r="9">
      <c r="B9" s="36" t="inlineStr">
        <is>
          <t>Construction Maturity (mo)</t>
        </is>
      </c>
      <c r="C9" s="176">
        <f>ConMaturity</f>
        <v/>
      </c>
      <c r="E9" s="36" t="inlineStr">
        <is>
          <t>Unlevered MOIC (net)</t>
        </is>
      </c>
      <c r="F9" s="177">
        <f>UnlevMOIC</f>
        <v/>
      </c>
    </row>
    <row r="10">
      <c r="B10" s="36" t="inlineStr">
        <is>
          <t>Refi Month</t>
        </is>
      </c>
      <c r="C10" s="176">
        <f>RefiMonth</f>
        <v/>
      </c>
      <c r="E10" s="36" t="inlineStr">
        <is>
          <t>Static Unlevered IRR</t>
        </is>
      </c>
      <c r="F10" s="42">
        <f>StaticUnlevIRR</f>
        <v/>
      </c>
    </row>
    <row r="11">
      <c r="B11" s="40" t="inlineStr">
        <is>
          <t>Disposition Month</t>
        </is>
      </c>
      <c r="C11" s="178">
        <f>DispoMonth</f>
        <v/>
      </c>
      <c r="E11" s="40" t="inlineStr">
        <is>
          <t>Static Unlevered MOIC</t>
        </is>
      </c>
      <c r="F11" s="179">
        <f>StaticUnlevMOIC</f>
        <v/>
      </c>
    </row>
    <row r="12"/>
    <row r="13">
      <c r="B13" s="34" t="inlineStr">
        <is>
          <t>Development Metrics</t>
        </is>
      </c>
      <c r="C13" s="35" t="n"/>
      <c r="E13" s="34" t="inlineStr">
        <is>
          <t>Sources &amp; Uses</t>
        </is>
      </c>
      <c r="F13" s="35" t="n"/>
    </row>
    <row r="14">
      <c r="B14" s="36" t="inlineStr">
        <is>
          <t>Yield on Cost (stab)</t>
        </is>
      </c>
      <c r="C14" s="45">
        <f>YieldOnCost</f>
        <v/>
      </c>
      <c r="E14" s="36" t="inlineStr">
        <is>
          <t>Land</t>
        </is>
      </c>
      <c r="F14" s="180">
        <f>BudgetLand</f>
        <v/>
      </c>
    </row>
    <row r="15">
      <c r="B15" s="36" t="inlineStr">
        <is>
          <t>Development Spread</t>
        </is>
      </c>
      <c r="C15" s="181">
        <f>DevSpreadBps</f>
        <v/>
      </c>
      <c r="E15" s="36" t="inlineStr">
        <is>
          <t>Soft Costs</t>
        </is>
      </c>
      <c r="F15" s="180">
        <f>BudgetSoft</f>
        <v/>
      </c>
    </row>
    <row r="16">
      <c r="B16" s="36" t="inlineStr">
        <is>
          <t>Return on Cost (current)</t>
        </is>
      </c>
      <c r="C16" s="45">
        <f>ROCcurrent</f>
        <v/>
      </c>
      <c r="E16" s="36" t="inlineStr">
        <is>
          <t>Hard Costs</t>
        </is>
      </c>
      <c r="F16" s="180">
        <f>BudgetHard</f>
        <v/>
      </c>
    </row>
    <row r="17">
      <c r="B17" s="36" t="inlineStr">
        <is>
          <t>Return on Cost (stab)</t>
        </is>
      </c>
      <c r="C17" s="45">
        <f>ROCstab</f>
        <v/>
      </c>
      <c r="E17" s="36" t="inlineStr">
        <is>
          <t>Development Fee</t>
        </is>
      </c>
      <c r="F17" s="180">
        <f>DevFee</f>
        <v/>
      </c>
    </row>
    <row r="18">
      <c r="B18" s="36" t="inlineStr">
        <is>
          <t>Debt Yield (stab)</t>
        </is>
      </c>
      <c r="C18" s="45">
        <f>DebtYieldStab</f>
        <v/>
      </c>
      <c r="E18" s="36" t="inlineStr">
        <is>
          <t>Financing Costs</t>
        </is>
      </c>
      <c r="F18" s="180">
        <f>ConPoints+RecourseFee+ConOtherCosts</f>
        <v/>
      </c>
    </row>
    <row r="19">
      <c r="B19" s="36" t="inlineStr">
        <is>
          <t>TDC</t>
        </is>
      </c>
      <c r="C19" s="180">
        <f>TDC_Total</f>
        <v/>
      </c>
      <c r="E19" s="36" t="inlineStr">
        <is>
          <t>Interest Reserve</t>
        </is>
      </c>
      <c r="F19" s="180">
        <f>InterestReserveFunded</f>
        <v/>
      </c>
    </row>
    <row r="20">
      <c r="B20" s="36" t="inlineStr">
        <is>
          <t>TDC / Unit</t>
        </is>
      </c>
      <c r="C20" s="182">
        <f>TDCperUnit</f>
        <v/>
      </c>
      <c r="E20" s="36" t="inlineStr">
        <is>
          <t>Operating Reserve</t>
        </is>
      </c>
      <c r="F20" s="180">
        <f>OpReserve</f>
        <v/>
      </c>
    </row>
    <row r="21">
      <c r="B21" s="36" t="inlineStr">
        <is>
          <t>TDC / NRSF</t>
        </is>
      </c>
      <c r="C21" s="182">
        <f>TDCperSF</f>
        <v/>
      </c>
      <c r="E21" s="50" t="inlineStr">
        <is>
          <t>Total Uses (TDC)</t>
        </is>
      </c>
      <c r="F21" s="183">
        <f>TDC_Total</f>
        <v/>
      </c>
    </row>
    <row r="22">
      <c r="B22" s="36" t="inlineStr">
        <is>
          <t>Exit Value</t>
        </is>
      </c>
      <c r="C22" s="180">
        <f>ExitValue</f>
        <v/>
      </c>
      <c r="E22" s="52" t="n"/>
      <c r="F22" s="53" t="n"/>
    </row>
    <row r="23">
      <c r="B23" s="40" t="inlineStr">
        <is>
          <t>Exit Basis / Unit</t>
        </is>
      </c>
      <c r="C23" s="184">
        <f>BasisPerUnitExit</f>
        <v/>
      </c>
      <c r="E23" s="36" t="inlineStr">
        <is>
          <t>Construction Loan</t>
        </is>
      </c>
      <c r="F23" s="180">
        <f>ConLoanTotal</f>
        <v/>
      </c>
    </row>
    <row r="24">
      <c r="E24" s="36" t="inlineStr">
        <is>
          <t>Equity</t>
        </is>
      </c>
      <c r="F24" s="180">
        <f>EquityTotal</f>
        <v/>
      </c>
    </row>
    <row r="25">
      <c r="B25" s="34" t="inlineStr">
        <is>
          <t>Loan Sizing &amp; Status</t>
        </is>
      </c>
      <c r="C25" s="35" t="n"/>
      <c r="E25" s="50" t="inlineStr">
        <is>
          <t>Total Sources</t>
        </is>
      </c>
      <c r="F25" s="183">
        <f>ConLoanTotal+EquityTotal</f>
        <v/>
      </c>
    </row>
    <row r="26">
      <c r="B26" s="36" t="inlineStr">
        <is>
          <t>Construction Loan</t>
        </is>
      </c>
      <c r="C26" s="180">
        <f>ConLoanTotal</f>
        <v/>
      </c>
      <c r="E26" s="40" t="inlineStr">
        <is>
          <t>Sources − Uses (check)</t>
        </is>
      </c>
      <c r="F26" s="185">
        <f>ConLoanTotal+EquityTotal-TDC_Total</f>
        <v/>
      </c>
    </row>
    <row r="27">
      <c r="B27" s="36" t="inlineStr">
        <is>
          <t>LTC (realized)</t>
        </is>
      </c>
      <c r="C27" s="45">
        <f>LTC_Realized</f>
        <v/>
      </c>
    </row>
    <row r="28">
      <c r="B28" s="36" t="inlineStr">
        <is>
          <t>Con Debt Yield Test</t>
        </is>
      </c>
      <c r="C28" s="45">
        <f>ConDYtest</f>
        <v/>
      </c>
    </row>
    <row r="29">
      <c r="B29" s="36" t="inlineStr">
        <is>
          <t>Con DSCR Test</t>
        </is>
      </c>
      <c r="C29" s="186">
        <f>ConDSCRtest</f>
        <v/>
      </c>
    </row>
    <row r="30">
      <c r="B30" s="36" t="inlineStr">
        <is>
          <t>Permanent Loan</t>
        </is>
      </c>
      <c r="C30" s="180">
        <f>PermLoan</f>
        <v/>
      </c>
    </row>
    <row r="31">
      <c r="B31" s="36" t="inlineStr">
        <is>
          <t>Perm LTV Test</t>
        </is>
      </c>
      <c r="C31" s="45">
        <f>PermLTVtest</f>
        <v/>
      </c>
    </row>
    <row r="32">
      <c r="B32" s="36" t="inlineStr">
        <is>
          <t>Perm DSCR Test</t>
        </is>
      </c>
      <c r="C32" s="186">
        <f>PermDSCRtest</f>
        <v/>
      </c>
    </row>
    <row r="33">
      <c r="B33" s="40" t="inlineStr">
        <is>
          <t>Refi Cash Distribution</t>
        </is>
      </c>
      <c r="C33" s="185">
        <f>RefiCashOut</f>
        <v/>
      </c>
    </row>
    <row r="34">
      <c r="E34" s="34" t="inlineStr">
        <is>
          <t>Validation</t>
        </is>
      </c>
      <c r="F34" s="35" t="n"/>
    </row>
    <row r="35">
      <c r="E35" s="50" t="inlineStr">
        <is>
          <t>Total Errors Found</t>
        </is>
      </c>
      <c r="F35" s="56">
        <f>ErrorsFound</f>
        <v/>
      </c>
    </row>
    <row r="36">
      <c r="E36" s="57" t="inlineStr">
        <is>
          <t>Model Status</t>
        </is>
      </c>
      <c r="F36" s="58">
        <f>IF(ErrorsFound=0,"ALL CHECKS PASS","REVIEW FAILURES")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H47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3"/>
    <row r="4">
      <c r="B4" s="189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190" t="inlineStr">
        <is>
          <t>Total Units</t>
        </is>
      </c>
      <c r="C5" s="191">
        <f>TotalUnits</f>
        <v/>
      </c>
      <c r="E5" s="190" t="inlineStr">
        <is>
          <t>Occupied Units (stab)</t>
        </is>
      </c>
      <c r="F5" s="191">
        <f>StabLeasedTarget</f>
        <v/>
      </c>
    </row>
    <row r="6">
      <c r="B6" s="190" t="inlineStr">
        <is>
          <t>Net Rentable SF</t>
        </is>
      </c>
      <c r="C6" s="191">
        <f>NRSF</f>
        <v/>
      </c>
      <c r="E6" s="190" t="inlineStr">
        <is>
          <t>Stabilized Occupancy</t>
        </is>
      </c>
      <c r="F6" s="193">
        <f>StabilizedOccupancy</f>
        <v/>
      </c>
    </row>
    <row r="7">
      <c r="B7" s="190" t="inlineStr">
        <is>
          <t>Avg Unit SF</t>
        </is>
      </c>
      <c r="C7" s="191">
        <f>AvgUnitSF</f>
        <v/>
      </c>
      <c r="E7" s="190" t="inlineStr">
        <is>
          <t>Effective Tax Rate on Value</t>
        </is>
      </c>
      <c r="F7" s="278">
        <f>EffTaxRateOnValue</f>
        <v/>
      </c>
    </row>
    <row r="8"/>
    <row r="9"/>
    <row r="10">
      <c r="B10" s="195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189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190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190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190" t="inlineStr">
        <is>
          <t>Gain / (Loss) to Lease</t>
        </is>
      </c>
      <c r="C14" s="193">
        <f>LossToLeasePct</f>
        <v/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190" t="inlineStr">
        <is>
          <t>Bad Debt</t>
        </is>
      </c>
      <c r="C15" s="193">
        <f>BadDebtPct</f>
        <v/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190" t="inlineStr">
        <is>
          <t>Concessions</t>
        </is>
      </c>
      <c r="C16" s="193">
        <f>ConcessionsPct</f>
        <v/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190" t="inlineStr">
        <is>
          <t>Model / Down Units</t>
        </is>
      </c>
      <c r="C17" s="191">
        <f>ModelUnits</f>
        <v/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190" t="inlineStr">
        <is>
          <t>Parking &amp; Storage</t>
        </is>
      </c>
      <c r="C18" s="199">
        <f>ParkingPerUnitMo</f>
        <v/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190" t="inlineStr">
        <is>
          <t>Utility Reimbursement</t>
        </is>
      </c>
      <c r="C19" s="199">
        <f>UtilReimbPerUnitMo</f>
        <v/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190" t="inlineStr">
        <is>
          <t>Other Income</t>
        </is>
      </c>
      <c r="C20" s="199">
        <f>OtherIncPerUnitMo</f>
        <v/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190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189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190" t="inlineStr">
        <is>
          <t>Insurance</t>
        </is>
      </c>
      <c r="C24" s="199">
        <f>ExpInsurancePerUnit</f>
        <v/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190" t="inlineStr">
        <is>
          <t>Utilities</t>
        </is>
      </c>
      <c r="C25" s="199">
        <f>ExpUtilitiesPerUnit</f>
        <v/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190" t="inlineStr">
        <is>
          <t>Payroll</t>
        </is>
      </c>
      <c r="C26" s="199">
        <f>ExpPayrollPerUnit</f>
        <v/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190" t="inlineStr">
        <is>
          <t>Management Fee</t>
        </is>
      </c>
      <c r="C27" s="193">
        <f>MgmtFeePct</f>
        <v/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190" t="inlineStr">
        <is>
          <t>Repairs &amp; Maintenance</t>
        </is>
      </c>
      <c r="C28" s="199">
        <f>ExpRMPerUnit</f>
        <v/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190" t="inlineStr">
        <is>
          <t>Turnover</t>
        </is>
      </c>
      <c r="C29" s="199">
        <f>ExpTurnoverPerUnit</f>
        <v/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190" t="inlineStr">
        <is>
          <t>Contract Services</t>
        </is>
      </c>
      <c r="C30" s="199">
        <f>ExpContractPerUnit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190" t="inlineStr">
        <is>
          <t>Admin &amp; Legal</t>
        </is>
      </c>
      <c r="C31" s="199">
        <f>ExpAdminPerUnit</f>
        <v/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190" t="inlineStr">
        <is>
          <t>Advertising</t>
        </is>
      </c>
      <c r="C32" s="199">
        <f>ExpAdvertisingPerUnit</f>
        <v/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190" t="inlineStr">
        <is>
          <t>Property Taxes</t>
        </is>
      </c>
      <c r="C33" s="278">
        <f>EffTaxRateOnValue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IF(TaxYear1Override&gt;0,TaxYear1Override,(G22-SUM(G24:G32))/(EntryCapRate+EffTaxRateOnValue)*EffTaxRateOnValue)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189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190" t="inlineStr">
        <is>
          <t>Capital Reserves</t>
        </is>
      </c>
      <c r="C37" s="199">
        <f>CapReservePerUnit</f>
        <v/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190" t="inlineStr">
        <is>
          <t>Tax Prep &amp; Appraisal</t>
        </is>
      </c>
      <c r="C38" s="199">
        <f>TaxPrepPerUnit</f>
        <v/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190" t="inlineStr">
        <is>
          <t>Asset Management Fees</t>
        </is>
      </c>
      <c r="C39" s="193">
        <f>AssetMgmtFeePct</f>
        <v/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2"/>
    <row r="43">
      <c r="B43" s="190" t="inlineStr">
        <is>
          <t>Untrended Stabilized NOI before Property Tax</t>
        </is>
      </c>
      <c r="G43" s="280">
        <f>G22-SUM(G24:G32)</f>
        <v/>
      </c>
    </row>
    <row r="44"/>
    <row r="45">
      <c r="B45" s="189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190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190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D139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34" customWidth="1" style="97" min="2" max="2"/>
    <col width="20.42578125" bestFit="1" customWidth="1" style="97" min="3" max="3"/>
    <col width="51" bestFit="1" customWidth="1" style="97" min="4" max="4"/>
    <col width="4" customWidth="1" style="97" min="5" max="5"/>
    <col width="20" customWidth="1" style="97" min="6" max="6"/>
  </cols>
  <sheetData>
    <row r="1" ht="21" customHeight="1" s="97">
      <c r="B1" s="1" t="inlineStr">
        <is>
          <t>Multifamily Development Model — Inputs</t>
        </is>
      </c>
    </row>
    <row r="2">
      <c r="B2" s="2" t="inlineStr">
        <is>
          <t>Blue = hard-keyed input.  Every value below is a workbook named range.</t>
        </is>
      </c>
    </row>
    <row r="3"/>
    <row r="4">
      <c r="B4" s="34" t="inlineStr">
        <is>
          <t>Property Details</t>
        </is>
      </c>
      <c r="C4" s="60" t="n"/>
      <c r="D4" s="35" t="n"/>
    </row>
    <row r="5">
      <c r="B5" s="36" t="inlineStr">
        <is>
          <t>Investment Type</t>
        </is>
      </c>
      <c r="C5" s="6" t="inlineStr">
        <is>
          <t>Ground-Up Development</t>
        </is>
      </c>
      <c r="D5" s="61" t="inlineStr">
        <is>
          <t>Investment type</t>
        </is>
      </c>
    </row>
    <row r="6">
      <c r="B6" s="36" t="inlineStr">
        <is>
          <t>Property Name</t>
        </is>
      </c>
      <c r="C6" s="6" t="inlineStr">
        <is>
          <t>The Verde</t>
        </is>
      </c>
      <c r="D6" s="61" t="inlineStr">
        <is>
          <t>Deal name</t>
        </is>
      </c>
    </row>
    <row r="7">
      <c r="B7" s="36" t="inlineStr">
        <is>
          <t>City</t>
        </is>
      </c>
      <c r="C7" s="6" t="inlineStr">
        <is>
          <t>Cottonwood</t>
        </is>
      </c>
      <c r="D7" s="53" t="n"/>
    </row>
    <row r="8">
      <c r="B8" s="36" t="inlineStr">
        <is>
          <t>State</t>
        </is>
      </c>
      <c r="C8" s="6" t="inlineStr">
        <is>
          <t>AZ</t>
        </is>
      </c>
      <c r="D8" s="53" t="n"/>
    </row>
    <row r="9">
      <c r="B9" s="36" t="inlineStr">
        <is>
          <t>Market</t>
        </is>
      </c>
      <c r="C9" s="6" t="inlineStr">
        <is>
          <t>Verde Valley</t>
        </is>
      </c>
      <c r="D9" s="61" t="inlineStr">
        <is>
          <t>MSA</t>
        </is>
      </c>
    </row>
    <row r="10">
      <c r="B10" s="36" t="inlineStr">
        <is>
          <t>Product Type</t>
        </is>
      </c>
      <c r="C10" s="6" t="inlineStr">
        <is>
          <t>Garden</t>
        </is>
      </c>
      <c r="D10" s="53" t="n"/>
    </row>
    <row r="11">
      <c r="B11" s="36" t="inlineStr">
        <is>
          <t>Location</t>
        </is>
      </c>
      <c r="C11" s="6" t="inlineStr">
        <is>
          <t>Suburban</t>
        </is>
      </c>
      <c r="D11" s="53" t="n"/>
    </row>
    <row r="12">
      <c r="B12" s="40" t="inlineStr">
        <is>
          <t>Open Escrow Date</t>
        </is>
      </c>
      <c r="C12" s="209" t="n">
        <v>46210</v>
      </c>
      <c r="D12" s="63" t="inlineStr">
        <is>
          <t>Model period 1 = this month</t>
        </is>
      </c>
    </row>
    <row r="13"/>
    <row r="14">
      <c r="B14" s="34" t="inlineStr">
        <is>
          <t>Investment Details</t>
        </is>
      </c>
      <c r="C14" s="60" t="n"/>
      <c r="D14" s="35" t="n"/>
    </row>
    <row r="15">
      <c r="B15" s="36" t="inlineStr">
        <is>
          <t>Hold Period Months</t>
        </is>
      </c>
      <c r="C15" s="210" t="n">
        <v>120</v>
      </c>
      <c r="D15" s="61" t="inlineStr">
        <is>
          <t>Disposition month (1-360 toggle)</t>
        </is>
      </c>
    </row>
    <row r="16">
      <c r="B16" s="36" t="inlineStr">
        <is>
          <t>Entry Cap Rate</t>
        </is>
      </c>
      <c r="C16" s="8" t="n">
        <v>0.0525</v>
      </c>
      <c r="D16" s="61" t="inlineStr">
        <is>
          <t>Market / entry cap rate</t>
        </is>
      </c>
    </row>
    <row r="17">
      <c r="B17" s="36" t="inlineStr">
        <is>
          <t>Cap Adj Location</t>
        </is>
      </c>
      <c r="C17" s="8" t="n">
        <v>0</v>
      </c>
      <c r="D17" s="61" t="inlineStr">
        <is>
          <t>Location adjustment (+/-)</t>
        </is>
      </c>
    </row>
    <row r="18">
      <c r="B18" s="36" t="inlineStr">
        <is>
          <t>Cap Adj Size</t>
        </is>
      </c>
      <c r="C18" s="8" t="n">
        <v>0</v>
      </c>
      <c r="D18" s="61" t="inlineStr">
        <is>
          <t>Size adjustment (+/-)</t>
        </is>
      </c>
    </row>
    <row r="19">
      <c r="B19" s="36" t="inlineStr">
        <is>
          <t>Cap Adj Aging</t>
        </is>
      </c>
      <c r="C19" s="8" t="n">
        <v>0</v>
      </c>
      <c r="D19" s="61" t="inlineStr">
        <is>
          <t>Aging adjustment (+/-)</t>
        </is>
      </c>
    </row>
    <row r="20">
      <c r="B20" s="36" t="inlineStr">
        <is>
          <t>Exit Cap Residential</t>
        </is>
      </c>
      <c r="C20" s="59">
        <f>EntryCapRate+CapAdjLocation+CapAdjSize+CapAdjAging</f>
        <v/>
      </c>
      <c r="D20" s="61" t="inlineStr">
        <is>
          <t>Exit cap - residential</t>
        </is>
      </c>
    </row>
    <row r="21">
      <c r="B21" s="36" t="inlineStr">
        <is>
          <t>Exit Cap Retail</t>
        </is>
      </c>
      <c r="C21" s="8" t="n">
        <v>0.065</v>
      </c>
      <c r="D21" s="61" t="inlineStr">
        <is>
          <t>Exit cap - retail</t>
        </is>
      </c>
    </row>
    <row r="22">
      <c r="B22" s="36" t="inlineStr">
        <is>
          <t>Growth Rent</t>
        </is>
      </c>
      <c r="C22" s="8" t="n">
        <v>0.03</v>
      </c>
      <c r="D22" s="61" t="inlineStr">
        <is>
          <t>Annual market-rent growth</t>
        </is>
      </c>
    </row>
    <row r="23">
      <c r="B23" s="36" t="inlineStr">
        <is>
          <t>Growth Low Inc Rent</t>
        </is>
      </c>
      <c r="C23" s="8" t="n">
        <v>0.03</v>
      </c>
      <c r="D23" s="61" t="inlineStr">
        <is>
          <t>Annual low-income-rent growth</t>
        </is>
      </c>
    </row>
    <row r="24">
      <c r="B24" s="36" t="inlineStr">
        <is>
          <t>Growth Expense</t>
        </is>
      </c>
      <c r="C24" s="8" t="n">
        <v>0.03</v>
      </c>
      <c r="D24" s="61" t="inlineStr">
        <is>
          <t>Annual expense growth</t>
        </is>
      </c>
    </row>
    <row r="25">
      <c r="B25" s="36" t="inlineStr">
        <is>
          <t>Growth Utility</t>
        </is>
      </c>
      <c r="C25" s="8" t="n">
        <v>0.03</v>
      </c>
      <c r="D25" s="61" t="inlineStr">
        <is>
          <t>Annual utility growth</t>
        </is>
      </c>
    </row>
    <row r="26">
      <c r="B26" s="36" t="inlineStr">
        <is>
          <t>Growth Tax</t>
        </is>
      </c>
      <c r="C26" s="8" t="n">
        <v>0.03</v>
      </c>
      <c r="D26" s="61" t="inlineStr">
        <is>
          <t>Annual tax growth</t>
        </is>
      </c>
    </row>
    <row r="27">
      <c r="B27" s="36" t="inlineStr">
        <is>
          <t>Growth Other</t>
        </is>
      </c>
      <c r="C27" s="8" t="n">
        <v>0.03</v>
      </c>
      <c r="D27" s="61" t="inlineStr">
        <is>
          <t>Annual other-income growth</t>
        </is>
      </c>
    </row>
    <row r="28">
      <c r="B28" s="40" t="inlineStr">
        <is>
          <t>Growth Start Date</t>
        </is>
      </c>
      <c r="C28" s="209">
        <f>EOMONTH(InceptionDate,1)</f>
        <v/>
      </c>
      <c r="D28" s="63" t="inlineStr">
        <is>
          <t>Date all growth trending begins (override)</t>
        </is>
      </c>
    </row>
    <row r="29"/>
    <row r="30">
      <c r="B30" s="34" t="inlineStr">
        <is>
          <t>Unit Delivery &amp; Lease-Up</t>
        </is>
      </c>
      <c r="C30" s="60" t="n"/>
      <c r="D30" s="35" t="n"/>
    </row>
    <row r="31">
      <c r="B31" s="36" t="inlineStr">
        <is>
          <t>Lease Up Income Offset</t>
        </is>
      </c>
      <c r="C31" s="9" t="n">
        <v>1</v>
      </c>
      <c r="D31" s="61" t="inlineStr">
        <is>
          <t>1=offset lease-up income vs equity, 0=no</t>
        </is>
      </c>
    </row>
    <row r="32">
      <c r="B32" s="36" t="inlineStr">
        <is>
          <t>Units Delivered Per Mo</t>
        </is>
      </c>
      <c r="C32" s="9" t="n">
        <v>24</v>
      </c>
      <c r="D32" s="61" t="inlineStr">
        <is>
          <t>Units delivered per month</t>
        </is>
      </c>
    </row>
    <row r="33">
      <c r="B33" s="36" t="inlineStr">
        <is>
          <t>Units Leased Per Mo</t>
        </is>
      </c>
      <c r="C33" s="9" t="n">
        <v>18</v>
      </c>
      <c r="D33" s="61" t="inlineStr">
        <is>
          <t>Units absorbed (leased) per month</t>
        </is>
      </c>
    </row>
    <row r="34">
      <c r="B34" s="36" t="inlineStr">
        <is>
          <t>Lease Up Ramp Pct</t>
        </is>
      </c>
      <c r="C34" s="211" t="n">
        <v>0.6</v>
      </c>
      <c r="D34" s="61" t="inlineStr">
        <is>
          <t>Variable-opex ramp: % of stabilized during lease-up</t>
        </is>
      </c>
    </row>
    <row r="35">
      <c r="B35" s="36" t="inlineStr">
        <is>
          <t>Lease Up Elevation Pct</t>
        </is>
      </c>
      <c r="C35" s="211" t="n">
        <v>0.25</v>
      </c>
      <c r="D35" s="61" t="inlineStr">
        <is>
          <t>Elevated-opex uplift over stabilized during lease-up</t>
        </is>
      </c>
    </row>
    <row r="36">
      <c r="B36" s="40" t="inlineStr">
        <is>
          <t>Stabilized Occupancy</t>
        </is>
      </c>
      <c r="C36" s="212" t="n">
        <v>0.9399999999999999</v>
      </c>
      <c r="D36" s="63" t="inlineStr">
        <is>
          <t>Physical occupancy at stabilization</t>
        </is>
      </c>
    </row>
    <row r="37"/>
    <row r="38">
      <c r="B38" s="34" t="inlineStr">
        <is>
          <t>Site Details</t>
        </is>
      </c>
      <c r="C38" s="60" t="n"/>
      <c r="D38" s="35" t="n"/>
    </row>
    <row r="39">
      <c r="B39" s="36" t="inlineStr">
        <is>
          <t>Land Cost</t>
        </is>
      </c>
      <c r="C39" s="213" t="n">
        <v>567000</v>
      </c>
      <c r="D39" s="61" t="inlineStr">
        <is>
          <t>Total land cost</t>
        </is>
      </c>
    </row>
    <row r="40">
      <c r="B40" s="36" t="inlineStr">
        <is>
          <t>Gross Acres</t>
        </is>
      </c>
      <c r="C40" s="12" t="n">
        <v>3.65</v>
      </c>
      <c r="D40" s="61" t="inlineStr">
        <is>
          <t>Gross site acres</t>
        </is>
      </c>
    </row>
    <row r="41">
      <c r="B41" s="36" t="inlineStr">
        <is>
          <t>Net Acres</t>
        </is>
      </c>
      <c r="C41" s="12">
        <f>+GrossAcres</f>
        <v/>
      </c>
      <c r="D41" s="61" t="inlineStr">
        <is>
          <t>Net developable acres</t>
        </is>
      </c>
    </row>
    <row r="42">
      <c r="B42" s="36" t="inlineStr">
        <is>
          <t>FARRatio</t>
        </is>
      </c>
      <c r="C42" s="12" t="n">
        <v>1.75</v>
      </c>
      <c r="D42" s="61" t="inlineStr">
        <is>
          <t>Floor-area ratio</t>
        </is>
      </c>
    </row>
    <row r="43">
      <c r="B43" s="36" t="inlineStr">
        <is>
          <t>Efficiency Ratio</t>
        </is>
      </c>
      <c r="C43" s="211" t="n">
        <v>0.85</v>
      </c>
      <c r="D43" s="61" t="inlineStr">
        <is>
          <t>Net rentable / gross buildable</t>
        </is>
      </c>
    </row>
    <row r="44">
      <c r="B44" s="40" t="inlineStr">
        <is>
          <t>Existing Structure Cost</t>
        </is>
      </c>
      <c r="C44" s="214" t="n">
        <v>0</v>
      </c>
      <c r="D44" s="63" t="inlineStr">
        <is>
          <t>Demo / existing structure</t>
        </is>
      </c>
    </row>
    <row r="45"/>
    <row r="46">
      <c r="B46" s="34" t="inlineStr">
        <is>
          <t>Property Taxes</t>
        </is>
      </c>
      <c r="C46" s="60" t="n"/>
      <c r="D46" s="35" t="n"/>
    </row>
    <row r="47">
      <c r="B47" s="36" t="inlineStr">
        <is>
          <t>Tax Levy Pct</t>
        </is>
      </c>
      <c r="C47" s="8" t="n">
        <v>0.0185</v>
      </c>
      <c r="D47" s="61" t="inlineStr">
        <is>
          <t>Levy / mill rate (% of assessed)</t>
        </is>
      </c>
    </row>
    <row r="48">
      <c r="B48" s="36" t="inlineStr">
        <is>
          <t>Tax Assessment Pct</t>
        </is>
      </c>
      <c r="C48" s="211" t="n">
        <v>0.1</v>
      </c>
      <c r="D48" s="61" t="inlineStr">
        <is>
          <t>Assessment ratio (% of value)</t>
        </is>
      </c>
    </row>
    <row r="49">
      <c r="B49" s="36" t="inlineStr">
        <is>
          <t>Tax Value Adj Factor</t>
        </is>
      </c>
      <c r="C49" s="12" t="n">
        <v>0.5</v>
      </c>
      <c r="D49" s="61" t="inlineStr">
        <is>
          <t>Value-adjustment / abatement factor (1.0 = full unabated tax)</t>
        </is>
      </c>
    </row>
    <row r="50">
      <c r="B50" s="36" t="inlineStr">
        <is>
          <t>Tax Method Value</t>
        </is>
      </c>
      <c r="C50" s="9" t="n">
        <v>1</v>
      </c>
      <c r="D50" s="61" t="inlineStr">
        <is>
          <t>Post-stab method: 1=value approach, 0=income approach</t>
        </is>
      </c>
    </row>
    <row r="51">
      <c r="B51" s="36" t="inlineStr">
        <is>
          <t>Tax Year1 Override</t>
        </is>
      </c>
      <c r="C51" s="213" t="n">
        <v>0</v>
      </c>
      <c r="D51" s="61" t="inlineStr">
        <is>
          <t>Year-1 stabilized tax: 0=dynamic (stab value x rate), &gt;0=manual</t>
        </is>
      </c>
    </row>
    <row r="52">
      <c r="B52" s="36" t="inlineStr">
        <is>
          <t>Reassess On Sale</t>
        </is>
      </c>
      <c r="C52" s="9" t="n">
        <v>0</v>
      </c>
      <c r="D52" s="61" t="inlineStr">
        <is>
          <t>1=reassess buyer taxes on sale value, 0=in-place</t>
        </is>
      </c>
    </row>
    <row r="53">
      <c r="B53" s="40" t="inlineStr">
        <is>
          <t>Dispo Tax Rate Pct</t>
        </is>
      </c>
      <c r="C53" s="68" t="n">
        <v>0</v>
      </c>
      <c r="D53" s="63" t="inlineStr">
        <is>
          <t>Buyer tax rate at sale: 0=use operating effective rate (consistent)</t>
        </is>
      </c>
    </row>
    <row r="54"/>
    <row r="55">
      <c r="B55" s="34" t="inlineStr">
        <is>
          <t>Capitalization &amp; Funding</t>
        </is>
      </c>
      <c r="C55" s="60" t="n"/>
      <c r="D55" s="35" t="n"/>
    </row>
    <row r="56">
      <c r="B56" s="36" t="inlineStr">
        <is>
          <t>Funding Order Pari</t>
        </is>
      </c>
      <c r="C56" s="9" t="n">
        <v>0</v>
      </c>
      <c r="D56" s="61" t="inlineStr">
        <is>
          <t>1=pari-passu, 0=equity-first</t>
        </is>
      </c>
    </row>
    <row r="57">
      <c r="B57" s="36" t="inlineStr">
        <is>
          <t>Target LTC</t>
        </is>
      </c>
      <c r="C57" s="8" t="n">
        <v>0.65</v>
      </c>
      <c r="D57" s="61" t="inlineStr">
        <is>
          <t>Target construction loan-to-cost</t>
        </is>
      </c>
    </row>
    <row r="58">
      <c r="B58" s="36" t="inlineStr">
        <is>
          <t>Op Reserve Coverage</t>
        </is>
      </c>
      <c r="C58" s="215" t="n">
        <v>1.1</v>
      </c>
      <c r="D58" s="61" t="inlineStr">
        <is>
          <t>Operating reserve coverage multiple on peak shortfall</t>
        </is>
      </c>
    </row>
    <row r="59">
      <c r="B59" s="40" t="inlineStr">
        <is>
          <t>Op Reserve Min Months</t>
        </is>
      </c>
      <c r="C59" s="69" t="n">
        <v>3</v>
      </c>
      <c r="D59" s="63" t="inlineStr">
        <is>
          <t>Minimum months of stabilized opex floor for reserve</t>
        </is>
      </c>
    </row>
    <row r="60"/>
    <row r="61">
      <c r="B61" s="34" t="inlineStr">
        <is>
          <t>Construction Loan</t>
        </is>
      </c>
      <c r="C61" s="60" t="n"/>
      <c r="D61" s="35" t="n"/>
    </row>
    <row r="62">
      <c r="B62" s="36" t="inlineStr">
        <is>
          <t>Con Loan Term Months</t>
        </is>
      </c>
      <c r="C62" s="287" t="n">
        <v>36</v>
      </c>
      <c r="D62" s="61" t="inlineStr">
        <is>
          <t>Construction loan term</t>
        </is>
      </c>
    </row>
    <row r="63">
      <c r="B63" s="36" t="inlineStr">
        <is>
          <t>Con Rate</t>
        </is>
      </c>
      <c r="C63" s="8" t="n">
        <v>0.057</v>
      </c>
      <c r="D63" s="61" t="inlineStr">
        <is>
          <t>Construction interest rate (annual)</t>
        </is>
      </c>
    </row>
    <row r="64">
      <c r="B64" s="36" t="inlineStr">
        <is>
          <t>Con Actual360</t>
        </is>
      </c>
      <c r="C64" s="9" t="n">
        <v>1</v>
      </c>
      <c r="D64" s="61" t="inlineStr">
        <is>
          <t>1=Actual/360, 0=30/360</t>
        </is>
      </c>
    </row>
    <row r="65">
      <c r="B65" s="36" t="inlineStr">
        <is>
          <t>Con Points Pct</t>
        </is>
      </c>
      <c r="C65" s="8" t="n">
        <v>0.01</v>
      </c>
      <c r="D65" s="61" t="inlineStr">
        <is>
          <t>Origination points</t>
        </is>
      </c>
    </row>
    <row r="66">
      <c r="B66" s="36" t="inlineStr">
        <is>
          <t>Con Other Costs</t>
        </is>
      </c>
      <c r="C66" s="213" t="n">
        <v>250000</v>
      </c>
      <c r="D66" s="61" t="inlineStr">
        <is>
          <t>Other construction loan costs</t>
        </is>
      </c>
    </row>
    <row r="67">
      <c r="B67" s="36" t="inlineStr">
        <is>
          <t>Con Min Debt Yield</t>
        </is>
      </c>
      <c r="C67" s="8" t="n">
        <v>0.07000000000000001</v>
      </c>
      <c r="D67" s="61" t="inlineStr">
        <is>
          <t>Min stabilized debt yield (sizing)</t>
        </is>
      </c>
    </row>
    <row r="68">
      <c r="B68" s="36" t="inlineStr">
        <is>
          <t>Con Min DSCR</t>
        </is>
      </c>
      <c r="C68" s="215" t="n">
        <v>1.15</v>
      </c>
      <c r="D68" s="61" t="inlineStr">
        <is>
          <t>Min DSCR at target (sizing)</t>
        </is>
      </c>
    </row>
    <row r="69">
      <c r="B69" s="40" t="inlineStr">
        <is>
          <t>Lender Req Reserve Override</t>
        </is>
      </c>
      <c r="C69" s="214" t="n">
        <v>0</v>
      </c>
      <c r="D69" s="63" t="inlineStr">
        <is>
          <t>If &gt;0, overrides computed interest reserve</t>
        </is>
      </c>
    </row>
    <row r="70"/>
    <row r="71">
      <c r="B71" s="34" t="inlineStr">
        <is>
          <t>Permanent Loan (Refinance)</t>
        </is>
      </c>
      <c r="C71" s="60" t="n"/>
      <c r="D71" s="35" t="n"/>
    </row>
    <row r="72">
      <c r="B72" s="36" t="inlineStr">
        <is>
          <t>Perm Max LTV</t>
        </is>
      </c>
      <c r="C72" s="8" t="n">
        <v>0.65</v>
      </c>
      <c r="D72" s="61" t="inlineStr">
        <is>
          <t>Max permanent loan-to-value</t>
        </is>
      </c>
    </row>
    <row r="73">
      <c r="B73" s="36" t="inlineStr">
        <is>
          <t>Perm Rate</t>
        </is>
      </c>
      <c r="C73" s="8" t="n">
        <v>0.0625</v>
      </c>
      <c r="D73" s="61" t="inlineStr">
        <is>
          <t>Permanent interest rate (annual)</t>
        </is>
      </c>
    </row>
    <row r="74">
      <c r="B74" s="36" t="inlineStr">
        <is>
          <t>Perm Term Months</t>
        </is>
      </c>
      <c r="C74" s="210" t="n">
        <v>360</v>
      </c>
      <c r="D74" s="61" t="inlineStr">
        <is>
          <t>Permanent loan term</t>
        </is>
      </c>
    </row>
    <row r="75">
      <c r="B75" s="36" t="inlineStr">
        <is>
          <t>Perm IOMonths</t>
        </is>
      </c>
      <c r="C75" s="210" t="n">
        <v>24</v>
      </c>
      <c r="D75" s="61" t="inlineStr">
        <is>
          <t>Permanent interest-only period</t>
        </is>
      </c>
    </row>
    <row r="76">
      <c r="B76" s="36" t="inlineStr">
        <is>
          <t>Perm Amort Months</t>
        </is>
      </c>
      <c r="C76" s="210" t="n">
        <v>360</v>
      </c>
      <c r="D76" s="61" t="inlineStr">
        <is>
          <t>Permanent amortization period</t>
        </is>
      </c>
    </row>
    <row r="77">
      <c r="B77" s="36" t="inlineStr">
        <is>
          <t>Perm Actual360</t>
        </is>
      </c>
      <c r="C77" s="9" t="n">
        <v>0</v>
      </c>
      <c r="D77" s="61" t="inlineStr">
        <is>
          <t>1=Actual/360, 0=30/360</t>
        </is>
      </c>
    </row>
    <row r="78">
      <c r="B78" s="36" t="inlineStr">
        <is>
          <t>Perm Points Pct</t>
        </is>
      </c>
      <c r="C78" s="8" t="n">
        <v>0.0075</v>
      </c>
      <c r="D78" s="61" t="inlineStr">
        <is>
          <t>Permanent loan points</t>
        </is>
      </c>
    </row>
    <row r="79">
      <c r="B79" s="36" t="inlineStr">
        <is>
          <t>Perm Min Debt Yield</t>
        </is>
      </c>
      <c r="C79" s="8" t="n">
        <v>0.08</v>
      </c>
      <c r="D79" s="61" t="inlineStr">
        <is>
          <t>Min debt yield at refi (sizing)</t>
        </is>
      </c>
    </row>
    <row r="80">
      <c r="B80" s="36" t="inlineStr">
        <is>
          <t>Perm Min DSCR</t>
        </is>
      </c>
      <c r="C80" s="215" t="n">
        <v>1.15</v>
      </c>
      <c r="D80" s="61" t="inlineStr">
        <is>
          <t>Min DSCR at refi (sizing)</t>
        </is>
      </c>
    </row>
    <row r="81">
      <c r="B81" s="36" t="inlineStr">
        <is>
          <t>No Cash Out</t>
        </is>
      </c>
      <c r="C81" s="9" t="n">
        <v>0</v>
      </c>
      <c r="D81" s="61" t="inlineStr">
        <is>
          <t>1=size perm so net cash at refi = 0</t>
        </is>
      </c>
    </row>
    <row r="82">
      <c r="B82" s="40" t="inlineStr">
        <is>
          <t>Refi Month Override</t>
        </is>
      </c>
      <c r="C82" s="69" t="n">
        <v>0</v>
      </c>
      <c r="D82" s="63" t="inlineStr">
        <is>
          <t>If &gt;0, override refi month (else = con maturity)</t>
        </is>
      </c>
    </row>
    <row r="83"/>
    <row r="84">
      <c r="B84" s="34" t="inlineStr">
        <is>
          <t>Sponsor Fees</t>
        </is>
      </c>
      <c r="C84" s="60" t="n"/>
      <c r="D84" s="35" t="n"/>
    </row>
    <row r="85">
      <c r="B85" s="36" t="inlineStr">
        <is>
          <t>Dev Fee Pct Direct</t>
        </is>
      </c>
      <c r="C85" s="8" t="n">
        <v>0</v>
      </c>
      <c r="D85" s="61" t="inlineStr">
        <is>
          <t>Development fee % of direct costs</t>
        </is>
      </c>
    </row>
    <row r="86">
      <c r="B86" s="36" t="inlineStr">
        <is>
          <t>Dev Fee Third Party Split</t>
        </is>
      </c>
      <c r="C86" s="8" t="n">
        <v>0</v>
      </c>
      <c r="D86" s="61" t="inlineStr">
        <is>
          <t>Portion of dev fee paid to 3rd party</t>
        </is>
      </c>
    </row>
    <row r="87">
      <c r="B87" s="36" t="inlineStr">
        <is>
          <t>Sponsor Dispo Fee Pct</t>
        </is>
      </c>
      <c r="C87" s="8" t="n">
        <v>0</v>
      </c>
      <c r="D87" s="61" t="inlineStr">
        <is>
          <t>Sponsor disposition fee % of sale</t>
        </is>
      </c>
    </row>
    <row r="88">
      <c r="B88" s="40" t="inlineStr">
        <is>
          <t>Recourse Fee Pct</t>
        </is>
      </c>
      <c r="C88" s="68" t="n">
        <v>0</v>
      </c>
      <c r="D88" s="63" t="inlineStr">
        <is>
          <t>Loan recourse / indemnity fee % of loan</t>
        </is>
      </c>
    </row>
    <row r="89"/>
    <row r="90">
      <c r="B90" s="34" t="inlineStr">
        <is>
          <t>Disposition &amp; Sale</t>
        </is>
      </c>
      <c r="C90" s="60" t="n"/>
      <c r="D90" s="35" t="n"/>
    </row>
    <row r="91">
      <c r="B91" s="36" t="inlineStr">
        <is>
          <t>Broker Cost Pct</t>
        </is>
      </c>
      <c r="C91" s="8" t="n">
        <v>0.01</v>
      </c>
      <c r="D91" s="61" t="inlineStr">
        <is>
          <t>Broker / sale cost % of gross sale</t>
        </is>
      </c>
    </row>
    <row r="92">
      <c r="B92" s="36" t="inlineStr">
        <is>
          <t>Sales Tax Pct</t>
        </is>
      </c>
      <c r="C92" s="8" t="n">
        <v>0</v>
      </c>
      <c r="D92" s="61" t="inlineStr">
        <is>
          <t>Transfer / sales tax % of gross sale</t>
        </is>
      </c>
    </row>
    <row r="93">
      <c r="B93" s="40" t="inlineStr">
        <is>
          <t>Tax Proration Months</t>
        </is>
      </c>
      <c r="C93" s="216" t="n">
        <v>2</v>
      </c>
      <c r="D93" s="63" t="inlineStr">
        <is>
          <t>Property-tax proration at sale (months)</t>
        </is>
      </c>
    </row>
    <row r="94"/>
    <row r="95">
      <c r="B95" s="34" t="inlineStr">
        <is>
          <t>Stabilized Revenue (other income)</t>
        </is>
      </c>
      <c r="C95" s="60" t="n"/>
      <c r="D95" s="35" t="n"/>
    </row>
    <row r="96">
      <c r="B96" s="36" t="inlineStr">
        <is>
          <t>Bad Debt Pct</t>
        </is>
      </c>
      <c r="C96" s="8" t="n">
        <v>0.005</v>
      </c>
      <c r="D96" s="61" t="inlineStr">
        <is>
          <t>Bad debt % of GPR</t>
        </is>
      </c>
    </row>
    <row r="97">
      <c r="B97" s="36" t="inlineStr">
        <is>
          <t>Concessions Pct</t>
        </is>
      </c>
      <c r="C97" s="8" t="n">
        <v>0</v>
      </c>
      <c r="D97" s="61" t="inlineStr">
        <is>
          <t>Concessions % of GPR</t>
        </is>
      </c>
    </row>
    <row r="98">
      <c r="B98" s="36" t="inlineStr">
        <is>
          <t>Loss To Lease Pct</t>
        </is>
      </c>
      <c r="C98" s="8" t="n">
        <v>0</v>
      </c>
      <c r="D98" s="61" t="inlineStr">
        <is>
          <t>Gain/loss-to-lease % of GPR</t>
        </is>
      </c>
    </row>
    <row r="99">
      <c r="B99" s="36" t="inlineStr">
        <is>
          <t>Model Units</t>
        </is>
      </c>
      <c r="C99" s="9" t="n">
        <v>1</v>
      </c>
      <c r="D99" s="61" t="inlineStr">
        <is>
          <t>Down / model units (non-revenue)</t>
        </is>
      </c>
    </row>
    <row r="100">
      <c r="B100" s="36" t="inlineStr">
        <is>
          <t>Parking Per Unit Mo</t>
        </is>
      </c>
      <c r="C100" s="213" t="n">
        <v>50</v>
      </c>
      <c r="D100" s="61" t="inlineStr">
        <is>
          <t>Parking &amp; storage income $/unit/mo</t>
        </is>
      </c>
    </row>
    <row r="101">
      <c r="B101" s="36" t="inlineStr">
        <is>
          <t>Retail Income Mo</t>
        </is>
      </c>
      <c r="C101" s="213" t="n">
        <v>0</v>
      </c>
      <c r="D101" s="61" t="inlineStr">
        <is>
          <t>Retail income $/mo (stabilized)</t>
        </is>
      </c>
    </row>
    <row r="102">
      <c r="B102" s="36" t="inlineStr">
        <is>
          <t>Util Reimb Per Unit Mo</t>
        </is>
      </c>
      <c r="C102" s="213" t="n">
        <v>50</v>
      </c>
      <c r="D102" s="61" t="inlineStr">
        <is>
          <t>Utility reimbursement $/unit/mo</t>
        </is>
      </c>
    </row>
    <row r="103">
      <c r="B103" s="40" t="inlineStr">
        <is>
          <t>Other Inc Per Unit Mo</t>
        </is>
      </c>
      <c r="C103" s="214" t="n">
        <v>50</v>
      </c>
      <c r="D103" s="63" t="inlineStr">
        <is>
          <t>Other income $/unit/mo</t>
        </is>
      </c>
    </row>
    <row r="104"/>
    <row r="105">
      <c r="B105" s="34" t="inlineStr">
        <is>
          <t>Stabilized Operating Expenses (annual)</t>
        </is>
      </c>
      <c r="C105" s="60" t="n"/>
      <c r="D105" s="35" t="n"/>
    </row>
    <row r="106">
      <c r="B106" s="36" t="inlineStr">
        <is>
          <t>Exp Insurance Per Unit</t>
        </is>
      </c>
      <c r="C106" s="213" t="n">
        <v>500</v>
      </c>
      <c r="D106" s="61" t="inlineStr">
        <is>
          <t>Insurance $/unit/yr</t>
        </is>
      </c>
    </row>
    <row r="107">
      <c r="B107" s="36" t="inlineStr">
        <is>
          <t>Exp Utilities Per Unit</t>
        </is>
      </c>
      <c r="C107" s="213" t="n">
        <v>1000</v>
      </c>
      <c r="D107" s="61" t="inlineStr">
        <is>
          <t>Utilities $/unit/yr (variable)</t>
        </is>
      </c>
    </row>
    <row r="108">
      <c r="B108" s="36" t="inlineStr">
        <is>
          <t>Exp Payroll Per Unit</t>
        </is>
      </c>
      <c r="C108" s="213" t="n">
        <v>1544</v>
      </c>
      <c r="D108" s="61" t="inlineStr">
        <is>
          <t>Payroll $/unit/yr (elevated in lease-up)</t>
        </is>
      </c>
    </row>
    <row r="109">
      <c r="B109" s="36" t="inlineStr">
        <is>
          <t>Exp RMPer Unit</t>
        </is>
      </c>
      <c r="C109" s="213" t="n">
        <v>365</v>
      </c>
      <c r="D109" s="61" t="inlineStr">
        <is>
          <t>Repairs &amp; maintenance $/unit/yr (variable)</t>
        </is>
      </c>
    </row>
    <row r="110">
      <c r="B110" s="36" t="inlineStr">
        <is>
          <t>Exp Turnover Per Unit</t>
        </is>
      </c>
      <c r="C110" s="213" t="n">
        <v>335</v>
      </c>
      <c r="D110" s="61" t="inlineStr">
        <is>
          <t>Turnover $/unit/yr (variable)</t>
        </is>
      </c>
    </row>
    <row r="111">
      <c r="B111" s="36" t="inlineStr">
        <is>
          <t>Exp Contract Per Unit</t>
        </is>
      </c>
      <c r="C111" s="213">
        <f>441+408</f>
        <v/>
      </c>
      <c r="D111" s="61" t="inlineStr">
        <is>
          <t>Contract services $/unit/yr (variable)</t>
        </is>
      </c>
    </row>
    <row r="112">
      <c r="B112" s="36" t="inlineStr">
        <is>
          <t>Exp Admin Per Unit</t>
        </is>
      </c>
      <c r="C112" s="213" t="n">
        <v>478</v>
      </c>
      <c r="D112" s="61" t="inlineStr">
        <is>
          <t>Admin &amp; legal $/unit/yr</t>
        </is>
      </c>
    </row>
    <row r="113">
      <c r="B113" s="36" t="inlineStr">
        <is>
          <t>Exp Advertising Per Unit</t>
        </is>
      </c>
      <c r="C113" s="213" t="n">
        <v>200</v>
      </c>
      <c r="D113" s="61" t="inlineStr">
        <is>
          <t>Advertising $/unit/yr (elevated in lease-up)</t>
        </is>
      </c>
    </row>
    <row r="114">
      <c r="B114" s="36" t="inlineStr">
        <is>
          <t>Mgmt Fee Pct</t>
        </is>
      </c>
      <c r="C114" s="8" t="n">
        <v>0.034</v>
      </c>
      <c r="D114" s="61" t="inlineStr">
        <is>
          <t>Management fee % of EGI</t>
        </is>
      </c>
    </row>
    <row r="115">
      <c r="B115" s="36" t="inlineStr">
        <is>
          <t>Cap Reserve Per Unit</t>
        </is>
      </c>
      <c r="C115" s="213" t="n">
        <v>300</v>
      </c>
      <c r="D115" s="61" t="inlineStr">
        <is>
          <t>Capital reserves $/unit/yr (below NOI)</t>
        </is>
      </c>
    </row>
    <row r="116">
      <c r="B116" s="36" t="inlineStr">
        <is>
          <t>Tax Prep Per Unit</t>
        </is>
      </c>
      <c r="C116" s="213" t="n">
        <v>0</v>
      </c>
      <c r="D116" s="61" t="inlineStr">
        <is>
          <t>Tax prep $/unit/yr (below NOI)</t>
        </is>
      </c>
    </row>
    <row r="117">
      <c r="B117" s="40" t="inlineStr">
        <is>
          <t>Asset Mgmt Fee Pct</t>
        </is>
      </c>
      <c r="C117" s="68" t="n">
        <v>0.01</v>
      </c>
      <c r="D117" s="63" t="inlineStr">
        <is>
          <t>Asset mgmt fee % of EGI (below NOI)</t>
        </is>
      </c>
    </row>
    <row r="118"/>
    <row r="119">
      <c r="B119" s="189" t="inlineStr">
        <is>
          <t>Timing Milestone Durations (months)</t>
        </is>
      </c>
    </row>
    <row r="120">
      <c r="B120" s="190" t="inlineStr">
        <is>
          <t>DeliveryLagMonths</t>
        </is>
      </c>
      <c r="C120" s="288" t="n">
        <v>13</v>
      </c>
      <c r="D120" s="289" t="inlineStr">
        <is>
          <t>Months from construction start to 1st unit delivery</t>
        </is>
      </c>
    </row>
    <row r="121">
      <c r="B121" s="190" t="inlineStr">
        <is>
          <t>Dur_OpenEscrow</t>
        </is>
      </c>
      <c r="C121" s="288" t="n">
        <v>1</v>
      </c>
      <c r="D121" s="289" t="inlineStr">
        <is>
          <t>Open Escrow duration</t>
        </is>
      </c>
    </row>
    <row r="122">
      <c r="B122" s="190" t="inlineStr">
        <is>
          <t>Dur_DueDiligence</t>
        </is>
      </c>
      <c r="C122" s="288" t="n">
        <v>4</v>
      </c>
      <c r="D122" s="289" t="inlineStr">
        <is>
          <t>Due Diligence duration</t>
        </is>
      </c>
    </row>
    <row r="123">
      <c r="B123" s="190" t="inlineStr">
        <is>
          <t>Dur_Entitlement</t>
        </is>
      </c>
      <c r="C123" s="288" t="n">
        <v>5</v>
      </c>
      <c r="D123" s="289" t="inlineStr">
        <is>
          <t>Entitlement duration</t>
        </is>
      </c>
    </row>
    <row r="124">
      <c r="B124" s="190" t="inlineStr">
        <is>
          <t>Dur_PreConstruction</t>
        </is>
      </c>
      <c r="C124" s="288" t="n">
        <v>3</v>
      </c>
      <c r="D124" s="289" t="inlineStr">
        <is>
          <t>Pre-Construction duration</t>
        </is>
      </c>
    </row>
    <row r="125">
      <c r="B125" s="190" t="inlineStr">
        <is>
          <t>Dur_InitialClosing</t>
        </is>
      </c>
      <c r="C125" s="288" t="n">
        <v>1</v>
      </c>
      <c r="D125" s="289" t="inlineStr">
        <is>
          <t>Initial Closing duration</t>
        </is>
      </c>
    </row>
    <row r="126">
      <c r="B126" s="190" t="inlineStr">
        <is>
          <t>Dur_Construction</t>
        </is>
      </c>
      <c r="C126" s="288" t="n">
        <v>22</v>
      </c>
      <c r="D126" s="289" t="inlineStr">
        <is>
          <t>Construction duration</t>
        </is>
      </c>
    </row>
    <row r="127">
      <c r="B127" s="190" t="inlineStr">
        <is>
          <t>Dur_FirstUnitDelivery</t>
        </is>
      </c>
      <c r="C127" s="288" t="n">
        <v>1</v>
      </c>
      <c r="D127" s="289" t="inlineStr">
        <is>
          <t>1st Unit Delivery duration</t>
        </is>
      </c>
    </row>
    <row r="128">
      <c r="B128" s="190" t="inlineStr">
        <is>
          <t>Dur_Stabilization</t>
        </is>
      </c>
      <c r="C128" s="288" t="n">
        <v>1</v>
      </c>
      <c r="D128" s="289" t="inlineStr">
        <is>
          <t>Stabilization duration</t>
        </is>
      </c>
    </row>
    <row r="129">
      <c r="B129" s="190" t="inlineStr">
        <is>
          <t>Dur_Recap</t>
        </is>
      </c>
      <c r="C129" s="288" t="n">
        <v>1</v>
      </c>
      <c r="D129" s="289" t="inlineStr">
        <is>
          <t>Recapitalization / Refinance duration</t>
        </is>
      </c>
    </row>
    <row r="130">
      <c r="B130" s="190" t="inlineStr">
        <is>
          <t>Dur_Disposition</t>
        </is>
      </c>
      <c r="C130" s="288" t="n">
        <v>1</v>
      </c>
      <c r="D130" s="289" t="inlineStr">
        <is>
          <t>Disposition duration</t>
        </is>
      </c>
    </row>
    <row r="131"/>
    <row r="132">
      <c r="B132" s="189" t="inlineStr">
        <is>
          <t>Property Tax — Derived (sanity check)</t>
        </is>
      </c>
    </row>
    <row r="133">
      <c r="B133" s="190" t="inlineStr">
        <is>
          <t>Effective Tax Rate on Value</t>
        </is>
      </c>
      <c r="C133" s="278">
        <f>TaxLevyPct*TaxAssessmentPct*TaxValueAdjFactor</f>
        <v/>
      </c>
      <c r="D133" s="289" t="inlineStr">
        <is>
          <t>Levy × assessment ratio × value-adj factor (no double count)</t>
        </is>
      </c>
    </row>
    <row r="134">
      <c r="B134" s="190" t="inlineStr">
        <is>
          <t>Stabilized Tax per Unit / Yr</t>
        </is>
      </c>
      <c r="C134" s="199">
        <f>IF(TotalUnits=0,0,StabTaxAnnual/TotalUnits)</f>
        <v/>
      </c>
      <c r="D134" s="289" t="inlineStr">
        <is>
          <t>Sanity-check band ≈ $800–$3,500 for many US multifamily markets</t>
        </is>
      </c>
    </row>
    <row r="135">
      <c r="B135" s="190" t="inlineStr">
        <is>
          <t>Capitalize Lease-Up Tax</t>
        </is>
      </c>
      <c r="C135" s="288" t="n">
        <v>1</v>
      </c>
      <c r="D135" s="289" t="inlineStr">
        <is>
          <t>1=capitalize pre-stab tax in budget (default); 0=accrue as operating from delivery</t>
        </is>
      </c>
    </row>
    <row r="136"/>
    <row r="137">
      <c r="B137" s="189" t="inlineStr">
        <is>
          <t>Site Density (derived)</t>
        </is>
      </c>
    </row>
    <row r="138">
      <c r="B138" s="190" t="inlineStr">
        <is>
          <t>Density (units / net acre)</t>
        </is>
      </c>
      <c r="C138" s="290">
        <f>IF(NetAcres=0,0,TotalUnits/NetAcres)</f>
        <v/>
      </c>
    </row>
    <row r="139">
      <c r="B139" s="190" t="inlineStr">
        <is>
          <t>Max Buildable SF by FAR</t>
        </is>
      </c>
      <c r="C139" s="191">
        <f>FARRatio*NetAcres*43560</f>
        <v/>
      </c>
      <c r="D139" s="289" t="inlineStr">
        <is>
          <t>FAR × net acres × 43,560 sf/acre</t>
        </is>
      </c>
    </row>
  </sheetData>
  <dataValidations count="1">
    <dataValidation sqref="C62" showDropDown="0" showInputMessage="0" showErrorMessage="1" allowBlank="0" errorTitle="Construction term out of range" error="Construction-loan term is typically 12-60 months. Values above 60 keep the loan interest-only for the full hold and suppress the refinance. Enter 12-60." promptTitle="Construction Loan Term (months)" prompt="Realistic range 12-60. Drives construction maturity and the refi-or-sell switch." type="whole" operator="between">
      <formula1>12</formula1>
      <formula2>60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2"/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2"/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2"/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L39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3"/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</row>
    <row r="32"/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NL45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</cols>
  <sheetData>
    <row r="1" ht="21" customHeight="1" s="97">
      <c r="B1" s="1" t="inlineStr">
        <is>
          <t>Timeline Engine — Milestones &amp; Monthly Period Grid</t>
        </is>
      </c>
    </row>
    <row r="2"/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+MS_Stabilization_End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5"/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IF(RefiFlag=1,MIN(ConMaturity,IF(RefiMonthOverride&gt;0,RefiMonthOverride,ConMaturity)),0)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6"/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4"/>
    <row r="45">
      <c r="B45" s="190" t="inlineStr">
        <is>
          <t>Operating Tax Start Month (capitalization boundary)</t>
        </is>
      </c>
      <c r="C45" s="294">
        <f>IF(TaxCapitalizeLeaseUp&gt;=1,StabMonth,DeliverStart)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NU4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</cols>
  <sheetData>
    <row r="1" ht="21" customHeight="1" s="97">
      <c r="B1" s="1" t="inlineStr">
        <is>
          <t>Development Cost-Curve Engine — Monthly Spend by Line</t>
        </is>
      </c>
    </row>
    <row r="2"/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IF(AND(1&gt;=MS_Initial_Closing_Start,1&lt;TaxOpStartMonth),(LandCost+E$37)*EffTaxRateOnValue/12,0)</f>
        <v/>
      </c>
      <c r="F38" s="228">
        <f>IF(AND(2&gt;=MS_Initial_Closing_Start,2&lt;TaxOpStartMonth),(LandCost+F$37)*EffTaxRateOnValue/12,0)</f>
        <v/>
      </c>
      <c r="G38" s="228">
        <f>IF(AND(3&gt;=MS_Initial_Closing_Start,3&lt;TaxOpStartMonth),(LandCost+G$37)*EffTaxRateOnValue/12,0)</f>
        <v/>
      </c>
      <c r="H38" s="228">
        <f>IF(AND(4&gt;=MS_Initial_Closing_Start,4&lt;TaxOpStartMonth),(LandCost+H$37)*EffTaxRateOnValue/12,0)</f>
        <v/>
      </c>
      <c r="I38" s="228">
        <f>IF(AND(5&gt;=MS_Initial_Closing_Start,5&lt;TaxOpStartMonth),(LandCost+I$37)*EffTaxRateOnValue/12,0)</f>
        <v/>
      </c>
      <c r="J38" s="228">
        <f>IF(AND(6&gt;=MS_Initial_Closing_Start,6&lt;TaxOpStartMonth),(LandCost+J$37)*EffTaxRateOnValue/12,0)</f>
        <v/>
      </c>
      <c r="K38" s="228">
        <f>IF(AND(7&gt;=MS_Initial_Closing_Start,7&lt;TaxOpStartMonth),(LandCost+K$37)*EffTaxRateOnValue/12,0)</f>
        <v/>
      </c>
      <c r="L38" s="228">
        <f>IF(AND(8&gt;=MS_Initial_Closing_Start,8&lt;TaxOpStartMonth),(LandCost+L$37)*EffTaxRateOnValue/12,0)</f>
        <v/>
      </c>
      <c r="M38" s="228">
        <f>IF(AND(9&gt;=MS_Initial_Closing_Start,9&lt;TaxOpStartMonth),(LandCost+M$37)*EffTaxRateOnValue/12,0)</f>
        <v/>
      </c>
      <c r="N38" s="228">
        <f>IF(AND(10&gt;=MS_Initial_Closing_Start,10&lt;TaxOpStartMonth),(LandCost+N$37)*EffTaxRateOnValue/12,0)</f>
        <v/>
      </c>
      <c r="O38" s="228">
        <f>IF(AND(11&gt;=MS_Initial_Closing_Start,11&lt;TaxOpStartMonth),(LandCost+O$37)*EffTaxRateOnValue/12,0)</f>
        <v/>
      </c>
      <c r="P38" s="228">
        <f>IF(AND(12&gt;=MS_Initial_Closing_Start,12&lt;TaxOpStartMonth),(LandCost+P$37)*EffTaxRateOnValue/12,0)</f>
        <v/>
      </c>
      <c r="Q38" s="228">
        <f>IF(AND(13&gt;=MS_Initial_Closing_Start,13&lt;TaxOpStartMonth),(LandCost+Q$37)*EffTaxRateOnValue/12,0)</f>
        <v/>
      </c>
      <c r="R38" s="228">
        <f>IF(AND(14&gt;=MS_Initial_Closing_Start,14&lt;TaxOpStartMonth),(LandCost+R$37)*EffTaxRateOnValue/12,0)</f>
        <v/>
      </c>
      <c r="S38" s="228">
        <f>IF(AND(15&gt;=MS_Initial_Closing_Start,15&lt;TaxOpStartMonth),(LandCost+S$37)*EffTaxRateOnValue/12,0)</f>
        <v/>
      </c>
      <c r="T38" s="228">
        <f>IF(AND(16&gt;=MS_Initial_Closing_Start,16&lt;TaxOpStartMonth),(LandCost+T$37)*EffTaxRateOnValue/12,0)</f>
        <v/>
      </c>
      <c r="U38" s="228">
        <f>IF(AND(17&gt;=MS_Initial_Closing_Start,17&lt;TaxOpStartMonth),(LandCost+U$37)*EffTaxRateOnValue/12,0)</f>
        <v/>
      </c>
      <c r="V38" s="228">
        <f>IF(AND(18&gt;=MS_Initial_Closing_Start,18&lt;TaxOpStartMonth),(LandCost+V$37)*EffTaxRateOnValue/12,0)</f>
        <v/>
      </c>
      <c r="W38" s="228">
        <f>IF(AND(19&gt;=MS_Initial_Closing_Start,19&lt;TaxOpStartMonth),(LandCost+W$37)*EffTaxRateOnValue/12,0)</f>
        <v/>
      </c>
      <c r="X38" s="228">
        <f>IF(AND(20&gt;=MS_Initial_Closing_Start,20&lt;TaxOpStartMonth),(LandCost+X$37)*EffTaxRateOnValue/12,0)</f>
        <v/>
      </c>
      <c r="Y38" s="228">
        <f>IF(AND(21&gt;=MS_Initial_Closing_Start,21&lt;TaxOpStartMonth),(LandCost+Y$37)*EffTaxRateOnValue/12,0)</f>
        <v/>
      </c>
      <c r="Z38" s="228">
        <f>IF(AND(22&gt;=MS_Initial_Closing_Start,22&lt;TaxOpStartMonth),(LandCost+Z$37)*EffTaxRateOnValue/12,0)</f>
        <v/>
      </c>
      <c r="AA38" s="228">
        <f>IF(AND(23&gt;=MS_Initial_Closing_Start,23&lt;TaxOpStartMonth),(LandCost+AA$37)*EffTaxRateOnValue/12,0)</f>
        <v/>
      </c>
      <c r="AB38" s="228">
        <f>IF(AND(24&gt;=MS_Initial_Closing_Start,24&lt;TaxOpStartMonth),(LandCost+AB$37)*EffTaxRateOnValue/12,0)</f>
        <v/>
      </c>
      <c r="AC38" s="228">
        <f>IF(AND(25&gt;=MS_Initial_Closing_Start,25&lt;TaxOpStartMonth),(LandCost+AC$37)*EffTaxRateOnValue/12,0)</f>
        <v/>
      </c>
      <c r="AD38" s="228">
        <f>IF(AND(26&gt;=MS_Initial_Closing_Start,26&lt;TaxOpStartMonth),(LandCost+AD$37)*EffTaxRateOnValue/12,0)</f>
        <v/>
      </c>
      <c r="AE38" s="228">
        <f>IF(AND(27&gt;=MS_Initial_Closing_Start,27&lt;TaxOpStartMonth),(LandCost+AE$37)*EffTaxRateOnValue/12,0)</f>
        <v/>
      </c>
      <c r="AF38" s="228">
        <f>IF(AND(28&gt;=MS_Initial_Closing_Start,28&lt;TaxOpStartMonth),(LandCost+AF$37)*EffTaxRateOnValue/12,0)</f>
        <v/>
      </c>
      <c r="AG38" s="228">
        <f>IF(AND(29&gt;=MS_Initial_Closing_Start,29&lt;TaxOpStartMonth),(LandCost+AG$37)*EffTaxRateOnValue/12,0)</f>
        <v/>
      </c>
      <c r="AH38" s="228">
        <f>IF(AND(30&gt;=MS_Initial_Closing_Start,30&lt;TaxOpStartMonth),(LandCost+AH$37)*EffTaxRateOnValue/12,0)</f>
        <v/>
      </c>
      <c r="AI38" s="228">
        <f>IF(AND(31&gt;=MS_Initial_Closing_Start,31&lt;TaxOpStartMonth),(LandCost+AI$37)*EffTaxRateOnValue/12,0)</f>
        <v/>
      </c>
      <c r="AJ38" s="228">
        <f>IF(AND(32&gt;=MS_Initial_Closing_Start,32&lt;TaxOpStartMonth),(LandCost+AJ$37)*EffTaxRateOnValue/12,0)</f>
        <v/>
      </c>
      <c r="AK38" s="228">
        <f>IF(AND(33&gt;=MS_Initial_Closing_Start,33&lt;TaxOpStartMonth),(LandCost+AK$37)*EffTaxRateOnValue/12,0)</f>
        <v/>
      </c>
      <c r="AL38" s="228">
        <f>IF(AND(34&gt;=MS_Initial_Closing_Start,34&lt;TaxOpStartMonth),(LandCost+AL$37)*EffTaxRateOnValue/12,0)</f>
        <v/>
      </c>
      <c r="AM38" s="228">
        <f>IF(AND(35&gt;=MS_Initial_Closing_Start,35&lt;TaxOpStartMonth),(LandCost+AM$37)*EffTaxRateOnValue/12,0)</f>
        <v/>
      </c>
      <c r="AN38" s="228">
        <f>IF(AND(36&gt;=MS_Initial_Closing_Start,36&lt;TaxOpStartMonth),(LandCost+AN$37)*EffTaxRateOnValue/12,0)</f>
        <v/>
      </c>
      <c r="AO38" s="228">
        <f>IF(AND(37&gt;=MS_Initial_Closing_Start,37&lt;TaxOpStartMonth),(LandCost+AO$37)*EffTaxRateOnValue/12,0)</f>
        <v/>
      </c>
      <c r="AP38" s="228">
        <f>IF(AND(38&gt;=MS_Initial_Closing_Start,38&lt;TaxOpStartMonth),(LandCost+AP$37)*EffTaxRateOnValue/12,0)</f>
        <v/>
      </c>
      <c r="AQ38" s="228">
        <f>IF(AND(39&gt;=MS_Initial_Closing_Start,39&lt;TaxOpStartMonth),(LandCost+AQ$37)*EffTaxRateOnValue/12,0)</f>
        <v/>
      </c>
      <c r="AR38" s="228">
        <f>IF(AND(40&gt;=MS_Initial_Closing_Start,40&lt;TaxOpStartMonth),(LandCost+AR$37)*EffTaxRateOnValue/12,0)</f>
        <v/>
      </c>
      <c r="AS38" s="228">
        <f>IF(AND(41&gt;=MS_Initial_Closing_Start,41&lt;TaxOpStartMonth),(LandCost+AS$37)*EffTaxRateOnValue/12,0)</f>
        <v/>
      </c>
      <c r="AT38" s="228">
        <f>IF(AND(42&gt;=MS_Initial_Closing_Start,42&lt;TaxOpStartMonth),(LandCost+AT$37)*EffTaxRateOnValue/12,0)</f>
        <v/>
      </c>
      <c r="AU38" s="228">
        <f>IF(AND(43&gt;=MS_Initial_Closing_Start,43&lt;TaxOpStartMonth),(LandCost+AU$37)*EffTaxRateOnValue/12,0)</f>
        <v/>
      </c>
      <c r="AV38" s="228">
        <f>IF(AND(44&gt;=MS_Initial_Closing_Start,44&lt;TaxOpStartMonth),(LandCost+AV$37)*EffTaxRateOnValue/12,0)</f>
        <v/>
      </c>
      <c r="AW38" s="228">
        <f>IF(AND(45&gt;=MS_Initial_Closing_Start,45&lt;TaxOpStartMonth),(LandCost+AW$37)*EffTaxRateOnValue/12,0)</f>
        <v/>
      </c>
      <c r="AX38" s="228">
        <f>IF(AND(46&gt;=MS_Initial_Closing_Start,46&lt;TaxOpStartMonth),(LandCost+AX$37)*EffTaxRateOnValue/12,0)</f>
        <v/>
      </c>
      <c r="AY38" s="228">
        <f>IF(AND(47&gt;=MS_Initial_Closing_Start,47&lt;TaxOpStartMonth),(LandCost+AY$37)*EffTaxRateOnValue/12,0)</f>
        <v/>
      </c>
      <c r="AZ38" s="228">
        <f>IF(AND(48&gt;=MS_Initial_Closing_Start,48&lt;TaxOpStartMonth),(LandCost+AZ$37)*EffTaxRateOnValue/12,0)</f>
        <v/>
      </c>
      <c r="BA38" s="228">
        <f>IF(AND(49&gt;=MS_Initial_Closing_Start,49&lt;TaxOpStartMonth),(LandCost+BA$37)*EffTaxRateOnValue/12,0)</f>
        <v/>
      </c>
      <c r="BB38" s="228">
        <f>IF(AND(50&gt;=MS_Initial_Closing_Start,50&lt;TaxOpStartMonth),(LandCost+BB$37)*EffTaxRateOnValue/12,0)</f>
        <v/>
      </c>
      <c r="BC38" s="228">
        <f>IF(AND(51&gt;=MS_Initial_Closing_Start,51&lt;TaxOpStartMonth),(LandCost+BC$37)*EffTaxRateOnValue/12,0)</f>
        <v/>
      </c>
      <c r="BD38" s="228">
        <f>IF(AND(52&gt;=MS_Initial_Closing_Start,52&lt;TaxOpStartMonth),(LandCost+BD$37)*EffTaxRateOnValue/12,0)</f>
        <v/>
      </c>
      <c r="BE38" s="228">
        <f>IF(AND(53&gt;=MS_Initial_Closing_Start,53&lt;TaxOpStartMonth),(LandCost+BE$37)*EffTaxRateOnValue/12,0)</f>
        <v/>
      </c>
      <c r="BF38" s="228">
        <f>IF(AND(54&gt;=MS_Initial_Closing_Start,54&lt;TaxOpStartMonth),(LandCost+BF$37)*EffTaxRateOnValue/12,0)</f>
        <v/>
      </c>
      <c r="BG38" s="228">
        <f>IF(AND(55&gt;=MS_Initial_Closing_Start,55&lt;TaxOpStartMonth),(LandCost+BG$37)*EffTaxRateOnValue/12,0)</f>
        <v/>
      </c>
      <c r="BH38" s="228">
        <f>IF(AND(56&gt;=MS_Initial_Closing_Start,56&lt;TaxOpStartMonth),(LandCost+BH$37)*EffTaxRateOnValue/12,0)</f>
        <v/>
      </c>
      <c r="BI38" s="228">
        <f>IF(AND(57&gt;=MS_Initial_Closing_Start,57&lt;TaxOpStartMonth),(LandCost+BI$37)*EffTaxRateOnValue/12,0)</f>
        <v/>
      </c>
      <c r="BJ38" s="228">
        <f>IF(AND(58&gt;=MS_Initial_Closing_Start,58&lt;TaxOpStartMonth),(LandCost+BJ$37)*EffTaxRateOnValue/12,0)</f>
        <v/>
      </c>
      <c r="BK38" s="228">
        <f>IF(AND(59&gt;=MS_Initial_Closing_Start,59&lt;TaxOpStartMonth),(LandCost+BK$37)*EffTaxRateOnValue/12,0)</f>
        <v/>
      </c>
      <c r="BL38" s="228">
        <f>IF(AND(60&gt;=MS_Initial_Closing_Start,60&lt;TaxOpStartMonth),(LandCost+BL$37)*EffTaxRateOnValue/12,0)</f>
        <v/>
      </c>
      <c r="BM38" s="228">
        <f>IF(AND(61&gt;=MS_Initial_Closing_Start,61&lt;TaxOpStartMonth),(LandCost+BM$37)*EffTaxRateOnValue/12,0)</f>
        <v/>
      </c>
      <c r="BN38" s="228">
        <f>IF(AND(62&gt;=MS_Initial_Closing_Start,62&lt;TaxOpStartMonth),(LandCost+BN$37)*EffTaxRateOnValue/12,0)</f>
        <v/>
      </c>
      <c r="BO38" s="228">
        <f>IF(AND(63&gt;=MS_Initial_Closing_Start,63&lt;TaxOpStartMonth),(LandCost+BO$37)*EffTaxRateOnValue/12,0)</f>
        <v/>
      </c>
      <c r="BP38" s="228">
        <f>IF(AND(64&gt;=MS_Initial_Closing_Start,64&lt;TaxOpStartMonth),(LandCost+BP$37)*EffTaxRateOnValue/12,0)</f>
        <v/>
      </c>
      <c r="BQ38" s="228">
        <f>IF(AND(65&gt;=MS_Initial_Closing_Start,65&lt;TaxOpStartMonth),(LandCost+BQ$37)*EffTaxRateOnValue/12,0)</f>
        <v/>
      </c>
      <c r="BR38" s="228">
        <f>IF(AND(66&gt;=MS_Initial_Closing_Start,66&lt;TaxOpStartMonth),(LandCost+BR$37)*EffTaxRateOnValue/12,0)</f>
        <v/>
      </c>
      <c r="BS38" s="228">
        <f>IF(AND(67&gt;=MS_Initial_Closing_Start,67&lt;TaxOpStartMonth),(LandCost+BS$37)*EffTaxRateOnValue/12,0)</f>
        <v/>
      </c>
      <c r="BT38" s="228">
        <f>IF(AND(68&gt;=MS_Initial_Closing_Start,68&lt;TaxOpStartMonth),(LandCost+BT$37)*EffTaxRateOnValue/12,0)</f>
        <v/>
      </c>
      <c r="BU38" s="228">
        <f>IF(AND(69&gt;=MS_Initial_Closing_Start,69&lt;TaxOpStartMonth),(LandCost+BU$37)*EffTaxRateOnValue/12,0)</f>
        <v/>
      </c>
      <c r="BV38" s="228">
        <f>IF(AND(70&gt;=MS_Initial_Closing_Start,70&lt;TaxOpStartMonth),(LandCost+BV$37)*EffTaxRateOnValue/12,0)</f>
        <v/>
      </c>
      <c r="BW38" s="228">
        <f>IF(AND(71&gt;=MS_Initial_Closing_Start,71&lt;TaxOpStartMonth),(LandCost+BW$37)*EffTaxRateOnValue/12,0)</f>
        <v/>
      </c>
      <c r="BX38" s="228">
        <f>IF(AND(72&gt;=MS_Initial_Closing_Start,72&lt;TaxOpStartMonth),(LandCost+BX$37)*EffTaxRateOnValue/12,0)</f>
        <v/>
      </c>
      <c r="BY38" s="228">
        <f>IF(AND(73&gt;=MS_Initial_Closing_Start,73&lt;TaxOpStartMonth),(LandCost+BY$37)*EffTaxRateOnValue/12,0)</f>
        <v/>
      </c>
      <c r="BZ38" s="228">
        <f>IF(AND(74&gt;=MS_Initial_Closing_Start,74&lt;TaxOpStartMonth),(LandCost+BZ$37)*EffTaxRateOnValue/12,0)</f>
        <v/>
      </c>
      <c r="CA38" s="228">
        <f>IF(AND(75&gt;=MS_Initial_Closing_Start,75&lt;TaxOpStartMonth),(LandCost+CA$37)*EffTaxRateOnValue/12,0)</f>
        <v/>
      </c>
      <c r="CB38" s="228">
        <f>IF(AND(76&gt;=MS_Initial_Closing_Start,76&lt;TaxOpStartMonth),(LandCost+CB$37)*EffTaxRateOnValue/12,0)</f>
        <v/>
      </c>
      <c r="CC38" s="228">
        <f>IF(AND(77&gt;=MS_Initial_Closing_Start,77&lt;TaxOpStartMonth),(LandCost+CC$37)*EffTaxRateOnValue/12,0)</f>
        <v/>
      </c>
      <c r="CD38" s="228">
        <f>IF(AND(78&gt;=MS_Initial_Closing_Start,78&lt;TaxOpStartMonth),(LandCost+CD$37)*EffTaxRateOnValue/12,0)</f>
        <v/>
      </c>
      <c r="CE38" s="228">
        <f>IF(AND(79&gt;=MS_Initial_Closing_Start,79&lt;TaxOpStartMonth),(LandCost+CE$37)*EffTaxRateOnValue/12,0)</f>
        <v/>
      </c>
      <c r="CF38" s="228">
        <f>IF(AND(80&gt;=MS_Initial_Closing_Start,80&lt;TaxOpStartMonth),(LandCost+CF$37)*EffTaxRateOnValue/12,0)</f>
        <v/>
      </c>
      <c r="CG38" s="228">
        <f>IF(AND(81&gt;=MS_Initial_Closing_Start,81&lt;TaxOpStartMonth),(LandCost+CG$37)*EffTaxRateOnValue/12,0)</f>
        <v/>
      </c>
      <c r="CH38" s="228">
        <f>IF(AND(82&gt;=MS_Initial_Closing_Start,82&lt;TaxOpStartMonth),(LandCost+CH$37)*EffTaxRateOnValue/12,0)</f>
        <v/>
      </c>
      <c r="CI38" s="228">
        <f>IF(AND(83&gt;=MS_Initial_Closing_Start,83&lt;TaxOpStartMonth),(LandCost+CI$37)*EffTaxRateOnValue/12,0)</f>
        <v/>
      </c>
      <c r="CJ38" s="228">
        <f>IF(AND(84&gt;=MS_Initial_Closing_Start,84&lt;TaxOpStartMonth),(LandCost+CJ$37)*EffTaxRateOnValue/12,0)</f>
        <v/>
      </c>
      <c r="CK38" s="228">
        <f>IF(AND(85&gt;=MS_Initial_Closing_Start,85&lt;TaxOpStartMonth),(LandCost+CK$37)*EffTaxRateOnValue/12,0)</f>
        <v/>
      </c>
      <c r="CL38" s="228">
        <f>IF(AND(86&gt;=MS_Initial_Closing_Start,86&lt;TaxOpStartMonth),(LandCost+CL$37)*EffTaxRateOnValue/12,0)</f>
        <v/>
      </c>
      <c r="CM38" s="228">
        <f>IF(AND(87&gt;=MS_Initial_Closing_Start,87&lt;TaxOpStartMonth),(LandCost+CM$37)*EffTaxRateOnValue/12,0)</f>
        <v/>
      </c>
      <c r="CN38" s="228">
        <f>IF(AND(88&gt;=MS_Initial_Closing_Start,88&lt;TaxOpStartMonth),(LandCost+CN$37)*EffTaxRateOnValue/12,0)</f>
        <v/>
      </c>
      <c r="CO38" s="228">
        <f>IF(AND(89&gt;=MS_Initial_Closing_Start,89&lt;TaxOpStartMonth),(LandCost+CO$37)*EffTaxRateOnValue/12,0)</f>
        <v/>
      </c>
      <c r="CP38" s="228">
        <f>IF(AND(90&gt;=MS_Initial_Closing_Start,90&lt;TaxOpStartMonth),(LandCost+CP$37)*EffTaxRateOnValue/12,0)</f>
        <v/>
      </c>
      <c r="CQ38" s="228">
        <f>IF(AND(91&gt;=MS_Initial_Closing_Start,91&lt;TaxOpStartMonth),(LandCost+CQ$37)*EffTaxRateOnValue/12,0)</f>
        <v/>
      </c>
      <c r="CR38" s="228">
        <f>IF(AND(92&gt;=MS_Initial_Closing_Start,92&lt;TaxOpStartMonth),(LandCost+CR$37)*EffTaxRateOnValue/12,0)</f>
        <v/>
      </c>
      <c r="CS38" s="228">
        <f>IF(AND(93&gt;=MS_Initial_Closing_Start,93&lt;TaxOpStartMonth),(LandCost+CS$37)*EffTaxRateOnValue/12,0)</f>
        <v/>
      </c>
      <c r="CT38" s="228">
        <f>IF(AND(94&gt;=MS_Initial_Closing_Start,94&lt;TaxOpStartMonth),(LandCost+CT$37)*EffTaxRateOnValue/12,0)</f>
        <v/>
      </c>
      <c r="CU38" s="228">
        <f>IF(AND(95&gt;=MS_Initial_Closing_Start,95&lt;TaxOpStartMonth),(LandCost+CU$37)*EffTaxRateOnValue/12,0)</f>
        <v/>
      </c>
      <c r="CV38" s="228">
        <f>IF(AND(96&gt;=MS_Initial_Closing_Start,96&lt;TaxOpStartMonth),(LandCost+CV$37)*EffTaxRateOnValue/12,0)</f>
        <v/>
      </c>
      <c r="CW38" s="228">
        <f>IF(AND(97&gt;=MS_Initial_Closing_Start,97&lt;TaxOpStartMonth),(LandCost+CW$37)*EffTaxRateOnValue/12,0)</f>
        <v/>
      </c>
      <c r="CX38" s="228">
        <f>IF(AND(98&gt;=MS_Initial_Closing_Start,98&lt;TaxOpStartMonth),(LandCost+CX$37)*EffTaxRateOnValue/12,0)</f>
        <v/>
      </c>
      <c r="CY38" s="228">
        <f>IF(AND(99&gt;=MS_Initial_Closing_Start,99&lt;TaxOpStartMonth),(LandCost+CY$37)*EffTaxRateOnValue/12,0)</f>
        <v/>
      </c>
      <c r="CZ38" s="228">
        <f>IF(AND(100&gt;=MS_Initial_Closing_Start,100&lt;TaxOpStartMonth),(LandCost+CZ$37)*EffTaxRateOnValue/12,0)</f>
        <v/>
      </c>
      <c r="DA38" s="228">
        <f>IF(AND(101&gt;=MS_Initial_Closing_Start,101&lt;TaxOpStartMonth),(LandCost+DA$37)*EffTaxRateOnValue/12,0)</f>
        <v/>
      </c>
      <c r="DB38" s="228">
        <f>IF(AND(102&gt;=MS_Initial_Closing_Start,102&lt;TaxOpStartMonth),(LandCost+DB$37)*EffTaxRateOnValue/12,0)</f>
        <v/>
      </c>
      <c r="DC38" s="228">
        <f>IF(AND(103&gt;=MS_Initial_Closing_Start,103&lt;TaxOpStartMonth),(LandCost+DC$37)*EffTaxRateOnValue/12,0)</f>
        <v/>
      </c>
      <c r="DD38" s="228">
        <f>IF(AND(104&gt;=MS_Initial_Closing_Start,104&lt;TaxOpStartMonth),(LandCost+DD$37)*EffTaxRateOnValue/12,0)</f>
        <v/>
      </c>
      <c r="DE38" s="228">
        <f>IF(AND(105&gt;=MS_Initial_Closing_Start,105&lt;TaxOpStartMonth),(LandCost+DE$37)*EffTaxRateOnValue/12,0)</f>
        <v/>
      </c>
      <c r="DF38" s="228">
        <f>IF(AND(106&gt;=MS_Initial_Closing_Start,106&lt;TaxOpStartMonth),(LandCost+DF$37)*EffTaxRateOnValue/12,0)</f>
        <v/>
      </c>
      <c r="DG38" s="228">
        <f>IF(AND(107&gt;=MS_Initial_Closing_Start,107&lt;TaxOpStartMonth),(LandCost+DG$37)*EffTaxRateOnValue/12,0)</f>
        <v/>
      </c>
      <c r="DH38" s="228">
        <f>IF(AND(108&gt;=MS_Initial_Closing_Start,108&lt;TaxOpStartMonth),(LandCost+DH$37)*EffTaxRateOnValue/12,0)</f>
        <v/>
      </c>
      <c r="DI38" s="228">
        <f>IF(AND(109&gt;=MS_Initial_Closing_Start,109&lt;TaxOpStartMonth),(LandCost+DI$37)*EffTaxRateOnValue/12,0)</f>
        <v/>
      </c>
      <c r="DJ38" s="228">
        <f>IF(AND(110&gt;=MS_Initial_Closing_Start,110&lt;TaxOpStartMonth),(LandCost+DJ$37)*EffTaxRateOnValue/12,0)</f>
        <v/>
      </c>
      <c r="DK38" s="228">
        <f>IF(AND(111&gt;=MS_Initial_Closing_Start,111&lt;TaxOpStartMonth),(LandCost+DK$37)*EffTaxRateOnValue/12,0)</f>
        <v/>
      </c>
      <c r="DL38" s="228">
        <f>IF(AND(112&gt;=MS_Initial_Closing_Start,112&lt;TaxOpStartMonth),(LandCost+DL$37)*EffTaxRateOnValue/12,0)</f>
        <v/>
      </c>
      <c r="DM38" s="228">
        <f>IF(AND(113&gt;=MS_Initial_Closing_Start,113&lt;TaxOpStartMonth),(LandCost+DM$37)*EffTaxRateOnValue/12,0)</f>
        <v/>
      </c>
      <c r="DN38" s="228">
        <f>IF(AND(114&gt;=MS_Initial_Closing_Start,114&lt;TaxOpStartMonth),(LandCost+DN$37)*EffTaxRateOnValue/12,0)</f>
        <v/>
      </c>
      <c r="DO38" s="228">
        <f>IF(AND(115&gt;=MS_Initial_Closing_Start,115&lt;TaxOpStartMonth),(LandCost+DO$37)*EffTaxRateOnValue/12,0)</f>
        <v/>
      </c>
      <c r="DP38" s="228">
        <f>IF(AND(116&gt;=MS_Initial_Closing_Start,116&lt;TaxOpStartMonth),(LandCost+DP$37)*EffTaxRateOnValue/12,0)</f>
        <v/>
      </c>
      <c r="DQ38" s="228">
        <f>IF(AND(117&gt;=MS_Initial_Closing_Start,117&lt;TaxOpStartMonth),(LandCost+DQ$37)*EffTaxRateOnValue/12,0)</f>
        <v/>
      </c>
      <c r="DR38" s="228">
        <f>IF(AND(118&gt;=MS_Initial_Closing_Start,118&lt;TaxOpStartMonth),(LandCost+DR$37)*EffTaxRateOnValue/12,0)</f>
        <v/>
      </c>
      <c r="DS38" s="228">
        <f>IF(AND(119&gt;=MS_Initial_Closing_Start,119&lt;TaxOpStartMonth),(LandCost+DS$37)*EffTaxRateOnValue/12,0)</f>
        <v/>
      </c>
      <c r="DT38" s="228">
        <f>IF(AND(120&gt;=MS_Initial_Closing_Start,120&lt;TaxOpStartMonth),(LandCost+DT$37)*EffTaxRateOnValue/12,0)</f>
        <v/>
      </c>
      <c r="DU38" s="228">
        <f>IF(AND(121&gt;=MS_Initial_Closing_Start,121&lt;TaxOpStartMonth),(LandCost+DU$37)*EffTaxRateOnValue/12,0)</f>
        <v/>
      </c>
      <c r="DV38" s="228">
        <f>IF(AND(122&gt;=MS_Initial_Closing_Start,122&lt;TaxOpStartMonth),(LandCost+DV$37)*EffTaxRateOnValue/12,0)</f>
        <v/>
      </c>
      <c r="DW38" s="228">
        <f>IF(AND(123&gt;=MS_Initial_Closing_Start,123&lt;TaxOpStartMonth),(LandCost+DW$37)*EffTaxRateOnValue/12,0)</f>
        <v/>
      </c>
      <c r="DX38" s="228">
        <f>IF(AND(124&gt;=MS_Initial_Closing_Start,124&lt;TaxOpStartMonth),(LandCost+DX$37)*EffTaxRateOnValue/12,0)</f>
        <v/>
      </c>
      <c r="DY38" s="228">
        <f>IF(AND(125&gt;=MS_Initial_Closing_Start,125&lt;TaxOpStartMonth),(LandCost+DY$37)*EffTaxRateOnValue/12,0)</f>
        <v/>
      </c>
      <c r="DZ38" s="228">
        <f>IF(AND(126&gt;=MS_Initial_Closing_Start,126&lt;TaxOpStartMonth),(LandCost+DZ$37)*EffTaxRateOnValue/12,0)</f>
        <v/>
      </c>
      <c r="EA38" s="228">
        <f>IF(AND(127&gt;=MS_Initial_Closing_Start,127&lt;TaxOpStartMonth),(LandCost+EA$37)*EffTaxRateOnValue/12,0)</f>
        <v/>
      </c>
      <c r="EB38" s="228">
        <f>IF(AND(128&gt;=MS_Initial_Closing_Start,128&lt;TaxOpStartMonth),(LandCost+EB$37)*EffTaxRateOnValue/12,0)</f>
        <v/>
      </c>
      <c r="EC38" s="228">
        <f>IF(AND(129&gt;=MS_Initial_Closing_Start,129&lt;TaxOpStartMonth),(LandCost+EC$37)*EffTaxRateOnValue/12,0)</f>
        <v/>
      </c>
      <c r="ED38" s="228">
        <f>IF(AND(130&gt;=MS_Initial_Closing_Start,130&lt;TaxOpStartMonth),(LandCost+ED$37)*EffTaxRateOnValue/12,0)</f>
        <v/>
      </c>
      <c r="EE38" s="228">
        <f>IF(AND(131&gt;=MS_Initial_Closing_Start,131&lt;TaxOpStartMonth),(LandCost+EE$37)*EffTaxRateOnValue/12,0)</f>
        <v/>
      </c>
      <c r="EF38" s="228">
        <f>IF(AND(132&gt;=MS_Initial_Closing_Start,132&lt;TaxOpStartMonth),(LandCost+EF$37)*EffTaxRateOnValue/12,0)</f>
        <v/>
      </c>
      <c r="EG38" s="228">
        <f>IF(AND(133&gt;=MS_Initial_Closing_Start,133&lt;TaxOpStartMonth),(LandCost+EG$37)*EffTaxRateOnValue/12,0)</f>
        <v/>
      </c>
      <c r="EH38" s="228">
        <f>IF(AND(134&gt;=MS_Initial_Closing_Start,134&lt;TaxOpStartMonth),(LandCost+EH$37)*EffTaxRateOnValue/12,0)</f>
        <v/>
      </c>
      <c r="EI38" s="228">
        <f>IF(AND(135&gt;=MS_Initial_Closing_Start,135&lt;TaxOpStartMonth),(LandCost+EI$37)*EffTaxRateOnValue/12,0)</f>
        <v/>
      </c>
      <c r="EJ38" s="228">
        <f>IF(AND(136&gt;=MS_Initial_Closing_Start,136&lt;TaxOpStartMonth),(LandCost+EJ$37)*EffTaxRateOnValue/12,0)</f>
        <v/>
      </c>
      <c r="EK38" s="228">
        <f>IF(AND(137&gt;=MS_Initial_Closing_Start,137&lt;TaxOpStartMonth),(LandCost+EK$37)*EffTaxRateOnValue/12,0)</f>
        <v/>
      </c>
      <c r="EL38" s="228">
        <f>IF(AND(138&gt;=MS_Initial_Closing_Start,138&lt;TaxOpStartMonth),(LandCost+EL$37)*EffTaxRateOnValue/12,0)</f>
        <v/>
      </c>
      <c r="EM38" s="228">
        <f>IF(AND(139&gt;=MS_Initial_Closing_Start,139&lt;TaxOpStartMonth),(LandCost+EM$37)*EffTaxRateOnValue/12,0)</f>
        <v/>
      </c>
      <c r="EN38" s="228">
        <f>IF(AND(140&gt;=MS_Initial_Closing_Start,140&lt;TaxOpStartMonth),(LandCost+EN$37)*EffTaxRateOnValue/12,0)</f>
        <v/>
      </c>
      <c r="EO38" s="228">
        <f>IF(AND(141&gt;=MS_Initial_Closing_Start,141&lt;TaxOpStartMonth),(LandCost+EO$37)*EffTaxRateOnValue/12,0)</f>
        <v/>
      </c>
      <c r="EP38" s="228">
        <f>IF(AND(142&gt;=MS_Initial_Closing_Start,142&lt;TaxOpStartMonth),(LandCost+EP$37)*EffTaxRateOnValue/12,0)</f>
        <v/>
      </c>
      <c r="EQ38" s="228">
        <f>IF(AND(143&gt;=MS_Initial_Closing_Start,143&lt;TaxOpStartMonth),(LandCost+EQ$37)*EffTaxRateOnValue/12,0)</f>
        <v/>
      </c>
      <c r="ER38" s="228">
        <f>IF(AND(144&gt;=MS_Initial_Closing_Start,144&lt;TaxOpStartMonth),(LandCost+ER$37)*EffTaxRateOnValue/12,0)</f>
        <v/>
      </c>
      <c r="ES38" s="228">
        <f>IF(AND(145&gt;=MS_Initial_Closing_Start,145&lt;TaxOpStartMonth),(LandCost+ES$37)*EffTaxRateOnValue/12,0)</f>
        <v/>
      </c>
      <c r="ET38" s="228">
        <f>IF(AND(146&gt;=MS_Initial_Closing_Start,146&lt;TaxOpStartMonth),(LandCost+ET$37)*EffTaxRateOnValue/12,0)</f>
        <v/>
      </c>
      <c r="EU38" s="228">
        <f>IF(AND(147&gt;=MS_Initial_Closing_Start,147&lt;TaxOpStartMonth),(LandCost+EU$37)*EffTaxRateOnValue/12,0)</f>
        <v/>
      </c>
      <c r="EV38" s="228">
        <f>IF(AND(148&gt;=MS_Initial_Closing_Start,148&lt;TaxOpStartMonth),(LandCost+EV$37)*EffTaxRateOnValue/12,0)</f>
        <v/>
      </c>
      <c r="EW38" s="228">
        <f>IF(AND(149&gt;=MS_Initial_Closing_Start,149&lt;TaxOpStartMonth),(LandCost+EW$37)*EffTaxRateOnValue/12,0)</f>
        <v/>
      </c>
      <c r="EX38" s="228">
        <f>IF(AND(150&gt;=MS_Initial_Closing_Start,150&lt;TaxOpStartMonth),(LandCost+EX$37)*EffTaxRateOnValue/12,0)</f>
        <v/>
      </c>
      <c r="EY38" s="228">
        <f>IF(AND(151&gt;=MS_Initial_Closing_Start,151&lt;TaxOpStartMonth),(LandCost+EY$37)*EffTaxRateOnValue/12,0)</f>
        <v/>
      </c>
      <c r="EZ38" s="228">
        <f>IF(AND(152&gt;=MS_Initial_Closing_Start,152&lt;TaxOpStartMonth),(LandCost+EZ$37)*EffTaxRateOnValue/12,0)</f>
        <v/>
      </c>
      <c r="FA38" s="228">
        <f>IF(AND(153&gt;=MS_Initial_Closing_Start,153&lt;TaxOpStartMonth),(LandCost+FA$37)*EffTaxRateOnValue/12,0)</f>
        <v/>
      </c>
      <c r="FB38" s="228">
        <f>IF(AND(154&gt;=MS_Initial_Closing_Start,154&lt;TaxOpStartMonth),(LandCost+FB$37)*EffTaxRateOnValue/12,0)</f>
        <v/>
      </c>
      <c r="FC38" s="228">
        <f>IF(AND(155&gt;=MS_Initial_Closing_Start,155&lt;TaxOpStartMonth),(LandCost+FC$37)*EffTaxRateOnValue/12,0)</f>
        <v/>
      </c>
      <c r="FD38" s="228">
        <f>IF(AND(156&gt;=MS_Initial_Closing_Start,156&lt;TaxOpStartMonth),(LandCost+FD$37)*EffTaxRateOnValue/12,0)</f>
        <v/>
      </c>
      <c r="FE38" s="228">
        <f>IF(AND(157&gt;=MS_Initial_Closing_Start,157&lt;TaxOpStartMonth),(LandCost+FE$37)*EffTaxRateOnValue/12,0)</f>
        <v/>
      </c>
      <c r="FF38" s="228">
        <f>IF(AND(158&gt;=MS_Initial_Closing_Start,158&lt;TaxOpStartMonth),(LandCost+FF$37)*EffTaxRateOnValue/12,0)</f>
        <v/>
      </c>
      <c r="FG38" s="228">
        <f>IF(AND(159&gt;=MS_Initial_Closing_Start,159&lt;TaxOpStartMonth),(LandCost+FG$37)*EffTaxRateOnValue/12,0)</f>
        <v/>
      </c>
      <c r="FH38" s="228">
        <f>IF(AND(160&gt;=MS_Initial_Closing_Start,160&lt;TaxOpStartMonth),(LandCost+FH$37)*EffTaxRateOnValue/12,0)</f>
        <v/>
      </c>
      <c r="FI38" s="228">
        <f>IF(AND(161&gt;=MS_Initial_Closing_Start,161&lt;TaxOpStartMonth),(LandCost+FI$37)*EffTaxRateOnValue/12,0)</f>
        <v/>
      </c>
      <c r="FJ38" s="228">
        <f>IF(AND(162&gt;=MS_Initial_Closing_Start,162&lt;TaxOpStartMonth),(LandCost+FJ$37)*EffTaxRateOnValue/12,0)</f>
        <v/>
      </c>
      <c r="FK38" s="228">
        <f>IF(AND(163&gt;=MS_Initial_Closing_Start,163&lt;TaxOpStartMonth),(LandCost+FK$37)*EffTaxRateOnValue/12,0)</f>
        <v/>
      </c>
      <c r="FL38" s="228">
        <f>IF(AND(164&gt;=MS_Initial_Closing_Start,164&lt;TaxOpStartMonth),(LandCost+FL$37)*EffTaxRateOnValue/12,0)</f>
        <v/>
      </c>
      <c r="FM38" s="228">
        <f>IF(AND(165&gt;=MS_Initial_Closing_Start,165&lt;TaxOpStartMonth),(LandCost+FM$37)*EffTaxRateOnValue/12,0)</f>
        <v/>
      </c>
      <c r="FN38" s="228">
        <f>IF(AND(166&gt;=MS_Initial_Closing_Start,166&lt;TaxOpStartMonth),(LandCost+FN$37)*EffTaxRateOnValue/12,0)</f>
        <v/>
      </c>
      <c r="FO38" s="228">
        <f>IF(AND(167&gt;=MS_Initial_Closing_Start,167&lt;TaxOpStartMonth),(LandCost+FO$37)*EffTaxRateOnValue/12,0)</f>
        <v/>
      </c>
      <c r="FP38" s="228">
        <f>IF(AND(168&gt;=MS_Initial_Closing_Start,168&lt;TaxOpStartMonth),(LandCost+FP$37)*EffTaxRateOnValue/12,0)</f>
        <v/>
      </c>
      <c r="FQ38" s="228">
        <f>IF(AND(169&gt;=MS_Initial_Closing_Start,169&lt;TaxOpStartMonth),(LandCost+FQ$37)*EffTaxRateOnValue/12,0)</f>
        <v/>
      </c>
      <c r="FR38" s="228">
        <f>IF(AND(170&gt;=MS_Initial_Closing_Start,170&lt;TaxOpStartMonth),(LandCost+FR$37)*EffTaxRateOnValue/12,0)</f>
        <v/>
      </c>
      <c r="FS38" s="228">
        <f>IF(AND(171&gt;=MS_Initial_Closing_Start,171&lt;TaxOpStartMonth),(LandCost+FS$37)*EffTaxRateOnValue/12,0)</f>
        <v/>
      </c>
      <c r="FT38" s="228">
        <f>IF(AND(172&gt;=MS_Initial_Closing_Start,172&lt;TaxOpStartMonth),(LandCost+FT$37)*EffTaxRateOnValue/12,0)</f>
        <v/>
      </c>
      <c r="FU38" s="228">
        <f>IF(AND(173&gt;=MS_Initial_Closing_Start,173&lt;TaxOpStartMonth),(LandCost+FU$37)*EffTaxRateOnValue/12,0)</f>
        <v/>
      </c>
      <c r="FV38" s="228">
        <f>IF(AND(174&gt;=MS_Initial_Closing_Start,174&lt;TaxOpStartMonth),(LandCost+FV$37)*EffTaxRateOnValue/12,0)</f>
        <v/>
      </c>
      <c r="FW38" s="228">
        <f>IF(AND(175&gt;=MS_Initial_Closing_Start,175&lt;TaxOpStartMonth),(LandCost+FW$37)*EffTaxRateOnValue/12,0)</f>
        <v/>
      </c>
      <c r="FX38" s="228">
        <f>IF(AND(176&gt;=MS_Initial_Closing_Start,176&lt;TaxOpStartMonth),(LandCost+FX$37)*EffTaxRateOnValue/12,0)</f>
        <v/>
      </c>
      <c r="FY38" s="228">
        <f>IF(AND(177&gt;=MS_Initial_Closing_Start,177&lt;TaxOpStartMonth),(LandCost+FY$37)*EffTaxRateOnValue/12,0)</f>
        <v/>
      </c>
      <c r="FZ38" s="228">
        <f>IF(AND(178&gt;=MS_Initial_Closing_Start,178&lt;TaxOpStartMonth),(LandCost+FZ$37)*EffTaxRateOnValue/12,0)</f>
        <v/>
      </c>
      <c r="GA38" s="228">
        <f>IF(AND(179&gt;=MS_Initial_Closing_Start,179&lt;TaxOpStartMonth),(LandCost+GA$37)*EffTaxRateOnValue/12,0)</f>
        <v/>
      </c>
      <c r="GB38" s="228">
        <f>IF(AND(180&gt;=MS_Initial_Closing_Start,180&lt;TaxOpStartMonth),(LandCost+GB$37)*EffTaxRateOnValue/12,0)</f>
        <v/>
      </c>
      <c r="GC38" s="228">
        <f>IF(AND(181&gt;=MS_Initial_Closing_Start,181&lt;TaxOpStartMonth),(LandCost+GC$37)*EffTaxRateOnValue/12,0)</f>
        <v/>
      </c>
      <c r="GD38" s="228">
        <f>IF(AND(182&gt;=MS_Initial_Closing_Start,182&lt;TaxOpStartMonth),(LandCost+GD$37)*EffTaxRateOnValue/12,0)</f>
        <v/>
      </c>
      <c r="GE38" s="228">
        <f>IF(AND(183&gt;=MS_Initial_Closing_Start,183&lt;TaxOpStartMonth),(LandCost+GE$37)*EffTaxRateOnValue/12,0)</f>
        <v/>
      </c>
      <c r="GF38" s="228">
        <f>IF(AND(184&gt;=MS_Initial_Closing_Start,184&lt;TaxOpStartMonth),(LandCost+GF$37)*EffTaxRateOnValue/12,0)</f>
        <v/>
      </c>
      <c r="GG38" s="228">
        <f>IF(AND(185&gt;=MS_Initial_Closing_Start,185&lt;TaxOpStartMonth),(LandCost+GG$37)*EffTaxRateOnValue/12,0)</f>
        <v/>
      </c>
      <c r="GH38" s="228">
        <f>IF(AND(186&gt;=MS_Initial_Closing_Start,186&lt;TaxOpStartMonth),(LandCost+GH$37)*EffTaxRateOnValue/12,0)</f>
        <v/>
      </c>
      <c r="GI38" s="228">
        <f>IF(AND(187&gt;=MS_Initial_Closing_Start,187&lt;TaxOpStartMonth),(LandCost+GI$37)*EffTaxRateOnValue/12,0)</f>
        <v/>
      </c>
      <c r="GJ38" s="228">
        <f>IF(AND(188&gt;=MS_Initial_Closing_Start,188&lt;TaxOpStartMonth),(LandCost+GJ$37)*EffTaxRateOnValue/12,0)</f>
        <v/>
      </c>
      <c r="GK38" s="228">
        <f>IF(AND(189&gt;=MS_Initial_Closing_Start,189&lt;TaxOpStartMonth),(LandCost+GK$37)*EffTaxRateOnValue/12,0)</f>
        <v/>
      </c>
      <c r="GL38" s="228">
        <f>IF(AND(190&gt;=MS_Initial_Closing_Start,190&lt;TaxOpStartMonth),(LandCost+GL$37)*EffTaxRateOnValue/12,0)</f>
        <v/>
      </c>
      <c r="GM38" s="228">
        <f>IF(AND(191&gt;=MS_Initial_Closing_Start,191&lt;TaxOpStartMonth),(LandCost+GM$37)*EffTaxRateOnValue/12,0)</f>
        <v/>
      </c>
      <c r="GN38" s="228">
        <f>IF(AND(192&gt;=MS_Initial_Closing_Start,192&lt;TaxOpStartMonth),(LandCost+GN$37)*EffTaxRateOnValue/12,0)</f>
        <v/>
      </c>
      <c r="GO38" s="228">
        <f>IF(AND(193&gt;=MS_Initial_Closing_Start,193&lt;TaxOpStartMonth),(LandCost+GO$37)*EffTaxRateOnValue/12,0)</f>
        <v/>
      </c>
      <c r="GP38" s="228">
        <f>IF(AND(194&gt;=MS_Initial_Closing_Start,194&lt;TaxOpStartMonth),(LandCost+GP$37)*EffTaxRateOnValue/12,0)</f>
        <v/>
      </c>
      <c r="GQ38" s="228">
        <f>IF(AND(195&gt;=MS_Initial_Closing_Start,195&lt;TaxOpStartMonth),(LandCost+GQ$37)*EffTaxRateOnValue/12,0)</f>
        <v/>
      </c>
      <c r="GR38" s="228">
        <f>IF(AND(196&gt;=MS_Initial_Closing_Start,196&lt;TaxOpStartMonth),(LandCost+GR$37)*EffTaxRateOnValue/12,0)</f>
        <v/>
      </c>
      <c r="GS38" s="228">
        <f>IF(AND(197&gt;=MS_Initial_Closing_Start,197&lt;TaxOpStartMonth),(LandCost+GS$37)*EffTaxRateOnValue/12,0)</f>
        <v/>
      </c>
      <c r="GT38" s="228">
        <f>IF(AND(198&gt;=MS_Initial_Closing_Start,198&lt;TaxOpStartMonth),(LandCost+GT$37)*EffTaxRateOnValue/12,0)</f>
        <v/>
      </c>
      <c r="GU38" s="228">
        <f>IF(AND(199&gt;=MS_Initial_Closing_Start,199&lt;TaxOpStartMonth),(LandCost+GU$37)*EffTaxRateOnValue/12,0)</f>
        <v/>
      </c>
      <c r="GV38" s="228">
        <f>IF(AND(200&gt;=MS_Initial_Closing_Start,200&lt;TaxOpStartMonth),(LandCost+GV$37)*EffTaxRateOnValue/12,0)</f>
        <v/>
      </c>
      <c r="GW38" s="228">
        <f>IF(AND(201&gt;=MS_Initial_Closing_Start,201&lt;TaxOpStartMonth),(LandCost+GW$37)*EffTaxRateOnValue/12,0)</f>
        <v/>
      </c>
      <c r="GX38" s="228">
        <f>IF(AND(202&gt;=MS_Initial_Closing_Start,202&lt;TaxOpStartMonth),(LandCost+GX$37)*EffTaxRateOnValue/12,0)</f>
        <v/>
      </c>
      <c r="GY38" s="228">
        <f>IF(AND(203&gt;=MS_Initial_Closing_Start,203&lt;TaxOpStartMonth),(LandCost+GY$37)*EffTaxRateOnValue/12,0)</f>
        <v/>
      </c>
      <c r="GZ38" s="228">
        <f>IF(AND(204&gt;=MS_Initial_Closing_Start,204&lt;TaxOpStartMonth),(LandCost+GZ$37)*EffTaxRateOnValue/12,0)</f>
        <v/>
      </c>
      <c r="HA38" s="228">
        <f>IF(AND(205&gt;=MS_Initial_Closing_Start,205&lt;TaxOpStartMonth),(LandCost+HA$37)*EffTaxRateOnValue/12,0)</f>
        <v/>
      </c>
      <c r="HB38" s="228">
        <f>IF(AND(206&gt;=MS_Initial_Closing_Start,206&lt;TaxOpStartMonth),(LandCost+HB$37)*EffTaxRateOnValue/12,0)</f>
        <v/>
      </c>
      <c r="HC38" s="228">
        <f>IF(AND(207&gt;=MS_Initial_Closing_Start,207&lt;TaxOpStartMonth),(LandCost+HC$37)*EffTaxRateOnValue/12,0)</f>
        <v/>
      </c>
      <c r="HD38" s="228">
        <f>IF(AND(208&gt;=MS_Initial_Closing_Start,208&lt;TaxOpStartMonth),(LandCost+HD$37)*EffTaxRateOnValue/12,0)</f>
        <v/>
      </c>
      <c r="HE38" s="228">
        <f>IF(AND(209&gt;=MS_Initial_Closing_Start,209&lt;TaxOpStartMonth),(LandCost+HE$37)*EffTaxRateOnValue/12,0)</f>
        <v/>
      </c>
      <c r="HF38" s="228">
        <f>IF(AND(210&gt;=MS_Initial_Closing_Start,210&lt;TaxOpStartMonth),(LandCost+HF$37)*EffTaxRateOnValue/12,0)</f>
        <v/>
      </c>
      <c r="HG38" s="228">
        <f>IF(AND(211&gt;=MS_Initial_Closing_Start,211&lt;TaxOpStartMonth),(LandCost+HG$37)*EffTaxRateOnValue/12,0)</f>
        <v/>
      </c>
      <c r="HH38" s="228">
        <f>IF(AND(212&gt;=MS_Initial_Closing_Start,212&lt;TaxOpStartMonth),(LandCost+HH$37)*EffTaxRateOnValue/12,0)</f>
        <v/>
      </c>
      <c r="HI38" s="228">
        <f>IF(AND(213&gt;=MS_Initial_Closing_Start,213&lt;TaxOpStartMonth),(LandCost+HI$37)*EffTaxRateOnValue/12,0)</f>
        <v/>
      </c>
      <c r="HJ38" s="228">
        <f>IF(AND(214&gt;=MS_Initial_Closing_Start,214&lt;TaxOpStartMonth),(LandCost+HJ$37)*EffTaxRateOnValue/12,0)</f>
        <v/>
      </c>
      <c r="HK38" s="228">
        <f>IF(AND(215&gt;=MS_Initial_Closing_Start,215&lt;TaxOpStartMonth),(LandCost+HK$37)*EffTaxRateOnValue/12,0)</f>
        <v/>
      </c>
      <c r="HL38" s="228">
        <f>IF(AND(216&gt;=MS_Initial_Closing_Start,216&lt;TaxOpStartMonth),(LandCost+HL$37)*EffTaxRateOnValue/12,0)</f>
        <v/>
      </c>
      <c r="HM38" s="228">
        <f>IF(AND(217&gt;=MS_Initial_Closing_Start,217&lt;TaxOpStartMonth),(LandCost+HM$37)*EffTaxRateOnValue/12,0)</f>
        <v/>
      </c>
      <c r="HN38" s="228">
        <f>IF(AND(218&gt;=MS_Initial_Closing_Start,218&lt;TaxOpStartMonth),(LandCost+HN$37)*EffTaxRateOnValue/12,0)</f>
        <v/>
      </c>
      <c r="HO38" s="228">
        <f>IF(AND(219&gt;=MS_Initial_Closing_Start,219&lt;TaxOpStartMonth),(LandCost+HO$37)*EffTaxRateOnValue/12,0)</f>
        <v/>
      </c>
      <c r="HP38" s="228">
        <f>IF(AND(220&gt;=MS_Initial_Closing_Start,220&lt;TaxOpStartMonth),(LandCost+HP$37)*EffTaxRateOnValue/12,0)</f>
        <v/>
      </c>
      <c r="HQ38" s="228">
        <f>IF(AND(221&gt;=MS_Initial_Closing_Start,221&lt;TaxOpStartMonth),(LandCost+HQ$37)*EffTaxRateOnValue/12,0)</f>
        <v/>
      </c>
      <c r="HR38" s="228">
        <f>IF(AND(222&gt;=MS_Initial_Closing_Start,222&lt;TaxOpStartMonth),(LandCost+HR$37)*EffTaxRateOnValue/12,0)</f>
        <v/>
      </c>
      <c r="HS38" s="228">
        <f>IF(AND(223&gt;=MS_Initial_Closing_Start,223&lt;TaxOpStartMonth),(LandCost+HS$37)*EffTaxRateOnValue/12,0)</f>
        <v/>
      </c>
      <c r="HT38" s="228">
        <f>IF(AND(224&gt;=MS_Initial_Closing_Start,224&lt;TaxOpStartMonth),(LandCost+HT$37)*EffTaxRateOnValue/12,0)</f>
        <v/>
      </c>
      <c r="HU38" s="228">
        <f>IF(AND(225&gt;=MS_Initial_Closing_Start,225&lt;TaxOpStartMonth),(LandCost+HU$37)*EffTaxRateOnValue/12,0)</f>
        <v/>
      </c>
      <c r="HV38" s="228">
        <f>IF(AND(226&gt;=MS_Initial_Closing_Start,226&lt;TaxOpStartMonth),(LandCost+HV$37)*EffTaxRateOnValue/12,0)</f>
        <v/>
      </c>
      <c r="HW38" s="228">
        <f>IF(AND(227&gt;=MS_Initial_Closing_Start,227&lt;TaxOpStartMonth),(LandCost+HW$37)*EffTaxRateOnValue/12,0)</f>
        <v/>
      </c>
      <c r="HX38" s="228">
        <f>IF(AND(228&gt;=MS_Initial_Closing_Start,228&lt;TaxOpStartMonth),(LandCost+HX$37)*EffTaxRateOnValue/12,0)</f>
        <v/>
      </c>
      <c r="HY38" s="228">
        <f>IF(AND(229&gt;=MS_Initial_Closing_Start,229&lt;TaxOpStartMonth),(LandCost+HY$37)*EffTaxRateOnValue/12,0)</f>
        <v/>
      </c>
      <c r="HZ38" s="228">
        <f>IF(AND(230&gt;=MS_Initial_Closing_Start,230&lt;TaxOpStartMonth),(LandCost+HZ$37)*EffTaxRateOnValue/12,0)</f>
        <v/>
      </c>
      <c r="IA38" s="228">
        <f>IF(AND(231&gt;=MS_Initial_Closing_Start,231&lt;TaxOpStartMonth),(LandCost+IA$37)*EffTaxRateOnValue/12,0)</f>
        <v/>
      </c>
      <c r="IB38" s="228">
        <f>IF(AND(232&gt;=MS_Initial_Closing_Start,232&lt;TaxOpStartMonth),(LandCost+IB$37)*EffTaxRateOnValue/12,0)</f>
        <v/>
      </c>
      <c r="IC38" s="228">
        <f>IF(AND(233&gt;=MS_Initial_Closing_Start,233&lt;TaxOpStartMonth),(LandCost+IC$37)*EffTaxRateOnValue/12,0)</f>
        <v/>
      </c>
      <c r="ID38" s="228">
        <f>IF(AND(234&gt;=MS_Initial_Closing_Start,234&lt;TaxOpStartMonth),(LandCost+ID$37)*EffTaxRateOnValue/12,0)</f>
        <v/>
      </c>
      <c r="IE38" s="228">
        <f>IF(AND(235&gt;=MS_Initial_Closing_Start,235&lt;TaxOpStartMonth),(LandCost+IE$37)*EffTaxRateOnValue/12,0)</f>
        <v/>
      </c>
      <c r="IF38" s="228">
        <f>IF(AND(236&gt;=MS_Initial_Closing_Start,236&lt;TaxOpStartMonth),(LandCost+IF$37)*EffTaxRateOnValue/12,0)</f>
        <v/>
      </c>
      <c r="IG38" s="228">
        <f>IF(AND(237&gt;=MS_Initial_Closing_Start,237&lt;TaxOpStartMonth),(LandCost+IG$37)*EffTaxRateOnValue/12,0)</f>
        <v/>
      </c>
      <c r="IH38" s="228">
        <f>IF(AND(238&gt;=MS_Initial_Closing_Start,238&lt;TaxOpStartMonth),(LandCost+IH$37)*EffTaxRateOnValue/12,0)</f>
        <v/>
      </c>
      <c r="II38" s="228">
        <f>IF(AND(239&gt;=MS_Initial_Closing_Start,239&lt;TaxOpStartMonth),(LandCost+II$37)*EffTaxRateOnValue/12,0)</f>
        <v/>
      </c>
      <c r="IJ38" s="228">
        <f>IF(AND(240&gt;=MS_Initial_Closing_Start,240&lt;TaxOpStartMonth),(LandCost+IJ$37)*EffTaxRateOnValue/12,0)</f>
        <v/>
      </c>
      <c r="IK38" s="228">
        <f>IF(AND(241&gt;=MS_Initial_Closing_Start,241&lt;TaxOpStartMonth),(LandCost+IK$37)*EffTaxRateOnValue/12,0)</f>
        <v/>
      </c>
      <c r="IL38" s="228">
        <f>IF(AND(242&gt;=MS_Initial_Closing_Start,242&lt;TaxOpStartMonth),(LandCost+IL$37)*EffTaxRateOnValue/12,0)</f>
        <v/>
      </c>
      <c r="IM38" s="228">
        <f>IF(AND(243&gt;=MS_Initial_Closing_Start,243&lt;TaxOpStartMonth),(LandCost+IM$37)*EffTaxRateOnValue/12,0)</f>
        <v/>
      </c>
      <c r="IN38" s="228">
        <f>IF(AND(244&gt;=MS_Initial_Closing_Start,244&lt;TaxOpStartMonth),(LandCost+IN$37)*EffTaxRateOnValue/12,0)</f>
        <v/>
      </c>
      <c r="IO38" s="228">
        <f>IF(AND(245&gt;=MS_Initial_Closing_Start,245&lt;TaxOpStartMonth),(LandCost+IO$37)*EffTaxRateOnValue/12,0)</f>
        <v/>
      </c>
      <c r="IP38" s="228">
        <f>IF(AND(246&gt;=MS_Initial_Closing_Start,246&lt;TaxOpStartMonth),(LandCost+IP$37)*EffTaxRateOnValue/12,0)</f>
        <v/>
      </c>
      <c r="IQ38" s="228">
        <f>IF(AND(247&gt;=MS_Initial_Closing_Start,247&lt;TaxOpStartMonth),(LandCost+IQ$37)*EffTaxRateOnValue/12,0)</f>
        <v/>
      </c>
      <c r="IR38" s="228">
        <f>IF(AND(248&gt;=MS_Initial_Closing_Start,248&lt;TaxOpStartMonth),(LandCost+IR$37)*EffTaxRateOnValue/12,0)</f>
        <v/>
      </c>
      <c r="IS38" s="228">
        <f>IF(AND(249&gt;=MS_Initial_Closing_Start,249&lt;TaxOpStartMonth),(LandCost+IS$37)*EffTaxRateOnValue/12,0)</f>
        <v/>
      </c>
      <c r="IT38" s="228">
        <f>IF(AND(250&gt;=MS_Initial_Closing_Start,250&lt;TaxOpStartMonth),(LandCost+IT$37)*EffTaxRateOnValue/12,0)</f>
        <v/>
      </c>
      <c r="IU38" s="228">
        <f>IF(AND(251&gt;=MS_Initial_Closing_Start,251&lt;TaxOpStartMonth),(LandCost+IU$37)*EffTaxRateOnValue/12,0)</f>
        <v/>
      </c>
      <c r="IV38" s="228">
        <f>IF(AND(252&gt;=MS_Initial_Closing_Start,252&lt;TaxOpStartMonth),(LandCost+IV$37)*EffTaxRateOnValue/12,0)</f>
        <v/>
      </c>
      <c r="IW38" s="228">
        <f>IF(AND(253&gt;=MS_Initial_Closing_Start,253&lt;TaxOpStartMonth),(LandCost+IW$37)*EffTaxRateOnValue/12,0)</f>
        <v/>
      </c>
      <c r="IX38" s="228">
        <f>IF(AND(254&gt;=MS_Initial_Closing_Start,254&lt;TaxOpStartMonth),(LandCost+IX$37)*EffTaxRateOnValue/12,0)</f>
        <v/>
      </c>
      <c r="IY38" s="228">
        <f>IF(AND(255&gt;=MS_Initial_Closing_Start,255&lt;TaxOpStartMonth),(LandCost+IY$37)*EffTaxRateOnValue/12,0)</f>
        <v/>
      </c>
      <c r="IZ38" s="228">
        <f>IF(AND(256&gt;=MS_Initial_Closing_Start,256&lt;TaxOpStartMonth),(LandCost+IZ$37)*EffTaxRateOnValue/12,0)</f>
        <v/>
      </c>
      <c r="JA38" s="228">
        <f>IF(AND(257&gt;=MS_Initial_Closing_Start,257&lt;TaxOpStartMonth),(LandCost+JA$37)*EffTaxRateOnValue/12,0)</f>
        <v/>
      </c>
      <c r="JB38" s="228">
        <f>IF(AND(258&gt;=MS_Initial_Closing_Start,258&lt;TaxOpStartMonth),(LandCost+JB$37)*EffTaxRateOnValue/12,0)</f>
        <v/>
      </c>
      <c r="JC38" s="228">
        <f>IF(AND(259&gt;=MS_Initial_Closing_Start,259&lt;TaxOpStartMonth),(LandCost+JC$37)*EffTaxRateOnValue/12,0)</f>
        <v/>
      </c>
      <c r="JD38" s="228">
        <f>IF(AND(260&gt;=MS_Initial_Closing_Start,260&lt;TaxOpStartMonth),(LandCost+JD$37)*EffTaxRateOnValue/12,0)</f>
        <v/>
      </c>
      <c r="JE38" s="228">
        <f>IF(AND(261&gt;=MS_Initial_Closing_Start,261&lt;TaxOpStartMonth),(LandCost+JE$37)*EffTaxRateOnValue/12,0)</f>
        <v/>
      </c>
      <c r="JF38" s="228">
        <f>IF(AND(262&gt;=MS_Initial_Closing_Start,262&lt;TaxOpStartMonth),(LandCost+JF$37)*EffTaxRateOnValue/12,0)</f>
        <v/>
      </c>
      <c r="JG38" s="228">
        <f>IF(AND(263&gt;=MS_Initial_Closing_Start,263&lt;TaxOpStartMonth),(LandCost+JG$37)*EffTaxRateOnValue/12,0)</f>
        <v/>
      </c>
      <c r="JH38" s="228">
        <f>IF(AND(264&gt;=MS_Initial_Closing_Start,264&lt;TaxOpStartMonth),(LandCost+JH$37)*EffTaxRateOnValue/12,0)</f>
        <v/>
      </c>
      <c r="JI38" s="228">
        <f>IF(AND(265&gt;=MS_Initial_Closing_Start,265&lt;TaxOpStartMonth),(LandCost+JI$37)*EffTaxRateOnValue/12,0)</f>
        <v/>
      </c>
      <c r="JJ38" s="228">
        <f>IF(AND(266&gt;=MS_Initial_Closing_Start,266&lt;TaxOpStartMonth),(LandCost+JJ$37)*EffTaxRateOnValue/12,0)</f>
        <v/>
      </c>
      <c r="JK38" s="228">
        <f>IF(AND(267&gt;=MS_Initial_Closing_Start,267&lt;TaxOpStartMonth),(LandCost+JK$37)*EffTaxRateOnValue/12,0)</f>
        <v/>
      </c>
      <c r="JL38" s="228">
        <f>IF(AND(268&gt;=MS_Initial_Closing_Start,268&lt;TaxOpStartMonth),(LandCost+JL$37)*EffTaxRateOnValue/12,0)</f>
        <v/>
      </c>
      <c r="JM38" s="228">
        <f>IF(AND(269&gt;=MS_Initial_Closing_Start,269&lt;TaxOpStartMonth),(LandCost+JM$37)*EffTaxRateOnValue/12,0)</f>
        <v/>
      </c>
      <c r="JN38" s="228">
        <f>IF(AND(270&gt;=MS_Initial_Closing_Start,270&lt;TaxOpStartMonth),(LandCost+JN$37)*EffTaxRateOnValue/12,0)</f>
        <v/>
      </c>
      <c r="JO38" s="228">
        <f>IF(AND(271&gt;=MS_Initial_Closing_Start,271&lt;TaxOpStartMonth),(LandCost+JO$37)*EffTaxRateOnValue/12,0)</f>
        <v/>
      </c>
      <c r="JP38" s="228">
        <f>IF(AND(272&gt;=MS_Initial_Closing_Start,272&lt;TaxOpStartMonth),(LandCost+JP$37)*EffTaxRateOnValue/12,0)</f>
        <v/>
      </c>
      <c r="JQ38" s="228">
        <f>IF(AND(273&gt;=MS_Initial_Closing_Start,273&lt;TaxOpStartMonth),(LandCost+JQ$37)*EffTaxRateOnValue/12,0)</f>
        <v/>
      </c>
      <c r="JR38" s="228">
        <f>IF(AND(274&gt;=MS_Initial_Closing_Start,274&lt;TaxOpStartMonth),(LandCost+JR$37)*EffTaxRateOnValue/12,0)</f>
        <v/>
      </c>
      <c r="JS38" s="228">
        <f>IF(AND(275&gt;=MS_Initial_Closing_Start,275&lt;TaxOpStartMonth),(LandCost+JS$37)*EffTaxRateOnValue/12,0)</f>
        <v/>
      </c>
      <c r="JT38" s="228">
        <f>IF(AND(276&gt;=MS_Initial_Closing_Start,276&lt;TaxOpStartMonth),(LandCost+JT$37)*EffTaxRateOnValue/12,0)</f>
        <v/>
      </c>
      <c r="JU38" s="228">
        <f>IF(AND(277&gt;=MS_Initial_Closing_Start,277&lt;TaxOpStartMonth),(LandCost+JU$37)*EffTaxRateOnValue/12,0)</f>
        <v/>
      </c>
      <c r="JV38" s="228">
        <f>IF(AND(278&gt;=MS_Initial_Closing_Start,278&lt;TaxOpStartMonth),(LandCost+JV$37)*EffTaxRateOnValue/12,0)</f>
        <v/>
      </c>
      <c r="JW38" s="228">
        <f>IF(AND(279&gt;=MS_Initial_Closing_Start,279&lt;TaxOpStartMonth),(LandCost+JW$37)*EffTaxRateOnValue/12,0)</f>
        <v/>
      </c>
      <c r="JX38" s="228">
        <f>IF(AND(280&gt;=MS_Initial_Closing_Start,280&lt;TaxOpStartMonth),(LandCost+JX$37)*EffTaxRateOnValue/12,0)</f>
        <v/>
      </c>
      <c r="JY38" s="228">
        <f>IF(AND(281&gt;=MS_Initial_Closing_Start,281&lt;TaxOpStartMonth),(LandCost+JY$37)*EffTaxRateOnValue/12,0)</f>
        <v/>
      </c>
      <c r="JZ38" s="228">
        <f>IF(AND(282&gt;=MS_Initial_Closing_Start,282&lt;TaxOpStartMonth),(LandCost+JZ$37)*EffTaxRateOnValue/12,0)</f>
        <v/>
      </c>
      <c r="KA38" s="228">
        <f>IF(AND(283&gt;=MS_Initial_Closing_Start,283&lt;TaxOpStartMonth),(LandCost+KA$37)*EffTaxRateOnValue/12,0)</f>
        <v/>
      </c>
      <c r="KB38" s="228">
        <f>IF(AND(284&gt;=MS_Initial_Closing_Start,284&lt;TaxOpStartMonth),(LandCost+KB$37)*EffTaxRateOnValue/12,0)</f>
        <v/>
      </c>
      <c r="KC38" s="228">
        <f>IF(AND(285&gt;=MS_Initial_Closing_Start,285&lt;TaxOpStartMonth),(LandCost+KC$37)*EffTaxRateOnValue/12,0)</f>
        <v/>
      </c>
      <c r="KD38" s="228">
        <f>IF(AND(286&gt;=MS_Initial_Closing_Start,286&lt;TaxOpStartMonth),(LandCost+KD$37)*EffTaxRateOnValue/12,0)</f>
        <v/>
      </c>
      <c r="KE38" s="228">
        <f>IF(AND(287&gt;=MS_Initial_Closing_Start,287&lt;TaxOpStartMonth),(LandCost+KE$37)*EffTaxRateOnValue/12,0)</f>
        <v/>
      </c>
      <c r="KF38" s="228">
        <f>IF(AND(288&gt;=MS_Initial_Closing_Start,288&lt;TaxOpStartMonth),(LandCost+KF$37)*EffTaxRateOnValue/12,0)</f>
        <v/>
      </c>
      <c r="KG38" s="228">
        <f>IF(AND(289&gt;=MS_Initial_Closing_Start,289&lt;TaxOpStartMonth),(LandCost+KG$37)*EffTaxRateOnValue/12,0)</f>
        <v/>
      </c>
      <c r="KH38" s="228">
        <f>IF(AND(290&gt;=MS_Initial_Closing_Start,290&lt;TaxOpStartMonth),(LandCost+KH$37)*EffTaxRateOnValue/12,0)</f>
        <v/>
      </c>
      <c r="KI38" s="228">
        <f>IF(AND(291&gt;=MS_Initial_Closing_Start,291&lt;TaxOpStartMonth),(LandCost+KI$37)*EffTaxRateOnValue/12,0)</f>
        <v/>
      </c>
      <c r="KJ38" s="228">
        <f>IF(AND(292&gt;=MS_Initial_Closing_Start,292&lt;TaxOpStartMonth),(LandCost+KJ$37)*EffTaxRateOnValue/12,0)</f>
        <v/>
      </c>
      <c r="KK38" s="228">
        <f>IF(AND(293&gt;=MS_Initial_Closing_Start,293&lt;TaxOpStartMonth),(LandCost+KK$37)*EffTaxRateOnValue/12,0)</f>
        <v/>
      </c>
      <c r="KL38" s="228">
        <f>IF(AND(294&gt;=MS_Initial_Closing_Start,294&lt;TaxOpStartMonth),(LandCost+KL$37)*EffTaxRateOnValue/12,0)</f>
        <v/>
      </c>
      <c r="KM38" s="228">
        <f>IF(AND(295&gt;=MS_Initial_Closing_Start,295&lt;TaxOpStartMonth),(LandCost+KM$37)*EffTaxRateOnValue/12,0)</f>
        <v/>
      </c>
      <c r="KN38" s="228">
        <f>IF(AND(296&gt;=MS_Initial_Closing_Start,296&lt;TaxOpStartMonth),(LandCost+KN$37)*EffTaxRateOnValue/12,0)</f>
        <v/>
      </c>
      <c r="KO38" s="228">
        <f>IF(AND(297&gt;=MS_Initial_Closing_Start,297&lt;TaxOpStartMonth),(LandCost+KO$37)*EffTaxRateOnValue/12,0)</f>
        <v/>
      </c>
      <c r="KP38" s="228">
        <f>IF(AND(298&gt;=MS_Initial_Closing_Start,298&lt;TaxOpStartMonth),(LandCost+KP$37)*EffTaxRateOnValue/12,0)</f>
        <v/>
      </c>
      <c r="KQ38" s="228">
        <f>IF(AND(299&gt;=MS_Initial_Closing_Start,299&lt;TaxOpStartMonth),(LandCost+KQ$37)*EffTaxRateOnValue/12,0)</f>
        <v/>
      </c>
      <c r="KR38" s="228">
        <f>IF(AND(300&gt;=MS_Initial_Closing_Start,300&lt;TaxOpStartMonth),(LandCost+KR$37)*EffTaxRateOnValue/12,0)</f>
        <v/>
      </c>
      <c r="KS38" s="228">
        <f>IF(AND(301&gt;=MS_Initial_Closing_Start,301&lt;TaxOpStartMonth),(LandCost+KS$37)*EffTaxRateOnValue/12,0)</f>
        <v/>
      </c>
      <c r="KT38" s="228">
        <f>IF(AND(302&gt;=MS_Initial_Closing_Start,302&lt;TaxOpStartMonth),(LandCost+KT$37)*EffTaxRateOnValue/12,0)</f>
        <v/>
      </c>
      <c r="KU38" s="228">
        <f>IF(AND(303&gt;=MS_Initial_Closing_Start,303&lt;TaxOpStartMonth),(LandCost+KU$37)*EffTaxRateOnValue/12,0)</f>
        <v/>
      </c>
      <c r="KV38" s="228">
        <f>IF(AND(304&gt;=MS_Initial_Closing_Start,304&lt;TaxOpStartMonth),(LandCost+KV$37)*EffTaxRateOnValue/12,0)</f>
        <v/>
      </c>
      <c r="KW38" s="228">
        <f>IF(AND(305&gt;=MS_Initial_Closing_Start,305&lt;TaxOpStartMonth),(LandCost+KW$37)*EffTaxRateOnValue/12,0)</f>
        <v/>
      </c>
      <c r="KX38" s="228">
        <f>IF(AND(306&gt;=MS_Initial_Closing_Start,306&lt;TaxOpStartMonth),(LandCost+KX$37)*EffTaxRateOnValue/12,0)</f>
        <v/>
      </c>
      <c r="KY38" s="228">
        <f>IF(AND(307&gt;=MS_Initial_Closing_Start,307&lt;TaxOpStartMonth),(LandCost+KY$37)*EffTaxRateOnValue/12,0)</f>
        <v/>
      </c>
      <c r="KZ38" s="228">
        <f>IF(AND(308&gt;=MS_Initial_Closing_Start,308&lt;TaxOpStartMonth),(LandCost+KZ$37)*EffTaxRateOnValue/12,0)</f>
        <v/>
      </c>
      <c r="LA38" s="228">
        <f>IF(AND(309&gt;=MS_Initial_Closing_Start,309&lt;TaxOpStartMonth),(LandCost+LA$37)*EffTaxRateOnValue/12,0)</f>
        <v/>
      </c>
      <c r="LB38" s="228">
        <f>IF(AND(310&gt;=MS_Initial_Closing_Start,310&lt;TaxOpStartMonth),(LandCost+LB$37)*EffTaxRateOnValue/12,0)</f>
        <v/>
      </c>
      <c r="LC38" s="228">
        <f>IF(AND(311&gt;=MS_Initial_Closing_Start,311&lt;TaxOpStartMonth),(LandCost+LC$37)*EffTaxRateOnValue/12,0)</f>
        <v/>
      </c>
      <c r="LD38" s="228">
        <f>IF(AND(312&gt;=MS_Initial_Closing_Start,312&lt;TaxOpStartMonth),(LandCost+LD$37)*EffTaxRateOnValue/12,0)</f>
        <v/>
      </c>
      <c r="LE38" s="228">
        <f>IF(AND(313&gt;=MS_Initial_Closing_Start,313&lt;TaxOpStartMonth),(LandCost+LE$37)*EffTaxRateOnValue/12,0)</f>
        <v/>
      </c>
      <c r="LF38" s="228">
        <f>IF(AND(314&gt;=MS_Initial_Closing_Start,314&lt;TaxOpStartMonth),(LandCost+LF$37)*EffTaxRateOnValue/12,0)</f>
        <v/>
      </c>
      <c r="LG38" s="228">
        <f>IF(AND(315&gt;=MS_Initial_Closing_Start,315&lt;TaxOpStartMonth),(LandCost+LG$37)*EffTaxRateOnValue/12,0)</f>
        <v/>
      </c>
      <c r="LH38" s="228">
        <f>IF(AND(316&gt;=MS_Initial_Closing_Start,316&lt;TaxOpStartMonth),(LandCost+LH$37)*EffTaxRateOnValue/12,0)</f>
        <v/>
      </c>
      <c r="LI38" s="228">
        <f>IF(AND(317&gt;=MS_Initial_Closing_Start,317&lt;TaxOpStartMonth),(LandCost+LI$37)*EffTaxRateOnValue/12,0)</f>
        <v/>
      </c>
      <c r="LJ38" s="228">
        <f>IF(AND(318&gt;=MS_Initial_Closing_Start,318&lt;TaxOpStartMonth),(LandCost+LJ$37)*EffTaxRateOnValue/12,0)</f>
        <v/>
      </c>
      <c r="LK38" s="228">
        <f>IF(AND(319&gt;=MS_Initial_Closing_Start,319&lt;TaxOpStartMonth),(LandCost+LK$37)*EffTaxRateOnValue/12,0)</f>
        <v/>
      </c>
      <c r="LL38" s="228">
        <f>IF(AND(320&gt;=MS_Initial_Closing_Start,320&lt;TaxOpStartMonth),(LandCost+LL$37)*EffTaxRateOnValue/12,0)</f>
        <v/>
      </c>
      <c r="LM38" s="228">
        <f>IF(AND(321&gt;=MS_Initial_Closing_Start,321&lt;TaxOpStartMonth),(LandCost+LM$37)*EffTaxRateOnValue/12,0)</f>
        <v/>
      </c>
      <c r="LN38" s="228">
        <f>IF(AND(322&gt;=MS_Initial_Closing_Start,322&lt;TaxOpStartMonth),(LandCost+LN$37)*EffTaxRateOnValue/12,0)</f>
        <v/>
      </c>
      <c r="LO38" s="228">
        <f>IF(AND(323&gt;=MS_Initial_Closing_Start,323&lt;TaxOpStartMonth),(LandCost+LO$37)*EffTaxRateOnValue/12,0)</f>
        <v/>
      </c>
      <c r="LP38" s="228">
        <f>IF(AND(324&gt;=MS_Initial_Closing_Start,324&lt;TaxOpStartMonth),(LandCost+LP$37)*EffTaxRateOnValue/12,0)</f>
        <v/>
      </c>
      <c r="LQ38" s="228">
        <f>IF(AND(325&gt;=MS_Initial_Closing_Start,325&lt;TaxOpStartMonth),(LandCost+LQ$37)*EffTaxRateOnValue/12,0)</f>
        <v/>
      </c>
      <c r="LR38" s="228">
        <f>IF(AND(326&gt;=MS_Initial_Closing_Start,326&lt;TaxOpStartMonth),(LandCost+LR$37)*EffTaxRateOnValue/12,0)</f>
        <v/>
      </c>
      <c r="LS38" s="228">
        <f>IF(AND(327&gt;=MS_Initial_Closing_Start,327&lt;TaxOpStartMonth),(LandCost+LS$37)*EffTaxRateOnValue/12,0)</f>
        <v/>
      </c>
      <c r="LT38" s="228">
        <f>IF(AND(328&gt;=MS_Initial_Closing_Start,328&lt;TaxOpStartMonth),(LandCost+LT$37)*EffTaxRateOnValue/12,0)</f>
        <v/>
      </c>
      <c r="LU38" s="228">
        <f>IF(AND(329&gt;=MS_Initial_Closing_Start,329&lt;TaxOpStartMonth),(LandCost+LU$37)*EffTaxRateOnValue/12,0)</f>
        <v/>
      </c>
      <c r="LV38" s="228">
        <f>IF(AND(330&gt;=MS_Initial_Closing_Start,330&lt;TaxOpStartMonth),(LandCost+LV$37)*EffTaxRateOnValue/12,0)</f>
        <v/>
      </c>
      <c r="LW38" s="228">
        <f>IF(AND(331&gt;=MS_Initial_Closing_Start,331&lt;TaxOpStartMonth),(LandCost+LW$37)*EffTaxRateOnValue/12,0)</f>
        <v/>
      </c>
      <c r="LX38" s="228">
        <f>IF(AND(332&gt;=MS_Initial_Closing_Start,332&lt;TaxOpStartMonth),(LandCost+LX$37)*EffTaxRateOnValue/12,0)</f>
        <v/>
      </c>
      <c r="LY38" s="228">
        <f>IF(AND(333&gt;=MS_Initial_Closing_Start,333&lt;TaxOpStartMonth),(LandCost+LY$37)*EffTaxRateOnValue/12,0)</f>
        <v/>
      </c>
      <c r="LZ38" s="228">
        <f>IF(AND(334&gt;=MS_Initial_Closing_Start,334&lt;TaxOpStartMonth),(LandCost+LZ$37)*EffTaxRateOnValue/12,0)</f>
        <v/>
      </c>
      <c r="MA38" s="228">
        <f>IF(AND(335&gt;=MS_Initial_Closing_Start,335&lt;TaxOpStartMonth),(LandCost+MA$37)*EffTaxRateOnValue/12,0)</f>
        <v/>
      </c>
      <c r="MB38" s="228">
        <f>IF(AND(336&gt;=MS_Initial_Closing_Start,336&lt;TaxOpStartMonth),(LandCost+MB$37)*EffTaxRateOnValue/12,0)</f>
        <v/>
      </c>
      <c r="MC38" s="228">
        <f>IF(AND(337&gt;=MS_Initial_Closing_Start,337&lt;TaxOpStartMonth),(LandCost+MC$37)*EffTaxRateOnValue/12,0)</f>
        <v/>
      </c>
      <c r="MD38" s="228">
        <f>IF(AND(338&gt;=MS_Initial_Closing_Start,338&lt;TaxOpStartMonth),(LandCost+MD$37)*EffTaxRateOnValue/12,0)</f>
        <v/>
      </c>
      <c r="ME38" s="228">
        <f>IF(AND(339&gt;=MS_Initial_Closing_Start,339&lt;TaxOpStartMonth),(LandCost+ME$37)*EffTaxRateOnValue/12,0)</f>
        <v/>
      </c>
      <c r="MF38" s="228">
        <f>IF(AND(340&gt;=MS_Initial_Closing_Start,340&lt;TaxOpStartMonth),(LandCost+MF$37)*EffTaxRateOnValue/12,0)</f>
        <v/>
      </c>
      <c r="MG38" s="228">
        <f>IF(AND(341&gt;=MS_Initial_Closing_Start,341&lt;TaxOpStartMonth),(LandCost+MG$37)*EffTaxRateOnValue/12,0)</f>
        <v/>
      </c>
      <c r="MH38" s="228">
        <f>IF(AND(342&gt;=MS_Initial_Closing_Start,342&lt;TaxOpStartMonth),(LandCost+MH$37)*EffTaxRateOnValue/12,0)</f>
        <v/>
      </c>
      <c r="MI38" s="228">
        <f>IF(AND(343&gt;=MS_Initial_Closing_Start,343&lt;TaxOpStartMonth),(LandCost+MI$37)*EffTaxRateOnValue/12,0)</f>
        <v/>
      </c>
      <c r="MJ38" s="228">
        <f>IF(AND(344&gt;=MS_Initial_Closing_Start,344&lt;TaxOpStartMonth),(LandCost+MJ$37)*EffTaxRateOnValue/12,0)</f>
        <v/>
      </c>
      <c r="MK38" s="228">
        <f>IF(AND(345&gt;=MS_Initial_Closing_Start,345&lt;TaxOpStartMonth),(LandCost+MK$37)*EffTaxRateOnValue/12,0)</f>
        <v/>
      </c>
      <c r="ML38" s="228">
        <f>IF(AND(346&gt;=MS_Initial_Closing_Start,346&lt;TaxOpStartMonth),(LandCost+ML$37)*EffTaxRateOnValue/12,0)</f>
        <v/>
      </c>
      <c r="MM38" s="228">
        <f>IF(AND(347&gt;=MS_Initial_Closing_Start,347&lt;TaxOpStartMonth),(LandCost+MM$37)*EffTaxRateOnValue/12,0)</f>
        <v/>
      </c>
      <c r="MN38" s="228">
        <f>IF(AND(348&gt;=MS_Initial_Closing_Start,348&lt;TaxOpStartMonth),(LandCost+MN$37)*EffTaxRateOnValue/12,0)</f>
        <v/>
      </c>
      <c r="MO38" s="228">
        <f>IF(AND(349&gt;=MS_Initial_Closing_Start,349&lt;TaxOpStartMonth),(LandCost+MO$37)*EffTaxRateOnValue/12,0)</f>
        <v/>
      </c>
      <c r="MP38" s="228">
        <f>IF(AND(350&gt;=MS_Initial_Closing_Start,350&lt;TaxOpStartMonth),(LandCost+MP$37)*EffTaxRateOnValue/12,0)</f>
        <v/>
      </c>
      <c r="MQ38" s="228">
        <f>IF(AND(351&gt;=MS_Initial_Closing_Start,351&lt;TaxOpStartMonth),(LandCost+MQ$37)*EffTaxRateOnValue/12,0)</f>
        <v/>
      </c>
      <c r="MR38" s="228">
        <f>IF(AND(352&gt;=MS_Initial_Closing_Start,352&lt;TaxOpStartMonth),(LandCost+MR$37)*EffTaxRateOnValue/12,0)</f>
        <v/>
      </c>
      <c r="MS38" s="228">
        <f>IF(AND(353&gt;=MS_Initial_Closing_Start,353&lt;TaxOpStartMonth),(LandCost+MS$37)*EffTaxRateOnValue/12,0)</f>
        <v/>
      </c>
      <c r="MT38" s="228">
        <f>IF(AND(354&gt;=MS_Initial_Closing_Start,354&lt;TaxOpStartMonth),(LandCost+MT$37)*EffTaxRateOnValue/12,0)</f>
        <v/>
      </c>
      <c r="MU38" s="228">
        <f>IF(AND(355&gt;=MS_Initial_Closing_Start,355&lt;TaxOpStartMonth),(LandCost+MU$37)*EffTaxRateOnValue/12,0)</f>
        <v/>
      </c>
      <c r="MV38" s="228">
        <f>IF(AND(356&gt;=MS_Initial_Closing_Start,356&lt;TaxOpStartMonth),(LandCost+MV$37)*EffTaxRateOnValue/12,0)</f>
        <v/>
      </c>
      <c r="MW38" s="228">
        <f>IF(AND(357&gt;=MS_Initial_Closing_Start,357&lt;TaxOpStartMonth),(LandCost+MW$37)*EffTaxRateOnValue/12,0)</f>
        <v/>
      </c>
      <c r="MX38" s="228">
        <f>IF(AND(358&gt;=MS_Initial_Closing_Start,358&lt;TaxOpStartMonth),(LandCost+MX$37)*EffTaxRateOnValue/12,0)</f>
        <v/>
      </c>
      <c r="MY38" s="228">
        <f>IF(AND(359&gt;=MS_Initial_Closing_Start,359&lt;TaxOpStartMonth),(LandCost+MY$37)*EffTaxRateOnValue/12,0)</f>
        <v/>
      </c>
      <c r="MZ38" s="228">
        <f>IF(AND(360&gt;=MS_Initial_Closing_Start,360&lt;TaxOpStartMonth),(LandCost+MZ$37)*EffTaxRateOnValue/12,0)</f>
        <v/>
      </c>
      <c r="NA38" s="228">
        <f>IF(AND(361&gt;=MS_Initial_Closing_Start,361&lt;TaxOpStartMonth),(LandCost+NA$37)*EffTaxRateOnValue/12,0)</f>
        <v/>
      </c>
      <c r="NB38" s="228">
        <f>IF(AND(362&gt;=MS_Initial_Closing_Start,362&lt;TaxOpStartMonth),(LandCost+NB$37)*EffTaxRateOnValue/12,0)</f>
        <v/>
      </c>
      <c r="NC38" s="228">
        <f>IF(AND(363&gt;=MS_Initial_Closing_Start,363&lt;TaxOpStartMonth),(LandCost+NC$37)*EffTaxRateOnValue/12,0)</f>
        <v/>
      </c>
      <c r="ND38" s="228">
        <f>IF(AND(364&gt;=MS_Initial_Closing_Start,364&lt;TaxOpStartMonth),(LandCost+ND$37)*EffTaxRateOnValue/12,0)</f>
        <v/>
      </c>
      <c r="NE38" s="228">
        <f>IF(AND(365&gt;=MS_Initial_Closing_Start,365&lt;TaxOpStartMonth),(LandCost+NE$37)*EffTaxRateOnValue/12,0)</f>
        <v/>
      </c>
      <c r="NF38" s="228">
        <f>IF(AND(366&gt;=MS_Initial_Closing_Start,366&lt;TaxOpStartMonth),(LandCost+NF$37)*EffTaxRateOnValue/12,0)</f>
        <v/>
      </c>
      <c r="NG38" s="228">
        <f>IF(AND(367&gt;=MS_Initial_Closing_Start,367&lt;TaxOpStartMonth),(LandCost+NG$37)*EffTaxRateOnValue/12,0)</f>
        <v/>
      </c>
      <c r="NH38" s="228">
        <f>IF(AND(368&gt;=MS_Initial_Closing_Start,368&lt;TaxOpStartMonth),(LandCost+NH$37)*EffTaxRateOnValue/12,0)</f>
        <v/>
      </c>
      <c r="NI38" s="228">
        <f>IF(AND(369&gt;=MS_Initial_Closing_Start,369&lt;TaxOpStartMonth),(LandCost+NI$37)*EffTaxRateOnValue/12,0)</f>
        <v/>
      </c>
      <c r="NJ38" s="228">
        <f>IF(AND(370&gt;=MS_Initial_Closing_Start,370&lt;TaxOpStartMonth),(LandCost+NJ$37)*EffTaxRateOnValue/12,0)</f>
        <v/>
      </c>
      <c r="NK38" s="228">
        <f>IF(AND(371&gt;=MS_Initial_Closing_Start,371&lt;TaxOpStartMonth),(LandCost+NK$37)*EffTaxRateOnValue/12,0)</f>
        <v/>
      </c>
      <c r="NL38" s="247">
        <f>IF(AND(372&gt;=MS_Initial_Closing_Start,372&lt;TaxOpStartMonth),(LandCost+NL$37)*EffTaxRateOnValue/12,0)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0"/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NL48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</cols>
  <sheetData>
    <row r="1" ht="21" customHeight="1" s="97">
      <c r="B1" s="1" t="inlineStr">
        <is>
          <t>Construction Loan — Sizing &amp; Monthly Draw Schedule</t>
        </is>
      </c>
    </row>
    <row r="2"/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TargetLTC*ConCostBasis</f>
        <v/>
      </c>
      <c r="D5" s="53" t="n"/>
    </row>
    <row r="6">
      <c r="B6" s="36" t="inlineStr">
        <is>
          <t>Max Loan by Min Debt Yield</t>
        </is>
      </c>
      <c r="C6" s="255">
        <f>StabNOI/ConMinDebtYield</f>
        <v/>
      </c>
      <c r="D6" s="53" t="n"/>
    </row>
    <row r="7">
      <c r="B7" s="36" t="inlineStr">
        <is>
          <t>Max Loan by Min DSCR (I/O)</t>
        </is>
      </c>
      <c r="C7" s="255">
        <f>StabNOI/(ConMinDSCR*ConRate)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4"/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StabNOI/ConCostCommit</f>
        <v/>
      </c>
      <c r="D16" s="53" t="n"/>
    </row>
    <row r="17">
      <c r="B17" s="36" t="inlineStr">
        <is>
          <t>DSCR at Commitment (I/O)</t>
        </is>
      </c>
      <c r="C17" s="257">
        <f>StabNOI/(ConRate*ConCostCommit)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/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E$30*(0)</f>
        <v/>
      </c>
      <c r="F31" s="218">
        <f>F$30*(E$32)</f>
        <v/>
      </c>
      <c r="G31" s="218">
        <f>G$30*(F$32)</f>
        <v/>
      </c>
      <c r="H31" s="218">
        <f>H$30*(G$32)</f>
        <v/>
      </c>
      <c r="I31" s="218">
        <f>I$30*(H$32)</f>
        <v/>
      </c>
      <c r="J31" s="218">
        <f>J$30*(I$32)</f>
        <v/>
      </c>
      <c r="K31" s="218">
        <f>K$30*(J$32)</f>
        <v/>
      </c>
      <c r="L31" s="218">
        <f>L$30*(K$32)</f>
        <v/>
      </c>
      <c r="M31" s="218">
        <f>M$30*(L$32)</f>
        <v/>
      </c>
      <c r="N31" s="218">
        <f>N$30*(M$32)</f>
        <v/>
      </c>
      <c r="O31" s="218">
        <f>O$30*(N$32)</f>
        <v/>
      </c>
      <c r="P31" s="218">
        <f>P$30*(O$32)</f>
        <v/>
      </c>
      <c r="Q31" s="218">
        <f>Q$30*(P$32)</f>
        <v/>
      </c>
      <c r="R31" s="218">
        <f>R$30*(Q$32)</f>
        <v/>
      </c>
      <c r="S31" s="218">
        <f>S$30*(R$32)</f>
        <v/>
      </c>
      <c r="T31" s="218">
        <f>T$30*(S$32)</f>
        <v/>
      </c>
      <c r="U31" s="218">
        <f>U$30*(T$32)</f>
        <v/>
      </c>
      <c r="V31" s="218">
        <f>V$30*(U$32)</f>
        <v/>
      </c>
      <c r="W31" s="218">
        <f>W$30*(V$32)</f>
        <v/>
      </c>
      <c r="X31" s="218">
        <f>X$30*(W$32)</f>
        <v/>
      </c>
      <c r="Y31" s="218">
        <f>Y$30*(X$32)</f>
        <v/>
      </c>
      <c r="Z31" s="218">
        <f>Z$30*(Y$32)</f>
        <v/>
      </c>
      <c r="AA31" s="218">
        <f>AA$30*(Z$32)</f>
        <v/>
      </c>
      <c r="AB31" s="218">
        <f>AB$30*(AA$32)</f>
        <v/>
      </c>
      <c r="AC31" s="218">
        <f>AC$30*(AB$32)</f>
        <v/>
      </c>
      <c r="AD31" s="218">
        <f>AD$30*(AC$32)</f>
        <v/>
      </c>
      <c r="AE31" s="218">
        <f>AE$30*(AD$32)</f>
        <v/>
      </c>
      <c r="AF31" s="218">
        <f>AF$30*(AE$32)</f>
        <v/>
      </c>
      <c r="AG31" s="218">
        <f>AG$30*(AF$32)</f>
        <v/>
      </c>
      <c r="AH31" s="218">
        <f>AH$30*(AG$32)</f>
        <v/>
      </c>
      <c r="AI31" s="218">
        <f>AI$30*(AH$32)</f>
        <v/>
      </c>
      <c r="AJ31" s="218">
        <f>AJ$30*(AI$32)</f>
        <v/>
      </c>
      <c r="AK31" s="218">
        <f>AK$30*(AJ$32)</f>
        <v/>
      </c>
      <c r="AL31" s="218">
        <f>AL$30*(AK$32)</f>
        <v/>
      </c>
      <c r="AM31" s="218">
        <f>AM$30*(AL$32)</f>
        <v/>
      </c>
      <c r="AN31" s="218">
        <f>AN$30*(AM$32)</f>
        <v/>
      </c>
      <c r="AO31" s="218">
        <f>AO$30*(AN$32)</f>
        <v/>
      </c>
      <c r="AP31" s="218">
        <f>AP$30*(AO$32)</f>
        <v/>
      </c>
      <c r="AQ31" s="218">
        <f>AQ$30*(AP$32)</f>
        <v/>
      </c>
      <c r="AR31" s="218">
        <f>AR$30*(AQ$32)</f>
        <v/>
      </c>
      <c r="AS31" s="218">
        <f>AS$30*(AR$32)</f>
        <v/>
      </c>
      <c r="AT31" s="218">
        <f>AT$30*(AS$32)</f>
        <v/>
      </c>
      <c r="AU31" s="218">
        <f>AU$30*(AT$32)</f>
        <v/>
      </c>
      <c r="AV31" s="218">
        <f>AV$30*(AU$32)</f>
        <v/>
      </c>
      <c r="AW31" s="218">
        <f>AW$30*(AV$32)</f>
        <v/>
      </c>
      <c r="AX31" s="218">
        <f>AX$30*(AW$32)</f>
        <v/>
      </c>
      <c r="AY31" s="218">
        <f>AY$30*(AX$32)</f>
        <v/>
      </c>
      <c r="AZ31" s="218">
        <f>AZ$30*(AY$32)</f>
        <v/>
      </c>
      <c r="BA31" s="218">
        <f>BA$30*(AZ$32)</f>
        <v/>
      </c>
      <c r="BB31" s="218">
        <f>BB$30*(BA$32)</f>
        <v/>
      </c>
      <c r="BC31" s="218">
        <f>BC$30*(BB$32)</f>
        <v/>
      </c>
      <c r="BD31" s="218">
        <f>BD$30*(BC$32)</f>
        <v/>
      </c>
      <c r="BE31" s="218">
        <f>BE$30*(BD$32)</f>
        <v/>
      </c>
      <c r="BF31" s="218">
        <f>BF$30*(BE$32)</f>
        <v/>
      </c>
      <c r="BG31" s="218">
        <f>BG$30*(BF$32)</f>
        <v/>
      </c>
      <c r="BH31" s="218">
        <f>BH$30*(BG$32)</f>
        <v/>
      </c>
      <c r="BI31" s="218">
        <f>BI$30*(BH$32)</f>
        <v/>
      </c>
      <c r="BJ31" s="218">
        <f>BJ$30*(BI$32)</f>
        <v/>
      </c>
      <c r="BK31" s="218">
        <f>BK$30*(BJ$32)</f>
        <v/>
      </c>
      <c r="BL31" s="218">
        <f>BL$30*(BK$32)</f>
        <v/>
      </c>
      <c r="BM31" s="218">
        <f>BM$30*(BL$32)</f>
        <v/>
      </c>
      <c r="BN31" s="218">
        <f>BN$30*(BM$32)</f>
        <v/>
      </c>
      <c r="BO31" s="218">
        <f>BO$30*(BN$32)</f>
        <v/>
      </c>
      <c r="BP31" s="218">
        <f>BP$30*(BO$32)</f>
        <v/>
      </c>
      <c r="BQ31" s="218">
        <f>BQ$30*(BP$32)</f>
        <v/>
      </c>
      <c r="BR31" s="218">
        <f>BR$30*(BQ$32)</f>
        <v/>
      </c>
      <c r="BS31" s="218">
        <f>BS$30*(BR$32)</f>
        <v/>
      </c>
      <c r="BT31" s="218">
        <f>BT$30*(BS$32)</f>
        <v/>
      </c>
      <c r="BU31" s="218">
        <f>BU$30*(BT$32)</f>
        <v/>
      </c>
      <c r="BV31" s="218">
        <f>BV$30*(BU$32)</f>
        <v/>
      </c>
      <c r="BW31" s="218">
        <f>BW$30*(BV$32)</f>
        <v/>
      </c>
      <c r="BX31" s="218">
        <f>BX$30*(BW$32)</f>
        <v/>
      </c>
      <c r="BY31" s="218">
        <f>BY$30*(BX$32)</f>
        <v/>
      </c>
      <c r="BZ31" s="218">
        <f>BZ$30*(BY$32)</f>
        <v/>
      </c>
      <c r="CA31" s="218">
        <f>CA$30*(BZ$32)</f>
        <v/>
      </c>
      <c r="CB31" s="218">
        <f>CB$30*(CA$32)</f>
        <v/>
      </c>
      <c r="CC31" s="218">
        <f>CC$30*(CB$32)</f>
        <v/>
      </c>
      <c r="CD31" s="218">
        <f>CD$30*(CC$32)</f>
        <v/>
      </c>
      <c r="CE31" s="218">
        <f>CE$30*(CD$32)</f>
        <v/>
      </c>
      <c r="CF31" s="218">
        <f>CF$30*(CE$32)</f>
        <v/>
      </c>
      <c r="CG31" s="218">
        <f>CG$30*(CF$32)</f>
        <v/>
      </c>
      <c r="CH31" s="218">
        <f>CH$30*(CG$32)</f>
        <v/>
      </c>
      <c r="CI31" s="218">
        <f>CI$30*(CH$32)</f>
        <v/>
      </c>
      <c r="CJ31" s="218">
        <f>CJ$30*(CI$32)</f>
        <v/>
      </c>
      <c r="CK31" s="218">
        <f>CK$30*(CJ$32)</f>
        <v/>
      </c>
      <c r="CL31" s="218">
        <f>CL$30*(CK$32)</f>
        <v/>
      </c>
      <c r="CM31" s="218">
        <f>CM$30*(CL$32)</f>
        <v/>
      </c>
      <c r="CN31" s="218">
        <f>CN$30*(CM$32)</f>
        <v/>
      </c>
      <c r="CO31" s="218">
        <f>CO$30*(CN$32)</f>
        <v/>
      </c>
      <c r="CP31" s="218">
        <f>CP$30*(CO$32)</f>
        <v/>
      </c>
      <c r="CQ31" s="218">
        <f>CQ$30*(CP$32)</f>
        <v/>
      </c>
      <c r="CR31" s="218">
        <f>CR$30*(CQ$32)</f>
        <v/>
      </c>
      <c r="CS31" s="218">
        <f>CS$30*(CR$32)</f>
        <v/>
      </c>
      <c r="CT31" s="218">
        <f>CT$30*(CS$32)</f>
        <v/>
      </c>
      <c r="CU31" s="218">
        <f>CU$30*(CT$32)</f>
        <v/>
      </c>
      <c r="CV31" s="218">
        <f>CV$30*(CU$32)</f>
        <v/>
      </c>
      <c r="CW31" s="218">
        <f>CW$30*(CV$32)</f>
        <v/>
      </c>
      <c r="CX31" s="218">
        <f>CX$30*(CW$32)</f>
        <v/>
      </c>
      <c r="CY31" s="218">
        <f>CY$30*(CX$32)</f>
        <v/>
      </c>
      <c r="CZ31" s="218">
        <f>CZ$30*(CY$32)</f>
        <v/>
      </c>
      <c r="DA31" s="218">
        <f>DA$30*(CZ$32)</f>
        <v/>
      </c>
      <c r="DB31" s="218">
        <f>DB$30*(DA$32)</f>
        <v/>
      </c>
      <c r="DC31" s="218">
        <f>DC$30*(DB$32)</f>
        <v/>
      </c>
      <c r="DD31" s="218">
        <f>DD$30*(DC$32)</f>
        <v/>
      </c>
      <c r="DE31" s="218">
        <f>DE$30*(DD$32)</f>
        <v/>
      </c>
      <c r="DF31" s="218">
        <f>DF$30*(DE$32)</f>
        <v/>
      </c>
      <c r="DG31" s="218">
        <f>DG$30*(DF$32)</f>
        <v/>
      </c>
      <c r="DH31" s="218">
        <f>DH$30*(DG$32)</f>
        <v/>
      </c>
      <c r="DI31" s="218">
        <f>DI$30*(DH$32)</f>
        <v/>
      </c>
      <c r="DJ31" s="218">
        <f>DJ$30*(DI$32)</f>
        <v/>
      </c>
      <c r="DK31" s="218">
        <f>DK$30*(DJ$32)</f>
        <v/>
      </c>
      <c r="DL31" s="218">
        <f>DL$30*(DK$32)</f>
        <v/>
      </c>
      <c r="DM31" s="218">
        <f>DM$30*(DL$32)</f>
        <v/>
      </c>
      <c r="DN31" s="218">
        <f>DN$30*(DM$32)</f>
        <v/>
      </c>
      <c r="DO31" s="218">
        <f>DO$30*(DN$32)</f>
        <v/>
      </c>
      <c r="DP31" s="218">
        <f>DP$30*(DO$32)</f>
        <v/>
      </c>
      <c r="DQ31" s="218">
        <f>DQ$30*(DP$32)</f>
        <v/>
      </c>
      <c r="DR31" s="218">
        <f>DR$30*(DQ$32)</f>
        <v/>
      </c>
      <c r="DS31" s="218">
        <f>DS$30*(DR$32)</f>
        <v/>
      </c>
      <c r="DT31" s="218">
        <f>DT$30*(DS$32)</f>
        <v/>
      </c>
      <c r="DU31" s="218">
        <f>DU$30*(DT$32)</f>
        <v/>
      </c>
      <c r="DV31" s="218">
        <f>DV$30*(DU$32)</f>
        <v/>
      </c>
      <c r="DW31" s="218">
        <f>DW$30*(DV$32)</f>
        <v/>
      </c>
      <c r="DX31" s="218">
        <f>DX$30*(DW$32)</f>
        <v/>
      </c>
      <c r="DY31" s="218">
        <f>DY$30*(DX$32)</f>
        <v/>
      </c>
      <c r="DZ31" s="218">
        <f>DZ$30*(DY$32)</f>
        <v/>
      </c>
      <c r="EA31" s="218">
        <f>EA$30*(DZ$32)</f>
        <v/>
      </c>
      <c r="EB31" s="218">
        <f>EB$30*(EA$32)</f>
        <v/>
      </c>
      <c r="EC31" s="218">
        <f>EC$30*(EB$32)</f>
        <v/>
      </c>
      <c r="ED31" s="218">
        <f>ED$30*(EC$32)</f>
        <v/>
      </c>
      <c r="EE31" s="218">
        <f>EE$30*(ED$32)</f>
        <v/>
      </c>
      <c r="EF31" s="218">
        <f>EF$30*(EE$32)</f>
        <v/>
      </c>
      <c r="EG31" s="218">
        <f>EG$30*(EF$32)</f>
        <v/>
      </c>
      <c r="EH31" s="218">
        <f>EH$30*(EG$32)</f>
        <v/>
      </c>
      <c r="EI31" s="218">
        <f>EI$30*(EH$32)</f>
        <v/>
      </c>
      <c r="EJ31" s="218">
        <f>EJ$30*(EI$32)</f>
        <v/>
      </c>
      <c r="EK31" s="218">
        <f>EK$30*(EJ$32)</f>
        <v/>
      </c>
      <c r="EL31" s="218">
        <f>EL$30*(EK$32)</f>
        <v/>
      </c>
      <c r="EM31" s="218">
        <f>EM$30*(EL$32)</f>
        <v/>
      </c>
      <c r="EN31" s="218">
        <f>EN$30*(EM$32)</f>
        <v/>
      </c>
      <c r="EO31" s="218">
        <f>EO$30*(EN$32)</f>
        <v/>
      </c>
      <c r="EP31" s="218">
        <f>EP$30*(EO$32)</f>
        <v/>
      </c>
      <c r="EQ31" s="218">
        <f>EQ$30*(EP$32)</f>
        <v/>
      </c>
      <c r="ER31" s="218">
        <f>ER$30*(EQ$32)</f>
        <v/>
      </c>
      <c r="ES31" s="218">
        <f>ES$30*(ER$32)</f>
        <v/>
      </c>
      <c r="ET31" s="218">
        <f>ET$30*(ES$32)</f>
        <v/>
      </c>
      <c r="EU31" s="218">
        <f>EU$30*(ET$32)</f>
        <v/>
      </c>
      <c r="EV31" s="218">
        <f>EV$30*(EU$32)</f>
        <v/>
      </c>
      <c r="EW31" s="218">
        <f>EW$30*(EV$32)</f>
        <v/>
      </c>
      <c r="EX31" s="218">
        <f>EX$30*(EW$32)</f>
        <v/>
      </c>
      <c r="EY31" s="218">
        <f>EY$30*(EX$32)</f>
        <v/>
      </c>
      <c r="EZ31" s="218">
        <f>EZ$30*(EY$32)</f>
        <v/>
      </c>
      <c r="FA31" s="218">
        <f>FA$30*(EZ$32)</f>
        <v/>
      </c>
      <c r="FB31" s="218">
        <f>FB$30*(FA$32)</f>
        <v/>
      </c>
      <c r="FC31" s="218">
        <f>FC$30*(FB$32)</f>
        <v/>
      </c>
      <c r="FD31" s="218">
        <f>FD$30*(FC$32)</f>
        <v/>
      </c>
      <c r="FE31" s="218">
        <f>FE$30*(FD$32)</f>
        <v/>
      </c>
      <c r="FF31" s="218">
        <f>FF$30*(FE$32)</f>
        <v/>
      </c>
      <c r="FG31" s="218">
        <f>FG$30*(FF$32)</f>
        <v/>
      </c>
      <c r="FH31" s="218">
        <f>FH$30*(FG$32)</f>
        <v/>
      </c>
      <c r="FI31" s="218">
        <f>FI$30*(FH$32)</f>
        <v/>
      </c>
      <c r="FJ31" s="218">
        <f>FJ$30*(FI$32)</f>
        <v/>
      </c>
      <c r="FK31" s="218">
        <f>FK$30*(FJ$32)</f>
        <v/>
      </c>
      <c r="FL31" s="218">
        <f>FL$30*(FK$32)</f>
        <v/>
      </c>
      <c r="FM31" s="218">
        <f>FM$30*(FL$32)</f>
        <v/>
      </c>
      <c r="FN31" s="218">
        <f>FN$30*(FM$32)</f>
        <v/>
      </c>
      <c r="FO31" s="218">
        <f>FO$30*(FN$32)</f>
        <v/>
      </c>
      <c r="FP31" s="218">
        <f>FP$30*(FO$32)</f>
        <v/>
      </c>
      <c r="FQ31" s="218">
        <f>FQ$30*(FP$32)</f>
        <v/>
      </c>
      <c r="FR31" s="218">
        <f>FR$30*(FQ$32)</f>
        <v/>
      </c>
      <c r="FS31" s="218">
        <f>FS$30*(FR$32)</f>
        <v/>
      </c>
      <c r="FT31" s="218">
        <f>FT$30*(FS$32)</f>
        <v/>
      </c>
      <c r="FU31" s="218">
        <f>FU$30*(FT$32)</f>
        <v/>
      </c>
      <c r="FV31" s="218">
        <f>FV$30*(FU$32)</f>
        <v/>
      </c>
      <c r="FW31" s="218">
        <f>FW$30*(FV$32)</f>
        <v/>
      </c>
      <c r="FX31" s="218">
        <f>FX$30*(FW$32)</f>
        <v/>
      </c>
      <c r="FY31" s="218">
        <f>FY$30*(FX$32)</f>
        <v/>
      </c>
      <c r="FZ31" s="218">
        <f>FZ$30*(FY$32)</f>
        <v/>
      </c>
      <c r="GA31" s="218">
        <f>GA$30*(FZ$32)</f>
        <v/>
      </c>
      <c r="GB31" s="218">
        <f>GB$30*(GA$32)</f>
        <v/>
      </c>
      <c r="GC31" s="218">
        <f>GC$30*(GB$32)</f>
        <v/>
      </c>
      <c r="GD31" s="218">
        <f>GD$30*(GC$32)</f>
        <v/>
      </c>
      <c r="GE31" s="218">
        <f>GE$30*(GD$32)</f>
        <v/>
      </c>
      <c r="GF31" s="218">
        <f>GF$30*(GE$32)</f>
        <v/>
      </c>
      <c r="GG31" s="218">
        <f>GG$30*(GF$32)</f>
        <v/>
      </c>
      <c r="GH31" s="218">
        <f>GH$30*(GG$32)</f>
        <v/>
      </c>
      <c r="GI31" s="218">
        <f>GI$30*(GH$32)</f>
        <v/>
      </c>
      <c r="GJ31" s="218">
        <f>GJ$30*(GI$32)</f>
        <v/>
      </c>
      <c r="GK31" s="218">
        <f>GK$30*(GJ$32)</f>
        <v/>
      </c>
      <c r="GL31" s="218">
        <f>GL$30*(GK$32)</f>
        <v/>
      </c>
      <c r="GM31" s="218">
        <f>GM$30*(GL$32)</f>
        <v/>
      </c>
      <c r="GN31" s="218">
        <f>GN$30*(GM$32)</f>
        <v/>
      </c>
      <c r="GO31" s="218">
        <f>GO$30*(GN$32)</f>
        <v/>
      </c>
      <c r="GP31" s="218">
        <f>GP$30*(GO$32)</f>
        <v/>
      </c>
      <c r="GQ31" s="218">
        <f>GQ$30*(GP$32)</f>
        <v/>
      </c>
      <c r="GR31" s="218">
        <f>GR$30*(GQ$32)</f>
        <v/>
      </c>
      <c r="GS31" s="218">
        <f>GS$30*(GR$32)</f>
        <v/>
      </c>
      <c r="GT31" s="218">
        <f>GT$30*(GS$32)</f>
        <v/>
      </c>
      <c r="GU31" s="218">
        <f>GU$30*(GT$32)</f>
        <v/>
      </c>
      <c r="GV31" s="218">
        <f>GV$30*(GU$32)</f>
        <v/>
      </c>
      <c r="GW31" s="218">
        <f>GW$30*(GV$32)</f>
        <v/>
      </c>
      <c r="GX31" s="218">
        <f>GX$30*(GW$32)</f>
        <v/>
      </c>
      <c r="GY31" s="218">
        <f>GY$30*(GX$32)</f>
        <v/>
      </c>
      <c r="GZ31" s="218">
        <f>GZ$30*(GY$32)</f>
        <v/>
      </c>
      <c r="HA31" s="218">
        <f>HA$30*(GZ$32)</f>
        <v/>
      </c>
      <c r="HB31" s="218">
        <f>HB$30*(HA$32)</f>
        <v/>
      </c>
      <c r="HC31" s="218">
        <f>HC$30*(HB$32)</f>
        <v/>
      </c>
      <c r="HD31" s="218">
        <f>HD$30*(HC$32)</f>
        <v/>
      </c>
      <c r="HE31" s="218">
        <f>HE$30*(HD$32)</f>
        <v/>
      </c>
      <c r="HF31" s="218">
        <f>HF$30*(HE$32)</f>
        <v/>
      </c>
      <c r="HG31" s="218">
        <f>HG$30*(HF$32)</f>
        <v/>
      </c>
      <c r="HH31" s="218">
        <f>HH$30*(HG$32)</f>
        <v/>
      </c>
      <c r="HI31" s="218">
        <f>HI$30*(HH$32)</f>
        <v/>
      </c>
      <c r="HJ31" s="218">
        <f>HJ$30*(HI$32)</f>
        <v/>
      </c>
      <c r="HK31" s="218">
        <f>HK$30*(HJ$32)</f>
        <v/>
      </c>
      <c r="HL31" s="218">
        <f>HL$30*(HK$32)</f>
        <v/>
      </c>
      <c r="HM31" s="218">
        <f>HM$30*(HL$32)</f>
        <v/>
      </c>
      <c r="HN31" s="218">
        <f>HN$30*(HM$32)</f>
        <v/>
      </c>
      <c r="HO31" s="218">
        <f>HO$30*(HN$32)</f>
        <v/>
      </c>
      <c r="HP31" s="218">
        <f>HP$30*(HO$32)</f>
        <v/>
      </c>
      <c r="HQ31" s="218">
        <f>HQ$30*(HP$32)</f>
        <v/>
      </c>
      <c r="HR31" s="218">
        <f>HR$30*(HQ$32)</f>
        <v/>
      </c>
      <c r="HS31" s="218">
        <f>HS$30*(HR$32)</f>
        <v/>
      </c>
      <c r="HT31" s="218">
        <f>HT$30*(HS$32)</f>
        <v/>
      </c>
      <c r="HU31" s="218">
        <f>HU$30*(HT$32)</f>
        <v/>
      </c>
      <c r="HV31" s="218">
        <f>HV$30*(HU$32)</f>
        <v/>
      </c>
      <c r="HW31" s="218">
        <f>HW$30*(HV$32)</f>
        <v/>
      </c>
      <c r="HX31" s="218">
        <f>HX$30*(HW$32)</f>
        <v/>
      </c>
      <c r="HY31" s="218">
        <f>HY$30*(HX$32)</f>
        <v/>
      </c>
      <c r="HZ31" s="218">
        <f>HZ$30*(HY$32)</f>
        <v/>
      </c>
      <c r="IA31" s="218">
        <f>IA$30*(HZ$32)</f>
        <v/>
      </c>
      <c r="IB31" s="218">
        <f>IB$30*(IA$32)</f>
        <v/>
      </c>
      <c r="IC31" s="218">
        <f>IC$30*(IB$32)</f>
        <v/>
      </c>
      <c r="ID31" s="218">
        <f>ID$30*(IC$32)</f>
        <v/>
      </c>
      <c r="IE31" s="218">
        <f>IE$30*(ID$32)</f>
        <v/>
      </c>
      <c r="IF31" s="218">
        <f>IF$30*(IE$32)</f>
        <v/>
      </c>
      <c r="IG31" s="218">
        <f>IG$30*(IF$32)</f>
        <v/>
      </c>
      <c r="IH31" s="218">
        <f>IH$30*(IG$32)</f>
        <v/>
      </c>
      <c r="II31" s="218">
        <f>II$30*(IH$32)</f>
        <v/>
      </c>
      <c r="IJ31" s="218">
        <f>IJ$30*(II$32)</f>
        <v/>
      </c>
      <c r="IK31" s="218">
        <f>IK$30*(IJ$32)</f>
        <v/>
      </c>
      <c r="IL31" s="218">
        <f>IL$30*(IK$32)</f>
        <v/>
      </c>
      <c r="IM31" s="218">
        <f>IM$30*(IL$32)</f>
        <v/>
      </c>
      <c r="IN31" s="218">
        <f>IN$30*(IM$32)</f>
        <v/>
      </c>
      <c r="IO31" s="218">
        <f>IO$30*(IN$32)</f>
        <v/>
      </c>
      <c r="IP31" s="218">
        <f>IP$30*(IO$32)</f>
        <v/>
      </c>
      <c r="IQ31" s="218">
        <f>IQ$30*(IP$32)</f>
        <v/>
      </c>
      <c r="IR31" s="218">
        <f>IR$30*(IQ$32)</f>
        <v/>
      </c>
      <c r="IS31" s="218">
        <f>IS$30*(IR$32)</f>
        <v/>
      </c>
      <c r="IT31" s="218">
        <f>IT$30*(IS$32)</f>
        <v/>
      </c>
      <c r="IU31" s="218">
        <f>IU$30*(IT$32)</f>
        <v/>
      </c>
      <c r="IV31" s="218">
        <f>IV$30*(IU$32)</f>
        <v/>
      </c>
      <c r="IW31" s="218">
        <f>IW$30*(IV$32)</f>
        <v/>
      </c>
      <c r="IX31" s="218">
        <f>IX$30*(IW$32)</f>
        <v/>
      </c>
      <c r="IY31" s="218">
        <f>IY$30*(IX$32)</f>
        <v/>
      </c>
      <c r="IZ31" s="218">
        <f>IZ$30*(IY$32)</f>
        <v/>
      </c>
      <c r="JA31" s="218">
        <f>JA$30*(IZ$32)</f>
        <v/>
      </c>
      <c r="JB31" s="218">
        <f>JB$30*(JA$32)</f>
        <v/>
      </c>
      <c r="JC31" s="218">
        <f>JC$30*(JB$32)</f>
        <v/>
      </c>
      <c r="JD31" s="218">
        <f>JD$30*(JC$32)</f>
        <v/>
      </c>
      <c r="JE31" s="218">
        <f>JE$30*(JD$32)</f>
        <v/>
      </c>
      <c r="JF31" s="218">
        <f>JF$30*(JE$32)</f>
        <v/>
      </c>
      <c r="JG31" s="218">
        <f>JG$30*(JF$32)</f>
        <v/>
      </c>
      <c r="JH31" s="218">
        <f>JH$30*(JG$32)</f>
        <v/>
      </c>
      <c r="JI31" s="218">
        <f>JI$30*(JH$32)</f>
        <v/>
      </c>
      <c r="JJ31" s="218">
        <f>JJ$30*(JI$32)</f>
        <v/>
      </c>
      <c r="JK31" s="218">
        <f>JK$30*(JJ$32)</f>
        <v/>
      </c>
      <c r="JL31" s="218">
        <f>JL$30*(JK$32)</f>
        <v/>
      </c>
      <c r="JM31" s="218">
        <f>JM$30*(JL$32)</f>
        <v/>
      </c>
      <c r="JN31" s="218">
        <f>JN$30*(JM$32)</f>
        <v/>
      </c>
      <c r="JO31" s="218">
        <f>JO$30*(JN$32)</f>
        <v/>
      </c>
      <c r="JP31" s="218">
        <f>JP$30*(JO$32)</f>
        <v/>
      </c>
      <c r="JQ31" s="218">
        <f>JQ$30*(JP$32)</f>
        <v/>
      </c>
      <c r="JR31" s="218">
        <f>JR$30*(JQ$32)</f>
        <v/>
      </c>
      <c r="JS31" s="218">
        <f>JS$30*(JR$32)</f>
        <v/>
      </c>
      <c r="JT31" s="218">
        <f>JT$30*(JS$32)</f>
        <v/>
      </c>
      <c r="JU31" s="218">
        <f>JU$30*(JT$32)</f>
        <v/>
      </c>
      <c r="JV31" s="218">
        <f>JV$30*(JU$32)</f>
        <v/>
      </c>
      <c r="JW31" s="218">
        <f>JW$30*(JV$32)</f>
        <v/>
      </c>
      <c r="JX31" s="218">
        <f>JX$30*(JW$32)</f>
        <v/>
      </c>
      <c r="JY31" s="218">
        <f>JY$30*(JX$32)</f>
        <v/>
      </c>
      <c r="JZ31" s="218">
        <f>JZ$30*(JY$32)</f>
        <v/>
      </c>
      <c r="KA31" s="218">
        <f>KA$30*(JZ$32)</f>
        <v/>
      </c>
      <c r="KB31" s="218">
        <f>KB$30*(KA$32)</f>
        <v/>
      </c>
      <c r="KC31" s="218">
        <f>KC$30*(KB$32)</f>
        <v/>
      </c>
      <c r="KD31" s="218">
        <f>KD$30*(KC$32)</f>
        <v/>
      </c>
      <c r="KE31" s="218">
        <f>KE$30*(KD$32)</f>
        <v/>
      </c>
      <c r="KF31" s="218">
        <f>KF$30*(KE$32)</f>
        <v/>
      </c>
      <c r="KG31" s="218">
        <f>KG$30*(KF$32)</f>
        <v/>
      </c>
      <c r="KH31" s="218">
        <f>KH$30*(KG$32)</f>
        <v/>
      </c>
      <c r="KI31" s="218">
        <f>KI$30*(KH$32)</f>
        <v/>
      </c>
      <c r="KJ31" s="218">
        <f>KJ$30*(KI$32)</f>
        <v/>
      </c>
      <c r="KK31" s="218">
        <f>KK$30*(KJ$32)</f>
        <v/>
      </c>
      <c r="KL31" s="218">
        <f>KL$30*(KK$32)</f>
        <v/>
      </c>
      <c r="KM31" s="218">
        <f>KM$30*(KL$32)</f>
        <v/>
      </c>
      <c r="KN31" s="218">
        <f>KN$30*(KM$32)</f>
        <v/>
      </c>
      <c r="KO31" s="218">
        <f>KO$30*(KN$32)</f>
        <v/>
      </c>
      <c r="KP31" s="218">
        <f>KP$30*(KO$32)</f>
        <v/>
      </c>
      <c r="KQ31" s="218">
        <f>KQ$30*(KP$32)</f>
        <v/>
      </c>
      <c r="KR31" s="218">
        <f>KR$30*(KQ$32)</f>
        <v/>
      </c>
      <c r="KS31" s="218">
        <f>KS$30*(KR$32)</f>
        <v/>
      </c>
      <c r="KT31" s="218">
        <f>KT$30*(KS$32)</f>
        <v/>
      </c>
      <c r="KU31" s="218">
        <f>KU$30*(KT$32)</f>
        <v/>
      </c>
      <c r="KV31" s="218">
        <f>KV$30*(KU$32)</f>
        <v/>
      </c>
      <c r="KW31" s="218">
        <f>KW$30*(KV$32)</f>
        <v/>
      </c>
      <c r="KX31" s="218">
        <f>KX$30*(KW$32)</f>
        <v/>
      </c>
      <c r="KY31" s="218">
        <f>KY$30*(KX$32)</f>
        <v/>
      </c>
      <c r="KZ31" s="218">
        <f>KZ$30*(KY$32)</f>
        <v/>
      </c>
      <c r="LA31" s="218">
        <f>LA$30*(KZ$32)</f>
        <v/>
      </c>
      <c r="LB31" s="218">
        <f>LB$30*(LA$32)</f>
        <v/>
      </c>
      <c r="LC31" s="218">
        <f>LC$30*(LB$32)</f>
        <v/>
      </c>
      <c r="LD31" s="218">
        <f>LD$30*(LC$32)</f>
        <v/>
      </c>
      <c r="LE31" s="218">
        <f>LE$30*(LD$32)</f>
        <v/>
      </c>
      <c r="LF31" s="218">
        <f>LF$30*(LE$32)</f>
        <v/>
      </c>
      <c r="LG31" s="218">
        <f>LG$30*(LF$32)</f>
        <v/>
      </c>
      <c r="LH31" s="218">
        <f>LH$30*(LG$32)</f>
        <v/>
      </c>
      <c r="LI31" s="218">
        <f>LI$30*(LH$32)</f>
        <v/>
      </c>
      <c r="LJ31" s="218">
        <f>LJ$30*(LI$32)</f>
        <v/>
      </c>
      <c r="LK31" s="218">
        <f>LK$30*(LJ$32)</f>
        <v/>
      </c>
      <c r="LL31" s="218">
        <f>LL$30*(LK$32)</f>
        <v/>
      </c>
      <c r="LM31" s="218">
        <f>LM$30*(LL$32)</f>
        <v/>
      </c>
      <c r="LN31" s="218">
        <f>LN$30*(LM$32)</f>
        <v/>
      </c>
      <c r="LO31" s="218">
        <f>LO$30*(LN$32)</f>
        <v/>
      </c>
      <c r="LP31" s="218">
        <f>LP$30*(LO$32)</f>
        <v/>
      </c>
      <c r="LQ31" s="218">
        <f>LQ$30*(LP$32)</f>
        <v/>
      </c>
      <c r="LR31" s="218">
        <f>LR$30*(LQ$32)</f>
        <v/>
      </c>
      <c r="LS31" s="218">
        <f>LS$30*(LR$32)</f>
        <v/>
      </c>
      <c r="LT31" s="218">
        <f>LT$30*(LS$32)</f>
        <v/>
      </c>
      <c r="LU31" s="218">
        <f>LU$30*(LT$32)</f>
        <v/>
      </c>
      <c r="LV31" s="218">
        <f>LV$30*(LU$32)</f>
        <v/>
      </c>
      <c r="LW31" s="218">
        <f>LW$30*(LV$32)</f>
        <v/>
      </c>
      <c r="LX31" s="218">
        <f>LX$30*(LW$32)</f>
        <v/>
      </c>
      <c r="LY31" s="218">
        <f>LY$30*(LX$32)</f>
        <v/>
      </c>
      <c r="LZ31" s="218">
        <f>LZ$30*(LY$32)</f>
        <v/>
      </c>
      <c r="MA31" s="218">
        <f>MA$30*(LZ$32)</f>
        <v/>
      </c>
      <c r="MB31" s="218">
        <f>MB$30*(MA$32)</f>
        <v/>
      </c>
      <c r="MC31" s="218">
        <f>MC$30*(MB$32)</f>
        <v/>
      </c>
      <c r="MD31" s="218">
        <f>MD$30*(MC$32)</f>
        <v/>
      </c>
      <c r="ME31" s="218">
        <f>ME$30*(MD$32)</f>
        <v/>
      </c>
      <c r="MF31" s="218">
        <f>MF$30*(ME$32)</f>
        <v/>
      </c>
      <c r="MG31" s="218">
        <f>MG$30*(MF$32)</f>
        <v/>
      </c>
      <c r="MH31" s="218">
        <f>MH$30*(MG$32)</f>
        <v/>
      </c>
      <c r="MI31" s="218">
        <f>MI$30*(MH$32)</f>
        <v/>
      </c>
      <c r="MJ31" s="218">
        <f>MJ$30*(MI$32)</f>
        <v/>
      </c>
      <c r="MK31" s="218">
        <f>MK$30*(MJ$32)</f>
        <v/>
      </c>
      <c r="ML31" s="218">
        <f>ML$30*(MK$32)</f>
        <v/>
      </c>
      <c r="MM31" s="218">
        <f>MM$30*(ML$32)</f>
        <v/>
      </c>
      <c r="MN31" s="218">
        <f>MN$30*(MM$32)</f>
        <v/>
      </c>
      <c r="MO31" s="218">
        <f>MO$30*(MN$32)</f>
        <v/>
      </c>
      <c r="MP31" s="218">
        <f>MP$30*(MO$32)</f>
        <v/>
      </c>
      <c r="MQ31" s="218">
        <f>MQ$30*(MP$32)</f>
        <v/>
      </c>
      <c r="MR31" s="218">
        <f>MR$30*(MQ$32)</f>
        <v/>
      </c>
      <c r="MS31" s="218">
        <f>MS$30*(MR$32)</f>
        <v/>
      </c>
      <c r="MT31" s="218">
        <f>MT$30*(MS$32)</f>
        <v/>
      </c>
      <c r="MU31" s="218">
        <f>MU$30*(MT$32)</f>
        <v/>
      </c>
      <c r="MV31" s="218">
        <f>MV$30*(MU$32)</f>
        <v/>
      </c>
      <c r="MW31" s="218">
        <f>MW$30*(MV$32)</f>
        <v/>
      </c>
      <c r="MX31" s="218">
        <f>MX$30*(MW$32)</f>
        <v/>
      </c>
      <c r="MY31" s="218">
        <f>MY$30*(MX$32)</f>
        <v/>
      </c>
      <c r="MZ31" s="218">
        <f>MZ$30*(MY$32)</f>
        <v/>
      </c>
      <c r="NA31" s="218">
        <f>NA$30*(MZ$32)</f>
        <v/>
      </c>
      <c r="NB31" s="218">
        <f>NB$30*(NA$32)</f>
        <v/>
      </c>
      <c r="NC31" s="218">
        <f>NC$30*(NB$32)</f>
        <v/>
      </c>
      <c r="ND31" s="218">
        <f>ND$30*(NC$32)</f>
        <v/>
      </c>
      <c r="NE31" s="218">
        <f>NE$30*(ND$32)</f>
        <v/>
      </c>
      <c r="NF31" s="218">
        <f>NF$30*(NE$32)</f>
        <v/>
      </c>
      <c r="NG31" s="218">
        <f>NG$30*(NF$32)</f>
        <v/>
      </c>
      <c r="NH31" s="218">
        <f>NH$30*(NG$32)</f>
        <v/>
      </c>
      <c r="NI31" s="218">
        <f>NI$30*(NH$32)</f>
        <v/>
      </c>
      <c r="NJ31" s="218">
        <f>NJ$30*(NI$32)</f>
        <v/>
      </c>
      <c r="NK31" s="218">
        <f>NK$30*(NJ$32)</f>
        <v/>
      </c>
      <c r="NL31" s="218">
        <f>NL$30*(NK$32)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3"/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2"/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INDEX(E32:NL32,372)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</cols>
  <sheetData>
    <row r="1" ht="21" customHeight="1" s="97">
      <c r="B1" s="1" t="inlineStr">
        <is>
          <t>Unit Delivery &amp; Lease-Up Engine</t>
        </is>
      </c>
    </row>
    <row r="2"/>
    <row r="3">
      <c r="B3" s="84" t="inlineStr">
        <is>
          <t>Stabilized Leased Target (units)</t>
        </is>
      </c>
      <c r="C3" s="19">
        <f>ROUND(StabilizedOccupancy*TotalUnits,0)</f>
        <v/>
      </c>
    </row>
    <row r="4"/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1"/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</cols>
  <sheetData>
    <row r="1" ht="21" customHeight="1" s="97">
      <c r="B1" s="1" t="inlineStr">
        <is>
          <t>Stabilized Operating Model — Monthly Proforma</t>
        </is>
      </c>
    </row>
    <row r="2"/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5"/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2"/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0"/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5"/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3"/>
    <row r="74">
      <c r="B74" s="189" t="inlineStr">
        <is>
          <t>Static (No-Growth) Property-Tax Basis</t>
        </is>
      </c>
    </row>
    <row r="75">
      <c r="B75" s="190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190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190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</cols>
  <sheetData>
    <row r="1" ht="21" customHeight="1" s="97">
      <c r="B1" s="1" t="inlineStr">
        <is>
          <t>Permanent Loan / Refinance Engine</t>
        </is>
      </c>
    </row>
    <row r="2"/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6"/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/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A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2"/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1"/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1"/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A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</cols>
  <sheetData>
    <row r="1" ht="21" customHeight="1" s="97">
      <c r="B1" s="1" t="inlineStr">
        <is>
          <t>Levered &amp; Unlevered Cash Flows (monthly)</t>
        </is>
      </c>
    </row>
    <row r="2"/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8"/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75623"/>
    <outlinePr summaryBelow="1" summaryRight="1"/>
    <pageSetUpPr/>
  </sheetPr>
  <dimension ref="A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</cols>
  <sheetData>
    <row r="1" ht="21" customHeight="1" s="97">
      <c r="B1" s="1" t="inlineStr">
        <is>
          <t>Return Calculations</t>
        </is>
      </c>
    </row>
    <row r="2"/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8"/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1"/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G40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2"/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  <c r="F5" s="294">
        <f>SUMPRODUCT(--ISERROR(DevSpend!E34:NL34))+SUMPRODUCT(--ISERROR(DevSpend!E38:NL38))+SUMPRODUCT(--ISERROR(DevSpend!D34:D43))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SUMPRODUCT(--ISERROR(Budget!J5:J39))+SUMPRODUCT(--ISERROR(Budget!D5:D32))</f>
        <v/>
      </c>
      <c r="G15" s="289" t="inlineStr">
        <is>
          <t>Budget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SUMPRODUCT(--ISERROR(Inputs!C16:C27))+SUMPRODUCT(--ISERROR(Inputs!C119:C145))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6"/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190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190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190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3"/>
    <row r="34">
      <c r="B34" s="189" t="inlineStr">
        <is>
          <t>Input Hygiene</t>
        </is>
      </c>
      <c r="C34" s="155" t="n"/>
      <c r="D34" s="155" t="n"/>
    </row>
    <row r="35">
      <c r="B35" s="190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189" t="inlineStr">
        <is>
          <t>Summary</t>
        </is>
      </c>
      <c r="C37" s="155" t="n"/>
      <c r="D37" s="155" t="n"/>
    </row>
    <row r="38">
      <c r="B38" s="303" t="inlineStr">
        <is>
          <t>TOTAL ERRORS FOUND</t>
        </is>
      </c>
      <c r="C38" s="304">
        <f>COUNTIF(D4:D25,"FAIL")+COUNTIF(Proforma!$D$46:$D$46,"FAIL")</f>
        <v/>
      </c>
    </row>
    <row r="39">
      <c r="B39" s="303" t="inlineStr">
        <is>
          <t>TOTAL WARNINGS</t>
        </is>
      </c>
      <c r="C39" s="304">
        <f>COUNTIF(D28:D32,"WARN")+COUNTIF(D35:D35,"WARN")</f>
        <v/>
      </c>
    </row>
    <row r="40">
      <c r="B40" s="303" t="inlineStr">
        <is>
          <t>MODEL STATUS</t>
        </is>
      </c>
      <c r="C40" s="305">
        <f>IF(C38=0,"ALL CHECKS PASS","REVIEW FAILURES")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2026-07-14T00:04:32Z</dcterms:modified>
  <cp:lastModifiedBy>Thomas Holben</cp:lastModifiedBy>
</cp:coreProperties>
</file>