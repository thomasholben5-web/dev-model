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Scenarios" sheetId="2" state="visible" r:id="rId2"/>
    <sheet name="Annual" sheetId="3" state="visible" r:id="rId3"/>
    <sheet name="Proforma" sheetId="4" state="visible" r:id="rId4"/>
    <sheet name="Inputs" sheetId="5" state="visible" r:id="rId5"/>
    <sheet name="UnitMatrix" sheetId="6" state="visible" r:id="rId6"/>
    <sheet name="Budget" sheetId="7" state="visible" r:id="rId7"/>
    <sheet name="Timeline" sheetId="8" state="visible" r:id="rId8"/>
    <sheet name="DevSpend" sheetId="9" state="visible" r:id="rId9"/>
    <sheet name="ConLoan" sheetId="10" state="visible" r:id="rId10"/>
    <sheet name="LeaseUp" sheetId="11" state="visible" r:id="rId11"/>
    <sheet name="Operating" sheetId="12" state="visible" r:id="rId12"/>
    <sheet name="PermLoan" sheetId="13" state="visible" r:id="rId13"/>
    <sheet name="Disposition" sheetId="14" state="visible" r:id="rId14"/>
    <sheet name="CashFlow" sheetId="15" state="visible" r:id="rId15"/>
    <sheet name="Returns" sheetId="16" state="visible" r:id="rId16"/>
    <sheet name="Diagnostics" sheetId="17" state="visible" r:id="rId17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DeliveryLagMonths">'Inputs'!$C$120</definedName>
    <definedName name="Dur_OpenEscrow">'Inputs'!$C$121</definedName>
    <definedName name="Dur_DueDiligence">'Inputs'!$C$122</definedName>
    <definedName name="Dur_Entitlement">'Inputs'!$C$123</definedName>
    <definedName name="Dur_PreConstruction">'Inputs'!$C$124</definedName>
    <definedName name="Dur_InitialClosing">'Inputs'!$C$125</definedName>
    <definedName name="Dur_Construction">'Inputs'!$C$126</definedName>
    <definedName name="Dur_FirstUnitDelivery">'Inputs'!$C$127</definedName>
    <definedName name="Dur_Stabilization">'Inputs'!$C$128</definedName>
    <definedName name="Dur_Recap">'Inputs'!$C$129</definedName>
    <definedName name="Dur_Disposition">'Inputs'!$C$130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LeaseUpIncomeOffset">'Inputs'!$F$31</definedName>
    <definedName name="TaxMethodValue">'Inputs'!$F$50</definedName>
    <definedName name="ReassessOnSale">'Inputs'!$F$52</definedName>
    <definedName name="FundingOrderPari">'Inputs'!$F$56</definedName>
    <definedName name="ConActual360">'Inputs'!$F$64</definedName>
    <definedName name="PermActual360">'Inputs'!$F$77</definedName>
    <definedName name="NoCashOut">'Inputs'!$F$81</definedName>
    <definedName name="TaxCapitalizeLeaseUp">'Inputs'!$F$135</definedName>
    <definedName name="InputSanityWarnings">'Inputs'!$E$142</definedName>
    <definedName name="SanityFlags">'Inputs'!$C$148</definedName>
    <definedName name="ConBinding">'ConLoan'!$C$21</definedName>
    <definedName name="PermBinding">'PermLoan'!$C$21</definedName>
    <definedName name="ScenarioSelect">'Scenarios'!$C$3</definedName>
    <definedName name="ScenarioNum">'Scenarios'!$C$4</definedName>
    <definedName name="SU_Check">'Annual'!$C$19</definedName>
    <definedName name="AnnualNOICheck">'Annual'!$C$36</definedName>
  </definedNames>
  <calcPr calcId="191029" fullCalcOnLoad="1" iterate="1"/>
</workbook>
</file>

<file path=xl/styles.xml><?xml version="1.0" encoding="utf-8"?>
<styleSheet xmlns="http://schemas.openxmlformats.org/spreadsheetml/2006/main">
  <numFmts count="18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</cellXfs>
  <cellStyles count="1">
    <cellStyle name="Normal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B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30" customWidth="1" style="97" min="2" max="2"/>
    <col width="18" customWidth="1" style="97" min="3" max="3"/>
    <col width="6" customWidth="1" style="97" min="4" max="4"/>
    <col width="30" customWidth="1" style="97" min="5" max="5"/>
    <col width="18" customWidth="1" style="97" min="6" max="6"/>
  </cols>
  <sheetData>
    <row r="1" ht="21" customHeight="1" s="97">
      <c r="B1" s="1" t="inlineStr">
        <is>
          <t>Multifamily Development Model — Dashboard</t>
        </is>
      </c>
    </row>
    <row r="2">
      <c r="B2" s="33">
        <f>""&amp;PropertyName&amp;"  •  "&amp;City&amp;", "&amp;State&amp;"  •  "&amp;ProductType&amp;"  •  "&amp;InvestmentType&amp;"  ("&amp;Location&amp;")"</f>
        <v/>
      </c>
    </row>
    <row r="4">
      <c r="B4" s="34" t="inlineStr">
        <is>
          <t>Deal Snapshot</t>
        </is>
      </c>
      <c r="C4" s="35" t="n"/>
      <c r="E4" s="34" t="inlineStr">
        <is>
          <t>Key Returns</t>
        </is>
      </c>
      <c r="F4" s="35" t="n"/>
    </row>
    <row r="5">
      <c r="B5" s="36" t="inlineStr">
        <is>
          <t>Total Units</t>
        </is>
      </c>
      <c r="C5" s="37">
        <f>TotalUnits</f>
        <v/>
      </c>
      <c r="E5" s="36" t="inlineStr">
        <is>
          <t>Levered IRR (net)</t>
        </is>
      </c>
      <c r="F5" s="42">
        <f>LevIRR</f>
        <v/>
      </c>
    </row>
    <row r="6">
      <c r="B6" s="36" t="inlineStr">
        <is>
          <t>Net Rentable SF</t>
        </is>
      </c>
      <c r="C6" s="37">
        <f>NRSF</f>
        <v/>
      </c>
      <c r="E6" s="36" t="inlineStr">
        <is>
          <t>Levered IRR (gross)</t>
        </is>
      </c>
      <c r="F6" s="42">
        <f>LevIRRgross</f>
        <v/>
      </c>
    </row>
    <row r="7">
      <c r="B7" s="36" t="inlineStr">
        <is>
          <t>Hold Period (months)</t>
        </is>
      </c>
      <c r="C7" s="176">
        <f>HoldPeriodMonths</f>
        <v/>
      </c>
      <c r="E7" s="36" t="inlineStr">
        <is>
          <t>Unlevered IRR (net)</t>
        </is>
      </c>
      <c r="F7" s="42">
        <f>UnlevIRR</f>
        <v/>
      </c>
    </row>
    <row r="8">
      <c r="B8" s="36" t="inlineStr">
        <is>
          <t>Refi or Sell</t>
        </is>
      </c>
      <c r="C8" s="39">
        <f>IF(RefiFlag=1,"Refinance then hold","Sell during construction")</f>
        <v/>
      </c>
      <c r="E8" s="36" t="inlineStr">
        <is>
          <t>Levered MOIC (net)</t>
        </is>
      </c>
      <c r="F8" s="177">
        <f>LevMOIC</f>
        <v/>
      </c>
    </row>
    <row r="9">
      <c r="B9" s="36" t="inlineStr">
        <is>
          <t>Construction Maturity (mo)</t>
        </is>
      </c>
      <c r="C9" s="176">
        <f>ConMaturity</f>
        <v/>
      </c>
      <c r="E9" s="36" t="inlineStr">
        <is>
          <t>Unlevered MOIC (net)</t>
        </is>
      </c>
      <c r="F9" s="177">
        <f>UnlevMOIC</f>
        <v/>
      </c>
    </row>
    <row r="10">
      <c r="B10" s="36" t="inlineStr">
        <is>
          <t>Refi Month</t>
        </is>
      </c>
      <c r="C10" s="176">
        <f>RefiMonth</f>
        <v/>
      </c>
      <c r="E10" s="36" t="inlineStr">
        <is>
          <t>Static Unlevered IRR</t>
        </is>
      </c>
      <c r="F10" s="42">
        <f>StaticUnlevIRR</f>
        <v/>
      </c>
    </row>
    <row r="11">
      <c r="B11" s="40" t="inlineStr">
        <is>
          <t>Disposition Month</t>
        </is>
      </c>
      <c r="C11" s="178">
        <f>DispoMonth</f>
        <v/>
      </c>
      <c r="E11" s="40" t="inlineStr">
        <is>
          <t>Static Unlevered MOIC</t>
        </is>
      </c>
      <c r="F11" s="179">
        <f>StaticUnlevMOIC</f>
        <v/>
      </c>
    </row>
    <row r="13">
      <c r="B13" s="34" t="inlineStr">
        <is>
          <t>Development Metrics</t>
        </is>
      </c>
      <c r="C13" s="35" t="n"/>
      <c r="E13" s="34" t="inlineStr">
        <is>
          <t>Sources &amp; Uses</t>
        </is>
      </c>
      <c r="F13" s="35" t="n"/>
    </row>
    <row r="14">
      <c r="B14" s="36" t="inlineStr">
        <is>
          <t>Yield on Cost (stab)</t>
        </is>
      </c>
      <c r="C14" s="45">
        <f>YieldOnCost</f>
        <v/>
      </c>
      <c r="E14" s="36" t="inlineStr">
        <is>
          <t>Land</t>
        </is>
      </c>
      <c r="F14" s="180">
        <f>BudgetLand</f>
        <v/>
      </c>
    </row>
    <row r="15">
      <c r="B15" s="36" t="inlineStr">
        <is>
          <t>Development Spread</t>
        </is>
      </c>
      <c r="C15" s="181">
        <f>DevSpreadBps</f>
        <v/>
      </c>
      <c r="E15" s="36" t="inlineStr">
        <is>
          <t>Soft Costs</t>
        </is>
      </c>
      <c r="F15" s="180">
        <f>BudgetSoft</f>
        <v/>
      </c>
    </row>
    <row r="16">
      <c r="B16" s="36" t="inlineStr">
        <is>
          <t>Return on Cost (current)</t>
        </is>
      </c>
      <c r="C16" s="45">
        <f>ROCcurrent</f>
        <v/>
      </c>
      <c r="E16" s="36" t="inlineStr">
        <is>
          <t>Hard Costs</t>
        </is>
      </c>
      <c r="F16" s="180">
        <f>BudgetHard</f>
        <v/>
      </c>
    </row>
    <row r="17">
      <c r="B17" s="36" t="inlineStr">
        <is>
          <t>Return on Cost (stab)</t>
        </is>
      </c>
      <c r="C17" s="45">
        <f>ROCstab</f>
        <v/>
      </c>
      <c r="E17" s="36" t="inlineStr">
        <is>
          <t>Development Fee</t>
        </is>
      </c>
      <c r="F17" s="180">
        <f>DevFee</f>
        <v/>
      </c>
    </row>
    <row r="18">
      <c r="B18" s="36" t="inlineStr">
        <is>
          <t>Debt Yield (stab)</t>
        </is>
      </c>
      <c r="C18" s="45">
        <f>DebtYieldStab</f>
        <v/>
      </c>
      <c r="E18" s="36" t="inlineStr">
        <is>
          <t>Financing Costs</t>
        </is>
      </c>
      <c r="F18" s="180">
        <f>ConPoints+RecourseFee+ConOtherCosts</f>
        <v/>
      </c>
    </row>
    <row r="19">
      <c r="B19" s="36" t="inlineStr">
        <is>
          <t>TDC</t>
        </is>
      </c>
      <c r="C19" s="180">
        <f>TDC_Total</f>
        <v/>
      </c>
      <c r="E19" s="36" t="inlineStr">
        <is>
          <t>Interest Reserve</t>
        </is>
      </c>
      <c r="F19" s="180">
        <f>InterestReserveFunded</f>
        <v/>
      </c>
    </row>
    <row r="20">
      <c r="B20" s="36" t="inlineStr">
        <is>
          <t>TDC / Unit</t>
        </is>
      </c>
      <c r="C20" s="182">
        <f>TDCperUnit</f>
        <v/>
      </c>
      <c r="E20" s="36" t="inlineStr">
        <is>
          <t>Operating Reserve</t>
        </is>
      </c>
      <c r="F20" s="180">
        <f>OpReserve</f>
        <v/>
      </c>
    </row>
    <row r="21">
      <c r="B21" s="36" t="inlineStr">
        <is>
          <t>TDC / NRSF</t>
        </is>
      </c>
      <c r="C21" s="182">
        <f>TDCperSF</f>
        <v/>
      </c>
      <c r="E21" s="50" t="inlineStr">
        <is>
          <t>Total Uses (TDC)</t>
        </is>
      </c>
      <c r="F21" s="183">
        <f>TDC_Total</f>
        <v/>
      </c>
    </row>
    <row r="22">
      <c r="B22" s="36" t="inlineStr">
        <is>
          <t>Exit Value</t>
        </is>
      </c>
      <c r="C22" s="180">
        <f>ExitValue</f>
        <v/>
      </c>
      <c r="E22" s="52" t="n"/>
      <c r="F22" s="53" t="n"/>
    </row>
    <row r="23">
      <c r="B23" s="40" t="inlineStr">
        <is>
          <t>Exit Basis / Unit</t>
        </is>
      </c>
      <c r="C23" s="184">
        <f>BasisPerUnitExit</f>
        <v/>
      </c>
      <c r="E23" s="36" t="inlineStr">
        <is>
          <t>Construction Loan</t>
        </is>
      </c>
      <c r="F23" s="180">
        <f>ConLoanTotal</f>
        <v/>
      </c>
    </row>
    <row r="24">
      <c r="E24" s="36" t="inlineStr">
        <is>
          <t>Equity</t>
        </is>
      </c>
      <c r="F24" s="180">
        <f>EquityTotal</f>
        <v/>
      </c>
    </row>
    <row r="25">
      <c r="B25" s="34" t="inlineStr">
        <is>
          <t>Loan Sizing &amp; Status</t>
        </is>
      </c>
      <c r="C25" s="35" t="n"/>
      <c r="E25" s="50" t="inlineStr">
        <is>
          <t>Total Sources</t>
        </is>
      </c>
      <c r="F25" s="183">
        <f>ConLoanTotal+EquityTotal</f>
        <v/>
      </c>
    </row>
    <row r="26">
      <c r="B26" s="36" t="inlineStr">
        <is>
          <t>Construction Loan</t>
        </is>
      </c>
      <c r="C26" s="180">
        <f>ConLoanTotal</f>
        <v/>
      </c>
      <c r="E26" s="40" t="inlineStr">
        <is>
          <t>Sources − Uses (check)</t>
        </is>
      </c>
      <c r="F26" s="185">
        <f>ConLoanTotal+EquityTotal-TDC_Total</f>
        <v/>
      </c>
    </row>
    <row r="27">
      <c r="B27" s="36" t="inlineStr">
        <is>
          <t>LTC (realized)</t>
        </is>
      </c>
      <c r="C27" s="45">
        <f>LTC_Realized</f>
        <v/>
      </c>
    </row>
    <row r="28">
      <c r="B28" s="36" t="inlineStr">
        <is>
          <t>Con Debt Yield Test</t>
        </is>
      </c>
      <c r="C28" s="45">
        <f>ConDYtest</f>
        <v/>
      </c>
    </row>
    <row r="29">
      <c r="B29" s="36" t="inlineStr">
        <is>
          <t>Con DSCR Test</t>
        </is>
      </c>
      <c r="C29" s="186">
        <f>ConDSCRtest</f>
        <v/>
      </c>
    </row>
    <row r="30">
      <c r="B30" s="36" t="inlineStr">
        <is>
          <t>Permanent Loan</t>
        </is>
      </c>
      <c r="C30" s="180">
        <f>PermLoan</f>
        <v/>
      </c>
    </row>
    <row r="31">
      <c r="B31" s="36" t="inlineStr">
        <is>
          <t>Perm LTV Test</t>
        </is>
      </c>
      <c r="C31" s="45">
        <f>PermLTVtest</f>
        <v/>
      </c>
    </row>
    <row r="32">
      <c r="B32" s="36" t="inlineStr">
        <is>
          <t>Perm DSCR Test</t>
        </is>
      </c>
      <c r="C32" s="186">
        <f>PermDSCRtest</f>
        <v/>
      </c>
    </row>
    <row r="33">
      <c r="B33" s="40" t="inlineStr">
        <is>
          <t>Refi Cash Distribution</t>
        </is>
      </c>
      <c r="C33" s="185">
        <f>RefiCashOut</f>
        <v/>
      </c>
    </row>
    <row r="34">
      <c r="E34" s="34" t="inlineStr">
        <is>
          <t>Validation</t>
        </is>
      </c>
      <c r="F34" s="35" t="n"/>
    </row>
    <row r="35">
      <c r="E35" s="50" t="inlineStr">
        <is>
          <t>Total Errors Found</t>
        </is>
      </c>
      <c r="F35" s="56">
        <f>ErrorsFound</f>
        <v/>
      </c>
    </row>
    <row r="36">
      <c r="E36" s="57" t="inlineStr">
        <is>
          <t>Model Status</t>
        </is>
      </c>
      <c r="F36" s="58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B1:F14"/>
  <sheetViews>
    <sheetView showGridLines="0" workbookViewId="0">
      <selection activeCell="A1" sqref="A1"/>
    </sheetView>
  </sheetViews>
  <sheetFormatPr baseColWidth="8" defaultRowHeight="15"/>
  <cols>
    <col width="3.7" customWidth="1" style="97" min="1" max="1"/>
    <col width="30" customWidth="1" style="97" min="2" max="2"/>
    <col width="14" customWidth="1" style="97" min="3" max="3"/>
    <col width="14" customWidth="1" style="97" min="4" max="4"/>
    <col width="14" customWidth="1" style="97" min="5" max="5"/>
    <col width="14" customWidth="1" style="97" min="6" max="6"/>
  </cols>
  <sheetData>
    <row r="1">
      <c r="B1" s="187" t="inlineStr">
        <is>
          <t>Scenario Switcher</t>
        </is>
      </c>
    </row>
    <row r="3">
      <c r="B3" s="316" t="inlineStr">
        <is>
          <t>Active Scenario</t>
        </is>
      </c>
      <c r="C3" s="317" t="inlineStr">
        <is>
          <t>Base</t>
        </is>
      </c>
    </row>
    <row r="4">
      <c r="B4" s="316" t="inlineStr">
        <is>
          <t>Scenario Number</t>
        </is>
      </c>
      <c r="C4" s="318">
        <f>IF(C3="Base",1,IF(C3="Upside",2,3))</f>
        <v/>
      </c>
    </row>
    <row r="6">
      <c r="B6" s="319" t="inlineStr">
        <is>
          <t>Driver</t>
        </is>
      </c>
      <c r="C6" s="320" t="inlineStr">
        <is>
          <t>Base</t>
        </is>
      </c>
      <c r="D6" s="320" t="inlineStr">
        <is>
          <t>Upside</t>
        </is>
      </c>
      <c r="E6" s="320" t="inlineStr">
        <is>
          <t>Downside</t>
        </is>
      </c>
      <c r="F6" s="320" t="inlineStr">
        <is>
          <t>Active</t>
        </is>
      </c>
    </row>
    <row r="7">
      <c r="B7" s="316" t="inlineStr">
        <is>
          <t>Growth Rent</t>
        </is>
      </c>
      <c r="C7" s="321" t="n">
        <v>0.03</v>
      </c>
      <c r="D7" s="321" t="n">
        <v>0.04</v>
      </c>
      <c r="E7" s="321" t="n">
        <v>0.015</v>
      </c>
      <c r="F7" s="322">
        <f>INDEX(C7:E7,ScenarioNum)</f>
        <v/>
      </c>
    </row>
    <row r="8">
      <c r="B8" s="316" t="inlineStr">
        <is>
          <t>Growth Expense</t>
        </is>
      </c>
      <c r="C8" s="321" t="n">
        <v>0.03</v>
      </c>
      <c r="D8" s="321" t="n">
        <v>0.025</v>
      </c>
      <c r="E8" s="321" t="n">
        <v>0.04</v>
      </c>
      <c r="F8" s="322">
        <f>INDEX(C8:E8,ScenarioNum)</f>
        <v/>
      </c>
    </row>
    <row r="9">
      <c r="B9" s="316" t="inlineStr">
        <is>
          <t>Entry Cap Rate</t>
        </is>
      </c>
      <c r="C9" s="321" t="n">
        <v>0.0525</v>
      </c>
      <c r="D9" s="321" t="n">
        <v>0.05</v>
      </c>
      <c r="E9" s="321" t="n">
        <v>0.0575</v>
      </c>
      <c r="F9" s="322">
        <f>INDEX(C9:E9,ScenarioNum)</f>
        <v/>
      </c>
    </row>
    <row r="10">
      <c r="B10" s="316" t="inlineStr">
        <is>
          <t>Exit Cap Retail</t>
        </is>
      </c>
      <c r="C10" s="321" t="n">
        <v>0.065</v>
      </c>
      <c r="D10" s="321" t="n">
        <v>0.0625</v>
      </c>
      <c r="E10" s="321" t="n">
        <v>0.07000000000000001</v>
      </c>
      <c r="F10" s="322">
        <f>INDEX(C10:E10,ScenarioNum)</f>
        <v/>
      </c>
    </row>
    <row r="11">
      <c r="B11" s="316" t="inlineStr">
        <is>
          <t>Stabilized Occupancy</t>
        </is>
      </c>
      <c r="C11" s="323" t="n">
        <v>0.9399999999999999</v>
      </c>
      <c r="D11" s="323" t="n">
        <v>0.95</v>
      </c>
      <c r="E11" s="323" t="n">
        <v>0.9</v>
      </c>
      <c r="F11" s="324">
        <f>INDEX(C11:E11,ScenarioNum)</f>
        <v/>
      </c>
    </row>
    <row r="12">
      <c r="B12" s="316" t="inlineStr">
        <is>
          <t>Units Leased Per Mo</t>
        </is>
      </c>
      <c r="C12" s="325" t="n">
        <v>18</v>
      </c>
      <c r="D12" s="325" t="n">
        <v>22</v>
      </c>
      <c r="E12" s="325" t="n">
        <v>12</v>
      </c>
      <c r="F12" s="318">
        <f>INDEX(C12:E12,ScenarioNum)</f>
        <v/>
      </c>
    </row>
    <row r="13">
      <c r="B13" s="316" t="inlineStr">
        <is>
          <t>Con Rate</t>
        </is>
      </c>
      <c r="C13" s="321" t="n">
        <v>0.057</v>
      </c>
      <c r="D13" s="321" t="n">
        <v>0.052</v>
      </c>
      <c r="E13" s="321" t="n">
        <v>0.065</v>
      </c>
      <c r="F13" s="322">
        <f>INDEX(C13:E13,ScenarioNum)</f>
        <v/>
      </c>
    </row>
    <row r="14">
      <c r="B14" s="316" t="inlineStr">
        <is>
          <t>Perm Rate</t>
        </is>
      </c>
      <c r="C14" s="321" t="n">
        <v>0.0625</v>
      </c>
      <c r="D14" s="321" t="n">
        <v>0.0575</v>
      </c>
      <c r="E14" s="321" t="n">
        <v>0.07000000000000001</v>
      </c>
      <c r="F14" s="322">
        <f>INDEX(C14:E14,ScenarioNum)</f>
        <v/>
      </c>
    </row>
  </sheetData>
  <dataValidations count="1">
    <dataValidation sqref="C3" showDropDown="0" showInputMessage="0" showErrorMessage="1" allowBlank="0" promptTitle="Scenario" prompt="Base / Upside / Downside drives all key assumptions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B1:AG36"/>
  <sheetViews>
    <sheetView showGridLines="0" workbookViewId="0">
      <pane xSplit="2" ySplit="22" topLeftCell="C2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"Scenario: "&amp;ScenarioSelect&amp;"   •   Hold: "&amp;HoldPeriodMonths&amp;" months"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B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12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3" t="inlineStr">
        <is>
          <t>Total Units</t>
        </is>
      </c>
      <c r="C5" s="191">
        <f>TotalUnits</f>
        <v/>
      </c>
      <c r="E5" s="313" t="inlineStr">
        <is>
          <t>Occupied Units (stab)</t>
        </is>
      </c>
      <c r="F5" s="191">
        <f>StabLeasedTarget</f>
        <v/>
      </c>
    </row>
    <row r="6">
      <c r="B6" s="313" t="inlineStr">
        <is>
          <t>Net Rentable SF</t>
        </is>
      </c>
      <c r="C6" s="191">
        <f>NRSF</f>
        <v/>
      </c>
      <c r="E6" s="313" t="inlineStr">
        <is>
          <t>Stabilized Occupancy</t>
        </is>
      </c>
      <c r="F6" s="193">
        <f>StabilizedOccupancy</f>
        <v/>
      </c>
    </row>
    <row r="7">
      <c r="B7" s="313" t="inlineStr">
        <is>
          <t>Avg Unit SF</t>
        </is>
      </c>
      <c r="C7" s="191">
        <f>AvgUnitSF</f>
        <v/>
      </c>
      <c r="E7" s="313" t="inlineStr">
        <is>
          <t>Effective Tax Rate on Value</t>
        </is>
      </c>
      <c r="F7" s="278">
        <f>EffTaxRateOnValue</f>
        <v/>
      </c>
    </row>
    <row r="10">
      <c r="B10" s="195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12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3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3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3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3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3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3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3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3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3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3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12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3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3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3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3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3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3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3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3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3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3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12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3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3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3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3" t="inlineStr">
        <is>
          <t>Untrended Stabilized NOI before Property Tax</t>
        </is>
      </c>
      <c r="G43" s="280">
        <f>G22-SUM(G24:G32)</f>
        <v/>
      </c>
    </row>
    <row r="45">
      <c r="B45" s="312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3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3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F148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30" bestFit="1" customWidth="1" style="97" min="4" max="4"/>
    <col width="22" customWidth="1" style="97" min="5" max="5"/>
    <col width="1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306" t="inlineStr">
        <is>
          <t>months, 1 to 360 · Disposition month (1-360 toggle)</t>
        </is>
      </c>
    </row>
    <row r="16">
      <c r="B16" s="36" t="inlineStr">
        <is>
          <t>Entry Cap Rate</t>
        </is>
      </c>
      <c r="C16" s="335">
        <f>Scenarios!$F$9</f>
        <v/>
      </c>
      <c r="D16" s="306" t="inlineStr">
        <is>
          <t>rate %, 0% to 25% · Market / entry cap rate</t>
        </is>
      </c>
    </row>
    <row r="17">
      <c r="B17" s="36" t="inlineStr">
        <is>
          <t>Cap Adj Location</t>
        </is>
      </c>
      <c r="C17" s="8" t="n">
        <v>0</v>
      </c>
      <c r="D17" s="306" t="inlineStr">
        <is>
          <t>± rate, -5% to 5% · Location adjustment (+/-)</t>
        </is>
      </c>
    </row>
    <row r="18">
      <c r="B18" s="36" t="inlineStr">
        <is>
          <t>Cap Adj Size</t>
        </is>
      </c>
      <c r="C18" s="8" t="n">
        <v>0</v>
      </c>
      <c r="D18" s="306" t="inlineStr">
        <is>
          <t>± rate, -5% to 5% · Size adjustment (+/-)</t>
        </is>
      </c>
    </row>
    <row r="19">
      <c r="B19" s="36" t="inlineStr">
        <is>
          <t>Cap Adj Aging</t>
        </is>
      </c>
      <c r="C19" s="8" t="n">
        <v>0</v>
      </c>
      <c r="D19" s="306" t="inlineStr">
        <is>
          <t>± rate, -5% to 5% · Aging adjustment (+/-)</t>
        </is>
      </c>
    </row>
    <row r="20">
      <c r="B20" s="36" t="inlineStr">
        <is>
          <t>Exit Cap Residential</t>
        </is>
      </c>
      <c r="C20" s="59">
        <f>EntryCapRate+CapAdjLocation+CapAdjSize+CapAdjAging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335">
        <f>Scenarios!$F$10</f>
        <v/>
      </c>
      <c r="D21" s="306" t="inlineStr">
        <is>
          <t>rate %, 0% to 25% · Exit cap - retail</t>
        </is>
      </c>
    </row>
    <row r="22">
      <c r="B22" s="36" t="inlineStr">
        <is>
          <t>Growth Rent</t>
        </is>
      </c>
      <c r="C22" s="335">
        <f>Scenarios!$F$7</f>
        <v/>
      </c>
      <c r="D22" s="306" t="inlineStr">
        <is>
          <t>annual %, -10% to 20% · Annual market-rent growth</t>
        </is>
      </c>
    </row>
    <row r="23">
      <c r="B23" s="36" t="inlineStr">
        <is>
          <t>Growth Low Inc Rent</t>
        </is>
      </c>
      <c r="C23" s="8" t="n">
        <v>0.03</v>
      </c>
      <c r="D23" s="306" t="inlineStr">
        <is>
          <t>annual %, -10% to 20% · Annual low-income-rent growth</t>
        </is>
      </c>
    </row>
    <row r="24">
      <c r="B24" s="36" t="inlineStr">
        <is>
          <t>Growth Expense</t>
        </is>
      </c>
      <c r="C24" s="335">
        <f>Scenarios!$F$8</f>
        <v/>
      </c>
      <c r="D24" s="306" t="inlineStr">
        <is>
          <t>annual %, -10% to 20% · Annual expense growth</t>
        </is>
      </c>
    </row>
    <row r="25">
      <c r="B25" s="36" t="inlineStr">
        <is>
          <t>Growth Utility</t>
        </is>
      </c>
      <c r="C25" s="8" t="n">
        <v>0.03</v>
      </c>
      <c r="D25" s="306" t="inlineStr">
        <is>
          <t>annual %, -10% to 20% · Annual utility growth</t>
        </is>
      </c>
    </row>
    <row r="26">
      <c r="B26" s="36" t="inlineStr">
        <is>
          <t>Growth Tax</t>
        </is>
      </c>
      <c r="C26" s="8" t="n">
        <v>0.03</v>
      </c>
      <c r="D26" s="306" t="inlineStr">
        <is>
          <t>annual %, -10% to 20% · Annual tax growth</t>
        </is>
      </c>
    </row>
    <row r="27">
      <c r="B27" s="36" t="inlineStr">
        <is>
          <t>Growth Other</t>
        </is>
      </c>
      <c r="C27" s="8" t="n">
        <v>0.03</v>
      </c>
      <c r="D27" s="306" t="inlineStr">
        <is>
          <t>annual %, -10% to 20% · 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307" t="inlineStr">
        <is>
          <t>Offset vs equity</t>
        </is>
      </c>
      <c r="D31" s="61" t="inlineStr">
        <is>
          <t>1=offset lease-up income vs equity, 0=no</t>
        </is>
      </c>
      <c r="F31" s="308">
        <f>IF(C31="Offset vs equity",1,0)</f>
        <v/>
      </c>
    </row>
    <row r="32">
      <c r="B32" s="36" t="inlineStr">
        <is>
          <t>Units Delivered Per Mo</t>
        </is>
      </c>
      <c r="C32" s="9" t="n">
        <v>24</v>
      </c>
      <c r="D32" s="306" t="inlineStr">
        <is>
          <t>units/mo, 1 to 1,000 · Units delivered per month</t>
        </is>
      </c>
    </row>
    <row r="33">
      <c r="B33" s="36" t="inlineStr">
        <is>
          <t>Units Leased Per Mo</t>
        </is>
      </c>
      <c r="C33" s="336">
        <f>Scenarios!$F$12</f>
        <v/>
      </c>
      <c r="D33" s="306" t="inlineStr">
        <is>
          <t>units/mo, 1 to 1,000 · 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306" t="inlineStr">
        <is>
          <t>% of stab, 0% to 100% · 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306" t="inlineStr">
        <is>
          <t>uplift %, 0% to 100% · Elevated-opex uplift over stabilized during lease-up</t>
        </is>
      </c>
    </row>
    <row r="36">
      <c r="B36" s="40" t="inlineStr">
        <is>
          <t>Stabilized Occupancy</t>
        </is>
      </c>
      <c r="C36" s="337">
        <f>Scenarios!$F$11</f>
        <v/>
      </c>
      <c r="D36" s="309" t="inlineStr">
        <is>
          <t>occupancy %, 50% to 100% · Physical occupancy at stabilization</t>
        </is>
      </c>
    </row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306" t="inlineStr">
        <is>
          <t>$, $0+ · Total land cost</t>
        </is>
      </c>
    </row>
    <row r="40">
      <c r="B40" s="36" t="inlineStr">
        <is>
          <t>Gross Acres</t>
        </is>
      </c>
      <c r="C40" s="12" t="n">
        <v>3.65</v>
      </c>
      <c r="D40" s="306" t="inlineStr">
        <is>
          <t>acres, 0 to 10,000 · 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306" t="inlineStr">
        <is>
          <t>ratio, 0 to 20 · Floor-area ratio</t>
        </is>
      </c>
    </row>
    <row r="43">
      <c r="B43" s="36" t="inlineStr">
        <is>
          <t>Efficiency Ratio</t>
        </is>
      </c>
      <c r="C43" s="211" t="n">
        <v>0.85</v>
      </c>
      <c r="D43" s="306" t="inlineStr">
        <is>
          <t>NRSF/gross %, 50% to 100% · 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309" t="inlineStr">
        <is>
          <t>$, $0+ · Demo / existing structure</t>
        </is>
      </c>
    </row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306" t="inlineStr">
        <is>
          <t>rate %, 0% to 25% · 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306" t="inlineStr">
        <is>
          <t>assessment %, 0% to 100% · 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306" t="inlineStr">
        <is>
          <t>factor, 0% to 100% · Value-adjustment / abatement factor (1.0 = full unabated tax)</t>
        </is>
      </c>
    </row>
    <row r="50">
      <c r="B50" s="36" t="inlineStr">
        <is>
          <t>Tax Method Value</t>
        </is>
      </c>
      <c r="C50" s="307" t="inlineStr">
        <is>
          <t>Value Approach</t>
        </is>
      </c>
      <c r="D50" s="61" t="inlineStr">
        <is>
          <t>Post-stab method: 1=value approach, 0=income approach</t>
        </is>
      </c>
      <c r="F50" s="308">
        <f>IF(C50="Value Approach",1,0)</f>
        <v/>
      </c>
    </row>
    <row r="51">
      <c r="B51" s="36" t="inlineStr">
        <is>
          <t>Tax Year1 Override</t>
        </is>
      </c>
      <c r="C51" s="213" t="n">
        <v>0</v>
      </c>
      <c r="D51" s="306" t="inlineStr">
        <is>
          <t>$ (0=auto), $0+ · Year-1 stabilized tax: 0=dynamic (stab value x rate), &gt;0=manual</t>
        </is>
      </c>
    </row>
    <row r="52">
      <c r="B52" s="36" t="inlineStr">
        <is>
          <t>Reassess On Sale</t>
        </is>
      </c>
      <c r="C52" s="307" t="inlineStr">
        <is>
          <t>No — in-place taxes</t>
        </is>
      </c>
      <c r="D52" s="61" t="inlineStr">
        <is>
          <t>1=reassess buyer taxes on sale value, 0=in-place</t>
        </is>
      </c>
      <c r="F52" s="308">
        <f>IF(C52="Yes — reassess at sale",1,0)</f>
        <v/>
      </c>
    </row>
    <row r="53">
      <c r="B53" s="40" t="inlineStr">
        <is>
          <t>Dispo Tax Rate Pct</t>
        </is>
      </c>
      <c r="C53" s="68" t="n">
        <v>0</v>
      </c>
      <c r="D53" s="309" t="inlineStr">
        <is>
          <t>rate % (0=auto), 0% to 25% · Buyer tax rate at sale: 0=use operating effective rate (consistent)</t>
        </is>
      </c>
    </row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307" t="inlineStr">
        <is>
          <t>Equity First</t>
        </is>
      </c>
      <c r="D56" s="61" t="inlineStr">
        <is>
          <t>1=pari-passu, 0=equity-first</t>
        </is>
      </c>
      <c r="F56" s="308">
        <f>IF(C56="Pari-Passu",1,0)</f>
        <v/>
      </c>
    </row>
    <row r="57">
      <c r="B57" s="36" t="inlineStr">
        <is>
          <t>Target LTC</t>
        </is>
      </c>
      <c r="C57" s="8" t="n">
        <v>0.65</v>
      </c>
      <c r="D57" s="306" t="inlineStr">
        <is>
          <t>LTC %, 0% to 90% · 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306" t="inlineStr">
        <is>
          <t>x multiple, 1.00x to 3.00x · 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309" t="inlineStr">
        <is>
          <t>months, 0 to 24 · Minimum months of stabilized opex floor for reserve</t>
        </is>
      </c>
    </row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87" t="n">
        <v>36</v>
      </c>
      <c r="D62" s="306" t="inlineStr">
        <is>
          <t>months, 12 to 60 · Construction loan term</t>
        </is>
      </c>
    </row>
    <row r="63">
      <c r="B63" s="36" t="inlineStr">
        <is>
          <t>Con Rate</t>
        </is>
      </c>
      <c r="C63" s="335">
        <f>Scenarios!$F$13</f>
        <v/>
      </c>
      <c r="D63" s="306" t="inlineStr">
        <is>
          <t>rate %, 0% to 25% · Construction interest rate (annual)</t>
        </is>
      </c>
    </row>
    <row r="64">
      <c r="B64" s="36" t="inlineStr">
        <is>
          <t>Con Actual360</t>
        </is>
      </c>
      <c r="C64" s="307" t="inlineStr">
        <is>
          <t>Actual/360</t>
        </is>
      </c>
      <c r="D64" s="61" t="inlineStr">
        <is>
          <t>1=Actual/360, 0=30/360</t>
        </is>
      </c>
      <c r="F64" s="308">
        <f>IF(C64="Actual/360",1,0)</f>
        <v/>
      </c>
    </row>
    <row r="65">
      <c r="B65" s="36" t="inlineStr">
        <is>
          <t>Con Points Pct</t>
        </is>
      </c>
      <c r="C65" s="8" t="n">
        <v>0.01</v>
      </c>
      <c r="D65" s="306" t="inlineStr">
        <is>
          <t>points %, 0% to 10% · Origination points</t>
        </is>
      </c>
    </row>
    <row r="66">
      <c r="B66" s="36" t="inlineStr">
        <is>
          <t>Con Other Costs</t>
        </is>
      </c>
      <c r="C66" s="213" t="n">
        <v>250000</v>
      </c>
      <c r="D66" s="306" t="inlineStr">
        <is>
          <t>$, $0+ · 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306" t="inlineStr">
        <is>
          <t>rate %, 0% to 25% · 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306" t="inlineStr">
        <is>
          <t>x, 1.00x to 2.00x · 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309" t="inlineStr">
        <is>
          <t>$ (0=auto), $0+ · If &gt;0, overrides computed interest reserve</t>
        </is>
      </c>
    </row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306" t="inlineStr">
        <is>
          <t>LTV %, 0% to 90% · Max permanent loan-to-value</t>
        </is>
      </c>
    </row>
    <row r="73">
      <c r="B73" s="36" t="inlineStr">
        <is>
          <t>Perm Rate</t>
        </is>
      </c>
      <c r="C73" s="335">
        <f>Scenarios!$F$14</f>
        <v/>
      </c>
      <c r="D73" s="306" t="inlineStr">
        <is>
          <t>rate %, 0% to 25% · 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306" t="inlineStr">
        <is>
          <t>months, 60 to 480 · Permanent loan term</t>
        </is>
      </c>
    </row>
    <row r="75">
      <c r="B75" s="36" t="inlineStr">
        <is>
          <t>Perm IOMonths</t>
        </is>
      </c>
      <c r="C75" s="210" t="n">
        <v>24</v>
      </c>
      <c r="D75" s="306" t="inlineStr">
        <is>
          <t>months, 0 to 120 · 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306" t="inlineStr">
        <is>
          <t>months, 60 to 480 · Permanent amortization period</t>
        </is>
      </c>
    </row>
    <row r="77">
      <c r="B77" s="36" t="inlineStr">
        <is>
          <t>Perm Actual360</t>
        </is>
      </c>
      <c r="C77" s="307" t="inlineStr">
        <is>
          <t>30/360</t>
        </is>
      </c>
      <c r="D77" s="61" t="inlineStr">
        <is>
          <t>1=Actual/360, 0=30/360</t>
        </is>
      </c>
      <c r="F77" s="308">
        <f>IF(C77="Actual/360",1,0)</f>
        <v/>
      </c>
    </row>
    <row r="78">
      <c r="B78" s="36" t="inlineStr">
        <is>
          <t>Perm Points Pct</t>
        </is>
      </c>
      <c r="C78" s="8" t="n">
        <v>0.0075</v>
      </c>
      <c r="D78" s="306" t="inlineStr">
        <is>
          <t>points %, 0% to 10% · Permanent loan points</t>
        </is>
      </c>
    </row>
    <row r="79">
      <c r="B79" s="36" t="inlineStr">
        <is>
          <t>Perm Min Debt Yield</t>
        </is>
      </c>
      <c r="C79" s="8" t="n">
        <v>0.08</v>
      </c>
      <c r="D79" s="306" t="inlineStr">
        <is>
          <t>rate %, 0% to 25% · 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306" t="inlineStr">
        <is>
          <t>x, 1.00x to 2.00x · Min DSCR at refi (sizing)</t>
        </is>
      </c>
    </row>
    <row r="81">
      <c r="B81" s="36" t="inlineStr">
        <is>
          <t>No Cash Out</t>
        </is>
      </c>
      <c r="C81" s="307" t="inlineStr">
        <is>
          <t>Cash-Out Permitted</t>
        </is>
      </c>
      <c r="D81" s="61" t="inlineStr">
        <is>
          <t>1=size perm so net cash at refi = 0</t>
        </is>
      </c>
      <c r="F81" s="308">
        <f>IF(C81="No Cash-Out (solve LTV to zero)",1,0)</f>
        <v/>
      </c>
    </row>
    <row r="82">
      <c r="B82" s="40" t="inlineStr">
        <is>
          <t>Refi Month Override</t>
        </is>
      </c>
      <c r="C82" s="69" t="n">
        <v>0</v>
      </c>
      <c r="D82" s="309" t="inlineStr">
        <is>
          <t>month (0=auto), 0 to 360 · If &gt;0, override refi month (else = con maturity)</t>
        </is>
      </c>
    </row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306" t="inlineStr">
        <is>
          <t>% of direct, 0% to 10% · 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306" t="inlineStr">
        <is>
          <t>split %, 0% to 100% · 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306" t="inlineStr">
        <is>
          <t>% of sale, 0% to 10% · 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309" t="inlineStr">
        <is>
          <t>% of loan, 0% to 10% · Loan recourse / indemnity fee % of loan</t>
        </is>
      </c>
    </row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306" t="inlineStr">
        <is>
          <t>% of sale, 0% to 10% · Broker / sale cost % of gross sale</t>
        </is>
      </c>
    </row>
    <row r="92">
      <c r="B92" s="36" t="inlineStr">
        <is>
          <t>Sales Tax Pct</t>
        </is>
      </c>
      <c r="C92" s="8" t="n">
        <v>0</v>
      </c>
      <c r="D92" s="306" t="inlineStr">
        <is>
          <t>% of sale, 0% to 10% · 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309" t="inlineStr">
        <is>
          <t>months, 0 to 12 · Property-tax proration at sale (months)</t>
        </is>
      </c>
    </row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306" t="inlineStr">
        <is>
          <t>% of GPR, 0% to 10% · Bad debt % of GPR</t>
        </is>
      </c>
    </row>
    <row r="97">
      <c r="B97" s="36" t="inlineStr">
        <is>
          <t>Concessions Pct</t>
        </is>
      </c>
      <c r="C97" s="8" t="n">
        <v>0</v>
      </c>
      <c r="D97" s="306" t="inlineStr">
        <is>
          <t>% of GPR, 0% to 10% · Concessions % of GPR</t>
        </is>
      </c>
    </row>
    <row r="98">
      <c r="B98" s="36" t="inlineStr">
        <is>
          <t>Loss To Lease Pct</t>
        </is>
      </c>
      <c r="C98" s="8" t="n">
        <v>0</v>
      </c>
      <c r="D98" s="306" t="inlineStr">
        <is>
          <t>% of GPR, 0% to 10% · Gain/loss-to-lease % of GPR</t>
        </is>
      </c>
    </row>
    <row r="99">
      <c r="B99" s="36" t="inlineStr">
        <is>
          <t>Model Units</t>
        </is>
      </c>
      <c r="C99" s="9" t="n">
        <v>1</v>
      </c>
      <c r="D99" s="306" t="inlineStr">
        <is>
          <t>units, 0 to 1,000 · 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306" t="inlineStr">
        <is>
          <t>$/unit/mo, $0+ · 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306" t="inlineStr">
        <is>
          <t>$/mo, $0+ · 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306" t="inlineStr">
        <is>
          <t>$/unit/mo, $0+ · 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309" t="inlineStr">
        <is>
          <t>$/unit/mo, $0+ · Other income $/unit/mo</t>
        </is>
      </c>
    </row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306" t="inlineStr">
        <is>
          <t>$/unit/yr, $0+ · 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306" t="inlineStr">
        <is>
          <t>$/unit/yr, $0+ · 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306" t="inlineStr">
        <is>
          <t>$/unit/yr, $0+ · 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306" t="inlineStr">
        <is>
          <t>$/unit/yr, $0+ · 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306" t="inlineStr">
        <is>
          <t>$/unit/yr, $0+ · 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306" t="inlineStr">
        <is>
          <t>$/unit/yr, $0+ · 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306" t="inlineStr">
        <is>
          <t>$/unit/yr, $0+ · 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306" t="inlineStr">
        <is>
          <t>$/unit/yr, $0+ · 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306" t="inlineStr">
        <is>
          <t>% of EGI, 0% to 10% · 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306" t="inlineStr">
        <is>
          <t>$/unit/yr, $0+ · 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306" t="inlineStr">
        <is>
          <t>$/unit/yr, $0+ · 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309" t="inlineStr">
        <is>
          <t>% of EGI, 0% to 10% · Asset mgmt fee % of EGI (below NOI)</t>
        </is>
      </c>
    </row>
    <row r="119">
      <c r="B119" s="312" t="inlineStr">
        <is>
          <t>Timing Milestone Durations (months)</t>
        </is>
      </c>
    </row>
    <row r="120">
      <c r="B120" s="313" t="inlineStr">
        <is>
          <t>DeliveryLagMonths</t>
        </is>
      </c>
      <c r="C120" s="288" t="n">
        <v>13</v>
      </c>
      <c r="D120" s="310" t="inlineStr">
        <is>
          <t>months, 1 to 120 · Months from construction start to 1st unit delivery</t>
        </is>
      </c>
    </row>
    <row r="121">
      <c r="B121" s="313" t="inlineStr">
        <is>
          <t>Dur_OpenEscrow</t>
        </is>
      </c>
      <c r="C121" s="288" t="n">
        <v>1</v>
      </c>
      <c r="D121" s="310" t="inlineStr">
        <is>
          <t>months, 1 to 120 · Open Escrow duration</t>
        </is>
      </c>
    </row>
    <row r="122">
      <c r="B122" s="313" t="inlineStr">
        <is>
          <t>Dur_DueDiligence</t>
        </is>
      </c>
      <c r="C122" s="288" t="n">
        <v>4</v>
      </c>
      <c r="D122" s="310" t="inlineStr">
        <is>
          <t>months, 1 to 120 · Due Diligence duration</t>
        </is>
      </c>
    </row>
    <row r="123">
      <c r="B123" s="313" t="inlineStr">
        <is>
          <t>Dur_Entitlement</t>
        </is>
      </c>
      <c r="C123" s="288" t="n">
        <v>5</v>
      </c>
      <c r="D123" s="310" t="inlineStr">
        <is>
          <t>months, 1 to 120 · Entitlement duration</t>
        </is>
      </c>
    </row>
    <row r="124">
      <c r="B124" s="313" t="inlineStr">
        <is>
          <t>Dur_PreConstruction</t>
        </is>
      </c>
      <c r="C124" s="288" t="n">
        <v>3</v>
      </c>
      <c r="D124" s="310" t="inlineStr">
        <is>
          <t>months, 1 to 120 · Pre-Construction duration</t>
        </is>
      </c>
    </row>
    <row r="125">
      <c r="B125" s="313" t="inlineStr">
        <is>
          <t>Dur_InitialClosing</t>
        </is>
      </c>
      <c r="C125" s="288" t="n">
        <v>1</v>
      </c>
      <c r="D125" s="310" t="inlineStr">
        <is>
          <t>months, 1 to 120 · Initial Closing duration</t>
        </is>
      </c>
    </row>
    <row r="126">
      <c r="B126" s="313" t="inlineStr">
        <is>
          <t>Dur_Construction</t>
        </is>
      </c>
      <c r="C126" s="288" t="n">
        <v>22</v>
      </c>
      <c r="D126" s="310" t="inlineStr">
        <is>
          <t>months, 1 to 120 · Construction duration</t>
        </is>
      </c>
    </row>
    <row r="127">
      <c r="B127" s="313" t="inlineStr">
        <is>
          <t>Dur_FirstUnitDelivery</t>
        </is>
      </c>
      <c r="C127" s="288" t="n">
        <v>1</v>
      </c>
      <c r="D127" s="310" t="inlineStr">
        <is>
          <t>months, 1 to 120 · 1st Unit Delivery duration</t>
        </is>
      </c>
    </row>
    <row r="128">
      <c r="B128" s="313" t="inlineStr">
        <is>
          <t>Dur_Stabilization</t>
        </is>
      </c>
      <c r="C128" s="288" t="n">
        <v>1</v>
      </c>
      <c r="D128" s="310" t="inlineStr">
        <is>
          <t>months, 1 to 120 · Stabilization duration</t>
        </is>
      </c>
    </row>
    <row r="129">
      <c r="B129" s="313" t="inlineStr">
        <is>
          <t>Dur_Recap</t>
        </is>
      </c>
      <c r="C129" s="288" t="n">
        <v>1</v>
      </c>
      <c r="D129" s="310" t="inlineStr">
        <is>
          <t>months, 1 to 120 · Recapitalization / Refinance duration</t>
        </is>
      </c>
    </row>
    <row r="130">
      <c r="B130" s="313" t="inlineStr">
        <is>
          <t>Dur_Disposition</t>
        </is>
      </c>
      <c r="C130" s="288" t="n">
        <v>1</v>
      </c>
      <c r="D130" s="310" t="inlineStr">
        <is>
          <t>months, 1 to 120 · Disposition duration</t>
        </is>
      </c>
    </row>
    <row r="132">
      <c r="B132" s="312" t="inlineStr">
        <is>
          <t>Property Tax — Derived (sanity check)</t>
        </is>
      </c>
    </row>
    <row r="133">
      <c r="B133" s="313" t="inlineStr">
        <is>
          <t>Effective Tax Rate on Value</t>
        </is>
      </c>
      <c r="C133" s="278">
        <f>TaxLevyPct*TaxAssessmentPct*TaxValueAdjFactor</f>
        <v/>
      </c>
      <c r="D133" s="289" t="inlineStr">
        <is>
          <t>Levy × assessment ratio × value-adj factor (no double count)</t>
        </is>
      </c>
    </row>
    <row r="134">
      <c r="B134" s="313" t="inlineStr">
        <is>
          <t>Stabilized Tax per Unit / Yr</t>
        </is>
      </c>
      <c r="C134" s="199">
        <f>IF(TotalUnits=0,0,StabTaxAnnual/TotalUnits)</f>
        <v/>
      </c>
      <c r="D134" s="289" t="inlineStr">
        <is>
          <t>Sanity-check band ≈ $800–$3,500 for many US multifamily markets</t>
        </is>
      </c>
    </row>
    <row r="135">
      <c r="B135" s="313" t="inlineStr">
        <is>
          <t>Capitalize Lease-Up Tax</t>
        </is>
      </c>
      <c r="C135" s="311" t="inlineStr">
        <is>
          <t>Capitalize in budget</t>
        </is>
      </c>
      <c r="D135" s="289" t="inlineStr">
        <is>
          <t>1=capitalize pre-stab tax in budget (default); 0=accrue as operating from delivery</t>
        </is>
      </c>
      <c r="F135" s="308">
        <f>IF(C135="Capitalize in budget",1,0)</f>
        <v/>
      </c>
    </row>
    <row r="137">
      <c r="B137" s="312" t="inlineStr">
        <is>
          <t>Site Density (derived)</t>
        </is>
      </c>
    </row>
    <row r="138">
      <c r="B138" s="313" t="inlineStr">
        <is>
          <t>Density (units / net acre)</t>
        </is>
      </c>
      <c r="C138" s="290">
        <f>IF(NetAcres=0,0,TotalUnits/NetAcres)</f>
        <v/>
      </c>
    </row>
    <row r="139">
      <c r="B139" s="313" t="inlineStr">
        <is>
          <t>Max Buildable SF by FAR</t>
        </is>
      </c>
      <c r="C139" s="191">
        <f>FARRatio*NetAcres*43560</f>
        <v/>
      </c>
      <c r="D139" s="289" t="inlineStr">
        <is>
          <t>FAR × net acres × 43,560 sf/acre</t>
        </is>
      </c>
    </row>
    <row r="141">
      <c r="B141" s="312" t="inlineStr">
        <is>
          <t>Input Sanity (soft warnings — review, not errors)</t>
        </is>
      </c>
      <c r="C141" s="155" t="n"/>
      <c r="D141" s="155" t="n"/>
      <c r="E141" s="155" t="n"/>
      <c r="F141" s="155" t="n"/>
    </row>
    <row r="142">
      <c r="B142" s="313" t="inlineStr">
        <is>
          <t>Construction term ≤ 48 months</t>
        </is>
      </c>
      <c r="C142" s="191">
        <f>ConLoanTermMonths</f>
        <v/>
      </c>
      <c r="E142" s="314">
        <f>IF(ConLoanTermMonths&lt;=48,"OK","CHECK")</f>
        <v/>
      </c>
    </row>
    <row r="143">
      <c r="B143" s="313" t="inlineStr">
        <is>
          <t>Stabilized tax / unit in $500–$4,000</t>
        </is>
      </c>
      <c r="C143" s="199">
        <f>IF(TotalUnits=0,0,StabTaxAnnual/TotalUnits)</f>
        <v/>
      </c>
      <c r="E143" s="314">
        <f>IF(AND(StabTaxAnnual/TotalUnits&gt;=500,StabTaxAnnual/TotalUnits&lt;=4000),"OK","CHECK")</f>
        <v/>
      </c>
    </row>
    <row r="144">
      <c r="B144" s="313" t="inlineStr">
        <is>
          <t>Absorption pace ≤ delivery pace</t>
        </is>
      </c>
      <c r="C144" s="191">
        <f>UnitsLeasedPerMo</f>
        <v/>
      </c>
      <c r="E144" s="314">
        <f>IF(UnitsLeasedPerMo&lt;=UnitsDeliveredPerMo,"OK","CHECK")</f>
        <v/>
      </c>
    </row>
    <row r="145">
      <c r="B145" s="313" t="inlineStr">
        <is>
          <t>Untrended YOC ≥ exit cap (positive spread)</t>
        </is>
      </c>
      <c r="C145" s="193">
        <f>YieldOnCost-ExitCapResidential</f>
        <v/>
      </c>
      <c r="E145" s="314">
        <f>IF(YieldOnCost&gt;=ExitCapResidential,"OK","CHECK")</f>
        <v/>
      </c>
    </row>
    <row r="146">
      <c r="B146" s="313" t="inlineStr">
        <is>
          <t>Stabilized occupancy 85%–98%</t>
        </is>
      </c>
      <c r="C146" s="315">
        <f>StabilizedOccupancy</f>
        <v/>
      </c>
      <c r="E146" s="314">
        <f>IF(AND(StabilizedOccupancy&gt;=0.85,StabilizedOccupancy&lt;=0.98),"OK","CHECK")</f>
        <v/>
      </c>
    </row>
    <row r="147">
      <c r="B147" s="313" t="inlineStr">
        <is>
          <t>Rent growth ≤ 5%</t>
        </is>
      </c>
      <c r="C147" s="193">
        <f>GrowthRent</f>
        <v/>
      </c>
      <c r="E147" s="314">
        <f>IF(GrowthRent&lt;=0.05,"OK","CHECK")</f>
        <v/>
      </c>
    </row>
    <row r="148">
      <c r="B148" s="313" t="inlineStr">
        <is>
          <t>Sanity checks flagged</t>
        </is>
      </c>
      <c r="C148" s="191">
        <f>COUNTIF(E142:E147,"CHECK")</f>
        <v/>
      </c>
    </row>
  </sheetData>
  <conditionalFormatting sqref="E142:E147">
    <cfRule type="cellIs" priority="1" operator="equal" dxfId="2">
      <formula>"CHECK"</formula>
    </cfRule>
  </conditionalFormatting>
  <dataValidations count="97">
    <dataValidation sqref="C62" showDropDown="0" showInputMessage="0" showErrorMessage="1" allowBlank="0" errorTitle="Construction term out of range" error="Construction-loan term is typically 12-60 months. Values above 60 keep the loan interest-only for the full hold and suppress the refinance. Enter 12-60." promptTitle="Construction Loan Term (months)" prompt="Realistic range 12-60. Drives construction maturity and the refi-or-sell switch." type="whole" operator="between">
      <formula1>12</formula1>
      <formula2>60</formula2>
    </dataValidation>
    <dataValidation sqref="C31" showDropDown="0" showInputMessage="0" showErrorMessage="1" allowBlank="0" errorTitle="Pick from the list" error="Choose &quot;Offset vs equity&quot; or &quot;Do not offset&quot;." promptTitle="Toggle" prompt="Offset vs equity = 1 · Do not offset = 0" type="list">
      <formula1>"Offset vs equity,Do not offset"</formula1>
    </dataValidation>
    <dataValidation sqref="C50" showDropDown="0" showInputMessage="0" showErrorMessage="1" allowBlank="0" errorTitle="Pick from the list" error="Choose &quot;Value Approach&quot; or &quot;Income Approach&quot;." promptTitle="Toggle" prompt="Value Approach = 1 · Income Approach = 0" type="list">
      <formula1>"Value Approach,Income Approach"</formula1>
    </dataValidation>
    <dataValidation sqref="C52" showDropDown="0" showInputMessage="0" showErrorMessage="1" allowBlank="0" errorTitle="Pick from the list" error="Choose &quot;Yes — reassess at sale&quot; or &quot;No — in-place taxes&quot;." promptTitle="Toggle" prompt="Yes — reassess at sale = 1 · No — in-place taxes = 0" type="list">
      <formula1>"Yes — reassess at sale,No — in-place taxes"</formula1>
    </dataValidation>
    <dataValidation sqref="C56" showDropDown="0" showInputMessage="0" showErrorMessage="1" allowBlank="0" errorTitle="Pick from the list" error="Choose &quot;Pari-Passu&quot; or &quot;Equity First&quot;." promptTitle="Toggle" prompt="Pari-Passu = 1 · Equity First = 0" type="list">
      <formula1>"Pari-Passu,Equity First"</formula1>
    </dataValidation>
    <dataValidation sqref="C64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77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81" showDropDown="0" showInputMessage="0" showErrorMessage="1" allowBlank="0" errorTitle="Pick from the list" error="Choose &quot;No Cash-Out (solve LTV to zero)&quot; or &quot;Cash-Out Permitted&quot;." promptTitle="Toggle" prompt="No Cash-Out (solve LTV to zero) = 1 · Cash-Out Permitted = 0" type="list">
      <formula1>"No Cash-Out (solve LTV to zero),Cash-Out Permitted"</formula1>
    </dataValidation>
    <dataValidation sqref="C135" showDropDown="0" showInputMessage="0" showErrorMessage="1" allowBlank="0" errorTitle="Pick from the list" error="Choose &quot;Capitalize in budget&quot; or &quot;Expense from delivery&quot;." promptTitle="Toggle" prompt="Capitalize in budget = 1 · Expense from delivery = 0" type="list">
      <formula1>"Capitalize in budget,Expense from delivery"</formula1>
    </dataValidation>
    <dataValidation sqref="C8" showDropDown="0" showInputMessage="0" showErrorMessage="0" allowBlank="1" promptTitle="State" prompt="Pick from list or type your own" type="list">
      <formula1>"AZ,TX,CA,CO,NV,UT,NM,WA,OR,ID,FL,GA,NC,TN"</formula1>
    </dataValidation>
    <dataValidation sqref="C10" showDropDown="0" showInputMessage="0" showErrorMessage="0" allowBlank="1" promptTitle="ProductType" prompt="Pick from list or type your own" type="list">
      <formula1>"Garden,Mid-Rise,High-Rise,Wrap,Podium,Townhome"</formula1>
    </dataValidation>
    <dataValidation sqref="C11" showDropDown="0" showInputMessage="0" showErrorMessage="0" allowBlank="1" promptTitle="Location" prompt="Pick from list or type your own" type="list">
      <formula1>"Urban,Suburban,Suburban Infill,Rural"</formula1>
    </dataValidation>
    <dataValidation sqref="C5" showDropDown="0" showInputMessage="0" showErrorMessage="0" allowBlank="1" promptTitle="InvestmentType" prompt="Pick from list or type your own" type="list">
      <formula1>"Ground-Up Development,Value-Add,Core,Core-Plus"</formula1>
    </dataValidation>
    <dataValidation sqref="C15" showDropDown="0" showInputMessage="1" showErrorMessage="1" allowBlank="0" errorTitle="Out of range" error="Hold Period Months: enter months in 1 to 360." promptTitle="Hold Period Months" prompt="Unit: months.  Expected: 1 to 360." type="whole" operator="between">
      <formula1>1</formula1>
      <formula2>360</formula2>
    </dataValidation>
    <dataValidation sqref="C16" showDropDown="0" showInputMessage="1" showErrorMessage="1" allowBlank="0" errorTitle="Out of range" error="Entry Cap Rate: enter rate % in 0% to 25%." promptTitle="Entry Cap Rate" prompt="Unit: rate %.  Expected: 0% to 25%." type="decimal" operator="between">
      <formula1>0</formula1>
      <formula2>0.25</formula2>
    </dataValidation>
    <dataValidation sqref="C17" showDropDown="0" showInputMessage="1" showErrorMessage="1" allowBlank="0" errorTitle="Out of range" error="Cap Adj Location: enter ± rate in -5% to 5%." promptTitle="Cap Adj Location" prompt="Unit: ± rate.  Expected: -5% to 5%." type="decimal" operator="between">
      <formula1>-0.05</formula1>
      <formula2>0.05</formula2>
    </dataValidation>
    <dataValidation sqref="C18" showDropDown="0" showInputMessage="1" showErrorMessage="1" allowBlank="0" errorTitle="Out of range" error="Cap Adj Size: enter ± rate in -5% to 5%." promptTitle="Cap Adj Size" prompt="Unit: ± rate.  Expected: -5% to 5%." type="decimal" operator="between">
      <formula1>-0.05</formula1>
      <formula2>0.05</formula2>
    </dataValidation>
    <dataValidation sqref="C19" showDropDown="0" showInputMessage="1" showErrorMessage="1" allowBlank="0" errorTitle="Out of range" error="Cap Adj Aging: enter ± rate in -5% to 5%." promptTitle="Cap Adj Aging" prompt="Unit: ± rate.  Expected: -5% to 5%." type="decimal" operator="between">
      <formula1>-0.05</formula1>
      <formula2>0.05</formula2>
    </dataValidation>
    <dataValidation sqref="C21" showDropDown="0" showInputMessage="1" showErrorMessage="1" allowBlank="0" errorTitle="Out of range" error="Exit Cap Retail: enter rate % in 0% to 25%." promptTitle="Exit Cap Retail" prompt="Unit: rate %.  Expected: 0% to 25%." type="decimal" operator="between">
      <formula1>0</formula1>
      <formula2>0.25</formula2>
    </dataValidation>
    <dataValidation sqref="C22" showDropDown="0" showInputMessage="1" showErrorMessage="1" allowBlank="0" errorTitle="Out of range" error="Growth Rent: enter annual % in -10% to 20%." promptTitle="Growth Rent" prompt="Unit: annual %.  Expected: -10% to 20%." type="decimal" operator="between">
      <formula1>-0.1</formula1>
      <formula2>0.2</formula2>
    </dataValidation>
    <dataValidation sqref="C23" showDropDown="0" showInputMessage="1" showErrorMessage="1" allowBlank="0" errorTitle="Out of range" error="Growth Low Inc Rent: enter annual % in -10% to 20%." promptTitle="Growth Low Inc Rent" prompt="Unit: annual %.  Expected: -10% to 20%." type="decimal" operator="between">
      <formula1>-0.1</formula1>
      <formula2>0.2</formula2>
    </dataValidation>
    <dataValidation sqref="C24" showDropDown="0" showInputMessage="1" showErrorMessage="1" allowBlank="0" errorTitle="Out of range" error="Growth Expense: enter annual % in -10% to 20%." promptTitle="Growth Expense" prompt="Unit: annual %.  Expected: -10% to 20%." type="decimal" operator="between">
      <formula1>-0.1</formula1>
      <formula2>0.2</formula2>
    </dataValidation>
    <dataValidation sqref="C25" showDropDown="0" showInputMessage="1" showErrorMessage="1" allowBlank="0" errorTitle="Out of range" error="Growth Utility: enter annual % in -10% to 20%." promptTitle="Growth Utility" prompt="Unit: annual %.  Expected: -10% to 20%." type="decimal" operator="between">
      <formula1>-0.1</formula1>
      <formula2>0.2</formula2>
    </dataValidation>
    <dataValidation sqref="C26" showDropDown="0" showInputMessage="1" showErrorMessage="1" allowBlank="0" errorTitle="Out of range" error="Growth Tax: enter annual % in -10% to 20%." promptTitle="Growth Tax" prompt="Unit: annual %.  Expected: -10% to 20%." type="decimal" operator="between">
      <formula1>-0.1</formula1>
      <formula2>0.2</formula2>
    </dataValidation>
    <dataValidation sqref="C27" showDropDown="0" showInputMessage="1" showErrorMessage="1" allowBlank="0" errorTitle="Out of range" error="Growth Other: enter annual % in -10% to 20%." promptTitle="Growth Other" prompt="Unit: annual %.  Expected: -10% to 20%." type="decimal" operator="between">
      <formula1>-0.1</formula1>
      <formula2>0.2</formula2>
    </dataValidation>
    <dataValidation sqref="C32" showDropDown="0" showInputMessage="1" showErrorMessage="1" allowBlank="0" errorTitle="Out of range" error="Units Delivered Per Mo: enter units/mo in 1 to 1,000." promptTitle="Units Delivered Per Mo" prompt="Unit: units/mo.  Expected: 1 to 1,000." type="whole" operator="between">
      <formula1>1</formula1>
      <formula2>1000</formula2>
    </dataValidation>
    <dataValidation sqref="C33" showDropDown="0" showInputMessage="1" showErrorMessage="1" allowBlank="0" errorTitle="Out of range" error="Units Leased Per Mo: enter units/mo in 1 to 1,000." promptTitle="Units Leased Per Mo" prompt="Unit: units/mo.  Expected: 1 to 1,000." type="whole" operator="between">
      <formula1>1</formula1>
      <formula2>1000</formula2>
    </dataValidation>
    <dataValidation sqref="C34" showDropDown="0" showInputMessage="1" showErrorMessage="1" allowBlank="0" errorTitle="Out of range" error="Lease Up Ramp Pct: enter % of stab in 0% to 100%." promptTitle="Lease Up Ramp Pct" prompt="Unit: % of stab.  Expected: 0% to 100%." type="decimal" operator="between">
      <formula1>0</formula1>
      <formula2>1</formula2>
    </dataValidation>
    <dataValidation sqref="C35" showDropDown="0" showInputMessage="1" showErrorMessage="1" allowBlank="0" errorTitle="Out of range" error="Lease Up Elevation Pct: enter uplift % in 0% to 100%." promptTitle="Lease Up Elevation Pct" prompt="Unit: uplift %.  Expected: 0% to 100%." type="decimal" operator="between">
      <formula1>0</formula1>
      <formula2>1</formula2>
    </dataValidation>
    <dataValidation sqref="C36" showDropDown="0" showInputMessage="1" showErrorMessage="1" allowBlank="0" errorTitle="Out of range" error="Stabilized Occupancy: enter occupancy % in 50% to 100%." promptTitle="Stabilized Occupancy" prompt="Unit: occupancy %.  Expected: 50% to 100%." type="decimal" operator="between">
      <formula1>0.5</formula1>
      <formula2>1.0</formula2>
    </dataValidation>
    <dataValidation sqref="C39" showDropDown="0" showInputMessage="1" showErrorMessage="1" allowBlank="0" errorTitle="Out of range" error="Land Cost: enter $ in $0+." promptTitle="Land Cost" prompt="Unit: $.  Expected: $0+." type="decimal" operator="between">
      <formula1>0</formula1>
      <formula2>1000000000000.0</formula2>
    </dataValidation>
    <dataValidation sqref="C40" showDropDown="0" showInputMessage="1" showErrorMessage="1" allowBlank="0" errorTitle="Out of range" error="Gross Acres: enter acres in 0 to 10,000." promptTitle="Gross Acres" prompt="Unit: acres.  Expected: 0 to 10,000." type="decimal" operator="between">
      <formula1>0</formula1>
      <formula2>10000</formula2>
    </dataValidation>
    <dataValidation sqref="C42" showDropDown="0" showInputMessage="1" showErrorMessage="1" allowBlank="0" errorTitle="Out of range" error="FARRatio: enter ratio in 0 to 20." promptTitle="FARRatio" prompt="Unit: ratio.  Expected: 0 to 20." type="decimal" operator="between">
      <formula1>0</formula1>
      <formula2>20</formula2>
    </dataValidation>
    <dataValidation sqref="C43" showDropDown="0" showInputMessage="1" showErrorMessage="1" allowBlank="0" errorTitle="Out of range" error="Efficiency Ratio: enter NRSF/gross % in 50% to 100%." promptTitle="Efficiency Ratio" prompt="Unit: NRSF/gross %.  Expected: 50% to 100%." type="decimal" operator="between">
      <formula1>0.5</formula1>
      <formula2>1.0</formula2>
    </dataValidation>
    <dataValidation sqref="C44" showDropDown="0" showInputMessage="1" showErrorMessage="1" allowBlank="0" errorTitle="Out of range" error="Existing Structure Cost: enter $ in $0+." promptTitle="Existing Structure Cost" prompt="Unit: $.  Expected: $0+." type="decimal" operator="between">
      <formula1>0</formula1>
      <formula2>1000000000000.0</formula2>
    </dataValidation>
    <dataValidation sqref="C47" showDropDown="0" showInputMessage="1" showErrorMessage="1" allowBlank="0" errorTitle="Out of range" error="Tax Levy Pct: enter rate % in 0% to 25%." promptTitle="Tax Levy Pct" prompt="Unit: rate %.  Expected: 0% to 25%." type="decimal" operator="between">
      <formula1>0</formula1>
      <formula2>0.25</formula2>
    </dataValidation>
    <dataValidation sqref="C48" showDropDown="0" showInputMessage="1" showErrorMessage="1" allowBlank="0" errorTitle="Out of range" error="Tax Assessment Pct: enter assessment % in 0% to 100%." promptTitle="Tax Assessment Pct" prompt="Unit: assessment %.  Expected: 0% to 100%." type="decimal" operator="between">
      <formula1>0</formula1>
      <formula2>1</formula2>
    </dataValidation>
    <dataValidation sqref="C49" showDropDown="0" showInputMessage="1" showErrorMessage="1" allowBlank="0" errorTitle="Out of range" error="Tax Value Adj Factor: enter factor in 0% to 100%." promptTitle="Tax Value Adj Factor" prompt="Unit: factor.  Expected: 0% to 100%." type="decimal" operator="between">
      <formula1>0</formula1>
      <formula2>1</formula2>
    </dataValidation>
    <dataValidation sqref="C51" showDropDown="0" showInputMessage="1" showErrorMessage="1" allowBlank="0" errorTitle="Out of range" error="Tax Year1 Override: enter $ (0=auto) in $0+." promptTitle="Tax Year1 Override" prompt="Unit: $ (0=auto).  Expected: $0+." type="decimal" operator="between">
      <formula1>0</formula1>
      <formula2>1000000000.0</formula2>
    </dataValidation>
    <dataValidation sqref="C53" showDropDown="0" showInputMessage="1" showErrorMessage="1" allowBlank="0" errorTitle="Out of range" error="Dispo Tax Rate Pct: enter rate % (0=auto) in 0% to 25%." promptTitle="Dispo Tax Rate Pct" prompt="Unit: rate % (0=auto).  Expected: 0% to 25%." type="decimal" operator="between">
      <formula1>0</formula1>
      <formula2>0.25</formula2>
    </dataValidation>
    <dataValidation sqref="C57" showDropDown="0" showInputMessage="1" showErrorMessage="1" allowBlank="0" errorTitle="Out of range" error="Target LTC: enter LTC % in 0% to 90%." promptTitle="Target LTC" prompt="Unit: LTC %.  Expected: 0% to 90%." type="decimal" operator="between">
      <formula1>0</formula1>
      <formula2>0.9</formula2>
    </dataValidation>
    <dataValidation sqref="C58" showDropDown="0" showInputMessage="1" showErrorMessage="1" allowBlank="0" errorTitle="Out of range" error="Op Reserve Coverage: enter x multiple in 1.00x to 3.00x." promptTitle="Op Reserve Coverage" prompt="Unit: x multiple.  Expected: 1.00x to 3.00x." type="decimal" operator="between">
      <formula1>1.0</formula1>
      <formula2>3.0</formula2>
    </dataValidation>
    <dataValidation sqref="C59" showDropDown="0" showInputMessage="1" showErrorMessage="1" allowBlank="0" errorTitle="Out of range" error="Op Reserve Min Months: enter months in 0 to 24." promptTitle="Op Reserve Min Months" prompt="Unit: months.  Expected: 0 to 24." type="whole" operator="between">
      <formula1>0</formula1>
      <formula2>24</formula2>
    </dataValidation>
    <dataValidation sqref="C62" showDropDown="0" showInputMessage="1" showErrorMessage="1" allowBlank="0" errorTitle="Out of range" error="Con Loan Term Months: enter months in 12 to 60." promptTitle="Con Loan Term Months" prompt="Unit: months.  Expected: 12 to 60." type="whole" operator="between">
      <formula1>12</formula1>
      <formula2>60</formula2>
    </dataValidation>
    <dataValidation sqref="C63" showDropDown="0" showInputMessage="1" showErrorMessage="1" allowBlank="0" errorTitle="Out of range" error="Con Rate: enter rate % in 0% to 25%." promptTitle="Con Rate" prompt="Unit: rate %.  Expected: 0% to 25%." type="decimal" operator="between">
      <formula1>0</formula1>
      <formula2>0.25</formula2>
    </dataValidation>
    <dataValidation sqref="C65" showDropDown="0" showInputMessage="1" showErrorMessage="1" allowBlank="0" errorTitle="Out of range" error="Con Points Pct: enter points % in 0% to 10%." promptTitle="Con Points Pct" prompt="Unit: points %.  Expected: 0% to 10%." type="decimal" operator="between">
      <formula1>0</formula1>
      <formula2>0.1</formula2>
    </dataValidation>
    <dataValidation sqref="C66" showDropDown="0" showInputMessage="1" showErrorMessage="1" allowBlank="0" errorTitle="Out of range" error="Con Other Costs: enter $ in $0+." promptTitle="Con Other Costs" prompt="Unit: $.  Expected: $0+." type="decimal" operator="between">
      <formula1>0</formula1>
      <formula2>1000000000.0</formula2>
    </dataValidation>
    <dataValidation sqref="C67" showDropDown="0" showInputMessage="1" showErrorMessage="1" allowBlank="0" errorTitle="Out of range" error="Con Min Debt Yield: enter rate % in 0% to 25%." promptTitle="Con Min Debt Yield" prompt="Unit: rate %.  Expected: 0% to 25%." type="decimal" operator="between">
      <formula1>0</formula1>
      <formula2>0.25</formula2>
    </dataValidation>
    <dataValidation sqref="C68" showDropDown="0" showInputMessage="1" showErrorMessage="1" allowBlank="0" errorTitle="Out of range" error="Con Min DSCR: enter x in 1.00x to 2.00x." promptTitle="Con Min DSCR" prompt="Unit: x.  Expected: 1.00x to 2.00x." type="decimal" operator="between">
      <formula1>1.0</formula1>
      <formula2>2.0</formula2>
    </dataValidation>
    <dataValidation sqref="C69" showDropDown="0" showInputMessage="1" showErrorMessage="1" allowBlank="0" errorTitle="Out of range" error="Lender Req Reserve Override: enter $ (0=auto) in $0+." promptTitle="Lender Req Reserve Override" prompt="Unit: $ (0=auto).  Expected: $0+." type="decimal" operator="between">
      <formula1>0</formula1>
      <formula2>1000000000.0</formula2>
    </dataValidation>
    <dataValidation sqref="C72" showDropDown="0" showInputMessage="1" showErrorMessage="1" allowBlank="0" errorTitle="Out of range" error="Perm Max LTV: enter LTV % in 0% to 90%." promptTitle="Perm Max LTV" prompt="Unit: LTV %.  Expected: 0% to 90%." type="decimal" operator="between">
      <formula1>0</formula1>
      <formula2>0.9</formula2>
    </dataValidation>
    <dataValidation sqref="C73" showDropDown="0" showInputMessage="1" showErrorMessage="1" allowBlank="0" errorTitle="Out of range" error="Perm Rate: enter rate % in 0% to 25%." promptTitle="Perm Rate" prompt="Unit: rate %.  Expected: 0% to 25%." type="decimal" operator="between">
      <formula1>0</formula1>
      <formula2>0.25</formula2>
    </dataValidation>
    <dataValidation sqref="C74" showDropDown="0" showInputMessage="1" showErrorMessage="1" allowBlank="0" errorTitle="Out of range" error="Perm Term Months: enter months in 60 to 480." promptTitle="Perm Term Months" prompt="Unit: months.  Expected: 60 to 480." type="whole" operator="between">
      <formula1>60</formula1>
      <formula2>480</formula2>
    </dataValidation>
    <dataValidation sqref="C75" showDropDown="0" showInputMessage="1" showErrorMessage="1" allowBlank="0" errorTitle="Out of range" error="Perm IOMonths: enter months in 0 to 120." promptTitle="Perm IOMonths" prompt="Unit: months.  Expected: 0 to 120." type="whole" operator="between">
      <formula1>0</formula1>
      <formula2>120</formula2>
    </dataValidation>
    <dataValidation sqref="C76" showDropDown="0" showInputMessage="1" showErrorMessage="1" allowBlank="0" errorTitle="Out of range" error="Perm Amort Months: enter months in 60 to 480." promptTitle="Perm Amort Months" prompt="Unit: months.  Expected: 60 to 480." type="whole" operator="between">
      <formula1>60</formula1>
      <formula2>480</formula2>
    </dataValidation>
    <dataValidation sqref="C78" showDropDown="0" showInputMessage="1" showErrorMessage="1" allowBlank="0" errorTitle="Out of range" error="Perm Points Pct: enter points % in 0% to 10%." promptTitle="Perm Points Pct" prompt="Unit: points %.  Expected: 0% to 10%." type="decimal" operator="between">
      <formula1>0</formula1>
      <formula2>0.1</formula2>
    </dataValidation>
    <dataValidation sqref="C79" showDropDown="0" showInputMessage="1" showErrorMessage="1" allowBlank="0" errorTitle="Out of range" error="Perm Min Debt Yield: enter rate % in 0% to 25%." promptTitle="Perm Min Debt Yield" prompt="Unit: rate %.  Expected: 0% to 25%." type="decimal" operator="between">
      <formula1>0</formula1>
      <formula2>0.25</formula2>
    </dataValidation>
    <dataValidation sqref="C80" showDropDown="0" showInputMessage="1" showErrorMessage="1" allowBlank="0" errorTitle="Out of range" error="Perm Min DSCR: enter x in 1.00x to 2.00x." promptTitle="Perm Min DSCR" prompt="Unit: x.  Expected: 1.00x to 2.00x." type="decimal" operator="between">
      <formula1>1.0</formula1>
      <formula2>2.0</formula2>
    </dataValidation>
    <dataValidation sqref="C82" showDropDown="0" showInputMessage="1" showErrorMessage="1" allowBlank="0" errorTitle="Out of range" error="Refi Month Override: enter month (0=auto) in 0 to 360." promptTitle="Refi Month Override" prompt="Unit: month (0=auto).  Expected: 0 to 360." type="whole" operator="between">
      <formula1>0</formula1>
      <formula2>360</formula2>
    </dataValidation>
    <dataValidation sqref="C85" showDropDown="0" showInputMessage="1" showErrorMessage="1" allowBlank="0" errorTitle="Out of range" error="Dev Fee Pct Direct: enter % of direct in 0% to 10%." promptTitle="Dev Fee Pct Direct" prompt="Unit: % of direct.  Expected: 0% to 10%." type="decimal" operator="between">
      <formula1>0</formula1>
      <formula2>0.1</formula2>
    </dataValidation>
    <dataValidation sqref="C86" showDropDown="0" showInputMessage="1" showErrorMessage="1" allowBlank="0" errorTitle="Out of range" error="Dev Fee Third Party Split: enter split % in 0% to 100%." promptTitle="Dev Fee Third Party Split" prompt="Unit: split %.  Expected: 0% to 100%." type="decimal" operator="between">
      <formula1>0</formula1>
      <formula2>1</formula2>
    </dataValidation>
    <dataValidation sqref="C87" showDropDown="0" showInputMessage="1" showErrorMessage="1" allowBlank="0" errorTitle="Out of range" error="Sponsor Dispo Fee Pct: enter % of sale in 0% to 10%." promptTitle="Sponsor Dispo Fee Pct" prompt="Unit: % of sale.  Expected: 0% to 10%." type="decimal" operator="between">
      <formula1>0</formula1>
      <formula2>0.1</formula2>
    </dataValidation>
    <dataValidation sqref="C88" showDropDown="0" showInputMessage="1" showErrorMessage="1" allowBlank="0" errorTitle="Out of range" error="Recourse Fee Pct: enter % of loan in 0% to 10%." promptTitle="Recourse Fee Pct" prompt="Unit: % of loan.  Expected: 0% to 10%." type="decimal" operator="between">
      <formula1>0</formula1>
      <formula2>0.1</formula2>
    </dataValidation>
    <dataValidation sqref="C91" showDropDown="0" showInputMessage="1" showErrorMessage="1" allowBlank="0" errorTitle="Out of range" error="Broker Cost Pct: enter % of sale in 0% to 10%." promptTitle="Broker Cost Pct" prompt="Unit: % of sale.  Expected: 0% to 10%." type="decimal" operator="between">
      <formula1>0</formula1>
      <formula2>0.1</formula2>
    </dataValidation>
    <dataValidation sqref="C92" showDropDown="0" showInputMessage="1" showErrorMessage="1" allowBlank="0" errorTitle="Out of range" error="Sales Tax Pct: enter % of sale in 0% to 10%." promptTitle="Sales Tax Pct" prompt="Unit: % of sale.  Expected: 0% to 10%." type="decimal" operator="between">
      <formula1>0</formula1>
      <formula2>0.1</formula2>
    </dataValidation>
    <dataValidation sqref="C93" showDropDown="0" showInputMessage="1" showErrorMessage="1" allowBlank="0" errorTitle="Out of range" error="Tax Proration Months: enter months in 0 to 12." promptTitle="Tax Proration Months" prompt="Unit: months.  Expected: 0 to 12." type="whole" operator="between">
      <formula1>0</formula1>
      <formula2>12</formula2>
    </dataValidation>
    <dataValidation sqref="C96" showDropDown="0" showInputMessage="1" showErrorMessage="1" allowBlank="0" errorTitle="Out of range" error="Bad Debt Pct: enter % of GPR in 0% to 10%." promptTitle="Bad Debt Pct" prompt="Unit: % of GPR.  Expected: 0% to 10%." type="decimal" operator="between">
      <formula1>0</formula1>
      <formula2>0.1</formula2>
    </dataValidation>
    <dataValidation sqref="C97" showDropDown="0" showInputMessage="1" showErrorMessage="1" allowBlank="0" errorTitle="Out of range" error="Concessions Pct: enter % of GPR in 0% to 10%." promptTitle="Concessions Pct" prompt="Unit: % of GPR.  Expected: 0% to 10%." type="decimal" operator="between">
      <formula1>0</formula1>
      <formula2>0.1</formula2>
    </dataValidation>
    <dataValidation sqref="C98" showDropDown="0" showInputMessage="1" showErrorMessage="1" allowBlank="0" errorTitle="Out of range" error="Loss To Lease Pct: enter % of GPR in 0% to 10%." promptTitle="Loss To Lease Pct" prompt="Unit: % of GPR.  Expected: 0% to 10%." type="decimal" operator="between">
      <formula1>0</formula1>
      <formula2>0.1</formula2>
    </dataValidation>
    <dataValidation sqref="C99" showDropDown="0" showInputMessage="1" showErrorMessage="1" allowBlank="0" errorTitle="Out of range" error="Model Units: enter units in 0 to 1,000." promptTitle="Model Units" prompt="Unit: units.  Expected: 0 to 1,000." type="whole" operator="between">
      <formula1>0</formula1>
      <formula2>1000</formula2>
    </dataValidation>
    <dataValidation sqref="C100" showDropDown="0" showInputMessage="1" showErrorMessage="1" allowBlank="0" errorTitle="Out of range" error="Parking Per Unit Mo: enter $/unit/mo in $0+." promptTitle="Parking Per Unit Mo" prompt="Unit: $/unit/mo.  Expected: $0+." type="decimal" operator="between">
      <formula1>0</formula1>
      <formula2>100000</formula2>
    </dataValidation>
    <dataValidation sqref="C101" showDropDown="0" showInputMessage="1" showErrorMessage="1" allowBlank="0" errorTitle="Out of range" error="Retail Income Mo: enter $/mo in $0+." promptTitle="Retail Income Mo" prompt="Unit: $/mo.  Expected: $0+." type="decimal" operator="between">
      <formula1>0</formula1>
      <formula2>10000000.0</formula2>
    </dataValidation>
    <dataValidation sqref="C102" showDropDown="0" showInputMessage="1" showErrorMessage="1" allowBlank="0" errorTitle="Out of range" error="Util Reimb Per Unit Mo: enter $/unit/mo in $0+." promptTitle="Util Reimb Per Unit Mo" prompt="Unit: $/unit/mo.  Expected: $0+." type="decimal" operator="between">
      <formula1>0</formula1>
      <formula2>100000</formula2>
    </dataValidation>
    <dataValidation sqref="C103" showDropDown="0" showInputMessage="1" showErrorMessage="1" allowBlank="0" errorTitle="Out of range" error="Other Inc Per Unit Mo: enter $/unit/mo in $0+." promptTitle="Other Inc Per Unit Mo" prompt="Unit: $/unit/mo.  Expected: $0+." type="decimal" operator="between">
      <formula1>0</formula1>
      <formula2>100000</formula2>
    </dataValidation>
    <dataValidation sqref="C106" showDropDown="0" showInputMessage="1" showErrorMessage="1" allowBlank="0" errorTitle="Out of range" error="Exp Insurance Per Unit: enter $/unit/yr in $0+." promptTitle="Exp Insurance Per Unit" prompt="Unit: $/unit/yr.  Expected: $0+." type="decimal" operator="between">
      <formula1>0</formula1>
      <formula2>100000</formula2>
    </dataValidation>
    <dataValidation sqref="C107" showDropDown="0" showInputMessage="1" showErrorMessage="1" allowBlank="0" errorTitle="Out of range" error="Exp Utilities Per Unit: enter $/unit/yr in $0+." promptTitle="Exp Utilities Per Unit" prompt="Unit: $/unit/yr.  Expected: $0+." type="decimal" operator="between">
      <formula1>0</formula1>
      <formula2>100000</formula2>
    </dataValidation>
    <dataValidation sqref="C108" showDropDown="0" showInputMessage="1" showErrorMessage="1" allowBlank="0" errorTitle="Out of range" error="Exp Payroll Per Unit: enter $/unit/yr in $0+." promptTitle="Exp Payroll Per Unit" prompt="Unit: $/unit/yr.  Expected: $0+." type="decimal" operator="between">
      <formula1>0</formula1>
      <formula2>100000</formula2>
    </dataValidation>
    <dataValidation sqref="C109" showDropDown="0" showInputMessage="1" showErrorMessage="1" allowBlank="0" errorTitle="Out of range" error="Exp RMPer Unit: enter $/unit/yr in $0+." promptTitle="Exp RMPer Unit" prompt="Unit: $/unit/yr.  Expected: $0+." type="decimal" operator="between">
      <formula1>0</formula1>
      <formula2>100000</formula2>
    </dataValidation>
    <dataValidation sqref="C110" showDropDown="0" showInputMessage="1" showErrorMessage="1" allowBlank="0" errorTitle="Out of range" error="Exp Turnover Per Unit: enter $/unit/yr in $0+." promptTitle="Exp Turnover Per Unit" prompt="Unit: $/unit/yr.  Expected: $0+." type="decimal" operator="between">
      <formula1>0</formula1>
      <formula2>100000</formula2>
    </dataValidation>
    <dataValidation sqref="C111" showDropDown="0" showInputMessage="1" showErrorMessage="1" allowBlank="0" errorTitle="Out of range" error="Exp Contract Per Unit: enter $/unit/yr in $0+." promptTitle="Exp Contract Per Unit" prompt="Unit: $/unit/yr.  Expected: $0+." type="decimal" operator="between">
      <formula1>0</formula1>
      <formula2>100000</formula2>
    </dataValidation>
    <dataValidation sqref="C112" showDropDown="0" showInputMessage="1" showErrorMessage="1" allowBlank="0" errorTitle="Out of range" error="Exp Admin Per Unit: enter $/unit/yr in $0+." promptTitle="Exp Admin Per Unit" prompt="Unit: $/unit/yr.  Expected: $0+." type="decimal" operator="between">
      <formula1>0</formula1>
      <formula2>100000</formula2>
    </dataValidation>
    <dataValidation sqref="C113" showDropDown="0" showInputMessage="1" showErrorMessage="1" allowBlank="0" errorTitle="Out of range" error="Exp Advertising Per Unit: enter $/unit/yr in $0+." promptTitle="Exp Advertising Per Unit" prompt="Unit: $/unit/yr.  Expected: $0+." type="decimal" operator="between">
      <formula1>0</formula1>
      <formula2>100000</formula2>
    </dataValidation>
    <dataValidation sqref="C114" showDropDown="0" showInputMessage="1" showErrorMessage="1" allowBlank="0" errorTitle="Out of range" error="Mgmt Fee Pct: enter % of EGI in 0% to 10%." promptTitle="Mgmt Fee Pct" prompt="Unit: % of EGI.  Expected: 0% to 10%." type="decimal" operator="between">
      <formula1>0</formula1>
      <formula2>0.1</formula2>
    </dataValidation>
    <dataValidation sqref="C115" showDropDown="0" showInputMessage="1" showErrorMessage="1" allowBlank="0" errorTitle="Out of range" error="Cap Reserve Per Unit: enter $/unit/yr in $0+." promptTitle="Cap Reserve Per Unit" prompt="Unit: $/unit/yr.  Expected: $0+." type="decimal" operator="between">
      <formula1>0</formula1>
      <formula2>100000</formula2>
    </dataValidation>
    <dataValidation sqref="C116" showDropDown="0" showInputMessage="1" showErrorMessage="1" allowBlank="0" errorTitle="Out of range" error="Tax Prep Per Unit: enter $/unit/yr in $0+." promptTitle="Tax Prep Per Unit" prompt="Unit: $/unit/yr.  Expected: $0+." type="decimal" operator="between">
      <formula1>0</formula1>
      <formula2>100000</formula2>
    </dataValidation>
    <dataValidation sqref="C117" showDropDown="0" showInputMessage="1" showErrorMessage="1" allowBlank="0" errorTitle="Out of range" error="Asset Mgmt Fee Pct: enter % of EGI in 0% to 10%." promptTitle="Asset Mgmt Fee Pct" prompt="Unit: % of EGI.  Expected: 0% to 10%." type="decimal" operator="between">
      <formula1>0</formula1>
      <formula2>0.1</formula2>
    </dataValidation>
    <dataValidation sqref="C120" showDropDown="0" showInputMessage="1" showErrorMessage="1" allowBlank="0" errorTitle="Out of range" error="DeliveryLagMonths: enter months in 1 to 120." promptTitle="DeliveryLagMonths" prompt="Unit: months.  Expected: 1 to 120." type="whole" operator="between">
      <formula1>1</formula1>
      <formula2>120</formula2>
    </dataValidation>
    <dataValidation sqref="C121" showDropDown="0" showInputMessage="1" showErrorMessage="1" allowBlank="0" errorTitle="Out of range" error="Dur_OpenEscrow: enter months in 1 to 120." promptTitle="Dur_OpenEscrow" prompt="Unit: months.  Expected: 1 to 120." type="whole" operator="between">
      <formula1>1</formula1>
      <formula2>120</formula2>
    </dataValidation>
    <dataValidation sqref="C122" showDropDown="0" showInputMessage="1" showErrorMessage="1" allowBlank="0" errorTitle="Out of range" error="Dur_DueDiligence: enter months in 1 to 120." promptTitle="Dur_DueDiligence" prompt="Unit: months.  Expected: 1 to 120." type="whole" operator="between">
      <formula1>1</formula1>
      <formula2>120</formula2>
    </dataValidation>
    <dataValidation sqref="C123" showDropDown="0" showInputMessage="1" showErrorMessage="1" allowBlank="0" errorTitle="Out of range" error="Dur_Entitlement: enter months in 1 to 120." promptTitle="Dur_Entitlement" prompt="Unit: months.  Expected: 1 to 120." type="whole" operator="between">
      <formula1>1</formula1>
      <formula2>120</formula2>
    </dataValidation>
    <dataValidation sqref="C124" showDropDown="0" showInputMessage="1" showErrorMessage="1" allowBlank="0" errorTitle="Out of range" error="Dur_PreConstruction: enter months in 1 to 120." promptTitle="Dur_PreConstruction" prompt="Unit: months.  Expected: 1 to 120." type="whole" operator="between">
      <formula1>1</formula1>
      <formula2>120</formula2>
    </dataValidation>
    <dataValidation sqref="C125" showDropDown="0" showInputMessage="1" showErrorMessage="1" allowBlank="0" errorTitle="Out of range" error="Dur_InitialClosing: enter months in 1 to 120." promptTitle="Dur_InitialClosing" prompt="Unit: months.  Expected: 1 to 120." type="whole" operator="between">
      <formula1>1</formula1>
      <formula2>120</formula2>
    </dataValidation>
    <dataValidation sqref="C126" showDropDown="0" showInputMessage="1" showErrorMessage="1" allowBlank="0" errorTitle="Out of range" error="Dur_Construction: enter months in 1 to 120." promptTitle="Dur_Construction" prompt="Unit: months.  Expected: 1 to 120." type="whole" operator="between">
      <formula1>1</formula1>
      <formula2>120</formula2>
    </dataValidation>
    <dataValidation sqref="C127" showDropDown="0" showInputMessage="1" showErrorMessage="1" allowBlank="0" errorTitle="Out of range" error="Dur_FirstUnitDelivery: enter months in 1 to 120." promptTitle="Dur_FirstUnitDelivery" prompt="Unit: months.  Expected: 1 to 120." type="whole" operator="between">
      <formula1>1</formula1>
      <formula2>120</formula2>
    </dataValidation>
    <dataValidation sqref="C128" showDropDown="0" showInputMessage="1" showErrorMessage="1" allowBlank="0" errorTitle="Out of range" error="Dur_Stabilization: enter months in 1 to 120." promptTitle="Dur_Stabilization" prompt="Unit: months.  Expected: 1 to 120." type="whole" operator="between">
      <formula1>1</formula1>
      <formula2>120</formula2>
    </dataValidation>
    <dataValidation sqref="C129" showDropDown="0" showInputMessage="1" showErrorMessage="1" allowBlank="0" errorTitle="Out of range" error="Dur_Recap: enter months in 1 to 120." promptTitle="Dur_Recap" prompt="Unit: months.  Expected: 1 to 120." type="whole" operator="between">
      <formula1>1</formula1>
      <formula2>120</formula2>
    </dataValidation>
    <dataValidation sqref="C130" showDropDown="0" showInputMessage="1" showErrorMessage="1" allowBlank="0" errorTitle="Out of range" error="Dur_Disposition: enter months in 1 to 120." promptTitle="Dur_Disposition" prompt="Unit: months.  Expected: 1 to 120." type="whole" operator="between">
      <formula1>1</formula1>
      <formula2>120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L4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+MS_Stabilization_End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IF(RefiFlag=1,MIN(ConMaturity,IF(RefiMonthOverride&gt;0,RefiMonthOverride,ConMaturity)),0)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3" t="inlineStr">
        <is>
          <t>Operating Tax Start Month (capitalization boundary)</t>
        </is>
      </c>
      <c r="C45" s="294">
        <f>IF(TaxCapitalizeLeaseUp&gt;=1,StabMonth,DeliverStart)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TargetLTC*ConCostBasis</f>
        <v/>
      </c>
      <c r="D5" s="53" t="n"/>
    </row>
    <row r="6">
      <c r="B6" s="36" t="inlineStr">
        <is>
          <t>Max Loan by Min Debt Yield</t>
        </is>
      </c>
      <c r="C6" s="255">
        <f>StabNOI/ConMinDebtYield</f>
        <v/>
      </c>
      <c r="D6" s="53" t="n"/>
    </row>
    <row r="7">
      <c r="B7" s="36" t="inlineStr">
        <is>
          <t>Max Loan by Min DSCR (I/O)</t>
        </is>
      </c>
      <c r="C7" s="255">
        <f>StabNOI/(ConMinDSCR*ConRate)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StabNOI/ConCostCommit</f>
        <v/>
      </c>
      <c r="D16" s="53" t="n"/>
    </row>
    <row r="17">
      <c r="B17" s="36" t="inlineStr">
        <is>
          <t>DSCR at Commitment (I/O)</t>
        </is>
      </c>
      <c r="C17" s="257">
        <f>StabNOI/(ConRate*ConCostCommit)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E$30*(0)</f>
        <v/>
      </c>
      <c r="F31" s="218">
        <f>F$30*(E$32)</f>
        <v/>
      </c>
      <c r="G31" s="218">
        <f>G$30*(F$32)</f>
        <v/>
      </c>
      <c r="H31" s="218">
        <f>H$30*(G$32)</f>
        <v/>
      </c>
      <c r="I31" s="218">
        <f>I$30*(H$32)</f>
        <v/>
      </c>
      <c r="J31" s="218">
        <f>J$30*(I$32)</f>
        <v/>
      </c>
      <c r="K31" s="218">
        <f>K$30*(J$32)</f>
        <v/>
      </c>
      <c r="L31" s="218">
        <f>L$30*(K$32)</f>
        <v/>
      </c>
      <c r="M31" s="218">
        <f>M$30*(L$32)</f>
        <v/>
      </c>
      <c r="N31" s="218">
        <f>N$30*(M$32)</f>
        <v/>
      </c>
      <c r="O31" s="218">
        <f>O$30*(N$32)</f>
        <v/>
      </c>
      <c r="P31" s="218">
        <f>P$30*(O$32)</f>
        <v/>
      </c>
      <c r="Q31" s="218">
        <f>Q$30*(P$32)</f>
        <v/>
      </c>
      <c r="R31" s="218">
        <f>R$30*(Q$32)</f>
        <v/>
      </c>
      <c r="S31" s="218">
        <f>S$30*(R$32)</f>
        <v/>
      </c>
      <c r="T31" s="218">
        <f>T$30*(S$32)</f>
        <v/>
      </c>
      <c r="U31" s="218">
        <f>U$30*(T$32)</f>
        <v/>
      </c>
      <c r="V31" s="218">
        <f>V$30*(U$32)</f>
        <v/>
      </c>
      <c r="W31" s="218">
        <f>W$30*(V$32)</f>
        <v/>
      </c>
      <c r="X31" s="218">
        <f>X$30*(W$32)</f>
        <v/>
      </c>
      <c r="Y31" s="218">
        <f>Y$30*(X$32)</f>
        <v/>
      </c>
      <c r="Z31" s="218">
        <f>Z$30*(Y$32)</f>
        <v/>
      </c>
      <c r="AA31" s="218">
        <f>AA$30*(Z$32)</f>
        <v/>
      </c>
      <c r="AB31" s="218">
        <f>AB$30*(AA$32)</f>
        <v/>
      </c>
      <c r="AC31" s="218">
        <f>AC$30*(AB$32)</f>
        <v/>
      </c>
      <c r="AD31" s="218">
        <f>AD$30*(AC$32)</f>
        <v/>
      </c>
      <c r="AE31" s="218">
        <f>AE$30*(AD$32)</f>
        <v/>
      </c>
      <c r="AF31" s="218">
        <f>AF$30*(AE$32)</f>
        <v/>
      </c>
      <c r="AG31" s="218">
        <f>AG$30*(AF$32)</f>
        <v/>
      </c>
      <c r="AH31" s="218">
        <f>AH$30*(AG$32)</f>
        <v/>
      </c>
      <c r="AI31" s="218">
        <f>AI$30*(AH$32)</f>
        <v/>
      </c>
      <c r="AJ31" s="218">
        <f>AJ$30*(AI$32)</f>
        <v/>
      </c>
      <c r="AK31" s="218">
        <f>AK$30*(AJ$32)</f>
        <v/>
      </c>
      <c r="AL31" s="218">
        <f>AL$30*(AK$32)</f>
        <v/>
      </c>
      <c r="AM31" s="218">
        <f>AM$30*(AL$32)</f>
        <v/>
      </c>
      <c r="AN31" s="218">
        <f>AN$30*(AM$32)</f>
        <v/>
      </c>
      <c r="AO31" s="218">
        <f>AO$30*(AN$32)</f>
        <v/>
      </c>
      <c r="AP31" s="218">
        <f>AP$30*(AO$32)</f>
        <v/>
      </c>
      <c r="AQ31" s="218">
        <f>AQ$30*(AP$32)</f>
        <v/>
      </c>
      <c r="AR31" s="218">
        <f>AR$30*(AQ$32)</f>
        <v/>
      </c>
      <c r="AS31" s="218">
        <f>AS$30*(AR$32)</f>
        <v/>
      </c>
      <c r="AT31" s="218">
        <f>AT$30*(AS$32)</f>
        <v/>
      </c>
      <c r="AU31" s="218">
        <f>AU$30*(AT$32)</f>
        <v/>
      </c>
      <c r="AV31" s="218">
        <f>AV$30*(AU$32)</f>
        <v/>
      </c>
      <c r="AW31" s="218">
        <f>AW$30*(AV$32)</f>
        <v/>
      </c>
      <c r="AX31" s="218">
        <f>AX$30*(AW$32)</f>
        <v/>
      </c>
      <c r="AY31" s="218">
        <f>AY$30*(AX$32)</f>
        <v/>
      </c>
      <c r="AZ31" s="218">
        <f>AZ$30*(AY$32)</f>
        <v/>
      </c>
      <c r="BA31" s="218">
        <f>BA$30*(AZ$32)</f>
        <v/>
      </c>
      <c r="BB31" s="218">
        <f>BB$30*(BA$32)</f>
        <v/>
      </c>
      <c r="BC31" s="218">
        <f>BC$30*(BB$32)</f>
        <v/>
      </c>
      <c r="BD31" s="218">
        <f>BD$30*(BC$32)</f>
        <v/>
      </c>
      <c r="BE31" s="218">
        <f>BE$30*(BD$32)</f>
        <v/>
      </c>
      <c r="BF31" s="218">
        <f>BF$30*(BE$32)</f>
        <v/>
      </c>
      <c r="BG31" s="218">
        <f>BG$30*(BF$32)</f>
        <v/>
      </c>
      <c r="BH31" s="218">
        <f>BH$30*(BG$32)</f>
        <v/>
      </c>
      <c r="BI31" s="218">
        <f>BI$30*(BH$32)</f>
        <v/>
      </c>
      <c r="BJ31" s="218">
        <f>BJ$30*(BI$32)</f>
        <v/>
      </c>
      <c r="BK31" s="218">
        <f>BK$30*(BJ$32)</f>
        <v/>
      </c>
      <c r="BL31" s="218">
        <f>BL$30*(BK$32)</f>
        <v/>
      </c>
      <c r="BM31" s="218">
        <f>BM$30*(BL$32)</f>
        <v/>
      </c>
      <c r="BN31" s="218">
        <f>BN$30*(BM$32)</f>
        <v/>
      </c>
      <c r="BO31" s="218">
        <f>BO$30*(BN$32)</f>
        <v/>
      </c>
      <c r="BP31" s="218">
        <f>BP$30*(BO$32)</f>
        <v/>
      </c>
      <c r="BQ31" s="218">
        <f>BQ$30*(BP$32)</f>
        <v/>
      </c>
      <c r="BR31" s="218">
        <f>BR$30*(BQ$32)</f>
        <v/>
      </c>
      <c r="BS31" s="218">
        <f>BS$30*(BR$32)</f>
        <v/>
      </c>
      <c r="BT31" s="218">
        <f>BT$30*(BS$32)</f>
        <v/>
      </c>
      <c r="BU31" s="218">
        <f>BU$30*(BT$32)</f>
        <v/>
      </c>
      <c r="BV31" s="218">
        <f>BV$30*(BU$32)</f>
        <v/>
      </c>
      <c r="BW31" s="218">
        <f>BW$30*(BV$32)</f>
        <v/>
      </c>
      <c r="BX31" s="218">
        <f>BX$30*(BW$32)</f>
        <v/>
      </c>
      <c r="BY31" s="218">
        <f>BY$30*(BX$32)</f>
        <v/>
      </c>
      <c r="BZ31" s="218">
        <f>BZ$30*(BY$32)</f>
        <v/>
      </c>
      <c r="CA31" s="218">
        <f>CA$30*(BZ$32)</f>
        <v/>
      </c>
      <c r="CB31" s="218">
        <f>CB$30*(CA$32)</f>
        <v/>
      </c>
      <c r="CC31" s="218">
        <f>CC$30*(CB$32)</f>
        <v/>
      </c>
      <c r="CD31" s="218">
        <f>CD$30*(CC$32)</f>
        <v/>
      </c>
      <c r="CE31" s="218">
        <f>CE$30*(CD$32)</f>
        <v/>
      </c>
      <c r="CF31" s="218">
        <f>CF$30*(CE$32)</f>
        <v/>
      </c>
      <c r="CG31" s="218">
        <f>CG$30*(CF$32)</f>
        <v/>
      </c>
      <c r="CH31" s="218">
        <f>CH$30*(CG$32)</f>
        <v/>
      </c>
      <c r="CI31" s="218">
        <f>CI$30*(CH$32)</f>
        <v/>
      </c>
      <c r="CJ31" s="218">
        <f>CJ$30*(CI$32)</f>
        <v/>
      </c>
      <c r="CK31" s="218">
        <f>CK$30*(CJ$32)</f>
        <v/>
      </c>
      <c r="CL31" s="218">
        <f>CL$30*(CK$32)</f>
        <v/>
      </c>
      <c r="CM31" s="218">
        <f>CM$30*(CL$32)</f>
        <v/>
      </c>
      <c r="CN31" s="218">
        <f>CN$30*(CM$32)</f>
        <v/>
      </c>
      <c r="CO31" s="218">
        <f>CO$30*(CN$32)</f>
        <v/>
      </c>
      <c r="CP31" s="218">
        <f>CP$30*(CO$32)</f>
        <v/>
      </c>
      <c r="CQ31" s="218">
        <f>CQ$30*(CP$32)</f>
        <v/>
      </c>
      <c r="CR31" s="218">
        <f>CR$30*(CQ$32)</f>
        <v/>
      </c>
      <c r="CS31" s="218">
        <f>CS$30*(CR$32)</f>
        <v/>
      </c>
      <c r="CT31" s="218">
        <f>CT$30*(CS$32)</f>
        <v/>
      </c>
      <c r="CU31" s="218">
        <f>CU$30*(CT$32)</f>
        <v/>
      </c>
      <c r="CV31" s="218">
        <f>CV$30*(CU$32)</f>
        <v/>
      </c>
      <c r="CW31" s="218">
        <f>CW$30*(CV$32)</f>
        <v/>
      </c>
      <c r="CX31" s="218">
        <f>CX$30*(CW$32)</f>
        <v/>
      </c>
      <c r="CY31" s="218">
        <f>CY$30*(CX$32)</f>
        <v/>
      </c>
      <c r="CZ31" s="218">
        <f>CZ$30*(CY$32)</f>
        <v/>
      </c>
      <c r="DA31" s="218">
        <f>DA$30*(CZ$32)</f>
        <v/>
      </c>
      <c r="DB31" s="218">
        <f>DB$30*(DA$32)</f>
        <v/>
      </c>
      <c r="DC31" s="218">
        <f>DC$30*(DB$32)</f>
        <v/>
      </c>
      <c r="DD31" s="218">
        <f>DD$30*(DC$32)</f>
        <v/>
      </c>
      <c r="DE31" s="218">
        <f>DE$30*(DD$32)</f>
        <v/>
      </c>
      <c r="DF31" s="218">
        <f>DF$30*(DE$32)</f>
        <v/>
      </c>
      <c r="DG31" s="218">
        <f>DG$30*(DF$32)</f>
        <v/>
      </c>
      <c r="DH31" s="218">
        <f>DH$30*(DG$32)</f>
        <v/>
      </c>
      <c r="DI31" s="218">
        <f>DI$30*(DH$32)</f>
        <v/>
      </c>
      <c r="DJ31" s="218">
        <f>DJ$30*(DI$32)</f>
        <v/>
      </c>
      <c r="DK31" s="218">
        <f>DK$30*(DJ$32)</f>
        <v/>
      </c>
      <c r="DL31" s="218">
        <f>DL$30*(DK$32)</f>
        <v/>
      </c>
      <c r="DM31" s="218">
        <f>DM$30*(DL$32)</f>
        <v/>
      </c>
      <c r="DN31" s="218">
        <f>DN$30*(DM$32)</f>
        <v/>
      </c>
      <c r="DO31" s="218">
        <f>DO$30*(DN$32)</f>
        <v/>
      </c>
      <c r="DP31" s="218">
        <f>DP$30*(DO$32)</f>
        <v/>
      </c>
      <c r="DQ31" s="218">
        <f>DQ$30*(DP$32)</f>
        <v/>
      </c>
      <c r="DR31" s="218">
        <f>DR$30*(DQ$32)</f>
        <v/>
      </c>
      <c r="DS31" s="218">
        <f>DS$30*(DR$32)</f>
        <v/>
      </c>
      <c r="DT31" s="218">
        <f>DT$30*(DS$32)</f>
        <v/>
      </c>
      <c r="DU31" s="218">
        <f>DU$30*(DT$32)</f>
        <v/>
      </c>
      <c r="DV31" s="218">
        <f>DV$30*(DU$32)</f>
        <v/>
      </c>
      <c r="DW31" s="218">
        <f>DW$30*(DV$32)</f>
        <v/>
      </c>
      <c r="DX31" s="218">
        <f>DX$30*(DW$32)</f>
        <v/>
      </c>
      <c r="DY31" s="218">
        <f>DY$30*(DX$32)</f>
        <v/>
      </c>
      <c r="DZ31" s="218">
        <f>DZ$30*(DY$32)</f>
        <v/>
      </c>
      <c r="EA31" s="218">
        <f>EA$30*(DZ$32)</f>
        <v/>
      </c>
      <c r="EB31" s="218">
        <f>EB$30*(EA$32)</f>
        <v/>
      </c>
      <c r="EC31" s="218">
        <f>EC$30*(EB$32)</f>
        <v/>
      </c>
      <c r="ED31" s="218">
        <f>ED$30*(EC$32)</f>
        <v/>
      </c>
      <c r="EE31" s="218">
        <f>EE$30*(ED$32)</f>
        <v/>
      </c>
      <c r="EF31" s="218">
        <f>EF$30*(EE$32)</f>
        <v/>
      </c>
      <c r="EG31" s="218">
        <f>EG$30*(EF$32)</f>
        <v/>
      </c>
      <c r="EH31" s="218">
        <f>EH$30*(EG$32)</f>
        <v/>
      </c>
      <c r="EI31" s="218">
        <f>EI$30*(EH$32)</f>
        <v/>
      </c>
      <c r="EJ31" s="218">
        <f>EJ$30*(EI$32)</f>
        <v/>
      </c>
      <c r="EK31" s="218">
        <f>EK$30*(EJ$32)</f>
        <v/>
      </c>
      <c r="EL31" s="218">
        <f>EL$30*(EK$32)</f>
        <v/>
      </c>
      <c r="EM31" s="218">
        <f>EM$30*(EL$32)</f>
        <v/>
      </c>
      <c r="EN31" s="218">
        <f>EN$30*(EM$32)</f>
        <v/>
      </c>
      <c r="EO31" s="218">
        <f>EO$30*(EN$32)</f>
        <v/>
      </c>
      <c r="EP31" s="218">
        <f>EP$30*(EO$32)</f>
        <v/>
      </c>
      <c r="EQ31" s="218">
        <f>EQ$30*(EP$32)</f>
        <v/>
      </c>
      <c r="ER31" s="218">
        <f>ER$30*(EQ$32)</f>
        <v/>
      </c>
      <c r="ES31" s="218">
        <f>ES$30*(ER$32)</f>
        <v/>
      </c>
      <c r="ET31" s="218">
        <f>ET$30*(ES$32)</f>
        <v/>
      </c>
      <c r="EU31" s="218">
        <f>EU$30*(ET$32)</f>
        <v/>
      </c>
      <c r="EV31" s="218">
        <f>EV$30*(EU$32)</f>
        <v/>
      </c>
      <c r="EW31" s="218">
        <f>EW$30*(EV$32)</f>
        <v/>
      </c>
      <c r="EX31" s="218">
        <f>EX$30*(EW$32)</f>
        <v/>
      </c>
      <c r="EY31" s="218">
        <f>EY$30*(EX$32)</f>
        <v/>
      </c>
      <c r="EZ31" s="218">
        <f>EZ$30*(EY$32)</f>
        <v/>
      </c>
      <c r="FA31" s="218">
        <f>FA$30*(EZ$32)</f>
        <v/>
      </c>
      <c r="FB31" s="218">
        <f>FB$30*(FA$32)</f>
        <v/>
      </c>
      <c r="FC31" s="218">
        <f>FC$30*(FB$32)</f>
        <v/>
      </c>
      <c r="FD31" s="218">
        <f>FD$30*(FC$32)</f>
        <v/>
      </c>
      <c r="FE31" s="218">
        <f>FE$30*(FD$32)</f>
        <v/>
      </c>
      <c r="FF31" s="218">
        <f>FF$30*(FE$32)</f>
        <v/>
      </c>
      <c r="FG31" s="218">
        <f>FG$30*(FF$32)</f>
        <v/>
      </c>
      <c r="FH31" s="218">
        <f>FH$30*(FG$32)</f>
        <v/>
      </c>
      <c r="FI31" s="218">
        <f>FI$30*(FH$32)</f>
        <v/>
      </c>
      <c r="FJ31" s="218">
        <f>FJ$30*(FI$32)</f>
        <v/>
      </c>
      <c r="FK31" s="218">
        <f>FK$30*(FJ$32)</f>
        <v/>
      </c>
      <c r="FL31" s="218">
        <f>FL$30*(FK$32)</f>
        <v/>
      </c>
      <c r="FM31" s="218">
        <f>FM$30*(FL$32)</f>
        <v/>
      </c>
      <c r="FN31" s="218">
        <f>FN$30*(FM$32)</f>
        <v/>
      </c>
      <c r="FO31" s="218">
        <f>FO$30*(FN$32)</f>
        <v/>
      </c>
      <c r="FP31" s="218">
        <f>FP$30*(FO$32)</f>
        <v/>
      </c>
      <c r="FQ31" s="218">
        <f>FQ$30*(FP$32)</f>
        <v/>
      </c>
      <c r="FR31" s="218">
        <f>FR$30*(FQ$32)</f>
        <v/>
      </c>
      <c r="FS31" s="218">
        <f>FS$30*(FR$32)</f>
        <v/>
      </c>
      <c r="FT31" s="218">
        <f>FT$30*(FS$32)</f>
        <v/>
      </c>
      <c r="FU31" s="218">
        <f>FU$30*(FT$32)</f>
        <v/>
      </c>
      <c r="FV31" s="218">
        <f>FV$30*(FU$32)</f>
        <v/>
      </c>
      <c r="FW31" s="218">
        <f>FW$30*(FV$32)</f>
        <v/>
      </c>
      <c r="FX31" s="218">
        <f>FX$30*(FW$32)</f>
        <v/>
      </c>
      <c r="FY31" s="218">
        <f>FY$30*(FX$32)</f>
        <v/>
      </c>
      <c r="FZ31" s="218">
        <f>FZ$30*(FY$32)</f>
        <v/>
      </c>
      <c r="GA31" s="218">
        <f>GA$30*(FZ$32)</f>
        <v/>
      </c>
      <c r="GB31" s="218">
        <f>GB$30*(GA$32)</f>
        <v/>
      </c>
      <c r="GC31" s="218">
        <f>GC$30*(GB$32)</f>
        <v/>
      </c>
      <c r="GD31" s="218">
        <f>GD$30*(GC$32)</f>
        <v/>
      </c>
      <c r="GE31" s="218">
        <f>GE$30*(GD$32)</f>
        <v/>
      </c>
      <c r="GF31" s="218">
        <f>GF$30*(GE$32)</f>
        <v/>
      </c>
      <c r="GG31" s="218">
        <f>GG$30*(GF$32)</f>
        <v/>
      </c>
      <c r="GH31" s="218">
        <f>GH$30*(GG$32)</f>
        <v/>
      </c>
      <c r="GI31" s="218">
        <f>GI$30*(GH$32)</f>
        <v/>
      </c>
      <c r="GJ31" s="218">
        <f>GJ$30*(GI$32)</f>
        <v/>
      </c>
      <c r="GK31" s="218">
        <f>GK$30*(GJ$32)</f>
        <v/>
      </c>
      <c r="GL31" s="218">
        <f>GL$30*(GK$32)</f>
        <v/>
      </c>
      <c r="GM31" s="218">
        <f>GM$30*(GL$32)</f>
        <v/>
      </c>
      <c r="GN31" s="218">
        <f>GN$30*(GM$32)</f>
        <v/>
      </c>
      <c r="GO31" s="218">
        <f>GO$30*(GN$32)</f>
        <v/>
      </c>
      <c r="GP31" s="218">
        <f>GP$30*(GO$32)</f>
        <v/>
      </c>
      <c r="GQ31" s="218">
        <f>GQ$30*(GP$32)</f>
        <v/>
      </c>
      <c r="GR31" s="218">
        <f>GR$30*(GQ$32)</f>
        <v/>
      </c>
      <c r="GS31" s="218">
        <f>GS$30*(GR$32)</f>
        <v/>
      </c>
      <c r="GT31" s="218">
        <f>GT$30*(GS$32)</f>
        <v/>
      </c>
      <c r="GU31" s="218">
        <f>GU$30*(GT$32)</f>
        <v/>
      </c>
      <c r="GV31" s="218">
        <f>GV$30*(GU$32)</f>
        <v/>
      </c>
      <c r="GW31" s="218">
        <f>GW$30*(GV$32)</f>
        <v/>
      </c>
      <c r="GX31" s="218">
        <f>GX$30*(GW$32)</f>
        <v/>
      </c>
      <c r="GY31" s="218">
        <f>GY$30*(GX$32)</f>
        <v/>
      </c>
      <c r="GZ31" s="218">
        <f>GZ$30*(GY$32)</f>
        <v/>
      </c>
      <c r="HA31" s="218">
        <f>HA$30*(GZ$32)</f>
        <v/>
      </c>
      <c r="HB31" s="218">
        <f>HB$30*(HA$32)</f>
        <v/>
      </c>
      <c r="HC31" s="218">
        <f>HC$30*(HB$32)</f>
        <v/>
      </c>
      <c r="HD31" s="218">
        <f>HD$30*(HC$32)</f>
        <v/>
      </c>
      <c r="HE31" s="218">
        <f>HE$30*(HD$32)</f>
        <v/>
      </c>
      <c r="HF31" s="218">
        <f>HF$30*(HE$32)</f>
        <v/>
      </c>
      <c r="HG31" s="218">
        <f>HG$30*(HF$32)</f>
        <v/>
      </c>
      <c r="HH31" s="218">
        <f>HH$30*(HG$32)</f>
        <v/>
      </c>
      <c r="HI31" s="218">
        <f>HI$30*(HH$32)</f>
        <v/>
      </c>
      <c r="HJ31" s="218">
        <f>HJ$30*(HI$32)</f>
        <v/>
      </c>
      <c r="HK31" s="218">
        <f>HK$30*(HJ$32)</f>
        <v/>
      </c>
      <c r="HL31" s="218">
        <f>HL$30*(HK$32)</f>
        <v/>
      </c>
      <c r="HM31" s="218">
        <f>HM$30*(HL$32)</f>
        <v/>
      </c>
      <c r="HN31" s="218">
        <f>HN$30*(HM$32)</f>
        <v/>
      </c>
      <c r="HO31" s="218">
        <f>HO$30*(HN$32)</f>
        <v/>
      </c>
      <c r="HP31" s="218">
        <f>HP$30*(HO$32)</f>
        <v/>
      </c>
      <c r="HQ31" s="218">
        <f>HQ$30*(HP$32)</f>
        <v/>
      </c>
      <c r="HR31" s="218">
        <f>HR$30*(HQ$32)</f>
        <v/>
      </c>
      <c r="HS31" s="218">
        <f>HS$30*(HR$32)</f>
        <v/>
      </c>
      <c r="HT31" s="218">
        <f>HT$30*(HS$32)</f>
        <v/>
      </c>
      <c r="HU31" s="218">
        <f>HU$30*(HT$32)</f>
        <v/>
      </c>
      <c r="HV31" s="218">
        <f>HV$30*(HU$32)</f>
        <v/>
      </c>
      <c r="HW31" s="218">
        <f>HW$30*(HV$32)</f>
        <v/>
      </c>
      <c r="HX31" s="218">
        <f>HX$30*(HW$32)</f>
        <v/>
      </c>
      <c r="HY31" s="218">
        <f>HY$30*(HX$32)</f>
        <v/>
      </c>
      <c r="HZ31" s="218">
        <f>HZ$30*(HY$32)</f>
        <v/>
      </c>
      <c r="IA31" s="218">
        <f>IA$30*(HZ$32)</f>
        <v/>
      </c>
      <c r="IB31" s="218">
        <f>IB$30*(IA$32)</f>
        <v/>
      </c>
      <c r="IC31" s="218">
        <f>IC$30*(IB$32)</f>
        <v/>
      </c>
      <c r="ID31" s="218">
        <f>ID$30*(IC$32)</f>
        <v/>
      </c>
      <c r="IE31" s="218">
        <f>IE$30*(ID$32)</f>
        <v/>
      </c>
      <c r="IF31" s="218">
        <f>IF$30*(IE$32)</f>
        <v/>
      </c>
      <c r="IG31" s="218">
        <f>IG$30*(IF$32)</f>
        <v/>
      </c>
      <c r="IH31" s="218">
        <f>IH$30*(IG$32)</f>
        <v/>
      </c>
      <c r="II31" s="218">
        <f>II$30*(IH$32)</f>
        <v/>
      </c>
      <c r="IJ31" s="218">
        <f>IJ$30*(II$32)</f>
        <v/>
      </c>
      <c r="IK31" s="218">
        <f>IK$30*(IJ$32)</f>
        <v/>
      </c>
      <c r="IL31" s="218">
        <f>IL$30*(IK$32)</f>
        <v/>
      </c>
      <c r="IM31" s="218">
        <f>IM$30*(IL$32)</f>
        <v/>
      </c>
      <c r="IN31" s="218">
        <f>IN$30*(IM$32)</f>
        <v/>
      </c>
      <c r="IO31" s="218">
        <f>IO$30*(IN$32)</f>
        <v/>
      </c>
      <c r="IP31" s="218">
        <f>IP$30*(IO$32)</f>
        <v/>
      </c>
      <c r="IQ31" s="218">
        <f>IQ$30*(IP$32)</f>
        <v/>
      </c>
      <c r="IR31" s="218">
        <f>IR$30*(IQ$32)</f>
        <v/>
      </c>
      <c r="IS31" s="218">
        <f>IS$30*(IR$32)</f>
        <v/>
      </c>
      <c r="IT31" s="218">
        <f>IT$30*(IS$32)</f>
        <v/>
      </c>
      <c r="IU31" s="218">
        <f>IU$30*(IT$32)</f>
        <v/>
      </c>
      <c r="IV31" s="218">
        <f>IV$30*(IU$32)</f>
        <v/>
      </c>
      <c r="IW31" s="218">
        <f>IW$30*(IV$32)</f>
        <v/>
      </c>
      <c r="IX31" s="218">
        <f>IX$30*(IW$32)</f>
        <v/>
      </c>
      <c r="IY31" s="218">
        <f>IY$30*(IX$32)</f>
        <v/>
      </c>
      <c r="IZ31" s="218">
        <f>IZ$30*(IY$32)</f>
        <v/>
      </c>
      <c r="JA31" s="218">
        <f>JA$30*(IZ$32)</f>
        <v/>
      </c>
      <c r="JB31" s="218">
        <f>JB$30*(JA$32)</f>
        <v/>
      </c>
      <c r="JC31" s="218">
        <f>JC$30*(JB$32)</f>
        <v/>
      </c>
      <c r="JD31" s="218">
        <f>JD$30*(JC$32)</f>
        <v/>
      </c>
      <c r="JE31" s="218">
        <f>JE$30*(JD$32)</f>
        <v/>
      </c>
      <c r="JF31" s="218">
        <f>JF$30*(JE$32)</f>
        <v/>
      </c>
      <c r="JG31" s="218">
        <f>JG$30*(JF$32)</f>
        <v/>
      </c>
      <c r="JH31" s="218">
        <f>JH$30*(JG$32)</f>
        <v/>
      </c>
      <c r="JI31" s="218">
        <f>JI$30*(JH$32)</f>
        <v/>
      </c>
      <c r="JJ31" s="218">
        <f>JJ$30*(JI$32)</f>
        <v/>
      </c>
      <c r="JK31" s="218">
        <f>JK$30*(JJ$32)</f>
        <v/>
      </c>
      <c r="JL31" s="218">
        <f>JL$30*(JK$32)</f>
        <v/>
      </c>
      <c r="JM31" s="218">
        <f>JM$30*(JL$32)</f>
        <v/>
      </c>
      <c r="JN31" s="218">
        <f>JN$30*(JM$32)</f>
        <v/>
      </c>
      <c r="JO31" s="218">
        <f>JO$30*(JN$32)</f>
        <v/>
      </c>
      <c r="JP31" s="218">
        <f>JP$30*(JO$32)</f>
        <v/>
      </c>
      <c r="JQ31" s="218">
        <f>JQ$30*(JP$32)</f>
        <v/>
      </c>
      <c r="JR31" s="218">
        <f>JR$30*(JQ$32)</f>
        <v/>
      </c>
      <c r="JS31" s="218">
        <f>JS$30*(JR$32)</f>
        <v/>
      </c>
      <c r="JT31" s="218">
        <f>JT$30*(JS$32)</f>
        <v/>
      </c>
      <c r="JU31" s="218">
        <f>JU$30*(JT$32)</f>
        <v/>
      </c>
      <c r="JV31" s="218">
        <f>JV$30*(JU$32)</f>
        <v/>
      </c>
      <c r="JW31" s="218">
        <f>JW$30*(JV$32)</f>
        <v/>
      </c>
      <c r="JX31" s="218">
        <f>JX$30*(JW$32)</f>
        <v/>
      </c>
      <c r="JY31" s="218">
        <f>JY$30*(JX$32)</f>
        <v/>
      </c>
      <c r="JZ31" s="218">
        <f>JZ$30*(JY$32)</f>
        <v/>
      </c>
      <c r="KA31" s="218">
        <f>KA$30*(JZ$32)</f>
        <v/>
      </c>
      <c r="KB31" s="218">
        <f>KB$30*(KA$32)</f>
        <v/>
      </c>
      <c r="KC31" s="218">
        <f>KC$30*(KB$32)</f>
        <v/>
      </c>
      <c r="KD31" s="218">
        <f>KD$30*(KC$32)</f>
        <v/>
      </c>
      <c r="KE31" s="218">
        <f>KE$30*(KD$32)</f>
        <v/>
      </c>
      <c r="KF31" s="218">
        <f>KF$30*(KE$32)</f>
        <v/>
      </c>
      <c r="KG31" s="218">
        <f>KG$30*(KF$32)</f>
        <v/>
      </c>
      <c r="KH31" s="218">
        <f>KH$30*(KG$32)</f>
        <v/>
      </c>
      <c r="KI31" s="218">
        <f>KI$30*(KH$32)</f>
        <v/>
      </c>
      <c r="KJ31" s="218">
        <f>KJ$30*(KI$32)</f>
        <v/>
      </c>
      <c r="KK31" s="218">
        <f>KK$30*(KJ$32)</f>
        <v/>
      </c>
      <c r="KL31" s="218">
        <f>KL$30*(KK$32)</f>
        <v/>
      </c>
      <c r="KM31" s="218">
        <f>KM$30*(KL$32)</f>
        <v/>
      </c>
      <c r="KN31" s="218">
        <f>KN$30*(KM$32)</f>
        <v/>
      </c>
      <c r="KO31" s="218">
        <f>KO$30*(KN$32)</f>
        <v/>
      </c>
      <c r="KP31" s="218">
        <f>KP$30*(KO$32)</f>
        <v/>
      </c>
      <c r="KQ31" s="218">
        <f>KQ$30*(KP$32)</f>
        <v/>
      </c>
      <c r="KR31" s="218">
        <f>KR$30*(KQ$32)</f>
        <v/>
      </c>
      <c r="KS31" s="218">
        <f>KS$30*(KR$32)</f>
        <v/>
      </c>
      <c r="KT31" s="218">
        <f>KT$30*(KS$32)</f>
        <v/>
      </c>
      <c r="KU31" s="218">
        <f>KU$30*(KT$32)</f>
        <v/>
      </c>
      <c r="KV31" s="218">
        <f>KV$30*(KU$32)</f>
        <v/>
      </c>
      <c r="KW31" s="218">
        <f>KW$30*(KV$32)</f>
        <v/>
      </c>
      <c r="KX31" s="218">
        <f>KX$30*(KW$32)</f>
        <v/>
      </c>
      <c r="KY31" s="218">
        <f>KY$30*(KX$32)</f>
        <v/>
      </c>
      <c r="KZ31" s="218">
        <f>KZ$30*(KY$32)</f>
        <v/>
      </c>
      <c r="LA31" s="218">
        <f>LA$30*(KZ$32)</f>
        <v/>
      </c>
      <c r="LB31" s="218">
        <f>LB$30*(LA$32)</f>
        <v/>
      </c>
      <c r="LC31" s="218">
        <f>LC$30*(LB$32)</f>
        <v/>
      </c>
      <c r="LD31" s="218">
        <f>LD$30*(LC$32)</f>
        <v/>
      </c>
      <c r="LE31" s="218">
        <f>LE$30*(LD$32)</f>
        <v/>
      </c>
      <c r="LF31" s="218">
        <f>LF$30*(LE$32)</f>
        <v/>
      </c>
      <c r="LG31" s="218">
        <f>LG$30*(LF$32)</f>
        <v/>
      </c>
      <c r="LH31" s="218">
        <f>LH$30*(LG$32)</f>
        <v/>
      </c>
      <c r="LI31" s="218">
        <f>LI$30*(LH$32)</f>
        <v/>
      </c>
      <c r="LJ31" s="218">
        <f>LJ$30*(LI$32)</f>
        <v/>
      </c>
      <c r="LK31" s="218">
        <f>LK$30*(LJ$32)</f>
        <v/>
      </c>
      <c r="LL31" s="218">
        <f>LL$30*(LK$32)</f>
        <v/>
      </c>
      <c r="LM31" s="218">
        <f>LM$30*(LL$32)</f>
        <v/>
      </c>
      <c r="LN31" s="218">
        <f>LN$30*(LM$32)</f>
        <v/>
      </c>
      <c r="LO31" s="218">
        <f>LO$30*(LN$32)</f>
        <v/>
      </c>
      <c r="LP31" s="218">
        <f>LP$30*(LO$32)</f>
        <v/>
      </c>
      <c r="LQ31" s="218">
        <f>LQ$30*(LP$32)</f>
        <v/>
      </c>
      <c r="LR31" s="218">
        <f>LR$30*(LQ$32)</f>
        <v/>
      </c>
      <c r="LS31" s="218">
        <f>LS$30*(LR$32)</f>
        <v/>
      </c>
      <c r="LT31" s="218">
        <f>LT$30*(LS$32)</f>
        <v/>
      </c>
      <c r="LU31" s="218">
        <f>LU$30*(LT$32)</f>
        <v/>
      </c>
      <c r="LV31" s="218">
        <f>LV$30*(LU$32)</f>
        <v/>
      </c>
      <c r="LW31" s="218">
        <f>LW$30*(LV$32)</f>
        <v/>
      </c>
      <c r="LX31" s="218">
        <f>LX$30*(LW$32)</f>
        <v/>
      </c>
      <c r="LY31" s="218">
        <f>LY$30*(LX$32)</f>
        <v/>
      </c>
      <c r="LZ31" s="218">
        <f>LZ$30*(LY$32)</f>
        <v/>
      </c>
      <c r="MA31" s="218">
        <f>MA$30*(LZ$32)</f>
        <v/>
      </c>
      <c r="MB31" s="218">
        <f>MB$30*(MA$32)</f>
        <v/>
      </c>
      <c r="MC31" s="218">
        <f>MC$30*(MB$32)</f>
        <v/>
      </c>
      <c r="MD31" s="218">
        <f>MD$30*(MC$32)</f>
        <v/>
      </c>
      <c r="ME31" s="218">
        <f>ME$30*(MD$32)</f>
        <v/>
      </c>
      <c r="MF31" s="218">
        <f>MF$30*(ME$32)</f>
        <v/>
      </c>
      <c r="MG31" s="218">
        <f>MG$30*(MF$32)</f>
        <v/>
      </c>
      <c r="MH31" s="218">
        <f>MH$30*(MG$32)</f>
        <v/>
      </c>
      <c r="MI31" s="218">
        <f>MI$30*(MH$32)</f>
        <v/>
      </c>
      <c r="MJ31" s="218">
        <f>MJ$30*(MI$32)</f>
        <v/>
      </c>
      <c r="MK31" s="218">
        <f>MK$30*(MJ$32)</f>
        <v/>
      </c>
      <c r="ML31" s="218">
        <f>ML$30*(MK$32)</f>
        <v/>
      </c>
      <c r="MM31" s="218">
        <f>MM$30*(ML$32)</f>
        <v/>
      </c>
      <c r="MN31" s="218">
        <f>MN$30*(MM$32)</f>
        <v/>
      </c>
      <c r="MO31" s="218">
        <f>MO$30*(MN$32)</f>
        <v/>
      </c>
      <c r="MP31" s="218">
        <f>MP$30*(MO$32)</f>
        <v/>
      </c>
      <c r="MQ31" s="218">
        <f>MQ$30*(MP$32)</f>
        <v/>
      </c>
      <c r="MR31" s="218">
        <f>MR$30*(MQ$32)</f>
        <v/>
      </c>
      <c r="MS31" s="218">
        <f>MS$30*(MR$32)</f>
        <v/>
      </c>
      <c r="MT31" s="218">
        <f>MT$30*(MS$32)</f>
        <v/>
      </c>
      <c r="MU31" s="218">
        <f>MU$30*(MT$32)</f>
        <v/>
      </c>
      <c r="MV31" s="218">
        <f>MV$30*(MU$32)</f>
        <v/>
      </c>
      <c r="MW31" s="218">
        <f>MW$30*(MV$32)</f>
        <v/>
      </c>
      <c r="MX31" s="218">
        <f>MX$30*(MW$32)</f>
        <v/>
      </c>
      <c r="MY31" s="218">
        <f>MY$30*(MX$32)</f>
        <v/>
      </c>
      <c r="MZ31" s="218">
        <f>MZ$30*(MY$32)</f>
        <v/>
      </c>
      <c r="NA31" s="218">
        <f>NA$30*(MZ$32)</f>
        <v/>
      </c>
      <c r="NB31" s="218">
        <f>NB$30*(NA$32)</f>
        <v/>
      </c>
      <c r="NC31" s="218">
        <f>NC$30*(NB$32)</f>
        <v/>
      </c>
      <c r="ND31" s="218">
        <f>ND$30*(NC$32)</f>
        <v/>
      </c>
      <c r="NE31" s="218">
        <f>NE$30*(ND$32)</f>
        <v/>
      </c>
      <c r="NF31" s="218">
        <f>NF$30*(NE$32)</f>
        <v/>
      </c>
      <c r="NG31" s="218">
        <f>NG$30*(NF$32)</f>
        <v/>
      </c>
      <c r="NH31" s="218">
        <f>NH$30*(NG$32)</f>
        <v/>
      </c>
      <c r="NI31" s="218">
        <f>NI$30*(NH$32)</f>
        <v/>
      </c>
      <c r="NJ31" s="218">
        <f>NJ$30*(NI$32)</f>
        <v/>
      </c>
      <c r="NK31" s="218">
        <f>NK$30*(NJ$32)</f>
        <v/>
      </c>
      <c r="NL31" s="218">
        <f>NL$30*(NK$32)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INDEX(E32:NL32,372)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12" t="inlineStr">
        <is>
          <t>Static (No-Growth) Property-Tax Basis</t>
        </is>
      </c>
    </row>
    <row r="75">
      <c r="B75" s="313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3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3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B1:G40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SUMPRODUCT(--ISERROR(Inputs!C16:C27))+SUMPRODUCT(--ISERROR(Inputs!C119:C145))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3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3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3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12" t="inlineStr">
        <is>
          <t>Input Hygiene</t>
        </is>
      </c>
      <c r="C34" s="155" t="n"/>
      <c r="D34" s="155" t="n"/>
    </row>
    <row r="35">
      <c r="B35" s="313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12" t="inlineStr">
        <is>
          <t>Summary</t>
        </is>
      </c>
      <c r="C37" s="155" t="n"/>
      <c r="D37" s="155" t="n"/>
    </row>
    <row r="38">
      <c r="B38" s="303" t="inlineStr">
        <is>
          <t>TOTAL ERRORS FOUND</t>
        </is>
      </c>
      <c r="C38" s="304">
        <f>COUNTIF(D4:D25,"FAIL")+COUNTIF(Proforma!$D$46:$D$46,"FAIL")</f>
        <v/>
      </c>
    </row>
    <row r="39">
      <c r="B39" s="303" t="inlineStr">
        <is>
          <t>TOTAL WARNINGS</t>
        </is>
      </c>
      <c r="C39" s="304">
        <f>COUNTIF(D28:D32,"WARN")+COUNTIF(D35:D35,"WARN")</f>
        <v/>
      </c>
    </row>
    <row r="40">
      <c r="B40" s="303" t="inlineStr">
        <is>
          <t>MODEL STATUS</t>
        </is>
      </c>
      <c r="C40" s="305">
        <f>IF(C38=0,"ALL CHECKS PASS","REVIEW FAILURES")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2026-07-14T03:16:12Z</dcterms:modified>
  <cp:lastModifiedBy>Thomas Holben</cp:lastModifiedBy>
</cp:coreProperties>
</file>