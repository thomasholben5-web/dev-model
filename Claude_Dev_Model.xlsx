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Disposition" sheetId="13" state="visible" r:id="rId13"/>
    <sheet name="CashFlow" sheetId="14" state="visible" r:id="rId14"/>
    <sheet name="Returns" sheetId="15" state="visible" r:id="rId15"/>
    <sheet name="Diagnostics" sheetId="16" state="visible" r:id="rId16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ilestoneEnd">Timeline!$E$4:$E$14</definedName>
    <definedName name="MilestoneNames">Timeline!$B$4:$B$14</definedName>
    <definedName name="MilestoneStart">Timeline!$C$4:$C$14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Dur_OpenEscrow">'Inputs'!$G$10</definedName>
    <definedName name="Dur_DueDiligence">'Inputs'!$G$11</definedName>
    <definedName name="Dur_Entitlement">'Inputs'!$G$12</definedName>
    <definedName name="Dur_PreConstruction">'Inputs'!$G$13</definedName>
    <definedName name="Dur_InitialClosing">'Inputs'!$G$14</definedName>
    <definedName name="Dur_Construction">'Inputs'!$G$15</definedName>
    <definedName name="Dur_FirstUnitDelivery">'Inputs'!$G$16</definedName>
    <definedName name="Dur_Stabilization">'Inputs'!$G$17</definedName>
    <definedName name="Dur_Recap">'Inputs'!$G$18</definedName>
    <definedName name="Dur_Disposition">'Inputs'!$G$19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5">'Diagnostics'!$1:$3</definedName>
    <definedName name="_xlnm.Print_Area" localSheetId="15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19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0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SUM(INDEX(DevSpend!$E$34:$NL$34,((C$22-1)*12+1)):INDEX(DevSpend!$E$34:$NL$34,((C$22-1)*12+1)+11))</f>
        <v/>
      </c>
      <c r="D23" s="329">
        <f>SUM(INDEX(DevSpend!$E$34:$NL$34,((D$22-1)*12+1)):INDEX(DevSpend!$E$34:$NL$34,((D$22-1)*12+1)+11))</f>
        <v/>
      </c>
      <c r="E23" s="329">
        <f>SUM(INDEX(DevSpend!$E$34:$NL$34,((E$22-1)*12+1)):INDEX(DevSpend!$E$34:$NL$34,((E$22-1)*12+1)+11))</f>
        <v/>
      </c>
      <c r="F23" s="329">
        <f>SUM(INDEX(DevSpend!$E$34:$NL$34,((F$22-1)*12+1)):INDEX(DevSpend!$E$34:$NL$34,((F$22-1)*12+1)+11))</f>
        <v/>
      </c>
      <c r="G23" s="329">
        <f>SUM(INDEX(DevSpend!$E$34:$NL$34,((G$22-1)*12+1)):INDEX(DevSpend!$E$34:$NL$34,((G$22-1)*12+1)+11))</f>
        <v/>
      </c>
      <c r="H23" s="329">
        <f>SUM(INDEX(DevSpend!$E$34:$NL$34,((H$22-1)*12+1)):INDEX(DevSpend!$E$34:$NL$34,((H$22-1)*12+1)+11))</f>
        <v/>
      </c>
      <c r="I23" s="329">
        <f>SUM(INDEX(DevSpend!$E$34:$NL$34,((I$22-1)*12+1)):INDEX(DevSpend!$E$34:$NL$34,((I$22-1)*12+1)+11))</f>
        <v/>
      </c>
      <c r="J23" s="329">
        <f>SUM(INDEX(DevSpend!$E$34:$NL$34,((J$22-1)*12+1)):INDEX(DevSpend!$E$34:$NL$34,((J$22-1)*12+1)+11))</f>
        <v/>
      </c>
      <c r="K23" s="329">
        <f>SUM(INDEX(DevSpend!$E$34:$NL$34,((K$22-1)*12+1)):INDEX(DevSpend!$E$34:$NL$34,((K$22-1)*12+1)+11))</f>
        <v/>
      </c>
      <c r="L23" s="329">
        <f>SUM(INDEX(DevSpend!$E$34:$NL$34,((L$22-1)*12+1)):INDEX(DevSpend!$E$34:$NL$34,((L$22-1)*12+1)+11))</f>
        <v/>
      </c>
      <c r="M23" s="329">
        <f>SUM(INDEX(DevSpend!$E$34:$NL$34,((M$22-1)*12+1)):INDEX(DevSpend!$E$34:$NL$34,((M$22-1)*12+1)+11))</f>
        <v/>
      </c>
      <c r="N23" s="329">
        <f>SUM(INDEX(DevSpend!$E$34:$NL$34,((N$22-1)*12+1)):INDEX(DevSpend!$E$34:$NL$34,((N$22-1)*12+1)+11))</f>
        <v/>
      </c>
      <c r="O23" s="329">
        <f>SUM(INDEX(DevSpend!$E$34:$NL$34,((O$22-1)*12+1)):INDEX(DevSpend!$E$34:$NL$34,((O$22-1)*12+1)+11))</f>
        <v/>
      </c>
      <c r="P23" s="329">
        <f>SUM(INDEX(DevSpend!$E$34:$NL$34,((P$22-1)*12+1)):INDEX(DevSpend!$E$34:$NL$34,((P$22-1)*12+1)+11))</f>
        <v/>
      </c>
      <c r="Q23" s="329">
        <f>SUM(INDEX(DevSpend!$E$34:$NL$34,((Q$22-1)*12+1)):INDEX(DevSpend!$E$34:$NL$34,((Q$22-1)*12+1)+11))</f>
        <v/>
      </c>
      <c r="R23" s="329">
        <f>SUM(INDEX(DevSpend!$E$34:$NL$34,((R$22-1)*12+1)):INDEX(DevSpend!$E$34:$NL$34,((R$22-1)*12+1)+11))</f>
        <v/>
      </c>
      <c r="S23" s="329">
        <f>SUM(INDEX(DevSpend!$E$34:$NL$34,((S$22-1)*12+1)):INDEX(DevSpend!$E$34:$NL$34,((S$22-1)*12+1)+11))</f>
        <v/>
      </c>
      <c r="T23" s="329">
        <f>SUM(INDEX(DevSpend!$E$34:$NL$34,((T$22-1)*12+1)):INDEX(DevSpend!$E$34:$NL$34,((T$22-1)*12+1)+11))</f>
        <v/>
      </c>
      <c r="U23" s="329">
        <f>SUM(INDEX(DevSpend!$E$34:$NL$34,((U$22-1)*12+1)):INDEX(DevSpend!$E$34:$NL$34,((U$22-1)*12+1)+11))</f>
        <v/>
      </c>
      <c r="V23" s="329">
        <f>SUM(INDEX(DevSpend!$E$34:$NL$34,((V$22-1)*12+1)):INDEX(DevSpend!$E$34:$NL$34,((V$22-1)*12+1)+11))</f>
        <v/>
      </c>
      <c r="W23" s="329">
        <f>SUM(INDEX(DevSpend!$E$34:$NL$34,((W$22-1)*12+1)):INDEX(DevSpend!$E$34:$NL$34,((W$22-1)*12+1)+11))</f>
        <v/>
      </c>
      <c r="X23" s="329">
        <f>SUM(INDEX(DevSpend!$E$34:$NL$34,((X$22-1)*12+1)):INDEX(DevSpend!$E$34:$NL$34,((X$22-1)*12+1)+11))</f>
        <v/>
      </c>
      <c r="Y23" s="329">
        <f>SUM(INDEX(DevSpend!$E$34:$NL$34,((Y$22-1)*12+1)):INDEX(DevSpend!$E$34:$NL$34,((Y$22-1)*12+1)+11))</f>
        <v/>
      </c>
      <c r="Z23" s="329">
        <f>SUM(INDEX(DevSpend!$E$34:$NL$34,((Z$22-1)*12+1)):INDEX(DevSpend!$E$34:$NL$34,((Z$22-1)*12+1)+11))</f>
        <v/>
      </c>
      <c r="AA23" s="329">
        <f>SUM(INDEX(DevSpend!$E$34:$NL$34,((AA$22-1)*12+1)):INDEX(DevSpend!$E$34:$NL$34,((AA$22-1)*12+1)+11))</f>
        <v/>
      </c>
      <c r="AB23" s="329">
        <f>SUM(INDEX(DevSpend!$E$34:$NL$34,((AB$22-1)*12+1)):INDEX(DevSpend!$E$34:$NL$34,((AB$22-1)*12+1)+11))</f>
        <v/>
      </c>
      <c r="AC23" s="329">
        <f>SUM(INDEX(DevSpend!$E$34:$NL$34,((AC$22-1)*12+1)):INDEX(DevSpend!$E$34:$NL$34,((AC$22-1)*12+1)+11))</f>
        <v/>
      </c>
      <c r="AD23" s="329">
        <f>SUM(INDEX(DevSpend!$E$34:$NL$34,((AD$22-1)*12+1)):INDEX(DevSpend!$E$34:$NL$34,((AD$22-1)*12+1)+11))</f>
        <v/>
      </c>
      <c r="AE23" s="329">
        <f>SUM(INDEX(DevSpend!$E$34:$NL$34,((AE$22-1)*12+1)):INDEX(DevSpend!$E$34:$NL$34,((AE$22-1)*12+1)+11))</f>
        <v/>
      </c>
      <c r="AF23" s="329">
        <f>SUM(INDEX(DevSpend!$E$34:$NL$34,((AF$22-1)*12+1)):INDEX(DevSpend!$E$34:$NL$34,((AF$22-1)*12+1)+11))</f>
        <v/>
      </c>
      <c r="AG23" s="329">
        <f>SUM(INDEX(DevSpend!$E$34:$NL$34,((AG$22-1)*12+1)):INDEX(DevSpend!$E$34:$NL$34,((AG$22-1)*12+1)+11))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9">
    <dataValidation sqref="C14" showDropDown="0" showInputMessage="0" showErrorMessage="1" allowBlank="0" promptTitle="LossToLeasePct" prompt="Range 0–0.1" type="decimal" operator="between">
      <formula1>0</formula1>
      <formula2>0.1</formula2>
    </dataValidation>
    <dataValidation sqref="C15" showDropDown="0" showInputMessage="0" showErrorMessage="1" allowBlank="0" promptTitle="BadDebtPct" prompt="Range 0–0.1" type="decimal" operator="between">
      <formula1>0</formula1>
      <formula2>0.1</formula2>
    </dataValidation>
    <dataValidation sqref="C16" showDropDown="0" showInputMessage="0" showErrorMessage="1" allowBlank="0" promptTitle="ConcessionsPct" prompt="Range 0–0.1" type="decimal" operator="between">
      <formula1>0</formula1>
      <formula2>0.1</formula2>
    </dataValidation>
    <dataValidation sqref="C17" showDropDown="0" showInputMessage="0" showErrorMessage="1" allowBlank="0" promptTitle="ModelUnits" prompt="Range 0–1000" type="whole" operator="between">
      <formula1>0</formula1>
      <formula2>1000</formula2>
    </dataValidation>
    <dataValidation sqref="C18" showDropDown="0" showInputMessage="0" showErrorMessage="1" allowBlank="0" promptTitle="ParkingPerUnitMo" prompt="Range 0–100000.0" type="decimal" operator="between">
      <formula1>0</formula1>
      <formula2>100000.0</formula2>
    </dataValidation>
    <dataValidation sqref="C19" showDropDown="0" showInputMessage="0" showErrorMessage="1" allowBlank="0" promptTitle="UtilReimbPerUnitMo" prompt="Range 0–100000.0" type="decimal" operator="between">
      <formula1>0</formula1>
      <formula2>100000.0</formula2>
    </dataValidation>
    <dataValidation sqref="C20" showDropDown="0" showInputMessage="0" showErrorMessage="1" allowBlank="0" promptTitle="OtherIncPerUnitMo" prompt="Range 0–100000.0" type="decimal" operator="between">
      <formula1>0</formula1>
      <formula2>100000.0</formula2>
    </dataValidation>
    <dataValidation sqref="C24" showDropDown="0" showInputMessage="0" showErrorMessage="1" allowBlank="0" promptTitle="ExpInsurancePerUnit" prompt="Range 0–100000.0" type="decimal" operator="between">
      <formula1>0</formula1>
      <formula2>100000.0</formula2>
    </dataValidation>
    <dataValidation sqref="C25" showDropDown="0" showInputMessage="0" showErrorMessage="1" allowBlank="0" promptTitle="ExpUtilitiesPerUnit" prompt="Range 0–100000.0" type="decimal" operator="between">
      <formula1>0</formula1>
      <formula2>100000.0</formula2>
    </dataValidation>
    <dataValidation sqref="C26" showDropDown="0" showInputMessage="0" showErrorMessage="1" allowBlank="0" promptTitle="ExpPayrollPerUnit" prompt="Range 0–100000.0" type="decimal" operator="between">
      <formula1>0</formula1>
      <formula2>100000.0</formula2>
    </dataValidation>
    <dataValidation sqref="C27" showDropDown="0" showInputMessage="0" showErrorMessage="1" allowBlank="0" promptTitle="MgmtFeePct" prompt="Range 0–0.1" type="decimal" operator="between">
      <formula1>0</formula1>
      <formula2>0.1</formula2>
    </dataValidation>
    <dataValidation sqref="C28" showDropDown="0" showInputMessage="0" showErrorMessage="1" allowBlank="0" promptTitle="ExpRMPerUnit" prompt="Range 0–100000.0" type="decimal" operator="between">
      <formula1>0</formula1>
      <formula2>100000.0</formula2>
    </dataValidation>
    <dataValidation sqref="C29" showDropDown="0" showInputMessage="0" showErrorMessage="1" allowBlank="0" promptTitle="ExpTurnoverPerUnit" prompt="Range 0–100000.0" type="decimal" operator="between">
      <formula1>0</formula1>
      <formula2>100000.0</formula2>
    </dataValidation>
    <dataValidation sqref="C30" showDropDown="0" showInputMessage="0" showErrorMessage="1" allowBlank="0" promptTitle="ExpContractPerUnit" prompt="Range 0–100000.0" type="decimal" operator="between">
      <formula1>0</formula1>
      <formula2>100000.0</formula2>
    </dataValidation>
    <dataValidation sqref="C31" showDropDown="0" showInputMessage="0" showErrorMessage="1" allowBlank="0" promptTitle="ExpAdminPerUnit" prompt="Range 0–100000.0" type="decimal" operator="between">
      <formula1>0</formula1>
      <formula2>100000.0</formula2>
    </dataValidation>
    <dataValidation sqref="C32" showDropDown="0" showInputMessage="0" showErrorMessage="1" allowBlank="0" promptTitle="ExpAdvertisingPerUnit" prompt="Range 0–100000.0" type="decimal" operator="between">
      <formula1>0</formula1>
      <formula2>100000.0</formula2>
    </dataValidation>
    <dataValidation sqref="C37" showDropDown="0" showInputMessage="0" showErrorMessage="1" allowBlank="0" promptTitle="CapReservePerUnit" prompt="Range 0–100000.0" type="decimal" operator="between">
      <formula1>0</formula1>
      <formula2>100000.0</formula2>
    </dataValidation>
    <dataValidation sqref="C38" showDropDown="0" showInputMessage="0" showErrorMessage="1" allowBlank="0" promptTitle="TaxPrepPerUnit" prompt="Range 0–100000.0" type="decimal" operator="between">
      <formula1>0</formula1>
      <formula2>100000.0</formula2>
    </dataValidation>
    <dataValidation sqref="C39" showDropDown="0" showInputMessage="0" showErrorMessage="1" allowBlank="0" promptTitle="AssetMgmtFeePct" prompt="Range 0–0.1" type="decimal" operator="between">
      <formula1>0</formula1>
      <formula2>0.1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316" t="inlineStr">
        <is>
          <t>Open Escrow (mo)</t>
        </is>
      </c>
      <c r="G10" s="288" t="n">
        <v>1</v>
      </c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inlineStr">
        <is>
          <t>Due Diligence (mo)</t>
        </is>
      </c>
      <c r="G11" s="288" t="n">
        <v>4</v>
      </c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inlineStr">
        <is>
          <t>Entitlement (mo)</t>
        </is>
      </c>
      <c r="G12" s="288" t="n">
        <v>5</v>
      </c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inlineStr">
        <is>
          <t>Pre-Construction (mo)</t>
        </is>
      </c>
      <c r="G13" s="288" t="n">
        <v>3</v>
      </c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inlineStr">
        <is>
          <t>Initial Closing (mo)</t>
        </is>
      </c>
      <c r="G14" s="288" t="n">
        <v>1</v>
      </c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inlineStr">
        <is>
          <t>Construction (mo)</t>
        </is>
      </c>
      <c r="G15" s="288" t="n">
        <v>22</v>
      </c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inlineStr">
        <is>
          <t>1st Unit Delivery (mo)</t>
        </is>
      </c>
      <c r="G16" s="288" t="n">
        <v>1</v>
      </c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inlineStr">
        <is>
          <t>Stabilization (mo)</t>
        </is>
      </c>
      <c r="G17" s="288" t="n">
        <v>1</v>
      </c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inlineStr">
        <is>
          <t>Recap / Refi (mo)</t>
        </is>
      </c>
      <c r="G18" s="288" t="n">
        <v>1</v>
      </c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inlineStr">
        <is>
          <t>Disposition (mo)</t>
        </is>
      </c>
      <c r="G19" s="288" t="n">
        <v>1</v>
      </c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</t>
        </is>
      </c>
      <c r="C36" s="398">
        <f>EOMONTH(InceptionDate,1)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</t>
        </is>
      </c>
      <c r="C44" s="386" t="n">
        <v>0.9399999999999999</v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promptTitle="Investment Type" type="list">
      <formula1>"Ground-Up Development,Value-Add,Core,Core-Plus"</formula1>
    </dataValidation>
    <dataValidation sqref="C12" showDropDown="0" showInputMessage="0" showErrorMessage="0" allowBlank="1" promptTitle="State" type="list">
      <formula1>"AZ,TX,CA,CO,NV,UT,NM,WA,OR,ID,FL,GA,NC,TN"</formula1>
    </dataValidation>
    <dataValidation sqref="C14" showDropDown="0" showInputMessage="0" showErrorMessage="0" allowBlank="1" promptTitle="Product Type" type="list">
      <formula1>"Garden,Mid-Rise,High-Rise,Wrap,Podium,Townhome"</formula1>
    </dataValidation>
    <dataValidation sqref="C15" showDropDown="0" showInputMessage="0" showErrorMessage="0" allowBlank="1" promptTitle="Location" type="list">
      <formula1>"Urban,Suburban,Suburban Infill,Rural"</formula1>
    </dataValidation>
    <dataValidation sqref="C19" showDropDown="0" showInputMessage="1" showErrorMessage="1" allowBlank="0" errorTitle="Out of range" error="Hold Period (mo): enter months." promptTitle="Hold Period (mo)" prompt="Unit: months.  Range: 1–360." type="whole" operator="between">
      <formula1>1</formula1>
      <formula2>360</formula2>
    </dataValidation>
    <dataValidation sqref="C20" showDropDown="0" showInputMessage="1" showErrorMessage="1" allowBlank="0" errorTitle="Out of range" error="Entry Cap Rate: enter rate %." promptTitle="Entry Cap Rate" prompt="Unit: rate %.  Range: 0–0.25." type="decimal" operator="between">
      <formula1>0</formula1>
      <formula2>0.25</formula2>
    </dataValidation>
    <dataValidation sqref="C23" showDropDown="0" showInputMessage="1" showErrorMessage="1" allowBlank="0" errorTitle="Out of range" error="Cap Adj — Location: enter ± rate." promptTitle="Cap Adj — Location" prompt="Unit: ± rate.  Range: -0.05–0.05." type="decimal" operator="between">
      <formula1>-0.05</formula1>
      <formula2>0.05</formula2>
    </dataValidation>
    <dataValidation sqref="C24" showDropDown="0" showInputMessage="1" showErrorMessage="1" allowBlank="0" errorTitle="Out of range" error="Cap Adj — Size: enter ± rate." promptTitle="Cap Adj — Size" prompt="Unit: ± rate.  Range: -0.05–0.05." type="decimal" operator="between">
      <formula1>-0.05</formula1>
      <formula2>0.05</formula2>
    </dataValidation>
    <dataValidation sqref="C25" showDropDown="0" showInputMessage="1" showErrorMessage="1" allowBlank="0" errorTitle="Out of range" error="Cap Adj — Aging: enter ± rate." promptTitle="Cap Adj — Aging" prompt="Unit: ± rate.  Range: -0.05–0.05." type="decimal" operator="between">
      <formula1>-0.05</formula1>
      <formula2>0.05</formula2>
    </dataValidation>
    <dataValidation sqref="C27" showDropDown="0" showInputMessage="1" showErrorMessage="1" allowBlank="0" errorTitle="Out of range" error="Exit Cap — Retail: enter rate %." promptTitle="Exit Cap — Retail" prompt="Unit: rate %.  Range: 0–0.25." type="decimal" operator="between">
      <formula1>0</formula1>
      <formula2>0.25</formula2>
    </dataValidation>
    <dataValidation sqref="C30" showDropDown="0" showInputMessage="1" showErrorMessage="1" allowBlank="0" errorTitle="Out of range" error="Rent Growth: enter annual %." promptTitle="Rent Growth" prompt="Unit: annual %.  Range: -0.1–0.2." type="decimal" operator="between">
      <formula1>-0.1</formula1>
      <formula2>0.2</formula2>
    </dataValidation>
    <dataValidation sqref="C31" showDropDown="0" showInputMessage="1" showErrorMessage="1" allowBlank="0" errorTitle="Out of range" error="Low-Income Rent Growth: enter annual %." promptTitle="Low-Income Rent Growth" prompt="Unit: annual %.  Range: -0.1–0.2." type="decimal" operator="between">
      <formula1>-0.1</formula1>
      <formula2>0.2</formula2>
    </dataValidation>
    <dataValidation sqref="C32" showDropDown="0" showInputMessage="1" showErrorMessage="1" allowBlank="0" errorTitle="Out of range" error="Expense Growth: enter annual %." promptTitle="Expense Growth" prompt="Unit: annual %.  Range: -0.1–0.2." type="decimal" operator="between">
      <formula1>-0.1</formula1>
      <formula2>0.2</formula2>
    </dataValidation>
    <dataValidation sqref="C33" showDropDown="0" showInputMessage="1" showErrorMessage="1" allowBlank="0" errorTitle="Out of range" error="Utility Growth: enter annual %." promptTitle="Utility Growth" prompt="Unit: annual %.  Range: -0.1–0.2." type="decimal" operator="between">
      <formula1>-0.1</formula1>
      <formula2>0.2</formula2>
    </dataValidation>
    <dataValidation sqref="C34" showDropDown="0" showInputMessage="1" showErrorMessage="1" allowBlank="0" errorTitle="Out of range" error="Tax Growth: enter annual %." promptTitle="Tax Growth" prompt="Unit: annual %.  Range: -0.1–0.2." type="decimal" operator="between">
      <formula1>-0.1</formula1>
      <formula2>0.2</formula2>
    </dataValidation>
    <dataValidation sqref="C35" showDropDown="0" showInputMessage="1" showErrorMessage="1" allowBlank="0" errorTitle="Out of range" error="Other-Income Growth: enter annual %." promptTitle="Other-Income Growth" prompt="Unit: annual %.  Range: -0.1–0.2." type="decimal" operator="between">
      <formula1>-0.1</formula1>
      <formula2>0.2</formula2>
    </dataValidation>
    <dataValidation sqref="C39" showDropDown="0" showInputMessage="0" showErrorMessage="1" allowBlank="0" promptTitle="Lease-Up Income" prompt="Offset vs equity = 1 · Do not offset = 0" type="list">
      <formula1>"Offset vs equity,Do not offset"</formula1>
    </dataValidation>
    <dataValidation sqref="C40" showDropDown="0" showInputMessage="1" showErrorMessage="1" allowBlank="0" errorTitle="Out of range" error="Units Delivered / Mo: enter units/mo." promptTitle="Units Delivered / Mo" prompt="Unit: units/mo.  Range: 1–1000." type="whole" operator="between">
      <formula1>1</formula1>
      <formula2>1000</formula2>
    </dataValidation>
    <dataValidation sqref="C41" showDropDown="0" showInputMessage="1" showErrorMessage="1" allowBlank="0" errorTitle="Out of range" error="Units Leased / Mo: enter units/mo." promptTitle="Units Leased / Mo" prompt="Unit: units/mo.  Range: 1–1000." type="whole" operator="between">
      <formula1>1</formula1>
      <formula2>1000</formula2>
    </dataValidation>
    <dataValidation sqref="C42" showDropDown="0" showInputMessage="1" showErrorMessage="1" allowBlank="0" errorTitle="Out of range" error="Lease-Up Opex Ramp: enter % of stab." promptTitle="Lease-Up Opex Ramp" prompt="Unit: % of stab.  Range: 0–1." type="decimal" operator="between">
      <formula1>0</formula1>
      <formula2>1</formula2>
    </dataValidation>
    <dataValidation sqref="C43" showDropDown="0" showInputMessage="1" showErrorMessage="1" allowBlank="0" errorTitle="Out of range" error="Lease-Up Opex Uplift: enter uplift %." promptTitle="Lease-Up Opex Uplift" prompt="Unit: uplift %.  Range: 0–1." type="decimal" operator="between">
      <formula1>0</formula1>
      <formula2>1</formula2>
    </dataValidation>
    <dataValidation sqref="C44" showDropDown="0" showInputMessage="1" showErrorMessage="1" allowBlank="0" errorTitle="Out of range" error="Stabilized Occupancy: enter occupancy %." promptTitle="Stabilized Occupancy" prompt="Unit: occupancy %.  Range: 0.5–1.0." type="decimal" operator="between">
      <formula1>0.5</formula1>
      <formula2>1.0</formula2>
    </dataValidation>
    <dataValidation sqref="G9" showDropDown="0" showInputMessage="1" showErrorMessage="1" allowBlank="0" errorTitle="Out of range" error="Delivery Lag (mo): enter months." promptTitle="Delivery Lag (mo)" prompt="Unit: months.  Range: 0–120." type="whole" operator="between">
      <formula1>0</formula1>
      <formula2>120</formula2>
    </dataValidation>
    <dataValidation sqref="G10" showDropDown="0" showInputMessage="1" showErrorMessage="1" allowBlank="0" errorTitle="Out of range" error="Open Escrow (mo): enter months." promptTitle="Open Escrow (mo)" prompt="Unit: months.  Range: 0–120." type="whole" operator="between">
      <formula1>0</formula1>
      <formula2>120</formula2>
    </dataValidation>
    <dataValidation sqref="G11" showDropDown="0" showInputMessage="1" showErrorMessage="1" allowBlank="0" errorTitle="Out of range" error="Due Diligence (mo): enter months." promptTitle="Due Diligence (mo)" prompt="Unit: months.  Range: 0–120." type="whole" operator="between">
      <formula1>0</formula1>
      <formula2>120</formula2>
    </dataValidation>
    <dataValidation sqref="G12" showDropDown="0" showInputMessage="1" showErrorMessage="1" allowBlank="0" errorTitle="Out of range" error="Entitlement (mo): enter months." promptTitle="Entitlement (mo)" prompt="Unit: months.  Range: 0–120." type="whole" operator="between">
      <formula1>0</formula1>
      <formula2>120</formula2>
    </dataValidation>
    <dataValidation sqref="G13" showDropDown="0" showInputMessage="1" showErrorMessage="1" allowBlank="0" errorTitle="Out of range" error="Pre-Construction (mo): enter months." promptTitle="Pre-Construction (mo)" prompt="Unit: months.  Range: 0–120." type="whole" operator="between">
      <formula1>0</formula1>
      <formula2>120</formula2>
    </dataValidation>
    <dataValidation sqref="G14" showDropDown="0" showInputMessage="1" showErrorMessage="1" allowBlank="0" errorTitle="Out of range" error="Initial Closing (mo): enter months." promptTitle="Initial Closing (mo)" prompt="Unit: months.  Range: 0–120." type="whole" operator="between">
      <formula1>0</formula1>
      <formula2>120</formula2>
    </dataValidation>
    <dataValidation sqref="G15" showDropDown="0" showInputMessage="1" showErrorMessage="1" allowBlank="0" errorTitle="Out of range" error="Construction (mo): enter months." promptTitle="Construction (mo)" prompt="Unit: months.  Range: 0–120." type="whole" operator="between">
      <formula1>0</formula1>
      <formula2>120</formula2>
    </dataValidation>
    <dataValidation sqref="G16" showDropDown="0" showInputMessage="1" showErrorMessage="1" allowBlank="0" errorTitle="Out of range" error="1st Unit Delivery (mo): enter months." promptTitle="1st Unit Delivery (mo)" prompt="Unit: months.  Range: 0–120." type="whole" operator="between">
      <formula1>0</formula1>
      <formula2>120</formula2>
    </dataValidation>
    <dataValidation sqref="G17" showDropDown="0" showInputMessage="1" showErrorMessage="1" allowBlank="0" errorTitle="Out of range" error="Stabilization (mo): enter months." promptTitle="Stabilization (mo)" prompt="Unit: months.  Range: 0–120." type="whole" operator="between">
      <formula1>0</formula1>
      <formula2>120</formula2>
    </dataValidation>
    <dataValidation sqref="G18" showDropDown="0" showInputMessage="1" showErrorMessage="1" allowBlank="0" errorTitle="Out of range" error="Recap / Refi (mo): enter months." promptTitle="Recap / Refi (mo)" prompt="Unit: months.  Range: 0–120." type="whole" operator="between">
      <formula1>0</formula1>
      <formula2>120</formula2>
    </dataValidation>
    <dataValidation sqref="G19" showDropDown="0" showInputMessage="1" showErrorMessage="1" allowBlank="0" errorTitle="Out of range" error="Disposition (mo): enter months." promptTitle="Disposition (mo)" prompt="Unit: months.  Range: 0–120." type="whole" operator="between">
      <formula1>0</formula1>
      <formula2>120</formula2>
    </dataValidation>
    <dataValidation sqref="G22" showDropDown="0" showInputMessage="0" showErrorMessage="1" allowBlank="0" promptTitle="Funding Order" prompt="Pari-Passu = 1 · Equity First = 0" type="list">
      <formula1>"Pari-Passu,Equity First"</formula1>
    </dataValidation>
    <dataValidation sqref="G23" showDropDown="0" showInputMessage="1" showErrorMessage="1" allowBlank="0" errorTitle="Out of range" error="Target LTC: enter LTC %." promptTitle="Target LTC" prompt="Unit: LTC %.  Range: 0–0.9." type="decimal" operator="between">
      <formula1>0</formula1>
      <formula2>0.9</formula2>
    </dataValidation>
    <dataValidation sqref="G24" showDropDown="0" showInputMessage="1" showErrorMessage="1" allowBlank="0" errorTitle="Out of range" error="Op Reserve Coverage: enter x." promptTitle="Op Reserve Coverage" prompt="Unit: x.  Range: 1.0–3.0." type="decimal" operator="between">
      <formula1>1.0</formula1>
      <formula2>3.0</formula2>
    </dataValidation>
    <dataValidation sqref="G25" showDropDown="0" showInputMessage="1" showErrorMessage="1" allowBlank="0" errorTitle="Out of range" error="Op Reserve Min Months: enter months." promptTitle="Op Reserve Min Months" prompt="Unit: months.  Range: 0–24." type="whole" operator="between">
      <formula1>0</formula1>
      <formula2>24</formula2>
    </dataValidation>
    <dataValidation sqref="G28" showDropDown="0" showInputMessage="1" showErrorMessage="1" allowBlank="0" errorTitle="Out of range" error="Con Loan Term (mo): enter months." promptTitle="Con Loan Term (mo)" prompt="Unit: months.  Range: 12–60." type="whole" operator="between">
      <formula1>12</formula1>
      <formula2>60</formula2>
    </dataValidation>
    <dataValidation sqref="G29" showDropDown="0" showInputMessage="1" showErrorMessage="1" allowBlank="0" errorTitle="Out of range" error="Con Rate: enter rate %." promptTitle="Con Rate" prompt="Unit: rate %.  Range: 0–0.25." type="decimal" operator="between">
      <formula1>0</formula1>
      <formula2>0.25</formula2>
    </dataValidation>
    <dataValidation sqref="G30" showDropDown="0" showInputMessage="0" showErrorMessage="1" allowBlank="0" promptTitle="Con Interest Calc" prompt="Actual/360 = 1 · 30/360 = 0" type="list">
      <formula1>"Actual/360,30/360"</formula1>
    </dataValidation>
    <dataValidation sqref="G31" showDropDown="0" showInputMessage="1" showErrorMessage="1" allowBlank="0" errorTitle="Out of range" error="Con Points: enter points %." promptTitle="Con Points" prompt="Unit: points %.  Range: 0–0.1." type="decimal" operator="between">
      <formula1>0</formula1>
      <formula2>0.1</formula2>
    </dataValidation>
    <dataValidation sqref="G32" showDropDown="0" showInputMessage="1" showErrorMessage="1" allowBlank="0" errorTitle="Out of range" error="Con Other Costs: enter $." promptTitle="Con Other Costs" prompt="Unit: $.  Range: 0–1000000000.0." type="decimal" operator="between">
      <formula1>0</formula1>
      <formula2>1000000000.0</formula2>
    </dataValidation>
    <dataValidation sqref="G33" showDropDown="0" showInputMessage="1" showErrorMessage="1" allowBlank="0" errorTitle="Out of range" error="Con Min Debt Yield: enter rate %." promptTitle="Con Min Debt Yield" prompt="Unit: rate %.  Range: 0–0.25." type="decimal" operator="between">
      <formula1>0</formula1>
      <formula2>0.25</formula2>
    </dataValidation>
    <dataValidation sqref="G34" showDropDown="0" showInputMessage="1" showErrorMessage="1" allowBlank="0" errorTitle="Out of range" error="Con Min DSCR: enter x." promptTitle="Con Min DSCR" prompt="Unit: x.  Range: 1.0–2.0." type="decimal" operator="between">
      <formula1>1.0</formula1>
      <formula2>2.0</formula2>
    </dataValidation>
    <dataValidation sqref="G35" showDropDown="0" showInputMessage="1" showErrorMessage="1" allowBlank="0" errorTitle="Out of range" error="Lender Reserve Override: enter $ (0=auto)." promptTitle="Lender Reserve Override" prompt="Unit: $ (0=auto).  Range: 0–1000000000.0." type="decimal" operator="between">
      <formula1>0</formula1>
      <formula2>1000000000.0</formula2>
    </dataValidation>
    <dataValidation sqref="G38" showDropDown="0" showInputMessage="1" showErrorMessage="1" allowBlank="0" errorTitle="Out of range" error="Refi Lag (mo): enter months." promptTitle="Refi Lag (mo)" prompt="Unit: months.  Range: 0–24." type="whole" operator="between">
      <formula1>0</formula1>
      <formula2>24</formula2>
    </dataValidation>
    <dataValidation sqref="G39" showDropDown="0" showInputMessage="0" showErrorMessage="1" allowBlank="0" promptTitle="Interest Method" prompt="Current Pay = 1 · Capitalized = 0" type="list">
      <formula1>"Current Pay,Capitalized"</formula1>
    </dataValidation>
    <dataValidation sqref="G40" showDropDown="0" showInputMessage="1" showErrorMessage="1" allowBlank="0" errorTitle="Out of range" error="Interest Conversion Mo: enter mo (0=auto)." promptTitle="Interest Conversion Mo" prompt="Unit: mo (0=auto).  Range: 0–360." type="whole" operator="between">
      <formula1>0</formula1>
      <formula2>360</formula2>
    </dataValidation>
    <dataValidation sqref="K9" showDropDown="0" showInputMessage="1" showErrorMessage="1" allowBlank="0" errorTitle="Out of range" error="Perm Max LTV: enter LTV %." promptTitle="Perm Max LTV" prompt="Unit: LTV %.  Range: 0–0.9." type="decimal" operator="between">
      <formula1>0</formula1>
      <formula2>0.9</formula2>
    </dataValidation>
    <dataValidation sqref="K10" showDropDown="0" showInputMessage="1" showErrorMessage="1" allowBlank="0" errorTitle="Out of range" error="Perm Rate: enter rate %." promptTitle="Perm Rate" prompt="Unit: rate %.  Range: 0–0.25." type="decimal" operator="between">
      <formula1>0</formula1>
      <formula2>0.25</formula2>
    </dataValidation>
    <dataValidation sqref="K11" showDropDown="0" showInputMessage="1" showErrorMessage="1" allowBlank="0" errorTitle="Out of range" error="Perm Term (mo): enter months." promptTitle="Perm Term (mo)" prompt="Unit: months.  Range: 60–480." type="whole" operator="between">
      <formula1>60</formula1>
      <formula2>480</formula2>
    </dataValidation>
    <dataValidation sqref="K12" showDropDown="0" showInputMessage="1" showErrorMessage="1" allowBlank="0" errorTitle="Out of range" error="Perm I/O (mo): enter months." promptTitle="Perm I/O (mo)" prompt="Unit: months.  Range: 0–120." type="whole" operator="between">
      <formula1>0</formula1>
      <formula2>120</formula2>
    </dataValidation>
    <dataValidation sqref="K13" showDropDown="0" showInputMessage="1" showErrorMessage="1" allowBlank="0" errorTitle="Out of range" error="Perm Amort (mo): enter months." promptTitle="Perm Amort (mo)" prompt="Unit: months.  Range: 60–480." type="whole" operator="between">
      <formula1>60</formula1>
      <formula2>480</formula2>
    </dataValidation>
    <dataValidation sqref="K14" showDropDown="0" showInputMessage="0" showErrorMessage="1" allowBlank="0" promptTitle="Perm Interest Calc" prompt="Actual/360 = 1 · 30/360 = 0" type="list">
      <formula1>"Actual/360,30/360"</formula1>
    </dataValidation>
    <dataValidation sqref="K15" showDropDown="0" showInputMessage="1" showErrorMessage="1" allowBlank="0" errorTitle="Out of range" error="Perm Points: enter points %." promptTitle="Perm Points" prompt="Unit: points %.  Range: 0–0.1." type="decimal" operator="between">
      <formula1>0</formula1>
      <formula2>0.1</formula2>
    </dataValidation>
    <dataValidation sqref="K16" showDropDown="0" showInputMessage="1" showErrorMessage="1" allowBlank="0" errorTitle="Out of range" error="Perm Min Debt Yield: enter rate %." promptTitle="Perm Min Debt Yield" prompt="Unit: rate %.  Range: 0–0.25." type="decimal" operator="between">
      <formula1>0</formula1>
      <formula2>0.25</formula2>
    </dataValidation>
    <dataValidation sqref="K17" showDropDown="0" showInputMessage="1" showErrorMessage="1" allowBlank="0" errorTitle="Out of range" error="Perm Min DSCR: enter x." promptTitle="Perm Min DSCR" prompt="Unit: x.  Range: 1.0–2.0." type="decimal" operator="between">
      <formula1>1.0</formula1>
      <formula2>2.0</formula2>
    </dataValidation>
    <dataValidation sqref="K18" showDropDown="0" showInputMessage="0" showErrorMessage="1" allowBlank="0" promptTitle="Cash-Out at Refi" prompt="No Cash-Out (solve LTV to zero) = 1 · Cash-Out Permitted = 0" type="list">
      <formula1>"No Cash-Out (solve LTV to zero),Cash-Out Permitted"</formula1>
    </dataValidation>
    <dataValidation sqref="K19" showDropDown="0" showInputMessage="1" showErrorMessage="1" allowBlank="0" errorTitle="Out of range" error="Refi Month Override: enter mo (0=auto)." promptTitle="Refi Month Override" prompt="Unit: mo (0=auto).  Range: 0–360." type="whole" operator="between">
      <formula1>0</formula1>
      <formula2>360</formula2>
    </dataValidation>
    <dataValidation sqref="K22" showDropDown="0" showInputMessage="1" showErrorMessage="1" allowBlank="0" errorTitle="Out of range" error="Dev Fee % of Direct: enter % direct." promptTitle="Dev Fee % of Direct" prompt="Unit: % direct.  Range: 0–0.1." type="decimal" operator="between">
      <formula1>0</formula1>
      <formula2>0.1</formula2>
    </dataValidation>
    <dataValidation sqref="K23" showDropDown="0" showInputMessage="1" showErrorMessage="1" allowBlank="0" errorTitle="Out of range" error="3rd-Party Fee Split: enter split %." promptTitle="3rd-Party Fee Split" prompt="Unit: split %.  Range: 0–1." type="decimal" operator="between">
      <formula1>0</formula1>
      <formula2>1</formula2>
    </dataValidation>
    <dataValidation sqref="K24" showDropDown="0" showInputMessage="1" showErrorMessage="1" allowBlank="0" errorTitle="Out of range" error="Sponsor Dispo Fee: enter % sale." promptTitle="Sponsor Dispo Fee" prompt="Unit: % sale.  Range: 0–0.1." type="decimal" operator="between">
      <formula1>0</formula1>
      <formula2>0.1</formula2>
    </dataValidation>
    <dataValidation sqref="K25" showDropDown="0" showInputMessage="1" showErrorMessage="1" allowBlank="0" errorTitle="Out of range" error="Recourse Fee: enter % loan." promptTitle="Recourse Fee" prompt="Unit: % loan.  Range: 0–0.1." type="decimal" operator="between">
      <formula1>0</formula1>
      <formula2>0.1</formula2>
    </dataValidation>
    <dataValidation sqref="K28" showDropDown="0" showInputMessage="1" showErrorMessage="1" allowBlank="0" errorTitle="Out of range" error="Broker / Sale Cost: enter % sale." promptTitle="Broker / Sale Cost" prompt="Unit: % sale.  Range: 0–0.1." type="decimal" operator="between">
      <formula1>0</formula1>
      <formula2>0.1</formula2>
    </dataValidation>
    <dataValidation sqref="K29" showDropDown="0" showInputMessage="1" showErrorMessage="1" allowBlank="0" errorTitle="Out of range" error="Transfer / Sales Tax: enter % sale." promptTitle="Transfer / Sales Tax" prompt="Unit: % sale.  Range: 0–0.1." type="decimal" operator="between">
      <formula1>0</formula1>
      <formula2>0.1</formula2>
    </dataValidation>
    <dataValidation sqref="K30" showDropDown="0" showInputMessage="1" showErrorMessage="1" allowBlank="0" errorTitle="Out of range" error="Tax Proration (mo): enter months." promptTitle="Tax Proration (mo)" prompt="Unit: months.  Range: 0–12." type="whole" operator="between">
      <formula1>0</formula1>
      <formula2>12</formula2>
    </dataValidation>
    <dataValidation sqref="K33" showDropDown="0" showInputMessage="1" showErrorMessage="1" allowBlank="0" errorTitle="Out of range" error="Tax Levy %: enter rate %." promptTitle="Tax Levy %" prompt="Unit: rate %.  Range: 0–0.25." type="decimal" operator="between">
      <formula1>0</formula1>
      <formula2>0.25</formula2>
    </dataValidation>
    <dataValidation sqref="K34" showDropDown="0" showInputMessage="1" showErrorMessage="1" allowBlank="0" errorTitle="Out of range" error="Assessment Ratio %: enter assessment %." promptTitle="Assessment Ratio %" prompt="Unit: assessment %.  Range: 0–1." type="decimal" operator="between">
      <formula1>0</formula1>
      <formula2>1</formula2>
    </dataValidation>
    <dataValidation sqref="K35" showDropDown="0" showInputMessage="1" showErrorMessage="1" allowBlank="0" errorTitle="Out of range" error="Value-Adj Factor: enter factor." promptTitle="Value-Adj Factor" prompt="Unit: factor.  Range: 0–1." type="decimal" operator="between">
      <formula1>0</formula1>
      <formula2>1</formula2>
    </dataValidation>
    <dataValidation sqref="K36" showDropDown="0" showInputMessage="0" showErrorMessage="1" allowBlank="0" promptTitle="Post-Stab Tax Method" prompt="Value Approach = 1 · Income Approach = 0" type="list">
      <formula1>"Value Approach,Income Approach"</formula1>
    </dataValidation>
    <dataValidation sqref="K37" showDropDown="0" showInputMessage="1" showErrorMessage="1" allowBlank="0" errorTitle="Out of range" error="Year-1 Tax Override: enter $ (0=auto)." promptTitle="Year-1 Tax Override" prompt="Unit: $ (0=auto).  Range: 0–1000000000.0." type="decimal" operator="between">
      <formula1>0</formula1>
      <formula2>1000000000.0</formula2>
    </dataValidation>
    <dataValidation sqref="K38" showDropDown="0" showInputMessage="0" showErrorMessage="1" allowBlank="0" promptTitle="Dispo Tax Driver" prompt="Reassessed = 1 · Imputed = 0" type="list">
      <formula1>"Reassessed,Imputed"</formula1>
    </dataValidation>
    <dataValidation sqref="K39" showDropDown="0" showInputMessage="1" showErrorMessage="1" allowBlank="0" errorTitle="Out of range" error="Buyer Tax Rate: enter rate %." promptTitle="Buyer Tax Rate" prompt="Unit: rate %.  Range: 0–0.25." type="decimal" operator="between">
      <formula1>0</formula1>
      <formula2>0.25</formula2>
    </dataValidation>
    <dataValidation sqref="K40" showDropDown="0" showInputMessage="0" showErrorMessage="1" allowBlank="0" promptTitle="Lease-Up Tax" prompt="Capitalize in budget = 1 · Expense from delivery = 0" type="list">
      <formula1>"Capitalize in budget,Expense from delivery"</formula1>
    </dataValidation>
    <dataValidation sqref="O9" showDropDown="0" showInputMessage="1" showErrorMessage="1" allowBlank="0" errorTitle="Out of range" error="Land Cost: enter $." promptTitle="Land Cost" prompt="Unit: $.  Range: 0–1000000000000.0." type="decimal" operator="between">
      <formula1>0</formula1>
      <formula2>1000000000000.0</formula2>
    </dataValidation>
    <dataValidation sqref="O10" showDropDown="0" showInputMessage="1" showErrorMessage="1" allowBlank="0" errorTitle="Out of range" error="Gross Acres: enter acres." promptTitle="Gross Acres" prompt="Unit: acres.  Range: 0–10000." type="decimal" operator="between">
      <formula1>0</formula1>
      <formula2>10000</formula2>
    </dataValidation>
    <dataValidation sqref="O12" showDropDown="0" showInputMessage="1" showErrorMessage="1" allowBlank="0" errorTitle="Out of range" error="FAR Ratio: enter ratio." promptTitle="FAR Ratio" prompt="Unit: ratio.  Range: 0–20." type="decimal" operator="between">
      <formula1>0</formula1>
      <formula2>20</formula2>
    </dataValidation>
    <dataValidation sqref="O13" showDropDown="0" showInputMessage="1" showErrorMessage="1" allowBlank="0" errorTitle="Out of range" error="Efficiency Ratio: enter NRSF/gross %." promptTitle="Efficiency Ratio" prompt="Unit: NRSF/gross %.  Range: 0.5–1.0." type="decimal" operator="between">
      <formula1>0.5</formula1>
      <formula2>1.0</formula2>
    </dataValidation>
    <dataValidation sqref="O14" showDropDown="0" showInputMessage="1" showErrorMessage="1" allowBlank="0" errorTitle="Out of range" error="Existing Structure Cost: enter $." promptTitle="Existing Structure Cost" prompt="Unit: $.  Range: 0–1000000000000.0." type="decimal" operator="between">
      <formula1>0</formula1>
      <formula2>1000000000000.0</formula2>
    </dataValidation>
    <dataValidation sqref="O17" showDropDown="0" showInputMessage="1" showErrorMessage="1" allowBlank="0" errorTitle="Out of range" error="Bad Debt %: enter % GPR." promptTitle="Bad Debt %" prompt="Unit: % GPR.  Range: 0–0.1." type="decimal" operator="between">
      <formula1>0</formula1>
      <formula2>0.1</formula2>
    </dataValidation>
    <dataValidation sqref="O18" showDropDown="0" showInputMessage="1" showErrorMessage="1" allowBlank="0" errorTitle="Out of range" error="Concessions %: enter % GPR." promptTitle="Concessions %" prompt="Unit: % GPR.  Range: 0–0.1." type="decimal" operator="between">
      <formula1>0</formula1>
      <formula2>0.1</formula2>
    </dataValidation>
    <dataValidation sqref="O19" showDropDown="0" showInputMessage="1" showErrorMessage="1" allowBlank="0" errorTitle="Out of range" error="Loss to Lease %: enter % GPR." promptTitle="Loss to Lease %" prompt="Unit: % GPR.  Range: 0–0.1." type="decimal" operator="between">
      <formula1>0</formula1>
      <formula2>0.1</formula2>
    </dataValidation>
    <dataValidation sqref="O20" showDropDown="0" showInputMessage="1" showErrorMessage="1" allowBlank="0" errorTitle="Out of range" error="Model / Down Units: enter units." promptTitle="Model / Down Units" prompt="Unit: units.  Range: 0–1000." type="whole" operator="between">
      <formula1>0</formula1>
      <formula2>1000</formula2>
    </dataValidation>
    <dataValidation sqref="O21" showDropDown="0" showInputMessage="1" showErrorMessage="1" allowBlank="0" errorTitle="Out of range" error="Parking $/unit/mo: enter $/unit/mo." promptTitle="Parking $/unit/mo" prompt="Unit: $/unit/mo.  Range: 0–100000.0." type="decimal" operator="between">
      <formula1>0</formula1>
      <formula2>100000.0</formula2>
    </dataValidation>
    <dataValidation sqref="O22" showDropDown="0" showInputMessage="1" showErrorMessage="1" allowBlank="0" errorTitle="Out of range" error="Retail Income $/mo: enter $/mo." promptTitle="Retail Income $/mo" prompt="Unit: $/mo.  Range: 0–10000000.0." type="decimal" operator="between">
      <formula1>0</formula1>
      <formula2>10000000.0</formula2>
    </dataValidation>
    <dataValidation sqref="O23" showDropDown="0" showInputMessage="1" showErrorMessage="1" allowBlank="0" errorTitle="Out of range" error="Utility Reimb $/unit/mo: enter $/unit/mo." promptTitle="Utility Reimb $/unit/mo" prompt="Unit: $/unit/mo.  Range: 0–100000.0." type="decimal" operator="between">
      <formula1>0</formula1>
      <formula2>100000.0</formula2>
    </dataValidation>
    <dataValidation sqref="O24" showDropDown="0" showInputMessage="1" showErrorMessage="1" allowBlank="0" errorTitle="Out of range" error="Other Income $/unit/mo: enter $/unit/mo." promptTitle="Other Income $/unit/mo" prompt="Unit: $/unit/mo.  Range: 0–100000.0." type="decimal" operator="between">
      <formula1>0</formula1>
      <formula2>100000.0</formula2>
    </dataValidation>
    <dataValidation sqref="O27" showDropDown="0" showInputMessage="1" showErrorMessage="1" allowBlank="0" errorTitle="Out of range" error="Insurance $/unit/yr: enter $/unit/yr." promptTitle="Insurance $/unit/yr" prompt="Unit: $/unit/yr.  Range: 0–100000.0." type="decimal" operator="between">
      <formula1>0</formula1>
      <formula2>100000.0</formula2>
    </dataValidation>
    <dataValidation sqref="O28" showDropDown="0" showInputMessage="1" showErrorMessage="1" allowBlank="0" errorTitle="Out of range" error="Utilities $/unit/yr: enter $/unit/yr." promptTitle="Utilities $/unit/yr" prompt="Unit: $/unit/yr.  Range: 0–100000.0." type="decimal" operator="between">
      <formula1>0</formula1>
      <formula2>100000.0</formula2>
    </dataValidation>
    <dataValidation sqref="O29" showDropDown="0" showInputMessage="1" showErrorMessage="1" allowBlank="0" errorTitle="Out of range" error="Payroll $/unit/yr: enter $/unit/yr." promptTitle="Payroll $/unit/yr" prompt="Unit: $/unit/yr.  Range: 0–100000.0." type="decimal" operator="between">
      <formula1>0</formula1>
      <formula2>100000.0</formula2>
    </dataValidation>
    <dataValidation sqref="O30" showDropDown="0" showInputMessage="1" showErrorMessage="1" allowBlank="0" errorTitle="Out of range" error="R&amp;M $/unit/yr: enter $/unit/yr." promptTitle="R&amp;M $/unit/yr" prompt="Unit: $/unit/yr.  Range: 0–100000.0." type="decimal" operator="between">
      <formula1>0</formula1>
      <formula2>100000.0</formula2>
    </dataValidation>
    <dataValidation sqref="O31" showDropDown="0" showInputMessage="1" showErrorMessage="1" allowBlank="0" errorTitle="Out of range" error="Turnover $/unit/yr: enter $/unit/yr." promptTitle="Turnover $/unit/yr" prompt="Unit: $/unit/yr.  Range: 0–100000.0." type="decimal" operator="between">
      <formula1>0</formula1>
      <formula2>100000.0</formula2>
    </dataValidation>
    <dataValidation sqref="O32" showDropDown="0" showInputMessage="1" showErrorMessage="1" allowBlank="0" errorTitle="Out of range" error="Contract Svc $/unit/yr: enter $/unit/yr." promptTitle="Contract Svc $/unit/yr" prompt="Unit: $/unit/yr.  Range: 0–100000.0." type="decimal" operator="between">
      <formula1>0</formula1>
      <formula2>100000.0</formula2>
    </dataValidation>
    <dataValidation sqref="O33" showDropDown="0" showInputMessage="1" showErrorMessage="1" allowBlank="0" errorTitle="Out of range" error="Admin &amp; Legal $/unit/yr: enter $/unit/yr." promptTitle="Admin &amp; Legal $/unit/yr" prompt="Unit: $/unit/yr.  Range: 0–100000.0." type="decimal" operator="between">
      <formula1>0</formula1>
      <formula2>100000.0</formula2>
    </dataValidation>
    <dataValidation sqref="O34" showDropDown="0" showInputMessage="1" showErrorMessage="1" allowBlank="0" errorTitle="Out of range" error="Advertising $/unit/yr: enter $/unit/yr." promptTitle="Advertising $/unit/yr" prompt="Unit: $/unit/yr.  Range: 0–100000.0." type="decimal" operator="between">
      <formula1>0</formula1>
      <formula2>100000.0</formula2>
    </dataValidation>
    <dataValidation sqref="O35" showDropDown="0" showInputMessage="1" showErrorMessage="1" allowBlank="0" errorTitle="Out of range" error="Management Fee %: enter % EGI." promptTitle="Management Fee %" prompt="Unit: % EGI.  Range: 0–0.1." type="decimal" operator="between">
      <formula1>0</formula1>
      <formula2>0.1</formula2>
    </dataValidation>
    <dataValidation sqref="O36" showDropDown="0" showInputMessage="1" showErrorMessage="1" allowBlank="0" errorTitle="Out of range" error="Capital Reserve $/unit/yr: enter $/unit/yr." promptTitle="Capital Reserve $/unit/yr" prompt="Unit: $/unit/yr.  Range: 0–100000.0." type="decimal" operator="between">
      <formula1>0</formula1>
      <formula2>100000.0</formula2>
    </dataValidation>
    <dataValidation sqref="O37" showDropDown="0" showInputMessage="1" showErrorMessage="1" allowBlank="0" errorTitle="Out of range" error="Tax Prep $/unit/yr: enter $/unit/yr." promptTitle="Tax Prep $/unit/yr" prompt="Unit: $/unit/yr.  Range: 0–100000.0." type="decimal" operator="between">
      <formula1>0</formula1>
      <formula2>100000.0</formula2>
    </dataValidation>
    <dataValidation sqref="O38" showDropDown="0" showInputMessage="1" showErrorMessage="1" allowBlank="0" errorTitle="Out of range" error="Asset Mgmt Fee %: enter % EGI." promptTitle="Asset Mgmt Fee %" prompt="Unit: % EGI.  Range: 0–0.1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B1:L39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IF(RefiFlag=1,RefiMonth,MS_Stabilization_End)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TargetLTC*ConCostBasis*(DevSpend!E$34/DevSpend!$D$34)</f>
        <v/>
      </c>
      <c r="F52" s="374">
        <f>E52+TargetLTC*ConCostBasis*(DevSpend!F$34/DevSpend!$D$34)+F53</f>
        <v/>
      </c>
      <c r="G52" s="374">
        <f>F52+TargetLTC*ConCostBasis*(DevSpend!G$34/DevSpend!$D$34)+G53</f>
        <v/>
      </c>
      <c r="H52" s="374">
        <f>G52+TargetLTC*ConCostBasis*(DevSpend!H$34/DevSpend!$D$34)+H53</f>
        <v/>
      </c>
      <c r="I52" s="374">
        <f>H52+TargetLTC*ConCostBasis*(DevSpend!I$34/DevSpend!$D$34)+I53</f>
        <v/>
      </c>
      <c r="J52" s="374">
        <f>I52+TargetLTC*ConCostBasis*(DevSpend!J$34/DevSpend!$D$34)+J53</f>
        <v/>
      </c>
      <c r="K52" s="374">
        <f>J52+TargetLTC*ConCostBasis*(DevSpend!K$34/DevSpend!$D$34)+K53</f>
        <v/>
      </c>
      <c r="L52" s="374">
        <f>K52+TargetLTC*ConCostBasis*(DevSpend!L$34/DevSpend!$D$34)+L53</f>
        <v/>
      </c>
      <c r="M52" s="374">
        <f>L52+TargetLTC*ConCostBasis*(DevSpend!M$34/DevSpend!$D$34)+M53</f>
        <v/>
      </c>
      <c r="N52" s="374">
        <f>M52+TargetLTC*ConCostBasis*(DevSpend!N$34/DevSpend!$D$34)+N53</f>
        <v/>
      </c>
      <c r="O52" s="374">
        <f>N52+TargetLTC*ConCostBasis*(DevSpend!O$34/DevSpend!$D$34)+O53</f>
        <v/>
      </c>
      <c r="P52" s="374">
        <f>O52+TargetLTC*ConCostBasis*(DevSpend!P$34/DevSpend!$D$34)+P53</f>
        <v/>
      </c>
      <c r="Q52" s="374">
        <f>P52+TargetLTC*ConCostBasis*(DevSpend!Q$34/DevSpend!$D$34)+Q53</f>
        <v/>
      </c>
      <c r="R52" s="374">
        <f>Q52+TargetLTC*ConCostBasis*(DevSpend!R$34/DevSpend!$D$34)+R53</f>
        <v/>
      </c>
      <c r="S52" s="374">
        <f>R52+TargetLTC*ConCostBasis*(DevSpend!S$34/DevSpend!$D$34)+S53</f>
        <v/>
      </c>
      <c r="T52" s="374">
        <f>S52+TargetLTC*ConCostBasis*(DevSpend!T$34/DevSpend!$D$34)+T53</f>
        <v/>
      </c>
      <c r="U52" s="374">
        <f>T52+TargetLTC*ConCostBasis*(DevSpend!U$34/DevSpend!$D$34)+U53</f>
        <v/>
      </c>
      <c r="V52" s="374">
        <f>U52+TargetLTC*ConCostBasis*(DevSpend!V$34/DevSpend!$D$34)+V53</f>
        <v/>
      </c>
      <c r="W52" s="374">
        <f>V52+TargetLTC*ConCostBasis*(DevSpend!W$34/DevSpend!$D$34)+W53</f>
        <v/>
      </c>
      <c r="X52" s="374">
        <f>W52+TargetLTC*ConCostBasis*(DevSpend!X$34/DevSpend!$D$34)+X53</f>
        <v/>
      </c>
      <c r="Y52" s="374">
        <f>X52+TargetLTC*ConCostBasis*(DevSpend!Y$34/DevSpend!$D$34)+Y53</f>
        <v/>
      </c>
      <c r="Z52" s="374">
        <f>Y52+TargetLTC*ConCostBasis*(DevSpend!Z$34/DevSpend!$D$34)+Z53</f>
        <v/>
      </c>
      <c r="AA52" s="374">
        <f>Z52+TargetLTC*ConCostBasis*(DevSpend!AA$34/DevSpend!$D$34)+AA53</f>
        <v/>
      </c>
      <c r="AB52" s="374">
        <f>AA52+TargetLTC*ConCostBasis*(DevSpend!AB$34/DevSpend!$D$34)+AB53</f>
        <v/>
      </c>
      <c r="AC52" s="374">
        <f>AB52+TargetLTC*ConCostBasis*(DevSpend!AC$34/DevSpend!$D$34)+AC53</f>
        <v/>
      </c>
      <c r="AD52" s="374">
        <f>AC52+TargetLTC*ConCostBasis*(DevSpend!AD$34/DevSpend!$D$34)+AD53</f>
        <v/>
      </c>
      <c r="AE52" s="374">
        <f>AD52+TargetLTC*ConCostBasis*(DevSpend!AE$34/DevSpend!$D$34)+AE53</f>
        <v/>
      </c>
      <c r="AF52" s="374">
        <f>AE52+TargetLTC*ConCostBasis*(DevSpend!AF$34/DevSpend!$D$34)+AF53</f>
        <v/>
      </c>
      <c r="AG52" s="374">
        <f>AF52+TargetLTC*ConCostBasis*(DevSpend!AG$34/DevSpend!$D$34)+AG53</f>
        <v/>
      </c>
      <c r="AH52" s="374">
        <f>AG52+TargetLTC*ConCostBasis*(DevSpend!AH$34/DevSpend!$D$34)+AH53</f>
        <v/>
      </c>
      <c r="AI52" s="374">
        <f>AH52+TargetLTC*ConCostBasis*(DevSpend!AI$34/DevSpend!$D$34)+AI53</f>
        <v/>
      </c>
      <c r="AJ52" s="374">
        <f>AI52+TargetLTC*ConCostBasis*(DevSpend!AJ$34/DevSpend!$D$34)+AJ53</f>
        <v/>
      </c>
      <c r="AK52" s="374">
        <f>AJ52+TargetLTC*ConCostBasis*(DevSpend!AK$34/DevSpend!$D$34)+AK53</f>
        <v/>
      </c>
      <c r="AL52" s="374">
        <f>AK52+TargetLTC*ConCostBasis*(DevSpend!AL$34/DevSpend!$D$34)+AL53</f>
        <v/>
      </c>
      <c r="AM52" s="374">
        <f>AL52+TargetLTC*ConCostBasis*(DevSpend!AM$34/DevSpend!$D$34)+AM53</f>
        <v/>
      </c>
      <c r="AN52" s="374">
        <f>AM52+TargetLTC*ConCostBasis*(DevSpend!AN$34/DevSpend!$D$34)+AN53</f>
        <v/>
      </c>
      <c r="AO52" s="374">
        <f>AN52+TargetLTC*ConCostBasis*(DevSpend!AO$34/DevSpend!$D$34)+AO53</f>
        <v/>
      </c>
      <c r="AP52" s="374">
        <f>AO52+TargetLTC*ConCostBasis*(DevSpend!AP$34/DevSpend!$D$34)+AP53</f>
        <v/>
      </c>
      <c r="AQ52" s="374">
        <f>AP52+TargetLTC*ConCostBasis*(DevSpend!AQ$34/DevSpend!$D$34)+AQ53</f>
        <v/>
      </c>
      <c r="AR52" s="374">
        <f>AQ52+TargetLTC*ConCostBasis*(DevSpend!AR$34/DevSpend!$D$34)+AR53</f>
        <v/>
      </c>
      <c r="AS52" s="374">
        <f>AR52+TargetLTC*ConCostBasis*(DevSpend!AS$34/DevSpend!$D$34)+AS53</f>
        <v/>
      </c>
      <c r="AT52" s="374">
        <f>AS52+TargetLTC*ConCostBasis*(DevSpend!AT$34/DevSpend!$D$34)+AT53</f>
        <v/>
      </c>
      <c r="AU52" s="374">
        <f>AT52+TargetLTC*ConCostBasis*(DevSpend!AU$34/DevSpend!$D$34)+AU53</f>
        <v/>
      </c>
      <c r="AV52" s="374">
        <f>AU52+TargetLTC*ConCostBasis*(DevSpend!AV$34/DevSpend!$D$34)+AV53</f>
        <v/>
      </c>
      <c r="AW52" s="374">
        <f>AV52+TargetLTC*ConCostBasis*(DevSpend!AW$34/DevSpend!$D$34)+AW53</f>
        <v/>
      </c>
      <c r="AX52" s="374">
        <f>AW52+TargetLTC*ConCostBasis*(DevSpend!AX$34/DevSpend!$D$34)+AX53</f>
        <v/>
      </c>
      <c r="AY52" s="374">
        <f>AX52+TargetLTC*ConCostBasis*(DevSpend!AY$34/DevSpend!$D$34)+AY53</f>
        <v/>
      </c>
      <c r="AZ52" s="374">
        <f>AY52+TargetLTC*ConCostBasis*(DevSpend!AZ$34/DevSpend!$D$34)+AZ53</f>
        <v/>
      </c>
      <c r="BA52" s="374">
        <f>AZ52+TargetLTC*ConCostBasis*(DevSpend!BA$34/DevSpend!$D$34)+BA53</f>
        <v/>
      </c>
      <c r="BB52" s="374">
        <f>BA52+TargetLTC*ConCostBasis*(DevSpend!BB$34/DevSpend!$D$34)+BB53</f>
        <v/>
      </c>
      <c r="BC52" s="374">
        <f>BB52+TargetLTC*ConCostBasis*(DevSpend!BC$34/DevSpend!$D$34)+BC53</f>
        <v/>
      </c>
      <c r="BD52" s="374">
        <f>BC52+TargetLTC*ConCostBasis*(DevSpend!BD$34/DevSpend!$D$34)+BD53</f>
        <v/>
      </c>
      <c r="BE52" s="374">
        <f>BD52+TargetLTC*ConCostBasis*(DevSpend!BE$34/DevSpend!$D$34)+BE53</f>
        <v/>
      </c>
      <c r="BF52" s="374">
        <f>BE52+TargetLTC*ConCostBasis*(DevSpend!BF$34/DevSpend!$D$34)+BF53</f>
        <v/>
      </c>
      <c r="BG52" s="374">
        <f>BF52+TargetLTC*ConCostBasis*(DevSpend!BG$34/DevSpend!$D$34)+BG53</f>
        <v/>
      </c>
      <c r="BH52" s="374">
        <f>BG52+TargetLTC*ConCostBasis*(DevSpend!BH$34/DevSpend!$D$34)+BH53</f>
        <v/>
      </c>
      <c r="BI52" s="374">
        <f>BH52+TargetLTC*ConCostBasis*(DevSpend!BI$34/DevSpend!$D$34)+BI53</f>
        <v/>
      </c>
      <c r="BJ52" s="374">
        <f>BI52+TargetLTC*ConCostBasis*(DevSpend!BJ$34/DevSpend!$D$34)+BJ53</f>
        <v/>
      </c>
      <c r="BK52" s="374">
        <f>BJ52+TargetLTC*ConCostBasis*(DevSpend!BK$34/DevSpend!$D$34)+BK53</f>
        <v/>
      </c>
      <c r="BL52" s="374">
        <f>BK52+TargetLTC*ConCostBasis*(DevSpend!BL$34/DevSpend!$D$34)+BL53</f>
        <v/>
      </c>
      <c r="BM52" s="374">
        <f>BL52+TargetLTC*ConCostBasis*(DevSpend!BM$34/DevSpend!$D$34)+BM53</f>
        <v/>
      </c>
      <c r="BN52" s="374">
        <f>BM52+TargetLTC*ConCostBasis*(DevSpend!BN$34/DevSpend!$D$34)+BN53</f>
        <v/>
      </c>
      <c r="BO52" s="374">
        <f>BN52+TargetLTC*ConCostBasis*(DevSpend!BO$34/DevSpend!$D$34)+BO53</f>
        <v/>
      </c>
      <c r="BP52" s="374">
        <f>BO52+TargetLTC*ConCostBasis*(DevSpend!BP$34/DevSpend!$D$34)+BP53</f>
        <v/>
      </c>
      <c r="BQ52" s="374">
        <f>BP52+TargetLTC*ConCostBasis*(DevSpend!BQ$34/DevSpend!$D$34)+BQ53</f>
        <v/>
      </c>
      <c r="BR52" s="374">
        <f>BQ52+TargetLTC*ConCostBasis*(DevSpend!BR$34/DevSpend!$D$34)+BR53</f>
        <v/>
      </c>
      <c r="BS52" s="374">
        <f>BR52+TargetLTC*ConCostBasis*(DevSpend!BS$34/DevSpend!$D$34)+BS53</f>
        <v/>
      </c>
      <c r="BT52" s="374">
        <f>BS52+TargetLTC*ConCostBasis*(DevSpend!BT$34/DevSpend!$D$34)+BT53</f>
        <v/>
      </c>
      <c r="BU52" s="374">
        <f>BT52+TargetLTC*ConCostBasis*(DevSpend!BU$34/DevSpend!$D$34)+BU53</f>
        <v/>
      </c>
      <c r="BV52" s="374">
        <f>BU52+TargetLTC*ConCostBasis*(DevSpend!BV$34/DevSpend!$D$34)+BV53</f>
        <v/>
      </c>
      <c r="BW52" s="374">
        <f>BV52+TargetLTC*ConCostBasis*(DevSpend!BW$34/DevSpend!$D$34)+BW53</f>
        <v/>
      </c>
      <c r="BX52" s="374">
        <f>BW52+TargetLTC*ConCostBasis*(DevSpend!BX$34/DevSpend!$D$34)+BX53</f>
        <v/>
      </c>
      <c r="BY52" s="374">
        <f>BX52+TargetLTC*ConCostBasis*(DevSpend!BY$34/DevSpend!$D$34)+BY53</f>
        <v/>
      </c>
      <c r="BZ52" s="374">
        <f>BY52+TargetLTC*ConCostBasis*(DevSpend!BZ$34/DevSpend!$D$34)+BZ53</f>
        <v/>
      </c>
      <c r="CA52" s="374">
        <f>BZ52+TargetLTC*ConCostBasis*(DevSpend!CA$34/DevSpend!$D$34)+CA53</f>
        <v/>
      </c>
      <c r="CB52" s="374">
        <f>CA52+TargetLTC*ConCostBasis*(DevSpend!CB$34/DevSpend!$D$34)+CB53</f>
        <v/>
      </c>
      <c r="CC52" s="374">
        <f>CB52+TargetLTC*ConCostBasis*(DevSpend!CC$34/DevSpend!$D$34)+CC53</f>
        <v/>
      </c>
      <c r="CD52" s="374">
        <f>CC52+TargetLTC*ConCostBasis*(DevSpend!CD$34/DevSpend!$D$34)+CD53</f>
        <v/>
      </c>
      <c r="CE52" s="374">
        <f>CD52+TargetLTC*ConCostBasis*(DevSpend!CE$34/DevSpend!$D$34)+CE53</f>
        <v/>
      </c>
      <c r="CF52" s="374">
        <f>CE52+TargetLTC*ConCostBasis*(DevSpend!CF$34/DevSpend!$D$34)+CF53</f>
        <v/>
      </c>
      <c r="CG52" s="374">
        <f>CF52+TargetLTC*ConCostBasis*(DevSpend!CG$34/DevSpend!$D$34)+CG53</f>
        <v/>
      </c>
      <c r="CH52" s="374">
        <f>CG52+TargetLTC*ConCostBasis*(DevSpend!CH$34/DevSpend!$D$34)+CH53</f>
        <v/>
      </c>
      <c r="CI52" s="374">
        <f>CH52+TargetLTC*ConCostBasis*(DevSpend!CI$34/DevSpend!$D$34)+CI53</f>
        <v/>
      </c>
      <c r="CJ52" s="374">
        <f>CI52+TargetLTC*ConCostBasis*(DevSpend!CJ$34/DevSpend!$D$34)+CJ53</f>
        <v/>
      </c>
      <c r="CK52" s="374">
        <f>CJ52+TargetLTC*ConCostBasis*(DevSpend!CK$34/DevSpend!$D$34)+CK53</f>
        <v/>
      </c>
      <c r="CL52" s="374">
        <f>CK52+TargetLTC*ConCostBasis*(DevSpend!CL$34/DevSpend!$D$34)+CL53</f>
        <v/>
      </c>
      <c r="CM52" s="374">
        <f>CL52+TargetLTC*ConCostBasis*(DevSpend!CM$34/DevSpend!$D$34)+CM53</f>
        <v/>
      </c>
      <c r="CN52" s="374">
        <f>CM52+TargetLTC*ConCostBasis*(DevSpend!CN$34/DevSpend!$D$34)+CN53</f>
        <v/>
      </c>
      <c r="CO52" s="374">
        <f>CN52+TargetLTC*ConCostBasis*(DevSpend!CO$34/DevSpend!$D$34)+CO53</f>
        <v/>
      </c>
      <c r="CP52" s="374">
        <f>CO52+TargetLTC*ConCostBasis*(DevSpend!CP$34/DevSpend!$D$34)+CP53</f>
        <v/>
      </c>
      <c r="CQ52" s="374">
        <f>CP52+TargetLTC*ConCostBasis*(DevSpend!CQ$34/DevSpend!$D$34)+CQ53</f>
        <v/>
      </c>
      <c r="CR52" s="374">
        <f>CQ52+TargetLTC*ConCostBasis*(DevSpend!CR$34/DevSpend!$D$34)+CR53</f>
        <v/>
      </c>
      <c r="CS52" s="374">
        <f>CR52+TargetLTC*ConCostBasis*(DevSpend!CS$34/DevSpend!$D$34)+CS53</f>
        <v/>
      </c>
      <c r="CT52" s="374">
        <f>CS52+TargetLTC*ConCostBasis*(DevSpend!CT$34/DevSpend!$D$34)+CT53</f>
        <v/>
      </c>
      <c r="CU52" s="374">
        <f>CT52+TargetLTC*ConCostBasis*(DevSpend!CU$34/DevSpend!$D$34)+CU53</f>
        <v/>
      </c>
      <c r="CV52" s="374">
        <f>CU52+TargetLTC*ConCostBasis*(DevSpend!CV$34/DevSpend!$D$34)+CV53</f>
        <v/>
      </c>
      <c r="CW52" s="374">
        <f>CV52+TargetLTC*ConCostBasis*(DevSpend!CW$34/DevSpend!$D$34)+CW53</f>
        <v/>
      </c>
      <c r="CX52" s="374">
        <f>CW52+TargetLTC*ConCostBasis*(DevSpend!CX$34/DevSpend!$D$34)+CX53</f>
        <v/>
      </c>
      <c r="CY52" s="374">
        <f>CX52+TargetLTC*ConCostBasis*(DevSpend!CY$34/DevSpend!$D$34)+CY53</f>
        <v/>
      </c>
      <c r="CZ52" s="374">
        <f>CY52+TargetLTC*ConCostBasis*(DevSpend!CZ$34/DevSpend!$D$34)+CZ53</f>
        <v/>
      </c>
      <c r="DA52" s="374">
        <f>CZ52+TargetLTC*ConCostBasis*(DevSpend!DA$34/DevSpend!$D$34)+DA53</f>
        <v/>
      </c>
      <c r="DB52" s="374">
        <f>DA52+TargetLTC*ConCostBasis*(DevSpend!DB$34/DevSpend!$D$34)+DB53</f>
        <v/>
      </c>
      <c r="DC52" s="374">
        <f>DB52+TargetLTC*ConCostBasis*(DevSpend!DC$34/DevSpend!$D$34)+DC53</f>
        <v/>
      </c>
      <c r="DD52" s="374">
        <f>DC52+TargetLTC*ConCostBasis*(DevSpend!DD$34/DevSpend!$D$34)+DD53</f>
        <v/>
      </c>
      <c r="DE52" s="374">
        <f>DD52+TargetLTC*ConCostBasis*(DevSpend!DE$34/DevSpend!$D$34)+DE53</f>
        <v/>
      </c>
      <c r="DF52" s="374">
        <f>DE52+TargetLTC*ConCostBasis*(DevSpend!DF$34/DevSpend!$D$34)+DF53</f>
        <v/>
      </c>
      <c r="DG52" s="374">
        <f>DF52+TargetLTC*ConCostBasis*(DevSpend!DG$34/DevSpend!$D$34)+DG53</f>
        <v/>
      </c>
      <c r="DH52" s="374">
        <f>DG52+TargetLTC*ConCostBasis*(DevSpend!DH$34/DevSpend!$D$34)+DH53</f>
        <v/>
      </c>
      <c r="DI52" s="374">
        <f>DH52+TargetLTC*ConCostBasis*(DevSpend!DI$34/DevSpend!$D$34)+DI53</f>
        <v/>
      </c>
      <c r="DJ52" s="374">
        <f>DI52+TargetLTC*ConCostBasis*(DevSpend!DJ$34/DevSpend!$D$34)+DJ53</f>
        <v/>
      </c>
      <c r="DK52" s="374">
        <f>DJ52+TargetLTC*ConCostBasis*(DevSpend!DK$34/DevSpend!$D$34)+DK53</f>
        <v/>
      </c>
      <c r="DL52" s="374">
        <f>DK52+TargetLTC*ConCostBasis*(DevSpend!DL$34/DevSpend!$D$34)+DL53</f>
        <v/>
      </c>
      <c r="DM52" s="374">
        <f>DL52+TargetLTC*ConCostBasis*(DevSpend!DM$34/DevSpend!$D$34)+DM53</f>
        <v/>
      </c>
      <c r="DN52" s="374">
        <f>DM52+TargetLTC*ConCostBasis*(DevSpend!DN$34/DevSpend!$D$34)+DN53</f>
        <v/>
      </c>
      <c r="DO52" s="374">
        <f>DN52+TargetLTC*ConCostBasis*(DevSpend!DO$34/DevSpend!$D$34)+DO53</f>
        <v/>
      </c>
      <c r="DP52" s="374">
        <f>DO52+TargetLTC*ConCostBasis*(DevSpend!DP$34/DevSpend!$D$34)+DP53</f>
        <v/>
      </c>
      <c r="DQ52" s="374">
        <f>DP52+TargetLTC*ConCostBasis*(DevSpend!DQ$34/DevSpend!$D$34)+DQ53</f>
        <v/>
      </c>
      <c r="DR52" s="374">
        <f>DQ52+TargetLTC*ConCostBasis*(DevSpend!DR$34/DevSpend!$D$34)+DR53</f>
        <v/>
      </c>
      <c r="DS52" s="374">
        <f>DR52+TargetLTC*ConCostBasis*(DevSpend!DS$34/DevSpend!$D$34)+DS53</f>
        <v/>
      </c>
      <c r="DT52" s="374">
        <f>DS52+TargetLTC*ConCostBasis*(DevSpend!DT$34/DevSpend!$D$34)+DT53</f>
        <v/>
      </c>
      <c r="DU52" s="374">
        <f>DT52+TargetLTC*ConCostBasis*(DevSpend!DU$34/DevSpend!$D$34)+DU53</f>
        <v/>
      </c>
      <c r="DV52" s="374">
        <f>DU52+TargetLTC*ConCostBasis*(DevSpend!DV$34/DevSpend!$D$34)+DV53</f>
        <v/>
      </c>
      <c r="DW52" s="374">
        <f>DV52+TargetLTC*ConCostBasis*(DevSpend!DW$34/DevSpend!$D$34)+DW53</f>
        <v/>
      </c>
      <c r="DX52" s="374">
        <f>DW52+TargetLTC*ConCostBasis*(DevSpend!DX$34/DevSpend!$D$34)+DX53</f>
        <v/>
      </c>
      <c r="DY52" s="374">
        <f>DX52+TargetLTC*ConCostBasis*(DevSpend!DY$34/DevSpend!$D$34)+DY53</f>
        <v/>
      </c>
      <c r="DZ52" s="374">
        <f>DY52+TargetLTC*ConCostBasis*(DevSpend!DZ$34/DevSpend!$D$34)+DZ53</f>
        <v/>
      </c>
      <c r="EA52" s="374">
        <f>DZ52+TargetLTC*ConCostBasis*(DevSpend!EA$34/DevSpend!$D$34)+EA53</f>
        <v/>
      </c>
      <c r="EB52" s="374">
        <f>EA52+TargetLTC*ConCostBasis*(DevSpend!EB$34/DevSpend!$D$34)+EB53</f>
        <v/>
      </c>
      <c r="EC52" s="374">
        <f>EB52+TargetLTC*ConCostBasis*(DevSpend!EC$34/DevSpend!$D$34)+EC53</f>
        <v/>
      </c>
      <c r="ED52" s="374">
        <f>EC52+TargetLTC*ConCostBasis*(DevSpend!ED$34/DevSpend!$D$34)+ED53</f>
        <v/>
      </c>
      <c r="EE52" s="374">
        <f>ED52+TargetLTC*ConCostBasis*(DevSpend!EE$34/DevSpend!$D$34)+EE53</f>
        <v/>
      </c>
      <c r="EF52" s="374">
        <f>EE52+TargetLTC*ConCostBasis*(DevSpend!EF$34/DevSpend!$D$34)+EF53</f>
        <v/>
      </c>
      <c r="EG52" s="374">
        <f>EF52+TargetLTC*ConCostBasis*(DevSpend!EG$34/DevSpend!$D$34)+EG53</f>
        <v/>
      </c>
      <c r="EH52" s="374">
        <f>EG52+TargetLTC*ConCostBasis*(DevSpend!EH$34/DevSpend!$D$34)+EH53</f>
        <v/>
      </c>
      <c r="EI52" s="374">
        <f>EH52+TargetLTC*ConCostBasis*(DevSpend!EI$34/DevSpend!$D$34)+EI53</f>
        <v/>
      </c>
      <c r="EJ52" s="374">
        <f>EI52+TargetLTC*ConCostBasis*(DevSpend!EJ$34/DevSpend!$D$34)+EJ53</f>
        <v/>
      </c>
      <c r="EK52" s="374">
        <f>EJ52+TargetLTC*ConCostBasis*(DevSpend!EK$34/DevSpend!$D$34)+EK53</f>
        <v/>
      </c>
      <c r="EL52" s="374">
        <f>EK52+TargetLTC*ConCostBasis*(DevSpend!EL$34/DevSpend!$D$34)+EL53</f>
        <v/>
      </c>
      <c r="EM52" s="374">
        <f>EL52+TargetLTC*ConCostBasis*(DevSpend!EM$34/DevSpend!$D$34)+EM53</f>
        <v/>
      </c>
      <c r="EN52" s="374">
        <f>EM52+TargetLTC*ConCostBasis*(DevSpend!EN$34/DevSpend!$D$34)+EN53</f>
        <v/>
      </c>
      <c r="EO52" s="374">
        <f>EN52+TargetLTC*ConCostBasis*(DevSpend!EO$34/DevSpend!$D$34)+EO53</f>
        <v/>
      </c>
      <c r="EP52" s="374">
        <f>EO52+TargetLTC*ConCostBasis*(DevSpend!EP$34/DevSpend!$D$34)+EP53</f>
        <v/>
      </c>
      <c r="EQ52" s="374">
        <f>EP52+TargetLTC*ConCostBasis*(DevSpend!EQ$34/DevSpend!$D$34)+EQ53</f>
        <v/>
      </c>
      <c r="ER52" s="374">
        <f>EQ52+TargetLTC*ConCostBasis*(DevSpend!ER$34/DevSpend!$D$34)+ER53</f>
        <v/>
      </c>
      <c r="ES52" s="374">
        <f>ER52+TargetLTC*ConCostBasis*(DevSpend!ES$34/DevSpend!$D$34)+ES53</f>
        <v/>
      </c>
      <c r="ET52" s="374">
        <f>ES52+TargetLTC*ConCostBasis*(DevSpend!ET$34/DevSpend!$D$34)+ET53</f>
        <v/>
      </c>
      <c r="EU52" s="374">
        <f>ET52+TargetLTC*ConCostBasis*(DevSpend!EU$34/DevSpend!$D$34)+EU53</f>
        <v/>
      </c>
      <c r="EV52" s="374">
        <f>EU52+TargetLTC*ConCostBasis*(DevSpend!EV$34/DevSpend!$D$34)+EV53</f>
        <v/>
      </c>
      <c r="EW52" s="374">
        <f>EV52+TargetLTC*ConCostBasis*(DevSpend!EW$34/DevSpend!$D$34)+EW53</f>
        <v/>
      </c>
      <c r="EX52" s="374">
        <f>EW52+TargetLTC*ConCostBasis*(DevSpend!EX$34/DevSpend!$D$34)+EX53</f>
        <v/>
      </c>
      <c r="EY52" s="374">
        <f>EX52+TargetLTC*ConCostBasis*(DevSpend!EY$34/DevSpend!$D$34)+EY53</f>
        <v/>
      </c>
      <c r="EZ52" s="374">
        <f>EY52+TargetLTC*ConCostBasis*(DevSpend!EZ$34/DevSpend!$D$34)+EZ53</f>
        <v/>
      </c>
      <c r="FA52" s="374">
        <f>EZ52+TargetLTC*ConCostBasis*(DevSpend!FA$34/DevSpend!$D$34)+FA53</f>
        <v/>
      </c>
      <c r="FB52" s="374">
        <f>FA52+TargetLTC*ConCostBasis*(DevSpend!FB$34/DevSpend!$D$34)+FB53</f>
        <v/>
      </c>
      <c r="FC52" s="374">
        <f>FB52+TargetLTC*ConCostBasis*(DevSpend!FC$34/DevSpend!$D$34)+FC53</f>
        <v/>
      </c>
      <c r="FD52" s="374">
        <f>FC52+TargetLTC*ConCostBasis*(DevSpend!FD$34/DevSpend!$D$34)+FD53</f>
        <v/>
      </c>
      <c r="FE52" s="374">
        <f>FD52+TargetLTC*ConCostBasis*(DevSpend!FE$34/DevSpend!$D$34)+FE53</f>
        <v/>
      </c>
      <c r="FF52" s="374">
        <f>FE52+TargetLTC*ConCostBasis*(DevSpend!FF$34/DevSpend!$D$34)+FF53</f>
        <v/>
      </c>
      <c r="FG52" s="374">
        <f>FF52+TargetLTC*ConCostBasis*(DevSpend!FG$34/DevSpend!$D$34)+FG53</f>
        <v/>
      </c>
      <c r="FH52" s="374">
        <f>FG52+TargetLTC*ConCostBasis*(DevSpend!FH$34/DevSpend!$D$34)+FH53</f>
        <v/>
      </c>
      <c r="FI52" s="374">
        <f>FH52+TargetLTC*ConCostBasis*(DevSpend!FI$34/DevSpend!$D$34)+FI53</f>
        <v/>
      </c>
      <c r="FJ52" s="374">
        <f>FI52+TargetLTC*ConCostBasis*(DevSpend!FJ$34/DevSpend!$D$34)+FJ53</f>
        <v/>
      </c>
      <c r="FK52" s="374">
        <f>FJ52+TargetLTC*ConCostBasis*(DevSpend!FK$34/DevSpend!$D$34)+FK53</f>
        <v/>
      </c>
      <c r="FL52" s="374">
        <f>FK52+TargetLTC*ConCostBasis*(DevSpend!FL$34/DevSpend!$D$34)+FL53</f>
        <v/>
      </c>
      <c r="FM52" s="374">
        <f>FL52+TargetLTC*ConCostBasis*(DevSpend!FM$34/DevSpend!$D$34)+FM53</f>
        <v/>
      </c>
      <c r="FN52" s="374">
        <f>FM52+TargetLTC*ConCostBasis*(DevSpend!FN$34/DevSpend!$D$34)+FN53</f>
        <v/>
      </c>
      <c r="FO52" s="374">
        <f>FN52+TargetLTC*ConCostBasis*(DevSpend!FO$34/DevSpend!$D$34)+FO53</f>
        <v/>
      </c>
      <c r="FP52" s="374">
        <f>FO52+TargetLTC*ConCostBasis*(DevSpend!FP$34/DevSpend!$D$34)+FP53</f>
        <v/>
      </c>
      <c r="FQ52" s="374">
        <f>FP52+TargetLTC*ConCostBasis*(DevSpend!FQ$34/DevSpend!$D$34)+FQ53</f>
        <v/>
      </c>
      <c r="FR52" s="374">
        <f>FQ52+TargetLTC*ConCostBasis*(DevSpend!FR$34/DevSpend!$D$34)+FR53</f>
        <v/>
      </c>
      <c r="FS52" s="374">
        <f>FR52+TargetLTC*ConCostBasis*(DevSpend!FS$34/DevSpend!$D$34)+FS53</f>
        <v/>
      </c>
      <c r="FT52" s="374">
        <f>FS52+TargetLTC*ConCostBasis*(DevSpend!FT$34/DevSpend!$D$34)+FT53</f>
        <v/>
      </c>
      <c r="FU52" s="374">
        <f>FT52+TargetLTC*ConCostBasis*(DevSpend!FU$34/DevSpend!$D$34)+FU53</f>
        <v/>
      </c>
      <c r="FV52" s="374">
        <f>FU52+TargetLTC*ConCostBasis*(DevSpend!FV$34/DevSpend!$D$34)+FV53</f>
        <v/>
      </c>
      <c r="FW52" s="374">
        <f>FV52+TargetLTC*ConCostBasis*(DevSpend!FW$34/DevSpend!$D$34)+FW53</f>
        <v/>
      </c>
      <c r="FX52" s="374">
        <f>FW52+TargetLTC*ConCostBasis*(DevSpend!FX$34/DevSpend!$D$34)+FX53</f>
        <v/>
      </c>
      <c r="FY52" s="374">
        <f>FX52+TargetLTC*ConCostBasis*(DevSpend!FY$34/DevSpend!$D$34)+FY53</f>
        <v/>
      </c>
      <c r="FZ52" s="374">
        <f>FY52+TargetLTC*ConCostBasis*(DevSpend!FZ$34/DevSpend!$D$34)+FZ53</f>
        <v/>
      </c>
      <c r="GA52" s="374">
        <f>FZ52+TargetLTC*ConCostBasis*(DevSpend!GA$34/DevSpend!$D$34)+GA53</f>
        <v/>
      </c>
      <c r="GB52" s="374">
        <f>GA52+TargetLTC*ConCostBasis*(DevSpend!GB$34/DevSpend!$D$34)+GB53</f>
        <v/>
      </c>
      <c r="GC52" s="374">
        <f>GB52+TargetLTC*ConCostBasis*(DevSpend!GC$34/DevSpend!$D$34)+GC53</f>
        <v/>
      </c>
      <c r="GD52" s="374">
        <f>GC52+TargetLTC*ConCostBasis*(DevSpend!GD$34/DevSpend!$D$34)+GD53</f>
        <v/>
      </c>
      <c r="GE52" s="374">
        <f>GD52+TargetLTC*ConCostBasis*(DevSpend!GE$34/DevSpend!$D$34)+GE53</f>
        <v/>
      </c>
      <c r="GF52" s="374">
        <f>GE52+TargetLTC*ConCostBasis*(DevSpend!GF$34/DevSpend!$D$34)+GF53</f>
        <v/>
      </c>
      <c r="GG52" s="374">
        <f>GF52+TargetLTC*ConCostBasis*(DevSpend!GG$34/DevSpend!$D$34)+GG53</f>
        <v/>
      </c>
      <c r="GH52" s="374">
        <f>GG52+TargetLTC*ConCostBasis*(DevSpend!GH$34/DevSpend!$D$34)+GH53</f>
        <v/>
      </c>
      <c r="GI52" s="374">
        <f>GH52+TargetLTC*ConCostBasis*(DevSpend!GI$34/DevSpend!$D$34)+GI53</f>
        <v/>
      </c>
      <c r="GJ52" s="374">
        <f>GI52+TargetLTC*ConCostBasis*(DevSpend!GJ$34/DevSpend!$D$34)+GJ53</f>
        <v/>
      </c>
      <c r="GK52" s="374">
        <f>GJ52+TargetLTC*ConCostBasis*(DevSpend!GK$34/DevSpend!$D$34)+GK53</f>
        <v/>
      </c>
      <c r="GL52" s="374">
        <f>GK52+TargetLTC*ConCostBasis*(DevSpend!GL$34/DevSpend!$D$34)+GL53</f>
        <v/>
      </c>
      <c r="GM52" s="374">
        <f>GL52+TargetLTC*ConCostBasis*(DevSpend!GM$34/DevSpend!$D$34)+GM53</f>
        <v/>
      </c>
      <c r="GN52" s="374">
        <f>GM52+TargetLTC*ConCostBasis*(DevSpend!GN$34/DevSpend!$D$34)+GN53</f>
        <v/>
      </c>
      <c r="GO52" s="374">
        <f>GN52+TargetLTC*ConCostBasis*(DevSpend!GO$34/DevSpend!$D$34)+GO53</f>
        <v/>
      </c>
      <c r="GP52" s="374">
        <f>GO52+TargetLTC*ConCostBasis*(DevSpend!GP$34/DevSpend!$D$34)+GP53</f>
        <v/>
      </c>
      <c r="GQ52" s="374">
        <f>GP52+TargetLTC*ConCostBasis*(DevSpend!GQ$34/DevSpend!$D$34)+GQ53</f>
        <v/>
      </c>
      <c r="GR52" s="374">
        <f>GQ52+TargetLTC*ConCostBasis*(DevSpend!GR$34/DevSpend!$D$34)+GR53</f>
        <v/>
      </c>
      <c r="GS52" s="374">
        <f>GR52+TargetLTC*ConCostBasis*(DevSpend!GS$34/DevSpend!$D$34)+GS53</f>
        <v/>
      </c>
      <c r="GT52" s="374">
        <f>GS52+TargetLTC*ConCostBasis*(DevSpend!GT$34/DevSpend!$D$34)+GT53</f>
        <v/>
      </c>
      <c r="GU52" s="374">
        <f>GT52+TargetLTC*ConCostBasis*(DevSpend!GU$34/DevSpend!$D$34)+GU53</f>
        <v/>
      </c>
      <c r="GV52" s="374">
        <f>GU52+TargetLTC*ConCostBasis*(DevSpend!GV$34/DevSpend!$D$34)+GV53</f>
        <v/>
      </c>
      <c r="GW52" s="374">
        <f>GV52+TargetLTC*ConCostBasis*(DevSpend!GW$34/DevSpend!$D$34)+GW53</f>
        <v/>
      </c>
      <c r="GX52" s="374">
        <f>GW52+TargetLTC*ConCostBasis*(DevSpend!GX$34/DevSpend!$D$34)+GX53</f>
        <v/>
      </c>
      <c r="GY52" s="374">
        <f>GX52+TargetLTC*ConCostBasis*(DevSpend!GY$34/DevSpend!$D$34)+GY53</f>
        <v/>
      </c>
      <c r="GZ52" s="374">
        <f>GY52+TargetLTC*ConCostBasis*(DevSpend!GZ$34/DevSpend!$D$34)+GZ53</f>
        <v/>
      </c>
      <c r="HA52" s="374">
        <f>GZ52+TargetLTC*ConCostBasis*(DevSpend!HA$34/DevSpend!$D$34)+HA53</f>
        <v/>
      </c>
      <c r="HB52" s="374">
        <f>HA52+TargetLTC*ConCostBasis*(DevSpend!HB$34/DevSpend!$D$34)+HB53</f>
        <v/>
      </c>
      <c r="HC52" s="374">
        <f>HB52+TargetLTC*ConCostBasis*(DevSpend!HC$34/DevSpend!$D$34)+HC53</f>
        <v/>
      </c>
      <c r="HD52" s="374">
        <f>HC52+TargetLTC*ConCostBasis*(DevSpend!HD$34/DevSpend!$D$34)+HD53</f>
        <v/>
      </c>
      <c r="HE52" s="374">
        <f>HD52+TargetLTC*ConCostBasis*(DevSpend!HE$34/DevSpend!$D$34)+HE53</f>
        <v/>
      </c>
      <c r="HF52" s="374">
        <f>HE52+TargetLTC*ConCostBasis*(DevSpend!HF$34/DevSpend!$D$34)+HF53</f>
        <v/>
      </c>
      <c r="HG52" s="374">
        <f>HF52+TargetLTC*ConCostBasis*(DevSpend!HG$34/DevSpend!$D$34)+HG53</f>
        <v/>
      </c>
      <c r="HH52" s="374">
        <f>HG52+TargetLTC*ConCostBasis*(DevSpend!HH$34/DevSpend!$D$34)+HH53</f>
        <v/>
      </c>
      <c r="HI52" s="374">
        <f>HH52+TargetLTC*ConCostBasis*(DevSpend!HI$34/DevSpend!$D$34)+HI53</f>
        <v/>
      </c>
      <c r="HJ52" s="374">
        <f>HI52+TargetLTC*ConCostBasis*(DevSpend!HJ$34/DevSpend!$D$34)+HJ53</f>
        <v/>
      </c>
      <c r="HK52" s="374">
        <f>HJ52+TargetLTC*ConCostBasis*(DevSpend!HK$34/DevSpend!$D$34)+HK53</f>
        <v/>
      </c>
      <c r="HL52" s="374">
        <f>HK52+TargetLTC*ConCostBasis*(DevSpend!HL$34/DevSpend!$D$34)+HL53</f>
        <v/>
      </c>
      <c r="HM52" s="374">
        <f>HL52+TargetLTC*ConCostBasis*(DevSpend!HM$34/DevSpend!$D$34)+HM53</f>
        <v/>
      </c>
      <c r="HN52" s="374">
        <f>HM52+TargetLTC*ConCostBasis*(DevSpend!HN$34/DevSpend!$D$34)+HN53</f>
        <v/>
      </c>
      <c r="HO52" s="374">
        <f>HN52+TargetLTC*ConCostBasis*(DevSpend!HO$34/DevSpend!$D$34)+HO53</f>
        <v/>
      </c>
      <c r="HP52" s="374">
        <f>HO52+TargetLTC*ConCostBasis*(DevSpend!HP$34/DevSpend!$D$34)+HP53</f>
        <v/>
      </c>
      <c r="HQ52" s="374">
        <f>HP52+TargetLTC*ConCostBasis*(DevSpend!HQ$34/DevSpend!$D$34)+HQ53</f>
        <v/>
      </c>
      <c r="HR52" s="374">
        <f>HQ52+TargetLTC*ConCostBasis*(DevSpend!HR$34/DevSpend!$D$34)+HR53</f>
        <v/>
      </c>
      <c r="HS52" s="374">
        <f>HR52+TargetLTC*ConCostBasis*(DevSpend!HS$34/DevSpend!$D$34)+HS53</f>
        <v/>
      </c>
      <c r="HT52" s="374">
        <f>HS52+TargetLTC*ConCostBasis*(DevSpend!HT$34/DevSpend!$D$34)+HT53</f>
        <v/>
      </c>
      <c r="HU52" s="374">
        <f>HT52+TargetLTC*ConCostBasis*(DevSpend!HU$34/DevSpend!$D$34)+HU53</f>
        <v/>
      </c>
      <c r="HV52" s="374">
        <f>HU52+TargetLTC*ConCostBasis*(DevSpend!HV$34/DevSpend!$D$34)+HV53</f>
        <v/>
      </c>
      <c r="HW52" s="374">
        <f>HV52+TargetLTC*ConCostBasis*(DevSpend!HW$34/DevSpend!$D$34)+HW53</f>
        <v/>
      </c>
      <c r="HX52" s="374">
        <f>HW52+TargetLTC*ConCostBasis*(DevSpend!HX$34/DevSpend!$D$34)+HX53</f>
        <v/>
      </c>
      <c r="HY52" s="374">
        <f>HX52+TargetLTC*ConCostBasis*(DevSpend!HY$34/DevSpend!$D$34)+HY53</f>
        <v/>
      </c>
      <c r="HZ52" s="374">
        <f>HY52+TargetLTC*ConCostBasis*(DevSpend!HZ$34/DevSpend!$D$34)+HZ53</f>
        <v/>
      </c>
      <c r="IA52" s="374">
        <f>HZ52+TargetLTC*ConCostBasis*(DevSpend!IA$34/DevSpend!$D$34)+IA53</f>
        <v/>
      </c>
      <c r="IB52" s="374">
        <f>IA52+TargetLTC*ConCostBasis*(DevSpend!IB$34/DevSpend!$D$34)+IB53</f>
        <v/>
      </c>
      <c r="IC52" s="374">
        <f>IB52+TargetLTC*ConCostBasis*(DevSpend!IC$34/DevSpend!$D$34)+IC53</f>
        <v/>
      </c>
      <c r="ID52" s="374">
        <f>IC52+TargetLTC*ConCostBasis*(DevSpend!ID$34/DevSpend!$D$34)+ID53</f>
        <v/>
      </c>
      <c r="IE52" s="374">
        <f>ID52+TargetLTC*ConCostBasis*(DevSpend!IE$34/DevSpend!$D$34)+IE53</f>
        <v/>
      </c>
      <c r="IF52" s="374">
        <f>IE52+TargetLTC*ConCostBasis*(DevSpend!IF$34/DevSpend!$D$34)+IF53</f>
        <v/>
      </c>
      <c r="IG52" s="374">
        <f>IF52+TargetLTC*ConCostBasis*(DevSpend!IG$34/DevSpend!$D$34)+IG53</f>
        <v/>
      </c>
      <c r="IH52" s="374">
        <f>IG52+TargetLTC*ConCostBasis*(DevSpend!IH$34/DevSpend!$D$34)+IH53</f>
        <v/>
      </c>
      <c r="II52" s="374">
        <f>IH52+TargetLTC*ConCostBasis*(DevSpend!II$34/DevSpend!$D$34)+II53</f>
        <v/>
      </c>
      <c r="IJ52" s="374">
        <f>II52+TargetLTC*ConCostBasis*(DevSpend!IJ$34/DevSpend!$D$34)+IJ53</f>
        <v/>
      </c>
      <c r="IK52" s="374">
        <f>IJ52+TargetLTC*ConCostBasis*(DevSpend!IK$34/DevSpend!$D$34)+IK53</f>
        <v/>
      </c>
      <c r="IL52" s="374">
        <f>IK52+TargetLTC*ConCostBasis*(DevSpend!IL$34/DevSpend!$D$34)+IL53</f>
        <v/>
      </c>
      <c r="IM52" s="374">
        <f>IL52+TargetLTC*ConCostBasis*(DevSpend!IM$34/DevSpend!$D$34)+IM53</f>
        <v/>
      </c>
      <c r="IN52" s="374">
        <f>IM52+TargetLTC*ConCostBasis*(DevSpend!IN$34/DevSpend!$D$34)+IN53</f>
        <v/>
      </c>
      <c r="IO52" s="374">
        <f>IN52+TargetLTC*ConCostBasis*(DevSpend!IO$34/DevSpend!$D$34)+IO53</f>
        <v/>
      </c>
      <c r="IP52" s="374">
        <f>IO52+TargetLTC*ConCostBasis*(DevSpend!IP$34/DevSpend!$D$34)+IP53</f>
        <v/>
      </c>
      <c r="IQ52" s="374">
        <f>IP52+TargetLTC*ConCostBasis*(DevSpend!IQ$34/DevSpend!$D$34)+IQ53</f>
        <v/>
      </c>
      <c r="IR52" s="374">
        <f>IQ52+TargetLTC*ConCostBasis*(DevSpend!IR$34/DevSpend!$D$34)+IR53</f>
        <v/>
      </c>
      <c r="IS52" s="374">
        <f>IR52+TargetLTC*ConCostBasis*(DevSpend!IS$34/DevSpend!$D$34)+IS53</f>
        <v/>
      </c>
      <c r="IT52" s="374">
        <f>IS52+TargetLTC*ConCostBasis*(DevSpend!IT$34/DevSpend!$D$34)+IT53</f>
        <v/>
      </c>
      <c r="IU52" s="374">
        <f>IT52+TargetLTC*ConCostBasis*(DevSpend!IU$34/DevSpend!$D$34)+IU53</f>
        <v/>
      </c>
      <c r="IV52" s="374">
        <f>IU52+TargetLTC*ConCostBasis*(DevSpend!IV$34/DevSpend!$D$34)+IV53</f>
        <v/>
      </c>
      <c r="IW52" s="374">
        <f>IV52+TargetLTC*ConCostBasis*(DevSpend!IW$34/DevSpend!$D$34)+IW53</f>
        <v/>
      </c>
      <c r="IX52" s="374">
        <f>IW52+TargetLTC*ConCostBasis*(DevSpend!IX$34/DevSpend!$D$34)+IX53</f>
        <v/>
      </c>
      <c r="IY52" s="374">
        <f>IX52+TargetLTC*ConCostBasis*(DevSpend!IY$34/DevSpend!$D$34)+IY53</f>
        <v/>
      </c>
      <c r="IZ52" s="374">
        <f>IY52+TargetLTC*ConCostBasis*(DevSpend!IZ$34/DevSpend!$D$34)+IZ53</f>
        <v/>
      </c>
      <c r="JA52" s="374">
        <f>IZ52+TargetLTC*ConCostBasis*(DevSpend!JA$34/DevSpend!$D$34)+JA53</f>
        <v/>
      </c>
      <c r="JB52" s="374">
        <f>JA52+TargetLTC*ConCostBasis*(DevSpend!JB$34/DevSpend!$D$34)+JB53</f>
        <v/>
      </c>
      <c r="JC52" s="374">
        <f>JB52+TargetLTC*ConCostBasis*(DevSpend!JC$34/DevSpend!$D$34)+JC53</f>
        <v/>
      </c>
      <c r="JD52" s="374">
        <f>JC52+TargetLTC*ConCostBasis*(DevSpend!JD$34/DevSpend!$D$34)+JD53</f>
        <v/>
      </c>
      <c r="JE52" s="374">
        <f>JD52+TargetLTC*ConCostBasis*(DevSpend!JE$34/DevSpend!$D$34)+JE53</f>
        <v/>
      </c>
      <c r="JF52" s="374">
        <f>JE52+TargetLTC*ConCostBasis*(DevSpend!JF$34/DevSpend!$D$34)+JF53</f>
        <v/>
      </c>
      <c r="JG52" s="374">
        <f>JF52+TargetLTC*ConCostBasis*(DevSpend!JG$34/DevSpend!$D$34)+JG53</f>
        <v/>
      </c>
      <c r="JH52" s="374">
        <f>JG52+TargetLTC*ConCostBasis*(DevSpend!JH$34/DevSpend!$D$34)+JH53</f>
        <v/>
      </c>
      <c r="JI52" s="374">
        <f>JH52+TargetLTC*ConCostBasis*(DevSpend!JI$34/DevSpend!$D$34)+JI53</f>
        <v/>
      </c>
      <c r="JJ52" s="374">
        <f>JI52+TargetLTC*ConCostBasis*(DevSpend!JJ$34/DevSpend!$D$34)+JJ53</f>
        <v/>
      </c>
      <c r="JK52" s="374">
        <f>JJ52+TargetLTC*ConCostBasis*(DevSpend!JK$34/DevSpend!$D$34)+JK53</f>
        <v/>
      </c>
      <c r="JL52" s="374">
        <f>JK52+TargetLTC*ConCostBasis*(DevSpend!JL$34/DevSpend!$D$34)+JL53</f>
        <v/>
      </c>
      <c r="JM52" s="374">
        <f>JL52+TargetLTC*ConCostBasis*(DevSpend!JM$34/DevSpend!$D$34)+JM53</f>
        <v/>
      </c>
      <c r="JN52" s="374">
        <f>JM52+TargetLTC*ConCostBasis*(DevSpend!JN$34/DevSpend!$D$34)+JN53</f>
        <v/>
      </c>
      <c r="JO52" s="374">
        <f>JN52+TargetLTC*ConCostBasis*(DevSpend!JO$34/DevSpend!$D$34)+JO53</f>
        <v/>
      </c>
      <c r="JP52" s="374">
        <f>JO52+TargetLTC*ConCostBasis*(DevSpend!JP$34/DevSpend!$D$34)+JP53</f>
        <v/>
      </c>
      <c r="JQ52" s="374">
        <f>JP52+TargetLTC*ConCostBasis*(DevSpend!JQ$34/DevSpend!$D$34)+JQ53</f>
        <v/>
      </c>
      <c r="JR52" s="374">
        <f>JQ52+TargetLTC*ConCostBasis*(DevSpend!JR$34/DevSpend!$D$34)+JR53</f>
        <v/>
      </c>
      <c r="JS52" s="374">
        <f>JR52+TargetLTC*ConCostBasis*(DevSpend!JS$34/DevSpend!$D$34)+JS53</f>
        <v/>
      </c>
      <c r="JT52" s="374">
        <f>JS52+TargetLTC*ConCostBasis*(DevSpend!JT$34/DevSpend!$D$34)+JT53</f>
        <v/>
      </c>
      <c r="JU52" s="374">
        <f>JT52+TargetLTC*ConCostBasis*(DevSpend!JU$34/DevSpend!$D$34)+JU53</f>
        <v/>
      </c>
      <c r="JV52" s="374">
        <f>JU52+TargetLTC*ConCostBasis*(DevSpend!JV$34/DevSpend!$D$34)+JV53</f>
        <v/>
      </c>
      <c r="JW52" s="374">
        <f>JV52+TargetLTC*ConCostBasis*(DevSpend!JW$34/DevSpend!$D$34)+JW53</f>
        <v/>
      </c>
      <c r="JX52" s="374">
        <f>JW52+TargetLTC*ConCostBasis*(DevSpend!JX$34/DevSpend!$D$34)+JX53</f>
        <v/>
      </c>
      <c r="JY52" s="374">
        <f>JX52+TargetLTC*ConCostBasis*(DevSpend!JY$34/DevSpend!$D$34)+JY53</f>
        <v/>
      </c>
      <c r="JZ52" s="374">
        <f>JY52+TargetLTC*ConCostBasis*(DevSpend!JZ$34/DevSpend!$D$34)+JZ53</f>
        <v/>
      </c>
      <c r="KA52" s="374">
        <f>JZ52+TargetLTC*ConCostBasis*(DevSpend!KA$34/DevSpend!$D$34)+KA53</f>
        <v/>
      </c>
      <c r="KB52" s="374">
        <f>KA52+TargetLTC*ConCostBasis*(DevSpend!KB$34/DevSpend!$D$34)+KB53</f>
        <v/>
      </c>
      <c r="KC52" s="374">
        <f>KB52+TargetLTC*ConCostBasis*(DevSpend!KC$34/DevSpend!$D$34)+KC53</f>
        <v/>
      </c>
      <c r="KD52" s="374">
        <f>KC52+TargetLTC*ConCostBasis*(DevSpend!KD$34/DevSpend!$D$34)+KD53</f>
        <v/>
      </c>
      <c r="KE52" s="374">
        <f>KD52+TargetLTC*ConCostBasis*(DevSpend!KE$34/DevSpend!$D$34)+KE53</f>
        <v/>
      </c>
      <c r="KF52" s="374">
        <f>KE52+TargetLTC*ConCostBasis*(DevSpend!KF$34/DevSpend!$D$34)+KF53</f>
        <v/>
      </c>
      <c r="KG52" s="374">
        <f>KF52+TargetLTC*ConCostBasis*(DevSpend!KG$34/DevSpend!$D$34)+KG53</f>
        <v/>
      </c>
      <c r="KH52" s="374">
        <f>KG52+TargetLTC*ConCostBasis*(DevSpend!KH$34/DevSpend!$D$34)+KH53</f>
        <v/>
      </c>
      <c r="KI52" s="374">
        <f>KH52+TargetLTC*ConCostBasis*(DevSpend!KI$34/DevSpend!$D$34)+KI53</f>
        <v/>
      </c>
      <c r="KJ52" s="374">
        <f>KI52+TargetLTC*ConCostBasis*(DevSpend!KJ$34/DevSpend!$D$34)+KJ53</f>
        <v/>
      </c>
      <c r="KK52" s="374">
        <f>KJ52+TargetLTC*ConCostBasis*(DevSpend!KK$34/DevSpend!$D$34)+KK53</f>
        <v/>
      </c>
      <c r="KL52" s="374">
        <f>KK52+TargetLTC*ConCostBasis*(DevSpend!KL$34/DevSpend!$D$34)+KL53</f>
        <v/>
      </c>
      <c r="KM52" s="374">
        <f>KL52+TargetLTC*ConCostBasis*(DevSpend!KM$34/DevSpend!$D$34)+KM53</f>
        <v/>
      </c>
      <c r="KN52" s="374">
        <f>KM52+TargetLTC*ConCostBasis*(DevSpend!KN$34/DevSpend!$D$34)+KN53</f>
        <v/>
      </c>
      <c r="KO52" s="374">
        <f>KN52+TargetLTC*ConCostBasis*(DevSpend!KO$34/DevSpend!$D$34)+KO53</f>
        <v/>
      </c>
      <c r="KP52" s="374">
        <f>KO52+TargetLTC*ConCostBasis*(DevSpend!KP$34/DevSpend!$D$34)+KP53</f>
        <v/>
      </c>
      <c r="KQ52" s="374">
        <f>KP52+TargetLTC*ConCostBasis*(DevSpend!KQ$34/DevSpend!$D$34)+KQ53</f>
        <v/>
      </c>
      <c r="KR52" s="374">
        <f>KQ52+TargetLTC*ConCostBasis*(DevSpend!KR$34/DevSpend!$D$34)+KR53</f>
        <v/>
      </c>
      <c r="KS52" s="374">
        <f>KR52+TargetLTC*ConCostBasis*(DevSpend!KS$34/DevSpend!$D$34)+KS53</f>
        <v/>
      </c>
      <c r="KT52" s="374">
        <f>KS52+TargetLTC*ConCostBasis*(DevSpend!KT$34/DevSpend!$D$34)+KT53</f>
        <v/>
      </c>
      <c r="KU52" s="374">
        <f>KT52+TargetLTC*ConCostBasis*(DevSpend!KU$34/DevSpend!$D$34)+KU53</f>
        <v/>
      </c>
      <c r="KV52" s="374">
        <f>KU52+TargetLTC*ConCostBasis*(DevSpend!KV$34/DevSpend!$D$34)+KV53</f>
        <v/>
      </c>
      <c r="KW52" s="374">
        <f>KV52+TargetLTC*ConCostBasis*(DevSpend!KW$34/DevSpend!$D$34)+KW53</f>
        <v/>
      </c>
      <c r="KX52" s="374">
        <f>KW52+TargetLTC*ConCostBasis*(DevSpend!KX$34/DevSpend!$D$34)+KX53</f>
        <v/>
      </c>
      <c r="KY52" s="374">
        <f>KX52+TargetLTC*ConCostBasis*(DevSpend!KY$34/DevSpend!$D$34)+KY53</f>
        <v/>
      </c>
      <c r="KZ52" s="374">
        <f>KY52+TargetLTC*ConCostBasis*(DevSpend!KZ$34/DevSpend!$D$34)+KZ53</f>
        <v/>
      </c>
      <c r="LA52" s="374">
        <f>KZ52+TargetLTC*ConCostBasis*(DevSpend!LA$34/DevSpend!$D$34)+LA53</f>
        <v/>
      </c>
      <c r="LB52" s="374">
        <f>LA52+TargetLTC*ConCostBasis*(DevSpend!LB$34/DevSpend!$D$34)+LB53</f>
        <v/>
      </c>
      <c r="LC52" s="374">
        <f>LB52+TargetLTC*ConCostBasis*(DevSpend!LC$34/DevSpend!$D$34)+LC53</f>
        <v/>
      </c>
      <c r="LD52" s="374">
        <f>LC52+TargetLTC*ConCostBasis*(DevSpend!LD$34/DevSpend!$D$34)+LD53</f>
        <v/>
      </c>
      <c r="LE52" s="374">
        <f>LD52+TargetLTC*ConCostBasis*(DevSpend!LE$34/DevSpend!$D$34)+LE53</f>
        <v/>
      </c>
      <c r="LF52" s="374">
        <f>LE52+TargetLTC*ConCostBasis*(DevSpend!LF$34/DevSpend!$D$34)+LF53</f>
        <v/>
      </c>
      <c r="LG52" s="374">
        <f>LF52+TargetLTC*ConCostBasis*(DevSpend!LG$34/DevSpend!$D$34)+LG53</f>
        <v/>
      </c>
      <c r="LH52" s="374">
        <f>LG52+TargetLTC*ConCostBasis*(DevSpend!LH$34/DevSpend!$D$34)+LH53</f>
        <v/>
      </c>
      <c r="LI52" s="374">
        <f>LH52+TargetLTC*ConCostBasis*(DevSpend!LI$34/DevSpend!$D$34)+LI53</f>
        <v/>
      </c>
      <c r="LJ52" s="374">
        <f>LI52+TargetLTC*ConCostBasis*(DevSpend!LJ$34/DevSpend!$D$34)+LJ53</f>
        <v/>
      </c>
      <c r="LK52" s="374">
        <f>LJ52+TargetLTC*ConCostBasis*(DevSpend!LK$34/DevSpend!$D$34)+LK53</f>
        <v/>
      </c>
      <c r="LL52" s="374">
        <f>LK52+TargetLTC*ConCostBasis*(DevSpend!LL$34/DevSpend!$D$34)+LL53</f>
        <v/>
      </c>
      <c r="LM52" s="374">
        <f>LL52+TargetLTC*ConCostBasis*(DevSpend!LM$34/DevSpend!$D$34)+LM53</f>
        <v/>
      </c>
      <c r="LN52" s="374">
        <f>LM52+TargetLTC*ConCostBasis*(DevSpend!LN$34/DevSpend!$D$34)+LN53</f>
        <v/>
      </c>
      <c r="LO52" s="374">
        <f>LN52+TargetLTC*ConCostBasis*(DevSpend!LO$34/DevSpend!$D$34)+LO53</f>
        <v/>
      </c>
      <c r="LP52" s="374">
        <f>LO52+TargetLTC*ConCostBasis*(DevSpend!LP$34/DevSpend!$D$34)+LP53</f>
        <v/>
      </c>
      <c r="LQ52" s="374">
        <f>LP52+TargetLTC*ConCostBasis*(DevSpend!LQ$34/DevSpend!$D$34)+LQ53</f>
        <v/>
      </c>
      <c r="LR52" s="374">
        <f>LQ52+TargetLTC*ConCostBasis*(DevSpend!LR$34/DevSpend!$D$34)+LR53</f>
        <v/>
      </c>
      <c r="LS52" s="374">
        <f>LR52+TargetLTC*ConCostBasis*(DevSpend!LS$34/DevSpend!$D$34)+LS53</f>
        <v/>
      </c>
      <c r="LT52" s="374">
        <f>LS52+TargetLTC*ConCostBasis*(DevSpend!LT$34/DevSpend!$D$34)+LT53</f>
        <v/>
      </c>
      <c r="LU52" s="374">
        <f>LT52+TargetLTC*ConCostBasis*(DevSpend!LU$34/DevSpend!$D$34)+LU53</f>
        <v/>
      </c>
      <c r="LV52" s="374">
        <f>LU52+TargetLTC*ConCostBasis*(DevSpend!LV$34/DevSpend!$D$34)+LV53</f>
        <v/>
      </c>
      <c r="LW52" s="374">
        <f>LV52+TargetLTC*ConCostBasis*(DevSpend!LW$34/DevSpend!$D$34)+LW53</f>
        <v/>
      </c>
      <c r="LX52" s="374">
        <f>LW52+TargetLTC*ConCostBasis*(DevSpend!LX$34/DevSpend!$D$34)+LX53</f>
        <v/>
      </c>
      <c r="LY52" s="374">
        <f>LX52+TargetLTC*ConCostBasis*(DevSpend!LY$34/DevSpend!$D$34)+LY53</f>
        <v/>
      </c>
      <c r="LZ52" s="374">
        <f>LY52+TargetLTC*ConCostBasis*(DevSpend!LZ$34/DevSpend!$D$34)+LZ53</f>
        <v/>
      </c>
      <c r="MA52" s="374">
        <f>LZ52+TargetLTC*ConCostBasis*(DevSpend!MA$34/DevSpend!$D$34)+MA53</f>
        <v/>
      </c>
      <c r="MB52" s="374">
        <f>MA52+TargetLTC*ConCostBasis*(DevSpend!MB$34/DevSpend!$D$34)+MB53</f>
        <v/>
      </c>
      <c r="MC52" s="374">
        <f>MB52+TargetLTC*ConCostBasis*(DevSpend!MC$34/DevSpend!$D$34)+MC53</f>
        <v/>
      </c>
      <c r="MD52" s="374">
        <f>MC52+TargetLTC*ConCostBasis*(DevSpend!MD$34/DevSpend!$D$34)+MD53</f>
        <v/>
      </c>
      <c r="ME52" s="374">
        <f>MD52+TargetLTC*ConCostBasis*(DevSpend!ME$34/DevSpend!$D$34)+ME53</f>
        <v/>
      </c>
      <c r="MF52" s="374">
        <f>ME52+TargetLTC*ConCostBasis*(DevSpend!MF$34/DevSpend!$D$34)+MF53</f>
        <v/>
      </c>
      <c r="MG52" s="374">
        <f>MF52+TargetLTC*ConCostBasis*(DevSpend!MG$34/DevSpend!$D$34)+MG53</f>
        <v/>
      </c>
      <c r="MH52" s="374">
        <f>MG52+TargetLTC*ConCostBasis*(DevSpend!MH$34/DevSpend!$D$34)+MH53</f>
        <v/>
      </c>
      <c r="MI52" s="374">
        <f>MH52+TargetLTC*ConCostBasis*(DevSpend!MI$34/DevSpend!$D$34)+MI53</f>
        <v/>
      </c>
      <c r="MJ52" s="374">
        <f>MI52+TargetLTC*ConCostBasis*(DevSpend!MJ$34/DevSpend!$D$34)+MJ53</f>
        <v/>
      </c>
      <c r="MK52" s="374">
        <f>MJ52+TargetLTC*ConCostBasis*(DevSpend!MK$34/DevSpend!$D$34)+MK53</f>
        <v/>
      </c>
      <c r="ML52" s="374">
        <f>MK52+TargetLTC*ConCostBasis*(DevSpend!ML$34/DevSpend!$D$34)+ML53</f>
        <v/>
      </c>
      <c r="MM52" s="374">
        <f>ML52+TargetLTC*ConCostBasis*(DevSpend!MM$34/DevSpend!$D$34)+MM53</f>
        <v/>
      </c>
      <c r="MN52" s="374">
        <f>MM52+TargetLTC*ConCostBasis*(DevSpend!MN$34/DevSpend!$D$34)+MN53</f>
        <v/>
      </c>
      <c r="MO52" s="374">
        <f>MN52+TargetLTC*ConCostBasis*(DevSpend!MO$34/DevSpend!$D$34)+MO53</f>
        <v/>
      </c>
      <c r="MP52" s="374">
        <f>MO52+TargetLTC*ConCostBasis*(DevSpend!MP$34/DevSpend!$D$34)+MP53</f>
        <v/>
      </c>
      <c r="MQ52" s="374">
        <f>MP52+TargetLTC*ConCostBasis*(DevSpend!MQ$34/DevSpend!$D$34)+MQ53</f>
        <v/>
      </c>
      <c r="MR52" s="374">
        <f>MQ52+TargetLTC*ConCostBasis*(DevSpend!MR$34/DevSpend!$D$34)+MR53</f>
        <v/>
      </c>
      <c r="MS52" s="374">
        <f>MR52+TargetLTC*ConCostBasis*(DevSpend!MS$34/DevSpend!$D$34)+MS53</f>
        <v/>
      </c>
      <c r="MT52" s="374">
        <f>MS52+TargetLTC*ConCostBasis*(DevSpend!MT$34/DevSpend!$D$34)+MT53</f>
        <v/>
      </c>
      <c r="MU52" s="374">
        <f>MT52+TargetLTC*ConCostBasis*(DevSpend!MU$34/DevSpend!$D$34)+MU53</f>
        <v/>
      </c>
      <c r="MV52" s="374">
        <f>MU52+TargetLTC*ConCostBasis*(DevSpend!MV$34/DevSpend!$D$34)+MV53</f>
        <v/>
      </c>
      <c r="MW52" s="374">
        <f>MV52+TargetLTC*ConCostBasis*(DevSpend!MW$34/DevSpend!$D$34)+MW53</f>
        <v/>
      </c>
      <c r="MX52" s="374">
        <f>MW52+TargetLTC*ConCostBasis*(DevSpend!MX$34/DevSpend!$D$34)+MX53</f>
        <v/>
      </c>
      <c r="MY52" s="374">
        <f>MX52+TargetLTC*ConCostBasis*(DevSpend!MY$34/DevSpend!$D$34)+MY53</f>
        <v/>
      </c>
      <c r="MZ52" s="374">
        <f>MY52+TargetLTC*ConCostBasis*(DevSpend!MZ$34/DevSpend!$D$34)+MZ53</f>
        <v/>
      </c>
      <c r="NA52" s="374">
        <f>MZ52+TargetLTC*ConCostBasis*(DevSpend!NA$34/DevSpend!$D$34)+NA53</f>
        <v/>
      </c>
      <c r="NB52" s="374">
        <f>NA52+TargetLTC*ConCostBasis*(DevSpend!NB$34/DevSpend!$D$34)+NB53</f>
        <v/>
      </c>
      <c r="NC52" s="374">
        <f>NB52+TargetLTC*ConCostBasis*(DevSpend!NC$34/DevSpend!$D$34)+NC53</f>
        <v/>
      </c>
      <c r="ND52" s="374">
        <f>NC52+TargetLTC*ConCostBasis*(DevSpend!ND$34/DevSpend!$D$34)+ND53</f>
        <v/>
      </c>
      <c r="NE52" s="374">
        <f>ND52+TargetLTC*ConCostBasis*(DevSpend!NE$34/DevSpend!$D$34)+NE53</f>
        <v/>
      </c>
      <c r="NF52" s="374">
        <f>NE52+TargetLTC*ConCostBasis*(DevSpend!NF$34/DevSpend!$D$34)+NF53</f>
        <v/>
      </c>
      <c r="NG52" s="374">
        <f>NF52+TargetLTC*ConCostBasis*(DevSpend!NG$34/DevSpend!$D$34)+NG53</f>
        <v/>
      </c>
      <c r="NH52" s="374">
        <f>NG52+TargetLTC*ConCostBasis*(DevSpend!NH$34/DevSpend!$D$34)+NH53</f>
        <v/>
      </c>
      <c r="NI52" s="374">
        <f>NH52+TargetLTC*ConCostBasis*(DevSpend!NI$34/DevSpend!$D$34)+NI53</f>
        <v/>
      </c>
      <c r="NJ52" s="374">
        <f>NI52+TargetLTC*ConCostBasis*(DevSpend!NJ$34/DevSpend!$D$34)+NJ53</f>
        <v/>
      </c>
      <c r="NK52" s="374">
        <f>NJ52+TargetLTC*ConCostBasis*(DevSpend!NK$34/DevSpend!$D$34)+NK53</f>
        <v/>
      </c>
      <c r="NL52" s="374">
        <f>NK52+TargetLTC*ConCostBasis*(DevSpend!NL$34/DevSpend!$D$34)+NL53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2026-10-28T18:16:26Z</dcterms:modified>
  <cp:lastModifiedBy>Thomas Holben</cp:lastModifiedBy>
</cp:coreProperties>
</file>